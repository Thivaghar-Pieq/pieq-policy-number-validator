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llstate\2025\combined\10-6-25\"/>
    </mc:Choice>
  </mc:AlternateContent>
  <xr:revisionPtr revIDLastSave="0" documentId="13_ncr:1_{1746D2DB-3F6C-44C0-B057-4F4AA1E40AC2}" xr6:coauthVersionLast="47" xr6:coauthVersionMax="47" xr10:uidLastSave="{00000000-0000-0000-0000-000000000000}"/>
  <bookViews>
    <workbookView xWindow="-57720" yWindow="-45" windowWidth="29040" windowHeight="15720" xr2:uid="{1548E349-2D4D-48B0-BE65-7F9346C7D4A5}"/>
  </bookViews>
  <sheets>
    <sheet name="20411454 - Main Line Benefits L" sheetId="1" r:id="rId1"/>
    <sheet name="NB" sheetId="7" r:id="rId2"/>
    <sheet name="AE Agents" sheetId="3" r:id="rId3"/>
    <sheet name="NB1" sheetId="4" r:id="rId4"/>
    <sheet name="RN" sheetId="2" r:id="rId5"/>
    <sheet name="RN1" sheetId="5" r:id="rId6"/>
    <sheet name="Chargebacks" sheetId="6" r:id="rId7"/>
  </sheets>
  <definedNames>
    <definedName name="_xlnm._FilterDatabase" localSheetId="0" hidden="1">'20411454 - Main Line Benefits L'!$A$1:$AV$1146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5" i="3" l="1"/>
  <c r="D116" i="3"/>
  <c r="D115" i="3"/>
  <c r="D113" i="3"/>
  <c r="D114" i="3"/>
  <c r="D19" i="3"/>
  <c r="D37" i="3"/>
  <c r="D25" i="3"/>
  <c r="D40" i="3"/>
  <c r="D9" i="3"/>
  <c r="D8" i="3"/>
  <c r="D10" i="3"/>
  <c r="D31" i="3"/>
  <c r="D14" i="3"/>
  <c r="D38" i="3"/>
  <c r="D39" i="3"/>
  <c r="D32" i="3"/>
  <c r="D122" i="3"/>
  <c r="D15" i="3"/>
  <c r="D164" i="3"/>
  <c r="D11" i="3"/>
  <c r="D135" i="3"/>
  <c r="D139" i="3"/>
  <c r="D21" i="3"/>
  <c r="D33" i="3"/>
  <c r="D140" i="3"/>
  <c r="D34" i="3"/>
  <c r="D35" i="3"/>
  <c r="D24" i="3"/>
  <c r="D22" i="3"/>
  <c r="D28" i="3"/>
  <c r="D36" i="3"/>
  <c r="D29" i="3"/>
  <c r="D12" i="3"/>
  <c r="D156" i="3"/>
  <c r="D17" i="3"/>
  <c r="D157" i="3"/>
  <c r="D41" i="3"/>
  <c r="D18" i="3"/>
  <c r="D26" i="3"/>
  <c r="D13" i="3"/>
  <c r="D16" i="3"/>
  <c r="D42" i="3"/>
  <c r="D23" i="3"/>
  <c r="D30" i="3"/>
  <c r="D153" i="3"/>
  <c r="D27" i="3"/>
  <c r="D167" i="3"/>
  <c r="D20" i="3"/>
  <c r="D141" i="3"/>
  <c r="D142" i="3"/>
  <c r="D123" i="3"/>
  <c r="D47" i="3"/>
  <c r="D44" i="3"/>
  <c r="D133" i="3"/>
  <c r="D46" i="3"/>
  <c r="D45" i="3"/>
  <c r="D93" i="3"/>
  <c r="D97" i="3"/>
  <c r="D95" i="3"/>
  <c r="D98" i="3"/>
  <c r="D99" i="3"/>
  <c r="D90" i="3"/>
  <c r="D136" i="3"/>
  <c r="D143" i="3"/>
  <c r="D137" i="3"/>
  <c r="D96" i="3"/>
  <c r="D125" i="3"/>
  <c r="D91" i="3"/>
  <c r="D92" i="3"/>
  <c r="D89" i="3"/>
  <c r="D94" i="3"/>
  <c r="D100" i="3"/>
  <c r="D128" i="3"/>
  <c r="D88" i="3"/>
  <c r="D118" i="3"/>
  <c r="D86" i="3"/>
  <c r="D161" i="3"/>
  <c r="D144" i="3"/>
  <c r="D101" i="3"/>
  <c r="D163" i="3"/>
  <c r="D102" i="3"/>
  <c r="D168" i="3"/>
  <c r="D87" i="3"/>
  <c r="D124" i="3"/>
  <c r="D52" i="3"/>
  <c r="D7" i="3"/>
  <c r="D53" i="3"/>
  <c r="D169" i="3"/>
  <c r="D134" i="3"/>
  <c r="D51" i="3"/>
  <c r="D50" i="3"/>
  <c r="D70" i="3"/>
  <c r="D2" i="3"/>
  <c r="D61" i="3"/>
  <c r="D110" i="3"/>
  <c r="D62" i="3"/>
  <c r="D103" i="3"/>
  <c r="D63" i="3"/>
  <c r="D131" i="3"/>
  <c r="D104" i="3"/>
  <c r="D126" i="3"/>
  <c r="D132" i="3"/>
  <c r="D75" i="3"/>
  <c r="D105" i="3"/>
  <c r="D71" i="3"/>
  <c r="D64" i="3"/>
  <c r="D79" i="3"/>
  <c r="D76" i="3"/>
  <c r="D165" i="3"/>
  <c r="D166" i="3"/>
  <c r="D65" i="3"/>
  <c r="D74" i="3"/>
  <c r="D138" i="3"/>
  <c r="D152" i="3"/>
  <c r="D106" i="3"/>
  <c r="D57" i="3"/>
  <c r="D58" i="3"/>
  <c r="D145" i="3"/>
  <c r="D127" i="3"/>
  <c r="D66" i="3"/>
  <c r="D60" i="3"/>
  <c r="D77" i="3"/>
  <c r="D107" i="3"/>
  <c r="D72" i="3"/>
  <c r="D109" i="3"/>
  <c r="D108" i="3"/>
  <c r="D67" i="3"/>
  <c r="D158" i="3"/>
  <c r="D159" i="3"/>
  <c r="D80" i="3"/>
  <c r="D120" i="3"/>
  <c r="D81" i="3"/>
  <c r="D121" i="3"/>
  <c r="D129" i="3"/>
  <c r="D160" i="3"/>
  <c r="D59" i="3"/>
  <c r="D119" i="3"/>
  <c r="D3" i="3"/>
  <c r="D43" i="3"/>
  <c r="D5" i="3"/>
  <c r="D82" i="3"/>
  <c r="D68" i="3"/>
  <c r="D162" i="3"/>
  <c r="D146" i="3"/>
  <c r="D83" i="3"/>
  <c r="D73" i="3"/>
  <c r="D130" i="3"/>
  <c r="D78" i="3"/>
  <c r="D111" i="3"/>
  <c r="D150" i="3"/>
  <c r="D84" i="3"/>
  <c r="D4" i="3"/>
  <c r="D69" i="3"/>
  <c r="D154" i="3"/>
  <c r="D170" i="3"/>
  <c r="D85" i="3"/>
  <c r="D6" i="3"/>
  <c r="D151" i="3"/>
  <c r="D147" i="3"/>
  <c r="D148" i="3"/>
  <c r="D54" i="3"/>
  <c r="D55" i="3"/>
  <c r="D56" i="3"/>
  <c r="D48" i="3"/>
  <c r="D49" i="3"/>
  <c r="D149" i="3"/>
  <c r="D112" i="3"/>
  <c r="K155" i="3"/>
  <c r="K116" i="3"/>
  <c r="K115" i="3"/>
  <c r="K113" i="3"/>
  <c r="K114" i="3"/>
  <c r="K19" i="3"/>
  <c r="K37" i="3"/>
  <c r="K25" i="3"/>
  <c r="K40" i="3"/>
  <c r="K9" i="3"/>
  <c r="K8" i="3"/>
  <c r="K10" i="3"/>
  <c r="K31" i="3"/>
  <c r="K14" i="3"/>
  <c r="K38" i="3"/>
  <c r="K39" i="3"/>
  <c r="K32" i="3"/>
  <c r="K122" i="3"/>
  <c r="K15" i="3"/>
  <c r="K164" i="3"/>
  <c r="K11" i="3"/>
  <c r="K135" i="3"/>
  <c r="K139" i="3"/>
  <c r="K21" i="3"/>
  <c r="K33" i="3"/>
  <c r="K140" i="3"/>
  <c r="K34" i="3"/>
  <c r="K35" i="3"/>
  <c r="K24" i="3"/>
  <c r="K22" i="3"/>
  <c r="K28" i="3"/>
  <c r="K36" i="3"/>
  <c r="K29" i="3"/>
  <c r="K12" i="3"/>
  <c r="K156" i="3"/>
  <c r="K17" i="3"/>
  <c r="K157" i="3"/>
  <c r="K41" i="3"/>
  <c r="K18" i="3"/>
  <c r="K26" i="3"/>
  <c r="K13" i="3"/>
  <c r="K16" i="3"/>
  <c r="K42" i="3"/>
  <c r="K23" i="3"/>
  <c r="K30" i="3"/>
  <c r="K153" i="3"/>
  <c r="K27" i="3"/>
  <c r="K167" i="3"/>
  <c r="K20" i="3"/>
  <c r="K141" i="3"/>
  <c r="K142" i="3"/>
  <c r="K123" i="3"/>
  <c r="K47" i="3"/>
  <c r="K44" i="3"/>
  <c r="K133" i="3"/>
  <c r="K46" i="3"/>
  <c r="K45" i="3"/>
  <c r="K93" i="3"/>
  <c r="K97" i="3"/>
  <c r="K95" i="3"/>
  <c r="K98" i="3"/>
  <c r="K99" i="3"/>
  <c r="K90" i="3"/>
  <c r="K136" i="3"/>
  <c r="K143" i="3"/>
  <c r="K137" i="3"/>
  <c r="K96" i="3"/>
  <c r="K125" i="3"/>
  <c r="K91" i="3"/>
  <c r="K92" i="3"/>
  <c r="K89" i="3"/>
  <c r="K94" i="3"/>
  <c r="K100" i="3"/>
  <c r="K128" i="3"/>
  <c r="K88" i="3"/>
  <c r="K118" i="3"/>
  <c r="K86" i="3"/>
  <c r="K161" i="3"/>
  <c r="K144" i="3"/>
  <c r="K101" i="3"/>
  <c r="K163" i="3"/>
  <c r="K102" i="3"/>
  <c r="K168" i="3"/>
  <c r="K87" i="3"/>
  <c r="K124" i="3"/>
  <c r="K52" i="3"/>
  <c r="K7" i="3"/>
  <c r="K53" i="3"/>
  <c r="K169" i="3"/>
  <c r="K134" i="3"/>
  <c r="K51" i="3"/>
  <c r="K50" i="3"/>
  <c r="K70" i="3"/>
  <c r="K2" i="3"/>
  <c r="K61" i="3"/>
  <c r="K110" i="3"/>
  <c r="K62" i="3"/>
  <c r="K103" i="3"/>
  <c r="K63" i="3"/>
  <c r="K131" i="3"/>
  <c r="K104" i="3"/>
  <c r="K126" i="3"/>
  <c r="K132" i="3"/>
  <c r="K75" i="3"/>
  <c r="K105" i="3"/>
  <c r="K71" i="3"/>
  <c r="K64" i="3"/>
  <c r="K79" i="3"/>
  <c r="K76" i="3"/>
  <c r="K165" i="3"/>
  <c r="K166" i="3"/>
  <c r="K65" i="3"/>
  <c r="K74" i="3"/>
  <c r="K138" i="3"/>
  <c r="K152" i="3"/>
  <c r="K106" i="3"/>
  <c r="K57" i="3"/>
  <c r="K58" i="3"/>
  <c r="K145" i="3"/>
  <c r="K127" i="3"/>
  <c r="K66" i="3"/>
  <c r="K60" i="3"/>
  <c r="K77" i="3"/>
  <c r="K107" i="3"/>
  <c r="K72" i="3"/>
  <c r="K109" i="3"/>
  <c r="K108" i="3"/>
  <c r="K67" i="3"/>
  <c r="K158" i="3"/>
  <c r="K159" i="3"/>
  <c r="K80" i="3"/>
  <c r="K120" i="3"/>
  <c r="K81" i="3"/>
  <c r="K121" i="3"/>
  <c r="K129" i="3"/>
  <c r="K160" i="3"/>
  <c r="K59" i="3"/>
  <c r="K119" i="3"/>
  <c r="K3" i="3"/>
  <c r="K43" i="3"/>
  <c r="K5" i="3"/>
  <c r="K82" i="3"/>
  <c r="K68" i="3"/>
  <c r="K162" i="3"/>
  <c r="K146" i="3"/>
  <c r="K83" i="3"/>
  <c r="K73" i="3"/>
  <c r="K130" i="3"/>
  <c r="K78" i="3"/>
  <c r="K111" i="3"/>
  <c r="K150" i="3"/>
  <c r="K84" i="3"/>
  <c r="K4" i="3"/>
  <c r="K69" i="3"/>
  <c r="K154" i="3"/>
  <c r="K170" i="3"/>
  <c r="K85" i="3"/>
  <c r="K6" i="3"/>
  <c r="K151" i="3"/>
  <c r="K147" i="3"/>
  <c r="K148" i="3"/>
  <c r="K54" i="3"/>
  <c r="K55" i="3"/>
  <c r="K56" i="3"/>
  <c r="K48" i="3"/>
  <c r="K49" i="3"/>
  <c r="K149" i="3"/>
  <c r="K112" i="3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D101" i="5"/>
  <c r="D102" i="5"/>
  <c r="D103" i="5"/>
  <c r="D104" i="5"/>
  <c r="D105" i="5"/>
  <c r="D106" i="5"/>
  <c r="D107" i="5"/>
  <c r="D108" i="5"/>
  <c r="D109" i="5"/>
  <c r="D110" i="5"/>
  <c r="D111" i="5"/>
  <c r="D112" i="5"/>
  <c r="D113" i="5"/>
  <c r="D114" i="5"/>
  <c r="D115" i="5"/>
  <c r="D116" i="5"/>
  <c r="D117" i="5"/>
  <c r="D118" i="5"/>
  <c r="D119" i="5"/>
  <c r="D120" i="5"/>
  <c r="D121" i="5"/>
  <c r="D122" i="5"/>
  <c r="D123" i="5"/>
  <c r="D124" i="5"/>
  <c r="D125" i="5"/>
  <c r="D126" i="5"/>
  <c r="D127" i="5"/>
  <c r="D128" i="5"/>
  <c r="D129" i="5"/>
  <c r="D130" i="5"/>
  <c r="D131" i="5"/>
  <c r="D132" i="5"/>
  <c r="D133" i="5"/>
  <c r="D134" i="5"/>
  <c r="D135" i="5"/>
  <c r="D136" i="5"/>
  <c r="D137" i="5"/>
  <c r="D138" i="5"/>
  <c r="D139" i="5"/>
  <c r="D140" i="5"/>
  <c r="D141" i="5"/>
  <c r="D142" i="5"/>
  <c r="D143" i="5"/>
  <c r="D144" i="5"/>
  <c r="D145" i="5"/>
  <c r="D146" i="5"/>
  <c r="D147" i="5"/>
  <c r="D148" i="5"/>
  <c r="D149" i="5"/>
  <c r="D150" i="5"/>
  <c r="D151" i="5"/>
  <c r="D152" i="5"/>
  <c r="D153" i="5"/>
  <c r="D154" i="5"/>
  <c r="D155" i="5"/>
  <c r="D156" i="5"/>
  <c r="D157" i="5"/>
  <c r="D158" i="5"/>
  <c r="D159" i="5"/>
  <c r="D160" i="5"/>
  <c r="D161" i="5"/>
  <c r="D162" i="5"/>
  <c r="D163" i="5"/>
  <c r="D164" i="5"/>
  <c r="D165" i="5"/>
  <c r="D166" i="5"/>
  <c r="D167" i="5"/>
  <c r="D168" i="5"/>
  <c r="D169" i="5"/>
  <c r="D170" i="5"/>
  <c r="D171" i="5"/>
  <c r="D172" i="5"/>
  <c r="D173" i="5"/>
  <c r="D174" i="5"/>
  <c r="D175" i="5"/>
  <c r="D176" i="5"/>
  <c r="D177" i="5"/>
  <c r="D178" i="5"/>
  <c r="D179" i="5"/>
  <c r="D180" i="5"/>
  <c r="D181" i="5"/>
  <c r="D182" i="5"/>
  <c r="D183" i="5"/>
  <c r="D184" i="5"/>
  <c r="D185" i="5"/>
  <c r="D186" i="5"/>
  <c r="D187" i="5"/>
  <c r="D188" i="5"/>
  <c r="D189" i="5"/>
  <c r="D190" i="5"/>
  <c r="D191" i="5"/>
  <c r="D192" i="5"/>
  <c r="D193" i="5"/>
  <c r="D194" i="5"/>
  <c r="D195" i="5"/>
  <c r="D196" i="5"/>
  <c r="D197" i="5"/>
  <c r="D198" i="5"/>
  <c r="D199" i="5"/>
  <c r="D200" i="5"/>
  <c r="D201" i="5"/>
  <c r="D202" i="5"/>
  <c r="D203" i="5"/>
  <c r="D204" i="5"/>
  <c r="D205" i="5"/>
  <c r="D206" i="5"/>
  <c r="D207" i="5"/>
  <c r="D208" i="5"/>
  <c r="D209" i="5"/>
  <c r="D210" i="5"/>
  <c r="D211" i="5"/>
  <c r="D212" i="5"/>
  <c r="D213" i="5"/>
  <c r="D214" i="5"/>
  <c r="D215" i="5"/>
  <c r="D216" i="5"/>
  <c r="D217" i="5"/>
  <c r="D218" i="5"/>
  <c r="D219" i="5"/>
  <c r="D220" i="5"/>
  <c r="D221" i="5"/>
  <c r="D222" i="5"/>
  <c r="D223" i="5"/>
  <c r="D224" i="5"/>
  <c r="D225" i="5"/>
  <c r="D226" i="5"/>
  <c r="D227" i="5"/>
  <c r="D228" i="5"/>
  <c r="D229" i="5"/>
  <c r="D230" i="5"/>
  <c r="D231" i="5"/>
  <c r="D232" i="5"/>
  <c r="D233" i="5"/>
  <c r="D234" i="5"/>
  <c r="D235" i="5"/>
  <c r="D236" i="5"/>
  <c r="D237" i="5"/>
  <c r="D238" i="5"/>
  <c r="D239" i="5"/>
  <c r="D240" i="5"/>
  <c r="D241" i="5"/>
  <c r="D242" i="5"/>
  <c r="D243" i="5"/>
  <c r="D244" i="5"/>
  <c r="D245" i="5"/>
  <c r="D246" i="5"/>
  <c r="D247" i="5"/>
  <c r="D248" i="5"/>
  <c r="D249" i="5"/>
  <c r="D250" i="5"/>
  <c r="D251" i="5"/>
  <c r="D252" i="5"/>
  <c r="D253" i="5"/>
  <c r="D254" i="5"/>
  <c r="D255" i="5"/>
  <c r="D256" i="5"/>
  <c r="D257" i="5"/>
  <c r="D258" i="5"/>
  <c r="D259" i="5"/>
  <c r="D260" i="5"/>
  <c r="D261" i="5"/>
  <c r="D262" i="5"/>
  <c r="D263" i="5"/>
  <c r="D264" i="5"/>
  <c r="D265" i="5"/>
  <c r="D266" i="5"/>
  <c r="D267" i="5"/>
  <c r="D268" i="5"/>
  <c r="D269" i="5"/>
  <c r="D270" i="5"/>
  <c r="D271" i="5"/>
  <c r="D272" i="5"/>
  <c r="D273" i="5"/>
  <c r="D274" i="5"/>
  <c r="D275" i="5"/>
  <c r="D276" i="5"/>
  <c r="D277" i="5"/>
  <c r="D278" i="5"/>
  <c r="D279" i="5"/>
  <c r="D280" i="5"/>
  <c r="D281" i="5"/>
  <c r="D282" i="5"/>
  <c r="D283" i="5"/>
  <c r="D284" i="5"/>
  <c r="D285" i="5"/>
  <c r="D286" i="5"/>
  <c r="D287" i="5"/>
  <c r="D288" i="5"/>
  <c r="D289" i="5"/>
  <c r="D290" i="5"/>
  <c r="D291" i="5"/>
  <c r="D292" i="5"/>
  <c r="D293" i="5"/>
  <c r="D294" i="5"/>
  <c r="D295" i="5"/>
  <c r="D296" i="5"/>
  <c r="D297" i="5"/>
  <c r="D298" i="5"/>
  <c r="D299" i="5"/>
  <c r="D300" i="5"/>
  <c r="D301" i="5"/>
  <c r="D302" i="5"/>
  <c r="D303" i="5"/>
  <c r="D304" i="5"/>
  <c r="D305" i="5"/>
  <c r="D306" i="5"/>
  <c r="D307" i="5"/>
  <c r="D308" i="5"/>
  <c r="D309" i="5"/>
  <c r="D310" i="5"/>
  <c r="D311" i="5"/>
  <c r="D312" i="5"/>
  <c r="D313" i="5"/>
  <c r="D314" i="5"/>
  <c r="D315" i="5"/>
  <c r="D316" i="5"/>
  <c r="D317" i="5"/>
  <c r="D318" i="5"/>
  <c r="D319" i="5"/>
  <c r="D320" i="5"/>
  <c r="D321" i="5"/>
  <c r="D322" i="5"/>
  <c r="D323" i="5"/>
  <c r="D324" i="5"/>
  <c r="D325" i="5"/>
  <c r="D326" i="5"/>
  <c r="D327" i="5"/>
  <c r="D328" i="5"/>
  <c r="D329" i="5"/>
  <c r="D330" i="5"/>
  <c r="D331" i="5"/>
  <c r="D332" i="5"/>
  <c r="D333" i="5"/>
  <c r="D334" i="5"/>
  <c r="D335" i="5"/>
  <c r="D336" i="5"/>
  <c r="D337" i="5"/>
  <c r="D338" i="5"/>
  <c r="D339" i="5"/>
  <c r="D340" i="5"/>
  <c r="D341" i="5"/>
  <c r="D342" i="5"/>
  <c r="D343" i="5"/>
  <c r="D344" i="5"/>
  <c r="D345" i="5"/>
  <c r="D346" i="5"/>
  <c r="D347" i="5"/>
  <c r="D348" i="5"/>
  <c r="D349" i="5"/>
  <c r="D350" i="5"/>
  <c r="D351" i="5"/>
  <c r="D352" i="5"/>
  <c r="D353" i="5"/>
  <c r="D354" i="5"/>
  <c r="D355" i="5"/>
  <c r="D356" i="5"/>
  <c r="D357" i="5"/>
  <c r="D358" i="5"/>
  <c r="D359" i="5"/>
  <c r="D360" i="5"/>
  <c r="D361" i="5"/>
  <c r="D362" i="5"/>
  <c r="D363" i="5"/>
  <c r="D364" i="5"/>
  <c r="D365" i="5"/>
  <c r="D366" i="5"/>
  <c r="D367" i="5"/>
  <c r="D368" i="5"/>
  <c r="D369" i="5"/>
  <c r="D370" i="5"/>
  <c r="D371" i="5"/>
  <c r="D372" i="5"/>
  <c r="D373" i="5"/>
  <c r="D374" i="5"/>
  <c r="D375" i="5"/>
  <c r="D376" i="5"/>
  <c r="D377" i="5"/>
  <c r="D378" i="5"/>
  <c r="D379" i="5"/>
  <c r="D380" i="5"/>
  <c r="D381" i="5"/>
  <c r="D382" i="5"/>
  <c r="D383" i="5"/>
  <c r="D384" i="5"/>
  <c r="D385" i="5"/>
  <c r="D386" i="5"/>
  <c r="D387" i="5"/>
  <c r="D388" i="5"/>
  <c r="D389" i="5"/>
  <c r="D390" i="5"/>
  <c r="D391" i="5"/>
  <c r="D392" i="5"/>
  <c r="D393" i="5"/>
  <c r="D394" i="5"/>
  <c r="D395" i="5"/>
  <c r="D396" i="5"/>
  <c r="D397" i="5"/>
  <c r="D398" i="5"/>
  <c r="D399" i="5"/>
  <c r="D400" i="5"/>
  <c r="D401" i="5"/>
  <c r="D402" i="5"/>
  <c r="D403" i="5"/>
  <c r="D404" i="5"/>
  <c r="D405" i="5"/>
  <c r="D406" i="5"/>
  <c r="D407" i="5"/>
  <c r="D408" i="5"/>
  <c r="D409" i="5"/>
  <c r="D410" i="5"/>
  <c r="D411" i="5"/>
  <c r="D412" i="5"/>
  <c r="D413" i="5"/>
  <c r="D414" i="5"/>
  <c r="D415" i="5"/>
  <c r="D416" i="5"/>
  <c r="D417" i="5"/>
  <c r="D418" i="5"/>
  <c r="D419" i="5"/>
  <c r="D420" i="5"/>
  <c r="D421" i="5"/>
  <c r="D422" i="5"/>
  <c r="D423" i="5"/>
  <c r="D424" i="5"/>
  <c r="D425" i="5"/>
  <c r="D426" i="5"/>
  <c r="D427" i="5"/>
  <c r="D428" i="5"/>
  <c r="D429" i="5"/>
  <c r="D430" i="5"/>
  <c r="D431" i="5"/>
  <c r="D432" i="5"/>
  <c r="D433" i="5"/>
  <c r="D434" i="5"/>
  <c r="D435" i="5"/>
  <c r="D436" i="5"/>
  <c r="D437" i="5"/>
  <c r="D438" i="5"/>
  <c r="D439" i="5"/>
  <c r="D440" i="5"/>
  <c r="D441" i="5"/>
  <c r="D442" i="5"/>
  <c r="D443" i="5"/>
  <c r="D444" i="5"/>
  <c r="D445" i="5"/>
  <c r="D446" i="5"/>
  <c r="D447" i="5"/>
  <c r="D448" i="5"/>
  <c r="D449" i="5"/>
  <c r="D450" i="5"/>
  <c r="D451" i="5"/>
  <c r="D452" i="5"/>
  <c r="D453" i="5"/>
  <c r="D454" i="5"/>
  <c r="D455" i="5"/>
  <c r="D456" i="5"/>
  <c r="D457" i="5"/>
  <c r="D458" i="5"/>
  <c r="D459" i="5"/>
  <c r="D460" i="5"/>
  <c r="D461" i="5"/>
  <c r="D462" i="5"/>
  <c r="D463" i="5"/>
  <c r="D464" i="5"/>
  <c r="D465" i="5"/>
  <c r="D466" i="5"/>
  <c r="D467" i="5"/>
  <c r="D468" i="5"/>
  <c r="D469" i="5"/>
  <c r="D470" i="5"/>
  <c r="D471" i="5"/>
  <c r="D472" i="5"/>
  <c r="D473" i="5"/>
  <c r="D474" i="5"/>
  <c r="D475" i="5"/>
  <c r="D476" i="5"/>
  <c r="D477" i="5"/>
  <c r="D478" i="5"/>
  <c r="D479" i="5"/>
  <c r="D480" i="5"/>
  <c r="D481" i="5"/>
  <c r="D482" i="5"/>
  <c r="D483" i="5"/>
  <c r="D484" i="5"/>
  <c r="D485" i="5"/>
  <c r="D486" i="5"/>
  <c r="D487" i="5"/>
  <c r="D488" i="5"/>
  <c r="D489" i="5"/>
  <c r="D490" i="5"/>
  <c r="D491" i="5"/>
  <c r="D492" i="5"/>
  <c r="D493" i="5"/>
  <c r="D494" i="5"/>
  <c r="D495" i="5"/>
  <c r="D496" i="5"/>
  <c r="D497" i="5"/>
  <c r="D498" i="5"/>
  <c r="D499" i="5"/>
  <c r="D500" i="5"/>
  <c r="D501" i="5"/>
  <c r="D502" i="5"/>
  <c r="D503" i="5"/>
  <c r="D504" i="5"/>
  <c r="D505" i="5"/>
  <c r="D506" i="5"/>
  <c r="D507" i="5"/>
  <c r="D508" i="5"/>
  <c r="D509" i="5"/>
  <c r="D510" i="5"/>
  <c r="D511" i="5"/>
  <c r="D512" i="5"/>
  <c r="D513" i="5"/>
  <c r="D514" i="5"/>
  <c r="D515" i="5"/>
  <c r="D516" i="5"/>
  <c r="D517" i="5"/>
  <c r="D518" i="5"/>
  <c r="D519" i="5"/>
  <c r="D520" i="5"/>
  <c r="D521" i="5"/>
  <c r="D522" i="5"/>
  <c r="D523" i="5"/>
  <c r="D524" i="5"/>
  <c r="D525" i="5"/>
  <c r="D526" i="5"/>
  <c r="D527" i="5"/>
  <c r="D528" i="5"/>
  <c r="D529" i="5"/>
  <c r="D530" i="5"/>
  <c r="D531" i="5"/>
  <c r="D532" i="5"/>
  <c r="D533" i="5"/>
  <c r="D534" i="5"/>
  <c r="D535" i="5"/>
  <c r="D536" i="5"/>
  <c r="D537" i="5"/>
  <c r="D538" i="5"/>
  <c r="D539" i="5"/>
  <c r="D540" i="5"/>
  <c r="D541" i="5"/>
  <c r="D542" i="5"/>
  <c r="D543" i="5"/>
  <c r="D544" i="5"/>
  <c r="D545" i="5"/>
  <c r="D546" i="5"/>
  <c r="D547" i="5"/>
  <c r="D548" i="5"/>
  <c r="D549" i="5"/>
  <c r="D550" i="5"/>
  <c r="D551" i="5"/>
  <c r="D552" i="5"/>
  <c r="D553" i="5"/>
  <c r="D554" i="5"/>
  <c r="D555" i="5"/>
  <c r="D556" i="5"/>
  <c r="D557" i="5"/>
  <c r="D558" i="5"/>
  <c r="D559" i="5"/>
  <c r="D560" i="5"/>
  <c r="D561" i="5"/>
  <c r="D562" i="5"/>
  <c r="D563" i="5"/>
  <c r="D564" i="5"/>
  <c r="D565" i="5"/>
  <c r="D566" i="5"/>
  <c r="D567" i="5"/>
  <c r="D568" i="5"/>
  <c r="D569" i="5"/>
  <c r="D570" i="5"/>
  <c r="D571" i="5"/>
  <c r="D572" i="5"/>
  <c r="D573" i="5"/>
  <c r="D574" i="5"/>
  <c r="D575" i="5"/>
  <c r="D576" i="5"/>
  <c r="D577" i="5"/>
  <c r="D578" i="5"/>
  <c r="D579" i="5"/>
  <c r="D580" i="5"/>
  <c r="D581" i="5"/>
  <c r="D582" i="5"/>
  <c r="D583" i="5"/>
  <c r="D584" i="5"/>
  <c r="D585" i="5"/>
  <c r="D586" i="5"/>
  <c r="D587" i="5"/>
  <c r="D588" i="5"/>
  <c r="D589" i="5"/>
  <c r="D590" i="5"/>
  <c r="D591" i="5"/>
  <c r="D592" i="5"/>
  <c r="D593" i="5"/>
  <c r="D594" i="5"/>
  <c r="D595" i="5"/>
  <c r="D596" i="5"/>
  <c r="D597" i="5"/>
  <c r="D598" i="5"/>
  <c r="D599" i="5"/>
  <c r="D600" i="5"/>
  <c r="D601" i="5"/>
  <c r="D602" i="5"/>
  <c r="D603" i="5"/>
  <c r="D604" i="5"/>
  <c r="D605" i="5"/>
  <c r="D606" i="5"/>
  <c r="D607" i="5"/>
  <c r="D608" i="5"/>
  <c r="D609" i="5"/>
  <c r="D610" i="5"/>
  <c r="D611" i="5"/>
  <c r="D612" i="5"/>
  <c r="D613" i="5"/>
  <c r="D614" i="5"/>
  <c r="D615" i="5"/>
  <c r="D616" i="5"/>
  <c r="D617" i="5"/>
  <c r="D618" i="5"/>
  <c r="D619" i="5"/>
  <c r="D620" i="5"/>
  <c r="D621" i="5"/>
  <c r="D622" i="5"/>
  <c r="D623" i="5"/>
  <c r="D624" i="5"/>
  <c r="D625" i="5"/>
  <c r="D626" i="5"/>
  <c r="D627" i="5"/>
  <c r="D628" i="5"/>
  <c r="D629" i="5"/>
  <c r="D630" i="5"/>
  <c r="D631" i="5"/>
  <c r="D632" i="5"/>
  <c r="D633" i="5"/>
  <c r="D634" i="5"/>
  <c r="D635" i="5"/>
  <c r="D636" i="5"/>
  <c r="D637" i="5"/>
  <c r="D638" i="5"/>
  <c r="D639" i="5"/>
  <c r="D640" i="5"/>
  <c r="D641" i="5"/>
  <c r="D642" i="5"/>
  <c r="D643" i="5"/>
  <c r="D644" i="5"/>
  <c r="D645" i="5"/>
  <c r="D646" i="5"/>
  <c r="D647" i="5"/>
  <c r="D648" i="5"/>
  <c r="D649" i="5"/>
  <c r="D650" i="5"/>
  <c r="D651" i="5"/>
  <c r="D652" i="5"/>
  <c r="D653" i="5"/>
  <c r="D654" i="5"/>
  <c r="D655" i="5"/>
  <c r="D656" i="5"/>
  <c r="D657" i="5"/>
  <c r="D658" i="5"/>
  <c r="D659" i="5"/>
  <c r="D660" i="5"/>
  <c r="D661" i="5"/>
  <c r="D662" i="5"/>
  <c r="D663" i="5"/>
  <c r="D664" i="5"/>
  <c r="D665" i="5"/>
  <c r="D666" i="5"/>
  <c r="D667" i="5"/>
  <c r="D668" i="5"/>
  <c r="D669" i="5"/>
  <c r="D670" i="5"/>
  <c r="D671" i="5"/>
  <c r="D672" i="5"/>
  <c r="D673" i="5"/>
  <c r="D674" i="5"/>
  <c r="D675" i="5"/>
  <c r="D676" i="5"/>
  <c r="D677" i="5"/>
  <c r="D678" i="5"/>
  <c r="D679" i="5"/>
  <c r="D680" i="5"/>
  <c r="D681" i="5"/>
  <c r="D682" i="5"/>
  <c r="D683" i="5"/>
  <c r="D684" i="5"/>
  <c r="D685" i="5"/>
  <c r="D686" i="5"/>
  <c r="D687" i="5"/>
  <c r="D688" i="5"/>
  <c r="D689" i="5"/>
  <c r="D690" i="5"/>
  <c r="D691" i="5"/>
  <c r="D692" i="5"/>
  <c r="D693" i="5"/>
  <c r="D694" i="5"/>
  <c r="D695" i="5"/>
  <c r="D696" i="5"/>
  <c r="D697" i="5"/>
  <c r="D698" i="5"/>
  <c r="D699" i="5"/>
  <c r="D700" i="5"/>
  <c r="D701" i="5"/>
  <c r="D702" i="5"/>
  <c r="D703" i="5"/>
  <c r="D704" i="5"/>
  <c r="D705" i="5"/>
  <c r="D706" i="5"/>
  <c r="D707" i="5"/>
  <c r="D708" i="5"/>
  <c r="D709" i="5"/>
  <c r="D710" i="5"/>
  <c r="D711" i="5"/>
  <c r="D712" i="5"/>
  <c r="D713" i="5"/>
  <c r="D714" i="5"/>
  <c r="D715" i="5"/>
  <c r="D716" i="5"/>
  <c r="D717" i="5"/>
  <c r="D718" i="5"/>
  <c r="D719" i="5"/>
  <c r="D720" i="5"/>
  <c r="D721" i="5"/>
  <c r="D722" i="5"/>
  <c r="D723" i="5"/>
  <c r="D724" i="5"/>
  <c r="D725" i="5"/>
  <c r="D726" i="5"/>
  <c r="D727" i="5"/>
  <c r="D728" i="5"/>
  <c r="D729" i="5"/>
  <c r="D730" i="5"/>
  <c r="D731" i="5"/>
  <c r="D732" i="5"/>
  <c r="D733" i="5"/>
  <c r="D734" i="5"/>
  <c r="D735" i="5"/>
  <c r="D736" i="5"/>
  <c r="D737" i="5"/>
  <c r="D738" i="5"/>
  <c r="D739" i="5"/>
  <c r="D740" i="5"/>
  <c r="D741" i="5"/>
  <c r="D742" i="5"/>
  <c r="D743" i="5"/>
  <c r="D744" i="5"/>
  <c r="D745" i="5"/>
  <c r="D746" i="5"/>
  <c r="D747" i="5"/>
  <c r="D748" i="5"/>
  <c r="D749" i="5"/>
  <c r="D750" i="5"/>
  <c r="D751" i="5"/>
  <c r="D752" i="5"/>
  <c r="D753" i="5"/>
  <c r="D754" i="5"/>
  <c r="D755" i="5"/>
  <c r="D756" i="5"/>
  <c r="D757" i="5"/>
  <c r="D758" i="5"/>
  <c r="D759" i="5"/>
  <c r="D760" i="5"/>
  <c r="D761" i="5"/>
  <c r="D762" i="5"/>
  <c r="D763" i="5"/>
  <c r="D764" i="5"/>
  <c r="D765" i="5"/>
  <c r="D766" i="5"/>
  <c r="D767" i="5"/>
  <c r="D768" i="5"/>
  <c r="D769" i="5"/>
  <c r="D770" i="5"/>
  <c r="D771" i="5"/>
  <c r="D772" i="5"/>
  <c r="D773" i="5"/>
  <c r="D774" i="5"/>
  <c r="D775" i="5"/>
  <c r="D776" i="5"/>
  <c r="D777" i="5"/>
  <c r="D778" i="5"/>
  <c r="D779" i="5"/>
  <c r="D780" i="5"/>
  <c r="D781" i="5"/>
  <c r="D782" i="5"/>
  <c r="D783" i="5"/>
  <c r="D784" i="5"/>
  <c r="D785" i="5"/>
  <c r="D786" i="5"/>
  <c r="D787" i="5"/>
  <c r="D788" i="5"/>
  <c r="D789" i="5"/>
  <c r="D790" i="5"/>
  <c r="D791" i="5"/>
  <c r="D792" i="5"/>
  <c r="D793" i="5"/>
  <c r="D794" i="5"/>
  <c r="D795" i="5"/>
  <c r="D796" i="5"/>
  <c r="D797" i="5"/>
  <c r="D798" i="5"/>
  <c r="D799" i="5"/>
  <c r="D800" i="5"/>
  <c r="D801" i="5"/>
  <c r="D802" i="5"/>
  <c r="D803" i="5"/>
  <c r="D804" i="5"/>
  <c r="D805" i="5"/>
  <c r="D806" i="5"/>
  <c r="D807" i="5"/>
  <c r="D808" i="5"/>
  <c r="D809" i="5"/>
  <c r="D810" i="5"/>
  <c r="D811" i="5"/>
  <c r="D812" i="5"/>
  <c r="D813" i="5"/>
  <c r="D814" i="5"/>
  <c r="D815" i="5"/>
  <c r="D816" i="5"/>
  <c r="D817" i="5"/>
  <c r="D818" i="5"/>
  <c r="D819" i="5"/>
  <c r="D820" i="5"/>
  <c r="D821" i="5"/>
  <c r="D822" i="5"/>
  <c r="D823" i="5"/>
  <c r="D824" i="5"/>
  <c r="D825" i="5"/>
  <c r="D826" i="5"/>
  <c r="D827" i="5"/>
  <c r="D828" i="5"/>
  <c r="D829" i="5"/>
  <c r="D830" i="5"/>
  <c r="D831" i="5"/>
  <c r="D832" i="5"/>
  <c r="D833" i="5"/>
  <c r="D834" i="5"/>
  <c r="D835" i="5"/>
  <c r="D836" i="5"/>
  <c r="D837" i="5"/>
  <c r="D838" i="5"/>
  <c r="D839" i="5"/>
  <c r="D840" i="5"/>
  <c r="D841" i="5"/>
  <c r="D842" i="5"/>
  <c r="D843" i="5"/>
  <c r="D844" i="5"/>
  <c r="D845" i="5"/>
  <c r="D846" i="5"/>
  <c r="D847" i="5"/>
  <c r="D848" i="5"/>
  <c r="D849" i="5"/>
  <c r="D850" i="5"/>
  <c r="D851" i="5"/>
  <c r="D852" i="5"/>
  <c r="D853" i="5"/>
  <c r="D854" i="5"/>
  <c r="D855" i="5"/>
  <c r="D856" i="5"/>
  <c r="D857" i="5"/>
  <c r="D858" i="5"/>
  <c r="D859" i="5"/>
  <c r="D860" i="5"/>
  <c r="D861" i="5"/>
  <c r="D862" i="5"/>
  <c r="D863" i="5"/>
  <c r="D864" i="5"/>
  <c r="D865" i="5"/>
  <c r="D866" i="5"/>
  <c r="D867" i="5"/>
  <c r="D868" i="5"/>
  <c r="D869" i="5"/>
  <c r="D870" i="5"/>
  <c r="D871" i="5"/>
  <c r="D2" i="5"/>
  <c r="J345" i="5"/>
  <c r="J84" i="5"/>
  <c r="J50" i="5"/>
  <c r="J236" i="5"/>
  <c r="J353" i="5"/>
  <c r="J291" i="5"/>
  <c r="J237" i="5"/>
  <c r="J238" i="5"/>
  <c r="J26" i="5"/>
  <c r="J292" i="5"/>
  <c r="J293" i="5"/>
  <c r="J321" i="5"/>
  <c r="J380" i="5"/>
  <c r="J332" i="5"/>
  <c r="J367" i="5"/>
  <c r="J381" i="5"/>
  <c r="J348" i="5"/>
  <c r="J294" i="5"/>
  <c r="J301" i="5"/>
  <c r="J268" i="5"/>
  <c r="J358" i="5"/>
  <c r="J13" i="5"/>
  <c r="J368" i="5"/>
  <c r="J239" i="5"/>
  <c r="J347" i="5"/>
  <c r="J346" i="5"/>
  <c r="J246" i="5"/>
  <c r="J322" i="5"/>
  <c r="J24" i="5"/>
  <c r="J359" i="5"/>
  <c r="J269" i="5"/>
  <c r="J302" i="5"/>
  <c r="J323" i="5"/>
  <c r="J257" i="5"/>
  <c r="J61" i="5"/>
  <c r="J240" i="5"/>
  <c r="J241" i="5"/>
  <c r="J306" i="5"/>
  <c r="J255" i="5"/>
  <c r="J77" i="5"/>
  <c r="J343" i="5"/>
  <c r="J333" i="5"/>
  <c r="J376" i="5"/>
  <c r="J377" i="5"/>
  <c r="J69" i="5"/>
  <c r="J258" i="5"/>
  <c r="J270" i="5"/>
  <c r="J374" i="5"/>
  <c r="J42" i="5"/>
  <c r="J52" i="5"/>
  <c r="J243" i="5"/>
  <c r="J97" i="5"/>
  <c r="J66" i="5"/>
  <c r="J324" i="5"/>
  <c r="J51" i="5"/>
  <c r="J53" i="5"/>
  <c r="J3" i="5"/>
  <c r="J303" i="5"/>
  <c r="J20" i="5"/>
  <c r="J371" i="5"/>
  <c r="J356" i="5"/>
  <c r="J38" i="5"/>
  <c r="J63" i="5"/>
  <c r="J349" i="5"/>
  <c r="J242" i="5"/>
  <c r="J247" i="5"/>
  <c r="J298" i="5"/>
  <c r="J25" i="5"/>
  <c r="J91" i="5"/>
  <c r="J76" i="5"/>
  <c r="J297" i="5"/>
  <c r="J85" i="5"/>
  <c r="J232" i="5"/>
  <c r="J265" i="5"/>
  <c r="J228" i="5"/>
  <c r="J304" i="5"/>
  <c r="J2" i="5"/>
  <c r="J325" i="5"/>
  <c r="J229" i="5"/>
  <c r="J369" i="5"/>
  <c r="J75" i="5"/>
  <c r="J360" i="5"/>
  <c r="J326" i="5"/>
  <c r="J254" i="5"/>
  <c r="J307" i="5"/>
  <c r="J327" i="5"/>
  <c r="J295" i="5"/>
  <c r="J314" i="5"/>
  <c r="J80" i="5"/>
  <c r="J379" i="5"/>
  <c r="J339" i="5"/>
  <c r="J279" i="5"/>
  <c r="J44" i="5"/>
  <c r="J350" i="5"/>
  <c r="J82" i="5"/>
  <c r="J271" i="5"/>
  <c r="J361" i="5"/>
  <c r="J96" i="5"/>
  <c r="J58" i="5"/>
  <c r="J59" i="5"/>
  <c r="J296" i="5"/>
  <c r="J70" i="5"/>
  <c r="J363" i="5"/>
  <c r="J234" i="5"/>
  <c r="J244" i="5"/>
  <c r="J354" i="5"/>
  <c r="J328" i="5"/>
  <c r="J372" i="5"/>
  <c r="J342" i="5"/>
  <c r="J7" i="5"/>
  <c r="J288" i="5"/>
  <c r="J60" i="5"/>
  <c r="J45" i="5"/>
  <c r="J235" i="5"/>
  <c r="J273" i="5"/>
  <c r="J341" i="5"/>
  <c r="J284" i="5"/>
  <c r="J259" i="5"/>
  <c r="J364" i="5"/>
  <c r="J21" i="5"/>
  <c r="J320" i="5"/>
  <c r="J245" i="5"/>
  <c r="J32" i="5"/>
  <c r="J226" i="5"/>
  <c r="J382" i="5"/>
  <c r="J375" i="5"/>
  <c r="J67" i="5"/>
  <c r="J72" i="5"/>
  <c r="J299" i="5"/>
  <c r="J260" i="5"/>
  <c r="J277" i="5"/>
  <c r="J87" i="5"/>
  <c r="J334" i="5"/>
  <c r="J283" i="5"/>
  <c r="J256" i="5"/>
  <c r="J230" i="5"/>
  <c r="J329" i="5"/>
  <c r="J274" i="5"/>
  <c r="J41" i="5"/>
  <c r="J14" i="5"/>
  <c r="J15" i="5"/>
  <c r="J30" i="5"/>
  <c r="J313" i="5"/>
  <c r="J312" i="5"/>
  <c r="J280" i="5"/>
  <c r="J261" i="5"/>
  <c r="J281" i="5"/>
  <c r="J35" i="5"/>
  <c r="J330" i="5"/>
  <c r="J308" i="5"/>
  <c r="J337" i="5"/>
  <c r="J227" i="5"/>
  <c r="J275" i="5"/>
  <c r="J362" i="5"/>
  <c r="J285" i="5"/>
  <c r="J289" i="5"/>
  <c r="J276" i="5"/>
  <c r="J316" i="5"/>
  <c r="J49" i="5"/>
  <c r="J336" i="5"/>
  <c r="J365" i="5"/>
  <c r="J286" i="5"/>
  <c r="J287" i="5"/>
  <c r="J224" i="5"/>
  <c r="J225" i="5"/>
  <c r="J73" i="5"/>
  <c r="J48" i="5"/>
  <c r="J317" i="5"/>
  <c r="J357" i="5"/>
  <c r="J300" i="5"/>
  <c r="J55" i="5"/>
  <c r="J90" i="5"/>
  <c r="J222" i="5"/>
  <c r="J223" i="5"/>
  <c r="J262" i="5"/>
  <c r="J39" i="5"/>
  <c r="J263" i="5"/>
  <c r="J17" i="5"/>
  <c r="J264" i="5"/>
  <c r="J27" i="5"/>
  <c r="J88" i="5"/>
  <c r="J89" i="5"/>
  <c r="J93" i="5"/>
  <c r="J340" i="5"/>
  <c r="J315" i="5"/>
  <c r="J248" i="5"/>
  <c r="J338" i="5"/>
  <c r="J74" i="5"/>
  <c r="J68" i="5"/>
  <c r="J8" i="5"/>
  <c r="J335" i="5"/>
  <c r="J71" i="5"/>
  <c r="J355" i="5"/>
  <c r="J94" i="5"/>
  <c r="J95" i="5"/>
  <c r="J40" i="5"/>
  <c r="J62" i="5"/>
  <c r="J83" i="5"/>
  <c r="J43" i="5"/>
  <c r="J18" i="5"/>
  <c r="J19" i="5"/>
  <c r="J251" i="5"/>
  <c r="J319" i="5"/>
  <c r="J16" i="5"/>
  <c r="J252" i="5"/>
  <c r="J92" i="5"/>
  <c r="J46" i="5"/>
  <c r="J47" i="5"/>
  <c r="J253" i="5"/>
  <c r="J79" i="5"/>
  <c r="J78" i="5"/>
  <c r="J351" i="5"/>
  <c r="J57" i="5"/>
  <c r="J352" i="5"/>
  <c r="J56" i="5"/>
  <c r="J311" i="5"/>
  <c r="J36" i="5"/>
  <c r="J9" i="5"/>
  <c r="J11" i="5"/>
  <c r="J10" i="5"/>
  <c r="J81" i="5"/>
  <c r="J249" i="5"/>
  <c r="J309" i="5"/>
  <c r="J37" i="5"/>
  <c r="J250" i="5"/>
  <c r="J344" i="5"/>
  <c r="J54" i="5"/>
  <c r="J290" i="5"/>
  <c r="J34" i="5"/>
  <c r="J4" i="5"/>
  <c r="J5" i="5"/>
  <c r="J871" i="5"/>
  <c r="J787" i="5"/>
  <c r="J707" i="5"/>
  <c r="J708" i="5"/>
  <c r="J709" i="5"/>
  <c r="J710" i="5"/>
  <c r="J687" i="5"/>
  <c r="J688" i="5"/>
  <c r="J689" i="5"/>
  <c r="J659" i="5"/>
  <c r="J660" i="5"/>
  <c r="J648" i="5"/>
  <c r="J649" i="5"/>
  <c r="J638" i="5"/>
  <c r="J630" i="5"/>
  <c r="J631" i="5"/>
  <c r="J176" i="5"/>
  <c r="J541" i="5"/>
  <c r="J464" i="5"/>
  <c r="J156" i="5"/>
  <c r="J157" i="5"/>
  <c r="J158" i="5"/>
  <c r="J155" i="5"/>
  <c r="J426" i="5"/>
  <c r="J425" i="5"/>
  <c r="J411" i="5"/>
  <c r="J395" i="5"/>
  <c r="J396" i="5"/>
  <c r="J318" i="5"/>
  <c r="J153" i="5"/>
  <c r="J391" i="5"/>
  <c r="J782" i="5"/>
  <c r="J794" i="5"/>
  <c r="J765" i="5"/>
  <c r="J766" i="5"/>
  <c r="J716" i="5"/>
  <c r="J732" i="5"/>
  <c r="J742" i="5"/>
  <c r="J726" i="5"/>
  <c r="J676" i="5"/>
  <c r="J699" i="5"/>
  <c r="J700" i="5"/>
  <c r="J212" i="5"/>
  <c r="J213" i="5"/>
  <c r="J632" i="5"/>
  <c r="J513" i="5"/>
  <c r="J542" i="5"/>
  <c r="J544" i="5"/>
  <c r="J543" i="5"/>
  <c r="J579" i="5"/>
  <c r="J177" i="5"/>
  <c r="J445" i="5"/>
  <c r="J427" i="5"/>
  <c r="J139" i="5"/>
  <c r="J412" i="5"/>
  <c r="J140" i="5"/>
  <c r="J116" i="5"/>
  <c r="J117" i="5"/>
  <c r="J118" i="5"/>
  <c r="J119" i="5"/>
  <c r="J120" i="5"/>
  <c r="J121" i="5"/>
  <c r="J101" i="5"/>
  <c r="J102" i="5"/>
  <c r="J103" i="5"/>
  <c r="J366" i="5"/>
  <c r="J855" i="5"/>
  <c r="J856" i="5"/>
  <c r="J857" i="5"/>
  <c r="J854" i="5"/>
  <c r="J864" i="5"/>
  <c r="J845" i="5"/>
  <c r="J850" i="5"/>
  <c r="J846" i="5"/>
  <c r="J851" i="5"/>
  <c r="J868" i="5"/>
  <c r="J860" i="5"/>
  <c r="J863" i="5"/>
  <c r="J867" i="5"/>
  <c r="J861" i="5"/>
  <c r="J862" i="5"/>
  <c r="J859" i="5"/>
  <c r="J853" i="5"/>
  <c r="J848" i="5"/>
  <c r="J849" i="5"/>
  <c r="J837" i="5"/>
  <c r="J838" i="5"/>
  <c r="J834" i="5"/>
  <c r="J835" i="5"/>
  <c r="J836" i="5"/>
  <c r="J819" i="5"/>
  <c r="J820" i="5"/>
  <c r="J821" i="5"/>
  <c r="J822" i="5"/>
  <c r="J810" i="5"/>
  <c r="J811" i="5"/>
  <c r="J812" i="5"/>
  <c r="J813" i="5"/>
  <c r="J805" i="5"/>
  <c r="J803" i="5"/>
  <c r="J806" i="5"/>
  <c r="J800" i="5"/>
  <c r="J801" i="5"/>
  <c r="J799" i="5"/>
  <c r="J789" i="5"/>
  <c r="J780" i="5"/>
  <c r="J793" i="5"/>
  <c r="J791" i="5"/>
  <c r="J790" i="5"/>
  <c r="J758" i="5"/>
  <c r="J763" i="5"/>
  <c r="J792" i="5"/>
  <c r="J781" i="5"/>
  <c r="J776" i="5"/>
  <c r="J777" i="5"/>
  <c r="J764" i="5"/>
  <c r="J774" i="5"/>
  <c r="J778" i="5"/>
  <c r="J779" i="5"/>
  <c r="J759" i="5"/>
  <c r="J756" i="5"/>
  <c r="J760" i="5"/>
  <c r="J775" i="5"/>
  <c r="J761" i="5"/>
  <c r="J754" i="5"/>
  <c r="J757" i="5"/>
  <c r="J755" i="5"/>
  <c r="J748" i="5"/>
  <c r="J762" i="5"/>
  <c r="J747" i="5"/>
  <c r="J866" i="5"/>
  <c r="J865" i="5"/>
  <c r="J852" i="5"/>
  <c r="J220" i="5"/>
  <c r="J841" i="5"/>
  <c r="J840" i="5"/>
  <c r="J798" i="5"/>
  <c r="J785" i="5"/>
  <c r="J784" i="5"/>
  <c r="J786" i="5"/>
  <c r="J770" i="5"/>
  <c r="J771" i="5"/>
  <c r="J731" i="5"/>
  <c r="J715" i="5"/>
  <c r="J668" i="5"/>
  <c r="J669" i="5"/>
  <c r="J654" i="5"/>
  <c r="J655" i="5"/>
  <c r="J589" i="5"/>
  <c r="J385" i="5"/>
  <c r="J858" i="5"/>
  <c r="J842" i="5"/>
  <c r="J830" i="5"/>
  <c r="J832" i="5"/>
  <c r="J833" i="5"/>
  <c r="J831" i="5"/>
  <c r="J817" i="5"/>
  <c r="J809" i="5"/>
  <c r="J804" i="5"/>
  <c r="J773" i="5"/>
  <c r="J753" i="5"/>
  <c r="J744" i="5"/>
  <c r="J743" i="5"/>
  <c r="J745" i="5"/>
  <c r="J734" i="5"/>
  <c r="J733" i="5"/>
  <c r="J735" i="5"/>
  <c r="J717" i="5"/>
  <c r="J718" i="5"/>
  <c r="J701" i="5"/>
  <c r="J679" i="5"/>
  <c r="J681" i="5"/>
  <c r="J680" i="5"/>
  <c r="J218" i="5"/>
  <c r="J656" i="5"/>
  <c r="J657" i="5"/>
  <c r="J211" i="5"/>
  <c r="J646" i="5"/>
  <c r="J195" i="5"/>
  <c r="J621" i="5"/>
  <c r="J625" i="5"/>
  <c r="J623" i="5"/>
  <c r="J622" i="5"/>
  <c r="J624" i="5"/>
  <c r="J514" i="5"/>
  <c r="J515" i="5"/>
  <c r="J516" i="5"/>
  <c r="J591" i="5"/>
  <c r="J592" i="5"/>
  <c r="J597" i="5"/>
  <c r="J593" i="5"/>
  <c r="J594" i="5"/>
  <c r="J595" i="5"/>
  <c r="J596" i="5"/>
  <c r="J530" i="5"/>
  <c r="J179" i="5"/>
  <c r="J517" i="5"/>
  <c r="J518" i="5"/>
  <c r="J531" i="5"/>
  <c r="J519" i="5"/>
  <c r="J532" i="5"/>
  <c r="J520" i="5"/>
  <c r="J521" i="5"/>
  <c r="J465" i="5"/>
  <c r="J522" i="5"/>
  <c r="J533" i="5"/>
  <c r="J534" i="5"/>
  <c r="J523" i="5"/>
  <c r="J524" i="5"/>
  <c r="J525" i="5"/>
  <c r="J526" i="5"/>
  <c r="J535" i="5"/>
  <c r="J527" i="5"/>
  <c r="J528" i="5"/>
  <c r="J529" i="5"/>
  <c r="J175" i="5"/>
  <c r="J466" i="5"/>
  <c r="J477" i="5"/>
  <c r="J467" i="5"/>
  <c r="J468" i="5"/>
  <c r="J469" i="5"/>
  <c r="J481" i="5"/>
  <c r="J470" i="5"/>
  <c r="J471" i="5"/>
  <c r="J472" i="5"/>
  <c r="J473" i="5"/>
  <c r="J474" i="5"/>
  <c r="J478" i="5"/>
  <c r="J479" i="5"/>
  <c r="J475" i="5"/>
  <c r="J476" i="5"/>
  <c r="J480" i="5"/>
  <c r="J446" i="5"/>
  <c r="J152" i="5"/>
  <c r="J148" i="5"/>
  <c r="J149" i="5"/>
  <c r="J150" i="5"/>
  <c r="J151" i="5"/>
  <c r="J447" i="5"/>
  <c r="J448" i="5"/>
  <c r="J413" i="5"/>
  <c r="J449" i="5"/>
  <c r="J450" i="5"/>
  <c r="J419" i="5"/>
  <c r="J414" i="5"/>
  <c r="J415" i="5"/>
  <c r="J416" i="5"/>
  <c r="J417" i="5"/>
  <c r="J418" i="5"/>
  <c r="J386" i="5"/>
  <c r="J387" i="5"/>
  <c r="J388" i="5"/>
  <c r="J390" i="5"/>
  <c r="J389" i="5"/>
  <c r="J98" i="5"/>
  <c r="J99" i="5"/>
  <c r="J370" i="5"/>
  <c r="J847" i="5"/>
  <c r="J843" i="5"/>
  <c r="J844" i="5"/>
  <c r="J829" i="5"/>
  <c r="J827" i="5"/>
  <c r="J828" i="5"/>
  <c r="J823" i="5"/>
  <c r="J824" i="5"/>
  <c r="J825" i="5"/>
  <c r="J814" i="5"/>
  <c r="J815" i="5"/>
  <c r="J816" i="5"/>
  <c r="J807" i="5"/>
  <c r="J796" i="5"/>
  <c r="J772" i="5"/>
  <c r="J797" i="5"/>
  <c r="J783" i="5"/>
  <c r="J769" i="5"/>
  <c r="J752" i="5"/>
  <c r="J741" i="5"/>
  <c r="J750" i="5"/>
  <c r="J736" i="5"/>
  <c r="J739" i="5"/>
  <c r="J740" i="5"/>
  <c r="J737" i="5"/>
  <c r="J727" i="5"/>
  <c r="J728" i="5"/>
  <c r="J713" i="5"/>
  <c r="J691" i="5"/>
  <c r="J678" i="5"/>
  <c r="J698" i="5"/>
  <c r="J690" i="5"/>
  <c r="J677" i="5"/>
  <c r="J214" i="5"/>
  <c r="J662" i="5"/>
  <c r="J215" i="5"/>
  <c r="J663" i="5"/>
  <c r="J667" i="5"/>
  <c r="J664" i="5"/>
  <c r="J196" i="5"/>
  <c r="J197" i="5"/>
  <c r="J216" i="5"/>
  <c r="J661" i="5"/>
  <c r="J198" i="5"/>
  <c r="J199" i="5"/>
  <c r="J200" i="5"/>
  <c r="J650" i="5"/>
  <c r="J653" i="5"/>
  <c r="J201" i="5"/>
  <c r="J193" i="5"/>
  <c r="J208" i="5"/>
  <c r="J202" i="5"/>
  <c r="J203" i="5"/>
  <c r="J209" i="5"/>
  <c r="J210" i="5"/>
  <c r="J639" i="5"/>
  <c r="J645" i="5"/>
  <c r="J191" i="5"/>
  <c r="J642" i="5"/>
  <c r="J192" i="5"/>
  <c r="J640" i="5"/>
  <c r="J641" i="5"/>
  <c r="J184" i="5"/>
  <c r="J601" i="5"/>
  <c r="J183" i="5"/>
  <c r="J620" i="5"/>
  <c r="J633" i="5"/>
  <c r="J635" i="5"/>
  <c r="J512" i="5"/>
  <c r="J572" i="5"/>
  <c r="J189" i="5"/>
  <c r="J626" i="5"/>
  <c r="J619" i="5"/>
  <c r="J185" i="5"/>
  <c r="J546" i="5"/>
  <c r="J602" i="5"/>
  <c r="J580" i="5"/>
  <c r="J547" i="5"/>
  <c r="J603" i="5"/>
  <c r="J604" i="5"/>
  <c r="J617" i="5"/>
  <c r="J605" i="5"/>
  <c r="J618" i="5"/>
  <c r="J606" i="5"/>
  <c r="J607" i="5"/>
  <c r="J608" i="5"/>
  <c r="J609" i="5"/>
  <c r="J610" i="5"/>
  <c r="J611" i="5"/>
  <c r="J587" i="5"/>
  <c r="J548" i="5"/>
  <c r="J549" i="5"/>
  <c r="J550" i="5"/>
  <c r="J551" i="5"/>
  <c r="J181" i="5"/>
  <c r="J552" i="5"/>
  <c r="J553" i="5"/>
  <c r="J554" i="5"/>
  <c r="J581" i="5"/>
  <c r="J555" i="5"/>
  <c r="J556" i="5"/>
  <c r="J557" i="5"/>
  <c r="J558" i="5"/>
  <c r="J582" i="5"/>
  <c r="J559" i="5"/>
  <c r="J583" i="5"/>
  <c r="J560" i="5"/>
  <c r="J561" i="5"/>
  <c r="J562" i="5"/>
  <c r="J563" i="5"/>
  <c r="J564" i="5"/>
  <c r="J565" i="5"/>
  <c r="J566" i="5"/>
  <c r="J567" i="5"/>
  <c r="J568" i="5"/>
  <c r="J569" i="5"/>
  <c r="J570" i="5"/>
  <c r="J584" i="5"/>
  <c r="J545" i="5"/>
  <c r="J585" i="5"/>
  <c r="J571" i="5"/>
  <c r="J586" i="5"/>
  <c r="J178" i="5"/>
  <c r="J174" i="5"/>
  <c r="J588" i="5"/>
  <c r="J484" i="5"/>
  <c r="J507" i="5"/>
  <c r="J508" i="5"/>
  <c r="J485" i="5"/>
  <c r="J486" i="5"/>
  <c r="J500" i="5"/>
  <c r="J487" i="5"/>
  <c r="J509" i="5"/>
  <c r="J488" i="5"/>
  <c r="J489" i="5"/>
  <c r="J490" i="5"/>
  <c r="J491" i="5"/>
  <c r="J492" i="5"/>
  <c r="J160" i="5"/>
  <c r="J510" i="5"/>
  <c r="J493" i="5"/>
  <c r="J494" i="5"/>
  <c r="J495" i="5"/>
  <c r="J496" i="5"/>
  <c r="J497" i="5"/>
  <c r="J511" i="5"/>
  <c r="J498" i="5"/>
  <c r="J499" i="5"/>
  <c r="J163" i="5"/>
  <c r="J483" i="5"/>
  <c r="J161" i="5"/>
  <c r="J460" i="5"/>
  <c r="J169" i="5"/>
  <c r="J159" i="5"/>
  <c r="J164" i="5"/>
  <c r="J165" i="5"/>
  <c r="J146" i="5"/>
  <c r="J166" i="5"/>
  <c r="J167" i="5"/>
  <c r="J147" i="5"/>
  <c r="J305" i="5"/>
  <c r="J6" i="5"/>
  <c r="J231" i="5"/>
  <c r="J233" i="5"/>
  <c r="J818" i="5"/>
  <c r="J788" i="5"/>
  <c r="J746" i="5"/>
  <c r="J702" i="5"/>
  <c r="J703" i="5"/>
  <c r="J682" i="5"/>
  <c r="J683" i="5"/>
  <c r="J658" i="5"/>
  <c r="J190" i="5"/>
  <c r="J636" i="5"/>
  <c r="J627" i="5"/>
  <c r="J392" i="5"/>
  <c r="J393" i="5"/>
  <c r="J310" i="5"/>
  <c r="J869" i="5"/>
  <c r="J870" i="5"/>
  <c r="J221" i="5"/>
  <c r="J219" i="5"/>
  <c r="J839" i="5"/>
  <c r="J826" i="5"/>
  <c r="J808" i="5"/>
  <c r="J802" i="5"/>
  <c r="J795" i="5"/>
  <c r="J768" i="5"/>
  <c r="J767" i="5"/>
  <c r="J751" i="5"/>
  <c r="J738" i="5"/>
  <c r="J730" i="5"/>
  <c r="J729" i="5"/>
  <c r="J714" i="5"/>
  <c r="J696" i="5"/>
  <c r="J692" i="5"/>
  <c r="J694" i="5"/>
  <c r="J693" i="5"/>
  <c r="J695" i="5"/>
  <c r="J697" i="5"/>
  <c r="J217" i="5"/>
  <c r="J204" i="5"/>
  <c r="J666" i="5"/>
  <c r="J665" i="5"/>
  <c r="J205" i="5"/>
  <c r="J651" i="5"/>
  <c r="J206" i="5"/>
  <c r="J652" i="5"/>
  <c r="J207" i="5"/>
  <c r="J643" i="5"/>
  <c r="J644" i="5"/>
  <c r="J194" i="5"/>
  <c r="J186" i="5"/>
  <c r="J578" i="5"/>
  <c r="J187" i="5"/>
  <c r="J634" i="5"/>
  <c r="J188" i="5"/>
  <c r="J574" i="5"/>
  <c r="J612" i="5"/>
  <c r="J613" i="5"/>
  <c r="J614" i="5"/>
  <c r="J615" i="5"/>
  <c r="J616" i="5"/>
  <c r="J575" i="5"/>
  <c r="J182" i="5"/>
  <c r="J576" i="5"/>
  <c r="J577" i="5"/>
  <c r="J573" i="5"/>
  <c r="J502" i="5"/>
  <c r="J503" i="5"/>
  <c r="J504" i="5"/>
  <c r="J505" i="5"/>
  <c r="J171" i="5"/>
  <c r="J170" i="5"/>
  <c r="J173" i="5"/>
  <c r="J172" i="5"/>
  <c r="J506" i="5"/>
  <c r="J145" i="5"/>
  <c r="J457" i="5"/>
  <c r="J458" i="5"/>
  <c r="J501" i="5"/>
  <c r="J168" i="5"/>
  <c r="J162" i="5"/>
  <c r="J143" i="5"/>
  <c r="J453" i="5"/>
  <c r="J454" i="5"/>
  <c r="J461" i="5"/>
  <c r="J452" i="5"/>
  <c r="J455" i="5"/>
  <c r="J456" i="5"/>
  <c r="J462" i="5"/>
  <c r="J463" i="5"/>
  <c r="J437" i="5"/>
  <c r="J141" i="5"/>
  <c r="J142" i="5"/>
  <c r="J410" i="5"/>
  <c r="J441" i="5"/>
  <c r="J442" i="5"/>
  <c r="J432" i="5"/>
  <c r="J433" i="5"/>
  <c r="J443" i="5"/>
  <c r="J434" i="5"/>
  <c r="J444" i="5"/>
  <c r="J435" i="5"/>
  <c r="J420" i="5"/>
  <c r="J123" i="5"/>
  <c r="J429" i="5"/>
  <c r="J436" i="5"/>
  <c r="J127" i="5"/>
  <c r="J132" i="5"/>
  <c r="J430" i="5"/>
  <c r="J431" i="5"/>
  <c r="J122" i="5"/>
  <c r="J133" i="5"/>
  <c r="J400" i="5"/>
  <c r="J428" i="5"/>
  <c r="J124" i="5"/>
  <c r="J126" i="5"/>
  <c r="J125" i="5"/>
  <c r="J399" i="5"/>
  <c r="J401" i="5"/>
  <c r="J402" i="5"/>
  <c r="J409" i="5"/>
  <c r="J397" i="5"/>
  <c r="J104" i="5"/>
  <c r="J384" i="5"/>
  <c r="J403" i="5"/>
  <c r="J110" i="5"/>
  <c r="J105" i="5"/>
  <c r="J111" i="5"/>
  <c r="J106" i="5"/>
  <c r="J373" i="5"/>
  <c r="J398" i="5"/>
  <c r="J383" i="5"/>
  <c r="J86" i="5"/>
  <c r="J64" i="5"/>
  <c r="J65" i="5"/>
  <c r="J331" i="5"/>
  <c r="J266" i="5"/>
  <c r="J22" i="5"/>
  <c r="J28" i="5"/>
  <c r="J282" i="5"/>
  <c r="J267" i="5"/>
  <c r="J272" i="5"/>
  <c r="J23" i="5"/>
  <c r="J144" i="5"/>
  <c r="J459" i="5"/>
  <c r="J440" i="5"/>
  <c r="J439" i="5"/>
  <c r="J128" i="5"/>
  <c r="J130" i="5"/>
  <c r="J438" i="5"/>
  <c r="J129" i="5"/>
  <c r="J131" i="5"/>
  <c r="J405" i="5"/>
  <c r="J404" i="5"/>
  <c r="J407" i="5"/>
  <c r="J107" i="5"/>
  <c r="J108" i="5"/>
  <c r="J408" i="5"/>
  <c r="J378" i="5"/>
  <c r="J406" i="5"/>
  <c r="J109" i="5"/>
  <c r="J29" i="5"/>
  <c r="J31" i="5"/>
  <c r="J278" i="5"/>
  <c r="J749" i="5"/>
  <c r="J719" i="5"/>
  <c r="J720" i="5"/>
  <c r="J725" i="5"/>
  <c r="J721" i="5"/>
  <c r="J722" i="5"/>
  <c r="J723" i="5"/>
  <c r="J724" i="5"/>
  <c r="J704" i="5"/>
  <c r="J705" i="5"/>
  <c r="J712" i="5"/>
  <c r="J711" i="5"/>
  <c r="J706" i="5"/>
  <c r="J684" i="5"/>
  <c r="J685" i="5"/>
  <c r="J670" i="5"/>
  <c r="J686" i="5"/>
  <c r="J672" i="5"/>
  <c r="J673" i="5"/>
  <c r="J674" i="5"/>
  <c r="J675" i="5"/>
  <c r="J671" i="5"/>
  <c r="J647" i="5"/>
  <c r="J637" i="5"/>
  <c r="J629" i="5"/>
  <c r="J599" i="5"/>
  <c r="J628" i="5"/>
  <c r="J536" i="5"/>
  <c r="J538" i="5"/>
  <c r="J537" i="5"/>
  <c r="J180" i="5"/>
  <c r="J600" i="5"/>
  <c r="J598" i="5"/>
  <c r="J590" i="5"/>
  <c r="J539" i="5"/>
  <c r="J540" i="5"/>
  <c r="J482" i="5"/>
  <c r="J154" i="5"/>
  <c r="J421" i="5"/>
  <c r="J137" i="5"/>
  <c r="J135" i="5"/>
  <c r="J134" i="5"/>
  <c r="J451" i="5"/>
  <c r="J394" i="5"/>
  <c r="J138" i="5"/>
  <c r="J136" i="5"/>
  <c r="J112" i="5"/>
  <c r="J113" i="5"/>
  <c r="J115" i="5"/>
  <c r="J114" i="5"/>
  <c r="J422" i="5"/>
  <c r="J423" i="5"/>
  <c r="J424" i="5"/>
  <c r="J100" i="5"/>
  <c r="J12" i="5"/>
  <c r="J33" i="5"/>
  <c r="O345" i="5"/>
  <c r="O84" i="5"/>
  <c r="O50" i="5"/>
  <c r="O236" i="5"/>
  <c r="O353" i="5"/>
  <c r="O291" i="5"/>
  <c r="O237" i="5"/>
  <c r="O238" i="5"/>
  <c r="O26" i="5"/>
  <c r="O292" i="5"/>
  <c r="O293" i="5"/>
  <c r="O321" i="5"/>
  <c r="O380" i="5"/>
  <c r="O332" i="5"/>
  <c r="O367" i="5"/>
  <c r="O381" i="5"/>
  <c r="O348" i="5"/>
  <c r="O294" i="5"/>
  <c r="O301" i="5"/>
  <c r="O268" i="5"/>
  <c r="O358" i="5"/>
  <c r="O13" i="5"/>
  <c r="O368" i="5"/>
  <c r="O239" i="5"/>
  <c r="O347" i="5"/>
  <c r="O346" i="5"/>
  <c r="O246" i="5"/>
  <c r="O322" i="5"/>
  <c r="O24" i="5"/>
  <c r="O359" i="5"/>
  <c r="O269" i="5"/>
  <c r="O302" i="5"/>
  <c r="O323" i="5"/>
  <c r="O257" i="5"/>
  <c r="O61" i="5"/>
  <c r="O240" i="5"/>
  <c r="O241" i="5"/>
  <c r="O306" i="5"/>
  <c r="O255" i="5"/>
  <c r="O77" i="5"/>
  <c r="O343" i="5"/>
  <c r="O333" i="5"/>
  <c r="O376" i="5"/>
  <c r="O377" i="5"/>
  <c r="O69" i="5"/>
  <c r="O258" i="5"/>
  <c r="O270" i="5"/>
  <c r="O374" i="5"/>
  <c r="O42" i="5"/>
  <c r="O52" i="5"/>
  <c r="O243" i="5"/>
  <c r="O97" i="5"/>
  <c r="O66" i="5"/>
  <c r="O324" i="5"/>
  <c r="O51" i="5"/>
  <c r="O53" i="5"/>
  <c r="O3" i="5"/>
  <c r="O303" i="5"/>
  <c r="O20" i="5"/>
  <c r="O371" i="5"/>
  <c r="O356" i="5"/>
  <c r="O38" i="5"/>
  <c r="O63" i="5"/>
  <c r="O349" i="5"/>
  <c r="O242" i="5"/>
  <c r="O247" i="5"/>
  <c r="O298" i="5"/>
  <c r="O25" i="5"/>
  <c r="O91" i="5"/>
  <c r="O76" i="5"/>
  <c r="O297" i="5"/>
  <c r="O85" i="5"/>
  <c r="O232" i="5"/>
  <c r="O265" i="5"/>
  <c r="O228" i="5"/>
  <c r="O304" i="5"/>
  <c r="O2" i="5"/>
  <c r="O325" i="5"/>
  <c r="O229" i="5"/>
  <c r="O369" i="5"/>
  <c r="O75" i="5"/>
  <c r="O360" i="5"/>
  <c r="O326" i="5"/>
  <c r="O254" i="5"/>
  <c r="O307" i="5"/>
  <c r="O327" i="5"/>
  <c r="O295" i="5"/>
  <c r="O314" i="5"/>
  <c r="O80" i="5"/>
  <c r="O379" i="5"/>
  <c r="O339" i="5"/>
  <c r="O279" i="5"/>
  <c r="O44" i="5"/>
  <c r="O350" i="5"/>
  <c r="O82" i="5"/>
  <c r="O271" i="5"/>
  <c r="O361" i="5"/>
  <c r="O96" i="5"/>
  <c r="O58" i="5"/>
  <c r="O59" i="5"/>
  <c r="O296" i="5"/>
  <c r="O70" i="5"/>
  <c r="O363" i="5"/>
  <c r="O234" i="5"/>
  <c r="O244" i="5"/>
  <c r="O354" i="5"/>
  <c r="O328" i="5"/>
  <c r="O372" i="5"/>
  <c r="O342" i="5"/>
  <c r="O7" i="5"/>
  <c r="O288" i="5"/>
  <c r="O60" i="5"/>
  <c r="O45" i="5"/>
  <c r="O235" i="5"/>
  <c r="O273" i="5"/>
  <c r="O341" i="5"/>
  <c r="O284" i="5"/>
  <c r="O259" i="5"/>
  <c r="O364" i="5"/>
  <c r="O21" i="5"/>
  <c r="O320" i="5"/>
  <c r="O245" i="5"/>
  <c r="O32" i="5"/>
  <c r="O226" i="5"/>
  <c r="O382" i="5"/>
  <c r="O375" i="5"/>
  <c r="O67" i="5"/>
  <c r="O72" i="5"/>
  <c r="O299" i="5"/>
  <c r="O260" i="5"/>
  <c r="O277" i="5"/>
  <c r="O87" i="5"/>
  <c r="O334" i="5"/>
  <c r="O283" i="5"/>
  <c r="O256" i="5"/>
  <c r="O230" i="5"/>
  <c r="O329" i="5"/>
  <c r="O274" i="5"/>
  <c r="O41" i="5"/>
  <c r="O14" i="5"/>
  <c r="O15" i="5"/>
  <c r="O30" i="5"/>
  <c r="O313" i="5"/>
  <c r="O312" i="5"/>
  <c r="O280" i="5"/>
  <c r="O261" i="5"/>
  <c r="O281" i="5"/>
  <c r="O35" i="5"/>
  <c r="O330" i="5"/>
  <c r="O308" i="5"/>
  <c r="O337" i="5"/>
  <c r="O227" i="5"/>
  <c r="O275" i="5"/>
  <c r="O362" i="5"/>
  <c r="O285" i="5"/>
  <c r="O289" i="5"/>
  <c r="O276" i="5"/>
  <c r="O316" i="5"/>
  <c r="O49" i="5"/>
  <c r="O336" i="5"/>
  <c r="O365" i="5"/>
  <c r="O286" i="5"/>
  <c r="O287" i="5"/>
  <c r="O224" i="5"/>
  <c r="O225" i="5"/>
  <c r="O73" i="5"/>
  <c r="O48" i="5"/>
  <c r="O317" i="5"/>
  <c r="O357" i="5"/>
  <c r="O300" i="5"/>
  <c r="O55" i="5"/>
  <c r="O90" i="5"/>
  <c r="O222" i="5"/>
  <c r="O223" i="5"/>
  <c r="O262" i="5"/>
  <c r="O39" i="5"/>
  <c r="O263" i="5"/>
  <c r="O17" i="5"/>
  <c r="O264" i="5"/>
  <c r="O27" i="5"/>
  <c r="O88" i="5"/>
  <c r="O89" i="5"/>
  <c r="O93" i="5"/>
  <c r="O340" i="5"/>
  <c r="O315" i="5"/>
  <c r="O248" i="5"/>
  <c r="O338" i="5"/>
  <c r="O74" i="5"/>
  <c r="O68" i="5"/>
  <c r="O8" i="5"/>
  <c r="O335" i="5"/>
  <c r="O71" i="5"/>
  <c r="O355" i="5"/>
  <c r="O94" i="5"/>
  <c r="O95" i="5"/>
  <c r="O40" i="5"/>
  <c r="O62" i="5"/>
  <c r="O83" i="5"/>
  <c r="O43" i="5"/>
  <c r="O18" i="5"/>
  <c r="O19" i="5"/>
  <c r="O251" i="5"/>
  <c r="O319" i="5"/>
  <c r="O16" i="5"/>
  <c r="O252" i="5"/>
  <c r="O92" i="5"/>
  <c r="O46" i="5"/>
  <c r="O47" i="5"/>
  <c r="O253" i="5"/>
  <c r="O79" i="5"/>
  <c r="O78" i="5"/>
  <c r="O351" i="5"/>
  <c r="O57" i="5"/>
  <c r="O352" i="5"/>
  <c r="O56" i="5"/>
  <c r="O311" i="5"/>
  <c r="O36" i="5"/>
  <c r="O9" i="5"/>
  <c r="O11" i="5"/>
  <c r="O10" i="5"/>
  <c r="O81" i="5"/>
  <c r="O249" i="5"/>
  <c r="O309" i="5"/>
  <c r="O37" i="5"/>
  <c r="O250" i="5"/>
  <c r="O344" i="5"/>
  <c r="O54" i="5"/>
  <c r="O290" i="5"/>
  <c r="O34" i="5"/>
  <c r="O4" i="5"/>
  <c r="O5" i="5"/>
  <c r="O871" i="5"/>
  <c r="O787" i="5"/>
  <c r="O707" i="5"/>
  <c r="O708" i="5"/>
  <c r="O709" i="5"/>
  <c r="O710" i="5"/>
  <c r="O687" i="5"/>
  <c r="O688" i="5"/>
  <c r="O689" i="5"/>
  <c r="O659" i="5"/>
  <c r="O660" i="5"/>
  <c r="O648" i="5"/>
  <c r="O649" i="5"/>
  <c r="O638" i="5"/>
  <c r="O630" i="5"/>
  <c r="O631" i="5"/>
  <c r="O176" i="5"/>
  <c r="O541" i="5"/>
  <c r="O464" i="5"/>
  <c r="O156" i="5"/>
  <c r="O157" i="5"/>
  <c r="O158" i="5"/>
  <c r="O155" i="5"/>
  <c r="O426" i="5"/>
  <c r="O425" i="5"/>
  <c r="O411" i="5"/>
  <c r="O395" i="5"/>
  <c r="O396" i="5"/>
  <c r="O318" i="5"/>
  <c r="O153" i="5"/>
  <c r="O391" i="5"/>
  <c r="O782" i="5"/>
  <c r="O794" i="5"/>
  <c r="O765" i="5"/>
  <c r="O766" i="5"/>
  <c r="O716" i="5"/>
  <c r="O732" i="5"/>
  <c r="O742" i="5"/>
  <c r="O726" i="5"/>
  <c r="O676" i="5"/>
  <c r="O699" i="5"/>
  <c r="O700" i="5"/>
  <c r="O212" i="5"/>
  <c r="O213" i="5"/>
  <c r="O632" i="5"/>
  <c r="O513" i="5"/>
  <c r="O542" i="5"/>
  <c r="O544" i="5"/>
  <c r="O543" i="5"/>
  <c r="O579" i="5"/>
  <c r="O177" i="5"/>
  <c r="O445" i="5"/>
  <c r="O427" i="5"/>
  <c r="O139" i="5"/>
  <c r="O412" i="5"/>
  <c r="O140" i="5"/>
  <c r="O116" i="5"/>
  <c r="O117" i="5"/>
  <c r="O118" i="5"/>
  <c r="O119" i="5"/>
  <c r="O120" i="5"/>
  <c r="O121" i="5"/>
  <c r="O101" i="5"/>
  <c r="O102" i="5"/>
  <c r="O103" i="5"/>
  <c r="O366" i="5"/>
  <c r="O855" i="5"/>
  <c r="O856" i="5"/>
  <c r="O857" i="5"/>
  <c r="O854" i="5"/>
  <c r="O864" i="5"/>
  <c r="O845" i="5"/>
  <c r="O850" i="5"/>
  <c r="O846" i="5"/>
  <c r="O851" i="5"/>
  <c r="O868" i="5"/>
  <c r="O860" i="5"/>
  <c r="O863" i="5"/>
  <c r="O867" i="5"/>
  <c r="O861" i="5"/>
  <c r="O862" i="5"/>
  <c r="O859" i="5"/>
  <c r="O853" i="5"/>
  <c r="O848" i="5"/>
  <c r="O849" i="5"/>
  <c r="O837" i="5"/>
  <c r="O838" i="5"/>
  <c r="O834" i="5"/>
  <c r="O835" i="5"/>
  <c r="O836" i="5"/>
  <c r="O819" i="5"/>
  <c r="O820" i="5"/>
  <c r="O821" i="5"/>
  <c r="O822" i="5"/>
  <c r="O810" i="5"/>
  <c r="O811" i="5"/>
  <c r="O812" i="5"/>
  <c r="O813" i="5"/>
  <c r="O805" i="5"/>
  <c r="O803" i="5"/>
  <c r="O806" i="5"/>
  <c r="O800" i="5"/>
  <c r="O801" i="5"/>
  <c r="O799" i="5"/>
  <c r="O789" i="5"/>
  <c r="O780" i="5"/>
  <c r="O793" i="5"/>
  <c r="O791" i="5"/>
  <c r="O790" i="5"/>
  <c r="O758" i="5"/>
  <c r="O763" i="5"/>
  <c r="O792" i="5"/>
  <c r="O781" i="5"/>
  <c r="O776" i="5"/>
  <c r="O777" i="5"/>
  <c r="O764" i="5"/>
  <c r="O774" i="5"/>
  <c r="O778" i="5"/>
  <c r="O779" i="5"/>
  <c r="O759" i="5"/>
  <c r="O756" i="5"/>
  <c r="O760" i="5"/>
  <c r="O775" i="5"/>
  <c r="O761" i="5"/>
  <c r="O754" i="5"/>
  <c r="O757" i="5"/>
  <c r="O755" i="5"/>
  <c r="O748" i="5"/>
  <c r="O762" i="5"/>
  <c r="O747" i="5"/>
  <c r="O866" i="5"/>
  <c r="O865" i="5"/>
  <c r="O852" i="5"/>
  <c r="O220" i="5"/>
  <c r="O841" i="5"/>
  <c r="O840" i="5"/>
  <c r="O798" i="5"/>
  <c r="O785" i="5"/>
  <c r="O784" i="5"/>
  <c r="O786" i="5"/>
  <c r="O770" i="5"/>
  <c r="O771" i="5"/>
  <c r="O731" i="5"/>
  <c r="O715" i="5"/>
  <c r="O668" i="5"/>
  <c r="O669" i="5"/>
  <c r="O654" i="5"/>
  <c r="O655" i="5"/>
  <c r="O589" i="5"/>
  <c r="O385" i="5"/>
  <c r="O858" i="5"/>
  <c r="O842" i="5"/>
  <c r="O830" i="5"/>
  <c r="O832" i="5"/>
  <c r="O833" i="5"/>
  <c r="O831" i="5"/>
  <c r="O817" i="5"/>
  <c r="O809" i="5"/>
  <c r="O804" i="5"/>
  <c r="O773" i="5"/>
  <c r="O753" i="5"/>
  <c r="O744" i="5"/>
  <c r="O743" i="5"/>
  <c r="O745" i="5"/>
  <c r="O734" i="5"/>
  <c r="O733" i="5"/>
  <c r="O735" i="5"/>
  <c r="O717" i="5"/>
  <c r="O718" i="5"/>
  <c r="O701" i="5"/>
  <c r="O679" i="5"/>
  <c r="O681" i="5"/>
  <c r="O680" i="5"/>
  <c r="O218" i="5"/>
  <c r="O656" i="5"/>
  <c r="O657" i="5"/>
  <c r="O211" i="5"/>
  <c r="O646" i="5"/>
  <c r="O195" i="5"/>
  <c r="O621" i="5"/>
  <c r="O625" i="5"/>
  <c r="O623" i="5"/>
  <c r="O622" i="5"/>
  <c r="O624" i="5"/>
  <c r="O514" i="5"/>
  <c r="O515" i="5"/>
  <c r="O516" i="5"/>
  <c r="O591" i="5"/>
  <c r="O592" i="5"/>
  <c r="O597" i="5"/>
  <c r="O593" i="5"/>
  <c r="O594" i="5"/>
  <c r="O595" i="5"/>
  <c r="O596" i="5"/>
  <c r="O530" i="5"/>
  <c r="O179" i="5"/>
  <c r="O517" i="5"/>
  <c r="O518" i="5"/>
  <c r="O531" i="5"/>
  <c r="O519" i="5"/>
  <c r="O532" i="5"/>
  <c r="O520" i="5"/>
  <c r="O521" i="5"/>
  <c r="O465" i="5"/>
  <c r="O522" i="5"/>
  <c r="O533" i="5"/>
  <c r="O534" i="5"/>
  <c r="O523" i="5"/>
  <c r="O524" i="5"/>
  <c r="O525" i="5"/>
  <c r="O526" i="5"/>
  <c r="O535" i="5"/>
  <c r="O527" i="5"/>
  <c r="O528" i="5"/>
  <c r="O529" i="5"/>
  <c r="O175" i="5"/>
  <c r="O466" i="5"/>
  <c r="O477" i="5"/>
  <c r="O467" i="5"/>
  <c r="O468" i="5"/>
  <c r="O469" i="5"/>
  <c r="O481" i="5"/>
  <c r="O470" i="5"/>
  <c r="O471" i="5"/>
  <c r="O472" i="5"/>
  <c r="O473" i="5"/>
  <c r="O474" i="5"/>
  <c r="O478" i="5"/>
  <c r="O479" i="5"/>
  <c r="O475" i="5"/>
  <c r="O476" i="5"/>
  <c r="O480" i="5"/>
  <c r="O446" i="5"/>
  <c r="O152" i="5"/>
  <c r="O148" i="5"/>
  <c r="O149" i="5"/>
  <c r="O150" i="5"/>
  <c r="O151" i="5"/>
  <c r="O447" i="5"/>
  <c r="O448" i="5"/>
  <c r="O413" i="5"/>
  <c r="O449" i="5"/>
  <c r="O450" i="5"/>
  <c r="O419" i="5"/>
  <c r="O414" i="5"/>
  <c r="O415" i="5"/>
  <c r="O416" i="5"/>
  <c r="O417" i="5"/>
  <c r="O418" i="5"/>
  <c r="O386" i="5"/>
  <c r="O387" i="5"/>
  <c r="O388" i="5"/>
  <c r="O390" i="5"/>
  <c r="O389" i="5"/>
  <c r="O98" i="5"/>
  <c r="O99" i="5"/>
  <c r="O370" i="5"/>
  <c r="O847" i="5"/>
  <c r="O843" i="5"/>
  <c r="O844" i="5"/>
  <c r="O829" i="5"/>
  <c r="O827" i="5"/>
  <c r="O828" i="5"/>
  <c r="O823" i="5"/>
  <c r="O824" i="5"/>
  <c r="O825" i="5"/>
  <c r="O814" i="5"/>
  <c r="O815" i="5"/>
  <c r="O816" i="5"/>
  <c r="O807" i="5"/>
  <c r="O796" i="5"/>
  <c r="O772" i="5"/>
  <c r="O797" i="5"/>
  <c r="O783" i="5"/>
  <c r="O769" i="5"/>
  <c r="O752" i="5"/>
  <c r="O741" i="5"/>
  <c r="O750" i="5"/>
  <c r="O736" i="5"/>
  <c r="O739" i="5"/>
  <c r="O740" i="5"/>
  <c r="O737" i="5"/>
  <c r="O727" i="5"/>
  <c r="O728" i="5"/>
  <c r="O713" i="5"/>
  <c r="O691" i="5"/>
  <c r="O678" i="5"/>
  <c r="O698" i="5"/>
  <c r="O690" i="5"/>
  <c r="O677" i="5"/>
  <c r="O214" i="5"/>
  <c r="O662" i="5"/>
  <c r="O215" i="5"/>
  <c r="O663" i="5"/>
  <c r="O667" i="5"/>
  <c r="O664" i="5"/>
  <c r="O196" i="5"/>
  <c r="O197" i="5"/>
  <c r="O216" i="5"/>
  <c r="O661" i="5"/>
  <c r="O198" i="5"/>
  <c r="O199" i="5"/>
  <c r="O200" i="5"/>
  <c r="O650" i="5"/>
  <c r="O653" i="5"/>
  <c r="O201" i="5"/>
  <c r="O193" i="5"/>
  <c r="O208" i="5"/>
  <c r="O202" i="5"/>
  <c r="O203" i="5"/>
  <c r="O209" i="5"/>
  <c r="O210" i="5"/>
  <c r="O639" i="5"/>
  <c r="O645" i="5"/>
  <c r="O191" i="5"/>
  <c r="O642" i="5"/>
  <c r="O192" i="5"/>
  <c r="O640" i="5"/>
  <c r="O641" i="5"/>
  <c r="O184" i="5"/>
  <c r="O601" i="5"/>
  <c r="O183" i="5"/>
  <c r="O620" i="5"/>
  <c r="O633" i="5"/>
  <c r="O635" i="5"/>
  <c r="O512" i="5"/>
  <c r="O572" i="5"/>
  <c r="O189" i="5"/>
  <c r="O626" i="5"/>
  <c r="O619" i="5"/>
  <c r="O185" i="5"/>
  <c r="O546" i="5"/>
  <c r="O602" i="5"/>
  <c r="O580" i="5"/>
  <c r="O547" i="5"/>
  <c r="O603" i="5"/>
  <c r="O604" i="5"/>
  <c r="O617" i="5"/>
  <c r="O605" i="5"/>
  <c r="O618" i="5"/>
  <c r="O606" i="5"/>
  <c r="O607" i="5"/>
  <c r="O608" i="5"/>
  <c r="O609" i="5"/>
  <c r="O610" i="5"/>
  <c r="O611" i="5"/>
  <c r="O587" i="5"/>
  <c r="O548" i="5"/>
  <c r="O549" i="5"/>
  <c r="O550" i="5"/>
  <c r="O551" i="5"/>
  <c r="O181" i="5"/>
  <c r="O552" i="5"/>
  <c r="O553" i="5"/>
  <c r="O554" i="5"/>
  <c r="O581" i="5"/>
  <c r="O555" i="5"/>
  <c r="O556" i="5"/>
  <c r="O557" i="5"/>
  <c r="O558" i="5"/>
  <c r="O582" i="5"/>
  <c r="O559" i="5"/>
  <c r="O583" i="5"/>
  <c r="O560" i="5"/>
  <c r="O561" i="5"/>
  <c r="O562" i="5"/>
  <c r="O563" i="5"/>
  <c r="O564" i="5"/>
  <c r="O565" i="5"/>
  <c r="O566" i="5"/>
  <c r="O567" i="5"/>
  <c r="O568" i="5"/>
  <c r="O569" i="5"/>
  <c r="O570" i="5"/>
  <c r="O584" i="5"/>
  <c r="O545" i="5"/>
  <c r="O585" i="5"/>
  <c r="O571" i="5"/>
  <c r="O586" i="5"/>
  <c r="O178" i="5"/>
  <c r="O174" i="5"/>
  <c r="O588" i="5"/>
  <c r="O484" i="5"/>
  <c r="O507" i="5"/>
  <c r="O508" i="5"/>
  <c r="O485" i="5"/>
  <c r="O486" i="5"/>
  <c r="O500" i="5"/>
  <c r="O487" i="5"/>
  <c r="O509" i="5"/>
  <c r="O488" i="5"/>
  <c r="O489" i="5"/>
  <c r="O490" i="5"/>
  <c r="O491" i="5"/>
  <c r="O492" i="5"/>
  <c r="O160" i="5"/>
  <c r="O510" i="5"/>
  <c r="O493" i="5"/>
  <c r="O494" i="5"/>
  <c r="O495" i="5"/>
  <c r="O496" i="5"/>
  <c r="O497" i="5"/>
  <c r="O511" i="5"/>
  <c r="O498" i="5"/>
  <c r="O499" i="5"/>
  <c r="O163" i="5"/>
  <c r="O483" i="5"/>
  <c r="O161" i="5"/>
  <c r="O460" i="5"/>
  <c r="O169" i="5"/>
  <c r="O159" i="5"/>
  <c r="O164" i="5"/>
  <c r="O165" i="5"/>
  <c r="O146" i="5"/>
  <c r="O166" i="5"/>
  <c r="O167" i="5"/>
  <c r="O147" i="5"/>
  <c r="O305" i="5"/>
  <c r="O6" i="5"/>
  <c r="O231" i="5"/>
  <c r="O233" i="5"/>
  <c r="O818" i="5"/>
  <c r="O788" i="5"/>
  <c r="O746" i="5"/>
  <c r="O702" i="5"/>
  <c r="O703" i="5"/>
  <c r="O682" i="5"/>
  <c r="O683" i="5"/>
  <c r="O658" i="5"/>
  <c r="O190" i="5"/>
  <c r="O636" i="5"/>
  <c r="O627" i="5"/>
  <c r="O392" i="5"/>
  <c r="O393" i="5"/>
  <c r="O310" i="5"/>
  <c r="O869" i="5"/>
  <c r="O870" i="5"/>
  <c r="O221" i="5"/>
  <c r="O219" i="5"/>
  <c r="O839" i="5"/>
  <c r="O826" i="5"/>
  <c r="O808" i="5"/>
  <c r="O802" i="5"/>
  <c r="O795" i="5"/>
  <c r="O768" i="5"/>
  <c r="O767" i="5"/>
  <c r="O751" i="5"/>
  <c r="O738" i="5"/>
  <c r="O730" i="5"/>
  <c r="O729" i="5"/>
  <c r="O714" i="5"/>
  <c r="O696" i="5"/>
  <c r="O692" i="5"/>
  <c r="O694" i="5"/>
  <c r="O693" i="5"/>
  <c r="O695" i="5"/>
  <c r="O697" i="5"/>
  <c r="O217" i="5"/>
  <c r="O204" i="5"/>
  <c r="O666" i="5"/>
  <c r="O665" i="5"/>
  <c r="O205" i="5"/>
  <c r="O651" i="5"/>
  <c r="O206" i="5"/>
  <c r="O652" i="5"/>
  <c r="O207" i="5"/>
  <c r="O643" i="5"/>
  <c r="O644" i="5"/>
  <c r="O194" i="5"/>
  <c r="O186" i="5"/>
  <c r="O578" i="5"/>
  <c r="O187" i="5"/>
  <c r="O634" i="5"/>
  <c r="O188" i="5"/>
  <c r="O574" i="5"/>
  <c r="O612" i="5"/>
  <c r="O613" i="5"/>
  <c r="O614" i="5"/>
  <c r="O615" i="5"/>
  <c r="O616" i="5"/>
  <c r="O575" i="5"/>
  <c r="O182" i="5"/>
  <c r="O576" i="5"/>
  <c r="O577" i="5"/>
  <c r="O573" i="5"/>
  <c r="O502" i="5"/>
  <c r="O503" i="5"/>
  <c r="O504" i="5"/>
  <c r="O505" i="5"/>
  <c r="O171" i="5"/>
  <c r="O170" i="5"/>
  <c r="O173" i="5"/>
  <c r="O172" i="5"/>
  <c r="O506" i="5"/>
  <c r="O145" i="5"/>
  <c r="O457" i="5"/>
  <c r="O458" i="5"/>
  <c r="O501" i="5"/>
  <c r="O168" i="5"/>
  <c r="O162" i="5"/>
  <c r="O143" i="5"/>
  <c r="O453" i="5"/>
  <c r="O454" i="5"/>
  <c r="O461" i="5"/>
  <c r="O452" i="5"/>
  <c r="O455" i="5"/>
  <c r="O456" i="5"/>
  <c r="O462" i="5"/>
  <c r="O463" i="5"/>
  <c r="O437" i="5"/>
  <c r="O141" i="5"/>
  <c r="O142" i="5"/>
  <c r="O410" i="5"/>
  <c r="O441" i="5"/>
  <c r="O442" i="5"/>
  <c r="O432" i="5"/>
  <c r="O433" i="5"/>
  <c r="O443" i="5"/>
  <c r="O434" i="5"/>
  <c r="O444" i="5"/>
  <c r="O435" i="5"/>
  <c r="O420" i="5"/>
  <c r="O123" i="5"/>
  <c r="O429" i="5"/>
  <c r="O436" i="5"/>
  <c r="O127" i="5"/>
  <c r="O132" i="5"/>
  <c r="O430" i="5"/>
  <c r="O431" i="5"/>
  <c r="O122" i="5"/>
  <c r="O133" i="5"/>
  <c r="O400" i="5"/>
  <c r="O428" i="5"/>
  <c r="O124" i="5"/>
  <c r="O126" i="5"/>
  <c r="O125" i="5"/>
  <c r="O399" i="5"/>
  <c r="O401" i="5"/>
  <c r="O402" i="5"/>
  <c r="O409" i="5"/>
  <c r="O397" i="5"/>
  <c r="O104" i="5"/>
  <c r="O384" i="5"/>
  <c r="O403" i="5"/>
  <c r="O110" i="5"/>
  <c r="O105" i="5"/>
  <c r="O111" i="5"/>
  <c r="O106" i="5"/>
  <c r="O373" i="5"/>
  <c r="O398" i="5"/>
  <c r="O383" i="5"/>
  <c r="O86" i="5"/>
  <c r="O64" i="5"/>
  <c r="O65" i="5"/>
  <c r="O331" i="5"/>
  <c r="O266" i="5"/>
  <c r="O22" i="5"/>
  <c r="O28" i="5"/>
  <c r="O282" i="5"/>
  <c r="O267" i="5"/>
  <c r="O272" i="5"/>
  <c r="O23" i="5"/>
  <c r="O144" i="5"/>
  <c r="O459" i="5"/>
  <c r="O440" i="5"/>
  <c r="O439" i="5"/>
  <c r="O128" i="5"/>
  <c r="O130" i="5"/>
  <c r="O438" i="5"/>
  <c r="O129" i="5"/>
  <c r="O131" i="5"/>
  <c r="O405" i="5"/>
  <c r="O404" i="5"/>
  <c r="O407" i="5"/>
  <c r="O107" i="5"/>
  <c r="O108" i="5"/>
  <c r="O408" i="5"/>
  <c r="O378" i="5"/>
  <c r="O406" i="5"/>
  <c r="O109" i="5"/>
  <c r="O29" i="5"/>
  <c r="O31" i="5"/>
  <c r="O278" i="5"/>
  <c r="O749" i="5"/>
  <c r="O719" i="5"/>
  <c r="O720" i="5"/>
  <c r="O725" i="5"/>
  <c r="O721" i="5"/>
  <c r="O722" i="5"/>
  <c r="O723" i="5"/>
  <c r="O724" i="5"/>
  <c r="O704" i="5"/>
  <c r="O705" i="5"/>
  <c r="O712" i="5"/>
  <c r="O711" i="5"/>
  <c r="O706" i="5"/>
  <c r="O684" i="5"/>
  <c r="O685" i="5"/>
  <c r="O670" i="5"/>
  <c r="O686" i="5"/>
  <c r="O672" i="5"/>
  <c r="O673" i="5"/>
  <c r="O674" i="5"/>
  <c r="O675" i="5"/>
  <c r="O671" i="5"/>
  <c r="O647" i="5"/>
  <c r="O637" i="5"/>
  <c r="O629" i="5"/>
  <c r="O599" i="5"/>
  <c r="O628" i="5"/>
  <c r="O536" i="5"/>
  <c r="O538" i="5"/>
  <c r="O537" i="5"/>
  <c r="O180" i="5"/>
  <c r="O600" i="5"/>
  <c r="O598" i="5"/>
  <c r="O590" i="5"/>
  <c r="O539" i="5"/>
  <c r="O540" i="5"/>
  <c r="O482" i="5"/>
  <c r="O154" i="5"/>
  <c r="O421" i="5"/>
  <c r="O137" i="5"/>
  <c r="O135" i="5"/>
  <c r="O134" i="5"/>
  <c r="O451" i="5"/>
  <c r="O394" i="5"/>
  <c r="O138" i="5"/>
  <c r="O136" i="5"/>
  <c r="O112" i="5"/>
  <c r="O113" i="5"/>
  <c r="O115" i="5"/>
  <c r="O114" i="5"/>
  <c r="O422" i="5"/>
  <c r="O423" i="5"/>
  <c r="O424" i="5"/>
  <c r="O100" i="5"/>
  <c r="O12" i="5"/>
  <c r="O33" i="5"/>
  <c r="S3" i="4"/>
  <c r="S4" i="4"/>
  <c r="S5" i="4"/>
  <c r="S6" i="4"/>
  <c r="S7" i="4"/>
  <c r="S8" i="4"/>
  <c r="S9" i="4"/>
  <c r="S10" i="4"/>
  <c r="S11" i="4"/>
  <c r="S12" i="4"/>
  <c r="S13" i="4"/>
  <c r="S14" i="4"/>
  <c r="S15" i="4"/>
  <c r="S16" i="4"/>
  <c r="S17" i="4"/>
  <c r="S18" i="4"/>
  <c r="S19" i="4"/>
  <c r="S20" i="4"/>
  <c r="S21" i="4"/>
  <c r="S22" i="4"/>
  <c r="S23" i="4"/>
  <c r="S24" i="4"/>
  <c r="S25" i="4"/>
  <c r="S26" i="4"/>
  <c r="S27" i="4"/>
  <c r="S28" i="4"/>
  <c r="S29" i="4"/>
  <c r="S30" i="4"/>
  <c r="S31" i="4"/>
  <c r="S32" i="4"/>
  <c r="S33" i="4"/>
  <c r="S34" i="4"/>
  <c r="S35" i="4"/>
  <c r="S36" i="4"/>
  <c r="S37" i="4"/>
  <c r="S38" i="4"/>
  <c r="S39" i="4"/>
  <c r="S40" i="4"/>
  <c r="S41" i="4"/>
  <c r="S42" i="4"/>
  <c r="S43" i="4"/>
  <c r="S44" i="4"/>
  <c r="S45" i="4"/>
  <c r="S46" i="4"/>
  <c r="S47" i="4"/>
  <c r="S48" i="4"/>
  <c r="S49" i="4"/>
  <c r="S50" i="4"/>
  <c r="S51" i="4"/>
  <c r="S52" i="4"/>
  <c r="S53" i="4"/>
  <c r="S54" i="4"/>
  <c r="S2" i="4"/>
  <c r="D52" i="4"/>
  <c r="D21" i="4"/>
  <c r="D22" i="4"/>
  <c r="D10" i="4"/>
  <c r="D16" i="4"/>
  <c r="D18" i="4"/>
  <c r="D43" i="4"/>
  <c r="D23" i="4"/>
  <c r="D24" i="4"/>
  <c r="D44" i="4"/>
  <c r="D25" i="4"/>
  <c r="D26" i="4"/>
  <c r="D27" i="4"/>
  <c r="D28" i="4"/>
  <c r="D13" i="4"/>
  <c r="D2" i="4"/>
  <c r="D11" i="4"/>
  <c r="D45" i="4"/>
  <c r="D46" i="4"/>
  <c r="D29" i="4"/>
  <c r="D4" i="4"/>
  <c r="D12" i="4"/>
  <c r="D14" i="4"/>
  <c r="D15" i="4"/>
  <c r="D47" i="4"/>
  <c r="D48" i="4"/>
  <c r="D30" i="4"/>
  <c r="D31" i="4"/>
  <c r="D19" i="4"/>
  <c r="D20" i="4"/>
  <c r="D17" i="4"/>
  <c r="D32" i="4"/>
  <c r="D33" i="4"/>
  <c r="D34" i="4"/>
  <c r="D5" i="4"/>
  <c r="D35" i="4"/>
  <c r="D54" i="4"/>
  <c r="D7" i="4"/>
  <c r="D8" i="4"/>
  <c r="D36" i="4"/>
  <c r="D53" i="4"/>
  <c r="D37" i="4"/>
  <c r="D49" i="4"/>
  <c r="D38" i="4"/>
  <c r="D50" i="4"/>
  <c r="D9" i="4"/>
  <c r="D39" i="4"/>
  <c r="D40" i="4"/>
  <c r="D6" i="4"/>
  <c r="D51" i="4"/>
  <c r="D3" i="4"/>
  <c r="D41" i="4"/>
  <c r="D42" i="4"/>
  <c r="K54" i="4"/>
  <c r="K10" i="4"/>
  <c r="K9" i="4"/>
  <c r="K11" i="4"/>
  <c r="K4" i="4"/>
  <c r="K12" i="4"/>
  <c r="K7" i="4"/>
  <c r="K8" i="4"/>
  <c r="K5" i="4"/>
  <c r="K6" i="4"/>
  <c r="K14" i="4"/>
  <c r="K15" i="4"/>
  <c r="K16" i="4"/>
  <c r="K13" i="4"/>
  <c r="K45" i="4"/>
  <c r="K47" i="4"/>
  <c r="K46" i="4"/>
  <c r="K43" i="4"/>
  <c r="K44" i="4"/>
  <c r="K42" i="4"/>
  <c r="K49" i="4"/>
  <c r="K48" i="4"/>
  <c r="K50" i="4"/>
  <c r="K51" i="4"/>
  <c r="K18" i="4"/>
  <c r="K3" i="4"/>
  <c r="K2" i="4"/>
  <c r="K27" i="4"/>
  <c r="K23" i="4"/>
  <c r="K28" i="4"/>
  <c r="K39" i="4"/>
  <c r="K40" i="4"/>
  <c r="K29" i="4"/>
  <c r="K34" i="4"/>
  <c r="K30" i="4"/>
  <c r="K24" i="4"/>
  <c r="K36" i="4"/>
  <c r="K53" i="4"/>
  <c r="K21" i="4"/>
  <c r="K22" i="4"/>
  <c r="K25" i="4"/>
  <c r="K37" i="4"/>
  <c r="K52" i="4"/>
  <c r="K38" i="4"/>
  <c r="K31" i="4"/>
  <c r="K26" i="4"/>
  <c r="K32" i="4"/>
  <c r="K35" i="4"/>
  <c r="K41" i="4"/>
  <c r="K33" i="4"/>
  <c r="K19" i="4"/>
  <c r="K20" i="4"/>
  <c r="K17" i="4"/>
</calcChain>
</file>

<file path=xl/sharedStrings.xml><?xml version="1.0" encoding="utf-8"?>
<sst xmlns="http://schemas.openxmlformats.org/spreadsheetml/2006/main" count="42999" uniqueCount="1277">
  <si>
    <t>Commission Processing Date</t>
  </si>
  <si>
    <t>Type</t>
  </si>
  <si>
    <t>Statement Writing Agent ID</t>
  </si>
  <si>
    <t>Policy ID</t>
  </si>
  <si>
    <t>Policyholder Last Name</t>
  </si>
  <si>
    <t>Policyholder First Name</t>
  </si>
  <si>
    <t>Issuer</t>
  </si>
  <si>
    <t>State</t>
  </si>
  <si>
    <t>Product Type</t>
  </si>
  <si>
    <t>Plan</t>
  </si>
  <si>
    <t>Writing Agent ID</t>
  </si>
  <si>
    <t>Last Name</t>
  </si>
  <si>
    <t>First Name</t>
  </si>
  <si>
    <t>Policy Status</t>
  </si>
  <si>
    <t>Effective Date</t>
  </si>
  <si>
    <t>Term Date</t>
  </si>
  <si>
    <t>Paid To Date</t>
  </si>
  <si>
    <t>Comm. Premium</t>
  </si>
  <si>
    <t>Pay Mo</t>
  </si>
  <si>
    <t>Pay Schedule</t>
  </si>
  <si>
    <t>Pay Code</t>
  </si>
  <si>
    <t>Comm.Rate</t>
  </si>
  <si>
    <t>Fixed Rate</t>
  </si>
  <si>
    <t>Member Count</t>
  </si>
  <si>
    <t>FY or RN</t>
  </si>
  <si>
    <t>New Enrollment</t>
  </si>
  <si>
    <t>Advance Mo.</t>
  </si>
  <si>
    <t>Advance. Comm.</t>
  </si>
  <si>
    <t>Adv. Fixed</t>
  </si>
  <si>
    <t>Admin Fee Rate</t>
  </si>
  <si>
    <t>Admin Fee</t>
  </si>
  <si>
    <t>Street Initial</t>
  </si>
  <si>
    <t>Street True-up</t>
  </si>
  <si>
    <t>Override Initial</t>
  </si>
  <si>
    <t>Override True-up</t>
  </si>
  <si>
    <t>Street Renewal</t>
  </si>
  <si>
    <t>Override Renewal</t>
  </si>
  <si>
    <t>Adv. Recovery</t>
  </si>
  <si>
    <t>Earned Commission</t>
  </si>
  <si>
    <t>Comm Activity Amount</t>
  </si>
  <si>
    <t>CBK/ADJ Amount</t>
  </si>
  <si>
    <t>CBK/ADJ Prev.Applied</t>
  </si>
  <si>
    <t>CBK/ADJ Remaining Bal.</t>
  </si>
  <si>
    <t>CBK/ADJ Notes</t>
  </si>
  <si>
    <t>Adjustment Description</t>
  </si>
  <si>
    <t>Apply to Agent Balance</t>
  </si>
  <si>
    <t>Apply to Form 1099</t>
  </si>
  <si>
    <t>Apply to Net</t>
  </si>
  <si>
    <t>COM</t>
  </si>
  <si>
    <t>MOREN</t>
  </si>
  <si>
    <t>HOLLY</t>
  </si>
  <si>
    <t>Allstate Health Solutions</t>
  </si>
  <si>
    <t>TX</t>
  </si>
  <si>
    <t>Accident</t>
  </si>
  <si>
    <t>TrioMED 15k 15285</t>
  </si>
  <si>
    <t>Garnett</t>
  </si>
  <si>
    <t>Michael</t>
  </si>
  <si>
    <t>Active</t>
  </si>
  <si>
    <t xml:space="preserve">Monthly </t>
  </si>
  <si>
    <t>Default</t>
  </si>
  <si>
    <t>FY</t>
  </si>
  <si>
    <t>Y</t>
  </si>
  <si>
    <t>CALLAGHAN</t>
  </si>
  <si>
    <t>ANTHONY</t>
  </si>
  <si>
    <t>TN</t>
  </si>
  <si>
    <t>TrioMED Accident and CI 14939</t>
  </si>
  <si>
    <t>Yale</t>
  </si>
  <si>
    <t>Richard</t>
  </si>
  <si>
    <t>BALL</t>
  </si>
  <si>
    <t>GERARD</t>
  </si>
  <si>
    <t>PA</t>
  </si>
  <si>
    <t>ROKEN</t>
  </si>
  <si>
    <t>JOHN</t>
  </si>
  <si>
    <t>FRITZINGER</t>
  </si>
  <si>
    <t>DYLAN</t>
  </si>
  <si>
    <t>KOZACHECK</t>
  </si>
  <si>
    <t>ANNE MARIE</t>
  </si>
  <si>
    <t>HIGGINS</t>
  </si>
  <si>
    <t>HANNAH</t>
  </si>
  <si>
    <t>AZ</t>
  </si>
  <si>
    <t>CALTAGIRONE</t>
  </si>
  <si>
    <t>RYAN</t>
  </si>
  <si>
    <t>ACKERMAN</t>
  </si>
  <si>
    <t>JANYNE</t>
  </si>
  <si>
    <t>Stocker</t>
  </si>
  <si>
    <t>Ryan</t>
  </si>
  <si>
    <t>CEFOLA</t>
  </si>
  <si>
    <t>BELLA</t>
  </si>
  <si>
    <t>FL</t>
  </si>
  <si>
    <t>Ancillary</t>
  </si>
  <si>
    <t>Cancer and Heart/Stroke 20231 CO-FL-MN-MI</t>
  </si>
  <si>
    <t>YALE</t>
  </si>
  <si>
    <t>JACOB</t>
  </si>
  <si>
    <t>FUCHS</t>
  </si>
  <si>
    <t>ERIC</t>
  </si>
  <si>
    <t>OR</t>
  </si>
  <si>
    <t>Critical Illness w/ Term Life 21677</t>
  </si>
  <si>
    <t>DAUGHERTY</t>
  </si>
  <si>
    <t>MATTHEW</t>
  </si>
  <si>
    <t>COPPLE</t>
  </si>
  <si>
    <t>AMANDA</t>
  </si>
  <si>
    <t>IL</t>
  </si>
  <si>
    <t>Cancer and Heart/Stroke GI 20231</t>
  </si>
  <si>
    <t>HARRIS</t>
  </si>
  <si>
    <t>GREGORY</t>
  </si>
  <si>
    <t>MD</t>
  </si>
  <si>
    <t>Max</t>
  </si>
  <si>
    <t>Ronald</t>
  </si>
  <si>
    <t>MARTIN</t>
  </si>
  <si>
    <t>HEATHER</t>
  </si>
  <si>
    <t>AK</t>
  </si>
  <si>
    <t>Cancer and Heart/Stroke 20231</t>
  </si>
  <si>
    <t>TEIPEL</t>
  </si>
  <si>
    <t>VOELLER</t>
  </si>
  <si>
    <t>MELINDA</t>
  </si>
  <si>
    <t>KS</t>
  </si>
  <si>
    <t>Allstate Health Cancer Only 5035</t>
  </si>
  <si>
    <t>NISWANGER</t>
  </si>
  <si>
    <t>GRACE</t>
  </si>
  <si>
    <t>MT</t>
  </si>
  <si>
    <t>GABBARD</t>
  </si>
  <si>
    <t>KYLER</t>
  </si>
  <si>
    <t>MO</t>
  </si>
  <si>
    <t>ELLIOTT</t>
  </si>
  <si>
    <t>ZACHARY</t>
  </si>
  <si>
    <t>ANDERSEN</t>
  </si>
  <si>
    <t>ALEXANDER</t>
  </si>
  <si>
    <t>COLSTON</t>
  </si>
  <si>
    <t>DOMINIQUE</t>
  </si>
  <si>
    <t>AL</t>
  </si>
  <si>
    <t>BURKS</t>
  </si>
  <si>
    <t>TINA</t>
  </si>
  <si>
    <t>CHRISTOPHER</t>
  </si>
  <si>
    <t>ALANA</t>
  </si>
  <si>
    <t>Walenga</t>
  </si>
  <si>
    <t>Dale</t>
  </si>
  <si>
    <t>REDMON</t>
  </si>
  <si>
    <t>JUSTIN</t>
  </si>
  <si>
    <t>PETERS</t>
  </si>
  <si>
    <t>KELLY</t>
  </si>
  <si>
    <t>FUENTES</t>
  </si>
  <si>
    <t>VICTOR</t>
  </si>
  <si>
    <t>BOYLE</t>
  </si>
  <si>
    <t>ANNE</t>
  </si>
  <si>
    <t>GENTRY</t>
  </si>
  <si>
    <t>JENNIFER</t>
  </si>
  <si>
    <t>Tigue</t>
  </si>
  <si>
    <t>Kirk</t>
  </si>
  <si>
    <t>SMITH</t>
  </si>
  <si>
    <t>BEVERLY</t>
  </si>
  <si>
    <t>IN</t>
  </si>
  <si>
    <t>Sanderock</t>
  </si>
  <si>
    <t>Marsha</t>
  </si>
  <si>
    <t>JOAS</t>
  </si>
  <si>
    <t>ALLEN</t>
  </si>
  <si>
    <t>WI</t>
  </si>
  <si>
    <t>Chad</t>
  </si>
  <si>
    <t>WOODFIN</t>
  </si>
  <si>
    <t>TAMMY</t>
  </si>
  <si>
    <t>SD</t>
  </si>
  <si>
    <t>WOODCOCK</t>
  </si>
  <si>
    <t>NANCY</t>
  </si>
  <si>
    <t>HACKLEMAN</t>
  </si>
  <si>
    <t>SUZANNE</t>
  </si>
  <si>
    <t>CARIOTI</t>
  </si>
  <si>
    <t>FRANK</t>
  </si>
  <si>
    <t>BUCKNER</t>
  </si>
  <si>
    <t>ALISON</t>
  </si>
  <si>
    <t>REUTER</t>
  </si>
  <si>
    <t>SHEILA</t>
  </si>
  <si>
    <t>GOLDMAN</t>
  </si>
  <si>
    <t>JUDITH</t>
  </si>
  <si>
    <t>RICHTER</t>
  </si>
  <si>
    <t>ADAM</t>
  </si>
  <si>
    <t>MORRIS</t>
  </si>
  <si>
    <t>RODGER</t>
  </si>
  <si>
    <t>BISHOP</t>
  </si>
  <si>
    <t>DANIELLE</t>
  </si>
  <si>
    <t>SONTERRE</t>
  </si>
  <si>
    <t>MICHELLE</t>
  </si>
  <si>
    <t>KELLER</t>
  </si>
  <si>
    <t>MELISSA</t>
  </si>
  <si>
    <t>IA</t>
  </si>
  <si>
    <t>MEYERS</t>
  </si>
  <si>
    <t>CULBERTSON</t>
  </si>
  <si>
    <t>KAITLIN</t>
  </si>
  <si>
    <t>PIRTZ</t>
  </si>
  <si>
    <t>BONNIE</t>
  </si>
  <si>
    <t>LEE</t>
  </si>
  <si>
    <t>REX</t>
  </si>
  <si>
    <t>MAUCHER</t>
  </si>
  <si>
    <t>ROGER</t>
  </si>
  <si>
    <t>BEAUDET</t>
  </si>
  <si>
    <t>KEITH</t>
  </si>
  <si>
    <t>KAREN</t>
  </si>
  <si>
    <t>FERRONE</t>
  </si>
  <si>
    <t>MEG</t>
  </si>
  <si>
    <t>LIM</t>
  </si>
  <si>
    <t>Cheregi</t>
  </si>
  <si>
    <t>Raluca</t>
  </si>
  <si>
    <t>BERKEY</t>
  </si>
  <si>
    <t>RONDA</t>
  </si>
  <si>
    <t>THAKKAR</t>
  </si>
  <si>
    <t>CO</t>
  </si>
  <si>
    <t>GESKE</t>
  </si>
  <si>
    <t>WILLIAM</t>
  </si>
  <si>
    <t>HINTON</t>
  </si>
  <si>
    <t>RICHARD</t>
  </si>
  <si>
    <t>SWOGER</t>
  </si>
  <si>
    <t>Association</t>
  </si>
  <si>
    <t>LIFE Association Membership - B 14995</t>
  </si>
  <si>
    <t>HOFFMANN</t>
  </si>
  <si>
    <t>JASON</t>
  </si>
  <si>
    <t>As Earned</t>
  </si>
  <si>
    <t>RN</t>
  </si>
  <si>
    <t>RATTS</t>
  </si>
  <si>
    <t>LOGAN</t>
  </si>
  <si>
    <t>Life Association C IN</t>
  </si>
  <si>
    <t>A1</t>
  </si>
  <si>
    <t>LEWIS</t>
  </si>
  <si>
    <t>BRIAN</t>
  </si>
  <si>
    <t>A6</t>
  </si>
  <si>
    <t>LIFE Association Membership - C 14956 LM</t>
  </si>
  <si>
    <t>MIENE</t>
  </si>
  <si>
    <t>JAMES</t>
  </si>
  <si>
    <t>LIFE Association Membership - C 14956 PPO</t>
  </si>
  <si>
    <t>A3</t>
  </si>
  <si>
    <t>JOSEPH</t>
  </si>
  <si>
    <t>VA</t>
  </si>
  <si>
    <t>Life Assoc D Renewable OH</t>
  </si>
  <si>
    <t>PEREZ</t>
  </si>
  <si>
    <t>LUZ</t>
  </si>
  <si>
    <t>Life Association Access</t>
  </si>
  <si>
    <t>TORRES</t>
  </si>
  <si>
    <t>JOSE</t>
  </si>
  <si>
    <t>REED</t>
  </si>
  <si>
    <t>BRENDA</t>
  </si>
  <si>
    <t>FOLEY</t>
  </si>
  <si>
    <t>CAROL</t>
  </si>
  <si>
    <t>QUINTANILLA</t>
  </si>
  <si>
    <t>DOUGLAS</t>
  </si>
  <si>
    <t>Nevarez</t>
  </si>
  <si>
    <t>Antonia</t>
  </si>
  <si>
    <t>Dental</t>
  </si>
  <si>
    <t>SELECT DENTAL 29304</t>
  </si>
  <si>
    <t>BINNS</t>
  </si>
  <si>
    <t>CONNIE</t>
  </si>
  <si>
    <t>OH</t>
  </si>
  <si>
    <t>MERCADO</t>
  </si>
  <si>
    <t>MELINDY</t>
  </si>
  <si>
    <t>BRITT</t>
  </si>
  <si>
    <t>VALERIE</t>
  </si>
  <si>
    <t>MATTHEW-GEORGE</t>
  </si>
  <si>
    <t>DORCAS</t>
  </si>
  <si>
    <t>FIDUCCIA</t>
  </si>
  <si>
    <t>ISABELLA</t>
  </si>
  <si>
    <t>LISKOVEC</t>
  </si>
  <si>
    <t>ARTHUR</t>
  </si>
  <si>
    <t>FINNIGAN</t>
  </si>
  <si>
    <t>COLLEEN</t>
  </si>
  <si>
    <t>WALKER</t>
  </si>
  <si>
    <t>ANGELICA</t>
  </si>
  <si>
    <t>GA</t>
  </si>
  <si>
    <t>LUNDVALL</t>
  </si>
  <si>
    <t>DESIREE</t>
  </si>
  <si>
    <t>Geske</t>
  </si>
  <si>
    <t>Heather</t>
  </si>
  <si>
    <t>METUIWE</t>
  </si>
  <si>
    <t>GERALD</t>
  </si>
  <si>
    <t>Brousseau</t>
  </si>
  <si>
    <t>Christopher</t>
  </si>
  <si>
    <t>YIM</t>
  </si>
  <si>
    <t>MOON</t>
  </si>
  <si>
    <t>Choi</t>
  </si>
  <si>
    <t>Andrew</t>
  </si>
  <si>
    <t>SOMMESE</t>
  </si>
  <si>
    <t>JULIE</t>
  </si>
  <si>
    <t>Drapac</t>
  </si>
  <si>
    <t>Stephanie</t>
  </si>
  <si>
    <t>ROBY</t>
  </si>
  <si>
    <t>CASSIE</t>
  </si>
  <si>
    <t>KING</t>
  </si>
  <si>
    <t>CASSANDRA</t>
  </si>
  <si>
    <t>PARDUE</t>
  </si>
  <si>
    <t>THOMAS</t>
  </si>
  <si>
    <t>WILKE</t>
  </si>
  <si>
    <t>ADRIENNE</t>
  </si>
  <si>
    <t>Fixed Indemnity</t>
  </si>
  <si>
    <t>NHIC LM 2021 Hospital Expense Protection U65</t>
  </si>
  <si>
    <t>MCVEY</t>
  </si>
  <si>
    <t>MEGAN</t>
  </si>
  <si>
    <t>Allstate Health Access</t>
  </si>
  <si>
    <t>Other</t>
  </si>
  <si>
    <t>Plan Enhancer 20214</t>
  </si>
  <si>
    <t>Accident Fixed-Benefit 21044</t>
  </si>
  <si>
    <t>Term Life 21673</t>
  </si>
  <si>
    <t>HOUSMAN</t>
  </si>
  <si>
    <t>REBEKAH</t>
  </si>
  <si>
    <t>Shulman</t>
  </si>
  <si>
    <t>Jake</t>
  </si>
  <si>
    <t>KEMPKER</t>
  </si>
  <si>
    <t>DAVID</t>
  </si>
  <si>
    <t>RONAN</t>
  </si>
  <si>
    <t>ANN</t>
  </si>
  <si>
    <t>JUSTICE</t>
  </si>
  <si>
    <t>SIMON</t>
  </si>
  <si>
    <t>LUDWIG</t>
  </si>
  <si>
    <t>OLIVIA</t>
  </si>
  <si>
    <t>ORTIZ</t>
  </si>
  <si>
    <t>RICARDO</t>
  </si>
  <si>
    <t>WY</t>
  </si>
  <si>
    <t>SITT</t>
  </si>
  <si>
    <t>BENJAMIN</t>
  </si>
  <si>
    <t>LANGENBECK</t>
  </si>
  <si>
    <t>CORY</t>
  </si>
  <si>
    <t>Shepard</t>
  </si>
  <si>
    <t>Jill</t>
  </si>
  <si>
    <t>THANADABOUTH</t>
  </si>
  <si>
    <t>PATSAMON</t>
  </si>
  <si>
    <t>VILHAUER</t>
  </si>
  <si>
    <t>TONY</t>
  </si>
  <si>
    <t>THOLE</t>
  </si>
  <si>
    <t>AARON</t>
  </si>
  <si>
    <t>MI</t>
  </si>
  <si>
    <t>BRUNNER</t>
  </si>
  <si>
    <t>Schumann</t>
  </si>
  <si>
    <t>Barry</t>
  </si>
  <si>
    <t>ZVOLENSKY</t>
  </si>
  <si>
    <t>UT</t>
  </si>
  <si>
    <t>SANCHEZ</t>
  </si>
  <si>
    <t>GUADALUPE</t>
  </si>
  <si>
    <t>Dental Indemnity 21618</t>
  </si>
  <si>
    <t>GOKAN</t>
  </si>
  <si>
    <t>CODY</t>
  </si>
  <si>
    <t>D'AURIA</t>
  </si>
  <si>
    <t>Berg</t>
  </si>
  <si>
    <t>Ines</t>
  </si>
  <si>
    <t>ROBERT</t>
  </si>
  <si>
    <t>BATJARGAL</t>
  </si>
  <si>
    <t>BAYARTSETSEG</t>
  </si>
  <si>
    <t>ZANA</t>
  </si>
  <si>
    <t>NASANDELGER</t>
  </si>
  <si>
    <t>ENKHSAIKHAN</t>
  </si>
  <si>
    <t>DULGUUN</t>
  </si>
  <si>
    <t>Short Term Medical</t>
  </si>
  <si>
    <t>NHIC STM 2022 IN Single Term</t>
  </si>
  <si>
    <t>NHIC STM PPO All Other States</t>
  </si>
  <si>
    <t>NHIC STM PPO UT</t>
  </si>
  <si>
    <t>NHIC STM PPO VA</t>
  </si>
  <si>
    <t>MCADOO</t>
  </si>
  <si>
    <t>Supplement</t>
  </si>
  <si>
    <t>NHIC Dental 2020 DVH 65+</t>
  </si>
  <si>
    <t>INSKIPT</t>
  </si>
  <si>
    <t>DEBORAH</t>
  </si>
  <si>
    <t>MATHENY</t>
  </si>
  <si>
    <t>PEGGY</t>
  </si>
  <si>
    <t>GOOTEE</t>
  </si>
  <si>
    <t>DUNN</t>
  </si>
  <si>
    <t>JILL</t>
  </si>
  <si>
    <t>Converted</t>
  </si>
  <si>
    <t>N</t>
  </si>
  <si>
    <t>BURLEY</t>
  </si>
  <si>
    <t>ANDREW</t>
  </si>
  <si>
    <t>Allstate Health Access (GI)</t>
  </si>
  <si>
    <t>BERLACHER</t>
  </si>
  <si>
    <t>GREG</t>
  </si>
  <si>
    <t>SHUMINSKY</t>
  </si>
  <si>
    <t>TERRI</t>
  </si>
  <si>
    <t>BROWN</t>
  </si>
  <si>
    <t>CARL</t>
  </si>
  <si>
    <t>RUBINFELD</t>
  </si>
  <si>
    <t>RANDY</t>
  </si>
  <si>
    <t>WHEATLEY</t>
  </si>
  <si>
    <t>CLARITA</t>
  </si>
  <si>
    <t>GARNETT</t>
  </si>
  <si>
    <t>KEEVA</t>
  </si>
  <si>
    <t>NC</t>
  </si>
  <si>
    <t>DIXON</t>
  </si>
  <si>
    <t>TIMESEE</t>
  </si>
  <si>
    <t>OLIVER</t>
  </si>
  <si>
    <t>ADAMS</t>
  </si>
  <si>
    <t>JOSEPHINE</t>
  </si>
  <si>
    <t>DE</t>
  </si>
  <si>
    <t>SHACKELFORD</t>
  </si>
  <si>
    <t>JACLYN</t>
  </si>
  <si>
    <t>MS</t>
  </si>
  <si>
    <t>WRIGHT</t>
  </si>
  <si>
    <t>BRIANA</t>
  </si>
  <si>
    <t>WILLIAMS</t>
  </si>
  <si>
    <t>EARNEST</t>
  </si>
  <si>
    <t>LA</t>
  </si>
  <si>
    <t>CONSTANTINO</t>
  </si>
  <si>
    <t>ROSEANN</t>
  </si>
  <si>
    <t>PAMELA</t>
  </si>
  <si>
    <t>HUNTER</t>
  </si>
  <si>
    <t>LILLIE</t>
  </si>
  <si>
    <t>MOORE</t>
  </si>
  <si>
    <t>WAYNE</t>
  </si>
  <si>
    <t>OTT</t>
  </si>
  <si>
    <t>LINDSAY</t>
  </si>
  <si>
    <t>GOLAY</t>
  </si>
  <si>
    <t>TIMOTHY</t>
  </si>
  <si>
    <t>JOHNSON</t>
  </si>
  <si>
    <t>KURT</t>
  </si>
  <si>
    <t>LAWVER</t>
  </si>
  <si>
    <t>SHAWN</t>
  </si>
  <si>
    <t>Lee</t>
  </si>
  <si>
    <t>Joel</t>
  </si>
  <si>
    <t>TAUGNER</t>
  </si>
  <si>
    <t>CHRIS</t>
  </si>
  <si>
    <t>CHRISTIAN</t>
  </si>
  <si>
    <t>PERSON</t>
  </si>
  <si>
    <t>JORDAN</t>
  </si>
  <si>
    <t>TEMPLE</t>
  </si>
  <si>
    <t>MAGGIE</t>
  </si>
  <si>
    <t>POWERS</t>
  </si>
  <si>
    <t>GALEN</t>
  </si>
  <si>
    <t>ESTES</t>
  </si>
  <si>
    <t>JEREMY</t>
  </si>
  <si>
    <t>AMOATENG</t>
  </si>
  <si>
    <t>ABIGAIL</t>
  </si>
  <si>
    <t>MURLICK</t>
  </si>
  <si>
    <t>KELLE</t>
  </si>
  <si>
    <t>MURPHY</t>
  </si>
  <si>
    <t>Allstate Recuro RX Discount Card</t>
  </si>
  <si>
    <t>EDDIE</t>
  </si>
  <si>
    <t>III</t>
  </si>
  <si>
    <t>KY</t>
  </si>
  <si>
    <t>SANTOS</t>
  </si>
  <si>
    <t>BRYAN</t>
  </si>
  <si>
    <t>GRUBB</t>
  </si>
  <si>
    <t>SC</t>
  </si>
  <si>
    <t>CHRISTIE</t>
  </si>
  <si>
    <t>SCIBLO</t>
  </si>
  <si>
    <t>LYNSEY</t>
  </si>
  <si>
    <t>DIECKMANN</t>
  </si>
  <si>
    <t>Hunsberger</t>
  </si>
  <si>
    <t>Anthony</t>
  </si>
  <si>
    <t>SHAMAR</t>
  </si>
  <si>
    <t>TAMMIE</t>
  </si>
  <si>
    <t>REINHART</t>
  </si>
  <si>
    <t>PATRICK</t>
  </si>
  <si>
    <t>AYMOND</t>
  </si>
  <si>
    <t>KAWAND</t>
  </si>
  <si>
    <t>BRANNAN</t>
  </si>
  <si>
    <t>ERIN</t>
  </si>
  <si>
    <t>KINNEY</t>
  </si>
  <si>
    <t>LOYD</t>
  </si>
  <si>
    <t>STOREY</t>
  </si>
  <si>
    <t>DENIE</t>
  </si>
  <si>
    <t>WHITNEY</t>
  </si>
  <si>
    <t>MURPHREE</t>
  </si>
  <si>
    <t>KELBY</t>
  </si>
  <si>
    <t>RENAE</t>
  </si>
  <si>
    <t>ISAACSON</t>
  </si>
  <si>
    <t>SAMUEL</t>
  </si>
  <si>
    <t>Chargeback</t>
  </si>
  <si>
    <t>KOESTER</t>
  </si>
  <si>
    <t>FRANCIS</t>
  </si>
  <si>
    <t>PHOOSRISOM</t>
  </si>
  <si>
    <t>KHANTHONG</t>
  </si>
  <si>
    <t>Life</t>
  </si>
  <si>
    <t>NHIC Life 2023 Graded - 5028 Final Expense</t>
  </si>
  <si>
    <t>PATEL</t>
  </si>
  <si>
    <t>SUSHILABEN</t>
  </si>
  <si>
    <t>NHIC Life 2023 Level - 5029 Final Expense</t>
  </si>
  <si>
    <t>KATHLEEN</t>
  </si>
  <si>
    <t>Medicare Supplement</t>
  </si>
  <si>
    <t>Med Supp GI USA</t>
  </si>
  <si>
    <t>CROWE</t>
  </si>
  <si>
    <t>CYNTHIA</t>
  </si>
  <si>
    <t>NHIC MedSupp 2022 Plan F, G Age 65-80</t>
  </si>
  <si>
    <t>AMRAVANESWAREN</t>
  </si>
  <si>
    <t>R</t>
  </si>
  <si>
    <t>MOUNT</t>
  </si>
  <si>
    <t>LISIVICK</t>
  </si>
  <si>
    <t>GARY</t>
  </si>
  <si>
    <t>LATTANZE</t>
  </si>
  <si>
    <t>MARIE</t>
  </si>
  <si>
    <t>TUNSTALL</t>
  </si>
  <si>
    <t>LORI</t>
  </si>
  <si>
    <t>SPROAT</t>
  </si>
  <si>
    <t>MICHAEL</t>
  </si>
  <si>
    <t>POPE</t>
  </si>
  <si>
    <t>NHIC MedSupp 2022 Plan F, G U65</t>
  </si>
  <si>
    <t>AMBROSE</t>
  </si>
  <si>
    <t>DONNA</t>
  </si>
  <si>
    <t>BRABEC</t>
  </si>
  <si>
    <t>BARBARA</t>
  </si>
  <si>
    <t>NHIC MedSupp 2022 IL Plan F, G 81+</t>
  </si>
  <si>
    <t>PETRUNGARO</t>
  </si>
  <si>
    <t>ANDREA</t>
  </si>
  <si>
    <t>LU</t>
  </si>
  <si>
    <t>NHIC MedSupp 2022 IL Plan F, G Age 65-80</t>
  </si>
  <si>
    <t>KAMINSKI</t>
  </si>
  <si>
    <t>AMY</t>
  </si>
  <si>
    <t>REEDER</t>
  </si>
  <si>
    <t>NHIC MedSupp 2022 Plan N Age 65-80</t>
  </si>
  <si>
    <t>OBRIEN</t>
  </si>
  <si>
    <t>MARINA</t>
  </si>
  <si>
    <t>RONNIE</t>
  </si>
  <si>
    <t>NHIC MedSupp 2022 Plan F, G 81+</t>
  </si>
  <si>
    <t>VERANO</t>
  </si>
  <si>
    <t>GLORIA</t>
  </si>
  <si>
    <t>DUNHAM</t>
  </si>
  <si>
    <t>NHIC MedSupp 2022 FL Plan F, G Age 65-80</t>
  </si>
  <si>
    <t>KAHLER</t>
  </si>
  <si>
    <t>DEBRA</t>
  </si>
  <si>
    <t>NHIC MedSupp 2022 IN Plan F, G, N Age 65-80</t>
  </si>
  <si>
    <t>PORTUGAL</t>
  </si>
  <si>
    <t>STACEY</t>
  </si>
  <si>
    <t>BIEBER</t>
  </si>
  <si>
    <t>NEAL</t>
  </si>
  <si>
    <t>JOHNSTON</t>
  </si>
  <si>
    <t>MCCORKLE</t>
  </si>
  <si>
    <t>COMBS</t>
  </si>
  <si>
    <t>NHIC MedSupp 2022 CO Plan F, G, N Age 65-80</t>
  </si>
  <si>
    <t>LANZIDELLE</t>
  </si>
  <si>
    <t>BOVA</t>
  </si>
  <si>
    <t>HANSFORD</t>
  </si>
  <si>
    <t>CAMPANELLA</t>
  </si>
  <si>
    <t>DIVITO</t>
  </si>
  <si>
    <t>ALEX</t>
  </si>
  <si>
    <t>BOWIE</t>
  </si>
  <si>
    <t>SANDRA</t>
  </si>
  <si>
    <t>LINDA</t>
  </si>
  <si>
    <t>REYNOLDS</t>
  </si>
  <si>
    <t>STEPHEN</t>
  </si>
  <si>
    <t>NHIC MedSupp 2022 IL Plan N Age 65-80</t>
  </si>
  <si>
    <t>BAIN</t>
  </si>
  <si>
    <t>ALAN</t>
  </si>
  <si>
    <t>MICHELSEN</t>
  </si>
  <si>
    <t>SUSAN</t>
  </si>
  <si>
    <t>SCHULZE</t>
  </si>
  <si>
    <t>GULICK</t>
  </si>
  <si>
    <t>KIM</t>
  </si>
  <si>
    <t>Accident Fixed Benefit</t>
  </si>
  <si>
    <t>KATELENN</t>
  </si>
  <si>
    <t>ACKLEY</t>
  </si>
  <si>
    <t>SUZIE</t>
  </si>
  <si>
    <t>HUEPPCHEN</t>
  </si>
  <si>
    <t>DANIEL</t>
  </si>
  <si>
    <t>STEPHENSON</t>
  </si>
  <si>
    <t>BONNI</t>
  </si>
  <si>
    <t>RUSSELL</t>
  </si>
  <si>
    <t>BULK</t>
  </si>
  <si>
    <t>GLOVER</t>
  </si>
  <si>
    <t>JACKIE</t>
  </si>
  <si>
    <t>MOENKHAUS</t>
  </si>
  <si>
    <t>JASO</t>
  </si>
  <si>
    <t>BARRETT</t>
  </si>
  <si>
    <t>MATUSIAK</t>
  </si>
  <si>
    <t>ALICJA</t>
  </si>
  <si>
    <t>NHIC STM 2022 OH Single Term</t>
  </si>
  <si>
    <t>Halsaver</t>
  </si>
  <si>
    <t>Jennifer</t>
  </si>
  <si>
    <t>STERLING</t>
  </si>
  <si>
    <t>JOANNA</t>
  </si>
  <si>
    <t>BELGER</t>
  </si>
  <si>
    <t>BERNICE</t>
  </si>
  <si>
    <t>LIEB</t>
  </si>
  <si>
    <t>LINAHAN</t>
  </si>
  <si>
    <t>DIANE</t>
  </si>
  <si>
    <t>MARCUS</t>
  </si>
  <si>
    <t>JANET</t>
  </si>
  <si>
    <t>PARK</t>
  </si>
  <si>
    <t>LINUS</t>
  </si>
  <si>
    <t>MOSAKOSKI</t>
  </si>
  <si>
    <t>HUFF</t>
  </si>
  <si>
    <t>KIMBERLY</t>
  </si>
  <si>
    <t>SHELLEY</t>
  </si>
  <si>
    <t>TRACY</t>
  </si>
  <si>
    <t>WAGNER</t>
  </si>
  <si>
    <t>DWIGHT</t>
  </si>
  <si>
    <t>PIENIADZ</t>
  </si>
  <si>
    <t>BILL</t>
  </si>
  <si>
    <t>CARRYER</t>
  </si>
  <si>
    <t>POPA</t>
  </si>
  <si>
    <t>KATHY</t>
  </si>
  <si>
    <t>LAWRENCE</t>
  </si>
  <si>
    <t>GEHRON</t>
  </si>
  <si>
    <t>STEVANUS</t>
  </si>
  <si>
    <t>EARLY</t>
  </si>
  <si>
    <t>LYNDA</t>
  </si>
  <si>
    <t>RUEFENACHT</t>
  </si>
  <si>
    <t>HEIDI</t>
  </si>
  <si>
    <t>MILLER</t>
  </si>
  <si>
    <t>LAICHALK</t>
  </si>
  <si>
    <t>ROBIN</t>
  </si>
  <si>
    <t>BOTTOMS</t>
  </si>
  <si>
    <t>WOODALL</t>
  </si>
  <si>
    <t>FONDA</t>
  </si>
  <si>
    <t>CHRISTIANSEN</t>
  </si>
  <si>
    <t>LISA</t>
  </si>
  <si>
    <t>TURNER</t>
  </si>
  <si>
    <t>LORRIE</t>
  </si>
  <si>
    <t>HOFFMAN</t>
  </si>
  <si>
    <t>SHARON</t>
  </si>
  <si>
    <t>KLINE</t>
  </si>
  <si>
    <t>GREENHOW</t>
  </si>
  <si>
    <t>EDWARD</t>
  </si>
  <si>
    <t>BOYD</t>
  </si>
  <si>
    <t>RAUBAUGH</t>
  </si>
  <si>
    <t>JANINE</t>
  </si>
  <si>
    <t>KERSTEN</t>
  </si>
  <si>
    <t>BRIGHTBILL</t>
  </si>
  <si>
    <t>LESLIE</t>
  </si>
  <si>
    <t>WOLF</t>
  </si>
  <si>
    <t>CHARLES</t>
  </si>
  <si>
    <t>GARDNER</t>
  </si>
  <si>
    <t>ROKES</t>
  </si>
  <si>
    <t>SCAVICCHIO</t>
  </si>
  <si>
    <t>JACK</t>
  </si>
  <si>
    <t>BATTAGLIA</t>
  </si>
  <si>
    <t>MENTEL</t>
  </si>
  <si>
    <t>AVITAL</t>
  </si>
  <si>
    <t>CLOGSTON</t>
  </si>
  <si>
    <t>HADDAD</t>
  </si>
  <si>
    <t>SNYDER</t>
  </si>
  <si>
    <t>EVONNE</t>
  </si>
  <si>
    <t>YOCHUM</t>
  </si>
  <si>
    <t>VILLANO</t>
  </si>
  <si>
    <t>REGINA</t>
  </si>
  <si>
    <t>FOSTER</t>
  </si>
  <si>
    <t>PETER</t>
  </si>
  <si>
    <t>TRAINOR</t>
  </si>
  <si>
    <t>JACQUELINE</t>
  </si>
  <si>
    <t>LAURA</t>
  </si>
  <si>
    <t>WHIGHAM</t>
  </si>
  <si>
    <t>DIMIDIO</t>
  </si>
  <si>
    <t>LEONARD</t>
  </si>
  <si>
    <t>SUMMERS</t>
  </si>
  <si>
    <t>CARISE</t>
  </si>
  <si>
    <t>DENI</t>
  </si>
  <si>
    <t>GREENIER</t>
  </si>
  <si>
    <t>TrioMED 30k 15307</t>
  </si>
  <si>
    <t>ARATI</t>
  </si>
  <si>
    <t>LIPPOLIS</t>
  </si>
  <si>
    <t>CHOI</t>
  </si>
  <si>
    <t>SYUNGYONG</t>
  </si>
  <si>
    <t>STROUPHAR</t>
  </si>
  <si>
    <t>GERALDINE</t>
  </si>
  <si>
    <t>BAKER</t>
  </si>
  <si>
    <t>ZAPP</t>
  </si>
  <si>
    <t>KEVIN</t>
  </si>
  <si>
    <t>BROTTEN</t>
  </si>
  <si>
    <t>ND</t>
  </si>
  <si>
    <t>WHITTAKER</t>
  </si>
  <si>
    <t>KENNETH</t>
  </si>
  <si>
    <t>MCNARY</t>
  </si>
  <si>
    <t>LINSLEY</t>
  </si>
  <si>
    <t>TANYA</t>
  </si>
  <si>
    <t>WICKS</t>
  </si>
  <si>
    <t>KYLE</t>
  </si>
  <si>
    <t>PARMER</t>
  </si>
  <si>
    <t>DEVIN</t>
  </si>
  <si>
    <t>TREHERN</t>
  </si>
  <si>
    <t>DEALESSANDRO</t>
  </si>
  <si>
    <t>AMBER</t>
  </si>
  <si>
    <t>PENA</t>
  </si>
  <si>
    <t>LUCINDA</t>
  </si>
  <si>
    <t>JACKSON</t>
  </si>
  <si>
    <t>ANGELIA</t>
  </si>
  <si>
    <t>MORGAN</t>
  </si>
  <si>
    <t>RONALD</t>
  </si>
  <si>
    <t>QUINLAN</t>
  </si>
  <si>
    <t>ROBERTSON</t>
  </si>
  <si>
    <t>BUNNY</t>
  </si>
  <si>
    <t>CAVE</t>
  </si>
  <si>
    <t>HILLMAN</t>
  </si>
  <si>
    <t>OK</t>
  </si>
  <si>
    <t>STEVEN</t>
  </si>
  <si>
    <t>MORRISON</t>
  </si>
  <si>
    <t>LARRY</t>
  </si>
  <si>
    <t>CAFFEY</t>
  </si>
  <si>
    <t>KINKAID</t>
  </si>
  <si>
    <t>ARP</t>
  </si>
  <si>
    <t>BRENT</t>
  </si>
  <si>
    <t>BLACKLEDGE</t>
  </si>
  <si>
    <t>NATHAN</t>
  </si>
  <si>
    <t>TERI</t>
  </si>
  <si>
    <t>SCHILL</t>
  </si>
  <si>
    <t>YOUMBI</t>
  </si>
  <si>
    <t>MANUELA</t>
  </si>
  <si>
    <t>MOTYKA</t>
  </si>
  <si>
    <t>KIMBERLEIGH</t>
  </si>
  <si>
    <t>TOKAS</t>
  </si>
  <si>
    <t>ASHLEY</t>
  </si>
  <si>
    <t>KUHN</t>
  </si>
  <si>
    <t>BRUMFIELD</t>
  </si>
  <si>
    <t>LIGON</t>
  </si>
  <si>
    <t>LAROUX</t>
  </si>
  <si>
    <t>FOGO</t>
  </si>
  <si>
    <t>REITER</t>
  </si>
  <si>
    <t>VOLLAND</t>
  </si>
  <si>
    <t>HANNA</t>
  </si>
  <si>
    <t>WEST</t>
  </si>
  <si>
    <t>CARLEE</t>
  </si>
  <si>
    <t>BANKS</t>
  </si>
  <si>
    <t>RICE</t>
  </si>
  <si>
    <t>JACKY</t>
  </si>
  <si>
    <t>WHITE</t>
  </si>
  <si>
    <t>SABOT</t>
  </si>
  <si>
    <t>CASTRO</t>
  </si>
  <si>
    <t>GRIGSBY</t>
  </si>
  <si>
    <t>CREASBAUM</t>
  </si>
  <si>
    <t>FOWLER</t>
  </si>
  <si>
    <t>LEVY</t>
  </si>
  <si>
    <t>SARAH</t>
  </si>
  <si>
    <t>LAVY</t>
  </si>
  <si>
    <t>SPENCER</t>
  </si>
  <si>
    <t>JEROME</t>
  </si>
  <si>
    <t>RAMBOLDT</t>
  </si>
  <si>
    <t>WENDY</t>
  </si>
  <si>
    <t>FUHRHOP</t>
  </si>
  <si>
    <t>TRINA</t>
  </si>
  <si>
    <t>TAMBORIA</t>
  </si>
  <si>
    <t>SHANNON</t>
  </si>
  <si>
    <t>HOCHERL</t>
  </si>
  <si>
    <t>BEILFUSS</t>
  </si>
  <si>
    <t>CLANCY</t>
  </si>
  <si>
    <t>STEPHANIE</t>
  </si>
  <si>
    <t>HENRY</t>
  </si>
  <si>
    <t>VIRGIL</t>
  </si>
  <si>
    <t>AR</t>
  </si>
  <si>
    <t>FREY</t>
  </si>
  <si>
    <t>SZAPIELAK</t>
  </si>
  <si>
    <t>MICHELE</t>
  </si>
  <si>
    <t>NILAY</t>
  </si>
  <si>
    <t>RUSS</t>
  </si>
  <si>
    <t>ANDRASEK</t>
  </si>
  <si>
    <t>WASSER</t>
  </si>
  <si>
    <t>CHARLOTTE</t>
  </si>
  <si>
    <t>BECERRA</t>
  </si>
  <si>
    <t>YVETTE</t>
  </si>
  <si>
    <t>VAUGHN</t>
  </si>
  <si>
    <t>LARA</t>
  </si>
  <si>
    <t>VALENZUELA</t>
  </si>
  <si>
    <t>CARLOS</t>
  </si>
  <si>
    <t>HARRIS-HERNANDEZ</t>
  </si>
  <si>
    <t>MARY</t>
  </si>
  <si>
    <t>HERRICK</t>
  </si>
  <si>
    <t>MARIS</t>
  </si>
  <si>
    <t>JERRI</t>
  </si>
  <si>
    <t>MARKSBERRY</t>
  </si>
  <si>
    <t>ANGELA</t>
  </si>
  <si>
    <t>SCOTT</t>
  </si>
  <si>
    <t>SCHAEFER</t>
  </si>
  <si>
    <t>JENKINS</t>
  </si>
  <si>
    <t>SINKLIER</t>
  </si>
  <si>
    <t>SUSSMAN</t>
  </si>
  <si>
    <t>ANNA</t>
  </si>
  <si>
    <t>CUPPLES</t>
  </si>
  <si>
    <t>TROY</t>
  </si>
  <si>
    <t>OWEN</t>
  </si>
  <si>
    <t>TYSON</t>
  </si>
  <si>
    <t>BENSON</t>
  </si>
  <si>
    <t>NARRELL</t>
  </si>
  <si>
    <t>BENNETT</t>
  </si>
  <si>
    <t>BARTRAM</t>
  </si>
  <si>
    <t>DONALD</t>
  </si>
  <si>
    <t>BORODINA</t>
  </si>
  <si>
    <t>ELVIRA</t>
  </si>
  <si>
    <t>BRIDGER</t>
  </si>
  <si>
    <t>OBERG</t>
  </si>
  <si>
    <t>LOUIS</t>
  </si>
  <si>
    <t>BLAIR</t>
  </si>
  <si>
    <t>SUDTELGTE</t>
  </si>
  <si>
    <t>JUNGE</t>
  </si>
  <si>
    <t>ALEXIS</t>
  </si>
  <si>
    <t>LOPEZ</t>
  </si>
  <si>
    <t>PIAZZA</t>
  </si>
  <si>
    <t>COVERDELL</t>
  </si>
  <si>
    <t>CARNAHAN</t>
  </si>
  <si>
    <t>CASIE</t>
  </si>
  <si>
    <t>THOMPSON</t>
  </si>
  <si>
    <t>LATONYA</t>
  </si>
  <si>
    <t>SINATRA</t>
  </si>
  <si>
    <t>THIGPEN</t>
  </si>
  <si>
    <t>RAGEN</t>
  </si>
  <si>
    <t>BILLY</t>
  </si>
  <si>
    <t>DONA</t>
  </si>
  <si>
    <t>CARTER</t>
  </si>
  <si>
    <t>QUESINBERRY</t>
  </si>
  <si>
    <t>BLIZZARD</t>
  </si>
  <si>
    <t>BRETT</t>
  </si>
  <si>
    <t>MUSTAFA</t>
  </si>
  <si>
    <t>MONTHER</t>
  </si>
  <si>
    <t>MCPHEETERS</t>
  </si>
  <si>
    <t>CISSIE</t>
  </si>
  <si>
    <t>SCHUTJER</t>
  </si>
  <si>
    <t>HARPER</t>
  </si>
  <si>
    <t>RICHARDSON</t>
  </si>
  <si>
    <t>NEMETHY</t>
  </si>
  <si>
    <t>SOPHONIA</t>
  </si>
  <si>
    <t>POWELL</t>
  </si>
  <si>
    <t>NAKKIARA</t>
  </si>
  <si>
    <t>HABICH</t>
  </si>
  <si>
    <t>CORBIN</t>
  </si>
  <si>
    <t>GIRON</t>
  </si>
  <si>
    <t>EDWAR</t>
  </si>
  <si>
    <t>CA</t>
  </si>
  <si>
    <t>VULJANIC</t>
  </si>
  <si>
    <t>AGUGLIA</t>
  </si>
  <si>
    <t>PALMER</t>
  </si>
  <si>
    <t>CLIFTON</t>
  </si>
  <si>
    <t>AUDINO</t>
  </si>
  <si>
    <t>OLSON</t>
  </si>
  <si>
    <t>ZURAITIS</t>
  </si>
  <si>
    <t>RIGGAN</t>
  </si>
  <si>
    <t>BAXTER</t>
  </si>
  <si>
    <t>CABAN</t>
  </si>
  <si>
    <t>RITA</t>
  </si>
  <si>
    <t>PARROTT</t>
  </si>
  <si>
    <t>BILLIE</t>
  </si>
  <si>
    <t>DUNAVANT</t>
  </si>
  <si>
    <t>SCHUMANN</t>
  </si>
  <si>
    <t>MAK</t>
  </si>
  <si>
    <t>WILSON</t>
  </si>
  <si>
    <t>ABBOTT</t>
  </si>
  <si>
    <t>BREE</t>
  </si>
  <si>
    <t>HAMM</t>
  </si>
  <si>
    <t>WOOD</t>
  </si>
  <si>
    <t>VARGAS</t>
  </si>
  <si>
    <t>RAFAEL</t>
  </si>
  <si>
    <t>YUHASZ</t>
  </si>
  <si>
    <t>CASILLAS</t>
  </si>
  <si>
    <t>CAROLINA</t>
  </si>
  <si>
    <t>BOEYEN</t>
  </si>
  <si>
    <t>RAGUSA</t>
  </si>
  <si>
    <t>KARA</t>
  </si>
  <si>
    <t>JONES</t>
  </si>
  <si>
    <t>DEREK</t>
  </si>
  <si>
    <t>EYRIE</t>
  </si>
  <si>
    <t>MARZIPAN</t>
  </si>
  <si>
    <t>DOBLE</t>
  </si>
  <si>
    <t>MARIANO</t>
  </si>
  <si>
    <t>SPIEKER</t>
  </si>
  <si>
    <t>LANCE</t>
  </si>
  <si>
    <t>KATHRYN</t>
  </si>
  <si>
    <t>KHOLODOVICH</t>
  </si>
  <si>
    <t>ANDRII</t>
  </si>
  <si>
    <t>HANASH</t>
  </si>
  <si>
    <t>DAWOOD</t>
  </si>
  <si>
    <t>BUCKLEY</t>
  </si>
  <si>
    <t>PATRICIA</t>
  </si>
  <si>
    <t>GRUNHURD</t>
  </si>
  <si>
    <t>PECK</t>
  </si>
  <si>
    <t>RUSH</t>
  </si>
  <si>
    <t>ROE</t>
  </si>
  <si>
    <t>MARTA</t>
  </si>
  <si>
    <t>MARCO</t>
  </si>
  <si>
    <t>BLUHM</t>
  </si>
  <si>
    <t>JEFFREY</t>
  </si>
  <si>
    <t>PYLE</t>
  </si>
  <si>
    <t>DARREN</t>
  </si>
  <si>
    <t>MOSS</t>
  </si>
  <si>
    <t>LUGO</t>
  </si>
  <si>
    <t>JAVIER</t>
  </si>
  <si>
    <t>EAVES</t>
  </si>
  <si>
    <t>JIMMY</t>
  </si>
  <si>
    <t>HAMILTON</t>
  </si>
  <si>
    <t>LEAH</t>
  </si>
  <si>
    <t>DEAN</t>
  </si>
  <si>
    <t>SKIBINSKI</t>
  </si>
  <si>
    <t>DIANA</t>
  </si>
  <si>
    <t>SWAIN</t>
  </si>
  <si>
    <t>CHAMAIPORN</t>
  </si>
  <si>
    <t>HOWELL</t>
  </si>
  <si>
    <t>HUNT</t>
  </si>
  <si>
    <t>MANES</t>
  </si>
  <si>
    <t>SYLENA</t>
  </si>
  <si>
    <t>ESPINOZA</t>
  </si>
  <si>
    <t>JAZZMINE</t>
  </si>
  <si>
    <t>PANNA</t>
  </si>
  <si>
    <t>ADLER</t>
  </si>
  <si>
    <t>GOODMAN</t>
  </si>
  <si>
    <t>RUBEN</t>
  </si>
  <si>
    <t>LONNA</t>
  </si>
  <si>
    <t>DILLON</t>
  </si>
  <si>
    <t>STROHMAN</t>
  </si>
  <si>
    <t>EZNACK</t>
  </si>
  <si>
    <t>CHASE</t>
  </si>
  <si>
    <t>ABNEY</t>
  </si>
  <si>
    <t>MATT</t>
  </si>
  <si>
    <t>PURCELL</t>
  </si>
  <si>
    <t>REBECCA</t>
  </si>
  <si>
    <t>HERRERA-LARSEN</t>
  </si>
  <si>
    <t>ESTHER</t>
  </si>
  <si>
    <t>STERGIOU</t>
  </si>
  <si>
    <t>TIJERINA</t>
  </si>
  <si>
    <t>GARRETSON</t>
  </si>
  <si>
    <t>EVAN</t>
  </si>
  <si>
    <t>DEATON</t>
  </si>
  <si>
    <t>SCIUPIDER</t>
  </si>
  <si>
    <t>MAGDALENA</t>
  </si>
  <si>
    <t>TAMECIA</t>
  </si>
  <si>
    <t>JARVIS</t>
  </si>
  <si>
    <t>SHAHIN</t>
  </si>
  <si>
    <t>URIAS</t>
  </si>
  <si>
    <t>GEORGE</t>
  </si>
  <si>
    <t>JOANNE</t>
  </si>
  <si>
    <t>WEBER</t>
  </si>
  <si>
    <t>ESTER</t>
  </si>
  <si>
    <t>PELEGCOHEN</t>
  </si>
  <si>
    <t>SHAW</t>
  </si>
  <si>
    <t>NOAH</t>
  </si>
  <si>
    <t>HATELY</t>
  </si>
  <si>
    <t>RACHEL</t>
  </si>
  <si>
    <t>BYRD</t>
  </si>
  <si>
    <t>SHIPLEY</t>
  </si>
  <si>
    <t>JAYSON</t>
  </si>
  <si>
    <t>BEAKE</t>
  </si>
  <si>
    <t>BECKY</t>
  </si>
  <si>
    <t>FLEMING-SIEBENALER</t>
  </si>
  <si>
    <t>NAMIO</t>
  </si>
  <si>
    <t>DOWDLE</t>
  </si>
  <si>
    <t>HEDGESPETH</t>
  </si>
  <si>
    <t>SLOSS</t>
  </si>
  <si>
    <t>LAUREN</t>
  </si>
  <si>
    <t>ELIZABETH</t>
  </si>
  <si>
    <t>REYES-GUTIERREZ</t>
  </si>
  <si>
    <t>DOMAROTSKY</t>
  </si>
  <si>
    <t>LOVETT</t>
  </si>
  <si>
    <t>ANDRE</t>
  </si>
  <si>
    <t>BATTS</t>
  </si>
  <si>
    <t>KRISTYN</t>
  </si>
  <si>
    <t>FARRIS</t>
  </si>
  <si>
    <t>DAKOTA</t>
  </si>
  <si>
    <t>JIMENEZ</t>
  </si>
  <si>
    <t>MUKHIN</t>
  </si>
  <si>
    <t>TATYANA</t>
  </si>
  <si>
    <t>ROGERS</t>
  </si>
  <si>
    <t>RICHARDS</t>
  </si>
  <si>
    <t>JASMINE</t>
  </si>
  <si>
    <t>CHELSEA</t>
  </si>
  <si>
    <t>TALARICO</t>
  </si>
  <si>
    <t>BLACKWELL</t>
  </si>
  <si>
    <t>CORTNEY</t>
  </si>
  <si>
    <t>MIELKE</t>
  </si>
  <si>
    <t>ALYSSA</t>
  </si>
  <si>
    <t>PERRY</t>
  </si>
  <si>
    <t>MELANIE</t>
  </si>
  <si>
    <t>KRAUTER</t>
  </si>
  <si>
    <t>JEANNIE</t>
  </si>
  <si>
    <t>RAMSEY</t>
  </si>
  <si>
    <t>NOVAKOVSKA</t>
  </si>
  <si>
    <t>OLHA</t>
  </si>
  <si>
    <t>QUILLAN</t>
  </si>
  <si>
    <t>HANNIBAL</t>
  </si>
  <si>
    <t>SPICER</t>
  </si>
  <si>
    <t>BEATRIX</t>
  </si>
  <si>
    <t>EDELENBOS</t>
  </si>
  <si>
    <t>WALLI</t>
  </si>
  <si>
    <t>ERO</t>
  </si>
  <si>
    <t>GORSKI</t>
  </si>
  <si>
    <t>NATALIA</t>
  </si>
  <si>
    <t>FULLERTON</t>
  </si>
  <si>
    <t>ALBERT</t>
  </si>
  <si>
    <t>GLENN</t>
  </si>
  <si>
    <t>Life Association C OH</t>
  </si>
  <si>
    <t>Life Association Access (GI)</t>
  </si>
  <si>
    <t>COOK</t>
  </si>
  <si>
    <t>My LIFE Wellness 21038</t>
  </si>
  <si>
    <t>HANSON</t>
  </si>
  <si>
    <t>NHIC Specified Care Association</t>
  </si>
  <si>
    <t>LEMMON</t>
  </si>
  <si>
    <t>ROGALSKY</t>
  </si>
  <si>
    <t>KOHLER</t>
  </si>
  <si>
    <t>FIGUEROA</t>
  </si>
  <si>
    <t>PHILLIPS</t>
  </si>
  <si>
    <t>MARK</t>
  </si>
  <si>
    <t>SPALARIS</t>
  </si>
  <si>
    <t>NIKKI</t>
  </si>
  <si>
    <t>SOMOGIE</t>
  </si>
  <si>
    <t>SHILOH</t>
  </si>
  <si>
    <t>D'ORSANEO</t>
  </si>
  <si>
    <t>MASSIMINO</t>
  </si>
  <si>
    <t>ANTONIO</t>
  </si>
  <si>
    <t>DIDONATO</t>
  </si>
  <si>
    <t>JR</t>
  </si>
  <si>
    <t>WOLDEN</t>
  </si>
  <si>
    <t>SAMANTHA</t>
  </si>
  <si>
    <t>GAGLIARDOTTO</t>
  </si>
  <si>
    <t>DOMINIC</t>
  </si>
  <si>
    <t>SHEN</t>
  </si>
  <si>
    <t>LUCY</t>
  </si>
  <si>
    <t>REILLY</t>
  </si>
  <si>
    <t>ANGEL</t>
  </si>
  <si>
    <t>TREADWELL</t>
  </si>
  <si>
    <t>SHIPWASH</t>
  </si>
  <si>
    <t>HOWARD</t>
  </si>
  <si>
    <t>BLAKE</t>
  </si>
  <si>
    <t>ESCALANTE</t>
  </si>
  <si>
    <t>LAMIA</t>
  </si>
  <si>
    <t>KPOGO</t>
  </si>
  <si>
    <t>LOUISA</t>
  </si>
  <si>
    <t>CRISSINGER</t>
  </si>
  <si>
    <t>MONICA</t>
  </si>
  <si>
    <t>HENDRIX</t>
  </si>
  <si>
    <t>KNAPCIK</t>
  </si>
  <si>
    <t>AUSTIN</t>
  </si>
  <si>
    <t>ALDWIN</t>
  </si>
  <si>
    <t>GATZ</t>
  </si>
  <si>
    <t>FRANCHESCA</t>
  </si>
  <si>
    <t>WILLIS</t>
  </si>
  <si>
    <t>AYUSH</t>
  </si>
  <si>
    <t>TUNGALAG</t>
  </si>
  <si>
    <t>ENKHTUR</t>
  </si>
  <si>
    <t>ODMAA</t>
  </si>
  <si>
    <t>ANDERSON</t>
  </si>
  <si>
    <t>WILLIE</t>
  </si>
  <si>
    <t>MAGAZINE</t>
  </si>
  <si>
    <t>CASILHAS</t>
  </si>
  <si>
    <t>SHERYL</t>
  </si>
  <si>
    <t>IFEANYICHUKWU</t>
  </si>
  <si>
    <t>CRISTIAN</t>
  </si>
  <si>
    <t>CARR</t>
  </si>
  <si>
    <t>MARIA</t>
  </si>
  <si>
    <t>SECHSER</t>
  </si>
  <si>
    <t>BOERSMA</t>
  </si>
  <si>
    <t>NICOLE</t>
  </si>
  <si>
    <t>BRENNER</t>
  </si>
  <si>
    <t>BARRY</t>
  </si>
  <si>
    <t>BOWLES</t>
  </si>
  <si>
    <t>BUYANTOGTOKH</t>
  </si>
  <si>
    <t>NARANZUL</t>
  </si>
  <si>
    <t>KOMEN</t>
  </si>
  <si>
    <t>DARCY</t>
  </si>
  <si>
    <t>REGAN</t>
  </si>
  <si>
    <t>CASEY</t>
  </si>
  <si>
    <t>MANSOUR</t>
  </si>
  <si>
    <t>Abdul</t>
  </si>
  <si>
    <t>Saadia</t>
  </si>
  <si>
    <t>BAYASGALAN</t>
  </si>
  <si>
    <t>BATBOLD</t>
  </si>
  <si>
    <t>BATDELGER</t>
  </si>
  <si>
    <t>TSERENBAT</t>
  </si>
  <si>
    <t>HALFACRE</t>
  </si>
  <si>
    <t>Allen</t>
  </si>
  <si>
    <t>James</t>
  </si>
  <si>
    <t>ISAIAH</t>
  </si>
  <si>
    <t>HODGSON</t>
  </si>
  <si>
    <t>SIMS</t>
  </si>
  <si>
    <t>ROSA</t>
  </si>
  <si>
    <t>BURGENER</t>
  </si>
  <si>
    <t>FERNANDEZ</t>
  </si>
  <si>
    <t>APRIL</t>
  </si>
  <si>
    <t>CALSIE</t>
  </si>
  <si>
    <t>CONTRERAS</t>
  </si>
  <si>
    <t>MOSINSKI</t>
  </si>
  <si>
    <t>BALDAN</t>
  </si>
  <si>
    <t>OYUNCHIMEG</t>
  </si>
  <si>
    <t>PITTS</t>
  </si>
  <si>
    <t>LENA</t>
  </si>
  <si>
    <t>VINITSKI</t>
  </si>
  <si>
    <t>ABRAHAM</t>
  </si>
  <si>
    <t>APFEL</t>
  </si>
  <si>
    <t>MIRANDA</t>
  </si>
  <si>
    <t>MARILYN</t>
  </si>
  <si>
    <t>MORALES</t>
  </si>
  <si>
    <t>COLON</t>
  </si>
  <si>
    <t>TOWANNA</t>
  </si>
  <si>
    <t>ROBINSON</t>
  </si>
  <si>
    <t>PHENU</t>
  </si>
  <si>
    <t>ZACHARIAH</t>
  </si>
  <si>
    <t>MIKE</t>
  </si>
  <si>
    <t>RAINSBERGER</t>
  </si>
  <si>
    <t>FUSILERO</t>
  </si>
  <si>
    <t>SANTIAGO</t>
  </si>
  <si>
    <t>KLIS</t>
  </si>
  <si>
    <t>OSCAR</t>
  </si>
  <si>
    <t>FLORDELIZA</t>
  </si>
  <si>
    <t>GARCIA</t>
  </si>
  <si>
    <t>WASHINGTON</t>
  </si>
  <si>
    <t>JOHNATHAN</t>
  </si>
  <si>
    <t>LOWRY</t>
  </si>
  <si>
    <t>SCHAENZER</t>
  </si>
  <si>
    <t>HIMANSHA</t>
  </si>
  <si>
    <t>SWEENEY</t>
  </si>
  <si>
    <t>ALTANSOR</t>
  </si>
  <si>
    <t>NYAMBAATAR</t>
  </si>
  <si>
    <t>CHOINDONJAMTS</t>
  </si>
  <si>
    <t>GERELTOGTOKH</t>
  </si>
  <si>
    <t>VICKERS</t>
  </si>
  <si>
    <t>DONOVAN</t>
  </si>
  <si>
    <t>SKIPWORTH</t>
  </si>
  <si>
    <t>SIDNEY</t>
  </si>
  <si>
    <t>LUNDY</t>
  </si>
  <si>
    <t>MANGELS</t>
  </si>
  <si>
    <t>ANNON</t>
  </si>
  <si>
    <t>BRITTANY</t>
  </si>
  <si>
    <t>WELLS</t>
  </si>
  <si>
    <t>Weitzman</t>
  </si>
  <si>
    <t>Kenneth</t>
  </si>
  <si>
    <t>JESSICA</t>
  </si>
  <si>
    <t>PICKETT</t>
  </si>
  <si>
    <t>WYNNE</t>
  </si>
  <si>
    <t>CONLIN</t>
  </si>
  <si>
    <t>SCRANTON</t>
  </si>
  <si>
    <t>BEKEMEYER</t>
  </si>
  <si>
    <t>CORPORON</t>
  </si>
  <si>
    <t>SHERRI</t>
  </si>
  <si>
    <t>CHAVIS</t>
  </si>
  <si>
    <t>CLEE</t>
  </si>
  <si>
    <t>KASDI</t>
  </si>
  <si>
    <t>MAHMOUD</t>
  </si>
  <si>
    <t>REGULUS</t>
  </si>
  <si>
    <t>RASMUSSEN</t>
  </si>
  <si>
    <t>KIRILOVA</t>
  </si>
  <si>
    <t>KALINA</t>
  </si>
  <si>
    <t>VELMS</t>
  </si>
  <si>
    <t>COLEEN</t>
  </si>
  <si>
    <t>PORTER</t>
  </si>
  <si>
    <t>CHARLIE</t>
  </si>
  <si>
    <t>MORROW</t>
  </si>
  <si>
    <t>DESARAE</t>
  </si>
  <si>
    <t>ROMYN</t>
  </si>
  <si>
    <t>JONAS</t>
  </si>
  <si>
    <t>SULLIVAN</t>
  </si>
  <si>
    <t>DAIONA</t>
  </si>
  <si>
    <t>MANIGAULT</t>
  </si>
  <si>
    <t>ROSINE</t>
  </si>
  <si>
    <t>INGABIRE</t>
  </si>
  <si>
    <t>BARTOLOME</t>
  </si>
  <si>
    <t>MIRTA</t>
  </si>
  <si>
    <t>KAUPINIS</t>
  </si>
  <si>
    <t>JOAN</t>
  </si>
  <si>
    <t>TAGUE</t>
  </si>
  <si>
    <t>KENST</t>
  </si>
  <si>
    <t>CHERYL</t>
  </si>
  <si>
    <t>BETINOL</t>
  </si>
  <si>
    <t>TRINIDAD</t>
  </si>
  <si>
    <t>LANE</t>
  </si>
  <si>
    <t>THERESA</t>
  </si>
  <si>
    <t>CHISMAR</t>
  </si>
  <si>
    <t>COSTANZO</t>
  </si>
  <si>
    <t>JOYCE</t>
  </si>
  <si>
    <t>BELLAIRE</t>
  </si>
  <si>
    <t>BRYANT</t>
  </si>
  <si>
    <t>ANA</t>
  </si>
  <si>
    <t>NHIC LM 2021 SENIOR INDEMNITY 65+</t>
  </si>
  <si>
    <t>Life Association Standalone Bundled wLM</t>
  </si>
  <si>
    <t>MAYHEW</t>
  </si>
  <si>
    <t>KOHNE</t>
  </si>
  <si>
    <t>MAUREEN</t>
  </si>
  <si>
    <t>AWAN</t>
  </si>
  <si>
    <t>RASHID</t>
  </si>
  <si>
    <t>ALFORD</t>
  </si>
  <si>
    <t>RICCIARDI</t>
  </si>
  <si>
    <t>HOLETS</t>
  </si>
  <si>
    <t>DAVIS</t>
  </si>
  <si>
    <t>MCKEE</t>
  </si>
  <si>
    <t>SCHATZ</t>
  </si>
  <si>
    <t>RUDOLPH</t>
  </si>
  <si>
    <t>MEROW</t>
  </si>
  <si>
    <t>JODIE</t>
  </si>
  <si>
    <t>FORBES-SNIVELY</t>
  </si>
  <si>
    <t>JEANNE</t>
  </si>
  <si>
    <t>MASSUCCI</t>
  </si>
  <si>
    <t>JANEY</t>
  </si>
  <si>
    <t>O'NEILL</t>
  </si>
  <si>
    <t>CHURCHVILLE</t>
  </si>
  <si>
    <t>LOOMIS</t>
  </si>
  <si>
    <t>LUCIANA</t>
  </si>
  <si>
    <t>LYMAN</t>
  </si>
  <si>
    <t>LYNN</t>
  </si>
  <si>
    <t>FINKE</t>
  </si>
  <si>
    <t>HAYES</t>
  </si>
  <si>
    <t>JAQUEZ</t>
  </si>
  <si>
    <t>PEDRO</t>
  </si>
  <si>
    <t>ZIMMERMAN</t>
  </si>
  <si>
    <t>BECK</t>
  </si>
  <si>
    <t>TAWNI</t>
  </si>
  <si>
    <t>FENTON</t>
  </si>
  <si>
    <t>EDITH</t>
  </si>
  <si>
    <t>BAGGIANI</t>
  </si>
  <si>
    <t>BRUCE</t>
  </si>
  <si>
    <t>CRAIG</t>
  </si>
  <si>
    <t>SKIDMORE</t>
  </si>
  <si>
    <t>BONITA</t>
  </si>
  <si>
    <t>HRONOPOULOS</t>
  </si>
  <si>
    <t>LAUFF</t>
  </si>
  <si>
    <t>REESE</t>
  </si>
  <si>
    <t>SNIVELY</t>
  </si>
  <si>
    <t>HUNKELE</t>
  </si>
  <si>
    <t>LISBERG</t>
  </si>
  <si>
    <t>SCHANTZ</t>
  </si>
  <si>
    <t>CIPA</t>
  </si>
  <si>
    <t>GOTTUNG</t>
  </si>
  <si>
    <t>LYNNE</t>
  </si>
  <si>
    <t>WALLS</t>
  </si>
  <si>
    <t>RAFAT</t>
  </si>
  <si>
    <t>SULTANA</t>
  </si>
  <si>
    <t>FURRY</t>
  </si>
  <si>
    <t>LOWELL</t>
  </si>
  <si>
    <t>WOODS</t>
  </si>
  <si>
    <t>CALDERON</t>
  </si>
  <si>
    <t>FRANCISCO</t>
  </si>
  <si>
    <t>MAINIT</t>
  </si>
  <si>
    <t>MINDA</t>
  </si>
  <si>
    <t>CBK</t>
  </si>
  <si>
    <t>CURRIE</t>
  </si>
  <si>
    <t>NHIC NG0000 Statement 10/6/2025</t>
  </si>
  <si>
    <t>BUCK</t>
  </si>
  <si>
    <t>PERKINS</t>
  </si>
  <si>
    <t>CLARENCE</t>
  </si>
  <si>
    <t>BUREK</t>
  </si>
  <si>
    <t>KASEY</t>
  </si>
  <si>
    <t>FUNDERBURGH</t>
  </si>
  <si>
    <t>DENISE</t>
  </si>
  <si>
    <t>GRISSOM</t>
  </si>
  <si>
    <t>COTTER</t>
  </si>
  <si>
    <t>CAMP</t>
  </si>
  <si>
    <t>LIGHTFOOT</t>
  </si>
  <si>
    <t>JONATHAN</t>
  </si>
  <si>
    <t>CAVI</t>
  </si>
  <si>
    <t>DRESHER</t>
  </si>
  <si>
    <t>ANNETTE</t>
  </si>
  <si>
    <t>TREVINO</t>
  </si>
  <si>
    <t>MALONE</t>
  </si>
  <si>
    <t>NICHOLAS</t>
  </si>
  <si>
    <t>HOLLENDONNER</t>
  </si>
  <si>
    <t>Hodgman</t>
  </si>
  <si>
    <t>Timothy</t>
  </si>
  <si>
    <t>GABRIEL</t>
  </si>
  <si>
    <t>GREENBERG</t>
  </si>
  <si>
    <t>WATKINS</t>
  </si>
  <si>
    <t>EVANS</t>
  </si>
  <si>
    <t>GIAMPAPA</t>
  </si>
  <si>
    <t>LYNNSEY</t>
  </si>
  <si>
    <t>DANBY</t>
  </si>
  <si>
    <t>ROTILI</t>
  </si>
  <si>
    <t>FANTAYIJA</t>
  </si>
  <si>
    <t>SHARP</t>
  </si>
  <si>
    <t>OSBORNE</t>
  </si>
  <si>
    <t>GEISEN</t>
  </si>
  <si>
    <t>Roller</t>
  </si>
  <si>
    <t>Jason</t>
  </si>
  <si>
    <t>7470776AV6</t>
  </si>
  <si>
    <t>19586992AV6</t>
  </si>
  <si>
    <t>8325282AV6</t>
  </si>
  <si>
    <t>8814784AV6</t>
  </si>
  <si>
    <t>16865615AV6</t>
  </si>
  <si>
    <t>17117649AV6</t>
  </si>
  <si>
    <t>18201929AV6</t>
  </si>
  <si>
    <t>20212926AV6</t>
  </si>
  <si>
    <t>21421111AV6</t>
  </si>
  <si>
    <t>20724564AV6</t>
  </si>
  <si>
    <t>20220688AV6</t>
  </si>
  <si>
    <t>8405446AV6</t>
  </si>
  <si>
    <t>21648482AV6</t>
  </si>
  <si>
    <t>16633294AV6</t>
  </si>
  <si>
    <t>17126004AV6</t>
  </si>
  <si>
    <t>371819AV6</t>
  </si>
  <si>
    <t>21283956AV6</t>
  </si>
  <si>
    <t>21313588AV6</t>
  </si>
  <si>
    <t>Cancer and Heart-Stroke 20231</t>
  </si>
  <si>
    <t>Cancer and Heart-Stroke 20231 CO-FL-MN-MI</t>
  </si>
  <si>
    <t>Critical Illness with Term Life 21677</t>
  </si>
  <si>
    <t>17425766old</t>
  </si>
  <si>
    <t>17528908N</t>
  </si>
  <si>
    <t>My Life Wellness 21038</t>
  </si>
  <si>
    <t>Final Expense Life Insurance (Graded)</t>
  </si>
  <si>
    <t>Final Expense Life Insurance (Level)</t>
  </si>
  <si>
    <t>NHIC MedSupp 2022 IN Plan F G N Age 65-80</t>
  </si>
  <si>
    <t>NHIC MedSupp 2022 Plan F G Age 65-80</t>
  </si>
  <si>
    <t>NHIC MedSupp 2022 IL Plan F G 81+</t>
  </si>
  <si>
    <t>NHIC MedSupp 2022 Plan F G U65</t>
  </si>
  <si>
    <t>Allstate OVR</t>
  </si>
  <si>
    <t>STM and Association (where applicable) UT, VA</t>
  </si>
  <si>
    <t>Life Association C</t>
  </si>
  <si>
    <t>National General GI Access Plan-All States</t>
  </si>
  <si>
    <t>AV1</t>
  </si>
  <si>
    <t>AE</t>
  </si>
  <si>
    <t>Agent Name</t>
  </si>
  <si>
    <t>20003537old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</si>
</sst>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4999237037263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14" fontId="0" fillId="0" borderId="0" xfId="0" applyNumberFormat="1"/>
    <xf numFmtId="8" fontId="0" fillId="0" borderId="0" xfId="0" applyNumberFormat="1"/>
    <xf numFmtId="9" fontId="0" fillId="0" borderId="0" xfId="0" applyNumberFormat="1"/>
    <xf numFmtId="10" fontId="0" fillId="0" borderId="0" xfId="0" applyNumberFormat="1"/>
    <xf numFmtId="0" fontId="0" fillId="33" borderId="0" xfId="0" applyFill="1"/>
    <xf numFmtId="14" fontId="0" fillId="33" borderId="0" xfId="0" applyNumberFormat="1" applyFill="1"/>
    <xf numFmtId="8" fontId="0" fillId="33" borderId="0" xfId="0" applyNumberFormat="1" applyFill="1"/>
    <xf numFmtId="10" fontId="0" fillId="33" borderId="0" xfId="0" applyNumberFormat="1" applyFill="1"/>
    <xf numFmtId="9" fontId="0" fillId="33" borderId="0" xfId="0" applyNumberFormat="1" applyFill="1"/>
    <xf numFmtId="0" fontId="0" fillId="34" borderId="0" xfId="0" applyFill="1"/>
    <xf numFmtId="0" fontId="0" fillId="35" borderId="0" xfId="0" applyFill="1"/>
    <xf numFmtId="14" fontId="0" fillId="35" borderId="0" xfId="0" applyNumberFormat="1" applyFill="1"/>
    <xf numFmtId="8" fontId="0" fillId="35" borderId="0" xfId="0" applyNumberFormat="1" applyFill="1"/>
    <xf numFmtId="9" fontId="0" fillId="35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C4C12-01BF-4F4F-820D-FAEE4B8F5A51}">
  <dimension ref="A1:AV1146"/>
  <sheetViews>
    <sheetView tabSelected="1" workbookViewId="0">
      <pane ySplit="1" topLeftCell="A7" activePane="bottomLeft" state="frozen"/>
      <selection activeCell="T1" sqref="T1"/>
      <selection pane="bottomLeft" activeCell="I1" sqref="I1"/>
    </sheetView>
  </sheetViews>
  <sheetFormatPr defaultRowHeight="15" x14ac:dyDescent="0.25"/>
  <cols>
    <col min="1" max="1" width="27.28515625" bestFit="1" customWidth="1"/>
    <col min="2" max="2" width="5.140625" bestFit="1" customWidth="1"/>
    <col min="3" max="3" width="24.42578125" bestFit="1" customWidth="1"/>
    <col min="4" max="4" width="11" bestFit="1" customWidth="1"/>
    <col min="5" max="5" width="22.140625" bestFit="1" customWidth="1"/>
    <col min="6" max="6" width="22.42578125" bestFit="1" customWidth="1"/>
    <col min="7" max="7" width="22.85546875" bestFit="1" customWidth="1"/>
    <col min="8" max="8" width="5.28515625" bestFit="1" customWidth="1"/>
    <col min="9" max="9" width="20.28515625" bestFit="1" customWidth="1"/>
    <col min="10" max="10" width="42.42578125" bestFit="1" customWidth="1"/>
    <col min="11" max="11" width="15" bestFit="1" customWidth="1"/>
    <col min="12" max="12" width="16.28515625" bestFit="1" customWidth="1"/>
    <col min="13" max="13" width="13.85546875" bestFit="1" customWidth="1"/>
    <col min="14" max="14" width="12.140625" bestFit="1" customWidth="1"/>
    <col min="15" max="15" width="12.5703125" bestFit="1" customWidth="1"/>
    <col min="16" max="16" width="9.85546875" bestFit="1" customWidth="1"/>
    <col min="17" max="17" width="12" bestFit="1" customWidth="1"/>
    <col min="18" max="18" width="15.85546875" bestFit="1" customWidth="1"/>
    <col min="19" max="19" width="7.28515625" bestFit="1" customWidth="1"/>
    <col min="20" max="20" width="12.5703125" bestFit="1" customWidth="1"/>
    <col min="21" max="21" width="9.7109375" bestFit="1" customWidth="1"/>
    <col min="22" max="22" width="11.140625" bestFit="1" customWidth="1"/>
    <col min="23" max="23" width="9.85546875" bestFit="1" customWidth="1"/>
    <col min="24" max="24" width="13.85546875" bestFit="1" customWidth="1"/>
    <col min="25" max="25" width="8.28515625" bestFit="1" customWidth="1"/>
    <col min="26" max="26" width="15" bestFit="1" customWidth="1"/>
    <col min="27" max="27" width="12.140625" bestFit="1" customWidth="1"/>
    <col min="28" max="28" width="15.85546875" bestFit="1" customWidth="1"/>
    <col min="29" max="29" width="9.7109375" bestFit="1" customWidth="1"/>
    <col min="30" max="30" width="14.5703125" bestFit="1" customWidth="1"/>
    <col min="31" max="31" width="10.140625" bestFit="1" customWidth="1"/>
    <col min="32" max="32" width="11.42578125" bestFit="1" customWidth="1"/>
    <col min="33" max="33" width="13.28515625" bestFit="1" customWidth="1"/>
    <col min="34" max="34" width="14.140625" bestFit="1" customWidth="1"/>
    <col min="35" max="35" width="15.85546875" bestFit="1" customWidth="1"/>
    <col min="36" max="36" width="13.85546875" bestFit="1" customWidth="1"/>
    <col min="37" max="37" width="16.42578125" bestFit="1" customWidth="1"/>
    <col min="38" max="38" width="12.85546875" bestFit="1" customWidth="1"/>
    <col min="39" max="39" width="19" bestFit="1" customWidth="1"/>
    <col min="40" max="40" width="20.85546875" bestFit="1" customWidth="1"/>
    <col min="41" max="41" width="15.7109375" bestFit="1" customWidth="1"/>
    <col min="42" max="42" width="20" bestFit="1" customWidth="1"/>
    <col min="43" max="43" width="22.42578125" bestFit="1" customWidth="1"/>
    <col min="44" max="44" width="31.28515625" bestFit="1" customWidth="1"/>
    <col min="45" max="45" width="22" bestFit="1" customWidth="1"/>
    <col min="46" max="46" width="21.140625" bestFit="1" customWidth="1"/>
    <col min="47" max="47" width="17.7109375" bestFit="1" customWidth="1"/>
    <col min="48" max="48" width="11.42578125" bestFit="1" customWidth="1"/>
  </cols>
  <sheetData>
    <row r="1" spans="1:4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25">
      <c r="A2" s="1">
        <v>45936</v>
      </c>
      <c r="B2" t="s">
        <v>48</v>
      </c>
      <c r="C2">
        <v>649163</v>
      </c>
      <c r="D2">
        <v>2031106900</v>
      </c>
      <c r="E2" t="s">
        <v>49</v>
      </c>
      <c r="F2" t="s">
        <v>50</v>
      </c>
      <c r="G2" t="s">
        <v>51</v>
      </c>
      <c r="H2" t="s">
        <v>52</v>
      </c>
      <c r="I2" t="s">
        <v>53</v>
      </c>
      <c r="J2" t="s">
        <v>54</v>
      </c>
      <c r="K2">
        <v>884595</v>
      </c>
      <c r="L2" t="s">
        <v>55</v>
      </c>
      <c r="M2" t="s">
        <v>56</v>
      </c>
      <c r="N2" t="s">
        <v>57</v>
      </c>
      <c r="O2" s="1">
        <v>45931</v>
      </c>
      <c r="Q2" s="1">
        <v>45962</v>
      </c>
      <c r="R2" s="2">
        <v>64.510000000000005</v>
      </c>
      <c r="S2">
        <v>1</v>
      </c>
      <c r="T2" t="s">
        <v>58</v>
      </c>
      <c r="U2" t="s">
        <v>59</v>
      </c>
      <c r="V2" s="3">
        <v>0.6</v>
      </c>
      <c r="W2" s="2">
        <v>0</v>
      </c>
      <c r="X2">
        <v>0</v>
      </c>
      <c r="Y2" t="s">
        <v>60</v>
      </c>
      <c r="Z2" t="s">
        <v>61</v>
      </c>
      <c r="AA2">
        <v>6</v>
      </c>
      <c r="AB2" s="2">
        <v>232.26</v>
      </c>
      <c r="AC2" s="2">
        <v>0</v>
      </c>
      <c r="AD2" s="3">
        <v>0</v>
      </c>
      <c r="AE2" s="2">
        <v>0</v>
      </c>
      <c r="AF2" s="2">
        <v>0</v>
      </c>
      <c r="AG2" s="2">
        <v>0</v>
      </c>
      <c r="AH2" s="2">
        <v>0</v>
      </c>
      <c r="AI2" s="2">
        <v>0</v>
      </c>
      <c r="AJ2" s="2">
        <v>0</v>
      </c>
      <c r="AK2" s="2">
        <v>0</v>
      </c>
      <c r="AL2" s="2">
        <v>38.71</v>
      </c>
      <c r="AM2" s="2">
        <v>0</v>
      </c>
      <c r="AN2" s="2">
        <v>232.26</v>
      </c>
      <c r="AO2" s="2">
        <v>0</v>
      </c>
      <c r="AP2" s="2">
        <v>0</v>
      </c>
      <c r="AQ2" s="2">
        <v>0</v>
      </c>
    </row>
    <row r="3" spans="1:48" x14ac:dyDescent="0.25">
      <c r="A3" s="1">
        <v>45936</v>
      </c>
      <c r="B3" t="s">
        <v>48</v>
      </c>
      <c r="C3">
        <v>649163</v>
      </c>
      <c r="D3">
        <v>2031327778</v>
      </c>
      <c r="E3" t="s">
        <v>62</v>
      </c>
      <c r="F3" t="s">
        <v>63</v>
      </c>
      <c r="G3" t="s">
        <v>51</v>
      </c>
      <c r="H3" t="s">
        <v>64</v>
      </c>
      <c r="I3" t="s">
        <v>53</v>
      </c>
      <c r="J3" t="s">
        <v>65</v>
      </c>
      <c r="K3">
        <v>823350</v>
      </c>
      <c r="L3" t="s">
        <v>66</v>
      </c>
      <c r="M3" t="s">
        <v>67</v>
      </c>
      <c r="N3" t="s">
        <v>57</v>
      </c>
      <c r="O3" s="1">
        <v>45931</v>
      </c>
      <c r="Q3" s="1">
        <v>45962</v>
      </c>
      <c r="R3" s="2">
        <v>69.5</v>
      </c>
      <c r="S3">
        <v>1</v>
      </c>
      <c r="T3" t="s">
        <v>58</v>
      </c>
      <c r="U3" t="s">
        <v>59</v>
      </c>
      <c r="V3" s="3">
        <v>0.6</v>
      </c>
      <c r="W3" s="2">
        <v>0</v>
      </c>
      <c r="X3">
        <v>0</v>
      </c>
      <c r="Y3" t="s">
        <v>60</v>
      </c>
      <c r="Z3" t="s">
        <v>61</v>
      </c>
      <c r="AA3">
        <v>6</v>
      </c>
      <c r="AB3" s="2">
        <v>250.2</v>
      </c>
      <c r="AC3" s="2">
        <v>0</v>
      </c>
      <c r="AD3" s="3">
        <v>0</v>
      </c>
      <c r="AE3" s="2">
        <v>0</v>
      </c>
      <c r="AF3" s="2">
        <v>0</v>
      </c>
      <c r="AG3" s="2">
        <v>0</v>
      </c>
      <c r="AH3" s="2">
        <v>0</v>
      </c>
      <c r="AI3" s="2">
        <v>0</v>
      </c>
      <c r="AJ3" s="2">
        <v>0</v>
      </c>
      <c r="AK3" s="2">
        <v>0</v>
      </c>
      <c r="AL3" s="2">
        <v>41.7</v>
      </c>
      <c r="AM3" s="2">
        <v>0</v>
      </c>
      <c r="AN3" s="2">
        <v>250.2</v>
      </c>
      <c r="AO3" s="2">
        <v>0</v>
      </c>
      <c r="AP3" s="2">
        <v>0</v>
      </c>
      <c r="AQ3" s="2">
        <v>0</v>
      </c>
    </row>
    <row r="4" spans="1:48" x14ac:dyDescent="0.25">
      <c r="A4" s="1">
        <v>45936</v>
      </c>
      <c r="B4" t="s">
        <v>48</v>
      </c>
      <c r="C4">
        <v>649163</v>
      </c>
      <c r="D4">
        <v>2031333610</v>
      </c>
      <c r="E4" t="s">
        <v>68</v>
      </c>
      <c r="F4" t="s">
        <v>69</v>
      </c>
      <c r="G4" t="s">
        <v>51</v>
      </c>
      <c r="H4" t="s">
        <v>70</v>
      </c>
      <c r="I4" t="s">
        <v>53</v>
      </c>
      <c r="J4" t="s">
        <v>65</v>
      </c>
      <c r="K4">
        <v>751867</v>
      </c>
      <c r="L4" t="s">
        <v>71</v>
      </c>
      <c r="M4" t="s">
        <v>72</v>
      </c>
      <c r="N4" t="s">
        <v>57</v>
      </c>
      <c r="O4" s="1">
        <v>45931</v>
      </c>
      <c r="Q4" s="1">
        <v>45962</v>
      </c>
      <c r="R4" s="2">
        <v>46.45</v>
      </c>
      <c r="S4">
        <v>1</v>
      </c>
      <c r="T4" t="s">
        <v>58</v>
      </c>
      <c r="U4" t="s">
        <v>59</v>
      </c>
      <c r="V4" s="3">
        <v>0.6</v>
      </c>
      <c r="W4" s="2">
        <v>0</v>
      </c>
      <c r="X4">
        <v>0</v>
      </c>
      <c r="Y4" t="s">
        <v>60</v>
      </c>
      <c r="Z4" t="s">
        <v>61</v>
      </c>
      <c r="AA4">
        <v>6</v>
      </c>
      <c r="AB4" s="2">
        <v>167.22</v>
      </c>
      <c r="AC4" s="2">
        <v>0</v>
      </c>
      <c r="AD4" s="3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27.87</v>
      </c>
      <c r="AM4" s="2">
        <v>0</v>
      </c>
      <c r="AN4" s="2">
        <v>167.22</v>
      </c>
      <c r="AO4" s="2">
        <v>0</v>
      </c>
      <c r="AP4" s="2">
        <v>0</v>
      </c>
      <c r="AQ4" s="2">
        <v>0</v>
      </c>
    </row>
    <row r="5" spans="1:48" x14ac:dyDescent="0.25">
      <c r="A5" s="1">
        <v>45936</v>
      </c>
      <c r="B5" t="s">
        <v>48</v>
      </c>
      <c r="C5">
        <v>649163</v>
      </c>
      <c r="D5">
        <v>2031354346</v>
      </c>
      <c r="E5" t="s">
        <v>73</v>
      </c>
      <c r="F5" t="s">
        <v>74</v>
      </c>
      <c r="G5" t="s">
        <v>51</v>
      </c>
      <c r="H5" t="s">
        <v>70</v>
      </c>
      <c r="I5" t="s">
        <v>53</v>
      </c>
      <c r="J5" t="s">
        <v>65</v>
      </c>
      <c r="K5">
        <v>649247</v>
      </c>
      <c r="L5" t="s">
        <v>75</v>
      </c>
      <c r="M5" t="s">
        <v>76</v>
      </c>
      <c r="N5" t="s">
        <v>57</v>
      </c>
      <c r="O5" s="1">
        <v>45931</v>
      </c>
      <c r="Q5" s="1">
        <v>45962</v>
      </c>
      <c r="R5" s="2">
        <v>52.69</v>
      </c>
      <c r="S5">
        <v>1</v>
      </c>
      <c r="T5" t="s">
        <v>58</v>
      </c>
      <c r="U5" t="s">
        <v>59</v>
      </c>
      <c r="V5" s="3">
        <v>0.6</v>
      </c>
      <c r="W5" s="2">
        <v>0</v>
      </c>
      <c r="X5">
        <v>0</v>
      </c>
      <c r="Y5" t="s">
        <v>60</v>
      </c>
      <c r="Z5" t="s">
        <v>61</v>
      </c>
      <c r="AA5">
        <v>6</v>
      </c>
      <c r="AB5" s="2">
        <v>189.66</v>
      </c>
      <c r="AC5" s="2">
        <v>0</v>
      </c>
      <c r="AD5" s="3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31.61</v>
      </c>
      <c r="AM5" s="2">
        <v>0</v>
      </c>
      <c r="AN5" s="2">
        <v>189.66</v>
      </c>
      <c r="AO5" s="2">
        <v>0</v>
      </c>
      <c r="AP5" s="2">
        <v>0</v>
      </c>
      <c r="AQ5" s="2">
        <v>0</v>
      </c>
    </row>
    <row r="6" spans="1:48" x14ac:dyDescent="0.25">
      <c r="A6" s="1">
        <v>45936</v>
      </c>
      <c r="B6" t="s">
        <v>48</v>
      </c>
      <c r="C6">
        <v>649163</v>
      </c>
      <c r="D6">
        <v>2031358599</v>
      </c>
      <c r="E6" t="s">
        <v>77</v>
      </c>
      <c r="F6" t="s">
        <v>78</v>
      </c>
      <c r="G6" t="s">
        <v>51</v>
      </c>
      <c r="H6" t="s">
        <v>79</v>
      </c>
      <c r="I6" t="s">
        <v>53</v>
      </c>
      <c r="J6" t="s">
        <v>54</v>
      </c>
      <c r="K6">
        <v>673059</v>
      </c>
      <c r="L6" t="s">
        <v>80</v>
      </c>
      <c r="M6" t="s">
        <v>81</v>
      </c>
      <c r="N6" t="s">
        <v>57</v>
      </c>
      <c r="O6" s="1">
        <v>45931</v>
      </c>
      <c r="Q6" s="1">
        <v>45962</v>
      </c>
      <c r="R6" s="2">
        <v>37.81</v>
      </c>
      <c r="S6">
        <v>1</v>
      </c>
      <c r="T6" t="s">
        <v>58</v>
      </c>
      <c r="U6" t="s">
        <v>59</v>
      </c>
      <c r="V6" s="3">
        <v>0.6</v>
      </c>
      <c r="W6" s="2">
        <v>0</v>
      </c>
      <c r="X6">
        <v>0</v>
      </c>
      <c r="Y6" t="s">
        <v>60</v>
      </c>
      <c r="Z6" t="s">
        <v>61</v>
      </c>
      <c r="AA6">
        <v>6</v>
      </c>
      <c r="AB6" s="2">
        <v>136.13999999999999</v>
      </c>
      <c r="AC6" s="2">
        <v>0</v>
      </c>
      <c r="AD6" s="3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22.69</v>
      </c>
      <c r="AM6" s="2">
        <v>0</v>
      </c>
      <c r="AN6" s="2">
        <v>136.13999999999999</v>
      </c>
      <c r="AO6" s="2">
        <v>0</v>
      </c>
      <c r="AP6" s="2">
        <v>0</v>
      </c>
      <c r="AQ6" s="2">
        <v>0</v>
      </c>
    </row>
    <row r="7" spans="1:48" x14ac:dyDescent="0.25">
      <c r="A7" s="1">
        <v>45936</v>
      </c>
      <c r="B7" t="s">
        <v>48</v>
      </c>
      <c r="C7">
        <v>649163</v>
      </c>
      <c r="D7">
        <v>2031362149</v>
      </c>
      <c r="E7" t="s">
        <v>82</v>
      </c>
      <c r="F7" t="s">
        <v>83</v>
      </c>
      <c r="G7" t="s">
        <v>51</v>
      </c>
      <c r="H7" t="s">
        <v>70</v>
      </c>
      <c r="I7" t="s">
        <v>53</v>
      </c>
      <c r="J7" t="s">
        <v>54</v>
      </c>
      <c r="K7">
        <v>885445</v>
      </c>
      <c r="L7" t="s">
        <v>84</v>
      </c>
      <c r="M7" t="s">
        <v>85</v>
      </c>
      <c r="N7" t="s">
        <v>57</v>
      </c>
      <c r="O7" s="1">
        <v>45931</v>
      </c>
      <c r="Q7" s="1">
        <v>45962</v>
      </c>
      <c r="R7" s="2">
        <v>65.81</v>
      </c>
      <c r="S7">
        <v>1</v>
      </c>
      <c r="T7" t="s">
        <v>58</v>
      </c>
      <c r="U7" t="s">
        <v>59</v>
      </c>
      <c r="V7" s="3">
        <v>0.6</v>
      </c>
      <c r="W7" s="2">
        <v>0</v>
      </c>
      <c r="X7">
        <v>0</v>
      </c>
      <c r="Y7" t="s">
        <v>60</v>
      </c>
      <c r="Z7" t="s">
        <v>61</v>
      </c>
      <c r="AA7">
        <v>6</v>
      </c>
      <c r="AB7" s="2">
        <v>236.94</v>
      </c>
      <c r="AC7" s="2">
        <v>0</v>
      </c>
      <c r="AD7" s="3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39.49</v>
      </c>
      <c r="AM7" s="2">
        <v>0</v>
      </c>
      <c r="AN7" s="2">
        <v>236.94</v>
      </c>
      <c r="AO7" s="2">
        <v>0</v>
      </c>
      <c r="AP7" s="2">
        <v>0</v>
      </c>
      <c r="AQ7" s="2">
        <v>0</v>
      </c>
    </row>
    <row r="8" spans="1:48" x14ac:dyDescent="0.25">
      <c r="A8" s="1">
        <v>45936</v>
      </c>
      <c r="B8" t="s">
        <v>48</v>
      </c>
      <c r="C8">
        <v>649163</v>
      </c>
      <c r="D8">
        <v>2030453213</v>
      </c>
      <c r="E8" t="s">
        <v>86</v>
      </c>
      <c r="F8" t="s">
        <v>87</v>
      </c>
      <c r="G8" t="s">
        <v>51</v>
      </c>
      <c r="H8" t="s">
        <v>88</v>
      </c>
      <c r="I8" t="s">
        <v>89</v>
      </c>
      <c r="J8" t="s">
        <v>90</v>
      </c>
      <c r="K8">
        <v>812782</v>
      </c>
      <c r="L8" t="s">
        <v>91</v>
      </c>
      <c r="M8" t="s">
        <v>92</v>
      </c>
      <c r="N8" t="s">
        <v>57</v>
      </c>
      <c r="O8" s="1">
        <v>45931</v>
      </c>
      <c r="Q8" s="1">
        <v>45962</v>
      </c>
      <c r="R8" s="2">
        <v>18.46</v>
      </c>
      <c r="S8">
        <v>1</v>
      </c>
      <c r="T8" t="s">
        <v>58</v>
      </c>
      <c r="U8" t="s">
        <v>59</v>
      </c>
      <c r="V8" s="3">
        <v>0.65</v>
      </c>
      <c r="W8" s="2">
        <v>0</v>
      </c>
      <c r="X8">
        <v>0</v>
      </c>
      <c r="Y8" t="s">
        <v>60</v>
      </c>
      <c r="Z8" t="s">
        <v>61</v>
      </c>
      <c r="AA8">
        <v>6</v>
      </c>
      <c r="AB8" s="2">
        <v>72</v>
      </c>
      <c r="AC8" s="2">
        <v>0</v>
      </c>
      <c r="AD8" s="3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12</v>
      </c>
      <c r="AM8" s="2">
        <v>0</v>
      </c>
      <c r="AN8" s="2">
        <v>72</v>
      </c>
      <c r="AO8" s="2">
        <v>0</v>
      </c>
      <c r="AP8" s="2">
        <v>0</v>
      </c>
      <c r="AQ8" s="2">
        <v>0</v>
      </c>
    </row>
    <row r="9" spans="1:48" x14ac:dyDescent="0.25">
      <c r="A9" s="1">
        <v>45936</v>
      </c>
      <c r="B9" t="s">
        <v>48</v>
      </c>
      <c r="C9">
        <v>649163</v>
      </c>
      <c r="D9">
        <v>2030609830</v>
      </c>
      <c r="E9" t="s">
        <v>93</v>
      </c>
      <c r="F9" t="s">
        <v>94</v>
      </c>
      <c r="G9" t="s">
        <v>51</v>
      </c>
      <c r="H9" t="s">
        <v>95</v>
      </c>
      <c r="I9" t="s">
        <v>89</v>
      </c>
      <c r="J9" t="s">
        <v>96</v>
      </c>
      <c r="K9">
        <v>753748</v>
      </c>
      <c r="L9" t="s">
        <v>97</v>
      </c>
      <c r="M9" t="s">
        <v>98</v>
      </c>
      <c r="N9" t="s">
        <v>57</v>
      </c>
      <c r="O9" s="1">
        <v>45931</v>
      </c>
      <c r="Q9" s="1">
        <v>45962</v>
      </c>
      <c r="R9" s="2">
        <v>226.44</v>
      </c>
      <c r="S9">
        <v>1</v>
      </c>
      <c r="T9" t="s">
        <v>58</v>
      </c>
      <c r="U9" t="s">
        <v>59</v>
      </c>
      <c r="V9" s="3">
        <v>0.9</v>
      </c>
      <c r="W9" s="2">
        <v>0</v>
      </c>
      <c r="X9">
        <v>0</v>
      </c>
      <c r="Y9" t="s">
        <v>60</v>
      </c>
      <c r="Z9" t="s">
        <v>61</v>
      </c>
      <c r="AA9">
        <v>6</v>
      </c>
      <c r="AB9" s="2">
        <v>1222.8</v>
      </c>
      <c r="AC9" s="2">
        <v>0</v>
      </c>
      <c r="AD9" s="3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203.8</v>
      </c>
      <c r="AM9" s="2">
        <v>0</v>
      </c>
      <c r="AN9" s="2">
        <v>1222.8</v>
      </c>
      <c r="AO9" s="2">
        <v>0</v>
      </c>
      <c r="AP9" s="2">
        <v>0</v>
      </c>
      <c r="AQ9" s="2">
        <v>0</v>
      </c>
    </row>
    <row r="10" spans="1:48" x14ac:dyDescent="0.25">
      <c r="A10" s="1">
        <v>45936</v>
      </c>
      <c r="B10" t="s">
        <v>48</v>
      </c>
      <c r="C10">
        <v>649163</v>
      </c>
      <c r="D10">
        <v>2030719605</v>
      </c>
      <c r="E10" t="s">
        <v>99</v>
      </c>
      <c r="F10" t="s">
        <v>100</v>
      </c>
      <c r="G10" t="s">
        <v>51</v>
      </c>
      <c r="H10" t="s">
        <v>101</v>
      </c>
      <c r="I10" t="s">
        <v>89</v>
      </c>
      <c r="J10" t="s">
        <v>102</v>
      </c>
      <c r="K10">
        <v>673059</v>
      </c>
      <c r="L10" t="s">
        <v>80</v>
      </c>
      <c r="M10" t="s">
        <v>81</v>
      </c>
      <c r="N10" t="s">
        <v>57</v>
      </c>
      <c r="O10" s="1">
        <v>45931</v>
      </c>
      <c r="Q10" s="1">
        <v>45962</v>
      </c>
      <c r="R10" s="2">
        <v>16.54</v>
      </c>
      <c r="S10">
        <v>1</v>
      </c>
      <c r="T10" t="s">
        <v>58</v>
      </c>
      <c r="U10" t="s">
        <v>59</v>
      </c>
      <c r="V10" s="3">
        <v>0.75</v>
      </c>
      <c r="W10" s="2">
        <v>0</v>
      </c>
      <c r="X10">
        <v>0</v>
      </c>
      <c r="Y10" t="s">
        <v>60</v>
      </c>
      <c r="Z10" t="s">
        <v>61</v>
      </c>
      <c r="AA10">
        <v>6</v>
      </c>
      <c r="AB10" s="2">
        <v>74.400000000000006</v>
      </c>
      <c r="AC10" s="2">
        <v>0</v>
      </c>
      <c r="AD10" s="3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12.4</v>
      </c>
      <c r="AM10" s="2">
        <v>0</v>
      </c>
      <c r="AN10" s="2">
        <v>74.400000000000006</v>
      </c>
      <c r="AO10" s="2">
        <v>0</v>
      </c>
      <c r="AP10" s="2">
        <v>0</v>
      </c>
      <c r="AQ10" s="2">
        <v>0</v>
      </c>
    </row>
    <row r="11" spans="1:48" x14ac:dyDescent="0.25">
      <c r="A11" s="1">
        <v>45936</v>
      </c>
      <c r="B11" t="s">
        <v>48</v>
      </c>
      <c r="C11">
        <v>649163</v>
      </c>
      <c r="D11">
        <v>2030804311</v>
      </c>
      <c r="E11" t="s">
        <v>103</v>
      </c>
      <c r="F11" t="s">
        <v>104</v>
      </c>
      <c r="G11" t="s">
        <v>51</v>
      </c>
      <c r="H11" t="s">
        <v>105</v>
      </c>
      <c r="I11" t="s">
        <v>89</v>
      </c>
      <c r="J11" t="s">
        <v>96</v>
      </c>
      <c r="K11">
        <v>823068</v>
      </c>
      <c r="L11" t="s">
        <v>106</v>
      </c>
      <c r="M11" t="s">
        <v>107</v>
      </c>
      <c r="N11" t="s">
        <v>57</v>
      </c>
      <c r="O11" s="1">
        <v>45931</v>
      </c>
      <c r="Q11" s="1">
        <v>45962</v>
      </c>
      <c r="R11" s="2">
        <v>76.75</v>
      </c>
      <c r="S11">
        <v>1</v>
      </c>
      <c r="T11" t="s">
        <v>58</v>
      </c>
      <c r="U11" t="s">
        <v>59</v>
      </c>
      <c r="V11" s="3">
        <v>0.9</v>
      </c>
      <c r="W11" s="2">
        <v>0</v>
      </c>
      <c r="X11">
        <v>0</v>
      </c>
      <c r="Y11" t="s">
        <v>60</v>
      </c>
      <c r="Z11" t="s">
        <v>61</v>
      </c>
      <c r="AA11">
        <v>6</v>
      </c>
      <c r="AB11" s="2">
        <v>414.48</v>
      </c>
      <c r="AC11" s="2">
        <v>0</v>
      </c>
      <c r="AD11" s="3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69.08</v>
      </c>
      <c r="AM11" s="2">
        <v>0</v>
      </c>
      <c r="AN11" s="2">
        <v>414.48</v>
      </c>
      <c r="AO11" s="2">
        <v>0</v>
      </c>
      <c r="AP11" s="2">
        <v>0</v>
      </c>
      <c r="AQ11" s="2">
        <v>0</v>
      </c>
    </row>
    <row r="12" spans="1:48" x14ac:dyDescent="0.25">
      <c r="A12" s="1">
        <v>45936</v>
      </c>
      <c r="B12" t="s">
        <v>48</v>
      </c>
      <c r="C12">
        <v>649163</v>
      </c>
      <c r="D12">
        <v>2030806602</v>
      </c>
      <c r="E12" t="s">
        <v>108</v>
      </c>
      <c r="F12" t="s">
        <v>109</v>
      </c>
      <c r="G12" t="s">
        <v>51</v>
      </c>
      <c r="H12" t="s">
        <v>110</v>
      </c>
      <c r="I12" t="s">
        <v>89</v>
      </c>
      <c r="J12" t="s">
        <v>111</v>
      </c>
      <c r="K12">
        <v>651818</v>
      </c>
      <c r="L12" t="s">
        <v>112</v>
      </c>
      <c r="M12" t="s">
        <v>104</v>
      </c>
      <c r="N12" t="s">
        <v>57</v>
      </c>
      <c r="O12" s="1">
        <v>45936</v>
      </c>
      <c r="Q12" s="1">
        <v>45967</v>
      </c>
      <c r="R12" s="2">
        <v>26.73</v>
      </c>
      <c r="S12">
        <v>1</v>
      </c>
      <c r="T12" t="s">
        <v>58</v>
      </c>
      <c r="U12" t="s">
        <v>59</v>
      </c>
      <c r="V12" s="3">
        <v>0.75</v>
      </c>
      <c r="W12" s="2">
        <v>0</v>
      </c>
      <c r="X12">
        <v>0</v>
      </c>
      <c r="Y12" t="s">
        <v>60</v>
      </c>
      <c r="Z12" t="s">
        <v>61</v>
      </c>
      <c r="AA12">
        <v>6</v>
      </c>
      <c r="AB12" s="2">
        <v>120.3</v>
      </c>
      <c r="AC12" s="2">
        <v>0</v>
      </c>
      <c r="AD12" s="3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20.05</v>
      </c>
      <c r="AM12" s="2">
        <v>0</v>
      </c>
      <c r="AN12" s="2">
        <v>120.3</v>
      </c>
      <c r="AO12" s="2">
        <v>0</v>
      </c>
      <c r="AP12" s="2">
        <v>0</v>
      </c>
      <c r="AQ12" s="2">
        <v>0</v>
      </c>
    </row>
    <row r="13" spans="1:48" x14ac:dyDescent="0.25">
      <c r="A13" s="1">
        <v>45936</v>
      </c>
      <c r="B13" t="s">
        <v>48</v>
      </c>
      <c r="C13">
        <v>649163</v>
      </c>
      <c r="D13">
        <v>2030807438</v>
      </c>
      <c r="E13" t="s">
        <v>113</v>
      </c>
      <c r="F13" t="s">
        <v>114</v>
      </c>
      <c r="G13" t="s">
        <v>51</v>
      </c>
      <c r="H13" t="s">
        <v>115</v>
      </c>
      <c r="I13" t="s">
        <v>89</v>
      </c>
      <c r="J13" t="s">
        <v>116</v>
      </c>
      <c r="K13">
        <v>753748</v>
      </c>
      <c r="L13" t="s">
        <v>97</v>
      </c>
      <c r="M13" t="s">
        <v>98</v>
      </c>
      <c r="N13" t="s">
        <v>57</v>
      </c>
      <c r="O13" s="1">
        <v>45931</v>
      </c>
      <c r="Q13" s="1">
        <v>45962</v>
      </c>
      <c r="R13" s="2">
        <v>63.18</v>
      </c>
      <c r="S13">
        <v>1</v>
      </c>
      <c r="T13" t="s">
        <v>58</v>
      </c>
      <c r="U13" t="s">
        <v>59</v>
      </c>
      <c r="V13" s="3">
        <v>0.75</v>
      </c>
      <c r="W13" s="2">
        <v>0</v>
      </c>
      <c r="X13">
        <v>0</v>
      </c>
      <c r="Y13" t="s">
        <v>60</v>
      </c>
      <c r="Z13" t="s">
        <v>61</v>
      </c>
      <c r="AA13">
        <v>6</v>
      </c>
      <c r="AB13" s="2">
        <v>284.27999999999997</v>
      </c>
      <c r="AC13" s="2">
        <v>0</v>
      </c>
      <c r="AD13" s="3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47.38</v>
      </c>
      <c r="AM13" s="2">
        <v>0</v>
      </c>
      <c r="AN13" s="2">
        <v>284.27999999999997</v>
      </c>
      <c r="AO13" s="2">
        <v>0</v>
      </c>
      <c r="AP13" s="2">
        <v>0</v>
      </c>
      <c r="AQ13" s="2">
        <v>0</v>
      </c>
    </row>
    <row r="14" spans="1:48" x14ac:dyDescent="0.25">
      <c r="A14" s="1">
        <v>45936</v>
      </c>
      <c r="B14" t="s">
        <v>48</v>
      </c>
      <c r="C14">
        <v>649163</v>
      </c>
      <c r="D14">
        <v>2030816919</v>
      </c>
      <c r="E14" t="s">
        <v>117</v>
      </c>
      <c r="F14" t="s">
        <v>118</v>
      </c>
      <c r="G14" t="s">
        <v>51</v>
      </c>
      <c r="H14" t="s">
        <v>119</v>
      </c>
      <c r="I14" t="s">
        <v>89</v>
      </c>
      <c r="J14" t="s">
        <v>111</v>
      </c>
      <c r="K14">
        <v>651818</v>
      </c>
      <c r="L14" t="s">
        <v>112</v>
      </c>
      <c r="M14" t="s">
        <v>104</v>
      </c>
      <c r="N14" t="s">
        <v>57</v>
      </c>
      <c r="O14" s="1">
        <v>45936</v>
      </c>
      <c r="Q14" s="1">
        <v>45967</v>
      </c>
      <c r="R14" s="2">
        <v>43.75</v>
      </c>
      <c r="S14">
        <v>1</v>
      </c>
      <c r="T14" t="s">
        <v>58</v>
      </c>
      <c r="U14" t="s">
        <v>59</v>
      </c>
      <c r="V14" s="3">
        <v>0.75</v>
      </c>
      <c r="W14" s="2">
        <v>0</v>
      </c>
      <c r="X14">
        <v>0</v>
      </c>
      <c r="Y14" t="s">
        <v>60</v>
      </c>
      <c r="Z14" t="s">
        <v>61</v>
      </c>
      <c r="AA14">
        <v>6</v>
      </c>
      <c r="AB14" s="2">
        <v>196.86</v>
      </c>
      <c r="AC14" s="2">
        <v>0</v>
      </c>
      <c r="AD14" s="3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2">
        <v>32.81</v>
      </c>
      <c r="AM14" s="2">
        <v>0</v>
      </c>
      <c r="AN14" s="2">
        <v>196.86</v>
      </c>
      <c r="AO14" s="2">
        <v>0</v>
      </c>
      <c r="AP14" s="2">
        <v>0</v>
      </c>
      <c r="AQ14" s="2">
        <v>0</v>
      </c>
    </row>
    <row r="15" spans="1:48" x14ac:dyDescent="0.25">
      <c r="A15" s="1">
        <v>45936</v>
      </c>
      <c r="B15" t="s">
        <v>48</v>
      </c>
      <c r="C15">
        <v>649163</v>
      </c>
      <c r="D15">
        <v>2030820713</v>
      </c>
      <c r="E15" t="s">
        <v>120</v>
      </c>
      <c r="F15" t="s">
        <v>121</v>
      </c>
      <c r="G15" t="s">
        <v>51</v>
      </c>
      <c r="H15" t="s">
        <v>122</v>
      </c>
      <c r="I15" t="s">
        <v>89</v>
      </c>
      <c r="J15" t="s">
        <v>96</v>
      </c>
      <c r="K15">
        <v>651818</v>
      </c>
      <c r="L15" t="s">
        <v>112</v>
      </c>
      <c r="M15" t="s">
        <v>104</v>
      </c>
      <c r="N15" t="s">
        <v>57</v>
      </c>
      <c r="O15" s="1">
        <v>45936</v>
      </c>
      <c r="Q15" s="1">
        <v>45967</v>
      </c>
      <c r="R15" s="2">
        <v>61.25</v>
      </c>
      <c r="S15">
        <v>1</v>
      </c>
      <c r="T15" t="s">
        <v>58</v>
      </c>
      <c r="U15" t="s">
        <v>59</v>
      </c>
      <c r="V15" s="3">
        <v>0.9</v>
      </c>
      <c r="W15" s="2">
        <v>0</v>
      </c>
      <c r="X15">
        <v>0</v>
      </c>
      <c r="Y15" t="s">
        <v>60</v>
      </c>
      <c r="Z15" t="s">
        <v>61</v>
      </c>
      <c r="AA15">
        <v>6</v>
      </c>
      <c r="AB15" s="2">
        <v>330.72</v>
      </c>
      <c r="AC15" s="2">
        <v>0</v>
      </c>
      <c r="AD15" s="3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2">
        <v>55.12</v>
      </c>
      <c r="AM15" s="2">
        <v>0</v>
      </c>
      <c r="AN15" s="2">
        <v>330.72</v>
      </c>
      <c r="AO15" s="2">
        <v>0</v>
      </c>
      <c r="AP15" s="2">
        <v>0</v>
      </c>
      <c r="AQ15" s="2">
        <v>0</v>
      </c>
    </row>
    <row r="16" spans="1:48" x14ac:dyDescent="0.25">
      <c r="A16" s="1">
        <v>45936</v>
      </c>
      <c r="B16" t="s">
        <v>48</v>
      </c>
      <c r="C16">
        <v>649163</v>
      </c>
      <c r="D16">
        <v>2030880778</v>
      </c>
      <c r="E16" t="s">
        <v>123</v>
      </c>
      <c r="F16" t="s">
        <v>124</v>
      </c>
      <c r="G16" t="s">
        <v>51</v>
      </c>
      <c r="H16" t="s">
        <v>122</v>
      </c>
      <c r="I16" t="s">
        <v>89</v>
      </c>
      <c r="J16" t="s">
        <v>111</v>
      </c>
      <c r="K16">
        <v>753748</v>
      </c>
      <c r="L16" t="s">
        <v>97</v>
      </c>
      <c r="M16" t="s">
        <v>98</v>
      </c>
      <c r="N16" t="s">
        <v>57</v>
      </c>
      <c r="O16" s="1">
        <v>45931</v>
      </c>
      <c r="Q16" s="1">
        <v>45962</v>
      </c>
      <c r="R16" s="2">
        <v>27.93</v>
      </c>
      <c r="S16">
        <v>1</v>
      </c>
      <c r="T16" t="s">
        <v>58</v>
      </c>
      <c r="U16" t="s">
        <v>59</v>
      </c>
      <c r="V16" s="3">
        <v>0.75</v>
      </c>
      <c r="W16" s="2">
        <v>0</v>
      </c>
      <c r="X16">
        <v>0</v>
      </c>
      <c r="Y16" t="s">
        <v>60</v>
      </c>
      <c r="Z16" t="s">
        <v>61</v>
      </c>
      <c r="AA16">
        <v>6</v>
      </c>
      <c r="AB16" s="2">
        <v>125.7</v>
      </c>
      <c r="AC16" s="2">
        <v>0</v>
      </c>
      <c r="AD16" s="3">
        <v>0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 s="2">
        <v>0</v>
      </c>
      <c r="AL16" s="2">
        <v>20.95</v>
      </c>
      <c r="AM16" s="2">
        <v>0</v>
      </c>
      <c r="AN16" s="2">
        <v>125.7</v>
      </c>
      <c r="AO16" s="2">
        <v>0</v>
      </c>
      <c r="AP16" s="2">
        <v>0</v>
      </c>
      <c r="AQ16" s="2">
        <v>0</v>
      </c>
    </row>
    <row r="17" spans="1:43" x14ac:dyDescent="0.25">
      <c r="A17" s="1">
        <v>45936</v>
      </c>
      <c r="B17" t="s">
        <v>48</v>
      </c>
      <c r="C17">
        <v>649163</v>
      </c>
      <c r="D17">
        <v>2030903469</v>
      </c>
      <c r="E17" t="s">
        <v>125</v>
      </c>
      <c r="F17" t="s">
        <v>126</v>
      </c>
      <c r="G17" t="s">
        <v>51</v>
      </c>
      <c r="H17" t="s">
        <v>52</v>
      </c>
      <c r="I17" t="s">
        <v>89</v>
      </c>
      <c r="J17" t="s">
        <v>96</v>
      </c>
      <c r="K17">
        <v>753748</v>
      </c>
      <c r="L17" t="s">
        <v>97</v>
      </c>
      <c r="M17" t="s">
        <v>98</v>
      </c>
      <c r="N17" t="s">
        <v>57</v>
      </c>
      <c r="O17" s="1">
        <v>45931</v>
      </c>
      <c r="Q17" s="1">
        <v>45962</v>
      </c>
      <c r="R17" s="2">
        <v>110.38</v>
      </c>
      <c r="S17">
        <v>1</v>
      </c>
      <c r="T17" t="s">
        <v>58</v>
      </c>
      <c r="U17" t="s">
        <v>59</v>
      </c>
      <c r="V17" s="3">
        <v>0.9</v>
      </c>
      <c r="W17" s="2">
        <v>0</v>
      </c>
      <c r="X17">
        <v>0</v>
      </c>
      <c r="Y17" t="s">
        <v>60</v>
      </c>
      <c r="Z17" t="s">
        <v>61</v>
      </c>
      <c r="AA17">
        <v>6</v>
      </c>
      <c r="AB17" s="2">
        <v>596.04</v>
      </c>
      <c r="AC17" s="2">
        <v>0</v>
      </c>
      <c r="AD17" s="3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99.34</v>
      </c>
      <c r="AM17" s="2">
        <v>0</v>
      </c>
      <c r="AN17" s="2">
        <v>596.04</v>
      </c>
      <c r="AO17" s="2">
        <v>0</v>
      </c>
      <c r="AP17" s="2">
        <v>0</v>
      </c>
      <c r="AQ17" s="2">
        <v>0</v>
      </c>
    </row>
    <row r="18" spans="1:43" x14ac:dyDescent="0.25">
      <c r="A18" s="1">
        <v>45936</v>
      </c>
      <c r="B18" t="s">
        <v>48</v>
      </c>
      <c r="C18">
        <v>649163</v>
      </c>
      <c r="D18">
        <v>2030912029</v>
      </c>
      <c r="E18" t="s">
        <v>127</v>
      </c>
      <c r="F18" t="s">
        <v>128</v>
      </c>
      <c r="G18" t="s">
        <v>51</v>
      </c>
      <c r="H18" t="s">
        <v>129</v>
      </c>
      <c r="I18" t="s">
        <v>89</v>
      </c>
      <c r="J18" t="s">
        <v>96</v>
      </c>
      <c r="K18">
        <v>753748</v>
      </c>
      <c r="L18" t="s">
        <v>97</v>
      </c>
      <c r="M18" t="s">
        <v>98</v>
      </c>
      <c r="N18" t="s">
        <v>57</v>
      </c>
      <c r="O18" s="1">
        <v>45931</v>
      </c>
      <c r="Q18" s="1">
        <v>45962</v>
      </c>
      <c r="R18" s="2">
        <v>162.08000000000001</v>
      </c>
      <c r="S18">
        <v>1</v>
      </c>
      <c r="T18" t="s">
        <v>58</v>
      </c>
      <c r="U18" t="s">
        <v>59</v>
      </c>
      <c r="V18" s="3">
        <v>0.9</v>
      </c>
      <c r="W18" s="2">
        <v>0</v>
      </c>
      <c r="X18">
        <v>0</v>
      </c>
      <c r="Y18" t="s">
        <v>60</v>
      </c>
      <c r="Z18" t="s">
        <v>61</v>
      </c>
      <c r="AA18">
        <v>6</v>
      </c>
      <c r="AB18" s="2">
        <v>875.22</v>
      </c>
      <c r="AC18" s="2">
        <v>0</v>
      </c>
      <c r="AD18" s="3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145.87</v>
      </c>
      <c r="AM18" s="2">
        <v>0</v>
      </c>
      <c r="AN18" s="2">
        <v>875.22</v>
      </c>
      <c r="AO18" s="2">
        <v>0</v>
      </c>
      <c r="AP18" s="2">
        <v>0</v>
      </c>
      <c r="AQ18" s="2">
        <v>0</v>
      </c>
    </row>
    <row r="19" spans="1:43" x14ac:dyDescent="0.25">
      <c r="A19" s="1">
        <v>45936</v>
      </c>
      <c r="B19" t="s">
        <v>48</v>
      </c>
      <c r="C19">
        <v>649163</v>
      </c>
      <c r="D19">
        <v>2030948466</v>
      </c>
      <c r="E19" t="s">
        <v>130</v>
      </c>
      <c r="F19" t="s">
        <v>131</v>
      </c>
      <c r="G19" t="s">
        <v>51</v>
      </c>
      <c r="H19" t="s">
        <v>52</v>
      </c>
      <c r="I19" t="s">
        <v>89</v>
      </c>
      <c r="J19" t="s">
        <v>96</v>
      </c>
      <c r="K19">
        <v>651818</v>
      </c>
      <c r="L19" t="s">
        <v>112</v>
      </c>
      <c r="M19" t="s">
        <v>104</v>
      </c>
      <c r="N19" t="s">
        <v>57</v>
      </c>
      <c r="O19" s="1">
        <v>45936</v>
      </c>
      <c r="Q19" s="1">
        <v>45967</v>
      </c>
      <c r="R19" s="2">
        <v>180.92</v>
      </c>
      <c r="S19">
        <v>1</v>
      </c>
      <c r="T19" t="s">
        <v>58</v>
      </c>
      <c r="U19" t="s">
        <v>59</v>
      </c>
      <c r="V19" s="3">
        <v>0.9</v>
      </c>
      <c r="W19" s="2">
        <v>0</v>
      </c>
      <c r="X19">
        <v>0</v>
      </c>
      <c r="Y19" t="s">
        <v>60</v>
      </c>
      <c r="Z19" t="s">
        <v>61</v>
      </c>
      <c r="AA19">
        <v>6</v>
      </c>
      <c r="AB19" s="2">
        <v>976.98</v>
      </c>
      <c r="AC19" s="2">
        <v>0</v>
      </c>
      <c r="AD19" s="3">
        <v>0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162.83000000000001</v>
      </c>
      <c r="AM19" s="2">
        <v>0</v>
      </c>
      <c r="AN19" s="2">
        <v>976.98</v>
      </c>
      <c r="AO19" s="2">
        <v>0</v>
      </c>
      <c r="AP19" s="2">
        <v>0</v>
      </c>
      <c r="AQ19" s="2">
        <v>0</v>
      </c>
    </row>
    <row r="20" spans="1:43" x14ac:dyDescent="0.25">
      <c r="A20" s="1">
        <v>45936</v>
      </c>
      <c r="B20" t="s">
        <v>48</v>
      </c>
      <c r="C20">
        <v>649163</v>
      </c>
      <c r="D20">
        <v>2030969460</v>
      </c>
      <c r="E20" t="s">
        <v>132</v>
      </c>
      <c r="F20" t="s">
        <v>133</v>
      </c>
      <c r="G20" t="s">
        <v>51</v>
      </c>
      <c r="H20" t="s">
        <v>101</v>
      </c>
      <c r="I20" t="s">
        <v>89</v>
      </c>
      <c r="J20" t="s">
        <v>96</v>
      </c>
      <c r="K20">
        <v>820873</v>
      </c>
      <c r="L20" t="s">
        <v>134</v>
      </c>
      <c r="M20" t="s">
        <v>135</v>
      </c>
      <c r="N20" t="s">
        <v>57</v>
      </c>
      <c r="O20" s="1">
        <v>45935</v>
      </c>
      <c r="Q20" s="1">
        <v>45966</v>
      </c>
      <c r="R20" s="2">
        <v>14.71</v>
      </c>
      <c r="S20">
        <v>1</v>
      </c>
      <c r="T20" t="s">
        <v>58</v>
      </c>
      <c r="U20" t="s">
        <v>59</v>
      </c>
      <c r="V20" s="3">
        <v>0.9</v>
      </c>
      <c r="W20" s="2">
        <v>0</v>
      </c>
      <c r="X20">
        <v>0</v>
      </c>
      <c r="Y20" t="s">
        <v>60</v>
      </c>
      <c r="Z20" t="s">
        <v>61</v>
      </c>
      <c r="AA20">
        <v>6</v>
      </c>
      <c r="AB20" s="2">
        <v>79.44</v>
      </c>
      <c r="AC20" s="2">
        <v>0</v>
      </c>
      <c r="AD20" s="3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13.24</v>
      </c>
      <c r="AM20" s="2">
        <v>0</v>
      </c>
      <c r="AN20" s="2">
        <v>79.44</v>
      </c>
      <c r="AO20" s="2">
        <v>0</v>
      </c>
      <c r="AP20" s="2">
        <v>0</v>
      </c>
      <c r="AQ20" s="2">
        <v>0</v>
      </c>
    </row>
    <row r="21" spans="1:43" x14ac:dyDescent="0.25">
      <c r="A21" s="1">
        <v>45936</v>
      </c>
      <c r="B21" t="s">
        <v>48</v>
      </c>
      <c r="C21">
        <v>649163</v>
      </c>
      <c r="D21">
        <v>2030990681</v>
      </c>
      <c r="E21" t="s">
        <v>136</v>
      </c>
      <c r="F21" t="s">
        <v>137</v>
      </c>
      <c r="G21" t="s">
        <v>51</v>
      </c>
      <c r="H21" t="s">
        <v>52</v>
      </c>
      <c r="I21" t="s">
        <v>89</v>
      </c>
      <c r="J21" t="s">
        <v>111</v>
      </c>
      <c r="K21">
        <v>753748</v>
      </c>
      <c r="L21" t="s">
        <v>97</v>
      </c>
      <c r="M21" t="s">
        <v>98</v>
      </c>
      <c r="N21" t="s">
        <v>57</v>
      </c>
      <c r="O21" s="1">
        <v>45931</v>
      </c>
      <c r="Q21" s="1">
        <v>45962</v>
      </c>
      <c r="R21" s="2">
        <v>121.38</v>
      </c>
      <c r="S21">
        <v>1</v>
      </c>
      <c r="T21" t="s">
        <v>58</v>
      </c>
      <c r="U21" t="s">
        <v>59</v>
      </c>
      <c r="V21" s="3">
        <v>0.75</v>
      </c>
      <c r="W21" s="2">
        <v>0</v>
      </c>
      <c r="X21">
        <v>0</v>
      </c>
      <c r="Y21" t="s">
        <v>60</v>
      </c>
      <c r="Z21" t="s">
        <v>61</v>
      </c>
      <c r="AA21">
        <v>6</v>
      </c>
      <c r="AB21" s="2">
        <v>546.24</v>
      </c>
      <c r="AC21" s="2">
        <v>0</v>
      </c>
      <c r="AD21" s="3">
        <v>0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J21" s="2">
        <v>0</v>
      </c>
      <c r="AK21" s="2">
        <v>0</v>
      </c>
      <c r="AL21" s="2">
        <v>91.04</v>
      </c>
      <c r="AM21" s="2">
        <v>0</v>
      </c>
      <c r="AN21" s="2">
        <v>546.24</v>
      </c>
      <c r="AO21" s="2">
        <v>0</v>
      </c>
      <c r="AP21" s="2">
        <v>0</v>
      </c>
      <c r="AQ21" s="2">
        <v>0</v>
      </c>
    </row>
    <row r="22" spans="1:43" x14ac:dyDescent="0.25">
      <c r="A22" s="1">
        <v>45936</v>
      </c>
      <c r="B22" t="s">
        <v>48</v>
      </c>
      <c r="C22">
        <v>649163</v>
      </c>
      <c r="D22">
        <v>2031002562</v>
      </c>
      <c r="E22" t="s">
        <v>138</v>
      </c>
      <c r="F22" t="s">
        <v>139</v>
      </c>
      <c r="G22" t="s">
        <v>51</v>
      </c>
      <c r="H22" t="s">
        <v>101</v>
      </c>
      <c r="I22" t="s">
        <v>89</v>
      </c>
      <c r="J22" t="s">
        <v>102</v>
      </c>
      <c r="K22">
        <v>792847</v>
      </c>
      <c r="L22" t="s">
        <v>140</v>
      </c>
      <c r="M22" t="s">
        <v>141</v>
      </c>
      <c r="N22" t="s">
        <v>57</v>
      </c>
      <c r="O22" s="1">
        <v>45931</v>
      </c>
      <c r="Q22" s="1">
        <v>45962</v>
      </c>
      <c r="R22" s="2">
        <v>90.76</v>
      </c>
      <c r="S22">
        <v>1</v>
      </c>
      <c r="T22" t="s">
        <v>58</v>
      </c>
      <c r="U22" t="s">
        <v>59</v>
      </c>
      <c r="V22" s="3">
        <v>0.75</v>
      </c>
      <c r="W22" s="2">
        <v>0</v>
      </c>
      <c r="X22">
        <v>0</v>
      </c>
      <c r="Y22" t="s">
        <v>60</v>
      </c>
      <c r="Z22" t="s">
        <v>61</v>
      </c>
      <c r="AA22">
        <v>6</v>
      </c>
      <c r="AB22" s="2">
        <v>408.42</v>
      </c>
      <c r="AC22" s="2">
        <v>0</v>
      </c>
      <c r="AD22" s="3">
        <v>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2">
        <v>0</v>
      </c>
      <c r="AL22" s="2">
        <v>68.069999999999993</v>
      </c>
      <c r="AM22" s="2">
        <v>0</v>
      </c>
      <c r="AN22" s="2">
        <v>408.42</v>
      </c>
      <c r="AO22" s="2">
        <v>0</v>
      </c>
      <c r="AP22" s="2">
        <v>0</v>
      </c>
      <c r="AQ22" s="2">
        <v>0</v>
      </c>
    </row>
    <row r="23" spans="1:43" x14ac:dyDescent="0.25">
      <c r="A23" s="1">
        <v>45936</v>
      </c>
      <c r="B23" t="s">
        <v>48</v>
      </c>
      <c r="C23">
        <v>649163</v>
      </c>
      <c r="D23">
        <v>2031014066</v>
      </c>
      <c r="E23" t="s">
        <v>142</v>
      </c>
      <c r="F23" t="s">
        <v>143</v>
      </c>
      <c r="G23" t="s">
        <v>51</v>
      </c>
      <c r="H23" t="s">
        <v>110</v>
      </c>
      <c r="I23" t="s">
        <v>89</v>
      </c>
      <c r="J23" t="s">
        <v>111</v>
      </c>
      <c r="K23">
        <v>651818</v>
      </c>
      <c r="L23" t="s">
        <v>112</v>
      </c>
      <c r="M23" t="s">
        <v>104</v>
      </c>
      <c r="N23" t="s">
        <v>57</v>
      </c>
      <c r="O23" s="1">
        <v>45936</v>
      </c>
      <c r="Q23" s="1">
        <v>45967</v>
      </c>
      <c r="R23" s="2">
        <v>118.83</v>
      </c>
      <c r="S23">
        <v>1</v>
      </c>
      <c r="T23" t="s">
        <v>58</v>
      </c>
      <c r="U23" t="s">
        <v>59</v>
      </c>
      <c r="V23" s="3">
        <v>0.75</v>
      </c>
      <c r="W23" s="2">
        <v>0</v>
      </c>
      <c r="X23">
        <v>0</v>
      </c>
      <c r="Y23" t="s">
        <v>60</v>
      </c>
      <c r="Z23" t="s">
        <v>61</v>
      </c>
      <c r="AA23">
        <v>6</v>
      </c>
      <c r="AB23" s="2">
        <v>534.72</v>
      </c>
      <c r="AC23" s="2">
        <v>0</v>
      </c>
      <c r="AD23" s="3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0</v>
      </c>
      <c r="AL23" s="2">
        <v>89.12</v>
      </c>
      <c r="AM23" s="2">
        <v>0</v>
      </c>
      <c r="AN23" s="2">
        <v>534.72</v>
      </c>
      <c r="AO23" s="2">
        <v>0</v>
      </c>
      <c r="AP23" s="2">
        <v>0</v>
      </c>
      <c r="AQ23" s="2">
        <v>0</v>
      </c>
    </row>
    <row r="24" spans="1:43" x14ac:dyDescent="0.25">
      <c r="A24" s="1">
        <v>45936</v>
      </c>
      <c r="B24" t="s">
        <v>48</v>
      </c>
      <c r="C24">
        <v>649163</v>
      </c>
      <c r="D24">
        <v>2031081022</v>
      </c>
      <c r="E24" t="s">
        <v>144</v>
      </c>
      <c r="F24" t="s">
        <v>145</v>
      </c>
      <c r="G24" t="s">
        <v>51</v>
      </c>
      <c r="H24" t="s">
        <v>64</v>
      </c>
      <c r="I24" t="s">
        <v>89</v>
      </c>
      <c r="J24" t="s">
        <v>96</v>
      </c>
      <c r="K24">
        <v>822865</v>
      </c>
      <c r="L24" t="s">
        <v>146</v>
      </c>
      <c r="M24" t="s">
        <v>147</v>
      </c>
      <c r="N24" t="s">
        <v>57</v>
      </c>
      <c r="O24" s="1">
        <v>45932</v>
      </c>
      <c r="Q24" s="1">
        <v>45963</v>
      </c>
      <c r="R24" s="2">
        <v>51.21</v>
      </c>
      <c r="S24">
        <v>1</v>
      </c>
      <c r="T24" t="s">
        <v>58</v>
      </c>
      <c r="U24" t="s">
        <v>59</v>
      </c>
      <c r="V24" s="3">
        <v>0.9</v>
      </c>
      <c r="W24" s="2">
        <v>0</v>
      </c>
      <c r="X24">
        <v>0</v>
      </c>
      <c r="Y24" t="s">
        <v>60</v>
      </c>
      <c r="Z24" t="s">
        <v>61</v>
      </c>
      <c r="AA24">
        <v>6</v>
      </c>
      <c r="AB24" s="2">
        <v>276.54000000000002</v>
      </c>
      <c r="AC24" s="2">
        <v>0</v>
      </c>
      <c r="AD24" s="3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46.09</v>
      </c>
      <c r="AM24" s="2">
        <v>0</v>
      </c>
      <c r="AN24" s="2">
        <v>276.54000000000002</v>
      </c>
      <c r="AO24" s="2">
        <v>0</v>
      </c>
      <c r="AP24" s="2">
        <v>0</v>
      </c>
      <c r="AQ24" s="2">
        <v>0</v>
      </c>
    </row>
    <row r="25" spans="1:43" x14ac:dyDescent="0.25">
      <c r="A25" s="1">
        <v>45936</v>
      </c>
      <c r="B25" t="s">
        <v>48</v>
      </c>
      <c r="C25">
        <v>649163</v>
      </c>
      <c r="D25">
        <v>2031091279</v>
      </c>
      <c r="E25" t="s">
        <v>148</v>
      </c>
      <c r="F25" t="s">
        <v>149</v>
      </c>
      <c r="G25" t="s">
        <v>51</v>
      </c>
      <c r="H25" t="s">
        <v>150</v>
      </c>
      <c r="I25" t="s">
        <v>89</v>
      </c>
      <c r="J25" t="s">
        <v>111</v>
      </c>
      <c r="K25">
        <v>877790</v>
      </c>
      <c r="L25" t="s">
        <v>151</v>
      </c>
      <c r="M25" t="s">
        <v>152</v>
      </c>
      <c r="N25" t="s">
        <v>57</v>
      </c>
      <c r="O25" s="1">
        <v>45931</v>
      </c>
      <c r="Q25" s="1">
        <v>45962</v>
      </c>
      <c r="R25" s="2">
        <v>48.55</v>
      </c>
      <c r="S25">
        <v>1</v>
      </c>
      <c r="T25" t="s">
        <v>58</v>
      </c>
      <c r="U25" t="s">
        <v>59</v>
      </c>
      <c r="V25" s="3">
        <v>0.75</v>
      </c>
      <c r="W25" s="2">
        <v>0</v>
      </c>
      <c r="X25">
        <v>0</v>
      </c>
      <c r="Y25" t="s">
        <v>60</v>
      </c>
      <c r="Z25" t="s">
        <v>61</v>
      </c>
      <c r="AA25">
        <v>6</v>
      </c>
      <c r="AB25" s="2">
        <v>218.46</v>
      </c>
      <c r="AC25" s="2">
        <v>0</v>
      </c>
      <c r="AD25" s="3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36.409999999999997</v>
      </c>
      <c r="AM25" s="2">
        <v>0</v>
      </c>
      <c r="AN25" s="2">
        <v>218.46</v>
      </c>
      <c r="AO25" s="2">
        <v>0</v>
      </c>
      <c r="AP25" s="2">
        <v>0</v>
      </c>
      <c r="AQ25" s="2">
        <v>0</v>
      </c>
    </row>
    <row r="26" spans="1:43" x14ac:dyDescent="0.25">
      <c r="A26" s="1">
        <v>45936</v>
      </c>
      <c r="B26" t="s">
        <v>48</v>
      </c>
      <c r="C26">
        <v>649163</v>
      </c>
      <c r="D26">
        <v>2031179747</v>
      </c>
      <c r="E26" t="s">
        <v>153</v>
      </c>
      <c r="F26" t="s">
        <v>154</v>
      </c>
      <c r="G26" t="s">
        <v>51</v>
      </c>
      <c r="H26" t="s">
        <v>155</v>
      </c>
      <c r="I26" t="s">
        <v>89</v>
      </c>
      <c r="J26" t="s">
        <v>102</v>
      </c>
      <c r="K26">
        <v>856163</v>
      </c>
      <c r="L26" t="s">
        <v>66</v>
      </c>
      <c r="M26" t="s">
        <v>156</v>
      </c>
      <c r="N26" t="s">
        <v>57</v>
      </c>
      <c r="O26" s="1">
        <v>45931</v>
      </c>
      <c r="Q26" s="1">
        <v>45962</v>
      </c>
      <c r="R26" s="2">
        <v>160.87</v>
      </c>
      <c r="S26">
        <v>1</v>
      </c>
      <c r="T26" t="s">
        <v>58</v>
      </c>
      <c r="U26" t="s">
        <v>59</v>
      </c>
      <c r="V26" s="3">
        <v>0.75</v>
      </c>
      <c r="W26" s="2">
        <v>0</v>
      </c>
      <c r="X26">
        <v>0</v>
      </c>
      <c r="Y26" t="s">
        <v>60</v>
      </c>
      <c r="Z26" t="s">
        <v>61</v>
      </c>
      <c r="AA26">
        <v>6</v>
      </c>
      <c r="AB26" s="2">
        <v>723.9</v>
      </c>
      <c r="AC26" s="2">
        <v>0</v>
      </c>
      <c r="AD26" s="3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120.65</v>
      </c>
      <c r="AM26" s="2">
        <v>0</v>
      </c>
      <c r="AN26" s="2">
        <v>723.9</v>
      </c>
      <c r="AO26" s="2">
        <v>0</v>
      </c>
      <c r="AP26" s="2">
        <v>0</v>
      </c>
      <c r="AQ26" s="2">
        <v>0</v>
      </c>
    </row>
    <row r="27" spans="1:43" x14ac:dyDescent="0.25">
      <c r="A27" s="1">
        <v>45936</v>
      </c>
      <c r="B27" t="s">
        <v>48</v>
      </c>
      <c r="C27">
        <v>649163</v>
      </c>
      <c r="D27">
        <v>2031192062</v>
      </c>
      <c r="E27" t="s">
        <v>157</v>
      </c>
      <c r="F27" t="s">
        <v>158</v>
      </c>
      <c r="G27" t="s">
        <v>51</v>
      </c>
      <c r="H27" t="s">
        <v>159</v>
      </c>
      <c r="I27" t="s">
        <v>89</v>
      </c>
      <c r="J27" t="s">
        <v>96</v>
      </c>
      <c r="K27">
        <v>651818</v>
      </c>
      <c r="L27" t="s">
        <v>112</v>
      </c>
      <c r="M27" t="s">
        <v>104</v>
      </c>
      <c r="N27" t="s">
        <v>57</v>
      </c>
      <c r="O27" s="1">
        <v>45936</v>
      </c>
      <c r="Q27" s="1">
        <v>45967</v>
      </c>
      <c r="R27" s="2">
        <v>240.76</v>
      </c>
      <c r="S27">
        <v>1</v>
      </c>
      <c r="T27" t="s">
        <v>58</v>
      </c>
      <c r="U27" t="s">
        <v>59</v>
      </c>
      <c r="V27" s="3">
        <v>0.9</v>
      </c>
      <c r="W27" s="2">
        <v>0</v>
      </c>
      <c r="X27">
        <v>0</v>
      </c>
      <c r="Y27" t="s">
        <v>60</v>
      </c>
      <c r="Z27" t="s">
        <v>61</v>
      </c>
      <c r="AA27">
        <v>6</v>
      </c>
      <c r="AB27" s="2">
        <v>1300.08</v>
      </c>
      <c r="AC27" s="2">
        <v>0</v>
      </c>
      <c r="AD27" s="3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216.68</v>
      </c>
      <c r="AM27" s="2">
        <v>0</v>
      </c>
      <c r="AN27" s="2">
        <v>1300.08</v>
      </c>
      <c r="AO27" s="2">
        <v>0</v>
      </c>
      <c r="AP27" s="2">
        <v>0</v>
      </c>
      <c r="AQ27" s="2">
        <v>0</v>
      </c>
    </row>
    <row r="28" spans="1:43" x14ac:dyDescent="0.25">
      <c r="A28" s="1">
        <v>45936</v>
      </c>
      <c r="B28" t="s">
        <v>48</v>
      </c>
      <c r="C28">
        <v>649163</v>
      </c>
      <c r="D28">
        <v>2031223341</v>
      </c>
      <c r="E28" t="s">
        <v>160</v>
      </c>
      <c r="F28" t="s">
        <v>161</v>
      </c>
      <c r="G28" t="s">
        <v>51</v>
      </c>
      <c r="H28" t="s">
        <v>150</v>
      </c>
      <c r="I28" t="s">
        <v>89</v>
      </c>
      <c r="J28" t="s">
        <v>96</v>
      </c>
      <c r="K28">
        <v>877790</v>
      </c>
      <c r="L28" t="s">
        <v>151</v>
      </c>
      <c r="M28" t="s">
        <v>152</v>
      </c>
      <c r="N28" t="s">
        <v>57</v>
      </c>
      <c r="O28" s="1">
        <v>45931</v>
      </c>
      <c r="Q28" s="1">
        <v>45962</v>
      </c>
      <c r="R28" s="2">
        <v>101.93</v>
      </c>
      <c r="S28">
        <v>1</v>
      </c>
      <c r="T28" t="s">
        <v>58</v>
      </c>
      <c r="U28" t="s">
        <v>59</v>
      </c>
      <c r="V28" s="3">
        <v>0.9</v>
      </c>
      <c r="W28" s="2">
        <v>0</v>
      </c>
      <c r="X28">
        <v>0</v>
      </c>
      <c r="Y28" t="s">
        <v>60</v>
      </c>
      <c r="Z28" t="s">
        <v>61</v>
      </c>
      <c r="AA28">
        <v>6</v>
      </c>
      <c r="AB28" s="2">
        <v>550.44000000000005</v>
      </c>
      <c r="AC28" s="2">
        <v>0</v>
      </c>
      <c r="AD28" s="3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91.74</v>
      </c>
      <c r="AM28" s="2">
        <v>0</v>
      </c>
      <c r="AN28" s="2">
        <v>550.44000000000005</v>
      </c>
      <c r="AO28" s="2">
        <v>0</v>
      </c>
      <c r="AP28" s="2">
        <v>0</v>
      </c>
      <c r="AQ28" s="2">
        <v>0</v>
      </c>
    </row>
    <row r="29" spans="1:43" x14ac:dyDescent="0.25">
      <c r="A29" s="1">
        <v>45936</v>
      </c>
      <c r="B29" t="s">
        <v>48</v>
      </c>
      <c r="C29">
        <v>649163</v>
      </c>
      <c r="D29">
        <v>2031246838</v>
      </c>
      <c r="E29" t="s">
        <v>162</v>
      </c>
      <c r="F29" t="s">
        <v>163</v>
      </c>
      <c r="G29" t="s">
        <v>51</v>
      </c>
      <c r="H29" t="s">
        <v>159</v>
      </c>
      <c r="I29" t="s">
        <v>89</v>
      </c>
      <c r="J29" t="s">
        <v>96</v>
      </c>
      <c r="K29">
        <v>651818</v>
      </c>
      <c r="L29" t="s">
        <v>112</v>
      </c>
      <c r="M29" t="s">
        <v>104</v>
      </c>
      <c r="N29" t="s">
        <v>57</v>
      </c>
      <c r="O29" s="1">
        <v>45936</v>
      </c>
      <c r="Q29" s="1">
        <v>45967</v>
      </c>
      <c r="R29" s="2">
        <v>121.41</v>
      </c>
      <c r="S29">
        <v>1</v>
      </c>
      <c r="T29" t="s">
        <v>58</v>
      </c>
      <c r="U29" t="s">
        <v>59</v>
      </c>
      <c r="V29" s="3">
        <v>0.9</v>
      </c>
      <c r="W29" s="2">
        <v>0</v>
      </c>
      <c r="X29">
        <v>0</v>
      </c>
      <c r="Y29" t="s">
        <v>60</v>
      </c>
      <c r="Z29" t="s">
        <v>61</v>
      </c>
      <c r="AA29">
        <v>6</v>
      </c>
      <c r="AB29" s="2">
        <v>655.62</v>
      </c>
      <c r="AC29" s="2">
        <v>0</v>
      </c>
      <c r="AD29" s="3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109.27</v>
      </c>
      <c r="AM29" s="2">
        <v>0</v>
      </c>
      <c r="AN29" s="2">
        <v>655.62</v>
      </c>
      <c r="AO29" s="2">
        <v>0</v>
      </c>
      <c r="AP29" s="2">
        <v>0</v>
      </c>
      <c r="AQ29" s="2">
        <v>0</v>
      </c>
    </row>
    <row r="30" spans="1:43" x14ac:dyDescent="0.25">
      <c r="A30" s="1">
        <v>45936</v>
      </c>
      <c r="B30" t="s">
        <v>48</v>
      </c>
      <c r="C30">
        <v>649163</v>
      </c>
      <c r="D30">
        <v>2031247582</v>
      </c>
      <c r="E30" t="s">
        <v>164</v>
      </c>
      <c r="F30" t="s">
        <v>165</v>
      </c>
      <c r="G30" t="s">
        <v>51</v>
      </c>
      <c r="H30" t="s">
        <v>101</v>
      </c>
      <c r="I30" t="s">
        <v>89</v>
      </c>
      <c r="J30" t="s">
        <v>96</v>
      </c>
      <c r="K30">
        <v>651818</v>
      </c>
      <c r="L30" t="s">
        <v>112</v>
      </c>
      <c r="M30" t="s">
        <v>104</v>
      </c>
      <c r="N30" t="s">
        <v>57</v>
      </c>
      <c r="O30" s="1">
        <v>45936</v>
      </c>
      <c r="Q30" s="1">
        <v>45967</v>
      </c>
      <c r="R30" s="2">
        <v>135.33000000000001</v>
      </c>
      <c r="S30">
        <v>1</v>
      </c>
      <c r="T30" t="s">
        <v>58</v>
      </c>
      <c r="U30" t="s">
        <v>59</v>
      </c>
      <c r="V30" s="3">
        <v>0.9</v>
      </c>
      <c r="W30" s="2">
        <v>0</v>
      </c>
      <c r="X30">
        <v>0</v>
      </c>
      <c r="Y30" t="s">
        <v>60</v>
      </c>
      <c r="Z30" t="s">
        <v>61</v>
      </c>
      <c r="AA30">
        <v>6</v>
      </c>
      <c r="AB30" s="2">
        <v>730.8</v>
      </c>
      <c r="AC30" s="2">
        <v>0</v>
      </c>
      <c r="AD30" s="3">
        <v>0</v>
      </c>
      <c r="AE30" s="2">
        <v>0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121.8</v>
      </c>
      <c r="AM30" s="2">
        <v>0</v>
      </c>
      <c r="AN30" s="2">
        <v>730.8</v>
      </c>
      <c r="AO30" s="2">
        <v>0</v>
      </c>
      <c r="AP30" s="2">
        <v>0</v>
      </c>
      <c r="AQ30" s="2">
        <v>0</v>
      </c>
    </row>
    <row r="31" spans="1:43" x14ac:dyDescent="0.25">
      <c r="A31" s="1">
        <v>45936</v>
      </c>
      <c r="B31" t="s">
        <v>48</v>
      </c>
      <c r="C31">
        <v>649163</v>
      </c>
      <c r="D31">
        <v>2031263014</v>
      </c>
      <c r="E31" t="s">
        <v>166</v>
      </c>
      <c r="F31" t="s">
        <v>167</v>
      </c>
      <c r="G31" t="s">
        <v>51</v>
      </c>
      <c r="H31" t="s">
        <v>129</v>
      </c>
      <c r="I31" t="s">
        <v>89</v>
      </c>
      <c r="J31" t="s">
        <v>102</v>
      </c>
      <c r="K31">
        <v>753748</v>
      </c>
      <c r="L31" t="s">
        <v>97</v>
      </c>
      <c r="M31" t="s">
        <v>98</v>
      </c>
      <c r="N31" t="s">
        <v>57</v>
      </c>
      <c r="O31" s="1">
        <v>45931</v>
      </c>
      <c r="Q31" s="1">
        <v>45962</v>
      </c>
      <c r="R31" s="2">
        <v>77.2</v>
      </c>
      <c r="S31">
        <v>1</v>
      </c>
      <c r="T31" t="s">
        <v>58</v>
      </c>
      <c r="U31" t="s">
        <v>59</v>
      </c>
      <c r="V31" s="3">
        <v>0.75</v>
      </c>
      <c r="W31" s="2">
        <v>0</v>
      </c>
      <c r="X31">
        <v>0</v>
      </c>
      <c r="Y31" t="s">
        <v>60</v>
      </c>
      <c r="Z31" t="s">
        <v>61</v>
      </c>
      <c r="AA31">
        <v>6</v>
      </c>
      <c r="AB31" s="2">
        <v>347.4</v>
      </c>
      <c r="AC31" s="2">
        <v>0</v>
      </c>
      <c r="AD31" s="3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57.9</v>
      </c>
      <c r="AM31" s="2">
        <v>0</v>
      </c>
      <c r="AN31" s="2">
        <v>347.4</v>
      </c>
      <c r="AO31" s="2">
        <v>0</v>
      </c>
      <c r="AP31" s="2">
        <v>0</v>
      </c>
      <c r="AQ31" s="2">
        <v>0</v>
      </c>
    </row>
    <row r="32" spans="1:43" x14ac:dyDescent="0.25">
      <c r="A32" s="1">
        <v>45936</v>
      </c>
      <c r="B32" t="s">
        <v>48</v>
      </c>
      <c r="C32">
        <v>649163</v>
      </c>
      <c r="D32">
        <v>2031270408</v>
      </c>
      <c r="E32" t="s">
        <v>168</v>
      </c>
      <c r="F32" t="s">
        <v>169</v>
      </c>
      <c r="G32" t="s">
        <v>51</v>
      </c>
      <c r="H32" t="s">
        <v>119</v>
      </c>
      <c r="I32" t="s">
        <v>89</v>
      </c>
      <c r="J32" t="s">
        <v>102</v>
      </c>
      <c r="K32">
        <v>651818</v>
      </c>
      <c r="L32" t="s">
        <v>112</v>
      </c>
      <c r="M32" t="s">
        <v>104</v>
      </c>
      <c r="N32" t="s">
        <v>57</v>
      </c>
      <c r="O32" s="1">
        <v>45941</v>
      </c>
      <c r="Q32" s="1">
        <v>45972</v>
      </c>
      <c r="R32" s="2">
        <v>85.15</v>
      </c>
      <c r="S32">
        <v>1</v>
      </c>
      <c r="T32" t="s">
        <v>58</v>
      </c>
      <c r="U32" t="s">
        <v>59</v>
      </c>
      <c r="V32" s="3">
        <v>0.75</v>
      </c>
      <c r="W32" s="2">
        <v>0</v>
      </c>
      <c r="X32">
        <v>0</v>
      </c>
      <c r="Y32" t="s">
        <v>60</v>
      </c>
      <c r="Z32" t="s">
        <v>61</v>
      </c>
      <c r="AA32">
        <v>6</v>
      </c>
      <c r="AB32" s="2">
        <v>383.16</v>
      </c>
      <c r="AC32" s="2">
        <v>0</v>
      </c>
      <c r="AD32" s="3">
        <v>0</v>
      </c>
      <c r="AE32" s="2">
        <v>0</v>
      </c>
      <c r="AF32" s="2">
        <v>0</v>
      </c>
      <c r="AG32" s="2">
        <v>0</v>
      </c>
      <c r="AH32" s="2">
        <v>0</v>
      </c>
      <c r="AI32" s="2">
        <v>0</v>
      </c>
      <c r="AJ32" s="2">
        <v>0</v>
      </c>
      <c r="AK32" s="2">
        <v>0</v>
      </c>
      <c r="AL32" s="2">
        <v>63.86</v>
      </c>
      <c r="AM32" s="2">
        <v>0</v>
      </c>
      <c r="AN32" s="2">
        <v>383.16</v>
      </c>
      <c r="AO32" s="2">
        <v>0</v>
      </c>
      <c r="AP32" s="2">
        <v>0</v>
      </c>
      <c r="AQ32" s="2">
        <v>0</v>
      </c>
    </row>
    <row r="33" spans="1:43" x14ac:dyDescent="0.25">
      <c r="A33" s="1">
        <v>45936</v>
      </c>
      <c r="B33" t="s">
        <v>48</v>
      </c>
      <c r="C33">
        <v>649163</v>
      </c>
      <c r="D33">
        <v>2031288234</v>
      </c>
      <c r="E33" t="s">
        <v>170</v>
      </c>
      <c r="F33" t="s">
        <v>171</v>
      </c>
      <c r="G33" t="s">
        <v>51</v>
      </c>
      <c r="H33" t="s">
        <v>105</v>
      </c>
      <c r="I33" t="s">
        <v>89</v>
      </c>
      <c r="J33" t="s">
        <v>96</v>
      </c>
      <c r="K33">
        <v>652037</v>
      </c>
      <c r="L33" t="s">
        <v>172</v>
      </c>
      <c r="M33" t="s">
        <v>173</v>
      </c>
      <c r="N33" t="s">
        <v>57</v>
      </c>
      <c r="O33" s="1">
        <v>45931</v>
      </c>
      <c r="Q33" s="1">
        <v>45962</v>
      </c>
      <c r="R33" s="2">
        <v>77.540000000000006</v>
      </c>
      <c r="S33">
        <v>1</v>
      </c>
      <c r="T33" t="s">
        <v>58</v>
      </c>
      <c r="U33" t="s">
        <v>59</v>
      </c>
      <c r="V33" s="3">
        <v>0.9</v>
      </c>
      <c r="W33" s="2">
        <v>0</v>
      </c>
      <c r="X33">
        <v>0</v>
      </c>
      <c r="Y33" t="s">
        <v>60</v>
      </c>
      <c r="Z33" t="s">
        <v>61</v>
      </c>
      <c r="AA33">
        <v>6</v>
      </c>
      <c r="AB33" s="2">
        <v>418.74</v>
      </c>
      <c r="AC33" s="2">
        <v>0</v>
      </c>
      <c r="AD33" s="3">
        <v>0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0</v>
      </c>
      <c r="AL33" s="2">
        <v>69.790000000000006</v>
      </c>
      <c r="AM33" s="2">
        <v>0</v>
      </c>
      <c r="AN33" s="2">
        <v>418.74</v>
      </c>
      <c r="AO33" s="2">
        <v>0</v>
      </c>
      <c r="AP33" s="2">
        <v>0</v>
      </c>
      <c r="AQ33" s="2">
        <v>0</v>
      </c>
    </row>
    <row r="34" spans="1:43" x14ac:dyDescent="0.25">
      <c r="A34" s="1">
        <v>45936</v>
      </c>
      <c r="B34" t="s">
        <v>48</v>
      </c>
      <c r="C34">
        <v>649163</v>
      </c>
      <c r="D34">
        <v>2031290289</v>
      </c>
      <c r="E34" t="s">
        <v>174</v>
      </c>
      <c r="F34" t="s">
        <v>175</v>
      </c>
      <c r="G34" t="s">
        <v>51</v>
      </c>
      <c r="H34" t="s">
        <v>101</v>
      </c>
      <c r="I34" t="s">
        <v>89</v>
      </c>
      <c r="J34" t="s">
        <v>96</v>
      </c>
      <c r="K34">
        <v>651818</v>
      </c>
      <c r="L34" t="s">
        <v>112</v>
      </c>
      <c r="M34" t="s">
        <v>104</v>
      </c>
      <c r="N34" t="s">
        <v>57</v>
      </c>
      <c r="O34" s="1">
        <v>45936</v>
      </c>
      <c r="Q34" s="1">
        <v>45967</v>
      </c>
      <c r="R34" s="2">
        <v>260.01</v>
      </c>
      <c r="S34">
        <v>1</v>
      </c>
      <c r="T34" t="s">
        <v>58</v>
      </c>
      <c r="U34" t="s">
        <v>59</v>
      </c>
      <c r="V34" s="3">
        <v>0.9</v>
      </c>
      <c r="W34" s="2">
        <v>0</v>
      </c>
      <c r="X34">
        <v>0</v>
      </c>
      <c r="Y34" t="s">
        <v>60</v>
      </c>
      <c r="Z34" t="s">
        <v>61</v>
      </c>
      <c r="AA34">
        <v>6</v>
      </c>
      <c r="AB34" s="2">
        <v>1404.06</v>
      </c>
      <c r="AC34" s="2">
        <v>0</v>
      </c>
      <c r="AD34" s="3">
        <v>0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2">
        <v>0</v>
      </c>
      <c r="AK34" s="2">
        <v>0</v>
      </c>
      <c r="AL34" s="2">
        <v>234.01</v>
      </c>
      <c r="AM34" s="2">
        <v>0</v>
      </c>
      <c r="AN34" s="2">
        <v>1404.06</v>
      </c>
      <c r="AO34" s="2">
        <v>0</v>
      </c>
      <c r="AP34" s="2">
        <v>0</v>
      </c>
      <c r="AQ34" s="2">
        <v>0</v>
      </c>
    </row>
    <row r="35" spans="1:43" x14ac:dyDescent="0.25">
      <c r="A35" s="1">
        <v>45936</v>
      </c>
      <c r="B35" t="s">
        <v>48</v>
      </c>
      <c r="C35">
        <v>649163</v>
      </c>
      <c r="D35">
        <v>2031319398</v>
      </c>
      <c r="E35" t="s">
        <v>176</v>
      </c>
      <c r="F35" t="s">
        <v>177</v>
      </c>
      <c r="G35" t="s">
        <v>51</v>
      </c>
      <c r="H35" t="s">
        <v>105</v>
      </c>
      <c r="I35" t="s">
        <v>89</v>
      </c>
      <c r="J35" t="s">
        <v>96</v>
      </c>
      <c r="K35">
        <v>652037</v>
      </c>
      <c r="L35" t="s">
        <v>172</v>
      </c>
      <c r="M35" t="s">
        <v>173</v>
      </c>
      <c r="N35" t="s">
        <v>57</v>
      </c>
      <c r="O35" s="1">
        <v>45931</v>
      </c>
      <c r="Q35" s="1">
        <v>45962</v>
      </c>
      <c r="R35" s="2">
        <v>73</v>
      </c>
      <c r="S35">
        <v>1</v>
      </c>
      <c r="T35" t="s">
        <v>58</v>
      </c>
      <c r="U35" t="s">
        <v>59</v>
      </c>
      <c r="V35" s="3">
        <v>0.9</v>
      </c>
      <c r="W35" s="2">
        <v>0</v>
      </c>
      <c r="X35">
        <v>0</v>
      </c>
      <c r="Y35" t="s">
        <v>60</v>
      </c>
      <c r="Z35" t="s">
        <v>61</v>
      </c>
      <c r="AA35">
        <v>6</v>
      </c>
      <c r="AB35" s="2">
        <v>394.2</v>
      </c>
      <c r="AC35" s="2">
        <v>0</v>
      </c>
      <c r="AD35" s="3">
        <v>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65.7</v>
      </c>
      <c r="AM35" s="2">
        <v>0</v>
      </c>
      <c r="AN35" s="2">
        <v>394.2</v>
      </c>
      <c r="AO35" s="2">
        <v>0</v>
      </c>
      <c r="AP35" s="2">
        <v>0</v>
      </c>
      <c r="AQ35" s="2">
        <v>0</v>
      </c>
    </row>
    <row r="36" spans="1:43" x14ac:dyDescent="0.25">
      <c r="A36" s="1">
        <v>45936</v>
      </c>
      <c r="B36" t="s">
        <v>48</v>
      </c>
      <c r="C36">
        <v>649163</v>
      </c>
      <c r="D36">
        <v>2031320896</v>
      </c>
      <c r="E36" t="s">
        <v>178</v>
      </c>
      <c r="F36" t="s">
        <v>179</v>
      </c>
      <c r="G36" t="s">
        <v>51</v>
      </c>
      <c r="H36" t="s">
        <v>119</v>
      </c>
      <c r="I36" t="s">
        <v>89</v>
      </c>
      <c r="J36" t="s">
        <v>111</v>
      </c>
      <c r="K36">
        <v>651818</v>
      </c>
      <c r="L36" t="s">
        <v>112</v>
      </c>
      <c r="M36" t="s">
        <v>104</v>
      </c>
      <c r="N36" t="s">
        <v>57</v>
      </c>
      <c r="O36" s="1">
        <v>45936</v>
      </c>
      <c r="Q36" s="1">
        <v>45967</v>
      </c>
      <c r="R36" s="2">
        <v>125.45</v>
      </c>
      <c r="S36">
        <v>1</v>
      </c>
      <c r="T36" t="s">
        <v>58</v>
      </c>
      <c r="U36" t="s">
        <v>59</v>
      </c>
      <c r="V36" s="3">
        <v>0.75</v>
      </c>
      <c r="W36" s="2">
        <v>0</v>
      </c>
      <c r="X36">
        <v>0</v>
      </c>
      <c r="Y36" t="s">
        <v>60</v>
      </c>
      <c r="Z36" t="s">
        <v>61</v>
      </c>
      <c r="AA36">
        <v>6</v>
      </c>
      <c r="AB36" s="2">
        <v>564.54</v>
      </c>
      <c r="AC36" s="2">
        <v>0</v>
      </c>
      <c r="AD36" s="3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0</v>
      </c>
      <c r="AL36" s="2">
        <v>94.09</v>
      </c>
      <c r="AM36" s="2">
        <v>0</v>
      </c>
      <c r="AN36" s="2">
        <v>564.54</v>
      </c>
      <c r="AO36" s="2">
        <v>0</v>
      </c>
      <c r="AP36" s="2">
        <v>0</v>
      </c>
      <c r="AQ36" s="2">
        <v>0</v>
      </c>
    </row>
    <row r="37" spans="1:43" x14ac:dyDescent="0.25">
      <c r="A37" s="1">
        <v>45936</v>
      </c>
      <c r="B37" t="s">
        <v>48</v>
      </c>
      <c r="C37">
        <v>649163</v>
      </c>
      <c r="D37">
        <v>2031327779</v>
      </c>
      <c r="E37" t="s">
        <v>62</v>
      </c>
      <c r="F37" t="s">
        <v>63</v>
      </c>
      <c r="G37" t="s">
        <v>51</v>
      </c>
      <c r="H37" t="s">
        <v>64</v>
      </c>
      <c r="I37" t="s">
        <v>89</v>
      </c>
      <c r="J37" t="s">
        <v>102</v>
      </c>
      <c r="K37">
        <v>823350</v>
      </c>
      <c r="L37" t="s">
        <v>66</v>
      </c>
      <c r="M37" t="s">
        <v>67</v>
      </c>
      <c r="N37" t="s">
        <v>57</v>
      </c>
      <c r="O37" s="1">
        <v>45931</v>
      </c>
      <c r="Q37" s="1">
        <v>45962</v>
      </c>
      <c r="R37" s="2">
        <v>31.87</v>
      </c>
      <c r="S37">
        <v>1</v>
      </c>
      <c r="T37" t="s">
        <v>58</v>
      </c>
      <c r="U37" t="s">
        <v>59</v>
      </c>
      <c r="V37" s="3">
        <v>0.75</v>
      </c>
      <c r="W37" s="2">
        <v>0</v>
      </c>
      <c r="X37">
        <v>0</v>
      </c>
      <c r="Y37" t="s">
        <v>60</v>
      </c>
      <c r="Z37" t="s">
        <v>61</v>
      </c>
      <c r="AA37">
        <v>6</v>
      </c>
      <c r="AB37" s="2">
        <v>143.4</v>
      </c>
      <c r="AC37" s="2">
        <v>0</v>
      </c>
      <c r="AD37" s="3">
        <v>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0</v>
      </c>
      <c r="AL37" s="2">
        <v>23.9</v>
      </c>
      <c r="AM37" s="2">
        <v>0</v>
      </c>
      <c r="AN37" s="2">
        <v>143.4</v>
      </c>
      <c r="AO37" s="2">
        <v>0</v>
      </c>
      <c r="AP37" s="2">
        <v>0</v>
      </c>
      <c r="AQ37" s="2">
        <v>0</v>
      </c>
    </row>
    <row r="38" spans="1:43" x14ac:dyDescent="0.25">
      <c r="A38" s="1">
        <v>45936</v>
      </c>
      <c r="B38" t="s">
        <v>48</v>
      </c>
      <c r="C38">
        <v>649163</v>
      </c>
      <c r="D38">
        <v>2031328268</v>
      </c>
      <c r="E38" t="s">
        <v>180</v>
      </c>
      <c r="F38" t="s">
        <v>181</v>
      </c>
      <c r="G38" t="s">
        <v>51</v>
      </c>
      <c r="H38" t="s">
        <v>182</v>
      </c>
      <c r="I38" t="s">
        <v>89</v>
      </c>
      <c r="J38" t="s">
        <v>111</v>
      </c>
      <c r="K38">
        <v>673059</v>
      </c>
      <c r="L38" t="s">
        <v>80</v>
      </c>
      <c r="M38" t="s">
        <v>81</v>
      </c>
      <c r="N38" t="s">
        <v>57</v>
      </c>
      <c r="O38" s="1">
        <v>45931</v>
      </c>
      <c r="Q38" s="1">
        <v>45962</v>
      </c>
      <c r="R38" s="2">
        <v>98.73</v>
      </c>
      <c r="S38">
        <v>1</v>
      </c>
      <c r="T38" t="s">
        <v>58</v>
      </c>
      <c r="U38" t="s">
        <v>59</v>
      </c>
      <c r="V38" s="3">
        <v>0.75</v>
      </c>
      <c r="W38" s="2">
        <v>0</v>
      </c>
      <c r="X38">
        <v>0</v>
      </c>
      <c r="Y38" t="s">
        <v>60</v>
      </c>
      <c r="Z38" t="s">
        <v>61</v>
      </c>
      <c r="AA38">
        <v>6</v>
      </c>
      <c r="AB38" s="2">
        <v>444.3</v>
      </c>
      <c r="AC38" s="2">
        <v>0</v>
      </c>
      <c r="AD38" s="3">
        <v>0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0</v>
      </c>
      <c r="AL38" s="2">
        <v>74.05</v>
      </c>
      <c r="AM38" s="2">
        <v>0</v>
      </c>
      <c r="AN38" s="2">
        <v>444.3</v>
      </c>
      <c r="AO38" s="2">
        <v>0</v>
      </c>
      <c r="AP38" s="2">
        <v>0</v>
      </c>
      <c r="AQ38" s="2">
        <v>0</v>
      </c>
    </row>
    <row r="39" spans="1:43" x14ac:dyDescent="0.25">
      <c r="A39" s="1">
        <v>45936</v>
      </c>
      <c r="B39" t="s">
        <v>48</v>
      </c>
      <c r="C39">
        <v>649163</v>
      </c>
      <c r="D39">
        <v>2031338961</v>
      </c>
      <c r="E39" t="s">
        <v>183</v>
      </c>
      <c r="F39" t="s">
        <v>163</v>
      </c>
      <c r="G39" t="s">
        <v>51</v>
      </c>
      <c r="H39" t="s">
        <v>101</v>
      </c>
      <c r="I39" t="s">
        <v>89</v>
      </c>
      <c r="J39" t="s">
        <v>102</v>
      </c>
      <c r="K39">
        <v>823350</v>
      </c>
      <c r="L39" t="s">
        <v>66</v>
      </c>
      <c r="M39" t="s">
        <v>67</v>
      </c>
      <c r="N39" t="s">
        <v>57</v>
      </c>
      <c r="O39" s="1">
        <v>45931</v>
      </c>
      <c r="Q39" s="1">
        <v>45962</v>
      </c>
      <c r="R39" s="2">
        <v>41.68</v>
      </c>
      <c r="S39">
        <v>1</v>
      </c>
      <c r="T39" t="s">
        <v>58</v>
      </c>
      <c r="U39" t="s">
        <v>59</v>
      </c>
      <c r="V39" s="3">
        <v>0.75</v>
      </c>
      <c r="W39" s="2">
        <v>0</v>
      </c>
      <c r="X39">
        <v>0</v>
      </c>
      <c r="Y39" t="s">
        <v>60</v>
      </c>
      <c r="Z39" t="s">
        <v>61</v>
      </c>
      <c r="AA39">
        <v>6</v>
      </c>
      <c r="AB39" s="2">
        <v>187.56</v>
      </c>
      <c r="AC39" s="2">
        <v>0</v>
      </c>
      <c r="AD39" s="3">
        <v>0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0</v>
      </c>
      <c r="AL39" s="2">
        <v>31.26</v>
      </c>
      <c r="AM39" s="2">
        <v>0</v>
      </c>
      <c r="AN39" s="2">
        <v>187.56</v>
      </c>
      <c r="AO39" s="2">
        <v>0</v>
      </c>
      <c r="AP39" s="2">
        <v>0</v>
      </c>
      <c r="AQ39" s="2">
        <v>0</v>
      </c>
    </row>
    <row r="40" spans="1:43" x14ac:dyDescent="0.25">
      <c r="A40" s="1">
        <v>45936</v>
      </c>
      <c r="B40" t="s">
        <v>48</v>
      </c>
      <c r="C40">
        <v>649163</v>
      </c>
      <c r="D40">
        <v>2031346769</v>
      </c>
      <c r="E40" t="s">
        <v>184</v>
      </c>
      <c r="F40" t="s">
        <v>185</v>
      </c>
      <c r="G40" t="s">
        <v>51</v>
      </c>
      <c r="H40" t="s">
        <v>105</v>
      </c>
      <c r="I40" t="s">
        <v>89</v>
      </c>
      <c r="J40" t="s">
        <v>96</v>
      </c>
      <c r="K40">
        <v>823068</v>
      </c>
      <c r="L40" t="s">
        <v>106</v>
      </c>
      <c r="M40" t="s">
        <v>107</v>
      </c>
      <c r="N40" t="s">
        <v>57</v>
      </c>
      <c r="O40" s="1">
        <v>45931</v>
      </c>
      <c r="Q40" s="1">
        <v>45962</v>
      </c>
      <c r="R40" s="2">
        <v>28.88</v>
      </c>
      <c r="S40">
        <v>1</v>
      </c>
      <c r="T40" t="s">
        <v>58</v>
      </c>
      <c r="U40" t="s">
        <v>59</v>
      </c>
      <c r="V40" s="3">
        <v>0.9</v>
      </c>
      <c r="W40" s="2">
        <v>0</v>
      </c>
      <c r="X40">
        <v>0</v>
      </c>
      <c r="Y40" t="s">
        <v>60</v>
      </c>
      <c r="Z40" t="s">
        <v>61</v>
      </c>
      <c r="AA40">
        <v>6</v>
      </c>
      <c r="AB40" s="2">
        <v>155.94</v>
      </c>
      <c r="AC40" s="2">
        <v>0</v>
      </c>
      <c r="AD40" s="3">
        <v>0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0</v>
      </c>
      <c r="AL40" s="2">
        <v>25.99</v>
      </c>
      <c r="AM40" s="2">
        <v>0</v>
      </c>
      <c r="AN40" s="2">
        <v>155.94</v>
      </c>
      <c r="AO40" s="2">
        <v>0</v>
      </c>
      <c r="AP40" s="2">
        <v>0</v>
      </c>
      <c r="AQ40" s="2">
        <v>0</v>
      </c>
    </row>
    <row r="41" spans="1:43" x14ac:dyDescent="0.25">
      <c r="A41" s="1">
        <v>45936</v>
      </c>
      <c r="B41" t="s">
        <v>48</v>
      </c>
      <c r="C41">
        <v>649163</v>
      </c>
      <c r="D41">
        <v>2031358598</v>
      </c>
      <c r="E41" t="s">
        <v>77</v>
      </c>
      <c r="F41" t="s">
        <v>78</v>
      </c>
      <c r="G41" t="s">
        <v>51</v>
      </c>
      <c r="H41" t="s">
        <v>79</v>
      </c>
      <c r="I41" t="s">
        <v>89</v>
      </c>
      <c r="J41" t="s">
        <v>111</v>
      </c>
      <c r="K41">
        <v>673059</v>
      </c>
      <c r="L41" t="s">
        <v>80</v>
      </c>
      <c r="M41" t="s">
        <v>81</v>
      </c>
      <c r="N41" t="s">
        <v>57</v>
      </c>
      <c r="O41" s="1">
        <v>45931</v>
      </c>
      <c r="Q41" s="1">
        <v>45962</v>
      </c>
      <c r="R41" s="2">
        <v>27.1</v>
      </c>
      <c r="S41">
        <v>1</v>
      </c>
      <c r="T41" t="s">
        <v>58</v>
      </c>
      <c r="U41" t="s">
        <v>59</v>
      </c>
      <c r="V41" s="3">
        <v>0.75</v>
      </c>
      <c r="W41" s="2">
        <v>0</v>
      </c>
      <c r="X41">
        <v>0</v>
      </c>
      <c r="Y41" t="s">
        <v>60</v>
      </c>
      <c r="Z41" t="s">
        <v>61</v>
      </c>
      <c r="AA41">
        <v>6</v>
      </c>
      <c r="AB41" s="2">
        <v>121.92</v>
      </c>
      <c r="AC41" s="2">
        <v>0</v>
      </c>
      <c r="AD41" s="3">
        <v>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0</v>
      </c>
      <c r="AK41" s="2">
        <v>0</v>
      </c>
      <c r="AL41" s="2">
        <v>20.32</v>
      </c>
      <c r="AM41" s="2">
        <v>0</v>
      </c>
      <c r="AN41" s="2">
        <v>121.92</v>
      </c>
      <c r="AO41" s="2">
        <v>0</v>
      </c>
      <c r="AP41" s="2">
        <v>0</v>
      </c>
      <c r="AQ41" s="2">
        <v>0</v>
      </c>
    </row>
    <row r="42" spans="1:43" x14ac:dyDescent="0.25">
      <c r="A42" s="1">
        <v>45936</v>
      </c>
      <c r="B42" t="s">
        <v>48</v>
      </c>
      <c r="C42">
        <v>649163</v>
      </c>
      <c r="D42">
        <v>2031361915</v>
      </c>
      <c r="E42" t="s">
        <v>186</v>
      </c>
      <c r="F42" t="s">
        <v>187</v>
      </c>
      <c r="G42" t="s">
        <v>51</v>
      </c>
      <c r="H42" t="s">
        <v>79</v>
      </c>
      <c r="I42" t="s">
        <v>89</v>
      </c>
      <c r="J42" t="s">
        <v>102</v>
      </c>
      <c r="K42">
        <v>673059</v>
      </c>
      <c r="L42" t="s">
        <v>80</v>
      </c>
      <c r="M42" t="s">
        <v>81</v>
      </c>
      <c r="N42" t="s">
        <v>57</v>
      </c>
      <c r="O42" s="1">
        <v>45931</v>
      </c>
      <c r="Q42" s="1">
        <v>45962</v>
      </c>
      <c r="R42" s="2">
        <v>143.76</v>
      </c>
      <c r="S42">
        <v>1</v>
      </c>
      <c r="T42" t="s">
        <v>58</v>
      </c>
      <c r="U42" t="s">
        <v>59</v>
      </c>
      <c r="V42" s="3">
        <v>0.75</v>
      </c>
      <c r="W42" s="2">
        <v>0</v>
      </c>
      <c r="X42">
        <v>0</v>
      </c>
      <c r="Y42" t="s">
        <v>60</v>
      </c>
      <c r="Z42" t="s">
        <v>61</v>
      </c>
      <c r="AA42">
        <v>6</v>
      </c>
      <c r="AB42" s="2">
        <v>646.91999999999996</v>
      </c>
      <c r="AC42" s="2">
        <v>0</v>
      </c>
      <c r="AD42" s="3">
        <v>0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>
        <v>0</v>
      </c>
      <c r="AK42" s="2">
        <v>0</v>
      </c>
      <c r="AL42" s="2">
        <v>107.82</v>
      </c>
      <c r="AM42" s="2">
        <v>0</v>
      </c>
      <c r="AN42" s="2">
        <v>646.91999999999996</v>
      </c>
      <c r="AO42" s="2">
        <v>0</v>
      </c>
      <c r="AP42" s="2">
        <v>0</v>
      </c>
      <c r="AQ42" s="2">
        <v>0</v>
      </c>
    </row>
    <row r="43" spans="1:43" x14ac:dyDescent="0.25">
      <c r="A43" s="1">
        <v>45936</v>
      </c>
      <c r="B43" t="s">
        <v>48</v>
      </c>
      <c r="C43">
        <v>649163</v>
      </c>
      <c r="D43">
        <v>2031365635</v>
      </c>
      <c r="E43" t="s">
        <v>188</v>
      </c>
      <c r="F43" t="s">
        <v>189</v>
      </c>
      <c r="G43" t="s">
        <v>51</v>
      </c>
      <c r="H43" t="s">
        <v>101</v>
      </c>
      <c r="I43" t="s">
        <v>89</v>
      </c>
      <c r="J43" t="s">
        <v>111</v>
      </c>
      <c r="K43">
        <v>812782</v>
      </c>
      <c r="L43" t="s">
        <v>91</v>
      </c>
      <c r="M43" t="s">
        <v>92</v>
      </c>
      <c r="N43" t="s">
        <v>57</v>
      </c>
      <c r="O43" s="1">
        <v>45962</v>
      </c>
      <c r="Q43" s="1">
        <v>45992</v>
      </c>
      <c r="R43" s="2">
        <v>36.700000000000003</v>
      </c>
      <c r="S43">
        <v>1</v>
      </c>
      <c r="T43" t="s">
        <v>58</v>
      </c>
      <c r="U43" t="s">
        <v>59</v>
      </c>
      <c r="V43" s="3">
        <v>0.75</v>
      </c>
      <c r="W43" s="2">
        <v>0</v>
      </c>
      <c r="X43">
        <v>0</v>
      </c>
      <c r="Y43" t="s">
        <v>60</v>
      </c>
      <c r="Z43" t="s">
        <v>61</v>
      </c>
      <c r="AA43">
        <v>6</v>
      </c>
      <c r="AB43" s="2">
        <v>165.12</v>
      </c>
      <c r="AC43" s="2">
        <v>0</v>
      </c>
      <c r="AD43" s="3">
        <v>0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2">
        <v>0</v>
      </c>
      <c r="AK43" s="2">
        <v>0</v>
      </c>
      <c r="AL43" s="2">
        <v>27.52</v>
      </c>
      <c r="AM43" s="2">
        <v>0</v>
      </c>
      <c r="AN43" s="2">
        <v>165.12</v>
      </c>
      <c r="AO43" s="2">
        <v>0</v>
      </c>
      <c r="AP43" s="2">
        <v>0</v>
      </c>
      <c r="AQ43" s="2">
        <v>0</v>
      </c>
    </row>
    <row r="44" spans="1:43" x14ac:dyDescent="0.25">
      <c r="A44" s="1">
        <v>45936</v>
      </c>
      <c r="B44" t="s">
        <v>48</v>
      </c>
      <c r="C44">
        <v>649163</v>
      </c>
      <c r="D44">
        <v>2031366727</v>
      </c>
      <c r="E44" t="s">
        <v>190</v>
      </c>
      <c r="F44" t="s">
        <v>191</v>
      </c>
      <c r="G44" t="s">
        <v>51</v>
      </c>
      <c r="H44" t="s">
        <v>122</v>
      </c>
      <c r="I44" t="s">
        <v>89</v>
      </c>
      <c r="J44" t="s">
        <v>111</v>
      </c>
      <c r="K44">
        <v>753748</v>
      </c>
      <c r="L44" t="s">
        <v>97</v>
      </c>
      <c r="M44" t="s">
        <v>98</v>
      </c>
      <c r="N44" t="s">
        <v>57</v>
      </c>
      <c r="O44" s="1">
        <v>45931</v>
      </c>
      <c r="Q44" s="1">
        <v>45962</v>
      </c>
      <c r="R44" s="2">
        <v>303.85000000000002</v>
      </c>
      <c r="S44">
        <v>1</v>
      </c>
      <c r="T44" t="s">
        <v>58</v>
      </c>
      <c r="U44" t="s">
        <v>59</v>
      </c>
      <c r="V44" s="3">
        <v>0.75</v>
      </c>
      <c r="W44" s="2">
        <v>0</v>
      </c>
      <c r="X44">
        <v>0</v>
      </c>
      <c r="Y44" t="s">
        <v>60</v>
      </c>
      <c r="Z44" t="s">
        <v>61</v>
      </c>
      <c r="AA44">
        <v>6</v>
      </c>
      <c r="AB44" s="2">
        <v>1367.34</v>
      </c>
      <c r="AC44" s="2">
        <v>0</v>
      </c>
      <c r="AD44" s="3">
        <v>0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0</v>
      </c>
      <c r="AL44" s="2">
        <v>227.89</v>
      </c>
      <c r="AM44" s="2">
        <v>0</v>
      </c>
      <c r="AN44" s="2">
        <v>1367.34</v>
      </c>
      <c r="AO44" s="2">
        <v>0</v>
      </c>
      <c r="AP44" s="2">
        <v>0</v>
      </c>
      <c r="AQ44" s="2">
        <v>0</v>
      </c>
    </row>
    <row r="45" spans="1:43" x14ac:dyDescent="0.25">
      <c r="A45" s="1">
        <v>45936</v>
      </c>
      <c r="B45" t="s">
        <v>48</v>
      </c>
      <c r="C45">
        <v>649163</v>
      </c>
      <c r="D45">
        <v>2031398946</v>
      </c>
      <c r="E45" t="s">
        <v>192</v>
      </c>
      <c r="F45" t="s">
        <v>193</v>
      </c>
      <c r="G45" t="s">
        <v>51</v>
      </c>
      <c r="H45" t="s">
        <v>105</v>
      </c>
      <c r="I45" t="s">
        <v>89</v>
      </c>
      <c r="J45" t="s">
        <v>96</v>
      </c>
      <c r="K45">
        <v>823068</v>
      </c>
      <c r="L45" t="s">
        <v>106</v>
      </c>
      <c r="M45" t="s">
        <v>107</v>
      </c>
      <c r="N45" t="s">
        <v>57</v>
      </c>
      <c r="O45" s="1">
        <v>45933</v>
      </c>
      <c r="Q45" s="1">
        <v>45964</v>
      </c>
      <c r="R45" s="2">
        <v>342.12</v>
      </c>
      <c r="S45">
        <v>1</v>
      </c>
      <c r="T45" t="s">
        <v>58</v>
      </c>
      <c r="U45" t="s">
        <v>59</v>
      </c>
      <c r="V45" s="3">
        <v>0.9</v>
      </c>
      <c r="W45" s="2">
        <v>0</v>
      </c>
      <c r="X45">
        <v>0</v>
      </c>
      <c r="Y45" t="s">
        <v>60</v>
      </c>
      <c r="Z45" t="s">
        <v>61</v>
      </c>
      <c r="AA45">
        <v>6</v>
      </c>
      <c r="AB45" s="2">
        <v>1847.46</v>
      </c>
      <c r="AC45" s="2">
        <v>0</v>
      </c>
      <c r="AD45" s="3">
        <v>0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307.91000000000003</v>
      </c>
      <c r="AM45" s="2">
        <v>0</v>
      </c>
      <c r="AN45" s="2">
        <v>1847.46</v>
      </c>
      <c r="AO45" s="2">
        <v>0</v>
      </c>
      <c r="AP45" s="2">
        <v>0</v>
      </c>
      <c r="AQ45" s="2">
        <v>0</v>
      </c>
    </row>
    <row r="46" spans="1:43" x14ac:dyDescent="0.25">
      <c r="A46" s="1">
        <v>45936</v>
      </c>
      <c r="B46" t="s">
        <v>48</v>
      </c>
      <c r="C46">
        <v>649163</v>
      </c>
      <c r="D46">
        <v>2031399067</v>
      </c>
      <c r="E46" t="s">
        <v>148</v>
      </c>
      <c r="F46" t="s">
        <v>194</v>
      </c>
      <c r="G46" t="s">
        <v>51</v>
      </c>
      <c r="H46" t="s">
        <v>129</v>
      </c>
      <c r="I46" t="s">
        <v>89</v>
      </c>
      <c r="J46" t="s">
        <v>102</v>
      </c>
      <c r="K46">
        <v>651818</v>
      </c>
      <c r="L46" t="s">
        <v>112</v>
      </c>
      <c r="M46" t="s">
        <v>104</v>
      </c>
      <c r="N46" t="s">
        <v>57</v>
      </c>
      <c r="O46" s="1">
        <v>45935</v>
      </c>
      <c r="Q46" s="1">
        <v>45966</v>
      </c>
      <c r="R46" s="2">
        <v>33.28</v>
      </c>
      <c r="S46">
        <v>1</v>
      </c>
      <c r="T46" t="s">
        <v>58</v>
      </c>
      <c r="U46" t="s">
        <v>59</v>
      </c>
      <c r="V46" s="3">
        <v>0.75</v>
      </c>
      <c r="W46" s="2">
        <v>0</v>
      </c>
      <c r="X46">
        <v>0</v>
      </c>
      <c r="Y46" t="s">
        <v>60</v>
      </c>
      <c r="Z46" t="s">
        <v>61</v>
      </c>
      <c r="AA46">
        <v>6</v>
      </c>
      <c r="AB46" s="2">
        <v>149.76</v>
      </c>
      <c r="AC46" s="2">
        <v>0</v>
      </c>
      <c r="AD46" s="3">
        <v>0</v>
      </c>
      <c r="AE46" s="2">
        <v>0</v>
      </c>
      <c r="AF46" s="2">
        <v>0</v>
      </c>
      <c r="AG46" s="2">
        <v>0</v>
      </c>
      <c r="AH46" s="2">
        <v>0</v>
      </c>
      <c r="AI46" s="2">
        <v>0</v>
      </c>
      <c r="AJ46" s="2">
        <v>0</v>
      </c>
      <c r="AK46" s="2">
        <v>0</v>
      </c>
      <c r="AL46" s="2">
        <v>24.96</v>
      </c>
      <c r="AM46" s="2">
        <v>0</v>
      </c>
      <c r="AN46" s="2">
        <v>149.76</v>
      </c>
      <c r="AO46" s="2">
        <v>0</v>
      </c>
      <c r="AP46" s="2">
        <v>0</v>
      </c>
      <c r="AQ46" s="2">
        <v>0</v>
      </c>
    </row>
    <row r="47" spans="1:43" x14ac:dyDescent="0.25">
      <c r="A47" s="1">
        <v>45936</v>
      </c>
      <c r="B47" t="s">
        <v>48</v>
      </c>
      <c r="C47">
        <v>649163</v>
      </c>
      <c r="D47">
        <v>2031404260</v>
      </c>
      <c r="E47" t="s">
        <v>195</v>
      </c>
      <c r="F47" t="s">
        <v>196</v>
      </c>
      <c r="G47" t="s">
        <v>51</v>
      </c>
      <c r="H47" t="s">
        <v>105</v>
      </c>
      <c r="I47" t="s">
        <v>89</v>
      </c>
      <c r="J47" t="s">
        <v>96</v>
      </c>
      <c r="K47">
        <v>652037</v>
      </c>
      <c r="L47" t="s">
        <v>172</v>
      </c>
      <c r="M47" t="s">
        <v>173</v>
      </c>
      <c r="N47" t="s">
        <v>57</v>
      </c>
      <c r="O47" s="1">
        <v>45933</v>
      </c>
      <c r="Q47" s="1">
        <v>45964</v>
      </c>
      <c r="R47" s="2">
        <v>27.5</v>
      </c>
      <c r="S47">
        <v>1</v>
      </c>
      <c r="T47" t="s">
        <v>58</v>
      </c>
      <c r="U47" t="s">
        <v>59</v>
      </c>
      <c r="V47" s="3">
        <v>0.9</v>
      </c>
      <c r="W47" s="2">
        <v>0</v>
      </c>
      <c r="X47">
        <v>0</v>
      </c>
      <c r="Y47" t="s">
        <v>60</v>
      </c>
      <c r="Z47" t="s">
        <v>61</v>
      </c>
      <c r="AA47">
        <v>6</v>
      </c>
      <c r="AB47" s="2">
        <v>148.5</v>
      </c>
      <c r="AC47" s="2">
        <v>0</v>
      </c>
      <c r="AD47" s="3">
        <v>0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0</v>
      </c>
      <c r="AL47" s="2">
        <v>24.75</v>
      </c>
      <c r="AM47" s="2">
        <v>0</v>
      </c>
      <c r="AN47" s="2">
        <v>148.5</v>
      </c>
      <c r="AO47" s="2">
        <v>0</v>
      </c>
      <c r="AP47" s="2">
        <v>0</v>
      </c>
      <c r="AQ47" s="2">
        <v>0</v>
      </c>
    </row>
    <row r="48" spans="1:43" x14ac:dyDescent="0.25">
      <c r="A48" s="1">
        <v>45936</v>
      </c>
      <c r="B48" t="s">
        <v>48</v>
      </c>
      <c r="C48">
        <v>649163</v>
      </c>
      <c r="D48">
        <v>2031408822</v>
      </c>
      <c r="E48" t="s">
        <v>197</v>
      </c>
      <c r="F48" t="s">
        <v>72</v>
      </c>
      <c r="G48" t="s">
        <v>51</v>
      </c>
      <c r="H48" t="s">
        <v>101</v>
      </c>
      <c r="I48" t="s">
        <v>89</v>
      </c>
      <c r="J48" t="s">
        <v>111</v>
      </c>
      <c r="K48">
        <v>893408</v>
      </c>
      <c r="L48" t="s">
        <v>198</v>
      </c>
      <c r="M48" t="s">
        <v>199</v>
      </c>
      <c r="N48" t="s">
        <v>57</v>
      </c>
      <c r="O48" s="1">
        <v>45933</v>
      </c>
      <c r="Q48" s="1">
        <v>45964</v>
      </c>
      <c r="R48" s="2">
        <v>138.93</v>
      </c>
      <c r="S48">
        <v>1</v>
      </c>
      <c r="T48" t="s">
        <v>58</v>
      </c>
      <c r="U48" t="s">
        <v>59</v>
      </c>
      <c r="V48" s="3">
        <v>0.75</v>
      </c>
      <c r="W48" s="2">
        <v>0</v>
      </c>
      <c r="X48">
        <v>0</v>
      </c>
      <c r="Y48" t="s">
        <v>60</v>
      </c>
      <c r="Z48" t="s">
        <v>61</v>
      </c>
      <c r="AA48">
        <v>6</v>
      </c>
      <c r="AB48" s="2">
        <v>625.20000000000005</v>
      </c>
      <c r="AC48" s="2">
        <v>0</v>
      </c>
      <c r="AD48" s="3">
        <v>0</v>
      </c>
      <c r="AE48" s="2">
        <v>0</v>
      </c>
      <c r="AF48" s="2">
        <v>0</v>
      </c>
      <c r="AG48" s="2">
        <v>0</v>
      </c>
      <c r="AH48" s="2">
        <v>0</v>
      </c>
      <c r="AI48" s="2">
        <v>0</v>
      </c>
      <c r="AJ48" s="2">
        <v>0</v>
      </c>
      <c r="AK48" s="2">
        <v>0</v>
      </c>
      <c r="AL48" s="2">
        <v>104.2</v>
      </c>
      <c r="AM48" s="2">
        <v>0</v>
      </c>
      <c r="AN48" s="2">
        <v>625.20000000000005</v>
      </c>
      <c r="AO48" s="2">
        <v>0</v>
      </c>
      <c r="AP48" s="2">
        <v>0</v>
      </c>
      <c r="AQ48" s="2">
        <v>0</v>
      </c>
    </row>
    <row r="49" spans="1:43" x14ac:dyDescent="0.25">
      <c r="A49" s="1">
        <v>45936</v>
      </c>
      <c r="B49" t="s">
        <v>48</v>
      </c>
      <c r="C49">
        <v>649163</v>
      </c>
      <c r="D49">
        <v>2031409376</v>
      </c>
      <c r="E49" t="s">
        <v>200</v>
      </c>
      <c r="F49" t="s">
        <v>201</v>
      </c>
      <c r="G49" t="s">
        <v>51</v>
      </c>
      <c r="H49" t="s">
        <v>79</v>
      </c>
      <c r="I49" t="s">
        <v>89</v>
      </c>
      <c r="J49" t="s">
        <v>102</v>
      </c>
      <c r="K49">
        <v>673059</v>
      </c>
      <c r="L49" t="s">
        <v>80</v>
      </c>
      <c r="M49" t="s">
        <v>81</v>
      </c>
      <c r="N49" t="s">
        <v>57</v>
      </c>
      <c r="O49" s="1">
        <v>45933</v>
      </c>
      <c r="Q49" s="1">
        <v>45964</v>
      </c>
      <c r="R49" s="2">
        <v>62.03</v>
      </c>
      <c r="S49">
        <v>1</v>
      </c>
      <c r="T49" t="s">
        <v>58</v>
      </c>
      <c r="U49" t="s">
        <v>59</v>
      </c>
      <c r="V49" s="3">
        <v>0.75</v>
      </c>
      <c r="W49" s="2">
        <v>0</v>
      </c>
      <c r="X49">
        <v>0</v>
      </c>
      <c r="Y49" t="s">
        <v>60</v>
      </c>
      <c r="Z49" t="s">
        <v>61</v>
      </c>
      <c r="AA49">
        <v>6</v>
      </c>
      <c r="AB49" s="2">
        <v>279.12</v>
      </c>
      <c r="AC49" s="2">
        <v>0</v>
      </c>
      <c r="AD49" s="3">
        <v>0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  <c r="AJ49" s="2">
        <v>0</v>
      </c>
      <c r="AK49" s="2">
        <v>0</v>
      </c>
      <c r="AL49" s="2">
        <v>46.52</v>
      </c>
      <c r="AM49" s="2">
        <v>0</v>
      </c>
      <c r="AN49" s="2">
        <v>279.12</v>
      </c>
      <c r="AO49" s="2">
        <v>0</v>
      </c>
      <c r="AP49" s="2">
        <v>0</v>
      </c>
      <c r="AQ49" s="2">
        <v>0</v>
      </c>
    </row>
    <row r="50" spans="1:43" x14ac:dyDescent="0.25">
      <c r="A50" s="1">
        <v>45936</v>
      </c>
      <c r="B50" t="s">
        <v>48</v>
      </c>
      <c r="C50">
        <v>649163</v>
      </c>
      <c r="D50">
        <v>2031411447</v>
      </c>
      <c r="E50" t="s">
        <v>202</v>
      </c>
      <c r="F50" t="s">
        <v>145</v>
      </c>
      <c r="G50" t="s">
        <v>51</v>
      </c>
      <c r="H50" t="s">
        <v>203</v>
      </c>
      <c r="I50" t="s">
        <v>89</v>
      </c>
      <c r="J50" t="s">
        <v>90</v>
      </c>
      <c r="K50">
        <v>796984</v>
      </c>
      <c r="L50" t="s">
        <v>204</v>
      </c>
      <c r="M50" t="s">
        <v>205</v>
      </c>
      <c r="N50" t="s">
        <v>57</v>
      </c>
      <c r="O50" s="1">
        <v>45933</v>
      </c>
      <c r="Q50" s="1">
        <v>45964</v>
      </c>
      <c r="R50" s="2">
        <v>34.43</v>
      </c>
      <c r="S50">
        <v>1</v>
      </c>
      <c r="T50" t="s">
        <v>58</v>
      </c>
      <c r="U50" t="s">
        <v>59</v>
      </c>
      <c r="V50" s="3">
        <v>0.65</v>
      </c>
      <c r="W50" s="2">
        <v>0</v>
      </c>
      <c r="X50">
        <v>0</v>
      </c>
      <c r="Y50" t="s">
        <v>60</v>
      </c>
      <c r="Z50" t="s">
        <v>61</v>
      </c>
      <c r="AA50">
        <v>6</v>
      </c>
      <c r="AB50" s="2">
        <v>134.28</v>
      </c>
      <c r="AC50" s="2">
        <v>0</v>
      </c>
      <c r="AD50" s="3">
        <v>0</v>
      </c>
      <c r="AE50" s="2">
        <v>0</v>
      </c>
      <c r="AF50" s="2">
        <v>0</v>
      </c>
      <c r="AG50" s="2">
        <v>0</v>
      </c>
      <c r="AH50" s="2">
        <v>0</v>
      </c>
      <c r="AI50" s="2">
        <v>0</v>
      </c>
      <c r="AJ50" s="2">
        <v>0</v>
      </c>
      <c r="AK50" s="2">
        <v>0</v>
      </c>
      <c r="AL50" s="2">
        <v>22.38</v>
      </c>
      <c r="AM50" s="2">
        <v>0</v>
      </c>
      <c r="AN50" s="2">
        <v>134.28</v>
      </c>
      <c r="AO50" s="2">
        <v>0</v>
      </c>
      <c r="AP50" s="2">
        <v>0</v>
      </c>
      <c r="AQ50" s="2">
        <v>0</v>
      </c>
    </row>
    <row r="51" spans="1:43" x14ac:dyDescent="0.25">
      <c r="A51" s="1">
        <v>45936</v>
      </c>
      <c r="B51" t="s">
        <v>48</v>
      </c>
      <c r="C51">
        <v>649163</v>
      </c>
      <c r="D51">
        <v>2031412054</v>
      </c>
      <c r="E51" t="s">
        <v>206</v>
      </c>
      <c r="F51" t="s">
        <v>207</v>
      </c>
      <c r="G51" t="s">
        <v>51</v>
      </c>
      <c r="H51" t="s">
        <v>88</v>
      </c>
      <c r="I51" t="s">
        <v>89</v>
      </c>
      <c r="J51" t="s">
        <v>90</v>
      </c>
      <c r="K51">
        <v>673059</v>
      </c>
      <c r="L51" t="s">
        <v>80</v>
      </c>
      <c r="M51" t="s">
        <v>81</v>
      </c>
      <c r="N51" t="s">
        <v>57</v>
      </c>
      <c r="O51" s="1">
        <v>45935</v>
      </c>
      <c r="Q51" s="1">
        <v>45966</v>
      </c>
      <c r="R51" s="2">
        <v>204.99</v>
      </c>
      <c r="S51">
        <v>1</v>
      </c>
      <c r="T51" t="s">
        <v>58</v>
      </c>
      <c r="U51" t="s">
        <v>59</v>
      </c>
      <c r="V51" s="3">
        <v>0.65</v>
      </c>
      <c r="W51" s="2">
        <v>0</v>
      </c>
      <c r="X51">
        <v>0</v>
      </c>
      <c r="Y51" t="s">
        <v>60</v>
      </c>
      <c r="Z51" t="s">
        <v>61</v>
      </c>
      <c r="AA51">
        <v>6</v>
      </c>
      <c r="AB51" s="2">
        <v>799.44</v>
      </c>
      <c r="AC51" s="2">
        <v>0</v>
      </c>
      <c r="AD51" s="3">
        <v>0</v>
      </c>
      <c r="AE51" s="2">
        <v>0</v>
      </c>
      <c r="AF51" s="2">
        <v>0</v>
      </c>
      <c r="AG51" s="2">
        <v>0</v>
      </c>
      <c r="AH51" s="2">
        <v>0</v>
      </c>
      <c r="AI51" s="2">
        <v>0</v>
      </c>
      <c r="AJ51" s="2">
        <v>0</v>
      </c>
      <c r="AK51" s="2">
        <v>0</v>
      </c>
      <c r="AL51" s="2">
        <v>133.24</v>
      </c>
      <c r="AM51" s="2">
        <v>0</v>
      </c>
      <c r="AN51" s="2">
        <v>799.44</v>
      </c>
      <c r="AO51" s="2">
        <v>0</v>
      </c>
      <c r="AP51" s="2">
        <v>0</v>
      </c>
      <c r="AQ51" s="2">
        <v>0</v>
      </c>
    </row>
    <row r="52" spans="1:43" x14ac:dyDescent="0.25">
      <c r="A52" s="1">
        <v>45936</v>
      </c>
      <c r="B52" t="s">
        <v>48</v>
      </c>
      <c r="C52">
        <v>649163</v>
      </c>
      <c r="D52">
        <v>2020488530</v>
      </c>
      <c r="E52" t="s">
        <v>208</v>
      </c>
      <c r="F52" t="s">
        <v>207</v>
      </c>
      <c r="G52" t="s">
        <v>51</v>
      </c>
      <c r="H52" t="s">
        <v>70</v>
      </c>
      <c r="I52" t="s">
        <v>209</v>
      </c>
      <c r="J52" t="s">
        <v>210</v>
      </c>
      <c r="K52">
        <v>649164</v>
      </c>
      <c r="L52" t="s">
        <v>211</v>
      </c>
      <c r="M52" t="s">
        <v>212</v>
      </c>
      <c r="N52" t="s">
        <v>57</v>
      </c>
      <c r="O52" s="1">
        <v>45231</v>
      </c>
      <c r="Q52" s="1">
        <v>45962</v>
      </c>
      <c r="R52" s="2">
        <v>0</v>
      </c>
      <c r="S52">
        <v>1</v>
      </c>
      <c r="T52" t="s">
        <v>58</v>
      </c>
      <c r="U52" t="s">
        <v>213</v>
      </c>
      <c r="V52" s="4">
        <v>6.5000000000000002E-2</v>
      </c>
      <c r="W52" s="2">
        <v>0</v>
      </c>
      <c r="X52">
        <v>0</v>
      </c>
      <c r="Y52" t="s">
        <v>214</v>
      </c>
      <c r="Z52" t="s">
        <v>61</v>
      </c>
      <c r="AA52">
        <v>0</v>
      </c>
      <c r="AB52" s="2">
        <v>0</v>
      </c>
      <c r="AC52" s="2">
        <v>0</v>
      </c>
      <c r="AD52" s="3">
        <v>0</v>
      </c>
      <c r="AE52" s="2">
        <v>0</v>
      </c>
      <c r="AF52" s="2">
        <v>0</v>
      </c>
      <c r="AG52" s="2">
        <v>0</v>
      </c>
      <c r="AH52" s="2">
        <v>0</v>
      </c>
      <c r="AI52" s="2">
        <v>0</v>
      </c>
      <c r="AJ52" s="2">
        <v>0</v>
      </c>
      <c r="AK52" s="2">
        <v>0</v>
      </c>
      <c r="AL52" s="2">
        <v>0</v>
      </c>
      <c r="AM52" s="2">
        <v>0</v>
      </c>
      <c r="AN52" s="2">
        <v>0</v>
      </c>
      <c r="AO52" s="2">
        <v>0</v>
      </c>
      <c r="AP52" s="2">
        <v>0</v>
      </c>
      <c r="AQ52" s="2">
        <v>0</v>
      </c>
    </row>
    <row r="53" spans="1:43" x14ac:dyDescent="0.25">
      <c r="A53" s="1">
        <v>45936</v>
      </c>
      <c r="B53" t="s">
        <v>48</v>
      </c>
      <c r="C53">
        <v>649163</v>
      </c>
      <c r="D53">
        <v>2030706584</v>
      </c>
      <c r="E53" t="s">
        <v>215</v>
      </c>
      <c r="F53" t="s">
        <v>216</v>
      </c>
      <c r="G53" t="s">
        <v>51</v>
      </c>
      <c r="H53" t="s">
        <v>150</v>
      </c>
      <c r="I53" t="s">
        <v>209</v>
      </c>
      <c r="J53" t="s">
        <v>217</v>
      </c>
      <c r="K53">
        <v>877790</v>
      </c>
      <c r="L53" t="s">
        <v>151</v>
      </c>
      <c r="M53" t="s">
        <v>152</v>
      </c>
      <c r="N53" t="s">
        <v>57</v>
      </c>
      <c r="O53" s="1">
        <v>45932</v>
      </c>
      <c r="Q53" s="1">
        <v>45963</v>
      </c>
      <c r="R53" s="2">
        <v>15</v>
      </c>
      <c r="S53">
        <v>1</v>
      </c>
      <c r="T53" t="s">
        <v>58</v>
      </c>
      <c r="U53" t="s">
        <v>218</v>
      </c>
      <c r="V53" s="3">
        <v>0.19</v>
      </c>
      <c r="W53" s="2">
        <v>0</v>
      </c>
      <c r="X53">
        <v>0</v>
      </c>
      <c r="Y53" t="s">
        <v>60</v>
      </c>
      <c r="Z53" t="s">
        <v>61</v>
      </c>
      <c r="AA53">
        <v>0</v>
      </c>
      <c r="AB53" s="2">
        <v>0</v>
      </c>
      <c r="AC53" s="2">
        <v>0</v>
      </c>
      <c r="AD53" s="3">
        <v>0</v>
      </c>
      <c r="AE53" s="2">
        <v>0</v>
      </c>
      <c r="AF53" s="2">
        <v>0</v>
      </c>
      <c r="AG53" s="2">
        <v>0</v>
      </c>
      <c r="AH53" s="2">
        <v>0</v>
      </c>
      <c r="AI53" s="2">
        <v>0</v>
      </c>
      <c r="AJ53" s="2">
        <v>0</v>
      </c>
      <c r="AK53" s="2">
        <v>0</v>
      </c>
      <c r="AL53" s="2">
        <v>0</v>
      </c>
      <c r="AM53" s="2">
        <v>2.85</v>
      </c>
      <c r="AN53" s="2">
        <v>2.85</v>
      </c>
      <c r="AO53" s="2">
        <v>0</v>
      </c>
      <c r="AP53" s="2">
        <v>0</v>
      </c>
      <c r="AQ53" s="2">
        <v>0</v>
      </c>
    </row>
    <row r="54" spans="1:43" x14ac:dyDescent="0.25">
      <c r="A54" s="1">
        <v>45936</v>
      </c>
      <c r="B54" t="s">
        <v>48</v>
      </c>
      <c r="C54">
        <v>649163</v>
      </c>
      <c r="D54">
        <v>2030949434</v>
      </c>
      <c r="E54" t="s">
        <v>219</v>
      </c>
      <c r="F54" t="s">
        <v>220</v>
      </c>
      <c r="G54" t="s">
        <v>51</v>
      </c>
      <c r="H54" t="s">
        <v>150</v>
      </c>
      <c r="I54" t="s">
        <v>209</v>
      </c>
      <c r="J54" t="s">
        <v>217</v>
      </c>
      <c r="K54">
        <v>877790</v>
      </c>
      <c r="L54" t="s">
        <v>151</v>
      </c>
      <c r="M54" t="s">
        <v>152</v>
      </c>
      <c r="N54" t="s">
        <v>57</v>
      </c>
      <c r="O54" s="1">
        <v>45931</v>
      </c>
      <c r="Q54" s="1">
        <v>45962</v>
      </c>
      <c r="R54" s="2">
        <v>15</v>
      </c>
      <c r="S54">
        <v>1</v>
      </c>
      <c r="T54" t="s">
        <v>58</v>
      </c>
      <c r="U54" t="s">
        <v>221</v>
      </c>
      <c r="V54" s="3">
        <v>0.19</v>
      </c>
      <c r="W54" s="2">
        <v>0</v>
      </c>
      <c r="X54">
        <v>0</v>
      </c>
      <c r="Y54" t="s">
        <v>60</v>
      </c>
      <c r="Z54" t="s">
        <v>61</v>
      </c>
      <c r="AA54">
        <v>6</v>
      </c>
      <c r="AB54" s="2">
        <v>17.100000000000001</v>
      </c>
      <c r="AC54" s="2">
        <v>0</v>
      </c>
      <c r="AD54" s="3">
        <v>0</v>
      </c>
      <c r="AE54" s="2">
        <v>0</v>
      </c>
      <c r="AF54" s="2">
        <v>0</v>
      </c>
      <c r="AG54" s="2">
        <v>0</v>
      </c>
      <c r="AH54" s="2">
        <v>0</v>
      </c>
      <c r="AI54" s="2">
        <v>0</v>
      </c>
      <c r="AJ54" s="2">
        <v>0</v>
      </c>
      <c r="AK54" s="2">
        <v>0</v>
      </c>
      <c r="AL54" s="2">
        <v>2.85</v>
      </c>
      <c r="AM54" s="2">
        <v>0</v>
      </c>
      <c r="AN54" s="2">
        <v>17.100000000000001</v>
      </c>
      <c r="AO54" s="2">
        <v>0</v>
      </c>
      <c r="AP54" s="2">
        <v>0</v>
      </c>
      <c r="AQ54" s="2">
        <v>0</v>
      </c>
    </row>
    <row r="55" spans="1:43" x14ac:dyDescent="0.25">
      <c r="A55" s="1">
        <v>45936</v>
      </c>
      <c r="B55" t="s">
        <v>48</v>
      </c>
      <c r="C55">
        <v>649163</v>
      </c>
      <c r="D55">
        <v>2030969461</v>
      </c>
      <c r="E55" t="s">
        <v>132</v>
      </c>
      <c r="F55" t="s">
        <v>133</v>
      </c>
      <c r="G55" t="s">
        <v>51</v>
      </c>
      <c r="H55" t="s">
        <v>101</v>
      </c>
      <c r="I55" t="s">
        <v>209</v>
      </c>
      <c r="J55" t="s">
        <v>222</v>
      </c>
      <c r="K55">
        <v>820873</v>
      </c>
      <c r="L55" t="s">
        <v>134</v>
      </c>
      <c r="M55" t="s">
        <v>135</v>
      </c>
      <c r="N55" t="s">
        <v>57</v>
      </c>
      <c r="O55" s="1">
        <v>45935</v>
      </c>
      <c r="Q55" s="1">
        <v>45966</v>
      </c>
      <c r="R55" s="2">
        <v>15</v>
      </c>
      <c r="S55">
        <v>1</v>
      </c>
      <c r="T55" t="s">
        <v>58</v>
      </c>
      <c r="U55" t="s">
        <v>59</v>
      </c>
      <c r="V55" s="3">
        <v>0.38</v>
      </c>
      <c r="W55" s="2">
        <v>0</v>
      </c>
      <c r="X55">
        <v>0</v>
      </c>
      <c r="Y55" t="s">
        <v>60</v>
      </c>
      <c r="Z55" t="s">
        <v>61</v>
      </c>
      <c r="AA55">
        <v>6</v>
      </c>
      <c r="AB55" s="2">
        <v>34.200000000000003</v>
      </c>
      <c r="AC55" s="2">
        <v>0</v>
      </c>
      <c r="AD55" s="3">
        <v>0</v>
      </c>
      <c r="AE55" s="2">
        <v>0</v>
      </c>
      <c r="AF55" s="2">
        <v>0</v>
      </c>
      <c r="AG55" s="2">
        <v>0</v>
      </c>
      <c r="AH55" s="2">
        <v>0</v>
      </c>
      <c r="AI55" s="2">
        <v>0</v>
      </c>
      <c r="AJ55" s="2">
        <v>0</v>
      </c>
      <c r="AK55" s="2">
        <v>0</v>
      </c>
      <c r="AL55" s="2">
        <v>5.7</v>
      </c>
      <c r="AM55" s="2">
        <v>0</v>
      </c>
      <c r="AN55" s="2">
        <v>34.200000000000003</v>
      </c>
      <c r="AO55" s="2">
        <v>0</v>
      </c>
      <c r="AP55" s="2">
        <v>0</v>
      </c>
      <c r="AQ55" s="2">
        <v>0</v>
      </c>
    </row>
    <row r="56" spans="1:43" x14ac:dyDescent="0.25">
      <c r="A56" s="1">
        <v>45936</v>
      </c>
      <c r="B56" t="s">
        <v>48</v>
      </c>
      <c r="C56">
        <v>649163</v>
      </c>
      <c r="D56">
        <v>2031317029</v>
      </c>
      <c r="E56" t="s">
        <v>223</v>
      </c>
      <c r="F56" t="s">
        <v>224</v>
      </c>
      <c r="G56" t="s">
        <v>51</v>
      </c>
      <c r="H56" t="s">
        <v>79</v>
      </c>
      <c r="I56" t="s">
        <v>209</v>
      </c>
      <c r="J56" t="s">
        <v>225</v>
      </c>
      <c r="K56">
        <v>673059</v>
      </c>
      <c r="L56" t="s">
        <v>80</v>
      </c>
      <c r="M56" t="s">
        <v>81</v>
      </c>
      <c r="N56" t="s">
        <v>57</v>
      </c>
      <c r="O56" s="1">
        <v>45931</v>
      </c>
      <c r="Q56" s="1">
        <v>45962</v>
      </c>
      <c r="R56" s="2">
        <v>15</v>
      </c>
      <c r="S56">
        <v>1</v>
      </c>
      <c r="T56" t="s">
        <v>58</v>
      </c>
      <c r="U56" t="s">
        <v>226</v>
      </c>
      <c r="V56" s="3">
        <v>0.28999999999999998</v>
      </c>
      <c r="W56" s="2">
        <v>0</v>
      </c>
      <c r="X56">
        <v>0</v>
      </c>
      <c r="Y56" t="s">
        <v>60</v>
      </c>
      <c r="Z56" t="s">
        <v>61</v>
      </c>
      <c r="AA56">
        <v>3</v>
      </c>
      <c r="AB56" s="2">
        <v>13.05</v>
      </c>
      <c r="AC56" s="2">
        <v>0</v>
      </c>
      <c r="AD56" s="3">
        <v>0</v>
      </c>
      <c r="AE56" s="2">
        <v>0</v>
      </c>
      <c r="AF56" s="2">
        <v>0</v>
      </c>
      <c r="AG56" s="2">
        <v>0</v>
      </c>
      <c r="AH56" s="2">
        <v>0</v>
      </c>
      <c r="AI56" s="2">
        <v>0</v>
      </c>
      <c r="AJ56" s="2">
        <v>0</v>
      </c>
      <c r="AK56" s="2">
        <v>0</v>
      </c>
      <c r="AL56" s="2">
        <v>4.3499999999999996</v>
      </c>
      <c r="AM56" s="2">
        <v>0</v>
      </c>
      <c r="AN56" s="2">
        <v>13.05</v>
      </c>
      <c r="AO56" s="2">
        <v>0</v>
      </c>
      <c r="AP56" s="2">
        <v>0</v>
      </c>
      <c r="AQ56" s="2">
        <v>0</v>
      </c>
    </row>
    <row r="57" spans="1:43" x14ac:dyDescent="0.25">
      <c r="A57" s="1">
        <v>45936</v>
      </c>
      <c r="B57" t="s">
        <v>48</v>
      </c>
      <c r="C57">
        <v>649163</v>
      </c>
      <c r="D57">
        <v>2031351791</v>
      </c>
      <c r="E57" t="s">
        <v>174</v>
      </c>
      <c r="F57" t="s">
        <v>227</v>
      </c>
      <c r="G57" t="s">
        <v>51</v>
      </c>
      <c r="H57" t="s">
        <v>228</v>
      </c>
      <c r="I57" t="s">
        <v>209</v>
      </c>
      <c r="J57" t="s">
        <v>229</v>
      </c>
      <c r="K57">
        <v>753748</v>
      </c>
      <c r="L57" t="s">
        <v>97</v>
      </c>
      <c r="M57" t="s">
        <v>98</v>
      </c>
      <c r="N57" t="s">
        <v>57</v>
      </c>
      <c r="O57" s="1">
        <v>45931</v>
      </c>
      <c r="Q57" s="1">
        <v>45962</v>
      </c>
      <c r="R57" s="2">
        <v>15</v>
      </c>
      <c r="S57">
        <v>1</v>
      </c>
      <c r="T57" t="s">
        <v>58</v>
      </c>
      <c r="U57" t="s">
        <v>226</v>
      </c>
      <c r="V57" s="3">
        <v>0.24</v>
      </c>
      <c r="W57" s="2">
        <v>35</v>
      </c>
      <c r="X57">
        <v>0</v>
      </c>
      <c r="Y57" t="s">
        <v>60</v>
      </c>
      <c r="Z57" t="s">
        <v>61</v>
      </c>
      <c r="AA57">
        <v>3</v>
      </c>
      <c r="AB57" s="2">
        <v>10.8</v>
      </c>
      <c r="AC57" s="2">
        <v>35</v>
      </c>
      <c r="AD57" s="3">
        <v>0</v>
      </c>
      <c r="AE57" s="2">
        <v>0</v>
      </c>
      <c r="AF57" s="2">
        <v>0</v>
      </c>
      <c r="AG57" s="2">
        <v>0</v>
      </c>
      <c r="AH57" s="2">
        <v>0</v>
      </c>
      <c r="AI57" s="2">
        <v>0</v>
      </c>
      <c r="AJ57" s="2">
        <v>0</v>
      </c>
      <c r="AK57" s="2">
        <v>0</v>
      </c>
      <c r="AL57" s="2">
        <v>38.6</v>
      </c>
      <c r="AM57" s="2">
        <v>0</v>
      </c>
      <c r="AN57" s="2">
        <v>45.8</v>
      </c>
      <c r="AO57" s="2">
        <v>0</v>
      </c>
      <c r="AP57" s="2">
        <v>0</v>
      </c>
      <c r="AQ57" s="2">
        <v>0</v>
      </c>
    </row>
    <row r="58" spans="1:43" x14ac:dyDescent="0.25">
      <c r="A58" s="1">
        <v>45936</v>
      </c>
      <c r="B58" t="s">
        <v>48</v>
      </c>
      <c r="C58">
        <v>649163</v>
      </c>
      <c r="D58">
        <v>2031420006</v>
      </c>
      <c r="E58" t="s">
        <v>230</v>
      </c>
      <c r="F58" t="s">
        <v>231</v>
      </c>
      <c r="G58" t="s">
        <v>51</v>
      </c>
      <c r="H58" t="s">
        <v>101</v>
      </c>
      <c r="I58" t="s">
        <v>209</v>
      </c>
      <c r="J58" t="s">
        <v>232</v>
      </c>
      <c r="K58">
        <v>756803</v>
      </c>
      <c r="L58" t="s">
        <v>233</v>
      </c>
      <c r="M58" t="s">
        <v>234</v>
      </c>
      <c r="N58" t="s">
        <v>57</v>
      </c>
      <c r="O58" s="1">
        <v>45933</v>
      </c>
      <c r="Q58" s="1">
        <v>45964</v>
      </c>
      <c r="R58" s="2">
        <v>15</v>
      </c>
      <c r="S58">
        <v>1</v>
      </c>
      <c r="T58" t="s">
        <v>58</v>
      </c>
      <c r="U58" t="s">
        <v>221</v>
      </c>
      <c r="V58" s="3">
        <v>0.38</v>
      </c>
      <c r="W58" s="2">
        <v>0</v>
      </c>
      <c r="X58">
        <v>0</v>
      </c>
      <c r="Y58" t="s">
        <v>60</v>
      </c>
      <c r="Z58" t="s">
        <v>61</v>
      </c>
      <c r="AA58">
        <v>6</v>
      </c>
      <c r="AB58" s="2">
        <v>34.200000000000003</v>
      </c>
      <c r="AC58" s="2">
        <v>0</v>
      </c>
      <c r="AD58" s="3">
        <v>0</v>
      </c>
      <c r="AE58" s="2">
        <v>0</v>
      </c>
      <c r="AF58" s="2">
        <v>0</v>
      </c>
      <c r="AG58" s="2">
        <v>0</v>
      </c>
      <c r="AH58" s="2">
        <v>0</v>
      </c>
      <c r="AI58" s="2">
        <v>0</v>
      </c>
      <c r="AJ58" s="2">
        <v>0</v>
      </c>
      <c r="AK58" s="2">
        <v>0</v>
      </c>
      <c r="AL58" s="2">
        <v>5.7</v>
      </c>
      <c r="AM58" s="2">
        <v>0</v>
      </c>
      <c r="AN58" s="2">
        <v>34.200000000000003</v>
      </c>
      <c r="AO58" s="2">
        <v>0</v>
      </c>
      <c r="AP58" s="2">
        <v>0</v>
      </c>
      <c r="AQ58" s="2">
        <v>0</v>
      </c>
    </row>
    <row r="59" spans="1:43" x14ac:dyDescent="0.25">
      <c r="A59" s="1">
        <v>45936</v>
      </c>
      <c r="B59" t="s">
        <v>48</v>
      </c>
      <c r="C59">
        <v>649163</v>
      </c>
      <c r="D59">
        <v>2031461152</v>
      </c>
      <c r="E59" t="s">
        <v>235</v>
      </c>
      <c r="F59" t="s">
        <v>236</v>
      </c>
      <c r="G59" t="s">
        <v>51</v>
      </c>
      <c r="H59" t="s">
        <v>88</v>
      </c>
      <c r="I59" t="s">
        <v>209</v>
      </c>
      <c r="J59" t="s">
        <v>222</v>
      </c>
      <c r="K59">
        <v>650218</v>
      </c>
      <c r="L59" t="s">
        <v>237</v>
      </c>
      <c r="M59" t="s">
        <v>238</v>
      </c>
      <c r="N59" t="s">
        <v>57</v>
      </c>
      <c r="O59" s="1">
        <v>45962</v>
      </c>
      <c r="Q59" s="1">
        <v>45992</v>
      </c>
      <c r="R59" s="2">
        <v>15</v>
      </c>
      <c r="S59">
        <v>1</v>
      </c>
      <c r="T59" t="s">
        <v>58</v>
      </c>
      <c r="U59" t="s">
        <v>59</v>
      </c>
      <c r="V59" s="3">
        <v>0.38</v>
      </c>
      <c r="W59" s="2">
        <v>0</v>
      </c>
      <c r="X59">
        <v>0</v>
      </c>
      <c r="Y59" t="s">
        <v>60</v>
      </c>
      <c r="Z59" t="s">
        <v>61</v>
      </c>
      <c r="AA59">
        <v>6</v>
      </c>
      <c r="AB59" s="2">
        <v>34.200000000000003</v>
      </c>
      <c r="AC59" s="2">
        <v>0</v>
      </c>
      <c r="AD59" s="3">
        <v>0</v>
      </c>
      <c r="AE59" s="2">
        <v>0</v>
      </c>
      <c r="AF59" s="2">
        <v>0</v>
      </c>
      <c r="AG59" s="2">
        <v>0</v>
      </c>
      <c r="AH59" s="2">
        <v>0</v>
      </c>
      <c r="AI59" s="2">
        <v>0</v>
      </c>
      <c r="AJ59" s="2">
        <v>0</v>
      </c>
      <c r="AK59" s="2">
        <v>0</v>
      </c>
      <c r="AL59" s="2">
        <v>5.7</v>
      </c>
      <c r="AM59" s="2">
        <v>0</v>
      </c>
      <c r="AN59" s="2">
        <v>34.200000000000003</v>
      </c>
      <c r="AO59" s="2">
        <v>0</v>
      </c>
      <c r="AP59" s="2">
        <v>0</v>
      </c>
      <c r="AQ59" s="2">
        <v>0</v>
      </c>
    </row>
    <row r="60" spans="1:43" x14ac:dyDescent="0.25">
      <c r="A60" s="1">
        <v>45936</v>
      </c>
      <c r="B60" t="s">
        <v>48</v>
      </c>
      <c r="C60">
        <v>649163</v>
      </c>
      <c r="D60">
        <v>2031462400</v>
      </c>
      <c r="E60" t="s">
        <v>239</v>
      </c>
      <c r="F60" t="s">
        <v>240</v>
      </c>
      <c r="G60" t="s">
        <v>51</v>
      </c>
      <c r="H60" t="s">
        <v>101</v>
      </c>
      <c r="I60" t="s">
        <v>209</v>
      </c>
      <c r="J60" t="s">
        <v>222</v>
      </c>
      <c r="K60">
        <v>884943</v>
      </c>
      <c r="L60" t="s">
        <v>241</v>
      </c>
      <c r="M60" t="s">
        <v>242</v>
      </c>
      <c r="N60" t="s">
        <v>57</v>
      </c>
      <c r="O60" s="1">
        <v>45936</v>
      </c>
      <c r="Q60" s="1">
        <v>45967</v>
      </c>
      <c r="R60" s="2">
        <v>15</v>
      </c>
      <c r="S60">
        <v>1</v>
      </c>
      <c r="T60" t="s">
        <v>58</v>
      </c>
      <c r="U60" t="s">
        <v>59</v>
      </c>
      <c r="V60" s="3">
        <v>0.38</v>
      </c>
      <c r="W60" s="2">
        <v>0</v>
      </c>
      <c r="X60">
        <v>0</v>
      </c>
      <c r="Y60" t="s">
        <v>60</v>
      </c>
      <c r="Z60" t="s">
        <v>61</v>
      </c>
      <c r="AA60">
        <v>6</v>
      </c>
      <c r="AB60" s="2">
        <v>34.200000000000003</v>
      </c>
      <c r="AC60" s="2">
        <v>0</v>
      </c>
      <c r="AD60" s="3">
        <v>0</v>
      </c>
      <c r="AE60" s="2">
        <v>0</v>
      </c>
      <c r="AF60" s="2">
        <v>0</v>
      </c>
      <c r="AG60" s="2">
        <v>0</v>
      </c>
      <c r="AH60" s="2">
        <v>0</v>
      </c>
      <c r="AI60" s="2">
        <v>0</v>
      </c>
      <c r="AJ60" s="2">
        <v>0</v>
      </c>
      <c r="AK60" s="2">
        <v>0</v>
      </c>
      <c r="AL60" s="2">
        <v>5.7</v>
      </c>
      <c r="AM60" s="2">
        <v>0</v>
      </c>
      <c r="AN60" s="2">
        <v>34.200000000000003</v>
      </c>
      <c r="AO60" s="2">
        <v>0</v>
      </c>
      <c r="AP60" s="2">
        <v>0</v>
      </c>
      <c r="AQ60" s="2">
        <v>0</v>
      </c>
    </row>
    <row r="61" spans="1:43" x14ac:dyDescent="0.25">
      <c r="A61" s="1">
        <v>45936</v>
      </c>
      <c r="B61" t="s">
        <v>48</v>
      </c>
      <c r="C61">
        <v>649163</v>
      </c>
      <c r="D61">
        <v>2030453211</v>
      </c>
      <c r="E61" t="s">
        <v>86</v>
      </c>
      <c r="F61" t="s">
        <v>87</v>
      </c>
      <c r="G61" t="s">
        <v>51</v>
      </c>
      <c r="H61" t="s">
        <v>88</v>
      </c>
      <c r="I61" t="s">
        <v>243</v>
      </c>
      <c r="J61" t="s">
        <v>244</v>
      </c>
      <c r="K61">
        <v>812782</v>
      </c>
      <c r="L61" t="s">
        <v>91</v>
      </c>
      <c r="M61" t="s">
        <v>92</v>
      </c>
      <c r="N61" t="s">
        <v>57</v>
      </c>
      <c r="O61" s="1">
        <v>45931</v>
      </c>
      <c r="Q61" s="1">
        <v>45962</v>
      </c>
      <c r="R61" s="2">
        <v>37.130000000000003</v>
      </c>
      <c r="S61">
        <v>1</v>
      </c>
      <c r="T61" t="s">
        <v>58</v>
      </c>
      <c r="U61" t="s">
        <v>59</v>
      </c>
      <c r="V61" s="4">
        <v>0.375</v>
      </c>
      <c r="W61" s="2">
        <v>0</v>
      </c>
      <c r="X61">
        <v>0</v>
      </c>
      <c r="Y61" t="s">
        <v>60</v>
      </c>
      <c r="Z61" t="s">
        <v>61</v>
      </c>
      <c r="AA61">
        <v>6</v>
      </c>
      <c r="AB61" s="2">
        <v>83.52</v>
      </c>
      <c r="AC61" s="2">
        <v>0</v>
      </c>
      <c r="AD61" s="3">
        <v>0</v>
      </c>
      <c r="AE61" s="2">
        <v>0</v>
      </c>
      <c r="AF61" s="2">
        <v>0</v>
      </c>
      <c r="AG61" s="2">
        <v>0</v>
      </c>
      <c r="AH61" s="2">
        <v>0</v>
      </c>
      <c r="AI61" s="2">
        <v>0</v>
      </c>
      <c r="AJ61" s="2">
        <v>0</v>
      </c>
      <c r="AK61" s="2">
        <v>0</v>
      </c>
      <c r="AL61" s="2">
        <v>13.92</v>
      </c>
      <c r="AM61" s="2">
        <v>0</v>
      </c>
      <c r="AN61" s="2">
        <v>83.52</v>
      </c>
      <c r="AO61" s="2">
        <v>0</v>
      </c>
      <c r="AP61" s="2">
        <v>0</v>
      </c>
      <c r="AQ61" s="2">
        <v>0</v>
      </c>
    </row>
    <row r="62" spans="1:43" x14ac:dyDescent="0.25">
      <c r="A62" s="1">
        <v>45936</v>
      </c>
      <c r="B62" t="s">
        <v>48</v>
      </c>
      <c r="C62">
        <v>649163</v>
      </c>
      <c r="D62">
        <v>2030723169</v>
      </c>
      <c r="E62" t="s">
        <v>245</v>
      </c>
      <c r="F62" t="s">
        <v>246</v>
      </c>
      <c r="G62" t="s">
        <v>51</v>
      </c>
      <c r="H62" t="s">
        <v>247</v>
      </c>
      <c r="I62" t="s">
        <v>243</v>
      </c>
      <c r="J62" t="s">
        <v>244</v>
      </c>
      <c r="K62">
        <v>673059</v>
      </c>
      <c r="L62" t="s">
        <v>80</v>
      </c>
      <c r="M62" t="s">
        <v>81</v>
      </c>
      <c r="N62" t="s">
        <v>57</v>
      </c>
      <c r="O62" s="1">
        <v>45931</v>
      </c>
      <c r="Q62" s="1">
        <v>45962</v>
      </c>
      <c r="R62" s="2">
        <v>49.55</v>
      </c>
      <c r="S62">
        <v>1</v>
      </c>
      <c r="T62" t="s">
        <v>58</v>
      </c>
      <c r="U62" t="s">
        <v>59</v>
      </c>
      <c r="V62" s="4">
        <v>0.375</v>
      </c>
      <c r="W62" s="2">
        <v>0</v>
      </c>
      <c r="X62">
        <v>0</v>
      </c>
      <c r="Y62" t="s">
        <v>60</v>
      </c>
      <c r="Z62" t="s">
        <v>61</v>
      </c>
      <c r="AA62">
        <v>6</v>
      </c>
      <c r="AB62" s="2">
        <v>111.48</v>
      </c>
      <c r="AC62" s="2">
        <v>0</v>
      </c>
      <c r="AD62" s="3">
        <v>0</v>
      </c>
      <c r="AE62" s="2">
        <v>0</v>
      </c>
      <c r="AF62" s="2">
        <v>0</v>
      </c>
      <c r="AG62" s="2">
        <v>0</v>
      </c>
      <c r="AH62" s="2">
        <v>0</v>
      </c>
      <c r="AI62" s="2">
        <v>0</v>
      </c>
      <c r="AJ62" s="2">
        <v>0</v>
      </c>
      <c r="AK62" s="2">
        <v>0</v>
      </c>
      <c r="AL62" s="2">
        <v>18.579999999999998</v>
      </c>
      <c r="AM62" s="2">
        <v>0</v>
      </c>
      <c r="AN62" s="2">
        <v>111.48</v>
      </c>
      <c r="AO62" s="2">
        <v>0</v>
      </c>
      <c r="AP62" s="2">
        <v>0</v>
      </c>
      <c r="AQ62" s="2">
        <v>0</v>
      </c>
    </row>
    <row r="63" spans="1:43" x14ac:dyDescent="0.25">
      <c r="A63" s="1">
        <v>45936</v>
      </c>
      <c r="B63" t="s">
        <v>48</v>
      </c>
      <c r="C63">
        <v>649163</v>
      </c>
      <c r="D63">
        <v>2030807439</v>
      </c>
      <c r="E63" t="s">
        <v>113</v>
      </c>
      <c r="F63" t="s">
        <v>114</v>
      </c>
      <c r="G63" t="s">
        <v>51</v>
      </c>
      <c r="H63" t="s">
        <v>115</v>
      </c>
      <c r="I63" t="s">
        <v>243</v>
      </c>
      <c r="J63" t="s">
        <v>244</v>
      </c>
      <c r="K63">
        <v>753748</v>
      </c>
      <c r="L63" t="s">
        <v>97</v>
      </c>
      <c r="M63" t="s">
        <v>98</v>
      </c>
      <c r="N63" t="s">
        <v>57</v>
      </c>
      <c r="O63" s="1">
        <v>45931</v>
      </c>
      <c r="Q63" s="1">
        <v>45962</v>
      </c>
      <c r="R63" s="2">
        <v>49.02</v>
      </c>
      <c r="S63">
        <v>1</v>
      </c>
      <c r="T63" t="s">
        <v>58</v>
      </c>
      <c r="U63" t="s">
        <v>59</v>
      </c>
      <c r="V63" s="4">
        <v>0.375</v>
      </c>
      <c r="W63" s="2">
        <v>0</v>
      </c>
      <c r="X63">
        <v>0</v>
      </c>
      <c r="Y63" t="s">
        <v>60</v>
      </c>
      <c r="Z63" t="s">
        <v>61</v>
      </c>
      <c r="AA63">
        <v>6</v>
      </c>
      <c r="AB63" s="2">
        <v>110.28</v>
      </c>
      <c r="AC63" s="2">
        <v>0</v>
      </c>
      <c r="AD63" s="3">
        <v>0</v>
      </c>
      <c r="AE63" s="2">
        <v>0</v>
      </c>
      <c r="AF63" s="2">
        <v>0</v>
      </c>
      <c r="AG63" s="2">
        <v>0</v>
      </c>
      <c r="AH63" s="2">
        <v>0</v>
      </c>
      <c r="AI63" s="2">
        <v>0</v>
      </c>
      <c r="AJ63" s="2">
        <v>0</v>
      </c>
      <c r="AK63" s="2">
        <v>0</v>
      </c>
      <c r="AL63" s="2">
        <v>18.38</v>
      </c>
      <c r="AM63" s="2">
        <v>0</v>
      </c>
      <c r="AN63" s="2">
        <v>110.28</v>
      </c>
      <c r="AO63" s="2">
        <v>0</v>
      </c>
      <c r="AP63" s="2">
        <v>0</v>
      </c>
      <c r="AQ63" s="2">
        <v>0</v>
      </c>
    </row>
    <row r="64" spans="1:43" x14ac:dyDescent="0.25">
      <c r="A64" s="1">
        <v>45936</v>
      </c>
      <c r="B64" t="s">
        <v>48</v>
      </c>
      <c r="C64">
        <v>649163</v>
      </c>
      <c r="D64">
        <v>2030975446</v>
      </c>
      <c r="E64" t="s">
        <v>248</v>
      </c>
      <c r="F64" t="s">
        <v>249</v>
      </c>
      <c r="G64" t="s">
        <v>51</v>
      </c>
      <c r="H64" t="s">
        <v>182</v>
      </c>
      <c r="I64" t="s">
        <v>243</v>
      </c>
      <c r="J64" t="s">
        <v>244</v>
      </c>
      <c r="K64">
        <v>673059</v>
      </c>
      <c r="L64" t="s">
        <v>80</v>
      </c>
      <c r="M64" t="s">
        <v>81</v>
      </c>
      <c r="N64" t="s">
        <v>57</v>
      </c>
      <c r="O64" s="1">
        <v>45931</v>
      </c>
      <c r="Q64" s="1">
        <v>45962</v>
      </c>
      <c r="R64" s="2">
        <v>80.540000000000006</v>
      </c>
      <c r="S64">
        <v>1</v>
      </c>
      <c r="T64" t="s">
        <v>58</v>
      </c>
      <c r="U64" t="s">
        <v>59</v>
      </c>
      <c r="V64" s="4">
        <v>0.375</v>
      </c>
      <c r="W64" s="2">
        <v>0</v>
      </c>
      <c r="X64">
        <v>0</v>
      </c>
      <c r="Y64" t="s">
        <v>60</v>
      </c>
      <c r="Z64" t="s">
        <v>61</v>
      </c>
      <c r="AA64">
        <v>6</v>
      </c>
      <c r="AB64" s="2">
        <v>181.2</v>
      </c>
      <c r="AC64" s="2">
        <v>0</v>
      </c>
      <c r="AD64" s="3">
        <v>0</v>
      </c>
      <c r="AE64" s="2">
        <v>0</v>
      </c>
      <c r="AF64" s="2">
        <v>0</v>
      </c>
      <c r="AG64" s="2">
        <v>0</v>
      </c>
      <c r="AH64" s="2">
        <v>0</v>
      </c>
      <c r="AI64" s="2">
        <v>0</v>
      </c>
      <c r="AJ64" s="2">
        <v>0</v>
      </c>
      <c r="AK64" s="2">
        <v>0</v>
      </c>
      <c r="AL64" s="2">
        <v>30.2</v>
      </c>
      <c r="AM64" s="2">
        <v>0</v>
      </c>
      <c r="AN64" s="2">
        <v>181.2</v>
      </c>
      <c r="AO64" s="2">
        <v>0</v>
      </c>
      <c r="AP64" s="2">
        <v>0</v>
      </c>
      <c r="AQ64" s="2">
        <v>0</v>
      </c>
    </row>
    <row r="65" spans="1:43" x14ac:dyDescent="0.25">
      <c r="A65" s="1">
        <v>45936</v>
      </c>
      <c r="B65" t="s">
        <v>48</v>
      </c>
      <c r="C65">
        <v>649163</v>
      </c>
      <c r="D65">
        <v>2030984376</v>
      </c>
      <c r="E65" t="s">
        <v>250</v>
      </c>
      <c r="F65" t="s">
        <v>251</v>
      </c>
      <c r="G65" t="s">
        <v>51</v>
      </c>
      <c r="H65" t="s">
        <v>88</v>
      </c>
      <c r="I65" t="s">
        <v>243</v>
      </c>
      <c r="J65" t="s">
        <v>244</v>
      </c>
      <c r="K65">
        <v>673059</v>
      </c>
      <c r="L65" t="s">
        <v>80</v>
      </c>
      <c r="M65" t="s">
        <v>81</v>
      </c>
      <c r="N65" t="s">
        <v>57</v>
      </c>
      <c r="O65" s="1">
        <v>45931</v>
      </c>
      <c r="Q65" s="1">
        <v>45962</v>
      </c>
      <c r="R65" s="2">
        <v>54.95</v>
      </c>
      <c r="S65">
        <v>1</v>
      </c>
      <c r="T65" t="s">
        <v>58</v>
      </c>
      <c r="U65" t="s">
        <v>59</v>
      </c>
      <c r="V65" s="4">
        <v>0.375</v>
      </c>
      <c r="W65" s="2">
        <v>0</v>
      </c>
      <c r="X65">
        <v>0</v>
      </c>
      <c r="Y65" t="s">
        <v>60</v>
      </c>
      <c r="Z65" t="s">
        <v>61</v>
      </c>
      <c r="AA65">
        <v>6</v>
      </c>
      <c r="AB65" s="2">
        <v>123.66</v>
      </c>
      <c r="AC65" s="2">
        <v>0</v>
      </c>
      <c r="AD65" s="3">
        <v>0</v>
      </c>
      <c r="AE65" s="2">
        <v>0</v>
      </c>
      <c r="AF65" s="2">
        <v>0</v>
      </c>
      <c r="AG65" s="2">
        <v>0</v>
      </c>
      <c r="AH65" s="2">
        <v>0</v>
      </c>
      <c r="AI65" s="2">
        <v>0</v>
      </c>
      <c r="AJ65" s="2">
        <v>0</v>
      </c>
      <c r="AK65" s="2">
        <v>0</v>
      </c>
      <c r="AL65" s="2">
        <v>20.61</v>
      </c>
      <c r="AM65" s="2">
        <v>0</v>
      </c>
      <c r="AN65" s="2">
        <v>123.66</v>
      </c>
      <c r="AO65" s="2">
        <v>0</v>
      </c>
      <c r="AP65" s="2">
        <v>0</v>
      </c>
      <c r="AQ65" s="2">
        <v>0</v>
      </c>
    </row>
    <row r="66" spans="1:43" x14ac:dyDescent="0.25">
      <c r="A66" s="1">
        <v>45936</v>
      </c>
      <c r="B66" t="s">
        <v>48</v>
      </c>
      <c r="C66">
        <v>649163</v>
      </c>
      <c r="D66">
        <v>2031014067</v>
      </c>
      <c r="E66" t="s">
        <v>142</v>
      </c>
      <c r="F66" t="s">
        <v>143</v>
      </c>
      <c r="G66" t="s">
        <v>51</v>
      </c>
      <c r="H66" t="s">
        <v>110</v>
      </c>
      <c r="I66" t="s">
        <v>243</v>
      </c>
      <c r="J66" t="s">
        <v>244</v>
      </c>
      <c r="K66">
        <v>651818</v>
      </c>
      <c r="L66" t="s">
        <v>112</v>
      </c>
      <c r="M66" t="s">
        <v>104</v>
      </c>
      <c r="N66" t="s">
        <v>57</v>
      </c>
      <c r="O66" s="1">
        <v>45936</v>
      </c>
      <c r="Q66" s="1">
        <v>45967</v>
      </c>
      <c r="R66" s="2">
        <v>99.05</v>
      </c>
      <c r="S66">
        <v>1</v>
      </c>
      <c r="T66" t="s">
        <v>58</v>
      </c>
      <c r="U66" t="s">
        <v>59</v>
      </c>
      <c r="V66" s="4">
        <v>0.375</v>
      </c>
      <c r="W66" s="2">
        <v>0</v>
      </c>
      <c r="X66">
        <v>0</v>
      </c>
      <c r="Y66" t="s">
        <v>60</v>
      </c>
      <c r="Z66" t="s">
        <v>61</v>
      </c>
      <c r="AA66">
        <v>6</v>
      </c>
      <c r="AB66" s="2">
        <v>222.84</v>
      </c>
      <c r="AC66" s="2">
        <v>0</v>
      </c>
      <c r="AD66" s="3">
        <v>0</v>
      </c>
      <c r="AE66" s="2">
        <v>0</v>
      </c>
      <c r="AF66" s="2">
        <v>0</v>
      </c>
      <c r="AG66" s="2">
        <v>0</v>
      </c>
      <c r="AH66" s="2">
        <v>0</v>
      </c>
      <c r="AI66" s="2">
        <v>0</v>
      </c>
      <c r="AJ66" s="2">
        <v>0</v>
      </c>
      <c r="AK66" s="2">
        <v>0</v>
      </c>
      <c r="AL66" s="2">
        <v>37.14</v>
      </c>
      <c r="AM66" s="2">
        <v>0</v>
      </c>
      <c r="AN66" s="2">
        <v>222.84</v>
      </c>
      <c r="AO66" s="2">
        <v>0</v>
      </c>
      <c r="AP66" s="2">
        <v>0</v>
      </c>
      <c r="AQ66" s="2">
        <v>0</v>
      </c>
    </row>
    <row r="67" spans="1:43" x14ac:dyDescent="0.25">
      <c r="A67" s="1">
        <v>45936</v>
      </c>
      <c r="B67" t="s">
        <v>48</v>
      </c>
      <c r="C67">
        <v>649163</v>
      </c>
      <c r="D67">
        <v>2031081020</v>
      </c>
      <c r="E67" t="s">
        <v>144</v>
      </c>
      <c r="F67" t="s">
        <v>145</v>
      </c>
      <c r="G67" t="s">
        <v>51</v>
      </c>
      <c r="H67" t="s">
        <v>64</v>
      </c>
      <c r="I67" t="s">
        <v>243</v>
      </c>
      <c r="J67" t="s">
        <v>244</v>
      </c>
      <c r="K67">
        <v>822865</v>
      </c>
      <c r="L67" t="s">
        <v>146</v>
      </c>
      <c r="M67" t="s">
        <v>147</v>
      </c>
      <c r="N67" t="s">
        <v>57</v>
      </c>
      <c r="O67" s="1">
        <v>45932</v>
      </c>
      <c r="Q67" s="1">
        <v>45963</v>
      </c>
      <c r="R67" s="2">
        <v>15.33</v>
      </c>
      <c r="S67">
        <v>1</v>
      </c>
      <c r="T67" t="s">
        <v>58</v>
      </c>
      <c r="U67" t="s">
        <v>59</v>
      </c>
      <c r="V67" s="4">
        <v>0.375</v>
      </c>
      <c r="W67" s="2">
        <v>0</v>
      </c>
      <c r="X67">
        <v>0</v>
      </c>
      <c r="Y67" t="s">
        <v>60</v>
      </c>
      <c r="Z67" t="s">
        <v>61</v>
      </c>
      <c r="AA67">
        <v>6</v>
      </c>
      <c r="AB67" s="2">
        <v>34.5</v>
      </c>
      <c r="AC67" s="2">
        <v>0</v>
      </c>
      <c r="AD67" s="3">
        <v>0</v>
      </c>
      <c r="AE67" s="2">
        <v>0</v>
      </c>
      <c r="AF67" s="2">
        <v>0</v>
      </c>
      <c r="AG67" s="2">
        <v>0</v>
      </c>
      <c r="AH67" s="2">
        <v>0</v>
      </c>
      <c r="AI67" s="2">
        <v>0</v>
      </c>
      <c r="AJ67" s="2">
        <v>0</v>
      </c>
      <c r="AK67" s="2">
        <v>0</v>
      </c>
      <c r="AL67" s="2">
        <v>5.75</v>
      </c>
      <c r="AM67" s="2">
        <v>0</v>
      </c>
      <c r="AN67" s="2">
        <v>34.5</v>
      </c>
      <c r="AO67" s="2">
        <v>0</v>
      </c>
      <c r="AP67" s="2">
        <v>0</v>
      </c>
      <c r="AQ67" s="2">
        <v>0</v>
      </c>
    </row>
    <row r="68" spans="1:43" x14ac:dyDescent="0.25">
      <c r="A68" s="1">
        <v>45936</v>
      </c>
      <c r="B68" t="s">
        <v>48</v>
      </c>
      <c r="C68">
        <v>649163</v>
      </c>
      <c r="D68">
        <v>2031091278</v>
      </c>
      <c r="E68" t="s">
        <v>148</v>
      </c>
      <c r="F68" t="s">
        <v>149</v>
      </c>
      <c r="G68" t="s">
        <v>51</v>
      </c>
      <c r="H68" t="s">
        <v>150</v>
      </c>
      <c r="I68" t="s">
        <v>243</v>
      </c>
      <c r="J68" t="s">
        <v>244</v>
      </c>
      <c r="K68">
        <v>877790</v>
      </c>
      <c r="L68" t="s">
        <v>151</v>
      </c>
      <c r="M68" t="s">
        <v>152</v>
      </c>
      <c r="N68" t="s">
        <v>57</v>
      </c>
      <c r="O68" s="1">
        <v>45931</v>
      </c>
      <c r="Q68" s="1">
        <v>45962</v>
      </c>
      <c r="R68" s="2">
        <v>58.15</v>
      </c>
      <c r="S68">
        <v>1</v>
      </c>
      <c r="T68" t="s">
        <v>58</v>
      </c>
      <c r="U68" t="s">
        <v>59</v>
      </c>
      <c r="V68" s="4">
        <v>0.375</v>
      </c>
      <c r="W68" s="2">
        <v>0</v>
      </c>
      <c r="X68">
        <v>0</v>
      </c>
      <c r="Y68" t="s">
        <v>60</v>
      </c>
      <c r="Z68" t="s">
        <v>61</v>
      </c>
      <c r="AA68">
        <v>6</v>
      </c>
      <c r="AB68" s="2">
        <v>130.86000000000001</v>
      </c>
      <c r="AC68" s="2">
        <v>0</v>
      </c>
      <c r="AD68" s="3">
        <v>0</v>
      </c>
      <c r="AE68" s="2">
        <v>0</v>
      </c>
      <c r="AF68" s="2">
        <v>0</v>
      </c>
      <c r="AG68" s="2">
        <v>0</v>
      </c>
      <c r="AH68" s="2">
        <v>0</v>
      </c>
      <c r="AI68" s="2">
        <v>0</v>
      </c>
      <c r="AJ68" s="2">
        <v>0</v>
      </c>
      <c r="AK68" s="2">
        <v>0</v>
      </c>
      <c r="AL68" s="2">
        <v>21.81</v>
      </c>
      <c r="AM68" s="2">
        <v>0</v>
      </c>
      <c r="AN68" s="2">
        <v>130.86000000000001</v>
      </c>
      <c r="AO68" s="2">
        <v>0</v>
      </c>
      <c r="AP68" s="2">
        <v>0</v>
      </c>
      <c r="AQ68" s="2">
        <v>0</v>
      </c>
    </row>
    <row r="69" spans="1:43" x14ac:dyDescent="0.25">
      <c r="A69" s="1">
        <v>45936</v>
      </c>
      <c r="B69" t="s">
        <v>48</v>
      </c>
      <c r="C69">
        <v>649163</v>
      </c>
      <c r="D69">
        <v>2031106354</v>
      </c>
      <c r="E69" t="s">
        <v>252</v>
      </c>
      <c r="F69" t="s">
        <v>253</v>
      </c>
      <c r="G69" t="s">
        <v>51</v>
      </c>
      <c r="H69" t="s">
        <v>52</v>
      </c>
      <c r="I69" t="s">
        <v>243</v>
      </c>
      <c r="J69" t="s">
        <v>244</v>
      </c>
      <c r="K69">
        <v>822865</v>
      </c>
      <c r="L69" t="s">
        <v>146</v>
      </c>
      <c r="M69" t="s">
        <v>147</v>
      </c>
      <c r="N69" t="s">
        <v>57</v>
      </c>
      <c r="O69" s="1">
        <v>45932</v>
      </c>
      <c r="Q69" s="1">
        <v>45963</v>
      </c>
      <c r="R69" s="2">
        <v>33.39</v>
      </c>
      <c r="S69">
        <v>1</v>
      </c>
      <c r="T69" t="s">
        <v>58</v>
      </c>
      <c r="U69" t="s">
        <v>59</v>
      </c>
      <c r="V69" s="4">
        <v>0.375</v>
      </c>
      <c r="W69" s="2">
        <v>0</v>
      </c>
      <c r="X69">
        <v>0</v>
      </c>
      <c r="Y69" t="s">
        <v>60</v>
      </c>
      <c r="Z69" t="s">
        <v>61</v>
      </c>
      <c r="AA69">
        <v>6</v>
      </c>
      <c r="AB69" s="2">
        <v>75.12</v>
      </c>
      <c r="AC69" s="2">
        <v>0</v>
      </c>
      <c r="AD69" s="3">
        <v>0</v>
      </c>
      <c r="AE69" s="2">
        <v>0</v>
      </c>
      <c r="AF69" s="2">
        <v>0</v>
      </c>
      <c r="AG69" s="2">
        <v>0</v>
      </c>
      <c r="AH69" s="2">
        <v>0</v>
      </c>
      <c r="AI69" s="2">
        <v>0</v>
      </c>
      <c r="AJ69" s="2">
        <v>0</v>
      </c>
      <c r="AK69" s="2">
        <v>0</v>
      </c>
      <c r="AL69" s="2">
        <v>12.52</v>
      </c>
      <c r="AM69" s="2">
        <v>0</v>
      </c>
      <c r="AN69" s="2">
        <v>75.12</v>
      </c>
      <c r="AO69" s="2">
        <v>0</v>
      </c>
      <c r="AP69" s="2">
        <v>0</v>
      </c>
      <c r="AQ69" s="2">
        <v>0</v>
      </c>
    </row>
    <row r="70" spans="1:43" x14ac:dyDescent="0.25">
      <c r="A70" s="1">
        <v>45936</v>
      </c>
      <c r="B70" t="s">
        <v>48</v>
      </c>
      <c r="C70">
        <v>649163</v>
      </c>
      <c r="D70">
        <v>2031106899</v>
      </c>
      <c r="E70" t="s">
        <v>49</v>
      </c>
      <c r="F70" t="s">
        <v>50</v>
      </c>
      <c r="G70" t="s">
        <v>51</v>
      </c>
      <c r="H70" t="s">
        <v>52</v>
      </c>
      <c r="I70" t="s">
        <v>243</v>
      </c>
      <c r="J70" t="s">
        <v>244</v>
      </c>
      <c r="K70">
        <v>884595</v>
      </c>
      <c r="L70" t="s">
        <v>55</v>
      </c>
      <c r="M70" t="s">
        <v>56</v>
      </c>
      <c r="N70" t="s">
        <v>57</v>
      </c>
      <c r="O70" s="1">
        <v>45931</v>
      </c>
      <c r="Q70" s="1">
        <v>45962</v>
      </c>
      <c r="R70" s="2">
        <v>28.38</v>
      </c>
      <c r="S70">
        <v>1</v>
      </c>
      <c r="T70" t="s">
        <v>58</v>
      </c>
      <c r="U70" t="s">
        <v>59</v>
      </c>
      <c r="V70" s="4">
        <v>0.375</v>
      </c>
      <c r="W70" s="2">
        <v>0</v>
      </c>
      <c r="X70">
        <v>0</v>
      </c>
      <c r="Y70" t="s">
        <v>60</v>
      </c>
      <c r="Z70" t="s">
        <v>61</v>
      </c>
      <c r="AA70">
        <v>6</v>
      </c>
      <c r="AB70" s="2">
        <v>63.84</v>
      </c>
      <c r="AC70" s="2">
        <v>0</v>
      </c>
      <c r="AD70" s="3">
        <v>0</v>
      </c>
      <c r="AE70" s="2">
        <v>0</v>
      </c>
      <c r="AF70" s="2">
        <v>0</v>
      </c>
      <c r="AG70" s="2">
        <v>0</v>
      </c>
      <c r="AH70" s="2">
        <v>0</v>
      </c>
      <c r="AI70" s="2">
        <v>0</v>
      </c>
      <c r="AJ70" s="2">
        <v>0</v>
      </c>
      <c r="AK70" s="2">
        <v>0</v>
      </c>
      <c r="AL70" s="2">
        <v>10.64</v>
      </c>
      <c r="AM70" s="2">
        <v>0</v>
      </c>
      <c r="AN70" s="2">
        <v>63.84</v>
      </c>
      <c r="AO70" s="2">
        <v>0</v>
      </c>
      <c r="AP70" s="2">
        <v>0</v>
      </c>
      <c r="AQ70" s="2">
        <v>0</v>
      </c>
    </row>
    <row r="71" spans="1:43" x14ac:dyDescent="0.25">
      <c r="A71" s="1">
        <v>45936</v>
      </c>
      <c r="B71" t="s">
        <v>48</v>
      </c>
      <c r="C71">
        <v>649163</v>
      </c>
      <c r="D71">
        <v>2031225658</v>
      </c>
      <c r="E71" t="s">
        <v>254</v>
      </c>
      <c r="F71" t="s">
        <v>255</v>
      </c>
      <c r="G71" t="s">
        <v>51</v>
      </c>
      <c r="H71" t="s">
        <v>155</v>
      </c>
      <c r="I71" t="s">
        <v>243</v>
      </c>
      <c r="J71" t="s">
        <v>244</v>
      </c>
      <c r="K71">
        <v>814033</v>
      </c>
      <c r="L71" t="s">
        <v>256</v>
      </c>
      <c r="M71" t="s">
        <v>165</v>
      </c>
      <c r="N71" t="s">
        <v>57</v>
      </c>
      <c r="O71" s="1">
        <v>45931</v>
      </c>
      <c r="Q71" s="1">
        <v>45962</v>
      </c>
      <c r="R71" s="2">
        <v>27.56</v>
      </c>
      <c r="S71">
        <v>1</v>
      </c>
      <c r="T71" t="s">
        <v>58</v>
      </c>
      <c r="U71" t="s">
        <v>59</v>
      </c>
      <c r="V71" s="4">
        <v>0.375</v>
      </c>
      <c r="W71" s="2">
        <v>0</v>
      </c>
      <c r="X71">
        <v>0</v>
      </c>
      <c r="Y71" t="s">
        <v>60</v>
      </c>
      <c r="Z71" t="s">
        <v>61</v>
      </c>
      <c r="AA71">
        <v>6</v>
      </c>
      <c r="AB71" s="2">
        <v>62.04</v>
      </c>
      <c r="AC71" s="2">
        <v>0</v>
      </c>
      <c r="AD71" s="3">
        <v>0</v>
      </c>
      <c r="AE71" s="2">
        <v>0</v>
      </c>
      <c r="AF71" s="2">
        <v>0</v>
      </c>
      <c r="AG71" s="2">
        <v>0</v>
      </c>
      <c r="AH71" s="2">
        <v>0</v>
      </c>
      <c r="AI71" s="2">
        <v>0</v>
      </c>
      <c r="AJ71" s="2">
        <v>0</v>
      </c>
      <c r="AK71" s="2">
        <v>0</v>
      </c>
      <c r="AL71" s="2">
        <v>10.34</v>
      </c>
      <c r="AM71" s="2">
        <v>0</v>
      </c>
      <c r="AN71" s="2">
        <v>62.04</v>
      </c>
      <c r="AO71" s="2">
        <v>0</v>
      </c>
      <c r="AP71" s="2">
        <v>0</v>
      </c>
      <c r="AQ71" s="2">
        <v>0</v>
      </c>
    </row>
    <row r="72" spans="1:43" x14ac:dyDescent="0.25">
      <c r="A72" s="1">
        <v>45936</v>
      </c>
      <c r="B72" t="s">
        <v>48</v>
      </c>
      <c r="C72">
        <v>649163</v>
      </c>
      <c r="D72">
        <v>2031246839</v>
      </c>
      <c r="E72" t="s">
        <v>162</v>
      </c>
      <c r="F72" t="s">
        <v>163</v>
      </c>
      <c r="G72" t="s">
        <v>51</v>
      </c>
      <c r="H72" t="s">
        <v>159</v>
      </c>
      <c r="I72" t="s">
        <v>243</v>
      </c>
      <c r="J72" t="s">
        <v>244</v>
      </c>
      <c r="K72">
        <v>651818</v>
      </c>
      <c r="L72" t="s">
        <v>112</v>
      </c>
      <c r="M72" t="s">
        <v>104</v>
      </c>
      <c r="N72" t="s">
        <v>57</v>
      </c>
      <c r="O72" s="1">
        <v>45936</v>
      </c>
      <c r="Q72" s="1">
        <v>45967</v>
      </c>
      <c r="R72" s="2">
        <v>84.44</v>
      </c>
      <c r="S72">
        <v>1</v>
      </c>
      <c r="T72" t="s">
        <v>58</v>
      </c>
      <c r="U72" t="s">
        <v>59</v>
      </c>
      <c r="V72" s="4">
        <v>0.375</v>
      </c>
      <c r="W72" s="2">
        <v>0</v>
      </c>
      <c r="X72">
        <v>0</v>
      </c>
      <c r="Y72" t="s">
        <v>60</v>
      </c>
      <c r="Z72" t="s">
        <v>61</v>
      </c>
      <c r="AA72">
        <v>6</v>
      </c>
      <c r="AB72" s="2">
        <v>189.96</v>
      </c>
      <c r="AC72" s="2">
        <v>0</v>
      </c>
      <c r="AD72" s="3">
        <v>0</v>
      </c>
      <c r="AE72" s="2">
        <v>0</v>
      </c>
      <c r="AF72" s="2">
        <v>0</v>
      </c>
      <c r="AG72" s="2">
        <v>0</v>
      </c>
      <c r="AH72" s="2">
        <v>0</v>
      </c>
      <c r="AI72" s="2">
        <v>0</v>
      </c>
      <c r="AJ72" s="2">
        <v>0</v>
      </c>
      <c r="AK72" s="2">
        <v>0</v>
      </c>
      <c r="AL72" s="2">
        <v>31.66</v>
      </c>
      <c r="AM72" s="2">
        <v>0</v>
      </c>
      <c r="AN72" s="2">
        <v>189.96</v>
      </c>
      <c r="AO72" s="2">
        <v>0</v>
      </c>
      <c r="AP72" s="2">
        <v>0</v>
      </c>
      <c r="AQ72" s="2">
        <v>0</v>
      </c>
    </row>
    <row r="73" spans="1:43" x14ac:dyDescent="0.25">
      <c r="A73" s="1">
        <v>45936</v>
      </c>
      <c r="B73" t="s">
        <v>48</v>
      </c>
      <c r="C73">
        <v>649163</v>
      </c>
      <c r="D73">
        <v>2031247583</v>
      </c>
      <c r="E73" t="s">
        <v>164</v>
      </c>
      <c r="F73" t="s">
        <v>165</v>
      </c>
      <c r="G73" t="s">
        <v>51</v>
      </c>
      <c r="H73" t="s">
        <v>101</v>
      </c>
      <c r="I73" t="s">
        <v>243</v>
      </c>
      <c r="J73" t="s">
        <v>244</v>
      </c>
      <c r="K73">
        <v>651818</v>
      </c>
      <c r="L73" t="s">
        <v>112</v>
      </c>
      <c r="M73" t="s">
        <v>104</v>
      </c>
      <c r="N73" t="s">
        <v>57</v>
      </c>
      <c r="O73" s="1">
        <v>45936</v>
      </c>
      <c r="Q73" s="1">
        <v>45967</v>
      </c>
      <c r="R73" s="2">
        <v>149.87</v>
      </c>
      <c r="S73">
        <v>1</v>
      </c>
      <c r="T73" t="s">
        <v>58</v>
      </c>
      <c r="U73" t="s">
        <v>59</v>
      </c>
      <c r="V73" s="4">
        <v>0.375</v>
      </c>
      <c r="W73" s="2">
        <v>0</v>
      </c>
      <c r="X73">
        <v>0</v>
      </c>
      <c r="Y73" t="s">
        <v>60</v>
      </c>
      <c r="Z73" t="s">
        <v>61</v>
      </c>
      <c r="AA73">
        <v>6</v>
      </c>
      <c r="AB73" s="2">
        <v>337.2</v>
      </c>
      <c r="AC73" s="2">
        <v>0</v>
      </c>
      <c r="AD73" s="3">
        <v>0</v>
      </c>
      <c r="AE73" s="2">
        <v>0</v>
      </c>
      <c r="AF73" s="2">
        <v>0</v>
      </c>
      <c r="AG73" s="2">
        <v>0</v>
      </c>
      <c r="AH73" s="2">
        <v>0</v>
      </c>
      <c r="AI73" s="2">
        <v>0</v>
      </c>
      <c r="AJ73" s="2">
        <v>0</v>
      </c>
      <c r="AK73" s="2">
        <v>0</v>
      </c>
      <c r="AL73" s="2">
        <v>56.2</v>
      </c>
      <c r="AM73" s="2">
        <v>0</v>
      </c>
      <c r="AN73" s="2">
        <v>337.2</v>
      </c>
      <c r="AO73" s="2">
        <v>0</v>
      </c>
      <c r="AP73" s="2">
        <v>0</v>
      </c>
      <c r="AQ73" s="2">
        <v>0</v>
      </c>
    </row>
    <row r="74" spans="1:43" x14ac:dyDescent="0.25">
      <c r="A74" s="1">
        <v>45936</v>
      </c>
      <c r="B74" t="s">
        <v>48</v>
      </c>
      <c r="C74">
        <v>649163</v>
      </c>
      <c r="D74">
        <v>2031251422</v>
      </c>
      <c r="E74" t="s">
        <v>257</v>
      </c>
      <c r="F74" t="s">
        <v>137</v>
      </c>
      <c r="G74" t="s">
        <v>51</v>
      </c>
      <c r="H74" t="s">
        <v>52</v>
      </c>
      <c r="I74" t="s">
        <v>243</v>
      </c>
      <c r="J74" t="s">
        <v>244</v>
      </c>
      <c r="K74">
        <v>669316</v>
      </c>
      <c r="L74" t="s">
        <v>258</v>
      </c>
      <c r="M74" t="s">
        <v>259</v>
      </c>
      <c r="N74" t="s">
        <v>57</v>
      </c>
      <c r="O74" s="1">
        <v>45931</v>
      </c>
      <c r="Q74" s="1">
        <v>45962</v>
      </c>
      <c r="R74" s="2">
        <v>93.91</v>
      </c>
      <c r="S74">
        <v>1</v>
      </c>
      <c r="T74" t="s">
        <v>58</v>
      </c>
      <c r="U74" t="s">
        <v>59</v>
      </c>
      <c r="V74" s="4">
        <v>0.375</v>
      </c>
      <c r="W74" s="2">
        <v>0</v>
      </c>
      <c r="X74">
        <v>0</v>
      </c>
      <c r="Y74" t="s">
        <v>60</v>
      </c>
      <c r="Z74" t="s">
        <v>61</v>
      </c>
      <c r="AA74">
        <v>6</v>
      </c>
      <c r="AB74" s="2">
        <v>211.32</v>
      </c>
      <c r="AC74" s="2">
        <v>0</v>
      </c>
      <c r="AD74" s="3">
        <v>0</v>
      </c>
      <c r="AE74" s="2">
        <v>0</v>
      </c>
      <c r="AF74" s="2">
        <v>0</v>
      </c>
      <c r="AG74" s="2">
        <v>0</v>
      </c>
      <c r="AH74" s="2">
        <v>0</v>
      </c>
      <c r="AI74" s="2">
        <v>0</v>
      </c>
      <c r="AJ74" s="2">
        <v>0</v>
      </c>
      <c r="AK74" s="2">
        <v>0</v>
      </c>
      <c r="AL74" s="2">
        <v>35.22</v>
      </c>
      <c r="AM74" s="2">
        <v>0</v>
      </c>
      <c r="AN74" s="2">
        <v>211.32</v>
      </c>
      <c r="AO74" s="2">
        <v>0</v>
      </c>
      <c r="AP74" s="2">
        <v>0</v>
      </c>
      <c r="AQ74" s="2">
        <v>0</v>
      </c>
    </row>
    <row r="75" spans="1:43" x14ac:dyDescent="0.25">
      <c r="A75" s="1">
        <v>45936</v>
      </c>
      <c r="B75" t="s">
        <v>48</v>
      </c>
      <c r="C75">
        <v>649163</v>
      </c>
      <c r="D75">
        <v>2031271770</v>
      </c>
      <c r="E75" t="s">
        <v>260</v>
      </c>
      <c r="F75" t="s">
        <v>261</v>
      </c>
      <c r="G75" t="s">
        <v>51</v>
      </c>
      <c r="H75" t="s">
        <v>262</v>
      </c>
      <c r="I75" t="s">
        <v>243</v>
      </c>
      <c r="J75" t="s">
        <v>244</v>
      </c>
      <c r="K75">
        <v>812782</v>
      </c>
      <c r="L75" t="s">
        <v>91</v>
      </c>
      <c r="M75" t="s">
        <v>92</v>
      </c>
      <c r="N75" t="s">
        <v>57</v>
      </c>
      <c r="O75" s="1">
        <v>45931</v>
      </c>
      <c r="Q75" s="1">
        <v>45962</v>
      </c>
      <c r="R75" s="2">
        <v>37.53</v>
      </c>
      <c r="S75">
        <v>1</v>
      </c>
      <c r="T75" t="s">
        <v>58</v>
      </c>
      <c r="U75" t="s">
        <v>59</v>
      </c>
      <c r="V75" s="4">
        <v>0.375</v>
      </c>
      <c r="W75" s="2">
        <v>0</v>
      </c>
      <c r="X75">
        <v>0</v>
      </c>
      <c r="Y75" t="s">
        <v>60</v>
      </c>
      <c r="Z75" t="s">
        <v>61</v>
      </c>
      <c r="AA75">
        <v>6</v>
      </c>
      <c r="AB75" s="2">
        <v>84.42</v>
      </c>
      <c r="AC75" s="2">
        <v>0</v>
      </c>
      <c r="AD75" s="3">
        <v>0</v>
      </c>
      <c r="AE75" s="2">
        <v>0</v>
      </c>
      <c r="AF75" s="2">
        <v>0</v>
      </c>
      <c r="AG75" s="2">
        <v>0</v>
      </c>
      <c r="AH75" s="2">
        <v>0</v>
      </c>
      <c r="AI75" s="2">
        <v>0</v>
      </c>
      <c r="AJ75" s="2">
        <v>0</v>
      </c>
      <c r="AK75" s="2">
        <v>0</v>
      </c>
      <c r="AL75" s="2">
        <v>14.07</v>
      </c>
      <c r="AM75" s="2">
        <v>0</v>
      </c>
      <c r="AN75" s="2">
        <v>84.42</v>
      </c>
      <c r="AO75" s="2">
        <v>0</v>
      </c>
      <c r="AP75" s="2">
        <v>0</v>
      </c>
      <c r="AQ75" s="2">
        <v>0</v>
      </c>
    </row>
    <row r="76" spans="1:43" x14ac:dyDescent="0.25">
      <c r="A76" s="1">
        <v>45936</v>
      </c>
      <c r="B76" t="s">
        <v>48</v>
      </c>
      <c r="C76">
        <v>649163</v>
      </c>
      <c r="D76">
        <v>2031328269</v>
      </c>
      <c r="E76" t="s">
        <v>180</v>
      </c>
      <c r="F76" t="s">
        <v>181</v>
      </c>
      <c r="G76" t="s">
        <v>51</v>
      </c>
      <c r="H76" t="s">
        <v>182</v>
      </c>
      <c r="I76" t="s">
        <v>243</v>
      </c>
      <c r="J76" t="s">
        <v>244</v>
      </c>
      <c r="K76">
        <v>673059</v>
      </c>
      <c r="L76" t="s">
        <v>80</v>
      </c>
      <c r="M76" t="s">
        <v>81</v>
      </c>
      <c r="N76" t="s">
        <v>57</v>
      </c>
      <c r="O76" s="1">
        <v>45931</v>
      </c>
      <c r="Q76" s="1">
        <v>45962</v>
      </c>
      <c r="R76" s="2">
        <v>60.67</v>
      </c>
      <c r="S76">
        <v>1</v>
      </c>
      <c r="T76" t="s">
        <v>58</v>
      </c>
      <c r="U76" t="s">
        <v>59</v>
      </c>
      <c r="V76" s="4">
        <v>0.375</v>
      </c>
      <c r="W76" s="2">
        <v>0</v>
      </c>
      <c r="X76">
        <v>0</v>
      </c>
      <c r="Y76" t="s">
        <v>60</v>
      </c>
      <c r="Z76" t="s">
        <v>61</v>
      </c>
      <c r="AA76">
        <v>6</v>
      </c>
      <c r="AB76" s="2">
        <v>136.5</v>
      </c>
      <c r="AC76" s="2">
        <v>0</v>
      </c>
      <c r="AD76" s="3">
        <v>0</v>
      </c>
      <c r="AE76" s="2">
        <v>0</v>
      </c>
      <c r="AF76" s="2">
        <v>0</v>
      </c>
      <c r="AG76" s="2">
        <v>0</v>
      </c>
      <c r="AH76" s="2">
        <v>0</v>
      </c>
      <c r="AI76" s="2">
        <v>0</v>
      </c>
      <c r="AJ76" s="2">
        <v>0</v>
      </c>
      <c r="AK76" s="2">
        <v>0</v>
      </c>
      <c r="AL76" s="2">
        <v>22.75</v>
      </c>
      <c r="AM76" s="2">
        <v>0</v>
      </c>
      <c r="AN76" s="2">
        <v>136.5</v>
      </c>
      <c r="AO76" s="2">
        <v>0</v>
      </c>
      <c r="AP76" s="2">
        <v>0</v>
      </c>
      <c r="AQ76" s="2">
        <v>0</v>
      </c>
    </row>
    <row r="77" spans="1:43" x14ac:dyDescent="0.25">
      <c r="A77" s="1">
        <v>45936</v>
      </c>
      <c r="B77" t="s">
        <v>48</v>
      </c>
      <c r="C77">
        <v>649163</v>
      </c>
      <c r="D77">
        <v>2031337969</v>
      </c>
      <c r="E77" t="s">
        <v>263</v>
      </c>
      <c r="F77" t="s">
        <v>264</v>
      </c>
      <c r="G77" t="s">
        <v>51</v>
      </c>
      <c r="H77" t="s">
        <v>203</v>
      </c>
      <c r="I77" t="s">
        <v>243</v>
      </c>
      <c r="J77" t="s">
        <v>244</v>
      </c>
      <c r="K77">
        <v>816021</v>
      </c>
      <c r="L77" t="s">
        <v>265</v>
      </c>
      <c r="M77" t="s">
        <v>266</v>
      </c>
      <c r="N77" t="s">
        <v>57</v>
      </c>
      <c r="O77" s="1">
        <v>45931</v>
      </c>
      <c r="Q77" s="1">
        <v>45962</v>
      </c>
      <c r="R77" s="2">
        <v>71.760000000000005</v>
      </c>
      <c r="S77">
        <v>1</v>
      </c>
      <c r="T77" t="s">
        <v>58</v>
      </c>
      <c r="U77" t="s">
        <v>59</v>
      </c>
      <c r="V77" s="4">
        <v>0.375</v>
      </c>
      <c r="W77" s="2">
        <v>0</v>
      </c>
      <c r="X77">
        <v>0</v>
      </c>
      <c r="Y77" t="s">
        <v>60</v>
      </c>
      <c r="Z77" t="s">
        <v>61</v>
      </c>
      <c r="AA77">
        <v>6</v>
      </c>
      <c r="AB77" s="2">
        <v>161.46</v>
      </c>
      <c r="AC77" s="2">
        <v>0</v>
      </c>
      <c r="AD77" s="3">
        <v>0</v>
      </c>
      <c r="AE77" s="2">
        <v>0</v>
      </c>
      <c r="AF77" s="2">
        <v>0</v>
      </c>
      <c r="AG77" s="2">
        <v>0</v>
      </c>
      <c r="AH77" s="2">
        <v>0</v>
      </c>
      <c r="AI77" s="2">
        <v>0</v>
      </c>
      <c r="AJ77" s="2">
        <v>0</v>
      </c>
      <c r="AK77" s="2">
        <v>0</v>
      </c>
      <c r="AL77" s="2">
        <v>26.91</v>
      </c>
      <c r="AM77" s="2">
        <v>0</v>
      </c>
      <c r="AN77" s="2">
        <v>161.46</v>
      </c>
      <c r="AO77" s="2">
        <v>0</v>
      </c>
      <c r="AP77" s="2">
        <v>0</v>
      </c>
      <c r="AQ77" s="2">
        <v>0</v>
      </c>
    </row>
    <row r="78" spans="1:43" x14ac:dyDescent="0.25">
      <c r="A78" s="1">
        <v>45936</v>
      </c>
      <c r="B78" t="s">
        <v>48</v>
      </c>
      <c r="C78">
        <v>649163</v>
      </c>
      <c r="D78">
        <v>2031343658</v>
      </c>
      <c r="E78" t="s">
        <v>267</v>
      </c>
      <c r="F78" t="s">
        <v>268</v>
      </c>
      <c r="G78" t="s">
        <v>51</v>
      </c>
      <c r="H78" t="s">
        <v>52</v>
      </c>
      <c r="I78" t="s">
        <v>243</v>
      </c>
      <c r="J78" t="s">
        <v>244</v>
      </c>
      <c r="K78">
        <v>822733</v>
      </c>
      <c r="L78" t="s">
        <v>269</v>
      </c>
      <c r="M78" t="s">
        <v>270</v>
      </c>
      <c r="N78" t="s">
        <v>57</v>
      </c>
      <c r="O78" s="1">
        <v>45931</v>
      </c>
      <c r="Q78" s="1">
        <v>45962</v>
      </c>
      <c r="R78" s="2">
        <v>69.3</v>
      </c>
      <c r="S78">
        <v>1</v>
      </c>
      <c r="T78" t="s">
        <v>58</v>
      </c>
      <c r="U78" t="s">
        <v>59</v>
      </c>
      <c r="V78" s="4">
        <v>0.375</v>
      </c>
      <c r="W78" s="2">
        <v>0</v>
      </c>
      <c r="X78">
        <v>0</v>
      </c>
      <c r="Y78" t="s">
        <v>60</v>
      </c>
      <c r="Z78" t="s">
        <v>61</v>
      </c>
      <c r="AA78">
        <v>6</v>
      </c>
      <c r="AB78" s="2">
        <v>155.94</v>
      </c>
      <c r="AC78" s="2">
        <v>0</v>
      </c>
      <c r="AD78" s="3">
        <v>0</v>
      </c>
      <c r="AE78" s="2">
        <v>0</v>
      </c>
      <c r="AF78" s="2">
        <v>0</v>
      </c>
      <c r="AG78" s="2">
        <v>0</v>
      </c>
      <c r="AH78" s="2">
        <v>0</v>
      </c>
      <c r="AI78" s="2">
        <v>0</v>
      </c>
      <c r="AJ78" s="2">
        <v>0</v>
      </c>
      <c r="AK78" s="2">
        <v>0</v>
      </c>
      <c r="AL78" s="2">
        <v>25.99</v>
      </c>
      <c r="AM78" s="2">
        <v>0</v>
      </c>
      <c r="AN78" s="2">
        <v>155.94</v>
      </c>
      <c r="AO78" s="2">
        <v>0</v>
      </c>
      <c r="AP78" s="2">
        <v>0</v>
      </c>
      <c r="AQ78" s="2">
        <v>0</v>
      </c>
    </row>
    <row r="79" spans="1:43" x14ac:dyDescent="0.25">
      <c r="A79" s="1">
        <v>45936</v>
      </c>
      <c r="B79" t="s">
        <v>48</v>
      </c>
      <c r="C79">
        <v>649163</v>
      </c>
      <c r="D79">
        <v>2031343797</v>
      </c>
      <c r="E79" t="s">
        <v>271</v>
      </c>
      <c r="F79" t="s">
        <v>272</v>
      </c>
      <c r="G79" t="s">
        <v>51</v>
      </c>
      <c r="H79" t="s">
        <v>101</v>
      </c>
      <c r="I79" t="s">
        <v>243</v>
      </c>
      <c r="J79" t="s">
        <v>244</v>
      </c>
      <c r="K79">
        <v>824062</v>
      </c>
      <c r="L79" t="s">
        <v>273</v>
      </c>
      <c r="M79" t="s">
        <v>274</v>
      </c>
      <c r="N79" t="s">
        <v>57</v>
      </c>
      <c r="O79" s="1">
        <v>45931</v>
      </c>
      <c r="Q79" s="1">
        <v>45962</v>
      </c>
      <c r="R79" s="2">
        <v>61.64</v>
      </c>
      <c r="S79">
        <v>1</v>
      </c>
      <c r="T79" t="s">
        <v>58</v>
      </c>
      <c r="U79" t="s">
        <v>59</v>
      </c>
      <c r="V79" s="4">
        <v>0.375</v>
      </c>
      <c r="W79" s="2">
        <v>0</v>
      </c>
      <c r="X79">
        <v>0</v>
      </c>
      <c r="Y79" t="s">
        <v>60</v>
      </c>
      <c r="Z79" t="s">
        <v>61</v>
      </c>
      <c r="AA79">
        <v>6</v>
      </c>
      <c r="AB79" s="2">
        <v>138.72</v>
      </c>
      <c r="AC79" s="2">
        <v>0</v>
      </c>
      <c r="AD79" s="3">
        <v>0</v>
      </c>
      <c r="AE79" s="2">
        <v>0</v>
      </c>
      <c r="AF79" s="2">
        <v>0</v>
      </c>
      <c r="AG79" s="2">
        <v>0</v>
      </c>
      <c r="AH79" s="2">
        <v>0</v>
      </c>
      <c r="AI79" s="2">
        <v>0</v>
      </c>
      <c r="AJ79" s="2">
        <v>0</v>
      </c>
      <c r="AK79" s="2">
        <v>0</v>
      </c>
      <c r="AL79" s="2">
        <v>23.12</v>
      </c>
      <c r="AM79" s="2">
        <v>0</v>
      </c>
      <c r="AN79" s="2">
        <v>138.72</v>
      </c>
      <c r="AO79" s="2">
        <v>0</v>
      </c>
      <c r="AP79" s="2">
        <v>0</v>
      </c>
      <c r="AQ79" s="2">
        <v>0</v>
      </c>
    </row>
    <row r="80" spans="1:43" x14ac:dyDescent="0.25">
      <c r="A80" s="1">
        <v>45936</v>
      </c>
      <c r="B80" t="s">
        <v>48</v>
      </c>
      <c r="C80">
        <v>649163</v>
      </c>
      <c r="D80">
        <v>2031354345</v>
      </c>
      <c r="E80" t="s">
        <v>73</v>
      </c>
      <c r="F80" t="s">
        <v>74</v>
      </c>
      <c r="G80" t="s">
        <v>51</v>
      </c>
      <c r="H80" t="s">
        <v>70</v>
      </c>
      <c r="I80" t="s">
        <v>243</v>
      </c>
      <c r="J80" t="s">
        <v>244</v>
      </c>
      <c r="K80">
        <v>649247</v>
      </c>
      <c r="L80" t="s">
        <v>75</v>
      </c>
      <c r="M80" t="s">
        <v>76</v>
      </c>
      <c r="N80" t="s">
        <v>57</v>
      </c>
      <c r="O80" s="1">
        <v>45931</v>
      </c>
      <c r="Q80" s="1">
        <v>45962</v>
      </c>
      <c r="R80" s="2">
        <v>44.98</v>
      </c>
      <c r="S80">
        <v>1</v>
      </c>
      <c r="T80" t="s">
        <v>58</v>
      </c>
      <c r="U80" t="s">
        <v>59</v>
      </c>
      <c r="V80" s="4">
        <v>0.375</v>
      </c>
      <c r="W80" s="2">
        <v>0</v>
      </c>
      <c r="X80">
        <v>0</v>
      </c>
      <c r="Y80" t="s">
        <v>60</v>
      </c>
      <c r="Z80" t="s">
        <v>61</v>
      </c>
      <c r="AA80">
        <v>6</v>
      </c>
      <c r="AB80" s="2">
        <v>101.22</v>
      </c>
      <c r="AC80" s="2">
        <v>0</v>
      </c>
      <c r="AD80" s="3">
        <v>0</v>
      </c>
      <c r="AE80" s="2">
        <v>0</v>
      </c>
      <c r="AF80" s="2">
        <v>0</v>
      </c>
      <c r="AG80" s="2">
        <v>0</v>
      </c>
      <c r="AH80" s="2">
        <v>0</v>
      </c>
      <c r="AI80" s="2">
        <v>0</v>
      </c>
      <c r="AJ80" s="2">
        <v>0</v>
      </c>
      <c r="AK80" s="2">
        <v>0</v>
      </c>
      <c r="AL80" s="2">
        <v>16.87</v>
      </c>
      <c r="AM80" s="2">
        <v>0</v>
      </c>
      <c r="AN80" s="2">
        <v>101.22</v>
      </c>
      <c r="AO80" s="2">
        <v>0</v>
      </c>
      <c r="AP80" s="2">
        <v>0</v>
      </c>
      <c r="AQ80" s="2">
        <v>0</v>
      </c>
    </row>
    <row r="81" spans="1:43" x14ac:dyDescent="0.25">
      <c r="A81" s="1">
        <v>45936</v>
      </c>
      <c r="B81" t="s">
        <v>48</v>
      </c>
      <c r="C81">
        <v>649163</v>
      </c>
      <c r="D81">
        <v>2031361276</v>
      </c>
      <c r="E81" t="s">
        <v>275</v>
      </c>
      <c r="F81" t="s">
        <v>276</v>
      </c>
      <c r="G81" t="s">
        <v>51</v>
      </c>
      <c r="H81" t="s">
        <v>101</v>
      </c>
      <c r="I81" t="s">
        <v>243</v>
      </c>
      <c r="J81" t="s">
        <v>244</v>
      </c>
      <c r="K81">
        <v>824081</v>
      </c>
      <c r="L81" t="s">
        <v>277</v>
      </c>
      <c r="M81" t="s">
        <v>278</v>
      </c>
      <c r="N81" t="s">
        <v>57</v>
      </c>
      <c r="O81" s="1">
        <v>45931</v>
      </c>
      <c r="Q81" s="1">
        <v>45962</v>
      </c>
      <c r="R81" s="2">
        <v>53.87</v>
      </c>
      <c r="S81">
        <v>1</v>
      </c>
      <c r="T81" t="s">
        <v>58</v>
      </c>
      <c r="U81" t="s">
        <v>59</v>
      </c>
      <c r="V81" s="4">
        <v>0.375</v>
      </c>
      <c r="W81" s="2">
        <v>0</v>
      </c>
      <c r="X81">
        <v>0</v>
      </c>
      <c r="Y81" t="s">
        <v>60</v>
      </c>
      <c r="Z81" t="s">
        <v>61</v>
      </c>
      <c r="AA81">
        <v>6</v>
      </c>
      <c r="AB81" s="2">
        <v>121.2</v>
      </c>
      <c r="AC81" s="2">
        <v>0</v>
      </c>
      <c r="AD81" s="3">
        <v>0</v>
      </c>
      <c r="AE81" s="2">
        <v>0</v>
      </c>
      <c r="AF81" s="2">
        <v>0</v>
      </c>
      <c r="AG81" s="2">
        <v>0</v>
      </c>
      <c r="AH81" s="2">
        <v>0</v>
      </c>
      <c r="AI81" s="2">
        <v>0</v>
      </c>
      <c r="AJ81" s="2">
        <v>0</v>
      </c>
      <c r="AK81" s="2">
        <v>0</v>
      </c>
      <c r="AL81" s="2">
        <v>20.2</v>
      </c>
      <c r="AM81" s="2">
        <v>0</v>
      </c>
      <c r="AN81" s="2">
        <v>121.2</v>
      </c>
      <c r="AO81" s="2">
        <v>0</v>
      </c>
      <c r="AP81" s="2">
        <v>0</v>
      </c>
      <c r="AQ81" s="2">
        <v>0</v>
      </c>
    </row>
    <row r="82" spans="1:43" x14ac:dyDescent="0.25">
      <c r="A82" s="1">
        <v>45936</v>
      </c>
      <c r="B82" t="s">
        <v>48</v>
      </c>
      <c r="C82">
        <v>649163</v>
      </c>
      <c r="D82">
        <v>2031361485</v>
      </c>
      <c r="E82" t="s">
        <v>279</v>
      </c>
      <c r="F82" t="s">
        <v>280</v>
      </c>
      <c r="G82" t="s">
        <v>51</v>
      </c>
      <c r="H82" t="s">
        <v>150</v>
      </c>
      <c r="I82" t="s">
        <v>243</v>
      </c>
      <c r="J82" t="s">
        <v>244</v>
      </c>
      <c r="K82">
        <v>877790</v>
      </c>
      <c r="L82" t="s">
        <v>151</v>
      </c>
      <c r="M82" t="s">
        <v>152</v>
      </c>
      <c r="N82" t="s">
        <v>57</v>
      </c>
      <c r="O82" s="1">
        <v>45931</v>
      </c>
      <c r="Q82" s="1">
        <v>45962</v>
      </c>
      <c r="R82" s="2">
        <v>58.15</v>
      </c>
      <c r="S82">
        <v>1</v>
      </c>
      <c r="T82" t="s">
        <v>58</v>
      </c>
      <c r="U82" t="s">
        <v>59</v>
      </c>
      <c r="V82" s="4">
        <v>0.375</v>
      </c>
      <c r="W82" s="2">
        <v>0</v>
      </c>
      <c r="X82">
        <v>0</v>
      </c>
      <c r="Y82" t="s">
        <v>60</v>
      </c>
      <c r="Z82" t="s">
        <v>61</v>
      </c>
      <c r="AA82">
        <v>6</v>
      </c>
      <c r="AB82" s="2">
        <v>130.86000000000001</v>
      </c>
      <c r="AC82" s="2">
        <v>0</v>
      </c>
      <c r="AD82" s="3">
        <v>0</v>
      </c>
      <c r="AE82" s="2">
        <v>0</v>
      </c>
      <c r="AF82" s="2">
        <v>0</v>
      </c>
      <c r="AG82" s="2">
        <v>0</v>
      </c>
      <c r="AH82" s="2">
        <v>0</v>
      </c>
      <c r="AI82" s="2">
        <v>0</v>
      </c>
      <c r="AJ82" s="2">
        <v>0</v>
      </c>
      <c r="AK82" s="2">
        <v>0</v>
      </c>
      <c r="AL82" s="2">
        <v>21.81</v>
      </c>
      <c r="AM82" s="2">
        <v>0</v>
      </c>
      <c r="AN82" s="2">
        <v>130.86000000000001</v>
      </c>
      <c r="AO82" s="2">
        <v>0</v>
      </c>
      <c r="AP82" s="2">
        <v>0</v>
      </c>
      <c r="AQ82" s="2">
        <v>0</v>
      </c>
    </row>
    <row r="83" spans="1:43" x14ac:dyDescent="0.25">
      <c r="A83" s="1">
        <v>45936</v>
      </c>
      <c r="B83" t="s">
        <v>48</v>
      </c>
      <c r="C83">
        <v>649163</v>
      </c>
      <c r="D83">
        <v>2031361917</v>
      </c>
      <c r="E83" t="s">
        <v>186</v>
      </c>
      <c r="F83" t="s">
        <v>187</v>
      </c>
      <c r="G83" t="s">
        <v>51</v>
      </c>
      <c r="H83" t="s">
        <v>79</v>
      </c>
      <c r="I83" t="s">
        <v>243</v>
      </c>
      <c r="J83" t="s">
        <v>244</v>
      </c>
      <c r="K83">
        <v>673059</v>
      </c>
      <c r="L83" t="s">
        <v>80</v>
      </c>
      <c r="M83" t="s">
        <v>81</v>
      </c>
      <c r="N83" t="s">
        <v>57</v>
      </c>
      <c r="O83" s="1">
        <v>45931</v>
      </c>
      <c r="Q83" s="1">
        <v>45962</v>
      </c>
      <c r="R83" s="2">
        <v>40.409999999999997</v>
      </c>
      <c r="S83">
        <v>1</v>
      </c>
      <c r="T83" t="s">
        <v>58</v>
      </c>
      <c r="U83" t="s">
        <v>59</v>
      </c>
      <c r="V83" s="4">
        <v>0.375</v>
      </c>
      <c r="W83" s="2">
        <v>0</v>
      </c>
      <c r="X83">
        <v>0</v>
      </c>
      <c r="Y83" t="s">
        <v>60</v>
      </c>
      <c r="Z83" t="s">
        <v>61</v>
      </c>
      <c r="AA83">
        <v>6</v>
      </c>
      <c r="AB83" s="2">
        <v>90.9</v>
      </c>
      <c r="AC83" s="2">
        <v>0</v>
      </c>
      <c r="AD83" s="3">
        <v>0</v>
      </c>
      <c r="AE83" s="2">
        <v>0</v>
      </c>
      <c r="AF83" s="2">
        <v>0</v>
      </c>
      <c r="AG83" s="2">
        <v>0</v>
      </c>
      <c r="AH83" s="2">
        <v>0</v>
      </c>
      <c r="AI83" s="2">
        <v>0</v>
      </c>
      <c r="AJ83" s="2">
        <v>0</v>
      </c>
      <c r="AK83" s="2">
        <v>0</v>
      </c>
      <c r="AL83" s="2">
        <v>15.15</v>
      </c>
      <c r="AM83" s="2">
        <v>0</v>
      </c>
      <c r="AN83" s="2">
        <v>90.9</v>
      </c>
      <c r="AO83" s="2">
        <v>0</v>
      </c>
      <c r="AP83" s="2">
        <v>0</v>
      </c>
      <c r="AQ83" s="2">
        <v>0</v>
      </c>
    </row>
    <row r="84" spans="1:43" x14ac:dyDescent="0.25">
      <c r="A84" s="1">
        <v>45936</v>
      </c>
      <c r="B84" t="s">
        <v>48</v>
      </c>
      <c r="C84">
        <v>649163</v>
      </c>
      <c r="D84">
        <v>2031364306</v>
      </c>
      <c r="E84" t="s">
        <v>281</v>
      </c>
      <c r="F84" t="s">
        <v>282</v>
      </c>
      <c r="G84" t="s">
        <v>51</v>
      </c>
      <c r="H84" t="s">
        <v>52</v>
      </c>
      <c r="I84" t="s">
        <v>243</v>
      </c>
      <c r="J84" t="s">
        <v>244</v>
      </c>
      <c r="K84">
        <v>767312</v>
      </c>
      <c r="L84" t="s">
        <v>283</v>
      </c>
      <c r="M84" t="s">
        <v>284</v>
      </c>
      <c r="N84" t="s">
        <v>57</v>
      </c>
      <c r="O84" s="1">
        <v>45931</v>
      </c>
      <c r="Q84" s="1">
        <v>45962</v>
      </c>
      <c r="R84" s="2">
        <v>33.39</v>
      </c>
      <c r="S84">
        <v>1</v>
      </c>
      <c r="T84" t="s">
        <v>58</v>
      </c>
      <c r="U84" t="s">
        <v>59</v>
      </c>
      <c r="V84" s="4">
        <v>0.375</v>
      </c>
      <c r="W84" s="2">
        <v>0</v>
      </c>
      <c r="X84">
        <v>0</v>
      </c>
      <c r="Y84" t="s">
        <v>60</v>
      </c>
      <c r="Z84" t="s">
        <v>61</v>
      </c>
      <c r="AA84">
        <v>6</v>
      </c>
      <c r="AB84" s="2">
        <v>75.12</v>
      </c>
      <c r="AC84" s="2">
        <v>0</v>
      </c>
      <c r="AD84" s="3">
        <v>0</v>
      </c>
      <c r="AE84" s="2">
        <v>0</v>
      </c>
      <c r="AF84" s="2">
        <v>0</v>
      </c>
      <c r="AG84" s="2">
        <v>0</v>
      </c>
      <c r="AH84" s="2">
        <v>0</v>
      </c>
      <c r="AI84" s="2">
        <v>0</v>
      </c>
      <c r="AJ84" s="2">
        <v>0</v>
      </c>
      <c r="AK84" s="2">
        <v>0</v>
      </c>
      <c r="AL84" s="2">
        <v>12.52</v>
      </c>
      <c r="AM84" s="2">
        <v>0</v>
      </c>
      <c r="AN84" s="2">
        <v>75.12</v>
      </c>
      <c r="AO84" s="2">
        <v>0</v>
      </c>
      <c r="AP84" s="2">
        <v>0</v>
      </c>
      <c r="AQ84" s="2">
        <v>0</v>
      </c>
    </row>
    <row r="85" spans="1:43" x14ac:dyDescent="0.25">
      <c r="A85" s="1">
        <v>45936</v>
      </c>
      <c r="B85" t="s">
        <v>48</v>
      </c>
      <c r="C85">
        <v>649163</v>
      </c>
      <c r="D85">
        <v>2031383866</v>
      </c>
      <c r="E85" t="s">
        <v>285</v>
      </c>
      <c r="F85" t="s">
        <v>286</v>
      </c>
      <c r="G85" t="s">
        <v>51</v>
      </c>
      <c r="H85" t="s">
        <v>52</v>
      </c>
      <c r="I85" t="s">
        <v>243</v>
      </c>
      <c r="J85" t="s">
        <v>244</v>
      </c>
      <c r="K85">
        <v>673059</v>
      </c>
      <c r="L85" t="s">
        <v>80</v>
      </c>
      <c r="M85" t="s">
        <v>81</v>
      </c>
      <c r="N85" t="s">
        <v>57</v>
      </c>
      <c r="O85" s="1">
        <v>45932</v>
      </c>
      <c r="Q85" s="1">
        <v>45963</v>
      </c>
      <c r="R85" s="2">
        <v>96.21</v>
      </c>
      <c r="S85">
        <v>1</v>
      </c>
      <c r="T85" t="s">
        <v>58</v>
      </c>
      <c r="U85" t="s">
        <v>59</v>
      </c>
      <c r="V85" s="4">
        <v>0.375</v>
      </c>
      <c r="W85" s="2">
        <v>0</v>
      </c>
      <c r="X85">
        <v>0</v>
      </c>
      <c r="Y85" t="s">
        <v>60</v>
      </c>
      <c r="Z85" t="s">
        <v>61</v>
      </c>
      <c r="AA85">
        <v>6</v>
      </c>
      <c r="AB85" s="2">
        <v>216.48</v>
      </c>
      <c r="AC85" s="2">
        <v>0</v>
      </c>
      <c r="AD85" s="3">
        <v>0</v>
      </c>
      <c r="AE85" s="2">
        <v>0</v>
      </c>
      <c r="AF85" s="2">
        <v>0</v>
      </c>
      <c r="AG85" s="2">
        <v>0</v>
      </c>
      <c r="AH85" s="2">
        <v>0</v>
      </c>
      <c r="AI85" s="2">
        <v>0</v>
      </c>
      <c r="AJ85" s="2">
        <v>0</v>
      </c>
      <c r="AK85" s="2">
        <v>0</v>
      </c>
      <c r="AL85" s="2">
        <v>36.08</v>
      </c>
      <c r="AM85" s="2">
        <v>0</v>
      </c>
      <c r="AN85" s="2">
        <v>216.48</v>
      </c>
      <c r="AO85" s="2">
        <v>0</v>
      </c>
      <c r="AP85" s="2">
        <v>0</v>
      </c>
      <c r="AQ85" s="2">
        <v>0</v>
      </c>
    </row>
    <row r="86" spans="1:43" x14ac:dyDescent="0.25">
      <c r="A86" s="1">
        <v>45936</v>
      </c>
      <c r="B86" t="s">
        <v>48</v>
      </c>
      <c r="C86">
        <v>649163</v>
      </c>
      <c r="D86">
        <v>2031411444</v>
      </c>
      <c r="E86" t="s">
        <v>202</v>
      </c>
      <c r="F86" t="s">
        <v>145</v>
      </c>
      <c r="G86" t="s">
        <v>51</v>
      </c>
      <c r="H86" t="s">
        <v>203</v>
      </c>
      <c r="I86" t="s">
        <v>243</v>
      </c>
      <c r="J86" t="s">
        <v>244</v>
      </c>
      <c r="K86">
        <v>796984</v>
      </c>
      <c r="L86" t="s">
        <v>204</v>
      </c>
      <c r="M86" t="s">
        <v>205</v>
      </c>
      <c r="N86" t="s">
        <v>57</v>
      </c>
      <c r="O86" s="1">
        <v>45933</v>
      </c>
      <c r="Q86" s="1">
        <v>45964</v>
      </c>
      <c r="R86" s="2">
        <v>47.28</v>
      </c>
      <c r="S86">
        <v>1</v>
      </c>
      <c r="T86" t="s">
        <v>58</v>
      </c>
      <c r="U86" t="s">
        <v>59</v>
      </c>
      <c r="V86" s="4">
        <v>0.375</v>
      </c>
      <c r="W86" s="2">
        <v>0</v>
      </c>
      <c r="X86">
        <v>0</v>
      </c>
      <c r="Y86" t="s">
        <v>60</v>
      </c>
      <c r="Z86" t="s">
        <v>61</v>
      </c>
      <c r="AA86">
        <v>6</v>
      </c>
      <c r="AB86" s="2">
        <v>106.38</v>
      </c>
      <c r="AC86" s="2">
        <v>0</v>
      </c>
      <c r="AD86" s="3">
        <v>0</v>
      </c>
      <c r="AE86" s="2">
        <v>0</v>
      </c>
      <c r="AF86" s="2">
        <v>0</v>
      </c>
      <c r="AG86" s="2">
        <v>0</v>
      </c>
      <c r="AH86" s="2">
        <v>0</v>
      </c>
      <c r="AI86" s="2">
        <v>0</v>
      </c>
      <c r="AJ86" s="2">
        <v>0</v>
      </c>
      <c r="AK86" s="2">
        <v>0</v>
      </c>
      <c r="AL86" s="2">
        <v>17.73</v>
      </c>
      <c r="AM86" s="2">
        <v>0</v>
      </c>
      <c r="AN86" s="2">
        <v>106.38</v>
      </c>
      <c r="AO86" s="2">
        <v>0</v>
      </c>
      <c r="AP86" s="2">
        <v>0</v>
      </c>
      <c r="AQ86" s="2">
        <v>0</v>
      </c>
    </row>
    <row r="87" spans="1:43" x14ac:dyDescent="0.25">
      <c r="A87" s="1">
        <v>45936</v>
      </c>
      <c r="B87" t="s">
        <v>48</v>
      </c>
      <c r="C87">
        <v>649163</v>
      </c>
      <c r="D87">
        <v>2031462398</v>
      </c>
      <c r="E87" t="s">
        <v>239</v>
      </c>
      <c r="F87" t="s">
        <v>240</v>
      </c>
      <c r="G87" t="s">
        <v>51</v>
      </c>
      <c r="H87" t="s">
        <v>101</v>
      </c>
      <c r="I87" t="s">
        <v>243</v>
      </c>
      <c r="J87" t="s">
        <v>244</v>
      </c>
      <c r="K87">
        <v>884943</v>
      </c>
      <c r="L87" t="s">
        <v>241</v>
      </c>
      <c r="M87" t="s">
        <v>242</v>
      </c>
      <c r="N87" t="s">
        <v>57</v>
      </c>
      <c r="O87" s="1">
        <v>45936</v>
      </c>
      <c r="Q87" s="1">
        <v>45967</v>
      </c>
      <c r="R87" s="2">
        <v>77.48</v>
      </c>
      <c r="S87">
        <v>1</v>
      </c>
      <c r="T87" t="s">
        <v>58</v>
      </c>
      <c r="U87" t="s">
        <v>59</v>
      </c>
      <c r="V87" s="4">
        <v>0.375</v>
      </c>
      <c r="W87" s="2">
        <v>0</v>
      </c>
      <c r="X87">
        <v>0</v>
      </c>
      <c r="Y87" t="s">
        <v>60</v>
      </c>
      <c r="Z87" t="s">
        <v>61</v>
      </c>
      <c r="AA87">
        <v>6</v>
      </c>
      <c r="AB87" s="2">
        <v>174.36</v>
      </c>
      <c r="AC87" s="2">
        <v>0</v>
      </c>
      <c r="AD87" s="3">
        <v>0</v>
      </c>
      <c r="AE87" s="2">
        <v>0</v>
      </c>
      <c r="AF87" s="2">
        <v>0</v>
      </c>
      <c r="AG87" s="2">
        <v>0</v>
      </c>
      <c r="AH87" s="2">
        <v>0</v>
      </c>
      <c r="AI87" s="2">
        <v>0</v>
      </c>
      <c r="AJ87" s="2">
        <v>0</v>
      </c>
      <c r="AK87" s="2">
        <v>0</v>
      </c>
      <c r="AL87" s="2">
        <v>29.06</v>
      </c>
      <c r="AM87" s="2">
        <v>0</v>
      </c>
      <c r="AN87" s="2">
        <v>174.36</v>
      </c>
      <c r="AO87" s="2">
        <v>0</v>
      </c>
      <c r="AP87" s="2">
        <v>0</v>
      </c>
      <c r="AQ87" s="2">
        <v>0</v>
      </c>
    </row>
    <row r="88" spans="1:43" x14ac:dyDescent="0.25">
      <c r="A88" s="1">
        <v>45936</v>
      </c>
      <c r="B88" t="s">
        <v>48</v>
      </c>
      <c r="C88">
        <v>649163</v>
      </c>
      <c r="D88">
        <v>2030969459</v>
      </c>
      <c r="E88" t="s">
        <v>132</v>
      </c>
      <c r="F88" t="s">
        <v>133</v>
      </c>
      <c r="G88" t="s">
        <v>51</v>
      </c>
      <c r="H88" t="s">
        <v>101</v>
      </c>
      <c r="I88" t="s">
        <v>287</v>
      </c>
      <c r="J88" t="s">
        <v>288</v>
      </c>
      <c r="K88">
        <v>820873</v>
      </c>
      <c r="L88" t="s">
        <v>134</v>
      </c>
      <c r="M88" t="s">
        <v>135</v>
      </c>
      <c r="N88" t="s">
        <v>57</v>
      </c>
      <c r="O88" s="1">
        <v>45935</v>
      </c>
      <c r="Q88" s="1">
        <v>45966</v>
      </c>
      <c r="R88" s="2">
        <v>10.33</v>
      </c>
      <c r="S88">
        <v>1</v>
      </c>
      <c r="T88" t="s">
        <v>58</v>
      </c>
      <c r="U88" t="s">
        <v>59</v>
      </c>
      <c r="V88" s="3">
        <v>0.38</v>
      </c>
      <c r="W88" s="2">
        <v>0</v>
      </c>
      <c r="X88">
        <v>0</v>
      </c>
      <c r="Y88" t="s">
        <v>60</v>
      </c>
      <c r="Z88" t="s">
        <v>61</v>
      </c>
      <c r="AA88">
        <v>6</v>
      </c>
      <c r="AB88" s="2">
        <v>23.58</v>
      </c>
      <c r="AC88" s="2">
        <v>0</v>
      </c>
      <c r="AD88" s="3">
        <v>0</v>
      </c>
      <c r="AE88" s="2">
        <v>0</v>
      </c>
      <c r="AF88" s="2">
        <v>0</v>
      </c>
      <c r="AG88" s="2">
        <v>0</v>
      </c>
      <c r="AH88" s="2">
        <v>0</v>
      </c>
      <c r="AI88" s="2">
        <v>0</v>
      </c>
      <c r="AJ88" s="2">
        <v>0</v>
      </c>
      <c r="AK88" s="2">
        <v>0</v>
      </c>
      <c r="AL88" s="2">
        <v>3.93</v>
      </c>
      <c r="AM88" s="2">
        <v>0</v>
      </c>
      <c r="AN88" s="2">
        <v>23.58</v>
      </c>
      <c r="AO88" s="2">
        <v>0</v>
      </c>
      <c r="AP88" s="2">
        <v>0</v>
      </c>
      <c r="AQ88" s="2">
        <v>0</v>
      </c>
    </row>
    <row r="89" spans="1:43" x14ac:dyDescent="0.25">
      <c r="A89" s="1">
        <v>45936</v>
      </c>
      <c r="B89" t="s">
        <v>48</v>
      </c>
      <c r="C89">
        <v>649163</v>
      </c>
      <c r="D89">
        <v>2031333609</v>
      </c>
      <c r="E89" t="s">
        <v>68</v>
      </c>
      <c r="F89" t="s">
        <v>69</v>
      </c>
      <c r="G89" t="s">
        <v>51</v>
      </c>
      <c r="H89" t="s">
        <v>70</v>
      </c>
      <c r="I89" t="s">
        <v>287</v>
      </c>
      <c r="J89" t="s">
        <v>288</v>
      </c>
      <c r="K89">
        <v>751867</v>
      </c>
      <c r="L89" t="s">
        <v>71</v>
      </c>
      <c r="M89" t="s">
        <v>72</v>
      </c>
      <c r="N89" t="s">
        <v>57</v>
      </c>
      <c r="O89" s="1">
        <v>45931</v>
      </c>
      <c r="Q89" s="1">
        <v>45962</v>
      </c>
      <c r="R89" s="2">
        <v>55.16</v>
      </c>
      <c r="S89">
        <v>1</v>
      </c>
      <c r="T89" t="s">
        <v>58</v>
      </c>
      <c r="U89" t="s">
        <v>59</v>
      </c>
      <c r="V89" s="3">
        <v>0.38</v>
      </c>
      <c r="W89" s="2">
        <v>0</v>
      </c>
      <c r="X89">
        <v>0</v>
      </c>
      <c r="Y89" t="s">
        <v>60</v>
      </c>
      <c r="Z89" t="s">
        <v>61</v>
      </c>
      <c r="AA89">
        <v>6</v>
      </c>
      <c r="AB89" s="2">
        <v>125.76</v>
      </c>
      <c r="AC89" s="2">
        <v>0</v>
      </c>
      <c r="AD89" s="3">
        <v>0</v>
      </c>
      <c r="AE89" s="2">
        <v>0</v>
      </c>
      <c r="AF89" s="2">
        <v>0</v>
      </c>
      <c r="AG89" s="2">
        <v>0</v>
      </c>
      <c r="AH89" s="2">
        <v>0</v>
      </c>
      <c r="AI89" s="2">
        <v>0</v>
      </c>
      <c r="AJ89" s="2">
        <v>0</v>
      </c>
      <c r="AK89" s="2">
        <v>0</v>
      </c>
      <c r="AL89" s="2">
        <v>20.96</v>
      </c>
      <c r="AM89" s="2">
        <v>0</v>
      </c>
      <c r="AN89" s="2">
        <v>125.76</v>
      </c>
      <c r="AO89" s="2">
        <v>0</v>
      </c>
      <c r="AP89" s="2">
        <v>0</v>
      </c>
      <c r="AQ89" s="2">
        <v>0</v>
      </c>
    </row>
    <row r="90" spans="1:43" x14ac:dyDescent="0.25">
      <c r="A90" s="1">
        <v>45936</v>
      </c>
      <c r="B90" t="s">
        <v>48</v>
      </c>
      <c r="C90">
        <v>649163</v>
      </c>
      <c r="D90">
        <v>2031342784</v>
      </c>
      <c r="E90" t="s">
        <v>289</v>
      </c>
      <c r="F90" t="s">
        <v>290</v>
      </c>
      <c r="G90" t="s">
        <v>51</v>
      </c>
      <c r="H90" t="s">
        <v>155</v>
      </c>
      <c r="I90" t="s">
        <v>287</v>
      </c>
      <c r="J90" t="s">
        <v>291</v>
      </c>
      <c r="K90">
        <v>856163</v>
      </c>
      <c r="L90" t="s">
        <v>66</v>
      </c>
      <c r="M90" t="s">
        <v>156</v>
      </c>
      <c r="N90" t="s">
        <v>57</v>
      </c>
      <c r="O90" s="1">
        <v>45930</v>
      </c>
      <c r="Q90" s="1">
        <v>45960</v>
      </c>
      <c r="R90" s="2">
        <v>181.4</v>
      </c>
      <c r="S90">
        <v>1</v>
      </c>
      <c r="T90" t="s">
        <v>58</v>
      </c>
      <c r="U90" t="s">
        <v>59</v>
      </c>
      <c r="V90" s="3">
        <v>0.38</v>
      </c>
      <c r="W90" s="2">
        <v>0</v>
      </c>
      <c r="X90">
        <v>0</v>
      </c>
      <c r="Y90" t="s">
        <v>60</v>
      </c>
      <c r="Z90" t="s">
        <v>61</v>
      </c>
      <c r="AA90">
        <v>6</v>
      </c>
      <c r="AB90" s="2">
        <v>413.58</v>
      </c>
      <c r="AC90" s="2">
        <v>0</v>
      </c>
      <c r="AD90" s="3">
        <v>0</v>
      </c>
      <c r="AE90" s="2">
        <v>0</v>
      </c>
      <c r="AF90" s="2">
        <v>0</v>
      </c>
      <c r="AG90" s="2">
        <v>0</v>
      </c>
      <c r="AH90" s="2">
        <v>0</v>
      </c>
      <c r="AI90" s="2">
        <v>0</v>
      </c>
      <c r="AJ90" s="2">
        <v>0</v>
      </c>
      <c r="AK90" s="2">
        <v>0</v>
      </c>
      <c r="AL90" s="2">
        <v>68.930000000000007</v>
      </c>
      <c r="AM90" s="2">
        <v>0</v>
      </c>
      <c r="AN90" s="2">
        <v>413.58</v>
      </c>
      <c r="AO90" s="2">
        <v>0</v>
      </c>
      <c r="AP90" s="2">
        <v>0</v>
      </c>
      <c r="AQ90" s="2">
        <v>0</v>
      </c>
    </row>
    <row r="91" spans="1:43" x14ac:dyDescent="0.25">
      <c r="A91" s="1">
        <v>45936</v>
      </c>
      <c r="B91" t="s">
        <v>48</v>
      </c>
      <c r="C91">
        <v>649163</v>
      </c>
      <c r="D91">
        <v>2031362148</v>
      </c>
      <c r="E91" t="s">
        <v>82</v>
      </c>
      <c r="F91" t="s">
        <v>83</v>
      </c>
      <c r="G91" t="s">
        <v>51</v>
      </c>
      <c r="H91" t="s">
        <v>70</v>
      </c>
      <c r="I91" t="s">
        <v>287</v>
      </c>
      <c r="J91" t="s">
        <v>288</v>
      </c>
      <c r="K91">
        <v>885445</v>
      </c>
      <c r="L91" t="s">
        <v>84</v>
      </c>
      <c r="M91" t="s">
        <v>85</v>
      </c>
      <c r="N91" t="s">
        <v>57</v>
      </c>
      <c r="O91" s="1">
        <v>45931</v>
      </c>
      <c r="Q91" s="1">
        <v>45962</v>
      </c>
      <c r="R91" s="2">
        <v>46.13</v>
      </c>
      <c r="S91">
        <v>1</v>
      </c>
      <c r="T91" t="s">
        <v>58</v>
      </c>
      <c r="U91" t="s">
        <v>59</v>
      </c>
      <c r="V91" s="3">
        <v>0.38</v>
      </c>
      <c r="W91" s="2">
        <v>0</v>
      </c>
      <c r="X91">
        <v>0</v>
      </c>
      <c r="Y91" t="s">
        <v>60</v>
      </c>
      <c r="Z91" t="s">
        <v>61</v>
      </c>
      <c r="AA91">
        <v>6</v>
      </c>
      <c r="AB91" s="2">
        <v>105.18</v>
      </c>
      <c r="AC91" s="2">
        <v>0</v>
      </c>
      <c r="AD91" s="3">
        <v>0</v>
      </c>
      <c r="AE91" s="2">
        <v>0</v>
      </c>
      <c r="AF91" s="2">
        <v>0</v>
      </c>
      <c r="AG91" s="2">
        <v>0</v>
      </c>
      <c r="AH91" s="2">
        <v>0</v>
      </c>
      <c r="AI91" s="2">
        <v>0</v>
      </c>
      <c r="AJ91" s="2">
        <v>0</v>
      </c>
      <c r="AK91" s="2">
        <v>0</v>
      </c>
      <c r="AL91" s="2">
        <v>17.53</v>
      </c>
      <c r="AM91" s="2">
        <v>0</v>
      </c>
      <c r="AN91" s="2">
        <v>105.18</v>
      </c>
      <c r="AO91" s="2">
        <v>0</v>
      </c>
      <c r="AP91" s="2">
        <v>0</v>
      </c>
      <c r="AQ91" s="2">
        <v>0</v>
      </c>
    </row>
    <row r="92" spans="1:43" x14ac:dyDescent="0.25">
      <c r="A92" s="1">
        <v>45936</v>
      </c>
      <c r="B92" t="s">
        <v>48</v>
      </c>
      <c r="C92">
        <v>649163</v>
      </c>
      <c r="D92">
        <v>2031411445</v>
      </c>
      <c r="E92" t="s">
        <v>202</v>
      </c>
      <c r="F92" t="s">
        <v>145</v>
      </c>
      <c r="G92" t="s">
        <v>51</v>
      </c>
      <c r="H92" t="s">
        <v>203</v>
      </c>
      <c r="I92" t="s">
        <v>287</v>
      </c>
      <c r="J92" t="s">
        <v>291</v>
      </c>
      <c r="K92">
        <v>796984</v>
      </c>
      <c r="L92" t="s">
        <v>204</v>
      </c>
      <c r="M92" t="s">
        <v>205</v>
      </c>
      <c r="N92" t="s">
        <v>57</v>
      </c>
      <c r="O92" s="1">
        <v>45933</v>
      </c>
      <c r="Q92" s="1">
        <v>45964</v>
      </c>
      <c r="R92" s="2">
        <v>216.88</v>
      </c>
      <c r="S92">
        <v>1</v>
      </c>
      <c r="T92" t="s">
        <v>58</v>
      </c>
      <c r="U92" t="s">
        <v>59</v>
      </c>
      <c r="V92" s="3">
        <v>0.38</v>
      </c>
      <c r="W92" s="2">
        <v>0</v>
      </c>
      <c r="X92">
        <v>0</v>
      </c>
      <c r="Y92" t="s">
        <v>60</v>
      </c>
      <c r="Z92" t="s">
        <v>61</v>
      </c>
      <c r="AA92">
        <v>6</v>
      </c>
      <c r="AB92" s="2">
        <v>494.46</v>
      </c>
      <c r="AC92" s="2">
        <v>0</v>
      </c>
      <c r="AD92" s="3">
        <v>0</v>
      </c>
      <c r="AE92" s="2">
        <v>0</v>
      </c>
      <c r="AF92" s="2">
        <v>0</v>
      </c>
      <c r="AG92" s="2">
        <v>0</v>
      </c>
      <c r="AH92" s="2">
        <v>0</v>
      </c>
      <c r="AI92" s="2">
        <v>0</v>
      </c>
      <c r="AJ92" s="2">
        <v>0</v>
      </c>
      <c r="AK92" s="2">
        <v>0</v>
      </c>
      <c r="AL92" s="2">
        <v>82.41</v>
      </c>
      <c r="AM92" s="2">
        <v>0</v>
      </c>
      <c r="AN92" s="2">
        <v>494.46</v>
      </c>
      <c r="AO92" s="2">
        <v>0</v>
      </c>
      <c r="AP92" s="2">
        <v>0</v>
      </c>
      <c r="AQ92" s="2">
        <v>0</v>
      </c>
    </row>
    <row r="93" spans="1:43" x14ac:dyDescent="0.25">
      <c r="A93" s="1">
        <v>45936</v>
      </c>
      <c r="B93" t="s">
        <v>48</v>
      </c>
      <c r="C93">
        <v>649163</v>
      </c>
      <c r="D93">
        <v>2031420005</v>
      </c>
      <c r="E93" t="s">
        <v>230</v>
      </c>
      <c r="F93" t="s">
        <v>231</v>
      </c>
      <c r="G93" t="s">
        <v>51</v>
      </c>
      <c r="H93" t="s">
        <v>101</v>
      </c>
      <c r="I93" t="s">
        <v>287</v>
      </c>
      <c r="J93" t="s">
        <v>291</v>
      </c>
      <c r="K93">
        <v>756803</v>
      </c>
      <c r="L93" t="s">
        <v>233</v>
      </c>
      <c r="M93" t="s">
        <v>234</v>
      </c>
      <c r="N93" t="s">
        <v>57</v>
      </c>
      <c r="O93" s="1">
        <v>45933</v>
      </c>
      <c r="Q93" s="1">
        <v>45964</v>
      </c>
      <c r="R93" s="2">
        <v>168.95</v>
      </c>
      <c r="S93">
        <v>1</v>
      </c>
      <c r="T93" t="s">
        <v>58</v>
      </c>
      <c r="U93" t="s">
        <v>59</v>
      </c>
      <c r="V93" s="3">
        <v>0.38</v>
      </c>
      <c r="W93" s="2">
        <v>0</v>
      </c>
      <c r="X93">
        <v>0</v>
      </c>
      <c r="Y93" t="s">
        <v>60</v>
      </c>
      <c r="Z93" t="s">
        <v>61</v>
      </c>
      <c r="AA93">
        <v>6</v>
      </c>
      <c r="AB93" s="2">
        <v>385.2</v>
      </c>
      <c r="AC93" s="2">
        <v>0</v>
      </c>
      <c r="AD93" s="3">
        <v>0</v>
      </c>
      <c r="AE93" s="2">
        <v>0</v>
      </c>
      <c r="AF93" s="2">
        <v>0</v>
      </c>
      <c r="AG93" s="2">
        <v>0</v>
      </c>
      <c r="AH93" s="2">
        <v>0</v>
      </c>
      <c r="AI93" s="2">
        <v>0</v>
      </c>
      <c r="AJ93" s="2">
        <v>0</v>
      </c>
      <c r="AK93" s="2">
        <v>0</v>
      </c>
      <c r="AL93" s="2">
        <v>64.2</v>
      </c>
      <c r="AM93" s="2">
        <v>0</v>
      </c>
      <c r="AN93" s="2">
        <v>385.2</v>
      </c>
      <c r="AO93" s="2">
        <v>0</v>
      </c>
      <c r="AP93" s="2">
        <v>0</v>
      </c>
      <c r="AQ93" s="2">
        <v>0</v>
      </c>
    </row>
    <row r="94" spans="1:43" x14ac:dyDescent="0.25">
      <c r="A94" s="1">
        <v>45936</v>
      </c>
      <c r="B94" t="s">
        <v>48</v>
      </c>
      <c r="C94">
        <v>649163</v>
      </c>
      <c r="D94">
        <v>2031461151</v>
      </c>
      <c r="E94" t="s">
        <v>235</v>
      </c>
      <c r="F94" t="s">
        <v>236</v>
      </c>
      <c r="G94" t="s">
        <v>51</v>
      </c>
      <c r="H94" t="s">
        <v>88</v>
      </c>
      <c r="I94" t="s">
        <v>287</v>
      </c>
      <c r="J94" t="s">
        <v>288</v>
      </c>
      <c r="K94">
        <v>650218</v>
      </c>
      <c r="L94" t="s">
        <v>237</v>
      </c>
      <c r="M94" t="s">
        <v>238</v>
      </c>
      <c r="N94" t="s">
        <v>57</v>
      </c>
      <c r="O94" s="1">
        <v>45962</v>
      </c>
      <c r="Q94" s="1">
        <v>45992</v>
      </c>
      <c r="R94" s="2">
        <v>46.78</v>
      </c>
      <c r="S94">
        <v>1</v>
      </c>
      <c r="T94" t="s">
        <v>58</v>
      </c>
      <c r="U94" t="s">
        <v>59</v>
      </c>
      <c r="V94" s="3">
        <v>0.38</v>
      </c>
      <c r="W94" s="2">
        <v>0</v>
      </c>
      <c r="X94">
        <v>0</v>
      </c>
      <c r="Y94" t="s">
        <v>60</v>
      </c>
      <c r="Z94" t="s">
        <v>61</v>
      </c>
      <c r="AA94">
        <v>6</v>
      </c>
      <c r="AB94" s="2">
        <v>106.68</v>
      </c>
      <c r="AC94" s="2">
        <v>0</v>
      </c>
      <c r="AD94" s="3">
        <v>0</v>
      </c>
      <c r="AE94" s="2">
        <v>0</v>
      </c>
      <c r="AF94" s="2">
        <v>0</v>
      </c>
      <c r="AG94" s="2">
        <v>0</v>
      </c>
      <c r="AH94" s="2">
        <v>0</v>
      </c>
      <c r="AI94" s="2">
        <v>0</v>
      </c>
      <c r="AJ94" s="2">
        <v>0</v>
      </c>
      <c r="AK94" s="2">
        <v>0</v>
      </c>
      <c r="AL94" s="2">
        <v>17.78</v>
      </c>
      <c r="AM94" s="2">
        <v>0</v>
      </c>
      <c r="AN94" s="2">
        <v>106.68</v>
      </c>
      <c r="AO94" s="2">
        <v>0</v>
      </c>
      <c r="AP94" s="2">
        <v>0</v>
      </c>
      <c r="AQ94" s="2">
        <v>0</v>
      </c>
    </row>
    <row r="95" spans="1:43" x14ac:dyDescent="0.25">
      <c r="A95" s="1">
        <v>45936</v>
      </c>
      <c r="B95" t="s">
        <v>48</v>
      </c>
      <c r="C95">
        <v>649163</v>
      </c>
      <c r="D95">
        <v>2031462399</v>
      </c>
      <c r="E95" t="s">
        <v>239</v>
      </c>
      <c r="F95" t="s">
        <v>240</v>
      </c>
      <c r="G95" t="s">
        <v>51</v>
      </c>
      <c r="H95" t="s">
        <v>101</v>
      </c>
      <c r="I95" t="s">
        <v>287</v>
      </c>
      <c r="J95" t="s">
        <v>288</v>
      </c>
      <c r="K95">
        <v>884943</v>
      </c>
      <c r="L95" t="s">
        <v>241</v>
      </c>
      <c r="M95" t="s">
        <v>242</v>
      </c>
      <c r="N95" t="s">
        <v>57</v>
      </c>
      <c r="O95" s="1">
        <v>45936</v>
      </c>
      <c r="Q95" s="1">
        <v>45967</v>
      </c>
      <c r="R95" s="2">
        <v>10.75</v>
      </c>
      <c r="S95">
        <v>1</v>
      </c>
      <c r="T95" t="s">
        <v>58</v>
      </c>
      <c r="U95" t="s">
        <v>59</v>
      </c>
      <c r="V95" s="3">
        <v>0.38</v>
      </c>
      <c r="W95" s="2">
        <v>0</v>
      </c>
      <c r="X95">
        <v>0</v>
      </c>
      <c r="Y95" t="s">
        <v>60</v>
      </c>
      <c r="Z95" t="s">
        <v>61</v>
      </c>
      <c r="AA95">
        <v>6</v>
      </c>
      <c r="AB95" s="2">
        <v>24.48</v>
      </c>
      <c r="AC95" s="2">
        <v>0</v>
      </c>
      <c r="AD95" s="3">
        <v>0</v>
      </c>
      <c r="AE95" s="2">
        <v>0</v>
      </c>
      <c r="AF95" s="2">
        <v>0</v>
      </c>
      <c r="AG95" s="2">
        <v>0</v>
      </c>
      <c r="AH95" s="2">
        <v>0</v>
      </c>
      <c r="AI95" s="2">
        <v>0</v>
      </c>
      <c r="AJ95" s="2">
        <v>0</v>
      </c>
      <c r="AK95" s="2">
        <v>0</v>
      </c>
      <c r="AL95" s="2">
        <v>4.08</v>
      </c>
      <c r="AM95" s="2">
        <v>0</v>
      </c>
      <c r="AN95" s="2">
        <v>24.48</v>
      </c>
      <c r="AO95" s="2">
        <v>0</v>
      </c>
      <c r="AP95" s="2">
        <v>0</v>
      </c>
      <c r="AQ95" s="2">
        <v>0</v>
      </c>
    </row>
    <row r="96" spans="1:43" x14ac:dyDescent="0.25">
      <c r="A96" s="1">
        <v>45936</v>
      </c>
      <c r="B96" t="s">
        <v>48</v>
      </c>
      <c r="C96">
        <v>649163</v>
      </c>
      <c r="D96">
        <v>2030453212</v>
      </c>
      <c r="E96" t="s">
        <v>86</v>
      </c>
      <c r="F96" t="s">
        <v>87</v>
      </c>
      <c r="G96" t="s">
        <v>51</v>
      </c>
      <c r="H96" t="s">
        <v>88</v>
      </c>
      <c r="I96" t="s">
        <v>292</v>
      </c>
      <c r="J96" t="s">
        <v>293</v>
      </c>
      <c r="K96">
        <v>812782</v>
      </c>
      <c r="L96" t="s">
        <v>91</v>
      </c>
      <c r="M96" t="s">
        <v>92</v>
      </c>
      <c r="N96" t="s">
        <v>57</v>
      </c>
      <c r="O96" s="1">
        <v>45931</v>
      </c>
      <c r="Q96" s="1">
        <v>45962</v>
      </c>
      <c r="R96" s="2">
        <v>18.350000000000001</v>
      </c>
      <c r="S96">
        <v>1</v>
      </c>
      <c r="T96" t="s">
        <v>58</v>
      </c>
      <c r="U96" t="s">
        <v>59</v>
      </c>
      <c r="V96" s="3">
        <v>0.7</v>
      </c>
      <c r="W96" s="2">
        <v>0</v>
      </c>
      <c r="X96">
        <v>0</v>
      </c>
      <c r="Y96" t="s">
        <v>60</v>
      </c>
      <c r="Z96" t="s">
        <v>61</v>
      </c>
      <c r="AA96">
        <v>6</v>
      </c>
      <c r="AB96" s="2">
        <v>77.040000000000006</v>
      </c>
      <c r="AC96" s="2">
        <v>0</v>
      </c>
      <c r="AD96" s="3">
        <v>0</v>
      </c>
      <c r="AE96" s="2">
        <v>0</v>
      </c>
      <c r="AF96" s="2">
        <v>0</v>
      </c>
      <c r="AG96" s="2">
        <v>0</v>
      </c>
      <c r="AH96" s="2">
        <v>0</v>
      </c>
      <c r="AI96" s="2">
        <v>0</v>
      </c>
      <c r="AJ96" s="2">
        <v>0</v>
      </c>
      <c r="AK96" s="2">
        <v>0</v>
      </c>
      <c r="AL96" s="2">
        <v>12.84</v>
      </c>
      <c r="AM96" s="2">
        <v>0</v>
      </c>
      <c r="AN96" s="2">
        <v>77.040000000000006</v>
      </c>
      <c r="AO96" s="2">
        <v>0</v>
      </c>
      <c r="AP96" s="2">
        <v>0</v>
      </c>
      <c r="AQ96" s="2">
        <v>0</v>
      </c>
    </row>
    <row r="97" spans="1:43" x14ac:dyDescent="0.25">
      <c r="A97" s="1">
        <v>45936</v>
      </c>
      <c r="B97" t="s">
        <v>48</v>
      </c>
      <c r="C97">
        <v>649163</v>
      </c>
      <c r="D97">
        <v>2030804310</v>
      </c>
      <c r="E97" t="s">
        <v>103</v>
      </c>
      <c r="F97" t="s">
        <v>104</v>
      </c>
      <c r="G97" t="s">
        <v>51</v>
      </c>
      <c r="H97" t="s">
        <v>105</v>
      </c>
      <c r="I97" t="s">
        <v>292</v>
      </c>
      <c r="J97" t="s">
        <v>294</v>
      </c>
      <c r="K97">
        <v>823068</v>
      </c>
      <c r="L97" t="s">
        <v>106</v>
      </c>
      <c r="M97" t="s">
        <v>107</v>
      </c>
      <c r="N97" t="s">
        <v>57</v>
      </c>
      <c r="O97" s="1">
        <v>45931</v>
      </c>
      <c r="Q97" s="1">
        <v>45962</v>
      </c>
      <c r="R97" s="2">
        <v>24.61</v>
      </c>
      <c r="S97">
        <v>1</v>
      </c>
      <c r="T97" t="s">
        <v>58</v>
      </c>
      <c r="U97" t="s">
        <v>59</v>
      </c>
      <c r="V97" s="3">
        <v>0.7</v>
      </c>
      <c r="W97" s="2">
        <v>0</v>
      </c>
      <c r="X97">
        <v>0</v>
      </c>
      <c r="Y97" t="s">
        <v>60</v>
      </c>
      <c r="Z97" t="s">
        <v>61</v>
      </c>
      <c r="AA97">
        <v>6</v>
      </c>
      <c r="AB97" s="2">
        <v>103.38</v>
      </c>
      <c r="AC97" s="2">
        <v>0</v>
      </c>
      <c r="AD97" s="3">
        <v>0</v>
      </c>
      <c r="AE97" s="2">
        <v>0</v>
      </c>
      <c r="AF97" s="2">
        <v>0</v>
      </c>
      <c r="AG97" s="2">
        <v>0</v>
      </c>
      <c r="AH97" s="2">
        <v>0</v>
      </c>
      <c r="AI97" s="2">
        <v>0</v>
      </c>
      <c r="AJ97" s="2">
        <v>0</v>
      </c>
      <c r="AK97" s="2">
        <v>0</v>
      </c>
      <c r="AL97" s="2">
        <v>17.23</v>
      </c>
      <c r="AM97" s="2">
        <v>0</v>
      </c>
      <c r="AN97" s="2">
        <v>103.38</v>
      </c>
      <c r="AO97" s="2">
        <v>0</v>
      </c>
      <c r="AP97" s="2">
        <v>0</v>
      </c>
      <c r="AQ97" s="2">
        <v>0</v>
      </c>
    </row>
    <row r="98" spans="1:43" x14ac:dyDescent="0.25">
      <c r="A98" s="1">
        <v>45936</v>
      </c>
      <c r="B98" t="s">
        <v>48</v>
      </c>
      <c r="C98">
        <v>649163</v>
      </c>
      <c r="D98">
        <v>2030806601</v>
      </c>
      <c r="E98" t="s">
        <v>108</v>
      </c>
      <c r="F98" t="s">
        <v>109</v>
      </c>
      <c r="G98" t="s">
        <v>51</v>
      </c>
      <c r="H98" t="s">
        <v>110</v>
      </c>
      <c r="I98" t="s">
        <v>292</v>
      </c>
      <c r="J98" t="s">
        <v>293</v>
      </c>
      <c r="K98">
        <v>651818</v>
      </c>
      <c r="L98" t="s">
        <v>112</v>
      </c>
      <c r="M98" t="s">
        <v>104</v>
      </c>
      <c r="N98" t="s">
        <v>57</v>
      </c>
      <c r="O98" s="1">
        <v>45936</v>
      </c>
      <c r="Q98" s="1">
        <v>45967</v>
      </c>
      <c r="R98" s="2">
        <v>49.46</v>
      </c>
      <c r="S98">
        <v>1</v>
      </c>
      <c r="T98" t="s">
        <v>58</v>
      </c>
      <c r="U98" t="s">
        <v>59</v>
      </c>
      <c r="V98" s="3">
        <v>0.7</v>
      </c>
      <c r="W98" s="2">
        <v>0</v>
      </c>
      <c r="X98">
        <v>0</v>
      </c>
      <c r="Y98" t="s">
        <v>60</v>
      </c>
      <c r="Z98" t="s">
        <v>61</v>
      </c>
      <c r="AA98">
        <v>6</v>
      </c>
      <c r="AB98" s="2">
        <v>207.72</v>
      </c>
      <c r="AC98" s="2">
        <v>0</v>
      </c>
      <c r="AD98" s="3">
        <v>0</v>
      </c>
      <c r="AE98" s="2">
        <v>0</v>
      </c>
      <c r="AF98" s="2">
        <v>0</v>
      </c>
      <c r="AG98" s="2">
        <v>0</v>
      </c>
      <c r="AH98" s="2">
        <v>0</v>
      </c>
      <c r="AI98" s="2">
        <v>0</v>
      </c>
      <c r="AJ98" s="2">
        <v>0</v>
      </c>
      <c r="AK98" s="2">
        <v>0</v>
      </c>
      <c r="AL98" s="2">
        <v>34.619999999999997</v>
      </c>
      <c r="AM98" s="2">
        <v>0</v>
      </c>
      <c r="AN98" s="2">
        <v>207.72</v>
      </c>
      <c r="AO98" s="2">
        <v>0</v>
      </c>
      <c r="AP98" s="2">
        <v>0</v>
      </c>
      <c r="AQ98" s="2">
        <v>0</v>
      </c>
    </row>
    <row r="99" spans="1:43" x14ac:dyDescent="0.25">
      <c r="A99" s="1">
        <v>45936</v>
      </c>
      <c r="B99" t="s">
        <v>48</v>
      </c>
      <c r="C99">
        <v>649163</v>
      </c>
      <c r="D99">
        <v>2030807437</v>
      </c>
      <c r="E99" t="s">
        <v>113</v>
      </c>
      <c r="F99" t="s">
        <v>114</v>
      </c>
      <c r="G99" t="s">
        <v>51</v>
      </c>
      <c r="H99" t="s">
        <v>115</v>
      </c>
      <c r="I99" t="s">
        <v>292</v>
      </c>
      <c r="J99" t="s">
        <v>295</v>
      </c>
      <c r="K99">
        <v>753748</v>
      </c>
      <c r="L99" t="s">
        <v>97</v>
      </c>
      <c r="M99" t="s">
        <v>98</v>
      </c>
      <c r="N99" t="s">
        <v>57</v>
      </c>
      <c r="O99" s="1">
        <v>45931</v>
      </c>
      <c r="Q99" s="1">
        <v>45962</v>
      </c>
      <c r="R99" s="2">
        <v>37.5</v>
      </c>
      <c r="S99">
        <v>1</v>
      </c>
      <c r="T99" t="s">
        <v>58</v>
      </c>
      <c r="U99" t="s">
        <v>59</v>
      </c>
      <c r="V99" s="3">
        <v>0.9</v>
      </c>
      <c r="W99" s="2">
        <v>0</v>
      </c>
      <c r="X99">
        <v>0</v>
      </c>
      <c r="Y99" t="s">
        <v>60</v>
      </c>
      <c r="Z99" t="s">
        <v>61</v>
      </c>
      <c r="AA99">
        <v>6</v>
      </c>
      <c r="AB99" s="2">
        <v>202.5</v>
      </c>
      <c r="AC99" s="2">
        <v>0</v>
      </c>
      <c r="AD99" s="3">
        <v>0</v>
      </c>
      <c r="AE99" s="2">
        <v>0</v>
      </c>
      <c r="AF99" s="2">
        <v>0</v>
      </c>
      <c r="AG99" s="2">
        <v>0</v>
      </c>
      <c r="AH99" s="2">
        <v>0</v>
      </c>
      <c r="AI99" s="2">
        <v>0</v>
      </c>
      <c r="AJ99" s="2">
        <v>0</v>
      </c>
      <c r="AK99" s="2">
        <v>0</v>
      </c>
      <c r="AL99" s="2">
        <v>33.75</v>
      </c>
      <c r="AM99" s="2">
        <v>0</v>
      </c>
      <c r="AN99" s="2">
        <v>202.5</v>
      </c>
      <c r="AO99" s="2">
        <v>0</v>
      </c>
      <c r="AP99" s="2">
        <v>0</v>
      </c>
      <c r="AQ99" s="2">
        <v>0</v>
      </c>
    </row>
    <row r="100" spans="1:43" x14ac:dyDescent="0.25">
      <c r="A100" s="1">
        <v>45936</v>
      </c>
      <c r="B100" t="s">
        <v>48</v>
      </c>
      <c r="C100">
        <v>649163</v>
      </c>
      <c r="D100">
        <v>2030816918</v>
      </c>
      <c r="E100" t="s">
        <v>117</v>
      </c>
      <c r="F100" t="s">
        <v>118</v>
      </c>
      <c r="G100" t="s">
        <v>51</v>
      </c>
      <c r="H100" t="s">
        <v>119</v>
      </c>
      <c r="I100" t="s">
        <v>292</v>
      </c>
      <c r="J100" t="s">
        <v>293</v>
      </c>
      <c r="K100">
        <v>651818</v>
      </c>
      <c r="L100" t="s">
        <v>112</v>
      </c>
      <c r="M100" t="s">
        <v>104</v>
      </c>
      <c r="N100" t="s">
        <v>57</v>
      </c>
      <c r="O100" s="1">
        <v>45936</v>
      </c>
      <c r="Q100" s="1">
        <v>45967</v>
      </c>
      <c r="R100" s="2">
        <v>34</v>
      </c>
      <c r="S100">
        <v>1</v>
      </c>
      <c r="T100" t="s">
        <v>58</v>
      </c>
      <c r="U100" t="s">
        <v>59</v>
      </c>
      <c r="V100" s="3">
        <v>0.7</v>
      </c>
      <c r="W100" s="2">
        <v>0</v>
      </c>
      <c r="X100">
        <v>0</v>
      </c>
      <c r="Y100" t="s">
        <v>60</v>
      </c>
      <c r="Z100" t="s">
        <v>61</v>
      </c>
      <c r="AA100">
        <v>6</v>
      </c>
      <c r="AB100" s="2">
        <v>142.80000000000001</v>
      </c>
      <c r="AC100" s="2">
        <v>0</v>
      </c>
      <c r="AD100" s="3">
        <v>0</v>
      </c>
      <c r="AE100" s="2">
        <v>0</v>
      </c>
      <c r="AF100" s="2">
        <v>0</v>
      </c>
      <c r="AG100" s="2">
        <v>0</v>
      </c>
      <c r="AH100" s="2">
        <v>0</v>
      </c>
      <c r="AI100" s="2">
        <v>0</v>
      </c>
      <c r="AJ100" s="2">
        <v>0</v>
      </c>
      <c r="AK100" s="2">
        <v>0</v>
      </c>
      <c r="AL100" s="2">
        <v>23.8</v>
      </c>
      <c r="AM100" s="2">
        <v>0</v>
      </c>
      <c r="AN100" s="2">
        <v>142.80000000000001</v>
      </c>
      <c r="AO100" s="2">
        <v>0</v>
      </c>
      <c r="AP100" s="2">
        <v>0</v>
      </c>
      <c r="AQ100" s="2">
        <v>0</v>
      </c>
    </row>
    <row r="101" spans="1:43" x14ac:dyDescent="0.25">
      <c r="A101" s="1">
        <v>45936</v>
      </c>
      <c r="B101" t="s">
        <v>48</v>
      </c>
      <c r="C101">
        <v>649163</v>
      </c>
      <c r="D101">
        <v>2030816920</v>
      </c>
      <c r="E101" t="s">
        <v>117</v>
      </c>
      <c r="F101" t="s">
        <v>118</v>
      </c>
      <c r="G101" t="s">
        <v>51</v>
      </c>
      <c r="H101" t="s">
        <v>119</v>
      </c>
      <c r="I101" t="s">
        <v>292</v>
      </c>
      <c r="J101" t="s">
        <v>295</v>
      </c>
      <c r="K101">
        <v>651818</v>
      </c>
      <c r="L101" t="s">
        <v>112</v>
      </c>
      <c r="M101" t="s">
        <v>104</v>
      </c>
      <c r="N101" t="s">
        <v>57</v>
      </c>
      <c r="O101" s="1">
        <v>45936</v>
      </c>
      <c r="Q101" s="1">
        <v>45967</v>
      </c>
      <c r="R101" s="2">
        <v>15.83</v>
      </c>
      <c r="S101">
        <v>1</v>
      </c>
      <c r="T101" t="s">
        <v>58</v>
      </c>
      <c r="U101" t="s">
        <v>59</v>
      </c>
      <c r="V101" s="3">
        <v>0.9</v>
      </c>
      <c r="W101" s="2">
        <v>0</v>
      </c>
      <c r="X101">
        <v>0</v>
      </c>
      <c r="Y101" t="s">
        <v>60</v>
      </c>
      <c r="Z101" t="s">
        <v>61</v>
      </c>
      <c r="AA101">
        <v>6</v>
      </c>
      <c r="AB101" s="2">
        <v>85.5</v>
      </c>
      <c r="AC101" s="2">
        <v>0</v>
      </c>
      <c r="AD101" s="3">
        <v>0</v>
      </c>
      <c r="AE101" s="2">
        <v>0</v>
      </c>
      <c r="AF101" s="2">
        <v>0</v>
      </c>
      <c r="AG101" s="2">
        <v>0</v>
      </c>
      <c r="AH101" s="2">
        <v>0</v>
      </c>
      <c r="AI101" s="2">
        <v>0</v>
      </c>
      <c r="AJ101" s="2">
        <v>0</v>
      </c>
      <c r="AK101" s="2">
        <v>0</v>
      </c>
      <c r="AL101" s="2">
        <v>14.25</v>
      </c>
      <c r="AM101" s="2">
        <v>0</v>
      </c>
      <c r="AN101" s="2">
        <v>85.5</v>
      </c>
      <c r="AO101" s="2">
        <v>0</v>
      </c>
      <c r="AP101" s="2">
        <v>0</v>
      </c>
      <c r="AQ101" s="2">
        <v>0</v>
      </c>
    </row>
    <row r="102" spans="1:43" x14ac:dyDescent="0.25">
      <c r="A102" s="1">
        <v>45936</v>
      </c>
      <c r="B102" t="s">
        <v>48</v>
      </c>
      <c r="C102">
        <v>649163</v>
      </c>
      <c r="D102">
        <v>2030820712</v>
      </c>
      <c r="E102" t="s">
        <v>120</v>
      </c>
      <c r="F102" t="s">
        <v>121</v>
      </c>
      <c r="G102" t="s">
        <v>51</v>
      </c>
      <c r="H102" t="s">
        <v>122</v>
      </c>
      <c r="I102" t="s">
        <v>292</v>
      </c>
      <c r="J102" t="s">
        <v>293</v>
      </c>
      <c r="K102">
        <v>651818</v>
      </c>
      <c r="L102" t="s">
        <v>112</v>
      </c>
      <c r="M102" t="s">
        <v>104</v>
      </c>
      <c r="N102" t="s">
        <v>57</v>
      </c>
      <c r="O102" s="1">
        <v>45936</v>
      </c>
      <c r="Q102" s="1">
        <v>45967</v>
      </c>
      <c r="R102" s="2">
        <v>31.28</v>
      </c>
      <c r="S102">
        <v>1</v>
      </c>
      <c r="T102" t="s">
        <v>58</v>
      </c>
      <c r="U102" t="s">
        <v>59</v>
      </c>
      <c r="V102" s="3">
        <v>0.7</v>
      </c>
      <c r="W102" s="2">
        <v>0</v>
      </c>
      <c r="X102">
        <v>0</v>
      </c>
      <c r="Y102" t="s">
        <v>60</v>
      </c>
      <c r="Z102" t="s">
        <v>61</v>
      </c>
      <c r="AA102">
        <v>6</v>
      </c>
      <c r="AB102" s="2">
        <v>131.4</v>
      </c>
      <c r="AC102" s="2">
        <v>0</v>
      </c>
      <c r="AD102" s="3">
        <v>0</v>
      </c>
      <c r="AE102" s="2">
        <v>0</v>
      </c>
      <c r="AF102" s="2">
        <v>0</v>
      </c>
      <c r="AG102" s="2">
        <v>0</v>
      </c>
      <c r="AH102" s="2">
        <v>0</v>
      </c>
      <c r="AI102" s="2">
        <v>0</v>
      </c>
      <c r="AJ102" s="2">
        <v>0</v>
      </c>
      <c r="AK102" s="2">
        <v>0</v>
      </c>
      <c r="AL102" s="2">
        <v>21.9</v>
      </c>
      <c r="AM102" s="2">
        <v>0</v>
      </c>
      <c r="AN102" s="2">
        <v>131.4</v>
      </c>
      <c r="AO102" s="2">
        <v>0</v>
      </c>
      <c r="AP102" s="2">
        <v>0</v>
      </c>
      <c r="AQ102" s="2">
        <v>0</v>
      </c>
    </row>
    <row r="103" spans="1:43" x14ac:dyDescent="0.25">
      <c r="A103" s="1">
        <v>45936</v>
      </c>
      <c r="B103" t="s">
        <v>48</v>
      </c>
      <c r="C103">
        <v>649163</v>
      </c>
      <c r="D103">
        <v>2030821620</v>
      </c>
      <c r="E103" t="s">
        <v>296</v>
      </c>
      <c r="F103" t="s">
        <v>297</v>
      </c>
      <c r="G103" t="s">
        <v>51</v>
      </c>
      <c r="H103" t="s">
        <v>101</v>
      </c>
      <c r="I103" t="s">
        <v>292</v>
      </c>
      <c r="J103" t="s">
        <v>293</v>
      </c>
      <c r="K103">
        <v>856824</v>
      </c>
      <c r="L103" t="s">
        <v>298</v>
      </c>
      <c r="M103" t="s">
        <v>299</v>
      </c>
      <c r="N103" t="s">
        <v>57</v>
      </c>
      <c r="O103" s="1">
        <v>45931</v>
      </c>
      <c r="Q103" s="1">
        <v>45962</v>
      </c>
      <c r="R103" s="2">
        <v>124.81</v>
      </c>
      <c r="S103">
        <v>1</v>
      </c>
      <c r="T103" t="s">
        <v>58</v>
      </c>
      <c r="U103" t="s">
        <v>59</v>
      </c>
      <c r="V103" s="3">
        <v>0.7</v>
      </c>
      <c r="W103" s="2">
        <v>0</v>
      </c>
      <c r="X103">
        <v>0</v>
      </c>
      <c r="Y103" t="s">
        <v>60</v>
      </c>
      <c r="Z103" t="s">
        <v>61</v>
      </c>
      <c r="AA103">
        <v>6</v>
      </c>
      <c r="AB103" s="2">
        <v>524.22</v>
      </c>
      <c r="AC103" s="2">
        <v>0</v>
      </c>
      <c r="AD103" s="3">
        <v>0</v>
      </c>
      <c r="AE103" s="2">
        <v>0</v>
      </c>
      <c r="AF103" s="2">
        <v>0</v>
      </c>
      <c r="AG103" s="2">
        <v>0</v>
      </c>
      <c r="AH103" s="2">
        <v>0</v>
      </c>
      <c r="AI103" s="2">
        <v>0</v>
      </c>
      <c r="AJ103" s="2">
        <v>0</v>
      </c>
      <c r="AK103" s="2">
        <v>0</v>
      </c>
      <c r="AL103" s="2">
        <v>87.37</v>
      </c>
      <c r="AM103" s="2">
        <v>0</v>
      </c>
      <c r="AN103" s="2">
        <v>524.22</v>
      </c>
      <c r="AO103" s="2">
        <v>0</v>
      </c>
      <c r="AP103" s="2">
        <v>0</v>
      </c>
      <c r="AQ103" s="2">
        <v>0</v>
      </c>
    </row>
    <row r="104" spans="1:43" x14ac:dyDescent="0.25">
      <c r="A104" s="1">
        <v>45936</v>
      </c>
      <c r="B104" t="s">
        <v>48</v>
      </c>
      <c r="C104">
        <v>649163</v>
      </c>
      <c r="D104">
        <v>2030822622</v>
      </c>
      <c r="E104" t="s">
        <v>300</v>
      </c>
      <c r="F104" t="s">
        <v>301</v>
      </c>
      <c r="G104" t="s">
        <v>51</v>
      </c>
      <c r="H104" t="s">
        <v>122</v>
      </c>
      <c r="I104" t="s">
        <v>292</v>
      </c>
      <c r="J104" t="s">
        <v>295</v>
      </c>
      <c r="K104">
        <v>651818</v>
      </c>
      <c r="L104" t="s">
        <v>112</v>
      </c>
      <c r="M104" t="s">
        <v>104</v>
      </c>
      <c r="N104" t="s">
        <v>57</v>
      </c>
      <c r="O104" s="1">
        <v>45936</v>
      </c>
      <c r="Q104" s="1">
        <v>45967</v>
      </c>
      <c r="R104" s="2">
        <v>83.63</v>
      </c>
      <c r="S104">
        <v>1</v>
      </c>
      <c r="T104" t="s">
        <v>58</v>
      </c>
      <c r="U104" t="s">
        <v>59</v>
      </c>
      <c r="V104" s="3">
        <v>0.9</v>
      </c>
      <c r="W104" s="2">
        <v>0</v>
      </c>
      <c r="X104">
        <v>0</v>
      </c>
      <c r="Y104" t="s">
        <v>60</v>
      </c>
      <c r="Z104" t="s">
        <v>61</v>
      </c>
      <c r="AA104">
        <v>6</v>
      </c>
      <c r="AB104" s="2">
        <v>451.62</v>
      </c>
      <c r="AC104" s="2">
        <v>0</v>
      </c>
      <c r="AD104" s="3">
        <v>0</v>
      </c>
      <c r="AE104" s="2">
        <v>0</v>
      </c>
      <c r="AF104" s="2">
        <v>0</v>
      </c>
      <c r="AG104" s="2">
        <v>0</v>
      </c>
      <c r="AH104" s="2">
        <v>0</v>
      </c>
      <c r="AI104" s="2">
        <v>0</v>
      </c>
      <c r="AJ104" s="2">
        <v>0</v>
      </c>
      <c r="AK104" s="2">
        <v>0</v>
      </c>
      <c r="AL104" s="2">
        <v>75.27</v>
      </c>
      <c r="AM104" s="2">
        <v>0</v>
      </c>
      <c r="AN104" s="2">
        <v>451.62</v>
      </c>
      <c r="AO104" s="2">
        <v>0</v>
      </c>
      <c r="AP104" s="2">
        <v>0</v>
      </c>
      <c r="AQ104" s="2">
        <v>0</v>
      </c>
    </row>
    <row r="105" spans="1:43" x14ac:dyDescent="0.25">
      <c r="A105" s="1">
        <v>45936</v>
      </c>
      <c r="B105" t="s">
        <v>48</v>
      </c>
      <c r="C105">
        <v>649163</v>
      </c>
      <c r="D105">
        <v>2030870979</v>
      </c>
      <c r="E105" t="s">
        <v>302</v>
      </c>
      <c r="F105" t="s">
        <v>303</v>
      </c>
      <c r="G105" t="s">
        <v>51</v>
      </c>
      <c r="H105" t="s">
        <v>101</v>
      </c>
      <c r="I105" t="s">
        <v>292</v>
      </c>
      <c r="J105" t="s">
        <v>293</v>
      </c>
      <c r="K105">
        <v>814033</v>
      </c>
      <c r="L105" t="s">
        <v>256</v>
      </c>
      <c r="M105" t="s">
        <v>165</v>
      </c>
      <c r="N105" t="s">
        <v>57</v>
      </c>
      <c r="O105" s="1">
        <v>45931</v>
      </c>
      <c r="Q105" s="1">
        <v>45962</v>
      </c>
      <c r="R105" s="2">
        <v>159.24</v>
      </c>
      <c r="S105">
        <v>1</v>
      </c>
      <c r="T105" t="s">
        <v>58</v>
      </c>
      <c r="U105" t="s">
        <v>59</v>
      </c>
      <c r="V105" s="3">
        <v>0.7</v>
      </c>
      <c r="W105" s="2">
        <v>0</v>
      </c>
      <c r="X105">
        <v>0</v>
      </c>
      <c r="Y105" t="s">
        <v>60</v>
      </c>
      <c r="Z105" t="s">
        <v>61</v>
      </c>
      <c r="AA105">
        <v>6</v>
      </c>
      <c r="AB105" s="2">
        <v>668.82</v>
      </c>
      <c r="AC105" s="2">
        <v>0</v>
      </c>
      <c r="AD105" s="3">
        <v>0</v>
      </c>
      <c r="AE105" s="2">
        <v>0</v>
      </c>
      <c r="AF105" s="2">
        <v>0</v>
      </c>
      <c r="AG105" s="2">
        <v>0</v>
      </c>
      <c r="AH105" s="2">
        <v>0</v>
      </c>
      <c r="AI105" s="2">
        <v>0</v>
      </c>
      <c r="AJ105" s="2">
        <v>0</v>
      </c>
      <c r="AK105" s="2">
        <v>0</v>
      </c>
      <c r="AL105" s="2">
        <v>111.47</v>
      </c>
      <c r="AM105" s="2">
        <v>0</v>
      </c>
      <c r="AN105" s="2">
        <v>668.82</v>
      </c>
      <c r="AO105" s="2">
        <v>0</v>
      </c>
      <c r="AP105" s="2">
        <v>0</v>
      </c>
      <c r="AQ105" s="2">
        <v>0</v>
      </c>
    </row>
    <row r="106" spans="1:43" x14ac:dyDescent="0.25">
      <c r="A106" s="1">
        <v>45936</v>
      </c>
      <c r="B106" t="s">
        <v>48</v>
      </c>
      <c r="C106">
        <v>649163</v>
      </c>
      <c r="D106">
        <v>2030878188</v>
      </c>
      <c r="E106" t="s">
        <v>304</v>
      </c>
      <c r="F106" t="s">
        <v>305</v>
      </c>
      <c r="G106" t="s">
        <v>51</v>
      </c>
      <c r="H106" t="s">
        <v>95</v>
      </c>
      <c r="I106" t="s">
        <v>292</v>
      </c>
      <c r="J106" t="s">
        <v>293</v>
      </c>
      <c r="K106">
        <v>856824</v>
      </c>
      <c r="L106" t="s">
        <v>298</v>
      </c>
      <c r="M106" t="s">
        <v>299</v>
      </c>
      <c r="N106" t="s">
        <v>57</v>
      </c>
      <c r="O106" s="1">
        <v>45931</v>
      </c>
      <c r="Q106" s="1">
        <v>45962</v>
      </c>
      <c r="R106" s="2">
        <v>122.12</v>
      </c>
      <c r="S106">
        <v>1</v>
      </c>
      <c r="T106" t="s">
        <v>58</v>
      </c>
      <c r="U106" t="s">
        <v>59</v>
      </c>
      <c r="V106" s="3">
        <v>0.7</v>
      </c>
      <c r="W106" s="2">
        <v>0</v>
      </c>
      <c r="X106">
        <v>0</v>
      </c>
      <c r="Y106" t="s">
        <v>60</v>
      </c>
      <c r="Z106" t="s">
        <v>61</v>
      </c>
      <c r="AA106">
        <v>6</v>
      </c>
      <c r="AB106" s="2">
        <v>512.88</v>
      </c>
      <c r="AC106" s="2">
        <v>0</v>
      </c>
      <c r="AD106" s="3">
        <v>0</v>
      </c>
      <c r="AE106" s="2">
        <v>0</v>
      </c>
      <c r="AF106" s="2">
        <v>0</v>
      </c>
      <c r="AG106" s="2">
        <v>0</v>
      </c>
      <c r="AH106" s="2">
        <v>0</v>
      </c>
      <c r="AI106" s="2">
        <v>0</v>
      </c>
      <c r="AJ106" s="2">
        <v>0</v>
      </c>
      <c r="AK106" s="2">
        <v>0</v>
      </c>
      <c r="AL106" s="2">
        <v>85.48</v>
      </c>
      <c r="AM106" s="2">
        <v>0</v>
      </c>
      <c r="AN106" s="2">
        <v>512.88</v>
      </c>
      <c r="AO106" s="2">
        <v>0</v>
      </c>
      <c r="AP106" s="2">
        <v>0</v>
      </c>
      <c r="AQ106" s="2">
        <v>0</v>
      </c>
    </row>
    <row r="107" spans="1:43" x14ac:dyDescent="0.25">
      <c r="A107" s="1">
        <v>45936</v>
      </c>
      <c r="B107" t="s">
        <v>48</v>
      </c>
      <c r="C107">
        <v>649163</v>
      </c>
      <c r="D107">
        <v>2030903470</v>
      </c>
      <c r="E107" t="s">
        <v>125</v>
      </c>
      <c r="F107" t="s">
        <v>126</v>
      </c>
      <c r="G107" t="s">
        <v>51</v>
      </c>
      <c r="H107" t="s">
        <v>52</v>
      </c>
      <c r="I107" t="s">
        <v>292</v>
      </c>
      <c r="J107" t="s">
        <v>293</v>
      </c>
      <c r="K107">
        <v>753748</v>
      </c>
      <c r="L107" t="s">
        <v>97</v>
      </c>
      <c r="M107" t="s">
        <v>98</v>
      </c>
      <c r="N107" t="s">
        <v>57</v>
      </c>
      <c r="O107" s="1">
        <v>45931</v>
      </c>
      <c r="Q107" s="1">
        <v>45962</v>
      </c>
      <c r="R107" s="2">
        <v>28.38</v>
      </c>
      <c r="S107">
        <v>1</v>
      </c>
      <c r="T107" t="s">
        <v>58</v>
      </c>
      <c r="U107" t="s">
        <v>59</v>
      </c>
      <c r="V107" s="3">
        <v>0.7</v>
      </c>
      <c r="W107" s="2">
        <v>0</v>
      </c>
      <c r="X107">
        <v>0</v>
      </c>
      <c r="Y107" t="s">
        <v>60</v>
      </c>
      <c r="Z107" t="s">
        <v>61</v>
      </c>
      <c r="AA107">
        <v>6</v>
      </c>
      <c r="AB107" s="2">
        <v>119.22</v>
      </c>
      <c r="AC107" s="2">
        <v>0</v>
      </c>
      <c r="AD107" s="3">
        <v>0</v>
      </c>
      <c r="AE107" s="2">
        <v>0</v>
      </c>
      <c r="AF107" s="2">
        <v>0</v>
      </c>
      <c r="AG107" s="2">
        <v>0</v>
      </c>
      <c r="AH107" s="2">
        <v>0</v>
      </c>
      <c r="AI107" s="2">
        <v>0</v>
      </c>
      <c r="AJ107" s="2">
        <v>0</v>
      </c>
      <c r="AK107" s="2">
        <v>0</v>
      </c>
      <c r="AL107" s="2">
        <v>19.87</v>
      </c>
      <c r="AM107" s="2">
        <v>0</v>
      </c>
      <c r="AN107" s="2">
        <v>119.22</v>
      </c>
      <c r="AO107" s="2">
        <v>0</v>
      </c>
      <c r="AP107" s="2">
        <v>0</v>
      </c>
      <c r="AQ107" s="2">
        <v>0</v>
      </c>
    </row>
    <row r="108" spans="1:43" x14ac:dyDescent="0.25">
      <c r="A108" s="1">
        <v>45936</v>
      </c>
      <c r="B108" t="s">
        <v>48</v>
      </c>
      <c r="C108">
        <v>649163</v>
      </c>
      <c r="D108">
        <v>2030948467</v>
      </c>
      <c r="E108" t="s">
        <v>130</v>
      </c>
      <c r="F108" t="s">
        <v>131</v>
      </c>
      <c r="G108" t="s">
        <v>51</v>
      </c>
      <c r="H108" t="s">
        <v>52</v>
      </c>
      <c r="I108" t="s">
        <v>292</v>
      </c>
      <c r="J108" t="s">
        <v>295</v>
      </c>
      <c r="K108">
        <v>651818</v>
      </c>
      <c r="L108" t="s">
        <v>112</v>
      </c>
      <c r="M108" t="s">
        <v>104</v>
      </c>
      <c r="N108" t="s">
        <v>57</v>
      </c>
      <c r="O108" s="1">
        <v>45936</v>
      </c>
      <c r="Q108" s="1">
        <v>45967</v>
      </c>
      <c r="R108" s="2">
        <v>31.08</v>
      </c>
      <c r="S108">
        <v>1</v>
      </c>
      <c r="T108" t="s">
        <v>58</v>
      </c>
      <c r="U108" t="s">
        <v>59</v>
      </c>
      <c r="V108" s="3">
        <v>0.9</v>
      </c>
      <c r="W108" s="2">
        <v>0</v>
      </c>
      <c r="X108">
        <v>0</v>
      </c>
      <c r="Y108" t="s">
        <v>60</v>
      </c>
      <c r="Z108" t="s">
        <v>61</v>
      </c>
      <c r="AA108">
        <v>6</v>
      </c>
      <c r="AB108" s="2">
        <v>167.82</v>
      </c>
      <c r="AC108" s="2">
        <v>0</v>
      </c>
      <c r="AD108" s="3">
        <v>0</v>
      </c>
      <c r="AE108" s="2">
        <v>0</v>
      </c>
      <c r="AF108" s="2">
        <v>0</v>
      </c>
      <c r="AG108" s="2">
        <v>0</v>
      </c>
      <c r="AH108" s="2">
        <v>0</v>
      </c>
      <c r="AI108" s="2">
        <v>0</v>
      </c>
      <c r="AJ108" s="2">
        <v>0</v>
      </c>
      <c r="AK108" s="2">
        <v>0</v>
      </c>
      <c r="AL108" s="2">
        <v>27.97</v>
      </c>
      <c r="AM108" s="2">
        <v>0</v>
      </c>
      <c r="AN108" s="2">
        <v>167.82</v>
      </c>
      <c r="AO108" s="2">
        <v>0</v>
      </c>
      <c r="AP108" s="2">
        <v>0</v>
      </c>
      <c r="AQ108" s="2">
        <v>0</v>
      </c>
    </row>
    <row r="109" spans="1:43" x14ac:dyDescent="0.25">
      <c r="A109" s="1">
        <v>45936</v>
      </c>
      <c r="B109" t="s">
        <v>48</v>
      </c>
      <c r="C109">
        <v>649163</v>
      </c>
      <c r="D109">
        <v>2030957593</v>
      </c>
      <c r="E109" t="s">
        <v>306</v>
      </c>
      <c r="F109" t="s">
        <v>307</v>
      </c>
      <c r="G109" t="s">
        <v>51</v>
      </c>
      <c r="H109" t="s">
        <v>101</v>
      </c>
      <c r="I109" t="s">
        <v>292</v>
      </c>
      <c r="J109" t="s">
        <v>293</v>
      </c>
      <c r="K109">
        <v>812782</v>
      </c>
      <c r="L109" t="s">
        <v>91</v>
      </c>
      <c r="M109" t="s">
        <v>92</v>
      </c>
      <c r="N109" t="s">
        <v>57</v>
      </c>
      <c r="O109" s="1">
        <v>45931</v>
      </c>
      <c r="Q109" s="1">
        <v>45962</v>
      </c>
      <c r="R109" s="2">
        <v>39.35</v>
      </c>
      <c r="S109">
        <v>1</v>
      </c>
      <c r="T109" t="s">
        <v>58</v>
      </c>
      <c r="U109" t="s">
        <v>59</v>
      </c>
      <c r="V109" s="3">
        <v>0.7</v>
      </c>
      <c r="W109" s="2">
        <v>0</v>
      </c>
      <c r="X109">
        <v>0</v>
      </c>
      <c r="Y109" t="s">
        <v>60</v>
      </c>
      <c r="Z109" t="s">
        <v>61</v>
      </c>
      <c r="AA109">
        <v>6</v>
      </c>
      <c r="AB109" s="2">
        <v>165.24</v>
      </c>
      <c r="AC109" s="2">
        <v>0</v>
      </c>
      <c r="AD109" s="3">
        <v>0</v>
      </c>
      <c r="AE109" s="2">
        <v>0</v>
      </c>
      <c r="AF109" s="2">
        <v>0</v>
      </c>
      <c r="AG109" s="2">
        <v>0</v>
      </c>
      <c r="AH109" s="2">
        <v>0</v>
      </c>
      <c r="AI109" s="2">
        <v>0</v>
      </c>
      <c r="AJ109" s="2">
        <v>0</v>
      </c>
      <c r="AK109" s="2">
        <v>0</v>
      </c>
      <c r="AL109" s="2">
        <v>27.54</v>
      </c>
      <c r="AM109" s="2">
        <v>0</v>
      </c>
      <c r="AN109" s="2">
        <v>165.24</v>
      </c>
      <c r="AO109" s="2">
        <v>0</v>
      </c>
      <c r="AP109" s="2">
        <v>0</v>
      </c>
      <c r="AQ109" s="2">
        <v>0</v>
      </c>
    </row>
    <row r="110" spans="1:43" x14ac:dyDescent="0.25">
      <c r="A110" s="1">
        <v>45936</v>
      </c>
      <c r="B110" t="s">
        <v>48</v>
      </c>
      <c r="C110">
        <v>649163</v>
      </c>
      <c r="D110">
        <v>2030977481</v>
      </c>
      <c r="E110" t="s">
        <v>308</v>
      </c>
      <c r="F110" t="s">
        <v>309</v>
      </c>
      <c r="G110" t="s">
        <v>51</v>
      </c>
      <c r="H110" t="s">
        <v>310</v>
      </c>
      <c r="I110" t="s">
        <v>292</v>
      </c>
      <c r="J110" t="s">
        <v>293</v>
      </c>
      <c r="K110">
        <v>651818</v>
      </c>
      <c r="L110" t="s">
        <v>112</v>
      </c>
      <c r="M110" t="s">
        <v>104</v>
      </c>
      <c r="N110" t="s">
        <v>57</v>
      </c>
      <c r="O110" s="1">
        <v>45936</v>
      </c>
      <c r="Q110" s="1">
        <v>45967</v>
      </c>
      <c r="R110" s="2">
        <v>228.99</v>
      </c>
      <c r="S110">
        <v>1</v>
      </c>
      <c r="T110" t="s">
        <v>58</v>
      </c>
      <c r="U110" t="s">
        <v>59</v>
      </c>
      <c r="V110" s="3">
        <v>0.7</v>
      </c>
      <c r="W110" s="2">
        <v>0</v>
      </c>
      <c r="X110">
        <v>0</v>
      </c>
      <c r="Y110" t="s">
        <v>60</v>
      </c>
      <c r="Z110" t="s">
        <v>61</v>
      </c>
      <c r="AA110">
        <v>6</v>
      </c>
      <c r="AB110" s="2">
        <v>961.74</v>
      </c>
      <c r="AC110" s="2">
        <v>0</v>
      </c>
      <c r="AD110" s="3">
        <v>0</v>
      </c>
      <c r="AE110" s="2">
        <v>0</v>
      </c>
      <c r="AF110" s="2">
        <v>0</v>
      </c>
      <c r="AG110" s="2">
        <v>0</v>
      </c>
      <c r="AH110" s="2">
        <v>0</v>
      </c>
      <c r="AI110" s="2">
        <v>0</v>
      </c>
      <c r="AJ110" s="2">
        <v>0</v>
      </c>
      <c r="AK110" s="2">
        <v>0</v>
      </c>
      <c r="AL110" s="2">
        <v>160.29</v>
      </c>
      <c r="AM110" s="2">
        <v>0</v>
      </c>
      <c r="AN110" s="2">
        <v>961.74</v>
      </c>
      <c r="AO110" s="2">
        <v>0</v>
      </c>
      <c r="AP110" s="2">
        <v>0</v>
      </c>
      <c r="AQ110" s="2">
        <v>0</v>
      </c>
    </row>
    <row r="111" spans="1:43" x14ac:dyDescent="0.25">
      <c r="A111" s="1">
        <v>45936</v>
      </c>
      <c r="B111" t="s">
        <v>48</v>
      </c>
      <c r="C111">
        <v>649163</v>
      </c>
      <c r="D111">
        <v>2030984375</v>
      </c>
      <c r="E111" t="s">
        <v>250</v>
      </c>
      <c r="F111" t="s">
        <v>251</v>
      </c>
      <c r="G111" t="s">
        <v>51</v>
      </c>
      <c r="H111" t="s">
        <v>88</v>
      </c>
      <c r="I111" t="s">
        <v>292</v>
      </c>
      <c r="J111" t="s">
        <v>293</v>
      </c>
      <c r="K111">
        <v>673059</v>
      </c>
      <c r="L111" t="s">
        <v>80</v>
      </c>
      <c r="M111" t="s">
        <v>81</v>
      </c>
      <c r="N111" t="s">
        <v>57</v>
      </c>
      <c r="O111" s="1">
        <v>45931</v>
      </c>
      <c r="Q111" s="1">
        <v>45962</v>
      </c>
      <c r="R111" s="2">
        <v>59.57</v>
      </c>
      <c r="S111">
        <v>1</v>
      </c>
      <c r="T111" t="s">
        <v>58</v>
      </c>
      <c r="U111" t="s">
        <v>59</v>
      </c>
      <c r="V111" s="3">
        <v>0.7</v>
      </c>
      <c r="W111" s="2">
        <v>0</v>
      </c>
      <c r="X111">
        <v>0</v>
      </c>
      <c r="Y111" t="s">
        <v>60</v>
      </c>
      <c r="Z111" t="s">
        <v>61</v>
      </c>
      <c r="AA111">
        <v>6</v>
      </c>
      <c r="AB111" s="2">
        <v>250.2</v>
      </c>
      <c r="AC111" s="2">
        <v>0</v>
      </c>
      <c r="AD111" s="3">
        <v>0</v>
      </c>
      <c r="AE111" s="2">
        <v>0</v>
      </c>
      <c r="AF111" s="2">
        <v>0</v>
      </c>
      <c r="AG111" s="2">
        <v>0</v>
      </c>
      <c r="AH111" s="2">
        <v>0</v>
      </c>
      <c r="AI111" s="2">
        <v>0</v>
      </c>
      <c r="AJ111" s="2">
        <v>0</v>
      </c>
      <c r="AK111" s="2">
        <v>0</v>
      </c>
      <c r="AL111" s="2">
        <v>41.7</v>
      </c>
      <c r="AM111" s="2">
        <v>0</v>
      </c>
      <c r="AN111" s="2">
        <v>250.2</v>
      </c>
      <c r="AO111" s="2">
        <v>0</v>
      </c>
      <c r="AP111" s="2">
        <v>0</v>
      </c>
      <c r="AQ111" s="2">
        <v>0</v>
      </c>
    </row>
    <row r="112" spans="1:43" x14ac:dyDescent="0.25">
      <c r="A112" s="1">
        <v>45936</v>
      </c>
      <c r="B112" t="s">
        <v>48</v>
      </c>
      <c r="C112">
        <v>649163</v>
      </c>
      <c r="D112">
        <v>2030990682</v>
      </c>
      <c r="E112" t="s">
        <v>136</v>
      </c>
      <c r="F112" t="s">
        <v>137</v>
      </c>
      <c r="G112" t="s">
        <v>51</v>
      </c>
      <c r="H112" t="s">
        <v>52</v>
      </c>
      <c r="I112" t="s">
        <v>292</v>
      </c>
      <c r="J112" t="s">
        <v>293</v>
      </c>
      <c r="K112">
        <v>753748</v>
      </c>
      <c r="L112" t="s">
        <v>97</v>
      </c>
      <c r="M112" t="s">
        <v>98</v>
      </c>
      <c r="N112" t="s">
        <v>57</v>
      </c>
      <c r="O112" s="1">
        <v>45931</v>
      </c>
      <c r="Q112" s="1">
        <v>45962</v>
      </c>
      <c r="R112" s="2">
        <v>134.71</v>
      </c>
      <c r="S112">
        <v>1</v>
      </c>
      <c r="T112" t="s">
        <v>58</v>
      </c>
      <c r="U112" t="s">
        <v>59</v>
      </c>
      <c r="V112" s="3">
        <v>0.7</v>
      </c>
      <c r="W112" s="2">
        <v>0</v>
      </c>
      <c r="X112">
        <v>0</v>
      </c>
      <c r="Y112" t="s">
        <v>60</v>
      </c>
      <c r="Z112" t="s">
        <v>61</v>
      </c>
      <c r="AA112">
        <v>6</v>
      </c>
      <c r="AB112" s="2">
        <v>565.79999999999995</v>
      </c>
      <c r="AC112" s="2">
        <v>0</v>
      </c>
      <c r="AD112" s="3">
        <v>0</v>
      </c>
      <c r="AE112" s="2">
        <v>0</v>
      </c>
      <c r="AF112" s="2">
        <v>0</v>
      </c>
      <c r="AG112" s="2">
        <v>0</v>
      </c>
      <c r="AH112" s="2">
        <v>0</v>
      </c>
      <c r="AI112" s="2">
        <v>0</v>
      </c>
      <c r="AJ112" s="2">
        <v>0</v>
      </c>
      <c r="AK112" s="2">
        <v>0</v>
      </c>
      <c r="AL112" s="2">
        <v>94.3</v>
      </c>
      <c r="AM112" s="2">
        <v>0</v>
      </c>
      <c r="AN112" s="2">
        <v>565.79999999999995</v>
      </c>
      <c r="AO112" s="2">
        <v>0</v>
      </c>
      <c r="AP112" s="2">
        <v>0</v>
      </c>
      <c r="AQ112" s="2">
        <v>0</v>
      </c>
    </row>
    <row r="113" spans="1:43" x14ac:dyDescent="0.25">
      <c r="A113" s="1">
        <v>45936</v>
      </c>
      <c r="B113" t="s">
        <v>48</v>
      </c>
      <c r="C113">
        <v>649163</v>
      </c>
      <c r="D113">
        <v>2031002561</v>
      </c>
      <c r="E113" t="s">
        <v>138</v>
      </c>
      <c r="F113" t="s">
        <v>139</v>
      </c>
      <c r="G113" t="s">
        <v>51</v>
      </c>
      <c r="H113" t="s">
        <v>101</v>
      </c>
      <c r="I113" t="s">
        <v>292</v>
      </c>
      <c r="J113" t="s">
        <v>293</v>
      </c>
      <c r="K113">
        <v>792847</v>
      </c>
      <c r="L113" t="s">
        <v>140</v>
      </c>
      <c r="M113" t="s">
        <v>141</v>
      </c>
      <c r="N113" t="s">
        <v>57</v>
      </c>
      <c r="O113" s="1">
        <v>45931</v>
      </c>
      <c r="Q113" s="1">
        <v>45962</v>
      </c>
      <c r="R113" s="2">
        <v>212.26</v>
      </c>
      <c r="S113">
        <v>1</v>
      </c>
      <c r="T113" t="s">
        <v>58</v>
      </c>
      <c r="U113" t="s">
        <v>59</v>
      </c>
      <c r="V113" s="3">
        <v>0.7</v>
      </c>
      <c r="W113" s="2">
        <v>0</v>
      </c>
      <c r="X113">
        <v>0</v>
      </c>
      <c r="Y113" t="s">
        <v>60</v>
      </c>
      <c r="Z113" t="s">
        <v>61</v>
      </c>
      <c r="AA113">
        <v>6</v>
      </c>
      <c r="AB113" s="2">
        <v>891.48</v>
      </c>
      <c r="AC113" s="2">
        <v>0</v>
      </c>
      <c r="AD113" s="3">
        <v>0</v>
      </c>
      <c r="AE113" s="2">
        <v>0</v>
      </c>
      <c r="AF113" s="2">
        <v>0</v>
      </c>
      <c r="AG113" s="2">
        <v>0</v>
      </c>
      <c r="AH113" s="2">
        <v>0</v>
      </c>
      <c r="AI113" s="2">
        <v>0</v>
      </c>
      <c r="AJ113" s="2">
        <v>0</v>
      </c>
      <c r="AK113" s="2">
        <v>0</v>
      </c>
      <c r="AL113" s="2">
        <v>148.58000000000001</v>
      </c>
      <c r="AM113" s="2">
        <v>0</v>
      </c>
      <c r="AN113" s="2">
        <v>891.48</v>
      </c>
      <c r="AO113" s="2">
        <v>0</v>
      </c>
      <c r="AP113" s="2">
        <v>0</v>
      </c>
      <c r="AQ113" s="2">
        <v>0</v>
      </c>
    </row>
    <row r="114" spans="1:43" x14ac:dyDescent="0.25">
      <c r="A114" s="1">
        <v>45936</v>
      </c>
      <c r="B114" t="s">
        <v>48</v>
      </c>
      <c r="C114">
        <v>649163</v>
      </c>
      <c r="D114">
        <v>2031002910</v>
      </c>
      <c r="E114" t="s">
        <v>311</v>
      </c>
      <c r="F114" t="s">
        <v>312</v>
      </c>
      <c r="G114" t="s">
        <v>51</v>
      </c>
      <c r="H114" t="s">
        <v>101</v>
      </c>
      <c r="I114" t="s">
        <v>292</v>
      </c>
      <c r="J114" t="s">
        <v>293</v>
      </c>
      <c r="K114">
        <v>792847</v>
      </c>
      <c r="L114" t="s">
        <v>140</v>
      </c>
      <c r="M114" t="s">
        <v>141</v>
      </c>
      <c r="N114" t="s">
        <v>57</v>
      </c>
      <c r="O114" s="1">
        <v>45931</v>
      </c>
      <c r="Q114" s="1">
        <v>45962</v>
      </c>
      <c r="R114" s="2">
        <v>83.22</v>
      </c>
      <c r="S114">
        <v>1</v>
      </c>
      <c r="T114" t="s">
        <v>58</v>
      </c>
      <c r="U114" t="s">
        <v>59</v>
      </c>
      <c r="V114" s="3">
        <v>0.7</v>
      </c>
      <c r="W114" s="2">
        <v>0</v>
      </c>
      <c r="X114">
        <v>0</v>
      </c>
      <c r="Y114" t="s">
        <v>60</v>
      </c>
      <c r="Z114" t="s">
        <v>61</v>
      </c>
      <c r="AA114">
        <v>6</v>
      </c>
      <c r="AB114" s="2">
        <v>349.5</v>
      </c>
      <c r="AC114" s="2">
        <v>0</v>
      </c>
      <c r="AD114" s="3">
        <v>0</v>
      </c>
      <c r="AE114" s="2">
        <v>0</v>
      </c>
      <c r="AF114" s="2">
        <v>0</v>
      </c>
      <c r="AG114" s="2">
        <v>0</v>
      </c>
      <c r="AH114" s="2">
        <v>0</v>
      </c>
      <c r="AI114" s="2">
        <v>0</v>
      </c>
      <c r="AJ114" s="2">
        <v>0</v>
      </c>
      <c r="AK114" s="2">
        <v>0</v>
      </c>
      <c r="AL114" s="2">
        <v>58.25</v>
      </c>
      <c r="AM114" s="2">
        <v>0</v>
      </c>
      <c r="AN114" s="2">
        <v>349.5</v>
      </c>
      <c r="AO114" s="2">
        <v>0</v>
      </c>
      <c r="AP114" s="2">
        <v>0</v>
      </c>
      <c r="AQ114" s="2">
        <v>0</v>
      </c>
    </row>
    <row r="115" spans="1:43" x14ac:dyDescent="0.25">
      <c r="A115" s="1">
        <v>45936</v>
      </c>
      <c r="B115" t="s">
        <v>48</v>
      </c>
      <c r="C115">
        <v>649163</v>
      </c>
      <c r="D115">
        <v>2031014065</v>
      </c>
      <c r="E115" t="s">
        <v>142</v>
      </c>
      <c r="F115" t="s">
        <v>143</v>
      </c>
      <c r="G115" t="s">
        <v>51</v>
      </c>
      <c r="H115" t="s">
        <v>110</v>
      </c>
      <c r="I115" t="s">
        <v>292</v>
      </c>
      <c r="J115" t="s">
        <v>293</v>
      </c>
      <c r="K115">
        <v>651818</v>
      </c>
      <c r="L115" t="s">
        <v>112</v>
      </c>
      <c r="M115" t="s">
        <v>104</v>
      </c>
      <c r="N115" t="s">
        <v>57</v>
      </c>
      <c r="O115" s="1">
        <v>45936</v>
      </c>
      <c r="Q115" s="1">
        <v>45967</v>
      </c>
      <c r="R115" s="2">
        <v>29.6</v>
      </c>
      <c r="S115">
        <v>1</v>
      </c>
      <c r="T115" t="s">
        <v>58</v>
      </c>
      <c r="U115" t="s">
        <v>59</v>
      </c>
      <c r="V115" s="3">
        <v>0.7</v>
      </c>
      <c r="W115" s="2">
        <v>0</v>
      </c>
      <c r="X115">
        <v>0</v>
      </c>
      <c r="Y115" t="s">
        <v>60</v>
      </c>
      <c r="Z115" t="s">
        <v>61</v>
      </c>
      <c r="AA115">
        <v>6</v>
      </c>
      <c r="AB115" s="2">
        <v>124.32</v>
      </c>
      <c r="AC115" s="2">
        <v>0</v>
      </c>
      <c r="AD115" s="3">
        <v>0</v>
      </c>
      <c r="AE115" s="2">
        <v>0</v>
      </c>
      <c r="AF115" s="2">
        <v>0</v>
      </c>
      <c r="AG115" s="2">
        <v>0</v>
      </c>
      <c r="AH115" s="2">
        <v>0</v>
      </c>
      <c r="AI115" s="2">
        <v>0</v>
      </c>
      <c r="AJ115" s="2">
        <v>0</v>
      </c>
      <c r="AK115" s="2">
        <v>0</v>
      </c>
      <c r="AL115" s="2">
        <v>20.72</v>
      </c>
      <c r="AM115" s="2">
        <v>0</v>
      </c>
      <c r="AN115" s="2">
        <v>124.32</v>
      </c>
      <c r="AO115" s="2">
        <v>0</v>
      </c>
      <c r="AP115" s="2">
        <v>0</v>
      </c>
      <c r="AQ115" s="2">
        <v>0</v>
      </c>
    </row>
    <row r="116" spans="1:43" x14ac:dyDescent="0.25">
      <c r="A116" s="1">
        <v>45936</v>
      </c>
      <c r="B116" t="s">
        <v>48</v>
      </c>
      <c r="C116">
        <v>649163</v>
      </c>
      <c r="D116">
        <v>2031031361</v>
      </c>
      <c r="E116" t="s">
        <v>313</v>
      </c>
      <c r="F116" t="s">
        <v>314</v>
      </c>
      <c r="G116" t="s">
        <v>51</v>
      </c>
      <c r="H116" t="s">
        <v>247</v>
      </c>
      <c r="I116" t="s">
        <v>292</v>
      </c>
      <c r="J116" t="s">
        <v>293</v>
      </c>
      <c r="K116">
        <v>888536</v>
      </c>
      <c r="L116" t="s">
        <v>315</v>
      </c>
      <c r="M116" t="s">
        <v>316</v>
      </c>
      <c r="N116" t="s">
        <v>57</v>
      </c>
      <c r="O116" s="1">
        <v>45931</v>
      </c>
      <c r="Q116" s="1">
        <v>45962</v>
      </c>
      <c r="R116" s="2">
        <v>270.72000000000003</v>
      </c>
      <c r="S116">
        <v>1</v>
      </c>
      <c r="T116" t="s">
        <v>58</v>
      </c>
      <c r="U116" t="s">
        <v>59</v>
      </c>
      <c r="V116" s="3">
        <v>0.7</v>
      </c>
      <c r="W116" s="2">
        <v>0</v>
      </c>
      <c r="X116">
        <v>0</v>
      </c>
      <c r="Y116" t="s">
        <v>60</v>
      </c>
      <c r="Z116" t="s">
        <v>61</v>
      </c>
      <c r="AA116">
        <v>6</v>
      </c>
      <c r="AB116" s="2">
        <v>1137</v>
      </c>
      <c r="AC116" s="2">
        <v>0</v>
      </c>
      <c r="AD116" s="3">
        <v>0</v>
      </c>
      <c r="AE116" s="2">
        <v>0</v>
      </c>
      <c r="AF116" s="2">
        <v>0</v>
      </c>
      <c r="AG116" s="2">
        <v>0</v>
      </c>
      <c r="AH116" s="2">
        <v>0</v>
      </c>
      <c r="AI116" s="2">
        <v>0</v>
      </c>
      <c r="AJ116" s="2">
        <v>0</v>
      </c>
      <c r="AK116" s="2">
        <v>0</v>
      </c>
      <c r="AL116" s="2">
        <v>189.5</v>
      </c>
      <c r="AM116" s="2">
        <v>0</v>
      </c>
      <c r="AN116" s="2">
        <v>1137</v>
      </c>
      <c r="AO116" s="2">
        <v>0</v>
      </c>
      <c r="AP116" s="2">
        <v>0</v>
      </c>
      <c r="AQ116" s="2">
        <v>0</v>
      </c>
    </row>
    <row r="117" spans="1:43" x14ac:dyDescent="0.25">
      <c r="A117" s="1">
        <v>45936</v>
      </c>
      <c r="B117" t="s">
        <v>48</v>
      </c>
      <c r="C117">
        <v>649163</v>
      </c>
      <c r="D117">
        <v>2031081021</v>
      </c>
      <c r="E117" t="s">
        <v>144</v>
      </c>
      <c r="F117" t="s">
        <v>145</v>
      </c>
      <c r="G117" t="s">
        <v>51</v>
      </c>
      <c r="H117" t="s">
        <v>64</v>
      </c>
      <c r="I117" t="s">
        <v>292</v>
      </c>
      <c r="J117" t="s">
        <v>293</v>
      </c>
      <c r="K117">
        <v>822865</v>
      </c>
      <c r="L117" t="s">
        <v>146</v>
      </c>
      <c r="M117" t="s">
        <v>147</v>
      </c>
      <c r="N117" t="s">
        <v>57</v>
      </c>
      <c r="O117" s="1">
        <v>45932</v>
      </c>
      <c r="Q117" s="1">
        <v>45963</v>
      </c>
      <c r="R117" s="2">
        <v>20.21</v>
      </c>
      <c r="S117">
        <v>1</v>
      </c>
      <c r="T117" t="s">
        <v>58</v>
      </c>
      <c r="U117" t="s">
        <v>59</v>
      </c>
      <c r="V117" s="3">
        <v>0.7</v>
      </c>
      <c r="W117" s="2">
        <v>0</v>
      </c>
      <c r="X117">
        <v>0</v>
      </c>
      <c r="Y117" t="s">
        <v>60</v>
      </c>
      <c r="Z117" t="s">
        <v>61</v>
      </c>
      <c r="AA117">
        <v>6</v>
      </c>
      <c r="AB117" s="2">
        <v>84.9</v>
      </c>
      <c r="AC117" s="2">
        <v>0</v>
      </c>
      <c r="AD117" s="3">
        <v>0</v>
      </c>
      <c r="AE117" s="2">
        <v>0</v>
      </c>
      <c r="AF117" s="2">
        <v>0</v>
      </c>
      <c r="AG117" s="2">
        <v>0</v>
      </c>
      <c r="AH117" s="2">
        <v>0</v>
      </c>
      <c r="AI117" s="2">
        <v>0</v>
      </c>
      <c r="AJ117" s="2">
        <v>0</v>
      </c>
      <c r="AK117" s="2">
        <v>0</v>
      </c>
      <c r="AL117" s="2">
        <v>14.15</v>
      </c>
      <c r="AM117" s="2">
        <v>0</v>
      </c>
      <c r="AN117" s="2">
        <v>84.9</v>
      </c>
      <c r="AO117" s="2">
        <v>0</v>
      </c>
      <c r="AP117" s="2">
        <v>0</v>
      </c>
      <c r="AQ117" s="2">
        <v>0</v>
      </c>
    </row>
    <row r="118" spans="1:43" x14ac:dyDescent="0.25">
      <c r="A118" s="1">
        <v>45936</v>
      </c>
      <c r="B118" t="s">
        <v>48</v>
      </c>
      <c r="C118">
        <v>649163</v>
      </c>
      <c r="D118">
        <v>2031146403</v>
      </c>
      <c r="E118" t="s">
        <v>317</v>
      </c>
      <c r="F118" t="s">
        <v>318</v>
      </c>
      <c r="G118" t="s">
        <v>51</v>
      </c>
      <c r="H118" t="s">
        <v>101</v>
      </c>
      <c r="I118" t="s">
        <v>292</v>
      </c>
      <c r="J118" t="s">
        <v>293</v>
      </c>
      <c r="K118">
        <v>789909</v>
      </c>
      <c r="L118" t="s">
        <v>317</v>
      </c>
      <c r="M118" t="s">
        <v>318</v>
      </c>
      <c r="N118" t="s">
        <v>57</v>
      </c>
      <c r="O118" s="1">
        <v>45931</v>
      </c>
      <c r="Q118" s="1">
        <v>45962</v>
      </c>
      <c r="R118" s="2">
        <v>26.5</v>
      </c>
      <c r="S118">
        <v>1</v>
      </c>
      <c r="T118" t="s">
        <v>58</v>
      </c>
      <c r="U118" t="s">
        <v>59</v>
      </c>
      <c r="V118" s="3">
        <v>0.7</v>
      </c>
      <c r="W118" s="2">
        <v>0</v>
      </c>
      <c r="X118">
        <v>0</v>
      </c>
      <c r="Y118" t="s">
        <v>60</v>
      </c>
      <c r="Z118" t="s">
        <v>61</v>
      </c>
      <c r="AA118">
        <v>6</v>
      </c>
      <c r="AB118" s="2">
        <v>111.3</v>
      </c>
      <c r="AC118" s="2">
        <v>0</v>
      </c>
      <c r="AD118" s="3">
        <v>0</v>
      </c>
      <c r="AE118" s="2">
        <v>0</v>
      </c>
      <c r="AF118" s="2">
        <v>0</v>
      </c>
      <c r="AG118" s="2">
        <v>0</v>
      </c>
      <c r="AH118" s="2">
        <v>0</v>
      </c>
      <c r="AI118" s="2">
        <v>0</v>
      </c>
      <c r="AJ118" s="2">
        <v>0</v>
      </c>
      <c r="AK118" s="2">
        <v>0</v>
      </c>
      <c r="AL118" s="2">
        <v>18.55</v>
      </c>
      <c r="AM118" s="2">
        <v>0</v>
      </c>
      <c r="AN118" s="2">
        <v>111.3</v>
      </c>
      <c r="AO118" s="2">
        <v>0</v>
      </c>
      <c r="AP118" s="2">
        <v>0</v>
      </c>
      <c r="AQ118" s="2">
        <v>0</v>
      </c>
    </row>
    <row r="119" spans="1:43" x14ac:dyDescent="0.25">
      <c r="A119" s="1">
        <v>45936</v>
      </c>
      <c r="B119" t="s">
        <v>48</v>
      </c>
      <c r="C119">
        <v>649163</v>
      </c>
      <c r="D119">
        <v>2031160015</v>
      </c>
      <c r="E119" t="s">
        <v>319</v>
      </c>
      <c r="F119" t="s">
        <v>320</v>
      </c>
      <c r="G119" t="s">
        <v>51</v>
      </c>
      <c r="H119" t="s">
        <v>159</v>
      </c>
      <c r="I119" t="s">
        <v>292</v>
      </c>
      <c r="J119" t="s">
        <v>295</v>
      </c>
      <c r="K119">
        <v>651818</v>
      </c>
      <c r="L119" t="s">
        <v>112</v>
      </c>
      <c r="M119" t="s">
        <v>104</v>
      </c>
      <c r="N119" t="s">
        <v>57</v>
      </c>
      <c r="O119" s="1">
        <v>45936</v>
      </c>
      <c r="Q119" s="1">
        <v>45967</v>
      </c>
      <c r="R119" s="2">
        <v>95.38</v>
      </c>
      <c r="S119">
        <v>1</v>
      </c>
      <c r="T119" t="s">
        <v>58</v>
      </c>
      <c r="U119" t="s">
        <v>59</v>
      </c>
      <c r="V119" s="3">
        <v>0.9</v>
      </c>
      <c r="W119" s="2">
        <v>0</v>
      </c>
      <c r="X119">
        <v>0</v>
      </c>
      <c r="Y119" t="s">
        <v>60</v>
      </c>
      <c r="Z119" t="s">
        <v>61</v>
      </c>
      <c r="AA119">
        <v>6</v>
      </c>
      <c r="AB119" s="2">
        <v>515.04</v>
      </c>
      <c r="AC119" s="2">
        <v>0</v>
      </c>
      <c r="AD119" s="3">
        <v>0</v>
      </c>
      <c r="AE119" s="2">
        <v>0</v>
      </c>
      <c r="AF119" s="2">
        <v>0</v>
      </c>
      <c r="AG119" s="2">
        <v>0</v>
      </c>
      <c r="AH119" s="2">
        <v>0</v>
      </c>
      <c r="AI119" s="2">
        <v>0</v>
      </c>
      <c r="AJ119" s="2">
        <v>0</v>
      </c>
      <c r="AK119" s="2">
        <v>0</v>
      </c>
      <c r="AL119" s="2">
        <v>85.84</v>
      </c>
      <c r="AM119" s="2">
        <v>0</v>
      </c>
      <c r="AN119" s="2">
        <v>515.04</v>
      </c>
      <c r="AO119" s="2">
        <v>0</v>
      </c>
      <c r="AP119" s="2">
        <v>0</v>
      </c>
      <c r="AQ119" s="2">
        <v>0</v>
      </c>
    </row>
    <row r="120" spans="1:43" x14ac:dyDescent="0.25">
      <c r="A120" s="1">
        <v>45936</v>
      </c>
      <c r="B120" t="s">
        <v>48</v>
      </c>
      <c r="C120">
        <v>649163</v>
      </c>
      <c r="D120">
        <v>2031179746</v>
      </c>
      <c r="E120" t="s">
        <v>153</v>
      </c>
      <c r="F120" t="s">
        <v>154</v>
      </c>
      <c r="G120" t="s">
        <v>51</v>
      </c>
      <c r="H120" t="s">
        <v>155</v>
      </c>
      <c r="I120" t="s">
        <v>292</v>
      </c>
      <c r="J120" t="s">
        <v>293</v>
      </c>
      <c r="K120">
        <v>856163</v>
      </c>
      <c r="L120" t="s">
        <v>66</v>
      </c>
      <c r="M120" t="s">
        <v>156</v>
      </c>
      <c r="N120" t="s">
        <v>57</v>
      </c>
      <c r="O120" s="1">
        <v>45931</v>
      </c>
      <c r="Q120" s="1">
        <v>45962</v>
      </c>
      <c r="R120" s="2">
        <v>47.24</v>
      </c>
      <c r="S120">
        <v>1</v>
      </c>
      <c r="T120" t="s">
        <v>58</v>
      </c>
      <c r="U120" t="s">
        <v>59</v>
      </c>
      <c r="V120" s="3">
        <v>0.7</v>
      </c>
      <c r="W120" s="2">
        <v>0</v>
      </c>
      <c r="X120">
        <v>0</v>
      </c>
      <c r="Y120" t="s">
        <v>60</v>
      </c>
      <c r="Z120" t="s">
        <v>61</v>
      </c>
      <c r="AA120">
        <v>6</v>
      </c>
      <c r="AB120" s="2">
        <v>198.42</v>
      </c>
      <c r="AC120" s="2">
        <v>0</v>
      </c>
      <c r="AD120" s="3">
        <v>0</v>
      </c>
      <c r="AE120" s="2">
        <v>0</v>
      </c>
      <c r="AF120" s="2">
        <v>0</v>
      </c>
      <c r="AG120" s="2">
        <v>0</v>
      </c>
      <c r="AH120" s="2">
        <v>0</v>
      </c>
      <c r="AI120" s="2">
        <v>0</v>
      </c>
      <c r="AJ120" s="2">
        <v>0</v>
      </c>
      <c r="AK120" s="2">
        <v>0</v>
      </c>
      <c r="AL120" s="2">
        <v>33.07</v>
      </c>
      <c r="AM120" s="2">
        <v>0</v>
      </c>
      <c r="AN120" s="2">
        <v>198.42</v>
      </c>
      <c r="AO120" s="2">
        <v>0</v>
      </c>
      <c r="AP120" s="2">
        <v>0</v>
      </c>
      <c r="AQ120" s="2">
        <v>0</v>
      </c>
    </row>
    <row r="121" spans="1:43" x14ac:dyDescent="0.25">
      <c r="A121" s="1">
        <v>45936</v>
      </c>
      <c r="B121" t="s">
        <v>48</v>
      </c>
      <c r="C121">
        <v>649163</v>
      </c>
      <c r="D121">
        <v>2031210728</v>
      </c>
      <c r="E121" t="s">
        <v>321</v>
      </c>
      <c r="F121" t="s">
        <v>322</v>
      </c>
      <c r="G121" t="s">
        <v>51</v>
      </c>
      <c r="H121" t="s">
        <v>323</v>
      </c>
      <c r="I121" t="s">
        <v>292</v>
      </c>
      <c r="J121" t="s">
        <v>293</v>
      </c>
      <c r="K121">
        <v>856163</v>
      </c>
      <c r="L121" t="s">
        <v>66</v>
      </c>
      <c r="M121" t="s">
        <v>156</v>
      </c>
      <c r="N121" t="s">
        <v>57</v>
      </c>
      <c r="O121" s="1">
        <v>45931</v>
      </c>
      <c r="Q121" s="1">
        <v>45962</v>
      </c>
      <c r="R121" s="2">
        <v>17.32</v>
      </c>
      <c r="S121">
        <v>1</v>
      </c>
      <c r="T121" t="s">
        <v>58</v>
      </c>
      <c r="U121" t="s">
        <v>59</v>
      </c>
      <c r="V121" s="3">
        <v>0.7</v>
      </c>
      <c r="W121" s="2">
        <v>0</v>
      </c>
      <c r="X121">
        <v>0</v>
      </c>
      <c r="Y121" t="s">
        <v>60</v>
      </c>
      <c r="Z121" t="s">
        <v>61</v>
      </c>
      <c r="AA121">
        <v>6</v>
      </c>
      <c r="AB121" s="2">
        <v>72.72</v>
      </c>
      <c r="AC121" s="2">
        <v>0</v>
      </c>
      <c r="AD121" s="3">
        <v>0</v>
      </c>
      <c r="AE121" s="2">
        <v>0</v>
      </c>
      <c r="AF121" s="2">
        <v>0</v>
      </c>
      <c r="AG121" s="2">
        <v>0</v>
      </c>
      <c r="AH121" s="2">
        <v>0</v>
      </c>
      <c r="AI121" s="2">
        <v>0</v>
      </c>
      <c r="AJ121" s="2">
        <v>0</v>
      </c>
      <c r="AK121" s="2">
        <v>0</v>
      </c>
      <c r="AL121" s="2">
        <v>12.12</v>
      </c>
      <c r="AM121" s="2">
        <v>0</v>
      </c>
      <c r="AN121" s="2">
        <v>72.72</v>
      </c>
      <c r="AO121" s="2">
        <v>0</v>
      </c>
      <c r="AP121" s="2">
        <v>0</v>
      </c>
      <c r="AQ121" s="2">
        <v>0</v>
      </c>
    </row>
    <row r="122" spans="1:43" x14ac:dyDescent="0.25">
      <c r="A122" s="1">
        <v>45936</v>
      </c>
      <c r="B122" t="s">
        <v>48</v>
      </c>
      <c r="C122">
        <v>649163</v>
      </c>
      <c r="D122">
        <v>2031223342</v>
      </c>
      <c r="E122" t="s">
        <v>160</v>
      </c>
      <c r="F122" t="s">
        <v>161</v>
      </c>
      <c r="G122" t="s">
        <v>51</v>
      </c>
      <c r="H122" t="s">
        <v>150</v>
      </c>
      <c r="I122" t="s">
        <v>292</v>
      </c>
      <c r="J122" t="s">
        <v>293</v>
      </c>
      <c r="K122">
        <v>877790</v>
      </c>
      <c r="L122" t="s">
        <v>151</v>
      </c>
      <c r="M122" t="s">
        <v>152</v>
      </c>
      <c r="N122" t="s">
        <v>57</v>
      </c>
      <c r="O122" s="1">
        <v>45931</v>
      </c>
      <c r="Q122" s="1">
        <v>45962</v>
      </c>
      <c r="R122" s="2">
        <v>36.76</v>
      </c>
      <c r="S122">
        <v>1</v>
      </c>
      <c r="T122" t="s">
        <v>58</v>
      </c>
      <c r="U122" t="s">
        <v>59</v>
      </c>
      <c r="V122" s="3">
        <v>0.7</v>
      </c>
      <c r="W122" s="2">
        <v>0</v>
      </c>
      <c r="X122">
        <v>0</v>
      </c>
      <c r="Y122" t="s">
        <v>60</v>
      </c>
      <c r="Z122" t="s">
        <v>61</v>
      </c>
      <c r="AA122">
        <v>6</v>
      </c>
      <c r="AB122" s="2">
        <v>154.38</v>
      </c>
      <c r="AC122" s="2">
        <v>0</v>
      </c>
      <c r="AD122" s="3">
        <v>0</v>
      </c>
      <c r="AE122" s="2">
        <v>0</v>
      </c>
      <c r="AF122" s="2">
        <v>0</v>
      </c>
      <c r="AG122" s="2">
        <v>0</v>
      </c>
      <c r="AH122" s="2">
        <v>0</v>
      </c>
      <c r="AI122" s="2">
        <v>0</v>
      </c>
      <c r="AJ122" s="2">
        <v>0</v>
      </c>
      <c r="AK122" s="2">
        <v>0</v>
      </c>
      <c r="AL122" s="2">
        <v>25.73</v>
      </c>
      <c r="AM122" s="2">
        <v>0</v>
      </c>
      <c r="AN122" s="2">
        <v>154.38</v>
      </c>
      <c r="AO122" s="2">
        <v>0</v>
      </c>
      <c r="AP122" s="2">
        <v>0</v>
      </c>
      <c r="AQ122" s="2">
        <v>0</v>
      </c>
    </row>
    <row r="123" spans="1:43" x14ac:dyDescent="0.25">
      <c r="A123" s="1">
        <v>45936</v>
      </c>
      <c r="B123" t="s">
        <v>48</v>
      </c>
      <c r="C123">
        <v>649163</v>
      </c>
      <c r="D123">
        <v>2031225657</v>
      </c>
      <c r="E123" t="s">
        <v>254</v>
      </c>
      <c r="F123" t="s">
        <v>255</v>
      </c>
      <c r="G123" t="s">
        <v>51</v>
      </c>
      <c r="H123" t="s">
        <v>155</v>
      </c>
      <c r="I123" t="s">
        <v>292</v>
      </c>
      <c r="J123" t="s">
        <v>293</v>
      </c>
      <c r="K123">
        <v>814033</v>
      </c>
      <c r="L123" t="s">
        <v>256</v>
      </c>
      <c r="M123" t="s">
        <v>165</v>
      </c>
      <c r="N123" t="s">
        <v>57</v>
      </c>
      <c r="O123" s="1">
        <v>45931</v>
      </c>
      <c r="Q123" s="1">
        <v>45962</v>
      </c>
      <c r="R123" s="2">
        <v>18.37</v>
      </c>
      <c r="S123">
        <v>1</v>
      </c>
      <c r="T123" t="s">
        <v>58</v>
      </c>
      <c r="U123" t="s">
        <v>59</v>
      </c>
      <c r="V123" s="3">
        <v>0.7</v>
      </c>
      <c r="W123" s="2">
        <v>0</v>
      </c>
      <c r="X123">
        <v>0</v>
      </c>
      <c r="Y123" t="s">
        <v>60</v>
      </c>
      <c r="Z123" t="s">
        <v>61</v>
      </c>
      <c r="AA123">
        <v>6</v>
      </c>
      <c r="AB123" s="2">
        <v>77.16</v>
      </c>
      <c r="AC123" s="2">
        <v>0</v>
      </c>
      <c r="AD123" s="3">
        <v>0</v>
      </c>
      <c r="AE123" s="2">
        <v>0</v>
      </c>
      <c r="AF123" s="2">
        <v>0</v>
      </c>
      <c r="AG123" s="2">
        <v>0</v>
      </c>
      <c r="AH123" s="2">
        <v>0</v>
      </c>
      <c r="AI123" s="2">
        <v>0</v>
      </c>
      <c r="AJ123" s="2">
        <v>0</v>
      </c>
      <c r="AK123" s="2">
        <v>0</v>
      </c>
      <c r="AL123" s="2">
        <v>12.86</v>
      </c>
      <c r="AM123" s="2">
        <v>0</v>
      </c>
      <c r="AN123" s="2">
        <v>77.16</v>
      </c>
      <c r="AO123" s="2">
        <v>0</v>
      </c>
      <c r="AP123" s="2">
        <v>0</v>
      </c>
      <c r="AQ123" s="2">
        <v>0</v>
      </c>
    </row>
    <row r="124" spans="1:43" x14ac:dyDescent="0.25">
      <c r="A124" s="1">
        <v>45936</v>
      </c>
      <c r="B124" t="s">
        <v>48</v>
      </c>
      <c r="C124">
        <v>649163</v>
      </c>
      <c r="D124">
        <v>2031247581</v>
      </c>
      <c r="E124" t="s">
        <v>164</v>
      </c>
      <c r="F124" t="s">
        <v>165</v>
      </c>
      <c r="G124" t="s">
        <v>51</v>
      </c>
      <c r="H124" t="s">
        <v>101</v>
      </c>
      <c r="I124" t="s">
        <v>292</v>
      </c>
      <c r="J124" t="s">
        <v>293</v>
      </c>
      <c r="K124">
        <v>651818</v>
      </c>
      <c r="L124" t="s">
        <v>112</v>
      </c>
      <c r="M124" t="s">
        <v>104</v>
      </c>
      <c r="N124" t="s">
        <v>57</v>
      </c>
      <c r="O124" s="1">
        <v>45936</v>
      </c>
      <c r="Q124" s="1">
        <v>45967</v>
      </c>
      <c r="R124" s="2">
        <v>105.02</v>
      </c>
      <c r="S124">
        <v>1</v>
      </c>
      <c r="T124" t="s">
        <v>58</v>
      </c>
      <c r="U124" t="s">
        <v>59</v>
      </c>
      <c r="V124" s="3">
        <v>0.7</v>
      </c>
      <c r="W124" s="2">
        <v>0</v>
      </c>
      <c r="X124">
        <v>0</v>
      </c>
      <c r="Y124" t="s">
        <v>60</v>
      </c>
      <c r="Z124" t="s">
        <v>61</v>
      </c>
      <c r="AA124">
        <v>6</v>
      </c>
      <c r="AB124" s="2">
        <v>441.06</v>
      </c>
      <c r="AC124" s="2">
        <v>0</v>
      </c>
      <c r="AD124" s="3">
        <v>0</v>
      </c>
      <c r="AE124" s="2">
        <v>0</v>
      </c>
      <c r="AF124" s="2">
        <v>0</v>
      </c>
      <c r="AG124" s="2">
        <v>0</v>
      </c>
      <c r="AH124" s="2">
        <v>0</v>
      </c>
      <c r="AI124" s="2">
        <v>0</v>
      </c>
      <c r="AJ124" s="2">
        <v>0</v>
      </c>
      <c r="AK124" s="2">
        <v>0</v>
      </c>
      <c r="AL124" s="2">
        <v>73.510000000000005</v>
      </c>
      <c r="AM124" s="2">
        <v>0</v>
      </c>
      <c r="AN124" s="2">
        <v>441.06</v>
      </c>
      <c r="AO124" s="2">
        <v>0</v>
      </c>
      <c r="AP124" s="2">
        <v>0</v>
      </c>
      <c r="AQ124" s="2">
        <v>0</v>
      </c>
    </row>
    <row r="125" spans="1:43" x14ac:dyDescent="0.25">
      <c r="A125" s="1">
        <v>45936</v>
      </c>
      <c r="B125" t="s">
        <v>48</v>
      </c>
      <c r="C125">
        <v>649163</v>
      </c>
      <c r="D125">
        <v>2031251423</v>
      </c>
      <c r="E125" t="s">
        <v>257</v>
      </c>
      <c r="F125" t="s">
        <v>137</v>
      </c>
      <c r="G125" t="s">
        <v>51</v>
      </c>
      <c r="H125" t="s">
        <v>52</v>
      </c>
      <c r="I125" t="s">
        <v>292</v>
      </c>
      <c r="J125" t="s">
        <v>293</v>
      </c>
      <c r="K125">
        <v>669316</v>
      </c>
      <c r="L125" t="s">
        <v>258</v>
      </c>
      <c r="M125" t="s">
        <v>259</v>
      </c>
      <c r="N125" t="s">
        <v>57</v>
      </c>
      <c r="O125" s="1">
        <v>45931</v>
      </c>
      <c r="Q125" s="1">
        <v>45962</v>
      </c>
      <c r="R125" s="2">
        <v>18.100000000000001</v>
      </c>
      <c r="S125">
        <v>1</v>
      </c>
      <c r="T125" t="s">
        <v>58</v>
      </c>
      <c r="U125" t="s">
        <v>59</v>
      </c>
      <c r="V125" s="3">
        <v>0.7</v>
      </c>
      <c r="W125" s="2">
        <v>0</v>
      </c>
      <c r="X125">
        <v>0</v>
      </c>
      <c r="Y125" t="s">
        <v>60</v>
      </c>
      <c r="Z125" t="s">
        <v>61</v>
      </c>
      <c r="AA125">
        <v>6</v>
      </c>
      <c r="AB125" s="2">
        <v>76.02</v>
      </c>
      <c r="AC125" s="2">
        <v>0</v>
      </c>
      <c r="AD125" s="3">
        <v>0</v>
      </c>
      <c r="AE125" s="2">
        <v>0</v>
      </c>
      <c r="AF125" s="2">
        <v>0</v>
      </c>
      <c r="AG125" s="2">
        <v>0</v>
      </c>
      <c r="AH125" s="2">
        <v>0</v>
      </c>
      <c r="AI125" s="2">
        <v>0</v>
      </c>
      <c r="AJ125" s="2">
        <v>0</v>
      </c>
      <c r="AK125" s="2">
        <v>0</v>
      </c>
      <c r="AL125" s="2">
        <v>12.67</v>
      </c>
      <c r="AM125" s="2">
        <v>0</v>
      </c>
      <c r="AN125" s="2">
        <v>76.02</v>
      </c>
      <c r="AO125" s="2">
        <v>0</v>
      </c>
      <c r="AP125" s="2">
        <v>0</v>
      </c>
      <c r="AQ125" s="2">
        <v>0</v>
      </c>
    </row>
    <row r="126" spans="1:43" x14ac:dyDescent="0.25">
      <c r="A126" s="1">
        <v>45936</v>
      </c>
      <c r="B126" t="s">
        <v>48</v>
      </c>
      <c r="C126">
        <v>649163</v>
      </c>
      <c r="D126">
        <v>2031263015</v>
      </c>
      <c r="E126" t="s">
        <v>166</v>
      </c>
      <c r="F126" t="s">
        <v>167</v>
      </c>
      <c r="G126" t="s">
        <v>51</v>
      </c>
      <c r="H126" t="s">
        <v>129</v>
      </c>
      <c r="I126" t="s">
        <v>292</v>
      </c>
      <c r="J126" t="s">
        <v>293</v>
      </c>
      <c r="K126">
        <v>753748</v>
      </c>
      <c r="L126" t="s">
        <v>97</v>
      </c>
      <c r="M126" t="s">
        <v>98</v>
      </c>
      <c r="N126" t="s">
        <v>57</v>
      </c>
      <c r="O126" s="1">
        <v>45931</v>
      </c>
      <c r="Q126" s="1">
        <v>45962</v>
      </c>
      <c r="R126" s="2">
        <v>76.59</v>
      </c>
      <c r="S126">
        <v>1</v>
      </c>
      <c r="T126" t="s">
        <v>58</v>
      </c>
      <c r="U126" t="s">
        <v>59</v>
      </c>
      <c r="V126" s="3">
        <v>0.7</v>
      </c>
      <c r="W126" s="2">
        <v>0</v>
      </c>
      <c r="X126">
        <v>0</v>
      </c>
      <c r="Y126" t="s">
        <v>60</v>
      </c>
      <c r="Z126" t="s">
        <v>61</v>
      </c>
      <c r="AA126">
        <v>6</v>
      </c>
      <c r="AB126" s="2">
        <v>321.66000000000003</v>
      </c>
      <c r="AC126" s="2">
        <v>0</v>
      </c>
      <c r="AD126" s="3">
        <v>0</v>
      </c>
      <c r="AE126" s="2">
        <v>0</v>
      </c>
      <c r="AF126" s="2">
        <v>0</v>
      </c>
      <c r="AG126" s="2">
        <v>0</v>
      </c>
      <c r="AH126" s="2">
        <v>0</v>
      </c>
      <c r="AI126" s="2">
        <v>0</v>
      </c>
      <c r="AJ126" s="2">
        <v>0</v>
      </c>
      <c r="AK126" s="2">
        <v>0</v>
      </c>
      <c r="AL126" s="2">
        <v>53.61</v>
      </c>
      <c r="AM126" s="2">
        <v>0</v>
      </c>
      <c r="AN126" s="2">
        <v>321.66000000000003</v>
      </c>
      <c r="AO126" s="2">
        <v>0</v>
      </c>
      <c r="AP126" s="2">
        <v>0</v>
      </c>
      <c r="AQ126" s="2">
        <v>0</v>
      </c>
    </row>
    <row r="127" spans="1:43" x14ac:dyDescent="0.25">
      <c r="A127" s="1">
        <v>45936</v>
      </c>
      <c r="B127" t="s">
        <v>48</v>
      </c>
      <c r="C127">
        <v>649163</v>
      </c>
      <c r="D127">
        <v>2031270409</v>
      </c>
      <c r="E127" t="s">
        <v>168</v>
      </c>
      <c r="F127" t="s">
        <v>169</v>
      </c>
      <c r="G127" t="s">
        <v>51</v>
      </c>
      <c r="H127" t="s">
        <v>119</v>
      </c>
      <c r="I127" t="s">
        <v>292</v>
      </c>
      <c r="J127" t="s">
        <v>295</v>
      </c>
      <c r="K127">
        <v>651818</v>
      </c>
      <c r="L127" t="s">
        <v>112</v>
      </c>
      <c r="M127" t="s">
        <v>104</v>
      </c>
      <c r="N127" t="s">
        <v>57</v>
      </c>
      <c r="O127" s="1">
        <v>45941</v>
      </c>
      <c r="Q127" s="1">
        <v>45972</v>
      </c>
      <c r="R127" s="2">
        <v>37.42</v>
      </c>
      <c r="S127">
        <v>1</v>
      </c>
      <c r="T127" t="s">
        <v>58</v>
      </c>
      <c r="U127" t="s">
        <v>59</v>
      </c>
      <c r="V127" s="3">
        <v>0.9</v>
      </c>
      <c r="W127" s="2">
        <v>0</v>
      </c>
      <c r="X127">
        <v>0</v>
      </c>
      <c r="Y127" t="s">
        <v>60</v>
      </c>
      <c r="Z127" t="s">
        <v>61</v>
      </c>
      <c r="AA127">
        <v>6</v>
      </c>
      <c r="AB127" s="2">
        <v>202.08</v>
      </c>
      <c r="AC127" s="2">
        <v>0</v>
      </c>
      <c r="AD127" s="3">
        <v>0</v>
      </c>
      <c r="AE127" s="2">
        <v>0</v>
      </c>
      <c r="AF127" s="2">
        <v>0</v>
      </c>
      <c r="AG127" s="2">
        <v>0</v>
      </c>
      <c r="AH127" s="2">
        <v>0</v>
      </c>
      <c r="AI127" s="2">
        <v>0</v>
      </c>
      <c r="AJ127" s="2">
        <v>0</v>
      </c>
      <c r="AK127" s="2">
        <v>0</v>
      </c>
      <c r="AL127" s="2">
        <v>33.68</v>
      </c>
      <c r="AM127" s="2">
        <v>0</v>
      </c>
      <c r="AN127" s="2">
        <v>202.08</v>
      </c>
      <c r="AO127" s="2">
        <v>0</v>
      </c>
      <c r="AP127" s="2">
        <v>0</v>
      </c>
      <c r="AQ127" s="2">
        <v>0</v>
      </c>
    </row>
    <row r="128" spans="1:43" x14ac:dyDescent="0.25">
      <c r="A128" s="1">
        <v>45936</v>
      </c>
      <c r="B128" t="s">
        <v>48</v>
      </c>
      <c r="C128">
        <v>649163</v>
      </c>
      <c r="D128">
        <v>2031271771</v>
      </c>
      <c r="E128" t="s">
        <v>260</v>
      </c>
      <c r="F128" t="s">
        <v>261</v>
      </c>
      <c r="G128" t="s">
        <v>51</v>
      </c>
      <c r="H128" t="s">
        <v>262</v>
      </c>
      <c r="I128" t="s">
        <v>292</v>
      </c>
      <c r="J128" t="s">
        <v>293</v>
      </c>
      <c r="K128">
        <v>812782</v>
      </c>
      <c r="L128" t="s">
        <v>91</v>
      </c>
      <c r="M128" t="s">
        <v>92</v>
      </c>
      <c r="N128" t="s">
        <v>57</v>
      </c>
      <c r="O128" s="1">
        <v>45931</v>
      </c>
      <c r="Q128" s="1">
        <v>45962</v>
      </c>
      <c r="R128" s="2">
        <v>26.32</v>
      </c>
      <c r="S128">
        <v>1</v>
      </c>
      <c r="T128" t="s">
        <v>58</v>
      </c>
      <c r="U128" t="s">
        <v>59</v>
      </c>
      <c r="V128" s="3">
        <v>0.7</v>
      </c>
      <c r="W128" s="2">
        <v>0</v>
      </c>
      <c r="X128">
        <v>0</v>
      </c>
      <c r="Y128" t="s">
        <v>60</v>
      </c>
      <c r="Z128" t="s">
        <v>61</v>
      </c>
      <c r="AA128">
        <v>6</v>
      </c>
      <c r="AB128" s="2">
        <v>110.52</v>
      </c>
      <c r="AC128" s="2">
        <v>0</v>
      </c>
      <c r="AD128" s="3">
        <v>0</v>
      </c>
      <c r="AE128" s="2">
        <v>0</v>
      </c>
      <c r="AF128" s="2">
        <v>0</v>
      </c>
      <c r="AG128" s="2">
        <v>0</v>
      </c>
      <c r="AH128" s="2">
        <v>0</v>
      </c>
      <c r="AI128" s="2">
        <v>0</v>
      </c>
      <c r="AJ128" s="2">
        <v>0</v>
      </c>
      <c r="AK128" s="2">
        <v>0</v>
      </c>
      <c r="AL128" s="2">
        <v>18.420000000000002</v>
      </c>
      <c r="AM128" s="2">
        <v>0</v>
      </c>
      <c r="AN128" s="2">
        <v>110.52</v>
      </c>
      <c r="AO128" s="2">
        <v>0</v>
      </c>
      <c r="AP128" s="2">
        <v>0</v>
      </c>
      <c r="AQ128" s="2">
        <v>0</v>
      </c>
    </row>
    <row r="129" spans="1:43" x14ac:dyDescent="0.25">
      <c r="A129" s="1">
        <v>45936</v>
      </c>
      <c r="B129" t="s">
        <v>48</v>
      </c>
      <c r="C129">
        <v>649163</v>
      </c>
      <c r="D129">
        <v>2031271772</v>
      </c>
      <c r="E129" t="s">
        <v>260</v>
      </c>
      <c r="F129" t="s">
        <v>261</v>
      </c>
      <c r="G129" t="s">
        <v>51</v>
      </c>
      <c r="H129" t="s">
        <v>262</v>
      </c>
      <c r="I129" t="s">
        <v>292</v>
      </c>
      <c r="J129" t="s">
        <v>295</v>
      </c>
      <c r="K129">
        <v>812782</v>
      </c>
      <c r="L129" t="s">
        <v>91</v>
      </c>
      <c r="M129" t="s">
        <v>92</v>
      </c>
      <c r="N129" t="s">
        <v>57</v>
      </c>
      <c r="O129" s="1">
        <v>45931</v>
      </c>
      <c r="Q129" s="1">
        <v>45962</v>
      </c>
      <c r="R129" s="2">
        <v>33</v>
      </c>
      <c r="S129">
        <v>1</v>
      </c>
      <c r="T129" t="s">
        <v>58</v>
      </c>
      <c r="U129" t="s">
        <v>59</v>
      </c>
      <c r="V129" s="3">
        <v>0.9</v>
      </c>
      <c r="W129" s="2">
        <v>0</v>
      </c>
      <c r="X129">
        <v>0</v>
      </c>
      <c r="Y129" t="s">
        <v>60</v>
      </c>
      <c r="Z129" t="s">
        <v>61</v>
      </c>
      <c r="AA129">
        <v>6</v>
      </c>
      <c r="AB129" s="2">
        <v>178.2</v>
      </c>
      <c r="AC129" s="2">
        <v>0</v>
      </c>
      <c r="AD129" s="3">
        <v>0</v>
      </c>
      <c r="AE129" s="2">
        <v>0</v>
      </c>
      <c r="AF129" s="2">
        <v>0</v>
      </c>
      <c r="AG129" s="2">
        <v>0</v>
      </c>
      <c r="AH129" s="2">
        <v>0</v>
      </c>
      <c r="AI129" s="2">
        <v>0</v>
      </c>
      <c r="AJ129" s="2">
        <v>0</v>
      </c>
      <c r="AK129" s="2">
        <v>0</v>
      </c>
      <c r="AL129" s="2">
        <v>29.7</v>
      </c>
      <c r="AM129" s="2">
        <v>0</v>
      </c>
      <c r="AN129" s="2">
        <v>178.2</v>
      </c>
      <c r="AO129" s="2">
        <v>0</v>
      </c>
      <c r="AP129" s="2">
        <v>0</v>
      </c>
      <c r="AQ129" s="2">
        <v>0</v>
      </c>
    </row>
    <row r="130" spans="1:43" x14ac:dyDescent="0.25">
      <c r="A130" s="1">
        <v>45936</v>
      </c>
      <c r="B130" t="s">
        <v>48</v>
      </c>
      <c r="C130">
        <v>649163</v>
      </c>
      <c r="D130">
        <v>2031290288</v>
      </c>
      <c r="E130" t="s">
        <v>174</v>
      </c>
      <c r="F130" t="s">
        <v>175</v>
      </c>
      <c r="G130" t="s">
        <v>51</v>
      </c>
      <c r="H130" t="s">
        <v>101</v>
      </c>
      <c r="I130" t="s">
        <v>292</v>
      </c>
      <c r="J130" t="s">
        <v>295</v>
      </c>
      <c r="K130">
        <v>651818</v>
      </c>
      <c r="L130" t="s">
        <v>112</v>
      </c>
      <c r="M130" t="s">
        <v>104</v>
      </c>
      <c r="N130" t="s">
        <v>57</v>
      </c>
      <c r="O130" s="1">
        <v>45936</v>
      </c>
      <c r="Q130" s="1">
        <v>45967</v>
      </c>
      <c r="R130" s="2">
        <v>163.25</v>
      </c>
      <c r="S130">
        <v>1</v>
      </c>
      <c r="T130" t="s">
        <v>58</v>
      </c>
      <c r="U130" t="s">
        <v>59</v>
      </c>
      <c r="V130" s="3">
        <v>0.9</v>
      </c>
      <c r="W130" s="2">
        <v>0</v>
      </c>
      <c r="X130">
        <v>0</v>
      </c>
      <c r="Y130" t="s">
        <v>60</v>
      </c>
      <c r="Z130" t="s">
        <v>61</v>
      </c>
      <c r="AA130">
        <v>6</v>
      </c>
      <c r="AB130" s="2">
        <v>881.52</v>
      </c>
      <c r="AC130" s="2">
        <v>0</v>
      </c>
      <c r="AD130" s="3">
        <v>0</v>
      </c>
      <c r="AE130" s="2">
        <v>0</v>
      </c>
      <c r="AF130" s="2">
        <v>0</v>
      </c>
      <c r="AG130" s="2">
        <v>0</v>
      </c>
      <c r="AH130" s="2">
        <v>0</v>
      </c>
      <c r="AI130" s="2">
        <v>0</v>
      </c>
      <c r="AJ130" s="2">
        <v>0</v>
      </c>
      <c r="AK130" s="2">
        <v>0</v>
      </c>
      <c r="AL130" s="2">
        <v>146.91999999999999</v>
      </c>
      <c r="AM130" s="2">
        <v>0</v>
      </c>
      <c r="AN130" s="2">
        <v>881.52</v>
      </c>
      <c r="AO130" s="2">
        <v>0</v>
      </c>
      <c r="AP130" s="2">
        <v>0</v>
      </c>
      <c r="AQ130" s="2">
        <v>0</v>
      </c>
    </row>
    <row r="131" spans="1:43" x14ac:dyDescent="0.25">
      <c r="A131" s="1">
        <v>45936</v>
      </c>
      <c r="B131" t="s">
        <v>48</v>
      </c>
      <c r="C131">
        <v>649163</v>
      </c>
      <c r="D131">
        <v>2031320895</v>
      </c>
      <c r="E131" t="s">
        <v>178</v>
      </c>
      <c r="F131" t="s">
        <v>179</v>
      </c>
      <c r="G131" t="s">
        <v>51</v>
      </c>
      <c r="H131" t="s">
        <v>119</v>
      </c>
      <c r="I131" t="s">
        <v>292</v>
      </c>
      <c r="J131" t="s">
        <v>293</v>
      </c>
      <c r="K131">
        <v>651818</v>
      </c>
      <c r="L131" t="s">
        <v>112</v>
      </c>
      <c r="M131" t="s">
        <v>104</v>
      </c>
      <c r="N131" t="s">
        <v>57</v>
      </c>
      <c r="O131" s="1">
        <v>45936</v>
      </c>
      <c r="Q131" s="1">
        <v>45967</v>
      </c>
      <c r="R131" s="2">
        <v>11.5</v>
      </c>
      <c r="S131">
        <v>1</v>
      </c>
      <c r="T131" t="s">
        <v>58</v>
      </c>
      <c r="U131" t="s">
        <v>59</v>
      </c>
      <c r="V131" s="3">
        <v>0.7</v>
      </c>
      <c r="W131" s="2">
        <v>0</v>
      </c>
      <c r="X131">
        <v>0</v>
      </c>
      <c r="Y131" t="s">
        <v>60</v>
      </c>
      <c r="Z131" t="s">
        <v>61</v>
      </c>
      <c r="AA131">
        <v>6</v>
      </c>
      <c r="AB131" s="2">
        <v>48.3</v>
      </c>
      <c r="AC131" s="2">
        <v>0</v>
      </c>
      <c r="AD131" s="3">
        <v>0</v>
      </c>
      <c r="AE131" s="2">
        <v>0</v>
      </c>
      <c r="AF131" s="2">
        <v>0</v>
      </c>
      <c r="AG131" s="2">
        <v>0</v>
      </c>
      <c r="AH131" s="2">
        <v>0</v>
      </c>
      <c r="AI131" s="2">
        <v>0</v>
      </c>
      <c r="AJ131" s="2">
        <v>0</v>
      </c>
      <c r="AK131" s="2">
        <v>0</v>
      </c>
      <c r="AL131" s="2">
        <v>8.0500000000000007</v>
      </c>
      <c r="AM131" s="2">
        <v>0</v>
      </c>
      <c r="AN131" s="2">
        <v>48.3</v>
      </c>
      <c r="AO131" s="2">
        <v>0</v>
      </c>
      <c r="AP131" s="2">
        <v>0</v>
      </c>
      <c r="AQ131" s="2">
        <v>0</v>
      </c>
    </row>
    <row r="132" spans="1:43" x14ac:dyDescent="0.25">
      <c r="A132" s="1">
        <v>45936</v>
      </c>
      <c r="B132" t="s">
        <v>48</v>
      </c>
      <c r="C132">
        <v>649163</v>
      </c>
      <c r="D132">
        <v>2031327777</v>
      </c>
      <c r="E132" t="s">
        <v>62</v>
      </c>
      <c r="F132" t="s">
        <v>63</v>
      </c>
      <c r="G132" t="s">
        <v>51</v>
      </c>
      <c r="H132" t="s">
        <v>64</v>
      </c>
      <c r="I132" t="s">
        <v>292</v>
      </c>
      <c r="J132" t="s">
        <v>293</v>
      </c>
      <c r="K132">
        <v>823350</v>
      </c>
      <c r="L132" t="s">
        <v>66</v>
      </c>
      <c r="M132" t="s">
        <v>67</v>
      </c>
      <c r="N132" t="s">
        <v>57</v>
      </c>
      <c r="O132" s="1">
        <v>45931</v>
      </c>
      <c r="Q132" s="1">
        <v>45962</v>
      </c>
      <c r="R132" s="2">
        <v>46.38</v>
      </c>
      <c r="S132">
        <v>1</v>
      </c>
      <c r="T132" t="s">
        <v>58</v>
      </c>
      <c r="U132" t="s">
        <v>59</v>
      </c>
      <c r="V132" s="3">
        <v>0.7</v>
      </c>
      <c r="W132" s="2">
        <v>0</v>
      </c>
      <c r="X132">
        <v>0</v>
      </c>
      <c r="Y132" t="s">
        <v>60</v>
      </c>
      <c r="Z132" t="s">
        <v>61</v>
      </c>
      <c r="AA132">
        <v>6</v>
      </c>
      <c r="AB132" s="2">
        <v>194.82</v>
      </c>
      <c r="AC132" s="2">
        <v>0</v>
      </c>
      <c r="AD132" s="3">
        <v>0</v>
      </c>
      <c r="AE132" s="2">
        <v>0</v>
      </c>
      <c r="AF132" s="2">
        <v>0</v>
      </c>
      <c r="AG132" s="2">
        <v>0</v>
      </c>
      <c r="AH132" s="2">
        <v>0</v>
      </c>
      <c r="AI132" s="2">
        <v>0</v>
      </c>
      <c r="AJ132" s="2">
        <v>0</v>
      </c>
      <c r="AK132" s="2">
        <v>0</v>
      </c>
      <c r="AL132" s="2">
        <v>32.47</v>
      </c>
      <c r="AM132" s="2">
        <v>0</v>
      </c>
      <c r="AN132" s="2">
        <v>194.82</v>
      </c>
      <c r="AO132" s="2">
        <v>0</v>
      </c>
      <c r="AP132" s="2">
        <v>0</v>
      </c>
      <c r="AQ132" s="2">
        <v>0</v>
      </c>
    </row>
    <row r="133" spans="1:43" x14ac:dyDescent="0.25">
      <c r="A133" s="1">
        <v>45936</v>
      </c>
      <c r="B133" t="s">
        <v>48</v>
      </c>
      <c r="C133">
        <v>649163</v>
      </c>
      <c r="D133">
        <v>2031327780</v>
      </c>
      <c r="E133" t="s">
        <v>62</v>
      </c>
      <c r="F133" t="s">
        <v>63</v>
      </c>
      <c r="G133" t="s">
        <v>51</v>
      </c>
      <c r="H133" t="s">
        <v>64</v>
      </c>
      <c r="I133" t="s">
        <v>292</v>
      </c>
      <c r="J133" t="s">
        <v>295</v>
      </c>
      <c r="K133">
        <v>823350</v>
      </c>
      <c r="L133" t="s">
        <v>66</v>
      </c>
      <c r="M133" t="s">
        <v>67</v>
      </c>
      <c r="N133" t="s">
        <v>57</v>
      </c>
      <c r="O133" s="1">
        <v>45931</v>
      </c>
      <c r="Q133" s="1">
        <v>45962</v>
      </c>
      <c r="R133" s="2">
        <v>56.63</v>
      </c>
      <c r="S133">
        <v>1</v>
      </c>
      <c r="T133" t="s">
        <v>58</v>
      </c>
      <c r="U133" t="s">
        <v>59</v>
      </c>
      <c r="V133" s="3">
        <v>0.9</v>
      </c>
      <c r="W133" s="2">
        <v>0</v>
      </c>
      <c r="X133">
        <v>0</v>
      </c>
      <c r="Y133" t="s">
        <v>60</v>
      </c>
      <c r="Z133" t="s">
        <v>61</v>
      </c>
      <c r="AA133">
        <v>6</v>
      </c>
      <c r="AB133" s="2">
        <v>305.82</v>
      </c>
      <c r="AC133" s="2">
        <v>0</v>
      </c>
      <c r="AD133" s="3">
        <v>0</v>
      </c>
      <c r="AE133" s="2">
        <v>0</v>
      </c>
      <c r="AF133" s="2">
        <v>0</v>
      </c>
      <c r="AG133" s="2">
        <v>0</v>
      </c>
      <c r="AH133" s="2">
        <v>0</v>
      </c>
      <c r="AI133" s="2">
        <v>0</v>
      </c>
      <c r="AJ133" s="2">
        <v>0</v>
      </c>
      <c r="AK133" s="2">
        <v>0</v>
      </c>
      <c r="AL133" s="2">
        <v>50.97</v>
      </c>
      <c r="AM133" s="2">
        <v>0</v>
      </c>
      <c r="AN133" s="2">
        <v>305.82</v>
      </c>
      <c r="AO133" s="2">
        <v>0</v>
      </c>
      <c r="AP133" s="2">
        <v>0</v>
      </c>
      <c r="AQ133" s="2">
        <v>0</v>
      </c>
    </row>
    <row r="134" spans="1:43" x14ac:dyDescent="0.25">
      <c r="A134" s="1">
        <v>45936</v>
      </c>
      <c r="B134" t="s">
        <v>48</v>
      </c>
      <c r="C134">
        <v>649163</v>
      </c>
      <c r="D134">
        <v>2031328270</v>
      </c>
      <c r="E134" t="s">
        <v>180</v>
      </c>
      <c r="F134" t="s">
        <v>181</v>
      </c>
      <c r="G134" t="s">
        <v>51</v>
      </c>
      <c r="H134" t="s">
        <v>182</v>
      </c>
      <c r="I134" t="s">
        <v>292</v>
      </c>
      <c r="J134" t="s">
        <v>293</v>
      </c>
      <c r="K134">
        <v>673059</v>
      </c>
      <c r="L134" t="s">
        <v>80</v>
      </c>
      <c r="M134" t="s">
        <v>81</v>
      </c>
      <c r="N134" t="s">
        <v>57</v>
      </c>
      <c r="O134" s="1">
        <v>45931</v>
      </c>
      <c r="Q134" s="1">
        <v>45962</v>
      </c>
      <c r="R134" s="2">
        <v>62.6</v>
      </c>
      <c r="S134">
        <v>1</v>
      </c>
      <c r="T134" t="s">
        <v>58</v>
      </c>
      <c r="U134" t="s">
        <v>59</v>
      </c>
      <c r="V134" s="3">
        <v>0.7</v>
      </c>
      <c r="W134" s="2">
        <v>0</v>
      </c>
      <c r="X134">
        <v>0</v>
      </c>
      <c r="Y134" t="s">
        <v>60</v>
      </c>
      <c r="Z134" t="s">
        <v>61</v>
      </c>
      <c r="AA134">
        <v>6</v>
      </c>
      <c r="AB134" s="2">
        <v>262.92</v>
      </c>
      <c r="AC134" s="2">
        <v>0</v>
      </c>
      <c r="AD134" s="3">
        <v>0</v>
      </c>
      <c r="AE134" s="2">
        <v>0</v>
      </c>
      <c r="AF134" s="2">
        <v>0</v>
      </c>
      <c r="AG134" s="2">
        <v>0</v>
      </c>
      <c r="AH134" s="2">
        <v>0</v>
      </c>
      <c r="AI134" s="2">
        <v>0</v>
      </c>
      <c r="AJ134" s="2">
        <v>0</v>
      </c>
      <c r="AK134" s="2">
        <v>0</v>
      </c>
      <c r="AL134" s="2">
        <v>43.82</v>
      </c>
      <c r="AM134" s="2">
        <v>0</v>
      </c>
      <c r="AN134" s="2">
        <v>262.92</v>
      </c>
      <c r="AO134" s="2">
        <v>0</v>
      </c>
      <c r="AP134" s="2">
        <v>0</v>
      </c>
      <c r="AQ134" s="2">
        <v>0</v>
      </c>
    </row>
    <row r="135" spans="1:43" x14ac:dyDescent="0.25">
      <c r="A135" s="1">
        <v>45936</v>
      </c>
      <c r="B135" t="s">
        <v>48</v>
      </c>
      <c r="C135">
        <v>649163</v>
      </c>
      <c r="D135">
        <v>2031328823</v>
      </c>
      <c r="E135" t="s">
        <v>324</v>
      </c>
      <c r="F135" t="s">
        <v>207</v>
      </c>
      <c r="G135" t="s">
        <v>51</v>
      </c>
      <c r="H135" t="s">
        <v>101</v>
      </c>
      <c r="I135" t="s">
        <v>292</v>
      </c>
      <c r="J135" t="s">
        <v>293</v>
      </c>
      <c r="K135">
        <v>821015</v>
      </c>
      <c r="L135" t="s">
        <v>325</v>
      </c>
      <c r="M135" t="s">
        <v>326</v>
      </c>
      <c r="N135" t="s">
        <v>57</v>
      </c>
      <c r="O135" s="1">
        <v>45936</v>
      </c>
      <c r="Q135" s="1">
        <v>45967</v>
      </c>
      <c r="R135" s="2">
        <v>212.26</v>
      </c>
      <c r="S135">
        <v>1</v>
      </c>
      <c r="T135" t="s">
        <v>58</v>
      </c>
      <c r="U135" t="s">
        <v>59</v>
      </c>
      <c r="V135" s="3">
        <v>0.7</v>
      </c>
      <c r="W135" s="2">
        <v>0</v>
      </c>
      <c r="X135">
        <v>0</v>
      </c>
      <c r="Y135" t="s">
        <v>60</v>
      </c>
      <c r="Z135" t="s">
        <v>61</v>
      </c>
      <c r="AA135">
        <v>6</v>
      </c>
      <c r="AB135" s="2">
        <v>891.48</v>
      </c>
      <c r="AC135" s="2">
        <v>0</v>
      </c>
      <c r="AD135" s="3">
        <v>0</v>
      </c>
      <c r="AE135" s="2">
        <v>0</v>
      </c>
      <c r="AF135" s="2">
        <v>0</v>
      </c>
      <c r="AG135" s="2">
        <v>0</v>
      </c>
      <c r="AH135" s="2">
        <v>0</v>
      </c>
      <c r="AI135" s="2">
        <v>0</v>
      </c>
      <c r="AJ135" s="2">
        <v>0</v>
      </c>
      <c r="AK135" s="2">
        <v>0</v>
      </c>
      <c r="AL135" s="2">
        <v>148.58000000000001</v>
      </c>
      <c r="AM135" s="2">
        <v>0</v>
      </c>
      <c r="AN135" s="2">
        <v>891.48</v>
      </c>
      <c r="AO135" s="2">
        <v>0</v>
      </c>
      <c r="AP135" s="2">
        <v>0</v>
      </c>
      <c r="AQ135" s="2">
        <v>0</v>
      </c>
    </row>
    <row r="136" spans="1:43" x14ac:dyDescent="0.25">
      <c r="A136" s="1">
        <v>45936</v>
      </c>
      <c r="B136" t="s">
        <v>48</v>
      </c>
      <c r="C136">
        <v>649163</v>
      </c>
      <c r="D136">
        <v>2031334121</v>
      </c>
      <c r="E136" t="s">
        <v>327</v>
      </c>
      <c r="F136" t="s">
        <v>161</v>
      </c>
      <c r="G136" t="s">
        <v>51</v>
      </c>
      <c r="H136" t="s">
        <v>328</v>
      </c>
      <c r="I136" t="s">
        <v>292</v>
      </c>
      <c r="J136" t="s">
        <v>293</v>
      </c>
      <c r="K136">
        <v>673059</v>
      </c>
      <c r="L136" t="s">
        <v>80</v>
      </c>
      <c r="M136" t="s">
        <v>81</v>
      </c>
      <c r="N136" t="s">
        <v>57</v>
      </c>
      <c r="O136" s="1">
        <v>45931</v>
      </c>
      <c r="Q136" s="1">
        <v>45962</v>
      </c>
      <c r="R136" s="2">
        <v>69.3</v>
      </c>
      <c r="S136">
        <v>1</v>
      </c>
      <c r="T136" t="s">
        <v>58</v>
      </c>
      <c r="U136" t="s">
        <v>59</v>
      </c>
      <c r="V136" s="3">
        <v>0.7</v>
      </c>
      <c r="W136" s="2">
        <v>0</v>
      </c>
      <c r="X136">
        <v>0</v>
      </c>
      <c r="Y136" t="s">
        <v>60</v>
      </c>
      <c r="Z136" t="s">
        <v>61</v>
      </c>
      <c r="AA136">
        <v>6</v>
      </c>
      <c r="AB136" s="2">
        <v>291.06</v>
      </c>
      <c r="AC136" s="2">
        <v>0</v>
      </c>
      <c r="AD136" s="3">
        <v>0</v>
      </c>
      <c r="AE136" s="2">
        <v>0</v>
      </c>
      <c r="AF136" s="2">
        <v>0</v>
      </c>
      <c r="AG136" s="2">
        <v>0</v>
      </c>
      <c r="AH136" s="2">
        <v>0</v>
      </c>
      <c r="AI136" s="2">
        <v>0</v>
      </c>
      <c r="AJ136" s="2">
        <v>0</v>
      </c>
      <c r="AK136" s="2">
        <v>0</v>
      </c>
      <c r="AL136" s="2">
        <v>48.51</v>
      </c>
      <c r="AM136" s="2">
        <v>0</v>
      </c>
      <c r="AN136" s="2">
        <v>291.06</v>
      </c>
      <c r="AO136" s="2">
        <v>0</v>
      </c>
      <c r="AP136" s="2">
        <v>0</v>
      </c>
      <c r="AQ136" s="2">
        <v>0</v>
      </c>
    </row>
    <row r="137" spans="1:43" x14ac:dyDescent="0.25">
      <c r="A137" s="1">
        <v>45936</v>
      </c>
      <c r="B137" t="s">
        <v>48</v>
      </c>
      <c r="C137">
        <v>649163</v>
      </c>
      <c r="D137">
        <v>2031337038</v>
      </c>
      <c r="E137" t="s">
        <v>329</v>
      </c>
      <c r="F137" t="s">
        <v>330</v>
      </c>
      <c r="G137" t="s">
        <v>51</v>
      </c>
      <c r="H137" t="s">
        <v>101</v>
      </c>
      <c r="I137" t="s">
        <v>292</v>
      </c>
      <c r="J137" t="s">
        <v>293</v>
      </c>
      <c r="K137">
        <v>821015</v>
      </c>
      <c r="L137" t="s">
        <v>325</v>
      </c>
      <c r="M137" t="s">
        <v>326</v>
      </c>
      <c r="N137" t="s">
        <v>57</v>
      </c>
      <c r="O137" s="1">
        <v>45932</v>
      </c>
      <c r="Q137" s="1">
        <v>45963</v>
      </c>
      <c r="R137" s="2">
        <v>145.41999999999999</v>
      </c>
      <c r="S137">
        <v>1</v>
      </c>
      <c r="T137" t="s">
        <v>58</v>
      </c>
      <c r="U137" t="s">
        <v>59</v>
      </c>
      <c r="V137" s="3">
        <v>0.7</v>
      </c>
      <c r="W137" s="2">
        <v>0</v>
      </c>
      <c r="X137">
        <v>0</v>
      </c>
      <c r="Y137" t="s">
        <v>60</v>
      </c>
      <c r="Z137" t="s">
        <v>61</v>
      </c>
      <c r="AA137">
        <v>6</v>
      </c>
      <c r="AB137" s="2">
        <v>610.74</v>
      </c>
      <c r="AC137" s="2">
        <v>0</v>
      </c>
      <c r="AD137" s="3">
        <v>0</v>
      </c>
      <c r="AE137" s="2">
        <v>0</v>
      </c>
      <c r="AF137" s="2">
        <v>0</v>
      </c>
      <c r="AG137" s="2">
        <v>0</v>
      </c>
      <c r="AH137" s="2">
        <v>0</v>
      </c>
      <c r="AI137" s="2">
        <v>0</v>
      </c>
      <c r="AJ137" s="2">
        <v>0</v>
      </c>
      <c r="AK137" s="2">
        <v>0</v>
      </c>
      <c r="AL137" s="2">
        <v>101.79</v>
      </c>
      <c r="AM137" s="2">
        <v>0</v>
      </c>
      <c r="AN137" s="2">
        <v>610.74</v>
      </c>
      <c r="AO137" s="2">
        <v>0</v>
      </c>
      <c r="AP137" s="2">
        <v>0</v>
      </c>
      <c r="AQ137" s="2">
        <v>0</v>
      </c>
    </row>
    <row r="138" spans="1:43" x14ac:dyDescent="0.25">
      <c r="A138" s="1">
        <v>45936</v>
      </c>
      <c r="B138" t="s">
        <v>48</v>
      </c>
      <c r="C138">
        <v>649163</v>
      </c>
      <c r="D138">
        <v>2031337970</v>
      </c>
      <c r="E138" t="s">
        <v>263</v>
      </c>
      <c r="F138" t="s">
        <v>264</v>
      </c>
      <c r="G138" t="s">
        <v>51</v>
      </c>
      <c r="H138" t="s">
        <v>203</v>
      </c>
      <c r="I138" t="s">
        <v>292</v>
      </c>
      <c r="J138" t="s">
        <v>293</v>
      </c>
      <c r="K138">
        <v>816021</v>
      </c>
      <c r="L138" t="s">
        <v>265</v>
      </c>
      <c r="M138" t="s">
        <v>266</v>
      </c>
      <c r="N138" t="s">
        <v>57</v>
      </c>
      <c r="O138" s="1">
        <v>45931</v>
      </c>
      <c r="Q138" s="1">
        <v>45962</v>
      </c>
      <c r="R138" s="2">
        <v>9.1</v>
      </c>
      <c r="S138">
        <v>1</v>
      </c>
      <c r="T138" t="s">
        <v>58</v>
      </c>
      <c r="U138" t="s">
        <v>59</v>
      </c>
      <c r="V138" s="3">
        <v>0.7</v>
      </c>
      <c r="W138" s="2">
        <v>0</v>
      </c>
      <c r="X138">
        <v>0</v>
      </c>
      <c r="Y138" t="s">
        <v>60</v>
      </c>
      <c r="Z138" t="s">
        <v>61</v>
      </c>
      <c r="AA138">
        <v>6</v>
      </c>
      <c r="AB138" s="2">
        <v>38.22</v>
      </c>
      <c r="AC138" s="2">
        <v>0</v>
      </c>
      <c r="AD138" s="3">
        <v>0</v>
      </c>
      <c r="AE138" s="2">
        <v>0</v>
      </c>
      <c r="AF138" s="2">
        <v>0</v>
      </c>
      <c r="AG138" s="2">
        <v>0</v>
      </c>
      <c r="AH138" s="2">
        <v>0</v>
      </c>
      <c r="AI138" s="2">
        <v>0</v>
      </c>
      <c r="AJ138" s="2">
        <v>0</v>
      </c>
      <c r="AK138" s="2">
        <v>0</v>
      </c>
      <c r="AL138" s="2">
        <v>6.37</v>
      </c>
      <c r="AM138" s="2">
        <v>0</v>
      </c>
      <c r="AN138" s="2">
        <v>38.22</v>
      </c>
      <c r="AO138" s="2">
        <v>0</v>
      </c>
      <c r="AP138" s="2">
        <v>0</v>
      </c>
      <c r="AQ138" s="2">
        <v>0</v>
      </c>
    </row>
    <row r="139" spans="1:43" x14ac:dyDescent="0.25">
      <c r="A139" s="1">
        <v>45936</v>
      </c>
      <c r="B139" t="s">
        <v>48</v>
      </c>
      <c r="C139">
        <v>649163</v>
      </c>
      <c r="D139">
        <v>2031338960</v>
      </c>
      <c r="E139" t="s">
        <v>183</v>
      </c>
      <c r="F139" t="s">
        <v>163</v>
      </c>
      <c r="G139" t="s">
        <v>51</v>
      </c>
      <c r="H139" t="s">
        <v>101</v>
      </c>
      <c r="I139" t="s">
        <v>292</v>
      </c>
      <c r="J139" t="s">
        <v>293</v>
      </c>
      <c r="K139">
        <v>823350</v>
      </c>
      <c r="L139" t="s">
        <v>66</v>
      </c>
      <c r="M139" t="s">
        <v>67</v>
      </c>
      <c r="N139" t="s">
        <v>57</v>
      </c>
      <c r="O139" s="1">
        <v>45931</v>
      </c>
      <c r="Q139" s="1">
        <v>45962</v>
      </c>
      <c r="R139" s="2">
        <v>79.34</v>
      </c>
      <c r="S139">
        <v>1</v>
      </c>
      <c r="T139" t="s">
        <v>58</v>
      </c>
      <c r="U139" t="s">
        <v>59</v>
      </c>
      <c r="V139" s="3">
        <v>0.7</v>
      </c>
      <c r="W139" s="2">
        <v>0</v>
      </c>
      <c r="X139">
        <v>0</v>
      </c>
      <c r="Y139" t="s">
        <v>60</v>
      </c>
      <c r="Z139" t="s">
        <v>61</v>
      </c>
      <c r="AA139">
        <v>6</v>
      </c>
      <c r="AB139" s="2">
        <v>333.24</v>
      </c>
      <c r="AC139" s="2">
        <v>0</v>
      </c>
      <c r="AD139" s="3">
        <v>0</v>
      </c>
      <c r="AE139" s="2">
        <v>0</v>
      </c>
      <c r="AF139" s="2">
        <v>0</v>
      </c>
      <c r="AG139" s="2">
        <v>0</v>
      </c>
      <c r="AH139" s="2">
        <v>0</v>
      </c>
      <c r="AI139" s="2">
        <v>0</v>
      </c>
      <c r="AJ139" s="2">
        <v>0</v>
      </c>
      <c r="AK139" s="2">
        <v>0</v>
      </c>
      <c r="AL139" s="2">
        <v>55.54</v>
      </c>
      <c r="AM139" s="2">
        <v>0</v>
      </c>
      <c r="AN139" s="2">
        <v>333.24</v>
      </c>
      <c r="AO139" s="2">
        <v>0</v>
      </c>
      <c r="AP139" s="2">
        <v>0</v>
      </c>
      <c r="AQ139" s="2">
        <v>0</v>
      </c>
    </row>
    <row r="140" spans="1:43" x14ac:dyDescent="0.25">
      <c r="A140" s="1">
        <v>45936</v>
      </c>
      <c r="B140" t="s">
        <v>48</v>
      </c>
      <c r="C140">
        <v>649163</v>
      </c>
      <c r="D140">
        <v>2031343659</v>
      </c>
      <c r="E140" t="s">
        <v>267</v>
      </c>
      <c r="F140" t="s">
        <v>268</v>
      </c>
      <c r="G140" t="s">
        <v>51</v>
      </c>
      <c r="H140" t="s">
        <v>52</v>
      </c>
      <c r="I140" t="s">
        <v>292</v>
      </c>
      <c r="J140" t="s">
        <v>293</v>
      </c>
      <c r="K140">
        <v>822733</v>
      </c>
      <c r="L140" t="s">
        <v>269</v>
      </c>
      <c r="M140" t="s">
        <v>270</v>
      </c>
      <c r="N140" t="s">
        <v>57</v>
      </c>
      <c r="O140" s="1">
        <v>45931</v>
      </c>
      <c r="Q140" s="1">
        <v>45962</v>
      </c>
      <c r="R140" s="2">
        <v>13</v>
      </c>
      <c r="S140">
        <v>1</v>
      </c>
      <c r="T140" t="s">
        <v>58</v>
      </c>
      <c r="U140" t="s">
        <v>59</v>
      </c>
      <c r="V140" s="3">
        <v>0.7</v>
      </c>
      <c r="W140" s="2">
        <v>0</v>
      </c>
      <c r="X140">
        <v>0</v>
      </c>
      <c r="Y140" t="s">
        <v>60</v>
      </c>
      <c r="Z140" t="s">
        <v>61</v>
      </c>
      <c r="AA140">
        <v>6</v>
      </c>
      <c r="AB140" s="2">
        <v>54.6</v>
      </c>
      <c r="AC140" s="2">
        <v>0</v>
      </c>
      <c r="AD140" s="3">
        <v>0</v>
      </c>
      <c r="AE140" s="2">
        <v>0</v>
      </c>
      <c r="AF140" s="2">
        <v>0</v>
      </c>
      <c r="AG140" s="2">
        <v>0</v>
      </c>
      <c r="AH140" s="2">
        <v>0</v>
      </c>
      <c r="AI140" s="2">
        <v>0</v>
      </c>
      <c r="AJ140" s="2">
        <v>0</v>
      </c>
      <c r="AK140" s="2">
        <v>0</v>
      </c>
      <c r="AL140" s="2">
        <v>9.1</v>
      </c>
      <c r="AM140" s="2">
        <v>0</v>
      </c>
      <c r="AN140" s="2">
        <v>54.6</v>
      </c>
      <c r="AO140" s="2">
        <v>0</v>
      </c>
      <c r="AP140" s="2">
        <v>0</v>
      </c>
      <c r="AQ140" s="2">
        <v>0</v>
      </c>
    </row>
    <row r="141" spans="1:43" x14ac:dyDescent="0.25">
      <c r="A141" s="1">
        <v>45936</v>
      </c>
      <c r="B141" t="s">
        <v>48</v>
      </c>
      <c r="C141">
        <v>649163</v>
      </c>
      <c r="D141">
        <v>2031343798</v>
      </c>
      <c r="E141" t="s">
        <v>271</v>
      </c>
      <c r="F141" t="s">
        <v>272</v>
      </c>
      <c r="G141" t="s">
        <v>51</v>
      </c>
      <c r="H141" t="s">
        <v>101</v>
      </c>
      <c r="I141" t="s">
        <v>292</v>
      </c>
      <c r="J141" t="s">
        <v>295</v>
      </c>
      <c r="K141">
        <v>824062</v>
      </c>
      <c r="L141" t="s">
        <v>273</v>
      </c>
      <c r="M141" t="s">
        <v>274</v>
      </c>
      <c r="N141" t="s">
        <v>57</v>
      </c>
      <c r="O141" s="1">
        <v>45931</v>
      </c>
      <c r="Q141" s="1">
        <v>45962</v>
      </c>
      <c r="R141" s="2">
        <v>23.05</v>
      </c>
      <c r="S141">
        <v>1</v>
      </c>
      <c r="T141" t="s">
        <v>58</v>
      </c>
      <c r="U141" t="s">
        <v>59</v>
      </c>
      <c r="V141" s="3">
        <v>0.9</v>
      </c>
      <c r="W141" s="2">
        <v>0</v>
      </c>
      <c r="X141">
        <v>0</v>
      </c>
      <c r="Y141" t="s">
        <v>60</v>
      </c>
      <c r="Z141" t="s">
        <v>61</v>
      </c>
      <c r="AA141">
        <v>6</v>
      </c>
      <c r="AB141" s="2">
        <v>124.44</v>
      </c>
      <c r="AC141" s="2">
        <v>0</v>
      </c>
      <c r="AD141" s="3">
        <v>0</v>
      </c>
      <c r="AE141" s="2">
        <v>0</v>
      </c>
      <c r="AF141" s="2">
        <v>0</v>
      </c>
      <c r="AG141" s="2">
        <v>0</v>
      </c>
      <c r="AH141" s="2">
        <v>0</v>
      </c>
      <c r="AI141" s="2">
        <v>0</v>
      </c>
      <c r="AJ141" s="2">
        <v>0</v>
      </c>
      <c r="AK141" s="2">
        <v>0</v>
      </c>
      <c r="AL141" s="2">
        <v>20.74</v>
      </c>
      <c r="AM141" s="2">
        <v>0</v>
      </c>
      <c r="AN141" s="2">
        <v>124.44</v>
      </c>
      <c r="AO141" s="2">
        <v>0</v>
      </c>
      <c r="AP141" s="2">
        <v>0</v>
      </c>
      <c r="AQ141" s="2">
        <v>0</v>
      </c>
    </row>
    <row r="142" spans="1:43" x14ac:dyDescent="0.25">
      <c r="A142" s="1">
        <v>45936</v>
      </c>
      <c r="B142" t="s">
        <v>48</v>
      </c>
      <c r="C142">
        <v>649163</v>
      </c>
      <c r="D142">
        <v>2031346768</v>
      </c>
      <c r="E142" t="s">
        <v>184</v>
      </c>
      <c r="F142" t="s">
        <v>185</v>
      </c>
      <c r="G142" t="s">
        <v>51</v>
      </c>
      <c r="H142" t="s">
        <v>105</v>
      </c>
      <c r="I142" t="s">
        <v>292</v>
      </c>
      <c r="J142" t="s">
        <v>294</v>
      </c>
      <c r="K142">
        <v>823068</v>
      </c>
      <c r="L142" t="s">
        <v>106</v>
      </c>
      <c r="M142" t="s">
        <v>107</v>
      </c>
      <c r="N142" t="s">
        <v>57</v>
      </c>
      <c r="O142" s="1">
        <v>45931</v>
      </c>
      <c r="Q142" s="1">
        <v>45962</v>
      </c>
      <c r="R142" s="2">
        <v>24.61</v>
      </c>
      <c r="S142">
        <v>1</v>
      </c>
      <c r="T142" t="s">
        <v>58</v>
      </c>
      <c r="U142" t="s">
        <v>59</v>
      </c>
      <c r="V142" s="3">
        <v>0.7</v>
      </c>
      <c r="W142" s="2">
        <v>0</v>
      </c>
      <c r="X142">
        <v>0</v>
      </c>
      <c r="Y142" t="s">
        <v>60</v>
      </c>
      <c r="Z142" t="s">
        <v>61</v>
      </c>
      <c r="AA142">
        <v>6</v>
      </c>
      <c r="AB142" s="2">
        <v>103.38</v>
      </c>
      <c r="AC142" s="2">
        <v>0</v>
      </c>
      <c r="AD142" s="3">
        <v>0</v>
      </c>
      <c r="AE142" s="2">
        <v>0</v>
      </c>
      <c r="AF142" s="2">
        <v>0</v>
      </c>
      <c r="AG142" s="2">
        <v>0</v>
      </c>
      <c r="AH142" s="2">
        <v>0</v>
      </c>
      <c r="AI142" s="2">
        <v>0</v>
      </c>
      <c r="AJ142" s="2">
        <v>0</v>
      </c>
      <c r="AK142" s="2">
        <v>0</v>
      </c>
      <c r="AL142" s="2">
        <v>17.23</v>
      </c>
      <c r="AM142" s="2">
        <v>0</v>
      </c>
      <c r="AN142" s="2">
        <v>103.38</v>
      </c>
      <c r="AO142" s="2">
        <v>0</v>
      </c>
      <c r="AP142" s="2">
        <v>0</v>
      </c>
      <c r="AQ142" s="2">
        <v>0</v>
      </c>
    </row>
    <row r="143" spans="1:43" x14ac:dyDescent="0.25">
      <c r="A143" s="1">
        <v>45936</v>
      </c>
      <c r="B143" t="s">
        <v>48</v>
      </c>
      <c r="C143">
        <v>649163</v>
      </c>
      <c r="D143">
        <v>2031346770</v>
      </c>
      <c r="E143" t="s">
        <v>184</v>
      </c>
      <c r="F143" t="s">
        <v>185</v>
      </c>
      <c r="G143" t="s">
        <v>51</v>
      </c>
      <c r="H143" t="s">
        <v>105</v>
      </c>
      <c r="I143" t="s">
        <v>292</v>
      </c>
      <c r="J143" t="s">
        <v>331</v>
      </c>
      <c r="K143">
        <v>823068</v>
      </c>
      <c r="L143" t="s">
        <v>106</v>
      </c>
      <c r="M143" t="s">
        <v>107</v>
      </c>
      <c r="N143" t="s">
        <v>57</v>
      </c>
      <c r="O143" s="1">
        <v>45931</v>
      </c>
      <c r="Q143" s="1">
        <v>45962</v>
      </c>
      <c r="R143" s="2">
        <v>27.8</v>
      </c>
      <c r="S143">
        <v>1</v>
      </c>
      <c r="T143" t="s">
        <v>58</v>
      </c>
      <c r="U143" t="s">
        <v>59</v>
      </c>
      <c r="V143" s="3">
        <v>0.42</v>
      </c>
      <c r="W143" s="2">
        <v>0</v>
      </c>
      <c r="X143">
        <v>0</v>
      </c>
      <c r="Y143" t="s">
        <v>60</v>
      </c>
      <c r="Z143" t="s">
        <v>61</v>
      </c>
      <c r="AA143">
        <v>6</v>
      </c>
      <c r="AB143" s="2">
        <v>70.08</v>
      </c>
      <c r="AC143" s="2">
        <v>0</v>
      </c>
      <c r="AD143" s="3">
        <v>0</v>
      </c>
      <c r="AE143" s="2">
        <v>0</v>
      </c>
      <c r="AF143" s="2">
        <v>0</v>
      </c>
      <c r="AG143" s="2">
        <v>0</v>
      </c>
      <c r="AH143" s="2">
        <v>0</v>
      </c>
      <c r="AI143" s="2">
        <v>0</v>
      </c>
      <c r="AJ143" s="2">
        <v>0</v>
      </c>
      <c r="AK143" s="2">
        <v>0</v>
      </c>
      <c r="AL143" s="2">
        <v>11.68</v>
      </c>
      <c r="AM143" s="2">
        <v>0</v>
      </c>
      <c r="AN143" s="2">
        <v>70.08</v>
      </c>
      <c r="AO143" s="2">
        <v>0</v>
      </c>
      <c r="AP143" s="2">
        <v>0</v>
      </c>
      <c r="AQ143" s="2">
        <v>0</v>
      </c>
    </row>
    <row r="144" spans="1:43" x14ac:dyDescent="0.25">
      <c r="A144" s="1">
        <v>45936</v>
      </c>
      <c r="B144" t="s">
        <v>48</v>
      </c>
      <c r="C144">
        <v>649163</v>
      </c>
      <c r="D144">
        <v>2031358597</v>
      </c>
      <c r="E144" t="s">
        <v>77</v>
      </c>
      <c r="F144" t="s">
        <v>78</v>
      </c>
      <c r="G144" t="s">
        <v>51</v>
      </c>
      <c r="H144" t="s">
        <v>79</v>
      </c>
      <c r="I144" t="s">
        <v>292</v>
      </c>
      <c r="J144" t="s">
        <v>294</v>
      </c>
      <c r="K144">
        <v>673059</v>
      </c>
      <c r="L144" t="s">
        <v>80</v>
      </c>
      <c r="M144" t="s">
        <v>81</v>
      </c>
      <c r="N144" t="s">
        <v>57</v>
      </c>
      <c r="O144" s="1">
        <v>45931</v>
      </c>
      <c r="Q144" s="1">
        <v>45962</v>
      </c>
      <c r="R144" s="2">
        <v>25.73</v>
      </c>
      <c r="S144">
        <v>1</v>
      </c>
      <c r="T144" t="s">
        <v>58</v>
      </c>
      <c r="U144" t="s">
        <v>59</v>
      </c>
      <c r="V144" s="3">
        <v>0.7</v>
      </c>
      <c r="W144" s="2">
        <v>0</v>
      </c>
      <c r="X144">
        <v>0</v>
      </c>
      <c r="Y144" t="s">
        <v>60</v>
      </c>
      <c r="Z144" t="s">
        <v>61</v>
      </c>
      <c r="AA144">
        <v>6</v>
      </c>
      <c r="AB144" s="2">
        <v>108.06</v>
      </c>
      <c r="AC144" s="2">
        <v>0</v>
      </c>
      <c r="AD144" s="3">
        <v>0</v>
      </c>
      <c r="AE144" s="2">
        <v>0</v>
      </c>
      <c r="AF144" s="2">
        <v>0</v>
      </c>
      <c r="AG144" s="2">
        <v>0</v>
      </c>
      <c r="AH144" s="2">
        <v>0</v>
      </c>
      <c r="AI144" s="2">
        <v>0</v>
      </c>
      <c r="AJ144" s="2">
        <v>0</v>
      </c>
      <c r="AK144" s="2">
        <v>0</v>
      </c>
      <c r="AL144" s="2">
        <v>18.010000000000002</v>
      </c>
      <c r="AM144" s="2">
        <v>0</v>
      </c>
      <c r="AN144" s="2">
        <v>108.06</v>
      </c>
      <c r="AO144" s="2">
        <v>0</v>
      </c>
      <c r="AP144" s="2">
        <v>0</v>
      </c>
      <c r="AQ144" s="2">
        <v>0</v>
      </c>
    </row>
    <row r="145" spans="1:43" x14ac:dyDescent="0.25">
      <c r="A145" s="1">
        <v>45936</v>
      </c>
      <c r="B145" t="s">
        <v>48</v>
      </c>
      <c r="C145">
        <v>649163</v>
      </c>
      <c r="D145">
        <v>2031358600</v>
      </c>
      <c r="E145" t="s">
        <v>77</v>
      </c>
      <c r="F145" t="s">
        <v>78</v>
      </c>
      <c r="G145" t="s">
        <v>51</v>
      </c>
      <c r="H145" t="s">
        <v>79</v>
      </c>
      <c r="I145" t="s">
        <v>292</v>
      </c>
      <c r="J145" t="s">
        <v>293</v>
      </c>
      <c r="K145">
        <v>673059</v>
      </c>
      <c r="L145" t="s">
        <v>80</v>
      </c>
      <c r="M145" t="s">
        <v>81</v>
      </c>
      <c r="N145" t="s">
        <v>57</v>
      </c>
      <c r="O145" s="1">
        <v>45931</v>
      </c>
      <c r="Q145" s="1">
        <v>45962</v>
      </c>
      <c r="R145" s="2">
        <v>72.06</v>
      </c>
      <c r="S145">
        <v>1</v>
      </c>
      <c r="T145" t="s">
        <v>58</v>
      </c>
      <c r="U145" t="s">
        <v>59</v>
      </c>
      <c r="V145" s="3">
        <v>0.7</v>
      </c>
      <c r="W145" s="2">
        <v>0</v>
      </c>
      <c r="X145">
        <v>0</v>
      </c>
      <c r="Y145" t="s">
        <v>60</v>
      </c>
      <c r="Z145" t="s">
        <v>61</v>
      </c>
      <c r="AA145">
        <v>6</v>
      </c>
      <c r="AB145" s="2">
        <v>302.64</v>
      </c>
      <c r="AC145" s="2">
        <v>0</v>
      </c>
      <c r="AD145" s="3">
        <v>0</v>
      </c>
      <c r="AE145" s="2">
        <v>0</v>
      </c>
      <c r="AF145" s="2">
        <v>0</v>
      </c>
      <c r="AG145" s="2">
        <v>0</v>
      </c>
      <c r="AH145" s="2">
        <v>0</v>
      </c>
      <c r="AI145" s="2">
        <v>0</v>
      </c>
      <c r="AJ145" s="2">
        <v>0</v>
      </c>
      <c r="AK145" s="2">
        <v>0</v>
      </c>
      <c r="AL145" s="2">
        <v>50.44</v>
      </c>
      <c r="AM145" s="2">
        <v>0</v>
      </c>
      <c r="AN145" s="2">
        <v>302.64</v>
      </c>
      <c r="AO145" s="2">
        <v>0</v>
      </c>
      <c r="AP145" s="2">
        <v>0</v>
      </c>
      <c r="AQ145" s="2">
        <v>0</v>
      </c>
    </row>
    <row r="146" spans="1:43" x14ac:dyDescent="0.25">
      <c r="A146" s="1">
        <v>45936</v>
      </c>
      <c r="B146" t="s">
        <v>48</v>
      </c>
      <c r="C146">
        <v>649163</v>
      </c>
      <c r="D146">
        <v>2031361019</v>
      </c>
      <c r="E146" t="s">
        <v>332</v>
      </c>
      <c r="F146" t="s">
        <v>333</v>
      </c>
      <c r="G146" t="s">
        <v>51</v>
      </c>
      <c r="H146" t="s">
        <v>101</v>
      </c>
      <c r="I146" t="s">
        <v>292</v>
      </c>
      <c r="J146" t="s">
        <v>293</v>
      </c>
      <c r="K146">
        <v>651818</v>
      </c>
      <c r="L146" t="s">
        <v>112</v>
      </c>
      <c r="M146" t="s">
        <v>104</v>
      </c>
      <c r="N146" t="s">
        <v>57</v>
      </c>
      <c r="O146" s="1">
        <v>45937</v>
      </c>
      <c r="Q146" s="1">
        <v>45968</v>
      </c>
      <c r="R146" s="2">
        <v>45.68</v>
      </c>
      <c r="S146">
        <v>1</v>
      </c>
      <c r="T146" t="s">
        <v>58</v>
      </c>
      <c r="U146" t="s">
        <v>59</v>
      </c>
      <c r="V146" s="3">
        <v>0.7</v>
      </c>
      <c r="W146" s="2">
        <v>0</v>
      </c>
      <c r="X146">
        <v>0</v>
      </c>
      <c r="Y146" t="s">
        <v>60</v>
      </c>
      <c r="Z146" t="s">
        <v>61</v>
      </c>
      <c r="AA146">
        <v>6</v>
      </c>
      <c r="AB146" s="2">
        <v>191.88</v>
      </c>
      <c r="AC146" s="2">
        <v>0</v>
      </c>
      <c r="AD146" s="3">
        <v>0</v>
      </c>
      <c r="AE146" s="2">
        <v>0</v>
      </c>
      <c r="AF146" s="2">
        <v>0</v>
      </c>
      <c r="AG146" s="2">
        <v>0</v>
      </c>
      <c r="AH146" s="2">
        <v>0</v>
      </c>
      <c r="AI146" s="2">
        <v>0</v>
      </c>
      <c r="AJ146" s="2">
        <v>0</v>
      </c>
      <c r="AK146" s="2">
        <v>0</v>
      </c>
      <c r="AL146" s="2">
        <v>31.98</v>
      </c>
      <c r="AM146" s="2">
        <v>0</v>
      </c>
      <c r="AN146" s="2">
        <v>191.88</v>
      </c>
      <c r="AO146" s="2">
        <v>0</v>
      </c>
      <c r="AP146" s="2">
        <v>0</v>
      </c>
      <c r="AQ146" s="2">
        <v>0</v>
      </c>
    </row>
    <row r="147" spans="1:43" x14ac:dyDescent="0.25">
      <c r="A147" s="1">
        <v>45936</v>
      </c>
      <c r="B147" t="s">
        <v>48</v>
      </c>
      <c r="C147">
        <v>649163</v>
      </c>
      <c r="D147">
        <v>2031361277</v>
      </c>
      <c r="E147" t="s">
        <v>275</v>
      </c>
      <c r="F147" t="s">
        <v>276</v>
      </c>
      <c r="G147" t="s">
        <v>51</v>
      </c>
      <c r="H147" t="s">
        <v>101</v>
      </c>
      <c r="I147" t="s">
        <v>292</v>
      </c>
      <c r="J147" t="s">
        <v>293</v>
      </c>
      <c r="K147">
        <v>824081</v>
      </c>
      <c r="L147" t="s">
        <v>277</v>
      </c>
      <c r="M147" t="s">
        <v>278</v>
      </c>
      <c r="N147" t="s">
        <v>57</v>
      </c>
      <c r="O147" s="1">
        <v>45931</v>
      </c>
      <c r="Q147" s="1">
        <v>45962</v>
      </c>
      <c r="R147" s="2">
        <v>88.96</v>
      </c>
      <c r="S147">
        <v>1</v>
      </c>
      <c r="T147" t="s">
        <v>58</v>
      </c>
      <c r="U147" t="s">
        <v>59</v>
      </c>
      <c r="V147" s="3">
        <v>0.7</v>
      </c>
      <c r="W147" s="2">
        <v>0</v>
      </c>
      <c r="X147">
        <v>0</v>
      </c>
      <c r="Y147" t="s">
        <v>60</v>
      </c>
      <c r="Z147" t="s">
        <v>61</v>
      </c>
      <c r="AA147">
        <v>6</v>
      </c>
      <c r="AB147" s="2">
        <v>373.62</v>
      </c>
      <c r="AC147" s="2">
        <v>0</v>
      </c>
      <c r="AD147" s="3">
        <v>0</v>
      </c>
      <c r="AE147" s="2">
        <v>0</v>
      </c>
      <c r="AF147" s="2">
        <v>0</v>
      </c>
      <c r="AG147" s="2">
        <v>0</v>
      </c>
      <c r="AH147" s="2">
        <v>0</v>
      </c>
      <c r="AI147" s="2">
        <v>0</v>
      </c>
      <c r="AJ147" s="2">
        <v>0</v>
      </c>
      <c r="AK147" s="2">
        <v>0</v>
      </c>
      <c r="AL147" s="2">
        <v>62.27</v>
      </c>
      <c r="AM147" s="2">
        <v>0</v>
      </c>
      <c r="AN147" s="2">
        <v>373.62</v>
      </c>
      <c r="AO147" s="2">
        <v>0</v>
      </c>
      <c r="AP147" s="2">
        <v>0</v>
      </c>
      <c r="AQ147" s="2">
        <v>0</v>
      </c>
    </row>
    <row r="148" spans="1:43" x14ac:dyDescent="0.25">
      <c r="A148" s="1">
        <v>45936</v>
      </c>
      <c r="B148" t="s">
        <v>48</v>
      </c>
      <c r="C148">
        <v>649163</v>
      </c>
      <c r="D148">
        <v>2031361486</v>
      </c>
      <c r="E148" t="s">
        <v>279</v>
      </c>
      <c r="F148" t="s">
        <v>280</v>
      </c>
      <c r="G148" t="s">
        <v>51</v>
      </c>
      <c r="H148" t="s">
        <v>150</v>
      </c>
      <c r="I148" t="s">
        <v>292</v>
      </c>
      <c r="J148" t="s">
        <v>293</v>
      </c>
      <c r="K148">
        <v>877790</v>
      </c>
      <c r="L148" t="s">
        <v>151</v>
      </c>
      <c r="M148" t="s">
        <v>152</v>
      </c>
      <c r="N148" t="s">
        <v>57</v>
      </c>
      <c r="O148" s="1">
        <v>45931</v>
      </c>
      <c r="Q148" s="1">
        <v>45962</v>
      </c>
      <c r="R148" s="2">
        <v>3.52</v>
      </c>
      <c r="S148">
        <v>1</v>
      </c>
      <c r="T148" t="s">
        <v>58</v>
      </c>
      <c r="U148" t="s">
        <v>59</v>
      </c>
      <c r="V148" s="3">
        <v>0.7</v>
      </c>
      <c r="W148" s="2">
        <v>0</v>
      </c>
      <c r="X148">
        <v>0</v>
      </c>
      <c r="Y148" t="s">
        <v>60</v>
      </c>
      <c r="Z148" t="s">
        <v>61</v>
      </c>
      <c r="AA148">
        <v>6</v>
      </c>
      <c r="AB148" s="2">
        <v>14.76</v>
      </c>
      <c r="AC148" s="2">
        <v>0</v>
      </c>
      <c r="AD148" s="3">
        <v>0</v>
      </c>
      <c r="AE148" s="2">
        <v>0</v>
      </c>
      <c r="AF148" s="2">
        <v>0</v>
      </c>
      <c r="AG148" s="2">
        <v>0</v>
      </c>
      <c r="AH148" s="2">
        <v>0</v>
      </c>
      <c r="AI148" s="2">
        <v>0</v>
      </c>
      <c r="AJ148" s="2">
        <v>0</v>
      </c>
      <c r="AK148" s="2">
        <v>0</v>
      </c>
      <c r="AL148" s="2">
        <v>2.46</v>
      </c>
      <c r="AM148" s="2">
        <v>0</v>
      </c>
      <c r="AN148" s="2">
        <v>14.76</v>
      </c>
      <c r="AO148" s="2">
        <v>0</v>
      </c>
      <c r="AP148" s="2">
        <v>0</v>
      </c>
      <c r="AQ148" s="2">
        <v>0</v>
      </c>
    </row>
    <row r="149" spans="1:43" x14ac:dyDescent="0.25">
      <c r="A149" s="1">
        <v>45936</v>
      </c>
      <c r="B149" t="s">
        <v>48</v>
      </c>
      <c r="C149">
        <v>649163</v>
      </c>
      <c r="D149">
        <v>2031361916</v>
      </c>
      <c r="E149" t="s">
        <v>186</v>
      </c>
      <c r="F149" t="s">
        <v>187</v>
      </c>
      <c r="G149" t="s">
        <v>51</v>
      </c>
      <c r="H149" t="s">
        <v>79</v>
      </c>
      <c r="I149" t="s">
        <v>292</v>
      </c>
      <c r="J149" t="s">
        <v>293</v>
      </c>
      <c r="K149">
        <v>673059</v>
      </c>
      <c r="L149" t="s">
        <v>80</v>
      </c>
      <c r="M149" t="s">
        <v>81</v>
      </c>
      <c r="N149" t="s">
        <v>57</v>
      </c>
      <c r="O149" s="1">
        <v>45931</v>
      </c>
      <c r="Q149" s="1">
        <v>45962</v>
      </c>
      <c r="R149" s="2">
        <v>53.13</v>
      </c>
      <c r="S149">
        <v>1</v>
      </c>
      <c r="T149" t="s">
        <v>58</v>
      </c>
      <c r="U149" t="s">
        <v>59</v>
      </c>
      <c r="V149" s="3">
        <v>0.7</v>
      </c>
      <c r="W149" s="2">
        <v>0</v>
      </c>
      <c r="X149">
        <v>0</v>
      </c>
      <c r="Y149" t="s">
        <v>60</v>
      </c>
      <c r="Z149" t="s">
        <v>61</v>
      </c>
      <c r="AA149">
        <v>6</v>
      </c>
      <c r="AB149" s="2">
        <v>223.14</v>
      </c>
      <c r="AC149" s="2">
        <v>0</v>
      </c>
      <c r="AD149" s="3">
        <v>0</v>
      </c>
      <c r="AE149" s="2">
        <v>0</v>
      </c>
      <c r="AF149" s="2">
        <v>0</v>
      </c>
      <c r="AG149" s="2">
        <v>0</v>
      </c>
      <c r="AH149" s="2">
        <v>0</v>
      </c>
      <c r="AI149" s="2">
        <v>0</v>
      </c>
      <c r="AJ149" s="2">
        <v>0</v>
      </c>
      <c r="AK149" s="2">
        <v>0</v>
      </c>
      <c r="AL149" s="2">
        <v>37.19</v>
      </c>
      <c r="AM149" s="2">
        <v>0</v>
      </c>
      <c r="AN149" s="2">
        <v>223.14</v>
      </c>
      <c r="AO149" s="2">
        <v>0</v>
      </c>
      <c r="AP149" s="2">
        <v>0</v>
      </c>
      <c r="AQ149" s="2">
        <v>0</v>
      </c>
    </row>
    <row r="150" spans="1:43" x14ac:dyDescent="0.25">
      <c r="A150" s="1">
        <v>45936</v>
      </c>
      <c r="B150" t="s">
        <v>48</v>
      </c>
      <c r="C150">
        <v>649163</v>
      </c>
      <c r="D150">
        <v>2031365634</v>
      </c>
      <c r="E150" t="s">
        <v>188</v>
      </c>
      <c r="F150" t="s">
        <v>189</v>
      </c>
      <c r="G150" t="s">
        <v>51</v>
      </c>
      <c r="H150" t="s">
        <v>101</v>
      </c>
      <c r="I150" t="s">
        <v>292</v>
      </c>
      <c r="J150" t="s">
        <v>293</v>
      </c>
      <c r="K150">
        <v>812782</v>
      </c>
      <c r="L150" t="s">
        <v>91</v>
      </c>
      <c r="M150" t="s">
        <v>92</v>
      </c>
      <c r="N150" t="s">
        <v>57</v>
      </c>
      <c r="O150" s="1">
        <v>45962</v>
      </c>
      <c r="Q150" s="1">
        <v>45992</v>
      </c>
      <c r="R150" s="2">
        <v>29.49</v>
      </c>
      <c r="S150">
        <v>1</v>
      </c>
      <c r="T150" t="s">
        <v>58</v>
      </c>
      <c r="U150" t="s">
        <v>59</v>
      </c>
      <c r="V150" s="3">
        <v>0.7</v>
      </c>
      <c r="W150" s="2">
        <v>0</v>
      </c>
      <c r="X150">
        <v>0</v>
      </c>
      <c r="Y150" t="s">
        <v>60</v>
      </c>
      <c r="Z150" t="s">
        <v>61</v>
      </c>
      <c r="AA150">
        <v>6</v>
      </c>
      <c r="AB150" s="2">
        <v>123.84</v>
      </c>
      <c r="AC150" s="2">
        <v>0</v>
      </c>
      <c r="AD150" s="3">
        <v>0</v>
      </c>
      <c r="AE150" s="2">
        <v>0</v>
      </c>
      <c r="AF150" s="2">
        <v>0</v>
      </c>
      <c r="AG150" s="2">
        <v>0</v>
      </c>
      <c r="AH150" s="2">
        <v>0</v>
      </c>
      <c r="AI150" s="2">
        <v>0</v>
      </c>
      <c r="AJ150" s="2">
        <v>0</v>
      </c>
      <c r="AK150" s="2">
        <v>0</v>
      </c>
      <c r="AL150" s="2">
        <v>20.64</v>
      </c>
      <c r="AM150" s="2">
        <v>0</v>
      </c>
      <c r="AN150" s="2">
        <v>123.84</v>
      </c>
      <c r="AO150" s="2">
        <v>0</v>
      </c>
      <c r="AP150" s="2">
        <v>0</v>
      </c>
      <c r="AQ150" s="2">
        <v>0</v>
      </c>
    </row>
    <row r="151" spans="1:43" x14ac:dyDescent="0.25">
      <c r="A151" s="1">
        <v>45936</v>
      </c>
      <c r="B151" t="s">
        <v>48</v>
      </c>
      <c r="C151">
        <v>649163</v>
      </c>
      <c r="D151">
        <v>2031365756</v>
      </c>
      <c r="E151" t="s">
        <v>334</v>
      </c>
      <c r="F151" t="s">
        <v>98</v>
      </c>
      <c r="G151" t="s">
        <v>51</v>
      </c>
      <c r="H151" t="s">
        <v>88</v>
      </c>
      <c r="I151" t="s">
        <v>292</v>
      </c>
      <c r="J151" t="s">
        <v>293</v>
      </c>
      <c r="K151">
        <v>878036</v>
      </c>
      <c r="L151" t="s">
        <v>335</v>
      </c>
      <c r="M151" t="s">
        <v>336</v>
      </c>
      <c r="N151" t="s">
        <v>57</v>
      </c>
      <c r="O151" s="1">
        <v>45931</v>
      </c>
      <c r="Q151" s="1">
        <v>45962</v>
      </c>
      <c r="R151" s="2">
        <v>29.79</v>
      </c>
      <c r="S151">
        <v>1</v>
      </c>
      <c r="T151" t="s">
        <v>58</v>
      </c>
      <c r="U151" t="s">
        <v>59</v>
      </c>
      <c r="V151" s="3">
        <v>0.7</v>
      </c>
      <c r="W151" s="2">
        <v>0</v>
      </c>
      <c r="X151">
        <v>0</v>
      </c>
      <c r="Y151" t="s">
        <v>60</v>
      </c>
      <c r="Z151" t="s">
        <v>61</v>
      </c>
      <c r="AA151">
        <v>6</v>
      </c>
      <c r="AB151" s="2">
        <v>125.1</v>
      </c>
      <c r="AC151" s="2">
        <v>0</v>
      </c>
      <c r="AD151" s="3">
        <v>0</v>
      </c>
      <c r="AE151" s="2">
        <v>0</v>
      </c>
      <c r="AF151" s="2">
        <v>0</v>
      </c>
      <c r="AG151" s="2">
        <v>0</v>
      </c>
      <c r="AH151" s="2">
        <v>0</v>
      </c>
      <c r="AI151" s="2">
        <v>0</v>
      </c>
      <c r="AJ151" s="2">
        <v>0</v>
      </c>
      <c r="AK151" s="2">
        <v>0</v>
      </c>
      <c r="AL151" s="2">
        <v>20.85</v>
      </c>
      <c r="AM151" s="2">
        <v>0</v>
      </c>
      <c r="AN151" s="2">
        <v>125.1</v>
      </c>
      <c r="AO151" s="2">
        <v>0</v>
      </c>
      <c r="AP151" s="2">
        <v>0</v>
      </c>
      <c r="AQ151" s="2">
        <v>0</v>
      </c>
    </row>
    <row r="152" spans="1:43" x14ac:dyDescent="0.25">
      <c r="A152" s="1">
        <v>45936</v>
      </c>
      <c r="B152" t="s">
        <v>48</v>
      </c>
      <c r="C152">
        <v>649163</v>
      </c>
      <c r="D152">
        <v>2031366726</v>
      </c>
      <c r="E152" t="s">
        <v>190</v>
      </c>
      <c r="F152" t="s">
        <v>191</v>
      </c>
      <c r="G152" t="s">
        <v>51</v>
      </c>
      <c r="H152" t="s">
        <v>122</v>
      </c>
      <c r="I152" t="s">
        <v>292</v>
      </c>
      <c r="J152" t="s">
        <v>293</v>
      </c>
      <c r="K152">
        <v>753748</v>
      </c>
      <c r="L152" t="s">
        <v>97</v>
      </c>
      <c r="M152" t="s">
        <v>98</v>
      </c>
      <c r="N152" t="s">
        <v>57</v>
      </c>
      <c r="O152" s="1">
        <v>45931</v>
      </c>
      <c r="Q152" s="1">
        <v>45962</v>
      </c>
      <c r="R152" s="2">
        <v>29.1</v>
      </c>
      <c r="S152">
        <v>1</v>
      </c>
      <c r="T152" t="s">
        <v>58</v>
      </c>
      <c r="U152" t="s">
        <v>59</v>
      </c>
      <c r="V152" s="3">
        <v>0.7</v>
      </c>
      <c r="W152" s="2">
        <v>0</v>
      </c>
      <c r="X152">
        <v>0</v>
      </c>
      <c r="Y152" t="s">
        <v>60</v>
      </c>
      <c r="Z152" t="s">
        <v>61</v>
      </c>
      <c r="AA152">
        <v>6</v>
      </c>
      <c r="AB152" s="2">
        <v>122.22</v>
      </c>
      <c r="AC152" s="2">
        <v>0</v>
      </c>
      <c r="AD152" s="3">
        <v>0</v>
      </c>
      <c r="AE152" s="2">
        <v>0</v>
      </c>
      <c r="AF152" s="2">
        <v>0</v>
      </c>
      <c r="AG152" s="2">
        <v>0</v>
      </c>
      <c r="AH152" s="2">
        <v>0</v>
      </c>
      <c r="AI152" s="2">
        <v>0</v>
      </c>
      <c r="AJ152" s="2">
        <v>0</v>
      </c>
      <c r="AK152" s="2">
        <v>0</v>
      </c>
      <c r="AL152" s="2">
        <v>20.37</v>
      </c>
      <c r="AM152" s="2">
        <v>0</v>
      </c>
      <c r="AN152" s="2">
        <v>122.22</v>
      </c>
      <c r="AO152" s="2">
        <v>0</v>
      </c>
      <c r="AP152" s="2">
        <v>0</v>
      </c>
      <c r="AQ152" s="2">
        <v>0</v>
      </c>
    </row>
    <row r="153" spans="1:43" x14ac:dyDescent="0.25">
      <c r="A153" s="1">
        <v>45936</v>
      </c>
      <c r="B153" t="s">
        <v>48</v>
      </c>
      <c r="C153">
        <v>649163</v>
      </c>
      <c r="D153">
        <v>2031379960</v>
      </c>
      <c r="E153" t="s">
        <v>284</v>
      </c>
      <c r="F153" t="s">
        <v>337</v>
      </c>
      <c r="G153" t="s">
        <v>51</v>
      </c>
      <c r="H153" t="s">
        <v>105</v>
      </c>
      <c r="I153" t="s">
        <v>292</v>
      </c>
      <c r="J153" t="s">
        <v>295</v>
      </c>
      <c r="K153">
        <v>823068</v>
      </c>
      <c r="L153" t="s">
        <v>106</v>
      </c>
      <c r="M153" t="s">
        <v>107</v>
      </c>
      <c r="N153" t="s">
        <v>57</v>
      </c>
      <c r="O153" s="1">
        <v>45962</v>
      </c>
      <c r="Q153" s="1">
        <v>45992</v>
      </c>
      <c r="R153" s="2">
        <v>163.25</v>
      </c>
      <c r="S153">
        <v>1</v>
      </c>
      <c r="T153" t="s">
        <v>58</v>
      </c>
      <c r="U153" t="s">
        <v>59</v>
      </c>
      <c r="V153" s="3">
        <v>0.9</v>
      </c>
      <c r="W153" s="2">
        <v>0</v>
      </c>
      <c r="X153">
        <v>0</v>
      </c>
      <c r="Y153" t="s">
        <v>60</v>
      </c>
      <c r="Z153" t="s">
        <v>61</v>
      </c>
      <c r="AA153">
        <v>6</v>
      </c>
      <c r="AB153" s="2">
        <v>881.52</v>
      </c>
      <c r="AC153" s="2">
        <v>0</v>
      </c>
      <c r="AD153" s="3">
        <v>0</v>
      </c>
      <c r="AE153" s="2">
        <v>0</v>
      </c>
      <c r="AF153" s="2">
        <v>0</v>
      </c>
      <c r="AG153" s="2">
        <v>0</v>
      </c>
      <c r="AH153" s="2">
        <v>0</v>
      </c>
      <c r="AI153" s="2">
        <v>0</v>
      </c>
      <c r="AJ153" s="2">
        <v>0</v>
      </c>
      <c r="AK153" s="2">
        <v>0</v>
      </c>
      <c r="AL153" s="2">
        <v>146.91999999999999</v>
      </c>
      <c r="AM153" s="2">
        <v>0</v>
      </c>
      <c r="AN153" s="2">
        <v>881.52</v>
      </c>
      <c r="AO153" s="2">
        <v>0</v>
      </c>
      <c r="AP153" s="2">
        <v>0</v>
      </c>
      <c r="AQ153" s="2">
        <v>0</v>
      </c>
    </row>
    <row r="154" spans="1:43" x14ac:dyDescent="0.25">
      <c r="A154" s="1">
        <v>45936</v>
      </c>
      <c r="B154" t="s">
        <v>48</v>
      </c>
      <c r="C154">
        <v>649163</v>
      </c>
      <c r="D154">
        <v>2031381897</v>
      </c>
      <c r="E154" t="s">
        <v>338</v>
      </c>
      <c r="F154" t="s">
        <v>339</v>
      </c>
      <c r="G154" t="s">
        <v>51</v>
      </c>
      <c r="H154" t="s">
        <v>101</v>
      </c>
      <c r="I154" t="s">
        <v>292</v>
      </c>
      <c r="J154" t="s">
        <v>293</v>
      </c>
      <c r="K154">
        <v>807212</v>
      </c>
      <c r="L154" t="s">
        <v>340</v>
      </c>
      <c r="M154" t="s">
        <v>341</v>
      </c>
      <c r="N154" t="s">
        <v>57</v>
      </c>
      <c r="O154" s="1">
        <v>45932</v>
      </c>
      <c r="Q154" s="1">
        <v>45963</v>
      </c>
      <c r="R154" s="2">
        <v>117.94</v>
      </c>
      <c r="S154">
        <v>1</v>
      </c>
      <c r="T154" t="s">
        <v>58</v>
      </c>
      <c r="U154" t="s">
        <v>59</v>
      </c>
      <c r="V154" s="3">
        <v>0.7</v>
      </c>
      <c r="W154" s="2">
        <v>0</v>
      </c>
      <c r="X154">
        <v>0</v>
      </c>
      <c r="Y154" t="s">
        <v>60</v>
      </c>
      <c r="Z154" t="s">
        <v>61</v>
      </c>
      <c r="AA154">
        <v>6</v>
      </c>
      <c r="AB154" s="2">
        <v>495.36</v>
      </c>
      <c r="AC154" s="2">
        <v>0</v>
      </c>
      <c r="AD154" s="3">
        <v>0</v>
      </c>
      <c r="AE154" s="2">
        <v>0</v>
      </c>
      <c r="AF154" s="2">
        <v>0</v>
      </c>
      <c r="AG154" s="2">
        <v>0</v>
      </c>
      <c r="AH154" s="2">
        <v>0</v>
      </c>
      <c r="AI154" s="2">
        <v>0</v>
      </c>
      <c r="AJ154" s="2">
        <v>0</v>
      </c>
      <c r="AK154" s="2">
        <v>0</v>
      </c>
      <c r="AL154" s="2">
        <v>82.56</v>
      </c>
      <c r="AM154" s="2">
        <v>0</v>
      </c>
      <c r="AN154" s="2">
        <v>495.36</v>
      </c>
      <c r="AO154" s="2">
        <v>0</v>
      </c>
      <c r="AP154" s="2">
        <v>0</v>
      </c>
      <c r="AQ154" s="2">
        <v>0</v>
      </c>
    </row>
    <row r="155" spans="1:43" x14ac:dyDescent="0.25">
      <c r="A155" s="1">
        <v>45936</v>
      </c>
      <c r="B155" t="s">
        <v>48</v>
      </c>
      <c r="C155">
        <v>649163</v>
      </c>
      <c r="D155">
        <v>2031383867</v>
      </c>
      <c r="E155" t="s">
        <v>285</v>
      </c>
      <c r="F155" t="s">
        <v>286</v>
      </c>
      <c r="G155" t="s">
        <v>51</v>
      </c>
      <c r="H155" t="s">
        <v>52</v>
      </c>
      <c r="I155" t="s">
        <v>292</v>
      </c>
      <c r="J155" t="s">
        <v>293</v>
      </c>
      <c r="K155">
        <v>673059</v>
      </c>
      <c r="L155" t="s">
        <v>80</v>
      </c>
      <c r="M155" t="s">
        <v>81</v>
      </c>
      <c r="N155" t="s">
        <v>57</v>
      </c>
      <c r="O155" s="1">
        <v>45932</v>
      </c>
      <c r="Q155" s="1">
        <v>45963</v>
      </c>
      <c r="R155" s="2">
        <v>18.100000000000001</v>
      </c>
      <c r="S155">
        <v>1</v>
      </c>
      <c r="T155" t="s">
        <v>58</v>
      </c>
      <c r="U155" t="s">
        <v>59</v>
      </c>
      <c r="V155" s="3">
        <v>0.7</v>
      </c>
      <c r="W155" s="2">
        <v>0</v>
      </c>
      <c r="X155">
        <v>0</v>
      </c>
      <c r="Y155" t="s">
        <v>60</v>
      </c>
      <c r="Z155" t="s">
        <v>61</v>
      </c>
      <c r="AA155">
        <v>6</v>
      </c>
      <c r="AB155" s="2">
        <v>76.02</v>
      </c>
      <c r="AC155" s="2">
        <v>0</v>
      </c>
      <c r="AD155" s="3">
        <v>0</v>
      </c>
      <c r="AE155" s="2">
        <v>0</v>
      </c>
      <c r="AF155" s="2">
        <v>0</v>
      </c>
      <c r="AG155" s="2">
        <v>0</v>
      </c>
      <c r="AH155" s="2">
        <v>0</v>
      </c>
      <c r="AI155" s="2">
        <v>0</v>
      </c>
      <c r="AJ155" s="2">
        <v>0</v>
      </c>
      <c r="AK155" s="2">
        <v>0</v>
      </c>
      <c r="AL155" s="2">
        <v>12.67</v>
      </c>
      <c r="AM155" s="2">
        <v>0</v>
      </c>
      <c r="AN155" s="2">
        <v>76.02</v>
      </c>
      <c r="AO155" s="2">
        <v>0</v>
      </c>
      <c r="AP155" s="2">
        <v>0</v>
      </c>
      <c r="AQ155" s="2">
        <v>0</v>
      </c>
    </row>
    <row r="156" spans="1:43" x14ac:dyDescent="0.25">
      <c r="A156" s="1">
        <v>45936</v>
      </c>
      <c r="B156" t="s">
        <v>48</v>
      </c>
      <c r="C156">
        <v>649163</v>
      </c>
      <c r="D156">
        <v>2031398945</v>
      </c>
      <c r="E156" t="s">
        <v>192</v>
      </c>
      <c r="F156" t="s">
        <v>193</v>
      </c>
      <c r="G156" t="s">
        <v>51</v>
      </c>
      <c r="H156" t="s">
        <v>105</v>
      </c>
      <c r="I156" t="s">
        <v>292</v>
      </c>
      <c r="J156" t="s">
        <v>294</v>
      </c>
      <c r="K156">
        <v>823068</v>
      </c>
      <c r="L156" t="s">
        <v>106</v>
      </c>
      <c r="M156" t="s">
        <v>107</v>
      </c>
      <c r="N156" t="s">
        <v>57</v>
      </c>
      <c r="O156" s="1">
        <v>45933</v>
      </c>
      <c r="Q156" s="1">
        <v>45964</v>
      </c>
      <c r="R156" s="2">
        <v>24.61</v>
      </c>
      <c r="S156">
        <v>1</v>
      </c>
      <c r="T156" t="s">
        <v>58</v>
      </c>
      <c r="U156" t="s">
        <v>59</v>
      </c>
      <c r="V156" s="3">
        <v>0.7</v>
      </c>
      <c r="W156" s="2">
        <v>0</v>
      </c>
      <c r="X156">
        <v>0</v>
      </c>
      <c r="Y156" t="s">
        <v>60</v>
      </c>
      <c r="Z156" t="s">
        <v>61</v>
      </c>
      <c r="AA156">
        <v>6</v>
      </c>
      <c r="AB156" s="2">
        <v>103.38</v>
      </c>
      <c r="AC156" s="2">
        <v>0</v>
      </c>
      <c r="AD156" s="3">
        <v>0</v>
      </c>
      <c r="AE156" s="2">
        <v>0</v>
      </c>
      <c r="AF156" s="2">
        <v>0</v>
      </c>
      <c r="AG156" s="2">
        <v>0</v>
      </c>
      <c r="AH156" s="2">
        <v>0</v>
      </c>
      <c r="AI156" s="2">
        <v>0</v>
      </c>
      <c r="AJ156" s="2">
        <v>0</v>
      </c>
      <c r="AK156" s="2">
        <v>0</v>
      </c>
      <c r="AL156" s="2">
        <v>17.23</v>
      </c>
      <c r="AM156" s="2">
        <v>0</v>
      </c>
      <c r="AN156" s="2">
        <v>103.38</v>
      </c>
      <c r="AO156" s="2">
        <v>0</v>
      </c>
      <c r="AP156" s="2">
        <v>0</v>
      </c>
      <c r="AQ156" s="2">
        <v>0</v>
      </c>
    </row>
    <row r="157" spans="1:43" x14ac:dyDescent="0.25">
      <c r="A157" s="1">
        <v>45936</v>
      </c>
      <c r="B157" t="s">
        <v>48</v>
      </c>
      <c r="C157">
        <v>649163</v>
      </c>
      <c r="D157">
        <v>2031399068</v>
      </c>
      <c r="E157" t="s">
        <v>148</v>
      </c>
      <c r="F157" t="s">
        <v>194</v>
      </c>
      <c r="G157" t="s">
        <v>51</v>
      </c>
      <c r="H157" t="s">
        <v>129</v>
      </c>
      <c r="I157" t="s">
        <v>292</v>
      </c>
      <c r="J157" t="s">
        <v>293</v>
      </c>
      <c r="K157">
        <v>651818</v>
      </c>
      <c r="L157" t="s">
        <v>112</v>
      </c>
      <c r="M157" t="s">
        <v>104</v>
      </c>
      <c r="N157" t="s">
        <v>57</v>
      </c>
      <c r="O157" s="1">
        <v>45935</v>
      </c>
      <c r="Q157" s="1">
        <v>45966</v>
      </c>
      <c r="R157" s="2">
        <v>116</v>
      </c>
      <c r="S157">
        <v>1</v>
      </c>
      <c r="T157" t="s">
        <v>58</v>
      </c>
      <c r="U157" t="s">
        <v>59</v>
      </c>
      <c r="V157" s="3">
        <v>0.7</v>
      </c>
      <c r="W157" s="2">
        <v>0</v>
      </c>
      <c r="X157">
        <v>0</v>
      </c>
      <c r="Y157" t="s">
        <v>60</v>
      </c>
      <c r="Z157" t="s">
        <v>61</v>
      </c>
      <c r="AA157">
        <v>6</v>
      </c>
      <c r="AB157" s="2">
        <v>487.2</v>
      </c>
      <c r="AC157" s="2">
        <v>0</v>
      </c>
      <c r="AD157" s="3">
        <v>0</v>
      </c>
      <c r="AE157" s="2">
        <v>0</v>
      </c>
      <c r="AF157" s="2">
        <v>0</v>
      </c>
      <c r="AG157" s="2">
        <v>0</v>
      </c>
      <c r="AH157" s="2">
        <v>0</v>
      </c>
      <c r="AI157" s="2">
        <v>0</v>
      </c>
      <c r="AJ157" s="2">
        <v>0</v>
      </c>
      <c r="AK157" s="2">
        <v>0</v>
      </c>
      <c r="AL157" s="2">
        <v>81.2</v>
      </c>
      <c r="AM157" s="2">
        <v>0</v>
      </c>
      <c r="AN157" s="2">
        <v>487.2</v>
      </c>
      <c r="AO157" s="2">
        <v>0</v>
      </c>
      <c r="AP157" s="2">
        <v>0</v>
      </c>
      <c r="AQ157" s="2">
        <v>0</v>
      </c>
    </row>
    <row r="158" spans="1:43" x14ac:dyDescent="0.25">
      <c r="A158" s="1">
        <v>45936</v>
      </c>
      <c r="B158" t="s">
        <v>48</v>
      </c>
      <c r="C158">
        <v>649163</v>
      </c>
      <c r="D158">
        <v>2031408821</v>
      </c>
      <c r="E158" t="s">
        <v>197</v>
      </c>
      <c r="F158" t="s">
        <v>72</v>
      </c>
      <c r="G158" t="s">
        <v>51</v>
      </c>
      <c r="H158" t="s">
        <v>101</v>
      </c>
      <c r="I158" t="s">
        <v>292</v>
      </c>
      <c r="J158" t="s">
        <v>293</v>
      </c>
      <c r="K158">
        <v>893408</v>
      </c>
      <c r="L158" t="s">
        <v>198</v>
      </c>
      <c r="M158" t="s">
        <v>199</v>
      </c>
      <c r="N158" t="s">
        <v>57</v>
      </c>
      <c r="O158" s="1">
        <v>45933</v>
      </c>
      <c r="Q158" s="1">
        <v>45964</v>
      </c>
      <c r="R158" s="2">
        <v>56.5</v>
      </c>
      <c r="S158">
        <v>1</v>
      </c>
      <c r="T158" t="s">
        <v>58</v>
      </c>
      <c r="U158" t="s">
        <v>59</v>
      </c>
      <c r="V158" s="3">
        <v>0.7</v>
      </c>
      <c r="W158" s="2">
        <v>0</v>
      </c>
      <c r="X158">
        <v>0</v>
      </c>
      <c r="Y158" t="s">
        <v>60</v>
      </c>
      <c r="Z158" t="s">
        <v>61</v>
      </c>
      <c r="AA158">
        <v>6</v>
      </c>
      <c r="AB158" s="2">
        <v>237.3</v>
      </c>
      <c r="AC158" s="2">
        <v>0</v>
      </c>
      <c r="AD158" s="3">
        <v>0</v>
      </c>
      <c r="AE158" s="2">
        <v>0</v>
      </c>
      <c r="AF158" s="2">
        <v>0</v>
      </c>
      <c r="AG158" s="2">
        <v>0</v>
      </c>
      <c r="AH158" s="2">
        <v>0</v>
      </c>
      <c r="AI158" s="2">
        <v>0</v>
      </c>
      <c r="AJ158" s="2">
        <v>0</v>
      </c>
      <c r="AK158" s="2">
        <v>0</v>
      </c>
      <c r="AL158" s="2">
        <v>39.549999999999997</v>
      </c>
      <c r="AM158" s="2">
        <v>0</v>
      </c>
      <c r="AN158" s="2">
        <v>237.3</v>
      </c>
      <c r="AO158" s="2">
        <v>0</v>
      </c>
      <c r="AP158" s="2">
        <v>0</v>
      </c>
      <c r="AQ158" s="2">
        <v>0</v>
      </c>
    </row>
    <row r="159" spans="1:43" x14ac:dyDescent="0.25">
      <c r="A159" s="1">
        <v>45936</v>
      </c>
      <c r="B159" t="s">
        <v>48</v>
      </c>
      <c r="C159">
        <v>649163</v>
      </c>
      <c r="D159">
        <v>2031411446</v>
      </c>
      <c r="E159" t="s">
        <v>202</v>
      </c>
      <c r="F159" t="s">
        <v>145</v>
      </c>
      <c r="G159" t="s">
        <v>51</v>
      </c>
      <c r="H159" t="s">
        <v>203</v>
      </c>
      <c r="I159" t="s">
        <v>292</v>
      </c>
      <c r="J159" t="s">
        <v>293</v>
      </c>
      <c r="K159">
        <v>796984</v>
      </c>
      <c r="L159" t="s">
        <v>204</v>
      </c>
      <c r="M159" t="s">
        <v>205</v>
      </c>
      <c r="N159" t="s">
        <v>57</v>
      </c>
      <c r="O159" s="1">
        <v>45933</v>
      </c>
      <c r="Q159" s="1">
        <v>45964</v>
      </c>
      <c r="R159" s="2">
        <v>9.1</v>
      </c>
      <c r="S159">
        <v>1</v>
      </c>
      <c r="T159" t="s">
        <v>58</v>
      </c>
      <c r="U159" t="s">
        <v>59</v>
      </c>
      <c r="V159" s="3">
        <v>0.7</v>
      </c>
      <c r="W159" s="2">
        <v>0</v>
      </c>
      <c r="X159">
        <v>0</v>
      </c>
      <c r="Y159" t="s">
        <v>60</v>
      </c>
      <c r="Z159" t="s">
        <v>61</v>
      </c>
      <c r="AA159">
        <v>6</v>
      </c>
      <c r="AB159" s="2">
        <v>38.22</v>
      </c>
      <c r="AC159" s="2">
        <v>0</v>
      </c>
      <c r="AD159" s="3">
        <v>0</v>
      </c>
      <c r="AE159" s="2">
        <v>0</v>
      </c>
      <c r="AF159" s="2">
        <v>0</v>
      </c>
      <c r="AG159" s="2">
        <v>0</v>
      </c>
      <c r="AH159" s="2">
        <v>0</v>
      </c>
      <c r="AI159" s="2">
        <v>0</v>
      </c>
      <c r="AJ159" s="2">
        <v>0</v>
      </c>
      <c r="AK159" s="2">
        <v>0</v>
      </c>
      <c r="AL159" s="2">
        <v>6.37</v>
      </c>
      <c r="AM159" s="2">
        <v>0</v>
      </c>
      <c r="AN159" s="2">
        <v>38.22</v>
      </c>
      <c r="AO159" s="2">
        <v>0</v>
      </c>
      <c r="AP159" s="2">
        <v>0</v>
      </c>
      <c r="AQ159" s="2">
        <v>0</v>
      </c>
    </row>
    <row r="160" spans="1:43" x14ac:dyDescent="0.25">
      <c r="A160" s="1">
        <v>45936</v>
      </c>
      <c r="B160" t="s">
        <v>48</v>
      </c>
      <c r="C160">
        <v>649163</v>
      </c>
      <c r="D160">
        <v>2031412052</v>
      </c>
      <c r="E160" t="s">
        <v>206</v>
      </c>
      <c r="F160" t="s">
        <v>207</v>
      </c>
      <c r="G160" t="s">
        <v>51</v>
      </c>
      <c r="H160" t="s">
        <v>88</v>
      </c>
      <c r="I160" t="s">
        <v>292</v>
      </c>
      <c r="J160" t="s">
        <v>293</v>
      </c>
      <c r="K160">
        <v>673059</v>
      </c>
      <c r="L160" t="s">
        <v>80</v>
      </c>
      <c r="M160" t="s">
        <v>81</v>
      </c>
      <c r="N160" t="s">
        <v>57</v>
      </c>
      <c r="O160" s="1">
        <v>45935</v>
      </c>
      <c r="Q160" s="1">
        <v>45966</v>
      </c>
      <c r="R160" s="2">
        <v>57.27</v>
      </c>
      <c r="S160">
        <v>1</v>
      </c>
      <c r="T160" t="s">
        <v>58</v>
      </c>
      <c r="U160" t="s">
        <v>59</v>
      </c>
      <c r="V160" s="3">
        <v>0.7</v>
      </c>
      <c r="W160" s="2">
        <v>0</v>
      </c>
      <c r="X160">
        <v>0</v>
      </c>
      <c r="Y160" t="s">
        <v>60</v>
      </c>
      <c r="Z160" t="s">
        <v>61</v>
      </c>
      <c r="AA160">
        <v>6</v>
      </c>
      <c r="AB160" s="2">
        <v>240.54</v>
      </c>
      <c r="AC160" s="2">
        <v>0</v>
      </c>
      <c r="AD160" s="3">
        <v>0</v>
      </c>
      <c r="AE160" s="2">
        <v>0</v>
      </c>
      <c r="AF160" s="2">
        <v>0</v>
      </c>
      <c r="AG160" s="2">
        <v>0</v>
      </c>
      <c r="AH160" s="2">
        <v>0</v>
      </c>
      <c r="AI160" s="2">
        <v>0</v>
      </c>
      <c r="AJ160" s="2">
        <v>0</v>
      </c>
      <c r="AK160" s="2">
        <v>0</v>
      </c>
      <c r="AL160" s="2">
        <v>40.090000000000003</v>
      </c>
      <c r="AM160" s="2">
        <v>0</v>
      </c>
      <c r="AN160" s="2">
        <v>240.54</v>
      </c>
      <c r="AO160" s="2">
        <v>0</v>
      </c>
      <c r="AP160" s="2">
        <v>0</v>
      </c>
      <c r="AQ160" s="2">
        <v>0</v>
      </c>
    </row>
    <row r="161" spans="1:43" x14ac:dyDescent="0.25">
      <c r="A161" s="1">
        <v>45936</v>
      </c>
      <c r="B161" t="s">
        <v>48</v>
      </c>
      <c r="C161">
        <v>649163</v>
      </c>
      <c r="D161">
        <v>2031412053</v>
      </c>
      <c r="E161" t="s">
        <v>206</v>
      </c>
      <c r="F161" t="s">
        <v>207</v>
      </c>
      <c r="G161" t="s">
        <v>51</v>
      </c>
      <c r="H161" t="s">
        <v>88</v>
      </c>
      <c r="I161" t="s">
        <v>292</v>
      </c>
      <c r="J161" t="s">
        <v>294</v>
      </c>
      <c r="K161">
        <v>673059</v>
      </c>
      <c r="L161" t="s">
        <v>80</v>
      </c>
      <c r="M161" t="s">
        <v>81</v>
      </c>
      <c r="N161" t="s">
        <v>57</v>
      </c>
      <c r="O161" s="1">
        <v>45935</v>
      </c>
      <c r="Q161" s="1">
        <v>45966</v>
      </c>
      <c r="R161" s="2">
        <v>25.73</v>
      </c>
      <c r="S161">
        <v>1</v>
      </c>
      <c r="T161" t="s">
        <v>58</v>
      </c>
      <c r="U161" t="s">
        <v>59</v>
      </c>
      <c r="V161" s="3">
        <v>0.7</v>
      </c>
      <c r="W161" s="2">
        <v>0</v>
      </c>
      <c r="X161">
        <v>0</v>
      </c>
      <c r="Y161" t="s">
        <v>60</v>
      </c>
      <c r="Z161" t="s">
        <v>61</v>
      </c>
      <c r="AA161">
        <v>6</v>
      </c>
      <c r="AB161" s="2">
        <v>108.06</v>
      </c>
      <c r="AC161" s="2">
        <v>0</v>
      </c>
      <c r="AD161" s="3">
        <v>0</v>
      </c>
      <c r="AE161" s="2">
        <v>0</v>
      </c>
      <c r="AF161" s="2">
        <v>0</v>
      </c>
      <c r="AG161" s="2">
        <v>0</v>
      </c>
      <c r="AH161" s="2">
        <v>0</v>
      </c>
      <c r="AI161" s="2">
        <v>0</v>
      </c>
      <c r="AJ161" s="2">
        <v>0</v>
      </c>
      <c r="AK161" s="2">
        <v>0</v>
      </c>
      <c r="AL161" s="2">
        <v>18.010000000000002</v>
      </c>
      <c r="AM161" s="2">
        <v>0</v>
      </c>
      <c r="AN161" s="2">
        <v>108.06</v>
      </c>
      <c r="AO161" s="2">
        <v>0</v>
      </c>
      <c r="AP161" s="2">
        <v>0</v>
      </c>
      <c r="AQ161" s="2">
        <v>0</v>
      </c>
    </row>
    <row r="162" spans="1:43" x14ac:dyDescent="0.25">
      <c r="A162" s="1">
        <v>45936</v>
      </c>
      <c r="B162" t="s">
        <v>48</v>
      </c>
      <c r="C162">
        <v>649163</v>
      </c>
      <c r="D162">
        <v>2031451696</v>
      </c>
      <c r="E162" t="s">
        <v>342</v>
      </c>
      <c r="F162" t="s">
        <v>343</v>
      </c>
      <c r="G162" t="s">
        <v>51</v>
      </c>
      <c r="H162" t="s">
        <v>101</v>
      </c>
      <c r="I162" t="s">
        <v>292</v>
      </c>
      <c r="J162" t="s">
        <v>293</v>
      </c>
      <c r="K162">
        <v>807212</v>
      </c>
      <c r="L162" t="s">
        <v>340</v>
      </c>
      <c r="M162" t="s">
        <v>341</v>
      </c>
      <c r="N162" t="s">
        <v>57</v>
      </c>
      <c r="O162" s="1">
        <v>45935</v>
      </c>
      <c r="Q162" s="1">
        <v>45966</v>
      </c>
      <c r="R162" s="2">
        <v>32.26</v>
      </c>
      <c r="S162">
        <v>1</v>
      </c>
      <c r="T162" t="s">
        <v>58</v>
      </c>
      <c r="U162" t="s">
        <v>59</v>
      </c>
      <c r="V162" s="3">
        <v>0.7</v>
      </c>
      <c r="W162" s="2">
        <v>0</v>
      </c>
      <c r="X162">
        <v>0</v>
      </c>
      <c r="Y162" t="s">
        <v>60</v>
      </c>
      <c r="Z162" t="s">
        <v>61</v>
      </c>
      <c r="AA162">
        <v>6</v>
      </c>
      <c r="AB162" s="2">
        <v>135.47999999999999</v>
      </c>
      <c r="AC162" s="2">
        <v>0</v>
      </c>
      <c r="AD162" s="3">
        <v>0</v>
      </c>
      <c r="AE162" s="2">
        <v>0</v>
      </c>
      <c r="AF162" s="2">
        <v>0</v>
      </c>
      <c r="AG162" s="2">
        <v>0</v>
      </c>
      <c r="AH162" s="2">
        <v>0</v>
      </c>
      <c r="AI162" s="2">
        <v>0</v>
      </c>
      <c r="AJ162" s="2">
        <v>0</v>
      </c>
      <c r="AK162" s="2">
        <v>0</v>
      </c>
      <c r="AL162" s="2">
        <v>22.58</v>
      </c>
      <c r="AM162" s="2">
        <v>0</v>
      </c>
      <c r="AN162" s="2">
        <v>135.47999999999999</v>
      </c>
      <c r="AO162" s="2">
        <v>0</v>
      </c>
      <c r="AP162" s="2">
        <v>0</v>
      </c>
      <c r="AQ162" s="2">
        <v>0</v>
      </c>
    </row>
    <row r="163" spans="1:43" x14ac:dyDescent="0.25">
      <c r="A163" s="1">
        <v>45936</v>
      </c>
      <c r="B163" t="s">
        <v>48</v>
      </c>
      <c r="C163">
        <v>649163</v>
      </c>
      <c r="D163">
        <v>2030706583</v>
      </c>
      <c r="E163" t="s">
        <v>215</v>
      </c>
      <c r="F163" t="s">
        <v>216</v>
      </c>
      <c r="G163" t="s">
        <v>51</v>
      </c>
      <c r="H163" t="s">
        <v>150</v>
      </c>
      <c r="I163" t="s">
        <v>344</v>
      </c>
      <c r="J163" t="s">
        <v>345</v>
      </c>
      <c r="K163">
        <v>877790</v>
      </c>
      <c r="L163" t="s">
        <v>151</v>
      </c>
      <c r="M163" t="s">
        <v>152</v>
      </c>
      <c r="N163" t="s">
        <v>57</v>
      </c>
      <c r="O163" s="1">
        <v>45932</v>
      </c>
      <c r="Q163" s="1">
        <v>45963</v>
      </c>
      <c r="R163" s="2">
        <v>144.97</v>
      </c>
      <c r="S163">
        <v>1</v>
      </c>
      <c r="T163" t="s">
        <v>58</v>
      </c>
      <c r="U163" t="s">
        <v>218</v>
      </c>
      <c r="V163" s="3">
        <v>0.19</v>
      </c>
      <c r="W163" s="2">
        <v>0</v>
      </c>
      <c r="X163">
        <v>0</v>
      </c>
      <c r="Y163" t="s">
        <v>60</v>
      </c>
      <c r="Z163" t="s">
        <v>61</v>
      </c>
      <c r="AA163">
        <v>0</v>
      </c>
      <c r="AB163" s="2">
        <v>0</v>
      </c>
      <c r="AC163" s="2">
        <v>0</v>
      </c>
      <c r="AD163" s="3">
        <v>0</v>
      </c>
      <c r="AE163" s="2">
        <v>0</v>
      </c>
      <c r="AF163" s="2">
        <v>0</v>
      </c>
      <c r="AG163" s="2">
        <v>0</v>
      </c>
      <c r="AH163" s="2">
        <v>0</v>
      </c>
      <c r="AI163" s="2">
        <v>0</v>
      </c>
      <c r="AJ163" s="2">
        <v>0</v>
      </c>
      <c r="AK163" s="2">
        <v>0</v>
      </c>
      <c r="AL163" s="2">
        <v>0</v>
      </c>
      <c r="AM163" s="2">
        <v>27.54</v>
      </c>
      <c r="AN163" s="2">
        <v>27.54</v>
      </c>
      <c r="AO163" s="2">
        <v>0</v>
      </c>
      <c r="AP163" s="2">
        <v>0</v>
      </c>
      <c r="AQ163" s="2">
        <v>0</v>
      </c>
    </row>
    <row r="164" spans="1:43" x14ac:dyDescent="0.25">
      <c r="A164" s="1">
        <v>45936</v>
      </c>
      <c r="B164" t="s">
        <v>48</v>
      </c>
      <c r="C164">
        <v>649163</v>
      </c>
      <c r="D164">
        <v>2030949433</v>
      </c>
      <c r="E164" t="s">
        <v>219</v>
      </c>
      <c r="F164" t="s">
        <v>220</v>
      </c>
      <c r="G164" t="s">
        <v>51</v>
      </c>
      <c r="H164" t="s">
        <v>150</v>
      </c>
      <c r="I164" t="s">
        <v>344</v>
      </c>
      <c r="J164" t="s">
        <v>345</v>
      </c>
      <c r="K164">
        <v>877790</v>
      </c>
      <c r="L164" t="s">
        <v>151</v>
      </c>
      <c r="M164" t="s">
        <v>152</v>
      </c>
      <c r="N164" t="s">
        <v>57</v>
      </c>
      <c r="O164" s="1">
        <v>45931</v>
      </c>
      <c r="Q164" s="1">
        <v>45962</v>
      </c>
      <c r="R164" s="2">
        <v>525.4</v>
      </c>
      <c r="S164">
        <v>1</v>
      </c>
      <c r="T164" t="s">
        <v>58</v>
      </c>
      <c r="U164" t="s">
        <v>221</v>
      </c>
      <c r="V164" s="3">
        <v>0.19</v>
      </c>
      <c r="W164" s="2">
        <v>0</v>
      </c>
      <c r="X164">
        <v>0</v>
      </c>
      <c r="Y164" t="s">
        <v>60</v>
      </c>
      <c r="Z164" t="s">
        <v>61</v>
      </c>
      <c r="AA164">
        <v>6</v>
      </c>
      <c r="AB164" s="2">
        <v>598.98</v>
      </c>
      <c r="AC164" s="2">
        <v>0</v>
      </c>
      <c r="AD164" s="3">
        <v>0</v>
      </c>
      <c r="AE164" s="2">
        <v>0</v>
      </c>
      <c r="AF164" s="2">
        <v>0</v>
      </c>
      <c r="AG164" s="2">
        <v>0</v>
      </c>
      <c r="AH164" s="2">
        <v>0</v>
      </c>
      <c r="AI164" s="2">
        <v>0</v>
      </c>
      <c r="AJ164" s="2">
        <v>0</v>
      </c>
      <c r="AK164" s="2">
        <v>0</v>
      </c>
      <c r="AL164" s="2">
        <v>99.83</v>
      </c>
      <c r="AM164" s="2">
        <v>0</v>
      </c>
      <c r="AN164" s="2">
        <v>598.98</v>
      </c>
      <c r="AO164" s="2">
        <v>0</v>
      </c>
      <c r="AP164" s="2">
        <v>0</v>
      </c>
      <c r="AQ164" s="2">
        <v>0</v>
      </c>
    </row>
    <row r="165" spans="1:43" x14ac:dyDescent="0.25">
      <c r="A165" s="1">
        <v>45936</v>
      </c>
      <c r="B165" t="s">
        <v>48</v>
      </c>
      <c r="C165">
        <v>649163</v>
      </c>
      <c r="D165">
        <v>2031317028</v>
      </c>
      <c r="E165" t="s">
        <v>223</v>
      </c>
      <c r="F165" t="s">
        <v>224</v>
      </c>
      <c r="G165" t="s">
        <v>51</v>
      </c>
      <c r="H165" t="s">
        <v>79</v>
      </c>
      <c r="I165" t="s">
        <v>344</v>
      </c>
      <c r="J165" t="s">
        <v>346</v>
      </c>
      <c r="K165">
        <v>673059</v>
      </c>
      <c r="L165" t="s">
        <v>80</v>
      </c>
      <c r="M165" t="s">
        <v>81</v>
      </c>
      <c r="N165" t="s">
        <v>57</v>
      </c>
      <c r="O165" s="1">
        <v>45931</v>
      </c>
      <c r="Q165" s="1">
        <v>45962</v>
      </c>
      <c r="R165" s="2">
        <v>643.99</v>
      </c>
      <c r="S165">
        <v>1</v>
      </c>
      <c r="T165" t="s">
        <v>58</v>
      </c>
      <c r="U165" t="s">
        <v>226</v>
      </c>
      <c r="V165" s="3">
        <v>0.28999999999999998</v>
      </c>
      <c r="W165" s="2">
        <v>0</v>
      </c>
      <c r="X165">
        <v>0</v>
      </c>
      <c r="Y165" t="s">
        <v>60</v>
      </c>
      <c r="Z165" t="s">
        <v>61</v>
      </c>
      <c r="AA165">
        <v>3</v>
      </c>
      <c r="AB165" s="2">
        <v>560.28</v>
      </c>
      <c r="AC165" s="2">
        <v>0</v>
      </c>
      <c r="AD165" s="3">
        <v>0</v>
      </c>
      <c r="AE165" s="2">
        <v>0</v>
      </c>
      <c r="AF165" s="2">
        <v>0</v>
      </c>
      <c r="AG165" s="2">
        <v>0</v>
      </c>
      <c r="AH165" s="2">
        <v>0</v>
      </c>
      <c r="AI165" s="2">
        <v>0</v>
      </c>
      <c r="AJ165" s="2">
        <v>0</v>
      </c>
      <c r="AK165" s="2">
        <v>0</v>
      </c>
      <c r="AL165" s="2">
        <v>186.76</v>
      </c>
      <c r="AM165" s="2">
        <v>0</v>
      </c>
      <c r="AN165" s="2">
        <v>560.28</v>
      </c>
      <c r="AO165" s="2">
        <v>0</v>
      </c>
      <c r="AP165" s="2">
        <v>0</v>
      </c>
      <c r="AQ165" s="2">
        <v>0</v>
      </c>
    </row>
    <row r="166" spans="1:43" x14ac:dyDescent="0.25">
      <c r="A166" s="1">
        <v>45936</v>
      </c>
      <c r="B166" t="s">
        <v>48</v>
      </c>
      <c r="C166">
        <v>649163</v>
      </c>
      <c r="D166">
        <v>2031334122</v>
      </c>
      <c r="E166" t="s">
        <v>327</v>
      </c>
      <c r="F166" t="s">
        <v>161</v>
      </c>
      <c r="G166" t="s">
        <v>51</v>
      </c>
      <c r="H166" t="s">
        <v>328</v>
      </c>
      <c r="I166" t="s">
        <v>344</v>
      </c>
      <c r="J166" t="s">
        <v>347</v>
      </c>
      <c r="K166">
        <v>673059</v>
      </c>
      <c r="L166" t="s">
        <v>80</v>
      </c>
      <c r="M166" t="s">
        <v>81</v>
      </c>
      <c r="N166" t="s">
        <v>57</v>
      </c>
      <c r="O166" s="1">
        <v>45931</v>
      </c>
      <c r="Q166" s="1">
        <v>45962</v>
      </c>
      <c r="R166" s="2">
        <v>299.02999999999997</v>
      </c>
      <c r="S166">
        <v>1</v>
      </c>
      <c r="T166" t="s">
        <v>58</v>
      </c>
      <c r="U166" t="s">
        <v>226</v>
      </c>
      <c r="V166" s="3">
        <v>0.24</v>
      </c>
      <c r="W166" s="2">
        <v>0</v>
      </c>
      <c r="X166">
        <v>0</v>
      </c>
      <c r="Y166" t="s">
        <v>60</v>
      </c>
      <c r="Z166" t="s">
        <v>61</v>
      </c>
      <c r="AA166">
        <v>3</v>
      </c>
      <c r="AB166" s="2">
        <v>215.31</v>
      </c>
      <c r="AC166" s="2">
        <v>0</v>
      </c>
      <c r="AD166" s="3">
        <v>0</v>
      </c>
      <c r="AE166" s="2">
        <v>0</v>
      </c>
      <c r="AF166" s="2">
        <v>0</v>
      </c>
      <c r="AG166" s="2">
        <v>0</v>
      </c>
      <c r="AH166" s="2">
        <v>0</v>
      </c>
      <c r="AI166" s="2">
        <v>0</v>
      </c>
      <c r="AJ166" s="2">
        <v>0</v>
      </c>
      <c r="AK166" s="2">
        <v>0</v>
      </c>
      <c r="AL166" s="2">
        <v>71.77</v>
      </c>
      <c r="AM166" s="2">
        <v>0</v>
      </c>
      <c r="AN166" s="2">
        <v>215.31</v>
      </c>
      <c r="AO166" s="2">
        <v>0</v>
      </c>
      <c r="AP166" s="2">
        <v>0</v>
      </c>
      <c r="AQ166" s="2">
        <v>0</v>
      </c>
    </row>
    <row r="167" spans="1:43" x14ac:dyDescent="0.25">
      <c r="A167" s="1">
        <v>45936</v>
      </c>
      <c r="B167" t="s">
        <v>48</v>
      </c>
      <c r="C167">
        <v>649163</v>
      </c>
      <c r="D167">
        <v>2031351790</v>
      </c>
      <c r="E167" t="s">
        <v>174</v>
      </c>
      <c r="F167" t="s">
        <v>227</v>
      </c>
      <c r="G167" t="s">
        <v>51</v>
      </c>
      <c r="H167" t="s">
        <v>228</v>
      </c>
      <c r="I167" t="s">
        <v>344</v>
      </c>
      <c r="J167" t="s">
        <v>348</v>
      </c>
      <c r="K167">
        <v>753748</v>
      </c>
      <c r="L167" t="s">
        <v>97</v>
      </c>
      <c r="M167" t="s">
        <v>98</v>
      </c>
      <c r="N167" t="s">
        <v>57</v>
      </c>
      <c r="O167" s="1">
        <v>45931</v>
      </c>
      <c r="Q167" s="1">
        <v>45962</v>
      </c>
      <c r="R167" s="2">
        <v>316.19</v>
      </c>
      <c r="S167">
        <v>1</v>
      </c>
      <c r="T167" t="s">
        <v>58</v>
      </c>
      <c r="U167" t="s">
        <v>226</v>
      </c>
      <c r="V167" s="3">
        <v>0.24</v>
      </c>
      <c r="W167" s="2">
        <v>0</v>
      </c>
      <c r="X167">
        <v>0</v>
      </c>
      <c r="Y167" t="s">
        <v>60</v>
      </c>
      <c r="Z167" t="s">
        <v>61</v>
      </c>
      <c r="AA167">
        <v>3</v>
      </c>
      <c r="AB167" s="2">
        <v>227.67</v>
      </c>
      <c r="AC167" s="2">
        <v>0</v>
      </c>
      <c r="AD167" s="3">
        <v>0</v>
      </c>
      <c r="AE167" s="2">
        <v>0</v>
      </c>
      <c r="AF167" s="2">
        <v>0</v>
      </c>
      <c r="AG167" s="2">
        <v>0</v>
      </c>
      <c r="AH167" s="2">
        <v>0</v>
      </c>
      <c r="AI167" s="2">
        <v>0</v>
      </c>
      <c r="AJ167" s="2">
        <v>0</v>
      </c>
      <c r="AK167" s="2">
        <v>0</v>
      </c>
      <c r="AL167" s="2">
        <v>75.89</v>
      </c>
      <c r="AM167" s="2">
        <v>0</v>
      </c>
      <c r="AN167" s="2">
        <v>227.67</v>
      </c>
      <c r="AO167" s="2">
        <v>0</v>
      </c>
      <c r="AP167" s="2">
        <v>0</v>
      </c>
      <c r="AQ167" s="2">
        <v>0</v>
      </c>
    </row>
    <row r="168" spans="1:43" x14ac:dyDescent="0.25">
      <c r="A168" s="1">
        <v>45936</v>
      </c>
      <c r="B168" t="s">
        <v>48</v>
      </c>
      <c r="C168">
        <v>649163</v>
      </c>
      <c r="D168">
        <v>2030820657</v>
      </c>
      <c r="E168" t="s">
        <v>349</v>
      </c>
      <c r="F168" t="s">
        <v>72</v>
      </c>
      <c r="G168" t="s">
        <v>51</v>
      </c>
      <c r="H168" t="s">
        <v>70</v>
      </c>
      <c r="I168" t="s">
        <v>350</v>
      </c>
      <c r="J168" t="s">
        <v>351</v>
      </c>
      <c r="K168">
        <v>728134</v>
      </c>
      <c r="L168" t="s">
        <v>352</v>
      </c>
      <c r="M168" t="s">
        <v>353</v>
      </c>
      <c r="N168" t="s">
        <v>57</v>
      </c>
      <c r="O168" s="1">
        <v>45931</v>
      </c>
      <c r="Q168" s="1">
        <v>45962</v>
      </c>
      <c r="R168" s="2">
        <v>33.590000000000003</v>
      </c>
      <c r="S168">
        <v>1</v>
      </c>
      <c r="T168" t="s">
        <v>58</v>
      </c>
      <c r="U168" t="s">
        <v>59</v>
      </c>
      <c r="V168" s="3">
        <v>0.47</v>
      </c>
      <c r="W168" s="2">
        <v>0</v>
      </c>
      <c r="X168">
        <v>0</v>
      </c>
      <c r="Y168" t="s">
        <v>60</v>
      </c>
      <c r="Z168" t="s">
        <v>61</v>
      </c>
      <c r="AA168">
        <v>6</v>
      </c>
      <c r="AB168" s="2">
        <v>94.74</v>
      </c>
      <c r="AC168" s="2">
        <v>0</v>
      </c>
      <c r="AD168" s="3">
        <v>0</v>
      </c>
      <c r="AE168" s="2">
        <v>0</v>
      </c>
      <c r="AF168" s="2">
        <v>0</v>
      </c>
      <c r="AG168" s="2">
        <v>0</v>
      </c>
      <c r="AH168" s="2">
        <v>0</v>
      </c>
      <c r="AI168" s="2">
        <v>0</v>
      </c>
      <c r="AJ168" s="2">
        <v>0</v>
      </c>
      <c r="AK168" s="2">
        <v>0</v>
      </c>
      <c r="AL168" s="2">
        <v>15.79</v>
      </c>
      <c r="AM168" s="2">
        <v>0</v>
      </c>
      <c r="AN168" s="2">
        <v>94.74</v>
      </c>
      <c r="AO168" s="2">
        <v>0</v>
      </c>
      <c r="AP168" s="2">
        <v>0</v>
      </c>
      <c r="AQ168" s="2">
        <v>0</v>
      </c>
    </row>
    <row r="169" spans="1:43" x14ac:dyDescent="0.25">
      <c r="A169" s="1">
        <v>45936</v>
      </c>
      <c r="B169" t="s">
        <v>48</v>
      </c>
      <c r="C169">
        <v>649163</v>
      </c>
      <c r="D169">
        <v>2030983565</v>
      </c>
      <c r="E169" t="s">
        <v>354</v>
      </c>
      <c r="F169" t="s">
        <v>355</v>
      </c>
      <c r="G169" t="s">
        <v>51</v>
      </c>
      <c r="H169" t="s">
        <v>247</v>
      </c>
      <c r="I169" t="s">
        <v>350</v>
      </c>
      <c r="J169" t="s">
        <v>351</v>
      </c>
      <c r="K169">
        <v>888536</v>
      </c>
      <c r="L169" t="s">
        <v>315</v>
      </c>
      <c r="M169" t="s">
        <v>316</v>
      </c>
      <c r="N169" t="s">
        <v>57</v>
      </c>
      <c r="O169" s="1">
        <v>45931</v>
      </c>
      <c r="Q169" s="1">
        <v>45962</v>
      </c>
      <c r="R169" s="2">
        <v>65.680000000000007</v>
      </c>
      <c r="S169">
        <v>1</v>
      </c>
      <c r="T169" t="s">
        <v>58</v>
      </c>
      <c r="U169" t="s">
        <v>59</v>
      </c>
      <c r="V169" s="3">
        <v>0.47</v>
      </c>
      <c r="W169" s="2">
        <v>0</v>
      </c>
      <c r="X169">
        <v>0</v>
      </c>
      <c r="Y169" t="s">
        <v>60</v>
      </c>
      <c r="Z169" t="s">
        <v>61</v>
      </c>
      <c r="AA169">
        <v>6</v>
      </c>
      <c r="AB169" s="2">
        <v>185.22</v>
      </c>
      <c r="AC169" s="2">
        <v>0</v>
      </c>
      <c r="AD169" s="3">
        <v>0</v>
      </c>
      <c r="AE169" s="2">
        <v>0</v>
      </c>
      <c r="AF169" s="2">
        <v>0</v>
      </c>
      <c r="AG169" s="2">
        <v>0</v>
      </c>
      <c r="AH169" s="2">
        <v>0</v>
      </c>
      <c r="AI169" s="2">
        <v>0</v>
      </c>
      <c r="AJ169" s="2">
        <v>0</v>
      </c>
      <c r="AK169" s="2">
        <v>0</v>
      </c>
      <c r="AL169" s="2">
        <v>30.87</v>
      </c>
      <c r="AM169" s="2">
        <v>0</v>
      </c>
      <c r="AN169" s="2">
        <v>185.22</v>
      </c>
      <c r="AO169" s="2">
        <v>0</v>
      </c>
      <c r="AP169" s="2">
        <v>0</v>
      </c>
      <c r="AQ169" s="2">
        <v>0</v>
      </c>
    </row>
    <row r="170" spans="1:43" x14ac:dyDescent="0.25">
      <c r="A170" s="1">
        <v>45936</v>
      </c>
      <c r="B170" t="s">
        <v>48</v>
      </c>
      <c r="C170">
        <v>649163</v>
      </c>
      <c r="D170">
        <v>2031410719</v>
      </c>
      <c r="E170" t="s">
        <v>356</v>
      </c>
      <c r="F170" t="s">
        <v>98</v>
      </c>
      <c r="G170" t="s">
        <v>51</v>
      </c>
      <c r="H170" t="s">
        <v>150</v>
      </c>
      <c r="I170" t="s">
        <v>350</v>
      </c>
      <c r="J170" t="s">
        <v>351</v>
      </c>
      <c r="K170">
        <v>877790</v>
      </c>
      <c r="L170" t="s">
        <v>151</v>
      </c>
      <c r="M170" t="s">
        <v>152</v>
      </c>
      <c r="N170" t="s">
        <v>57</v>
      </c>
      <c r="O170" s="1">
        <v>45933</v>
      </c>
      <c r="Q170" s="1">
        <v>45964</v>
      </c>
      <c r="R170" s="2">
        <v>59.02</v>
      </c>
      <c r="S170">
        <v>1</v>
      </c>
      <c r="T170" t="s">
        <v>58</v>
      </c>
      <c r="U170" t="s">
        <v>59</v>
      </c>
      <c r="V170" s="3">
        <v>0.47</v>
      </c>
      <c r="W170" s="2">
        <v>0</v>
      </c>
      <c r="X170">
        <v>0</v>
      </c>
      <c r="Y170" t="s">
        <v>60</v>
      </c>
      <c r="Z170" t="s">
        <v>61</v>
      </c>
      <c r="AA170">
        <v>6</v>
      </c>
      <c r="AB170" s="2">
        <v>166.44</v>
      </c>
      <c r="AC170" s="2">
        <v>0</v>
      </c>
      <c r="AD170" s="3">
        <v>0</v>
      </c>
      <c r="AE170" s="2">
        <v>0</v>
      </c>
      <c r="AF170" s="2">
        <v>0</v>
      </c>
      <c r="AG170" s="2">
        <v>0</v>
      </c>
      <c r="AH170" s="2">
        <v>0</v>
      </c>
      <c r="AI170" s="2">
        <v>0</v>
      </c>
      <c r="AJ170" s="2">
        <v>0</v>
      </c>
      <c r="AK170" s="2">
        <v>0</v>
      </c>
      <c r="AL170" s="2">
        <v>27.74</v>
      </c>
      <c r="AM170" s="2">
        <v>0</v>
      </c>
      <c r="AN170" s="2">
        <v>166.44</v>
      </c>
      <c r="AO170" s="2">
        <v>0</v>
      </c>
      <c r="AP170" s="2">
        <v>0</v>
      </c>
      <c r="AQ170" s="2">
        <v>0</v>
      </c>
    </row>
    <row r="171" spans="1:43" x14ac:dyDescent="0.25">
      <c r="A171" s="1">
        <v>45936</v>
      </c>
      <c r="B171" t="s">
        <v>48</v>
      </c>
      <c r="C171">
        <v>649163</v>
      </c>
      <c r="D171">
        <v>2016750308</v>
      </c>
      <c r="E171" t="s">
        <v>357</v>
      </c>
      <c r="F171" t="s">
        <v>358</v>
      </c>
      <c r="G171" t="s">
        <v>51</v>
      </c>
      <c r="H171" t="s">
        <v>88</v>
      </c>
      <c r="I171" t="s">
        <v>53</v>
      </c>
      <c r="J171" t="s">
        <v>65</v>
      </c>
      <c r="K171">
        <v>652037</v>
      </c>
      <c r="L171" t="s">
        <v>172</v>
      </c>
      <c r="M171" t="s">
        <v>173</v>
      </c>
      <c r="N171" t="s">
        <v>57</v>
      </c>
      <c r="O171" s="1">
        <v>44873</v>
      </c>
      <c r="Q171" s="1">
        <v>45969</v>
      </c>
      <c r="R171" s="2">
        <v>36.159999999999997</v>
      </c>
      <c r="S171">
        <v>1</v>
      </c>
      <c r="T171" t="s">
        <v>58</v>
      </c>
      <c r="U171" t="s">
        <v>359</v>
      </c>
      <c r="V171" s="4">
        <v>6.5000000000000002E-2</v>
      </c>
      <c r="W171" s="2">
        <v>0</v>
      </c>
      <c r="X171">
        <v>0</v>
      </c>
      <c r="Y171" t="s">
        <v>214</v>
      </c>
      <c r="Z171" t="s">
        <v>360</v>
      </c>
      <c r="AA171">
        <v>0</v>
      </c>
      <c r="AB171" s="2">
        <v>0</v>
      </c>
      <c r="AC171" s="2">
        <v>0</v>
      </c>
      <c r="AD171" s="3">
        <v>0</v>
      </c>
      <c r="AE171" s="2">
        <v>0</v>
      </c>
      <c r="AF171" s="2">
        <v>0</v>
      </c>
      <c r="AG171" s="2">
        <v>0</v>
      </c>
      <c r="AH171" s="2">
        <v>0</v>
      </c>
      <c r="AI171" s="2">
        <v>0</v>
      </c>
      <c r="AJ171" s="2">
        <v>0</v>
      </c>
      <c r="AK171" s="2">
        <v>0</v>
      </c>
      <c r="AL171" s="2">
        <v>0</v>
      </c>
      <c r="AM171" s="2">
        <v>2.35</v>
      </c>
      <c r="AN171" s="2">
        <v>2.35</v>
      </c>
      <c r="AO171" s="2">
        <v>0</v>
      </c>
      <c r="AP171" s="2">
        <v>0</v>
      </c>
      <c r="AQ171" s="2">
        <v>0</v>
      </c>
    </row>
    <row r="172" spans="1:43" x14ac:dyDescent="0.25">
      <c r="A172" s="1">
        <v>45936</v>
      </c>
      <c r="B172" t="s">
        <v>48</v>
      </c>
      <c r="C172">
        <v>649163</v>
      </c>
      <c r="D172">
        <v>2030966817</v>
      </c>
      <c r="E172" t="s">
        <v>361</v>
      </c>
      <c r="F172" t="s">
        <v>362</v>
      </c>
      <c r="G172" t="s">
        <v>51</v>
      </c>
      <c r="H172" t="s">
        <v>323</v>
      </c>
      <c r="I172" t="s">
        <v>243</v>
      </c>
      <c r="J172" t="s">
        <v>244</v>
      </c>
      <c r="K172">
        <v>823350</v>
      </c>
      <c r="L172" t="s">
        <v>66</v>
      </c>
      <c r="M172" t="s">
        <v>67</v>
      </c>
      <c r="N172" t="s">
        <v>57</v>
      </c>
      <c r="O172" s="1">
        <v>45910</v>
      </c>
      <c r="Q172" s="1">
        <v>45971</v>
      </c>
      <c r="R172" s="2">
        <v>61.74</v>
      </c>
      <c r="S172">
        <v>1</v>
      </c>
      <c r="T172" t="s">
        <v>58</v>
      </c>
      <c r="U172" t="s">
        <v>59</v>
      </c>
      <c r="V172" s="4">
        <v>0.375</v>
      </c>
      <c r="W172" s="2">
        <v>0</v>
      </c>
      <c r="X172">
        <v>0</v>
      </c>
      <c r="Y172" t="s">
        <v>60</v>
      </c>
      <c r="Z172" t="s">
        <v>360</v>
      </c>
      <c r="AA172">
        <v>0</v>
      </c>
      <c r="AB172" s="2">
        <v>0</v>
      </c>
      <c r="AC172" s="2">
        <v>0</v>
      </c>
      <c r="AD172" s="3">
        <v>0</v>
      </c>
      <c r="AE172" s="2">
        <v>0</v>
      </c>
      <c r="AF172" s="2">
        <v>0</v>
      </c>
      <c r="AG172" s="2">
        <v>0</v>
      </c>
      <c r="AH172" s="2">
        <v>0</v>
      </c>
      <c r="AI172" s="2">
        <v>0</v>
      </c>
      <c r="AJ172" s="2">
        <v>0</v>
      </c>
      <c r="AK172" s="2">
        <v>0</v>
      </c>
      <c r="AL172" s="2">
        <v>23.15</v>
      </c>
      <c r="AM172" s="2">
        <v>0</v>
      </c>
      <c r="AN172" s="2">
        <v>0</v>
      </c>
      <c r="AO172" s="2">
        <v>0</v>
      </c>
      <c r="AP172" s="2">
        <v>0</v>
      </c>
      <c r="AQ172" s="2">
        <v>0</v>
      </c>
    </row>
    <row r="173" spans="1:43" x14ac:dyDescent="0.25">
      <c r="A173" s="1">
        <v>45936</v>
      </c>
      <c r="B173" t="s">
        <v>48</v>
      </c>
      <c r="C173">
        <v>649163</v>
      </c>
      <c r="D173">
        <v>2020435110</v>
      </c>
      <c r="E173" t="s">
        <v>148</v>
      </c>
      <c r="F173" t="s">
        <v>194</v>
      </c>
      <c r="G173" t="s">
        <v>51</v>
      </c>
      <c r="H173" t="s">
        <v>129</v>
      </c>
      <c r="I173" t="s">
        <v>287</v>
      </c>
      <c r="J173" t="s">
        <v>363</v>
      </c>
      <c r="K173">
        <v>651818</v>
      </c>
      <c r="L173" t="s">
        <v>112</v>
      </c>
      <c r="M173" t="s">
        <v>104</v>
      </c>
      <c r="N173" t="s">
        <v>57</v>
      </c>
      <c r="O173" s="1">
        <v>45231</v>
      </c>
      <c r="Q173" s="1">
        <v>45962</v>
      </c>
      <c r="R173" s="2">
        <v>-132.06</v>
      </c>
      <c r="S173">
        <v>1</v>
      </c>
      <c r="T173" t="s">
        <v>58</v>
      </c>
      <c r="U173" t="s">
        <v>359</v>
      </c>
      <c r="V173" s="3">
        <v>0.05</v>
      </c>
      <c r="W173" s="2">
        <v>0</v>
      </c>
      <c r="X173">
        <v>-1</v>
      </c>
      <c r="Y173" t="s">
        <v>214</v>
      </c>
      <c r="Z173" t="s">
        <v>360</v>
      </c>
      <c r="AA173">
        <v>0</v>
      </c>
      <c r="AB173" s="2">
        <v>0</v>
      </c>
      <c r="AC173" s="2">
        <v>0</v>
      </c>
      <c r="AD173" s="3">
        <v>0</v>
      </c>
      <c r="AE173" s="2">
        <v>0</v>
      </c>
      <c r="AF173" s="2">
        <v>0</v>
      </c>
      <c r="AG173" s="2">
        <v>0</v>
      </c>
      <c r="AH173" s="2">
        <v>0</v>
      </c>
      <c r="AI173" s="2">
        <v>0</v>
      </c>
      <c r="AJ173" s="2">
        <v>0</v>
      </c>
      <c r="AK173" s="2">
        <v>0</v>
      </c>
      <c r="AL173" s="2">
        <v>0</v>
      </c>
      <c r="AM173" s="2">
        <v>-6.6</v>
      </c>
      <c r="AN173" s="2">
        <v>-6.6</v>
      </c>
      <c r="AO173" s="2">
        <v>0</v>
      </c>
      <c r="AP173" s="2">
        <v>0</v>
      </c>
      <c r="AQ173" s="2">
        <v>0</v>
      </c>
    </row>
    <row r="174" spans="1:43" x14ac:dyDescent="0.25">
      <c r="A174" s="1">
        <v>45936</v>
      </c>
      <c r="B174" t="s">
        <v>48</v>
      </c>
      <c r="C174">
        <v>649163</v>
      </c>
      <c r="D174">
        <v>2022853292</v>
      </c>
      <c r="E174" t="s">
        <v>364</v>
      </c>
      <c r="F174" t="s">
        <v>365</v>
      </c>
      <c r="G174" t="s">
        <v>51</v>
      </c>
      <c r="H174" t="s">
        <v>70</v>
      </c>
      <c r="I174" t="s">
        <v>287</v>
      </c>
      <c r="J174" t="s">
        <v>288</v>
      </c>
      <c r="K174">
        <v>751867</v>
      </c>
      <c r="L174" t="s">
        <v>71</v>
      </c>
      <c r="M174" t="s">
        <v>72</v>
      </c>
      <c r="N174" t="s">
        <v>57</v>
      </c>
      <c r="O174" s="1">
        <v>45413</v>
      </c>
      <c r="Q174" s="1">
        <v>45962</v>
      </c>
      <c r="R174" s="2">
        <v>116.64</v>
      </c>
      <c r="S174">
        <v>1</v>
      </c>
      <c r="T174" t="s">
        <v>58</v>
      </c>
      <c r="U174" t="s">
        <v>359</v>
      </c>
      <c r="V174" s="3">
        <v>0.1</v>
      </c>
      <c r="W174" s="2">
        <v>0</v>
      </c>
      <c r="X174">
        <v>0</v>
      </c>
      <c r="Y174" t="s">
        <v>214</v>
      </c>
      <c r="Z174" t="s">
        <v>360</v>
      </c>
      <c r="AA174">
        <v>0</v>
      </c>
      <c r="AB174" s="2">
        <v>0</v>
      </c>
      <c r="AC174" s="2">
        <v>0</v>
      </c>
      <c r="AD174" s="3">
        <v>0</v>
      </c>
      <c r="AE174" s="2">
        <v>0</v>
      </c>
      <c r="AF174" s="2">
        <v>0</v>
      </c>
      <c r="AG174" s="2">
        <v>0</v>
      </c>
      <c r="AH174" s="2">
        <v>0</v>
      </c>
      <c r="AI174" s="2">
        <v>0</v>
      </c>
      <c r="AJ174" s="2">
        <v>0</v>
      </c>
      <c r="AK174" s="2">
        <v>0</v>
      </c>
      <c r="AL174" s="2">
        <v>0</v>
      </c>
      <c r="AM174" s="2">
        <v>11.66</v>
      </c>
      <c r="AN174" s="2">
        <v>11.66</v>
      </c>
      <c r="AO174" s="2">
        <v>0</v>
      </c>
      <c r="AP174" s="2">
        <v>0</v>
      </c>
      <c r="AQ174" s="2">
        <v>0</v>
      </c>
    </row>
    <row r="175" spans="1:43" x14ac:dyDescent="0.25">
      <c r="A175" s="1">
        <v>45936</v>
      </c>
      <c r="B175" t="s">
        <v>48</v>
      </c>
      <c r="C175">
        <v>649163</v>
      </c>
      <c r="D175">
        <v>2022874966</v>
      </c>
      <c r="E175" t="s">
        <v>366</v>
      </c>
      <c r="F175" t="s">
        <v>367</v>
      </c>
      <c r="G175" t="s">
        <v>51</v>
      </c>
      <c r="H175" t="s">
        <v>70</v>
      </c>
      <c r="I175" t="s">
        <v>287</v>
      </c>
      <c r="J175" t="s">
        <v>288</v>
      </c>
      <c r="K175">
        <v>751867</v>
      </c>
      <c r="L175" t="s">
        <v>71</v>
      </c>
      <c r="M175" t="s">
        <v>72</v>
      </c>
      <c r="N175" t="s">
        <v>57</v>
      </c>
      <c r="O175" s="1">
        <v>45413</v>
      </c>
      <c r="Q175" s="1">
        <v>45962</v>
      </c>
      <c r="R175" s="2">
        <v>69.63</v>
      </c>
      <c r="S175">
        <v>1</v>
      </c>
      <c r="T175" t="s">
        <v>58</v>
      </c>
      <c r="U175" t="s">
        <v>359</v>
      </c>
      <c r="V175" s="3">
        <v>0.1</v>
      </c>
      <c r="W175" s="2">
        <v>0</v>
      </c>
      <c r="X175">
        <v>0</v>
      </c>
      <c r="Y175" t="s">
        <v>214</v>
      </c>
      <c r="Z175" t="s">
        <v>360</v>
      </c>
      <c r="AA175">
        <v>0</v>
      </c>
      <c r="AB175" s="2">
        <v>0</v>
      </c>
      <c r="AC175" s="2">
        <v>0</v>
      </c>
      <c r="AD175" s="3">
        <v>0</v>
      </c>
      <c r="AE175" s="2">
        <v>0</v>
      </c>
      <c r="AF175" s="2">
        <v>0</v>
      </c>
      <c r="AG175" s="2">
        <v>0</v>
      </c>
      <c r="AH175" s="2">
        <v>0</v>
      </c>
      <c r="AI175" s="2">
        <v>0</v>
      </c>
      <c r="AJ175" s="2">
        <v>0</v>
      </c>
      <c r="AK175" s="2">
        <v>0</v>
      </c>
      <c r="AL175" s="2">
        <v>0</v>
      </c>
      <c r="AM175" s="2">
        <v>6.96</v>
      </c>
      <c r="AN175" s="2">
        <v>6.96</v>
      </c>
      <c r="AO175" s="2">
        <v>0</v>
      </c>
      <c r="AP175" s="2">
        <v>0</v>
      </c>
      <c r="AQ175" s="2">
        <v>0</v>
      </c>
    </row>
    <row r="176" spans="1:43" x14ac:dyDescent="0.25">
      <c r="A176" s="1">
        <v>45936</v>
      </c>
      <c r="B176" t="s">
        <v>48</v>
      </c>
      <c r="C176">
        <v>649163</v>
      </c>
      <c r="D176">
        <v>2023010064</v>
      </c>
      <c r="E176" t="s">
        <v>368</v>
      </c>
      <c r="F176" t="s">
        <v>369</v>
      </c>
      <c r="G176" t="s">
        <v>51</v>
      </c>
      <c r="H176" t="s">
        <v>262</v>
      </c>
      <c r="I176" t="s">
        <v>287</v>
      </c>
      <c r="J176" t="s">
        <v>288</v>
      </c>
      <c r="K176">
        <v>751867</v>
      </c>
      <c r="L176" t="s">
        <v>71</v>
      </c>
      <c r="M176" t="s">
        <v>72</v>
      </c>
      <c r="N176" t="s">
        <v>57</v>
      </c>
      <c r="O176" s="1">
        <v>45419</v>
      </c>
      <c r="Q176" s="1">
        <v>45968</v>
      </c>
      <c r="R176" s="2">
        <v>17.34</v>
      </c>
      <c r="S176">
        <v>1</v>
      </c>
      <c r="T176" t="s">
        <v>58</v>
      </c>
      <c r="U176" t="s">
        <v>359</v>
      </c>
      <c r="V176" s="3">
        <v>0.1</v>
      </c>
      <c r="W176" s="2">
        <v>0</v>
      </c>
      <c r="X176">
        <v>0</v>
      </c>
      <c r="Y176" t="s">
        <v>214</v>
      </c>
      <c r="Z176" t="s">
        <v>360</v>
      </c>
      <c r="AA176">
        <v>0</v>
      </c>
      <c r="AB176" s="2">
        <v>0</v>
      </c>
      <c r="AC176" s="2">
        <v>0</v>
      </c>
      <c r="AD176" s="3">
        <v>0</v>
      </c>
      <c r="AE176" s="2">
        <v>0</v>
      </c>
      <c r="AF176" s="2">
        <v>0</v>
      </c>
      <c r="AG176" s="2">
        <v>0</v>
      </c>
      <c r="AH176" s="2">
        <v>0</v>
      </c>
      <c r="AI176" s="2">
        <v>0</v>
      </c>
      <c r="AJ176" s="2">
        <v>0</v>
      </c>
      <c r="AK176" s="2">
        <v>0</v>
      </c>
      <c r="AL176" s="2">
        <v>0</v>
      </c>
      <c r="AM176" s="2">
        <v>1.73</v>
      </c>
      <c r="AN176" s="2">
        <v>1.73</v>
      </c>
      <c r="AO176" s="2">
        <v>0</v>
      </c>
      <c r="AP176" s="2">
        <v>0</v>
      </c>
      <c r="AQ176" s="2">
        <v>0</v>
      </c>
    </row>
    <row r="177" spans="1:43" x14ac:dyDescent="0.25">
      <c r="A177" s="1">
        <v>45936</v>
      </c>
      <c r="B177" t="s">
        <v>48</v>
      </c>
      <c r="C177">
        <v>649163</v>
      </c>
      <c r="D177">
        <v>2023048531</v>
      </c>
      <c r="E177" t="s">
        <v>370</v>
      </c>
      <c r="F177" t="s">
        <v>371</v>
      </c>
      <c r="G177" t="s">
        <v>51</v>
      </c>
      <c r="H177" t="s">
        <v>262</v>
      </c>
      <c r="I177" t="s">
        <v>287</v>
      </c>
      <c r="J177" t="s">
        <v>288</v>
      </c>
      <c r="K177">
        <v>751867</v>
      </c>
      <c r="L177" t="s">
        <v>71</v>
      </c>
      <c r="M177" t="s">
        <v>72</v>
      </c>
      <c r="N177" t="s">
        <v>57</v>
      </c>
      <c r="O177" s="1">
        <v>45422</v>
      </c>
      <c r="Q177" s="1">
        <v>45971</v>
      </c>
      <c r="R177" s="2">
        <v>55.07</v>
      </c>
      <c r="S177">
        <v>1</v>
      </c>
      <c r="T177" t="s">
        <v>58</v>
      </c>
      <c r="U177" t="s">
        <v>359</v>
      </c>
      <c r="V177" s="3">
        <v>0.1</v>
      </c>
      <c r="W177" s="2">
        <v>0</v>
      </c>
      <c r="X177">
        <v>0</v>
      </c>
      <c r="Y177" t="s">
        <v>214</v>
      </c>
      <c r="Z177" t="s">
        <v>360</v>
      </c>
      <c r="AA177">
        <v>0</v>
      </c>
      <c r="AB177" s="2">
        <v>0</v>
      </c>
      <c r="AC177" s="2">
        <v>0</v>
      </c>
      <c r="AD177" s="3">
        <v>0</v>
      </c>
      <c r="AE177" s="2">
        <v>0</v>
      </c>
      <c r="AF177" s="2">
        <v>0</v>
      </c>
      <c r="AG177" s="2">
        <v>0</v>
      </c>
      <c r="AH177" s="2">
        <v>0</v>
      </c>
      <c r="AI177" s="2">
        <v>0</v>
      </c>
      <c r="AJ177" s="2">
        <v>0</v>
      </c>
      <c r="AK177" s="2">
        <v>0</v>
      </c>
      <c r="AL177" s="2">
        <v>0</v>
      </c>
      <c r="AM177" s="2">
        <v>5.51</v>
      </c>
      <c r="AN177" s="2">
        <v>5.51</v>
      </c>
      <c r="AO177" s="2">
        <v>0</v>
      </c>
      <c r="AP177" s="2">
        <v>0</v>
      </c>
      <c r="AQ177" s="2">
        <v>0</v>
      </c>
    </row>
    <row r="178" spans="1:43" x14ac:dyDescent="0.25">
      <c r="A178" s="1">
        <v>45936</v>
      </c>
      <c r="B178" t="s">
        <v>48</v>
      </c>
      <c r="C178">
        <v>649163</v>
      </c>
      <c r="D178">
        <v>2023245976</v>
      </c>
      <c r="E178" t="s">
        <v>372</v>
      </c>
      <c r="F178" t="s">
        <v>373</v>
      </c>
      <c r="G178" t="s">
        <v>51</v>
      </c>
      <c r="H178" t="s">
        <v>70</v>
      </c>
      <c r="I178" t="s">
        <v>287</v>
      </c>
      <c r="J178" t="s">
        <v>288</v>
      </c>
      <c r="K178">
        <v>650218</v>
      </c>
      <c r="L178" t="s">
        <v>237</v>
      </c>
      <c r="M178" t="s">
        <v>238</v>
      </c>
      <c r="N178" t="s">
        <v>57</v>
      </c>
      <c r="O178" s="1">
        <v>45444</v>
      </c>
      <c r="Q178" s="1">
        <v>45962</v>
      </c>
      <c r="R178" s="2">
        <v>22.77</v>
      </c>
      <c r="S178">
        <v>1</v>
      </c>
      <c r="T178" t="s">
        <v>58</v>
      </c>
      <c r="U178" t="s">
        <v>359</v>
      </c>
      <c r="V178" s="3">
        <v>0.1</v>
      </c>
      <c r="W178" s="2">
        <v>0</v>
      </c>
      <c r="X178">
        <v>0</v>
      </c>
      <c r="Y178" t="s">
        <v>214</v>
      </c>
      <c r="Z178" t="s">
        <v>360</v>
      </c>
      <c r="AA178">
        <v>0</v>
      </c>
      <c r="AB178" s="2">
        <v>0</v>
      </c>
      <c r="AC178" s="2">
        <v>0</v>
      </c>
      <c r="AD178" s="3">
        <v>0</v>
      </c>
      <c r="AE178" s="2">
        <v>0</v>
      </c>
      <c r="AF178" s="2">
        <v>0</v>
      </c>
      <c r="AG178" s="2">
        <v>0</v>
      </c>
      <c r="AH178" s="2">
        <v>0</v>
      </c>
      <c r="AI178" s="2">
        <v>0</v>
      </c>
      <c r="AJ178" s="2">
        <v>0</v>
      </c>
      <c r="AK178" s="2">
        <v>0</v>
      </c>
      <c r="AL178" s="2">
        <v>0</v>
      </c>
      <c r="AM178" s="2">
        <v>2.2799999999999998</v>
      </c>
      <c r="AN178" s="2">
        <v>2.2799999999999998</v>
      </c>
      <c r="AO178" s="2">
        <v>0</v>
      </c>
      <c r="AP178" s="2">
        <v>0</v>
      </c>
      <c r="AQ178" s="2">
        <v>0</v>
      </c>
    </row>
    <row r="179" spans="1:43" x14ac:dyDescent="0.25">
      <c r="A179" s="1">
        <v>45936</v>
      </c>
      <c r="B179" t="s">
        <v>48</v>
      </c>
      <c r="C179">
        <v>649163</v>
      </c>
      <c r="D179">
        <v>2023372598</v>
      </c>
      <c r="E179" t="s">
        <v>374</v>
      </c>
      <c r="F179" t="s">
        <v>375</v>
      </c>
      <c r="G179" t="s">
        <v>51</v>
      </c>
      <c r="H179" t="s">
        <v>376</v>
      </c>
      <c r="I179" t="s">
        <v>287</v>
      </c>
      <c r="J179" t="s">
        <v>288</v>
      </c>
      <c r="K179">
        <v>650218</v>
      </c>
      <c r="L179" t="s">
        <v>237</v>
      </c>
      <c r="M179" t="s">
        <v>238</v>
      </c>
      <c r="N179" t="s">
        <v>57</v>
      </c>
      <c r="O179" s="1">
        <v>45447</v>
      </c>
      <c r="Q179" s="1">
        <v>45965</v>
      </c>
      <c r="R179" s="2">
        <v>30.89</v>
      </c>
      <c r="S179">
        <v>1</v>
      </c>
      <c r="T179" t="s">
        <v>58</v>
      </c>
      <c r="U179" t="s">
        <v>359</v>
      </c>
      <c r="V179" s="3">
        <v>0.1</v>
      </c>
      <c r="W179" s="2">
        <v>0</v>
      </c>
      <c r="X179">
        <v>0</v>
      </c>
      <c r="Y179" t="s">
        <v>214</v>
      </c>
      <c r="Z179" t="s">
        <v>360</v>
      </c>
      <c r="AA179">
        <v>0</v>
      </c>
      <c r="AB179" s="2">
        <v>0</v>
      </c>
      <c r="AC179" s="2">
        <v>0</v>
      </c>
      <c r="AD179" s="3">
        <v>0</v>
      </c>
      <c r="AE179" s="2">
        <v>0</v>
      </c>
      <c r="AF179" s="2">
        <v>0</v>
      </c>
      <c r="AG179" s="2">
        <v>0</v>
      </c>
      <c r="AH179" s="2">
        <v>0</v>
      </c>
      <c r="AI179" s="2">
        <v>0</v>
      </c>
      <c r="AJ179" s="2">
        <v>0</v>
      </c>
      <c r="AK179" s="2">
        <v>0</v>
      </c>
      <c r="AL179" s="2">
        <v>0</v>
      </c>
      <c r="AM179" s="2">
        <v>3.09</v>
      </c>
      <c r="AN179" s="2">
        <v>3.09</v>
      </c>
      <c r="AO179" s="2">
        <v>0</v>
      </c>
      <c r="AP179" s="2">
        <v>0</v>
      </c>
      <c r="AQ179" s="2">
        <v>0</v>
      </c>
    </row>
    <row r="180" spans="1:43" x14ac:dyDescent="0.25">
      <c r="A180" s="1">
        <v>45936</v>
      </c>
      <c r="B180" t="s">
        <v>48</v>
      </c>
      <c r="C180">
        <v>649163</v>
      </c>
      <c r="D180">
        <v>2023402087</v>
      </c>
      <c r="E180" t="s">
        <v>377</v>
      </c>
      <c r="F180" t="s">
        <v>378</v>
      </c>
      <c r="G180" t="s">
        <v>51</v>
      </c>
      <c r="H180" t="s">
        <v>323</v>
      </c>
      <c r="I180" t="s">
        <v>287</v>
      </c>
      <c r="J180" t="s">
        <v>288</v>
      </c>
      <c r="K180">
        <v>673059</v>
      </c>
      <c r="L180" t="s">
        <v>80</v>
      </c>
      <c r="M180" t="s">
        <v>81</v>
      </c>
      <c r="N180" t="s">
        <v>57</v>
      </c>
      <c r="O180" s="1">
        <v>45449</v>
      </c>
      <c r="Q180" s="1">
        <v>45967</v>
      </c>
      <c r="R180" s="2">
        <v>15.77</v>
      </c>
      <c r="S180">
        <v>1</v>
      </c>
      <c r="T180" t="s">
        <v>58</v>
      </c>
      <c r="U180" t="s">
        <v>359</v>
      </c>
      <c r="V180" s="3">
        <v>0.1</v>
      </c>
      <c r="W180" s="2">
        <v>0</v>
      </c>
      <c r="X180">
        <v>0</v>
      </c>
      <c r="Y180" t="s">
        <v>214</v>
      </c>
      <c r="Z180" t="s">
        <v>360</v>
      </c>
      <c r="AA180">
        <v>0</v>
      </c>
      <c r="AB180" s="2">
        <v>0</v>
      </c>
      <c r="AC180" s="2">
        <v>0</v>
      </c>
      <c r="AD180" s="3">
        <v>0</v>
      </c>
      <c r="AE180" s="2">
        <v>0</v>
      </c>
      <c r="AF180" s="2">
        <v>0</v>
      </c>
      <c r="AG180" s="2">
        <v>0</v>
      </c>
      <c r="AH180" s="2">
        <v>0</v>
      </c>
      <c r="AI180" s="2">
        <v>0</v>
      </c>
      <c r="AJ180" s="2">
        <v>0</v>
      </c>
      <c r="AK180" s="2">
        <v>0</v>
      </c>
      <c r="AL180" s="2">
        <v>0</v>
      </c>
      <c r="AM180" s="2">
        <v>1.58</v>
      </c>
      <c r="AN180" s="2">
        <v>1.58</v>
      </c>
      <c r="AO180" s="2">
        <v>0</v>
      </c>
      <c r="AP180" s="2">
        <v>0</v>
      </c>
      <c r="AQ180" s="2">
        <v>0</v>
      </c>
    </row>
    <row r="181" spans="1:43" x14ac:dyDescent="0.25">
      <c r="A181" s="1">
        <v>45936</v>
      </c>
      <c r="B181" t="s">
        <v>48</v>
      </c>
      <c r="C181">
        <v>649163</v>
      </c>
      <c r="D181">
        <v>2024320118</v>
      </c>
      <c r="E181" t="s">
        <v>379</v>
      </c>
      <c r="F181" t="s">
        <v>224</v>
      </c>
      <c r="G181" t="s">
        <v>51</v>
      </c>
      <c r="H181" t="s">
        <v>70</v>
      </c>
      <c r="I181" t="s">
        <v>287</v>
      </c>
      <c r="J181" t="s">
        <v>288</v>
      </c>
      <c r="K181">
        <v>650218</v>
      </c>
      <c r="L181" t="s">
        <v>237</v>
      </c>
      <c r="M181" t="s">
        <v>238</v>
      </c>
      <c r="N181" t="s">
        <v>57</v>
      </c>
      <c r="O181" s="1">
        <v>45514</v>
      </c>
      <c r="Q181" s="1">
        <v>45971</v>
      </c>
      <c r="R181" s="2">
        <v>19.309999999999999</v>
      </c>
      <c r="S181">
        <v>1</v>
      </c>
      <c r="T181" t="s">
        <v>58</v>
      </c>
      <c r="U181" t="s">
        <v>359</v>
      </c>
      <c r="V181" s="3">
        <v>0.1</v>
      </c>
      <c r="W181" s="2">
        <v>0</v>
      </c>
      <c r="X181">
        <v>0</v>
      </c>
      <c r="Y181" t="s">
        <v>214</v>
      </c>
      <c r="Z181" t="s">
        <v>360</v>
      </c>
      <c r="AA181">
        <v>0</v>
      </c>
      <c r="AB181" s="2">
        <v>0</v>
      </c>
      <c r="AC181" s="2">
        <v>0</v>
      </c>
      <c r="AD181" s="3">
        <v>0</v>
      </c>
      <c r="AE181" s="2">
        <v>0</v>
      </c>
      <c r="AF181" s="2">
        <v>0</v>
      </c>
      <c r="AG181" s="2">
        <v>0</v>
      </c>
      <c r="AH181" s="2">
        <v>0</v>
      </c>
      <c r="AI181" s="2">
        <v>0</v>
      </c>
      <c r="AJ181" s="2">
        <v>0</v>
      </c>
      <c r="AK181" s="2">
        <v>0</v>
      </c>
      <c r="AL181" s="2">
        <v>0</v>
      </c>
      <c r="AM181" s="2">
        <v>1.93</v>
      </c>
      <c r="AN181" s="2">
        <v>1.93</v>
      </c>
      <c r="AO181" s="2">
        <v>0</v>
      </c>
      <c r="AP181" s="2">
        <v>0</v>
      </c>
      <c r="AQ181" s="2">
        <v>0</v>
      </c>
    </row>
    <row r="182" spans="1:43" x14ac:dyDescent="0.25">
      <c r="A182" s="1">
        <v>45936</v>
      </c>
      <c r="B182" t="s">
        <v>48</v>
      </c>
      <c r="C182">
        <v>649163</v>
      </c>
      <c r="D182">
        <v>2024324039</v>
      </c>
      <c r="E182" t="s">
        <v>380</v>
      </c>
      <c r="F182" t="s">
        <v>381</v>
      </c>
      <c r="G182" t="s">
        <v>51</v>
      </c>
      <c r="H182" t="s">
        <v>382</v>
      </c>
      <c r="I182" t="s">
        <v>287</v>
      </c>
      <c r="J182" t="s">
        <v>288</v>
      </c>
      <c r="K182">
        <v>650218</v>
      </c>
      <c r="L182" t="s">
        <v>237</v>
      </c>
      <c r="M182" t="s">
        <v>238</v>
      </c>
      <c r="N182" t="s">
        <v>57</v>
      </c>
      <c r="O182" s="1">
        <v>45514</v>
      </c>
      <c r="Q182" s="1">
        <v>45971</v>
      </c>
      <c r="R182" s="2">
        <v>11.03</v>
      </c>
      <c r="S182">
        <v>1</v>
      </c>
      <c r="T182" t="s">
        <v>58</v>
      </c>
      <c r="U182" t="s">
        <v>359</v>
      </c>
      <c r="V182" s="3">
        <v>0.1</v>
      </c>
      <c r="W182" s="2">
        <v>0</v>
      </c>
      <c r="X182">
        <v>0</v>
      </c>
      <c r="Y182" t="s">
        <v>214</v>
      </c>
      <c r="Z182" t="s">
        <v>360</v>
      </c>
      <c r="AA182">
        <v>0</v>
      </c>
      <c r="AB182" s="2">
        <v>0</v>
      </c>
      <c r="AC182" s="2">
        <v>0</v>
      </c>
      <c r="AD182" s="3">
        <v>0</v>
      </c>
      <c r="AE182" s="2">
        <v>0</v>
      </c>
      <c r="AF182" s="2">
        <v>0</v>
      </c>
      <c r="AG182" s="2">
        <v>0</v>
      </c>
      <c r="AH182" s="2">
        <v>0</v>
      </c>
      <c r="AI182" s="2">
        <v>0</v>
      </c>
      <c r="AJ182" s="2">
        <v>0</v>
      </c>
      <c r="AK182" s="2">
        <v>0</v>
      </c>
      <c r="AL182" s="2">
        <v>0</v>
      </c>
      <c r="AM182" s="2">
        <v>1.1000000000000001</v>
      </c>
      <c r="AN182" s="2">
        <v>1.1000000000000001</v>
      </c>
      <c r="AO182" s="2">
        <v>0</v>
      </c>
      <c r="AP182" s="2">
        <v>0</v>
      </c>
      <c r="AQ182" s="2">
        <v>0</v>
      </c>
    </row>
    <row r="183" spans="1:43" x14ac:dyDescent="0.25">
      <c r="A183" s="1">
        <v>45936</v>
      </c>
      <c r="B183" t="s">
        <v>48</v>
      </c>
      <c r="C183">
        <v>649163</v>
      </c>
      <c r="D183">
        <v>2024737147</v>
      </c>
      <c r="E183" t="s">
        <v>383</v>
      </c>
      <c r="F183" t="s">
        <v>384</v>
      </c>
      <c r="G183" t="s">
        <v>51</v>
      </c>
      <c r="H183" t="s">
        <v>385</v>
      </c>
      <c r="I183" t="s">
        <v>287</v>
      </c>
      <c r="J183" t="s">
        <v>288</v>
      </c>
      <c r="K183">
        <v>751867</v>
      </c>
      <c r="L183" t="s">
        <v>71</v>
      </c>
      <c r="M183" t="s">
        <v>72</v>
      </c>
      <c r="N183" t="s">
        <v>57</v>
      </c>
      <c r="O183" s="1">
        <v>45541</v>
      </c>
      <c r="Q183" s="1">
        <v>45967</v>
      </c>
      <c r="R183" s="2">
        <v>43.39</v>
      </c>
      <c r="S183">
        <v>1</v>
      </c>
      <c r="T183" t="s">
        <v>58</v>
      </c>
      <c r="U183" t="s">
        <v>359</v>
      </c>
      <c r="V183" s="3">
        <v>0.1</v>
      </c>
      <c r="W183" s="2">
        <v>0</v>
      </c>
      <c r="X183">
        <v>0</v>
      </c>
      <c r="Y183" t="s">
        <v>214</v>
      </c>
      <c r="Z183" t="s">
        <v>360</v>
      </c>
      <c r="AA183">
        <v>0</v>
      </c>
      <c r="AB183" s="2">
        <v>0</v>
      </c>
      <c r="AC183" s="2">
        <v>0</v>
      </c>
      <c r="AD183" s="3">
        <v>0</v>
      </c>
      <c r="AE183" s="2">
        <v>0</v>
      </c>
      <c r="AF183" s="2">
        <v>0</v>
      </c>
      <c r="AG183" s="2">
        <v>0</v>
      </c>
      <c r="AH183" s="2">
        <v>0</v>
      </c>
      <c r="AI183" s="2">
        <v>0</v>
      </c>
      <c r="AJ183" s="2">
        <v>0</v>
      </c>
      <c r="AK183" s="2">
        <v>0</v>
      </c>
      <c r="AL183" s="2">
        <v>0</v>
      </c>
      <c r="AM183" s="2">
        <v>4.34</v>
      </c>
      <c r="AN183" s="2">
        <v>4.34</v>
      </c>
      <c r="AO183" s="2">
        <v>0</v>
      </c>
      <c r="AP183" s="2">
        <v>0</v>
      </c>
      <c r="AQ183" s="2">
        <v>0</v>
      </c>
    </row>
    <row r="184" spans="1:43" x14ac:dyDescent="0.25">
      <c r="A184" s="1">
        <v>45936</v>
      </c>
      <c r="B184" t="s">
        <v>48</v>
      </c>
      <c r="C184">
        <v>649163</v>
      </c>
      <c r="D184">
        <v>2024752409</v>
      </c>
      <c r="E184" t="s">
        <v>386</v>
      </c>
      <c r="F184" t="s">
        <v>387</v>
      </c>
      <c r="G184" t="s">
        <v>51</v>
      </c>
      <c r="H184" t="s">
        <v>385</v>
      </c>
      <c r="I184" t="s">
        <v>287</v>
      </c>
      <c r="J184" t="s">
        <v>288</v>
      </c>
      <c r="K184">
        <v>751867</v>
      </c>
      <c r="L184" t="s">
        <v>71</v>
      </c>
      <c r="M184" t="s">
        <v>72</v>
      </c>
      <c r="N184" t="s">
        <v>57</v>
      </c>
      <c r="O184" s="1">
        <v>45544</v>
      </c>
      <c r="Q184" s="1">
        <v>45970</v>
      </c>
      <c r="R184" s="2">
        <v>20.76</v>
      </c>
      <c r="S184">
        <v>1</v>
      </c>
      <c r="T184" t="s">
        <v>58</v>
      </c>
      <c r="U184" t="s">
        <v>359</v>
      </c>
      <c r="V184" s="3">
        <v>0.1</v>
      </c>
      <c r="W184" s="2">
        <v>0</v>
      </c>
      <c r="X184">
        <v>0</v>
      </c>
      <c r="Y184" t="s">
        <v>214</v>
      </c>
      <c r="Z184" t="s">
        <v>360</v>
      </c>
      <c r="AA184">
        <v>0</v>
      </c>
      <c r="AB184" s="2">
        <v>0</v>
      </c>
      <c r="AC184" s="2">
        <v>0</v>
      </c>
      <c r="AD184" s="3">
        <v>0</v>
      </c>
      <c r="AE184" s="2">
        <v>0</v>
      </c>
      <c r="AF184" s="2">
        <v>0</v>
      </c>
      <c r="AG184" s="2">
        <v>0</v>
      </c>
      <c r="AH184" s="2">
        <v>0</v>
      </c>
      <c r="AI184" s="2">
        <v>0</v>
      </c>
      <c r="AJ184" s="2">
        <v>0</v>
      </c>
      <c r="AK184" s="2">
        <v>0</v>
      </c>
      <c r="AL184" s="2">
        <v>0</v>
      </c>
      <c r="AM184" s="2">
        <v>2.08</v>
      </c>
      <c r="AN184" s="2">
        <v>2.08</v>
      </c>
      <c r="AO184" s="2">
        <v>0</v>
      </c>
      <c r="AP184" s="2">
        <v>0</v>
      </c>
      <c r="AQ184" s="2">
        <v>0</v>
      </c>
    </row>
    <row r="185" spans="1:43" x14ac:dyDescent="0.25">
      <c r="A185" s="1">
        <v>45936</v>
      </c>
      <c r="B185" t="s">
        <v>48</v>
      </c>
      <c r="C185">
        <v>649163</v>
      </c>
      <c r="D185">
        <v>2025222896</v>
      </c>
      <c r="E185" t="s">
        <v>388</v>
      </c>
      <c r="F185" t="s">
        <v>389</v>
      </c>
      <c r="G185" t="s">
        <v>51</v>
      </c>
      <c r="H185" t="s">
        <v>390</v>
      </c>
      <c r="I185" t="s">
        <v>287</v>
      </c>
      <c r="J185" t="s">
        <v>288</v>
      </c>
      <c r="K185">
        <v>751867</v>
      </c>
      <c r="L185" t="s">
        <v>71</v>
      </c>
      <c r="M185" t="s">
        <v>72</v>
      </c>
      <c r="N185" t="s">
        <v>57</v>
      </c>
      <c r="O185" s="1">
        <v>45574</v>
      </c>
      <c r="Q185" s="1">
        <v>45970</v>
      </c>
      <c r="R185" s="2">
        <v>31.64</v>
      </c>
      <c r="S185">
        <v>1</v>
      </c>
      <c r="T185" t="s">
        <v>58</v>
      </c>
      <c r="U185" t="s">
        <v>359</v>
      </c>
      <c r="V185" s="3">
        <v>0.1</v>
      </c>
      <c r="W185" s="2">
        <v>0</v>
      </c>
      <c r="X185">
        <v>0</v>
      </c>
      <c r="Y185" t="s">
        <v>214</v>
      </c>
      <c r="Z185" t="s">
        <v>360</v>
      </c>
      <c r="AA185">
        <v>0</v>
      </c>
      <c r="AB185" s="2">
        <v>0</v>
      </c>
      <c r="AC185" s="2">
        <v>0</v>
      </c>
      <c r="AD185" s="3">
        <v>0</v>
      </c>
      <c r="AE185" s="2">
        <v>0</v>
      </c>
      <c r="AF185" s="2">
        <v>0</v>
      </c>
      <c r="AG185" s="2">
        <v>0</v>
      </c>
      <c r="AH185" s="2">
        <v>0</v>
      </c>
      <c r="AI185" s="2">
        <v>0</v>
      </c>
      <c r="AJ185" s="2">
        <v>0</v>
      </c>
      <c r="AK185" s="2">
        <v>0</v>
      </c>
      <c r="AL185" s="2">
        <v>0</v>
      </c>
      <c r="AM185" s="2">
        <v>3.16</v>
      </c>
      <c r="AN185" s="2">
        <v>3.16</v>
      </c>
      <c r="AO185" s="2">
        <v>0</v>
      </c>
      <c r="AP185" s="2">
        <v>0</v>
      </c>
      <c r="AQ185" s="2">
        <v>0</v>
      </c>
    </row>
    <row r="186" spans="1:43" x14ac:dyDescent="0.25">
      <c r="A186" s="1">
        <v>45936</v>
      </c>
      <c r="B186" t="s">
        <v>48</v>
      </c>
      <c r="C186">
        <v>649163</v>
      </c>
      <c r="D186">
        <v>2025655643</v>
      </c>
      <c r="E186" t="s">
        <v>391</v>
      </c>
      <c r="F186" t="s">
        <v>392</v>
      </c>
      <c r="G186" t="s">
        <v>51</v>
      </c>
      <c r="H186" t="s">
        <v>70</v>
      </c>
      <c r="I186" t="s">
        <v>287</v>
      </c>
      <c r="J186" t="s">
        <v>288</v>
      </c>
      <c r="K186">
        <v>650218</v>
      </c>
      <c r="L186" t="s">
        <v>237</v>
      </c>
      <c r="M186" t="s">
        <v>238</v>
      </c>
      <c r="N186" t="s">
        <v>57</v>
      </c>
      <c r="O186" s="1">
        <v>45603</v>
      </c>
      <c r="Q186" s="1">
        <v>45968</v>
      </c>
      <c r="R186" s="2">
        <v>55.16</v>
      </c>
      <c r="S186">
        <v>1</v>
      </c>
      <c r="T186" t="s">
        <v>58</v>
      </c>
      <c r="U186" t="s">
        <v>359</v>
      </c>
      <c r="V186" s="3">
        <v>0.38</v>
      </c>
      <c r="W186" s="2">
        <v>0</v>
      </c>
      <c r="X186">
        <v>0</v>
      </c>
      <c r="Y186" t="s">
        <v>60</v>
      </c>
      <c r="Z186" t="s">
        <v>360</v>
      </c>
      <c r="AA186">
        <v>0</v>
      </c>
      <c r="AB186" s="2">
        <v>0</v>
      </c>
      <c r="AC186" s="2">
        <v>0</v>
      </c>
      <c r="AD186" s="3">
        <v>0</v>
      </c>
      <c r="AE186" s="2">
        <v>0</v>
      </c>
      <c r="AF186" s="2">
        <v>0</v>
      </c>
      <c r="AG186" s="2">
        <v>0</v>
      </c>
      <c r="AH186" s="2">
        <v>0</v>
      </c>
      <c r="AI186" s="2">
        <v>0</v>
      </c>
      <c r="AJ186" s="2">
        <v>0</v>
      </c>
      <c r="AK186" s="2">
        <v>0</v>
      </c>
      <c r="AL186" s="2">
        <v>0</v>
      </c>
      <c r="AM186" s="2">
        <v>20.96</v>
      </c>
      <c r="AN186" s="2">
        <v>20.96</v>
      </c>
      <c r="AO186" s="2">
        <v>0</v>
      </c>
      <c r="AP186" s="2">
        <v>0</v>
      </c>
      <c r="AQ186" s="2">
        <v>0</v>
      </c>
    </row>
    <row r="187" spans="1:43" x14ac:dyDescent="0.25">
      <c r="A187" s="1">
        <v>45936</v>
      </c>
      <c r="B187" t="s">
        <v>48</v>
      </c>
      <c r="C187">
        <v>649163</v>
      </c>
      <c r="D187">
        <v>2025698056</v>
      </c>
      <c r="E187" t="s">
        <v>139</v>
      </c>
      <c r="F187" t="s">
        <v>393</v>
      </c>
      <c r="G187" t="s">
        <v>51</v>
      </c>
      <c r="H187" t="s">
        <v>88</v>
      </c>
      <c r="I187" t="s">
        <v>287</v>
      </c>
      <c r="J187" t="s">
        <v>288</v>
      </c>
      <c r="K187">
        <v>650218</v>
      </c>
      <c r="L187" t="s">
        <v>237</v>
      </c>
      <c r="M187" t="s">
        <v>238</v>
      </c>
      <c r="N187" t="s">
        <v>57</v>
      </c>
      <c r="O187" s="1">
        <v>45605</v>
      </c>
      <c r="Q187" s="1">
        <v>45970</v>
      </c>
      <c r="R187" s="2">
        <v>26.12</v>
      </c>
      <c r="S187">
        <v>1</v>
      </c>
      <c r="T187" t="s">
        <v>58</v>
      </c>
      <c r="U187" t="s">
        <v>359</v>
      </c>
      <c r="V187" s="3">
        <v>0.38</v>
      </c>
      <c r="W187" s="2">
        <v>0</v>
      </c>
      <c r="X187">
        <v>0</v>
      </c>
      <c r="Y187" t="s">
        <v>60</v>
      </c>
      <c r="Z187" t="s">
        <v>360</v>
      </c>
      <c r="AA187">
        <v>0</v>
      </c>
      <c r="AB187" s="2">
        <v>0</v>
      </c>
      <c r="AC187" s="2">
        <v>0</v>
      </c>
      <c r="AD187" s="3">
        <v>0</v>
      </c>
      <c r="AE187" s="2">
        <v>0</v>
      </c>
      <c r="AF187" s="2">
        <v>0</v>
      </c>
      <c r="AG187" s="2">
        <v>0</v>
      </c>
      <c r="AH187" s="2">
        <v>0</v>
      </c>
      <c r="AI187" s="2">
        <v>0</v>
      </c>
      <c r="AJ187" s="2">
        <v>0</v>
      </c>
      <c r="AK187" s="2">
        <v>0</v>
      </c>
      <c r="AL187" s="2">
        <v>0</v>
      </c>
      <c r="AM187" s="2">
        <v>9.93</v>
      </c>
      <c r="AN187" s="2">
        <v>9.93</v>
      </c>
      <c r="AO187" s="2">
        <v>0</v>
      </c>
      <c r="AP187" s="2">
        <v>0</v>
      </c>
      <c r="AQ187" s="2">
        <v>0</v>
      </c>
    </row>
    <row r="188" spans="1:43" x14ac:dyDescent="0.25">
      <c r="A188" s="1">
        <v>45936</v>
      </c>
      <c r="B188" t="s">
        <v>48</v>
      </c>
      <c r="C188">
        <v>649163</v>
      </c>
      <c r="D188">
        <v>2026456392</v>
      </c>
      <c r="E188" t="s">
        <v>394</v>
      </c>
      <c r="F188" t="s">
        <v>395</v>
      </c>
      <c r="G188" t="s">
        <v>51</v>
      </c>
      <c r="H188" t="s">
        <v>203</v>
      </c>
      <c r="I188" t="s">
        <v>287</v>
      </c>
      <c r="J188" t="s">
        <v>288</v>
      </c>
      <c r="K188">
        <v>816021</v>
      </c>
      <c r="L188" t="s">
        <v>265</v>
      </c>
      <c r="M188" t="s">
        <v>266</v>
      </c>
      <c r="N188" t="s">
        <v>57</v>
      </c>
      <c r="O188" s="1">
        <v>45662</v>
      </c>
      <c r="Q188" s="1">
        <v>45966</v>
      </c>
      <c r="R188" s="2">
        <v>66.91</v>
      </c>
      <c r="S188">
        <v>1</v>
      </c>
      <c r="T188" t="s">
        <v>58</v>
      </c>
      <c r="U188" t="s">
        <v>359</v>
      </c>
      <c r="V188" s="3">
        <v>0.38</v>
      </c>
      <c r="W188" s="2">
        <v>0</v>
      </c>
      <c r="X188">
        <v>0</v>
      </c>
      <c r="Y188" t="s">
        <v>60</v>
      </c>
      <c r="Z188" t="s">
        <v>360</v>
      </c>
      <c r="AA188">
        <v>0</v>
      </c>
      <c r="AB188" s="2">
        <v>0</v>
      </c>
      <c r="AC188" s="2">
        <v>0</v>
      </c>
      <c r="AD188" s="3">
        <v>0</v>
      </c>
      <c r="AE188" s="2">
        <v>0</v>
      </c>
      <c r="AF188" s="2">
        <v>0</v>
      </c>
      <c r="AG188" s="2">
        <v>0</v>
      </c>
      <c r="AH188" s="2">
        <v>0</v>
      </c>
      <c r="AI188" s="2">
        <v>0</v>
      </c>
      <c r="AJ188" s="2">
        <v>0</v>
      </c>
      <c r="AK188" s="2">
        <v>0</v>
      </c>
      <c r="AL188" s="2">
        <v>0</v>
      </c>
      <c r="AM188" s="2">
        <v>25.43</v>
      </c>
      <c r="AN188" s="2">
        <v>25.43</v>
      </c>
      <c r="AO188" s="2">
        <v>0</v>
      </c>
      <c r="AP188" s="2">
        <v>0</v>
      </c>
      <c r="AQ188" s="2">
        <v>0</v>
      </c>
    </row>
    <row r="189" spans="1:43" x14ac:dyDescent="0.25">
      <c r="A189" s="1">
        <v>45936</v>
      </c>
      <c r="B189" t="s">
        <v>48</v>
      </c>
      <c r="C189">
        <v>649163</v>
      </c>
      <c r="D189">
        <v>2026485483</v>
      </c>
      <c r="E189" t="s">
        <v>396</v>
      </c>
      <c r="F189" t="s">
        <v>397</v>
      </c>
      <c r="G189" t="s">
        <v>51</v>
      </c>
      <c r="H189" t="s">
        <v>129</v>
      </c>
      <c r="I189" t="s">
        <v>287</v>
      </c>
      <c r="J189" t="s">
        <v>288</v>
      </c>
      <c r="K189">
        <v>650218</v>
      </c>
      <c r="L189" t="s">
        <v>237</v>
      </c>
      <c r="M189" t="s">
        <v>238</v>
      </c>
      <c r="N189" t="s">
        <v>57</v>
      </c>
      <c r="O189" s="1">
        <v>45665</v>
      </c>
      <c r="Q189" s="1">
        <v>45969</v>
      </c>
      <c r="R189" s="2">
        <v>39.28</v>
      </c>
      <c r="S189">
        <v>1</v>
      </c>
      <c r="T189" t="s">
        <v>58</v>
      </c>
      <c r="U189" t="s">
        <v>359</v>
      </c>
      <c r="V189" s="3">
        <v>0.38</v>
      </c>
      <c r="W189" s="2">
        <v>0</v>
      </c>
      <c r="X189">
        <v>0</v>
      </c>
      <c r="Y189" t="s">
        <v>60</v>
      </c>
      <c r="Z189" t="s">
        <v>360</v>
      </c>
      <c r="AA189">
        <v>0</v>
      </c>
      <c r="AB189" s="2">
        <v>0</v>
      </c>
      <c r="AC189" s="2">
        <v>0</v>
      </c>
      <c r="AD189" s="3">
        <v>0</v>
      </c>
      <c r="AE189" s="2">
        <v>0</v>
      </c>
      <c r="AF189" s="2">
        <v>0</v>
      </c>
      <c r="AG189" s="2">
        <v>0</v>
      </c>
      <c r="AH189" s="2">
        <v>0</v>
      </c>
      <c r="AI189" s="2">
        <v>0</v>
      </c>
      <c r="AJ189" s="2">
        <v>0</v>
      </c>
      <c r="AK189" s="2">
        <v>0</v>
      </c>
      <c r="AL189" s="2">
        <v>0</v>
      </c>
      <c r="AM189" s="2">
        <v>14.93</v>
      </c>
      <c r="AN189" s="2">
        <v>14.93</v>
      </c>
      <c r="AO189" s="2">
        <v>0</v>
      </c>
      <c r="AP189" s="2">
        <v>0</v>
      </c>
      <c r="AQ189" s="2">
        <v>0</v>
      </c>
    </row>
    <row r="190" spans="1:43" x14ac:dyDescent="0.25">
      <c r="A190" s="1">
        <v>45936</v>
      </c>
      <c r="B190" t="s">
        <v>48</v>
      </c>
      <c r="C190">
        <v>649163</v>
      </c>
      <c r="D190">
        <v>2026698497</v>
      </c>
      <c r="E190" t="s">
        <v>398</v>
      </c>
      <c r="F190" t="s">
        <v>399</v>
      </c>
      <c r="G190" t="s">
        <v>51</v>
      </c>
      <c r="H190" t="s">
        <v>122</v>
      </c>
      <c r="I190" t="s">
        <v>287</v>
      </c>
      <c r="J190" t="s">
        <v>291</v>
      </c>
      <c r="K190">
        <v>651818</v>
      </c>
      <c r="L190" t="s">
        <v>112</v>
      </c>
      <c r="M190" t="s">
        <v>104</v>
      </c>
      <c r="N190" t="s">
        <v>57</v>
      </c>
      <c r="O190" s="1">
        <v>45695</v>
      </c>
      <c r="Q190" s="1">
        <v>45968</v>
      </c>
      <c r="R190" s="2">
        <v>79.13</v>
      </c>
      <c r="S190">
        <v>1</v>
      </c>
      <c r="T190" t="s">
        <v>58</v>
      </c>
      <c r="U190" t="s">
        <v>359</v>
      </c>
      <c r="V190" s="3">
        <v>0.38</v>
      </c>
      <c r="W190" s="2">
        <v>0</v>
      </c>
      <c r="X190">
        <v>0</v>
      </c>
      <c r="Y190" t="s">
        <v>60</v>
      </c>
      <c r="Z190" t="s">
        <v>360</v>
      </c>
      <c r="AA190">
        <v>0</v>
      </c>
      <c r="AB190" s="2">
        <v>0</v>
      </c>
      <c r="AC190" s="2">
        <v>0</v>
      </c>
      <c r="AD190" s="3">
        <v>0</v>
      </c>
      <c r="AE190" s="2">
        <v>0</v>
      </c>
      <c r="AF190" s="2">
        <v>0</v>
      </c>
      <c r="AG190" s="2">
        <v>0</v>
      </c>
      <c r="AH190" s="2">
        <v>0</v>
      </c>
      <c r="AI190" s="2">
        <v>0</v>
      </c>
      <c r="AJ190" s="2">
        <v>0</v>
      </c>
      <c r="AK190" s="2">
        <v>0</v>
      </c>
      <c r="AL190" s="2">
        <v>0</v>
      </c>
      <c r="AM190" s="2">
        <v>30.07</v>
      </c>
      <c r="AN190" s="2">
        <v>30.07</v>
      </c>
      <c r="AO190" s="2">
        <v>0</v>
      </c>
      <c r="AP190" s="2">
        <v>0</v>
      </c>
      <c r="AQ190" s="2">
        <v>0</v>
      </c>
    </row>
    <row r="191" spans="1:43" x14ac:dyDescent="0.25">
      <c r="A191" s="1">
        <v>45936</v>
      </c>
      <c r="B191" t="s">
        <v>48</v>
      </c>
      <c r="C191">
        <v>649163</v>
      </c>
      <c r="D191">
        <v>2027003553</v>
      </c>
      <c r="E191" t="s">
        <v>400</v>
      </c>
      <c r="F191" t="s">
        <v>401</v>
      </c>
      <c r="G191" t="s">
        <v>51</v>
      </c>
      <c r="H191" t="s">
        <v>203</v>
      </c>
      <c r="I191" t="s">
        <v>287</v>
      </c>
      <c r="J191" t="s">
        <v>288</v>
      </c>
      <c r="K191">
        <v>816021</v>
      </c>
      <c r="L191" t="s">
        <v>265</v>
      </c>
      <c r="M191" t="s">
        <v>266</v>
      </c>
      <c r="N191" t="s">
        <v>57</v>
      </c>
      <c r="O191" s="1">
        <v>45698</v>
      </c>
      <c r="Q191" s="1">
        <v>45971</v>
      </c>
      <c r="R191" s="2">
        <v>60.5</v>
      </c>
      <c r="S191">
        <v>1</v>
      </c>
      <c r="T191" t="s">
        <v>58</v>
      </c>
      <c r="U191" t="s">
        <v>359</v>
      </c>
      <c r="V191" s="3">
        <v>0.38</v>
      </c>
      <c r="W191" s="2">
        <v>0</v>
      </c>
      <c r="X191">
        <v>0</v>
      </c>
      <c r="Y191" t="s">
        <v>60</v>
      </c>
      <c r="Z191" t="s">
        <v>360</v>
      </c>
      <c r="AA191">
        <v>0</v>
      </c>
      <c r="AB191" s="2">
        <v>0</v>
      </c>
      <c r="AC191" s="2">
        <v>0</v>
      </c>
      <c r="AD191" s="3">
        <v>0</v>
      </c>
      <c r="AE191" s="2">
        <v>0</v>
      </c>
      <c r="AF191" s="2">
        <v>0</v>
      </c>
      <c r="AG191" s="2">
        <v>0</v>
      </c>
      <c r="AH191" s="2">
        <v>0</v>
      </c>
      <c r="AI191" s="2">
        <v>0</v>
      </c>
      <c r="AJ191" s="2">
        <v>0</v>
      </c>
      <c r="AK191" s="2">
        <v>0</v>
      </c>
      <c r="AL191" s="2">
        <v>0</v>
      </c>
      <c r="AM191" s="2">
        <v>22.99</v>
      </c>
      <c r="AN191" s="2">
        <v>22.99</v>
      </c>
      <c r="AO191" s="2">
        <v>0</v>
      </c>
      <c r="AP191" s="2">
        <v>0</v>
      </c>
      <c r="AQ191" s="2">
        <v>0</v>
      </c>
    </row>
    <row r="192" spans="1:43" x14ac:dyDescent="0.25">
      <c r="A192" s="1">
        <v>45936</v>
      </c>
      <c r="B192" t="s">
        <v>48</v>
      </c>
      <c r="C192">
        <v>649163</v>
      </c>
      <c r="D192">
        <v>2027010990</v>
      </c>
      <c r="E192" t="s">
        <v>402</v>
      </c>
      <c r="F192" t="s">
        <v>403</v>
      </c>
      <c r="G192" t="s">
        <v>51</v>
      </c>
      <c r="H192" t="s">
        <v>203</v>
      </c>
      <c r="I192" t="s">
        <v>287</v>
      </c>
      <c r="J192" t="s">
        <v>288</v>
      </c>
      <c r="K192">
        <v>816021</v>
      </c>
      <c r="L192" t="s">
        <v>265</v>
      </c>
      <c r="M192" t="s">
        <v>266</v>
      </c>
      <c r="N192" t="s">
        <v>57</v>
      </c>
      <c r="O192" s="1">
        <v>45697</v>
      </c>
      <c r="Q192" s="1">
        <v>45970</v>
      </c>
      <c r="R192" s="2">
        <v>29.31</v>
      </c>
      <c r="S192">
        <v>1</v>
      </c>
      <c r="T192" t="s">
        <v>58</v>
      </c>
      <c r="U192" t="s">
        <v>359</v>
      </c>
      <c r="V192" s="3">
        <v>0.38</v>
      </c>
      <c r="W192" s="2">
        <v>0</v>
      </c>
      <c r="X192">
        <v>0</v>
      </c>
      <c r="Y192" t="s">
        <v>60</v>
      </c>
      <c r="Z192" t="s">
        <v>360</v>
      </c>
      <c r="AA192">
        <v>0</v>
      </c>
      <c r="AB192" s="2">
        <v>0</v>
      </c>
      <c r="AC192" s="2">
        <v>0</v>
      </c>
      <c r="AD192" s="3">
        <v>0</v>
      </c>
      <c r="AE192" s="2">
        <v>0</v>
      </c>
      <c r="AF192" s="2">
        <v>0</v>
      </c>
      <c r="AG192" s="2">
        <v>0</v>
      </c>
      <c r="AH192" s="2">
        <v>0</v>
      </c>
      <c r="AI192" s="2">
        <v>0</v>
      </c>
      <c r="AJ192" s="2">
        <v>0</v>
      </c>
      <c r="AK192" s="2">
        <v>0</v>
      </c>
      <c r="AL192" s="2">
        <v>0</v>
      </c>
      <c r="AM192" s="2">
        <v>11.14</v>
      </c>
      <c r="AN192" s="2">
        <v>11.14</v>
      </c>
      <c r="AO192" s="2">
        <v>0</v>
      </c>
      <c r="AP192" s="2">
        <v>0</v>
      </c>
      <c r="AQ192" s="2">
        <v>0</v>
      </c>
    </row>
    <row r="193" spans="1:43" x14ac:dyDescent="0.25">
      <c r="A193" s="1">
        <v>45936</v>
      </c>
      <c r="B193" t="s">
        <v>48</v>
      </c>
      <c r="C193">
        <v>649163</v>
      </c>
      <c r="D193">
        <v>2027025173</v>
      </c>
      <c r="E193" t="s">
        <v>404</v>
      </c>
      <c r="F193" t="s">
        <v>405</v>
      </c>
      <c r="G193" t="s">
        <v>51</v>
      </c>
      <c r="H193" t="s">
        <v>203</v>
      </c>
      <c r="I193" t="s">
        <v>287</v>
      </c>
      <c r="J193" t="s">
        <v>288</v>
      </c>
      <c r="K193">
        <v>824082</v>
      </c>
      <c r="L193" t="s">
        <v>406</v>
      </c>
      <c r="M193" t="s">
        <v>407</v>
      </c>
      <c r="N193" t="s">
        <v>57</v>
      </c>
      <c r="O193" s="1">
        <v>45697</v>
      </c>
      <c r="Q193" s="1">
        <v>45970</v>
      </c>
      <c r="R193" s="2">
        <v>70.599999999999994</v>
      </c>
      <c r="S193">
        <v>1</v>
      </c>
      <c r="T193" t="s">
        <v>58</v>
      </c>
      <c r="U193" t="s">
        <v>359</v>
      </c>
      <c r="V193" s="3">
        <v>0.38</v>
      </c>
      <c r="W193" s="2">
        <v>0</v>
      </c>
      <c r="X193">
        <v>0</v>
      </c>
      <c r="Y193" t="s">
        <v>60</v>
      </c>
      <c r="Z193" t="s">
        <v>360</v>
      </c>
      <c r="AA193">
        <v>0</v>
      </c>
      <c r="AB193" s="2">
        <v>0</v>
      </c>
      <c r="AC193" s="2">
        <v>0</v>
      </c>
      <c r="AD193" s="3">
        <v>0</v>
      </c>
      <c r="AE193" s="2">
        <v>0</v>
      </c>
      <c r="AF193" s="2">
        <v>0</v>
      </c>
      <c r="AG193" s="2">
        <v>0</v>
      </c>
      <c r="AH193" s="2">
        <v>0</v>
      </c>
      <c r="AI193" s="2">
        <v>0</v>
      </c>
      <c r="AJ193" s="2">
        <v>0</v>
      </c>
      <c r="AK193" s="2">
        <v>0</v>
      </c>
      <c r="AL193" s="2">
        <v>0</v>
      </c>
      <c r="AM193" s="2">
        <v>26.83</v>
      </c>
      <c r="AN193" s="2">
        <v>26.83</v>
      </c>
      <c r="AO193" s="2">
        <v>0</v>
      </c>
      <c r="AP193" s="2">
        <v>0</v>
      </c>
      <c r="AQ193" s="2">
        <v>0</v>
      </c>
    </row>
    <row r="194" spans="1:43" x14ac:dyDescent="0.25">
      <c r="A194" s="1">
        <v>45936</v>
      </c>
      <c r="B194" t="s">
        <v>48</v>
      </c>
      <c r="C194">
        <v>649163</v>
      </c>
      <c r="D194">
        <v>2027035340</v>
      </c>
      <c r="E194" t="s">
        <v>408</v>
      </c>
      <c r="F194" t="s">
        <v>409</v>
      </c>
      <c r="G194" t="s">
        <v>51</v>
      </c>
      <c r="H194" t="s">
        <v>155</v>
      </c>
      <c r="I194" t="s">
        <v>287</v>
      </c>
      <c r="J194" t="s">
        <v>288</v>
      </c>
      <c r="K194">
        <v>813184</v>
      </c>
      <c r="L194" t="s">
        <v>408</v>
      </c>
      <c r="M194" t="s">
        <v>410</v>
      </c>
      <c r="N194" t="s">
        <v>57</v>
      </c>
      <c r="O194" s="1">
        <v>45698</v>
      </c>
      <c r="Q194" s="1">
        <v>45971</v>
      </c>
      <c r="R194" s="2">
        <v>60.11</v>
      </c>
      <c r="S194">
        <v>1</v>
      </c>
      <c r="T194" t="s">
        <v>58</v>
      </c>
      <c r="U194" t="s">
        <v>359</v>
      </c>
      <c r="V194" s="3">
        <v>0.38</v>
      </c>
      <c r="W194" s="2">
        <v>0</v>
      </c>
      <c r="X194">
        <v>0</v>
      </c>
      <c r="Y194" t="s">
        <v>60</v>
      </c>
      <c r="Z194" t="s">
        <v>360</v>
      </c>
      <c r="AA194">
        <v>0</v>
      </c>
      <c r="AB194" s="2">
        <v>0</v>
      </c>
      <c r="AC194" s="2">
        <v>0</v>
      </c>
      <c r="AD194" s="3">
        <v>0</v>
      </c>
      <c r="AE194" s="2">
        <v>0</v>
      </c>
      <c r="AF194" s="2">
        <v>0</v>
      </c>
      <c r="AG194" s="2">
        <v>0</v>
      </c>
      <c r="AH194" s="2">
        <v>0</v>
      </c>
      <c r="AI194" s="2">
        <v>0</v>
      </c>
      <c r="AJ194" s="2">
        <v>0</v>
      </c>
      <c r="AK194" s="2">
        <v>0</v>
      </c>
      <c r="AL194" s="2">
        <v>0</v>
      </c>
      <c r="AM194" s="2">
        <v>22.84</v>
      </c>
      <c r="AN194" s="2">
        <v>22.84</v>
      </c>
      <c r="AO194" s="2">
        <v>0</v>
      </c>
      <c r="AP194" s="2">
        <v>0</v>
      </c>
      <c r="AQ194" s="2">
        <v>0</v>
      </c>
    </row>
    <row r="195" spans="1:43" x14ac:dyDescent="0.25">
      <c r="A195" s="1">
        <v>45936</v>
      </c>
      <c r="B195" t="s">
        <v>48</v>
      </c>
      <c r="C195">
        <v>649163</v>
      </c>
      <c r="D195">
        <v>2027642347</v>
      </c>
      <c r="E195" t="s">
        <v>411</v>
      </c>
      <c r="F195" t="s">
        <v>412</v>
      </c>
      <c r="G195" t="s">
        <v>51</v>
      </c>
      <c r="H195" t="s">
        <v>159</v>
      </c>
      <c r="I195" t="s">
        <v>287</v>
      </c>
      <c r="J195" t="s">
        <v>288</v>
      </c>
      <c r="K195">
        <v>651818</v>
      </c>
      <c r="L195" t="s">
        <v>112</v>
      </c>
      <c r="M195" t="s">
        <v>104</v>
      </c>
      <c r="N195" t="s">
        <v>57</v>
      </c>
      <c r="O195" s="1">
        <v>45754</v>
      </c>
      <c r="Q195" s="1">
        <v>45968</v>
      </c>
      <c r="R195" s="2">
        <v>21.53</v>
      </c>
      <c r="S195">
        <v>1</v>
      </c>
      <c r="T195" t="s">
        <v>58</v>
      </c>
      <c r="U195" t="s">
        <v>359</v>
      </c>
      <c r="V195" s="3">
        <v>0.38</v>
      </c>
      <c r="W195" s="2">
        <v>0</v>
      </c>
      <c r="X195">
        <v>0</v>
      </c>
      <c r="Y195" t="s">
        <v>60</v>
      </c>
      <c r="Z195" t="s">
        <v>360</v>
      </c>
      <c r="AA195">
        <v>0</v>
      </c>
      <c r="AB195" s="2">
        <v>0</v>
      </c>
      <c r="AC195" s="2">
        <v>0</v>
      </c>
      <c r="AD195" s="3">
        <v>0</v>
      </c>
      <c r="AE195" s="2">
        <v>0</v>
      </c>
      <c r="AF195" s="2">
        <v>0</v>
      </c>
      <c r="AG195" s="2">
        <v>0</v>
      </c>
      <c r="AH195" s="2">
        <v>0</v>
      </c>
      <c r="AI195" s="2">
        <v>0</v>
      </c>
      <c r="AJ195" s="2">
        <v>0</v>
      </c>
      <c r="AK195" s="2">
        <v>0</v>
      </c>
      <c r="AL195" s="2">
        <v>0</v>
      </c>
      <c r="AM195" s="2">
        <v>8.18</v>
      </c>
      <c r="AN195" s="2">
        <v>8.18</v>
      </c>
      <c r="AO195" s="2">
        <v>0</v>
      </c>
      <c r="AP195" s="2">
        <v>0</v>
      </c>
      <c r="AQ195" s="2">
        <v>0</v>
      </c>
    </row>
    <row r="196" spans="1:43" x14ac:dyDescent="0.25">
      <c r="A196" s="1">
        <v>45936</v>
      </c>
      <c r="B196" t="s">
        <v>48</v>
      </c>
      <c r="C196">
        <v>649163</v>
      </c>
      <c r="D196">
        <v>2027763444</v>
      </c>
      <c r="E196" t="s">
        <v>413</v>
      </c>
      <c r="F196" t="s">
        <v>100</v>
      </c>
      <c r="G196" t="s">
        <v>51</v>
      </c>
      <c r="H196" t="s">
        <v>70</v>
      </c>
      <c r="I196" t="s">
        <v>287</v>
      </c>
      <c r="J196" t="s">
        <v>288</v>
      </c>
      <c r="K196">
        <v>650218</v>
      </c>
      <c r="L196" t="s">
        <v>237</v>
      </c>
      <c r="M196" t="s">
        <v>238</v>
      </c>
      <c r="N196" t="s">
        <v>57</v>
      </c>
      <c r="O196" s="1">
        <v>45748</v>
      </c>
      <c r="Q196" s="1">
        <v>45962</v>
      </c>
      <c r="R196" s="2">
        <v>51.55</v>
      </c>
      <c r="S196">
        <v>1</v>
      </c>
      <c r="T196" t="s">
        <v>58</v>
      </c>
      <c r="U196" t="s">
        <v>359</v>
      </c>
      <c r="V196" s="3">
        <v>0.38</v>
      </c>
      <c r="W196" s="2">
        <v>0</v>
      </c>
      <c r="X196">
        <v>0</v>
      </c>
      <c r="Y196" t="s">
        <v>60</v>
      </c>
      <c r="Z196" t="s">
        <v>360</v>
      </c>
      <c r="AA196">
        <v>0</v>
      </c>
      <c r="AB196" s="2">
        <v>0</v>
      </c>
      <c r="AC196" s="2">
        <v>0</v>
      </c>
      <c r="AD196" s="3">
        <v>0</v>
      </c>
      <c r="AE196" s="2">
        <v>0</v>
      </c>
      <c r="AF196" s="2">
        <v>0</v>
      </c>
      <c r="AG196" s="2">
        <v>0</v>
      </c>
      <c r="AH196" s="2">
        <v>0</v>
      </c>
      <c r="AI196" s="2">
        <v>0</v>
      </c>
      <c r="AJ196" s="2">
        <v>0</v>
      </c>
      <c r="AK196" s="2">
        <v>0</v>
      </c>
      <c r="AL196" s="2">
        <v>0</v>
      </c>
      <c r="AM196" s="2">
        <v>19.59</v>
      </c>
      <c r="AN196" s="2">
        <v>19.59</v>
      </c>
      <c r="AO196" s="2">
        <v>0</v>
      </c>
      <c r="AP196" s="2">
        <v>0</v>
      </c>
      <c r="AQ196" s="2">
        <v>0</v>
      </c>
    </row>
    <row r="197" spans="1:43" x14ac:dyDescent="0.25">
      <c r="A197" s="1">
        <v>45936</v>
      </c>
      <c r="B197" t="s">
        <v>48</v>
      </c>
      <c r="C197">
        <v>649163</v>
      </c>
      <c r="D197">
        <v>2028313186</v>
      </c>
      <c r="E197" t="s">
        <v>281</v>
      </c>
      <c r="F197" t="s">
        <v>414</v>
      </c>
      <c r="G197" t="s">
        <v>51</v>
      </c>
      <c r="H197" t="s">
        <v>70</v>
      </c>
      <c r="I197" t="s">
        <v>287</v>
      </c>
      <c r="J197" t="s">
        <v>291</v>
      </c>
      <c r="K197">
        <v>677095</v>
      </c>
      <c r="L197" t="s">
        <v>415</v>
      </c>
      <c r="M197" t="s">
        <v>401</v>
      </c>
      <c r="N197" t="s">
        <v>57</v>
      </c>
      <c r="O197" s="1">
        <v>45757</v>
      </c>
      <c r="Q197" s="1">
        <v>45971</v>
      </c>
      <c r="R197" s="2">
        <v>486.09</v>
      </c>
      <c r="S197">
        <v>1</v>
      </c>
      <c r="T197" t="s">
        <v>58</v>
      </c>
      <c r="U197" t="s">
        <v>359</v>
      </c>
      <c r="V197" s="3">
        <v>0.12</v>
      </c>
      <c r="W197" s="2">
        <v>0</v>
      </c>
      <c r="X197">
        <v>0</v>
      </c>
      <c r="Y197" t="s">
        <v>60</v>
      </c>
      <c r="Z197" t="s">
        <v>360</v>
      </c>
      <c r="AA197">
        <v>0</v>
      </c>
      <c r="AB197" s="2">
        <v>0</v>
      </c>
      <c r="AC197" s="2">
        <v>0</v>
      </c>
      <c r="AD197" s="3">
        <v>0</v>
      </c>
      <c r="AE197" s="2">
        <v>0</v>
      </c>
      <c r="AF197" s="2">
        <v>0</v>
      </c>
      <c r="AG197" s="2">
        <v>0</v>
      </c>
      <c r="AH197" s="2">
        <v>0</v>
      </c>
      <c r="AI197" s="2">
        <v>0</v>
      </c>
      <c r="AJ197" s="2">
        <v>0</v>
      </c>
      <c r="AK197" s="2">
        <v>0</v>
      </c>
      <c r="AL197" s="2">
        <v>0</v>
      </c>
      <c r="AM197" s="2">
        <v>58.33</v>
      </c>
      <c r="AN197" s="2">
        <v>58.33</v>
      </c>
      <c r="AO197" s="2">
        <v>0</v>
      </c>
      <c r="AP197" s="2">
        <v>0</v>
      </c>
      <c r="AQ197" s="2">
        <v>0</v>
      </c>
    </row>
    <row r="198" spans="1:43" x14ac:dyDescent="0.25">
      <c r="A198" s="1">
        <v>45936</v>
      </c>
      <c r="B198" t="s">
        <v>48</v>
      </c>
      <c r="C198">
        <v>649163</v>
      </c>
      <c r="D198">
        <v>2028565356</v>
      </c>
      <c r="E198" t="s">
        <v>139</v>
      </c>
      <c r="F198" t="s">
        <v>416</v>
      </c>
      <c r="G198" t="s">
        <v>51</v>
      </c>
      <c r="H198" t="s">
        <v>88</v>
      </c>
      <c r="I198" t="s">
        <v>287</v>
      </c>
      <c r="J198" t="s">
        <v>288</v>
      </c>
      <c r="K198">
        <v>650218</v>
      </c>
      <c r="L198" t="s">
        <v>237</v>
      </c>
      <c r="M198" t="s">
        <v>238</v>
      </c>
      <c r="N198" t="s">
        <v>57</v>
      </c>
      <c r="O198" s="1">
        <v>45777</v>
      </c>
      <c r="Q198" s="1">
        <v>45960</v>
      </c>
      <c r="R198" s="2">
        <v>-39.340000000000003</v>
      </c>
      <c r="S198">
        <v>1</v>
      </c>
      <c r="T198" t="s">
        <v>58</v>
      </c>
      <c r="U198" t="s">
        <v>359</v>
      </c>
      <c r="V198" s="3">
        <v>0.38</v>
      </c>
      <c r="W198" s="2">
        <v>0</v>
      </c>
      <c r="X198">
        <v>-1</v>
      </c>
      <c r="Y198" t="s">
        <v>60</v>
      </c>
      <c r="Z198" t="s">
        <v>360</v>
      </c>
      <c r="AA198">
        <v>0</v>
      </c>
      <c r="AB198" s="2">
        <v>0</v>
      </c>
      <c r="AC198" s="2">
        <v>0</v>
      </c>
      <c r="AD198" s="3">
        <v>0</v>
      </c>
      <c r="AE198" s="2">
        <v>0</v>
      </c>
      <c r="AF198" s="2">
        <v>0</v>
      </c>
      <c r="AG198" s="2">
        <v>0</v>
      </c>
      <c r="AH198" s="2">
        <v>0</v>
      </c>
      <c r="AI198" s="2">
        <v>0</v>
      </c>
      <c r="AJ198" s="2">
        <v>0</v>
      </c>
      <c r="AK198" s="2">
        <v>0</v>
      </c>
      <c r="AL198" s="2">
        <v>0</v>
      </c>
      <c r="AM198" s="2">
        <v>-14.95</v>
      </c>
      <c r="AN198" s="2">
        <v>-14.95</v>
      </c>
      <c r="AO198" s="2">
        <v>0</v>
      </c>
      <c r="AP198" s="2">
        <v>0</v>
      </c>
      <c r="AQ198" s="2">
        <v>0</v>
      </c>
    </row>
    <row r="199" spans="1:43" x14ac:dyDescent="0.25">
      <c r="A199" s="1">
        <v>45936</v>
      </c>
      <c r="B199" t="s">
        <v>48</v>
      </c>
      <c r="C199">
        <v>649163</v>
      </c>
      <c r="D199">
        <v>2028819907</v>
      </c>
      <c r="E199" t="s">
        <v>417</v>
      </c>
      <c r="F199" t="s">
        <v>418</v>
      </c>
      <c r="G199" t="s">
        <v>51</v>
      </c>
      <c r="H199" t="s">
        <v>70</v>
      </c>
      <c r="I199" t="s">
        <v>287</v>
      </c>
      <c r="J199" t="s">
        <v>288</v>
      </c>
      <c r="K199">
        <v>650218</v>
      </c>
      <c r="L199" t="s">
        <v>237</v>
      </c>
      <c r="M199" t="s">
        <v>238</v>
      </c>
      <c r="N199" t="s">
        <v>57</v>
      </c>
      <c r="O199" s="1">
        <v>45785</v>
      </c>
      <c r="Q199" s="1">
        <v>45969</v>
      </c>
      <c r="R199" s="2">
        <v>21.97</v>
      </c>
      <c r="S199">
        <v>1</v>
      </c>
      <c r="T199" t="s">
        <v>58</v>
      </c>
      <c r="U199" t="s">
        <v>359</v>
      </c>
      <c r="V199" s="3">
        <v>0.38</v>
      </c>
      <c r="W199" s="2">
        <v>0</v>
      </c>
      <c r="X199">
        <v>0</v>
      </c>
      <c r="Y199" t="s">
        <v>60</v>
      </c>
      <c r="Z199" t="s">
        <v>360</v>
      </c>
      <c r="AA199">
        <v>0</v>
      </c>
      <c r="AB199" s="2">
        <v>0</v>
      </c>
      <c r="AC199" s="2">
        <v>0</v>
      </c>
      <c r="AD199" s="3">
        <v>0</v>
      </c>
      <c r="AE199" s="2">
        <v>0</v>
      </c>
      <c r="AF199" s="2">
        <v>0</v>
      </c>
      <c r="AG199" s="2">
        <v>0</v>
      </c>
      <c r="AH199" s="2">
        <v>0</v>
      </c>
      <c r="AI199" s="2">
        <v>0</v>
      </c>
      <c r="AJ199" s="2">
        <v>0</v>
      </c>
      <c r="AK199" s="2">
        <v>0</v>
      </c>
      <c r="AL199" s="2">
        <v>0</v>
      </c>
      <c r="AM199" s="2">
        <v>8.35</v>
      </c>
      <c r="AN199" s="2">
        <v>8.35</v>
      </c>
      <c r="AO199" s="2">
        <v>0</v>
      </c>
      <c r="AP199" s="2">
        <v>0</v>
      </c>
      <c r="AQ199" s="2">
        <v>0</v>
      </c>
    </row>
    <row r="200" spans="1:43" x14ac:dyDescent="0.25">
      <c r="A200" s="1">
        <v>45936</v>
      </c>
      <c r="B200" t="s">
        <v>48</v>
      </c>
      <c r="C200">
        <v>649163</v>
      </c>
      <c r="D200">
        <v>2029299955</v>
      </c>
      <c r="E200" t="s">
        <v>419</v>
      </c>
      <c r="F200" t="s">
        <v>420</v>
      </c>
      <c r="G200" t="s">
        <v>51</v>
      </c>
      <c r="H200" t="s">
        <v>52</v>
      </c>
      <c r="I200" t="s">
        <v>287</v>
      </c>
      <c r="J200" t="s">
        <v>288</v>
      </c>
      <c r="K200">
        <v>856824</v>
      </c>
      <c r="L200" t="s">
        <v>298</v>
      </c>
      <c r="M200" t="s">
        <v>299</v>
      </c>
      <c r="N200" t="s">
        <v>57</v>
      </c>
      <c r="O200" s="1">
        <v>45813</v>
      </c>
      <c r="Q200" s="1">
        <v>45966</v>
      </c>
      <c r="R200" s="2">
        <v>13.66</v>
      </c>
      <c r="S200">
        <v>1</v>
      </c>
      <c r="T200" t="s">
        <v>58</v>
      </c>
      <c r="U200" t="s">
        <v>359</v>
      </c>
      <c r="V200" s="3">
        <v>0.38</v>
      </c>
      <c r="W200" s="2">
        <v>0</v>
      </c>
      <c r="X200">
        <v>0</v>
      </c>
      <c r="Y200" t="s">
        <v>60</v>
      </c>
      <c r="Z200" t="s">
        <v>360</v>
      </c>
      <c r="AA200">
        <v>0</v>
      </c>
      <c r="AB200" s="2">
        <v>0</v>
      </c>
      <c r="AC200" s="2">
        <v>0</v>
      </c>
      <c r="AD200" s="3">
        <v>0</v>
      </c>
      <c r="AE200" s="2">
        <v>0</v>
      </c>
      <c r="AF200" s="2">
        <v>0</v>
      </c>
      <c r="AG200" s="2">
        <v>0</v>
      </c>
      <c r="AH200" s="2">
        <v>0</v>
      </c>
      <c r="AI200" s="2">
        <v>0</v>
      </c>
      <c r="AJ200" s="2">
        <v>0</v>
      </c>
      <c r="AK200" s="2">
        <v>0</v>
      </c>
      <c r="AL200" s="2">
        <v>5.19</v>
      </c>
      <c r="AM200" s="2">
        <v>0</v>
      </c>
      <c r="AN200" s="2">
        <v>0</v>
      </c>
      <c r="AO200" s="2">
        <v>0</v>
      </c>
      <c r="AP200" s="2">
        <v>0</v>
      </c>
      <c r="AQ200" s="2">
        <v>0</v>
      </c>
    </row>
    <row r="201" spans="1:43" x14ac:dyDescent="0.25">
      <c r="A201" s="1">
        <v>45936</v>
      </c>
      <c r="B201" t="s">
        <v>48</v>
      </c>
      <c r="C201">
        <v>649163</v>
      </c>
      <c r="D201">
        <v>2029335782</v>
      </c>
      <c r="E201" t="s">
        <v>421</v>
      </c>
      <c r="F201" t="s">
        <v>98</v>
      </c>
      <c r="G201" t="s">
        <v>51</v>
      </c>
      <c r="H201" t="s">
        <v>101</v>
      </c>
      <c r="I201" t="s">
        <v>287</v>
      </c>
      <c r="J201" t="s">
        <v>291</v>
      </c>
      <c r="K201">
        <v>824062</v>
      </c>
      <c r="L201" t="s">
        <v>273</v>
      </c>
      <c r="M201" t="s">
        <v>274</v>
      </c>
      <c r="N201" t="s">
        <v>57</v>
      </c>
      <c r="O201" s="1">
        <v>45815</v>
      </c>
      <c r="Q201" s="1">
        <v>45968</v>
      </c>
      <c r="R201" s="2">
        <v>131.32</v>
      </c>
      <c r="S201">
        <v>1</v>
      </c>
      <c r="T201" t="s">
        <v>58</v>
      </c>
      <c r="U201" t="s">
        <v>359</v>
      </c>
      <c r="V201" s="3">
        <v>0.38</v>
      </c>
      <c r="W201" s="2">
        <v>0</v>
      </c>
      <c r="X201">
        <v>0</v>
      </c>
      <c r="Y201" t="s">
        <v>60</v>
      </c>
      <c r="Z201" t="s">
        <v>360</v>
      </c>
      <c r="AA201">
        <v>0</v>
      </c>
      <c r="AB201" s="2">
        <v>0</v>
      </c>
      <c r="AC201" s="2">
        <v>0</v>
      </c>
      <c r="AD201" s="3">
        <v>0</v>
      </c>
      <c r="AE201" s="2">
        <v>0</v>
      </c>
      <c r="AF201" s="2">
        <v>0</v>
      </c>
      <c r="AG201" s="2">
        <v>0</v>
      </c>
      <c r="AH201" s="2">
        <v>0</v>
      </c>
      <c r="AI201" s="2">
        <v>0</v>
      </c>
      <c r="AJ201" s="2">
        <v>0</v>
      </c>
      <c r="AK201" s="2">
        <v>0</v>
      </c>
      <c r="AL201" s="2">
        <v>49.9</v>
      </c>
      <c r="AM201" s="2">
        <v>0</v>
      </c>
      <c r="AN201" s="2">
        <v>0</v>
      </c>
      <c r="AO201" s="2">
        <v>0</v>
      </c>
      <c r="AP201" s="2">
        <v>0</v>
      </c>
      <c r="AQ201" s="2">
        <v>0</v>
      </c>
    </row>
    <row r="202" spans="1:43" x14ac:dyDescent="0.25">
      <c r="A202" s="1">
        <v>45936</v>
      </c>
      <c r="B202" t="s">
        <v>48</v>
      </c>
      <c r="C202">
        <v>649163</v>
      </c>
      <c r="D202">
        <v>2029738918</v>
      </c>
      <c r="E202" t="s">
        <v>422</v>
      </c>
      <c r="F202" t="s">
        <v>423</v>
      </c>
      <c r="G202" t="s">
        <v>51</v>
      </c>
      <c r="H202" t="s">
        <v>79</v>
      </c>
      <c r="I202" t="s">
        <v>287</v>
      </c>
      <c r="J202" t="s">
        <v>291</v>
      </c>
      <c r="K202">
        <v>673059</v>
      </c>
      <c r="L202" t="s">
        <v>80</v>
      </c>
      <c r="M202" t="s">
        <v>81</v>
      </c>
      <c r="N202" t="s">
        <v>57</v>
      </c>
      <c r="O202" s="1">
        <v>45846</v>
      </c>
      <c r="Q202" s="1">
        <v>45969</v>
      </c>
      <c r="R202" s="2">
        <v>192.49</v>
      </c>
      <c r="S202">
        <v>1</v>
      </c>
      <c r="T202" t="s">
        <v>58</v>
      </c>
      <c r="U202" t="s">
        <v>359</v>
      </c>
      <c r="V202" s="3">
        <v>0.38</v>
      </c>
      <c r="W202" s="2">
        <v>0</v>
      </c>
      <c r="X202">
        <v>0</v>
      </c>
      <c r="Y202" t="s">
        <v>60</v>
      </c>
      <c r="Z202" t="s">
        <v>360</v>
      </c>
      <c r="AA202">
        <v>0</v>
      </c>
      <c r="AB202" s="2">
        <v>0</v>
      </c>
      <c r="AC202" s="2">
        <v>0</v>
      </c>
      <c r="AD202" s="3">
        <v>0</v>
      </c>
      <c r="AE202" s="2">
        <v>0</v>
      </c>
      <c r="AF202" s="2">
        <v>0</v>
      </c>
      <c r="AG202" s="2">
        <v>0</v>
      </c>
      <c r="AH202" s="2">
        <v>0</v>
      </c>
      <c r="AI202" s="2">
        <v>0</v>
      </c>
      <c r="AJ202" s="2">
        <v>0</v>
      </c>
      <c r="AK202" s="2">
        <v>0</v>
      </c>
      <c r="AL202" s="2">
        <v>73.150000000000006</v>
      </c>
      <c r="AM202" s="2">
        <v>0</v>
      </c>
      <c r="AN202" s="2">
        <v>0</v>
      </c>
      <c r="AO202" s="2">
        <v>0</v>
      </c>
      <c r="AP202" s="2">
        <v>0</v>
      </c>
      <c r="AQ202" s="2">
        <v>0</v>
      </c>
    </row>
    <row r="203" spans="1:43" x14ac:dyDescent="0.25">
      <c r="A203" s="1">
        <v>45936</v>
      </c>
      <c r="B203" t="s">
        <v>48</v>
      </c>
      <c r="C203">
        <v>649163</v>
      </c>
      <c r="D203">
        <v>2029738919</v>
      </c>
      <c r="E203" t="s">
        <v>422</v>
      </c>
      <c r="F203" t="s">
        <v>423</v>
      </c>
      <c r="G203" t="s">
        <v>51</v>
      </c>
      <c r="H203" t="s">
        <v>79</v>
      </c>
      <c r="I203" t="s">
        <v>287</v>
      </c>
      <c r="J203" t="s">
        <v>424</v>
      </c>
      <c r="K203">
        <v>673059</v>
      </c>
      <c r="L203" t="s">
        <v>80</v>
      </c>
      <c r="M203" t="s">
        <v>81</v>
      </c>
      <c r="N203" t="s">
        <v>57</v>
      </c>
      <c r="O203" s="1">
        <v>45846</v>
      </c>
      <c r="Q203" s="1">
        <v>45969</v>
      </c>
      <c r="R203" s="2">
        <v>7.09</v>
      </c>
      <c r="S203">
        <v>1</v>
      </c>
      <c r="T203" t="s">
        <v>58</v>
      </c>
      <c r="U203" t="s">
        <v>359</v>
      </c>
      <c r="V203" s="3">
        <v>0.38</v>
      </c>
      <c r="W203" s="2">
        <v>0</v>
      </c>
      <c r="X203">
        <v>0</v>
      </c>
      <c r="Y203" t="s">
        <v>60</v>
      </c>
      <c r="Z203" t="s">
        <v>360</v>
      </c>
      <c r="AA203">
        <v>0</v>
      </c>
      <c r="AB203" s="2">
        <v>0</v>
      </c>
      <c r="AC203" s="2">
        <v>0</v>
      </c>
      <c r="AD203" s="3">
        <v>0</v>
      </c>
      <c r="AE203" s="2">
        <v>0</v>
      </c>
      <c r="AF203" s="2">
        <v>0</v>
      </c>
      <c r="AG203" s="2">
        <v>0</v>
      </c>
      <c r="AH203" s="2">
        <v>0</v>
      </c>
      <c r="AI203" s="2">
        <v>0</v>
      </c>
      <c r="AJ203" s="2">
        <v>0</v>
      </c>
      <c r="AK203" s="2">
        <v>0</v>
      </c>
      <c r="AL203" s="2">
        <v>2.69</v>
      </c>
      <c r="AM203" s="2">
        <v>0</v>
      </c>
      <c r="AN203" s="2">
        <v>0</v>
      </c>
      <c r="AO203" s="2">
        <v>0</v>
      </c>
      <c r="AP203" s="2">
        <v>0</v>
      </c>
      <c r="AQ203" s="2">
        <v>0</v>
      </c>
    </row>
    <row r="204" spans="1:43" x14ac:dyDescent="0.25">
      <c r="A204" s="1">
        <v>45936</v>
      </c>
      <c r="B204" t="s">
        <v>48</v>
      </c>
      <c r="C204">
        <v>649163</v>
      </c>
      <c r="D204">
        <v>2029786425</v>
      </c>
      <c r="E204" t="s">
        <v>425</v>
      </c>
      <c r="F204" t="s">
        <v>426</v>
      </c>
      <c r="G204" t="s">
        <v>51</v>
      </c>
      <c r="H204" t="s">
        <v>427</v>
      </c>
      <c r="I204" t="s">
        <v>287</v>
      </c>
      <c r="J204" t="s">
        <v>291</v>
      </c>
      <c r="K204">
        <v>812994</v>
      </c>
      <c r="L204" t="s">
        <v>428</v>
      </c>
      <c r="M204" t="s">
        <v>309</v>
      </c>
      <c r="N204" t="s">
        <v>57</v>
      </c>
      <c r="O204" s="1">
        <v>45842</v>
      </c>
      <c r="Q204" s="1">
        <v>45965</v>
      </c>
      <c r="R204" s="2">
        <v>172.55</v>
      </c>
      <c r="S204">
        <v>1</v>
      </c>
      <c r="T204" t="s">
        <v>58</v>
      </c>
      <c r="U204" t="s">
        <v>359</v>
      </c>
      <c r="V204" s="3">
        <v>0.38</v>
      </c>
      <c r="W204" s="2">
        <v>0</v>
      </c>
      <c r="X204">
        <v>0</v>
      </c>
      <c r="Y204" t="s">
        <v>60</v>
      </c>
      <c r="Z204" t="s">
        <v>360</v>
      </c>
      <c r="AA204">
        <v>0</v>
      </c>
      <c r="AB204" s="2">
        <v>0</v>
      </c>
      <c r="AC204" s="2">
        <v>0</v>
      </c>
      <c r="AD204" s="3">
        <v>0</v>
      </c>
      <c r="AE204" s="2">
        <v>0</v>
      </c>
      <c r="AF204" s="2">
        <v>0</v>
      </c>
      <c r="AG204" s="2">
        <v>0</v>
      </c>
      <c r="AH204" s="2">
        <v>0</v>
      </c>
      <c r="AI204" s="2">
        <v>0</v>
      </c>
      <c r="AJ204" s="2">
        <v>0</v>
      </c>
      <c r="AK204" s="2">
        <v>0</v>
      </c>
      <c r="AL204" s="2">
        <v>65.569999999999993</v>
      </c>
      <c r="AM204" s="2">
        <v>0</v>
      </c>
      <c r="AN204" s="2">
        <v>0</v>
      </c>
      <c r="AO204" s="2">
        <v>0</v>
      </c>
      <c r="AP204" s="2">
        <v>0</v>
      </c>
      <c r="AQ204" s="2">
        <v>0</v>
      </c>
    </row>
    <row r="205" spans="1:43" x14ac:dyDescent="0.25">
      <c r="A205" s="1">
        <v>45936</v>
      </c>
      <c r="B205" t="s">
        <v>48</v>
      </c>
      <c r="C205">
        <v>649163</v>
      </c>
      <c r="D205">
        <v>2029786427</v>
      </c>
      <c r="E205" t="s">
        <v>425</v>
      </c>
      <c r="F205" t="s">
        <v>426</v>
      </c>
      <c r="G205" t="s">
        <v>51</v>
      </c>
      <c r="H205" t="s">
        <v>427</v>
      </c>
      <c r="I205" t="s">
        <v>287</v>
      </c>
      <c r="J205" t="s">
        <v>424</v>
      </c>
      <c r="K205">
        <v>812994</v>
      </c>
      <c r="L205" t="s">
        <v>428</v>
      </c>
      <c r="M205" t="s">
        <v>309</v>
      </c>
      <c r="N205" t="s">
        <v>57</v>
      </c>
      <c r="O205" s="1">
        <v>45842</v>
      </c>
      <c r="Q205" s="1">
        <v>45965</v>
      </c>
      <c r="R205" s="2">
        <v>7.09</v>
      </c>
      <c r="S205">
        <v>1</v>
      </c>
      <c r="T205" t="s">
        <v>58</v>
      </c>
      <c r="U205" t="s">
        <v>359</v>
      </c>
      <c r="V205" s="3">
        <v>0.38</v>
      </c>
      <c r="W205" s="2">
        <v>0</v>
      </c>
      <c r="X205">
        <v>0</v>
      </c>
      <c r="Y205" t="s">
        <v>60</v>
      </c>
      <c r="Z205" t="s">
        <v>360</v>
      </c>
      <c r="AA205">
        <v>0</v>
      </c>
      <c r="AB205" s="2">
        <v>0</v>
      </c>
      <c r="AC205" s="2">
        <v>0</v>
      </c>
      <c r="AD205" s="3">
        <v>0</v>
      </c>
      <c r="AE205" s="2">
        <v>0</v>
      </c>
      <c r="AF205" s="2">
        <v>0</v>
      </c>
      <c r="AG205" s="2">
        <v>0</v>
      </c>
      <c r="AH205" s="2">
        <v>0</v>
      </c>
      <c r="AI205" s="2">
        <v>0</v>
      </c>
      <c r="AJ205" s="2">
        <v>0</v>
      </c>
      <c r="AK205" s="2">
        <v>0</v>
      </c>
      <c r="AL205" s="2">
        <v>2.69</v>
      </c>
      <c r="AM205" s="2">
        <v>0</v>
      </c>
      <c r="AN205" s="2">
        <v>0</v>
      </c>
      <c r="AO205" s="2">
        <v>0</v>
      </c>
      <c r="AP205" s="2">
        <v>0</v>
      </c>
      <c r="AQ205" s="2">
        <v>0</v>
      </c>
    </row>
    <row r="206" spans="1:43" x14ac:dyDescent="0.25">
      <c r="A206" s="1">
        <v>45936</v>
      </c>
      <c r="B206" t="s">
        <v>48</v>
      </c>
      <c r="C206">
        <v>649163</v>
      </c>
      <c r="D206">
        <v>2029786838</v>
      </c>
      <c r="E206" t="s">
        <v>429</v>
      </c>
      <c r="F206" t="s">
        <v>430</v>
      </c>
      <c r="G206" t="s">
        <v>51</v>
      </c>
      <c r="H206" t="s">
        <v>431</v>
      </c>
      <c r="I206" t="s">
        <v>287</v>
      </c>
      <c r="J206" t="s">
        <v>288</v>
      </c>
      <c r="K206">
        <v>751867</v>
      </c>
      <c r="L206" t="s">
        <v>71</v>
      </c>
      <c r="M206" t="s">
        <v>72</v>
      </c>
      <c r="N206" t="s">
        <v>57</v>
      </c>
      <c r="O206" s="1">
        <v>45842</v>
      </c>
      <c r="Q206" s="1">
        <v>45965</v>
      </c>
      <c r="R206" s="2">
        <v>25.53</v>
      </c>
      <c r="S206">
        <v>1</v>
      </c>
      <c r="T206" t="s">
        <v>58</v>
      </c>
      <c r="U206" t="s">
        <v>359</v>
      </c>
      <c r="V206" s="3">
        <v>0.38</v>
      </c>
      <c r="W206" s="2">
        <v>0</v>
      </c>
      <c r="X206">
        <v>0</v>
      </c>
      <c r="Y206" t="s">
        <v>60</v>
      </c>
      <c r="Z206" t="s">
        <v>360</v>
      </c>
      <c r="AA206">
        <v>0</v>
      </c>
      <c r="AB206" s="2">
        <v>0</v>
      </c>
      <c r="AC206" s="2">
        <v>0</v>
      </c>
      <c r="AD206" s="3">
        <v>0</v>
      </c>
      <c r="AE206" s="2">
        <v>0</v>
      </c>
      <c r="AF206" s="2">
        <v>0</v>
      </c>
      <c r="AG206" s="2">
        <v>0</v>
      </c>
      <c r="AH206" s="2">
        <v>0</v>
      </c>
      <c r="AI206" s="2">
        <v>0</v>
      </c>
      <c r="AJ206" s="2">
        <v>0</v>
      </c>
      <c r="AK206" s="2">
        <v>0</v>
      </c>
      <c r="AL206" s="2">
        <v>9.6999999999999993</v>
      </c>
      <c r="AM206" s="2">
        <v>0</v>
      </c>
      <c r="AN206" s="2">
        <v>0</v>
      </c>
      <c r="AO206" s="2">
        <v>0</v>
      </c>
      <c r="AP206" s="2">
        <v>0</v>
      </c>
      <c r="AQ206" s="2">
        <v>0</v>
      </c>
    </row>
    <row r="207" spans="1:43" x14ac:dyDescent="0.25">
      <c r="A207" s="1">
        <v>45936</v>
      </c>
      <c r="B207" t="s">
        <v>48</v>
      </c>
      <c r="C207">
        <v>649163</v>
      </c>
      <c r="D207">
        <v>2029829958</v>
      </c>
      <c r="E207" t="s">
        <v>432</v>
      </c>
      <c r="F207" t="s">
        <v>433</v>
      </c>
      <c r="G207" t="s">
        <v>51</v>
      </c>
      <c r="H207" t="s">
        <v>70</v>
      </c>
      <c r="I207" t="s">
        <v>287</v>
      </c>
      <c r="J207" t="s">
        <v>288</v>
      </c>
      <c r="K207">
        <v>751867</v>
      </c>
      <c r="L207" t="s">
        <v>71</v>
      </c>
      <c r="M207" t="s">
        <v>72</v>
      </c>
      <c r="N207" t="s">
        <v>57</v>
      </c>
      <c r="O207" s="1">
        <v>45870</v>
      </c>
      <c r="Q207" s="1">
        <v>45962</v>
      </c>
      <c r="R207" s="2">
        <v>43.5</v>
      </c>
      <c r="S207">
        <v>1</v>
      </c>
      <c r="T207" t="s">
        <v>58</v>
      </c>
      <c r="U207" t="s">
        <v>359</v>
      </c>
      <c r="V207" s="3">
        <v>0.38</v>
      </c>
      <c r="W207" s="2">
        <v>0</v>
      </c>
      <c r="X207">
        <v>0</v>
      </c>
      <c r="Y207" t="s">
        <v>60</v>
      </c>
      <c r="Z207" t="s">
        <v>360</v>
      </c>
      <c r="AA207">
        <v>0</v>
      </c>
      <c r="AB207" s="2">
        <v>0</v>
      </c>
      <c r="AC207" s="2">
        <v>0</v>
      </c>
      <c r="AD207" s="3">
        <v>0</v>
      </c>
      <c r="AE207" s="2">
        <v>0</v>
      </c>
      <c r="AF207" s="2">
        <v>0</v>
      </c>
      <c r="AG207" s="2">
        <v>0</v>
      </c>
      <c r="AH207" s="2">
        <v>0</v>
      </c>
      <c r="AI207" s="2">
        <v>0</v>
      </c>
      <c r="AJ207" s="2">
        <v>0</v>
      </c>
      <c r="AK207" s="2">
        <v>0</v>
      </c>
      <c r="AL207" s="2">
        <v>16.53</v>
      </c>
      <c r="AM207" s="2">
        <v>0</v>
      </c>
      <c r="AN207" s="2">
        <v>0</v>
      </c>
      <c r="AO207" s="2">
        <v>0</v>
      </c>
      <c r="AP207" s="2">
        <v>0</v>
      </c>
      <c r="AQ207" s="2">
        <v>0</v>
      </c>
    </row>
    <row r="208" spans="1:43" x14ac:dyDescent="0.25">
      <c r="A208" s="1">
        <v>45936</v>
      </c>
      <c r="B208" t="s">
        <v>48</v>
      </c>
      <c r="C208">
        <v>649163</v>
      </c>
      <c r="D208">
        <v>2029838335</v>
      </c>
      <c r="E208" t="s">
        <v>434</v>
      </c>
      <c r="F208" t="s">
        <v>435</v>
      </c>
      <c r="G208" t="s">
        <v>51</v>
      </c>
      <c r="H208" t="s">
        <v>101</v>
      </c>
      <c r="I208" t="s">
        <v>287</v>
      </c>
      <c r="J208" t="s">
        <v>291</v>
      </c>
      <c r="K208">
        <v>840313</v>
      </c>
      <c r="L208" t="s">
        <v>436</v>
      </c>
      <c r="M208" t="s">
        <v>437</v>
      </c>
      <c r="N208" t="s">
        <v>57</v>
      </c>
      <c r="O208" s="1">
        <v>45846</v>
      </c>
      <c r="Q208" s="1">
        <v>45969</v>
      </c>
      <c r="R208" s="2">
        <v>181.4</v>
      </c>
      <c r="S208">
        <v>1</v>
      </c>
      <c r="T208" t="s">
        <v>58</v>
      </c>
      <c r="U208" t="s">
        <v>359</v>
      </c>
      <c r="V208" s="3">
        <v>0.38</v>
      </c>
      <c r="W208" s="2">
        <v>0</v>
      </c>
      <c r="X208">
        <v>0</v>
      </c>
      <c r="Y208" t="s">
        <v>60</v>
      </c>
      <c r="Z208" t="s">
        <v>360</v>
      </c>
      <c r="AA208">
        <v>0</v>
      </c>
      <c r="AB208" s="2">
        <v>0</v>
      </c>
      <c r="AC208" s="2">
        <v>0</v>
      </c>
      <c r="AD208" s="3">
        <v>0</v>
      </c>
      <c r="AE208" s="2">
        <v>0</v>
      </c>
      <c r="AF208" s="2">
        <v>0</v>
      </c>
      <c r="AG208" s="2">
        <v>0</v>
      </c>
      <c r="AH208" s="2">
        <v>0</v>
      </c>
      <c r="AI208" s="2">
        <v>0</v>
      </c>
      <c r="AJ208" s="2">
        <v>0</v>
      </c>
      <c r="AK208" s="2">
        <v>0</v>
      </c>
      <c r="AL208" s="2">
        <v>68.930000000000007</v>
      </c>
      <c r="AM208" s="2">
        <v>0</v>
      </c>
      <c r="AN208" s="2">
        <v>0</v>
      </c>
      <c r="AO208" s="2">
        <v>0</v>
      </c>
      <c r="AP208" s="2">
        <v>0</v>
      </c>
      <c r="AQ208" s="2">
        <v>0</v>
      </c>
    </row>
    <row r="209" spans="1:43" x14ac:dyDescent="0.25">
      <c r="A209" s="1">
        <v>45936</v>
      </c>
      <c r="B209" t="s">
        <v>48</v>
      </c>
      <c r="C209">
        <v>649163</v>
      </c>
      <c r="D209">
        <v>2030247772</v>
      </c>
      <c r="E209" t="s">
        <v>438</v>
      </c>
      <c r="F209" t="s">
        <v>410</v>
      </c>
      <c r="G209" t="s">
        <v>51</v>
      </c>
      <c r="H209" t="s">
        <v>70</v>
      </c>
      <c r="I209" t="s">
        <v>287</v>
      </c>
      <c r="J209" t="s">
        <v>288</v>
      </c>
      <c r="K209">
        <v>751867</v>
      </c>
      <c r="L209" t="s">
        <v>71</v>
      </c>
      <c r="M209" t="s">
        <v>72</v>
      </c>
      <c r="N209" t="s">
        <v>57</v>
      </c>
      <c r="O209" s="1">
        <v>45870</v>
      </c>
      <c r="Q209" s="1">
        <v>45962</v>
      </c>
      <c r="R209" s="2">
        <v>-27.15</v>
      </c>
      <c r="S209">
        <v>1</v>
      </c>
      <c r="T209" t="s">
        <v>58</v>
      </c>
      <c r="U209" t="s">
        <v>359</v>
      </c>
      <c r="V209" s="3">
        <v>0.38</v>
      </c>
      <c r="W209" s="2">
        <v>0</v>
      </c>
      <c r="X209">
        <v>-1</v>
      </c>
      <c r="Y209" t="s">
        <v>60</v>
      </c>
      <c r="Z209" t="s">
        <v>360</v>
      </c>
      <c r="AA209">
        <v>0</v>
      </c>
      <c r="AB209" s="2">
        <v>0</v>
      </c>
      <c r="AC209" s="2">
        <v>0</v>
      </c>
      <c r="AD209" s="3">
        <v>0</v>
      </c>
      <c r="AE209" s="2">
        <v>0</v>
      </c>
      <c r="AF209" s="2">
        <v>0</v>
      </c>
      <c r="AG209" s="2">
        <v>0</v>
      </c>
      <c r="AH209" s="2">
        <v>0</v>
      </c>
      <c r="AI209" s="2">
        <v>0</v>
      </c>
      <c r="AJ209" s="2">
        <v>0</v>
      </c>
      <c r="AK209" s="2">
        <v>0</v>
      </c>
      <c r="AL209" s="2">
        <v>0</v>
      </c>
      <c r="AM209" s="2">
        <v>-10.32</v>
      </c>
      <c r="AN209" s="2">
        <v>-10.32</v>
      </c>
      <c r="AO209" s="2">
        <v>0</v>
      </c>
      <c r="AP209" s="2">
        <v>0</v>
      </c>
      <c r="AQ209" s="2">
        <v>0</v>
      </c>
    </row>
    <row r="210" spans="1:43" x14ac:dyDescent="0.25">
      <c r="A210" s="1">
        <v>45936</v>
      </c>
      <c r="B210" t="s">
        <v>48</v>
      </c>
      <c r="C210">
        <v>649163</v>
      </c>
      <c r="D210">
        <v>2030277545</v>
      </c>
      <c r="E210" t="s">
        <v>439</v>
      </c>
      <c r="F210" t="s">
        <v>440</v>
      </c>
      <c r="G210" t="s">
        <v>51</v>
      </c>
      <c r="H210" t="s">
        <v>247</v>
      </c>
      <c r="I210" t="s">
        <v>287</v>
      </c>
      <c r="J210" t="s">
        <v>363</v>
      </c>
      <c r="K210">
        <v>673059</v>
      </c>
      <c r="L210" t="s">
        <v>80</v>
      </c>
      <c r="M210" t="s">
        <v>81</v>
      </c>
      <c r="N210" t="s">
        <v>57</v>
      </c>
      <c r="O210" s="1">
        <v>45878</v>
      </c>
      <c r="Q210" s="1">
        <v>45970</v>
      </c>
      <c r="R210" s="2">
        <v>118.65</v>
      </c>
      <c r="S210">
        <v>1</v>
      </c>
      <c r="T210" t="s">
        <v>58</v>
      </c>
      <c r="U210" t="s">
        <v>359</v>
      </c>
      <c r="V210" s="3">
        <v>0.19</v>
      </c>
      <c r="W210" s="2">
        <v>0</v>
      </c>
      <c r="X210">
        <v>0</v>
      </c>
      <c r="Y210" t="s">
        <v>60</v>
      </c>
      <c r="Z210" t="s">
        <v>360</v>
      </c>
      <c r="AA210">
        <v>0</v>
      </c>
      <c r="AB210" s="2">
        <v>0</v>
      </c>
      <c r="AC210" s="2">
        <v>0</v>
      </c>
      <c r="AD210" s="3">
        <v>0</v>
      </c>
      <c r="AE210" s="2">
        <v>0</v>
      </c>
      <c r="AF210" s="2">
        <v>0</v>
      </c>
      <c r="AG210" s="2">
        <v>0</v>
      </c>
      <c r="AH210" s="2">
        <v>0</v>
      </c>
      <c r="AI210" s="2">
        <v>0</v>
      </c>
      <c r="AJ210" s="2">
        <v>0</v>
      </c>
      <c r="AK210" s="2">
        <v>0</v>
      </c>
      <c r="AL210" s="2">
        <v>22.54</v>
      </c>
      <c r="AM210" s="2">
        <v>0</v>
      </c>
      <c r="AN210" s="2">
        <v>0</v>
      </c>
      <c r="AO210" s="2">
        <v>0</v>
      </c>
      <c r="AP210" s="2">
        <v>0</v>
      </c>
      <c r="AQ210" s="2">
        <v>0</v>
      </c>
    </row>
    <row r="211" spans="1:43" x14ac:dyDescent="0.25">
      <c r="A211" s="1">
        <v>45936</v>
      </c>
      <c r="B211" t="s">
        <v>48</v>
      </c>
      <c r="C211">
        <v>649163</v>
      </c>
      <c r="D211">
        <v>2030277546</v>
      </c>
      <c r="E211" t="s">
        <v>439</v>
      </c>
      <c r="F211" t="s">
        <v>440</v>
      </c>
      <c r="G211" t="s">
        <v>51</v>
      </c>
      <c r="H211" t="s">
        <v>247</v>
      </c>
      <c r="I211" t="s">
        <v>287</v>
      </c>
      <c r="J211" t="s">
        <v>424</v>
      </c>
      <c r="K211">
        <v>673059</v>
      </c>
      <c r="L211" t="s">
        <v>80</v>
      </c>
      <c r="M211" t="s">
        <v>81</v>
      </c>
      <c r="N211" t="s">
        <v>57</v>
      </c>
      <c r="O211" s="1">
        <v>45878</v>
      </c>
      <c r="Q211" s="1">
        <v>45970</v>
      </c>
      <c r="R211" s="2">
        <v>7.09</v>
      </c>
      <c r="S211">
        <v>1</v>
      </c>
      <c r="T211" t="s">
        <v>58</v>
      </c>
      <c r="U211" t="s">
        <v>359</v>
      </c>
      <c r="V211" s="3">
        <v>0.38</v>
      </c>
      <c r="W211" s="2">
        <v>0</v>
      </c>
      <c r="X211">
        <v>0</v>
      </c>
      <c r="Y211" t="s">
        <v>60</v>
      </c>
      <c r="Z211" t="s">
        <v>360</v>
      </c>
      <c r="AA211">
        <v>0</v>
      </c>
      <c r="AB211" s="2">
        <v>0</v>
      </c>
      <c r="AC211" s="2">
        <v>0</v>
      </c>
      <c r="AD211" s="3">
        <v>0</v>
      </c>
      <c r="AE211" s="2">
        <v>0</v>
      </c>
      <c r="AF211" s="2">
        <v>0</v>
      </c>
      <c r="AG211" s="2">
        <v>0</v>
      </c>
      <c r="AH211" s="2">
        <v>0</v>
      </c>
      <c r="AI211" s="2">
        <v>0</v>
      </c>
      <c r="AJ211" s="2">
        <v>0</v>
      </c>
      <c r="AK211" s="2">
        <v>0</v>
      </c>
      <c r="AL211" s="2">
        <v>2.69</v>
      </c>
      <c r="AM211" s="2">
        <v>0</v>
      </c>
      <c r="AN211" s="2">
        <v>0</v>
      </c>
      <c r="AO211" s="2">
        <v>0</v>
      </c>
      <c r="AP211" s="2">
        <v>0</v>
      </c>
      <c r="AQ211" s="2">
        <v>0</v>
      </c>
    </row>
    <row r="212" spans="1:43" x14ac:dyDescent="0.25">
      <c r="A212" s="1">
        <v>45936</v>
      </c>
      <c r="B212" t="s">
        <v>48</v>
      </c>
      <c r="C212">
        <v>649163</v>
      </c>
      <c r="D212">
        <v>2030290666</v>
      </c>
      <c r="E212" t="s">
        <v>441</v>
      </c>
      <c r="F212" t="s">
        <v>442</v>
      </c>
      <c r="G212" t="s">
        <v>51</v>
      </c>
      <c r="H212" t="s">
        <v>390</v>
      </c>
      <c r="I212" t="s">
        <v>287</v>
      </c>
      <c r="J212" t="s">
        <v>288</v>
      </c>
      <c r="K212">
        <v>650218</v>
      </c>
      <c r="L212" t="s">
        <v>237</v>
      </c>
      <c r="M212" t="s">
        <v>238</v>
      </c>
      <c r="N212" t="s">
        <v>57</v>
      </c>
      <c r="O212" s="1">
        <v>45872</v>
      </c>
      <c r="Q212" s="1">
        <v>45964</v>
      </c>
      <c r="R212" s="2">
        <v>31.43</v>
      </c>
      <c r="S212">
        <v>1</v>
      </c>
      <c r="T212" t="s">
        <v>58</v>
      </c>
      <c r="U212" t="s">
        <v>359</v>
      </c>
      <c r="V212" s="3">
        <v>0.38</v>
      </c>
      <c r="W212" s="2">
        <v>0</v>
      </c>
      <c r="X212">
        <v>0</v>
      </c>
      <c r="Y212" t="s">
        <v>60</v>
      </c>
      <c r="Z212" t="s">
        <v>360</v>
      </c>
      <c r="AA212">
        <v>0</v>
      </c>
      <c r="AB212" s="2">
        <v>0</v>
      </c>
      <c r="AC212" s="2">
        <v>0</v>
      </c>
      <c r="AD212" s="3">
        <v>0</v>
      </c>
      <c r="AE212" s="2">
        <v>0</v>
      </c>
      <c r="AF212" s="2">
        <v>0</v>
      </c>
      <c r="AG212" s="2">
        <v>0</v>
      </c>
      <c r="AH212" s="2">
        <v>0</v>
      </c>
      <c r="AI212" s="2">
        <v>0</v>
      </c>
      <c r="AJ212" s="2">
        <v>0</v>
      </c>
      <c r="AK212" s="2">
        <v>0</v>
      </c>
      <c r="AL212" s="2">
        <v>11.94</v>
      </c>
      <c r="AM212" s="2">
        <v>0</v>
      </c>
      <c r="AN212" s="2">
        <v>0</v>
      </c>
      <c r="AO212" s="2">
        <v>0</v>
      </c>
      <c r="AP212" s="2">
        <v>0</v>
      </c>
      <c r="AQ212" s="2">
        <v>0</v>
      </c>
    </row>
    <row r="213" spans="1:43" x14ac:dyDescent="0.25">
      <c r="A213" s="1">
        <v>45936</v>
      </c>
      <c r="B213" t="s">
        <v>48</v>
      </c>
      <c r="C213">
        <v>649163</v>
      </c>
      <c r="D213">
        <v>2030380471</v>
      </c>
      <c r="E213" t="s">
        <v>443</v>
      </c>
      <c r="F213" t="s">
        <v>444</v>
      </c>
      <c r="G213" t="s">
        <v>51</v>
      </c>
      <c r="H213" t="s">
        <v>70</v>
      </c>
      <c r="I213" t="s">
        <v>287</v>
      </c>
      <c r="J213" t="s">
        <v>288</v>
      </c>
      <c r="K213">
        <v>650218</v>
      </c>
      <c r="L213" t="s">
        <v>237</v>
      </c>
      <c r="M213" t="s">
        <v>238</v>
      </c>
      <c r="N213" t="s">
        <v>57</v>
      </c>
      <c r="O213" s="1">
        <v>45877</v>
      </c>
      <c r="Q213" s="1">
        <v>45969</v>
      </c>
      <c r="R213" s="2">
        <v>47.17</v>
      </c>
      <c r="S213">
        <v>1</v>
      </c>
      <c r="T213" t="s">
        <v>58</v>
      </c>
      <c r="U213" t="s">
        <v>359</v>
      </c>
      <c r="V213" s="3">
        <v>0.38</v>
      </c>
      <c r="W213" s="2">
        <v>0</v>
      </c>
      <c r="X213">
        <v>0</v>
      </c>
      <c r="Y213" t="s">
        <v>60</v>
      </c>
      <c r="Z213" t="s">
        <v>360</v>
      </c>
      <c r="AA213">
        <v>0</v>
      </c>
      <c r="AB213" s="2">
        <v>0</v>
      </c>
      <c r="AC213" s="2">
        <v>0</v>
      </c>
      <c r="AD213" s="3">
        <v>0</v>
      </c>
      <c r="AE213" s="2">
        <v>0</v>
      </c>
      <c r="AF213" s="2">
        <v>0</v>
      </c>
      <c r="AG213" s="2">
        <v>0</v>
      </c>
      <c r="AH213" s="2">
        <v>0</v>
      </c>
      <c r="AI213" s="2">
        <v>0</v>
      </c>
      <c r="AJ213" s="2">
        <v>0</v>
      </c>
      <c r="AK213" s="2">
        <v>0</v>
      </c>
      <c r="AL213" s="2">
        <v>17.920000000000002</v>
      </c>
      <c r="AM213" s="2">
        <v>0</v>
      </c>
      <c r="AN213" s="2">
        <v>0</v>
      </c>
      <c r="AO213" s="2">
        <v>0</v>
      </c>
      <c r="AP213" s="2">
        <v>0</v>
      </c>
      <c r="AQ213" s="2">
        <v>0</v>
      </c>
    </row>
    <row r="214" spans="1:43" x14ac:dyDescent="0.25">
      <c r="A214" s="1">
        <v>45936</v>
      </c>
      <c r="B214" t="s">
        <v>48</v>
      </c>
      <c r="C214">
        <v>649163</v>
      </c>
      <c r="D214">
        <v>2030395014</v>
      </c>
      <c r="E214" t="s">
        <v>445</v>
      </c>
      <c r="F214" t="s">
        <v>446</v>
      </c>
      <c r="G214" t="s">
        <v>51</v>
      </c>
      <c r="H214" t="s">
        <v>203</v>
      </c>
      <c r="I214" t="s">
        <v>287</v>
      </c>
      <c r="J214" t="s">
        <v>288</v>
      </c>
      <c r="K214">
        <v>796984</v>
      </c>
      <c r="L214" t="s">
        <v>204</v>
      </c>
      <c r="M214" t="s">
        <v>205</v>
      </c>
      <c r="N214" t="s">
        <v>57</v>
      </c>
      <c r="O214" s="1">
        <v>45878</v>
      </c>
      <c r="Q214" s="1">
        <v>45970</v>
      </c>
      <c r="R214" s="2">
        <v>23.69</v>
      </c>
      <c r="S214">
        <v>1</v>
      </c>
      <c r="T214" t="s">
        <v>58</v>
      </c>
      <c r="U214" t="s">
        <v>359</v>
      </c>
      <c r="V214" s="3">
        <v>0.38</v>
      </c>
      <c r="W214" s="2">
        <v>0</v>
      </c>
      <c r="X214">
        <v>0</v>
      </c>
      <c r="Y214" t="s">
        <v>60</v>
      </c>
      <c r="Z214" t="s">
        <v>360</v>
      </c>
      <c r="AA214">
        <v>0</v>
      </c>
      <c r="AB214" s="2">
        <v>0</v>
      </c>
      <c r="AC214" s="2">
        <v>0</v>
      </c>
      <c r="AD214" s="3">
        <v>0</v>
      </c>
      <c r="AE214" s="2">
        <v>0</v>
      </c>
      <c r="AF214" s="2">
        <v>0</v>
      </c>
      <c r="AG214" s="2">
        <v>0</v>
      </c>
      <c r="AH214" s="2">
        <v>0</v>
      </c>
      <c r="AI214" s="2">
        <v>0</v>
      </c>
      <c r="AJ214" s="2">
        <v>0</v>
      </c>
      <c r="AK214" s="2">
        <v>0</v>
      </c>
      <c r="AL214" s="2">
        <v>9</v>
      </c>
      <c r="AM214" s="2">
        <v>0</v>
      </c>
      <c r="AN214" s="2">
        <v>0</v>
      </c>
      <c r="AO214" s="2">
        <v>0</v>
      </c>
      <c r="AP214" s="2">
        <v>0</v>
      </c>
      <c r="AQ214" s="2">
        <v>0</v>
      </c>
    </row>
    <row r="215" spans="1:43" x14ac:dyDescent="0.25">
      <c r="A215" s="1">
        <v>45936</v>
      </c>
      <c r="B215" t="s">
        <v>48</v>
      </c>
      <c r="C215">
        <v>649163</v>
      </c>
      <c r="D215">
        <v>2030399994</v>
      </c>
      <c r="E215" t="s">
        <v>447</v>
      </c>
      <c r="F215" t="s">
        <v>139</v>
      </c>
      <c r="G215" t="s">
        <v>51</v>
      </c>
      <c r="H215" t="s">
        <v>101</v>
      </c>
      <c r="I215" t="s">
        <v>287</v>
      </c>
      <c r="J215" t="s">
        <v>291</v>
      </c>
      <c r="K215">
        <v>824062</v>
      </c>
      <c r="L215" t="s">
        <v>273</v>
      </c>
      <c r="M215" t="s">
        <v>274</v>
      </c>
      <c r="N215" t="s">
        <v>57</v>
      </c>
      <c r="O215" s="1">
        <v>45878</v>
      </c>
      <c r="Q215" s="1">
        <v>45970</v>
      </c>
      <c r="R215" s="2">
        <v>758.34</v>
      </c>
      <c r="S215">
        <v>1</v>
      </c>
      <c r="T215" t="s">
        <v>58</v>
      </c>
      <c r="U215" t="s">
        <v>359</v>
      </c>
      <c r="V215" s="3">
        <v>0.38</v>
      </c>
      <c r="W215" s="2">
        <v>0</v>
      </c>
      <c r="X215">
        <v>0</v>
      </c>
      <c r="Y215" t="s">
        <v>60</v>
      </c>
      <c r="Z215" t="s">
        <v>360</v>
      </c>
      <c r="AA215">
        <v>0</v>
      </c>
      <c r="AB215" s="2">
        <v>0</v>
      </c>
      <c r="AC215" s="2">
        <v>0</v>
      </c>
      <c r="AD215" s="3">
        <v>0</v>
      </c>
      <c r="AE215" s="2">
        <v>0</v>
      </c>
      <c r="AF215" s="2">
        <v>0</v>
      </c>
      <c r="AG215" s="2">
        <v>0</v>
      </c>
      <c r="AH215" s="2">
        <v>0</v>
      </c>
      <c r="AI215" s="2">
        <v>0</v>
      </c>
      <c r="AJ215" s="2">
        <v>0</v>
      </c>
      <c r="AK215" s="2">
        <v>0</v>
      </c>
      <c r="AL215" s="2">
        <v>288.17</v>
      </c>
      <c r="AM215" s="2">
        <v>0</v>
      </c>
      <c r="AN215" s="2">
        <v>0</v>
      </c>
      <c r="AO215" s="2">
        <v>0</v>
      </c>
      <c r="AP215" s="2">
        <v>0</v>
      </c>
      <c r="AQ215" s="2">
        <v>0</v>
      </c>
    </row>
    <row r="216" spans="1:43" x14ac:dyDescent="0.25">
      <c r="A216" s="1">
        <v>45936</v>
      </c>
      <c r="B216" t="s">
        <v>48</v>
      </c>
      <c r="C216">
        <v>649163</v>
      </c>
      <c r="D216">
        <v>2030399997</v>
      </c>
      <c r="E216" t="s">
        <v>447</v>
      </c>
      <c r="F216" t="s">
        <v>139</v>
      </c>
      <c r="G216" t="s">
        <v>51</v>
      </c>
      <c r="H216" t="s">
        <v>101</v>
      </c>
      <c r="I216" t="s">
        <v>287</v>
      </c>
      <c r="J216" t="s">
        <v>424</v>
      </c>
      <c r="K216">
        <v>824062</v>
      </c>
      <c r="L216" t="s">
        <v>273</v>
      </c>
      <c r="M216" t="s">
        <v>274</v>
      </c>
      <c r="N216" t="s">
        <v>57</v>
      </c>
      <c r="O216" s="1">
        <v>45878</v>
      </c>
      <c r="Q216" s="1">
        <v>45970</v>
      </c>
      <c r="R216" s="2">
        <v>7.09</v>
      </c>
      <c r="S216">
        <v>1</v>
      </c>
      <c r="T216" t="s">
        <v>58</v>
      </c>
      <c r="U216" t="s">
        <v>359</v>
      </c>
      <c r="V216" s="3">
        <v>0.38</v>
      </c>
      <c r="W216" s="2">
        <v>0</v>
      </c>
      <c r="X216">
        <v>0</v>
      </c>
      <c r="Y216" t="s">
        <v>60</v>
      </c>
      <c r="Z216" t="s">
        <v>360</v>
      </c>
      <c r="AA216">
        <v>0</v>
      </c>
      <c r="AB216" s="2">
        <v>0</v>
      </c>
      <c r="AC216" s="2">
        <v>0</v>
      </c>
      <c r="AD216" s="3">
        <v>0</v>
      </c>
      <c r="AE216" s="2">
        <v>0</v>
      </c>
      <c r="AF216" s="2">
        <v>0</v>
      </c>
      <c r="AG216" s="2">
        <v>0</v>
      </c>
      <c r="AH216" s="2">
        <v>0</v>
      </c>
      <c r="AI216" s="2">
        <v>0</v>
      </c>
      <c r="AJ216" s="2">
        <v>0</v>
      </c>
      <c r="AK216" s="2">
        <v>0</v>
      </c>
      <c r="AL216" s="2">
        <v>2.69</v>
      </c>
      <c r="AM216" s="2">
        <v>0</v>
      </c>
      <c r="AN216" s="2">
        <v>0</v>
      </c>
      <c r="AO216" s="2">
        <v>0</v>
      </c>
      <c r="AP216" s="2">
        <v>0</v>
      </c>
      <c r="AQ216" s="2">
        <v>0</v>
      </c>
    </row>
    <row r="217" spans="1:43" x14ac:dyDescent="0.25">
      <c r="A217" s="1">
        <v>45936</v>
      </c>
      <c r="B217" t="s">
        <v>48</v>
      </c>
      <c r="C217">
        <v>649163</v>
      </c>
      <c r="D217">
        <v>2030896174</v>
      </c>
      <c r="E217" t="s">
        <v>448</v>
      </c>
      <c r="F217" t="s">
        <v>449</v>
      </c>
      <c r="G217" t="s">
        <v>51</v>
      </c>
      <c r="H217" t="s">
        <v>101</v>
      </c>
      <c r="I217" t="s">
        <v>287</v>
      </c>
      <c r="J217" t="s">
        <v>291</v>
      </c>
      <c r="K217">
        <v>820873</v>
      </c>
      <c r="L217" t="s">
        <v>134</v>
      </c>
      <c r="M217" t="s">
        <v>135</v>
      </c>
      <c r="N217" t="s">
        <v>57</v>
      </c>
      <c r="O217" s="1">
        <v>45906</v>
      </c>
      <c r="Q217" s="1">
        <v>45967</v>
      </c>
      <c r="R217" s="2">
        <v>139</v>
      </c>
      <c r="S217">
        <v>1</v>
      </c>
      <c r="T217" t="s">
        <v>58</v>
      </c>
      <c r="U217" t="s">
        <v>359</v>
      </c>
      <c r="V217" s="3">
        <v>0.38</v>
      </c>
      <c r="W217" s="2">
        <v>0</v>
      </c>
      <c r="X217">
        <v>0</v>
      </c>
      <c r="Y217" t="s">
        <v>60</v>
      </c>
      <c r="Z217" t="s">
        <v>360</v>
      </c>
      <c r="AA217">
        <v>0</v>
      </c>
      <c r="AB217" s="2">
        <v>0</v>
      </c>
      <c r="AC217" s="2">
        <v>0</v>
      </c>
      <c r="AD217" s="3">
        <v>0</v>
      </c>
      <c r="AE217" s="2">
        <v>0</v>
      </c>
      <c r="AF217" s="2">
        <v>0</v>
      </c>
      <c r="AG217" s="2">
        <v>0</v>
      </c>
      <c r="AH217" s="2">
        <v>0</v>
      </c>
      <c r="AI217" s="2">
        <v>0</v>
      </c>
      <c r="AJ217" s="2">
        <v>0</v>
      </c>
      <c r="AK217" s="2">
        <v>0</v>
      </c>
      <c r="AL217" s="2">
        <v>52.82</v>
      </c>
      <c r="AM217" s="2">
        <v>0</v>
      </c>
      <c r="AN217" s="2">
        <v>0</v>
      </c>
      <c r="AO217" s="2">
        <v>0</v>
      </c>
      <c r="AP217" s="2">
        <v>0</v>
      </c>
      <c r="AQ217" s="2">
        <v>0</v>
      </c>
    </row>
    <row r="218" spans="1:43" x14ac:dyDescent="0.25">
      <c r="A218" s="1">
        <v>45936</v>
      </c>
      <c r="B218" t="s">
        <v>48</v>
      </c>
      <c r="C218">
        <v>649163</v>
      </c>
      <c r="D218">
        <v>2030896175</v>
      </c>
      <c r="E218" t="s">
        <v>448</v>
      </c>
      <c r="F218" t="s">
        <v>449</v>
      </c>
      <c r="G218" t="s">
        <v>51</v>
      </c>
      <c r="H218" t="s">
        <v>101</v>
      </c>
      <c r="I218" t="s">
        <v>287</v>
      </c>
      <c r="J218" t="s">
        <v>424</v>
      </c>
      <c r="K218">
        <v>820873</v>
      </c>
      <c r="L218" t="s">
        <v>134</v>
      </c>
      <c r="M218" t="s">
        <v>135</v>
      </c>
      <c r="N218" t="s">
        <v>57</v>
      </c>
      <c r="O218" s="1">
        <v>45906</v>
      </c>
      <c r="Q218" s="1">
        <v>45967</v>
      </c>
      <c r="R218" s="2">
        <v>7.09</v>
      </c>
      <c r="S218">
        <v>1</v>
      </c>
      <c r="T218" t="s">
        <v>58</v>
      </c>
      <c r="U218" t="s">
        <v>359</v>
      </c>
      <c r="V218" s="3">
        <v>0.38</v>
      </c>
      <c r="W218" s="2">
        <v>0</v>
      </c>
      <c r="X218">
        <v>0</v>
      </c>
      <c r="Y218" t="s">
        <v>60</v>
      </c>
      <c r="Z218" t="s">
        <v>360</v>
      </c>
      <c r="AA218">
        <v>0</v>
      </c>
      <c r="AB218" s="2">
        <v>0</v>
      </c>
      <c r="AC218" s="2">
        <v>0</v>
      </c>
      <c r="AD218" s="3">
        <v>0</v>
      </c>
      <c r="AE218" s="2">
        <v>0</v>
      </c>
      <c r="AF218" s="2">
        <v>0</v>
      </c>
      <c r="AG218" s="2">
        <v>0</v>
      </c>
      <c r="AH218" s="2">
        <v>0</v>
      </c>
      <c r="AI218" s="2">
        <v>0</v>
      </c>
      <c r="AJ218" s="2">
        <v>0</v>
      </c>
      <c r="AK218" s="2">
        <v>0</v>
      </c>
      <c r="AL218" s="2">
        <v>2.69</v>
      </c>
      <c r="AM218" s="2">
        <v>0</v>
      </c>
      <c r="AN218" s="2">
        <v>0</v>
      </c>
      <c r="AO218" s="2">
        <v>0</v>
      </c>
      <c r="AP218" s="2">
        <v>0</v>
      </c>
      <c r="AQ218" s="2">
        <v>0</v>
      </c>
    </row>
    <row r="219" spans="1:43" x14ac:dyDescent="0.25">
      <c r="A219" s="1">
        <v>45936</v>
      </c>
      <c r="B219" t="s">
        <v>48</v>
      </c>
      <c r="C219">
        <v>649163</v>
      </c>
      <c r="D219">
        <v>2030937252</v>
      </c>
      <c r="E219" t="s">
        <v>450</v>
      </c>
      <c r="F219" t="s">
        <v>412</v>
      </c>
      <c r="G219" t="s">
        <v>51</v>
      </c>
      <c r="H219" t="s">
        <v>70</v>
      </c>
      <c r="I219" t="s">
        <v>287</v>
      </c>
      <c r="J219" t="s">
        <v>288</v>
      </c>
      <c r="K219">
        <v>751867</v>
      </c>
      <c r="L219" t="s">
        <v>71</v>
      </c>
      <c r="M219" t="s">
        <v>72</v>
      </c>
      <c r="N219" t="s">
        <v>57</v>
      </c>
      <c r="O219" s="1">
        <v>45909</v>
      </c>
      <c r="Q219" s="1">
        <v>45970</v>
      </c>
      <c r="R219" s="2">
        <v>19.309999999999999</v>
      </c>
      <c r="S219">
        <v>1</v>
      </c>
      <c r="T219" t="s">
        <v>58</v>
      </c>
      <c r="U219" t="s">
        <v>59</v>
      </c>
      <c r="V219" s="3">
        <v>0.38</v>
      </c>
      <c r="W219" s="2">
        <v>0</v>
      </c>
      <c r="X219">
        <v>0</v>
      </c>
      <c r="Y219" t="s">
        <v>60</v>
      </c>
      <c r="Z219" t="s">
        <v>360</v>
      </c>
      <c r="AA219">
        <v>0</v>
      </c>
      <c r="AB219" s="2">
        <v>0</v>
      </c>
      <c r="AC219" s="2">
        <v>0</v>
      </c>
      <c r="AD219" s="3">
        <v>0</v>
      </c>
      <c r="AE219" s="2">
        <v>0</v>
      </c>
      <c r="AF219" s="2">
        <v>0</v>
      </c>
      <c r="AG219" s="2">
        <v>0</v>
      </c>
      <c r="AH219" s="2">
        <v>0</v>
      </c>
      <c r="AI219" s="2">
        <v>0</v>
      </c>
      <c r="AJ219" s="2">
        <v>0</v>
      </c>
      <c r="AK219" s="2">
        <v>0</v>
      </c>
      <c r="AL219" s="2">
        <v>7.34</v>
      </c>
      <c r="AM219" s="2">
        <v>0</v>
      </c>
      <c r="AN219" s="2">
        <v>0</v>
      </c>
      <c r="AO219" s="2">
        <v>0</v>
      </c>
      <c r="AP219" s="2">
        <v>0</v>
      </c>
      <c r="AQ219" s="2">
        <v>0</v>
      </c>
    </row>
    <row r="220" spans="1:43" x14ac:dyDescent="0.25">
      <c r="A220" s="1">
        <v>45936</v>
      </c>
      <c r="B220" t="s">
        <v>48</v>
      </c>
      <c r="C220">
        <v>649163</v>
      </c>
      <c r="D220">
        <v>2030941927</v>
      </c>
      <c r="E220" t="s">
        <v>451</v>
      </c>
      <c r="F220" t="s">
        <v>452</v>
      </c>
      <c r="G220" t="s">
        <v>51</v>
      </c>
      <c r="H220" t="s">
        <v>129</v>
      </c>
      <c r="I220" t="s">
        <v>287</v>
      </c>
      <c r="J220" t="s">
        <v>288</v>
      </c>
      <c r="K220">
        <v>751867</v>
      </c>
      <c r="L220" t="s">
        <v>71</v>
      </c>
      <c r="M220" t="s">
        <v>72</v>
      </c>
      <c r="N220" t="s">
        <v>57</v>
      </c>
      <c r="O220" s="1">
        <v>45909</v>
      </c>
      <c r="Q220" s="1">
        <v>45970</v>
      </c>
      <c r="R220" s="2">
        <v>15.06</v>
      </c>
      <c r="S220">
        <v>1</v>
      </c>
      <c r="T220" t="s">
        <v>58</v>
      </c>
      <c r="U220" t="s">
        <v>59</v>
      </c>
      <c r="V220" s="3">
        <v>0.38</v>
      </c>
      <c r="W220" s="2">
        <v>0</v>
      </c>
      <c r="X220">
        <v>0</v>
      </c>
      <c r="Y220" t="s">
        <v>60</v>
      </c>
      <c r="Z220" t="s">
        <v>360</v>
      </c>
      <c r="AA220">
        <v>0</v>
      </c>
      <c r="AB220" s="2">
        <v>0</v>
      </c>
      <c r="AC220" s="2">
        <v>0</v>
      </c>
      <c r="AD220" s="3">
        <v>0</v>
      </c>
      <c r="AE220" s="2">
        <v>0</v>
      </c>
      <c r="AF220" s="2">
        <v>0</v>
      </c>
      <c r="AG220" s="2">
        <v>0</v>
      </c>
      <c r="AH220" s="2">
        <v>0</v>
      </c>
      <c r="AI220" s="2">
        <v>0</v>
      </c>
      <c r="AJ220" s="2">
        <v>0</v>
      </c>
      <c r="AK220" s="2">
        <v>0</v>
      </c>
      <c r="AL220" s="2">
        <v>5.72</v>
      </c>
      <c r="AM220" s="2">
        <v>0</v>
      </c>
      <c r="AN220" s="2">
        <v>0</v>
      </c>
      <c r="AO220" s="2">
        <v>0</v>
      </c>
      <c r="AP220" s="2">
        <v>0</v>
      </c>
      <c r="AQ220" s="2">
        <v>0</v>
      </c>
    </row>
    <row r="221" spans="1:43" x14ac:dyDescent="0.25">
      <c r="A221" s="1">
        <v>45936</v>
      </c>
      <c r="B221" t="s">
        <v>48</v>
      </c>
      <c r="C221">
        <v>649163</v>
      </c>
      <c r="D221">
        <v>2030945122</v>
      </c>
      <c r="E221" t="s">
        <v>388</v>
      </c>
      <c r="F221" t="s">
        <v>453</v>
      </c>
      <c r="G221" t="s">
        <v>51</v>
      </c>
      <c r="H221" t="s">
        <v>101</v>
      </c>
      <c r="I221" t="s">
        <v>287</v>
      </c>
      <c r="J221" t="s">
        <v>288</v>
      </c>
      <c r="K221">
        <v>820873</v>
      </c>
      <c r="L221" t="s">
        <v>134</v>
      </c>
      <c r="M221" t="s">
        <v>135</v>
      </c>
      <c r="N221" t="s">
        <v>57</v>
      </c>
      <c r="O221" s="1">
        <v>45909</v>
      </c>
      <c r="Q221" s="1">
        <v>45970</v>
      </c>
      <c r="R221" s="2">
        <v>19.48</v>
      </c>
      <c r="S221">
        <v>1</v>
      </c>
      <c r="T221" t="s">
        <v>58</v>
      </c>
      <c r="U221" t="s">
        <v>59</v>
      </c>
      <c r="V221" s="3">
        <v>0.38</v>
      </c>
      <c r="W221" s="2">
        <v>0</v>
      </c>
      <c r="X221">
        <v>0</v>
      </c>
      <c r="Y221" t="s">
        <v>60</v>
      </c>
      <c r="Z221" t="s">
        <v>360</v>
      </c>
      <c r="AA221">
        <v>0</v>
      </c>
      <c r="AB221" s="2">
        <v>0</v>
      </c>
      <c r="AC221" s="2">
        <v>0</v>
      </c>
      <c r="AD221" s="3">
        <v>0</v>
      </c>
      <c r="AE221" s="2">
        <v>0</v>
      </c>
      <c r="AF221" s="2">
        <v>0</v>
      </c>
      <c r="AG221" s="2">
        <v>0</v>
      </c>
      <c r="AH221" s="2">
        <v>0</v>
      </c>
      <c r="AI221" s="2">
        <v>0</v>
      </c>
      <c r="AJ221" s="2">
        <v>0</v>
      </c>
      <c r="AK221" s="2">
        <v>0</v>
      </c>
      <c r="AL221" s="2">
        <v>7.4</v>
      </c>
      <c r="AM221" s="2">
        <v>0</v>
      </c>
      <c r="AN221" s="2">
        <v>0</v>
      </c>
      <c r="AO221" s="2">
        <v>0</v>
      </c>
      <c r="AP221" s="2">
        <v>0</v>
      </c>
      <c r="AQ221" s="2">
        <v>0</v>
      </c>
    </row>
    <row r="222" spans="1:43" x14ac:dyDescent="0.25">
      <c r="A222" s="1">
        <v>45936</v>
      </c>
      <c r="B222" t="s">
        <v>48</v>
      </c>
      <c r="C222">
        <v>649163</v>
      </c>
      <c r="D222">
        <v>2030954480</v>
      </c>
      <c r="E222" t="s">
        <v>454</v>
      </c>
      <c r="F222" t="s">
        <v>455</v>
      </c>
      <c r="G222" t="s">
        <v>51</v>
      </c>
      <c r="H222" t="s">
        <v>101</v>
      </c>
      <c r="I222" t="s">
        <v>287</v>
      </c>
      <c r="J222" t="s">
        <v>291</v>
      </c>
      <c r="K222">
        <v>856824</v>
      </c>
      <c r="L222" t="s">
        <v>298</v>
      </c>
      <c r="M222" t="s">
        <v>299</v>
      </c>
      <c r="N222" t="s">
        <v>57</v>
      </c>
      <c r="O222" s="1">
        <v>45910</v>
      </c>
      <c r="Q222" s="1">
        <v>45971</v>
      </c>
      <c r="R222" s="2">
        <v>172.55</v>
      </c>
      <c r="S222">
        <v>1</v>
      </c>
      <c r="T222" t="s">
        <v>58</v>
      </c>
      <c r="U222" t="s">
        <v>59</v>
      </c>
      <c r="V222" s="3">
        <v>0.38</v>
      </c>
      <c r="W222" s="2">
        <v>0</v>
      </c>
      <c r="X222">
        <v>0</v>
      </c>
      <c r="Y222" t="s">
        <v>60</v>
      </c>
      <c r="Z222" t="s">
        <v>360</v>
      </c>
      <c r="AA222">
        <v>0</v>
      </c>
      <c r="AB222" s="2">
        <v>0</v>
      </c>
      <c r="AC222" s="2">
        <v>0</v>
      </c>
      <c r="AD222" s="3">
        <v>0</v>
      </c>
      <c r="AE222" s="2">
        <v>0</v>
      </c>
      <c r="AF222" s="2">
        <v>0</v>
      </c>
      <c r="AG222" s="2">
        <v>0</v>
      </c>
      <c r="AH222" s="2">
        <v>0</v>
      </c>
      <c r="AI222" s="2">
        <v>0</v>
      </c>
      <c r="AJ222" s="2">
        <v>0</v>
      </c>
      <c r="AK222" s="2">
        <v>0</v>
      </c>
      <c r="AL222" s="2">
        <v>65.569999999999993</v>
      </c>
      <c r="AM222" s="2">
        <v>0</v>
      </c>
      <c r="AN222" s="2">
        <v>0</v>
      </c>
      <c r="AO222" s="2">
        <v>0</v>
      </c>
      <c r="AP222" s="2">
        <v>0</v>
      </c>
      <c r="AQ222" s="2">
        <v>0</v>
      </c>
    </row>
    <row r="223" spans="1:43" x14ac:dyDescent="0.25">
      <c r="A223" s="1">
        <v>45936</v>
      </c>
      <c r="B223" t="s">
        <v>48</v>
      </c>
      <c r="C223">
        <v>649163</v>
      </c>
      <c r="D223">
        <v>2030954481</v>
      </c>
      <c r="E223" t="s">
        <v>454</v>
      </c>
      <c r="F223" t="s">
        <v>455</v>
      </c>
      <c r="G223" t="s">
        <v>51</v>
      </c>
      <c r="H223" t="s">
        <v>101</v>
      </c>
      <c r="I223" t="s">
        <v>287</v>
      </c>
      <c r="J223" t="s">
        <v>424</v>
      </c>
      <c r="K223">
        <v>856824</v>
      </c>
      <c r="L223" t="s">
        <v>298</v>
      </c>
      <c r="M223" t="s">
        <v>299</v>
      </c>
      <c r="N223" t="s">
        <v>57</v>
      </c>
      <c r="O223" s="1">
        <v>45910</v>
      </c>
      <c r="Q223" s="1">
        <v>45971</v>
      </c>
      <c r="R223" s="2">
        <v>7.09</v>
      </c>
      <c r="S223">
        <v>1</v>
      </c>
      <c r="T223" t="s">
        <v>58</v>
      </c>
      <c r="U223" t="s">
        <v>59</v>
      </c>
      <c r="V223" s="3">
        <v>0.38</v>
      </c>
      <c r="W223" s="2">
        <v>0</v>
      </c>
      <c r="X223">
        <v>0</v>
      </c>
      <c r="Y223" t="s">
        <v>60</v>
      </c>
      <c r="Z223" t="s">
        <v>360</v>
      </c>
      <c r="AA223">
        <v>0</v>
      </c>
      <c r="AB223" s="2">
        <v>0</v>
      </c>
      <c r="AC223" s="2">
        <v>0</v>
      </c>
      <c r="AD223" s="3">
        <v>0</v>
      </c>
      <c r="AE223" s="2">
        <v>0</v>
      </c>
      <c r="AF223" s="2">
        <v>0</v>
      </c>
      <c r="AG223" s="2">
        <v>0</v>
      </c>
      <c r="AH223" s="2">
        <v>0</v>
      </c>
      <c r="AI223" s="2">
        <v>0</v>
      </c>
      <c r="AJ223" s="2">
        <v>0</v>
      </c>
      <c r="AK223" s="2">
        <v>0</v>
      </c>
      <c r="AL223" s="2">
        <v>2.69</v>
      </c>
      <c r="AM223" s="2">
        <v>0</v>
      </c>
      <c r="AN223" s="2">
        <v>0</v>
      </c>
      <c r="AO223" s="2">
        <v>0</v>
      </c>
      <c r="AP223" s="2">
        <v>0</v>
      </c>
      <c r="AQ223" s="2">
        <v>0</v>
      </c>
    </row>
    <row r="224" spans="1:43" x14ac:dyDescent="0.25">
      <c r="A224" s="1">
        <v>45936</v>
      </c>
      <c r="B224" t="s">
        <v>48</v>
      </c>
      <c r="C224">
        <v>649163</v>
      </c>
      <c r="D224">
        <v>2030985508</v>
      </c>
      <c r="E224" t="s">
        <v>423</v>
      </c>
      <c r="F224" t="s">
        <v>259</v>
      </c>
      <c r="G224" t="s">
        <v>51</v>
      </c>
      <c r="H224" t="s">
        <v>101</v>
      </c>
      <c r="I224" t="s">
        <v>287</v>
      </c>
      <c r="J224" t="s">
        <v>291</v>
      </c>
      <c r="K224">
        <v>814033</v>
      </c>
      <c r="L224" t="s">
        <v>256</v>
      </c>
      <c r="M224" t="s">
        <v>165</v>
      </c>
      <c r="N224" t="s">
        <v>456</v>
      </c>
      <c r="O224" s="1">
        <v>45912</v>
      </c>
      <c r="P224" s="1">
        <v>45936</v>
      </c>
      <c r="Q224" s="1">
        <v>45942</v>
      </c>
      <c r="R224" s="2">
        <v>-123.69</v>
      </c>
      <c r="S224">
        <v>1</v>
      </c>
      <c r="T224" t="s">
        <v>58</v>
      </c>
      <c r="U224" t="s">
        <v>59</v>
      </c>
      <c r="V224" s="3">
        <v>0.38</v>
      </c>
      <c r="W224" s="2">
        <v>0</v>
      </c>
      <c r="X224">
        <v>-1</v>
      </c>
      <c r="Y224" t="s">
        <v>60</v>
      </c>
      <c r="Z224" t="s">
        <v>360</v>
      </c>
      <c r="AA224">
        <v>0</v>
      </c>
      <c r="AB224" s="2">
        <v>0</v>
      </c>
      <c r="AC224" s="2">
        <v>0</v>
      </c>
      <c r="AD224" s="3">
        <v>0</v>
      </c>
      <c r="AE224" s="2">
        <v>0</v>
      </c>
      <c r="AF224" s="2">
        <v>0</v>
      </c>
      <c r="AG224" s="2">
        <v>0</v>
      </c>
      <c r="AH224" s="2">
        <v>0</v>
      </c>
      <c r="AI224" s="2">
        <v>0</v>
      </c>
      <c r="AJ224" s="2">
        <v>0</v>
      </c>
      <c r="AK224" s="2">
        <v>0</v>
      </c>
      <c r="AL224" s="2">
        <v>0</v>
      </c>
      <c r="AM224" s="2">
        <v>-47</v>
      </c>
      <c r="AN224" s="2">
        <v>-47</v>
      </c>
      <c r="AO224" s="2">
        <v>0</v>
      </c>
      <c r="AP224" s="2">
        <v>0</v>
      </c>
      <c r="AQ224" s="2">
        <v>0</v>
      </c>
    </row>
    <row r="225" spans="1:43" x14ac:dyDescent="0.25">
      <c r="A225" s="1">
        <v>45936</v>
      </c>
      <c r="B225" t="s">
        <v>48</v>
      </c>
      <c r="C225">
        <v>649163</v>
      </c>
      <c r="D225">
        <v>2031250518</v>
      </c>
      <c r="E225" t="s">
        <v>457</v>
      </c>
      <c r="F225" t="s">
        <v>458</v>
      </c>
      <c r="G225" t="s">
        <v>51</v>
      </c>
      <c r="H225" t="s">
        <v>101</v>
      </c>
      <c r="I225" t="s">
        <v>287</v>
      </c>
      <c r="J225" t="s">
        <v>291</v>
      </c>
      <c r="K225">
        <v>673059</v>
      </c>
      <c r="L225" t="s">
        <v>80</v>
      </c>
      <c r="M225" t="s">
        <v>81</v>
      </c>
      <c r="N225" t="s">
        <v>456</v>
      </c>
      <c r="O225" s="1">
        <v>45931</v>
      </c>
      <c r="P225" s="1">
        <v>45936</v>
      </c>
      <c r="Q225" s="1">
        <v>45962</v>
      </c>
      <c r="R225" s="2">
        <v>-412.3</v>
      </c>
      <c r="S225">
        <v>1</v>
      </c>
      <c r="T225" t="s">
        <v>58</v>
      </c>
      <c r="U225" t="s">
        <v>213</v>
      </c>
      <c r="V225" s="3">
        <v>0.38</v>
      </c>
      <c r="W225" s="2">
        <v>0</v>
      </c>
      <c r="X225">
        <v>-1</v>
      </c>
      <c r="Y225" t="s">
        <v>60</v>
      </c>
      <c r="Z225" t="s">
        <v>360</v>
      </c>
      <c r="AA225">
        <v>0</v>
      </c>
      <c r="AB225" s="2">
        <v>0</v>
      </c>
      <c r="AC225" s="2">
        <v>0</v>
      </c>
      <c r="AD225" s="3">
        <v>0</v>
      </c>
      <c r="AE225" s="2">
        <v>0</v>
      </c>
      <c r="AF225" s="2">
        <v>0</v>
      </c>
      <c r="AG225" s="2">
        <v>0</v>
      </c>
      <c r="AH225" s="2">
        <v>0</v>
      </c>
      <c r="AI225" s="2">
        <v>0</v>
      </c>
      <c r="AJ225" s="2">
        <v>0</v>
      </c>
      <c r="AK225" s="2">
        <v>0</v>
      </c>
      <c r="AL225" s="2">
        <v>0</v>
      </c>
      <c r="AM225" s="2">
        <v>-156.66999999999999</v>
      </c>
      <c r="AN225" s="2">
        <v>-156.66999999999999</v>
      </c>
      <c r="AO225" s="2">
        <v>0</v>
      </c>
      <c r="AP225" s="2">
        <v>0</v>
      </c>
      <c r="AQ225" s="2">
        <v>0</v>
      </c>
    </row>
    <row r="226" spans="1:43" x14ac:dyDescent="0.25">
      <c r="A226" s="1">
        <v>45936</v>
      </c>
      <c r="B226" t="s">
        <v>48</v>
      </c>
      <c r="C226">
        <v>649163</v>
      </c>
      <c r="D226">
        <v>2031250519</v>
      </c>
      <c r="E226" t="s">
        <v>457</v>
      </c>
      <c r="F226" t="s">
        <v>458</v>
      </c>
      <c r="G226" t="s">
        <v>51</v>
      </c>
      <c r="H226" t="s">
        <v>101</v>
      </c>
      <c r="I226" t="s">
        <v>287</v>
      </c>
      <c r="J226" t="s">
        <v>424</v>
      </c>
      <c r="K226">
        <v>673059</v>
      </c>
      <c r="L226" t="s">
        <v>80</v>
      </c>
      <c r="M226" t="s">
        <v>81</v>
      </c>
      <c r="N226" t="s">
        <v>456</v>
      </c>
      <c r="O226" s="1">
        <v>45931</v>
      </c>
      <c r="P226" s="1">
        <v>45936</v>
      </c>
      <c r="Q226" s="1">
        <v>45962</v>
      </c>
      <c r="R226" s="2">
        <v>-7.09</v>
      </c>
      <c r="S226">
        <v>1</v>
      </c>
      <c r="T226" t="s">
        <v>58</v>
      </c>
      <c r="U226" t="s">
        <v>213</v>
      </c>
      <c r="V226" s="3">
        <v>0.38</v>
      </c>
      <c r="W226" s="2">
        <v>0</v>
      </c>
      <c r="X226">
        <v>-1</v>
      </c>
      <c r="Y226" t="s">
        <v>60</v>
      </c>
      <c r="Z226" t="s">
        <v>360</v>
      </c>
      <c r="AA226">
        <v>0</v>
      </c>
      <c r="AB226" s="2">
        <v>0</v>
      </c>
      <c r="AC226" s="2">
        <v>0</v>
      </c>
      <c r="AD226" s="3">
        <v>0</v>
      </c>
      <c r="AE226" s="2">
        <v>0</v>
      </c>
      <c r="AF226" s="2">
        <v>0</v>
      </c>
      <c r="AG226" s="2">
        <v>0</v>
      </c>
      <c r="AH226" s="2">
        <v>0</v>
      </c>
      <c r="AI226" s="2">
        <v>0</v>
      </c>
      <c r="AJ226" s="2">
        <v>0</v>
      </c>
      <c r="AK226" s="2">
        <v>0</v>
      </c>
      <c r="AL226" s="2">
        <v>0</v>
      </c>
      <c r="AM226" s="2">
        <v>-2.69</v>
      </c>
      <c r="AN226" s="2">
        <v>-2.69</v>
      </c>
      <c r="AO226" s="2">
        <v>0</v>
      </c>
      <c r="AP226" s="2">
        <v>0</v>
      </c>
      <c r="AQ226" s="2">
        <v>0</v>
      </c>
    </row>
    <row r="227" spans="1:43" x14ac:dyDescent="0.25">
      <c r="A227" s="1">
        <v>45936</v>
      </c>
      <c r="B227" t="s">
        <v>48</v>
      </c>
      <c r="C227">
        <v>649163</v>
      </c>
      <c r="D227">
        <v>2031250520</v>
      </c>
      <c r="E227" t="s">
        <v>457</v>
      </c>
      <c r="F227" t="s">
        <v>458</v>
      </c>
      <c r="G227" t="s">
        <v>51</v>
      </c>
      <c r="H227" t="s">
        <v>101</v>
      </c>
      <c r="I227" t="s">
        <v>287</v>
      </c>
      <c r="J227" t="s">
        <v>288</v>
      </c>
      <c r="K227">
        <v>673059</v>
      </c>
      <c r="L227" t="s">
        <v>80</v>
      </c>
      <c r="M227" t="s">
        <v>81</v>
      </c>
      <c r="N227" t="s">
        <v>456</v>
      </c>
      <c r="O227" s="1">
        <v>45931</v>
      </c>
      <c r="P227" s="1">
        <v>45936</v>
      </c>
      <c r="Q227" s="1">
        <v>45962</v>
      </c>
      <c r="R227" s="2">
        <v>-19.75</v>
      </c>
      <c r="S227">
        <v>1</v>
      </c>
      <c r="T227" t="s">
        <v>58</v>
      </c>
      <c r="U227" t="s">
        <v>213</v>
      </c>
      <c r="V227" s="3">
        <v>0.38</v>
      </c>
      <c r="W227" s="2">
        <v>0</v>
      </c>
      <c r="X227">
        <v>-1</v>
      </c>
      <c r="Y227" t="s">
        <v>60</v>
      </c>
      <c r="Z227" t="s">
        <v>360</v>
      </c>
      <c r="AA227">
        <v>0</v>
      </c>
      <c r="AB227" s="2">
        <v>0</v>
      </c>
      <c r="AC227" s="2">
        <v>0</v>
      </c>
      <c r="AD227" s="3">
        <v>0</v>
      </c>
      <c r="AE227" s="2">
        <v>0</v>
      </c>
      <c r="AF227" s="2">
        <v>0</v>
      </c>
      <c r="AG227" s="2">
        <v>0</v>
      </c>
      <c r="AH227" s="2">
        <v>0</v>
      </c>
      <c r="AI227" s="2">
        <v>0</v>
      </c>
      <c r="AJ227" s="2">
        <v>0</v>
      </c>
      <c r="AK227" s="2">
        <v>0</v>
      </c>
      <c r="AL227" s="2">
        <v>0</v>
      </c>
      <c r="AM227" s="2">
        <v>-7.5</v>
      </c>
      <c r="AN227" s="2">
        <v>-7.5</v>
      </c>
      <c r="AO227" s="2">
        <v>0</v>
      </c>
      <c r="AP227" s="2">
        <v>0</v>
      </c>
      <c r="AQ227" s="2">
        <v>0</v>
      </c>
    </row>
    <row r="228" spans="1:43" x14ac:dyDescent="0.25">
      <c r="A228" s="1">
        <v>45936</v>
      </c>
      <c r="B228" t="s">
        <v>48</v>
      </c>
      <c r="C228">
        <v>649163</v>
      </c>
      <c r="D228">
        <v>2026898523</v>
      </c>
      <c r="E228" t="s">
        <v>459</v>
      </c>
      <c r="F228" t="s">
        <v>460</v>
      </c>
      <c r="G228" t="s">
        <v>51</v>
      </c>
      <c r="H228" t="s">
        <v>101</v>
      </c>
      <c r="I228" t="s">
        <v>461</v>
      </c>
      <c r="J228" t="s">
        <v>462</v>
      </c>
      <c r="K228">
        <v>789909</v>
      </c>
      <c r="L228" t="s">
        <v>317</v>
      </c>
      <c r="M228" t="s">
        <v>318</v>
      </c>
      <c r="N228" t="s">
        <v>57</v>
      </c>
      <c r="O228" s="1">
        <v>45691</v>
      </c>
      <c r="Q228" s="1">
        <v>45964</v>
      </c>
      <c r="R228" s="2">
        <v>289.33</v>
      </c>
      <c r="S228">
        <v>1</v>
      </c>
      <c r="T228" t="s">
        <v>58</v>
      </c>
      <c r="U228" t="s">
        <v>359</v>
      </c>
      <c r="V228" s="3">
        <v>0.96</v>
      </c>
      <c r="W228" s="2">
        <v>0</v>
      </c>
      <c r="X228">
        <v>0</v>
      </c>
      <c r="Y228" t="s">
        <v>60</v>
      </c>
      <c r="Z228" t="s">
        <v>360</v>
      </c>
      <c r="AA228">
        <v>0</v>
      </c>
      <c r="AB228" s="2">
        <v>0</v>
      </c>
      <c r="AC228" s="2">
        <v>0</v>
      </c>
      <c r="AD228" s="3">
        <v>0</v>
      </c>
      <c r="AE228" s="2">
        <v>0</v>
      </c>
      <c r="AF228" s="2">
        <v>0</v>
      </c>
      <c r="AG228" s="2">
        <v>0</v>
      </c>
      <c r="AH228" s="2">
        <v>0</v>
      </c>
      <c r="AI228" s="2">
        <v>0</v>
      </c>
      <c r="AJ228" s="2">
        <v>0</v>
      </c>
      <c r="AK228" s="2">
        <v>0</v>
      </c>
      <c r="AL228" s="2">
        <v>0</v>
      </c>
      <c r="AM228" s="2">
        <v>277.76</v>
      </c>
      <c r="AN228" s="2">
        <v>277.76</v>
      </c>
      <c r="AO228" s="2">
        <v>0</v>
      </c>
      <c r="AP228" s="2">
        <v>0</v>
      </c>
      <c r="AQ228" s="2">
        <v>0</v>
      </c>
    </row>
    <row r="229" spans="1:43" x14ac:dyDescent="0.25">
      <c r="A229" s="1">
        <v>45936</v>
      </c>
      <c r="B229" t="s">
        <v>48</v>
      </c>
      <c r="C229">
        <v>649163</v>
      </c>
      <c r="D229">
        <v>2028722200</v>
      </c>
      <c r="E229" t="s">
        <v>463</v>
      </c>
      <c r="F229" t="s">
        <v>464</v>
      </c>
      <c r="G229" t="s">
        <v>51</v>
      </c>
      <c r="H229" t="s">
        <v>101</v>
      </c>
      <c r="I229" t="s">
        <v>461</v>
      </c>
      <c r="J229" t="s">
        <v>465</v>
      </c>
      <c r="K229">
        <v>651818</v>
      </c>
      <c r="L229" t="s">
        <v>112</v>
      </c>
      <c r="M229" t="s">
        <v>104</v>
      </c>
      <c r="N229" t="s">
        <v>57</v>
      </c>
      <c r="O229" s="1">
        <v>45779</v>
      </c>
      <c r="Q229" s="1">
        <v>45963</v>
      </c>
      <c r="R229" s="2">
        <v>93.29</v>
      </c>
      <c r="S229">
        <v>1</v>
      </c>
      <c r="T229" t="s">
        <v>58</v>
      </c>
      <c r="U229" t="s">
        <v>359</v>
      </c>
      <c r="V229" s="3">
        <v>1.3</v>
      </c>
      <c r="W229" s="2">
        <v>0</v>
      </c>
      <c r="X229">
        <v>0</v>
      </c>
      <c r="Y229" t="s">
        <v>60</v>
      </c>
      <c r="Z229" t="s">
        <v>360</v>
      </c>
      <c r="AA229">
        <v>0</v>
      </c>
      <c r="AB229" s="2">
        <v>0</v>
      </c>
      <c r="AC229" s="2">
        <v>0</v>
      </c>
      <c r="AD229" s="3">
        <v>0</v>
      </c>
      <c r="AE229" s="2">
        <v>0</v>
      </c>
      <c r="AF229" s="2">
        <v>0</v>
      </c>
      <c r="AG229" s="2">
        <v>0</v>
      </c>
      <c r="AH229" s="2">
        <v>0</v>
      </c>
      <c r="AI229" s="2">
        <v>0</v>
      </c>
      <c r="AJ229" s="2">
        <v>0</v>
      </c>
      <c r="AK229" s="2">
        <v>0</v>
      </c>
      <c r="AL229" s="2">
        <v>0</v>
      </c>
      <c r="AM229" s="2">
        <v>121.28</v>
      </c>
      <c r="AN229" s="2">
        <v>121.28</v>
      </c>
      <c r="AO229" s="2">
        <v>0</v>
      </c>
      <c r="AP229" s="2">
        <v>0</v>
      </c>
      <c r="AQ229" s="2">
        <v>0</v>
      </c>
    </row>
    <row r="230" spans="1:43" x14ac:dyDescent="0.25">
      <c r="A230" s="1">
        <v>45936</v>
      </c>
      <c r="B230" t="s">
        <v>48</v>
      </c>
      <c r="C230">
        <v>649163</v>
      </c>
      <c r="D230">
        <v>2019173854</v>
      </c>
      <c r="E230" t="s">
        <v>281</v>
      </c>
      <c r="F230" t="s">
        <v>466</v>
      </c>
      <c r="G230" t="s">
        <v>51</v>
      </c>
      <c r="H230" t="s">
        <v>70</v>
      </c>
      <c r="I230" t="s">
        <v>467</v>
      </c>
      <c r="J230" t="s">
        <v>468</v>
      </c>
      <c r="K230">
        <v>650218</v>
      </c>
      <c r="L230" t="s">
        <v>237</v>
      </c>
      <c r="M230" t="s">
        <v>238</v>
      </c>
      <c r="N230" t="s">
        <v>57</v>
      </c>
      <c r="O230" s="1">
        <v>45139</v>
      </c>
      <c r="Q230" s="1">
        <v>45962</v>
      </c>
      <c r="R230" s="2">
        <v>175.53</v>
      </c>
      <c r="S230">
        <v>1</v>
      </c>
      <c r="T230" t="s">
        <v>58</v>
      </c>
      <c r="U230" t="s">
        <v>359</v>
      </c>
      <c r="V230" s="3">
        <v>0</v>
      </c>
      <c r="W230" s="2">
        <v>0</v>
      </c>
      <c r="X230">
        <v>0</v>
      </c>
      <c r="Y230" t="s">
        <v>214</v>
      </c>
      <c r="Z230" t="s">
        <v>360</v>
      </c>
      <c r="AA230">
        <v>0</v>
      </c>
      <c r="AB230" s="2">
        <v>0</v>
      </c>
      <c r="AC230" s="2">
        <v>0</v>
      </c>
      <c r="AD230" s="3">
        <v>0</v>
      </c>
      <c r="AE230" s="2">
        <v>0</v>
      </c>
      <c r="AF230" s="2">
        <v>0</v>
      </c>
      <c r="AG230" s="2">
        <v>0</v>
      </c>
      <c r="AH230" s="2">
        <v>0</v>
      </c>
      <c r="AI230" s="2">
        <v>0</v>
      </c>
      <c r="AJ230" s="2">
        <v>0</v>
      </c>
      <c r="AK230" s="2">
        <v>0</v>
      </c>
      <c r="AL230" s="2">
        <v>0</v>
      </c>
      <c r="AM230" s="2">
        <v>0</v>
      </c>
      <c r="AN230" s="2">
        <v>0</v>
      </c>
      <c r="AO230" s="2">
        <v>0</v>
      </c>
      <c r="AP230" s="2">
        <v>0</v>
      </c>
      <c r="AQ230" s="2">
        <v>0</v>
      </c>
    </row>
    <row r="231" spans="1:43" x14ac:dyDescent="0.25">
      <c r="A231" s="1">
        <v>45936</v>
      </c>
      <c r="B231" t="s">
        <v>48</v>
      </c>
      <c r="C231">
        <v>649163</v>
      </c>
      <c r="D231">
        <v>2020542149</v>
      </c>
      <c r="E231" t="s">
        <v>469</v>
      </c>
      <c r="F231" t="s">
        <v>470</v>
      </c>
      <c r="G231" t="s">
        <v>51</v>
      </c>
      <c r="H231" t="s">
        <v>70</v>
      </c>
      <c r="I231" t="s">
        <v>467</v>
      </c>
      <c r="J231" t="s">
        <v>471</v>
      </c>
      <c r="K231">
        <v>649247</v>
      </c>
      <c r="L231" t="s">
        <v>75</v>
      </c>
      <c r="M231" t="s">
        <v>76</v>
      </c>
      <c r="N231" t="s">
        <v>57</v>
      </c>
      <c r="O231" s="1">
        <v>45261</v>
      </c>
      <c r="Q231" s="1">
        <v>45962</v>
      </c>
      <c r="R231" s="2">
        <v>116.79</v>
      </c>
      <c r="S231">
        <v>1</v>
      </c>
      <c r="T231" t="s">
        <v>58</v>
      </c>
      <c r="U231" t="s">
        <v>359</v>
      </c>
      <c r="V231" s="3">
        <v>0.26</v>
      </c>
      <c r="W231" s="2">
        <v>0</v>
      </c>
      <c r="X231">
        <v>0</v>
      </c>
      <c r="Y231" t="s">
        <v>214</v>
      </c>
      <c r="Z231" t="s">
        <v>360</v>
      </c>
      <c r="AA231">
        <v>0</v>
      </c>
      <c r="AB231" s="2">
        <v>0</v>
      </c>
      <c r="AC231" s="2">
        <v>0</v>
      </c>
      <c r="AD231" s="3">
        <v>0</v>
      </c>
      <c r="AE231" s="2">
        <v>0</v>
      </c>
      <c r="AF231" s="2">
        <v>0</v>
      </c>
      <c r="AG231" s="2">
        <v>0</v>
      </c>
      <c r="AH231" s="2">
        <v>0</v>
      </c>
      <c r="AI231" s="2">
        <v>0</v>
      </c>
      <c r="AJ231" s="2">
        <v>0</v>
      </c>
      <c r="AK231" s="2">
        <v>0</v>
      </c>
      <c r="AL231" s="2">
        <v>0</v>
      </c>
      <c r="AM231" s="2">
        <v>30.37</v>
      </c>
      <c r="AN231" s="2">
        <v>30.37</v>
      </c>
      <c r="AO231" s="2">
        <v>0</v>
      </c>
      <c r="AP231" s="2">
        <v>0</v>
      </c>
      <c r="AQ231" s="2">
        <v>0</v>
      </c>
    </row>
    <row r="232" spans="1:43" x14ac:dyDescent="0.25">
      <c r="A232" s="1">
        <v>45936</v>
      </c>
      <c r="B232" t="s">
        <v>48</v>
      </c>
      <c r="C232">
        <v>649163</v>
      </c>
      <c r="D232">
        <v>2020622534</v>
      </c>
      <c r="E232" t="s">
        <v>472</v>
      </c>
      <c r="F232" t="s">
        <v>473</v>
      </c>
      <c r="G232" t="s">
        <v>51</v>
      </c>
      <c r="H232" t="s">
        <v>70</v>
      </c>
      <c r="I232" t="s">
        <v>467</v>
      </c>
      <c r="J232" t="s">
        <v>471</v>
      </c>
      <c r="K232">
        <v>649247</v>
      </c>
      <c r="L232" t="s">
        <v>75</v>
      </c>
      <c r="M232" t="s">
        <v>76</v>
      </c>
      <c r="N232" t="s">
        <v>57</v>
      </c>
      <c r="O232" s="1">
        <v>45231</v>
      </c>
      <c r="Q232" s="1">
        <v>45962</v>
      </c>
      <c r="R232" s="2">
        <v>125.33</v>
      </c>
      <c r="S232">
        <v>1</v>
      </c>
      <c r="T232" t="s">
        <v>58</v>
      </c>
      <c r="U232" t="s">
        <v>359</v>
      </c>
      <c r="V232" s="3">
        <v>0.26</v>
      </c>
      <c r="W232" s="2">
        <v>0</v>
      </c>
      <c r="X232">
        <v>0</v>
      </c>
      <c r="Y232" t="s">
        <v>214</v>
      </c>
      <c r="Z232" t="s">
        <v>360</v>
      </c>
      <c r="AA232">
        <v>0</v>
      </c>
      <c r="AB232" s="2">
        <v>0</v>
      </c>
      <c r="AC232" s="2">
        <v>0</v>
      </c>
      <c r="AD232" s="3">
        <v>0</v>
      </c>
      <c r="AE232" s="2">
        <v>0</v>
      </c>
      <c r="AF232" s="2">
        <v>0</v>
      </c>
      <c r="AG232" s="2">
        <v>0</v>
      </c>
      <c r="AH232" s="2">
        <v>0</v>
      </c>
      <c r="AI232" s="2">
        <v>0</v>
      </c>
      <c r="AJ232" s="2">
        <v>0</v>
      </c>
      <c r="AK232" s="2">
        <v>0</v>
      </c>
      <c r="AL232" s="2">
        <v>0</v>
      </c>
      <c r="AM232" s="2">
        <v>32.590000000000003</v>
      </c>
      <c r="AN232" s="2">
        <v>32.590000000000003</v>
      </c>
      <c r="AO232" s="2">
        <v>0</v>
      </c>
      <c r="AP232" s="2">
        <v>0</v>
      </c>
      <c r="AQ232" s="2">
        <v>0</v>
      </c>
    </row>
    <row r="233" spans="1:43" x14ac:dyDescent="0.25">
      <c r="A233" s="1">
        <v>45936</v>
      </c>
      <c r="B233" t="s">
        <v>48</v>
      </c>
      <c r="C233">
        <v>649163</v>
      </c>
      <c r="D233">
        <v>2020783044</v>
      </c>
      <c r="E233" t="s">
        <v>474</v>
      </c>
      <c r="F233" t="s">
        <v>276</v>
      </c>
      <c r="G233" t="s">
        <v>51</v>
      </c>
      <c r="H233" t="s">
        <v>70</v>
      </c>
      <c r="I233" t="s">
        <v>467</v>
      </c>
      <c r="J233" t="s">
        <v>471</v>
      </c>
      <c r="K233">
        <v>650218</v>
      </c>
      <c r="L233" t="s">
        <v>237</v>
      </c>
      <c r="M233" t="s">
        <v>238</v>
      </c>
      <c r="N233" t="s">
        <v>57</v>
      </c>
      <c r="O233" s="1">
        <v>45292</v>
      </c>
      <c r="Q233" s="1">
        <v>45962</v>
      </c>
      <c r="R233" s="2">
        <v>128.22999999999999</v>
      </c>
      <c r="S233">
        <v>1</v>
      </c>
      <c r="T233" t="s">
        <v>58</v>
      </c>
      <c r="U233" t="s">
        <v>359</v>
      </c>
      <c r="V233" s="3">
        <v>0.26</v>
      </c>
      <c r="W233" s="2">
        <v>0</v>
      </c>
      <c r="X233">
        <v>0</v>
      </c>
      <c r="Y233" t="s">
        <v>214</v>
      </c>
      <c r="Z233" t="s">
        <v>360</v>
      </c>
      <c r="AA233">
        <v>0</v>
      </c>
      <c r="AB233" s="2">
        <v>0</v>
      </c>
      <c r="AC233" s="2">
        <v>0</v>
      </c>
      <c r="AD233" s="3">
        <v>0</v>
      </c>
      <c r="AE233" s="2">
        <v>0</v>
      </c>
      <c r="AF233" s="2">
        <v>0</v>
      </c>
      <c r="AG233" s="2">
        <v>0</v>
      </c>
      <c r="AH233" s="2">
        <v>0</v>
      </c>
      <c r="AI233" s="2">
        <v>0</v>
      </c>
      <c r="AJ233" s="2">
        <v>0</v>
      </c>
      <c r="AK233" s="2">
        <v>0</v>
      </c>
      <c r="AL233" s="2">
        <v>0</v>
      </c>
      <c r="AM233" s="2">
        <v>33.340000000000003</v>
      </c>
      <c r="AN233" s="2">
        <v>33.340000000000003</v>
      </c>
      <c r="AO233" s="2">
        <v>0</v>
      </c>
      <c r="AP233" s="2">
        <v>0</v>
      </c>
      <c r="AQ233" s="2">
        <v>0</v>
      </c>
    </row>
    <row r="234" spans="1:43" x14ac:dyDescent="0.25">
      <c r="A234" s="1">
        <v>45936</v>
      </c>
      <c r="B234" t="s">
        <v>48</v>
      </c>
      <c r="C234">
        <v>649163</v>
      </c>
      <c r="D234">
        <v>2020851074</v>
      </c>
      <c r="E234" t="s">
        <v>475</v>
      </c>
      <c r="F234" t="s">
        <v>476</v>
      </c>
      <c r="G234" t="s">
        <v>51</v>
      </c>
      <c r="H234" t="s">
        <v>70</v>
      </c>
      <c r="I234" t="s">
        <v>467</v>
      </c>
      <c r="J234" t="s">
        <v>471</v>
      </c>
      <c r="K234">
        <v>728134</v>
      </c>
      <c r="L234" t="s">
        <v>352</v>
      </c>
      <c r="M234" t="s">
        <v>353</v>
      </c>
      <c r="N234" t="s">
        <v>57</v>
      </c>
      <c r="O234" s="1">
        <v>45292</v>
      </c>
      <c r="Q234" s="1">
        <v>45962</v>
      </c>
      <c r="R234" s="2">
        <v>124.29</v>
      </c>
      <c r="S234">
        <v>1</v>
      </c>
      <c r="T234" t="s">
        <v>58</v>
      </c>
      <c r="U234" t="s">
        <v>359</v>
      </c>
      <c r="V234" s="3">
        <v>0.26</v>
      </c>
      <c r="W234" s="2">
        <v>0</v>
      </c>
      <c r="X234">
        <v>0</v>
      </c>
      <c r="Y234" t="s">
        <v>214</v>
      </c>
      <c r="Z234" t="s">
        <v>360</v>
      </c>
      <c r="AA234">
        <v>0</v>
      </c>
      <c r="AB234" s="2">
        <v>0</v>
      </c>
      <c r="AC234" s="2">
        <v>0</v>
      </c>
      <c r="AD234" s="3">
        <v>0</v>
      </c>
      <c r="AE234" s="2">
        <v>0</v>
      </c>
      <c r="AF234" s="2">
        <v>0</v>
      </c>
      <c r="AG234" s="2">
        <v>0</v>
      </c>
      <c r="AH234" s="2">
        <v>0</v>
      </c>
      <c r="AI234" s="2">
        <v>0</v>
      </c>
      <c r="AJ234" s="2">
        <v>0</v>
      </c>
      <c r="AK234" s="2">
        <v>0</v>
      </c>
      <c r="AL234" s="2">
        <v>0</v>
      </c>
      <c r="AM234" s="2">
        <v>32.32</v>
      </c>
      <c r="AN234" s="2">
        <v>32.32</v>
      </c>
      <c r="AO234" s="2">
        <v>0</v>
      </c>
      <c r="AP234" s="2">
        <v>0</v>
      </c>
      <c r="AQ234" s="2">
        <v>0</v>
      </c>
    </row>
    <row r="235" spans="1:43" x14ac:dyDescent="0.25">
      <c r="A235" s="1">
        <v>45936</v>
      </c>
      <c r="B235" t="s">
        <v>48</v>
      </c>
      <c r="C235">
        <v>649163</v>
      </c>
      <c r="D235">
        <v>2022351125</v>
      </c>
      <c r="E235" t="s">
        <v>477</v>
      </c>
      <c r="F235" t="s">
        <v>478</v>
      </c>
      <c r="G235" t="s">
        <v>51</v>
      </c>
      <c r="H235" t="s">
        <v>70</v>
      </c>
      <c r="I235" t="s">
        <v>467</v>
      </c>
      <c r="J235" t="s">
        <v>471</v>
      </c>
      <c r="K235">
        <v>649285</v>
      </c>
      <c r="L235" t="s">
        <v>479</v>
      </c>
      <c r="M235" t="s">
        <v>480</v>
      </c>
      <c r="N235" t="s">
        <v>57</v>
      </c>
      <c r="O235" s="1">
        <v>45383</v>
      </c>
      <c r="Q235" s="1">
        <v>45962</v>
      </c>
      <c r="R235" s="2">
        <v>162.96</v>
      </c>
      <c r="S235">
        <v>1</v>
      </c>
      <c r="T235" t="s">
        <v>58</v>
      </c>
      <c r="U235" t="s">
        <v>359</v>
      </c>
      <c r="V235" s="3">
        <v>0.04</v>
      </c>
      <c r="W235" s="2">
        <v>0</v>
      </c>
      <c r="X235">
        <v>0</v>
      </c>
      <c r="Y235" t="s">
        <v>214</v>
      </c>
      <c r="Z235" t="s">
        <v>360</v>
      </c>
      <c r="AA235">
        <v>0</v>
      </c>
      <c r="AB235" s="2">
        <v>0</v>
      </c>
      <c r="AC235" s="2">
        <v>0</v>
      </c>
      <c r="AD235" s="3">
        <v>0</v>
      </c>
      <c r="AE235" s="2">
        <v>0</v>
      </c>
      <c r="AF235" s="2">
        <v>0</v>
      </c>
      <c r="AG235" s="2">
        <v>0</v>
      </c>
      <c r="AH235" s="2">
        <v>0</v>
      </c>
      <c r="AI235" s="2">
        <v>0</v>
      </c>
      <c r="AJ235" s="2">
        <v>0</v>
      </c>
      <c r="AK235" s="2">
        <v>0</v>
      </c>
      <c r="AL235" s="2">
        <v>0</v>
      </c>
      <c r="AM235" s="2">
        <v>6.52</v>
      </c>
      <c r="AN235" s="2">
        <v>6.52</v>
      </c>
      <c r="AO235" s="2">
        <v>0</v>
      </c>
      <c r="AP235" s="2">
        <v>0</v>
      </c>
      <c r="AQ235" s="2">
        <v>0</v>
      </c>
    </row>
    <row r="236" spans="1:43" x14ac:dyDescent="0.25">
      <c r="A236" s="1">
        <v>45936</v>
      </c>
      <c r="B236" t="s">
        <v>48</v>
      </c>
      <c r="C236">
        <v>649163</v>
      </c>
      <c r="D236">
        <v>2022351125</v>
      </c>
      <c r="E236" t="s">
        <v>477</v>
      </c>
      <c r="F236" t="s">
        <v>478</v>
      </c>
      <c r="G236" t="s">
        <v>51</v>
      </c>
      <c r="H236" t="s">
        <v>70</v>
      </c>
      <c r="I236" t="s">
        <v>467</v>
      </c>
      <c r="J236" t="s">
        <v>471</v>
      </c>
      <c r="K236">
        <v>649285</v>
      </c>
      <c r="L236" t="s">
        <v>479</v>
      </c>
      <c r="M236" t="s">
        <v>480</v>
      </c>
      <c r="N236" t="s">
        <v>57</v>
      </c>
      <c r="O236" s="1">
        <v>45383</v>
      </c>
      <c r="Q236" s="1">
        <v>45992</v>
      </c>
      <c r="R236" s="2">
        <v>162.96</v>
      </c>
      <c r="S236">
        <v>1</v>
      </c>
      <c r="T236" t="s">
        <v>58</v>
      </c>
      <c r="U236" t="s">
        <v>359</v>
      </c>
      <c r="V236" s="3">
        <v>0.04</v>
      </c>
      <c r="W236" s="2">
        <v>0</v>
      </c>
      <c r="X236">
        <v>0</v>
      </c>
      <c r="Y236" t="s">
        <v>214</v>
      </c>
      <c r="Z236" t="s">
        <v>360</v>
      </c>
      <c r="AA236">
        <v>0</v>
      </c>
      <c r="AB236" s="2">
        <v>0</v>
      </c>
      <c r="AC236" s="2">
        <v>0</v>
      </c>
      <c r="AD236" s="3">
        <v>0</v>
      </c>
      <c r="AE236" s="2">
        <v>0</v>
      </c>
      <c r="AF236" s="2">
        <v>0</v>
      </c>
      <c r="AG236" s="2">
        <v>0</v>
      </c>
      <c r="AH236" s="2">
        <v>0</v>
      </c>
      <c r="AI236" s="2">
        <v>0</v>
      </c>
      <c r="AJ236" s="2">
        <v>0</v>
      </c>
      <c r="AK236" s="2">
        <v>0</v>
      </c>
      <c r="AL236" s="2">
        <v>0</v>
      </c>
      <c r="AM236" s="2">
        <v>6.52</v>
      </c>
      <c r="AN236" s="2">
        <v>6.52</v>
      </c>
      <c r="AO236" s="2">
        <v>0</v>
      </c>
      <c r="AP236" s="2">
        <v>0</v>
      </c>
      <c r="AQ236" s="2">
        <v>0</v>
      </c>
    </row>
    <row r="237" spans="1:43" x14ac:dyDescent="0.25">
      <c r="A237" s="1">
        <v>45936</v>
      </c>
      <c r="B237" t="s">
        <v>48</v>
      </c>
      <c r="C237">
        <v>649163</v>
      </c>
      <c r="D237">
        <v>2022351125</v>
      </c>
      <c r="E237" t="s">
        <v>477</v>
      </c>
      <c r="F237" t="s">
        <v>478</v>
      </c>
      <c r="G237" t="s">
        <v>51</v>
      </c>
      <c r="H237" t="s">
        <v>70</v>
      </c>
      <c r="I237" t="s">
        <v>467</v>
      </c>
      <c r="J237" t="s">
        <v>471</v>
      </c>
      <c r="K237">
        <v>649285</v>
      </c>
      <c r="L237" t="s">
        <v>479</v>
      </c>
      <c r="M237" t="s">
        <v>480</v>
      </c>
      <c r="N237" t="s">
        <v>57</v>
      </c>
      <c r="O237" s="1">
        <v>45383</v>
      </c>
      <c r="Q237" s="1">
        <v>46023</v>
      </c>
      <c r="R237" s="2">
        <v>162.96</v>
      </c>
      <c r="S237">
        <v>1</v>
      </c>
      <c r="T237" t="s">
        <v>58</v>
      </c>
      <c r="U237" t="s">
        <v>359</v>
      </c>
      <c r="V237" s="3">
        <v>0.04</v>
      </c>
      <c r="W237" s="2">
        <v>0</v>
      </c>
      <c r="X237">
        <v>0</v>
      </c>
      <c r="Y237" t="s">
        <v>214</v>
      </c>
      <c r="Z237" t="s">
        <v>360</v>
      </c>
      <c r="AA237">
        <v>0</v>
      </c>
      <c r="AB237" s="2">
        <v>0</v>
      </c>
      <c r="AC237" s="2">
        <v>0</v>
      </c>
      <c r="AD237" s="3">
        <v>0</v>
      </c>
      <c r="AE237" s="2">
        <v>0</v>
      </c>
      <c r="AF237" s="2">
        <v>0</v>
      </c>
      <c r="AG237" s="2">
        <v>0</v>
      </c>
      <c r="AH237" s="2">
        <v>0</v>
      </c>
      <c r="AI237" s="2">
        <v>0</v>
      </c>
      <c r="AJ237" s="2">
        <v>0</v>
      </c>
      <c r="AK237" s="2">
        <v>0</v>
      </c>
      <c r="AL237" s="2">
        <v>0</v>
      </c>
      <c r="AM237" s="2">
        <v>6.52</v>
      </c>
      <c r="AN237" s="2">
        <v>6.52</v>
      </c>
      <c r="AO237" s="2">
        <v>0</v>
      </c>
      <c r="AP237" s="2">
        <v>0</v>
      </c>
      <c r="AQ237" s="2">
        <v>0</v>
      </c>
    </row>
    <row r="238" spans="1:43" x14ac:dyDescent="0.25">
      <c r="A238" s="1">
        <v>45936</v>
      </c>
      <c r="B238" t="s">
        <v>48</v>
      </c>
      <c r="C238">
        <v>649163</v>
      </c>
      <c r="D238">
        <v>2022484796</v>
      </c>
      <c r="E238" t="s">
        <v>481</v>
      </c>
      <c r="F238" t="s">
        <v>482</v>
      </c>
      <c r="G238" t="s">
        <v>51</v>
      </c>
      <c r="H238" t="s">
        <v>70</v>
      </c>
      <c r="I238" t="s">
        <v>467</v>
      </c>
      <c r="J238" t="s">
        <v>471</v>
      </c>
      <c r="K238">
        <v>650218</v>
      </c>
      <c r="L238" t="s">
        <v>237</v>
      </c>
      <c r="M238" t="s">
        <v>238</v>
      </c>
      <c r="N238" t="s">
        <v>57</v>
      </c>
      <c r="O238" s="1">
        <v>45383</v>
      </c>
      <c r="Q238" s="1">
        <v>45962</v>
      </c>
      <c r="R238" s="2">
        <v>131.93</v>
      </c>
      <c r="S238">
        <v>1</v>
      </c>
      <c r="T238" t="s">
        <v>58</v>
      </c>
      <c r="U238" t="s">
        <v>359</v>
      </c>
      <c r="V238" s="3">
        <v>0.26</v>
      </c>
      <c r="W238" s="2">
        <v>0</v>
      </c>
      <c r="X238">
        <v>0</v>
      </c>
      <c r="Y238" t="s">
        <v>214</v>
      </c>
      <c r="Z238" t="s">
        <v>360</v>
      </c>
      <c r="AA238">
        <v>0</v>
      </c>
      <c r="AB238" s="2">
        <v>0</v>
      </c>
      <c r="AC238" s="2">
        <v>0</v>
      </c>
      <c r="AD238" s="3">
        <v>0</v>
      </c>
      <c r="AE238" s="2">
        <v>0</v>
      </c>
      <c r="AF238" s="2">
        <v>0</v>
      </c>
      <c r="AG238" s="2">
        <v>0</v>
      </c>
      <c r="AH238" s="2">
        <v>0</v>
      </c>
      <c r="AI238" s="2">
        <v>0</v>
      </c>
      <c r="AJ238" s="2">
        <v>0</v>
      </c>
      <c r="AK238" s="2">
        <v>0</v>
      </c>
      <c r="AL238" s="2">
        <v>0</v>
      </c>
      <c r="AM238" s="2">
        <v>34.299999999999997</v>
      </c>
      <c r="AN238" s="2">
        <v>34.299999999999997</v>
      </c>
      <c r="AO238" s="2">
        <v>0</v>
      </c>
      <c r="AP238" s="2">
        <v>0</v>
      </c>
      <c r="AQ238" s="2">
        <v>0</v>
      </c>
    </row>
    <row r="239" spans="1:43" x14ac:dyDescent="0.25">
      <c r="A239" s="1">
        <v>45936</v>
      </c>
      <c r="B239" t="s">
        <v>48</v>
      </c>
      <c r="C239">
        <v>649163</v>
      </c>
      <c r="D239">
        <v>2022779367</v>
      </c>
      <c r="E239" t="s">
        <v>483</v>
      </c>
      <c r="F239" t="s">
        <v>401</v>
      </c>
      <c r="G239" t="s">
        <v>51</v>
      </c>
      <c r="H239" t="s">
        <v>70</v>
      </c>
      <c r="I239" t="s">
        <v>467</v>
      </c>
      <c r="J239" t="s">
        <v>484</v>
      </c>
      <c r="K239">
        <v>650218</v>
      </c>
      <c r="L239" t="s">
        <v>237</v>
      </c>
      <c r="M239" t="s">
        <v>238</v>
      </c>
      <c r="N239" t="s">
        <v>57</v>
      </c>
      <c r="O239" s="1">
        <v>45474</v>
      </c>
      <c r="Q239" s="1">
        <v>45962</v>
      </c>
      <c r="R239" s="2">
        <v>131.93</v>
      </c>
      <c r="S239">
        <v>1</v>
      </c>
      <c r="T239" t="s">
        <v>58</v>
      </c>
      <c r="U239" t="s">
        <v>359</v>
      </c>
      <c r="V239" s="4">
        <v>1.4999999999999999E-2</v>
      </c>
      <c r="W239" s="2">
        <v>0</v>
      </c>
      <c r="X239">
        <v>0</v>
      </c>
      <c r="Y239" t="s">
        <v>214</v>
      </c>
      <c r="Z239" t="s">
        <v>360</v>
      </c>
      <c r="AA239">
        <v>0</v>
      </c>
      <c r="AB239" s="2">
        <v>0</v>
      </c>
      <c r="AC239" s="2">
        <v>0</v>
      </c>
      <c r="AD239" s="3">
        <v>0</v>
      </c>
      <c r="AE239" s="2">
        <v>0</v>
      </c>
      <c r="AF239" s="2">
        <v>0</v>
      </c>
      <c r="AG239" s="2">
        <v>0</v>
      </c>
      <c r="AH239" s="2">
        <v>0</v>
      </c>
      <c r="AI239" s="2">
        <v>0</v>
      </c>
      <c r="AJ239" s="2">
        <v>0</v>
      </c>
      <c r="AK239" s="2">
        <v>0</v>
      </c>
      <c r="AL239" s="2">
        <v>0</v>
      </c>
      <c r="AM239" s="2">
        <v>1.98</v>
      </c>
      <c r="AN239" s="2">
        <v>1.98</v>
      </c>
      <c r="AO239" s="2">
        <v>0</v>
      </c>
      <c r="AP239" s="2">
        <v>0</v>
      </c>
      <c r="AQ239" s="2">
        <v>0</v>
      </c>
    </row>
    <row r="240" spans="1:43" x14ac:dyDescent="0.25">
      <c r="A240" s="1">
        <v>45936</v>
      </c>
      <c r="B240" t="s">
        <v>48</v>
      </c>
      <c r="C240">
        <v>649163</v>
      </c>
      <c r="D240">
        <v>2022892790</v>
      </c>
      <c r="E240" t="s">
        <v>485</v>
      </c>
      <c r="F240" t="s">
        <v>284</v>
      </c>
      <c r="G240" t="s">
        <v>51</v>
      </c>
      <c r="H240" t="s">
        <v>70</v>
      </c>
      <c r="I240" t="s">
        <v>467</v>
      </c>
      <c r="J240" t="s">
        <v>471</v>
      </c>
      <c r="K240">
        <v>649285</v>
      </c>
      <c r="L240" t="s">
        <v>479</v>
      </c>
      <c r="M240" t="s">
        <v>480</v>
      </c>
      <c r="N240" t="s">
        <v>57</v>
      </c>
      <c r="O240" s="1">
        <v>45413</v>
      </c>
      <c r="Q240" s="1">
        <v>45962</v>
      </c>
      <c r="R240" s="2">
        <v>127.68</v>
      </c>
      <c r="S240">
        <v>1</v>
      </c>
      <c r="T240" t="s">
        <v>58</v>
      </c>
      <c r="U240" t="s">
        <v>359</v>
      </c>
      <c r="V240" s="3">
        <v>0.04</v>
      </c>
      <c r="W240" s="2">
        <v>0</v>
      </c>
      <c r="X240">
        <v>0</v>
      </c>
      <c r="Y240" t="s">
        <v>214</v>
      </c>
      <c r="Z240" t="s">
        <v>360</v>
      </c>
      <c r="AA240">
        <v>0</v>
      </c>
      <c r="AB240" s="2">
        <v>0</v>
      </c>
      <c r="AC240" s="2">
        <v>0</v>
      </c>
      <c r="AD240" s="3">
        <v>0</v>
      </c>
      <c r="AE240" s="2">
        <v>0</v>
      </c>
      <c r="AF240" s="2">
        <v>0</v>
      </c>
      <c r="AG240" s="2">
        <v>0</v>
      </c>
      <c r="AH240" s="2">
        <v>0</v>
      </c>
      <c r="AI240" s="2">
        <v>0</v>
      </c>
      <c r="AJ240" s="2">
        <v>0</v>
      </c>
      <c r="AK240" s="2">
        <v>0</v>
      </c>
      <c r="AL240" s="2">
        <v>0</v>
      </c>
      <c r="AM240" s="2">
        <v>5.1100000000000003</v>
      </c>
      <c r="AN240" s="2">
        <v>5.1100000000000003</v>
      </c>
      <c r="AO240" s="2">
        <v>0</v>
      </c>
      <c r="AP240" s="2">
        <v>0</v>
      </c>
      <c r="AQ240" s="2">
        <v>0</v>
      </c>
    </row>
    <row r="241" spans="1:43" x14ac:dyDescent="0.25">
      <c r="A241" s="1">
        <v>45936</v>
      </c>
      <c r="B241" t="s">
        <v>48</v>
      </c>
      <c r="C241">
        <v>649163</v>
      </c>
      <c r="D241">
        <v>2022892794</v>
      </c>
      <c r="E241" t="s">
        <v>485</v>
      </c>
      <c r="F241" t="s">
        <v>486</v>
      </c>
      <c r="G241" t="s">
        <v>51</v>
      </c>
      <c r="H241" t="s">
        <v>70</v>
      </c>
      <c r="I241" t="s">
        <v>467</v>
      </c>
      <c r="J241" t="s">
        <v>471</v>
      </c>
      <c r="K241">
        <v>649285</v>
      </c>
      <c r="L241" t="s">
        <v>479</v>
      </c>
      <c r="M241" t="s">
        <v>480</v>
      </c>
      <c r="N241" t="s">
        <v>57</v>
      </c>
      <c r="O241" s="1">
        <v>45413</v>
      </c>
      <c r="Q241" s="1">
        <v>45962</v>
      </c>
      <c r="R241" s="2">
        <v>113.02</v>
      </c>
      <c r="S241">
        <v>1</v>
      </c>
      <c r="T241" t="s">
        <v>58</v>
      </c>
      <c r="U241" t="s">
        <v>359</v>
      </c>
      <c r="V241" s="3">
        <v>0.04</v>
      </c>
      <c r="W241" s="2">
        <v>0</v>
      </c>
      <c r="X241">
        <v>0</v>
      </c>
      <c r="Y241" t="s">
        <v>214</v>
      </c>
      <c r="Z241" t="s">
        <v>360</v>
      </c>
      <c r="AA241">
        <v>0</v>
      </c>
      <c r="AB241" s="2">
        <v>0</v>
      </c>
      <c r="AC241" s="2">
        <v>0</v>
      </c>
      <c r="AD241" s="3">
        <v>0</v>
      </c>
      <c r="AE241" s="2">
        <v>0</v>
      </c>
      <c r="AF241" s="2">
        <v>0</v>
      </c>
      <c r="AG241" s="2">
        <v>0</v>
      </c>
      <c r="AH241" s="2">
        <v>0</v>
      </c>
      <c r="AI241" s="2">
        <v>0</v>
      </c>
      <c r="AJ241" s="2">
        <v>0</v>
      </c>
      <c r="AK241" s="2">
        <v>0</v>
      </c>
      <c r="AL241" s="2">
        <v>0</v>
      </c>
      <c r="AM241" s="2">
        <v>4.5199999999999996</v>
      </c>
      <c r="AN241" s="2">
        <v>4.5199999999999996</v>
      </c>
      <c r="AO241" s="2">
        <v>0</v>
      </c>
      <c r="AP241" s="2">
        <v>0</v>
      </c>
      <c r="AQ241" s="2">
        <v>0</v>
      </c>
    </row>
    <row r="242" spans="1:43" x14ac:dyDescent="0.25">
      <c r="A242" s="1">
        <v>45936</v>
      </c>
      <c r="B242" t="s">
        <v>48</v>
      </c>
      <c r="C242">
        <v>649163</v>
      </c>
      <c r="D242">
        <v>2023921112</v>
      </c>
      <c r="E242" t="s">
        <v>487</v>
      </c>
      <c r="F242" t="s">
        <v>488</v>
      </c>
      <c r="G242" t="s">
        <v>51</v>
      </c>
      <c r="H242" t="s">
        <v>101</v>
      </c>
      <c r="I242" t="s">
        <v>467</v>
      </c>
      <c r="J242" t="s">
        <v>489</v>
      </c>
      <c r="K242">
        <v>768887</v>
      </c>
      <c r="L242" t="s">
        <v>490</v>
      </c>
      <c r="M242" t="s">
        <v>491</v>
      </c>
      <c r="N242" t="s">
        <v>57</v>
      </c>
      <c r="O242" s="1">
        <v>45505</v>
      </c>
      <c r="Q242" s="1">
        <v>45962</v>
      </c>
      <c r="R242" s="2">
        <v>218.74</v>
      </c>
      <c r="S242">
        <v>1</v>
      </c>
      <c r="T242" t="s">
        <v>58</v>
      </c>
      <c r="U242" t="s">
        <v>359</v>
      </c>
      <c r="V242" s="3">
        <v>0.13</v>
      </c>
      <c r="W242" s="2">
        <v>0</v>
      </c>
      <c r="X242">
        <v>0</v>
      </c>
      <c r="Y242" t="s">
        <v>214</v>
      </c>
      <c r="Z242" t="s">
        <v>360</v>
      </c>
      <c r="AA242">
        <v>0</v>
      </c>
      <c r="AB242" s="2">
        <v>0</v>
      </c>
      <c r="AC242" s="2">
        <v>0</v>
      </c>
      <c r="AD242" s="3">
        <v>0</v>
      </c>
      <c r="AE242" s="2">
        <v>0</v>
      </c>
      <c r="AF242" s="2">
        <v>0</v>
      </c>
      <c r="AG242" s="2">
        <v>0</v>
      </c>
      <c r="AH242" s="2">
        <v>0</v>
      </c>
      <c r="AI242" s="2">
        <v>0</v>
      </c>
      <c r="AJ242" s="2">
        <v>0</v>
      </c>
      <c r="AK242" s="2">
        <v>0</v>
      </c>
      <c r="AL242" s="2">
        <v>0</v>
      </c>
      <c r="AM242" s="2">
        <v>28.44</v>
      </c>
      <c r="AN242" s="2">
        <v>28.44</v>
      </c>
      <c r="AO242" s="2">
        <v>0</v>
      </c>
      <c r="AP242" s="2">
        <v>0</v>
      </c>
      <c r="AQ242" s="2">
        <v>0</v>
      </c>
    </row>
    <row r="243" spans="1:43" x14ac:dyDescent="0.25">
      <c r="A243" s="1">
        <v>45936</v>
      </c>
      <c r="B243" t="s">
        <v>48</v>
      </c>
      <c r="C243">
        <v>649163</v>
      </c>
      <c r="D243">
        <v>2023981104</v>
      </c>
      <c r="E243" t="s">
        <v>492</v>
      </c>
      <c r="F243" t="s">
        <v>238</v>
      </c>
      <c r="G243" t="s">
        <v>51</v>
      </c>
      <c r="H243" t="s">
        <v>101</v>
      </c>
      <c r="I243" t="s">
        <v>467</v>
      </c>
      <c r="J243" t="s">
        <v>493</v>
      </c>
      <c r="K243">
        <v>768887</v>
      </c>
      <c r="L243" t="s">
        <v>490</v>
      </c>
      <c r="M243" t="s">
        <v>491</v>
      </c>
      <c r="N243" t="s">
        <v>57</v>
      </c>
      <c r="O243" s="1">
        <v>45505</v>
      </c>
      <c r="Q243" s="1">
        <v>45962</v>
      </c>
      <c r="R243" s="2">
        <v>132.85</v>
      </c>
      <c r="S243">
        <v>1</v>
      </c>
      <c r="T243" t="s">
        <v>58</v>
      </c>
      <c r="U243" t="s">
        <v>359</v>
      </c>
      <c r="V243" s="3">
        <v>0.26</v>
      </c>
      <c r="W243" s="2">
        <v>0</v>
      </c>
      <c r="X243">
        <v>0</v>
      </c>
      <c r="Y243" t="s">
        <v>214</v>
      </c>
      <c r="Z243" t="s">
        <v>360</v>
      </c>
      <c r="AA243">
        <v>0</v>
      </c>
      <c r="AB243" s="2">
        <v>0</v>
      </c>
      <c r="AC243" s="2">
        <v>0</v>
      </c>
      <c r="AD243" s="3">
        <v>0</v>
      </c>
      <c r="AE243" s="2">
        <v>0</v>
      </c>
      <c r="AF243" s="2">
        <v>0</v>
      </c>
      <c r="AG243" s="2">
        <v>0</v>
      </c>
      <c r="AH243" s="2">
        <v>0</v>
      </c>
      <c r="AI243" s="2">
        <v>0</v>
      </c>
      <c r="AJ243" s="2">
        <v>0</v>
      </c>
      <c r="AK243" s="2">
        <v>0</v>
      </c>
      <c r="AL243" s="2">
        <v>0</v>
      </c>
      <c r="AM243" s="2">
        <v>34.54</v>
      </c>
      <c r="AN243" s="2">
        <v>34.54</v>
      </c>
      <c r="AO243" s="2">
        <v>0</v>
      </c>
      <c r="AP243" s="2">
        <v>0</v>
      </c>
      <c r="AQ243" s="2">
        <v>0</v>
      </c>
    </row>
    <row r="244" spans="1:43" x14ac:dyDescent="0.25">
      <c r="A244" s="1">
        <v>45936</v>
      </c>
      <c r="B244" t="s">
        <v>48</v>
      </c>
      <c r="C244">
        <v>649163</v>
      </c>
      <c r="D244">
        <v>2025118592</v>
      </c>
      <c r="E244" t="s">
        <v>494</v>
      </c>
      <c r="F244" t="s">
        <v>495</v>
      </c>
      <c r="G244" t="s">
        <v>51</v>
      </c>
      <c r="H244" t="s">
        <v>328</v>
      </c>
      <c r="I244" t="s">
        <v>467</v>
      </c>
      <c r="J244" t="s">
        <v>471</v>
      </c>
      <c r="K244">
        <v>650218</v>
      </c>
      <c r="L244" t="s">
        <v>237</v>
      </c>
      <c r="M244" t="s">
        <v>238</v>
      </c>
      <c r="N244" t="s">
        <v>57</v>
      </c>
      <c r="O244" s="1">
        <v>45597</v>
      </c>
      <c r="Q244" s="1">
        <v>45962</v>
      </c>
      <c r="R244" s="2">
        <v>102.08</v>
      </c>
      <c r="S244">
        <v>1</v>
      </c>
      <c r="T244" t="s">
        <v>58</v>
      </c>
      <c r="U244" t="s">
        <v>359</v>
      </c>
      <c r="V244" s="3">
        <v>0.26</v>
      </c>
      <c r="W244" s="2">
        <v>0</v>
      </c>
      <c r="X244">
        <v>0</v>
      </c>
      <c r="Y244" t="s">
        <v>60</v>
      </c>
      <c r="Z244" t="s">
        <v>360</v>
      </c>
      <c r="AA244">
        <v>0</v>
      </c>
      <c r="AB244" s="2">
        <v>0</v>
      </c>
      <c r="AC244" s="2">
        <v>0</v>
      </c>
      <c r="AD244" s="3">
        <v>0</v>
      </c>
      <c r="AE244" s="2">
        <v>0</v>
      </c>
      <c r="AF244" s="2">
        <v>0</v>
      </c>
      <c r="AG244" s="2">
        <v>0</v>
      </c>
      <c r="AH244" s="2">
        <v>0</v>
      </c>
      <c r="AI244" s="2">
        <v>0</v>
      </c>
      <c r="AJ244" s="2">
        <v>0</v>
      </c>
      <c r="AK244" s="2">
        <v>0</v>
      </c>
      <c r="AL244" s="2">
        <v>0</v>
      </c>
      <c r="AM244" s="2">
        <v>26.54</v>
      </c>
      <c r="AN244" s="2">
        <v>26.54</v>
      </c>
      <c r="AO244" s="2">
        <v>0</v>
      </c>
      <c r="AP244" s="2">
        <v>0</v>
      </c>
      <c r="AQ244" s="2">
        <v>0</v>
      </c>
    </row>
    <row r="245" spans="1:43" x14ac:dyDescent="0.25">
      <c r="A245" s="1">
        <v>45936</v>
      </c>
      <c r="B245" t="s">
        <v>48</v>
      </c>
      <c r="C245">
        <v>649163</v>
      </c>
      <c r="D245">
        <v>2025878148</v>
      </c>
      <c r="E245" t="s">
        <v>496</v>
      </c>
      <c r="F245" t="s">
        <v>224</v>
      </c>
      <c r="G245" t="s">
        <v>51</v>
      </c>
      <c r="H245" t="s">
        <v>70</v>
      </c>
      <c r="I245" t="s">
        <v>467</v>
      </c>
      <c r="J245" t="s">
        <v>497</v>
      </c>
      <c r="K245">
        <v>649910</v>
      </c>
      <c r="L245" t="s">
        <v>498</v>
      </c>
      <c r="M245" t="s">
        <v>499</v>
      </c>
      <c r="N245" t="s">
        <v>57</v>
      </c>
      <c r="O245" s="1">
        <v>45658</v>
      </c>
      <c r="Q245" s="1">
        <v>45962</v>
      </c>
      <c r="R245" s="2">
        <v>160.32</v>
      </c>
      <c r="S245">
        <v>1</v>
      </c>
      <c r="T245" t="s">
        <v>58</v>
      </c>
      <c r="U245" t="s">
        <v>359</v>
      </c>
      <c r="V245" s="3">
        <v>0.04</v>
      </c>
      <c r="W245" s="2">
        <v>0</v>
      </c>
      <c r="X245">
        <v>0</v>
      </c>
      <c r="Y245" t="s">
        <v>60</v>
      </c>
      <c r="Z245" t="s">
        <v>360</v>
      </c>
      <c r="AA245">
        <v>0</v>
      </c>
      <c r="AB245" s="2">
        <v>0</v>
      </c>
      <c r="AC245" s="2">
        <v>0</v>
      </c>
      <c r="AD245" s="3">
        <v>0</v>
      </c>
      <c r="AE245" s="2">
        <v>0</v>
      </c>
      <c r="AF245" s="2">
        <v>0</v>
      </c>
      <c r="AG245" s="2">
        <v>0</v>
      </c>
      <c r="AH245" s="2">
        <v>0</v>
      </c>
      <c r="AI245" s="2">
        <v>0</v>
      </c>
      <c r="AJ245" s="2">
        <v>0</v>
      </c>
      <c r="AK245" s="2">
        <v>0</v>
      </c>
      <c r="AL245" s="2">
        <v>0</v>
      </c>
      <c r="AM245" s="2">
        <v>6.41</v>
      </c>
      <c r="AN245" s="2">
        <v>6.41</v>
      </c>
      <c r="AO245" s="2">
        <v>0</v>
      </c>
      <c r="AP245" s="2">
        <v>0</v>
      </c>
      <c r="AQ245" s="2">
        <v>0</v>
      </c>
    </row>
    <row r="246" spans="1:43" x14ac:dyDescent="0.25">
      <c r="A246" s="1">
        <v>45936</v>
      </c>
      <c r="B246" t="s">
        <v>48</v>
      </c>
      <c r="C246">
        <v>649163</v>
      </c>
      <c r="D246">
        <v>2025892048</v>
      </c>
      <c r="E246" t="s">
        <v>368</v>
      </c>
      <c r="F246" t="s">
        <v>500</v>
      </c>
      <c r="G246" t="s">
        <v>51</v>
      </c>
      <c r="H246" t="s">
        <v>70</v>
      </c>
      <c r="I246" t="s">
        <v>467</v>
      </c>
      <c r="J246" t="s">
        <v>501</v>
      </c>
      <c r="K246">
        <v>650218</v>
      </c>
      <c r="L246" t="s">
        <v>237</v>
      </c>
      <c r="M246" t="s">
        <v>238</v>
      </c>
      <c r="N246" t="s">
        <v>57</v>
      </c>
      <c r="O246" s="1">
        <v>45658</v>
      </c>
      <c r="Q246" s="1">
        <v>45962</v>
      </c>
      <c r="R246" s="2">
        <v>214.75</v>
      </c>
      <c r="S246">
        <v>1</v>
      </c>
      <c r="T246" t="s">
        <v>58</v>
      </c>
      <c r="U246" t="s">
        <v>359</v>
      </c>
      <c r="V246" s="3">
        <v>0.13</v>
      </c>
      <c r="W246" s="2">
        <v>0</v>
      </c>
      <c r="X246">
        <v>0</v>
      </c>
      <c r="Y246" t="s">
        <v>60</v>
      </c>
      <c r="Z246" t="s">
        <v>360</v>
      </c>
      <c r="AA246">
        <v>0</v>
      </c>
      <c r="AB246" s="2">
        <v>0</v>
      </c>
      <c r="AC246" s="2">
        <v>0</v>
      </c>
      <c r="AD246" s="3">
        <v>0</v>
      </c>
      <c r="AE246" s="2">
        <v>0</v>
      </c>
      <c r="AF246" s="2">
        <v>0</v>
      </c>
      <c r="AG246" s="2">
        <v>0</v>
      </c>
      <c r="AH246" s="2">
        <v>0</v>
      </c>
      <c r="AI246" s="2">
        <v>0</v>
      </c>
      <c r="AJ246" s="2">
        <v>0</v>
      </c>
      <c r="AK246" s="2">
        <v>0</v>
      </c>
      <c r="AL246" s="2">
        <v>0</v>
      </c>
      <c r="AM246" s="2">
        <v>27.92</v>
      </c>
      <c r="AN246" s="2">
        <v>27.92</v>
      </c>
      <c r="AO246" s="2">
        <v>0</v>
      </c>
      <c r="AP246" s="2">
        <v>0</v>
      </c>
      <c r="AQ246" s="2">
        <v>0</v>
      </c>
    </row>
    <row r="247" spans="1:43" x14ac:dyDescent="0.25">
      <c r="A247" s="1">
        <v>45936</v>
      </c>
      <c r="B247" t="s">
        <v>48</v>
      </c>
      <c r="C247">
        <v>649163</v>
      </c>
      <c r="D247">
        <v>2026055288</v>
      </c>
      <c r="E247" t="s">
        <v>502</v>
      </c>
      <c r="F247" t="s">
        <v>165</v>
      </c>
      <c r="G247" t="s">
        <v>51</v>
      </c>
      <c r="H247" t="s">
        <v>70</v>
      </c>
      <c r="I247" t="s">
        <v>467</v>
      </c>
      <c r="J247" t="s">
        <v>497</v>
      </c>
      <c r="K247">
        <v>650218</v>
      </c>
      <c r="L247" t="s">
        <v>237</v>
      </c>
      <c r="M247" t="s">
        <v>238</v>
      </c>
      <c r="N247" t="s">
        <v>57</v>
      </c>
      <c r="O247" s="1">
        <v>45658</v>
      </c>
      <c r="Q247" s="1">
        <v>45962</v>
      </c>
      <c r="R247" s="2">
        <v>110.69</v>
      </c>
      <c r="S247">
        <v>1</v>
      </c>
      <c r="T247" t="s">
        <v>58</v>
      </c>
      <c r="U247" t="s">
        <v>359</v>
      </c>
      <c r="V247" s="3">
        <v>0.28000000000000003</v>
      </c>
      <c r="W247" s="2">
        <v>0</v>
      </c>
      <c r="X247">
        <v>0</v>
      </c>
      <c r="Y247" t="s">
        <v>60</v>
      </c>
      <c r="Z247" t="s">
        <v>360</v>
      </c>
      <c r="AA247">
        <v>0</v>
      </c>
      <c r="AB247" s="2">
        <v>0</v>
      </c>
      <c r="AC247" s="2">
        <v>0</v>
      </c>
      <c r="AD247" s="3">
        <v>0</v>
      </c>
      <c r="AE247" s="2">
        <v>0</v>
      </c>
      <c r="AF247" s="2">
        <v>0</v>
      </c>
      <c r="AG247" s="2">
        <v>0</v>
      </c>
      <c r="AH247" s="2">
        <v>0</v>
      </c>
      <c r="AI247" s="2">
        <v>0</v>
      </c>
      <c r="AJ247" s="2">
        <v>0</v>
      </c>
      <c r="AK247" s="2">
        <v>0</v>
      </c>
      <c r="AL247" s="2">
        <v>0</v>
      </c>
      <c r="AM247" s="2">
        <v>30.99</v>
      </c>
      <c r="AN247" s="2">
        <v>30.99</v>
      </c>
      <c r="AO247" s="2">
        <v>0</v>
      </c>
      <c r="AP247" s="2">
        <v>0</v>
      </c>
      <c r="AQ247" s="2">
        <v>0</v>
      </c>
    </row>
    <row r="248" spans="1:43" x14ac:dyDescent="0.25">
      <c r="A248" s="1">
        <v>45936</v>
      </c>
      <c r="B248" t="s">
        <v>48</v>
      </c>
      <c r="C248">
        <v>649163</v>
      </c>
      <c r="D248">
        <v>2026055881</v>
      </c>
      <c r="E248" t="s">
        <v>502</v>
      </c>
      <c r="F248" t="s">
        <v>503</v>
      </c>
      <c r="G248" t="s">
        <v>51</v>
      </c>
      <c r="H248" t="s">
        <v>70</v>
      </c>
      <c r="I248" t="s">
        <v>467</v>
      </c>
      <c r="J248" t="s">
        <v>471</v>
      </c>
      <c r="K248">
        <v>650218</v>
      </c>
      <c r="L248" t="s">
        <v>237</v>
      </c>
      <c r="M248" t="s">
        <v>238</v>
      </c>
      <c r="N248" t="s">
        <v>57</v>
      </c>
      <c r="O248" s="1">
        <v>45658</v>
      </c>
      <c r="Q248" s="1">
        <v>45962</v>
      </c>
      <c r="R248" s="2">
        <v>126.58</v>
      </c>
      <c r="S248">
        <v>1</v>
      </c>
      <c r="T248" t="s">
        <v>58</v>
      </c>
      <c r="U248" t="s">
        <v>359</v>
      </c>
      <c r="V248" s="3">
        <v>0.26</v>
      </c>
      <c r="W248" s="2">
        <v>0</v>
      </c>
      <c r="X248">
        <v>0</v>
      </c>
      <c r="Y248" t="s">
        <v>60</v>
      </c>
      <c r="Z248" t="s">
        <v>360</v>
      </c>
      <c r="AA248">
        <v>0</v>
      </c>
      <c r="AB248" s="2">
        <v>0</v>
      </c>
      <c r="AC248" s="2">
        <v>0</v>
      </c>
      <c r="AD248" s="3">
        <v>0</v>
      </c>
      <c r="AE248" s="2">
        <v>0</v>
      </c>
      <c r="AF248" s="2">
        <v>0</v>
      </c>
      <c r="AG248" s="2">
        <v>0</v>
      </c>
      <c r="AH248" s="2">
        <v>0</v>
      </c>
      <c r="AI248" s="2">
        <v>0</v>
      </c>
      <c r="AJ248" s="2">
        <v>0</v>
      </c>
      <c r="AK248" s="2">
        <v>0</v>
      </c>
      <c r="AL248" s="2">
        <v>0</v>
      </c>
      <c r="AM248" s="2">
        <v>32.909999999999997</v>
      </c>
      <c r="AN248" s="2">
        <v>32.909999999999997</v>
      </c>
      <c r="AO248" s="2">
        <v>0</v>
      </c>
      <c r="AP248" s="2">
        <v>0</v>
      </c>
      <c r="AQ248" s="2">
        <v>0</v>
      </c>
    </row>
    <row r="249" spans="1:43" x14ac:dyDescent="0.25">
      <c r="A249" s="1">
        <v>45936</v>
      </c>
      <c r="B249" t="s">
        <v>48</v>
      </c>
      <c r="C249">
        <v>649163</v>
      </c>
      <c r="D249">
        <v>2026080915</v>
      </c>
      <c r="E249" t="s">
        <v>504</v>
      </c>
      <c r="F249" t="s">
        <v>224</v>
      </c>
      <c r="G249" t="s">
        <v>51</v>
      </c>
      <c r="H249" t="s">
        <v>88</v>
      </c>
      <c r="I249" t="s">
        <v>467</v>
      </c>
      <c r="J249" t="s">
        <v>505</v>
      </c>
      <c r="K249">
        <v>650218</v>
      </c>
      <c r="L249" t="s">
        <v>237</v>
      </c>
      <c r="M249" t="s">
        <v>238</v>
      </c>
      <c r="N249" t="s">
        <v>57</v>
      </c>
      <c r="O249" s="1">
        <v>45658</v>
      </c>
      <c r="Q249" s="1">
        <v>45962</v>
      </c>
      <c r="R249" s="2">
        <v>322.48</v>
      </c>
      <c r="S249">
        <v>1</v>
      </c>
      <c r="T249" t="s">
        <v>58</v>
      </c>
      <c r="U249" t="s">
        <v>359</v>
      </c>
      <c r="V249" s="3">
        <v>0.24</v>
      </c>
      <c r="W249" s="2">
        <v>0</v>
      </c>
      <c r="X249">
        <v>0</v>
      </c>
      <c r="Y249" t="s">
        <v>60</v>
      </c>
      <c r="Z249" t="s">
        <v>360</v>
      </c>
      <c r="AA249">
        <v>0</v>
      </c>
      <c r="AB249" s="2">
        <v>0</v>
      </c>
      <c r="AC249" s="2">
        <v>0</v>
      </c>
      <c r="AD249" s="3">
        <v>0</v>
      </c>
      <c r="AE249" s="2">
        <v>0</v>
      </c>
      <c r="AF249" s="2">
        <v>0</v>
      </c>
      <c r="AG249" s="2">
        <v>0</v>
      </c>
      <c r="AH249" s="2">
        <v>0</v>
      </c>
      <c r="AI249" s="2">
        <v>0</v>
      </c>
      <c r="AJ249" s="2">
        <v>0</v>
      </c>
      <c r="AK249" s="2">
        <v>0</v>
      </c>
      <c r="AL249" s="2">
        <v>0</v>
      </c>
      <c r="AM249" s="2">
        <v>77.400000000000006</v>
      </c>
      <c r="AN249" s="2">
        <v>77.400000000000006</v>
      </c>
      <c r="AO249" s="2">
        <v>0</v>
      </c>
      <c r="AP249" s="2">
        <v>0</v>
      </c>
      <c r="AQ249" s="2">
        <v>0</v>
      </c>
    </row>
    <row r="250" spans="1:43" x14ac:dyDescent="0.25">
      <c r="A250" s="1">
        <v>45936</v>
      </c>
      <c r="B250" t="s">
        <v>48</v>
      </c>
      <c r="C250">
        <v>649163</v>
      </c>
      <c r="D250">
        <v>2026492383</v>
      </c>
      <c r="E250" t="s">
        <v>506</v>
      </c>
      <c r="F250" t="s">
        <v>507</v>
      </c>
      <c r="G250" t="s">
        <v>51</v>
      </c>
      <c r="H250" t="s">
        <v>150</v>
      </c>
      <c r="I250" t="s">
        <v>467</v>
      </c>
      <c r="J250" t="s">
        <v>508</v>
      </c>
      <c r="K250">
        <v>757719</v>
      </c>
      <c r="L250" t="s">
        <v>509</v>
      </c>
      <c r="M250" t="s">
        <v>510</v>
      </c>
      <c r="N250" t="s">
        <v>57</v>
      </c>
      <c r="O250" s="1">
        <v>45665</v>
      </c>
      <c r="Q250" s="1">
        <v>45969</v>
      </c>
      <c r="R250" s="2">
        <v>105.97</v>
      </c>
      <c r="S250">
        <v>1</v>
      </c>
      <c r="T250" t="s">
        <v>58</v>
      </c>
      <c r="U250" t="s">
        <v>359</v>
      </c>
      <c r="V250" s="4">
        <v>0.255</v>
      </c>
      <c r="W250" s="2">
        <v>0</v>
      </c>
      <c r="X250">
        <v>0</v>
      </c>
      <c r="Y250" t="s">
        <v>60</v>
      </c>
      <c r="Z250" t="s">
        <v>360</v>
      </c>
      <c r="AA250">
        <v>0</v>
      </c>
      <c r="AB250" s="2">
        <v>0</v>
      </c>
      <c r="AC250" s="2">
        <v>0</v>
      </c>
      <c r="AD250" s="3">
        <v>0</v>
      </c>
      <c r="AE250" s="2">
        <v>0</v>
      </c>
      <c r="AF250" s="2">
        <v>0</v>
      </c>
      <c r="AG250" s="2">
        <v>0</v>
      </c>
      <c r="AH250" s="2">
        <v>0</v>
      </c>
      <c r="AI250" s="2">
        <v>0</v>
      </c>
      <c r="AJ250" s="2">
        <v>0</v>
      </c>
      <c r="AK250" s="2">
        <v>0</v>
      </c>
      <c r="AL250" s="2">
        <v>0</v>
      </c>
      <c r="AM250" s="2">
        <v>27.02</v>
      </c>
      <c r="AN250" s="2">
        <v>27.02</v>
      </c>
      <c r="AO250" s="2">
        <v>0</v>
      </c>
      <c r="AP250" s="2">
        <v>0</v>
      </c>
      <c r="AQ250" s="2">
        <v>0</v>
      </c>
    </row>
    <row r="251" spans="1:43" x14ac:dyDescent="0.25">
      <c r="A251" s="1">
        <v>45936</v>
      </c>
      <c r="B251" t="s">
        <v>48</v>
      </c>
      <c r="C251">
        <v>649163</v>
      </c>
      <c r="D251">
        <v>2026646040</v>
      </c>
      <c r="E251" t="s">
        <v>511</v>
      </c>
      <c r="F251" t="s">
        <v>512</v>
      </c>
      <c r="G251" t="s">
        <v>51</v>
      </c>
      <c r="H251" t="s">
        <v>88</v>
      </c>
      <c r="I251" t="s">
        <v>467</v>
      </c>
      <c r="J251" t="s">
        <v>505</v>
      </c>
      <c r="K251">
        <v>649285</v>
      </c>
      <c r="L251" t="s">
        <v>479</v>
      </c>
      <c r="M251" t="s">
        <v>480</v>
      </c>
      <c r="N251" t="s">
        <v>57</v>
      </c>
      <c r="O251" s="1">
        <v>45717</v>
      </c>
      <c r="Q251" s="1">
        <v>45962</v>
      </c>
      <c r="R251" s="2">
        <v>219.87</v>
      </c>
      <c r="S251">
        <v>1</v>
      </c>
      <c r="T251" t="s">
        <v>58</v>
      </c>
      <c r="U251" t="s">
        <v>359</v>
      </c>
      <c r="V251" s="3">
        <v>0.04</v>
      </c>
      <c r="W251" s="2">
        <v>0</v>
      </c>
      <c r="X251">
        <v>0</v>
      </c>
      <c r="Y251" t="s">
        <v>60</v>
      </c>
      <c r="Z251" t="s">
        <v>360</v>
      </c>
      <c r="AA251">
        <v>0</v>
      </c>
      <c r="AB251" s="2">
        <v>0</v>
      </c>
      <c r="AC251" s="2">
        <v>0</v>
      </c>
      <c r="AD251" s="3">
        <v>0</v>
      </c>
      <c r="AE251" s="2">
        <v>0</v>
      </c>
      <c r="AF251" s="2">
        <v>0</v>
      </c>
      <c r="AG251" s="2">
        <v>0</v>
      </c>
      <c r="AH251" s="2">
        <v>0</v>
      </c>
      <c r="AI251" s="2">
        <v>0</v>
      </c>
      <c r="AJ251" s="2">
        <v>0</v>
      </c>
      <c r="AK251" s="2">
        <v>0</v>
      </c>
      <c r="AL251" s="2">
        <v>0</v>
      </c>
      <c r="AM251" s="2">
        <v>8.7899999999999991</v>
      </c>
      <c r="AN251" s="2">
        <v>8.7899999999999991</v>
      </c>
      <c r="AO251" s="2">
        <v>0</v>
      </c>
      <c r="AP251" s="2">
        <v>0</v>
      </c>
      <c r="AQ251" s="2">
        <v>0</v>
      </c>
    </row>
    <row r="252" spans="1:43" x14ac:dyDescent="0.25">
      <c r="A252" s="1">
        <v>45936</v>
      </c>
      <c r="B252" t="s">
        <v>48</v>
      </c>
      <c r="C252">
        <v>649163</v>
      </c>
      <c r="D252">
        <v>2027097219</v>
      </c>
      <c r="E252" t="s">
        <v>237</v>
      </c>
      <c r="F252" t="s">
        <v>238</v>
      </c>
      <c r="G252" t="s">
        <v>51</v>
      </c>
      <c r="H252" t="s">
        <v>70</v>
      </c>
      <c r="I252" t="s">
        <v>467</v>
      </c>
      <c r="J252" t="s">
        <v>471</v>
      </c>
      <c r="K252">
        <v>650218</v>
      </c>
      <c r="L252" t="s">
        <v>237</v>
      </c>
      <c r="M252" t="s">
        <v>238</v>
      </c>
      <c r="N252" t="s">
        <v>57</v>
      </c>
      <c r="O252" s="1">
        <v>45748</v>
      </c>
      <c r="Q252" s="1">
        <v>45962</v>
      </c>
      <c r="R252" s="2">
        <v>147.77000000000001</v>
      </c>
      <c r="S252">
        <v>1</v>
      </c>
      <c r="T252" t="s">
        <v>58</v>
      </c>
      <c r="U252" t="s">
        <v>359</v>
      </c>
      <c r="V252" s="3">
        <v>0.26</v>
      </c>
      <c r="W252" s="2">
        <v>0</v>
      </c>
      <c r="X252">
        <v>0</v>
      </c>
      <c r="Y252" t="s">
        <v>60</v>
      </c>
      <c r="Z252" t="s">
        <v>360</v>
      </c>
      <c r="AA252">
        <v>0</v>
      </c>
      <c r="AB252" s="2">
        <v>0</v>
      </c>
      <c r="AC252" s="2">
        <v>0</v>
      </c>
      <c r="AD252" s="3">
        <v>0</v>
      </c>
      <c r="AE252" s="2">
        <v>0</v>
      </c>
      <c r="AF252" s="2">
        <v>0</v>
      </c>
      <c r="AG252" s="2">
        <v>0</v>
      </c>
      <c r="AH252" s="2">
        <v>0</v>
      </c>
      <c r="AI252" s="2">
        <v>0</v>
      </c>
      <c r="AJ252" s="2">
        <v>0</v>
      </c>
      <c r="AK252" s="2">
        <v>0</v>
      </c>
      <c r="AL252" s="2">
        <v>0</v>
      </c>
      <c r="AM252" s="2">
        <v>38.42</v>
      </c>
      <c r="AN252" s="2">
        <v>38.42</v>
      </c>
      <c r="AO252" s="2">
        <v>0</v>
      </c>
      <c r="AP252" s="2">
        <v>0</v>
      </c>
      <c r="AQ252" s="2">
        <v>0</v>
      </c>
    </row>
    <row r="253" spans="1:43" x14ac:dyDescent="0.25">
      <c r="A253" s="1">
        <v>45936</v>
      </c>
      <c r="B253" t="s">
        <v>48</v>
      </c>
      <c r="C253">
        <v>649163</v>
      </c>
      <c r="D253">
        <v>2027157018</v>
      </c>
      <c r="E253" t="s">
        <v>513</v>
      </c>
      <c r="F253" t="s">
        <v>488</v>
      </c>
      <c r="G253" t="s">
        <v>51</v>
      </c>
      <c r="H253" t="s">
        <v>70</v>
      </c>
      <c r="I253" t="s">
        <v>467</v>
      </c>
      <c r="J253" t="s">
        <v>468</v>
      </c>
      <c r="K253">
        <v>775945</v>
      </c>
      <c r="L253" t="s">
        <v>514</v>
      </c>
      <c r="M253" t="s">
        <v>179</v>
      </c>
      <c r="N253" t="s">
        <v>57</v>
      </c>
      <c r="O253" s="1">
        <v>45689</v>
      </c>
      <c r="Q253" s="1">
        <v>45962</v>
      </c>
      <c r="R253" s="2">
        <v>117.07</v>
      </c>
      <c r="S253">
        <v>1</v>
      </c>
      <c r="T253" t="s">
        <v>58</v>
      </c>
      <c r="U253" t="s">
        <v>359</v>
      </c>
      <c r="V253" s="3">
        <v>0</v>
      </c>
      <c r="W253" s="2">
        <v>0</v>
      </c>
      <c r="X253">
        <v>0</v>
      </c>
      <c r="Y253" t="s">
        <v>60</v>
      </c>
      <c r="Z253" t="s">
        <v>360</v>
      </c>
      <c r="AA253">
        <v>0</v>
      </c>
      <c r="AB253" s="2">
        <v>0</v>
      </c>
      <c r="AC253" s="2">
        <v>0</v>
      </c>
      <c r="AD253" s="3">
        <v>0</v>
      </c>
      <c r="AE253" s="2">
        <v>0</v>
      </c>
      <c r="AF253" s="2">
        <v>0</v>
      </c>
      <c r="AG253" s="2">
        <v>0</v>
      </c>
      <c r="AH253" s="2">
        <v>0</v>
      </c>
      <c r="AI253" s="2">
        <v>0</v>
      </c>
      <c r="AJ253" s="2">
        <v>0</v>
      </c>
      <c r="AK253" s="2">
        <v>0</v>
      </c>
      <c r="AL253" s="2">
        <v>0</v>
      </c>
      <c r="AM253" s="2">
        <v>0</v>
      </c>
      <c r="AN253" s="2">
        <v>0</v>
      </c>
      <c r="AO253" s="2">
        <v>0</v>
      </c>
      <c r="AP253" s="2">
        <v>0</v>
      </c>
      <c r="AQ253" s="2">
        <v>0</v>
      </c>
    </row>
    <row r="254" spans="1:43" x14ac:dyDescent="0.25">
      <c r="A254" s="1">
        <v>45936</v>
      </c>
      <c r="B254" t="s">
        <v>48</v>
      </c>
      <c r="C254">
        <v>649163</v>
      </c>
      <c r="D254">
        <v>2027253361</v>
      </c>
      <c r="E254" t="s">
        <v>515</v>
      </c>
      <c r="F254" t="s">
        <v>224</v>
      </c>
      <c r="G254" t="s">
        <v>51</v>
      </c>
      <c r="H254" t="s">
        <v>203</v>
      </c>
      <c r="I254" t="s">
        <v>467</v>
      </c>
      <c r="J254" t="s">
        <v>516</v>
      </c>
      <c r="K254">
        <v>816021</v>
      </c>
      <c r="L254" t="s">
        <v>265</v>
      </c>
      <c r="M254" t="s">
        <v>266</v>
      </c>
      <c r="N254" t="s">
        <v>57</v>
      </c>
      <c r="O254" s="1">
        <v>45717</v>
      </c>
      <c r="Q254" s="1">
        <v>45962</v>
      </c>
      <c r="R254" s="2">
        <v>136.72</v>
      </c>
      <c r="S254">
        <v>1</v>
      </c>
      <c r="T254" t="s">
        <v>58</v>
      </c>
      <c r="U254" t="s">
        <v>359</v>
      </c>
      <c r="V254" s="3">
        <v>0.26</v>
      </c>
      <c r="W254" s="2">
        <v>0</v>
      </c>
      <c r="X254">
        <v>0</v>
      </c>
      <c r="Y254" t="s">
        <v>60</v>
      </c>
      <c r="Z254" t="s">
        <v>360</v>
      </c>
      <c r="AA254">
        <v>0</v>
      </c>
      <c r="AB254" s="2">
        <v>0</v>
      </c>
      <c r="AC254" s="2">
        <v>0</v>
      </c>
      <c r="AD254" s="3">
        <v>0</v>
      </c>
      <c r="AE254" s="2">
        <v>0</v>
      </c>
      <c r="AF254" s="2">
        <v>0</v>
      </c>
      <c r="AG254" s="2">
        <v>0</v>
      </c>
      <c r="AH254" s="2">
        <v>0</v>
      </c>
      <c r="AI254" s="2">
        <v>0</v>
      </c>
      <c r="AJ254" s="2">
        <v>0</v>
      </c>
      <c r="AK254" s="2">
        <v>0</v>
      </c>
      <c r="AL254" s="2">
        <v>0</v>
      </c>
      <c r="AM254" s="2">
        <v>35.549999999999997</v>
      </c>
      <c r="AN254" s="2">
        <v>35.549999999999997</v>
      </c>
      <c r="AO254" s="2">
        <v>0</v>
      </c>
      <c r="AP254" s="2">
        <v>0</v>
      </c>
      <c r="AQ254" s="2">
        <v>0</v>
      </c>
    </row>
    <row r="255" spans="1:43" x14ac:dyDescent="0.25">
      <c r="A255" s="1">
        <v>45936</v>
      </c>
      <c r="B255" t="s">
        <v>48</v>
      </c>
      <c r="C255">
        <v>649163</v>
      </c>
      <c r="D255">
        <v>2027354636</v>
      </c>
      <c r="E255" t="s">
        <v>517</v>
      </c>
      <c r="F255" t="s">
        <v>353</v>
      </c>
      <c r="G255" t="s">
        <v>51</v>
      </c>
      <c r="H255" t="s">
        <v>88</v>
      </c>
      <c r="I255" t="s">
        <v>467</v>
      </c>
      <c r="J255" t="s">
        <v>505</v>
      </c>
      <c r="K255">
        <v>649285</v>
      </c>
      <c r="L255" t="s">
        <v>479</v>
      </c>
      <c r="M255" t="s">
        <v>480</v>
      </c>
      <c r="N255" t="s">
        <v>57</v>
      </c>
      <c r="O255" s="1">
        <v>45748</v>
      </c>
      <c r="Q255" s="1">
        <v>45962</v>
      </c>
      <c r="R255" s="2">
        <v>213.04</v>
      </c>
      <c r="S255">
        <v>1</v>
      </c>
      <c r="T255" t="s">
        <v>58</v>
      </c>
      <c r="U255" t="s">
        <v>359</v>
      </c>
      <c r="V255" s="3">
        <v>0.04</v>
      </c>
      <c r="W255" s="2">
        <v>0</v>
      </c>
      <c r="X255">
        <v>0</v>
      </c>
      <c r="Y255" t="s">
        <v>60</v>
      </c>
      <c r="Z255" t="s">
        <v>360</v>
      </c>
      <c r="AA255">
        <v>0</v>
      </c>
      <c r="AB255" s="2">
        <v>0</v>
      </c>
      <c r="AC255" s="2">
        <v>0</v>
      </c>
      <c r="AD255" s="3">
        <v>0</v>
      </c>
      <c r="AE255" s="2">
        <v>0</v>
      </c>
      <c r="AF255" s="2">
        <v>0</v>
      </c>
      <c r="AG255" s="2">
        <v>0</v>
      </c>
      <c r="AH255" s="2">
        <v>0</v>
      </c>
      <c r="AI255" s="2">
        <v>0</v>
      </c>
      <c r="AJ255" s="2">
        <v>0</v>
      </c>
      <c r="AK255" s="2">
        <v>0</v>
      </c>
      <c r="AL255" s="2">
        <v>0</v>
      </c>
      <c r="AM255" s="2">
        <v>8.52</v>
      </c>
      <c r="AN255" s="2">
        <v>8.52</v>
      </c>
      <c r="AO255" s="2">
        <v>0</v>
      </c>
      <c r="AP255" s="2">
        <v>0</v>
      </c>
      <c r="AQ255" s="2">
        <v>0</v>
      </c>
    </row>
    <row r="256" spans="1:43" x14ac:dyDescent="0.25">
      <c r="A256" s="1">
        <v>45936</v>
      </c>
      <c r="B256" t="s">
        <v>48</v>
      </c>
      <c r="C256">
        <v>649163</v>
      </c>
      <c r="D256">
        <v>2027391406</v>
      </c>
      <c r="E256" t="s">
        <v>518</v>
      </c>
      <c r="F256" t="s">
        <v>171</v>
      </c>
      <c r="G256" t="s">
        <v>51</v>
      </c>
      <c r="H256" t="s">
        <v>101</v>
      </c>
      <c r="I256" t="s">
        <v>467</v>
      </c>
      <c r="J256" t="s">
        <v>493</v>
      </c>
      <c r="K256">
        <v>766422</v>
      </c>
      <c r="L256" t="s">
        <v>519</v>
      </c>
      <c r="M256" t="s">
        <v>104</v>
      </c>
      <c r="N256" t="s">
        <v>57</v>
      </c>
      <c r="O256" s="1">
        <v>45717</v>
      </c>
      <c r="Q256" s="1">
        <v>45962</v>
      </c>
      <c r="R256" s="2">
        <v>130.76</v>
      </c>
      <c r="S256">
        <v>1</v>
      </c>
      <c r="T256" t="s">
        <v>58</v>
      </c>
      <c r="U256" t="s">
        <v>359</v>
      </c>
      <c r="V256" s="3">
        <v>0.26</v>
      </c>
      <c r="W256" s="2">
        <v>0</v>
      </c>
      <c r="X256">
        <v>0</v>
      </c>
      <c r="Y256" t="s">
        <v>60</v>
      </c>
      <c r="Z256" t="s">
        <v>360</v>
      </c>
      <c r="AA256">
        <v>0</v>
      </c>
      <c r="AB256" s="2">
        <v>0</v>
      </c>
      <c r="AC256" s="2">
        <v>0</v>
      </c>
      <c r="AD256" s="3">
        <v>0</v>
      </c>
      <c r="AE256" s="2">
        <v>0</v>
      </c>
      <c r="AF256" s="2">
        <v>0</v>
      </c>
      <c r="AG256" s="2">
        <v>0</v>
      </c>
      <c r="AH256" s="2">
        <v>0</v>
      </c>
      <c r="AI256" s="2">
        <v>0</v>
      </c>
      <c r="AJ256" s="2">
        <v>0</v>
      </c>
      <c r="AK256" s="2">
        <v>0</v>
      </c>
      <c r="AL256" s="2">
        <v>0</v>
      </c>
      <c r="AM256" s="2">
        <v>34</v>
      </c>
      <c r="AN256" s="2">
        <v>34</v>
      </c>
      <c r="AO256" s="2">
        <v>0</v>
      </c>
      <c r="AP256" s="2">
        <v>0</v>
      </c>
      <c r="AQ256" s="2">
        <v>0</v>
      </c>
    </row>
    <row r="257" spans="1:43" x14ac:dyDescent="0.25">
      <c r="A257" s="1">
        <v>45936</v>
      </c>
      <c r="B257" t="s">
        <v>48</v>
      </c>
      <c r="C257">
        <v>649163</v>
      </c>
      <c r="D257">
        <v>2027712447</v>
      </c>
      <c r="E257" t="s">
        <v>520</v>
      </c>
      <c r="F257" t="s">
        <v>482</v>
      </c>
      <c r="G257" t="s">
        <v>51</v>
      </c>
      <c r="H257" t="s">
        <v>101</v>
      </c>
      <c r="I257" t="s">
        <v>467</v>
      </c>
      <c r="J257" t="s">
        <v>493</v>
      </c>
      <c r="K257">
        <v>768887</v>
      </c>
      <c r="L257" t="s">
        <v>490</v>
      </c>
      <c r="M257" t="s">
        <v>491</v>
      </c>
      <c r="N257" t="s">
        <v>57</v>
      </c>
      <c r="O257" s="1">
        <v>45748</v>
      </c>
      <c r="Q257" s="1">
        <v>45962</v>
      </c>
      <c r="R257" s="2">
        <v>132.22</v>
      </c>
      <c r="S257">
        <v>1</v>
      </c>
      <c r="T257" t="s">
        <v>58</v>
      </c>
      <c r="U257" t="s">
        <v>359</v>
      </c>
      <c r="V257" s="3">
        <v>0.26</v>
      </c>
      <c r="W257" s="2">
        <v>0</v>
      </c>
      <c r="X257">
        <v>0</v>
      </c>
      <c r="Y257" t="s">
        <v>60</v>
      </c>
      <c r="Z257" t="s">
        <v>360</v>
      </c>
      <c r="AA257">
        <v>0</v>
      </c>
      <c r="AB257" s="2">
        <v>0</v>
      </c>
      <c r="AC257" s="2">
        <v>0</v>
      </c>
      <c r="AD257" s="3">
        <v>0</v>
      </c>
      <c r="AE257" s="2">
        <v>0</v>
      </c>
      <c r="AF257" s="2">
        <v>0</v>
      </c>
      <c r="AG257" s="2">
        <v>0</v>
      </c>
      <c r="AH257" s="2">
        <v>0</v>
      </c>
      <c r="AI257" s="2">
        <v>0</v>
      </c>
      <c r="AJ257" s="2">
        <v>0</v>
      </c>
      <c r="AK257" s="2">
        <v>0</v>
      </c>
      <c r="AL257" s="2">
        <v>0</v>
      </c>
      <c r="AM257" s="2">
        <v>34.380000000000003</v>
      </c>
      <c r="AN257" s="2">
        <v>34.380000000000003</v>
      </c>
      <c r="AO257" s="2">
        <v>0</v>
      </c>
      <c r="AP257" s="2">
        <v>0</v>
      </c>
      <c r="AQ257" s="2">
        <v>0</v>
      </c>
    </row>
    <row r="258" spans="1:43" x14ac:dyDescent="0.25">
      <c r="A258" s="1">
        <v>45936</v>
      </c>
      <c r="B258" t="s">
        <v>48</v>
      </c>
      <c r="C258">
        <v>649163</v>
      </c>
      <c r="D258">
        <v>2027889499</v>
      </c>
      <c r="E258" t="s">
        <v>521</v>
      </c>
      <c r="F258" t="s">
        <v>522</v>
      </c>
      <c r="G258" t="s">
        <v>51</v>
      </c>
      <c r="H258" t="s">
        <v>101</v>
      </c>
      <c r="I258" t="s">
        <v>467</v>
      </c>
      <c r="J258" t="s">
        <v>493</v>
      </c>
      <c r="K258">
        <v>768887</v>
      </c>
      <c r="L258" t="s">
        <v>490</v>
      </c>
      <c r="M258" t="s">
        <v>491</v>
      </c>
      <c r="N258" t="s">
        <v>57</v>
      </c>
      <c r="O258" s="1">
        <v>45748</v>
      </c>
      <c r="Q258" s="1">
        <v>45962</v>
      </c>
      <c r="R258" s="2">
        <v>132.22</v>
      </c>
      <c r="S258">
        <v>1</v>
      </c>
      <c r="T258" t="s">
        <v>58</v>
      </c>
      <c r="U258" t="s">
        <v>359</v>
      </c>
      <c r="V258" s="3">
        <v>0.26</v>
      </c>
      <c r="W258" s="2">
        <v>0</v>
      </c>
      <c r="X258">
        <v>0</v>
      </c>
      <c r="Y258" t="s">
        <v>60</v>
      </c>
      <c r="Z258" t="s">
        <v>360</v>
      </c>
      <c r="AA258">
        <v>0</v>
      </c>
      <c r="AB258" s="2">
        <v>0</v>
      </c>
      <c r="AC258" s="2">
        <v>0</v>
      </c>
      <c r="AD258" s="3">
        <v>0</v>
      </c>
      <c r="AE258" s="2">
        <v>0</v>
      </c>
      <c r="AF258" s="2">
        <v>0</v>
      </c>
      <c r="AG258" s="2">
        <v>0</v>
      </c>
      <c r="AH258" s="2">
        <v>0</v>
      </c>
      <c r="AI258" s="2">
        <v>0</v>
      </c>
      <c r="AJ258" s="2">
        <v>0</v>
      </c>
      <c r="AK258" s="2">
        <v>0</v>
      </c>
      <c r="AL258" s="2">
        <v>0</v>
      </c>
      <c r="AM258" s="2">
        <v>34.380000000000003</v>
      </c>
      <c r="AN258" s="2">
        <v>34.380000000000003</v>
      </c>
      <c r="AO258" s="2">
        <v>0</v>
      </c>
      <c r="AP258" s="2">
        <v>0</v>
      </c>
      <c r="AQ258" s="2">
        <v>0</v>
      </c>
    </row>
    <row r="259" spans="1:43" x14ac:dyDescent="0.25">
      <c r="A259" s="1">
        <v>45936</v>
      </c>
      <c r="B259" t="s">
        <v>48</v>
      </c>
      <c r="C259">
        <v>649163</v>
      </c>
      <c r="D259">
        <v>2027922845</v>
      </c>
      <c r="E259" t="s">
        <v>523</v>
      </c>
      <c r="F259" t="s">
        <v>524</v>
      </c>
      <c r="G259" t="s">
        <v>51</v>
      </c>
      <c r="H259" t="s">
        <v>101</v>
      </c>
      <c r="I259" t="s">
        <v>467</v>
      </c>
      <c r="J259" t="s">
        <v>493</v>
      </c>
      <c r="K259">
        <v>768887</v>
      </c>
      <c r="L259" t="s">
        <v>490</v>
      </c>
      <c r="M259" t="s">
        <v>491</v>
      </c>
      <c r="N259" t="s">
        <v>57</v>
      </c>
      <c r="O259" s="1">
        <v>45748</v>
      </c>
      <c r="Q259" s="1">
        <v>45962</v>
      </c>
      <c r="R259" s="2">
        <v>123.21</v>
      </c>
      <c r="S259">
        <v>1</v>
      </c>
      <c r="T259" t="s">
        <v>58</v>
      </c>
      <c r="U259" t="s">
        <v>359</v>
      </c>
      <c r="V259" s="3">
        <v>0.26</v>
      </c>
      <c r="W259" s="2">
        <v>0</v>
      </c>
      <c r="X259">
        <v>0</v>
      </c>
      <c r="Y259" t="s">
        <v>60</v>
      </c>
      <c r="Z259" t="s">
        <v>360</v>
      </c>
      <c r="AA259">
        <v>0</v>
      </c>
      <c r="AB259" s="2">
        <v>0</v>
      </c>
      <c r="AC259" s="2">
        <v>0</v>
      </c>
      <c r="AD259" s="3">
        <v>0</v>
      </c>
      <c r="AE259" s="2">
        <v>0</v>
      </c>
      <c r="AF259" s="2">
        <v>0</v>
      </c>
      <c r="AG259" s="2">
        <v>0</v>
      </c>
      <c r="AH259" s="2">
        <v>0</v>
      </c>
      <c r="AI259" s="2">
        <v>0</v>
      </c>
      <c r="AJ259" s="2">
        <v>0</v>
      </c>
      <c r="AK259" s="2">
        <v>0</v>
      </c>
      <c r="AL259" s="2">
        <v>0</v>
      </c>
      <c r="AM259" s="2">
        <v>32.03</v>
      </c>
      <c r="AN259" s="2">
        <v>32.03</v>
      </c>
      <c r="AO259" s="2">
        <v>0</v>
      </c>
      <c r="AP259" s="2">
        <v>0</v>
      </c>
      <c r="AQ259" s="2">
        <v>0</v>
      </c>
    </row>
    <row r="260" spans="1:43" x14ac:dyDescent="0.25">
      <c r="A260" s="1">
        <v>45936</v>
      </c>
      <c r="B260" t="s">
        <v>48</v>
      </c>
      <c r="C260">
        <v>649163</v>
      </c>
      <c r="D260">
        <v>2027922860</v>
      </c>
      <c r="E260" t="s">
        <v>523</v>
      </c>
      <c r="F260" t="s">
        <v>220</v>
      </c>
      <c r="G260" t="s">
        <v>51</v>
      </c>
      <c r="H260" t="s">
        <v>101</v>
      </c>
      <c r="I260" t="s">
        <v>467</v>
      </c>
      <c r="J260" t="s">
        <v>493</v>
      </c>
      <c r="K260">
        <v>768887</v>
      </c>
      <c r="L260" t="s">
        <v>490</v>
      </c>
      <c r="M260" t="s">
        <v>491</v>
      </c>
      <c r="N260" t="s">
        <v>57</v>
      </c>
      <c r="O260" s="1">
        <v>45748</v>
      </c>
      <c r="Q260" s="1">
        <v>45962</v>
      </c>
      <c r="R260" s="2">
        <v>139.18</v>
      </c>
      <c r="S260">
        <v>1</v>
      </c>
      <c r="T260" t="s">
        <v>58</v>
      </c>
      <c r="U260" t="s">
        <v>359</v>
      </c>
      <c r="V260" s="3">
        <v>0.26</v>
      </c>
      <c r="W260" s="2">
        <v>0</v>
      </c>
      <c r="X260">
        <v>0</v>
      </c>
      <c r="Y260" t="s">
        <v>60</v>
      </c>
      <c r="Z260" t="s">
        <v>360</v>
      </c>
      <c r="AA260">
        <v>0</v>
      </c>
      <c r="AB260" s="2">
        <v>0</v>
      </c>
      <c r="AC260" s="2">
        <v>0</v>
      </c>
      <c r="AD260" s="3">
        <v>0</v>
      </c>
      <c r="AE260" s="2">
        <v>0</v>
      </c>
      <c r="AF260" s="2">
        <v>0</v>
      </c>
      <c r="AG260" s="2">
        <v>0</v>
      </c>
      <c r="AH260" s="2">
        <v>0</v>
      </c>
      <c r="AI260" s="2">
        <v>0</v>
      </c>
      <c r="AJ260" s="2">
        <v>0</v>
      </c>
      <c r="AK260" s="2">
        <v>0</v>
      </c>
      <c r="AL260" s="2">
        <v>0</v>
      </c>
      <c r="AM260" s="2">
        <v>36.19</v>
      </c>
      <c r="AN260" s="2">
        <v>36.19</v>
      </c>
      <c r="AO260" s="2">
        <v>0</v>
      </c>
      <c r="AP260" s="2">
        <v>0</v>
      </c>
      <c r="AQ260" s="2">
        <v>0</v>
      </c>
    </row>
    <row r="261" spans="1:43" x14ac:dyDescent="0.25">
      <c r="A261" s="1">
        <v>45936</v>
      </c>
      <c r="B261" t="s">
        <v>48</v>
      </c>
      <c r="C261">
        <v>649163</v>
      </c>
      <c r="D261">
        <v>2027922888</v>
      </c>
      <c r="E261" t="s">
        <v>521</v>
      </c>
      <c r="F261" t="s">
        <v>525</v>
      </c>
      <c r="G261" t="s">
        <v>51</v>
      </c>
      <c r="H261" t="s">
        <v>101</v>
      </c>
      <c r="I261" t="s">
        <v>467</v>
      </c>
      <c r="J261" t="s">
        <v>493</v>
      </c>
      <c r="K261">
        <v>768887</v>
      </c>
      <c r="L261" t="s">
        <v>490</v>
      </c>
      <c r="M261" t="s">
        <v>491</v>
      </c>
      <c r="N261" t="s">
        <v>57</v>
      </c>
      <c r="O261" s="1">
        <v>45748</v>
      </c>
      <c r="Q261" s="1">
        <v>45962</v>
      </c>
      <c r="R261" s="2">
        <v>117.05</v>
      </c>
      <c r="S261">
        <v>1</v>
      </c>
      <c r="T261" t="s">
        <v>58</v>
      </c>
      <c r="U261" t="s">
        <v>359</v>
      </c>
      <c r="V261" s="3">
        <v>0.26</v>
      </c>
      <c r="W261" s="2">
        <v>0</v>
      </c>
      <c r="X261">
        <v>0</v>
      </c>
      <c r="Y261" t="s">
        <v>60</v>
      </c>
      <c r="Z261" t="s">
        <v>360</v>
      </c>
      <c r="AA261">
        <v>0</v>
      </c>
      <c r="AB261" s="2">
        <v>0</v>
      </c>
      <c r="AC261" s="2">
        <v>0</v>
      </c>
      <c r="AD261" s="3">
        <v>0</v>
      </c>
      <c r="AE261" s="2">
        <v>0</v>
      </c>
      <c r="AF261" s="2">
        <v>0</v>
      </c>
      <c r="AG261" s="2">
        <v>0</v>
      </c>
      <c r="AH261" s="2">
        <v>0</v>
      </c>
      <c r="AI261" s="2">
        <v>0</v>
      </c>
      <c r="AJ261" s="2">
        <v>0</v>
      </c>
      <c r="AK261" s="2">
        <v>0</v>
      </c>
      <c r="AL261" s="2">
        <v>0</v>
      </c>
      <c r="AM261" s="2">
        <v>30.43</v>
      </c>
      <c r="AN261" s="2">
        <v>30.43</v>
      </c>
      <c r="AO261" s="2">
        <v>0</v>
      </c>
      <c r="AP261" s="2">
        <v>0</v>
      </c>
      <c r="AQ261" s="2">
        <v>0</v>
      </c>
    </row>
    <row r="262" spans="1:43" x14ac:dyDescent="0.25">
      <c r="A262" s="1">
        <v>45936</v>
      </c>
      <c r="B262" t="s">
        <v>48</v>
      </c>
      <c r="D262">
        <v>2028000460</v>
      </c>
      <c r="E262" t="s">
        <v>526</v>
      </c>
      <c r="F262" t="s">
        <v>527</v>
      </c>
      <c r="G262" t="s">
        <v>51</v>
      </c>
      <c r="H262" t="s">
        <v>101</v>
      </c>
      <c r="I262" t="s">
        <v>467</v>
      </c>
      <c r="J262" t="s">
        <v>528</v>
      </c>
      <c r="L262" t="s">
        <v>134</v>
      </c>
      <c r="M262" t="s">
        <v>135</v>
      </c>
      <c r="N262" t="s">
        <v>57</v>
      </c>
      <c r="O262" s="1">
        <v>45748</v>
      </c>
      <c r="Q262" s="1">
        <v>45962</v>
      </c>
      <c r="R262" s="2">
        <v>114.69</v>
      </c>
      <c r="S262">
        <v>1</v>
      </c>
      <c r="T262" t="s">
        <v>58</v>
      </c>
      <c r="U262" t="s">
        <v>359</v>
      </c>
      <c r="V262" s="3">
        <v>0.28000000000000003</v>
      </c>
      <c r="W262" s="2">
        <v>0</v>
      </c>
      <c r="X262">
        <v>0</v>
      </c>
      <c r="Y262" t="s">
        <v>60</v>
      </c>
      <c r="Z262" t="s">
        <v>360</v>
      </c>
      <c r="AA262">
        <v>0</v>
      </c>
      <c r="AB262" s="2">
        <v>0</v>
      </c>
      <c r="AC262" s="2">
        <v>0</v>
      </c>
      <c r="AD262" s="3">
        <v>0</v>
      </c>
      <c r="AE262" s="2">
        <v>0</v>
      </c>
      <c r="AF262" s="2">
        <v>0</v>
      </c>
      <c r="AG262" s="2">
        <v>0</v>
      </c>
      <c r="AH262" s="2">
        <v>0</v>
      </c>
      <c r="AI262" s="2">
        <v>0</v>
      </c>
      <c r="AJ262" s="2">
        <v>0</v>
      </c>
      <c r="AK262" s="2">
        <v>0</v>
      </c>
      <c r="AL262" s="2">
        <v>0</v>
      </c>
      <c r="AM262" s="2">
        <v>32.11</v>
      </c>
      <c r="AN262" s="2">
        <v>32.11</v>
      </c>
      <c r="AO262" s="2">
        <v>0</v>
      </c>
      <c r="AP262" s="2">
        <v>0</v>
      </c>
      <c r="AQ262" s="2">
        <v>0</v>
      </c>
    </row>
    <row r="263" spans="1:43" x14ac:dyDescent="0.25">
      <c r="A263" s="1">
        <v>45936</v>
      </c>
      <c r="B263" t="s">
        <v>48</v>
      </c>
      <c r="C263">
        <v>649163</v>
      </c>
      <c r="D263">
        <v>2028166815</v>
      </c>
      <c r="E263" t="s">
        <v>529</v>
      </c>
      <c r="F263" t="s">
        <v>530</v>
      </c>
      <c r="G263" t="s">
        <v>51</v>
      </c>
      <c r="H263" t="s">
        <v>101</v>
      </c>
      <c r="I263" t="s">
        <v>467</v>
      </c>
      <c r="J263" t="s">
        <v>528</v>
      </c>
      <c r="K263">
        <v>820873</v>
      </c>
      <c r="L263" t="s">
        <v>134</v>
      </c>
      <c r="M263" t="s">
        <v>135</v>
      </c>
      <c r="N263" t="s">
        <v>57</v>
      </c>
      <c r="O263" s="1">
        <v>45778</v>
      </c>
      <c r="Q263" s="1">
        <v>45962</v>
      </c>
      <c r="R263" s="2">
        <v>106.67</v>
      </c>
      <c r="S263">
        <v>1</v>
      </c>
      <c r="T263" t="s">
        <v>58</v>
      </c>
      <c r="U263" t="s">
        <v>359</v>
      </c>
      <c r="V263" s="3">
        <v>0.28000000000000003</v>
      </c>
      <c r="W263" s="2">
        <v>0</v>
      </c>
      <c r="X263">
        <v>0</v>
      </c>
      <c r="Y263" t="s">
        <v>60</v>
      </c>
      <c r="Z263" t="s">
        <v>360</v>
      </c>
      <c r="AA263">
        <v>0</v>
      </c>
      <c r="AB263" s="2">
        <v>0</v>
      </c>
      <c r="AC263" s="2">
        <v>0</v>
      </c>
      <c r="AD263" s="3">
        <v>0</v>
      </c>
      <c r="AE263" s="2">
        <v>0</v>
      </c>
      <c r="AF263" s="2">
        <v>0</v>
      </c>
      <c r="AG263" s="2">
        <v>0</v>
      </c>
      <c r="AH263" s="2">
        <v>0</v>
      </c>
      <c r="AI263" s="2">
        <v>0</v>
      </c>
      <c r="AJ263" s="2">
        <v>0</v>
      </c>
      <c r="AK263" s="2">
        <v>0</v>
      </c>
      <c r="AL263" s="2">
        <v>0</v>
      </c>
      <c r="AM263" s="2">
        <v>29.87</v>
      </c>
      <c r="AN263" s="2">
        <v>29.87</v>
      </c>
      <c r="AO263" s="2">
        <v>0</v>
      </c>
      <c r="AP263" s="2">
        <v>0</v>
      </c>
      <c r="AQ263" s="2">
        <v>0</v>
      </c>
    </row>
    <row r="264" spans="1:43" x14ac:dyDescent="0.25">
      <c r="A264" s="1">
        <v>45936</v>
      </c>
      <c r="B264" t="s">
        <v>48</v>
      </c>
      <c r="C264">
        <v>649163</v>
      </c>
      <c r="D264">
        <v>2028361729</v>
      </c>
      <c r="E264" t="s">
        <v>531</v>
      </c>
      <c r="F264" t="s">
        <v>476</v>
      </c>
      <c r="G264" t="s">
        <v>51</v>
      </c>
      <c r="H264" t="s">
        <v>101</v>
      </c>
      <c r="I264" t="s">
        <v>467</v>
      </c>
      <c r="J264" t="s">
        <v>528</v>
      </c>
      <c r="K264">
        <v>820873</v>
      </c>
      <c r="L264" t="s">
        <v>134</v>
      </c>
      <c r="M264" t="s">
        <v>135</v>
      </c>
      <c r="N264" t="s">
        <v>57</v>
      </c>
      <c r="O264" s="1">
        <v>45778</v>
      </c>
      <c r="Q264" s="1">
        <v>45962</v>
      </c>
      <c r="R264" s="2">
        <v>112.21</v>
      </c>
      <c r="S264">
        <v>1</v>
      </c>
      <c r="T264" t="s">
        <v>58</v>
      </c>
      <c r="U264" t="s">
        <v>359</v>
      </c>
      <c r="V264" s="3">
        <v>0.28000000000000003</v>
      </c>
      <c r="W264" s="2">
        <v>0</v>
      </c>
      <c r="X264">
        <v>0</v>
      </c>
      <c r="Y264" t="s">
        <v>60</v>
      </c>
      <c r="Z264" t="s">
        <v>360</v>
      </c>
      <c r="AA264">
        <v>0</v>
      </c>
      <c r="AB264" s="2">
        <v>0</v>
      </c>
      <c r="AC264" s="2">
        <v>0</v>
      </c>
      <c r="AD264" s="3">
        <v>0</v>
      </c>
      <c r="AE264" s="2">
        <v>0</v>
      </c>
      <c r="AF264" s="2">
        <v>0</v>
      </c>
      <c r="AG264" s="2">
        <v>0</v>
      </c>
      <c r="AH264" s="2">
        <v>0</v>
      </c>
      <c r="AI264" s="2">
        <v>0</v>
      </c>
      <c r="AJ264" s="2">
        <v>0</v>
      </c>
      <c r="AK264" s="2">
        <v>0</v>
      </c>
      <c r="AL264" s="2">
        <v>0</v>
      </c>
      <c r="AM264" s="2">
        <v>31.42</v>
      </c>
      <c r="AN264" s="2">
        <v>31.42</v>
      </c>
      <c r="AO264" s="2">
        <v>0</v>
      </c>
      <c r="AP264" s="2">
        <v>0</v>
      </c>
      <c r="AQ264" s="2">
        <v>0</v>
      </c>
    </row>
    <row r="265" spans="1:43" x14ac:dyDescent="0.25">
      <c r="A265" s="1">
        <v>45936</v>
      </c>
      <c r="B265" t="s">
        <v>48</v>
      </c>
      <c r="C265">
        <v>649163</v>
      </c>
      <c r="D265">
        <v>2028422101</v>
      </c>
      <c r="E265" t="s">
        <v>531</v>
      </c>
      <c r="F265" t="s">
        <v>532</v>
      </c>
      <c r="G265" t="s">
        <v>51</v>
      </c>
      <c r="H265" t="s">
        <v>101</v>
      </c>
      <c r="I265" t="s">
        <v>467</v>
      </c>
      <c r="J265" t="s">
        <v>528</v>
      </c>
      <c r="K265">
        <v>820873</v>
      </c>
      <c r="L265" t="s">
        <v>134</v>
      </c>
      <c r="M265" t="s">
        <v>135</v>
      </c>
      <c r="N265" t="s">
        <v>57</v>
      </c>
      <c r="O265" s="1">
        <v>45778</v>
      </c>
      <c r="Q265" s="1">
        <v>45962</v>
      </c>
      <c r="R265" s="2">
        <v>143.93</v>
      </c>
      <c r="S265">
        <v>1</v>
      </c>
      <c r="T265" t="s">
        <v>58</v>
      </c>
      <c r="U265" t="s">
        <v>359</v>
      </c>
      <c r="V265" s="3">
        <v>0.28000000000000003</v>
      </c>
      <c r="W265" s="2">
        <v>0</v>
      </c>
      <c r="X265">
        <v>0</v>
      </c>
      <c r="Y265" t="s">
        <v>60</v>
      </c>
      <c r="Z265" t="s">
        <v>360</v>
      </c>
      <c r="AA265">
        <v>0</v>
      </c>
      <c r="AB265" s="2">
        <v>0</v>
      </c>
      <c r="AC265" s="2">
        <v>0</v>
      </c>
      <c r="AD265" s="3">
        <v>0</v>
      </c>
      <c r="AE265" s="2">
        <v>0</v>
      </c>
      <c r="AF265" s="2">
        <v>0</v>
      </c>
      <c r="AG265" s="2">
        <v>0</v>
      </c>
      <c r="AH265" s="2">
        <v>0</v>
      </c>
      <c r="AI265" s="2">
        <v>0</v>
      </c>
      <c r="AJ265" s="2">
        <v>0</v>
      </c>
      <c r="AK265" s="2">
        <v>0</v>
      </c>
      <c r="AL265" s="2">
        <v>0</v>
      </c>
      <c r="AM265" s="2">
        <v>40.299999999999997</v>
      </c>
      <c r="AN265" s="2">
        <v>40.299999999999997</v>
      </c>
      <c r="AO265" s="2">
        <v>0</v>
      </c>
      <c r="AP265" s="2">
        <v>0</v>
      </c>
      <c r="AQ265" s="2">
        <v>0</v>
      </c>
    </row>
    <row r="266" spans="1:43" x14ac:dyDescent="0.25">
      <c r="A266" s="1">
        <v>45936</v>
      </c>
      <c r="B266" t="s">
        <v>48</v>
      </c>
      <c r="C266">
        <v>649163</v>
      </c>
      <c r="D266">
        <v>2028643639</v>
      </c>
      <c r="E266" t="s">
        <v>533</v>
      </c>
      <c r="F266" t="s">
        <v>259</v>
      </c>
      <c r="G266" t="s">
        <v>51</v>
      </c>
      <c r="H266" t="s">
        <v>70</v>
      </c>
      <c r="I266" t="s">
        <v>467</v>
      </c>
      <c r="J266" t="s">
        <v>471</v>
      </c>
      <c r="K266">
        <v>649285</v>
      </c>
      <c r="L266" t="s">
        <v>479</v>
      </c>
      <c r="M266" t="s">
        <v>480</v>
      </c>
      <c r="N266" t="s">
        <v>57</v>
      </c>
      <c r="O266" s="1">
        <v>45809</v>
      </c>
      <c r="Q266" s="1">
        <v>45962</v>
      </c>
      <c r="R266" s="2">
        <v>108.21</v>
      </c>
      <c r="S266">
        <v>1</v>
      </c>
      <c r="T266" t="s">
        <v>58</v>
      </c>
      <c r="U266" t="s">
        <v>359</v>
      </c>
      <c r="V266" s="3">
        <v>0.04</v>
      </c>
      <c r="W266" s="2">
        <v>0</v>
      </c>
      <c r="X266">
        <v>0</v>
      </c>
      <c r="Y266" t="s">
        <v>60</v>
      </c>
      <c r="Z266" t="s">
        <v>360</v>
      </c>
      <c r="AA266">
        <v>0</v>
      </c>
      <c r="AB266" s="2">
        <v>0</v>
      </c>
      <c r="AC266" s="2">
        <v>0</v>
      </c>
      <c r="AD266" s="3">
        <v>0</v>
      </c>
      <c r="AE266" s="2">
        <v>0</v>
      </c>
      <c r="AF266" s="2">
        <v>0</v>
      </c>
      <c r="AG266" s="2">
        <v>0</v>
      </c>
      <c r="AH266" s="2">
        <v>0</v>
      </c>
      <c r="AI266" s="2">
        <v>0</v>
      </c>
      <c r="AJ266" s="2">
        <v>0</v>
      </c>
      <c r="AK266" s="2">
        <v>0</v>
      </c>
      <c r="AL266" s="2">
        <v>0</v>
      </c>
      <c r="AM266" s="2">
        <v>4.33</v>
      </c>
      <c r="AN266" s="2">
        <v>4.33</v>
      </c>
      <c r="AO266" s="2">
        <v>0</v>
      </c>
      <c r="AP266" s="2">
        <v>0</v>
      </c>
      <c r="AQ266" s="2">
        <v>0</v>
      </c>
    </row>
    <row r="267" spans="1:43" x14ac:dyDescent="0.25">
      <c r="A267" s="1">
        <v>45936</v>
      </c>
      <c r="B267" t="s">
        <v>48</v>
      </c>
      <c r="C267">
        <v>649163</v>
      </c>
      <c r="D267">
        <v>2016705959</v>
      </c>
      <c r="E267" t="s">
        <v>534</v>
      </c>
      <c r="F267" t="s">
        <v>535</v>
      </c>
      <c r="G267" t="s">
        <v>51</v>
      </c>
      <c r="H267" t="s">
        <v>88</v>
      </c>
      <c r="I267" t="s">
        <v>292</v>
      </c>
      <c r="J267" t="s">
        <v>536</v>
      </c>
      <c r="K267">
        <v>649793</v>
      </c>
      <c r="L267" t="s">
        <v>80</v>
      </c>
      <c r="M267" t="s">
        <v>537</v>
      </c>
      <c r="N267" t="s">
        <v>57</v>
      </c>
      <c r="O267" s="1">
        <v>44927</v>
      </c>
      <c r="Q267" s="1">
        <v>45962</v>
      </c>
      <c r="R267" s="2">
        <v>25.73</v>
      </c>
      <c r="S267">
        <v>1</v>
      </c>
      <c r="T267" t="s">
        <v>58</v>
      </c>
      <c r="U267" t="s">
        <v>359</v>
      </c>
      <c r="V267" s="3">
        <v>0.15</v>
      </c>
      <c r="W267" s="2">
        <v>0</v>
      </c>
      <c r="X267">
        <v>0</v>
      </c>
      <c r="Y267" t="s">
        <v>214</v>
      </c>
      <c r="Z267" t="s">
        <v>360</v>
      </c>
      <c r="AA267">
        <v>0</v>
      </c>
      <c r="AB267" s="2">
        <v>0</v>
      </c>
      <c r="AC267" s="2">
        <v>0</v>
      </c>
      <c r="AD267" s="3">
        <v>0</v>
      </c>
      <c r="AE267" s="2">
        <v>0</v>
      </c>
      <c r="AF267" s="2">
        <v>0</v>
      </c>
      <c r="AG267" s="2">
        <v>0</v>
      </c>
      <c r="AH267" s="2">
        <v>0</v>
      </c>
      <c r="AI267" s="2">
        <v>0</v>
      </c>
      <c r="AJ267" s="2">
        <v>0</v>
      </c>
      <c r="AK267" s="2">
        <v>0</v>
      </c>
      <c r="AL267" s="2">
        <v>0</v>
      </c>
      <c r="AM267" s="2">
        <v>3.86</v>
      </c>
      <c r="AN267" s="2">
        <v>3.86</v>
      </c>
      <c r="AO267" s="2">
        <v>0</v>
      </c>
      <c r="AP267" s="2">
        <v>0</v>
      </c>
      <c r="AQ267" s="2">
        <v>0</v>
      </c>
    </row>
    <row r="268" spans="1:43" x14ac:dyDescent="0.25">
      <c r="A268" s="1">
        <v>45936</v>
      </c>
      <c r="B268" t="s">
        <v>48</v>
      </c>
      <c r="C268">
        <v>649163</v>
      </c>
      <c r="D268">
        <v>2016794187</v>
      </c>
      <c r="E268" t="s">
        <v>538</v>
      </c>
      <c r="F268" t="s">
        <v>539</v>
      </c>
      <c r="G268" t="s">
        <v>51</v>
      </c>
      <c r="H268" t="s">
        <v>247</v>
      </c>
      <c r="I268" t="s">
        <v>292</v>
      </c>
      <c r="J268" t="s">
        <v>536</v>
      </c>
      <c r="K268">
        <v>649793</v>
      </c>
      <c r="L268" t="s">
        <v>80</v>
      </c>
      <c r="M268" t="s">
        <v>537</v>
      </c>
      <c r="N268" t="s">
        <v>57</v>
      </c>
      <c r="O268" s="1">
        <v>44927</v>
      </c>
      <c r="Q268" s="1">
        <v>45962</v>
      </c>
      <c r="R268" s="2">
        <v>21.44</v>
      </c>
      <c r="S268">
        <v>1</v>
      </c>
      <c r="T268" t="s">
        <v>58</v>
      </c>
      <c r="U268" t="s">
        <v>359</v>
      </c>
      <c r="V268" s="3">
        <v>0.15</v>
      </c>
      <c r="W268" s="2">
        <v>0</v>
      </c>
      <c r="X268">
        <v>0</v>
      </c>
      <c r="Y268" t="s">
        <v>214</v>
      </c>
      <c r="Z268" t="s">
        <v>360</v>
      </c>
      <c r="AA268">
        <v>0</v>
      </c>
      <c r="AB268" s="2">
        <v>0</v>
      </c>
      <c r="AC268" s="2">
        <v>0</v>
      </c>
      <c r="AD268" s="3">
        <v>0</v>
      </c>
      <c r="AE268" s="2">
        <v>0</v>
      </c>
      <c r="AF268" s="2">
        <v>0</v>
      </c>
      <c r="AG268" s="2">
        <v>0</v>
      </c>
      <c r="AH268" s="2">
        <v>0</v>
      </c>
      <c r="AI268" s="2">
        <v>0</v>
      </c>
      <c r="AJ268" s="2">
        <v>0</v>
      </c>
      <c r="AK268" s="2">
        <v>0</v>
      </c>
      <c r="AL268" s="2">
        <v>0</v>
      </c>
      <c r="AM268" s="2">
        <v>3.22</v>
      </c>
      <c r="AN268" s="2">
        <v>3.22</v>
      </c>
      <c r="AO268" s="2">
        <v>0</v>
      </c>
      <c r="AP268" s="2">
        <v>0</v>
      </c>
      <c r="AQ268" s="2">
        <v>0</v>
      </c>
    </row>
    <row r="269" spans="1:43" x14ac:dyDescent="0.25">
      <c r="A269" s="1">
        <v>45936</v>
      </c>
      <c r="B269" t="s">
        <v>48</v>
      </c>
      <c r="C269">
        <v>649163</v>
      </c>
      <c r="D269">
        <v>2016814851</v>
      </c>
      <c r="E269" t="s">
        <v>540</v>
      </c>
      <c r="F269" t="s">
        <v>541</v>
      </c>
      <c r="G269" t="s">
        <v>51</v>
      </c>
      <c r="H269" t="s">
        <v>88</v>
      </c>
      <c r="I269" t="s">
        <v>292</v>
      </c>
      <c r="J269" t="s">
        <v>536</v>
      </c>
      <c r="K269">
        <v>649793</v>
      </c>
      <c r="L269" t="s">
        <v>80</v>
      </c>
      <c r="M269" t="s">
        <v>537</v>
      </c>
      <c r="N269" t="s">
        <v>57</v>
      </c>
      <c r="O269" s="1">
        <v>44927</v>
      </c>
      <c r="Q269" s="1">
        <v>45962</v>
      </c>
      <c r="R269" s="2">
        <v>25.73</v>
      </c>
      <c r="S269">
        <v>1</v>
      </c>
      <c r="T269" t="s">
        <v>58</v>
      </c>
      <c r="U269" t="s">
        <v>359</v>
      </c>
      <c r="V269" s="3">
        <v>0.15</v>
      </c>
      <c r="W269" s="2">
        <v>0</v>
      </c>
      <c r="X269">
        <v>0</v>
      </c>
      <c r="Y269" t="s">
        <v>214</v>
      </c>
      <c r="Z269" t="s">
        <v>360</v>
      </c>
      <c r="AA269">
        <v>0</v>
      </c>
      <c r="AB269" s="2">
        <v>0</v>
      </c>
      <c r="AC269" s="2">
        <v>0</v>
      </c>
      <c r="AD269" s="3">
        <v>0</v>
      </c>
      <c r="AE269" s="2">
        <v>0</v>
      </c>
      <c r="AF269" s="2">
        <v>0</v>
      </c>
      <c r="AG269" s="2">
        <v>0</v>
      </c>
      <c r="AH269" s="2">
        <v>0</v>
      </c>
      <c r="AI269" s="2">
        <v>0</v>
      </c>
      <c r="AJ269" s="2">
        <v>0</v>
      </c>
      <c r="AK269" s="2">
        <v>0</v>
      </c>
      <c r="AL269" s="2">
        <v>0</v>
      </c>
      <c r="AM269" s="2">
        <v>3.86</v>
      </c>
      <c r="AN269" s="2">
        <v>3.86</v>
      </c>
      <c r="AO269" s="2">
        <v>0</v>
      </c>
      <c r="AP269" s="2">
        <v>0</v>
      </c>
      <c r="AQ269" s="2">
        <v>0</v>
      </c>
    </row>
    <row r="270" spans="1:43" x14ac:dyDescent="0.25">
      <c r="A270" s="1">
        <v>45936</v>
      </c>
      <c r="B270" t="s">
        <v>48</v>
      </c>
      <c r="C270">
        <v>649163</v>
      </c>
      <c r="D270">
        <v>2017242800</v>
      </c>
      <c r="E270" t="s">
        <v>542</v>
      </c>
      <c r="F270" t="s">
        <v>543</v>
      </c>
      <c r="G270" t="s">
        <v>51</v>
      </c>
      <c r="H270" t="s">
        <v>88</v>
      </c>
      <c r="I270" t="s">
        <v>292</v>
      </c>
      <c r="J270" t="s">
        <v>536</v>
      </c>
      <c r="K270">
        <v>652037</v>
      </c>
      <c r="L270" t="s">
        <v>172</v>
      </c>
      <c r="M270" t="s">
        <v>173</v>
      </c>
      <c r="N270" t="s">
        <v>57</v>
      </c>
      <c r="O270" s="1">
        <v>44930</v>
      </c>
      <c r="Q270" s="1">
        <v>45965</v>
      </c>
      <c r="R270" s="2">
        <v>25.73</v>
      </c>
      <c r="S270">
        <v>1</v>
      </c>
      <c r="T270" t="s">
        <v>58</v>
      </c>
      <c r="U270" t="s">
        <v>359</v>
      </c>
      <c r="V270" s="3">
        <v>0.15</v>
      </c>
      <c r="W270" s="2">
        <v>0</v>
      </c>
      <c r="X270">
        <v>0</v>
      </c>
      <c r="Y270" t="s">
        <v>214</v>
      </c>
      <c r="Z270" t="s">
        <v>360</v>
      </c>
      <c r="AA270">
        <v>0</v>
      </c>
      <c r="AB270" s="2">
        <v>0</v>
      </c>
      <c r="AC270" s="2">
        <v>0</v>
      </c>
      <c r="AD270" s="3">
        <v>0</v>
      </c>
      <c r="AE270" s="2">
        <v>0</v>
      </c>
      <c r="AF270" s="2">
        <v>0</v>
      </c>
      <c r="AG270" s="2">
        <v>0</v>
      </c>
      <c r="AH270" s="2">
        <v>0</v>
      </c>
      <c r="AI270" s="2">
        <v>0</v>
      </c>
      <c r="AJ270" s="2">
        <v>0</v>
      </c>
      <c r="AK270" s="2">
        <v>0</v>
      </c>
      <c r="AL270" s="2">
        <v>0</v>
      </c>
      <c r="AM270" s="2">
        <v>3.86</v>
      </c>
      <c r="AN270" s="2">
        <v>3.86</v>
      </c>
      <c r="AO270" s="2">
        <v>0</v>
      </c>
      <c r="AP270" s="2">
        <v>0</v>
      </c>
      <c r="AQ270" s="2">
        <v>0</v>
      </c>
    </row>
    <row r="271" spans="1:43" x14ac:dyDescent="0.25">
      <c r="A271" s="1">
        <v>45936</v>
      </c>
      <c r="B271" t="s">
        <v>48</v>
      </c>
      <c r="C271">
        <v>649163</v>
      </c>
      <c r="D271">
        <v>2017242803</v>
      </c>
      <c r="E271" t="s">
        <v>542</v>
      </c>
      <c r="F271" t="s">
        <v>543</v>
      </c>
      <c r="G271" t="s">
        <v>51</v>
      </c>
      <c r="H271" t="s">
        <v>88</v>
      </c>
      <c r="I271" t="s">
        <v>292</v>
      </c>
      <c r="J271" t="s">
        <v>295</v>
      </c>
      <c r="K271">
        <v>652037</v>
      </c>
      <c r="L271" t="s">
        <v>172</v>
      </c>
      <c r="M271" t="s">
        <v>173</v>
      </c>
      <c r="N271" t="s">
        <v>57</v>
      </c>
      <c r="O271" s="1">
        <v>44930</v>
      </c>
      <c r="Q271" s="1">
        <v>45965</v>
      </c>
      <c r="R271" s="2">
        <v>51.63</v>
      </c>
      <c r="S271">
        <v>1</v>
      </c>
      <c r="T271" t="s">
        <v>58</v>
      </c>
      <c r="U271" t="s">
        <v>359</v>
      </c>
      <c r="V271" s="3">
        <v>0.1</v>
      </c>
      <c r="W271" s="2">
        <v>0</v>
      </c>
      <c r="X271">
        <v>0</v>
      </c>
      <c r="Y271" t="s">
        <v>214</v>
      </c>
      <c r="Z271" t="s">
        <v>360</v>
      </c>
      <c r="AA271">
        <v>0</v>
      </c>
      <c r="AB271" s="2">
        <v>0</v>
      </c>
      <c r="AC271" s="2">
        <v>0</v>
      </c>
      <c r="AD271" s="3">
        <v>0</v>
      </c>
      <c r="AE271" s="2">
        <v>0</v>
      </c>
      <c r="AF271" s="2">
        <v>0</v>
      </c>
      <c r="AG271" s="2">
        <v>0</v>
      </c>
      <c r="AH271" s="2">
        <v>0</v>
      </c>
      <c r="AI271" s="2">
        <v>0</v>
      </c>
      <c r="AJ271" s="2">
        <v>0</v>
      </c>
      <c r="AK271" s="2">
        <v>0</v>
      </c>
      <c r="AL271" s="2">
        <v>0</v>
      </c>
      <c r="AM271" s="2">
        <v>5.16</v>
      </c>
      <c r="AN271" s="2">
        <v>5.16</v>
      </c>
      <c r="AO271" s="2">
        <v>0</v>
      </c>
      <c r="AP271" s="2">
        <v>0</v>
      </c>
      <c r="AQ271" s="2">
        <v>0</v>
      </c>
    </row>
    <row r="272" spans="1:43" x14ac:dyDescent="0.25">
      <c r="A272" s="1">
        <v>45936</v>
      </c>
      <c r="B272" t="s">
        <v>48</v>
      </c>
      <c r="C272">
        <v>649163</v>
      </c>
      <c r="D272">
        <v>2017534892</v>
      </c>
      <c r="E272" t="s">
        <v>544</v>
      </c>
      <c r="F272" t="s">
        <v>371</v>
      </c>
      <c r="G272" t="s">
        <v>51</v>
      </c>
      <c r="H272" t="s">
        <v>247</v>
      </c>
      <c r="I272" t="s">
        <v>292</v>
      </c>
      <c r="J272" t="s">
        <v>536</v>
      </c>
      <c r="K272">
        <v>649793</v>
      </c>
      <c r="L272" t="s">
        <v>80</v>
      </c>
      <c r="M272" t="s">
        <v>537</v>
      </c>
      <c r="N272" t="s">
        <v>57</v>
      </c>
      <c r="O272" s="1">
        <v>44986</v>
      </c>
      <c r="Q272" s="1">
        <v>45962</v>
      </c>
      <c r="R272" s="2">
        <v>42.88</v>
      </c>
      <c r="S272">
        <v>1</v>
      </c>
      <c r="T272" t="s">
        <v>58</v>
      </c>
      <c r="U272" t="s">
        <v>359</v>
      </c>
      <c r="V272" s="3">
        <v>0.15</v>
      </c>
      <c r="W272" s="2">
        <v>0</v>
      </c>
      <c r="X272">
        <v>0</v>
      </c>
      <c r="Y272" t="s">
        <v>214</v>
      </c>
      <c r="Z272" t="s">
        <v>360</v>
      </c>
      <c r="AA272">
        <v>0</v>
      </c>
      <c r="AB272" s="2">
        <v>0</v>
      </c>
      <c r="AC272" s="2">
        <v>0</v>
      </c>
      <c r="AD272" s="3">
        <v>0</v>
      </c>
      <c r="AE272" s="2">
        <v>0</v>
      </c>
      <c r="AF272" s="2">
        <v>0</v>
      </c>
      <c r="AG272" s="2">
        <v>0</v>
      </c>
      <c r="AH272" s="2">
        <v>0</v>
      </c>
      <c r="AI272" s="2">
        <v>0</v>
      </c>
      <c r="AJ272" s="2">
        <v>0</v>
      </c>
      <c r="AK272" s="2">
        <v>0</v>
      </c>
      <c r="AL272" s="2">
        <v>0</v>
      </c>
      <c r="AM272" s="2">
        <v>6.43</v>
      </c>
      <c r="AN272" s="2">
        <v>6.43</v>
      </c>
      <c r="AO272" s="2">
        <v>0</v>
      </c>
      <c r="AP272" s="2">
        <v>0</v>
      </c>
      <c r="AQ272" s="2">
        <v>0</v>
      </c>
    </row>
    <row r="273" spans="1:43" x14ac:dyDescent="0.25">
      <c r="A273" s="1">
        <v>45936</v>
      </c>
      <c r="B273" t="s">
        <v>48</v>
      </c>
      <c r="C273">
        <v>649163</v>
      </c>
      <c r="D273">
        <v>2017585588</v>
      </c>
      <c r="E273" t="s">
        <v>545</v>
      </c>
      <c r="F273" t="s">
        <v>478</v>
      </c>
      <c r="G273" t="s">
        <v>51</v>
      </c>
      <c r="H273" t="s">
        <v>323</v>
      </c>
      <c r="I273" t="s">
        <v>292</v>
      </c>
      <c r="J273" t="s">
        <v>293</v>
      </c>
      <c r="K273">
        <v>649793</v>
      </c>
      <c r="L273" t="s">
        <v>80</v>
      </c>
      <c r="M273" t="s">
        <v>537</v>
      </c>
      <c r="N273" t="s">
        <v>57</v>
      </c>
      <c r="O273" s="1">
        <v>44986</v>
      </c>
      <c r="Q273" s="1">
        <v>45962</v>
      </c>
      <c r="R273" s="2">
        <v>26.82</v>
      </c>
      <c r="S273">
        <v>1</v>
      </c>
      <c r="T273" t="s">
        <v>58</v>
      </c>
      <c r="U273" t="s">
        <v>359</v>
      </c>
      <c r="V273" s="3">
        <v>0.15</v>
      </c>
      <c r="W273" s="2">
        <v>0</v>
      </c>
      <c r="X273">
        <v>0</v>
      </c>
      <c r="Y273" t="s">
        <v>214</v>
      </c>
      <c r="Z273" t="s">
        <v>360</v>
      </c>
      <c r="AA273">
        <v>0</v>
      </c>
      <c r="AB273" s="2">
        <v>0</v>
      </c>
      <c r="AC273" s="2">
        <v>0</v>
      </c>
      <c r="AD273" s="3">
        <v>0</v>
      </c>
      <c r="AE273" s="2">
        <v>0</v>
      </c>
      <c r="AF273" s="2">
        <v>0</v>
      </c>
      <c r="AG273" s="2">
        <v>0</v>
      </c>
      <c r="AH273" s="2">
        <v>0</v>
      </c>
      <c r="AI273" s="2">
        <v>0</v>
      </c>
      <c r="AJ273" s="2">
        <v>0</v>
      </c>
      <c r="AK273" s="2">
        <v>0</v>
      </c>
      <c r="AL273" s="2">
        <v>0</v>
      </c>
      <c r="AM273" s="2">
        <v>4.0199999999999996</v>
      </c>
      <c r="AN273" s="2">
        <v>4.0199999999999996</v>
      </c>
      <c r="AO273" s="2">
        <v>0</v>
      </c>
      <c r="AP273" s="2">
        <v>0</v>
      </c>
      <c r="AQ273" s="2">
        <v>0</v>
      </c>
    </row>
    <row r="274" spans="1:43" x14ac:dyDescent="0.25">
      <c r="A274" s="1">
        <v>45936</v>
      </c>
      <c r="B274" t="s">
        <v>48</v>
      </c>
      <c r="C274">
        <v>649163</v>
      </c>
      <c r="D274">
        <v>2017585589</v>
      </c>
      <c r="E274" t="s">
        <v>545</v>
      </c>
      <c r="F274" t="s">
        <v>478</v>
      </c>
      <c r="G274" t="s">
        <v>51</v>
      </c>
      <c r="H274" t="s">
        <v>323</v>
      </c>
      <c r="I274" t="s">
        <v>292</v>
      </c>
      <c r="J274" t="s">
        <v>536</v>
      </c>
      <c r="K274">
        <v>649793</v>
      </c>
      <c r="L274" t="s">
        <v>80</v>
      </c>
      <c r="M274" t="s">
        <v>537</v>
      </c>
      <c r="N274" t="s">
        <v>57</v>
      </c>
      <c r="O274" s="1">
        <v>44986</v>
      </c>
      <c r="Q274" s="1">
        <v>45962</v>
      </c>
      <c r="R274" s="2">
        <v>25.73</v>
      </c>
      <c r="S274">
        <v>1</v>
      </c>
      <c r="T274" t="s">
        <v>58</v>
      </c>
      <c r="U274" t="s">
        <v>359</v>
      </c>
      <c r="V274" s="3">
        <v>0.15</v>
      </c>
      <c r="W274" s="2">
        <v>0</v>
      </c>
      <c r="X274">
        <v>0</v>
      </c>
      <c r="Y274" t="s">
        <v>214</v>
      </c>
      <c r="Z274" t="s">
        <v>360</v>
      </c>
      <c r="AA274">
        <v>0</v>
      </c>
      <c r="AB274" s="2">
        <v>0</v>
      </c>
      <c r="AC274" s="2">
        <v>0</v>
      </c>
      <c r="AD274" s="3">
        <v>0</v>
      </c>
      <c r="AE274" s="2">
        <v>0</v>
      </c>
      <c r="AF274" s="2">
        <v>0</v>
      </c>
      <c r="AG274" s="2">
        <v>0</v>
      </c>
      <c r="AH274" s="2">
        <v>0</v>
      </c>
      <c r="AI274" s="2">
        <v>0</v>
      </c>
      <c r="AJ274" s="2">
        <v>0</v>
      </c>
      <c r="AK274" s="2">
        <v>0</v>
      </c>
      <c r="AL274" s="2">
        <v>0</v>
      </c>
      <c r="AM274" s="2">
        <v>3.86</v>
      </c>
      <c r="AN274" s="2">
        <v>3.86</v>
      </c>
      <c r="AO274" s="2">
        <v>0</v>
      </c>
      <c r="AP274" s="2">
        <v>0</v>
      </c>
      <c r="AQ274" s="2">
        <v>0</v>
      </c>
    </row>
    <row r="275" spans="1:43" x14ac:dyDescent="0.25">
      <c r="A275" s="1">
        <v>45936</v>
      </c>
      <c r="B275" t="s">
        <v>48</v>
      </c>
      <c r="C275">
        <v>649163</v>
      </c>
      <c r="D275">
        <v>2017629364</v>
      </c>
      <c r="E275" t="s">
        <v>546</v>
      </c>
      <c r="F275" t="s">
        <v>547</v>
      </c>
      <c r="G275" t="s">
        <v>51</v>
      </c>
      <c r="H275" t="s">
        <v>150</v>
      </c>
      <c r="I275" t="s">
        <v>292</v>
      </c>
      <c r="J275" t="s">
        <v>293</v>
      </c>
      <c r="K275">
        <v>649793</v>
      </c>
      <c r="L275" t="s">
        <v>80</v>
      </c>
      <c r="M275" t="s">
        <v>537</v>
      </c>
      <c r="N275" t="s">
        <v>57</v>
      </c>
      <c r="O275" s="1">
        <v>44994</v>
      </c>
      <c r="Q275" s="1">
        <v>45970</v>
      </c>
      <c r="R275" s="2">
        <v>58.95</v>
      </c>
      <c r="S275">
        <v>1</v>
      </c>
      <c r="T275" t="s">
        <v>58</v>
      </c>
      <c r="U275" t="s">
        <v>359</v>
      </c>
      <c r="V275" s="3">
        <v>0.15</v>
      </c>
      <c r="W275" s="2">
        <v>0</v>
      </c>
      <c r="X275">
        <v>0</v>
      </c>
      <c r="Y275" t="s">
        <v>214</v>
      </c>
      <c r="Z275" t="s">
        <v>360</v>
      </c>
      <c r="AA275">
        <v>0</v>
      </c>
      <c r="AB275" s="2">
        <v>0</v>
      </c>
      <c r="AC275" s="2">
        <v>0</v>
      </c>
      <c r="AD275" s="3">
        <v>0</v>
      </c>
      <c r="AE275" s="2">
        <v>0</v>
      </c>
      <c r="AF275" s="2">
        <v>0</v>
      </c>
      <c r="AG275" s="2">
        <v>0</v>
      </c>
      <c r="AH275" s="2">
        <v>0</v>
      </c>
      <c r="AI275" s="2">
        <v>0</v>
      </c>
      <c r="AJ275" s="2">
        <v>0</v>
      </c>
      <c r="AK275" s="2">
        <v>0</v>
      </c>
      <c r="AL275" s="2">
        <v>0</v>
      </c>
      <c r="AM275" s="2">
        <v>8.84</v>
      </c>
      <c r="AN275" s="2">
        <v>8.84</v>
      </c>
      <c r="AO275" s="2">
        <v>0</v>
      </c>
      <c r="AP275" s="2">
        <v>0</v>
      </c>
      <c r="AQ275" s="2">
        <v>0</v>
      </c>
    </row>
    <row r="276" spans="1:43" x14ac:dyDescent="0.25">
      <c r="A276" s="1">
        <v>45936</v>
      </c>
      <c r="B276" t="s">
        <v>48</v>
      </c>
      <c r="C276">
        <v>649163</v>
      </c>
      <c r="D276">
        <v>2030375983</v>
      </c>
      <c r="E276" t="s">
        <v>94</v>
      </c>
      <c r="F276" t="s">
        <v>548</v>
      </c>
      <c r="G276" t="s">
        <v>51</v>
      </c>
      <c r="H276" t="s">
        <v>150</v>
      </c>
      <c r="I276" t="s">
        <v>344</v>
      </c>
      <c r="J276" t="s">
        <v>345</v>
      </c>
      <c r="K276">
        <v>877790</v>
      </c>
      <c r="L276" t="s">
        <v>151</v>
      </c>
      <c r="M276" t="s">
        <v>152</v>
      </c>
      <c r="N276" t="s">
        <v>57</v>
      </c>
      <c r="O276" s="1">
        <v>45877</v>
      </c>
      <c r="Q276" s="1">
        <v>45969</v>
      </c>
      <c r="R276" s="2">
        <v>123.37</v>
      </c>
      <c r="S276">
        <v>1</v>
      </c>
      <c r="T276" t="s">
        <v>58</v>
      </c>
      <c r="U276" t="s">
        <v>359</v>
      </c>
      <c r="V276" s="3">
        <v>0.19</v>
      </c>
      <c r="W276" s="2">
        <v>0</v>
      </c>
      <c r="X276">
        <v>0</v>
      </c>
      <c r="Y276" t="s">
        <v>60</v>
      </c>
      <c r="Z276" t="s">
        <v>360</v>
      </c>
      <c r="AA276">
        <v>0</v>
      </c>
      <c r="AB276" s="2">
        <v>0</v>
      </c>
      <c r="AC276" s="2">
        <v>0</v>
      </c>
      <c r="AD276" s="3">
        <v>0</v>
      </c>
      <c r="AE276" s="2">
        <v>0</v>
      </c>
      <c r="AF276" s="2">
        <v>0</v>
      </c>
      <c r="AG276" s="2">
        <v>0</v>
      </c>
      <c r="AH276" s="2">
        <v>0</v>
      </c>
      <c r="AI276" s="2">
        <v>0</v>
      </c>
      <c r="AJ276" s="2">
        <v>0</v>
      </c>
      <c r="AK276" s="2">
        <v>0</v>
      </c>
      <c r="AL276" s="2">
        <v>23.44</v>
      </c>
      <c r="AM276" s="2">
        <v>0</v>
      </c>
      <c r="AN276" s="2">
        <v>0</v>
      </c>
      <c r="AO276" s="2">
        <v>0</v>
      </c>
      <c r="AP276" s="2">
        <v>0</v>
      </c>
      <c r="AQ276" s="2">
        <v>0</v>
      </c>
    </row>
    <row r="277" spans="1:43" x14ac:dyDescent="0.25">
      <c r="A277" s="1">
        <v>45936</v>
      </c>
      <c r="B277" t="s">
        <v>48</v>
      </c>
      <c r="C277">
        <v>649163</v>
      </c>
      <c r="D277">
        <v>2030905164</v>
      </c>
      <c r="E277" t="s">
        <v>549</v>
      </c>
      <c r="F277" t="s">
        <v>550</v>
      </c>
      <c r="G277" t="s">
        <v>51</v>
      </c>
      <c r="H277" t="s">
        <v>52</v>
      </c>
      <c r="I277" t="s">
        <v>344</v>
      </c>
      <c r="J277" t="s">
        <v>346</v>
      </c>
      <c r="K277">
        <v>753748</v>
      </c>
      <c r="L277" t="s">
        <v>97</v>
      </c>
      <c r="M277" t="s">
        <v>98</v>
      </c>
      <c r="N277" t="s">
        <v>57</v>
      </c>
      <c r="O277" s="1">
        <v>45906</v>
      </c>
      <c r="Q277" s="1">
        <v>45967</v>
      </c>
      <c r="R277" s="2">
        <v>256.08999999999997</v>
      </c>
      <c r="S277">
        <v>1</v>
      </c>
      <c r="T277" t="s">
        <v>58</v>
      </c>
      <c r="U277" t="s">
        <v>359</v>
      </c>
      <c r="V277" s="3">
        <v>0.28999999999999998</v>
      </c>
      <c r="W277" s="2">
        <v>0</v>
      </c>
      <c r="X277">
        <v>0</v>
      </c>
      <c r="Y277" t="s">
        <v>60</v>
      </c>
      <c r="Z277" t="s">
        <v>360</v>
      </c>
      <c r="AA277">
        <v>0</v>
      </c>
      <c r="AB277" s="2">
        <v>0</v>
      </c>
      <c r="AC277" s="2">
        <v>0</v>
      </c>
      <c r="AD277" s="3">
        <v>0</v>
      </c>
      <c r="AE277" s="2">
        <v>0</v>
      </c>
      <c r="AF277" s="2">
        <v>0</v>
      </c>
      <c r="AG277" s="2">
        <v>0</v>
      </c>
      <c r="AH277" s="2">
        <v>0</v>
      </c>
      <c r="AI277" s="2">
        <v>0</v>
      </c>
      <c r="AJ277" s="2">
        <v>0</v>
      </c>
      <c r="AK277" s="2">
        <v>0</v>
      </c>
      <c r="AL277" s="2">
        <v>74.27</v>
      </c>
      <c r="AM277" s="2">
        <v>0</v>
      </c>
      <c r="AN277" s="2">
        <v>0</v>
      </c>
      <c r="AO277" s="2">
        <v>0</v>
      </c>
      <c r="AP277" s="2">
        <v>0</v>
      </c>
      <c r="AQ277" s="2">
        <v>0</v>
      </c>
    </row>
    <row r="278" spans="1:43" x14ac:dyDescent="0.25">
      <c r="A278" s="1">
        <v>45936</v>
      </c>
      <c r="B278" t="s">
        <v>48</v>
      </c>
      <c r="C278">
        <v>649163</v>
      </c>
      <c r="D278">
        <v>2030917276</v>
      </c>
      <c r="E278" t="s">
        <v>551</v>
      </c>
      <c r="F278" t="s">
        <v>552</v>
      </c>
      <c r="G278" t="s">
        <v>51</v>
      </c>
      <c r="H278" t="s">
        <v>247</v>
      </c>
      <c r="I278" t="s">
        <v>344</v>
      </c>
      <c r="J278" t="s">
        <v>553</v>
      </c>
      <c r="K278">
        <v>874230</v>
      </c>
      <c r="L278" t="s">
        <v>554</v>
      </c>
      <c r="M278" t="s">
        <v>555</v>
      </c>
      <c r="N278" t="s">
        <v>57</v>
      </c>
      <c r="O278" s="1">
        <v>45910</v>
      </c>
      <c r="Q278" s="1">
        <v>45971</v>
      </c>
      <c r="R278" s="2">
        <v>247.54</v>
      </c>
      <c r="S278">
        <v>1</v>
      </c>
      <c r="T278" t="s">
        <v>58</v>
      </c>
      <c r="U278" t="s">
        <v>359</v>
      </c>
      <c r="V278" s="3">
        <v>0.19</v>
      </c>
      <c r="W278" s="2">
        <v>0</v>
      </c>
      <c r="X278">
        <v>0</v>
      </c>
      <c r="Y278" t="s">
        <v>60</v>
      </c>
      <c r="Z278" t="s">
        <v>360</v>
      </c>
      <c r="AA278">
        <v>0</v>
      </c>
      <c r="AB278" s="2">
        <v>0</v>
      </c>
      <c r="AC278" s="2">
        <v>0</v>
      </c>
      <c r="AD278" s="3">
        <v>0</v>
      </c>
      <c r="AE278" s="2">
        <v>0</v>
      </c>
      <c r="AF278" s="2">
        <v>0</v>
      </c>
      <c r="AG278" s="2">
        <v>0</v>
      </c>
      <c r="AH278" s="2">
        <v>0</v>
      </c>
      <c r="AI278" s="2">
        <v>0</v>
      </c>
      <c r="AJ278" s="2">
        <v>0</v>
      </c>
      <c r="AK278" s="2">
        <v>0</v>
      </c>
      <c r="AL278" s="2">
        <v>47.03</v>
      </c>
      <c r="AM278" s="2">
        <v>0</v>
      </c>
      <c r="AN278" s="2">
        <v>0</v>
      </c>
      <c r="AO278" s="2">
        <v>0</v>
      </c>
      <c r="AP278" s="2">
        <v>0</v>
      </c>
      <c r="AQ278" s="2">
        <v>0</v>
      </c>
    </row>
    <row r="279" spans="1:43" x14ac:dyDescent="0.25">
      <c r="A279" s="1">
        <v>45936</v>
      </c>
      <c r="B279" t="s">
        <v>48</v>
      </c>
      <c r="C279">
        <v>649163</v>
      </c>
      <c r="D279">
        <v>2030934309</v>
      </c>
      <c r="E279" t="s">
        <v>556</v>
      </c>
      <c r="F279" t="s">
        <v>557</v>
      </c>
      <c r="G279" t="s">
        <v>51</v>
      </c>
      <c r="H279" t="s">
        <v>427</v>
      </c>
      <c r="I279" t="s">
        <v>344</v>
      </c>
      <c r="J279" t="s">
        <v>346</v>
      </c>
      <c r="K279">
        <v>812994</v>
      </c>
      <c r="L279" t="s">
        <v>428</v>
      </c>
      <c r="M279" t="s">
        <v>309</v>
      </c>
      <c r="N279" t="s">
        <v>456</v>
      </c>
      <c r="O279" s="1">
        <v>45909</v>
      </c>
      <c r="P279" s="1">
        <v>45936</v>
      </c>
      <c r="Q279" s="1">
        <v>45939</v>
      </c>
      <c r="R279" s="2">
        <v>-169.05</v>
      </c>
      <c r="S279">
        <v>1</v>
      </c>
      <c r="T279" t="s">
        <v>58</v>
      </c>
      <c r="U279" t="s">
        <v>221</v>
      </c>
      <c r="V279" s="3">
        <v>0.28999999999999998</v>
      </c>
      <c r="W279" s="2">
        <v>0</v>
      </c>
      <c r="X279">
        <v>-1</v>
      </c>
      <c r="Y279" t="s">
        <v>60</v>
      </c>
      <c r="Z279" t="s">
        <v>360</v>
      </c>
      <c r="AA279">
        <v>0</v>
      </c>
      <c r="AB279" s="2">
        <v>0</v>
      </c>
      <c r="AC279" s="2">
        <v>0</v>
      </c>
      <c r="AD279" s="3">
        <v>0</v>
      </c>
      <c r="AE279" s="2">
        <v>0</v>
      </c>
      <c r="AF279" s="2">
        <v>0</v>
      </c>
      <c r="AG279" s="2">
        <v>0</v>
      </c>
      <c r="AH279" s="2">
        <v>0</v>
      </c>
      <c r="AI279" s="2">
        <v>0</v>
      </c>
      <c r="AJ279" s="2">
        <v>0</v>
      </c>
      <c r="AK279" s="2">
        <v>0</v>
      </c>
      <c r="AL279" s="2">
        <v>0</v>
      </c>
      <c r="AM279" s="2">
        <v>-49.02</v>
      </c>
      <c r="AN279" s="2">
        <v>-49.02</v>
      </c>
      <c r="AO279" s="2">
        <v>0</v>
      </c>
      <c r="AP279" s="2">
        <v>0</v>
      </c>
      <c r="AQ279" s="2">
        <v>0</v>
      </c>
    </row>
    <row r="280" spans="1:43" x14ac:dyDescent="0.25">
      <c r="A280" s="1">
        <v>45936</v>
      </c>
      <c r="B280" t="s">
        <v>48</v>
      </c>
      <c r="C280">
        <v>649163</v>
      </c>
      <c r="D280">
        <v>2016468518</v>
      </c>
      <c r="E280" t="s">
        <v>558</v>
      </c>
      <c r="F280" t="s">
        <v>559</v>
      </c>
      <c r="G280" t="s">
        <v>51</v>
      </c>
      <c r="H280" t="s">
        <v>70</v>
      </c>
      <c r="I280" t="s">
        <v>350</v>
      </c>
      <c r="J280" t="s">
        <v>351</v>
      </c>
      <c r="K280">
        <v>649164</v>
      </c>
      <c r="L280" t="s">
        <v>211</v>
      </c>
      <c r="M280" t="s">
        <v>212</v>
      </c>
      <c r="N280" t="s">
        <v>57</v>
      </c>
      <c r="O280" s="1">
        <v>44866</v>
      </c>
      <c r="Q280" s="1">
        <v>45962</v>
      </c>
      <c r="R280" s="2">
        <v>61.19</v>
      </c>
      <c r="S280">
        <v>1</v>
      </c>
      <c r="T280" t="s">
        <v>58</v>
      </c>
      <c r="U280" t="s">
        <v>359</v>
      </c>
      <c r="V280" s="4">
        <v>5.2499999999999998E-2</v>
      </c>
      <c r="W280" s="2">
        <v>0</v>
      </c>
      <c r="X280">
        <v>0</v>
      </c>
      <c r="Y280" t="s">
        <v>214</v>
      </c>
      <c r="Z280" t="s">
        <v>360</v>
      </c>
      <c r="AA280">
        <v>0</v>
      </c>
      <c r="AB280" s="2">
        <v>0</v>
      </c>
      <c r="AC280" s="2">
        <v>0</v>
      </c>
      <c r="AD280" s="3">
        <v>0</v>
      </c>
      <c r="AE280" s="2">
        <v>0</v>
      </c>
      <c r="AF280" s="2">
        <v>0</v>
      </c>
      <c r="AG280" s="2">
        <v>0</v>
      </c>
      <c r="AH280" s="2">
        <v>0</v>
      </c>
      <c r="AI280" s="2">
        <v>0</v>
      </c>
      <c r="AJ280" s="2">
        <v>0</v>
      </c>
      <c r="AK280" s="2">
        <v>0</v>
      </c>
      <c r="AL280" s="2">
        <v>0</v>
      </c>
      <c r="AM280" s="2">
        <v>3.21</v>
      </c>
      <c r="AN280" s="2">
        <v>3.21</v>
      </c>
      <c r="AO280" s="2">
        <v>0</v>
      </c>
      <c r="AP280" s="2">
        <v>0</v>
      </c>
      <c r="AQ280" s="2">
        <v>0</v>
      </c>
    </row>
    <row r="281" spans="1:43" x14ac:dyDescent="0.25">
      <c r="A281" s="1">
        <v>45936</v>
      </c>
      <c r="B281" t="s">
        <v>48</v>
      </c>
      <c r="C281">
        <v>649163</v>
      </c>
      <c r="D281">
        <v>2016627945</v>
      </c>
      <c r="E281" t="s">
        <v>560</v>
      </c>
      <c r="F281" t="s">
        <v>161</v>
      </c>
      <c r="G281" t="s">
        <v>51</v>
      </c>
      <c r="H281" t="s">
        <v>70</v>
      </c>
      <c r="I281" t="s">
        <v>350</v>
      </c>
      <c r="J281" t="s">
        <v>351</v>
      </c>
      <c r="K281">
        <v>649164</v>
      </c>
      <c r="L281" t="s">
        <v>211</v>
      </c>
      <c r="M281" t="s">
        <v>212</v>
      </c>
      <c r="N281" t="s">
        <v>57</v>
      </c>
      <c r="O281" s="1">
        <v>44927</v>
      </c>
      <c r="Q281" s="1">
        <v>45962</v>
      </c>
      <c r="R281" s="2">
        <v>55.54</v>
      </c>
      <c r="S281">
        <v>1</v>
      </c>
      <c r="T281" t="s">
        <v>58</v>
      </c>
      <c r="U281" t="s">
        <v>359</v>
      </c>
      <c r="V281" s="4">
        <v>5.2499999999999998E-2</v>
      </c>
      <c r="W281" s="2">
        <v>0</v>
      </c>
      <c r="X281">
        <v>0</v>
      </c>
      <c r="Y281" t="s">
        <v>214</v>
      </c>
      <c r="Z281" t="s">
        <v>360</v>
      </c>
      <c r="AA281">
        <v>0</v>
      </c>
      <c r="AB281" s="2">
        <v>0</v>
      </c>
      <c r="AC281" s="2">
        <v>0</v>
      </c>
      <c r="AD281" s="3">
        <v>0</v>
      </c>
      <c r="AE281" s="2">
        <v>0</v>
      </c>
      <c r="AF281" s="2">
        <v>0</v>
      </c>
      <c r="AG281" s="2">
        <v>0</v>
      </c>
      <c r="AH281" s="2">
        <v>0</v>
      </c>
      <c r="AI281" s="2">
        <v>0</v>
      </c>
      <c r="AJ281" s="2">
        <v>0</v>
      </c>
      <c r="AK281" s="2">
        <v>0</v>
      </c>
      <c r="AL281" s="2">
        <v>0</v>
      </c>
      <c r="AM281" s="2">
        <v>2.92</v>
      </c>
      <c r="AN281" s="2">
        <v>2.92</v>
      </c>
      <c r="AO281" s="2">
        <v>0</v>
      </c>
      <c r="AP281" s="2">
        <v>0</v>
      </c>
      <c r="AQ281" s="2">
        <v>0</v>
      </c>
    </row>
    <row r="282" spans="1:43" x14ac:dyDescent="0.25">
      <c r="A282" s="1">
        <v>45936</v>
      </c>
      <c r="B282" t="s">
        <v>48</v>
      </c>
      <c r="C282">
        <v>649163</v>
      </c>
      <c r="D282">
        <v>2016794185</v>
      </c>
      <c r="E282" t="s">
        <v>538</v>
      </c>
      <c r="F282" t="s">
        <v>539</v>
      </c>
      <c r="G282" t="s">
        <v>51</v>
      </c>
      <c r="H282" t="s">
        <v>247</v>
      </c>
      <c r="I282" t="s">
        <v>350</v>
      </c>
      <c r="J282" t="s">
        <v>351</v>
      </c>
      <c r="K282">
        <v>649793</v>
      </c>
      <c r="L282" t="s">
        <v>80</v>
      </c>
      <c r="M282" t="s">
        <v>537</v>
      </c>
      <c r="N282" t="s">
        <v>57</v>
      </c>
      <c r="O282" s="1">
        <v>44927</v>
      </c>
      <c r="Q282" s="1">
        <v>45962</v>
      </c>
      <c r="R282" s="2">
        <v>57.2</v>
      </c>
      <c r="S282">
        <v>1</v>
      </c>
      <c r="T282" t="s">
        <v>58</v>
      </c>
      <c r="U282" t="s">
        <v>359</v>
      </c>
      <c r="V282" s="4">
        <v>5.2499999999999998E-2</v>
      </c>
      <c r="W282" s="2">
        <v>0</v>
      </c>
      <c r="X282">
        <v>0</v>
      </c>
      <c r="Y282" t="s">
        <v>214</v>
      </c>
      <c r="Z282" t="s">
        <v>360</v>
      </c>
      <c r="AA282">
        <v>0</v>
      </c>
      <c r="AB282" s="2">
        <v>0</v>
      </c>
      <c r="AC282" s="2">
        <v>0</v>
      </c>
      <c r="AD282" s="3">
        <v>0</v>
      </c>
      <c r="AE282" s="2">
        <v>0</v>
      </c>
      <c r="AF282" s="2">
        <v>0</v>
      </c>
      <c r="AG282" s="2">
        <v>0</v>
      </c>
      <c r="AH282" s="2">
        <v>0</v>
      </c>
      <c r="AI282" s="2">
        <v>0</v>
      </c>
      <c r="AJ282" s="2">
        <v>0</v>
      </c>
      <c r="AK282" s="2">
        <v>0</v>
      </c>
      <c r="AL282" s="2">
        <v>0</v>
      </c>
      <c r="AM282" s="2">
        <v>3</v>
      </c>
      <c r="AN282" s="2">
        <v>3</v>
      </c>
      <c r="AO282" s="2">
        <v>0</v>
      </c>
      <c r="AP282" s="2">
        <v>0</v>
      </c>
      <c r="AQ282" s="2">
        <v>0</v>
      </c>
    </row>
    <row r="283" spans="1:43" x14ac:dyDescent="0.25">
      <c r="A283" s="1">
        <v>45936</v>
      </c>
      <c r="B283" t="s">
        <v>48</v>
      </c>
      <c r="C283">
        <v>649163</v>
      </c>
      <c r="D283">
        <v>2016815697</v>
      </c>
      <c r="E283" t="s">
        <v>561</v>
      </c>
      <c r="F283" t="s">
        <v>562</v>
      </c>
      <c r="G283" t="s">
        <v>51</v>
      </c>
      <c r="H283" t="s">
        <v>70</v>
      </c>
      <c r="I283" t="s">
        <v>350</v>
      </c>
      <c r="J283" t="s">
        <v>351</v>
      </c>
      <c r="K283">
        <v>649164</v>
      </c>
      <c r="L283" t="s">
        <v>211</v>
      </c>
      <c r="M283" t="s">
        <v>212</v>
      </c>
      <c r="N283" t="s">
        <v>57</v>
      </c>
      <c r="O283" s="1">
        <v>44896</v>
      </c>
      <c r="Q283" s="1">
        <v>45962</v>
      </c>
      <c r="R283" s="2">
        <v>49.99</v>
      </c>
      <c r="S283">
        <v>1</v>
      </c>
      <c r="T283" t="s">
        <v>58</v>
      </c>
      <c r="U283" t="s">
        <v>359</v>
      </c>
      <c r="V283" s="4">
        <v>5.2499999999999998E-2</v>
      </c>
      <c r="W283" s="2">
        <v>0</v>
      </c>
      <c r="X283">
        <v>0</v>
      </c>
      <c r="Y283" t="s">
        <v>214</v>
      </c>
      <c r="Z283" t="s">
        <v>360</v>
      </c>
      <c r="AA283">
        <v>0</v>
      </c>
      <c r="AB283" s="2">
        <v>0</v>
      </c>
      <c r="AC283" s="2">
        <v>0</v>
      </c>
      <c r="AD283" s="3">
        <v>0</v>
      </c>
      <c r="AE283" s="2">
        <v>0</v>
      </c>
      <c r="AF283" s="2">
        <v>0</v>
      </c>
      <c r="AG283" s="2">
        <v>0</v>
      </c>
      <c r="AH283" s="2">
        <v>0</v>
      </c>
      <c r="AI283" s="2">
        <v>0</v>
      </c>
      <c r="AJ283" s="2">
        <v>0</v>
      </c>
      <c r="AK283" s="2">
        <v>0</v>
      </c>
      <c r="AL283" s="2">
        <v>0</v>
      </c>
      <c r="AM283" s="2">
        <v>2.62</v>
      </c>
      <c r="AN283" s="2">
        <v>2.62</v>
      </c>
      <c r="AO283" s="2">
        <v>0</v>
      </c>
      <c r="AP283" s="2">
        <v>0</v>
      </c>
      <c r="AQ283" s="2">
        <v>0</v>
      </c>
    </row>
    <row r="284" spans="1:43" x14ac:dyDescent="0.25">
      <c r="A284" s="1">
        <v>45936</v>
      </c>
      <c r="B284" t="s">
        <v>48</v>
      </c>
      <c r="C284">
        <v>649163</v>
      </c>
      <c r="D284">
        <v>2017029017</v>
      </c>
      <c r="E284" t="s">
        <v>563</v>
      </c>
      <c r="F284" t="s">
        <v>564</v>
      </c>
      <c r="G284" t="s">
        <v>51</v>
      </c>
      <c r="H284" t="s">
        <v>70</v>
      </c>
      <c r="I284" t="s">
        <v>350</v>
      </c>
      <c r="J284" t="s">
        <v>351</v>
      </c>
      <c r="K284">
        <v>649164</v>
      </c>
      <c r="L284" t="s">
        <v>211</v>
      </c>
      <c r="M284" t="s">
        <v>212</v>
      </c>
      <c r="N284" t="s">
        <v>57</v>
      </c>
      <c r="O284" s="1">
        <v>44927</v>
      </c>
      <c r="Q284" s="1">
        <v>45962</v>
      </c>
      <c r="R284" s="2">
        <v>38.22</v>
      </c>
      <c r="S284">
        <v>1</v>
      </c>
      <c r="T284" t="s">
        <v>58</v>
      </c>
      <c r="U284" t="s">
        <v>359</v>
      </c>
      <c r="V284" s="4">
        <v>5.2499999999999998E-2</v>
      </c>
      <c r="W284" s="2">
        <v>0</v>
      </c>
      <c r="X284">
        <v>0</v>
      </c>
      <c r="Y284" t="s">
        <v>214</v>
      </c>
      <c r="Z284" t="s">
        <v>360</v>
      </c>
      <c r="AA284">
        <v>0</v>
      </c>
      <c r="AB284" s="2">
        <v>0</v>
      </c>
      <c r="AC284" s="2">
        <v>0</v>
      </c>
      <c r="AD284" s="3">
        <v>0</v>
      </c>
      <c r="AE284" s="2">
        <v>0</v>
      </c>
      <c r="AF284" s="2">
        <v>0</v>
      </c>
      <c r="AG284" s="2">
        <v>0</v>
      </c>
      <c r="AH284" s="2">
        <v>0</v>
      </c>
      <c r="AI284" s="2">
        <v>0</v>
      </c>
      <c r="AJ284" s="2">
        <v>0</v>
      </c>
      <c r="AK284" s="2">
        <v>0</v>
      </c>
      <c r="AL284" s="2">
        <v>0</v>
      </c>
      <c r="AM284" s="2">
        <v>2.0099999999999998</v>
      </c>
      <c r="AN284" s="2">
        <v>2.0099999999999998</v>
      </c>
      <c r="AO284" s="2">
        <v>0</v>
      </c>
      <c r="AP284" s="2">
        <v>0</v>
      </c>
      <c r="AQ284" s="2">
        <v>0</v>
      </c>
    </row>
    <row r="285" spans="1:43" x14ac:dyDescent="0.25">
      <c r="A285" s="1">
        <v>45936</v>
      </c>
      <c r="B285" t="s">
        <v>48</v>
      </c>
      <c r="C285">
        <v>649163</v>
      </c>
      <c r="D285">
        <v>2017064782</v>
      </c>
      <c r="E285" t="s">
        <v>565</v>
      </c>
      <c r="F285" t="s">
        <v>566</v>
      </c>
      <c r="G285" t="s">
        <v>51</v>
      </c>
      <c r="H285" t="s">
        <v>70</v>
      </c>
      <c r="I285" t="s">
        <v>350</v>
      </c>
      <c r="J285" t="s">
        <v>351</v>
      </c>
      <c r="K285">
        <v>649164</v>
      </c>
      <c r="L285" t="s">
        <v>211</v>
      </c>
      <c r="M285" t="s">
        <v>212</v>
      </c>
      <c r="N285" t="s">
        <v>57</v>
      </c>
      <c r="O285" s="1">
        <v>44927</v>
      </c>
      <c r="Q285" s="1">
        <v>45962</v>
      </c>
      <c r="R285" s="2">
        <v>117.8</v>
      </c>
      <c r="S285">
        <v>1</v>
      </c>
      <c r="T285" t="s">
        <v>58</v>
      </c>
      <c r="U285" t="s">
        <v>359</v>
      </c>
      <c r="V285" s="4">
        <v>5.2499999999999998E-2</v>
      </c>
      <c r="W285" s="2">
        <v>0</v>
      </c>
      <c r="X285">
        <v>0</v>
      </c>
      <c r="Y285" t="s">
        <v>214</v>
      </c>
      <c r="Z285" t="s">
        <v>360</v>
      </c>
      <c r="AA285">
        <v>0</v>
      </c>
      <c r="AB285" s="2">
        <v>0</v>
      </c>
      <c r="AC285" s="2">
        <v>0</v>
      </c>
      <c r="AD285" s="3">
        <v>0</v>
      </c>
      <c r="AE285" s="2">
        <v>0</v>
      </c>
      <c r="AF285" s="2">
        <v>0</v>
      </c>
      <c r="AG285" s="2">
        <v>0</v>
      </c>
      <c r="AH285" s="2">
        <v>0</v>
      </c>
      <c r="AI285" s="2">
        <v>0</v>
      </c>
      <c r="AJ285" s="2">
        <v>0</v>
      </c>
      <c r="AK285" s="2">
        <v>0</v>
      </c>
      <c r="AL285" s="2">
        <v>0</v>
      </c>
      <c r="AM285" s="2">
        <v>6.18</v>
      </c>
      <c r="AN285" s="2">
        <v>6.18</v>
      </c>
      <c r="AO285" s="2">
        <v>0</v>
      </c>
      <c r="AP285" s="2">
        <v>0</v>
      </c>
      <c r="AQ285" s="2">
        <v>0</v>
      </c>
    </row>
    <row r="286" spans="1:43" x14ac:dyDescent="0.25">
      <c r="A286" s="1">
        <v>45936</v>
      </c>
      <c r="B286" t="s">
        <v>48</v>
      </c>
      <c r="C286">
        <v>649163</v>
      </c>
      <c r="D286">
        <v>2017242798</v>
      </c>
      <c r="E286" t="s">
        <v>542</v>
      </c>
      <c r="F286" t="s">
        <v>543</v>
      </c>
      <c r="G286" t="s">
        <v>51</v>
      </c>
      <c r="H286" t="s">
        <v>88</v>
      </c>
      <c r="I286" t="s">
        <v>350</v>
      </c>
      <c r="J286" t="s">
        <v>351</v>
      </c>
      <c r="K286">
        <v>652037</v>
      </c>
      <c r="L286" t="s">
        <v>172</v>
      </c>
      <c r="M286" t="s">
        <v>173</v>
      </c>
      <c r="N286" t="s">
        <v>57</v>
      </c>
      <c r="O286" s="1">
        <v>44930</v>
      </c>
      <c r="Q286" s="1">
        <v>45965</v>
      </c>
      <c r="R286" s="2">
        <v>57.45</v>
      </c>
      <c r="S286">
        <v>1</v>
      </c>
      <c r="T286" t="s">
        <v>58</v>
      </c>
      <c r="U286" t="s">
        <v>359</v>
      </c>
      <c r="V286" s="4">
        <v>5.2499999999999998E-2</v>
      </c>
      <c r="W286" s="2">
        <v>0</v>
      </c>
      <c r="X286">
        <v>0</v>
      </c>
      <c r="Y286" t="s">
        <v>214</v>
      </c>
      <c r="Z286" t="s">
        <v>360</v>
      </c>
      <c r="AA286">
        <v>0</v>
      </c>
      <c r="AB286" s="2">
        <v>0</v>
      </c>
      <c r="AC286" s="2">
        <v>0</v>
      </c>
      <c r="AD286" s="3">
        <v>0</v>
      </c>
      <c r="AE286" s="2">
        <v>0</v>
      </c>
      <c r="AF286" s="2">
        <v>0</v>
      </c>
      <c r="AG286" s="2">
        <v>0</v>
      </c>
      <c r="AH286" s="2">
        <v>0</v>
      </c>
      <c r="AI286" s="2">
        <v>0</v>
      </c>
      <c r="AJ286" s="2">
        <v>0</v>
      </c>
      <c r="AK286" s="2">
        <v>0</v>
      </c>
      <c r="AL286" s="2">
        <v>0</v>
      </c>
      <c r="AM286" s="2">
        <v>3.02</v>
      </c>
      <c r="AN286" s="2">
        <v>3.02</v>
      </c>
      <c r="AO286" s="2">
        <v>0</v>
      </c>
      <c r="AP286" s="2">
        <v>0</v>
      </c>
      <c r="AQ286" s="2">
        <v>0</v>
      </c>
    </row>
    <row r="287" spans="1:43" x14ac:dyDescent="0.25">
      <c r="A287" s="1">
        <v>45936</v>
      </c>
      <c r="B287" t="s">
        <v>48</v>
      </c>
      <c r="C287">
        <v>649163</v>
      </c>
      <c r="D287">
        <v>2017514550</v>
      </c>
      <c r="E287" t="s">
        <v>567</v>
      </c>
      <c r="F287" t="s">
        <v>108</v>
      </c>
      <c r="G287" t="s">
        <v>51</v>
      </c>
      <c r="H287" t="s">
        <v>323</v>
      </c>
      <c r="I287" t="s">
        <v>350</v>
      </c>
      <c r="J287" t="s">
        <v>351</v>
      </c>
      <c r="K287">
        <v>649793</v>
      </c>
      <c r="L287" t="s">
        <v>80</v>
      </c>
      <c r="M287" t="s">
        <v>537</v>
      </c>
      <c r="N287" t="s">
        <v>57</v>
      </c>
      <c r="O287" s="1">
        <v>44958</v>
      </c>
      <c r="Q287" s="1">
        <v>45962</v>
      </c>
      <c r="R287" s="2">
        <v>77.39</v>
      </c>
      <c r="S287">
        <v>1</v>
      </c>
      <c r="T287" t="s">
        <v>58</v>
      </c>
      <c r="U287" t="s">
        <v>359</v>
      </c>
      <c r="V287" s="4">
        <v>5.2499999999999998E-2</v>
      </c>
      <c r="W287" s="2">
        <v>0</v>
      </c>
      <c r="X287">
        <v>0</v>
      </c>
      <c r="Y287" t="s">
        <v>214</v>
      </c>
      <c r="Z287" t="s">
        <v>360</v>
      </c>
      <c r="AA287">
        <v>0</v>
      </c>
      <c r="AB287" s="2">
        <v>0</v>
      </c>
      <c r="AC287" s="2">
        <v>0</v>
      </c>
      <c r="AD287" s="3">
        <v>0</v>
      </c>
      <c r="AE287" s="2">
        <v>0</v>
      </c>
      <c r="AF287" s="2">
        <v>0</v>
      </c>
      <c r="AG287" s="2">
        <v>0</v>
      </c>
      <c r="AH287" s="2">
        <v>0</v>
      </c>
      <c r="AI287" s="2">
        <v>0</v>
      </c>
      <c r="AJ287" s="2">
        <v>0</v>
      </c>
      <c r="AK287" s="2">
        <v>0</v>
      </c>
      <c r="AL287" s="2">
        <v>0</v>
      </c>
      <c r="AM287" s="2">
        <v>4.0599999999999996</v>
      </c>
      <c r="AN287" s="2">
        <v>4.0599999999999996</v>
      </c>
      <c r="AO287" s="2">
        <v>0</v>
      </c>
      <c r="AP287" s="2">
        <v>0</v>
      </c>
      <c r="AQ287" s="2">
        <v>0</v>
      </c>
    </row>
    <row r="288" spans="1:43" x14ac:dyDescent="0.25">
      <c r="A288" s="1">
        <v>45936</v>
      </c>
      <c r="B288" t="s">
        <v>48</v>
      </c>
      <c r="C288">
        <v>649163</v>
      </c>
      <c r="D288">
        <v>2017539416</v>
      </c>
      <c r="E288" t="s">
        <v>568</v>
      </c>
      <c r="F288" t="s">
        <v>569</v>
      </c>
      <c r="G288" t="s">
        <v>51</v>
      </c>
      <c r="H288" t="s">
        <v>427</v>
      </c>
      <c r="I288" t="s">
        <v>350</v>
      </c>
      <c r="J288" t="s">
        <v>351</v>
      </c>
      <c r="K288">
        <v>649793</v>
      </c>
      <c r="L288" t="s">
        <v>80</v>
      </c>
      <c r="M288" t="s">
        <v>537</v>
      </c>
      <c r="N288" t="s">
        <v>57</v>
      </c>
      <c r="O288" s="1">
        <v>44986</v>
      </c>
      <c r="Q288" s="1">
        <v>45962</v>
      </c>
      <c r="R288" s="2">
        <v>41.11</v>
      </c>
      <c r="S288">
        <v>1</v>
      </c>
      <c r="T288" t="s">
        <v>58</v>
      </c>
      <c r="U288" t="s">
        <v>359</v>
      </c>
      <c r="V288" s="4">
        <v>5.2499999999999998E-2</v>
      </c>
      <c r="W288" s="2">
        <v>0</v>
      </c>
      <c r="X288">
        <v>0</v>
      </c>
      <c r="Y288" t="s">
        <v>214</v>
      </c>
      <c r="Z288" t="s">
        <v>360</v>
      </c>
      <c r="AA288">
        <v>0</v>
      </c>
      <c r="AB288" s="2">
        <v>0</v>
      </c>
      <c r="AC288" s="2">
        <v>0</v>
      </c>
      <c r="AD288" s="3">
        <v>0</v>
      </c>
      <c r="AE288" s="2">
        <v>0</v>
      </c>
      <c r="AF288" s="2">
        <v>0</v>
      </c>
      <c r="AG288" s="2">
        <v>0</v>
      </c>
      <c r="AH288" s="2">
        <v>0</v>
      </c>
      <c r="AI288" s="2">
        <v>0</v>
      </c>
      <c r="AJ288" s="2">
        <v>0</v>
      </c>
      <c r="AK288" s="2">
        <v>0</v>
      </c>
      <c r="AL288" s="2">
        <v>0</v>
      </c>
      <c r="AM288" s="2">
        <v>2.16</v>
      </c>
      <c r="AN288" s="2">
        <v>2.16</v>
      </c>
      <c r="AO288" s="2">
        <v>0</v>
      </c>
      <c r="AP288" s="2">
        <v>0</v>
      </c>
      <c r="AQ288" s="2">
        <v>0</v>
      </c>
    </row>
    <row r="289" spans="1:43" x14ac:dyDescent="0.25">
      <c r="A289" s="1">
        <v>45936</v>
      </c>
      <c r="B289" t="s">
        <v>48</v>
      </c>
      <c r="C289">
        <v>649163</v>
      </c>
      <c r="D289">
        <v>2017585587</v>
      </c>
      <c r="E289" t="s">
        <v>545</v>
      </c>
      <c r="F289" t="s">
        <v>478</v>
      </c>
      <c r="G289" t="s">
        <v>51</v>
      </c>
      <c r="H289" t="s">
        <v>323</v>
      </c>
      <c r="I289" t="s">
        <v>350</v>
      </c>
      <c r="J289" t="s">
        <v>351</v>
      </c>
      <c r="K289">
        <v>649793</v>
      </c>
      <c r="L289" t="s">
        <v>80</v>
      </c>
      <c r="M289" t="s">
        <v>537</v>
      </c>
      <c r="N289" t="s">
        <v>57</v>
      </c>
      <c r="O289" s="1">
        <v>44986</v>
      </c>
      <c r="Q289" s="1">
        <v>45962</v>
      </c>
      <c r="R289" s="2">
        <v>48.61</v>
      </c>
      <c r="S289">
        <v>1</v>
      </c>
      <c r="T289" t="s">
        <v>58</v>
      </c>
      <c r="U289" t="s">
        <v>359</v>
      </c>
      <c r="V289" s="4">
        <v>5.2499999999999998E-2</v>
      </c>
      <c r="W289" s="2">
        <v>0</v>
      </c>
      <c r="X289">
        <v>0</v>
      </c>
      <c r="Y289" t="s">
        <v>214</v>
      </c>
      <c r="Z289" t="s">
        <v>360</v>
      </c>
      <c r="AA289">
        <v>0</v>
      </c>
      <c r="AB289" s="2">
        <v>0</v>
      </c>
      <c r="AC289" s="2">
        <v>0</v>
      </c>
      <c r="AD289" s="3">
        <v>0</v>
      </c>
      <c r="AE289" s="2">
        <v>0</v>
      </c>
      <c r="AF289" s="2">
        <v>0</v>
      </c>
      <c r="AG289" s="2">
        <v>0</v>
      </c>
      <c r="AH289" s="2">
        <v>0</v>
      </c>
      <c r="AI289" s="2">
        <v>0</v>
      </c>
      <c r="AJ289" s="2">
        <v>0</v>
      </c>
      <c r="AK289" s="2">
        <v>0</v>
      </c>
      <c r="AL289" s="2">
        <v>0</v>
      </c>
      <c r="AM289" s="2">
        <v>2.5499999999999998</v>
      </c>
      <c r="AN289" s="2">
        <v>2.5499999999999998</v>
      </c>
      <c r="AO289" s="2">
        <v>0</v>
      </c>
      <c r="AP289" s="2">
        <v>0</v>
      </c>
      <c r="AQ289" s="2">
        <v>0</v>
      </c>
    </row>
    <row r="290" spans="1:43" x14ac:dyDescent="0.25">
      <c r="A290" s="1">
        <v>45936</v>
      </c>
      <c r="B290" t="s">
        <v>48</v>
      </c>
      <c r="C290">
        <v>649163</v>
      </c>
      <c r="D290">
        <v>2018276908</v>
      </c>
      <c r="E290" t="s">
        <v>570</v>
      </c>
      <c r="F290" t="s">
        <v>571</v>
      </c>
      <c r="G290" t="s">
        <v>51</v>
      </c>
      <c r="H290" t="s">
        <v>79</v>
      </c>
      <c r="I290" t="s">
        <v>350</v>
      </c>
      <c r="J290" t="s">
        <v>351</v>
      </c>
      <c r="K290">
        <v>673059</v>
      </c>
      <c r="L290" t="s">
        <v>80</v>
      </c>
      <c r="M290" t="s">
        <v>81</v>
      </c>
      <c r="N290" t="s">
        <v>57</v>
      </c>
      <c r="O290" s="1">
        <v>45047</v>
      </c>
      <c r="Q290" s="1">
        <v>45962</v>
      </c>
      <c r="R290" s="2">
        <v>101.73</v>
      </c>
      <c r="S290">
        <v>1</v>
      </c>
      <c r="T290" t="s">
        <v>58</v>
      </c>
      <c r="U290" t="s">
        <v>359</v>
      </c>
      <c r="V290" s="4">
        <v>5.2499999999999998E-2</v>
      </c>
      <c r="W290" s="2">
        <v>0</v>
      </c>
      <c r="X290">
        <v>0</v>
      </c>
      <c r="Y290" t="s">
        <v>214</v>
      </c>
      <c r="Z290" t="s">
        <v>360</v>
      </c>
      <c r="AA290">
        <v>0</v>
      </c>
      <c r="AB290" s="2">
        <v>0</v>
      </c>
      <c r="AC290" s="2">
        <v>0</v>
      </c>
      <c r="AD290" s="3">
        <v>0</v>
      </c>
      <c r="AE290" s="2">
        <v>0</v>
      </c>
      <c r="AF290" s="2">
        <v>0</v>
      </c>
      <c r="AG290" s="2">
        <v>0</v>
      </c>
      <c r="AH290" s="2">
        <v>0</v>
      </c>
      <c r="AI290" s="2">
        <v>0</v>
      </c>
      <c r="AJ290" s="2">
        <v>0</v>
      </c>
      <c r="AK290" s="2">
        <v>0</v>
      </c>
      <c r="AL290" s="2">
        <v>0</v>
      </c>
      <c r="AM290" s="2">
        <v>5.34</v>
      </c>
      <c r="AN290" s="2">
        <v>5.34</v>
      </c>
      <c r="AO290" s="2">
        <v>0</v>
      </c>
      <c r="AP290" s="2">
        <v>0</v>
      </c>
      <c r="AQ290" s="2">
        <v>0</v>
      </c>
    </row>
    <row r="291" spans="1:43" x14ac:dyDescent="0.25">
      <c r="A291" s="1">
        <v>45936</v>
      </c>
      <c r="B291" t="s">
        <v>48</v>
      </c>
      <c r="C291">
        <v>649163</v>
      </c>
      <c r="D291">
        <v>2018434791</v>
      </c>
      <c r="E291" t="s">
        <v>572</v>
      </c>
      <c r="F291" t="s">
        <v>573</v>
      </c>
      <c r="G291" t="s">
        <v>51</v>
      </c>
      <c r="H291" t="s">
        <v>88</v>
      </c>
      <c r="I291" t="s">
        <v>350</v>
      </c>
      <c r="J291" t="s">
        <v>351</v>
      </c>
      <c r="K291">
        <v>673059</v>
      </c>
      <c r="L291" t="s">
        <v>80</v>
      </c>
      <c r="M291" t="s">
        <v>81</v>
      </c>
      <c r="N291" t="s">
        <v>57</v>
      </c>
      <c r="O291" s="1">
        <v>45047</v>
      </c>
      <c r="Q291" s="1">
        <v>45962</v>
      </c>
      <c r="R291" s="2">
        <v>46.65</v>
      </c>
      <c r="S291">
        <v>1</v>
      </c>
      <c r="T291" t="s">
        <v>58</v>
      </c>
      <c r="U291" t="s">
        <v>359</v>
      </c>
      <c r="V291" s="4">
        <v>5.2499999999999998E-2</v>
      </c>
      <c r="W291" s="2">
        <v>0</v>
      </c>
      <c r="X291">
        <v>0</v>
      </c>
      <c r="Y291" t="s">
        <v>214</v>
      </c>
      <c r="Z291" t="s">
        <v>360</v>
      </c>
      <c r="AA291">
        <v>0</v>
      </c>
      <c r="AB291" s="2">
        <v>0</v>
      </c>
      <c r="AC291" s="2">
        <v>0</v>
      </c>
      <c r="AD291" s="3">
        <v>0</v>
      </c>
      <c r="AE291" s="2">
        <v>0</v>
      </c>
      <c r="AF291" s="2">
        <v>0</v>
      </c>
      <c r="AG291" s="2">
        <v>0</v>
      </c>
      <c r="AH291" s="2">
        <v>0</v>
      </c>
      <c r="AI291" s="2">
        <v>0</v>
      </c>
      <c r="AJ291" s="2">
        <v>0</v>
      </c>
      <c r="AK291" s="2">
        <v>0</v>
      </c>
      <c r="AL291" s="2">
        <v>0</v>
      </c>
      <c r="AM291" s="2">
        <v>2.4500000000000002</v>
      </c>
      <c r="AN291" s="2">
        <v>2.4500000000000002</v>
      </c>
      <c r="AO291" s="2">
        <v>0</v>
      </c>
      <c r="AP291" s="2">
        <v>0</v>
      </c>
      <c r="AQ291" s="2">
        <v>0</v>
      </c>
    </row>
    <row r="292" spans="1:43" x14ac:dyDescent="0.25">
      <c r="A292" s="1">
        <v>45936</v>
      </c>
      <c r="B292" t="s">
        <v>48</v>
      </c>
      <c r="C292">
        <v>649163</v>
      </c>
      <c r="D292">
        <v>2018439351</v>
      </c>
      <c r="E292" t="s">
        <v>574</v>
      </c>
      <c r="F292" t="s">
        <v>575</v>
      </c>
      <c r="G292" t="s">
        <v>51</v>
      </c>
      <c r="H292" t="s">
        <v>70</v>
      </c>
      <c r="I292" t="s">
        <v>350</v>
      </c>
      <c r="J292" t="s">
        <v>351</v>
      </c>
      <c r="K292">
        <v>678320</v>
      </c>
      <c r="L292" t="s">
        <v>576</v>
      </c>
      <c r="M292" t="s">
        <v>139</v>
      </c>
      <c r="N292" t="s">
        <v>57</v>
      </c>
      <c r="O292" s="1">
        <v>45047</v>
      </c>
      <c r="Q292" s="1">
        <v>45962</v>
      </c>
      <c r="R292" s="2">
        <v>92.61</v>
      </c>
      <c r="S292">
        <v>1</v>
      </c>
      <c r="T292" t="s">
        <v>58</v>
      </c>
      <c r="U292" t="s">
        <v>359</v>
      </c>
      <c r="V292" s="4">
        <v>5.2499999999999998E-2</v>
      </c>
      <c r="W292" s="2">
        <v>0</v>
      </c>
      <c r="X292">
        <v>0</v>
      </c>
      <c r="Y292" t="s">
        <v>214</v>
      </c>
      <c r="Z292" t="s">
        <v>360</v>
      </c>
      <c r="AA292">
        <v>0</v>
      </c>
      <c r="AB292" s="2">
        <v>0</v>
      </c>
      <c r="AC292" s="2">
        <v>0</v>
      </c>
      <c r="AD292" s="3">
        <v>0</v>
      </c>
      <c r="AE292" s="2">
        <v>0</v>
      </c>
      <c r="AF292" s="2">
        <v>0</v>
      </c>
      <c r="AG292" s="2">
        <v>0</v>
      </c>
      <c r="AH292" s="2">
        <v>0</v>
      </c>
      <c r="AI292" s="2">
        <v>0</v>
      </c>
      <c r="AJ292" s="2">
        <v>0</v>
      </c>
      <c r="AK292" s="2">
        <v>0</v>
      </c>
      <c r="AL292" s="2">
        <v>0</v>
      </c>
      <c r="AM292" s="2">
        <v>4.8600000000000003</v>
      </c>
      <c r="AN292" s="2">
        <v>4.8600000000000003</v>
      </c>
      <c r="AO292" s="2">
        <v>0</v>
      </c>
      <c r="AP292" s="2">
        <v>0</v>
      </c>
      <c r="AQ292" s="2">
        <v>0</v>
      </c>
    </row>
    <row r="293" spans="1:43" x14ac:dyDescent="0.25">
      <c r="A293" s="1">
        <v>45936</v>
      </c>
      <c r="B293" t="s">
        <v>48</v>
      </c>
      <c r="C293">
        <v>649163</v>
      </c>
      <c r="D293">
        <v>2018472291</v>
      </c>
      <c r="E293" t="s">
        <v>577</v>
      </c>
      <c r="F293" t="s">
        <v>578</v>
      </c>
      <c r="G293" t="s">
        <v>51</v>
      </c>
      <c r="H293" t="s">
        <v>70</v>
      </c>
      <c r="I293" t="s">
        <v>350</v>
      </c>
      <c r="J293" t="s">
        <v>351</v>
      </c>
      <c r="K293">
        <v>678320</v>
      </c>
      <c r="L293" t="s">
        <v>576</v>
      </c>
      <c r="M293" t="s">
        <v>139</v>
      </c>
      <c r="N293" t="s">
        <v>57</v>
      </c>
      <c r="O293" s="1">
        <v>45047</v>
      </c>
      <c r="Q293" s="1">
        <v>45962</v>
      </c>
      <c r="R293" s="2">
        <v>87.31</v>
      </c>
      <c r="S293">
        <v>1</v>
      </c>
      <c r="T293" t="s">
        <v>58</v>
      </c>
      <c r="U293" t="s">
        <v>359</v>
      </c>
      <c r="V293" s="4">
        <v>5.2499999999999998E-2</v>
      </c>
      <c r="W293" s="2">
        <v>0</v>
      </c>
      <c r="X293">
        <v>0</v>
      </c>
      <c r="Y293" t="s">
        <v>214</v>
      </c>
      <c r="Z293" t="s">
        <v>360</v>
      </c>
      <c r="AA293">
        <v>0</v>
      </c>
      <c r="AB293" s="2">
        <v>0</v>
      </c>
      <c r="AC293" s="2">
        <v>0</v>
      </c>
      <c r="AD293" s="3">
        <v>0</v>
      </c>
      <c r="AE293" s="2">
        <v>0</v>
      </c>
      <c r="AF293" s="2">
        <v>0</v>
      </c>
      <c r="AG293" s="2">
        <v>0</v>
      </c>
      <c r="AH293" s="2">
        <v>0</v>
      </c>
      <c r="AI293" s="2">
        <v>0</v>
      </c>
      <c r="AJ293" s="2">
        <v>0</v>
      </c>
      <c r="AK293" s="2">
        <v>0</v>
      </c>
      <c r="AL293" s="2">
        <v>0</v>
      </c>
      <c r="AM293" s="2">
        <v>4.58</v>
      </c>
      <c r="AN293" s="2">
        <v>4.58</v>
      </c>
      <c r="AO293" s="2">
        <v>0</v>
      </c>
      <c r="AP293" s="2">
        <v>0</v>
      </c>
      <c r="AQ293" s="2">
        <v>0</v>
      </c>
    </row>
    <row r="294" spans="1:43" x14ac:dyDescent="0.25">
      <c r="A294" s="1">
        <v>45936</v>
      </c>
      <c r="B294" t="s">
        <v>48</v>
      </c>
      <c r="C294">
        <v>649163</v>
      </c>
      <c r="D294">
        <v>2018522516</v>
      </c>
      <c r="E294" t="s">
        <v>426</v>
      </c>
      <c r="F294" t="s">
        <v>579</v>
      </c>
      <c r="G294" t="s">
        <v>51</v>
      </c>
      <c r="H294" t="s">
        <v>70</v>
      </c>
      <c r="I294" t="s">
        <v>350</v>
      </c>
      <c r="J294" t="s">
        <v>351</v>
      </c>
      <c r="K294">
        <v>678320</v>
      </c>
      <c r="L294" t="s">
        <v>576</v>
      </c>
      <c r="M294" t="s">
        <v>139</v>
      </c>
      <c r="N294" t="s">
        <v>57</v>
      </c>
      <c r="O294" s="1">
        <v>45048</v>
      </c>
      <c r="Q294" s="1">
        <v>45963</v>
      </c>
      <c r="R294" s="2">
        <v>50.6</v>
      </c>
      <c r="S294">
        <v>1</v>
      </c>
      <c r="T294" t="s">
        <v>58</v>
      </c>
      <c r="U294" t="s">
        <v>359</v>
      </c>
      <c r="V294" s="4">
        <v>5.2499999999999998E-2</v>
      </c>
      <c r="W294" s="2">
        <v>0</v>
      </c>
      <c r="X294">
        <v>0</v>
      </c>
      <c r="Y294" t="s">
        <v>214</v>
      </c>
      <c r="Z294" t="s">
        <v>360</v>
      </c>
      <c r="AA294">
        <v>0</v>
      </c>
      <c r="AB294" s="2">
        <v>0</v>
      </c>
      <c r="AC294" s="2">
        <v>0</v>
      </c>
      <c r="AD294" s="3">
        <v>0</v>
      </c>
      <c r="AE294" s="2">
        <v>0</v>
      </c>
      <c r="AF294" s="2">
        <v>0</v>
      </c>
      <c r="AG294" s="2">
        <v>0</v>
      </c>
      <c r="AH294" s="2">
        <v>0</v>
      </c>
      <c r="AI294" s="2">
        <v>0</v>
      </c>
      <c r="AJ294" s="2">
        <v>0</v>
      </c>
      <c r="AK294" s="2">
        <v>0</v>
      </c>
      <c r="AL294" s="2">
        <v>0</v>
      </c>
      <c r="AM294" s="2">
        <v>2.66</v>
      </c>
      <c r="AN294" s="2">
        <v>2.66</v>
      </c>
      <c r="AO294" s="2">
        <v>0</v>
      </c>
      <c r="AP294" s="2">
        <v>0</v>
      </c>
      <c r="AQ294" s="2">
        <v>0</v>
      </c>
    </row>
    <row r="295" spans="1:43" x14ac:dyDescent="0.25">
      <c r="A295" s="1">
        <v>45936</v>
      </c>
      <c r="B295" t="s">
        <v>48</v>
      </c>
      <c r="C295">
        <v>649163</v>
      </c>
      <c r="D295">
        <v>2018753089</v>
      </c>
      <c r="E295" t="s">
        <v>580</v>
      </c>
      <c r="F295" t="s">
        <v>482</v>
      </c>
      <c r="G295" t="s">
        <v>51</v>
      </c>
      <c r="H295" t="s">
        <v>70</v>
      </c>
      <c r="I295" t="s">
        <v>350</v>
      </c>
      <c r="J295" t="s">
        <v>351</v>
      </c>
      <c r="K295">
        <v>649164</v>
      </c>
      <c r="L295" t="s">
        <v>211</v>
      </c>
      <c r="M295" t="s">
        <v>212</v>
      </c>
      <c r="N295" t="s">
        <v>57</v>
      </c>
      <c r="O295" s="1">
        <v>45078</v>
      </c>
      <c r="Q295" s="1">
        <v>45962</v>
      </c>
      <c r="R295" s="2">
        <v>51.19</v>
      </c>
      <c r="S295">
        <v>1</v>
      </c>
      <c r="T295" t="s">
        <v>58</v>
      </c>
      <c r="U295" t="s">
        <v>359</v>
      </c>
      <c r="V295" s="4">
        <v>5.2499999999999998E-2</v>
      </c>
      <c r="W295" s="2">
        <v>0</v>
      </c>
      <c r="X295">
        <v>0</v>
      </c>
      <c r="Y295" t="s">
        <v>214</v>
      </c>
      <c r="Z295" t="s">
        <v>360</v>
      </c>
      <c r="AA295">
        <v>0</v>
      </c>
      <c r="AB295" s="2">
        <v>0</v>
      </c>
      <c r="AC295" s="2">
        <v>0</v>
      </c>
      <c r="AD295" s="3">
        <v>0</v>
      </c>
      <c r="AE295" s="2">
        <v>0</v>
      </c>
      <c r="AF295" s="2">
        <v>0</v>
      </c>
      <c r="AG295" s="2">
        <v>0</v>
      </c>
      <c r="AH295" s="2">
        <v>0</v>
      </c>
      <c r="AI295" s="2">
        <v>0</v>
      </c>
      <c r="AJ295" s="2">
        <v>0</v>
      </c>
      <c r="AK295" s="2">
        <v>0</v>
      </c>
      <c r="AL295" s="2">
        <v>0</v>
      </c>
      <c r="AM295" s="2">
        <v>2.69</v>
      </c>
      <c r="AN295" s="2">
        <v>2.69</v>
      </c>
      <c r="AO295" s="2">
        <v>0</v>
      </c>
      <c r="AP295" s="2">
        <v>0</v>
      </c>
      <c r="AQ295" s="2">
        <v>0</v>
      </c>
    </row>
    <row r="296" spans="1:43" x14ac:dyDescent="0.25">
      <c r="A296" s="1">
        <v>45936</v>
      </c>
      <c r="B296" t="s">
        <v>48</v>
      </c>
      <c r="C296">
        <v>649163</v>
      </c>
      <c r="D296">
        <v>2018775434</v>
      </c>
      <c r="E296" t="s">
        <v>581</v>
      </c>
      <c r="F296" t="s">
        <v>132</v>
      </c>
      <c r="G296" t="s">
        <v>51</v>
      </c>
      <c r="H296" t="s">
        <v>247</v>
      </c>
      <c r="I296" t="s">
        <v>350</v>
      </c>
      <c r="J296" t="s">
        <v>351</v>
      </c>
      <c r="K296">
        <v>673059</v>
      </c>
      <c r="L296" t="s">
        <v>80</v>
      </c>
      <c r="M296" t="s">
        <v>81</v>
      </c>
      <c r="N296" t="s">
        <v>57</v>
      </c>
      <c r="O296" s="1">
        <v>45078</v>
      </c>
      <c r="Q296" s="1">
        <v>45962</v>
      </c>
      <c r="R296" s="2">
        <v>29.77</v>
      </c>
      <c r="S296">
        <v>1</v>
      </c>
      <c r="T296" t="s">
        <v>58</v>
      </c>
      <c r="U296" t="s">
        <v>359</v>
      </c>
      <c r="V296" s="4">
        <v>5.2499999999999998E-2</v>
      </c>
      <c r="W296" s="2">
        <v>0</v>
      </c>
      <c r="X296">
        <v>0</v>
      </c>
      <c r="Y296" t="s">
        <v>214</v>
      </c>
      <c r="Z296" t="s">
        <v>360</v>
      </c>
      <c r="AA296">
        <v>0</v>
      </c>
      <c r="AB296" s="2">
        <v>0</v>
      </c>
      <c r="AC296" s="2">
        <v>0</v>
      </c>
      <c r="AD296" s="3">
        <v>0</v>
      </c>
      <c r="AE296" s="2">
        <v>0</v>
      </c>
      <c r="AF296" s="2">
        <v>0</v>
      </c>
      <c r="AG296" s="2">
        <v>0</v>
      </c>
      <c r="AH296" s="2">
        <v>0</v>
      </c>
      <c r="AI296" s="2">
        <v>0</v>
      </c>
      <c r="AJ296" s="2">
        <v>0</v>
      </c>
      <c r="AK296" s="2">
        <v>0</v>
      </c>
      <c r="AL296" s="2">
        <v>0</v>
      </c>
      <c r="AM296" s="2">
        <v>1.56</v>
      </c>
      <c r="AN296" s="2">
        <v>1.56</v>
      </c>
      <c r="AO296" s="2">
        <v>0</v>
      </c>
      <c r="AP296" s="2">
        <v>0</v>
      </c>
      <c r="AQ296" s="2">
        <v>0</v>
      </c>
    </row>
    <row r="297" spans="1:43" x14ac:dyDescent="0.25">
      <c r="A297" s="1">
        <v>45936</v>
      </c>
      <c r="B297" t="s">
        <v>48</v>
      </c>
      <c r="C297">
        <v>649163</v>
      </c>
      <c r="D297">
        <v>2018854836</v>
      </c>
      <c r="E297" t="s">
        <v>582</v>
      </c>
      <c r="F297" t="s">
        <v>583</v>
      </c>
      <c r="G297" t="s">
        <v>51</v>
      </c>
      <c r="H297" t="s">
        <v>382</v>
      </c>
      <c r="I297" t="s">
        <v>350</v>
      </c>
      <c r="J297" t="s">
        <v>351</v>
      </c>
      <c r="K297">
        <v>673059</v>
      </c>
      <c r="L297" t="s">
        <v>80</v>
      </c>
      <c r="M297" t="s">
        <v>81</v>
      </c>
      <c r="N297" t="s">
        <v>57</v>
      </c>
      <c r="O297" s="1">
        <v>45078</v>
      </c>
      <c r="Q297" s="1">
        <v>45962</v>
      </c>
      <c r="R297" s="2">
        <v>38.909999999999997</v>
      </c>
      <c r="S297">
        <v>1</v>
      </c>
      <c r="T297" t="s">
        <v>58</v>
      </c>
      <c r="U297" t="s">
        <v>359</v>
      </c>
      <c r="V297" s="4">
        <v>5.2499999999999998E-2</v>
      </c>
      <c r="W297" s="2">
        <v>0</v>
      </c>
      <c r="X297">
        <v>0</v>
      </c>
      <c r="Y297" t="s">
        <v>214</v>
      </c>
      <c r="Z297" t="s">
        <v>360</v>
      </c>
      <c r="AA297">
        <v>0</v>
      </c>
      <c r="AB297" s="2">
        <v>0</v>
      </c>
      <c r="AC297" s="2">
        <v>0</v>
      </c>
      <c r="AD297" s="3">
        <v>0</v>
      </c>
      <c r="AE297" s="2">
        <v>0</v>
      </c>
      <c r="AF297" s="2">
        <v>0</v>
      </c>
      <c r="AG297" s="2">
        <v>0</v>
      </c>
      <c r="AH297" s="2">
        <v>0</v>
      </c>
      <c r="AI297" s="2">
        <v>0</v>
      </c>
      <c r="AJ297" s="2">
        <v>0</v>
      </c>
      <c r="AK297" s="2">
        <v>0</v>
      </c>
      <c r="AL297" s="2">
        <v>0</v>
      </c>
      <c r="AM297" s="2">
        <v>2.04</v>
      </c>
      <c r="AN297" s="2">
        <v>2.04</v>
      </c>
      <c r="AO297" s="2">
        <v>0</v>
      </c>
      <c r="AP297" s="2">
        <v>0</v>
      </c>
      <c r="AQ297" s="2">
        <v>0</v>
      </c>
    </row>
    <row r="298" spans="1:43" x14ac:dyDescent="0.25">
      <c r="A298" s="1">
        <v>45936</v>
      </c>
      <c r="B298" t="s">
        <v>48</v>
      </c>
      <c r="C298">
        <v>649163</v>
      </c>
      <c r="D298">
        <v>2018855162</v>
      </c>
      <c r="E298" t="s">
        <v>582</v>
      </c>
      <c r="F298" t="s">
        <v>441</v>
      </c>
      <c r="G298" t="s">
        <v>51</v>
      </c>
      <c r="H298" t="s">
        <v>382</v>
      </c>
      <c r="I298" t="s">
        <v>350</v>
      </c>
      <c r="J298" t="s">
        <v>351</v>
      </c>
      <c r="K298">
        <v>673059</v>
      </c>
      <c r="L298" t="s">
        <v>80</v>
      </c>
      <c r="M298" t="s">
        <v>81</v>
      </c>
      <c r="N298" t="s">
        <v>57</v>
      </c>
      <c r="O298" s="1">
        <v>45078</v>
      </c>
      <c r="Q298" s="1">
        <v>45962</v>
      </c>
      <c r="R298" s="2">
        <v>38.909999999999997</v>
      </c>
      <c r="S298">
        <v>1</v>
      </c>
      <c r="T298" t="s">
        <v>58</v>
      </c>
      <c r="U298" t="s">
        <v>359</v>
      </c>
      <c r="V298" s="4">
        <v>5.2499999999999998E-2</v>
      </c>
      <c r="W298" s="2">
        <v>0</v>
      </c>
      <c r="X298">
        <v>0</v>
      </c>
      <c r="Y298" t="s">
        <v>214</v>
      </c>
      <c r="Z298" t="s">
        <v>360</v>
      </c>
      <c r="AA298">
        <v>0</v>
      </c>
      <c r="AB298" s="2">
        <v>0</v>
      </c>
      <c r="AC298" s="2">
        <v>0</v>
      </c>
      <c r="AD298" s="3">
        <v>0</v>
      </c>
      <c r="AE298" s="2">
        <v>0</v>
      </c>
      <c r="AF298" s="2">
        <v>0</v>
      </c>
      <c r="AG298" s="2">
        <v>0</v>
      </c>
      <c r="AH298" s="2">
        <v>0</v>
      </c>
      <c r="AI298" s="2">
        <v>0</v>
      </c>
      <c r="AJ298" s="2">
        <v>0</v>
      </c>
      <c r="AK298" s="2">
        <v>0</v>
      </c>
      <c r="AL298" s="2">
        <v>0</v>
      </c>
      <c r="AM298" s="2">
        <v>2.04</v>
      </c>
      <c r="AN298" s="2">
        <v>2.04</v>
      </c>
      <c r="AO298" s="2">
        <v>0</v>
      </c>
      <c r="AP298" s="2">
        <v>0</v>
      </c>
      <c r="AQ298" s="2">
        <v>0</v>
      </c>
    </row>
    <row r="299" spans="1:43" x14ac:dyDescent="0.25">
      <c r="A299" s="1">
        <v>45936</v>
      </c>
      <c r="B299" t="s">
        <v>48</v>
      </c>
      <c r="C299">
        <v>649163</v>
      </c>
      <c r="D299">
        <v>2018908125</v>
      </c>
      <c r="E299" t="s">
        <v>584</v>
      </c>
      <c r="F299" t="s">
        <v>585</v>
      </c>
      <c r="G299" t="s">
        <v>51</v>
      </c>
      <c r="H299" t="s">
        <v>70</v>
      </c>
      <c r="I299" t="s">
        <v>350</v>
      </c>
      <c r="J299" t="s">
        <v>351</v>
      </c>
      <c r="K299">
        <v>678320</v>
      </c>
      <c r="L299" t="s">
        <v>576</v>
      </c>
      <c r="M299" t="s">
        <v>139</v>
      </c>
      <c r="N299" t="s">
        <v>57</v>
      </c>
      <c r="O299" s="1">
        <v>45108</v>
      </c>
      <c r="Q299" s="1">
        <v>45962</v>
      </c>
      <c r="R299" s="2">
        <v>48.22</v>
      </c>
      <c r="S299">
        <v>1</v>
      </c>
      <c r="T299" t="s">
        <v>58</v>
      </c>
      <c r="U299" t="s">
        <v>359</v>
      </c>
      <c r="V299" s="4">
        <v>5.2499999999999998E-2</v>
      </c>
      <c r="W299" s="2">
        <v>0</v>
      </c>
      <c r="X299">
        <v>0</v>
      </c>
      <c r="Y299" t="s">
        <v>214</v>
      </c>
      <c r="Z299" t="s">
        <v>360</v>
      </c>
      <c r="AA299">
        <v>0</v>
      </c>
      <c r="AB299" s="2">
        <v>0</v>
      </c>
      <c r="AC299" s="2">
        <v>0</v>
      </c>
      <c r="AD299" s="3">
        <v>0</v>
      </c>
      <c r="AE299" s="2">
        <v>0</v>
      </c>
      <c r="AF299" s="2">
        <v>0</v>
      </c>
      <c r="AG299" s="2">
        <v>0</v>
      </c>
      <c r="AH299" s="2">
        <v>0</v>
      </c>
      <c r="AI299" s="2">
        <v>0</v>
      </c>
      <c r="AJ299" s="2">
        <v>0</v>
      </c>
      <c r="AK299" s="2">
        <v>0</v>
      </c>
      <c r="AL299" s="2">
        <v>0</v>
      </c>
      <c r="AM299" s="2">
        <v>2.5299999999999998</v>
      </c>
      <c r="AN299" s="2">
        <v>2.5299999999999998</v>
      </c>
      <c r="AO299" s="2">
        <v>0</v>
      </c>
      <c r="AP299" s="2">
        <v>0</v>
      </c>
      <c r="AQ299" s="2">
        <v>0</v>
      </c>
    </row>
    <row r="300" spans="1:43" x14ac:dyDescent="0.25">
      <c r="A300" s="1">
        <v>45936</v>
      </c>
      <c r="B300" t="s">
        <v>48</v>
      </c>
      <c r="C300">
        <v>649163</v>
      </c>
      <c r="D300">
        <v>2019101129</v>
      </c>
      <c r="E300" t="s">
        <v>586</v>
      </c>
      <c r="F300" t="s">
        <v>224</v>
      </c>
      <c r="G300" t="s">
        <v>51</v>
      </c>
      <c r="H300" t="s">
        <v>70</v>
      </c>
      <c r="I300" t="s">
        <v>350</v>
      </c>
      <c r="J300" t="s">
        <v>351</v>
      </c>
      <c r="K300">
        <v>678320</v>
      </c>
      <c r="L300" t="s">
        <v>576</v>
      </c>
      <c r="M300" t="s">
        <v>139</v>
      </c>
      <c r="N300" t="s">
        <v>57</v>
      </c>
      <c r="O300" s="1">
        <v>45108</v>
      </c>
      <c r="Q300" s="1">
        <v>45962</v>
      </c>
      <c r="R300" s="2">
        <v>43.59</v>
      </c>
      <c r="S300">
        <v>1</v>
      </c>
      <c r="T300" t="s">
        <v>58</v>
      </c>
      <c r="U300" t="s">
        <v>359</v>
      </c>
      <c r="V300" s="4">
        <v>5.2499999999999998E-2</v>
      </c>
      <c r="W300" s="2">
        <v>0</v>
      </c>
      <c r="X300">
        <v>0</v>
      </c>
      <c r="Y300" t="s">
        <v>214</v>
      </c>
      <c r="Z300" t="s">
        <v>360</v>
      </c>
      <c r="AA300">
        <v>0</v>
      </c>
      <c r="AB300" s="2">
        <v>0</v>
      </c>
      <c r="AC300" s="2">
        <v>0</v>
      </c>
      <c r="AD300" s="3">
        <v>0</v>
      </c>
      <c r="AE300" s="2">
        <v>0</v>
      </c>
      <c r="AF300" s="2">
        <v>0</v>
      </c>
      <c r="AG300" s="2">
        <v>0</v>
      </c>
      <c r="AH300" s="2">
        <v>0</v>
      </c>
      <c r="AI300" s="2">
        <v>0</v>
      </c>
      <c r="AJ300" s="2">
        <v>0</v>
      </c>
      <c r="AK300" s="2">
        <v>0</v>
      </c>
      <c r="AL300" s="2">
        <v>0</v>
      </c>
      <c r="AM300" s="2">
        <v>2.29</v>
      </c>
      <c r="AN300" s="2">
        <v>2.29</v>
      </c>
      <c r="AO300" s="2">
        <v>0</v>
      </c>
      <c r="AP300" s="2">
        <v>0</v>
      </c>
      <c r="AQ300" s="2">
        <v>0</v>
      </c>
    </row>
    <row r="301" spans="1:43" x14ac:dyDescent="0.25">
      <c r="A301" s="1">
        <v>45936</v>
      </c>
      <c r="B301" t="s">
        <v>48</v>
      </c>
      <c r="C301">
        <v>649163</v>
      </c>
      <c r="D301">
        <v>2019170689</v>
      </c>
      <c r="E301" t="s">
        <v>587</v>
      </c>
      <c r="F301" t="s">
        <v>588</v>
      </c>
      <c r="G301" t="s">
        <v>51</v>
      </c>
      <c r="H301" t="s">
        <v>323</v>
      </c>
      <c r="I301" t="s">
        <v>350</v>
      </c>
      <c r="J301" t="s">
        <v>351</v>
      </c>
      <c r="K301">
        <v>673059</v>
      </c>
      <c r="L301" t="s">
        <v>80</v>
      </c>
      <c r="M301" t="s">
        <v>81</v>
      </c>
      <c r="N301" t="s">
        <v>57</v>
      </c>
      <c r="O301" s="1">
        <v>45108</v>
      </c>
      <c r="Q301" s="1">
        <v>45962</v>
      </c>
      <c r="R301" s="2">
        <v>32.770000000000003</v>
      </c>
      <c r="S301">
        <v>1</v>
      </c>
      <c r="T301" t="s">
        <v>58</v>
      </c>
      <c r="U301" t="s">
        <v>359</v>
      </c>
      <c r="V301" s="4">
        <v>5.2499999999999998E-2</v>
      </c>
      <c r="W301" s="2">
        <v>0</v>
      </c>
      <c r="X301">
        <v>0</v>
      </c>
      <c r="Y301" t="s">
        <v>214</v>
      </c>
      <c r="Z301" t="s">
        <v>360</v>
      </c>
      <c r="AA301">
        <v>0</v>
      </c>
      <c r="AB301" s="2">
        <v>0</v>
      </c>
      <c r="AC301" s="2">
        <v>0</v>
      </c>
      <c r="AD301" s="3">
        <v>0</v>
      </c>
      <c r="AE301" s="2">
        <v>0</v>
      </c>
      <c r="AF301" s="2">
        <v>0</v>
      </c>
      <c r="AG301" s="2">
        <v>0</v>
      </c>
      <c r="AH301" s="2">
        <v>0</v>
      </c>
      <c r="AI301" s="2">
        <v>0</v>
      </c>
      <c r="AJ301" s="2">
        <v>0</v>
      </c>
      <c r="AK301" s="2">
        <v>0</v>
      </c>
      <c r="AL301" s="2">
        <v>0</v>
      </c>
      <c r="AM301" s="2">
        <v>1.72</v>
      </c>
      <c r="AN301" s="2">
        <v>1.72</v>
      </c>
      <c r="AO301" s="2">
        <v>0</v>
      </c>
      <c r="AP301" s="2">
        <v>0</v>
      </c>
      <c r="AQ301" s="2">
        <v>0</v>
      </c>
    </row>
    <row r="302" spans="1:43" x14ac:dyDescent="0.25">
      <c r="A302" s="1">
        <v>45936</v>
      </c>
      <c r="B302" t="s">
        <v>48</v>
      </c>
      <c r="C302">
        <v>649163</v>
      </c>
      <c r="D302">
        <v>2019202915</v>
      </c>
      <c r="E302" t="s">
        <v>589</v>
      </c>
      <c r="F302" t="s">
        <v>238</v>
      </c>
      <c r="G302" t="s">
        <v>51</v>
      </c>
      <c r="H302" t="s">
        <v>247</v>
      </c>
      <c r="I302" t="s">
        <v>350</v>
      </c>
      <c r="J302" t="s">
        <v>351</v>
      </c>
      <c r="K302">
        <v>673059</v>
      </c>
      <c r="L302" t="s">
        <v>80</v>
      </c>
      <c r="M302" t="s">
        <v>81</v>
      </c>
      <c r="N302" t="s">
        <v>57</v>
      </c>
      <c r="O302" s="1">
        <v>45108</v>
      </c>
      <c r="Q302" s="1">
        <v>45962</v>
      </c>
      <c r="R302" s="2">
        <v>47.55</v>
      </c>
      <c r="S302">
        <v>1</v>
      </c>
      <c r="T302" t="s">
        <v>58</v>
      </c>
      <c r="U302" t="s">
        <v>359</v>
      </c>
      <c r="V302" s="4">
        <v>5.2499999999999998E-2</v>
      </c>
      <c r="W302" s="2">
        <v>0</v>
      </c>
      <c r="X302">
        <v>0</v>
      </c>
      <c r="Y302" t="s">
        <v>214</v>
      </c>
      <c r="Z302" t="s">
        <v>360</v>
      </c>
      <c r="AA302">
        <v>0</v>
      </c>
      <c r="AB302" s="2">
        <v>0</v>
      </c>
      <c r="AC302" s="2">
        <v>0</v>
      </c>
      <c r="AD302" s="3">
        <v>0</v>
      </c>
      <c r="AE302" s="2">
        <v>0</v>
      </c>
      <c r="AF302" s="2">
        <v>0</v>
      </c>
      <c r="AG302" s="2">
        <v>0</v>
      </c>
      <c r="AH302" s="2">
        <v>0</v>
      </c>
      <c r="AI302" s="2">
        <v>0</v>
      </c>
      <c r="AJ302" s="2">
        <v>0</v>
      </c>
      <c r="AK302" s="2">
        <v>0</v>
      </c>
      <c r="AL302" s="2">
        <v>0</v>
      </c>
      <c r="AM302" s="2">
        <v>2.5</v>
      </c>
      <c r="AN302" s="2">
        <v>2.5</v>
      </c>
      <c r="AO302" s="2">
        <v>0</v>
      </c>
      <c r="AP302" s="2">
        <v>0</v>
      </c>
      <c r="AQ302" s="2">
        <v>0</v>
      </c>
    </row>
    <row r="303" spans="1:43" x14ac:dyDescent="0.25">
      <c r="A303" s="1">
        <v>45936</v>
      </c>
      <c r="B303" t="s">
        <v>48</v>
      </c>
      <c r="C303">
        <v>649163</v>
      </c>
      <c r="D303">
        <v>2019324243</v>
      </c>
      <c r="E303" t="s">
        <v>590</v>
      </c>
      <c r="F303" t="s">
        <v>72</v>
      </c>
      <c r="G303" t="s">
        <v>51</v>
      </c>
      <c r="H303" t="s">
        <v>88</v>
      </c>
      <c r="I303" t="s">
        <v>350</v>
      </c>
      <c r="J303" t="s">
        <v>351</v>
      </c>
      <c r="K303">
        <v>673059</v>
      </c>
      <c r="L303" t="s">
        <v>80</v>
      </c>
      <c r="M303" t="s">
        <v>81</v>
      </c>
      <c r="N303" t="s">
        <v>57</v>
      </c>
      <c r="O303" s="1">
        <v>45139</v>
      </c>
      <c r="Q303" s="1">
        <v>45962</v>
      </c>
      <c r="R303" s="2">
        <v>14.86</v>
      </c>
      <c r="S303">
        <v>1</v>
      </c>
      <c r="T303" t="s">
        <v>58</v>
      </c>
      <c r="U303" t="s">
        <v>359</v>
      </c>
      <c r="V303" s="4">
        <v>5.2499999999999998E-2</v>
      </c>
      <c r="W303" s="2">
        <v>0</v>
      </c>
      <c r="X303">
        <v>0</v>
      </c>
      <c r="Y303" t="s">
        <v>214</v>
      </c>
      <c r="Z303" t="s">
        <v>360</v>
      </c>
      <c r="AA303">
        <v>0</v>
      </c>
      <c r="AB303" s="2">
        <v>0</v>
      </c>
      <c r="AC303" s="2">
        <v>0</v>
      </c>
      <c r="AD303" s="3">
        <v>0</v>
      </c>
      <c r="AE303" s="2">
        <v>0</v>
      </c>
      <c r="AF303" s="2">
        <v>0</v>
      </c>
      <c r="AG303" s="2">
        <v>0</v>
      </c>
      <c r="AH303" s="2">
        <v>0</v>
      </c>
      <c r="AI303" s="2">
        <v>0</v>
      </c>
      <c r="AJ303" s="2">
        <v>0</v>
      </c>
      <c r="AK303" s="2">
        <v>0</v>
      </c>
      <c r="AL303" s="2">
        <v>0</v>
      </c>
      <c r="AM303" s="2">
        <v>0.78</v>
      </c>
      <c r="AN303" s="2">
        <v>0.78</v>
      </c>
      <c r="AO303" s="2">
        <v>0</v>
      </c>
      <c r="AP303" s="2">
        <v>0</v>
      </c>
      <c r="AQ303" s="2">
        <v>0</v>
      </c>
    </row>
    <row r="304" spans="1:43" x14ac:dyDescent="0.25">
      <c r="A304" s="1">
        <v>45936</v>
      </c>
      <c r="B304" t="s">
        <v>48</v>
      </c>
      <c r="C304">
        <v>649163</v>
      </c>
      <c r="D304">
        <v>2019345387</v>
      </c>
      <c r="E304" t="s">
        <v>591</v>
      </c>
      <c r="F304" t="s">
        <v>301</v>
      </c>
      <c r="G304" t="s">
        <v>51</v>
      </c>
      <c r="H304" t="s">
        <v>70</v>
      </c>
      <c r="I304" t="s">
        <v>350</v>
      </c>
      <c r="J304" t="s">
        <v>351</v>
      </c>
      <c r="K304">
        <v>649285</v>
      </c>
      <c r="L304" t="s">
        <v>479</v>
      </c>
      <c r="M304" t="s">
        <v>480</v>
      </c>
      <c r="N304" t="s">
        <v>57</v>
      </c>
      <c r="O304" s="1">
        <v>45139</v>
      </c>
      <c r="Q304" s="1">
        <v>45962</v>
      </c>
      <c r="R304" s="2">
        <v>92.61</v>
      </c>
      <c r="S304">
        <v>1</v>
      </c>
      <c r="T304" t="s">
        <v>58</v>
      </c>
      <c r="U304" t="s">
        <v>359</v>
      </c>
      <c r="V304" s="3">
        <v>0</v>
      </c>
      <c r="W304" s="2">
        <v>0</v>
      </c>
      <c r="X304">
        <v>0</v>
      </c>
      <c r="Y304" t="s">
        <v>214</v>
      </c>
      <c r="Z304" t="s">
        <v>360</v>
      </c>
      <c r="AA304">
        <v>0</v>
      </c>
      <c r="AB304" s="2">
        <v>0</v>
      </c>
      <c r="AC304" s="2">
        <v>0</v>
      </c>
      <c r="AD304" s="3">
        <v>0</v>
      </c>
      <c r="AE304" s="2">
        <v>0</v>
      </c>
      <c r="AF304" s="2">
        <v>0</v>
      </c>
      <c r="AG304" s="2">
        <v>0</v>
      </c>
      <c r="AH304" s="2">
        <v>0</v>
      </c>
      <c r="AI304" s="2">
        <v>0</v>
      </c>
      <c r="AJ304" s="2">
        <v>0</v>
      </c>
      <c r="AK304" s="2">
        <v>0</v>
      </c>
      <c r="AL304" s="2">
        <v>0</v>
      </c>
      <c r="AM304" s="2">
        <v>0.69</v>
      </c>
      <c r="AN304" s="2">
        <v>0.69</v>
      </c>
      <c r="AO304" s="2">
        <v>0</v>
      </c>
      <c r="AP304" s="2">
        <v>0</v>
      </c>
      <c r="AQ304" s="2">
        <v>0</v>
      </c>
    </row>
    <row r="305" spans="1:43" x14ac:dyDescent="0.25">
      <c r="A305" s="1">
        <v>45936</v>
      </c>
      <c r="B305" t="s">
        <v>48</v>
      </c>
      <c r="C305">
        <v>649163</v>
      </c>
      <c r="D305">
        <v>2019422323</v>
      </c>
      <c r="E305" t="s">
        <v>592</v>
      </c>
      <c r="F305" t="s">
        <v>593</v>
      </c>
      <c r="G305" t="s">
        <v>51</v>
      </c>
      <c r="H305" t="s">
        <v>427</v>
      </c>
      <c r="I305" t="s">
        <v>350</v>
      </c>
      <c r="J305" t="s">
        <v>351</v>
      </c>
      <c r="K305">
        <v>673059</v>
      </c>
      <c r="L305" t="s">
        <v>80</v>
      </c>
      <c r="M305" t="s">
        <v>81</v>
      </c>
      <c r="N305" t="s">
        <v>57</v>
      </c>
      <c r="O305" s="1">
        <v>45139</v>
      </c>
      <c r="Q305" s="1">
        <v>45962</v>
      </c>
      <c r="R305" s="2">
        <v>42.84</v>
      </c>
      <c r="S305">
        <v>1</v>
      </c>
      <c r="T305" t="s">
        <v>58</v>
      </c>
      <c r="U305" t="s">
        <v>359</v>
      </c>
      <c r="V305" s="4">
        <v>5.2499999999999998E-2</v>
      </c>
      <c r="W305" s="2">
        <v>0</v>
      </c>
      <c r="X305">
        <v>0</v>
      </c>
      <c r="Y305" t="s">
        <v>214</v>
      </c>
      <c r="Z305" t="s">
        <v>360</v>
      </c>
      <c r="AA305">
        <v>0</v>
      </c>
      <c r="AB305" s="2">
        <v>0</v>
      </c>
      <c r="AC305" s="2">
        <v>0</v>
      </c>
      <c r="AD305" s="3">
        <v>0</v>
      </c>
      <c r="AE305" s="2">
        <v>0</v>
      </c>
      <c r="AF305" s="2">
        <v>0</v>
      </c>
      <c r="AG305" s="2">
        <v>0</v>
      </c>
      <c r="AH305" s="2">
        <v>0</v>
      </c>
      <c r="AI305" s="2">
        <v>0</v>
      </c>
      <c r="AJ305" s="2">
        <v>0</v>
      </c>
      <c r="AK305" s="2">
        <v>0</v>
      </c>
      <c r="AL305" s="2">
        <v>0</v>
      </c>
      <c r="AM305" s="2">
        <v>2.25</v>
      </c>
      <c r="AN305" s="2">
        <v>2.25</v>
      </c>
      <c r="AO305" s="2">
        <v>0</v>
      </c>
      <c r="AP305" s="2">
        <v>0</v>
      </c>
      <c r="AQ305" s="2">
        <v>0</v>
      </c>
    </row>
    <row r="306" spans="1:43" x14ac:dyDescent="0.25">
      <c r="A306" s="1">
        <v>45936</v>
      </c>
      <c r="B306" t="s">
        <v>48</v>
      </c>
      <c r="C306">
        <v>649163</v>
      </c>
      <c r="D306">
        <v>2019602458</v>
      </c>
      <c r="E306" t="s">
        <v>594</v>
      </c>
      <c r="F306" t="s">
        <v>595</v>
      </c>
      <c r="G306" t="s">
        <v>51</v>
      </c>
      <c r="H306" t="s">
        <v>70</v>
      </c>
      <c r="I306" t="s">
        <v>350</v>
      </c>
      <c r="J306" t="s">
        <v>351</v>
      </c>
      <c r="K306">
        <v>677095</v>
      </c>
      <c r="L306" t="s">
        <v>415</v>
      </c>
      <c r="M306" t="s">
        <v>401</v>
      </c>
      <c r="N306" t="s">
        <v>57</v>
      </c>
      <c r="O306" s="1">
        <v>45170</v>
      </c>
      <c r="Q306" s="1">
        <v>45962</v>
      </c>
      <c r="R306" s="2">
        <v>51.19</v>
      </c>
      <c r="S306">
        <v>1</v>
      </c>
      <c r="T306" t="s">
        <v>58</v>
      </c>
      <c r="U306" t="s">
        <v>359</v>
      </c>
      <c r="V306" s="3">
        <v>0</v>
      </c>
      <c r="W306" s="2">
        <v>0</v>
      </c>
      <c r="X306">
        <v>0</v>
      </c>
      <c r="Y306" t="s">
        <v>214</v>
      </c>
      <c r="Z306" t="s">
        <v>360</v>
      </c>
      <c r="AA306">
        <v>0</v>
      </c>
      <c r="AB306" s="2">
        <v>0</v>
      </c>
      <c r="AC306" s="2">
        <v>0</v>
      </c>
      <c r="AD306" s="3">
        <v>0</v>
      </c>
      <c r="AE306" s="2">
        <v>0</v>
      </c>
      <c r="AF306" s="2">
        <v>0</v>
      </c>
      <c r="AG306" s="2">
        <v>0</v>
      </c>
      <c r="AH306" s="2">
        <v>0</v>
      </c>
      <c r="AI306" s="2">
        <v>0</v>
      </c>
      <c r="AJ306" s="2">
        <v>0</v>
      </c>
      <c r="AK306" s="2">
        <v>0</v>
      </c>
      <c r="AL306" s="2">
        <v>0</v>
      </c>
      <c r="AM306" s="2">
        <v>0.38</v>
      </c>
      <c r="AN306" s="2">
        <v>0.38</v>
      </c>
      <c r="AO306" s="2">
        <v>0</v>
      </c>
      <c r="AP306" s="2">
        <v>0</v>
      </c>
      <c r="AQ306" s="2">
        <v>0</v>
      </c>
    </row>
    <row r="307" spans="1:43" x14ac:dyDescent="0.25">
      <c r="A307" s="1">
        <v>45936</v>
      </c>
      <c r="B307" t="s">
        <v>48</v>
      </c>
      <c r="C307">
        <v>649163</v>
      </c>
      <c r="D307">
        <v>2019741130</v>
      </c>
      <c r="E307" t="s">
        <v>596</v>
      </c>
      <c r="F307" t="s">
        <v>597</v>
      </c>
      <c r="G307" t="s">
        <v>51</v>
      </c>
      <c r="H307" t="s">
        <v>70</v>
      </c>
      <c r="I307" t="s">
        <v>350</v>
      </c>
      <c r="J307" t="s">
        <v>351</v>
      </c>
      <c r="K307">
        <v>649164</v>
      </c>
      <c r="L307" t="s">
        <v>211</v>
      </c>
      <c r="M307" t="s">
        <v>212</v>
      </c>
      <c r="N307" t="s">
        <v>57</v>
      </c>
      <c r="O307" s="1">
        <v>45170</v>
      </c>
      <c r="Q307" s="1">
        <v>45962</v>
      </c>
      <c r="R307" s="2">
        <v>64.540000000000006</v>
      </c>
      <c r="S307">
        <v>1</v>
      </c>
      <c r="T307" t="s">
        <v>58</v>
      </c>
      <c r="U307" t="s">
        <v>359</v>
      </c>
      <c r="V307" s="4">
        <v>5.2499999999999998E-2</v>
      </c>
      <c r="W307" s="2">
        <v>0</v>
      </c>
      <c r="X307">
        <v>0</v>
      </c>
      <c r="Y307" t="s">
        <v>214</v>
      </c>
      <c r="Z307" t="s">
        <v>360</v>
      </c>
      <c r="AA307">
        <v>0</v>
      </c>
      <c r="AB307" s="2">
        <v>0</v>
      </c>
      <c r="AC307" s="2">
        <v>0</v>
      </c>
      <c r="AD307" s="3">
        <v>0</v>
      </c>
      <c r="AE307" s="2">
        <v>0</v>
      </c>
      <c r="AF307" s="2">
        <v>0</v>
      </c>
      <c r="AG307" s="2">
        <v>0</v>
      </c>
      <c r="AH307" s="2">
        <v>0</v>
      </c>
      <c r="AI307" s="2">
        <v>0</v>
      </c>
      <c r="AJ307" s="2">
        <v>0</v>
      </c>
      <c r="AK307" s="2">
        <v>0</v>
      </c>
      <c r="AL307" s="2">
        <v>0</v>
      </c>
      <c r="AM307" s="2">
        <v>3.39</v>
      </c>
      <c r="AN307" s="2">
        <v>3.39</v>
      </c>
      <c r="AO307" s="2">
        <v>0</v>
      </c>
      <c r="AP307" s="2">
        <v>0</v>
      </c>
      <c r="AQ307" s="2">
        <v>0</v>
      </c>
    </row>
    <row r="308" spans="1:43" x14ac:dyDescent="0.25">
      <c r="A308" s="1">
        <v>45936</v>
      </c>
      <c r="B308" t="s">
        <v>48</v>
      </c>
      <c r="C308">
        <v>649163</v>
      </c>
      <c r="D308">
        <v>2020148911</v>
      </c>
      <c r="E308" t="s">
        <v>598</v>
      </c>
      <c r="F308" t="s">
        <v>524</v>
      </c>
      <c r="G308" t="s">
        <v>51</v>
      </c>
      <c r="H308" t="s">
        <v>70</v>
      </c>
      <c r="I308" t="s">
        <v>350</v>
      </c>
      <c r="J308" t="s">
        <v>351</v>
      </c>
      <c r="K308">
        <v>678320</v>
      </c>
      <c r="L308" t="s">
        <v>576</v>
      </c>
      <c r="M308" t="s">
        <v>139</v>
      </c>
      <c r="N308" t="s">
        <v>57</v>
      </c>
      <c r="O308" s="1">
        <v>45200</v>
      </c>
      <c r="Q308" s="1">
        <v>45962</v>
      </c>
      <c r="R308" s="2">
        <v>30.23</v>
      </c>
      <c r="S308">
        <v>1</v>
      </c>
      <c r="T308" t="s">
        <v>58</v>
      </c>
      <c r="U308" t="s">
        <v>359</v>
      </c>
      <c r="V308" s="4">
        <v>5.2499999999999998E-2</v>
      </c>
      <c r="W308" s="2">
        <v>0</v>
      </c>
      <c r="X308">
        <v>0</v>
      </c>
      <c r="Y308" t="s">
        <v>214</v>
      </c>
      <c r="Z308" t="s">
        <v>360</v>
      </c>
      <c r="AA308">
        <v>0</v>
      </c>
      <c r="AB308" s="2">
        <v>0</v>
      </c>
      <c r="AC308" s="2">
        <v>0</v>
      </c>
      <c r="AD308" s="3">
        <v>0</v>
      </c>
      <c r="AE308" s="2">
        <v>0</v>
      </c>
      <c r="AF308" s="2">
        <v>0</v>
      </c>
      <c r="AG308" s="2">
        <v>0</v>
      </c>
      <c r="AH308" s="2">
        <v>0</v>
      </c>
      <c r="AI308" s="2">
        <v>0</v>
      </c>
      <c r="AJ308" s="2">
        <v>0</v>
      </c>
      <c r="AK308" s="2">
        <v>0</v>
      </c>
      <c r="AL308" s="2">
        <v>0</v>
      </c>
      <c r="AM308" s="2">
        <v>1.59</v>
      </c>
      <c r="AN308" s="2">
        <v>1.59</v>
      </c>
      <c r="AO308" s="2">
        <v>0</v>
      </c>
      <c r="AP308" s="2">
        <v>0</v>
      </c>
      <c r="AQ308" s="2">
        <v>0</v>
      </c>
    </row>
    <row r="309" spans="1:43" x14ac:dyDescent="0.25">
      <c r="A309" s="1">
        <v>45936</v>
      </c>
      <c r="B309" t="s">
        <v>48</v>
      </c>
      <c r="C309">
        <v>649163</v>
      </c>
      <c r="D309">
        <v>2020450119</v>
      </c>
      <c r="E309" t="s">
        <v>599</v>
      </c>
      <c r="F309" t="s">
        <v>600</v>
      </c>
      <c r="G309" t="s">
        <v>51</v>
      </c>
      <c r="H309" t="s">
        <v>70</v>
      </c>
      <c r="I309" t="s">
        <v>350</v>
      </c>
      <c r="J309" t="s">
        <v>351</v>
      </c>
      <c r="K309">
        <v>649247</v>
      </c>
      <c r="L309" t="s">
        <v>75</v>
      </c>
      <c r="M309" t="s">
        <v>76</v>
      </c>
      <c r="N309" t="s">
        <v>57</v>
      </c>
      <c r="O309" s="1">
        <v>45231</v>
      </c>
      <c r="Q309" s="1">
        <v>45962</v>
      </c>
      <c r="R309" s="2">
        <v>115.64</v>
      </c>
      <c r="S309">
        <v>1</v>
      </c>
      <c r="T309" t="s">
        <v>58</v>
      </c>
      <c r="U309" t="s">
        <v>359</v>
      </c>
      <c r="V309" s="4">
        <v>5.2499999999999998E-2</v>
      </c>
      <c r="W309" s="2">
        <v>0</v>
      </c>
      <c r="X309">
        <v>0</v>
      </c>
      <c r="Y309" t="s">
        <v>214</v>
      </c>
      <c r="Z309" t="s">
        <v>360</v>
      </c>
      <c r="AA309">
        <v>0</v>
      </c>
      <c r="AB309" s="2">
        <v>0</v>
      </c>
      <c r="AC309" s="2">
        <v>0</v>
      </c>
      <c r="AD309" s="3">
        <v>0</v>
      </c>
      <c r="AE309" s="2">
        <v>0</v>
      </c>
      <c r="AF309" s="2">
        <v>0</v>
      </c>
      <c r="AG309" s="2">
        <v>0</v>
      </c>
      <c r="AH309" s="2">
        <v>0</v>
      </c>
      <c r="AI309" s="2">
        <v>0</v>
      </c>
      <c r="AJ309" s="2">
        <v>0</v>
      </c>
      <c r="AK309" s="2">
        <v>0</v>
      </c>
      <c r="AL309" s="2">
        <v>0</v>
      </c>
      <c r="AM309" s="2">
        <v>6.07</v>
      </c>
      <c r="AN309" s="2">
        <v>6.07</v>
      </c>
      <c r="AO309" s="2">
        <v>0</v>
      </c>
      <c r="AP309" s="2">
        <v>0</v>
      </c>
      <c r="AQ309" s="2">
        <v>0</v>
      </c>
    </row>
    <row r="310" spans="1:43" x14ac:dyDescent="0.25">
      <c r="A310" s="1">
        <v>45936</v>
      </c>
      <c r="B310" t="s">
        <v>48</v>
      </c>
      <c r="C310">
        <v>649163</v>
      </c>
      <c r="D310">
        <v>2020472287</v>
      </c>
      <c r="E310" t="s">
        <v>601</v>
      </c>
      <c r="F310" t="s">
        <v>488</v>
      </c>
      <c r="G310" t="s">
        <v>51</v>
      </c>
      <c r="H310" t="s">
        <v>70</v>
      </c>
      <c r="I310" t="s">
        <v>350</v>
      </c>
      <c r="J310" t="s">
        <v>351</v>
      </c>
      <c r="K310">
        <v>678320</v>
      </c>
      <c r="L310" t="s">
        <v>576</v>
      </c>
      <c r="M310" t="s">
        <v>139</v>
      </c>
      <c r="N310" t="s">
        <v>57</v>
      </c>
      <c r="O310" s="1">
        <v>45261</v>
      </c>
      <c r="Q310" s="1">
        <v>45962</v>
      </c>
      <c r="R310" s="2">
        <v>33.590000000000003</v>
      </c>
      <c r="S310">
        <v>1</v>
      </c>
      <c r="T310" t="s">
        <v>58</v>
      </c>
      <c r="U310" t="s">
        <v>359</v>
      </c>
      <c r="V310" s="4">
        <v>5.2499999999999998E-2</v>
      </c>
      <c r="W310" s="2">
        <v>0</v>
      </c>
      <c r="X310">
        <v>0</v>
      </c>
      <c r="Y310" t="s">
        <v>214</v>
      </c>
      <c r="Z310" t="s">
        <v>360</v>
      </c>
      <c r="AA310">
        <v>0</v>
      </c>
      <c r="AB310" s="2">
        <v>0</v>
      </c>
      <c r="AC310" s="2">
        <v>0</v>
      </c>
      <c r="AD310" s="3">
        <v>0</v>
      </c>
      <c r="AE310" s="2">
        <v>0</v>
      </c>
      <c r="AF310" s="2">
        <v>0</v>
      </c>
      <c r="AG310" s="2">
        <v>0</v>
      </c>
      <c r="AH310" s="2">
        <v>0</v>
      </c>
      <c r="AI310" s="2">
        <v>0</v>
      </c>
      <c r="AJ310" s="2">
        <v>0</v>
      </c>
      <c r="AK310" s="2">
        <v>0</v>
      </c>
      <c r="AL310" s="2">
        <v>0</v>
      </c>
      <c r="AM310" s="2">
        <v>1.76</v>
      </c>
      <c r="AN310" s="2">
        <v>1.76</v>
      </c>
      <c r="AO310" s="2">
        <v>0</v>
      </c>
      <c r="AP310" s="2">
        <v>0</v>
      </c>
      <c r="AQ310" s="2">
        <v>0</v>
      </c>
    </row>
    <row r="311" spans="1:43" x14ac:dyDescent="0.25">
      <c r="A311" s="1">
        <v>45936</v>
      </c>
      <c r="B311" t="s">
        <v>48</v>
      </c>
      <c r="C311">
        <v>649163</v>
      </c>
      <c r="D311">
        <v>2020478111</v>
      </c>
      <c r="E311" t="s">
        <v>602</v>
      </c>
      <c r="F311" t="s">
        <v>603</v>
      </c>
      <c r="G311" t="s">
        <v>51</v>
      </c>
      <c r="H311" t="s">
        <v>70</v>
      </c>
      <c r="I311" t="s">
        <v>350</v>
      </c>
      <c r="J311" t="s">
        <v>351</v>
      </c>
      <c r="K311">
        <v>678320</v>
      </c>
      <c r="L311" t="s">
        <v>576</v>
      </c>
      <c r="M311" t="s">
        <v>139</v>
      </c>
      <c r="N311" t="s">
        <v>57</v>
      </c>
      <c r="O311" s="1">
        <v>45231</v>
      </c>
      <c r="Q311" s="1">
        <v>45962</v>
      </c>
      <c r="R311" s="2">
        <v>43.59</v>
      </c>
      <c r="S311">
        <v>1</v>
      </c>
      <c r="T311" t="s">
        <v>58</v>
      </c>
      <c r="U311" t="s">
        <v>359</v>
      </c>
      <c r="V311" s="4">
        <v>5.2499999999999998E-2</v>
      </c>
      <c r="W311" s="2">
        <v>0</v>
      </c>
      <c r="X311">
        <v>0</v>
      </c>
      <c r="Y311" t="s">
        <v>214</v>
      </c>
      <c r="Z311" t="s">
        <v>360</v>
      </c>
      <c r="AA311">
        <v>0</v>
      </c>
      <c r="AB311" s="2">
        <v>0</v>
      </c>
      <c r="AC311" s="2">
        <v>0</v>
      </c>
      <c r="AD311" s="3">
        <v>0</v>
      </c>
      <c r="AE311" s="2">
        <v>0</v>
      </c>
      <c r="AF311" s="2">
        <v>0</v>
      </c>
      <c r="AG311" s="2">
        <v>0</v>
      </c>
      <c r="AH311" s="2">
        <v>0</v>
      </c>
      <c r="AI311" s="2">
        <v>0</v>
      </c>
      <c r="AJ311" s="2">
        <v>0</v>
      </c>
      <c r="AK311" s="2">
        <v>0</v>
      </c>
      <c r="AL311" s="2">
        <v>0</v>
      </c>
      <c r="AM311" s="2">
        <v>2.29</v>
      </c>
      <c r="AN311" s="2">
        <v>2.29</v>
      </c>
      <c r="AO311" s="2">
        <v>0</v>
      </c>
      <c r="AP311" s="2">
        <v>0</v>
      </c>
      <c r="AQ311" s="2">
        <v>0</v>
      </c>
    </row>
    <row r="312" spans="1:43" x14ac:dyDescent="0.25">
      <c r="A312" s="1">
        <v>45936</v>
      </c>
      <c r="B312" t="s">
        <v>48</v>
      </c>
      <c r="C312">
        <v>649163</v>
      </c>
      <c r="D312">
        <v>2020488528</v>
      </c>
      <c r="E312" t="s">
        <v>208</v>
      </c>
      <c r="F312" t="s">
        <v>207</v>
      </c>
      <c r="G312" t="s">
        <v>51</v>
      </c>
      <c r="H312" t="s">
        <v>70</v>
      </c>
      <c r="I312" t="s">
        <v>350</v>
      </c>
      <c r="J312" t="s">
        <v>351</v>
      </c>
      <c r="K312">
        <v>649164</v>
      </c>
      <c r="L312" t="s">
        <v>211</v>
      </c>
      <c r="M312" t="s">
        <v>212</v>
      </c>
      <c r="N312" t="s">
        <v>57</v>
      </c>
      <c r="O312" s="1">
        <v>45231</v>
      </c>
      <c r="Q312" s="1">
        <v>45962</v>
      </c>
      <c r="R312" s="2">
        <v>46.01</v>
      </c>
      <c r="S312">
        <v>1</v>
      </c>
      <c r="T312" t="s">
        <v>58</v>
      </c>
      <c r="U312" t="s">
        <v>359</v>
      </c>
      <c r="V312" s="4">
        <v>5.2499999999999998E-2</v>
      </c>
      <c r="W312" s="2">
        <v>0</v>
      </c>
      <c r="X312">
        <v>0</v>
      </c>
      <c r="Y312" t="s">
        <v>214</v>
      </c>
      <c r="Z312" t="s">
        <v>360</v>
      </c>
      <c r="AA312">
        <v>0</v>
      </c>
      <c r="AB312" s="2">
        <v>0</v>
      </c>
      <c r="AC312" s="2">
        <v>0</v>
      </c>
      <c r="AD312" s="3">
        <v>0</v>
      </c>
      <c r="AE312" s="2">
        <v>0</v>
      </c>
      <c r="AF312" s="2">
        <v>0</v>
      </c>
      <c r="AG312" s="2">
        <v>0</v>
      </c>
      <c r="AH312" s="2">
        <v>0</v>
      </c>
      <c r="AI312" s="2">
        <v>0</v>
      </c>
      <c r="AJ312" s="2">
        <v>0</v>
      </c>
      <c r="AK312" s="2">
        <v>0</v>
      </c>
      <c r="AL312" s="2">
        <v>0</v>
      </c>
      <c r="AM312" s="2">
        <v>2.42</v>
      </c>
      <c r="AN312" s="2">
        <v>2.42</v>
      </c>
      <c r="AO312" s="2">
        <v>0</v>
      </c>
      <c r="AP312" s="2">
        <v>0</v>
      </c>
      <c r="AQ312" s="2">
        <v>0</v>
      </c>
    </row>
    <row r="313" spans="1:43" x14ac:dyDescent="0.25">
      <c r="A313" s="1">
        <v>45936</v>
      </c>
      <c r="B313" t="s">
        <v>48</v>
      </c>
      <c r="C313">
        <v>649163</v>
      </c>
      <c r="D313">
        <v>2020564068</v>
      </c>
      <c r="E313" t="s">
        <v>604</v>
      </c>
      <c r="F313" t="s">
        <v>163</v>
      </c>
      <c r="G313" t="s">
        <v>51</v>
      </c>
      <c r="H313" t="s">
        <v>70</v>
      </c>
      <c r="I313" t="s">
        <v>350</v>
      </c>
      <c r="J313" t="s">
        <v>351</v>
      </c>
      <c r="K313">
        <v>649247</v>
      </c>
      <c r="L313" t="s">
        <v>75</v>
      </c>
      <c r="M313" t="s">
        <v>76</v>
      </c>
      <c r="N313" t="s">
        <v>57</v>
      </c>
      <c r="O313" s="1">
        <v>45231</v>
      </c>
      <c r="Q313" s="1">
        <v>45962</v>
      </c>
      <c r="R313" s="2">
        <v>56.88</v>
      </c>
      <c r="S313">
        <v>1</v>
      </c>
      <c r="T313" t="s">
        <v>58</v>
      </c>
      <c r="U313" t="s">
        <v>359</v>
      </c>
      <c r="V313" s="4">
        <v>5.2499999999999998E-2</v>
      </c>
      <c r="W313" s="2">
        <v>0</v>
      </c>
      <c r="X313">
        <v>0</v>
      </c>
      <c r="Y313" t="s">
        <v>214</v>
      </c>
      <c r="Z313" t="s">
        <v>360</v>
      </c>
      <c r="AA313">
        <v>0</v>
      </c>
      <c r="AB313" s="2">
        <v>0</v>
      </c>
      <c r="AC313" s="2">
        <v>0</v>
      </c>
      <c r="AD313" s="3">
        <v>0</v>
      </c>
      <c r="AE313" s="2">
        <v>0</v>
      </c>
      <c r="AF313" s="2">
        <v>0</v>
      </c>
      <c r="AG313" s="2">
        <v>0</v>
      </c>
      <c r="AH313" s="2">
        <v>0</v>
      </c>
      <c r="AI313" s="2">
        <v>0</v>
      </c>
      <c r="AJ313" s="2">
        <v>0</v>
      </c>
      <c r="AK313" s="2">
        <v>0</v>
      </c>
      <c r="AL313" s="2">
        <v>0</v>
      </c>
      <c r="AM313" s="2">
        <v>2.99</v>
      </c>
      <c r="AN313" s="2">
        <v>2.99</v>
      </c>
      <c r="AO313" s="2">
        <v>0</v>
      </c>
      <c r="AP313" s="2">
        <v>0</v>
      </c>
      <c r="AQ313" s="2">
        <v>0</v>
      </c>
    </row>
    <row r="314" spans="1:43" x14ac:dyDescent="0.25">
      <c r="A314" s="1">
        <v>45936</v>
      </c>
      <c r="B314" t="s">
        <v>48</v>
      </c>
      <c r="C314">
        <v>649163</v>
      </c>
      <c r="D314">
        <v>2020599250</v>
      </c>
      <c r="E314" t="s">
        <v>605</v>
      </c>
      <c r="F314" t="s">
        <v>606</v>
      </c>
      <c r="G314" t="s">
        <v>51</v>
      </c>
      <c r="H314" t="s">
        <v>70</v>
      </c>
      <c r="I314" t="s">
        <v>350</v>
      </c>
      <c r="J314" t="s">
        <v>351</v>
      </c>
      <c r="K314">
        <v>649164</v>
      </c>
      <c r="L314" t="s">
        <v>211</v>
      </c>
      <c r="M314" t="s">
        <v>212</v>
      </c>
      <c r="N314" t="s">
        <v>57</v>
      </c>
      <c r="O314" s="1">
        <v>45292</v>
      </c>
      <c r="Q314" s="1">
        <v>45962</v>
      </c>
      <c r="R314" s="2">
        <v>45.54</v>
      </c>
      <c r="S314">
        <v>1</v>
      </c>
      <c r="T314" t="s">
        <v>58</v>
      </c>
      <c r="U314" t="s">
        <v>359</v>
      </c>
      <c r="V314" s="4">
        <v>5.2499999999999998E-2</v>
      </c>
      <c r="W314" s="2">
        <v>0</v>
      </c>
      <c r="X314">
        <v>0</v>
      </c>
      <c r="Y314" t="s">
        <v>214</v>
      </c>
      <c r="Z314" t="s">
        <v>360</v>
      </c>
      <c r="AA314">
        <v>0</v>
      </c>
      <c r="AB314" s="2">
        <v>0</v>
      </c>
      <c r="AC314" s="2">
        <v>0</v>
      </c>
      <c r="AD314" s="3">
        <v>0</v>
      </c>
      <c r="AE314" s="2">
        <v>0</v>
      </c>
      <c r="AF314" s="2">
        <v>0</v>
      </c>
      <c r="AG314" s="2">
        <v>0</v>
      </c>
      <c r="AH314" s="2">
        <v>0</v>
      </c>
      <c r="AI314" s="2">
        <v>0</v>
      </c>
      <c r="AJ314" s="2">
        <v>0</v>
      </c>
      <c r="AK314" s="2">
        <v>0</v>
      </c>
      <c r="AL314" s="2">
        <v>0</v>
      </c>
      <c r="AM314" s="2">
        <v>2.39</v>
      </c>
      <c r="AN314" s="2">
        <v>2.39</v>
      </c>
      <c r="AO314" s="2">
        <v>0</v>
      </c>
      <c r="AP314" s="2">
        <v>0</v>
      </c>
      <c r="AQ314" s="2">
        <v>0</v>
      </c>
    </row>
    <row r="315" spans="1:43" x14ac:dyDescent="0.25">
      <c r="A315" s="1">
        <v>45936</v>
      </c>
      <c r="B315" t="s">
        <v>48</v>
      </c>
      <c r="C315">
        <v>649163</v>
      </c>
      <c r="D315">
        <v>2020623230</v>
      </c>
      <c r="E315" t="s">
        <v>607</v>
      </c>
      <c r="F315" t="s">
        <v>608</v>
      </c>
      <c r="G315" t="s">
        <v>51</v>
      </c>
      <c r="H315" t="s">
        <v>70</v>
      </c>
      <c r="I315" t="s">
        <v>350</v>
      </c>
      <c r="J315" t="s">
        <v>351</v>
      </c>
      <c r="K315">
        <v>678320</v>
      </c>
      <c r="L315" t="s">
        <v>576</v>
      </c>
      <c r="M315" t="s">
        <v>139</v>
      </c>
      <c r="N315" t="s">
        <v>57</v>
      </c>
      <c r="O315" s="1">
        <v>45292</v>
      </c>
      <c r="Q315" s="1">
        <v>45962</v>
      </c>
      <c r="R315" s="2">
        <v>43.59</v>
      </c>
      <c r="S315">
        <v>1</v>
      </c>
      <c r="T315" t="s">
        <v>58</v>
      </c>
      <c r="U315" t="s">
        <v>359</v>
      </c>
      <c r="V315" s="4">
        <v>5.2499999999999998E-2</v>
      </c>
      <c r="W315" s="2">
        <v>0</v>
      </c>
      <c r="X315">
        <v>0</v>
      </c>
      <c r="Y315" t="s">
        <v>214</v>
      </c>
      <c r="Z315" t="s">
        <v>360</v>
      </c>
      <c r="AA315">
        <v>0</v>
      </c>
      <c r="AB315" s="2">
        <v>0</v>
      </c>
      <c r="AC315" s="2">
        <v>0</v>
      </c>
      <c r="AD315" s="3">
        <v>0</v>
      </c>
      <c r="AE315" s="2">
        <v>0</v>
      </c>
      <c r="AF315" s="2">
        <v>0</v>
      </c>
      <c r="AG315" s="2">
        <v>0</v>
      </c>
      <c r="AH315" s="2">
        <v>0</v>
      </c>
      <c r="AI315" s="2">
        <v>0</v>
      </c>
      <c r="AJ315" s="2">
        <v>0</v>
      </c>
      <c r="AK315" s="2">
        <v>0</v>
      </c>
      <c r="AL315" s="2">
        <v>0</v>
      </c>
      <c r="AM315" s="2">
        <v>2.29</v>
      </c>
      <c r="AN315" s="2">
        <v>2.29</v>
      </c>
      <c r="AO315" s="2">
        <v>0</v>
      </c>
      <c r="AP315" s="2">
        <v>0</v>
      </c>
      <c r="AQ315" s="2">
        <v>0</v>
      </c>
    </row>
    <row r="316" spans="1:43" x14ac:dyDescent="0.25">
      <c r="A316" s="1">
        <v>45936</v>
      </c>
      <c r="B316" t="s">
        <v>48</v>
      </c>
      <c r="C316">
        <v>649163</v>
      </c>
      <c r="D316">
        <v>2020623869</v>
      </c>
      <c r="E316" t="s">
        <v>609</v>
      </c>
      <c r="F316" t="s">
        <v>161</v>
      </c>
      <c r="G316" t="s">
        <v>51</v>
      </c>
      <c r="H316" t="s">
        <v>70</v>
      </c>
      <c r="I316" t="s">
        <v>350</v>
      </c>
      <c r="J316" t="s">
        <v>351</v>
      </c>
      <c r="K316">
        <v>649164</v>
      </c>
      <c r="L316" t="s">
        <v>211</v>
      </c>
      <c r="M316" t="s">
        <v>212</v>
      </c>
      <c r="N316" t="s">
        <v>57</v>
      </c>
      <c r="O316" s="1">
        <v>45232</v>
      </c>
      <c r="Q316" s="1">
        <v>45963</v>
      </c>
      <c r="R316" s="2">
        <v>51.19</v>
      </c>
      <c r="S316">
        <v>1</v>
      </c>
      <c r="T316" t="s">
        <v>58</v>
      </c>
      <c r="U316" t="s">
        <v>359</v>
      </c>
      <c r="V316" s="4">
        <v>5.2499999999999998E-2</v>
      </c>
      <c r="W316" s="2">
        <v>0</v>
      </c>
      <c r="X316">
        <v>0</v>
      </c>
      <c r="Y316" t="s">
        <v>214</v>
      </c>
      <c r="Z316" t="s">
        <v>360</v>
      </c>
      <c r="AA316">
        <v>0</v>
      </c>
      <c r="AB316" s="2">
        <v>0</v>
      </c>
      <c r="AC316" s="2">
        <v>0</v>
      </c>
      <c r="AD316" s="3">
        <v>0</v>
      </c>
      <c r="AE316" s="2">
        <v>0</v>
      </c>
      <c r="AF316" s="2">
        <v>0</v>
      </c>
      <c r="AG316" s="2">
        <v>0</v>
      </c>
      <c r="AH316" s="2">
        <v>0</v>
      </c>
      <c r="AI316" s="2">
        <v>0</v>
      </c>
      <c r="AJ316" s="2">
        <v>0</v>
      </c>
      <c r="AK316" s="2">
        <v>0</v>
      </c>
      <c r="AL316" s="2">
        <v>0</v>
      </c>
      <c r="AM316" s="2">
        <v>2.69</v>
      </c>
      <c r="AN316" s="2">
        <v>2.69</v>
      </c>
      <c r="AO316" s="2">
        <v>0</v>
      </c>
      <c r="AP316" s="2">
        <v>0</v>
      </c>
      <c r="AQ316" s="2">
        <v>0</v>
      </c>
    </row>
    <row r="317" spans="1:43" x14ac:dyDescent="0.25">
      <c r="A317" s="1">
        <v>45936</v>
      </c>
      <c r="B317" t="s">
        <v>48</v>
      </c>
      <c r="C317">
        <v>649163</v>
      </c>
      <c r="D317">
        <v>2020639704</v>
      </c>
      <c r="E317" t="s">
        <v>610</v>
      </c>
      <c r="F317" t="s">
        <v>466</v>
      </c>
      <c r="G317" t="s">
        <v>51</v>
      </c>
      <c r="H317" t="s">
        <v>431</v>
      </c>
      <c r="I317" t="s">
        <v>350</v>
      </c>
      <c r="J317" t="s">
        <v>351</v>
      </c>
      <c r="K317">
        <v>673059</v>
      </c>
      <c r="L317" t="s">
        <v>80</v>
      </c>
      <c r="M317" t="s">
        <v>81</v>
      </c>
      <c r="N317" t="s">
        <v>57</v>
      </c>
      <c r="O317" s="1">
        <v>45261</v>
      </c>
      <c r="Q317" s="1">
        <v>45962</v>
      </c>
      <c r="R317" s="2">
        <v>30.04</v>
      </c>
      <c r="S317">
        <v>1</v>
      </c>
      <c r="T317" t="s">
        <v>58</v>
      </c>
      <c r="U317" t="s">
        <v>359</v>
      </c>
      <c r="V317" s="4">
        <v>5.2499999999999998E-2</v>
      </c>
      <c r="W317" s="2">
        <v>0</v>
      </c>
      <c r="X317">
        <v>0</v>
      </c>
      <c r="Y317" t="s">
        <v>214</v>
      </c>
      <c r="Z317" t="s">
        <v>360</v>
      </c>
      <c r="AA317">
        <v>0</v>
      </c>
      <c r="AB317" s="2">
        <v>0</v>
      </c>
      <c r="AC317" s="2">
        <v>0</v>
      </c>
      <c r="AD317" s="3">
        <v>0</v>
      </c>
      <c r="AE317" s="2">
        <v>0</v>
      </c>
      <c r="AF317" s="2">
        <v>0</v>
      </c>
      <c r="AG317" s="2">
        <v>0</v>
      </c>
      <c r="AH317" s="2">
        <v>0</v>
      </c>
      <c r="AI317" s="2">
        <v>0</v>
      </c>
      <c r="AJ317" s="2">
        <v>0</v>
      </c>
      <c r="AK317" s="2">
        <v>0</v>
      </c>
      <c r="AL317" s="2">
        <v>0</v>
      </c>
      <c r="AM317" s="2">
        <v>1.58</v>
      </c>
      <c r="AN317" s="2">
        <v>1.58</v>
      </c>
      <c r="AO317" s="2">
        <v>0</v>
      </c>
      <c r="AP317" s="2">
        <v>0</v>
      </c>
      <c r="AQ317" s="2">
        <v>0</v>
      </c>
    </row>
    <row r="318" spans="1:43" x14ac:dyDescent="0.25">
      <c r="A318" s="1">
        <v>45936</v>
      </c>
      <c r="B318" t="s">
        <v>48</v>
      </c>
      <c r="C318">
        <v>649163</v>
      </c>
      <c r="D318">
        <v>2020720597</v>
      </c>
      <c r="E318" t="s">
        <v>611</v>
      </c>
      <c r="F318" t="s">
        <v>63</v>
      </c>
      <c r="G318" t="s">
        <v>51</v>
      </c>
      <c r="H318" t="s">
        <v>70</v>
      </c>
      <c r="I318" t="s">
        <v>350</v>
      </c>
      <c r="J318" t="s">
        <v>351</v>
      </c>
      <c r="K318">
        <v>649164</v>
      </c>
      <c r="L318" t="s">
        <v>211</v>
      </c>
      <c r="M318" t="s">
        <v>212</v>
      </c>
      <c r="N318" t="s">
        <v>57</v>
      </c>
      <c r="O318" s="1">
        <v>45261</v>
      </c>
      <c r="Q318" s="1">
        <v>45962</v>
      </c>
      <c r="R318" s="2">
        <v>117.55</v>
      </c>
      <c r="S318">
        <v>1</v>
      </c>
      <c r="T318" t="s">
        <v>58</v>
      </c>
      <c r="U318" t="s">
        <v>359</v>
      </c>
      <c r="V318" s="4">
        <v>5.2499999999999998E-2</v>
      </c>
      <c r="W318" s="2">
        <v>0</v>
      </c>
      <c r="X318">
        <v>0</v>
      </c>
      <c r="Y318" t="s">
        <v>214</v>
      </c>
      <c r="Z318" t="s">
        <v>360</v>
      </c>
      <c r="AA318">
        <v>0</v>
      </c>
      <c r="AB318" s="2">
        <v>0</v>
      </c>
      <c r="AC318" s="2">
        <v>0</v>
      </c>
      <c r="AD318" s="3">
        <v>0</v>
      </c>
      <c r="AE318" s="2">
        <v>0</v>
      </c>
      <c r="AF318" s="2">
        <v>0</v>
      </c>
      <c r="AG318" s="2">
        <v>0</v>
      </c>
      <c r="AH318" s="2">
        <v>0</v>
      </c>
      <c r="AI318" s="2">
        <v>0</v>
      </c>
      <c r="AJ318" s="2">
        <v>0</v>
      </c>
      <c r="AK318" s="2">
        <v>0</v>
      </c>
      <c r="AL318" s="2">
        <v>0</v>
      </c>
      <c r="AM318" s="2">
        <v>6.17</v>
      </c>
      <c r="AN318" s="2">
        <v>6.17</v>
      </c>
      <c r="AO318" s="2">
        <v>0</v>
      </c>
      <c r="AP318" s="2">
        <v>0</v>
      </c>
      <c r="AQ318" s="2">
        <v>0</v>
      </c>
    </row>
    <row r="319" spans="1:43" x14ac:dyDescent="0.25">
      <c r="A319" s="1">
        <v>45936</v>
      </c>
      <c r="B319" t="s">
        <v>48</v>
      </c>
      <c r="C319">
        <v>649163</v>
      </c>
      <c r="D319">
        <v>2020736329</v>
      </c>
      <c r="E319" t="s">
        <v>611</v>
      </c>
      <c r="F319" t="s">
        <v>612</v>
      </c>
      <c r="G319" t="s">
        <v>51</v>
      </c>
      <c r="H319" t="s">
        <v>70</v>
      </c>
      <c r="I319" t="s">
        <v>350</v>
      </c>
      <c r="J319" t="s">
        <v>351</v>
      </c>
      <c r="K319">
        <v>649164</v>
      </c>
      <c r="L319" t="s">
        <v>211</v>
      </c>
      <c r="M319" t="s">
        <v>212</v>
      </c>
      <c r="N319" t="s">
        <v>57</v>
      </c>
      <c r="O319" s="1">
        <v>45261</v>
      </c>
      <c r="Q319" s="1">
        <v>45962</v>
      </c>
      <c r="R319" s="2">
        <v>58.09</v>
      </c>
      <c r="S319">
        <v>1</v>
      </c>
      <c r="T319" t="s">
        <v>58</v>
      </c>
      <c r="U319" t="s">
        <v>359</v>
      </c>
      <c r="V319" s="4">
        <v>5.2499999999999998E-2</v>
      </c>
      <c r="W319" s="2">
        <v>0</v>
      </c>
      <c r="X319">
        <v>0</v>
      </c>
      <c r="Y319" t="s">
        <v>214</v>
      </c>
      <c r="Z319" t="s">
        <v>360</v>
      </c>
      <c r="AA319">
        <v>0</v>
      </c>
      <c r="AB319" s="2">
        <v>0</v>
      </c>
      <c r="AC319" s="2">
        <v>0</v>
      </c>
      <c r="AD319" s="3">
        <v>0</v>
      </c>
      <c r="AE319" s="2">
        <v>0</v>
      </c>
      <c r="AF319" s="2">
        <v>0</v>
      </c>
      <c r="AG319" s="2">
        <v>0</v>
      </c>
      <c r="AH319" s="2">
        <v>0</v>
      </c>
      <c r="AI319" s="2">
        <v>0</v>
      </c>
      <c r="AJ319" s="2">
        <v>0</v>
      </c>
      <c r="AK319" s="2">
        <v>0</v>
      </c>
      <c r="AL319" s="2">
        <v>0</v>
      </c>
      <c r="AM319" s="2">
        <v>3.05</v>
      </c>
      <c r="AN319" s="2">
        <v>3.05</v>
      </c>
      <c r="AO319" s="2">
        <v>0</v>
      </c>
      <c r="AP319" s="2">
        <v>0</v>
      </c>
      <c r="AQ319" s="2">
        <v>0</v>
      </c>
    </row>
    <row r="320" spans="1:43" x14ac:dyDescent="0.25">
      <c r="A320" s="1">
        <v>45936</v>
      </c>
      <c r="B320" t="s">
        <v>48</v>
      </c>
      <c r="C320">
        <v>649163</v>
      </c>
      <c r="D320">
        <v>2020799011</v>
      </c>
      <c r="E320" t="s">
        <v>613</v>
      </c>
      <c r="F320" t="s">
        <v>486</v>
      </c>
      <c r="G320" t="s">
        <v>51</v>
      </c>
      <c r="H320" t="s">
        <v>70</v>
      </c>
      <c r="I320" t="s">
        <v>350</v>
      </c>
      <c r="J320" t="s">
        <v>351</v>
      </c>
      <c r="K320">
        <v>678320</v>
      </c>
      <c r="L320" t="s">
        <v>576</v>
      </c>
      <c r="M320" t="s">
        <v>139</v>
      </c>
      <c r="N320" t="s">
        <v>57</v>
      </c>
      <c r="O320" s="1">
        <v>45292</v>
      </c>
      <c r="Q320" s="1">
        <v>45962</v>
      </c>
      <c r="R320" s="2">
        <v>104.08</v>
      </c>
      <c r="S320">
        <v>1</v>
      </c>
      <c r="T320" t="s">
        <v>58</v>
      </c>
      <c r="U320" t="s">
        <v>359</v>
      </c>
      <c r="V320" s="4">
        <v>5.2499999999999998E-2</v>
      </c>
      <c r="W320" s="2">
        <v>0</v>
      </c>
      <c r="X320">
        <v>0</v>
      </c>
      <c r="Y320" t="s">
        <v>214</v>
      </c>
      <c r="Z320" t="s">
        <v>360</v>
      </c>
      <c r="AA320">
        <v>0</v>
      </c>
      <c r="AB320" s="2">
        <v>0</v>
      </c>
      <c r="AC320" s="2">
        <v>0</v>
      </c>
      <c r="AD320" s="3">
        <v>0</v>
      </c>
      <c r="AE320" s="2">
        <v>0</v>
      </c>
      <c r="AF320" s="2">
        <v>0</v>
      </c>
      <c r="AG320" s="2">
        <v>0</v>
      </c>
      <c r="AH320" s="2">
        <v>0</v>
      </c>
      <c r="AI320" s="2">
        <v>0</v>
      </c>
      <c r="AJ320" s="2">
        <v>0</v>
      </c>
      <c r="AK320" s="2">
        <v>0</v>
      </c>
      <c r="AL320" s="2">
        <v>0</v>
      </c>
      <c r="AM320" s="2">
        <v>5.46</v>
      </c>
      <c r="AN320" s="2">
        <v>5.46</v>
      </c>
      <c r="AO320" s="2">
        <v>0</v>
      </c>
      <c r="AP320" s="2">
        <v>0</v>
      </c>
      <c r="AQ320" s="2">
        <v>0</v>
      </c>
    </row>
    <row r="321" spans="1:43" x14ac:dyDescent="0.25">
      <c r="A321" s="1">
        <v>45936</v>
      </c>
      <c r="B321" t="s">
        <v>48</v>
      </c>
      <c r="C321">
        <v>649163</v>
      </c>
      <c r="D321">
        <v>2020801924</v>
      </c>
      <c r="E321" t="s">
        <v>614</v>
      </c>
      <c r="F321" t="s">
        <v>615</v>
      </c>
      <c r="G321" t="s">
        <v>51</v>
      </c>
      <c r="H321" t="s">
        <v>70</v>
      </c>
      <c r="I321" t="s">
        <v>350</v>
      </c>
      <c r="J321" t="s">
        <v>351</v>
      </c>
      <c r="K321">
        <v>649247</v>
      </c>
      <c r="L321" t="s">
        <v>75</v>
      </c>
      <c r="M321" t="s">
        <v>76</v>
      </c>
      <c r="N321" t="s">
        <v>57</v>
      </c>
      <c r="O321" s="1">
        <v>45261</v>
      </c>
      <c r="Q321" s="1">
        <v>45962</v>
      </c>
      <c r="R321" s="2">
        <v>122.9</v>
      </c>
      <c r="S321">
        <v>1</v>
      </c>
      <c r="T321" t="s">
        <v>58</v>
      </c>
      <c r="U321" t="s">
        <v>359</v>
      </c>
      <c r="V321" s="4">
        <v>5.2499999999999998E-2</v>
      </c>
      <c r="W321" s="2">
        <v>0</v>
      </c>
      <c r="X321">
        <v>0</v>
      </c>
      <c r="Y321" t="s">
        <v>214</v>
      </c>
      <c r="Z321" t="s">
        <v>360</v>
      </c>
      <c r="AA321">
        <v>0</v>
      </c>
      <c r="AB321" s="2">
        <v>0</v>
      </c>
      <c r="AC321" s="2">
        <v>0</v>
      </c>
      <c r="AD321" s="3">
        <v>0</v>
      </c>
      <c r="AE321" s="2">
        <v>0</v>
      </c>
      <c r="AF321" s="2">
        <v>0</v>
      </c>
      <c r="AG321" s="2">
        <v>0</v>
      </c>
      <c r="AH321" s="2">
        <v>0</v>
      </c>
      <c r="AI321" s="2">
        <v>0</v>
      </c>
      <c r="AJ321" s="2">
        <v>0</v>
      </c>
      <c r="AK321" s="2">
        <v>0</v>
      </c>
      <c r="AL321" s="2">
        <v>0</v>
      </c>
      <c r="AM321" s="2">
        <v>6.45</v>
      </c>
      <c r="AN321" s="2">
        <v>6.45</v>
      </c>
      <c r="AO321" s="2">
        <v>0</v>
      </c>
      <c r="AP321" s="2">
        <v>0</v>
      </c>
      <c r="AQ321" s="2">
        <v>0</v>
      </c>
    </row>
    <row r="322" spans="1:43" x14ac:dyDescent="0.25">
      <c r="A322" s="1">
        <v>45936</v>
      </c>
      <c r="B322" t="s">
        <v>48</v>
      </c>
      <c r="C322">
        <v>649163</v>
      </c>
      <c r="D322">
        <v>2020891510</v>
      </c>
      <c r="E322" t="s">
        <v>616</v>
      </c>
      <c r="F322" t="s">
        <v>486</v>
      </c>
      <c r="G322" t="s">
        <v>51</v>
      </c>
      <c r="H322" t="s">
        <v>70</v>
      </c>
      <c r="I322" t="s">
        <v>350</v>
      </c>
      <c r="J322" t="s">
        <v>351</v>
      </c>
      <c r="K322">
        <v>649164</v>
      </c>
      <c r="L322" t="s">
        <v>211</v>
      </c>
      <c r="M322" t="s">
        <v>212</v>
      </c>
      <c r="N322" t="s">
        <v>57</v>
      </c>
      <c r="O322" s="1">
        <v>45261</v>
      </c>
      <c r="Q322" s="1">
        <v>45962</v>
      </c>
      <c r="R322" s="2">
        <v>13.07</v>
      </c>
      <c r="S322">
        <v>1</v>
      </c>
      <c r="T322" t="s">
        <v>58</v>
      </c>
      <c r="U322" t="s">
        <v>359</v>
      </c>
      <c r="V322" s="4">
        <v>5.2499999999999998E-2</v>
      </c>
      <c r="W322" s="2">
        <v>0</v>
      </c>
      <c r="X322">
        <v>0</v>
      </c>
      <c r="Y322" t="s">
        <v>214</v>
      </c>
      <c r="Z322" t="s">
        <v>360</v>
      </c>
      <c r="AA322">
        <v>0</v>
      </c>
      <c r="AB322" s="2">
        <v>0</v>
      </c>
      <c r="AC322" s="2">
        <v>0</v>
      </c>
      <c r="AD322" s="3">
        <v>0</v>
      </c>
      <c r="AE322" s="2">
        <v>0</v>
      </c>
      <c r="AF322" s="2">
        <v>0</v>
      </c>
      <c r="AG322" s="2">
        <v>0</v>
      </c>
      <c r="AH322" s="2">
        <v>0</v>
      </c>
      <c r="AI322" s="2">
        <v>0</v>
      </c>
      <c r="AJ322" s="2">
        <v>0</v>
      </c>
      <c r="AK322" s="2">
        <v>0</v>
      </c>
      <c r="AL322" s="2">
        <v>0</v>
      </c>
      <c r="AM322" s="2">
        <v>0.69</v>
      </c>
      <c r="AN322" s="2">
        <v>0.69</v>
      </c>
      <c r="AO322" s="2">
        <v>0</v>
      </c>
      <c r="AP322" s="2">
        <v>0</v>
      </c>
      <c r="AQ322" s="2">
        <v>0</v>
      </c>
    </row>
    <row r="323" spans="1:43" x14ac:dyDescent="0.25">
      <c r="A323" s="1">
        <v>45936</v>
      </c>
      <c r="B323" t="s">
        <v>48</v>
      </c>
      <c r="C323">
        <v>649163</v>
      </c>
      <c r="D323">
        <v>2020902469</v>
      </c>
      <c r="E323" t="s">
        <v>617</v>
      </c>
      <c r="F323" t="s">
        <v>143</v>
      </c>
      <c r="G323" t="s">
        <v>51</v>
      </c>
      <c r="H323" t="s">
        <v>70</v>
      </c>
      <c r="I323" t="s">
        <v>350</v>
      </c>
      <c r="J323" t="s">
        <v>351</v>
      </c>
      <c r="K323">
        <v>649164</v>
      </c>
      <c r="L323" t="s">
        <v>211</v>
      </c>
      <c r="M323" t="s">
        <v>212</v>
      </c>
      <c r="N323" t="s">
        <v>57</v>
      </c>
      <c r="O323" s="1">
        <v>45261</v>
      </c>
      <c r="Q323" s="1">
        <v>45962</v>
      </c>
      <c r="R323" s="2">
        <v>61.19</v>
      </c>
      <c r="S323">
        <v>1</v>
      </c>
      <c r="T323" t="s">
        <v>58</v>
      </c>
      <c r="U323" t="s">
        <v>359</v>
      </c>
      <c r="V323" s="4">
        <v>5.2499999999999998E-2</v>
      </c>
      <c r="W323" s="2">
        <v>0</v>
      </c>
      <c r="X323">
        <v>0</v>
      </c>
      <c r="Y323" t="s">
        <v>214</v>
      </c>
      <c r="Z323" t="s">
        <v>360</v>
      </c>
      <c r="AA323">
        <v>0</v>
      </c>
      <c r="AB323" s="2">
        <v>0</v>
      </c>
      <c r="AC323" s="2">
        <v>0</v>
      </c>
      <c r="AD323" s="3">
        <v>0</v>
      </c>
      <c r="AE323" s="2">
        <v>0</v>
      </c>
      <c r="AF323" s="2">
        <v>0</v>
      </c>
      <c r="AG323" s="2">
        <v>0</v>
      </c>
      <c r="AH323" s="2">
        <v>0</v>
      </c>
      <c r="AI323" s="2">
        <v>0</v>
      </c>
      <c r="AJ323" s="2">
        <v>0</v>
      </c>
      <c r="AK323" s="2">
        <v>0</v>
      </c>
      <c r="AL323" s="2">
        <v>0</v>
      </c>
      <c r="AM323" s="2">
        <v>3.21</v>
      </c>
      <c r="AN323" s="2">
        <v>3.21</v>
      </c>
      <c r="AO323" s="2">
        <v>0</v>
      </c>
      <c r="AP323" s="2">
        <v>0</v>
      </c>
      <c r="AQ323" s="2">
        <v>0</v>
      </c>
    </row>
    <row r="324" spans="1:43" x14ac:dyDescent="0.25">
      <c r="A324" s="1">
        <v>45936</v>
      </c>
      <c r="B324" t="s">
        <v>48</v>
      </c>
      <c r="C324">
        <v>649163</v>
      </c>
      <c r="D324">
        <v>2020919882</v>
      </c>
      <c r="E324" t="s">
        <v>618</v>
      </c>
      <c r="F324" t="s">
        <v>619</v>
      </c>
      <c r="G324" t="s">
        <v>51</v>
      </c>
      <c r="H324" t="s">
        <v>70</v>
      </c>
      <c r="I324" t="s">
        <v>350</v>
      </c>
      <c r="J324" t="s">
        <v>351</v>
      </c>
      <c r="K324">
        <v>649164</v>
      </c>
      <c r="L324" t="s">
        <v>211</v>
      </c>
      <c r="M324" t="s">
        <v>212</v>
      </c>
      <c r="N324" t="s">
        <v>57</v>
      </c>
      <c r="O324" s="1">
        <v>45292</v>
      </c>
      <c r="Q324" s="1">
        <v>45962</v>
      </c>
      <c r="R324" s="2">
        <v>83.35</v>
      </c>
      <c r="S324">
        <v>1</v>
      </c>
      <c r="T324" t="s">
        <v>58</v>
      </c>
      <c r="U324" t="s">
        <v>359</v>
      </c>
      <c r="V324" s="4">
        <v>5.2499999999999998E-2</v>
      </c>
      <c r="W324" s="2">
        <v>0</v>
      </c>
      <c r="X324">
        <v>0</v>
      </c>
      <c r="Y324" t="s">
        <v>214</v>
      </c>
      <c r="Z324" t="s">
        <v>360</v>
      </c>
      <c r="AA324">
        <v>0</v>
      </c>
      <c r="AB324" s="2">
        <v>0</v>
      </c>
      <c r="AC324" s="2">
        <v>0</v>
      </c>
      <c r="AD324" s="3">
        <v>0</v>
      </c>
      <c r="AE324" s="2">
        <v>0</v>
      </c>
      <c r="AF324" s="2">
        <v>0</v>
      </c>
      <c r="AG324" s="2">
        <v>0</v>
      </c>
      <c r="AH324" s="2">
        <v>0</v>
      </c>
      <c r="AI324" s="2">
        <v>0</v>
      </c>
      <c r="AJ324" s="2">
        <v>0</v>
      </c>
      <c r="AK324" s="2">
        <v>0</v>
      </c>
      <c r="AL324" s="2">
        <v>0</v>
      </c>
      <c r="AM324" s="2">
        <v>4.38</v>
      </c>
      <c r="AN324" s="2">
        <v>4.38</v>
      </c>
      <c r="AO324" s="2">
        <v>0</v>
      </c>
      <c r="AP324" s="2">
        <v>0</v>
      </c>
      <c r="AQ324" s="2">
        <v>0</v>
      </c>
    </row>
    <row r="325" spans="1:43" x14ac:dyDescent="0.25">
      <c r="A325" s="1">
        <v>45936</v>
      </c>
      <c r="B325" t="s">
        <v>48</v>
      </c>
      <c r="C325">
        <v>649163</v>
      </c>
      <c r="D325">
        <v>2020966338</v>
      </c>
      <c r="E325" t="s">
        <v>620</v>
      </c>
      <c r="F325" t="s">
        <v>482</v>
      </c>
      <c r="G325" t="s">
        <v>51</v>
      </c>
      <c r="H325" t="s">
        <v>70</v>
      </c>
      <c r="I325" t="s">
        <v>350</v>
      </c>
      <c r="J325" t="s">
        <v>351</v>
      </c>
      <c r="K325">
        <v>728134</v>
      </c>
      <c r="L325" t="s">
        <v>352</v>
      </c>
      <c r="M325" t="s">
        <v>353</v>
      </c>
      <c r="N325" t="s">
        <v>57</v>
      </c>
      <c r="O325" s="1">
        <v>45292</v>
      </c>
      <c r="Q325" s="1">
        <v>45962</v>
      </c>
      <c r="R325" s="2">
        <v>48.22</v>
      </c>
      <c r="S325">
        <v>1</v>
      </c>
      <c r="T325" t="s">
        <v>58</v>
      </c>
      <c r="U325" t="s">
        <v>359</v>
      </c>
      <c r="V325" s="4">
        <v>5.2499999999999998E-2</v>
      </c>
      <c r="W325" s="2">
        <v>0</v>
      </c>
      <c r="X325">
        <v>0</v>
      </c>
      <c r="Y325" t="s">
        <v>214</v>
      </c>
      <c r="Z325" t="s">
        <v>360</v>
      </c>
      <c r="AA325">
        <v>0</v>
      </c>
      <c r="AB325" s="2">
        <v>0</v>
      </c>
      <c r="AC325" s="2">
        <v>0</v>
      </c>
      <c r="AD325" s="3">
        <v>0</v>
      </c>
      <c r="AE325" s="2">
        <v>0</v>
      </c>
      <c r="AF325" s="2">
        <v>0</v>
      </c>
      <c r="AG325" s="2">
        <v>0</v>
      </c>
      <c r="AH325" s="2">
        <v>0</v>
      </c>
      <c r="AI325" s="2">
        <v>0</v>
      </c>
      <c r="AJ325" s="2">
        <v>0</v>
      </c>
      <c r="AK325" s="2">
        <v>0</v>
      </c>
      <c r="AL325" s="2">
        <v>0</v>
      </c>
      <c r="AM325" s="2">
        <v>2.5299999999999998</v>
      </c>
      <c r="AN325" s="2">
        <v>2.5299999999999998</v>
      </c>
      <c r="AO325" s="2">
        <v>0</v>
      </c>
      <c r="AP325" s="2">
        <v>0</v>
      </c>
      <c r="AQ325" s="2">
        <v>0</v>
      </c>
    </row>
    <row r="326" spans="1:43" x14ac:dyDescent="0.25">
      <c r="A326" s="1">
        <v>45936</v>
      </c>
      <c r="B326" t="s">
        <v>48</v>
      </c>
      <c r="C326">
        <v>649163</v>
      </c>
      <c r="D326">
        <v>2020974703</v>
      </c>
      <c r="E326" t="s">
        <v>621</v>
      </c>
      <c r="F326" t="s">
        <v>622</v>
      </c>
      <c r="G326" t="s">
        <v>51</v>
      </c>
      <c r="H326" t="s">
        <v>70</v>
      </c>
      <c r="I326" t="s">
        <v>350</v>
      </c>
      <c r="J326" t="s">
        <v>351</v>
      </c>
      <c r="K326">
        <v>649164</v>
      </c>
      <c r="L326" t="s">
        <v>211</v>
      </c>
      <c r="M326" t="s">
        <v>212</v>
      </c>
      <c r="N326" t="s">
        <v>57</v>
      </c>
      <c r="O326" s="1">
        <v>45292</v>
      </c>
      <c r="Q326" s="1">
        <v>45962</v>
      </c>
      <c r="R326" s="2">
        <v>40.99</v>
      </c>
      <c r="S326">
        <v>1</v>
      </c>
      <c r="T326" t="s">
        <v>58</v>
      </c>
      <c r="U326" t="s">
        <v>359</v>
      </c>
      <c r="V326" s="4">
        <v>5.2499999999999998E-2</v>
      </c>
      <c r="W326" s="2">
        <v>0</v>
      </c>
      <c r="X326">
        <v>0</v>
      </c>
      <c r="Y326" t="s">
        <v>214</v>
      </c>
      <c r="Z326" t="s">
        <v>360</v>
      </c>
      <c r="AA326">
        <v>0</v>
      </c>
      <c r="AB326" s="2">
        <v>0</v>
      </c>
      <c r="AC326" s="2">
        <v>0</v>
      </c>
      <c r="AD326" s="3">
        <v>0</v>
      </c>
      <c r="AE326" s="2">
        <v>0</v>
      </c>
      <c r="AF326" s="2">
        <v>0</v>
      </c>
      <c r="AG326" s="2">
        <v>0</v>
      </c>
      <c r="AH326" s="2">
        <v>0</v>
      </c>
      <c r="AI326" s="2">
        <v>0</v>
      </c>
      <c r="AJ326" s="2">
        <v>0</v>
      </c>
      <c r="AK326" s="2">
        <v>0</v>
      </c>
      <c r="AL326" s="2">
        <v>0</v>
      </c>
      <c r="AM326" s="2">
        <v>2.15</v>
      </c>
      <c r="AN326" s="2">
        <v>2.15</v>
      </c>
      <c r="AO326" s="2">
        <v>0</v>
      </c>
      <c r="AP326" s="2">
        <v>0</v>
      </c>
      <c r="AQ326" s="2">
        <v>0</v>
      </c>
    </row>
    <row r="327" spans="1:43" x14ac:dyDescent="0.25">
      <c r="A327" s="1">
        <v>45936</v>
      </c>
      <c r="B327" t="s">
        <v>48</v>
      </c>
      <c r="C327">
        <v>649163</v>
      </c>
      <c r="D327">
        <v>2020977489</v>
      </c>
      <c r="E327" t="s">
        <v>623</v>
      </c>
      <c r="F327" t="s">
        <v>624</v>
      </c>
      <c r="G327" t="s">
        <v>51</v>
      </c>
      <c r="H327" t="s">
        <v>70</v>
      </c>
      <c r="I327" t="s">
        <v>350</v>
      </c>
      <c r="J327" t="s">
        <v>351</v>
      </c>
      <c r="K327">
        <v>649247</v>
      </c>
      <c r="L327" t="s">
        <v>75</v>
      </c>
      <c r="M327" t="s">
        <v>76</v>
      </c>
      <c r="N327" t="s">
        <v>57</v>
      </c>
      <c r="O327" s="1">
        <v>45262</v>
      </c>
      <c r="Q327" s="1">
        <v>45963</v>
      </c>
      <c r="R327" s="2">
        <v>115.64</v>
      </c>
      <c r="S327">
        <v>1</v>
      </c>
      <c r="T327" t="s">
        <v>58</v>
      </c>
      <c r="U327" t="s">
        <v>359</v>
      </c>
      <c r="V327" s="4">
        <v>5.2499999999999998E-2</v>
      </c>
      <c r="W327" s="2">
        <v>0</v>
      </c>
      <c r="X327">
        <v>0</v>
      </c>
      <c r="Y327" t="s">
        <v>214</v>
      </c>
      <c r="Z327" t="s">
        <v>360</v>
      </c>
      <c r="AA327">
        <v>0</v>
      </c>
      <c r="AB327" s="2">
        <v>0</v>
      </c>
      <c r="AC327" s="2">
        <v>0</v>
      </c>
      <c r="AD327" s="3">
        <v>0</v>
      </c>
      <c r="AE327" s="2">
        <v>0</v>
      </c>
      <c r="AF327" s="2">
        <v>0</v>
      </c>
      <c r="AG327" s="2">
        <v>0</v>
      </c>
      <c r="AH327" s="2">
        <v>0</v>
      </c>
      <c r="AI327" s="2">
        <v>0</v>
      </c>
      <c r="AJ327" s="2">
        <v>0</v>
      </c>
      <c r="AK327" s="2">
        <v>0</v>
      </c>
      <c r="AL327" s="2">
        <v>0</v>
      </c>
      <c r="AM327" s="2">
        <v>6.07</v>
      </c>
      <c r="AN327" s="2">
        <v>6.07</v>
      </c>
      <c r="AO327" s="2">
        <v>0</v>
      </c>
      <c r="AP327" s="2">
        <v>0</v>
      </c>
      <c r="AQ327" s="2">
        <v>0</v>
      </c>
    </row>
    <row r="328" spans="1:43" x14ac:dyDescent="0.25">
      <c r="A328" s="1">
        <v>45936</v>
      </c>
      <c r="B328" t="s">
        <v>48</v>
      </c>
      <c r="C328">
        <v>649163</v>
      </c>
      <c r="D328">
        <v>2021089952</v>
      </c>
      <c r="E328" t="s">
        <v>625</v>
      </c>
      <c r="F328" t="s">
        <v>626</v>
      </c>
      <c r="G328" t="s">
        <v>51</v>
      </c>
      <c r="H328" t="s">
        <v>70</v>
      </c>
      <c r="I328" t="s">
        <v>350</v>
      </c>
      <c r="J328" t="s">
        <v>351</v>
      </c>
      <c r="K328">
        <v>649164</v>
      </c>
      <c r="L328" t="s">
        <v>211</v>
      </c>
      <c r="M328" t="s">
        <v>212</v>
      </c>
      <c r="N328" t="s">
        <v>57</v>
      </c>
      <c r="O328" s="1">
        <v>45292</v>
      </c>
      <c r="Q328" s="1">
        <v>45962</v>
      </c>
      <c r="R328" s="2">
        <v>78.83</v>
      </c>
      <c r="S328">
        <v>1</v>
      </c>
      <c r="T328" t="s">
        <v>58</v>
      </c>
      <c r="U328" t="s">
        <v>359</v>
      </c>
      <c r="V328" s="4">
        <v>5.2499999999999998E-2</v>
      </c>
      <c r="W328" s="2">
        <v>0</v>
      </c>
      <c r="X328">
        <v>0</v>
      </c>
      <c r="Y328" t="s">
        <v>214</v>
      </c>
      <c r="Z328" t="s">
        <v>360</v>
      </c>
      <c r="AA328">
        <v>0</v>
      </c>
      <c r="AB328" s="2">
        <v>0</v>
      </c>
      <c r="AC328" s="2">
        <v>0</v>
      </c>
      <c r="AD328" s="3">
        <v>0</v>
      </c>
      <c r="AE328" s="2">
        <v>0</v>
      </c>
      <c r="AF328" s="2">
        <v>0</v>
      </c>
      <c r="AG328" s="2">
        <v>0</v>
      </c>
      <c r="AH328" s="2">
        <v>0</v>
      </c>
      <c r="AI328" s="2">
        <v>0</v>
      </c>
      <c r="AJ328" s="2">
        <v>0</v>
      </c>
      <c r="AK328" s="2">
        <v>0</v>
      </c>
      <c r="AL328" s="2">
        <v>0</v>
      </c>
      <c r="AM328" s="2">
        <v>4.1399999999999997</v>
      </c>
      <c r="AN328" s="2">
        <v>4.1399999999999997</v>
      </c>
      <c r="AO328" s="2">
        <v>0</v>
      </c>
      <c r="AP328" s="2">
        <v>0</v>
      </c>
      <c r="AQ328" s="2">
        <v>0</v>
      </c>
    </row>
    <row r="329" spans="1:43" x14ac:dyDescent="0.25">
      <c r="A329" s="1">
        <v>45936</v>
      </c>
      <c r="B329" t="s">
        <v>48</v>
      </c>
      <c r="C329">
        <v>649163</v>
      </c>
      <c r="D329">
        <v>2021138605</v>
      </c>
      <c r="E329" t="s">
        <v>224</v>
      </c>
      <c r="F329" t="s">
        <v>627</v>
      </c>
      <c r="G329" t="s">
        <v>51</v>
      </c>
      <c r="H329" t="s">
        <v>70</v>
      </c>
      <c r="I329" t="s">
        <v>350</v>
      </c>
      <c r="J329" t="s">
        <v>351</v>
      </c>
      <c r="K329">
        <v>649247</v>
      </c>
      <c r="L329" t="s">
        <v>75</v>
      </c>
      <c r="M329" t="s">
        <v>76</v>
      </c>
      <c r="N329" t="s">
        <v>57</v>
      </c>
      <c r="O329" s="1">
        <v>45292</v>
      </c>
      <c r="Q329" s="1">
        <v>45962</v>
      </c>
      <c r="R329" s="2">
        <v>50.6</v>
      </c>
      <c r="S329">
        <v>1</v>
      </c>
      <c r="T329" t="s">
        <v>58</v>
      </c>
      <c r="U329" t="s">
        <v>359</v>
      </c>
      <c r="V329" s="4">
        <v>5.2499999999999998E-2</v>
      </c>
      <c r="W329" s="2">
        <v>0</v>
      </c>
      <c r="X329">
        <v>0</v>
      </c>
      <c r="Y329" t="s">
        <v>214</v>
      </c>
      <c r="Z329" t="s">
        <v>360</v>
      </c>
      <c r="AA329">
        <v>0</v>
      </c>
      <c r="AB329" s="2">
        <v>0</v>
      </c>
      <c r="AC329" s="2">
        <v>0</v>
      </c>
      <c r="AD329" s="3">
        <v>0</v>
      </c>
      <c r="AE329" s="2">
        <v>0</v>
      </c>
      <c r="AF329" s="2">
        <v>0</v>
      </c>
      <c r="AG329" s="2">
        <v>0</v>
      </c>
      <c r="AH329" s="2">
        <v>0</v>
      </c>
      <c r="AI329" s="2">
        <v>0</v>
      </c>
      <c r="AJ329" s="2">
        <v>0</v>
      </c>
      <c r="AK329" s="2">
        <v>0</v>
      </c>
      <c r="AL329" s="2">
        <v>0</v>
      </c>
      <c r="AM329" s="2">
        <v>2.66</v>
      </c>
      <c r="AN329" s="2">
        <v>2.66</v>
      </c>
      <c r="AO329" s="2">
        <v>0</v>
      </c>
      <c r="AP329" s="2">
        <v>0</v>
      </c>
      <c r="AQ329" s="2">
        <v>0</v>
      </c>
    </row>
    <row r="330" spans="1:43" x14ac:dyDescent="0.25">
      <c r="A330" s="1">
        <v>45936</v>
      </c>
      <c r="B330" t="s">
        <v>48</v>
      </c>
      <c r="C330">
        <v>649163</v>
      </c>
      <c r="D330">
        <v>2021160584</v>
      </c>
      <c r="E330" t="s">
        <v>628</v>
      </c>
      <c r="F330" t="s">
        <v>569</v>
      </c>
      <c r="G330" t="s">
        <v>51</v>
      </c>
      <c r="H330" t="s">
        <v>70</v>
      </c>
      <c r="I330" t="s">
        <v>350</v>
      </c>
      <c r="J330" t="s">
        <v>351</v>
      </c>
      <c r="K330">
        <v>728134</v>
      </c>
      <c r="L330" t="s">
        <v>352</v>
      </c>
      <c r="M330" t="s">
        <v>353</v>
      </c>
      <c r="N330" t="s">
        <v>57</v>
      </c>
      <c r="O330" s="1">
        <v>45292</v>
      </c>
      <c r="Q330" s="1">
        <v>45962</v>
      </c>
      <c r="R330" s="2">
        <v>33.590000000000003</v>
      </c>
      <c r="S330">
        <v>1</v>
      </c>
      <c r="T330" t="s">
        <v>58</v>
      </c>
      <c r="U330" t="s">
        <v>359</v>
      </c>
      <c r="V330" s="4">
        <v>5.2499999999999998E-2</v>
      </c>
      <c r="W330" s="2">
        <v>0</v>
      </c>
      <c r="X330">
        <v>0</v>
      </c>
      <c r="Y330" t="s">
        <v>214</v>
      </c>
      <c r="Z330" t="s">
        <v>360</v>
      </c>
      <c r="AA330">
        <v>0</v>
      </c>
      <c r="AB330" s="2">
        <v>0</v>
      </c>
      <c r="AC330" s="2">
        <v>0</v>
      </c>
      <c r="AD330" s="3">
        <v>0</v>
      </c>
      <c r="AE330" s="2">
        <v>0</v>
      </c>
      <c r="AF330" s="2">
        <v>0</v>
      </c>
      <c r="AG330" s="2">
        <v>0</v>
      </c>
      <c r="AH330" s="2">
        <v>0</v>
      </c>
      <c r="AI330" s="2">
        <v>0</v>
      </c>
      <c r="AJ330" s="2">
        <v>0</v>
      </c>
      <c r="AK330" s="2">
        <v>0</v>
      </c>
      <c r="AL330" s="2">
        <v>0</v>
      </c>
      <c r="AM330" s="2">
        <v>1.76</v>
      </c>
      <c r="AN330" s="2">
        <v>1.76</v>
      </c>
      <c r="AO330" s="2">
        <v>0</v>
      </c>
      <c r="AP330" s="2">
        <v>0</v>
      </c>
      <c r="AQ330" s="2">
        <v>0</v>
      </c>
    </row>
    <row r="331" spans="1:43" x14ac:dyDescent="0.25">
      <c r="A331" s="1">
        <v>45936</v>
      </c>
      <c r="B331" t="s">
        <v>48</v>
      </c>
      <c r="C331">
        <v>649163</v>
      </c>
      <c r="D331">
        <v>2021180346</v>
      </c>
      <c r="E331" t="s">
        <v>629</v>
      </c>
      <c r="F331" t="s">
        <v>630</v>
      </c>
      <c r="G331" t="s">
        <v>51</v>
      </c>
      <c r="H331" t="s">
        <v>70</v>
      </c>
      <c r="I331" t="s">
        <v>350</v>
      </c>
      <c r="J331" t="s">
        <v>351</v>
      </c>
      <c r="K331">
        <v>649247</v>
      </c>
      <c r="L331" t="s">
        <v>75</v>
      </c>
      <c r="M331" t="s">
        <v>76</v>
      </c>
      <c r="N331" t="s">
        <v>57</v>
      </c>
      <c r="O331" s="1">
        <v>45292</v>
      </c>
      <c r="Q331" s="1">
        <v>45962</v>
      </c>
      <c r="R331" s="2">
        <v>104.08</v>
      </c>
      <c r="S331">
        <v>1</v>
      </c>
      <c r="T331" t="s">
        <v>58</v>
      </c>
      <c r="U331" t="s">
        <v>359</v>
      </c>
      <c r="V331" s="4">
        <v>5.2499999999999998E-2</v>
      </c>
      <c r="W331" s="2">
        <v>0</v>
      </c>
      <c r="X331">
        <v>0</v>
      </c>
      <c r="Y331" t="s">
        <v>214</v>
      </c>
      <c r="Z331" t="s">
        <v>360</v>
      </c>
      <c r="AA331">
        <v>0</v>
      </c>
      <c r="AB331" s="2">
        <v>0</v>
      </c>
      <c r="AC331" s="2">
        <v>0</v>
      </c>
      <c r="AD331" s="3">
        <v>0</v>
      </c>
      <c r="AE331" s="2">
        <v>0</v>
      </c>
      <c r="AF331" s="2">
        <v>0</v>
      </c>
      <c r="AG331" s="2">
        <v>0</v>
      </c>
      <c r="AH331" s="2">
        <v>0</v>
      </c>
      <c r="AI331" s="2">
        <v>0</v>
      </c>
      <c r="AJ331" s="2">
        <v>0</v>
      </c>
      <c r="AK331" s="2">
        <v>0</v>
      </c>
      <c r="AL331" s="2">
        <v>0</v>
      </c>
      <c r="AM331" s="2">
        <v>5.46</v>
      </c>
      <c r="AN331" s="2">
        <v>5.46</v>
      </c>
      <c r="AO331" s="2">
        <v>0</v>
      </c>
      <c r="AP331" s="2">
        <v>0</v>
      </c>
      <c r="AQ331" s="2">
        <v>0</v>
      </c>
    </row>
    <row r="332" spans="1:43" x14ac:dyDescent="0.25">
      <c r="A332" s="1">
        <v>45936</v>
      </c>
      <c r="B332" t="s">
        <v>48</v>
      </c>
      <c r="C332">
        <v>649163</v>
      </c>
      <c r="D332">
        <v>2021194025</v>
      </c>
      <c r="E332" t="s">
        <v>596</v>
      </c>
      <c r="F332" t="s">
        <v>593</v>
      </c>
      <c r="G332" t="s">
        <v>51</v>
      </c>
      <c r="H332" t="s">
        <v>70</v>
      </c>
      <c r="I332" t="s">
        <v>350</v>
      </c>
      <c r="J332" t="s">
        <v>351</v>
      </c>
      <c r="K332">
        <v>728134</v>
      </c>
      <c r="L332" t="s">
        <v>352</v>
      </c>
      <c r="M332" t="s">
        <v>353</v>
      </c>
      <c r="N332" t="s">
        <v>57</v>
      </c>
      <c r="O332" s="1">
        <v>45323</v>
      </c>
      <c r="Q332" s="1">
        <v>45962</v>
      </c>
      <c r="R332" s="2">
        <v>43.59</v>
      </c>
      <c r="S332">
        <v>1</v>
      </c>
      <c r="T332" t="s">
        <v>58</v>
      </c>
      <c r="U332" t="s">
        <v>359</v>
      </c>
      <c r="V332" s="4">
        <v>5.2499999999999998E-2</v>
      </c>
      <c r="W332" s="2">
        <v>0</v>
      </c>
      <c r="X332">
        <v>0</v>
      </c>
      <c r="Y332" t="s">
        <v>214</v>
      </c>
      <c r="Z332" t="s">
        <v>360</v>
      </c>
      <c r="AA332">
        <v>0</v>
      </c>
      <c r="AB332" s="2">
        <v>0</v>
      </c>
      <c r="AC332" s="2">
        <v>0</v>
      </c>
      <c r="AD332" s="3">
        <v>0</v>
      </c>
      <c r="AE332" s="2">
        <v>0</v>
      </c>
      <c r="AF332" s="2">
        <v>0</v>
      </c>
      <c r="AG332" s="2">
        <v>0</v>
      </c>
      <c r="AH332" s="2">
        <v>0</v>
      </c>
      <c r="AI332" s="2">
        <v>0</v>
      </c>
      <c r="AJ332" s="2">
        <v>0</v>
      </c>
      <c r="AK332" s="2">
        <v>0</v>
      </c>
      <c r="AL332" s="2">
        <v>0</v>
      </c>
      <c r="AM332" s="2">
        <v>2.29</v>
      </c>
      <c r="AN332" s="2">
        <v>2.29</v>
      </c>
      <c r="AO332" s="2">
        <v>0</v>
      </c>
      <c r="AP332" s="2">
        <v>0</v>
      </c>
      <c r="AQ332" s="2">
        <v>0</v>
      </c>
    </row>
    <row r="333" spans="1:43" x14ac:dyDescent="0.25">
      <c r="A333" s="1">
        <v>45936</v>
      </c>
      <c r="B333" t="s">
        <v>48</v>
      </c>
      <c r="C333">
        <v>649163</v>
      </c>
      <c r="D333">
        <v>2021206448</v>
      </c>
      <c r="E333" t="s">
        <v>631</v>
      </c>
      <c r="F333" t="s">
        <v>507</v>
      </c>
      <c r="G333" t="s">
        <v>51</v>
      </c>
      <c r="H333" t="s">
        <v>70</v>
      </c>
      <c r="I333" t="s">
        <v>350</v>
      </c>
      <c r="J333" t="s">
        <v>351</v>
      </c>
      <c r="K333">
        <v>649164</v>
      </c>
      <c r="L333" t="s">
        <v>211</v>
      </c>
      <c r="M333" t="s">
        <v>212</v>
      </c>
      <c r="N333" t="s">
        <v>57</v>
      </c>
      <c r="O333" s="1">
        <v>45292</v>
      </c>
      <c r="Q333" s="1">
        <v>45962</v>
      </c>
      <c r="R333" s="2">
        <v>104.08</v>
      </c>
      <c r="S333">
        <v>1</v>
      </c>
      <c r="T333" t="s">
        <v>58</v>
      </c>
      <c r="U333" t="s">
        <v>359</v>
      </c>
      <c r="V333" s="4">
        <v>5.2499999999999998E-2</v>
      </c>
      <c r="W333" s="2">
        <v>0</v>
      </c>
      <c r="X333">
        <v>0</v>
      </c>
      <c r="Y333" t="s">
        <v>214</v>
      </c>
      <c r="Z333" t="s">
        <v>360</v>
      </c>
      <c r="AA333">
        <v>0</v>
      </c>
      <c r="AB333" s="2">
        <v>0</v>
      </c>
      <c r="AC333" s="2">
        <v>0</v>
      </c>
      <c r="AD333" s="3">
        <v>0</v>
      </c>
      <c r="AE333" s="2">
        <v>0</v>
      </c>
      <c r="AF333" s="2">
        <v>0</v>
      </c>
      <c r="AG333" s="2">
        <v>0</v>
      </c>
      <c r="AH333" s="2">
        <v>0</v>
      </c>
      <c r="AI333" s="2">
        <v>0</v>
      </c>
      <c r="AJ333" s="2">
        <v>0</v>
      </c>
      <c r="AK333" s="2">
        <v>0</v>
      </c>
      <c r="AL333" s="2">
        <v>0</v>
      </c>
      <c r="AM333" s="2">
        <v>5.46</v>
      </c>
      <c r="AN333" s="2">
        <v>5.46</v>
      </c>
      <c r="AO333" s="2">
        <v>0</v>
      </c>
      <c r="AP333" s="2">
        <v>0</v>
      </c>
      <c r="AQ333" s="2">
        <v>0</v>
      </c>
    </row>
    <row r="334" spans="1:43" x14ac:dyDescent="0.25">
      <c r="A334" s="1">
        <v>45936</v>
      </c>
      <c r="B334" t="s">
        <v>48</v>
      </c>
      <c r="C334">
        <v>649163</v>
      </c>
      <c r="D334">
        <v>2021511833</v>
      </c>
      <c r="E334" t="s">
        <v>632</v>
      </c>
      <c r="F334" t="s">
        <v>633</v>
      </c>
      <c r="G334" t="s">
        <v>51</v>
      </c>
      <c r="H334" t="s">
        <v>70</v>
      </c>
      <c r="I334" t="s">
        <v>350</v>
      </c>
      <c r="J334" t="s">
        <v>351</v>
      </c>
      <c r="K334">
        <v>649247</v>
      </c>
      <c r="L334" t="s">
        <v>75</v>
      </c>
      <c r="M334" t="s">
        <v>76</v>
      </c>
      <c r="N334" t="s">
        <v>57</v>
      </c>
      <c r="O334" s="1">
        <v>45323</v>
      </c>
      <c r="Q334" s="1">
        <v>45962</v>
      </c>
      <c r="R334" s="2">
        <v>69.599999999999994</v>
      </c>
      <c r="S334">
        <v>1</v>
      </c>
      <c r="T334" t="s">
        <v>58</v>
      </c>
      <c r="U334" t="s">
        <v>359</v>
      </c>
      <c r="V334" s="4">
        <v>5.2499999999999998E-2</v>
      </c>
      <c r="W334" s="2">
        <v>0</v>
      </c>
      <c r="X334">
        <v>0</v>
      </c>
      <c r="Y334" t="s">
        <v>214</v>
      </c>
      <c r="Z334" t="s">
        <v>360</v>
      </c>
      <c r="AA334">
        <v>0</v>
      </c>
      <c r="AB334" s="2">
        <v>0</v>
      </c>
      <c r="AC334" s="2">
        <v>0</v>
      </c>
      <c r="AD334" s="3">
        <v>0</v>
      </c>
      <c r="AE334" s="2">
        <v>0</v>
      </c>
      <c r="AF334" s="2">
        <v>0</v>
      </c>
      <c r="AG334" s="2">
        <v>0</v>
      </c>
      <c r="AH334" s="2">
        <v>0</v>
      </c>
      <c r="AI334" s="2">
        <v>0</v>
      </c>
      <c r="AJ334" s="2">
        <v>0</v>
      </c>
      <c r="AK334" s="2">
        <v>0</v>
      </c>
      <c r="AL334" s="2">
        <v>0</v>
      </c>
      <c r="AM334" s="2">
        <v>3.65</v>
      </c>
      <c r="AN334" s="2">
        <v>3.65</v>
      </c>
      <c r="AO334" s="2">
        <v>0</v>
      </c>
      <c r="AP334" s="2">
        <v>0</v>
      </c>
      <c r="AQ334" s="2">
        <v>0</v>
      </c>
    </row>
    <row r="335" spans="1:43" x14ac:dyDescent="0.25">
      <c r="A335" s="1">
        <v>45936</v>
      </c>
      <c r="B335" t="s">
        <v>48</v>
      </c>
      <c r="C335">
        <v>649163</v>
      </c>
      <c r="D335">
        <v>2016855834</v>
      </c>
      <c r="E335" t="s">
        <v>634</v>
      </c>
      <c r="F335" t="s">
        <v>362</v>
      </c>
      <c r="G335" t="s">
        <v>51</v>
      </c>
      <c r="H335" t="s">
        <v>70</v>
      </c>
      <c r="I335" t="s">
        <v>53</v>
      </c>
      <c r="J335" t="s">
        <v>635</v>
      </c>
      <c r="K335">
        <v>652037</v>
      </c>
      <c r="L335" t="s">
        <v>172</v>
      </c>
      <c r="M335" t="s">
        <v>173</v>
      </c>
      <c r="N335" t="s">
        <v>456</v>
      </c>
      <c r="O335" s="1">
        <v>44896</v>
      </c>
      <c r="P335" s="1">
        <v>45936</v>
      </c>
      <c r="Q335" s="1">
        <v>45962</v>
      </c>
      <c r="R335" s="2">
        <v>-84.27</v>
      </c>
      <c r="S335">
        <v>1</v>
      </c>
      <c r="T335" t="s">
        <v>58</v>
      </c>
      <c r="U335" t="s">
        <v>359</v>
      </c>
      <c r="V335" s="4">
        <v>6.5000000000000002E-2</v>
      </c>
      <c r="W335" s="2">
        <v>0</v>
      </c>
      <c r="X335">
        <v>-1</v>
      </c>
      <c r="Y335" t="s">
        <v>214</v>
      </c>
      <c r="Z335" t="s">
        <v>360</v>
      </c>
      <c r="AA335">
        <v>0</v>
      </c>
      <c r="AB335" s="2">
        <v>0</v>
      </c>
      <c r="AC335" s="2">
        <v>0</v>
      </c>
      <c r="AD335" s="3">
        <v>0</v>
      </c>
      <c r="AE335" s="2">
        <v>0</v>
      </c>
      <c r="AF335" s="2">
        <v>0</v>
      </c>
      <c r="AG335" s="2">
        <v>0</v>
      </c>
      <c r="AH335" s="2">
        <v>0</v>
      </c>
      <c r="AI335" s="2">
        <v>0</v>
      </c>
      <c r="AJ335" s="2">
        <v>0</v>
      </c>
      <c r="AK335" s="2">
        <v>0</v>
      </c>
      <c r="AL335" s="2">
        <v>0</v>
      </c>
      <c r="AM335" s="2">
        <v>-5.48</v>
      </c>
      <c r="AN335" s="2">
        <v>-5.48</v>
      </c>
      <c r="AO335" s="2">
        <v>0</v>
      </c>
      <c r="AP335" s="2">
        <v>0</v>
      </c>
      <c r="AQ335" s="2">
        <v>0</v>
      </c>
    </row>
    <row r="336" spans="1:43" x14ac:dyDescent="0.25">
      <c r="A336" s="1">
        <v>45936</v>
      </c>
      <c r="B336" t="s">
        <v>48</v>
      </c>
      <c r="C336">
        <v>649163</v>
      </c>
      <c r="D336">
        <v>2016954034</v>
      </c>
      <c r="E336" t="s">
        <v>513</v>
      </c>
      <c r="F336" t="s">
        <v>636</v>
      </c>
      <c r="G336" t="s">
        <v>51</v>
      </c>
      <c r="H336" t="s">
        <v>70</v>
      </c>
      <c r="I336" t="s">
        <v>53</v>
      </c>
      <c r="J336" t="s">
        <v>65</v>
      </c>
      <c r="K336">
        <v>649164</v>
      </c>
      <c r="L336" t="s">
        <v>211</v>
      </c>
      <c r="M336" t="s">
        <v>212</v>
      </c>
      <c r="N336" t="s">
        <v>57</v>
      </c>
      <c r="O336" s="1">
        <v>44927</v>
      </c>
      <c r="Q336" s="1">
        <v>45962</v>
      </c>
      <c r="R336" s="2">
        <v>75.75</v>
      </c>
      <c r="S336">
        <v>1</v>
      </c>
      <c r="T336" t="s">
        <v>58</v>
      </c>
      <c r="U336" t="s">
        <v>359</v>
      </c>
      <c r="V336" s="4">
        <v>6.5000000000000002E-2</v>
      </c>
      <c r="W336" s="2">
        <v>0</v>
      </c>
      <c r="X336">
        <v>0</v>
      </c>
      <c r="Y336" t="s">
        <v>214</v>
      </c>
      <c r="Z336" t="s">
        <v>360</v>
      </c>
      <c r="AA336">
        <v>0</v>
      </c>
      <c r="AB336" s="2">
        <v>0</v>
      </c>
      <c r="AC336" s="2">
        <v>0</v>
      </c>
      <c r="AD336" s="3">
        <v>0</v>
      </c>
      <c r="AE336" s="2">
        <v>0</v>
      </c>
      <c r="AF336" s="2">
        <v>0</v>
      </c>
      <c r="AG336" s="2">
        <v>0</v>
      </c>
      <c r="AH336" s="2">
        <v>0</v>
      </c>
      <c r="AI336" s="2">
        <v>0</v>
      </c>
      <c r="AJ336" s="2">
        <v>0</v>
      </c>
      <c r="AK336" s="2">
        <v>0</v>
      </c>
      <c r="AL336" s="2">
        <v>0</v>
      </c>
      <c r="AM336" s="2">
        <v>4.92</v>
      </c>
      <c r="AN336" s="2">
        <v>4.92</v>
      </c>
      <c r="AO336" s="2">
        <v>0</v>
      </c>
      <c r="AP336" s="2">
        <v>0</v>
      </c>
      <c r="AQ336" s="2">
        <v>0</v>
      </c>
    </row>
    <row r="337" spans="1:43" x14ac:dyDescent="0.25">
      <c r="A337" s="1">
        <v>45936</v>
      </c>
      <c r="B337" t="s">
        <v>48</v>
      </c>
      <c r="C337">
        <v>649163</v>
      </c>
      <c r="D337">
        <v>2017242801</v>
      </c>
      <c r="E337" t="s">
        <v>542</v>
      </c>
      <c r="F337" t="s">
        <v>543</v>
      </c>
      <c r="G337" t="s">
        <v>51</v>
      </c>
      <c r="H337" t="s">
        <v>88</v>
      </c>
      <c r="I337" t="s">
        <v>53</v>
      </c>
      <c r="J337" t="s">
        <v>635</v>
      </c>
      <c r="K337">
        <v>652037</v>
      </c>
      <c r="L337" t="s">
        <v>172</v>
      </c>
      <c r="M337" t="s">
        <v>173</v>
      </c>
      <c r="N337" t="s">
        <v>57</v>
      </c>
      <c r="O337" s="1">
        <v>44930</v>
      </c>
      <c r="Q337" s="1">
        <v>45965</v>
      </c>
      <c r="R337" s="2">
        <v>105.84</v>
      </c>
      <c r="S337">
        <v>1</v>
      </c>
      <c r="T337" t="s">
        <v>58</v>
      </c>
      <c r="U337" t="s">
        <v>359</v>
      </c>
      <c r="V337" s="4">
        <v>6.5000000000000002E-2</v>
      </c>
      <c r="W337" s="2">
        <v>0</v>
      </c>
      <c r="X337">
        <v>0</v>
      </c>
      <c r="Y337" t="s">
        <v>214</v>
      </c>
      <c r="Z337" t="s">
        <v>360</v>
      </c>
      <c r="AA337">
        <v>0</v>
      </c>
      <c r="AB337" s="2">
        <v>0</v>
      </c>
      <c r="AC337" s="2">
        <v>0</v>
      </c>
      <c r="AD337" s="3">
        <v>0</v>
      </c>
      <c r="AE337" s="2">
        <v>0</v>
      </c>
      <c r="AF337" s="2">
        <v>0</v>
      </c>
      <c r="AG337" s="2">
        <v>0</v>
      </c>
      <c r="AH337" s="2">
        <v>0</v>
      </c>
      <c r="AI337" s="2">
        <v>0</v>
      </c>
      <c r="AJ337" s="2">
        <v>0</v>
      </c>
      <c r="AK337" s="2">
        <v>0</v>
      </c>
      <c r="AL337" s="2">
        <v>0</v>
      </c>
      <c r="AM337" s="2">
        <v>6.88</v>
      </c>
      <c r="AN337" s="2">
        <v>6.88</v>
      </c>
      <c r="AO337" s="2">
        <v>0</v>
      </c>
      <c r="AP337" s="2">
        <v>0</v>
      </c>
      <c r="AQ337" s="2">
        <v>0</v>
      </c>
    </row>
    <row r="338" spans="1:43" x14ac:dyDescent="0.25">
      <c r="A338" s="1">
        <v>45936</v>
      </c>
      <c r="B338" t="s">
        <v>48</v>
      </c>
      <c r="C338">
        <v>649163</v>
      </c>
      <c r="D338">
        <v>2017539417</v>
      </c>
      <c r="E338" t="s">
        <v>568</v>
      </c>
      <c r="F338" t="s">
        <v>569</v>
      </c>
      <c r="G338" t="s">
        <v>51</v>
      </c>
      <c r="H338" t="s">
        <v>427</v>
      </c>
      <c r="I338" t="s">
        <v>53</v>
      </c>
      <c r="J338" t="s">
        <v>65</v>
      </c>
      <c r="K338">
        <v>649793</v>
      </c>
      <c r="L338" t="s">
        <v>80</v>
      </c>
      <c r="M338" t="s">
        <v>537</v>
      </c>
      <c r="N338" t="s">
        <v>57</v>
      </c>
      <c r="O338" s="1">
        <v>44986</v>
      </c>
      <c r="Q338" s="1">
        <v>45962</v>
      </c>
      <c r="R338" s="2">
        <v>52.69</v>
      </c>
      <c r="S338">
        <v>1</v>
      </c>
      <c r="T338" t="s">
        <v>58</v>
      </c>
      <c r="U338" t="s">
        <v>359</v>
      </c>
      <c r="V338" s="4">
        <v>6.5000000000000002E-2</v>
      </c>
      <c r="W338" s="2">
        <v>0</v>
      </c>
      <c r="X338">
        <v>0</v>
      </c>
      <c r="Y338" t="s">
        <v>214</v>
      </c>
      <c r="Z338" t="s">
        <v>360</v>
      </c>
      <c r="AA338">
        <v>0</v>
      </c>
      <c r="AB338" s="2">
        <v>0</v>
      </c>
      <c r="AC338" s="2">
        <v>0</v>
      </c>
      <c r="AD338" s="3">
        <v>0</v>
      </c>
      <c r="AE338" s="2">
        <v>0</v>
      </c>
      <c r="AF338" s="2">
        <v>0</v>
      </c>
      <c r="AG338" s="2">
        <v>0</v>
      </c>
      <c r="AH338" s="2">
        <v>0</v>
      </c>
      <c r="AI338" s="2">
        <v>0</v>
      </c>
      <c r="AJ338" s="2">
        <v>0</v>
      </c>
      <c r="AK338" s="2">
        <v>0</v>
      </c>
      <c r="AL338" s="2">
        <v>0</v>
      </c>
      <c r="AM338" s="2">
        <v>3.42</v>
      </c>
      <c r="AN338" s="2">
        <v>3.42</v>
      </c>
      <c r="AO338" s="2">
        <v>0</v>
      </c>
      <c r="AP338" s="2">
        <v>0</v>
      </c>
      <c r="AQ338" s="2">
        <v>0</v>
      </c>
    </row>
    <row r="339" spans="1:43" x14ac:dyDescent="0.25">
      <c r="A339" s="1">
        <v>45936</v>
      </c>
      <c r="B339" t="s">
        <v>48</v>
      </c>
      <c r="C339">
        <v>649163</v>
      </c>
      <c r="D339">
        <v>2017624587</v>
      </c>
      <c r="E339" t="s">
        <v>637</v>
      </c>
      <c r="F339" t="s">
        <v>224</v>
      </c>
      <c r="G339" t="s">
        <v>51</v>
      </c>
      <c r="H339" t="s">
        <v>70</v>
      </c>
      <c r="I339" t="s">
        <v>53</v>
      </c>
      <c r="J339" t="s">
        <v>54</v>
      </c>
      <c r="K339">
        <v>650794</v>
      </c>
      <c r="L339" t="s">
        <v>172</v>
      </c>
      <c r="M339" t="s">
        <v>624</v>
      </c>
      <c r="N339" t="s">
        <v>57</v>
      </c>
      <c r="O339" s="1">
        <v>44967</v>
      </c>
      <c r="Q339" s="1">
        <v>45971</v>
      </c>
      <c r="R339" s="2">
        <v>61.81</v>
      </c>
      <c r="S339">
        <v>1</v>
      </c>
      <c r="T339" t="s">
        <v>58</v>
      </c>
      <c r="U339" t="s">
        <v>359</v>
      </c>
      <c r="V339" s="4">
        <v>6.5000000000000002E-2</v>
      </c>
      <c r="W339" s="2">
        <v>0</v>
      </c>
      <c r="X339">
        <v>0</v>
      </c>
      <c r="Y339" t="s">
        <v>214</v>
      </c>
      <c r="Z339" t="s">
        <v>360</v>
      </c>
      <c r="AA339">
        <v>0</v>
      </c>
      <c r="AB339" s="2">
        <v>0</v>
      </c>
      <c r="AC339" s="2">
        <v>0</v>
      </c>
      <c r="AD339" s="3">
        <v>0</v>
      </c>
      <c r="AE339" s="2">
        <v>0</v>
      </c>
      <c r="AF339" s="2">
        <v>0</v>
      </c>
      <c r="AG339" s="2">
        <v>0</v>
      </c>
      <c r="AH339" s="2">
        <v>0</v>
      </c>
      <c r="AI339" s="2">
        <v>0</v>
      </c>
      <c r="AJ339" s="2">
        <v>0</v>
      </c>
      <c r="AK339" s="2">
        <v>0</v>
      </c>
      <c r="AL339" s="2">
        <v>0</v>
      </c>
      <c r="AM339" s="2">
        <v>4.0199999999999996</v>
      </c>
      <c r="AN339" s="2">
        <v>4.0199999999999996</v>
      </c>
      <c r="AO339" s="2">
        <v>0</v>
      </c>
      <c r="AP339" s="2">
        <v>0</v>
      </c>
      <c r="AQ339" s="2">
        <v>0</v>
      </c>
    </row>
    <row r="340" spans="1:43" x14ac:dyDescent="0.25">
      <c r="A340" s="1">
        <v>45936</v>
      </c>
      <c r="B340" t="s">
        <v>48</v>
      </c>
      <c r="C340">
        <v>649163</v>
      </c>
      <c r="D340">
        <v>2018439352</v>
      </c>
      <c r="E340" t="s">
        <v>574</v>
      </c>
      <c r="F340" t="s">
        <v>575</v>
      </c>
      <c r="G340" t="s">
        <v>51</v>
      </c>
      <c r="H340" t="s">
        <v>70</v>
      </c>
      <c r="I340" t="s">
        <v>53</v>
      </c>
      <c r="J340" t="s">
        <v>65</v>
      </c>
      <c r="K340">
        <v>678320</v>
      </c>
      <c r="L340" t="s">
        <v>576</v>
      </c>
      <c r="M340" t="s">
        <v>139</v>
      </c>
      <c r="N340" t="s">
        <v>57</v>
      </c>
      <c r="O340" s="1">
        <v>45047</v>
      </c>
      <c r="Q340" s="1">
        <v>45962</v>
      </c>
      <c r="R340" s="2">
        <v>75.75</v>
      </c>
      <c r="S340">
        <v>1</v>
      </c>
      <c r="T340" t="s">
        <v>58</v>
      </c>
      <c r="U340" t="s">
        <v>359</v>
      </c>
      <c r="V340" s="4">
        <v>6.5000000000000002E-2</v>
      </c>
      <c r="W340" s="2">
        <v>0</v>
      </c>
      <c r="X340">
        <v>0</v>
      </c>
      <c r="Y340" t="s">
        <v>214</v>
      </c>
      <c r="Z340" t="s">
        <v>360</v>
      </c>
      <c r="AA340">
        <v>0</v>
      </c>
      <c r="AB340" s="2">
        <v>0</v>
      </c>
      <c r="AC340" s="2">
        <v>0</v>
      </c>
      <c r="AD340" s="3">
        <v>0</v>
      </c>
      <c r="AE340" s="2">
        <v>0</v>
      </c>
      <c r="AF340" s="2">
        <v>0</v>
      </c>
      <c r="AG340" s="2">
        <v>0</v>
      </c>
      <c r="AH340" s="2">
        <v>0</v>
      </c>
      <c r="AI340" s="2">
        <v>0</v>
      </c>
      <c r="AJ340" s="2">
        <v>0</v>
      </c>
      <c r="AK340" s="2">
        <v>0</v>
      </c>
      <c r="AL340" s="2">
        <v>0</v>
      </c>
      <c r="AM340" s="2">
        <v>4.92</v>
      </c>
      <c r="AN340" s="2">
        <v>4.92</v>
      </c>
      <c r="AO340" s="2">
        <v>0</v>
      </c>
      <c r="AP340" s="2">
        <v>0</v>
      </c>
      <c r="AQ340" s="2">
        <v>0</v>
      </c>
    </row>
    <row r="341" spans="1:43" x14ac:dyDescent="0.25">
      <c r="A341" s="1">
        <v>45936</v>
      </c>
      <c r="B341" t="s">
        <v>48</v>
      </c>
      <c r="C341">
        <v>649163</v>
      </c>
      <c r="D341">
        <v>2018472292</v>
      </c>
      <c r="E341" t="s">
        <v>577</v>
      </c>
      <c r="F341" t="s">
        <v>578</v>
      </c>
      <c r="G341" t="s">
        <v>51</v>
      </c>
      <c r="H341" t="s">
        <v>70</v>
      </c>
      <c r="I341" t="s">
        <v>53</v>
      </c>
      <c r="J341" t="s">
        <v>54</v>
      </c>
      <c r="K341">
        <v>678320</v>
      </c>
      <c r="L341" t="s">
        <v>576</v>
      </c>
      <c r="M341" t="s">
        <v>139</v>
      </c>
      <c r="N341" t="s">
        <v>57</v>
      </c>
      <c r="O341" s="1">
        <v>45047</v>
      </c>
      <c r="Q341" s="1">
        <v>45962</v>
      </c>
      <c r="R341" s="2">
        <v>97.45</v>
      </c>
      <c r="S341">
        <v>1</v>
      </c>
      <c r="T341" t="s">
        <v>58</v>
      </c>
      <c r="U341" t="s">
        <v>359</v>
      </c>
      <c r="V341" s="4">
        <v>6.5000000000000002E-2</v>
      </c>
      <c r="W341" s="2">
        <v>0</v>
      </c>
      <c r="X341">
        <v>0</v>
      </c>
      <c r="Y341" t="s">
        <v>214</v>
      </c>
      <c r="Z341" t="s">
        <v>360</v>
      </c>
      <c r="AA341">
        <v>0</v>
      </c>
      <c r="AB341" s="2">
        <v>0</v>
      </c>
      <c r="AC341" s="2">
        <v>0</v>
      </c>
      <c r="AD341" s="3">
        <v>0</v>
      </c>
      <c r="AE341" s="2">
        <v>0</v>
      </c>
      <c r="AF341" s="2">
        <v>0</v>
      </c>
      <c r="AG341" s="2">
        <v>0</v>
      </c>
      <c r="AH341" s="2">
        <v>0</v>
      </c>
      <c r="AI341" s="2">
        <v>0</v>
      </c>
      <c r="AJ341" s="2">
        <v>0</v>
      </c>
      <c r="AK341" s="2">
        <v>0</v>
      </c>
      <c r="AL341" s="2">
        <v>0</v>
      </c>
      <c r="AM341" s="2">
        <v>6.33</v>
      </c>
      <c r="AN341" s="2">
        <v>6.33</v>
      </c>
      <c r="AO341" s="2">
        <v>0</v>
      </c>
      <c r="AP341" s="2">
        <v>0</v>
      </c>
      <c r="AQ341" s="2">
        <v>0</v>
      </c>
    </row>
    <row r="342" spans="1:43" x14ac:dyDescent="0.25">
      <c r="A342" s="1">
        <v>45936</v>
      </c>
      <c r="B342" t="s">
        <v>48</v>
      </c>
      <c r="C342">
        <v>649163</v>
      </c>
      <c r="D342">
        <v>2020488529</v>
      </c>
      <c r="E342" t="s">
        <v>208</v>
      </c>
      <c r="F342" t="s">
        <v>207</v>
      </c>
      <c r="G342" t="s">
        <v>51</v>
      </c>
      <c r="H342" t="s">
        <v>70</v>
      </c>
      <c r="I342" t="s">
        <v>53</v>
      </c>
      <c r="J342" t="s">
        <v>65</v>
      </c>
      <c r="K342">
        <v>649164</v>
      </c>
      <c r="L342" t="s">
        <v>211</v>
      </c>
      <c r="M342" t="s">
        <v>212</v>
      </c>
      <c r="N342" t="s">
        <v>57</v>
      </c>
      <c r="O342" s="1">
        <v>45231</v>
      </c>
      <c r="Q342" s="1">
        <v>45962</v>
      </c>
      <c r="R342" s="2">
        <v>75.75</v>
      </c>
      <c r="S342">
        <v>1</v>
      </c>
      <c r="T342" t="s">
        <v>58</v>
      </c>
      <c r="U342" t="s">
        <v>359</v>
      </c>
      <c r="V342" s="4">
        <v>6.5000000000000002E-2</v>
      </c>
      <c r="W342" s="2">
        <v>0</v>
      </c>
      <c r="X342">
        <v>0</v>
      </c>
      <c r="Y342" t="s">
        <v>214</v>
      </c>
      <c r="Z342" t="s">
        <v>360</v>
      </c>
      <c r="AA342">
        <v>0</v>
      </c>
      <c r="AB342" s="2">
        <v>0</v>
      </c>
      <c r="AC342" s="2">
        <v>0</v>
      </c>
      <c r="AD342" s="3">
        <v>0</v>
      </c>
      <c r="AE342" s="2">
        <v>0</v>
      </c>
      <c r="AF342" s="2">
        <v>0</v>
      </c>
      <c r="AG342" s="2">
        <v>0</v>
      </c>
      <c r="AH342" s="2">
        <v>0</v>
      </c>
      <c r="AI342" s="2">
        <v>0</v>
      </c>
      <c r="AJ342" s="2">
        <v>0</v>
      </c>
      <c r="AK342" s="2">
        <v>0</v>
      </c>
      <c r="AL342" s="2">
        <v>0</v>
      </c>
      <c r="AM342" s="2">
        <v>4.92</v>
      </c>
      <c r="AN342" s="2">
        <v>4.92</v>
      </c>
      <c r="AO342" s="2">
        <v>0</v>
      </c>
      <c r="AP342" s="2">
        <v>0</v>
      </c>
      <c r="AQ342" s="2">
        <v>0</v>
      </c>
    </row>
    <row r="343" spans="1:43" x14ac:dyDescent="0.25">
      <c r="A343" s="1">
        <v>45936</v>
      </c>
      <c r="B343" t="s">
        <v>48</v>
      </c>
      <c r="C343">
        <v>649163</v>
      </c>
      <c r="D343">
        <v>2020720598</v>
      </c>
      <c r="E343" t="s">
        <v>611</v>
      </c>
      <c r="F343" t="s">
        <v>63</v>
      </c>
      <c r="G343" t="s">
        <v>51</v>
      </c>
      <c r="H343" t="s">
        <v>70</v>
      </c>
      <c r="I343" t="s">
        <v>53</v>
      </c>
      <c r="J343" t="s">
        <v>65</v>
      </c>
      <c r="K343">
        <v>649164</v>
      </c>
      <c r="L343" t="s">
        <v>211</v>
      </c>
      <c r="M343" t="s">
        <v>212</v>
      </c>
      <c r="N343" t="s">
        <v>57</v>
      </c>
      <c r="O343" s="1">
        <v>45261</v>
      </c>
      <c r="Q343" s="1">
        <v>45962</v>
      </c>
      <c r="R343" s="2">
        <v>92.55</v>
      </c>
      <c r="S343">
        <v>1</v>
      </c>
      <c r="T343" t="s">
        <v>58</v>
      </c>
      <c r="U343" t="s">
        <v>359</v>
      </c>
      <c r="V343" s="4">
        <v>6.5000000000000002E-2</v>
      </c>
      <c r="W343" s="2">
        <v>0</v>
      </c>
      <c r="X343">
        <v>0</v>
      </c>
      <c r="Y343" t="s">
        <v>214</v>
      </c>
      <c r="Z343" t="s">
        <v>360</v>
      </c>
      <c r="AA343">
        <v>0</v>
      </c>
      <c r="AB343" s="2">
        <v>0</v>
      </c>
      <c r="AC343" s="2">
        <v>0</v>
      </c>
      <c r="AD343" s="3">
        <v>0</v>
      </c>
      <c r="AE343" s="2">
        <v>0</v>
      </c>
      <c r="AF343" s="2">
        <v>0</v>
      </c>
      <c r="AG343" s="2">
        <v>0</v>
      </c>
      <c r="AH343" s="2">
        <v>0</v>
      </c>
      <c r="AI343" s="2">
        <v>0</v>
      </c>
      <c r="AJ343" s="2">
        <v>0</v>
      </c>
      <c r="AK343" s="2">
        <v>0</v>
      </c>
      <c r="AL343" s="2">
        <v>0</v>
      </c>
      <c r="AM343" s="2">
        <v>6.02</v>
      </c>
      <c r="AN343" s="2">
        <v>6.02</v>
      </c>
      <c r="AO343" s="2">
        <v>0</v>
      </c>
      <c r="AP343" s="2">
        <v>0</v>
      </c>
      <c r="AQ343" s="2">
        <v>0</v>
      </c>
    </row>
    <row r="344" spans="1:43" x14ac:dyDescent="0.25">
      <c r="A344" s="1">
        <v>45936</v>
      </c>
      <c r="B344" t="s">
        <v>48</v>
      </c>
      <c r="C344">
        <v>649163</v>
      </c>
      <c r="D344">
        <v>2020736330</v>
      </c>
      <c r="E344" t="s">
        <v>611</v>
      </c>
      <c r="F344" t="s">
        <v>612</v>
      </c>
      <c r="G344" t="s">
        <v>51</v>
      </c>
      <c r="H344" t="s">
        <v>70</v>
      </c>
      <c r="I344" t="s">
        <v>53</v>
      </c>
      <c r="J344" t="s">
        <v>635</v>
      </c>
      <c r="K344">
        <v>649164</v>
      </c>
      <c r="L344" t="s">
        <v>211</v>
      </c>
      <c r="M344" t="s">
        <v>212</v>
      </c>
      <c r="N344" t="s">
        <v>57</v>
      </c>
      <c r="O344" s="1">
        <v>45261</v>
      </c>
      <c r="Q344" s="1">
        <v>45962</v>
      </c>
      <c r="R344" s="2">
        <v>105.84</v>
      </c>
      <c r="S344">
        <v>1</v>
      </c>
      <c r="T344" t="s">
        <v>58</v>
      </c>
      <c r="U344" t="s">
        <v>359</v>
      </c>
      <c r="V344" s="4">
        <v>6.5000000000000002E-2</v>
      </c>
      <c r="W344" s="2">
        <v>0</v>
      </c>
      <c r="X344">
        <v>0</v>
      </c>
      <c r="Y344" t="s">
        <v>214</v>
      </c>
      <c r="Z344" t="s">
        <v>360</v>
      </c>
      <c r="AA344">
        <v>0</v>
      </c>
      <c r="AB344" s="2">
        <v>0</v>
      </c>
      <c r="AC344" s="2">
        <v>0</v>
      </c>
      <c r="AD344" s="3">
        <v>0</v>
      </c>
      <c r="AE344" s="2">
        <v>0</v>
      </c>
      <c r="AF344" s="2">
        <v>0</v>
      </c>
      <c r="AG344" s="2">
        <v>0</v>
      </c>
      <c r="AH344" s="2">
        <v>0</v>
      </c>
      <c r="AI344" s="2">
        <v>0</v>
      </c>
      <c r="AJ344" s="2">
        <v>0</v>
      </c>
      <c r="AK344" s="2">
        <v>0</v>
      </c>
      <c r="AL344" s="2">
        <v>0</v>
      </c>
      <c r="AM344" s="2">
        <v>6.88</v>
      </c>
      <c r="AN344" s="2">
        <v>6.88</v>
      </c>
      <c r="AO344" s="2">
        <v>0</v>
      </c>
      <c r="AP344" s="2">
        <v>0</v>
      </c>
      <c r="AQ344" s="2">
        <v>0</v>
      </c>
    </row>
    <row r="345" spans="1:43" x14ac:dyDescent="0.25">
      <c r="A345" s="1">
        <v>45936</v>
      </c>
      <c r="B345" t="s">
        <v>48</v>
      </c>
      <c r="C345">
        <v>649163</v>
      </c>
      <c r="D345">
        <v>2020891511</v>
      </c>
      <c r="E345" t="s">
        <v>616</v>
      </c>
      <c r="F345" t="s">
        <v>486</v>
      </c>
      <c r="G345" t="s">
        <v>51</v>
      </c>
      <c r="H345" t="s">
        <v>70</v>
      </c>
      <c r="I345" t="s">
        <v>53</v>
      </c>
      <c r="J345" t="s">
        <v>65</v>
      </c>
      <c r="K345">
        <v>649164</v>
      </c>
      <c r="L345" t="s">
        <v>211</v>
      </c>
      <c r="M345" t="s">
        <v>212</v>
      </c>
      <c r="N345" t="s">
        <v>57</v>
      </c>
      <c r="O345" s="1">
        <v>45261</v>
      </c>
      <c r="Q345" s="1">
        <v>45962</v>
      </c>
      <c r="R345" s="2">
        <v>52.69</v>
      </c>
      <c r="S345">
        <v>1</v>
      </c>
      <c r="T345" t="s">
        <v>58</v>
      </c>
      <c r="U345" t="s">
        <v>359</v>
      </c>
      <c r="V345" s="4">
        <v>6.5000000000000002E-2</v>
      </c>
      <c r="W345" s="2">
        <v>0</v>
      </c>
      <c r="X345">
        <v>0</v>
      </c>
      <c r="Y345" t="s">
        <v>214</v>
      </c>
      <c r="Z345" t="s">
        <v>360</v>
      </c>
      <c r="AA345">
        <v>0</v>
      </c>
      <c r="AB345" s="2">
        <v>0</v>
      </c>
      <c r="AC345" s="2">
        <v>0</v>
      </c>
      <c r="AD345" s="3">
        <v>0</v>
      </c>
      <c r="AE345" s="2">
        <v>0</v>
      </c>
      <c r="AF345" s="2">
        <v>0</v>
      </c>
      <c r="AG345" s="2">
        <v>0</v>
      </c>
      <c r="AH345" s="2">
        <v>0</v>
      </c>
      <c r="AI345" s="2">
        <v>0</v>
      </c>
      <c r="AJ345" s="2">
        <v>0</v>
      </c>
      <c r="AK345" s="2">
        <v>0</v>
      </c>
      <c r="AL345" s="2">
        <v>0</v>
      </c>
      <c r="AM345" s="2">
        <v>3.42</v>
      </c>
      <c r="AN345" s="2">
        <v>3.42</v>
      </c>
      <c r="AO345" s="2">
        <v>0</v>
      </c>
      <c r="AP345" s="2">
        <v>0</v>
      </c>
      <c r="AQ345" s="2">
        <v>0</v>
      </c>
    </row>
    <row r="346" spans="1:43" x14ac:dyDescent="0.25">
      <c r="A346" s="1">
        <v>45936</v>
      </c>
      <c r="B346" t="s">
        <v>48</v>
      </c>
      <c r="C346">
        <v>649163</v>
      </c>
      <c r="D346">
        <v>2020974702</v>
      </c>
      <c r="E346" t="s">
        <v>621</v>
      </c>
      <c r="F346" t="s">
        <v>622</v>
      </c>
      <c r="G346" t="s">
        <v>51</v>
      </c>
      <c r="H346" t="s">
        <v>70</v>
      </c>
      <c r="I346" t="s">
        <v>53</v>
      </c>
      <c r="J346" t="s">
        <v>65</v>
      </c>
      <c r="K346">
        <v>649164</v>
      </c>
      <c r="L346" t="s">
        <v>211</v>
      </c>
      <c r="M346" t="s">
        <v>212</v>
      </c>
      <c r="N346" t="s">
        <v>57</v>
      </c>
      <c r="O346" s="1">
        <v>45292</v>
      </c>
      <c r="Q346" s="1">
        <v>45962</v>
      </c>
      <c r="R346" s="2">
        <v>52.69</v>
      </c>
      <c r="S346">
        <v>1</v>
      </c>
      <c r="T346" t="s">
        <v>58</v>
      </c>
      <c r="U346" t="s">
        <v>359</v>
      </c>
      <c r="V346" s="4">
        <v>6.5000000000000002E-2</v>
      </c>
      <c r="W346" s="2">
        <v>0</v>
      </c>
      <c r="X346">
        <v>0</v>
      </c>
      <c r="Y346" t="s">
        <v>214</v>
      </c>
      <c r="Z346" t="s">
        <v>360</v>
      </c>
      <c r="AA346">
        <v>0</v>
      </c>
      <c r="AB346" s="2">
        <v>0</v>
      </c>
      <c r="AC346" s="2">
        <v>0</v>
      </c>
      <c r="AD346" s="3">
        <v>0</v>
      </c>
      <c r="AE346" s="2">
        <v>0</v>
      </c>
      <c r="AF346" s="2">
        <v>0</v>
      </c>
      <c r="AG346" s="2">
        <v>0</v>
      </c>
      <c r="AH346" s="2">
        <v>0</v>
      </c>
      <c r="AI346" s="2">
        <v>0</v>
      </c>
      <c r="AJ346" s="2">
        <v>0</v>
      </c>
      <c r="AK346" s="2">
        <v>0</v>
      </c>
      <c r="AL346" s="2">
        <v>0</v>
      </c>
      <c r="AM346" s="2">
        <v>3.42</v>
      </c>
      <c r="AN346" s="2">
        <v>3.42</v>
      </c>
      <c r="AO346" s="2">
        <v>0</v>
      </c>
      <c r="AP346" s="2">
        <v>0</v>
      </c>
      <c r="AQ346" s="2">
        <v>0</v>
      </c>
    </row>
    <row r="347" spans="1:43" x14ac:dyDescent="0.25">
      <c r="A347" s="1">
        <v>45936</v>
      </c>
      <c r="B347" t="s">
        <v>48</v>
      </c>
      <c r="C347">
        <v>649163</v>
      </c>
      <c r="D347">
        <v>2021166476</v>
      </c>
      <c r="E347" t="s">
        <v>638</v>
      </c>
      <c r="F347" t="s">
        <v>639</v>
      </c>
      <c r="G347" t="s">
        <v>51</v>
      </c>
      <c r="H347" t="s">
        <v>70</v>
      </c>
      <c r="I347" t="s">
        <v>53</v>
      </c>
      <c r="J347" t="s">
        <v>65</v>
      </c>
      <c r="K347">
        <v>649164</v>
      </c>
      <c r="L347" t="s">
        <v>211</v>
      </c>
      <c r="M347" t="s">
        <v>212</v>
      </c>
      <c r="N347" t="s">
        <v>57</v>
      </c>
      <c r="O347" s="1">
        <v>45292</v>
      </c>
      <c r="Q347" s="1">
        <v>45962</v>
      </c>
      <c r="R347" s="2">
        <v>52.69</v>
      </c>
      <c r="S347">
        <v>1</v>
      </c>
      <c r="T347" t="s">
        <v>58</v>
      </c>
      <c r="U347" t="s">
        <v>359</v>
      </c>
      <c r="V347" s="4">
        <v>6.5000000000000002E-2</v>
      </c>
      <c r="W347" s="2">
        <v>0</v>
      </c>
      <c r="X347">
        <v>0</v>
      </c>
      <c r="Y347" t="s">
        <v>214</v>
      </c>
      <c r="Z347" t="s">
        <v>360</v>
      </c>
      <c r="AA347">
        <v>0</v>
      </c>
      <c r="AB347" s="2">
        <v>0</v>
      </c>
      <c r="AC347" s="2">
        <v>0</v>
      </c>
      <c r="AD347" s="3">
        <v>0</v>
      </c>
      <c r="AE347" s="2">
        <v>0</v>
      </c>
      <c r="AF347" s="2">
        <v>0</v>
      </c>
      <c r="AG347" s="2">
        <v>0</v>
      </c>
      <c r="AH347" s="2">
        <v>0</v>
      </c>
      <c r="AI347" s="2">
        <v>0</v>
      </c>
      <c r="AJ347" s="2">
        <v>0</v>
      </c>
      <c r="AK347" s="2">
        <v>0</v>
      </c>
      <c r="AL347" s="2">
        <v>0</v>
      </c>
      <c r="AM347" s="2">
        <v>3.42</v>
      </c>
      <c r="AN347" s="2">
        <v>3.42</v>
      </c>
      <c r="AO347" s="2">
        <v>0</v>
      </c>
      <c r="AP347" s="2">
        <v>0</v>
      </c>
      <c r="AQ347" s="2">
        <v>0</v>
      </c>
    </row>
    <row r="348" spans="1:43" x14ac:dyDescent="0.25">
      <c r="A348" s="1">
        <v>45936</v>
      </c>
      <c r="B348" t="s">
        <v>48</v>
      </c>
      <c r="C348">
        <v>649163</v>
      </c>
      <c r="D348">
        <v>2022273839</v>
      </c>
      <c r="E348" t="s">
        <v>640</v>
      </c>
      <c r="F348" t="s">
        <v>641</v>
      </c>
      <c r="G348" t="s">
        <v>51</v>
      </c>
      <c r="H348" t="s">
        <v>70</v>
      </c>
      <c r="I348" t="s">
        <v>53</v>
      </c>
      <c r="J348" t="s">
        <v>65</v>
      </c>
      <c r="K348">
        <v>649164</v>
      </c>
      <c r="L348" t="s">
        <v>211</v>
      </c>
      <c r="M348" t="s">
        <v>212</v>
      </c>
      <c r="N348" t="s">
        <v>57</v>
      </c>
      <c r="O348" s="1">
        <v>45383</v>
      </c>
      <c r="Q348" s="1">
        <v>45962</v>
      </c>
      <c r="R348" s="2">
        <v>52.69</v>
      </c>
      <c r="S348">
        <v>1</v>
      </c>
      <c r="T348" t="s">
        <v>58</v>
      </c>
      <c r="U348" t="s">
        <v>359</v>
      </c>
      <c r="V348" s="4">
        <v>6.5000000000000002E-2</v>
      </c>
      <c r="W348" s="2">
        <v>0</v>
      </c>
      <c r="X348">
        <v>0</v>
      </c>
      <c r="Y348" t="s">
        <v>214</v>
      </c>
      <c r="Z348" t="s">
        <v>360</v>
      </c>
      <c r="AA348">
        <v>0</v>
      </c>
      <c r="AB348" s="2">
        <v>0</v>
      </c>
      <c r="AC348" s="2">
        <v>0</v>
      </c>
      <c r="AD348" s="3">
        <v>0</v>
      </c>
      <c r="AE348" s="2">
        <v>0</v>
      </c>
      <c r="AF348" s="2">
        <v>0</v>
      </c>
      <c r="AG348" s="2">
        <v>0</v>
      </c>
      <c r="AH348" s="2">
        <v>0</v>
      </c>
      <c r="AI348" s="2">
        <v>0</v>
      </c>
      <c r="AJ348" s="2">
        <v>0</v>
      </c>
      <c r="AK348" s="2">
        <v>0</v>
      </c>
      <c r="AL348" s="2">
        <v>0</v>
      </c>
      <c r="AM348" s="2">
        <v>3.42</v>
      </c>
      <c r="AN348" s="2">
        <v>3.42</v>
      </c>
      <c r="AO348" s="2">
        <v>0</v>
      </c>
      <c r="AP348" s="2">
        <v>0</v>
      </c>
      <c r="AQ348" s="2">
        <v>0</v>
      </c>
    </row>
    <row r="349" spans="1:43" x14ac:dyDescent="0.25">
      <c r="A349" s="1">
        <v>45936</v>
      </c>
      <c r="B349" t="s">
        <v>48</v>
      </c>
      <c r="C349">
        <v>649163</v>
      </c>
      <c r="D349">
        <v>2022853293</v>
      </c>
      <c r="E349" t="s">
        <v>364</v>
      </c>
      <c r="F349" t="s">
        <v>365</v>
      </c>
      <c r="G349" t="s">
        <v>51</v>
      </c>
      <c r="H349" t="s">
        <v>70</v>
      </c>
      <c r="I349" t="s">
        <v>53</v>
      </c>
      <c r="J349" t="s">
        <v>65</v>
      </c>
      <c r="K349">
        <v>751867</v>
      </c>
      <c r="L349" t="s">
        <v>71</v>
      </c>
      <c r="M349" t="s">
        <v>72</v>
      </c>
      <c r="N349" t="s">
        <v>57</v>
      </c>
      <c r="O349" s="1">
        <v>45413</v>
      </c>
      <c r="Q349" s="1">
        <v>45962</v>
      </c>
      <c r="R349" s="2">
        <v>79.75</v>
      </c>
      <c r="S349">
        <v>1</v>
      </c>
      <c r="T349" t="s">
        <v>58</v>
      </c>
      <c r="U349" t="s">
        <v>359</v>
      </c>
      <c r="V349" s="4">
        <v>6.5000000000000002E-2</v>
      </c>
      <c r="W349" s="2">
        <v>0</v>
      </c>
      <c r="X349">
        <v>0</v>
      </c>
      <c r="Y349" t="s">
        <v>214</v>
      </c>
      <c r="Z349" t="s">
        <v>360</v>
      </c>
      <c r="AA349">
        <v>0</v>
      </c>
      <c r="AB349" s="2">
        <v>0</v>
      </c>
      <c r="AC349" s="2">
        <v>0</v>
      </c>
      <c r="AD349" s="3">
        <v>0</v>
      </c>
      <c r="AE349" s="2">
        <v>0</v>
      </c>
      <c r="AF349" s="2">
        <v>0</v>
      </c>
      <c r="AG349" s="2">
        <v>0</v>
      </c>
      <c r="AH349" s="2">
        <v>0</v>
      </c>
      <c r="AI349" s="2">
        <v>0</v>
      </c>
      <c r="AJ349" s="2">
        <v>0</v>
      </c>
      <c r="AK349" s="2">
        <v>0</v>
      </c>
      <c r="AL349" s="2">
        <v>0</v>
      </c>
      <c r="AM349" s="2">
        <v>5.18</v>
      </c>
      <c r="AN349" s="2">
        <v>5.18</v>
      </c>
      <c r="AO349" s="2">
        <v>0</v>
      </c>
      <c r="AP349" s="2">
        <v>0</v>
      </c>
      <c r="AQ349" s="2">
        <v>0</v>
      </c>
    </row>
    <row r="350" spans="1:43" x14ac:dyDescent="0.25">
      <c r="A350" s="1">
        <v>45936</v>
      </c>
      <c r="B350" t="s">
        <v>48</v>
      </c>
      <c r="C350">
        <v>649163</v>
      </c>
      <c r="D350">
        <v>2024320119</v>
      </c>
      <c r="E350" t="s">
        <v>379</v>
      </c>
      <c r="F350" t="s">
        <v>224</v>
      </c>
      <c r="G350" t="s">
        <v>51</v>
      </c>
      <c r="H350" t="s">
        <v>70</v>
      </c>
      <c r="I350" t="s">
        <v>53</v>
      </c>
      <c r="J350" t="s">
        <v>65</v>
      </c>
      <c r="K350">
        <v>650218</v>
      </c>
      <c r="L350" t="s">
        <v>237</v>
      </c>
      <c r="M350" t="s">
        <v>238</v>
      </c>
      <c r="N350" t="s">
        <v>57</v>
      </c>
      <c r="O350" s="1">
        <v>45514</v>
      </c>
      <c r="Q350" s="1">
        <v>45971</v>
      </c>
      <c r="R350" s="2">
        <v>46.45</v>
      </c>
      <c r="S350">
        <v>1</v>
      </c>
      <c r="T350" t="s">
        <v>58</v>
      </c>
      <c r="U350" t="s">
        <v>359</v>
      </c>
      <c r="V350" s="4">
        <v>6.5000000000000002E-2</v>
      </c>
      <c r="W350" s="2">
        <v>0</v>
      </c>
      <c r="X350">
        <v>0</v>
      </c>
      <c r="Y350" t="s">
        <v>214</v>
      </c>
      <c r="Z350" t="s">
        <v>360</v>
      </c>
      <c r="AA350">
        <v>0</v>
      </c>
      <c r="AB350" s="2">
        <v>0</v>
      </c>
      <c r="AC350" s="2">
        <v>0</v>
      </c>
      <c r="AD350" s="3">
        <v>0</v>
      </c>
      <c r="AE350" s="2">
        <v>0</v>
      </c>
      <c r="AF350" s="2">
        <v>0</v>
      </c>
      <c r="AG350" s="2">
        <v>0</v>
      </c>
      <c r="AH350" s="2">
        <v>0</v>
      </c>
      <c r="AI350" s="2">
        <v>0</v>
      </c>
      <c r="AJ350" s="2">
        <v>0</v>
      </c>
      <c r="AK350" s="2">
        <v>0</v>
      </c>
      <c r="AL350" s="2">
        <v>0</v>
      </c>
      <c r="AM350" s="2">
        <v>3.02</v>
      </c>
      <c r="AN350" s="2">
        <v>3.02</v>
      </c>
      <c r="AO350" s="2">
        <v>0</v>
      </c>
      <c r="AP350" s="2">
        <v>0</v>
      </c>
      <c r="AQ350" s="2">
        <v>0</v>
      </c>
    </row>
    <row r="351" spans="1:43" x14ac:dyDescent="0.25">
      <c r="A351" s="1">
        <v>45936</v>
      </c>
      <c r="B351" t="s">
        <v>48</v>
      </c>
      <c r="C351">
        <v>649163</v>
      </c>
      <c r="D351">
        <v>2024326700</v>
      </c>
      <c r="E351" t="s">
        <v>642</v>
      </c>
      <c r="F351" t="s">
        <v>165</v>
      </c>
      <c r="G351" t="s">
        <v>51</v>
      </c>
      <c r="H351" t="s">
        <v>376</v>
      </c>
      <c r="I351" t="s">
        <v>53</v>
      </c>
      <c r="J351" t="s">
        <v>65</v>
      </c>
      <c r="K351">
        <v>650218</v>
      </c>
      <c r="L351" t="s">
        <v>237</v>
      </c>
      <c r="M351" t="s">
        <v>238</v>
      </c>
      <c r="N351" t="s">
        <v>57</v>
      </c>
      <c r="O351" s="1">
        <v>45514</v>
      </c>
      <c r="Q351" s="1">
        <v>45971</v>
      </c>
      <c r="R351" s="2">
        <v>52.69</v>
      </c>
      <c r="S351">
        <v>1</v>
      </c>
      <c r="T351" t="s">
        <v>58</v>
      </c>
      <c r="U351" t="s">
        <v>359</v>
      </c>
      <c r="V351" s="4">
        <v>6.5000000000000002E-2</v>
      </c>
      <c r="W351" s="2">
        <v>0</v>
      </c>
      <c r="X351">
        <v>0</v>
      </c>
      <c r="Y351" t="s">
        <v>214</v>
      </c>
      <c r="Z351" t="s">
        <v>360</v>
      </c>
      <c r="AA351">
        <v>0</v>
      </c>
      <c r="AB351" s="2">
        <v>0</v>
      </c>
      <c r="AC351" s="2">
        <v>0</v>
      </c>
      <c r="AD351" s="3">
        <v>0</v>
      </c>
      <c r="AE351" s="2">
        <v>0</v>
      </c>
      <c r="AF351" s="2">
        <v>0</v>
      </c>
      <c r="AG351" s="2">
        <v>0</v>
      </c>
      <c r="AH351" s="2">
        <v>0</v>
      </c>
      <c r="AI351" s="2">
        <v>0</v>
      </c>
      <c r="AJ351" s="2">
        <v>0</v>
      </c>
      <c r="AK351" s="2">
        <v>0</v>
      </c>
      <c r="AL351" s="2">
        <v>0</v>
      </c>
      <c r="AM351" s="2">
        <v>3.42</v>
      </c>
      <c r="AN351" s="2">
        <v>3.42</v>
      </c>
      <c r="AO351" s="2">
        <v>0</v>
      </c>
      <c r="AP351" s="2">
        <v>0</v>
      </c>
      <c r="AQ351" s="2">
        <v>0</v>
      </c>
    </row>
    <row r="352" spans="1:43" x14ac:dyDescent="0.25">
      <c r="A352" s="1">
        <v>45936</v>
      </c>
      <c r="B352" t="s">
        <v>48</v>
      </c>
      <c r="C352">
        <v>649163</v>
      </c>
      <c r="D352">
        <v>2024737148</v>
      </c>
      <c r="E352" t="s">
        <v>383</v>
      </c>
      <c r="F352" t="s">
        <v>384</v>
      </c>
      <c r="G352" t="s">
        <v>51</v>
      </c>
      <c r="H352" t="s">
        <v>385</v>
      </c>
      <c r="I352" t="s">
        <v>53</v>
      </c>
      <c r="J352" t="s">
        <v>65</v>
      </c>
      <c r="K352">
        <v>751867</v>
      </c>
      <c r="L352" t="s">
        <v>71</v>
      </c>
      <c r="M352" t="s">
        <v>72</v>
      </c>
      <c r="N352" t="s">
        <v>57</v>
      </c>
      <c r="O352" s="1">
        <v>45541</v>
      </c>
      <c r="Q352" s="1">
        <v>45967</v>
      </c>
      <c r="R352" s="2">
        <v>96.55</v>
      </c>
      <c r="S352">
        <v>1</v>
      </c>
      <c r="T352" t="s">
        <v>58</v>
      </c>
      <c r="U352" t="s">
        <v>359</v>
      </c>
      <c r="V352" s="4">
        <v>6.5000000000000002E-2</v>
      </c>
      <c r="W352" s="2">
        <v>0</v>
      </c>
      <c r="X352">
        <v>0</v>
      </c>
      <c r="Y352" t="s">
        <v>214</v>
      </c>
      <c r="Z352" t="s">
        <v>360</v>
      </c>
      <c r="AA352">
        <v>0</v>
      </c>
      <c r="AB352" s="2">
        <v>0</v>
      </c>
      <c r="AC352" s="2">
        <v>0</v>
      </c>
      <c r="AD352" s="3">
        <v>0</v>
      </c>
      <c r="AE352" s="2">
        <v>0</v>
      </c>
      <c r="AF352" s="2">
        <v>0</v>
      </c>
      <c r="AG352" s="2">
        <v>0</v>
      </c>
      <c r="AH352" s="2">
        <v>0</v>
      </c>
      <c r="AI352" s="2">
        <v>0</v>
      </c>
      <c r="AJ352" s="2">
        <v>0</v>
      </c>
      <c r="AK352" s="2">
        <v>0</v>
      </c>
      <c r="AL352" s="2">
        <v>0</v>
      </c>
      <c r="AM352" s="2">
        <v>6.28</v>
      </c>
      <c r="AN352" s="2">
        <v>6.28</v>
      </c>
      <c r="AO352" s="2">
        <v>0</v>
      </c>
      <c r="AP352" s="2">
        <v>0</v>
      </c>
      <c r="AQ352" s="2">
        <v>0</v>
      </c>
    </row>
    <row r="353" spans="1:43" x14ac:dyDescent="0.25">
      <c r="A353" s="1">
        <v>45936</v>
      </c>
      <c r="B353" t="s">
        <v>48</v>
      </c>
      <c r="C353">
        <v>649163</v>
      </c>
      <c r="D353">
        <v>2024752410</v>
      </c>
      <c r="E353" t="s">
        <v>386</v>
      </c>
      <c r="F353" t="s">
        <v>387</v>
      </c>
      <c r="G353" t="s">
        <v>51</v>
      </c>
      <c r="H353" t="s">
        <v>385</v>
      </c>
      <c r="I353" t="s">
        <v>53</v>
      </c>
      <c r="J353" t="s">
        <v>65</v>
      </c>
      <c r="K353">
        <v>751867</v>
      </c>
      <c r="L353" t="s">
        <v>71</v>
      </c>
      <c r="M353" t="s">
        <v>72</v>
      </c>
      <c r="N353" t="s">
        <v>57</v>
      </c>
      <c r="O353" s="1">
        <v>45544</v>
      </c>
      <c r="Q353" s="1">
        <v>45970</v>
      </c>
      <c r="R353" s="2">
        <v>40.159999999999997</v>
      </c>
      <c r="S353">
        <v>1</v>
      </c>
      <c r="T353" t="s">
        <v>58</v>
      </c>
      <c r="U353" t="s">
        <v>359</v>
      </c>
      <c r="V353" s="4">
        <v>6.5000000000000002E-2</v>
      </c>
      <c r="W353" s="2">
        <v>0</v>
      </c>
      <c r="X353">
        <v>0</v>
      </c>
      <c r="Y353" t="s">
        <v>214</v>
      </c>
      <c r="Z353" t="s">
        <v>360</v>
      </c>
      <c r="AA353">
        <v>0</v>
      </c>
      <c r="AB353" s="2">
        <v>0</v>
      </c>
      <c r="AC353" s="2">
        <v>0</v>
      </c>
      <c r="AD353" s="3">
        <v>0</v>
      </c>
      <c r="AE353" s="2">
        <v>0</v>
      </c>
      <c r="AF353" s="2">
        <v>0</v>
      </c>
      <c r="AG353" s="2">
        <v>0</v>
      </c>
      <c r="AH353" s="2">
        <v>0</v>
      </c>
      <c r="AI353" s="2">
        <v>0</v>
      </c>
      <c r="AJ353" s="2">
        <v>0</v>
      </c>
      <c r="AK353" s="2">
        <v>0</v>
      </c>
      <c r="AL353" s="2">
        <v>0</v>
      </c>
      <c r="AM353" s="2">
        <v>2.61</v>
      </c>
      <c r="AN353" s="2">
        <v>2.61</v>
      </c>
      <c r="AO353" s="2">
        <v>0</v>
      </c>
      <c r="AP353" s="2">
        <v>0</v>
      </c>
      <c r="AQ353" s="2">
        <v>0</v>
      </c>
    </row>
    <row r="354" spans="1:43" x14ac:dyDescent="0.25">
      <c r="A354" s="1">
        <v>45936</v>
      </c>
      <c r="B354" t="s">
        <v>48</v>
      </c>
      <c r="C354">
        <v>649163</v>
      </c>
      <c r="D354">
        <v>2026485484</v>
      </c>
      <c r="E354" t="s">
        <v>396</v>
      </c>
      <c r="F354" t="s">
        <v>397</v>
      </c>
      <c r="G354" t="s">
        <v>51</v>
      </c>
      <c r="H354" t="s">
        <v>129</v>
      </c>
      <c r="I354" t="s">
        <v>53</v>
      </c>
      <c r="J354" t="s">
        <v>65</v>
      </c>
      <c r="K354">
        <v>650218</v>
      </c>
      <c r="L354" t="s">
        <v>237</v>
      </c>
      <c r="M354" t="s">
        <v>238</v>
      </c>
      <c r="N354" t="s">
        <v>57</v>
      </c>
      <c r="O354" s="1">
        <v>45665</v>
      </c>
      <c r="Q354" s="1">
        <v>45969</v>
      </c>
      <c r="R354" s="2">
        <v>50.06</v>
      </c>
      <c r="S354">
        <v>1</v>
      </c>
      <c r="T354" t="s">
        <v>58</v>
      </c>
      <c r="U354" t="s">
        <v>359</v>
      </c>
      <c r="V354" s="3">
        <v>0.6</v>
      </c>
      <c r="W354" s="2">
        <v>0</v>
      </c>
      <c r="X354">
        <v>0</v>
      </c>
      <c r="Y354" t="s">
        <v>60</v>
      </c>
      <c r="Z354" t="s">
        <v>360</v>
      </c>
      <c r="AA354">
        <v>0</v>
      </c>
      <c r="AB354" s="2">
        <v>0</v>
      </c>
      <c r="AC354" s="2">
        <v>0</v>
      </c>
      <c r="AD354" s="3">
        <v>0</v>
      </c>
      <c r="AE354" s="2">
        <v>0</v>
      </c>
      <c r="AF354" s="2">
        <v>0</v>
      </c>
      <c r="AG354" s="2">
        <v>0</v>
      </c>
      <c r="AH354" s="2">
        <v>0</v>
      </c>
      <c r="AI354" s="2">
        <v>0</v>
      </c>
      <c r="AJ354" s="2">
        <v>0</v>
      </c>
      <c r="AK354" s="2">
        <v>0</v>
      </c>
      <c r="AL354" s="2">
        <v>0</v>
      </c>
      <c r="AM354" s="2">
        <v>30.04</v>
      </c>
      <c r="AN354" s="2">
        <v>30.04</v>
      </c>
      <c r="AO354" s="2">
        <v>0</v>
      </c>
      <c r="AP354" s="2">
        <v>0</v>
      </c>
      <c r="AQ354" s="2">
        <v>0</v>
      </c>
    </row>
    <row r="355" spans="1:43" x14ac:dyDescent="0.25">
      <c r="A355" s="1">
        <v>45936</v>
      </c>
      <c r="B355" t="s">
        <v>48</v>
      </c>
      <c r="C355">
        <v>649163</v>
      </c>
      <c r="D355">
        <v>2028670284</v>
      </c>
      <c r="E355" t="s">
        <v>643</v>
      </c>
      <c r="F355" t="s">
        <v>207</v>
      </c>
      <c r="G355" t="s">
        <v>51</v>
      </c>
      <c r="H355" t="s">
        <v>70</v>
      </c>
      <c r="I355" t="s">
        <v>53</v>
      </c>
      <c r="J355" t="s">
        <v>65</v>
      </c>
      <c r="K355">
        <v>677095</v>
      </c>
      <c r="L355" t="s">
        <v>415</v>
      </c>
      <c r="M355" t="s">
        <v>401</v>
      </c>
      <c r="N355" t="s">
        <v>57</v>
      </c>
      <c r="O355" s="1">
        <v>45786</v>
      </c>
      <c r="Q355" s="1">
        <v>45970</v>
      </c>
      <c r="R355" s="2">
        <v>52.69</v>
      </c>
      <c r="S355">
        <v>1</v>
      </c>
      <c r="T355" t="s">
        <v>58</v>
      </c>
      <c r="U355" t="s">
        <v>359</v>
      </c>
      <c r="V355" s="3">
        <v>0.2</v>
      </c>
      <c r="W355" s="2">
        <v>0</v>
      </c>
      <c r="X355">
        <v>0</v>
      </c>
      <c r="Y355" t="s">
        <v>60</v>
      </c>
      <c r="Z355" t="s">
        <v>360</v>
      </c>
      <c r="AA355">
        <v>0</v>
      </c>
      <c r="AB355" s="2">
        <v>0</v>
      </c>
      <c r="AC355" s="2">
        <v>0</v>
      </c>
      <c r="AD355" s="3">
        <v>0</v>
      </c>
      <c r="AE355" s="2">
        <v>0</v>
      </c>
      <c r="AF355" s="2">
        <v>0</v>
      </c>
      <c r="AG355" s="2">
        <v>0</v>
      </c>
      <c r="AH355" s="2">
        <v>0</v>
      </c>
      <c r="AI355" s="2">
        <v>0</v>
      </c>
      <c r="AJ355" s="2">
        <v>0</v>
      </c>
      <c r="AK355" s="2">
        <v>0</v>
      </c>
      <c r="AL355" s="2">
        <v>0</v>
      </c>
      <c r="AM355" s="2">
        <v>10.54</v>
      </c>
      <c r="AN355" s="2">
        <v>10.54</v>
      </c>
      <c r="AO355" s="2">
        <v>0</v>
      </c>
      <c r="AP355" s="2">
        <v>0</v>
      </c>
      <c r="AQ355" s="2">
        <v>0</v>
      </c>
    </row>
    <row r="356" spans="1:43" x14ac:dyDescent="0.25">
      <c r="A356" s="1">
        <v>45936</v>
      </c>
      <c r="B356" t="s">
        <v>48</v>
      </c>
      <c r="C356">
        <v>649163</v>
      </c>
      <c r="D356">
        <v>2029829959</v>
      </c>
      <c r="E356" t="s">
        <v>432</v>
      </c>
      <c r="F356" t="s">
        <v>433</v>
      </c>
      <c r="G356" t="s">
        <v>51</v>
      </c>
      <c r="H356" t="s">
        <v>70</v>
      </c>
      <c r="I356" t="s">
        <v>53</v>
      </c>
      <c r="J356" t="s">
        <v>65</v>
      </c>
      <c r="K356">
        <v>751867</v>
      </c>
      <c r="L356" t="s">
        <v>71</v>
      </c>
      <c r="M356" t="s">
        <v>72</v>
      </c>
      <c r="N356" t="s">
        <v>57</v>
      </c>
      <c r="O356" s="1">
        <v>45870</v>
      </c>
      <c r="Q356" s="1">
        <v>45962</v>
      </c>
      <c r="R356" s="2">
        <v>59.41</v>
      </c>
      <c r="S356">
        <v>1</v>
      </c>
      <c r="T356" t="s">
        <v>58</v>
      </c>
      <c r="U356" t="s">
        <v>359</v>
      </c>
      <c r="V356" s="3">
        <v>0.6</v>
      </c>
      <c r="W356" s="2">
        <v>0</v>
      </c>
      <c r="X356">
        <v>0</v>
      </c>
      <c r="Y356" t="s">
        <v>60</v>
      </c>
      <c r="Z356" t="s">
        <v>360</v>
      </c>
      <c r="AA356">
        <v>0</v>
      </c>
      <c r="AB356" s="2">
        <v>0</v>
      </c>
      <c r="AC356" s="2">
        <v>0</v>
      </c>
      <c r="AD356" s="3">
        <v>0</v>
      </c>
      <c r="AE356" s="2">
        <v>0</v>
      </c>
      <c r="AF356" s="2">
        <v>0</v>
      </c>
      <c r="AG356" s="2">
        <v>0</v>
      </c>
      <c r="AH356" s="2">
        <v>0</v>
      </c>
      <c r="AI356" s="2">
        <v>0</v>
      </c>
      <c r="AJ356" s="2">
        <v>0</v>
      </c>
      <c r="AK356" s="2">
        <v>0</v>
      </c>
      <c r="AL356" s="2">
        <v>35.65</v>
      </c>
      <c r="AM356" s="2">
        <v>0</v>
      </c>
      <c r="AN356" s="2">
        <v>0</v>
      </c>
      <c r="AO356" s="2">
        <v>0</v>
      </c>
      <c r="AP356" s="2">
        <v>0</v>
      </c>
      <c r="AQ356" s="2">
        <v>0</v>
      </c>
    </row>
    <row r="357" spans="1:43" x14ac:dyDescent="0.25">
      <c r="A357" s="1">
        <v>45936</v>
      </c>
      <c r="B357" t="s">
        <v>48</v>
      </c>
      <c r="C357">
        <v>649163</v>
      </c>
      <c r="D357">
        <v>2030380472</v>
      </c>
      <c r="E357" t="s">
        <v>443</v>
      </c>
      <c r="F357" t="s">
        <v>444</v>
      </c>
      <c r="G357" t="s">
        <v>51</v>
      </c>
      <c r="H357" t="s">
        <v>70</v>
      </c>
      <c r="I357" t="s">
        <v>53</v>
      </c>
      <c r="J357" t="s">
        <v>65</v>
      </c>
      <c r="K357">
        <v>650218</v>
      </c>
      <c r="L357" t="s">
        <v>237</v>
      </c>
      <c r="M357" t="s">
        <v>238</v>
      </c>
      <c r="N357" t="s">
        <v>57</v>
      </c>
      <c r="O357" s="1">
        <v>45877</v>
      </c>
      <c r="Q357" s="1">
        <v>45969</v>
      </c>
      <c r="R357" s="2">
        <v>56.69</v>
      </c>
      <c r="S357">
        <v>1</v>
      </c>
      <c r="T357" t="s">
        <v>58</v>
      </c>
      <c r="U357" t="s">
        <v>359</v>
      </c>
      <c r="V357" s="3">
        <v>0.6</v>
      </c>
      <c r="W357" s="2">
        <v>0</v>
      </c>
      <c r="X357">
        <v>0</v>
      </c>
      <c r="Y357" t="s">
        <v>60</v>
      </c>
      <c r="Z357" t="s">
        <v>360</v>
      </c>
      <c r="AA357">
        <v>0</v>
      </c>
      <c r="AB357" s="2">
        <v>0</v>
      </c>
      <c r="AC357" s="2">
        <v>0</v>
      </c>
      <c r="AD357" s="3">
        <v>0</v>
      </c>
      <c r="AE357" s="2">
        <v>0</v>
      </c>
      <c r="AF357" s="2">
        <v>0</v>
      </c>
      <c r="AG357" s="2">
        <v>0</v>
      </c>
      <c r="AH357" s="2">
        <v>0</v>
      </c>
      <c r="AI357" s="2">
        <v>0</v>
      </c>
      <c r="AJ357" s="2">
        <v>0</v>
      </c>
      <c r="AK357" s="2">
        <v>0</v>
      </c>
      <c r="AL357" s="2">
        <v>34.01</v>
      </c>
      <c r="AM357" s="2">
        <v>0</v>
      </c>
      <c r="AN357" s="2">
        <v>0</v>
      </c>
      <c r="AO357" s="2">
        <v>0</v>
      </c>
      <c r="AP357" s="2">
        <v>0</v>
      </c>
      <c r="AQ357" s="2">
        <v>0</v>
      </c>
    </row>
    <row r="358" spans="1:43" x14ac:dyDescent="0.25">
      <c r="A358" s="1">
        <v>45936</v>
      </c>
      <c r="B358" t="s">
        <v>48</v>
      </c>
      <c r="C358">
        <v>649163</v>
      </c>
      <c r="D358">
        <v>2030909014</v>
      </c>
      <c r="E358" t="s">
        <v>368</v>
      </c>
      <c r="F358" t="s">
        <v>644</v>
      </c>
      <c r="G358" t="s">
        <v>51</v>
      </c>
      <c r="H358" t="s">
        <v>70</v>
      </c>
      <c r="I358" t="s">
        <v>53</v>
      </c>
      <c r="J358" t="s">
        <v>65</v>
      </c>
      <c r="K358">
        <v>650794</v>
      </c>
      <c r="L358" t="s">
        <v>172</v>
      </c>
      <c r="M358" t="s">
        <v>624</v>
      </c>
      <c r="N358" t="s">
        <v>57</v>
      </c>
      <c r="O358" s="1">
        <v>45906</v>
      </c>
      <c r="Q358" s="1">
        <v>45967</v>
      </c>
      <c r="R358" s="2">
        <v>52.69</v>
      </c>
      <c r="S358">
        <v>1</v>
      </c>
      <c r="T358" t="s">
        <v>58</v>
      </c>
      <c r="U358" t="s">
        <v>359</v>
      </c>
      <c r="V358" s="3">
        <v>0.6</v>
      </c>
      <c r="W358" s="2">
        <v>0</v>
      </c>
      <c r="X358">
        <v>0</v>
      </c>
      <c r="Y358" t="s">
        <v>60</v>
      </c>
      <c r="Z358" t="s">
        <v>360</v>
      </c>
      <c r="AA358">
        <v>0</v>
      </c>
      <c r="AB358" s="2">
        <v>0</v>
      </c>
      <c r="AC358" s="2">
        <v>0</v>
      </c>
      <c r="AD358" s="3">
        <v>0</v>
      </c>
      <c r="AE358" s="2">
        <v>0</v>
      </c>
      <c r="AF358" s="2">
        <v>0</v>
      </c>
      <c r="AG358" s="2">
        <v>0</v>
      </c>
      <c r="AH358" s="2">
        <v>0</v>
      </c>
      <c r="AI358" s="2">
        <v>0</v>
      </c>
      <c r="AJ358" s="2">
        <v>0</v>
      </c>
      <c r="AK358" s="2">
        <v>0</v>
      </c>
      <c r="AL358" s="2">
        <v>31.61</v>
      </c>
      <c r="AM358" s="2">
        <v>0</v>
      </c>
      <c r="AN358" s="2">
        <v>0</v>
      </c>
      <c r="AO358" s="2">
        <v>0</v>
      </c>
      <c r="AP358" s="2">
        <v>0</v>
      </c>
      <c r="AQ358" s="2">
        <v>0</v>
      </c>
    </row>
    <row r="359" spans="1:43" x14ac:dyDescent="0.25">
      <c r="A359" s="1">
        <v>45936</v>
      </c>
      <c r="B359" t="s">
        <v>48</v>
      </c>
      <c r="C359">
        <v>649163</v>
      </c>
      <c r="D359">
        <v>2030937253</v>
      </c>
      <c r="E359" t="s">
        <v>450</v>
      </c>
      <c r="F359" t="s">
        <v>412</v>
      </c>
      <c r="G359" t="s">
        <v>51</v>
      </c>
      <c r="H359" t="s">
        <v>70</v>
      </c>
      <c r="I359" t="s">
        <v>53</v>
      </c>
      <c r="J359" t="s">
        <v>54</v>
      </c>
      <c r="K359">
        <v>751867</v>
      </c>
      <c r="L359" t="s">
        <v>71</v>
      </c>
      <c r="M359" t="s">
        <v>72</v>
      </c>
      <c r="N359" t="s">
        <v>57</v>
      </c>
      <c r="O359" s="1">
        <v>45909</v>
      </c>
      <c r="Q359" s="1">
        <v>45970</v>
      </c>
      <c r="R359" s="2">
        <v>41.81</v>
      </c>
      <c r="S359">
        <v>1</v>
      </c>
      <c r="T359" t="s">
        <v>58</v>
      </c>
      <c r="U359" t="s">
        <v>59</v>
      </c>
      <c r="V359" s="3">
        <v>0.6</v>
      </c>
      <c r="W359" s="2">
        <v>0</v>
      </c>
      <c r="X359">
        <v>0</v>
      </c>
      <c r="Y359" t="s">
        <v>60</v>
      </c>
      <c r="Z359" t="s">
        <v>360</v>
      </c>
      <c r="AA359">
        <v>0</v>
      </c>
      <c r="AB359" s="2">
        <v>0</v>
      </c>
      <c r="AC359" s="2">
        <v>0</v>
      </c>
      <c r="AD359" s="3">
        <v>0</v>
      </c>
      <c r="AE359" s="2">
        <v>0</v>
      </c>
      <c r="AF359" s="2">
        <v>0</v>
      </c>
      <c r="AG359" s="2">
        <v>0</v>
      </c>
      <c r="AH359" s="2">
        <v>0</v>
      </c>
      <c r="AI359" s="2">
        <v>0</v>
      </c>
      <c r="AJ359" s="2">
        <v>0</v>
      </c>
      <c r="AK359" s="2">
        <v>0</v>
      </c>
      <c r="AL359" s="2">
        <v>25.09</v>
      </c>
      <c r="AM359" s="2">
        <v>0</v>
      </c>
      <c r="AN359" s="2">
        <v>0</v>
      </c>
      <c r="AO359" s="2">
        <v>0</v>
      </c>
      <c r="AP359" s="2">
        <v>0</v>
      </c>
      <c r="AQ359" s="2">
        <v>0</v>
      </c>
    </row>
    <row r="360" spans="1:43" x14ac:dyDescent="0.25">
      <c r="A360" s="1">
        <v>45936</v>
      </c>
      <c r="B360" t="s">
        <v>48</v>
      </c>
      <c r="C360">
        <v>649163</v>
      </c>
      <c r="D360">
        <v>2030941928</v>
      </c>
      <c r="E360" t="s">
        <v>451</v>
      </c>
      <c r="F360" t="s">
        <v>452</v>
      </c>
      <c r="G360" t="s">
        <v>51</v>
      </c>
      <c r="H360" t="s">
        <v>129</v>
      </c>
      <c r="I360" t="s">
        <v>53</v>
      </c>
      <c r="J360" t="s">
        <v>65</v>
      </c>
      <c r="K360">
        <v>751867</v>
      </c>
      <c r="L360" t="s">
        <v>71</v>
      </c>
      <c r="M360" t="s">
        <v>72</v>
      </c>
      <c r="N360" t="s">
        <v>57</v>
      </c>
      <c r="O360" s="1">
        <v>45909</v>
      </c>
      <c r="Q360" s="1">
        <v>45970</v>
      </c>
      <c r="R360" s="2">
        <v>56.69</v>
      </c>
      <c r="S360">
        <v>1</v>
      </c>
      <c r="T360" t="s">
        <v>58</v>
      </c>
      <c r="U360" t="s">
        <v>59</v>
      </c>
      <c r="V360" s="3">
        <v>0.6</v>
      </c>
      <c r="W360" s="2">
        <v>0</v>
      </c>
      <c r="X360">
        <v>0</v>
      </c>
      <c r="Y360" t="s">
        <v>60</v>
      </c>
      <c r="Z360" t="s">
        <v>360</v>
      </c>
      <c r="AA360">
        <v>0</v>
      </c>
      <c r="AB360" s="2">
        <v>0</v>
      </c>
      <c r="AC360" s="2">
        <v>0</v>
      </c>
      <c r="AD360" s="3">
        <v>0</v>
      </c>
      <c r="AE360" s="2">
        <v>0</v>
      </c>
      <c r="AF360" s="2">
        <v>0</v>
      </c>
      <c r="AG360" s="2">
        <v>0</v>
      </c>
      <c r="AH360" s="2">
        <v>0</v>
      </c>
      <c r="AI360" s="2">
        <v>0</v>
      </c>
      <c r="AJ360" s="2">
        <v>0</v>
      </c>
      <c r="AK360" s="2">
        <v>0</v>
      </c>
      <c r="AL360" s="2">
        <v>34.01</v>
      </c>
      <c r="AM360" s="2">
        <v>0</v>
      </c>
      <c r="AN360" s="2">
        <v>0</v>
      </c>
      <c r="AO360" s="2">
        <v>0</v>
      </c>
      <c r="AP360" s="2">
        <v>0</v>
      </c>
      <c r="AQ360" s="2">
        <v>0</v>
      </c>
    </row>
    <row r="361" spans="1:43" x14ac:dyDescent="0.25">
      <c r="A361" s="1">
        <v>45936</v>
      </c>
      <c r="B361" t="s">
        <v>48</v>
      </c>
      <c r="C361">
        <v>649163</v>
      </c>
      <c r="D361">
        <v>2017242799</v>
      </c>
      <c r="E361" t="s">
        <v>542</v>
      </c>
      <c r="F361" t="s">
        <v>543</v>
      </c>
      <c r="G361" t="s">
        <v>51</v>
      </c>
      <c r="H361" t="s">
        <v>88</v>
      </c>
      <c r="I361" t="s">
        <v>89</v>
      </c>
      <c r="J361" t="s">
        <v>90</v>
      </c>
      <c r="K361">
        <v>652037</v>
      </c>
      <c r="L361" t="s">
        <v>172</v>
      </c>
      <c r="M361" t="s">
        <v>173</v>
      </c>
      <c r="N361" t="s">
        <v>57</v>
      </c>
      <c r="O361" s="1">
        <v>44930</v>
      </c>
      <c r="Q361" s="1">
        <v>45965</v>
      </c>
      <c r="R361" s="2">
        <v>53.56</v>
      </c>
      <c r="S361">
        <v>1</v>
      </c>
      <c r="T361" t="s">
        <v>58</v>
      </c>
      <c r="U361" t="s">
        <v>359</v>
      </c>
      <c r="V361" s="3">
        <v>0.1</v>
      </c>
      <c r="W361" s="2">
        <v>0</v>
      </c>
      <c r="X361">
        <v>0</v>
      </c>
      <c r="Y361" t="s">
        <v>214</v>
      </c>
      <c r="Z361" t="s">
        <v>360</v>
      </c>
      <c r="AA361">
        <v>0</v>
      </c>
      <c r="AB361" s="2">
        <v>0</v>
      </c>
      <c r="AC361" s="2">
        <v>0</v>
      </c>
      <c r="AD361" s="3">
        <v>0</v>
      </c>
      <c r="AE361" s="2">
        <v>0</v>
      </c>
      <c r="AF361" s="2">
        <v>0</v>
      </c>
      <c r="AG361" s="2">
        <v>0</v>
      </c>
      <c r="AH361" s="2">
        <v>0</v>
      </c>
      <c r="AI361" s="2">
        <v>0</v>
      </c>
      <c r="AJ361" s="2">
        <v>0</v>
      </c>
      <c r="AK361" s="2">
        <v>0</v>
      </c>
      <c r="AL361" s="2">
        <v>0</v>
      </c>
      <c r="AM361" s="2">
        <v>5.36</v>
      </c>
      <c r="AN361" s="2">
        <v>5.36</v>
      </c>
      <c r="AO361" s="2">
        <v>0</v>
      </c>
      <c r="AP361" s="2">
        <v>0</v>
      </c>
      <c r="AQ361" s="2">
        <v>0</v>
      </c>
    </row>
    <row r="362" spans="1:43" x14ac:dyDescent="0.25">
      <c r="A362" s="1">
        <v>45936</v>
      </c>
      <c r="B362" t="s">
        <v>48</v>
      </c>
      <c r="C362">
        <v>649163</v>
      </c>
      <c r="D362">
        <v>2018167734</v>
      </c>
      <c r="E362" t="s">
        <v>645</v>
      </c>
      <c r="F362" t="s">
        <v>179</v>
      </c>
      <c r="G362" t="s">
        <v>51</v>
      </c>
      <c r="H362" t="s">
        <v>646</v>
      </c>
      <c r="I362" t="s">
        <v>89</v>
      </c>
      <c r="J362" t="s">
        <v>111</v>
      </c>
      <c r="K362">
        <v>651818</v>
      </c>
      <c r="L362" t="s">
        <v>112</v>
      </c>
      <c r="M362" t="s">
        <v>104</v>
      </c>
      <c r="N362" t="s">
        <v>57</v>
      </c>
      <c r="O362" s="1">
        <v>45024</v>
      </c>
      <c r="Q362" s="1">
        <v>45969</v>
      </c>
      <c r="R362" s="2">
        <v>64.05</v>
      </c>
      <c r="S362">
        <v>1</v>
      </c>
      <c r="T362" t="s">
        <v>58</v>
      </c>
      <c r="U362" t="s">
        <v>359</v>
      </c>
      <c r="V362" s="3">
        <v>0.1</v>
      </c>
      <c r="W362" s="2">
        <v>0</v>
      </c>
      <c r="X362">
        <v>0</v>
      </c>
      <c r="Y362" t="s">
        <v>214</v>
      </c>
      <c r="Z362" t="s">
        <v>360</v>
      </c>
      <c r="AA362">
        <v>0</v>
      </c>
      <c r="AB362" s="2">
        <v>0</v>
      </c>
      <c r="AC362" s="2">
        <v>0</v>
      </c>
      <c r="AD362" s="3">
        <v>0</v>
      </c>
      <c r="AE362" s="2">
        <v>0</v>
      </c>
      <c r="AF362" s="2">
        <v>0</v>
      </c>
      <c r="AG362" s="2">
        <v>0</v>
      </c>
      <c r="AH362" s="2">
        <v>0</v>
      </c>
      <c r="AI362" s="2">
        <v>0</v>
      </c>
      <c r="AJ362" s="2">
        <v>0</v>
      </c>
      <c r="AK362" s="2">
        <v>0</v>
      </c>
      <c r="AL362" s="2">
        <v>0</v>
      </c>
      <c r="AM362" s="2">
        <v>6.4</v>
      </c>
      <c r="AN362" s="2">
        <v>6.4</v>
      </c>
      <c r="AO362" s="2">
        <v>0</v>
      </c>
      <c r="AP362" s="2">
        <v>0</v>
      </c>
      <c r="AQ362" s="2">
        <v>0</v>
      </c>
    </row>
    <row r="363" spans="1:43" x14ac:dyDescent="0.25">
      <c r="A363" s="1">
        <v>45936</v>
      </c>
      <c r="B363" t="s">
        <v>48</v>
      </c>
      <c r="C363">
        <v>649163</v>
      </c>
      <c r="D363">
        <v>2018365034</v>
      </c>
      <c r="E363" t="s">
        <v>647</v>
      </c>
      <c r="F363" t="s">
        <v>648</v>
      </c>
      <c r="G363" t="s">
        <v>51</v>
      </c>
      <c r="H363" t="s">
        <v>101</v>
      </c>
      <c r="I363" t="s">
        <v>89</v>
      </c>
      <c r="J363" t="s">
        <v>111</v>
      </c>
      <c r="K363">
        <v>651818</v>
      </c>
      <c r="L363" t="s">
        <v>112</v>
      </c>
      <c r="M363" t="s">
        <v>104</v>
      </c>
      <c r="N363" t="s">
        <v>57</v>
      </c>
      <c r="O363" s="1">
        <v>45054</v>
      </c>
      <c r="Q363" s="1">
        <v>45969</v>
      </c>
      <c r="R363" s="2">
        <v>171.06</v>
      </c>
      <c r="S363">
        <v>1</v>
      </c>
      <c r="T363" t="s">
        <v>58</v>
      </c>
      <c r="U363" t="s">
        <v>359</v>
      </c>
      <c r="V363" s="3">
        <v>0.1</v>
      </c>
      <c r="W363" s="2">
        <v>0</v>
      </c>
      <c r="X363">
        <v>0</v>
      </c>
      <c r="Y363" t="s">
        <v>214</v>
      </c>
      <c r="Z363" t="s">
        <v>360</v>
      </c>
      <c r="AA363">
        <v>0</v>
      </c>
      <c r="AB363" s="2">
        <v>0</v>
      </c>
      <c r="AC363" s="2">
        <v>0</v>
      </c>
      <c r="AD363" s="3">
        <v>0</v>
      </c>
      <c r="AE363" s="2">
        <v>0</v>
      </c>
      <c r="AF363" s="2">
        <v>0</v>
      </c>
      <c r="AG363" s="2">
        <v>0</v>
      </c>
      <c r="AH363" s="2">
        <v>0</v>
      </c>
      <c r="AI363" s="2">
        <v>0</v>
      </c>
      <c r="AJ363" s="2">
        <v>0</v>
      </c>
      <c r="AK363" s="2">
        <v>0</v>
      </c>
      <c r="AL363" s="2">
        <v>0</v>
      </c>
      <c r="AM363" s="2">
        <v>17.11</v>
      </c>
      <c r="AN363" s="2">
        <v>17.11</v>
      </c>
      <c r="AO363" s="2">
        <v>0</v>
      </c>
      <c r="AP363" s="2">
        <v>0</v>
      </c>
      <c r="AQ363" s="2">
        <v>0</v>
      </c>
    </row>
    <row r="364" spans="1:43" x14ac:dyDescent="0.25">
      <c r="A364" s="1">
        <v>45936</v>
      </c>
      <c r="B364" t="s">
        <v>48</v>
      </c>
      <c r="C364">
        <v>649163</v>
      </c>
      <c r="D364">
        <v>2018382555</v>
      </c>
      <c r="E364" t="s">
        <v>649</v>
      </c>
      <c r="F364" t="s">
        <v>161</v>
      </c>
      <c r="G364" t="s">
        <v>51</v>
      </c>
      <c r="H364" t="s">
        <v>376</v>
      </c>
      <c r="I364" t="s">
        <v>89</v>
      </c>
      <c r="J364" t="s">
        <v>96</v>
      </c>
      <c r="K364">
        <v>651818</v>
      </c>
      <c r="L364" t="s">
        <v>112</v>
      </c>
      <c r="M364" t="s">
        <v>104</v>
      </c>
      <c r="N364" t="s">
        <v>57</v>
      </c>
      <c r="O364" s="1">
        <v>45052</v>
      </c>
      <c r="Q364" s="1">
        <v>45967</v>
      </c>
      <c r="R364" s="2">
        <v>188.94</v>
      </c>
      <c r="S364">
        <v>1</v>
      </c>
      <c r="T364" t="s">
        <v>58</v>
      </c>
      <c r="U364" t="s">
        <v>359</v>
      </c>
      <c r="V364" s="3">
        <v>0.1</v>
      </c>
      <c r="W364" s="2">
        <v>0</v>
      </c>
      <c r="X364">
        <v>0</v>
      </c>
      <c r="Y364" t="s">
        <v>214</v>
      </c>
      <c r="Z364" t="s">
        <v>360</v>
      </c>
      <c r="AA364">
        <v>0</v>
      </c>
      <c r="AB364" s="2">
        <v>0</v>
      </c>
      <c r="AC364" s="2">
        <v>0</v>
      </c>
      <c r="AD364" s="3">
        <v>0</v>
      </c>
      <c r="AE364" s="2">
        <v>0</v>
      </c>
      <c r="AF364" s="2">
        <v>0</v>
      </c>
      <c r="AG364" s="2">
        <v>0</v>
      </c>
      <c r="AH364" s="2">
        <v>0</v>
      </c>
      <c r="AI364" s="2">
        <v>0</v>
      </c>
      <c r="AJ364" s="2">
        <v>0</v>
      </c>
      <c r="AK364" s="2">
        <v>0</v>
      </c>
      <c r="AL364" s="2">
        <v>0</v>
      </c>
      <c r="AM364" s="2">
        <v>18.89</v>
      </c>
      <c r="AN364" s="2">
        <v>18.89</v>
      </c>
      <c r="AO364" s="2">
        <v>0</v>
      </c>
      <c r="AP364" s="2">
        <v>0</v>
      </c>
      <c r="AQ364" s="2">
        <v>0</v>
      </c>
    </row>
    <row r="365" spans="1:43" x14ac:dyDescent="0.25">
      <c r="A365" s="1">
        <v>45936</v>
      </c>
      <c r="B365" t="s">
        <v>48</v>
      </c>
      <c r="C365">
        <v>649163</v>
      </c>
      <c r="D365">
        <v>2018462891</v>
      </c>
      <c r="E365" t="s">
        <v>650</v>
      </c>
      <c r="F365" t="s">
        <v>651</v>
      </c>
      <c r="G365" t="s">
        <v>51</v>
      </c>
      <c r="H365" t="s">
        <v>52</v>
      </c>
      <c r="I365" t="s">
        <v>89</v>
      </c>
      <c r="J365" t="s">
        <v>96</v>
      </c>
      <c r="K365">
        <v>651818</v>
      </c>
      <c r="L365" t="s">
        <v>112</v>
      </c>
      <c r="M365" t="s">
        <v>104</v>
      </c>
      <c r="N365" t="s">
        <v>57</v>
      </c>
      <c r="O365" s="1">
        <v>45052</v>
      </c>
      <c r="Q365" s="1">
        <v>45967</v>
      </c>
      <c r="R365" s="2">
        <v>213.41</v>
      </c>
      <c r="S365">
        <v>1</v>
      </c>
      <c r="T365" t="s">
        <v>58</v>
      </c>
      <c r="U365" t="s">
        <v>359</v>
      </c>
      <c r="V365" s="3">
        <v>0.1</v>
      </c>
      <c r="W365" s="2">
        <v>0</v>
      </c>
      <c r="X365">
        <v>0</v>
      </c>
      <c r="Y365" t="s">
        <v>214</v>
      </c>
      <c r="Z365" t="s">
        <v>360</v>
      </c>
      <c r="AA365">
        <v>0</v>
      </c>
      <c r="AB365" s="2">
        <v>0</v>
      </c>
      <c r="AC365" s="2">
        <v>0</v>
      </c>
      <c r="AD365" s="3">
        <v>0</v>
      </c>
      <c r="AE365" s="2">
        <v>0</v>
      </c>
      <c r="AF365" s="2">
        <v>0</v>
      </c>
      <c r="AG365" s="2">
        <v>0</v>
      </c>
      <c r="AH365" s="2">
        <v>0</v>
      </c>
      <c r="AI365" s="2">
        <v>0</v>
      </c>
      <c r="AJ365" s="2">
        <v>0</v>
      </c>
      <c r="AK365" s="2">
        <v>0</v>
      </c>
      <c r="AL365" s="2">
        <v>0</v>
      </c>
      <c r="AM365" s="2">
        <v>21.34</v>
      </c>
      <c r="AN365" s="2">
        <v>21.34</v>
      </c>
      <c r="AO365" s="2">
        <v>0</v>
      </c>
      <c r="AP365" s="2">
        <v>0</v>
      </c>
      <c r="AQ365" s="2">
        <v>0</v>
      </c>
    </row>
    <row r="366" spans="1:43" x14ac:dyDescent="0.25">
      <c r="A366" s="1">
        <v>45936</v>
      </c>
      <c r="B366" t="s">
        <v>48</v>
      </c>
      <c r="C366">
        <v>649163</v>
      </c>
      <c r="D366">
        <v>2018514896</v>
      </c>
      <c r="E366" t="s">
        <v>652</v>
      </c>
      <c r="F366" t="s">
        <v>653</v>
      </c>
      <c r="G366" t="s">
        <v>51</v>
      </c>
      <c r="H366" t="s">
        <v>323</v>
      </c>
      <c r="I366" t="s">
        <v>89</v>
      </c>
      <c r="J366" t="s">
        <v>90</v>
      </c>
      <c r="K366">
        <v>651818</v>
      </c>
      <c r="L366" t="s">
        <v>112</v>
      </c>
      <c r="M366" t="s">
        <v>104</v>
      </c>
      <c r="N366" t="s">
        <v>57</v>
      </c>
      <c r="O366" s="1">
        <v>45052</v>
      </c>
      <c r="Q366" s="1">
        <v>45967</v>
      </c>
      <c r="R366" s="2">
        <v>23.88</v>
      </c>
      <c r="S366">
        <v>1</v>
      </c>
      <c r="T366" t="s">
        <v>58</v>
      </c>
      <c r="U366" t="s">
        <v>359</v>
      </c>
      <c r="V366" s="3">
        <v>0.1</v>
      </c>
      <c r="W366" s="2">
        <v>0</v>
      </c>
      <c r="X366">
        <v>0</v>
      </c>
      <c r="Y366" t="s">
        <v>214</v>
      </c>
      <c r="Z366" t="s">
        <v>360</v>
      </c>
      <c r="AA366">
        <v>0</v>
      </c>
      <c r="AB366" s="2">
        <v>0</v>
      </c>
      <c r="AC366" s="2">
        <v>0</v>
      </c>
      <c r="AD366" s="3">
        <v>0</v>
      </c>
      <c r="AE366" s="2">
        <v>0</v>
      </c>
      <c r="AF366" s="2">
        <v>0</v>
      </c>
      <c r="AG366" s="2">
        <v>0</v>
      </c>
      <c r="AH366" s="2">
        <v>0</v>
      </c>
      <c r="AI366" s="2">
        <v>0</v>
      </c>
      <c r="AJ366" s="2">
        <v>0</v>
      </c>
      <c r="AK366" s="2">
        <v>0</v>
      </c>
      <c r="AL366" s="2">
        <v>0</v>
      </c>
      <c r="AM366" s="2">
        <v>2.39</v>
      </c>
      <c r="AN366" s="2">
        <v>2.39</v>
      </c>
      <c r="AO366" s="2">
        <v>0</v>
      </c>
      <c r="AP366" s="2">
        <v>0</v>
      </c>
      <c r="AQ366" s="2">
        <v>0</v>
      </c>
    </row>
    <row r="367" spans="1:43" x14ac:dyDescent="0.25">
      <c r="A367" s="1">
        <v>45936</v>
      </c>
      <c r="B367" t="s">
        <v>48</v>
      </c>
      <c r="C367">
        <v>649163</v>
      </c>
      <c r="D367">
        <v>2018855164</v>
      </c>
      <c r="E367" t="s">
        <v>582</v>
      </c>
      <c r="F367" t="s">
        <v>441</v>
      </c>
      <c r="G367" t="s">
        <v>51</v>
      </c>
      <c r="I367" t="s">
        <v>89</v>
      </c>
      <c r="J367" t="s">
        <v>96</v>
      </c>
      <c r="K367">
        <v>673059</v>
      </c>
      <c r="L367" t="s">
        <v>80</v>
      </c>
      <c r="M367" t="s">
        <v>81</v>
      </c>
      <c r="N367" t="s">
        <v>57</v>
      </c>
      <c r="O367" s="1">
        <v>45078</v>
      </c>
      <c r="Q367" s="1">
        <v>45962</v>
      </c>
      <c r="R367" s="2">
        <v>157.61000000000001</v>
      </c>
      <c r="S367">
        <v>1</v>
      </c>
      <c r="T367" t="s">
        <v>58</v>
      </c>
      <c r="U367" t="s">
        <v>359</v>
      </c>
      <c r="V367" s="3">
        <v>0.1</v>
      </c>
      <c r="W367" s="2">
        <v>0</v>
      </c>
      <c r="X367">
        <v>0</v>
      </c>
      <c r="Y367" t="s">
        <v>214</v>
      </c>
      <c r="Z367" t="s">
        <v>360</v>
      </c>
      <c r="AA367">
        <v>0</v>
      </c>
      <c r="AB367" s="2">
        <v>0</v>
      </c>
      <c r="AC367" s="2">
        <v>0</v>
      </c>
      <c r="AD367" s="3">
        <v>0</v>
      </c>
      <c r="AE367" s="2">
        <v>0</v>
      </c>
      <c r="AF367" s="2">
        <v>0</v>
      </c>
      <c r="AG367" s="2">
        <v>0</v>
      </c>
      <c r="AH367" s="2">
        <v>0</v>
      </c>
      <c r="AI367" s="2">
        <v>0</v>
      </c>
      <c r="AJ367" s="2">
        <v>0</v>
      </c>
      <c r="AK367" s="2">
        <v>0</v>
      </c>
      <c r="AL367" s="2">
        <v>0</v>
      </c>
      <c r="AM367" s="2">
        <v>15.76</v>
      </c>
      <c r="AN367" s="2">
        <v>15.76</v>
      </c>
      <c r="AO367" s="2">
        <v>0</v>
      </c>
      <c r="AP367" s="2">
        <v>0</v>
      </c>
      <c r="AQ367" s="2">
        <v>0</v>
      </c>
    </row>
    <row r="368" spans="1:43" x14ac:dyDescent="0.25">
      <c r="A368" s="1">
        <v>45936</v>
      </c>
      <c r="B368" t="s">
        <v>48</v>
      </c>
      <c r="C368">
        <v>649163</v>
      </c>
      <c r="D368">
        <v>2018920321</v>
      </c>
      <c r="E368" t="s">
        <v>654</v>
      </c>
      <c r="F368" t="s">
        <v>655</v>
      </c>
      <c r="G368" t="s">
        <v>51</v>
      </c>
      <c r="H368" t="s">
        <v>88</v>
      </c>
      <c r="I368" t="s">
        <v>89</v>
      </c>
      <c r="J368" t="s">
        <v>90</v>
      </c>
      <c r="K368">
        <v>651818</v>
      </c>
      <c r="L368" t="s">
        <v>112</v>
      </c>
      <c r="M368" t="s">
        <v>104</v>
      </c>
      <c r="N368" t="s">
        <v>57</v>
      </c>
      <c r="O368" s="1">
        <v>45112</v>
      </c>
      <c r="Q368" s="1">
        <v>45966</v>
      </c>
      <c r="R368" s="2">
        <v>65.41</v>
      </c>
      <c r="S368">
        <v>1</v>
      </c>
      <c r="T368" t="s">
        <v>58</v>
      </c>
      <c r="U368" t="s">
        <v>359</v>
      </c>
      <c r="V368" s="3">
        <v>0.1</v>
      </c>
      <c r="W368" s="2">
        <v>0</v>
      </c>
      <c r="X368">
        <v>0</v>
      </c>
      <c r="Y368" t="s">
        <v>214</v>
      </c>
      <c r="Z368" t="s">
        <v>360</v>
      </c>
      <c r="AA368">
        <v>0</v>
      </c>
      <c r="AB368" s="2">
        <v>0</v>
      </c>
      <c r="AC368" s="2">
        <v>0</v>
      </c>
      <c r="AD368" s="3">
        <v>0</v>
      </c>
      <c r="AE368" s="2">
        <v>0</v>
      </c>
      <c r="AF368" s="2">
        <v>0</v>
      </c>
      <c r="AG368" s="2">
        <v>0</v>
      </c>
      <c r="AH368" s="2">
        <v>0</v>
      </c>
      <c r="AI368" s="2">
        <v>0</v>
      </c>
      <c r="AJ368" s="2">
        <v>0</v>
      </c>
      <c r="AK368" s="2">
        <v>0</v>
      </c>
      <c r="AL368" s="2">
        <v>0</v>
      </c>
      <c r="AM368" s="2">
        <v>6.54</v>
      </c>
      <c r="AN368" s="2">
        <v>6.54</v>
      </c>
      <c r="AO368" s="2">
        <v>0</v>
      </c>
      <c r="AP368" s="2">
        <v>0</v>
      </c>
      <c r="AQ368" s="2">
        <v>0</v>
      </c>
    </row>
    <row r="369" spans="1:43" x14ac:dyDescent="0.25">
      <c r="A369" s="1">
        <v>45936</v>
      </c>
      <c r="B369" t="s">
        <v>48</v>
      </c>
      <c r="C369">
        <v>649163</v>
      </c>
      <c r="D369">
        <v>2019484024</v>
      </c>
      <c r="E369" t="s">
        <v>656</v>
      </c>
      <c r="F369" t="s">
        <v>429</v>
      </c>
      <c r="G369" t="s">
        <v>51</v>
      </c>
      <c r="H369" t="s">
        <v>129</v>
      </c>
      <c r="I369" t="s">
        <v>89</v>
      </c>
      <c r="J369" t="s">
        <v>96</v>
      </c>
      <c r="K369">
        <v>651818</v>
      </c>
      <c r="L369" t="s">
        <v>112</v>
      </c>
      <c r="M369" t="s">
        <v>104</v>
      </c>
      <c r="N369" t="s">
        <v>57</v>
      </c>
      <c r="O369" s="1">
        <v>45144</v>
      </c>
      <c r="Q369" s="1">
        <v>45967</v>
      </c>
      <c r="R369" s="2">
        <v>141.33000000000001</v>
      </c>
      <c r="S369">
        <v>1</v>
      </c>
      <c r="T369" t="s">
        <v>58</v>
      </c>
      <c r="U369" t="s">
        <v>359</v>
      </c>
      <c r="V369" s="3">
        <v>0.1</v>
      </c>
      <c r="W369" s="2">
        <v>0</v>
      </c>
      <c r="X369">
        <v>0</v>
      </c>
      <c r="Y369" t="s">
        <v>214</v>
      </c>
      <c r="Z369" t="s">
        <v>360</v>
      </c>
      <c r="AA369">
        <v>0</v>
      </c>
      <c r="AB369" s="2">
        <v>0</v>
      </c>
      <c r="AC369" s="2">
        <v>0</v>
      </c>
      <c r="AD369" s="3">
        <v>0</v>
      </c>
      <c r="AE369" s="2">
        <v>0</v>
      </c>
      <c r="AF369" s="2">
        <v>0</v>
      </c>
      <c r="AG369" s="2">
        <v>0</v>
      </c>
      <c r="AH369" s="2">
        <v>0</v>
      </c>
      <c r="AI369" s="2">
        <v>0</v>
      </c>
      <c r="AJ369" s="2">
        <v>0</v>
      </c>
      <c r="AK369" s="2">
        <v>0</v>
      </c>
      <c r="AL369" s="2">
        <v>0</v>
      </c>
      <c r="AM369" s="2">
        <v>14.13</v>
      </c>
      <c r="AN369" s="2">
        <v>14.13</v>
      </c>
      <c r="AO369" s="2">
        <v>0</v>
      </c>
      <c r="AP369" s="2">
        <v>0</v>
      </c>
      <c r="AQ369" s="2">
        <v>0</v>
      </c>
    </row>
    <row r="370" spans="1:43" x14ac:dyDescent="0.25">
      <c r="A370" s="1">
        <v>45936</v>
      </c>
      <c r="B370" t="s">
        <v>48</v>
      </c>
      <c r="C370">
        <v>649163</v>
      </c>
      <c r="D370">
        <v>2020855629</v>
      </c>
      <c r="E370" t="s">
        <v>657</v>
      </c>
      <c r="F370" t="s">
        <v>658</v>
      </c>
      <c r="G370" t="s">
        <v>51</v>
      </c>
      <c r="H370" t="s">
        <v>52</v>
      </c>
      <c r="I370" t="s">
        <v>89</v>
      </c>
      <c r="J370" t="s">
        <v>111</v>
      </c>
      <c r="K370">
        <v>651818</v>
      </c>
      <c r="L370" t="s">
        <v>112</v>
      </c>
      <c r="M370" t="s">
        <v>104</v>
      </c>
      <c r="N370" t="s">
        <v>57</v>
      </c>
      <c r="O370" s="1">
        <v>45265</v>
      </c>
      <c r="Q370" s="1">
        <v>45966</v>
      </c>
      <c r="R370" s="2">
        <v>64.599999999999994</v>
      </c>
      <c r="S370">
        <v>1</v>
      </c>
      <c r="T370" t="s">
        <v>58</v>
      </c>
      <c r="U370" t="s">
        <v>359</v>
      </c>
      <c r="V370" s="3">
        <v>0.1</v>
      </c>
      <c r="W370" s="2">
        <v>0</v>
      </c>
      <c r="X370">
        <v>0</v>
      </c>
      <c r="Y370" t="s">
        <v>214</v>
      </c>
      <c r="Z370" t="s">
        <v>360</v>
      </c>
      <c r="AA370">
        <v>0</v>
      </c>
      <c r="AB370" s="2">
        <v>0</v>
      </c>
      <c r="AC370" s="2">
        <v>0</v>
      </c>
      <c r="AD370" s="3">
        <v>0</v>
      </c>
      <c r="AE370" s="2">
        <v>0</v>
      </c>
      <c r="AF370" s="2">
        <v>0</v>
      </c>
      <c r="AG370" s="2">
        <v>0</v>
      </c>
      <c r="AH370" s="2">
        <v>0</v>
      </c>
      <c r="AI370" s="2">
        <v>0</v>
      </c>
      <c r="AJ370" s="2">
        <v>0</v>
      </c>
      <c r="AK370" s="2">
        <v>0</v>
      </c>
      <c r="AL370" s="2">
        <v>0</v>
      </c>
      <c r="AM370" s="2">
        <v>6.46</v>
      </c>
      <c r="AN370" s="2">
        <v>6.46</v>
      </c>
      <c r="AO370" s="2">
        <v>0</v>
      </c>
      <c r="AP370" s="2">
        <v>0</v>
      </c>
      <c r="AQ370" s="2">
        <v>0</v>
      </c>
    </row>
    <row r="371" spans="1:43" x14ac:dyDescent="0.25">
      <c r="A371" s="1">
        <v>45936</v>
      </c>
      <c r="B371" t="s">
        <v>48</v>
      </c>
      <c r="C371">
        <v>649163</v>
      </c>
      <c r="D371">
        <v>2021092886</v>
      </c>
      <c r="E371" t="s">
        <v>659</v>
      </c>
      <c r="F371" t="s">
        <v>660</v>
      </c>
      <c r="G371" t="s">
        <v>51</v>
      </c>
      <c r="H371" t="s">
        <v>52</v>
      </c>
      <c r="I371" t="s">
        <v>89</v>
      </c>
      <c r="J371" t="s">
        <v>96</v>
      </c>
      <c r="K371">
        <v>651818</v>
      </c>
      <c r="L371" t="s">
        <v>112</v>
      </c>
      <c r="M371" t="s">
        <v>104</v>
      </c>
      <c r="N371" t="s">
        <v>57</v>
      </c>
      <c r="O371" s="1">
        <v>45295</v>
      </c>
      <c r="Q371" s="1">
        <v>45965</v>
      </c>
      <c r="R371" s="2">
        <v>167.21</v>
      </c>
      <c r="S371">
        <v>1</v>
      </c>
      <c r="T371" t="s">
        <v>58</v>
      </c>
      <c r="U371" t="s">
        <v>359</v>
      </c>
      <c r="V371" s="3">
        <v>0.1</v>
      </c>
      <c r="W371" s="2">
        <v>0</v>
      </c>
      <c r="X371">
        <v>0</v>
      </c>
      <c r="Y371" t="s">
        <v>214</v>
      </c>
      <c r="Z371" t="s">
        <v>360</v>
      </c>
      <c r="AA371">
        <v>0</v>
      </c>
      <c r="AB371" s="2">
        <v>0</v>
      </c>
      <c r="AC371" s="2">
        <v>0</v>
      </c>
      <c r="AD371" s="3">
        <v>0</v>
      </c>
      <c r="AE371" s="2">
        <v>0</v>
      </c>
      <c r="AF371" s="2">
        <v>0</v>
      </c>
      <c r="AG371" s="2">
        <v>0</v>
      </c>
      <c r="AH371" s="2">
        <v>0</v>
      </c>
      <c r="AI371" s="2">
        <v>0</v>
      </c>
      <c r="AJ371" s="2">
        <v>0</v>
      </c>
      <c r="AK371" s="2">
        <v>0</v>
      </c>
      <c r="AL371" s="2">
        <v>0</v>
      </c>
      <c r="AM371" s="2">
        <v>16.72</v>
      </c>
      <c r="AN371" s="2">
        <v>16.72</v>
      </c>
      <c r="AO371" s="2">
        <v>0</v>
      </c>
      <c r="AP371" s="2">
        <v>0</v>
      </c>
      <c r="AQ371" s="2">
        <v>0</v>
      </c>
    </row>
    <row r="372" spans="1:43" x14ac:dyDescent="0.25">
      <c r="A372" s="1">
        <v>45936</v>
      </c>
      <c r="B372" t="s">
        <v>48</v>
      </c>
      <c r="C372">
        <v>649163</v>
      </c>
      <c r="D372">
        <v>2021281141</v>
      </c>
      <c r="E372" t="s">
        <v>661</v>
      </c>
      <c r="F372" t="s">
        <v>662</v>
      </c>
      <c r="G372" t="s">
        <v>51</v>
      </c>
      <c r="H372" t="s">
        <v>262</v>
      </c>
      <c r="I372" t="s">
        <v>89</v>
      </c>
      <c r="J372" t="s">
        <v>96</v>
      </c>
      <c r="K372">
        <v>651818</v>
      </c>
      <c r="L372" t="s">
        <v>112</v>
      </c>
      <c r="M372" t="s">
        <v>104</v>
      </c>
      <c r="N372" t="s">
        <v>57</v>
      </c>
      <c r="O372" s="1">
        <v>45323</v>
      </c>
      <c r="Q372" s="1">
        <v>45962</v>
      </c>
      <c r="R372" s="2">
        <v>78.27</v>
      </c>
      <c r="S372">
        <v>1</v>
      </c>
      <c r="T372" t="s">
        <v>58</v>
      </c>
      <c r="U372" t="s">
        <v>359</v>
      </c>
      <c r="V372" s="3">
        <v>0.1</v>
      </c>
      <c r="W372" s="2">
        <v>0</v>
      </c>
      <c r="X372">
        <v>0</v>
      </c>
      <c r="Y372" t="s">
        <v>214</v>
      </c>
      <c r="Z372" t="s">
        <v>360</v>
      </c>
      <c r="AA372">
        <v>0</v>
      </c>
      <c r="AB372" s="2">
        <v>0</v>
      </c>
      <c r="AC372" s="2">
        <v>0</v>
      </c>
      <c r="AD372" s="3">
        <v>0</v>
      </c>
      <c r="AE372" s="2">
        <v>0</v>
      </c>
      <c r="AF372" s="2">
        <v>0</v>
      </c>
      <c r="AG372" s="2">
        <v>0</v>
      </c>
      <c r="AH372" s="2">
        <v>0</v>
      </c>
      <c r="AI372" s="2">
        <v>0</v>
      </c>
      <c r="AJ372" s="2">
        <v>0</v>
      </c>
      <c r="AK372" s="2">
        <v>0</v>
      </c>
      <c r="AL372" s="2">
        <v>0</v>
      </c>
      <c r="AM372" s="2">
        <v>7.83</v>
      </c>
      <c r="AN372" s="2">
        <v>7.83</v>
      </c>
      <c r="AO372" s="2">
        <v>0</v>
      </c>
      <c r="AP372" s="2">
        <v>0</v>
      </c>
      <c r="AQ372" s="2">
        <v>0</v>
      </c>
    </row>
    <row r="373" spans="1:43" x14ac:dyDescent="0.25">
      <c r="A373" s="1">
        <v>45936</v>
      </c>
      <c r="B373" t="s">
        <v>48</v>
      </c>
      <c r="C373">
        <v>649163</v>
      </c>
      <c r="D373">
        <v>2021391380</v>
      </c>
      <c r="E373" t="s">
        <v>663</v>
      </c>
      <c r="F373" t="s">
        <v>664</v>
      </c>
      <c r="G373" t="s">
        <v>51</v>
      </c>
      <c r="H373" t="s">
        <v>88</v>
      </c>
      <c r="I373" t="s">
        <v>89</v>
      </c>
      <c r="J373" t="s">
        <v>90</v>
      </c>
      <c r="K373">
        <v>673059</v>
      </c>
      <c r="L373" t="s">
        <v>80</v>
      </c>
      <c r="M373" t="s">
        <v>81</v>
      </c>
      <c r="N373" t="s">
        <v>57</v>
      </c>
      <c r="O373" s="1">
        <v>45323</v>
      </c>
      <c r="Q373" s="1">
        <v>45962</v>
      </c>
      <c r="R373" s="2">
        <v>28.67</v>
      </c>
      <c r="S373">
        <v>1</v>
      </c>
      <c r="T373" t="s">
        <v>58</v>
      </c>
      <c r="U373" t="s">
        <v>359</v>
      </c>
      <c r="V373" s="3">
        <v>0.1</v>
      </c>
      <c r="W373" s="2">
        <v>0</v>
      </c>
      <c r="X373">
        <v>0</v>
      </c>
      <c r="Y373" t="s">
        <v>214</v>
      </c>
      <c r="Z373" t="s">
        <v>360</v>
      </c>
      <c r="AA373">
        <v>0</v>
      </c>
      <c r="AB373" s="2">
        <v>0</v>
      </c>
      <c r="AC373" s="2">
        <v>0</v>
      </c>
      <c r="AD373" s="3">
        <v>0</v>
      </c>
      <c r="AE373" s="2">
        <v>0</v>
      </c>
      <c r="AF373" s="2">
        <v>0</v>
      </c>
      <c r="AG373" s="2">
        <v>0</v>
      </c>
      <c r="AH373" s="2">
        <v>0</v>
      </c>
      <c r="AI373" s="2">
        <v>0</v>
      </c>
      <c r="AJ373" s="2">
        <v>0</v>
      </c>
      <c r="AK373" s="2">
        <v>0</v>
      </c>
      <c r="AL373" s="2">
        <v>0</v>
      </c>
      <c r="AM373" s="2">
        <v>2.87</v>
      </c>
      <c r="AN373" s="2">
        <v>2.87</v>
      </c>
      <c r="AO373" s="2">
        <v>0</v>
      </c>
      <c r="AP373" s="2">
        <v>0</v>
      </c>
      <c r="AQ373" s="2">
        <v>0</v>
      </c>
    </row>
    <row r="374" spans="1:43" x14ac:dyDescent="0.25">
      <c r="A374" s="1">
        <v>45936</v>
      </c>
      <c r="B374" t="s">
        <v>48</v>
      </c>
      <c r="C374">
        <v>649163</v>
      </c>
      <c r="D374">
        <v>2021613758</v>
      </c>
      <c r="E374" t="s">
        <v>665</v>
      </c>
      <c r="F374" t="s">
        <v>627</v>
      </c>
      <c r="G374" t="s">
        <v>51</v>
      </c>
      <c r="H374" t="s">
        <v>101</v>
      </c>
      <c r="I374" t="s">
        <v>89</v>
      </c>
      <c r="J374" t="s">
        <v>96</v>
      </c>
      <c r="K374">
        <v>651818</v>
      </c>
      <c r="L374" t="s">
        <v>112</v>
      </c>
      <c r="M374" t="s">
        <v>104</v>
      </c>
      <c r="N374" t="s">
        <v>57</v>
      </c>
      <c r="O374" s="1">
        <v>45328</v>
      </c>
      <c r="Q374" s="1">
        <v>45967</v>
      </c>
      <c r="R374" s="2">
        <v>175.46</v>
      </c>
      <c r="S374">
        <v>1</v>
      </c>
      <c r="T374" t="s">
        <v>58</v>
      </c>
      <c r="U374" t="s">
        <v>359</v>
      </c>
      <c r="V374" s="3">
        <v>0.1</v>
      </c>
      <c r="W374" s="2">
        <v>0</v>
      </c>
      <c r="X374">
        <v>0</v>
      </c>
      <c r="Y374" t="s">
        <v>214</v>
      </c>
      <c r="Z374" t="s">
        <v>360</v>
      </c>
      <c r="AA374">
        <v>0</v>
      </c>
      <c r="AB374" s="2">
        <v>0</v>
      </c>
      <c r="AC374" s="2">
        <v>0</v>
      </c>
      <c r="AD374" s="3">
        <v>0</v>
      </c>
      <c r="AE374" s="2">
        <v>0</v>
      </c>
      <c r="AF374" s="2">
        <v>0</v>
      </c>
      <c r="AG374" s="2">
        <v>0</v>
      </c>
      <c r="AH374" s="2">
        <v>0</v>
      </c>
      <c r="AI374" s="2">
        <v>0</v>
      </c>
      <c r="AJ374" s="2">
        <v>0</v>
      </c>
      <c r="AK374" s="2">
        <v>0</v>
      </c>
      <c r="AL374" s="2">
        <v>0</v>
      </c>
      <c r="AM374" s="2">
        <v>17.55</v>
      </c>
      <c r="AN374" s="2">
        <v>17.55</v>
      </c>
      <c r="AO374" s="2">
        <v>0</v>
      </c>
      <c r="AP374" s="2">
        <v>0</v>
      </c>
      <c r="AQ374" s="2">
        <v>0</v>
      </c>
    </row>
    <row r="375" spans="1:43" x14ac:dyDescent="0.25">
      <c r="A375" s="1">
        <v>45936</v>
      </c>
      <c r="B375" t="s">
        <v>48</v>
      </c>
      <c r="C375">
        <v>649163</v>
      </c>
      <c r="D375">
        <v>2021765999</v>
      </c>
      <c r="E375" t="s">
        <v>666</v>
      </c>
      <c r="F375" t="s">
        <v>667</v>
      </c>
      <c r="G375" t="s">
        <v>51</v>
      </c>
      <c r="H375" t="s">
        <v>52</v>
      </c>
      <c r="I375" t="s">
        <v>89</v>
      </c>
      <c r="J375" t="s">
        <v>96</v>
      </c>
      <c r="K375">
        <v>651818</v>
      </c>
      <c r="L375" t="s">
        <v>112</v>
      </c>
      <c r="M375" t="s">
        <v>104</v>
      </c>
      <c r="N375" t="s">
        <v>57</v>
      </c>
      <c r="O375" s="1">
        <v>45357</v>
      </c>
      <c r="Q375" s="1">
        <v>45967</v>
      </c>
      <c r="R375" s="2">
        <v>70.959999999999994</v>
      </c>
      <c r="S375">
        <v>1</v>
      </c>
      <c r="T375" t="s">
        <v>58</v>
      </c>
      <c r="U375" t="s">
        <v>359</v>
      </c>
      <c r="V375" s="3">
        <v>0.1</v>
      </c>
      <c r="W375" s="2">
        <v>0</v>
      </c>
      <c r="X375">
        <v>0</v>
      </c>
      <c r="Y375" t="s">
        <v>214</v>
      </c>
      <c r="Z375" t="s">
        <v>360</v>
      </c>
      <c r="AA375">
        <v>0</v>
      </c>
      <c r="AB375" s="2">
        <v>0</v>
      </c>
      <c r="AC375" s="2">
        <v>0</v>
      </c>
      <c r="AD375" s="3">
        <v>0</v>
      </c>
      <c r="AE375" s="2">
        <v>0</v>
      </c>
      <c r="AF375" s="2">
        <v>0</v>
      </c>
      <c r="AG375" s="2">
        <v>0</v>
      </c>
      <c r="AH375" s="2">
        <v>0</v>
      </c>
      <c r="AI375" s="2">
        <v>0</v>
      </c>
      <c r="AJ375" s="2">
        <v>0</v>
      </c>
      <c r="AK375" s="2">
        <v>0</v>
      </c>
      <c r="AL375" s="2">
        <v>0</v>
      </c>
      <c r="AM375" s="2">
        <v>7.1</v>
      </c>
      <c r="AN375" s="2">
        <v>7.1</v>
      </c>
      <c r="AO375" s="2">
        <v>0</v>
      </c>
      <c r="AP375" s="2">
        <v>0</v>
      </c>
      <c r="AQ375" s="2">
        <v>0</v>
      </c>
    </row>
    <row r="376" spans="1:43" x14ac:dyDescent="0.25">
      <c r="A376" s="1">
        <v>45936</v>
      </c>
      <c r="B376" t="s">
        <v>48</v>
      </c>
      <c r="C376">
        <v>649163</v>
      </c>
      <c r="D376">
        <v>2021802310</v>
      </c>
      <c r="E376" t="s">
        <v>668</v>
      </c>
      <c r="F376" t="s">
        <v>224</v>
      </c>
      <c r="G376" t="s">
        <v>51</v>
      </c>
      <c r="H376" t="s">
        <v>52</v>
      </c>
      <c r="I376" t="s">
        <v>89</v>
      </c>
      <c r="J376" t="s">
        <v>111</v>
      </c>
      <c r="K376">
        <v>651818</v>
      </c>
      <c r="L376" t="s">
        <v>112</v>
      </c>
      <c r="M376" t="s">
        <v>104</v>
      </c>
      <c r="N376" t="s">
        <v>57</v>
      </c>
      <c r="O376" s="1">
        <v>45357</v>
      </c>
      <c r="Q376" s="1">
        <v>45967</v>
      </c>
      <c r="R376" s="2">
        <v>113.5</v>
      </c>
      <c r="S376">
        <v>1</v>
      </c>
      <c r="T376" t="s">
        <v>58</v>
      </c>
      <c r="U376" t="s">
        <v>359</v>
      </c>
      <c r="V376" s="3">
        <v>0.1</v>
      </c>
      <c r="W376" s="2">
        <v>0</v>
      </c>
      <c r="X376">
        <v>0</v>
      </c>
      <c r="Y376" t="s">
        <v>214</v>
      </c>
      <c r="Z376" t="s">
        <v>360</v>
      </c>
      <c r="AA376">
        <v>0</v>
      </c>
      <c r="AB376" s="2">
        <v>0</v>
      </c>
      <c r="AC376" s="2">
        <v>0</v>
      </c>
      <c r="AD376" s="3">
        <v>0</v>
      </c>
      <c r="AE376" s="2">
        <v>0</v>
      </c>
      <c r="AF376" s="2">
        <v>0</v>
      </c>
      <c r="AG376" s="2">
        <v>0</v>
      </c>
      <c r="AH376" s="2">
        <v>0</v>
      </c>
      <c r="AI376" s="2">
        <v>0</v>
      </c>
      <c r="AJ376" s="2">
        <v>0</v>
      </c>
      <c r="AK376" s="2">
        <v>0</v>
      </c>
      <c r="AL376" s="2">
        <v>0</v>
      </c>
      <c r="AM376" s="2">
        <v>11.35</v>
      </c>
      <c r="AN376" s="2">
        <v>11.35</v>
      </c>
      <c r="AO376" s="2">
        <v>0</v>
      </c>
      <c r="AP376" s="2">
        <v>0</v>
      </c>
      <c r="AQ376" s="2">
        <v>0</v>
      </c>
    </row>
    <row r="377" spans="1:43" x14ac:dyDescent="0.25">
      <c r="A377" s="1">
        <v>45936</v>
      </c>
      <c r="B377" t="s">
        <v>48</v>
      </c>
      <c r="C377">
        <v>649163</v>
      </c>
      <c r="D377">
        <v>2021815679</v>
      </c>
      <c r="E377" t="s">
        <v>669</v>
      </c>
      <c r="F377" t="s">
        <v>482</v>
      </c>
      <c r="G377" t="s">
        <v>51</v>
      </c>
      <c r="H377" t="s">
        <v>670</v>
      </c>
      <c r="I377" t="s">
        <v>89</v>
      </c>
      <c r="J377" t="s">
        <v>96</v>
      </c>
      <c r="K377">
        <v>651818</v>
      </c>
      <c r="L377" t="s">
        <v>112</v>
      </c>
      <c r="M377" t="s">
        <v>104</v>
      </c>
      <c r="N377" t="s">
        <v>57</v>
      </c>
      <c r="O377" s="1">
        <v>45357</v>
      </c>
      <c r="Q377" s="1">
        <v>45967</v>
      </c>
      <c r="R377" s="2">
        <v>185.36</v>
      </c>
      <c r="S377">
        <v>1</v>
      </c>
      <c r="T377" t="s">
        <v>58</v>
      </c>
      <c r="U377" t="s">
        <v>359</v>
      </c>
      <c r="V377" s="3">
        <v>0.1</v>
      </c>
      <c r="W377" s="2">
        <v>0</v>
      </c>
      <c r="X377">
        <v>0</v>
      </c>
      <c r="Y377" t="s">
        <v>214</v>
      </c>
      <c r="Z377" t="s">
        <v>360</v>
      </c>
      <c r="AA377">
        <v>0</v>
      </c>
      <c r="AB377" s="2">
        <v>0</v>
      </c>
      <c r="AC377" s="2">
        <v>0</v>
      </c>
      <c r="AD377" s="3">
        <v>0</v>
      </c>
      <c r="AE377" s="2">
        <v>0</v>
      </c>
      <c r="AF377" s="2">
        <v>0</v>
      </c>
      <c r="AG377" s="2">
        <v>0</v>
      </c>
      <c r="AH377" s="2">
        <v>0</v>
      </c>
      <c r="AI377" s="2">
        <v>0</v>
      </c>
      <c r="AJ377" s="2">
        <v>0</v>
      </c>
      <c r="AK377" s="2">
        <v>0</v>
      </c>
      <c r="AL377" s="2">
        <v>0</v>
      </c>
      <c r="AM377" s="2">
        <v>18.54</v>
      </c>
      <c r="AN377" s="2">
        <v>18.54</v>
      </c>
      <c r="AO377" s="2">
        <v>0</v>
      </c>
      <c r="AP377" s="2">
        <v>0</v>
      </c>
      <c r="AQ377" s="2">
        <v>0</v>
      </c>
    </row>
    <row r="378" spans="1:43" x14ac:dyDescent="0.25">
      <c r="A378" s="1">
        <v>45936</v>
      </c>
      <c r="B378" t="s">
        <v>48</v>
      </c>
      <c r="C378">
        <v>649163</v>
      </c>
      <c r="D378">
        <v>2022385257</v>
      </c>
      <c r="E378" t="s">
        <v>402</v>
      </c>
      <c r="F378" t="s">
        <v>671</v>
      </c>
      <c r="G378" t="s">
        <v>51</v>
      </c>
      <c r="H378" t="s">
        <v>88</v>
      </c>
      <c r="I378" t="s">
        <v>89</v>
      </c>
      <c r="J378" t="s">
        <v>90</v>
      </c>
      <c r="K378">
        <v>651818</v>
      </c>
      <c r="L378" t="s">
        <v>112</v>
      </c>
      <c r="M378" t="s">
        <v>104</v>
      </c>
      <c r="N378" t="s">
        <v>57</v>
      </c>
      <c r="O378" s="1">
        <v>45388</v>
      </c>
      <c r="Q378" s="1">
        <v>45967</v>
      </c>
      <c r="R378" s="2">
        <v>17.86</v>
      </c>
      <c r="S378">
        <v>1</v>
      </c>
      <c r="T378" t="s">
        <v>58</v>
      </c>
      <c r="U378" t="s">
        <v>359</v>
      </c>
      <c r="V378" s="3">
        <v>0.1</v>
      </c>
      <c r="W378" s="2">
        <v>0</v>
      </c>
      <c r="X378">
        <v>0</v>
      </c>
      <c r="Y378" t="s">
        <v>214</v>
      </c>
      <c r="Z378" t="s">
        <v>360</v>
      </c>
      <c r="AA378">
        <v>0</v>
      </c>
      <c r="AB378" s="2">
        <v>0</v>
      </c>
      <c r="AC378" s="2">
        <v>0</v>
      </c>
      <c r="AD378" s="3">
        <v>0</v>
      </c>
      <c r="AE378" s="2">
        <v>0</v>
      </c>
      <c r="AF378" s="2">
        <v>0</v>
      </c>
      <c r="AG378" s="2">
        <v>0</v>
      </c>
      <c r="AH378" s="2">
        <v>0</v>
      </c>
      <c r="AI378" s="2">
        <v>0</v>
      </c>
      <c r="AJ378" s="2">
        <v>0</v>
      </c>
      <c r="AK378" s="2">
        <v>0</v>
      </c>
      <c r="AL378" s="2">
        <v>0</v>
      </c>
      <c r="AM378" s="2">
        <v>1.79</v>
      </c>
      <c r="AN378" s="2">
        <v>1.79</v>
      </c>
      <c r="AO378" s="2">
        <v>0</v>
      </c>
      <c r="AP378" s="2">
        <v>0</v>
      </c>
      <c r="AQ378" s="2">
        <v>0</v>
      </c>
    </row>
    <row r="379" spans="1:43" x14ac:dyDescent="0.25">
      <c r="A379" s="1">
        <v>45936</v>
      </c>
      <c r="B379" t="s">
        <v>48</v>
      </c>
      <c r="C379">
        <v>649163</v>
      </c>
      <c r="D379">
        <v>2022505612</v>
      </c>
      <c r="E379" t="s">
        <v>672</v>
      </c>
      <c r="F379" t="s">
        <v>673</v>
      </c>
      <c r="G379" t="s">
        <v>51</v>
      </c>
      <c r="H379" t="s">
        <v>129</v>
      </c>
      <c r="I379" t="s">
        <v>89</v>
      </c>
      <c r="J379" t="s">
        <v>96</v>
      </c>
      <c r="K379">
        <v>651818</v>
      </c>
      <c r="L379" t="s">
        <v>112</v>
      </c>
      <c r="M379" t="s">
        <v>104</v>
      </c>
      <c r="N379" t="s">
        <v>57</v>
      </c>
      <c r="O379" s="1">
        <v>45389</v>
      </c>
      <c r="Q379" s="1">
        <v>45968</v>
      </c>
      <c r="R379" s="2">
        <v>180.88</v>
      </c>
      <c r="S379">
        <v>1</v>
      </c>
      <c r="T379" t="s">
        <v>58</v>
      </c>
      <c r="U379" t="s">
        <v>359</v>
      </c>
      <c r="V379" s="3">
        <v>0.1</v>
      </c>
      <c r="W379" s="2">
        <v>0</v>
      </c>
      <c r="X379">
        <v>0</v>
      </c>
      <c r="Y379" t="s">
        <v>214</v>
      </c>
      <c r="Z379" t="s">
        <v>360</v>
      </c>
      <c r="AA379">
        <v>0</v>
      </c>
      <c r="AB379" s="2">
        <v>0</v>
      </c>
      <c r="AC379" s="2">
        <v>0</v>
      </c>
      <c r="AD379" s="3">
        <v>0</v>
      </c>
      <c r="AE379" s="2">
        <v>0</v>
      </c>
      <c r="AF379" s="2">
        <v>0</v>
      </c>
      <c r="AG379" s="2">
        <v>0</v>
      </c>
      <c r="AH379" s="2">
        <v>0</v>
      </c>
      <c r="AI379" s="2">
        <v>0</v>
      </c>
      <c r="AJ379" s="2">
        <v>0</v>
      </c>
      <c r="AK379" s="2">
        <v>0</v>
      </c>
      <c r="AL379" s="2">
        <v>0</v>
      </c>
      <c r="AM379" s="2">
        <v>18.09</v>
      </c>
      <c r="AN379" s="2">
        <v>18.09</v>
      </c>
      <c r="AO379" s="2">
        <v>0</v>
      </c>
      <c r="AP379" s="2">
        <v>0</v>
      </c>
      <c r="AQ379" s="2">
        <v>0</v>
      </c>
    </row>
    <row r="380" spans="1:43" x14ac:dyDescent="0.25">
      <c r="A380" s="1">
        <v>45936</v>
      </c>
      <c r="B380" t="s">
        <v>48</v>
      </c>
      <c r="C380">
        <v>649163</v>
      </c>
      <c r="D380">
        <v>2022657266</v>
      </c>
      <c r="E380" t="s">
        <v>674</v>
      </c>
      <c r="F380" t="s">
        <v>187</v>
      </c>
      <c r="G380" t="s">
        <v>51</v>
      </c>
      <c r="H380" t="s">
        <v>52</v>
      </c>
      <c r="I380" t="s">
        <v>89</v>
      </c>
      <c r="J380" t="s">
        <v>96</v>
      </c>
      <c r="K380">
        <v>651818</v>
      </c>
      <c r="L380" t="s">
        <v>112</v>
      </c>
      <c r="M380" t="s">
        <v>104</v>
      </c>
      <c r="N380" t="s">
        <v>57</v>
      </c>
      <c r="O380" s="1">
        <v>45418</v>
      </c>
      <c r="Q380" s="1">
        <v>45967</v>
      </c>
      <c r="R380" s="2">
        <v>139.25</v>
      </c>
      <c r="S380">
        <v>1</v>
      </c>
      <c r="T380" t="s">
        <v>58</v>
      </c>
      <c r="U380" t="s">
        <v>359</v>
      </c>
      <c r="V380" s="3">
        <v>0.1</v>
      </c>
      <c r="W380" s="2">
        <v>0</v>
      </c>
      <c r="X380">
        <v>0</v>
      </c>
      <c r="Y380" t="s">
        <v>214</v>
      </c>
      <c r="Z380" t="s">
        <v>360</v>
      </c>
      <c r="AA380">
        <v>0</v>
      </c>
      <c r="AB380" s="2">
        <v>0</v>
      </c>
      <c r="AC380" s="2">
        <v>0</v>
      </c>
      <c r="AD380" s="3">
        <v>0</v>
      </c>
      <c r="AE380" s="2">
        <v>0</v>
      </c>
      <c r="AF380" s="2">
        <v>0</v>
      </c>
      <c r="AG380" s="2">
        <v>0</v>
      </c>
      <c r="AH380" s="2">
        <v>0</v>
      </c>
      <c r="AI380" s="2">
        <v>0</v>
      </c>
      <c r="AJ380" s="2">
        <v>0</v>
      </c>
      <c r="AK380" s="2">
        <v>0</v>
      </c>
      <c r="AL380" s="2">
        <v>0</v>
      </c>
      <c r="AM380" s="2">
        <v>13.92</v>
      </c>
      <c r="AN380" s="2">
        <v>13.92</v>
      </c>
      <c r="AO380" s="2">
        <v>0</v>
      </c>
      <c r="AP380" s="2">
        <v>0</v>
      </c>
      <c r="AQ380" s="2">
        <v>0</v>
      </c>
    </row>
    <row r="381" spans="1:43" x14ac:dyDescent="0.25">
      <c r="A381" s="1">
        <v>45936</v>
      </c>
      <c r="B381" t="s">
        <v>48</v>
      </c>
      <c r="C381">
        <v>649163</v>
      </c>
      <c r="D381">
        <v>2023184015</v>
      </c>
      <c r="E381" t="s">
        <v>675</v>
      </c>
      <c r="F381" t="s">
        <v>276</v>
      </c>
      <c r="G381" t="s">
        <v>51</v>
      </c>
      <c r="H381" t="s">
        <v>115</v>
      </c>
      <c r="I381" t="s">
        <v>89</v>
      </c>
      <c r="J381" t="s">
        <v>111</v>
      </c>
      <c r="K381">
        <v>651818</v>
      </c>
      <c r="L381" t="s">
        <v>112</v>
      </c>
      <c r="M381" t="s">
        <v>104</v>
      </c>
      <c r="N381" t="s">
        <v>57</v>
      </c>
      <c r="O381" s="1">
        <v>45449</v>
      </c>
      <c r="Q381" s="1">
        <v>45967</v>
      </c>
      <c r="R381" s="2">
        <v>142.85</v>
      </c>
      <c r="S381">
        <v>1</v>
      </c>
      <c r="T381" t="s">
        <v>58</v>
      </c>
      <c r="U381" t="s">
        <v>359</v>
      </c>
      <c r="V381" s="3">
        <v>0.1</v>
      </c>
      <c r="W381" s="2">
        <v>0</v>
      </c>
      <c r="X381">
        <v>0</v>
      </c>
      <c r="Y381" t="s">
        <v>214</v>
      </c>
      <c r="Z381" t="s">
        <v>360</v>
      </c>
      <c r="AA381">
        <v>0</v>
      </c>
      <c r="AB381" s="2">
        <v>0</v>
      </c>
      <c r="AC381" s="2">
        <v>0</v>
      </c>
      <c r="AD381" s="3">
        <v>0</v>
      </c>
      <c r="AE381" s="2">
        <v>0</v>
      </c>
      <c r="AF381" s="2">
        <v>0</v>
      </c>
      <c r="AG381" s="2">
        <v>0</v>
      </c>
      <c r="AH381" s="2">
        <v>0</v>
      </c>
      <c r="AI381" s="2">
        <v>0</v>
      </c>
      <c r="AJ381" s="2">
        <v>0</v>
      </c>
      <c r="AK381" s="2">
        <v>0</v>
      </c>
      <c r="AL381" s="2">
        <v>0</v>
      </c>
      <c r="AM381" s="2">
        <v>14.28</v>
      </c>
      <c r="AN381" s="2">
        <v>14.28</v>
      </c>
      <c r="AO381" s="2">
        <v>0</v>
      </c>
      <c r="AP381" s="2">
        <v>0</v>
      </c>
      <c r="AQ381" s="2">
        <v>0</v>
      </c>
    </row>
    <row r="382" spans="1:43" x14ac:dyDescent="0.25">
      <c r="A382" s="1">
        <v>45936</v>
      </c>
      <c r="B382" t="s">
        <v>48</v>
      </c>
      <c r="C382">
        <v>649163</v>
      </c>
      <c r="D382">
        <v>2023294111</v>
      </c>
      <c r="E382" t="s">
        <v>676</v>
      </c>
      <c r="F382" t="s">
        <v>677</v>
      </c>
      <c r="G382" t="s">
        <v>51</v>
      </c>
      <c r="H382" t="s">
        <v>122</v>
      </c>
      <c r="I382" t="s">
        <v>89</v>
      </c>
      <c r="J382" t="s">
        <v>96</v>
      </c>
      <c r="K382">
        <v>651818</v>
      </c>
      <c r="L382" t="s">
        <v>112</v>
      </c>
      <c r="M382" t="s">
        <v>104</v>
      </c>
      <c r="N382" t="s">
        <v>57</v>
      </c>
      <c r="O382" s="1">
        <v>45449</v>
      </c>
      <c r="Q382" s="1">
        <v>45967</v>
      </c>
      <c r="R382" s="2">
        <v>191.17</v>
      </c>
      <c r="S382">
        <v>1</v>
      </c>
      <c r="T382" t="s">
        <v>58</v>
      </c>
      <c r="U382" t="s">
        <v>359</v>
      </c>
      <c r="V382" s="3">
        <v>0.1</v>
      </c>
      <c r="W382" s="2">
        <v>0</v>
      </c>
      <c r="X382">
        <v>0</v>
      </c>
      <c r="Y382" t="s">
        <v>214</v>
      </c>
      <c r="Z382" t="s">
        <v>360</v>
      </c>
      <c r="AA382">
        <v>0</v>
      </c>
      <c r="AB382" s="2">
        <v>0</v>
      </c>
      <c r="AC382" s="2">
        <v>0</v>
      </c>
      <c r="AD382" s="3">
        <v>0</v>
      </c>
      <c r="AE382" s="2">
        <v>0</v>
      </c>
      <c r="AF382" s="2">
        <v>0</v>
      </c>
      <c r="AG382" s="2">
        <v>0</v>
      </c>
      <c r="AH382" s="2">
        <v>0</v>
      </c>
      <c r="AI382" s="2">
        <v>0</v>
      </c>
      <c r="AJ382" s="2">
        <v>0</v>
      </c>
      <c r="AK382" s="2">
        <v>0</v>
      </c>
      <c r="AL382" s="2">
        <v>0</v>
      </c>
      <c r="AM382" s="2">
        <v>19.12</v>
      </c>
      <c r="AN382" s="2">
        <v>19.12</v>
      </c>
      <c r="AO382" s="2">
        <v>0</v>
      </c>
      <c r="AP382" s="2">
        <v>0</v>
      </c>
      <c r="AQ382" s="2">
        <v>0</v>
      </c>
    </row>
    <row r="383" spans="1:43" x14ac:dyDescent="0.25">
      <c r="A383" s="1">
        <v>45936</v>
      </c>
      <c r="B383" t="s">
        <v>48</v>
      </c>
      <c r="C383">
        <v>649163</v>
      </c>
      <c r="D383">
        <v>2023297034</v>
      </c>
      <c r="E383" t="s">
        <v>678</v>
      </c>
      <c r="F383" t="s">
        <v>679</v>
      </c>
      <c r="G383" t="s">
        <v>51</v>
      </c>
      <c r="H383" t="s">
        <v>115</v>
      </c>
      <c r="I383" t="s">
        <v>89</v>
      </c>
      <c r="J383" t="s">
        <v>111</v>
      </c>
      <c r="K383">
        <v>651818</v>
      </c>
      <c r="L383" t="s">
        <v>112</v>
      </c>
      <c r="M383" t="s">
        <v>104</v>
      </c>
      <c r="N383" t="s">
        <v>57</v>
      </c>
      <c r="O383" s="1">
        <v>45449</v>
      </c>
      <c r="Q383" s="1">
        <v>45967</v>
      </c>
      <c r="R383" s="2">
        <v>149.5</v>
      </c>
      <c r="S383">
        <v>1</v>
      </c>
      <c r="T383" t="s">
        <v>58</v>
      </c>
      <c r="U383" t="s">
        <v>359</v>
      </c>
      <c r="V383" s="3">
        <v>0.1</v>
      </c>
      <c r="W383" s="2">
        <v>0</v>
      </c>
      <c r="X383">
        <v>0</v>
      </c>
      <c r="Y383" t="s">
        <v>214</v>
      </c>
      <c r="Z383" t="s">
        <v>360</v>
      </c>
      <c r="AA383">
        <v>0</v>
      </c>
      <c r="AB383" s="2">
        <v>0</v>
      </c>
      <c r="AC383" s="2">
        <v>0</v>
      </c>
      <c r="AD383" s="3">
        <v>0</v>
      </c>
      <c r="AE383" s="2">
        <v>0</v>
      </c>
      <c r="AF383" s="2">
        <v>0</v>
      </c>
      <c r="AG383" s="2">
        <v>0</v>
      </c>
      <c r="AH383" s="2">
        <v>0</v>
      </c>
      <c r="AI383" s="2">
        <v>0</v>
      </c>
      <c r="AJ383" s="2">
        <v>0</v>
      </c>
      <c r="AK383" s="2">
        <v>0</v>
      </c>
      <c r="AL383" s="2">
        <v>0</v>
      </c>
      <c r="AM383" s="2">
        <v>14.95</v>
      </c>
      <c r="AN383" s="2">
        <v>14.95</v>
      </c>
      <c r="AO383" s="2">
        <v>0</v>
      </c>
      <c r="AP383" s="2">
        <v>0</v>
      </c>
      <c r="AQ383" s="2">
        <v>0</v>
      </c>
    </row>
    <row r="384" spans="1:43" x14ac:dyDescent="0.25">
      <c r="A384" s="1">
        <v>45936</v>
      </c>
      <c r="B384" t="s">
        <v>48</v>
      </c>
      <c r="C384">
        <v>649163</v>
      </c>
      <c r="D384">
        <v>2023849739</v>
      </c>
      <c r="E384" t="s">
        <v>623</v>
      </c>
      <c r="F384" t="s">
        <v>680</v>
      </c>
      <c r="G384" t="s">
        <v>51</v>
      </c>
      <c r="H384" t="s">
        <v>101</v>
      </c>
      <c r="I384" t="s">
        <v>89</v>
      </c>
      <c r="J384" t="s">
        <v>111</v>
      </c>
      <c r="K384">
        <v>761385</v>
      </c>
      <c r="L384" t="s">
        <v>623</v>
      </c>
      <c r="M384" t="s">
        <v>680</v>
      </c>
      <c r="N384" t="s">
        <v>57</v>
      </c>
      <c r="O384" s="1">
        <v>45482</v>
      </c>
      <c r="Q384" s="1">
        <v>45970</v>
      </c>
      <c r="R384" s="2">
        <v>99.45</v>
      </c>
      <c r="S384">
        <v>1</v>
      </c>
      <c r="T384" t="s">
        <v>58</v>
      </c>
      <c r="U384" t="s">
        <v>359</v>
      </c>
      <c r="V384" s="3">
        <v>0.1</v>
      </c>
      <c r="W384" s="2">
        <v>0</v>
      </c>
      <c r="X384">
        <v>0</v>
      </c>
      <c r="Y384" t="s">
        <v>214</v>
      </c>
      <c r="Z384" t="s">
        <v>360</v>
      </c>
      <c r="AA384">
        <v>0</v>
      </c>
      <c r="AB384" s="2">
        <v>0</v>
      </c>
      <c r="AC384" s="2">
        <v>0</v>
      </c>
      <c r="AD384" s="3">
        <v>0</v>
      </c>
      <c r="AE384" s="2">
        <v>0</v>
      </c>
      <c r="AF384" s="2">
        <v>0</v>
      </c>
      <c r="AG384" s="2">
        <v>0</v>
      </c>
      <c r="AH384" s="2">
        <v>0</v>
      </c>
      <c r="AI384" s="2">
        <v>0</v>
      </c>
      <c r="AJ384" s="2">
        <v>0</v>
      </c>
      <c r="AK384" s="2">
        <v>0</v>
      </c>
      <c r="AL384" s="2">
        <v>0</v>
      </c>
      <c r="AM384" s="2">
        <v>9.94</v>
      </c>
      <c r="AN384" s="2">
        <v>9.94</v>
      </c>
      <c r="AO384" s="2">
        <v>0</v>
      </c>
      <c r="AP384" s="2">
        <v>0</v>
      </c>
      <c r="AQ384" s="2">
        <v>0</v>
      </c>
    </row>
    <row r="385" spans="1:43" x14ac:dyDescent="0.25">
      <c r="A385" s="1">
        <v>45936</v>
      </c>
      <c r="B385" t="s">
        <v>48</v>
      </c>
      <c r="C385">
        <v>649163</v>
      </c>
      <c r="D385">
        <v>2024001564</v>
      </c>
      <c r="E385" t="s">
        <v>148</v>
      </c>
      <c r="F385" t="s">
        <v>212</v>
      </c>
      <c r="G385" t="s">
        <v>51</v>
      </c>
      <c r="H385" t="s">
        <v>119</v>
      </c>
      <c r="I385" t="s">
        <v>89</v>
      </c>
      <c r="J385" t="s">
        <v>96</v>
      </c>
      <c r="K385">
        <v>651818</v>
      </c>
      <c r="L385" t="s">
        <v>112</v>
      </c>
      <c r="M385" t="s">
        <v>104</v>
      </c>
      <c r="N385" t="s">
        <v>57</v>
      </c>
      <c r="O385" s="1">
        <v>45510</v>
      </c>
      <c r="Q385" s="1">
        <v>45967</v>
      </c>
      <c r="R385" s="2">
        <v>90.33</v>
      </c>
      <c r="S385">
        <v>1</v>
      </c>
      <c r="T385" t="s">
        <v>58</v>
      </c>
      <c r="U385" t="s">
        <v>359</v>
      </c>
      <c r="V385" s="3">
        <v>0.1</v>
      </c>
      <c r="W385" s="2">
        <v>0</v>
      </c>
      <c r="X385">
        <v>0</v>
      </c>
      <c r="Y385" t="s">
        <v>214</v>
      </c>
      <c r="Z385" t="s">
        <v>360</v>
      </c>
      <c r="AA385">
        <v>0</v>
      </c>
      <c r="AB385" s="2">
        <v>0</v>
      </c>
      <c r="AC385" s="2">
        <v>0</v>
      </c>
      <c r="AD385" s="3">
        <v>0</v>
      </c>
      <c r="AE385" s="2">
        <v>0</v>
      </c>
      <c r="AF385" s="2">
        <v>0</v>
      </c>
      <c r="AG385" s="2">
        <v>0</v>
      </c>
      <c r="AH385" s="2">
        <v>0</v>
      </c>
      <c r="AI385" s="2">
        <v>0</v>
      </c>
      <c r="AJ385" s="2">
        <v>0</v>
      </c>
      <c r="AK385" s="2">
        <v>0</v>
      </c>
      <c r="AL385" s="2">
        <v>0</v>
      </c>
      <c r="AM385" s="2">
        <v>9.0299999999999994</v>
      </c>
      <c r="AN385" s="2">
        <v>9.0299999999999994</v>
      </c>
      <c r="AO385" s="2">
        <v>0</v>
      </c>
      <c r="AP385" s="2">
        <v>0</v>
      </c>
      <c r="AQ385" s="2">
        <v>0</v>
      </c>
    </row>
    <row r="386" spans="1:43" x14ac:dyDescent="0.25">
      <c r="A386" s="1">
        <v>45936</v>
      </c>
      <c r="B386" t="s">
        <v>48</v>
      </c>
      <c r="C386">
        <v>649163</v>
      </c>
      <c r="D386">
        <v>2024095024</v>
      </c>
      <c r="E386" t="s">
        <v>200</v>
      </c>
      <c r="F386" t="s">
        <v>201</v>
      </c>
      <c r="G386" t="s">
        <v>51</v>
      </c>
      <c r="H386" t="s">
        <v>79</v>
      </c>
      <c r="I386" t="s">
        <v>89</v>
      </c>
      <c r="J386" t="s">
        <v>111</v>
      </c>
      <c r="K386">
        <v>673059</v>
      </c>
      <c r="L386" t="s">
        <v>80</v>
      </c>
      <c r="M386" t="s">
        <v>81</v>
      </c>
      <c r="N386" t="s">
        <v>456</v>
      </c>
      <c r="O386" s="1">
        <v>45505</v>
      </c>
      <c r="P386" s="1">
        <v>45936</v>
      </c>
      <c r="Q386" s="1">
        <v>45962</v>
      </c>
      <c r="R386" s="2">
        <v>-119.32</v>
      </c>
      <c r="S386">
        <v>1</v>
      </c>
      <c r="T386" t="s">
        <v>58</v>
      </c>
      <c r="U386" t="s">
        <v>359</v>
      </c>
      <c r="V386" s="3">
        <v>0.1</v>
      </c>
      <c r="W386" s="2">
        <v>0</v>
      </c>
      <c r="X386">
        <v>-1</v>
      </c>
      <c r="Y386" t="s">
        <v>214</v>
      </c>
      <c r="Z386" t="s">
        <v>360</v>
      </c>
      <c r="AA386">
        <v>0</v>
      </c>
      <c r="AB386" s="2">
        <v>0</v>
      </c>
      <c r="AC386" s="2">
        <v>0</v>
      </c>
      <c r="AD386" s="3">
        <v>0</v>
      </c>
      <c r="AE386" s="2">
        <v>0</v>
      </c>
      <c r="AF386" s="2">
        <v>0</v>
      </c>
      <c r="AG386" s="2">
        <v>0</v>
      </c>
      <c r="AH386" s="2">
        <v>0</v>
      </c>
      <c r="AI386" s="2">
        <v>0</v>
      </c>
      <c r="AJ386" s="2">
        <v>0</v>
      </c>
      <c r="AK386" s="2">
        <v>0</v>
      </c>
      <c r="AL386" s="2">
        <v>0</v>
      </c>
      <c r="AM386" s="2">
        <v>-11.93</v>
      </c>
      <c r="AN386" s="2">
        <v>-11.93</v>
      </c>
      <c r="AO386" s="2">
        <v>0</v>
      </c>
      <c r="AP386" s="2">
        <v>0</v>
      </c>
      <c r="AQ386" s="2">
        <v>0</v>
      </c>
    </row>
    <row r="387" spans="1:43" x14ac:dyDescent="0.25">
      <c r="A387" s="1">
        <v>45936</v>
      </c>
      <c r="B387" t="s">
        <v>48</v>
      </c>
      <c r="C387">
        <v>649163</v>
      </c>
      <c r="D387">
        <v>2024153178</v>
      </c>
      <c r="E387" t="s">
        <v>681</v>
      </c>
      <c r="F387" t="s">
        <v>177</v>
      </c>
      <c r="G387" t="s">
        <v>51</v>
      </c>
      <c r="H387" t="s">
        <v>52</v>
      </c>
      <c r="I387" t="s">
        <v>89</v>
      </c>
      <c r="J387" t="s">
        <v>96</v>
      </c>
      <c r="K387">
        <v>651818</v>
      </c>
      <c r="L387" t="s">
        <v>112</v>
      </c>
      <c r="M387" t="s">
        <v>104</v>
      </c>
      <c r="N387" t="s">
        <v>57</v>
      </c>
      <c r="O387" s="1">
        <v>45510</v>
      </c>
      <c r="Q387" s="1">
        <v>45967</v>
      </c>
      <c r="R387" s="2">
        <v>61.75</v>
      </c>
      <c r="S387">
        <v>1</v>
      </c>
      <c r="T387" t="s">
        <v>58</v>
      </c>
      <c r="U387" t="s">
        <v>359</v>
      </c>
      <c r="V387" s="3">
        <v>0.1</v>
      </c>
      <c r="W387" s="2">
        <v>0</v>
      </c>
      <c r="X387">
        <v>0</v>
      </c>
      <c r="Y387" t="s">
        <v>214</v>
      </c>
      <c r="Z387" t="s">
        <v>360</v>
      </c>
      <c r="AA387">
        <v>0</v>
      </c>
      <c r="AB387" s="2">
        <v>0</v>
      </c>
      <c r="AC387" s="2">
        <v>0</v>
      </c>
      <c r="AD387" s="3">
        <v>0</v>
      </c>
      <c r="AE387" s="2">
        <v>0</v>
      </c>
      <c r="AF387" s="2">
        <v>0</v>
      </c>
      <c r="AG387" s="2">
        <v>0</v>
      </c>
      <c r="AH387" s="2">
        <v>0</v>
      </c>
      <c r="AI387" s="2">
        <v>0</v>
      </c>
      <c r="AJ387" s="2">
        <v>0</v>
      </c>
      <c r="AK387" s="2">
        <v>0</v>
      </c>
      <c r="AL387" s="2">
        <v>0</v>
      </c>
      <c r="AM387" s="2">
        <v>6.18</v>
      </c>
      <c r="AN387" s="2">
        <v>6.18</v>
      </c>
      <c r="AO387" s="2">
        <v>0</v>
      </c>
      <c r="AP387" s="2">
        <v>0</v>
      </c>
      <c r="AQ387" s="2">
        <v>0</v>
      </c>
    </row>
    <row r="388" spans="1:43" x14ac:dyDescent="0.25">
      <c r="A388" s="1">
        <v>45936</v>
      </c>
      <c r="B388" t="s">
        <v>48</v>
      </c>
      <c r="C388">
        <v>649163</v>
      </c>
      <c r="D388">
        <v>2024314175</v>
      </c>
      <c r="E388" t="s">
        <v>682</v>
      </c>
      <c r="F388" t="s">
        <v>683</v>
      </c>
      <c r="G388" t="s">
        <v>51</v>
      </c>
      <c r="H388" t="s">
        <v>670</v>
      </c>
      <c r="I388" t="s">
        <v>89</v>
      </c>
      <c r="J388" t="s">
        <v>96</v>
      </c>
      <c r="K388">
        <v>767312</v>
      </c>
      <c r="L388" t="s">
        <v>283</v>
      </c>
      <c r="M388" t="s">
        <v>284</v>
      </c>
      <c r="N388" t="s">
        <v>57</v>
      </c>
      <c r="O388" s="1">
        <v>45514</v>
      </c>
      <c r="Q388" s="1">
        <v>45971</v>
      </c>
      <c r="R388" s="2">
        <v>15.23</v>
      </c>
      <c r="S388">
        <v>1</v>
      </c>
      <c r="T388" t="s">
        <v>58</v>
      </c>
      <c r="U388" t="s">
        <v>359</v>
      </c>
      <c r="V388" s="3">
        <v>0.1</v>
      </c>
      <c r="W388" s="2">
        <v>0</v>
      </c>
      <c r="X388">
        <v>0</v>
      </c>
      <c r="Y388" t="s">
        <v>214</v>
      </c>
      <c r="Z388" t="s">
        <v>360</v>
      </c>
      <c r="AA388">
        <v>0</v>
      </c>
      <c r="AB388" s="2">
        <v>0</v>
      </c>
      <c r="AC388" s="2">
        <v>0</v>
      </c>
      <c r="AD388" s="3">
        <v>0</v>
      </c>
      <c r="AE388" s="2">
        <v>0</v>
      </c>
      <c r="AF388" s="2">
        <v>0</v>
      </c>
      <c r="AG388" s="2">
        <v>0</v>
      </c>
      <c r="AH388" s="2">
        <v>0</v>
      </c>
      <c r="AI388" s="2">
        <v>0</v>
      </c>
      <c r="AJ388" s="2">
        <v>0</v>
      </c>
      <c r="AK388" s="2">
        <v>0</v>
      </c>
      <c r="AL388" s="2">
        <v>0</v>
      </c>
      <c r="AM388" s="2">
        <v>1.52</v>
      </c>
      <c r="AN388" s="2">
        <v>1.52</v>
      </c>
      <c r="AO388" s="2">
        <v>0</v>
      </c>
      <c r="AP388" s="2">
        <v>0</v>
      </c>
      <c r="AQ388" s="2">
        <v>0</v>
      </c>
    </row>
    <row r="389" spans="1:43" x14ac:dyDescent="0.25">
      <c r="A389" s="1">
        <v>45936</v>
      </c>
      <c r="B389" t="s">
        <v>48</v>
      </c>
      <c r="C389">
        <v>649163</v>
      </c>
      <c r="D389">
        <v>2024598450</v>
      </c>
      <c r="E389" t="s">
        <v>684</v>
      </c>
      <c r="F389" t="s">
        <v>685</v>
      </c>
      <c r="G389" t="s">
        <v>51</v>
      </c>
      <c r="H389" t="s">
        <v>101</v>
      </c>
      <c r="I389" t="s">
        <v>89</v>
      </c>
      <c r="J389" t="s">
        <v>111</v>
      </c>
      <c r="K389">
        <v>651818</v>
      </c>
      <c r="L389" t="s">
        <v>112</v>
      </c>
      <c r="M389" t="s">
        <v>104</v>
      </c>
      <c r="N389" t="s">
        <v>57</v>
      </c>
      <c r="O389" s="1">
        <v>45542</v>
      </c>
      <c r="Q389" s="1">
        <v>45968</v>
      </c>
      <c r="R389" s="2">
        <v>90.76</v>
      </c>
      <c r="S389">
        <v>1</v>
      </c>
      <c r="T389" t="s">
        <v>58</v>
      </c>
      <c r="U389" t="s">
        <v>359</v>
      </c>
      <c r="V389" s="3">
        <v>0.1</v>
      </c>
      <c r="W389" s="2">
        <v>0</v>
      </c>
      <c r="X389">
        <v>0</v>
      </c>
      <c r="Y389" t="s">
        <v>214</v>
      </c>
      <c r="Z389" t="s">
        <v>360</v>
      </c>
      <c r="AA389">
        <v>0</v>
      </c>
      <c r="AB389" s="2">
        <v>0</v>
      </c>
      <c r="AC389" s="2">
        <v>0</v>
      </c>
      <c r="AD389" s="3">
        <v>0</v>
      </c>
      <c r="AE389" s="2">
        <v>0</v>
      </c>
      <c r="AF389" s="2">
        <v>0</v>
      </c>
      <c r="AG389" s="2">
        <v>0</v>
      </c>
      <c r="AH389" s="2">
        <v>0</v>
      </c>
      <c r="AI389" s="2">
        <v>0</v>
      </c>
      <c r="AJ389" s="2">
        <v>0</v>
      </c>
      <c r="AK389" s="2">
        <v>0</v>
      </c>
      <c r="AL389" s="2">
        <v>0</v>
      </c>
      <c r="AM389" s="2">
        <v>9.08</v>
      </c>
      <c r="AN389" s="2">
        <v>9.08</v>
      </c>
      <c r="AO389" s="2">
        <v>0</v>
      </c>
      <c r="AP389" s="2">
        <v>0</v>
      </c>
      <c r="AQ389" s="2">
        <v>0</v>
      </c>
    </row>
    <row r="390" spans="1:43" x14ac:dyDescent="0.25">
      <c r="A390" s="1">
        <v>45936</v>
      </c>
      <c r="B390" t="s">
        <v>48</v>
      </c>
      <c r="C390">
        <v>649163</v>
      </c>
      <c r="D390">
        <v>2024789928</v>
      </c>
      <c r="E390" t="s">
        <v>686</v>
      </c>
      <c r="F390" t="s">
        <v>687</v>
      </c>
      <c r="G390" t="s">
        <v>51</v>
      </c>
      <c r="H390" t="s">
        <v>88</v>
      </c>
      <c r="I390" t="s">
        <v>89</v>
      </c>
      <c r="J390" t="s">
        <v>90</v>
      </c>
      <c r="K390">
        <v>767312</v>
      </c>
      <c r="L390" t="s">
        <v>283</v>
      </c>
      <c r="M390" t="s">
        <v>284</v>
      </c>
      <c r="N390" t="s">
        <v>57</v>
      </c>
      <c r="O390" s="1">
        <v>45545</v>
      </c>
      <c r="Q390" s="1">
        <v>45971</v>
      </c>
      <c r="R390" s="2">
        <v>27.12</v>
      </c>
      <c r="S390">
        <v>1</v>
      </c>
      <c r="T390" t="s">
        <v>58</v>
      </c>
      <c r="U390" t="s">
        <v>359</v>
      </c>
      <c r="V390" s="3">
        <v>0.1</v>
      </c>
      <c r="W390" s="2">
        <v>0</v>
      </c>
      <c r="X390">
        <v>0</v>
      </c>
      <c r="Y390" t="s">
        <v>214</v>
      </c>
      <c r="Z390" t="s">
        <v>360</v>
      </c>
      <c r="AA390">
        <v>0</v>
      </c>
      <c r="AB390" s="2">
        <v>0</v>
      </c>
      <c r="AC390" s="2">
        <v>0</v>
      </c>
      <c r="AD390" s="3">
        <v>0</v>
      </c>
      <c r="AE390" s="2">
        <v>0</v>
      </c>
      <c r="AF390" s="2">
        <v>0</v>
      </c>
      <c r="AG390" s="2">
        <v>0</v>
      </c>
      <c r="AH390" s="2">
        <v>0</v>
      </c>
      <c r="AI390" s="2">
        <v>0</v>
      </c>
      <c r="AJ390" s="2">
        <v>0</v>
      </c>
      <c r="AK390" s="2">
        <v>0</v>
      </c>
      <c r="AL390" s="2">
        <v>0</v>
      </c>
      <c r="AM390" s="2">
        <v>2.71</v>
      </c>
      <c r="AN390" s="2">
        <v>2.71</v>
      </c>
      <c r="AO390" s="2">
        <v>0</v>
      </c>
      <c r="AP390" s="2">
        <v>0</v>
      </c>
      <c r="AQ390" s="2">
        <v>0</v>
      </c>
    </row>
    <row r="391" spans="1:43" x14ac:dyDescent="0.25">
      <c r="A391" s="1">
        <v>45936</v>
      </c>
      <c r="B391" t="s">
        <v>48</v>
      </c>
      <c r="C391">
        <v>649163</v>
      </c>
      <c r="D391">
        <v>2025260278</v>
      </c>
      <c r="E391" t="s">
        <v>688</v>
      </c>
      <c r="F391" t="s">
        <v>301</v>
      </c>
      <c r="G391" t="s">
        <v>51</v>
      </c>
      <c r="H391" t="s">
        <v>122</v>
      </c>
      <c r="I391" t="s">
        <v>89</v>
      </c>
      <c r="J391" t="s">
        <v>111</v>
      </c>
      <c r="K391">
        <v>651818</v>
      </c>
      <c r="L391" t="s">
        <v>112</v>
      </c>
      <c r="M391" t="s">
        <v>104</v>
      </c>
      <c r="N391" t="s">
        <v>57</v>
      </c>
      <c r="O391" s="1">
        <v>45603</v>
      </c>
      <c r="Q391" s="1">
        <v>45968</v>
      </c>
      <c r="R391" s="2">
        <v>267.5</v>
      </c>
      <c r="S391">
        <v>1</v>
      </c>
      <c r="T391" t="s">
        <v>58</v>
      </c>
      <c r="U391" t="s">
        <v>359</v>
      </c>
      <c r="V391" s="3">
        <v>0.75</v>
      </c>
      <c r="W391" s="2">
        <v>0</v>
      </c>
      <c r="X391">
        <v>0</v>
      </c>
      <c r="Y391" t="s">
        <v>60</v>
      </c>
      <c r="Z391" t="s">
        <v>360</v>
      </c>
      <c r="AA391">
        <v>0</v>
      </c>
      <c r="AB391" s="2">
        <v>0</v>
      </c>
      <c r="AC391" s="2">
        <v>0</v>
      </c>
      <c r="AD391" s="3">
        <v>0</v>
      </c>
      <c r="AE391" s="2">
        <v>0</v>
      </c>
      <c r="AF391" s="2">
        <v>0</v>
      </c>
      <c r="AG391" s="2">
        <v>0</v>
      </c>
      <c r="AH391" s="2">
        <v>0</v>
      </c>
      <c r="AI391" s="2">
        <v>0</v>
      </c>
      <c r="AJ391" s="2">
        <v>0</v>
      </c>
      <c r="AK391" s="2">
        <v>0</v>
      </c>
      <c r="AL391" s="2">
        <v>0</v>
      </c>
      <c r="AM391" s="2">
        <v>200.62</v>
      </c>
      <c r="AN391" s="2">
        <v>200.62</v>
      </c>
      <c r="AO391" s="2">
        <v>0</v>
      </c>
      <c r="AP391" s="2">
        <v>0</v>
      </c>
      <c r="AQ391" s="2">
        <v>0</v>
      </c>
    </row>
    <row r="392" spans="1:43" x14ac:dyDescent="0.25">
      <c r="A392" s="1">
        <v>45936</v>
      </c>
      <c r="B392" t="s">
        <v>48</v>
      </c>
      <c r="C392">
        <v>649163</v>
      </c>
      <c r="D392">
        <v>2025546356</v>
      </c>
      <c r="E392" t="s">
        <v>689</v>
      </c>
      <c r="F392" t="s">
        <v>606</v>
      </c>
      <c r="G392" t="s">
        <v>51</v>
      </c>
      <c r="H392" t="s">
        <v>52</v>
      </c>
      <c r="I392" t="s">
        <v>89</v>
      </c>
      <c r="J392" t="s">
        <v>96</v>
      </c>
      <c r="K392">
        <v>651818</v>
      </c>
      <c r="L392" t="s">
        <v>112</v>
      </c>
      <c r="M392" t="s">
        <v>104</v>
      </c>
      <c r="N392" t="s">
        <v>57</v>
      </c>
      <c r="O392" s="1">
        <v>45603</v>
      </c>
      <c r="Q392" s="1">
        <v>45968</v>
      </c>
      <c r="R392" s="2">
        <v>234.5</v>
      </c>
      <c r="S392">
        <v>1</v>
      </c>
      <c r="T392" t="s">
        <v>58</v>
      </c>
      <c r="U392" t="s">
        <v>359</v>
      </c>
      <c r="V392" s="3">
        <v>0.9</v>
      </c>
      <c r="W392" s="2">
        <v>0</v>
      </c>
      <c r="X392">
        <v>0</v>
      </c>
      <c r="Y392" t="s">
        <v>60</v>
      </c>
      <c r="Z392" t="s">
        <v>360</v>
      </c>
      <c r="AA392">
        <v>0</v>
      </c>
      <c r="AB392" s="2">
        <v>0</v>
      </c>
      <c r="AC392" s="2">
        <v>0</v>
      </c>
      <c r="AD392" s="3">
        <v>0</v>
      </c>
      <c r="AE392" s="2">
        <v>0</v>
      </c>
      <c r="AF392" s="2">
        <v>0</v>
      </c>
      <c r="AG392" s="2">
        <v>0</v>
      </c>
      <c r="AH392" s="2">
        <v>0</v>
      </c>
      <c r="AI392" s="2">
        <v>0</v>
      </c>
      <c r="AJ392" s="2">
        <v>0</v>
      </c>
      <c r="AK392" s="2">
        <v>0</v>
      </c>
      <c r="AL392" s="2">
        <v>0</v>
      </c>
      <c r="AM392" s="2">
        <v>211.05</v>
      </c>
      <c r="AN392" s="2">
        <v>211.05</v>
      </c>
      <c r="AO392" s="2">
        <v>0</v>
      </c>
      <c r="AP392" s="2">
        <v>0</v>
      </c>
      <c r="AQ392" s="2">
        <v>0</v>
      </c>
    </row>
    <row r="393" spans="1:43" x14ac:dyDescent="0.25">
      <c r="A393" s="1">
        <v>45936</v>
      </c>
      <c r="B393" t="s">
        <v>48</v>
      </c>
      <c r="C393">
        <v>649163</v>
      </c>
      <c r="D393">
        <v>2025639663</v>
      </c>
      <c r="E393" t="s">
        <v>690</v>
      </c>
      <c r="F393" t="s">
        <v>224</v>
      </c>
      <c r="G393" t="s">
        <v>51</v>
      </c>
      <c r="H393" t="s">
        <v>431</v>
      </c>
      <c r="I393" t="s">
        <v>89</v>
      </c>
      <c r="J393" t="s">
        <v>111</v>
      </c>
      <c r="K393">
        <v>673059</v>
      </c>
      <c r="L393" t="s">
        <v>80</v>
      </c>
      <c r="M393" t="s">
        <v>81</v>
      </c>
      <c r="N393" t="s">
        <v>57</v>
      </c>
      <c r="O393" s="1">
        <v>45602</v>
      </c>
      <c r="Q393" s="1">
        <v>45967</v>
      </c>
      <c r="R393" s="2">
        <v>94.78</v>
      </c>
      <c r="S393">
        <v>1</v>
      </c>
      <c r="T393" t="s">
        <v>58</v>
      </c>
      <c r="U393" t="s">
        <v>359</v>
      </c>
      <c r="V393" s="3">
        <v>0.75</v>
      </c>
      <c r="W393" s="2">
        <v>0</v>
      </c>
      <c r="X393">
        <v>0</v>
      </c>
      <c r="Y393" t="s">
        <v>60</v>
      </c>
      <c r="Z393" t="s">
        <v>360</v>
      </c>
      <c r="AA393">
        <v>0</v>
      </c>
      <c r="AB393" s="2">
        <v>0</v>
      </c>
      <c r="AC393" s="2">
        <v>0</v>
      </c>
      <c r="AD393" s="3">
        <v>0</v>
      </c>
      <c r="AE393" s="2">
        <v>0</v>
      </c>
      <c r="AF393" s="2">
        <v>0</v>
      </c>
      <c r="AG393" s="2">
        <v>0</v>
      </c>
      <c r="AH393" s="2">
        <v>0</v>
      </c>
      <c r="AI393" s="2">
        <v>0</v>
      </c>
      <c r="AJ393" s="2">
        <v>0</v>
      </c>
      <c r="AK393" s="2">
        <v>0</v>
      </c>
      <c r="AL393" s="2">
        <v>0</v>
      </c>
      <c r="AM393" s="2">
        <v>71.08</v>
      </c>
      <c r="AN393" s="2">
        <v>71.08</v>
      </c>
      <c r="AO393" s="2">
        <v>0</v>
      </c>
      <c r="AP393" s="2">
        <v>0</v>
      </c>
      <c r="AQ393" s="2">
        <v>0</v>
      </c>
    </row>
    <row r="394" spans="1:43" x14ac:dyDescent="0.25">
      <c r="A394" s="1">
        <v>45936</v>
      </c>
      <c r="B394" t="s">
        <v>48</v>
      </c>
      <c r="C394">
        <v>649163</v>
      </c>
      <c r="D394">
        <v>2025655085</v>
      </c>
      <c r="E394" t="s">
        <v>691</v>
      </c>
      <c r="F394" t="s">
        <v>158</v>
      </c>
      <c r="G394" t="s">
        <v>51</v>
      </c>
      <c r="H394" t="s">
        <v>52</v>
      </c>
      <c r="I394" t="s">
        <v>89</v>
      </c>
      <c r="J394" t="s">
        <v>111</v>
      </c>
      <c r="K394">
        <v>651818</v>
      </c>
      <c r="L394" t="s">
        <v>112</v>
      </c>
      <c r="M394" t="s">
        <v>104</v>
      </c>
      <c r="N394" t="s">
        <v>57</v>
      </c>
      <c r="O394" s="1">
        <v>45604</v>
      </c>
      <c r="Q394" s="1">
        <v>45969</v>
      </c>
      <c r="R394" s="2">
        <v>68.25</v>
      </c>
      <c r="S394">
        <v>1</v>
      </c>
      <c r="T394" t="s">
        <v>58</v>
      </c>
      <c r="U394" t="s">
        <v>359</v>
      </c>
      <c r="V394" s="3">
        <v>0.75</v>
      </c>
      <c r="W394" s="2">
        <v>0</v>
      </c>
      <c r="X394">
        <v>0</v>
      </c>
      <c r="Y394" t="s">
        <v>60</v>
      </c>
      <c r="Z394" t="s">
        <v>360</v>
      </c>
      <c r="AA394">
        <v>0</v>
      </c>
      <c r="AB394" s="2">
        <v>0</v>
      </c>
      <c r="AC394" s="2">
        <v>0</v>
      </c>
      <c r="AD394" s="3">
        <v>0</v>
      </c>
      <c r="AE394" s="2">
        <v>0</v>
      </c>
      <c r="AF394" s="2">
        <v>0</v>
      </c>
      <c r="AG394" s="2">
        <v>0</v>
      </c>
      <c r="AH394" s="2">
        <v>0</v>
      </c>
      <c r="AI394" s="2">
        <v>0</v>
      </c>
      <c r="AJ394" s="2">
        <v>0</v>
      </c>
      <c r="AK394" s="2">
        <v>0</v>
      </c>
      <c r="AL394" s="2">
        <v>0</v>
      </c>
      <c r="AM394" s="2">
        <v>51.19</v>
      </c>
      <c r="AN394" s="2">
        <v>51.19</v>
      </c>
      <c r="AO394" s="2">
        <v>0</v>
      </c>
      <c r="AP394" s="2">
        <v>0</v>
      </c>
      <c r="AQ394" s="2">
        <v>0</v>
      </c>
    </row>
    <row r="395" spans="1:43" x14ac:dyDescent="0.25">
      <c r="A395" s="1">
        <v>45936</v>
      </c>
      <c r="B395" t="s">
        <v>48</v>
      </c>
      <c r="C395">
        <v>649163</v>
      </c>
      <c r="D395">
        <v>2025678173</v>
      </c>
      <c r="E395" t="s">
        <v>692</v>
      </c>
      <c r="F395" t="s">
        <v>441</v>
      </c>
      <c r="G395" t="s">
        <v>51</v>
      </c>
      <c r="H395" t="s">
        <v>105</v>
      </c>
      <c r="I395" t="s">
        <v>89</v>
      </c>
      <c r="J395" t="s">
        <v>96</v>
      </c>
      <c r="K395">
        <v>650218</v>
      </c>
      <c r="L395" t="s">
        <v>237</v>
      </c>
      <c r="M395" t="s">
        <v>238</v>
      </c>
      <c r="N395" t="s">
        <v>57</v>
      </c>
      <c r="O395" s="1">
        <v>45604</v>
      </c>
      <c r="Q395" s="1">
        <v>45969</v>
      </c>
      <c r="R395" s="2">
        <v>98.92</v>
      </c>
      <c r="S395">
        <v>1</v>
      </c>
      <c r="T395" t="s">
        <v>58</v>
      </c>
      <c r="U395" t="s">
        <v>359</v>
      </c>
      <c r="V395" s="3">
        <v>0.9</v>
      </c>
      <c r="W395" s="2">
        <v>0</v>
      </c>
      <c r="X395">
        <v>0</v>
      </c>
      <c r="Y395" t="s">
        <v>60</v>
      </c>
      <c r="Z395" t="s">
        <v>360</v>
      </c>
      <c r="AA395">
        <v>0</v>
      </c>
      <c r="AB395" s="2">
        <v>0</v>
      </c>
      <c r="AC395" s="2">
        <v>0</v>
      </c>
      <c r="AD395" s="3">
        <v>0</v>
      </c>
      <c r="AE395" s="2">
        <v>0</v>
      </c>
      <c r="AF395" s="2">
        <v>0</v>
      </c>
      <c r="AG395" s="2">
        <v>0</v>
      </c>
      <c r="AH395" s="2">
        <v>0</v>
      </c>
      <c r="AI395" s="2">
        <v>0</v>
      </c>
      <c r="AJ395" s="2">
        <v>0</v>
      </c>
      <c r="AK395" s="2">
        <v>0</v>
      </c>
      <c r="AL395" s="2">
        <v>0</v>
      </c>
      <c r="AM395" s="2">
        <v>89.03</v>
      </c>
      <c r="AN395" s="2">
        <v>89.03</v>
      </c>
      <c r="AO395" s="2">
        <v>0</v>
      </c>
      <c r="AP395" s="2">
        <v>0</v>
      </c>
      <c r="AQ395" s="2">
        <v>0</v>
      </c>
    </row>
    <row r="396" spans="1:43" x14ac:dyDescent="0.25">
      <c r="A396" s="1">
        <v>45936</v>
      </c>
      <c r="B396" t="s">
        <v>48</v>
      </c>
      <c r="C396">
        <v>649163</v>
      </c>
      <c r="D396">
        <v>2025690377</v>
      </c>
      <c r="E396" t="s">
        <v>693</v>
      </c>
      <c r="F396" t="s">
        <v>137</v>
      </c>
      <c r="G396" t="s">
        <v>51</v>
      </c>
      <c r="H396" t="s">
        <v>122</v>
      </c>
      <c r="I396" t="s">
        <v>89</v>
      </c>
      <c r="J396" t="s">
        <v>111</v>
      </c>
      <c r="K396">
        <v>651818</v>
      </c>
      <c r="L396" t="s">
        <v>112</v>
      </c>
      <c r="M396" t="s">
        <v>104</v>
      </c>
      <c r="N396" t="s">
        <v>57</v>
      </c>
      <c r="O396" s="1">
        <v>45664</v>
      </c>
      <c r="Q396" s="1">
        <v>45968</v>
      </c>
      <c r="R396" s="2">
        <v>19.63</v>
      </c>
      <c r="S396">
        <v>1</v>
      </c>
      <c r="T396" t="s">
        <v>58</v>
      </c>
      <c r="U396" t="s">
        <v>359</v>
      </c>
      <c r="V396" s="3">
        <v>0.75</v>
      </c>
      <c r="W396" s="2">
        <v>0</v>
      </c>
      <c r="X396">
        <v>0</v>
      </c>
      <c r="Y396" t="s">
        <v>60</v>
      </c>
      <c r="Z396" t="s">
        <v>360</v>
      </c>
      <c r="AA396">
        <v>0</v>
      </c>
      <c r="AB396" s="2">
        <v>0</v>
      </c>
      <c r="AC396" s="2">
        <v>0</v>
      </c>
      <c r="AD396" s="3">
        <v>0</v>
      </c>
      <c r="AE396" s="2">
        <v>0</v>
      </c>
      <c r="AF396" s="2">
        <v>0</v>
      </c>
      <c r="AG396" s="2">
        <v>0</v>
      </c>
      <c r="AH396" s="2">
        <v>0</v>
      </c>
      <c r="AI396" s="2">
        <v>0</v>
      </c>
      <c r="AJ396" s="2">
        <v>0</v>
      </c>
      <c r="AK396" s="2">
        <v>0</v>
      </c>
      <c r="AL396" s="2">
        <v>0</v>
      </c>
      <c r="AM396" s="2">
        <v>14.72</v>
      </c>
      <c r="AN396" s="2">
        <v>14.72</v>
      </c>
      <c r="AO396" s="2">
        <v>0</v>
      </c>
      <c r="AP396" s="2">
        <v>0</v>
      </c>
      <c r="AQ396" s="2">
        <v>0</v>
      </c>
    </row>
    <row r="397" spans="1:43" x14ac:dyDescent="0.25">
      <c r="A397" s="1">
        <v>45936</v>
      </c>
      <c r="B397" t="s">
        <v>48</v>
      </c>
      <c r="C397">
        <v>649163</v>
      </c>
      <c r="D397">
        <v>2025708570</v>
      </c>
      <c r="E397" t="s">
        <v>694</v>
      </c>
      <c r="F397" t="s">
        <v>179</v>
      </c>
      <c r="G397" t="s">
        <v>51</v>
      </c>
      <c r="H397" t="s">
        <v>101</v>
      </c>
      <c r="I397" t="s">
        <v>89</v>
      </c>
      <c r="J397" t="s">
        <v>111</v>
      </c>
      <c r="K397">
        <v>651818</v>
      </c>
      <c r="L397" t="s">
        <v>112</v>
      </c>
      <c r="M397" t="s">
        <v>104</v>
      </c>
      <c r="N397" t="s">
        <v>57</v>
      </c>
      <c r="O397" s="1">
        <v>45664</v>
      </c>
      <c r="Q397" s="1">
        <v>45968</v>
      </c>
      <c r="R397" s="2">
        <v>200.35</v>
      </c>
      <c r="S397">
        <v>1</v>
      </c>
      <c r="T397" t="s">
        <v>58</v>
      </c>
      <c r="U397" t="s">
        <v>359</v>
      </c>
      <c r="V397" s="3">
        <v>0.75</v>
      </c>
      <c r="W397" s="2">
        <v>0</v>
      </c>
      <c r="X397">
        <v>0</v>
      </c>
      <c r="Y397" t="s">
        <v>60</v>
      </c>
      <c r="Z397" t="s">
        <v>360</v>
      </c>
      <c r="AA397">
        <v>0</v>
      </c>
      <c r="AB397" s="2">
        <v>0</v>
      </c>
      <c r="AC397" s="2">
        <v>0</v>
      </c>
      <c r="AD397" s="3">
        <v>0</v>
      </c>
      <c r="AE397" s="2">
        <v>0</v>
      </c>
      <c r="AF397" s="2">
        <v>0</v>
      </c>
      <c r="AG397" s="2">
        <v>0</v>
      </c>
      <c r="AH397" s="2">
        <v>0</v>
      </c>
      <c r="AI397" s="2">
        <v>0</v>
      </c>
      <c r="AJ397" s="2">
        <v>0</v>
      </c>
      <c r="AK397" s="2">
        <v>0</v>
      </c>
      <c r="AL397" s="2">
        <v>0</v>
      </c>
      <c r="AM397" s="2">
        <v>150.26</v>
      </c>
      <c r="AN397" s="2">
        <v>150.26</v>
      </c>
      <c r="AO397" s="2">
        <v>0</v>
      </c>
      <c r="AP397" s="2">
        <v>0</v>
      </c>
      <c r="AQ397" s="2">
        <v>0</v>
      </c>
    </row>
    <row r="398" spans="1:43" x14ac:dyDescent="0.25">
      <c r="A398" s="1">
        <v>45936</v>
      </c>
      <c r="B398" t="s">
        <v>48</v>
      </c>
      <c r="C398">
        <v>649163</v>
      </c>
      <c r="D398">
        <v>2025732432</v>
      </c>
      <c r="E398" t="s">
        <v>695</v>
      </c>
      <c r="F398" t="s">
        <v>353</v>
      </c>
      <c r="G398" t="s">
        <v>51</v>
      </c>
      <c r="H398" t="s">
        <v>376</v>
      </c>
      <c r="I398" t="s">
        <v>89</v>
      </c>
      <c r="J398" t="s">
        <v>111</v>
      </c>
      <c r="K398">
        <v>651818</v>
      </c>
      <c r="L398" t="s">
        <v>112</v>
      </c>
      <c r="M398" t="s">
        <v>104</v>
      </c>
      <c r="N398" t="s">
        <v>57</v>
      </c>
      <c r="O398" s="1">
        <v>45664</v>
      </c>
      <c r="Q398" s="1">
        <v>45968</v>
      </c>
      <c r="R398" s="2">
        <v>93.93</v>
      </c>
      <c r="S398">
        <v>1</v>
      </c>
      <c r="T398" t="s">
        <v>58</v>
      </c>
      <c r="U398" t="s">
        <v>359</v>
      </c>
      <c r="V398" s="3">
        <v>0.75</v>
      </c>
      <c r="W398" s="2">
        <v>0</v>
      </c>
      <c r="X398">
        <v>0</v>
      </c>
      <c r="Y398" t="s">
        <v>60</v>
      </c>
      <c r="Z398" t="s">
        <v>360</v>
      </c>
      <c r="AA398">
        <v>0</v>
      </c>
      <c r="AB398" s="2">
        <v>0</v>
      </c>
      <c r="AC398" s="2">
        <v>0</v>
      </c>
      <c r="AD398" s="3">
        <v>0</v>
      </c>
      <c r="AE398" s="2">
        <v>0</v>
      </c>
      <c r="AF398" s="2">
        <v>0</v>
      </c>
      <c r="AG398" s="2">
        <v>0</v>
      </c>
      <c r="AH398" s="2">
        <v>0</v>
      </c>
      <c r="AI398" s="2">
        <v>0</v>
      </c>
      <c r="AJ398" s="2">
        <v>0</v>
      </c>
      <c r="AK398" s="2">
        <v>0</v>
      </c>
      <c r="AL398" s="2">
        <v>0</v>
      </c>
      <c r="AM398" s="2">
        <v>70.45</v>
      </c>
      <c r="AN398" s="2">
        <v>70.45</v>
      </c>
      <c r="AO398" s="2">
        <v>0</v>
      </c>
      <c r="AP398" s="2">
        <v>0</v>
      </c>
      <c r="AQ398" s="2">
        <v>0</v>
      </c>
    </row>
    <row r="399" spans="1:43" x14ac:dyDescent="0.25">
      <c r="A399" s="1">
        <v>45936</v>
      </c>
      <c r="B399" t="s">
        <v>48</v>
      </c>
      <c r="C399">
        <v>649163</v>
      </c>
      <c r="D399">
        <v>2025772485</v>
      </c>
      <c r="E399" t="s">
        <v>526</v>
      </c>
      <c r="F399" t="s">
        <v>429</v>
      </c>
      <c r="G399" t="s">
        <v>51</v>
      </c>
      <c r="H399" t="s">
        <v>52</v>
      </c>
      <c r="I399" t="s">
        <v>89</v>
      </c>
      <c r="J399" t="s">
        <v>111</v>
      </c>
      <c r="K399">
        <v>651818</v>
      </c>
      <c r="L399" t="s">
        <v>112</v>
      </c>
      <c r="M399" t="s">
        <v>104</v>
      </c>
      <c r="N399" t="s">
        <v>57</v>
      </c>
      <c r="O399" s="1">
        <v>45633</v>
      </c>
      <c r="Q399" s="1">
        <v>45968</v>
      </c>
      <c r="R399" s="2">
        <v>157.47999999999999</v>
      </c>
      <c r="S399">
        <v>1</v>
      </c>
      <c r="T399" t="s">
        <v>58</v>
      </c>
      <c r="U399" t="s">
        <v>359</v>
      </c>
      <c r="V399" s="3">
        <v>0.75</v>
      </c>
      <c r="W399" s="2">
        <v>0</v>
      </c>
      <c r="X399">
        <v>0</v>
      </c>
      <c r="Y399" t="s">
        <v>60</v>
      </c>
      <c r="Z399" t="s">
        <v>360</v>
      </c>
      <c r="AA399">
        <v>0</v>
      </c>
      <c r="AB399" s="2">
        <v>0</v>
      </c>
      <c r="AC399" s="2">
        <v>0</v>
      </c>
      <c r="AD399" s="3">
        <v>0</v>
      </c>
      <c r="AE399" s="2">
        <v>0</v>
      </c>
      <c r="AF399" s="2">
        <v>0</v>
      </c>
      <c r="AG399" s="2">
        <v>0</v>
      </c>
      <c r="AH399" s="2">
        <v>0</v>
      </c>
      <c r="AI399" s="2">
        <v>0</v>
      </c>
      <c r="AJ399" s="2">
        <v>0</v>
      </c>
      <c r="AK399" s="2">
        <v>0</v>
      </c>
      <c r="AL399" s="2">
        <v>0</v>
      </c>
      <c r="AM399" s="2">
        <v>118.11</v>
      </c>
      <c r="AN399" s="2">
        <v>118.11</v>
      </c>
      <c r="AO399" s="2">
        <v>0</v>
      </c>
      <c r="AP399" s="2">
        <v>0</v>
      </c>
      <c r="AQ399" s="2">
        <v>0</v>
      </c>
    </row>
    <row r="400" spans="1:43" x14ac:dyDescent="0.25">
      <c r="A400" s="1">
        <v>45936</v>
      </c>
      <c r="B400" t="s">
        <v>48</v>
      </c>
      <c r="C400">
        <v>649163</v>
      </c>
      <c r="D400">
        <v>2025815280</v>
      </c>
      <c r="E400" t="s">
        <v>696</v>
      </c>
      <c r="F400" t="s">
        <v>697</v>
      </c>
      <c r="G400" t="s">
        <v>51</v>
      </c>
      <c r="H400" t="s">
        <v>122</v>
      </c>
      <c r="I400" t="s">
        <v>89</v>
      </c>
      <c r="J400" t="s">
        <v>111</v>
      </c>
      <c r="K400">
        <v>651818</v>
      </c>
      <c r="L400" t="s">
        <v>112</v>
      </c>
      <c r="M400" t="s">
        <v>104</v>
      </c>
      <c r="N400" t="s">
        <v>57</v>
      </c>
      <c r="O400" s="1">
        <v>45633</v>
      </c>
      <c r="Q400" s="1">
        <v>45968</v>
      </c>
      <c r="R400" s="2">
        <v>12.1</v>
      </c>
      <c r="S400">
        <v>1</v>
      </c>
      <c r="T400" t="s">
        <v>58</v>
      </c>
      <c r="U400" t="s">
        <v>359</v>
      </c>
      <c r="V400" s="3">
        <v>0.75</v>
      </c>
      <c r="W400" s="2">
        <v>0</v>
      </c>
      <c r="X400">
        <v>0</v>
      </c>
      <c r="Y400" t="s">
        <v>60</v>
      </c>
      <c r="Z400" t="s">
        <v>360</v>
      </c>
      <c r="AA400">
        <v>0</v>
      </c>
      <c r="AB400" s="2">
        <v>0</v>
      </c>
      <c r="AC400" s="2">
        <v>0</v>
      </c>
      <c r="AD400" s="3">
        <v>0</v>
      </c>
      <c r="AE400" s="2">
        <v>0</v>
      </c>
      <c r="AF400" s="2">
        <v>0</v>
      </c>
      <c r="AG400" s="2">
        <v>0</v>
      </c>
      <c r="AH400" s="2">
        <v>0</v>
      </c>
      <c r="AI400" s="2">
        <v>0</v>
      </c>
      <c r="AJ400" s="2">
        <v>0</v>
      </c>
      <c r="AK400" s="2">
        <v>0</v>
      </c>
      <c r="AL400" s="2">
        <v>0</v>
      </c>
      <c r="AM400" s="2">
        <v>9.08</v>
      </c>
      <c r="AN400" s="2">
        <v>9.08</v>
      </c>
      <c r="AO400" s="2">
        <v>0</v>
      </c>
      <c r="AP400" s="2">
        <v>0</v>
      </c>
      <c r="AQ400" s="2">
        <v>0</v>
      </c>
    </row>
    <row r="401" spans="1:43" x14ac:dyDescent="0.25">
      <c r="A401" s="1">
        <v>45936</v>
      </c>
      <c r="B401" t="s">
        <v>48</v>
      </c>
      <c r="C401">
        <v>649163</v>
      </c>
      <c r="D401">
        <v>2025839021</v>
      </c>
      <c r="E401" t="s">
        <v>698</v>
      </c>
      <c r="F401" t="s">
        <v>139</v>
      </c>
      <c r="G401" t="s">
        <v>51</v>
      </c>
      <c r="H401" t="s">
        <v>129</v>
      </c>
      <c r="I401" t="s">
        <v>89</v>
      </c>
      <c r="J401" t="s">
        <v>96</v>
      </c>
      <c r="K401">
        <v>651818</v>
      </c>
      <c r="L401" t="s">
        <v>112</v>
      </c>
      <c r="M401" t="s">
        <v>104</v>
      </c>
      <c r="N401" t="s">
        <v>57</v>
      </c>
      <c r="O401" s="1">
        <v>45633</v>
      </c>
      <c r="Q401" s="1">
        <v>45968</v>
      </c>
      <c r="R401" s="2">
        <v>104.44</v>
      </c>
      <c r="S401">
        <v>1</v>
      </c>
      <c r="T401" t="s">
        <v>58</v>
      </c>
      <c r="U401" t="s">
        <v>359</v>
      </c>
      <c r="V401" s="3">
        <v>0.9</v>
      </c>
      <c r="W401" s="2">
        <v>0</v>
      </c>
      <c r="X401">
        <v>0</v>
      </c>
      <c r="Y401" t="s">
        <v>60</v>
      </c>
      <c r="Z401" t="s">
        <v>360</v>
      </c>
      <c r="AA401">
        <v>0</v>
      </c>
      <c r="AB401" s="2">
        <v>0</v>
      </c>
      <c r="AC401" s="2">
        <v>0</v>
      </c>
      <c r="AD401" s="3">
        <v>0</v>
      </c>
      <c r="AE401" s="2">
        <v>0</v>
      </c>
      <c r="AF401" s="2">
        <v>0</v>
      </c>
      <c r="AG401" s="2">
        <v>0</v>
      </c>
      <c r="AH401" s="2">
        <v>0</v>
      </c>
      <c r="AI401" s="2">
        <v>0</v>
      </c>
      <c r="AJ401" s="2">
        <v>0</v>
      </c>
      <c r="AK401" s="2">
        <v>0</v>
      </c>
      <c r="AL401" s="2">
        <v>0</v>
      </c>
      <c r="AM401" s="2">
        <v>94</v>
      </c>
      <c r="AN401" s="2">
        <v>94</v>
      </c>
      <c r="AO401" s="2">
        <v>0</v>
      </c>
      <c r="AP401" s="2">
        <v>0</v>
      </c>
      <c r="AQ401" s="2">
        <v>0</v>
      </c>
    </row>
    <row r="402" spans="1:43" x14ac:dyDescent="0.25">
      <c r="A402" s="1">
        <v>45936</v>
      </c>
      <c r="B402" t="s">
        <v>48</v>
      </c>
      <c r="C402">
        <v>649163</v>
      </c>
      <c r="D402">
        <v>2025863139</v>
      </c>
      <c r="E402" t="s">
        <v>699</v>
      </c>
      <c r="F402" t="s">
        <v>700</v>
      </c>
      <c r="G402" t="s">
        <v>51</v>
      </c>
      <c r="H402" t="s">
        <v>52</v>
      </c>
      <c r="I402" t="s">
        <v>89</v>
      </c>
      <c r="J402" t="s">
        <v>111</v>
      </c>
      <c r="K402">
        <v>651818</v>
      </c>
      <c r="L402" t="s">
        <v>112</v>
      </c>
      <c r="M402" t="s">
        <v>104</v>
      </c>
      <c r="N402" t="s">
        <v>57</v>
      </c>
      <c r="O402" s="1">
        <v>45633</v>
      </c>
      <c r="Q402" s="1">
        <v>45968</v>
      </c>
      <c r="R402" s="2">
        <v>107.02</v>
      </c>
      <c r="S402">
        <v>1</v>
      </c>
      <c r="T402" t="s">
        <v>58</v>
      </c>
      <c r="U402" t="s">
        <v>359</v>
      </c>
      <c r="V402" s="3">
        <v>0.75</v>
      </c>
      <c r="W402" s="2">
        <v>0</v>
      </c>
      <c r="X402">
        <v>0</v>
      </c>
      <c r="Y402" t="s">
        <v>60</v>
      </c>
      <c r="Z402" t="s">
        <v>360</v>
      </c>
      <c r="AA402">
        <v>0</v>
      </c>
      <c r="AB402" s="2">
        <v>0</v>
      </c>
      <c r="AC402" s="2">
        <v>0</v>
      </c>
      <c r="AD402" s="3">
        <v>0</v>
      </c>
      <c r="AE402" s="2">
        <v>0</v>
      </c>
      <c r="AF402" s="2">
        <v>0</v>
      </c>
      <c r="AG402" s="2">
        <v>0</v>
      </c>
      <c r="AH402" s="2">
        <v>0</v>
      </c>
      <c r="AI402" s="2">
        <v>0</v>
      </c>
      <c r="AJ402" s="2">
        <v>0</v>
      </c>
      <c r="AK402" s="2">
        <v>0</v>
      </c>
      <c r="AL402" s="2">
        <v>0</v>
      </c>
      <c r="AM402" s="2">
        <v>80.260000000000005</v>
      </c>
      <c r="AN402" s="2">
        <v>80.260000000000005</v>
      </c>
      <c r="AO402" s="2">
        <v>0</v>
      </c>
      <c r="AP402" s="2">
        <v>0</v>
      </c>
      <c r="AQ402" s="2">
        <v>0</v>
      </c>
    </row>
    <row r="403" spans="1:43" x14ac:dyDescent="0.25">
      <c r="A403" s="1">
        <v>45936</v>
      </c>
      <c r="B403" t="s">
        <v>48</v>
      </c>
      <c r="C403">
        <v>649163</v>
      </c>
      <c r="D403">
        <v>2025884355</v>
      </c>
      <c r="E403" t="s">
        <v>148</v>
      </c>
      <c r="F403" t="s">
        <v>535</v>
      </c>
      <c r="G403" t="s">
        <v>51</v>
      </c>
      <c r="H403" t="s">
        <v>52</v>
      </c>
      <c r="I403" t="s">
        <v>89</v>
      </c>
      <c r="J403" t="s">
        <v>111</v>
      </c>
      <c r="K403">
        <v>651818</v>
      </c>
      <c r="L403" t="s">
        <v>112</v>
      </c>
      <c r="M403" t="s">
        <v>104</v>
      </c>
      <c r="N403" t="s">
        <v>57</v>
      </c>
      <c r="O403" s="1">
        <v>45633</v>
      </c>
      <c r="Q403" s="1">
        <v>45968</v>
      </c>
      <c r="R403" s="2">
        <v>113.85</v>
      </c>
      <c r="S403">
        <v>1</v>
      </c>
      <c r="T403" t="s">
        <v>58</v>
      </c>
      <c r="U403" t="s">
        <v>359</v>
      </c>
      <c r="V403" s="3">
        <v>0.75</v>
      </c>
      <c r="W403" s="2">
        <v>0</v>
      </c>
      <c r="X403">
        <v>0</v>
      </c>
      <c r="Y403" t="s">
        <v>60</v>
      </c>
      <c r="Z403" t="s">
        <v>360</v>
      </c>
      <c r="AA403">
        <v>0</v>
      </c>
      <c r="AB403" s="2">
        <v>0</v>
      </c>
      <c r="AC403" s="2">
        <v>0</v>
      </c>
      <c r="AD403" s="3">
        <v>0</v>
      </c>
      <c r="AE403" s="2">
        <v>0</v>
      </c>
      <c r="AF403" s="2">
        <v>0</v>
      </c>
      <c r="AG403" s="2">
        <v>0</v>
      </c>
      <c r="AH403" s="2">
        <v>0</v>
      </c>
      <c r="AI403" s="2">
        <v>0</v>
      </c>
      <c r="AJ403" s="2">
        <v>0</v>
      </c>
      <c r="AK403" s="2">
        <v>0</v>
      </c>
      <c r="AL403" s="2">
        <v>0</v>
      </c>
      <c r="AM403" s="2">
        <v>85.39</v>
      </c>
      <c r="AN403" s="2">
        <v>85.39</v>
      </c>
      <c r="AO403" s="2">
        <v>0</v>
      </c>
      <c r="AP403" s="2">
        <v>0</v>
      </c>
      <c r="AQ403" s="2">
        <v>0</v>
      </c>
    </row>
    <row r="404" spans="1:43" x14ac:dyDescent="0.25">
      <c r="A404" s="1">
        <v>45936</v>
      </c>
      <c r="B404" t="s">
        <v>48</v>
      </c>
      <c r="C404">
        <v>649163</v>
      </c>
      <c r="D404">
        <v>2025887935</v>
      </c>
      <c r="E404" t="s">
        <v>701</v>
      </c>
      <c r="F404" t="s">
        <v>337</v>
      </c>
      <c r="G404" t="s">
        <v>51</v>
      </c>
      <c r="H404" t="s">
        <v>129</v>
      </c>
      <c r="I404" t="s">
        <v>89</v>
      </c>
      <c r="J404" t="s">
        <v>111</v>
      </c>
      <c r="K404">
        <v>651818</v>
      </c>
      <c r="L404" t="s">
        <v>112</v>
      </c>
      <c r="M404" t="s">
        <v>104</v>
      </c>
      <c r="N404" t="s">
        <v>57</v>
      </c>
      <c r="O404" s="1">
        <v>45633</v>
      </c>
      <c r="Q404" s="1">
        <v>45968</v>
      </c>
      <c r="R404" s="2">
        <v>95.25</v>
      </c>
      <c r="S404">
        <v>1</v>
      </c>
      <c r="T404" t="s">
        <v>58</v>
      </c>
      <c r="U404" t="s">
        <v>359</v>
      </c>
      <c r="V404" s="3">
        <v>0.75</v>
      </c>
      <c r="W404" s="2">
        <v>0</v>
      </c>
      <c r="X404">
        <v>0</v>
      </c>
      <c r="Y404" t="s">
        <v>60</v>
      </c>
      <c r="Z404" t="s">
        <v>360</v>
      </c>
      <c r="AA404">
        <v>0</v>
      </c>
      <c r="AB404" s="2">
        <v>0</v>
      </c>
      <c r="AC404" s="2">
        <v>0</v>
      </c>
      <c r="AD404" s="3">
        <v>0</v>
      </c>
      <c r="AE404" s="2">
        <v>0</v>
      </c>
      <c r="AF404" s="2">
        <v>0</v>
      </c>
      <c r="AG404" s="2">
        <v>0</v>
      </c>
      <c r="AH404" s="2">
        <v>0</v>
      </c>
      <c r="AI404" s="2">
        <v>0</v>
      </c>
      <c r="AJ404" s="2">
        <v>0</v>
      </c>
      <c r="AK404" s="2">
        <v>0</v>
      </c>
      <c r="AL404" s="2">
        <v>0</v>
      </c>
      <c r="AM404" s="2">
        <v>71.44</v>
      </c>
      <c r="AN404" s="2">
        <v>71.44</v>
      </c>
      <c r="AO404" s="2">
        <v>0</v>
      </c>
      <c r="AP404" s="2">
        <v>0</v>
      </c>
      <c r="AQ404" s="2">
        <v>0</v>
      </c>
    </row>
    <row r="405" spans="1:43" x14ac:dyDescent="0.25">
      <c r="A405" s="1">
        <v>45936</v>
      </c>
      <c r="B405" t="s">
        <v>48</v>
      </c>
      <c r="C405">
        <v>649163</v>
      </c>
      <c r="D405">
        <v>2025896510</v>
      </c>
      <c r="E405" t="s">
        <v>702</v>
      </c>
      <c r="F405" t="s">
        <v>227</v>
      </c>
      <c r="G405" t="s">
        <v>51</v>
      </c>
      <c r="H405" t="s">
        <v>646</v>
      </c>
      <c r="I405" t="s">
        <v>89</v>
      </c>
      <c r="J405" t="s">
        <v>111</v>
      </c>
      <c r="K405">
        <v>651818</v>
      </c>
      <c r="L405" t="s">
        <v>112</v>
      </c>
      <c r="M405" t="s">
        <v>104</v>
      </c>
      <c r="N405" t="s">
        <v>57</v>
      </c>
      <c r="O405" s="1">
        <v>45633</v>
      </c>
      <c r="Q405" s="1">
        <v>45968</v>
      </c>
      <c r="R405" s="2">
        <v>131.94999999999999</v>
      </c>
      <c r="S405">
        <v>1</v>
      </c>
      <c r="T405" t="s">
        <v>58</v>
      </c>
      <c r="U405" t="s">
        <v>359</v>
      </c>
      <c r="V405" s="3">
        <v>0.75</v>
      </c>
      <c r="W405" s="2">
        <v>0</v>
      </c>
      <c r="X405">
        <v>0</v>
      </c>
      <c r="Y405" t="s">
        <v>60</v>
      </c>
      <c r="Z405" t="s">
        <v>360</v>
      </c>
      <c r="AA405">
        <v>0</v>
      </c>
      <c r="AB405" s="2">
        <v>0</v>
      </c>
      <c r="AC405" s="2">
        <v>0</v>
      </c>
      <c r="AD405" s="3">
        <v>0</v>
      </c>
      <c r="AE405" s="2">
        <v>0</v>
      </c>
      <c r="AF405" s="2">
        <v>0</v>
      </c>
      <c r="AG405" s="2">
        <v>0</v>
      </c>
      <c r="AH405" s="2">
        <v>0</v>
      </c>
      <c r="AI405" s="2">
        <v>0</v>
      </c>
      <c r="AJ405" s="2">
        <v>0</v>
      </c>
      <c r="AK405" s="2">
        <v>0</v>
      </c>
      <c r="AL405" s="2">
        <v>0</v>
      </c>
      <c r="AM405" s="2">
        <v>98.96</v>
      </c>
      <c r="AN405" s="2">
        <v>98.96</v>
      </c>
      <c r="AO405" s="2">
        <v>0</v>
      </c>
      <c r="AP405" s="2">
        <v>0</v>
      </c>
      <c r="AQ405" s="2">
        <v>0</v>
      </c>
    </row>
    <row r="406" spans="1:43" x14ac:dyDescent="0.25">
      <c r="A406" s="1">
        <v>45936</v>
      </c>
      <c r="B406" t="s">
        <v>48</v>
      </c>
      <c r="C406">
        <v>649163</v>
      </c>
      <c r="D406">
        <v>2026036711</v>
      </c>
      <c r="E406" t="s">
        <v>703</v>
      </c>
      <c r="F406" t="s">
        <v>63</v>
      </c>
      <c r="G406" t="s">
        <v>51</v>
      </c>
      <c r="H406" t="s">
        <v>101</v>
      </c>
      <c r="I406" t="s">
        <v>89</v>
      </c>
      <c r="J406" t="s">
        <v>96</v>
      </c>
      <c r="K406">
        <v>651818</v>
      </c>
      <c r="L406" t="s">
        <v>112</v>
      </c>
      <c r="M406" t="s">
        <v>104</v>
      </c>
      <c r="N406" t="s">
        <v>57</v>
      </c>
      <c r="O406" s="1">
        <v>45664</v>
      </c>
      <c r="Q406" s="1">
        <v>45968</v>
      </c>
      <c r="R406" s="2">
        <v>152.33000000000001</v>
      </c>
      <c r="S406">
        <v>1</v>
      </c>
      <c r="T406" t="s">
        <v>58</v>
      </c>
      <c r="U406" t="s">
        <v>359</v>
      </c>
      <c r="V406" s="3">
        <v>0.9</v>
      </c>
      <c r="W406" s="2">
        <v>0</v>
      </c>
      <c r="X406">
        <v>0</v>
      </c>
      <c r="Y406" t="s">
        <v>60</v>
      </c>
      <c r="Z406" t="s">
        <v>360</v>
      </c>
      <c r="AA406">
        <v>0</v>
      </c>
      <c r="AB406" s="2">
        <v>0</v>
      </c>
      <c r="AC406" s="2">
        <v>0</v>
      </c>
      <c r="AD406" s="3">
        <v>0</v>
      </c>
      <c r="AE406" s="2">
        <v>0</v>
      </c>
      <c r="AF406" s="2">
        <v>0</v>
      </c>
      <c r="AG406" s="2">
        <v>0</v>
      </c>
      <c r="AH406" s="2">
        <v>0</v>
      </c>
      <c r="AI406" s="2">
        <v>0</v>
      </c>
      <c r="AJ406" s="2">
        <v>0</v>
      </c>
      <c r="AK406" s="2">
        <v>0</v>
      </c>
      <c r="AL406" s="2">
        <v>0</v>
      </c>
      <c r="AM406" s="2">
        <v>137.1</v>
      </c>
      <c r="AN406" s="2">
        <v>137.1</v>
      </c>
      <c r="AO406" s="2">
        <v>0</v>
      </c>
      <c r="AP406" s="2">
        <v>0</v>
      </c>
      <c r="AQ406" s="2">
        <v>0</v>
      </c>
    </row>
    <row r="407" spans="1:43" x14ac:dyDescent="0.25">
      <c r="A407" s="1">
        <v>45936</v>
      </c>
      <c r="B407" t="s">
        <v>48</v>
      </c>
      <c r="C407">
        <v>649163</v>
      </c>
      <c r="D407">
        <v>2026050471</v>
      </c>
      <c r="E407" t="s">
        <v>704</v>
      </c>
      <c r="F407" t="s">
        <v>72</v>
      </c>
      <c r="G407" t="s">
        <v>51</v>
      </c>
      <c r="H407" t="s">
        <v>203</v>
      </c>
      <c r="I407" t="s">
        <v>89</v>
      </c>
      <c r="J407" t="s">
        <v>96</v>
      </c>
      <c r="K407">
        <v>796984</v>
      </c>
      <c r="L407" t="s">
        <v>204</v>
      </c>
      <c r="M407" t="s">
        <v>205</v>
      </c>
      <c r="N407" t="s">
        <v>57</v>
      </c>
      <c r="O407" s="1">
        <v>45632</v>
      </c>
      <c r="Q407" s="1">
        <v>45967</v>
      </c>
      <c r="R407" s="2">
        <v>66.75</v>
      </c>
      <c r="S407">
        <v>1</v>
      </c>
      <c r="T407" t="s">
        <v>58</v>
      </c>
      <c r="U407" t="s">
        <v>359</v>
      </c>
      <c r="V407" s="3">
        <v>0.9</v>
      </c>
      <c r="W407" s="2">
        <v>0</v>
      </c>
      <c r="X407">
        <v>0</v>
      </c>
      <c r="Y407" t="s">
        <v>60</v>
      </c>
      <c r="Z407" t="s">
        <v>360</v>
      </c>
      <c r="AA407">
        <v>0</v>
      </c>
      <c r="AB407" s="2">
        <v>0</v>
      </c>
      <c r="AC407" s="2">
        <v>0</v>
      </c>
      <c r="AD407" s="3">
        <v>0</v>
      </c>
      <c r="AE407" s="2">
        <v>0</v>
      </c>
      <c r="AF407" s="2">
        <v>0</v>
      </c>
      <c r="AG407" s="2">
        <v>0</v>
      </c>
      <c r="AH407" s="2">
        <v>0</v>
      </c>
      <c r="AI407" s="2">
        <v>0</v>
      </c>
      <c r="AJ407" s="2">
        <v>0</v>
      </c>
      <c r="AK407" s="2">
        <v>0</v>
      </c>
      <c r="AL407" s="2">
        <v>0</v>
      </c>
      <c r="AM407" s="2">
        <v>60.08</v>
      </c>
      <c r="AN407" s="2">
        <v>60.08</v>
      </c>
      <c r="AO407" s="2">
        <v>0</v>
      </c>
      <c r="AP407" s="2">
        <v>0</v>
      </c>
      <c r="AQ407" s="2">
        <v>0</v>
      </c>
    </row>
    <row r="408" spans="1:43" x14ac:dyDescent="0.25">
      <c r="A408" s="1">
        <v>45936</v>
      </c>
      <c r="B408" t="s">
        <v>48</v>
      </c>
      <c r="C408">
        <v>649163</v>
      </c>
      <c r="D408">
        <v>2026053293</v>
      </c>
      <c r="E408" t="s">
        <v>705</v>
      </c>
      <c r="F408" t="s">
        <v>393</v>
      </c>
      <c r="G408" t="s">
        <v>51</v>
      </c>
      <c r="H408" t="s">
        <v>101</v>
      </c>
      <c r="I408" t="s">
        <v>89</v>
      </c>
      <c r="J408" t="s">
        <v>111</v>
      </c>
      <c r="K408">
        <v>651818</v>
      </c>
      <c r="L408" t="s">
        <v>112</v>
      </c>
      <c r="M408" t="s">
        <v>104</v>
      </c>
      <c r="N408" t="s">
        <v>57</v>
      </c>
      <c r="O408" s="1">
        <v>45664</v>
      </c>
      <c r="Q408" s="1">
        <v>45968</v>
      </c>
      <c r="R408" s="2">
        <v>78.430000000000007</v>
      </c>
      <c r="S408">
        <v>1</v>
      </c>
      <c r="T408" t="s">
        <v>58</v>
      </c>
      <c r="U408" t="s">
        <v>359</v>
      </c>
      <c r="V408" s="3">
        <v>0.75</v>
      </c>
      <c r="W408" s="2">
        <v>0</v>
      </c>
      <c r="X408">
        <v>0</v>
      </c>
      <c r="Y408" t="s">
        <v>60</v>
      </c>
      <c r="Z408" t="s">
        <v>360</v>
      </c>
      <c r="AA408">
        <v>0</v>
      </c>
      <c r="AB408" s="2">
        <v>0</v>
      </c>
      <c r="AC408" s="2">
        <v>0</v>
      </c>
      <c r="AD408" s="3">
        <v>0</v>
      </c>
      <c r="AE408" s="2">
        <v>0</v>
      </c>
      <c r="AF408" s="2">
        <v>0</v>
      </c>
      <c r="AG408" s="2">
        <v>0</v>
      </c>
      <c r="AH408" s="2">
        <v>0</v>
      </c>
      <c r="AI408" s="2">
        <v>0</v>
      </c>
      <c r="AJ408" s="2">
        <v>0</v>
      </c>
      <c r="AK408" s="2">
        <v>0</v>
      </c>
      <c r="AL408" s="2">
        <v>0</v>
      </c>
      <c r="AM408" s="2">
        <v>58.82</v>
      </c>
      <c r="AN408" s="2">
        <v>58.82</v>
      </c>
      <c r="AO408" s="2">
        <v>0</v>
      </c>
      <c r="AP408" s="2">
        <v>0</v>
      </c>
      <c r="AQ408" s="2">
        <v>0</v>
      </c>
    </row>
    <row r="409" spans="1:43" x14ac:dyDescent="0.25">
      <c r="A409" s="1">
        <v>45936</v>
      </c>
      <c r="B409" t="s">
        <v>48</v>
      </c>
      <c r="C409">
        <v>649163</v>
      </c>
      <c r="D409">
        <v>2026082703</v>
      </c>
      <c r="E409" t="s">
        <v>706</v>
      </c>
      <c r="F409" t="s">
        <v>194</v>
      </c>
      <c r="G409" t="s">
        <v>51</v>
      </c>
      <c r="H409" t="s">
        <v>115</v>
      </c>
      <c r="I409" t="s">
        <v>89</v>
      </c>
      <c r="J409" t="s">
        <v>111</v>
      </c>
      <c r="K409">
        <v>651818</v>
      </c>
      <c r="L409" t="s">
        <v>112</v>
      </c>
      <c r="M409" t="s">
        <v>104</v>
      </c>
      <c r="N409" t="s">
        <v>57</v>
      </c>
      <c r="O409" s="1">
        <v>45664</v>
      </c>
      <c r="Q409" s="1">
        <v>45968</v>
      </c>
      <c r="R409" s="2">
        <v>148.53</v>
      </c>
      <c r="S409">
        <v>1</v>
      </c>
      <c r="T409" t="s">
        <v>58</v>
      </c>
      <c r="U409" t="s">
        <v>359</v>
      </c>
      <c r="V409" s="3">
        <v>0.75</v>
      </c>
      <c r="W409" s="2">
        <v>0</v>
      </c>
      <c r="X409">
        <v>0</v>
      </c>
      <c r="Y409" t="s">
        <v>60</v>
      </c>
      <c r="Z409" t="s">
        <v>360</v>
      </c>
      <c r="AA409">
        <v>0</v>
      </c>
      <c r="AB409" s="2">
        <v>0</v>
      </c>
      <c r="AC409" s="2">
        <v>0</v>
      </c>
      <c r="AD409" s="3">
        <v>0</v>
      </c>
      <c r="AE409" s="2">
        <v>0</v>
      </c>
      <c r="AF409" s="2">
        <v>0</v>
      </c>
      <c r="AG409" s="2">
        <v>0</v>
      </c>
      <c r="AH409" s="2">
        <v>0</v>
      </c>
      <c r="AI409" s="2">
        <v>0</v>
      </c>
      <c r="AJ409" s="2">
        <v>0</v>
      </c>
      <c r="AK409" s="2">
        <v>0</v>
      </c>
      <c r="AL409" s="2">
        <v>0</v>
      </c>
      <c r="AM409" s="2">
        <v>111.4</v>
      </c>
      <c r="AN409" s="2">
        <v>111.4</v>
      </c>
      <c r="AO409" s="2">
        <v>0</v>
      </c>
      <c r="AP409" s="2">
        <v>0</v>
      </c>
      <c r="AQ409" s="2">
        <v>0</v>
      </c>
    </row>
    <row r="410" spans="1:43" x14ac:dyDescent="0.25">
      <c r="A410" s="1">
        <v>45936</v>
      </c>
      <c r="B410" t="s">
        <v>48</v>
      </c>
      <c r="C410">
        <v>649163</v>
      </c>
      <c r="D410">
        <v>2026099502</v>
      </c>
      <c r="E410" t="s">
        <v>707</v>
      </c>
      <c r="F410" t="s">
        <v>708</v>
      </c>
      <c r="G410" t="s">
        <v>51</v>
      </c>
      <c r="H410" t="s">
        <v>122</v>
      </c>
      <c r="I410" t="s">
        <v>89</v>
      </c>
      <c r="J410" t="s">
        <v>96</v>
      </c>
      <c r="K410">
        <v>651818</v>
      </c>
      <c r="L410" t="s">
        <v>112</v>
      </c>
      <c r="M410" t="s">
        <v>104</v>
      </c>
      <c r="N410" t="s">
        <v>57</v>
      </c>
      <c r="O410" s="1">
        <v>45664</v>
      </c>
      <c r="Q410" s="1">
        <v>45968</v>
      </c>
      <c r="R410" s="2">
        <v>234.17</v>
      </c>
      <c r="S410">
        <v>1</v>
      </c>
      <c r="T410" t="s">
        <v>58</v>
      </c>
      <c r="U410" t="s">
        <v>359</v>
      </c>
      <c r="V410" s="3">
        <v>0.9</v>
      </c>
      <c r="W410" s="2">
        <v>0</v>
      </c>
      <c r="X410">
        <v>0</v>
      </c>
      <c r="Y410" t="s">
        <v>60</v>
      </c>
      <c r="Z410" t="s">
        <v>360</v>
      </c>
      <c r="AA410">
        <v>0</v>
      </c>
      <c r="AB410" s="2">
        <v>0</v>
      </c>
      <c r="AC410" s="2">
        <v>0</v>
      </c>
      <c r="AD410" s="3">
        <v>0</v>
      </c>
      <c r="AE410" s="2">
        <v>0</v>
      </c>
      <c r="AF410" s="2">
        <v>0</v>
      </c>
      <c r="AG410" s="2">
        <v>0</v>
      </c>
      <c r="AH410" s="2">
        <v>0</v>
      </c>
      <c r="AI410" s="2">
        <v>0</v>
      </c>
      <c r="AJ410" s="2">
        <v>0</v>
      </c>
      <c r="AK410" s="2">
        <v>0</v>
      </c>
      <c r="AL410" s="2">
        <v>0</v>
      </c>
      <c r="AM410" s="2">
        <v>210.75</v>
      </c>
      <c r="AN410" s="2">
        <v>210.75</v>
      </c>
      <c r="AO410" s="2">
        <v>0</v>
      </c>
      <c r="AP410" s="2">
        <v>0</v>
      </c>
      <c r="AQ410" s="2">
        <v>0</v>
      </c>
    </row>
    <row r="411" spans="1:43" x14ac:dyDescent="0.25">
      <c r="A411" s="1">
        <v>45936</v>
      </c>
      <c r="B411" t="s">
        <v>48</v>
      </c>
      <c r="C411">
        <v>649163</v>
      </c>
      <c r="D411">
        <v>2026100108</v>
      </c>
      <c r="E411" t="s">
        <v>709</v>
      </c>
      <c r="F411" t="s">
        <v>671</v>
      </c>
      <c r="G411" t="s">
        <v>51</v>
      </c>
      <c r="H411" t="s">
        <v>122</v>
      </c>
      <c r="I411" t="s">
        <v>89</v>
      </c>
      <c r="J411" t="s">
        <v>111</v>
      </c>
      <c r="K411">
        <v>651818</v>
      </c>
      <c r="L411" t="s">
        <v>112</v>
      </c>
      <c r="M411" t="s">
        <v>104</v>
      </c>
      <c r="N411" t="s">
        <v>57</v>
      </c>
      <c r="O411" s="1">
        <v>45664</v>
      </c>
      <c r="Q411" s="1">
        <v>45968</v>
      </c>
      <c r="R411" s="2">
        <v>110</v>
      </c>
      <c r="S411">
        <v>1</v>
      </c>
      <c r="T411" t="s">
        <v>58</v>
      </c>
      <c r="U411" t="s">
        <v>359</v>
      </c>
      <c r="V411" s="3">
        <v>0.75</v>
      </c>
      <c r="W411" s="2">
        <v>0</v>
      </c>
      <c r="X411">
        <v>0</v>
      </c>
      <c r="Y411" t="s">
        <v>60</v>
      </c>
      <c r="Z411" t="s">
        <v>360</v>
      </c>
      <c r="AA411">
        <v>0</v>
      </c>
      <c r="AB411" s="2">
        <v>0</v>
      </c>
      <c r="AC411" s="2">
        <v>0</v>
      </c>
      <c r="AD411" s="3">
        <v>0</v>
      </c>
      <c r="AE411" s="2">
        <v>0</v>
      </c>
      <c r="AF411" s="2">
        <v>0</v>
      </c>
      <c r="AG411" s="2">
        <v>0</v>
      </c>
      <c r="AH411" s="2">
        <v>0</v>
      </c>
      <c r="AI411" s="2">
        <v>0</v>
      </c>
      <c r="AJ411" s="2">
        <v>0</v>
      </c>
      <c r="AK411" s="2">
        <v>0</v>
      </c>
      <c r="AL411" s="2">
        <v>0</v>
      </c>
      <c r="AM411" s="2">
        <v>82.5</v>
      </c>
      <c r="AN411" s="2">
        <v>82.5</v>
      </c>
      <c r="AO411" s="2">
        <v>0</v>
      </c>
      <c r="AP411" s="2">
        <v>0</v>
      </c>
      <c r="AQ411" s="2">
        <v>0</v>
      </c>
    </row>
    <row r="412" spans="1:43" x14ac:dyDescent="0.25">
      <c r="A412" s="1">
        <v>45936</v>
      </c>
      <c r="B412" t="s">
        <v>48</v>
      </c>
      <c r="C412">
        <v>649163</v>
      </c>
      <c r="D412">
        <v>2026102876</v>
      </c>
      <c r="E412" t="s">
        <v>710</v>
      </c>
      <c r="F412" t="s">
        <v>711</v>
      </c>
      <c r="G412" t="s">
        <v>51</v>
      </c>
      <c r="H412" t="s">
        <v>646</v>
      </c>
      <c r="I412" t="s">
        <v>89</v>
      </c>
      <c r="J412" t="s">
        <v>96</v>
      </c>
      <c r="K412">
        <v>651818</v>
      </c>
      <c r="L412" t="s">
        <v>112</v>
      </c>
      <c r="M412" t="s">
        <v>104</v>
      </c>
      <c r="N412" t="s">
        <v>57</v>
      </c>
      <c r="O412" s="1">
        <v>45664</v>
      </c>
      <c r="Q412" s="1">
        <v>45968</v>
      </c>
      <c r="R412" s="2">
        <v>180.88</v>
      </c>
      <c r="S412">
        <v>1</v>
      </c>
      <c r="T412" t="s">
        <v>58</v>
      </c>
      <c r="U412" t="s">
        <v>359</v>
      </c>
      <c r="V412" s="3">
        <v>0.9</v>
      </c>
      <c r="W412" s="2">
        <v>0</v>
      </c>
      <c r="X412">
        <v>0</v>
      </c>
      <c r="Y412" t="s">
        <v>60</v>
      </c>
      <c r="Z412" t="s">
        <v>360</v>
      </c>
      <c r="AA412">
        <v>0</v>
      </c>
      <c r="AB412" s="2">
        <v>0</v>
      </c>
      <c r="AC412" s="2">
        <v>0</v>
      </c>
      <c r="AD412" s="3">
        <v>0</v>
      </c>
      <c r="AE412" s="2">
        <v>0</v>
      </c>
      <c r="AF412" s="2">
        <v>0</v>
      </c>
      <c r="AG412" s="2">
        <v>0</v>
      </c>
      <c r="AH412" s="2">
        <v>0</v>
      </c>
      <c r="AI412" s="2">
        <v>0</v>
      </c>
      <c r="AJ412" s="2">
        <v>0</v>
      </c>
      <c r="AK412" s="2">
        <v>0</v>
      </c>
      <c r="AL412" s="2">
        <v>0</v>
      </c>
      <c r="AM412" s="2">
        <v>162.79</v>
      </c>
      <c r="AN412" s="2">
        <v>162.79</v>
      </c>
      <c r="AO412" s="2">
        <v>0</v>
      </c>
      <c r="AP412" s="2">
        <v>0</v>
      </c>
      <c r="AQ412" s="2">
        <v>0</v>
      </c>
    </row>
    <row r="413" spans="1:43" x14ac:dyDescent="0.25">
      <c r="A413" s="1">
        <v>45936</v>
      </c>
      <c r="B413" t="s">
        <v>48</v>
      </c>
      <c r="C413">
        <v>649163</v>
      </c>
      <c r="D413">
        <v>2026103479</v>
      </c>
      <c r="E413" t="s">
        <v>712</v>
      </c>
      <c r="F413" t="s">
        <v>713</v>
      </c>
      <c r="G413" t="s">
        <v>51</v>
      </c>
      <c r="H413" t="s">
        <v>122</v>
      </c>
      <c r="I413" t="s">
        <v>89</v>
      </c>
      <c r="J413" t="s">
        <v>111</v>
      </c>
      <c r="K413">
        <v>651818</v>
      </c>
      <c r="L413" t="s">
        <v>112</v>
      </c>
      <c r="M413" t="s">
        <v>104</v>
      </c>
      <c r="N413" t="s">
        <v>57</v>
      </c>
      <c r="O413" s="1">
        <v>45664</v>
      </c>
      <c r="Q413" s="1">
        <v>45968</v>
      </c>
      <c r="R413" s="2">
        <v>45.3</v>
      </c>
      <c r="S413">
        <v>1</v>
      </c>
      <c r="T413" t="s">
        <v>58</v>
      </c>
      <c r="U413" t="s">
        <v>359</v>
      </c>
      <c r="V413" s="3">
        <v>0.75</v>
      </c>
      <c r="W413" s="2">
        <v>0</v>
      </c>
      <c r="X413">
        <v>0</v>
      </c>
      <c r="Y413" t="s">
        <v>60</v>
      </c>
      <c r="Z413" t="s">
        <v>360</v>
      </c>
      <c r="AA413">
        <v>0</v>
      </c>
      <c r="AB413" s="2">
        <v>0</v>
      </c>
      <c r="AC413" s="2">
        <v>0</v>
      </c>
      <c r="AD413" s="3">
        <v>0</v>
      </c>
      <c r="AE413" s="2">
        <v>0</v>
      </c>
      <c r="AF413" s="2">
        <v>0</v>
      </c>
      <c r="AG413" s="2">
        <v>0</v>
      </c>
      <c r="AH413" s="2">
        <v>0</v>
      </c>
      <c r="AI413" s="2">
        <v>0</v>
      </c>
      <c r="AJ413" s="2">
        <v>0</v>
      </c>
      <c r="AK413" s="2">
        <v>0</v>
      </c>
      <c r="AL413" s="2">
        <v>0</v>
      </c>
      <c r="AM413" s="2">
        <v>33.979999999999997</v>
      </c>
      <c r="AN413" s="2">
        <v>33.979999999999997</v>
      </c>
      <c r="AO413" s="2">
        <v>0</v>
      </c>
      <c r="AP413" s="2">
        <v>0</v>
      </c>
      <c r="AQ413" s="2">
        <v>0</v>
      </c>
    </row>
    <row r="414" spans="1:43" x14ac:dyDescent="0.25">
      <c r="A414" s="1">
        <v>45936</v>
      </c>
      <c r="B414" t="s">
        <v>48</v>
      </c>
      <c r="C414">
        <v>649163</v>
      </c>
      <c r="D414">
        <v>2026113524</v>
      </c>
      <c r="E414" t="s">
        <v>714</v>
      </c>
      <c r="F414" t="s">
        <v>715</v>
      </c>
      <c r="G414" t="s">
        <v>51</v>
      </c>
      <c r="H414" t="s">
        <v>101</v>
      </c>
      <c r="I414" t="s">
        <v>89</v>
      </c>
      <c r="J414" t="s">
        <v>111</v>
      </c>
      <c r="K414">
        <v>651818</v>
      </c>
      <c r="L414" t="s">
        <v>112</v>
      </c>
      <c r="M414" t="s">
        <v>104</v>
      </c>
      <c r="N414" t="s">
        <v>57</v>
      </c>
      <c r="O414" s="1">
        <v>45664</v>
      </c>
      <c r="Q414" s="1">
        <v>45968</v>
      </c>
      <c r="R414" s="2">
        <v>144.18</v>
      </c>
      <c r="S414">
        <v>1</v>
      </c>
      <c r="T414" t="s">
        <v>58</v>
      </c>
      <c r="U414" t="s">
        <v>359</v>
      </c>
      <c r="V414" s="3">
        <v>0.75</v>
      </c>
      <c r="W414" s="2">
        <v>0</v>
      </c>
      <c r="X414">
        <v>0</v>
      </c>
      <c r="Y414" t="s">
        <v>60</v>
      </c>
      <c r="Z414" t="s">
        <v>360</v>
      </c>
      <c r="AA414">
        <v>0</v>
      </c>
      <c r="AB414" s="2">
        <v>0</v>
      </c>
      <c r="AC414" s="2">
        <v>0</v>
      </c>
      <c r="AD414" s="3">
        <v>0</v>
      </c>
      <c r="AE414" s="2">
        <v>0</v>
      </c>
      <c r="AF414" s="2">
        <v>0</v>
      </c>
      <c r="AG414" s="2">
        <v>0</v>
      </c>
      <c r="AH414" s="2">
        <v>0</v>
      </c>
      <c r="AI414" s="2">
        <v>0</v>
      </c>
      <c r="AJ414" s="2">
        <v>0</v>
      </c>
      <c r="AK414" s="2">
        <v>0</v>
      </c>
      <c r="AL414" s="2">
        <v>0</v>
      </c>
      <c r="AM414" s="2">
        <v>108.14</v>
      </c>
      <c r="AN414" s="2">
        <v>108.14</v>
      </c>
      <c r="AO414" s="2">
        <v>0</v>
      </c>
      <c r="AP414" s="2">
        <v>0</v>
      </c>
      <c r="AQ414" s="2">
        <v>0</v>
      </c>
    </row>
    <row r="415" spans="1:43" x14ac:dyDescent="0.25">
      <c r="A415" s="1">
        <v>45936</v>
      </c>
      <c r="B415" t="s">
        <v>48</v>
      </c>
      <c r="C415">
        <v>649163</v>
      </c>
      <c r="D415">
        <v>2026119470</v>
      </c>
      <c r="E415" t="s">
        <v>284</v>
      </c>
      <c r="F415" t="s">
        <v>716</v>
      </c>
      <c r="G415" t="s">
        <v>51</v>
      </c>
      <c r="H415" t="s">
        <v>101</v>
      </c>
      <c r="I415" t="s">
        <v>89</v>
      </c>
      <c r="J415" t="s">
        <v>111</v>
      </c>
      <c r="K415">
        <v>651818</v>
      </c>
      <c r="L415" t="s">
        <v>112</v>
      </c>
      <c r="M415" t="s">
        <v>104</v>
      </c>
      <c r="N415" t="s">
        <v>57</v>
      </c>
      <c r="O415" s="1">
        <v>45664</v>
      </c>
      <c r="Q415" s="1">
        <v>45937</v>
      </c>
      <c r="R415" s="2">
        <v>-19.89</v>
      </c>
      <c r="S415">
        <v>1</v>
      </c>
      <c r="T415" t="s">
        <v>58</v>
      </c>
      <c r="U415" t="s">
        <v>359</v>
      </c>
      <c r="V415" s="3">
        <v>0.75</v>
      </c>
      <c r="W415" s="2">
        <v>0</v>
      </c>
      <c r="X415">
        <v>-1</v>
      </c>
      <c r="Y415" t="s">
        <v>60</v>
      </c>
      <c r="Z415" t="s">
        <v>360</v>
      </c>
      <c r="AA415">
        <v>0</v>
      </c>
      <c r="AB415" s="2">
        <v>0</v>
      </c>
      <c r="AC415" s="2">
        <v>0</v>
      </c>
      <c r="AD415" s="3">
        <v>0</v>
      </c>
      <c r="AE415" s="2">
        <v>0</v>
      </c>
      <c r="AF415" s="2">
        <v>0</v>
      </c>
      <c r="AG415" s="2">
        <v>0</v>
      </c>
      <c r="AH415" s="2">
        <v>0</v>
      </c>
      <c r="AI415" s="2">
        <v>0</v>
      </c>
      <c r="AJ415" s="2">
        <v>0</v>
      </c>
      <c r="AK415" s="2">
        <v>0</v>
      </c>
      <c r="AL415" s="2">
        <v>0</v>
      </c>
      <c r="AM415" s="2">
        <v>-14.92</v>
      </c>
      <c r="AN415" s="2">
        <v>-14.92</v>
      </c>
      <c r="AO415" s="2">
        <v>0</v>
      </c>
      <c r="AP415" s="2">
        <v>0</v>
      </c>
      <c r="AQ415" s="2">
        <v>0</v>
      </c>
    </row>
    <row r="416" spans="1:43" x14ac:dyDescent="0.25">
      <c r="A416" s="1">
        <v>45936</v>
      </c>
      <c r="B416" t="s">
        <v>48</v>
      </c>
      <c r="C416">
        <v>649163</v>
      </c>
      <c r="D416">
        <v>2026126661</v>
      </c>
      <c r="E416" t="s">
        <v>696</v>
      </c>
      <c r="F416" t="s">
        <v>717</v>
      </c>
      <c r="G416" t="s">
        <v>51</v>
      </c>
      <c r="H416" t="s">
        <v>52</v>
      </c>
      <c r="I416" t="s">
        <v>89</v>
      </c>
      <c r="J416" t="s">
        <v>111</v>
      </c>
      <c r="K416">
        <v>651818</v>
      </c>
      <c r="L416" t="s">
        <v>112</v>
      </c>
      <c r="M416" t="s">
        <v>104</v>
      </c>
      <c r="N416" t="s">
        <v>57</v>
      </c>
      <c r="O416" s="1">
        <v>45664</v>
      </c>
      <c r="Q416" s="1">
        <v>45968</v>
      </c>
      <c r="R416" s="2">
        <v>107.5</v>
      </c>
      <c r="S416">
        <v>1</v>
      </c>
      <c r="T416" t="s">
        <v>58</v>
      </c>
      <c r="U416" t="s">
        <v>359</v>
      </c>
      <c r="V416" s="3">
        <v>0.75</v>
      </c>
      <c r="W416" s="2">
        <v>0</v>
      </c>
      <c r="X416">
        <v>0</v>
      </c>
      <c r="Y416" t="s">
        <v>60</v>
      </c>
      <c r="Z416" t="s">
        <v>360</v>
      </c>
      <c r="AA416">
        <v>0</v>
      </c>
      <c r="AB416" s="2">
        <v>0</v>
      </c>
      <c r="AC416" s="2">
        <v>0</v>
      </c>
      <c r="AD416" s="3">
        <v>0</v>
      </c>
      <c r="AE416" s="2">
        <v>0</v>
      </c>
      <c r="AF416" s="2">
        <v>0</v>
      </c>
      <c r="AG416" s="2">
        <v>0</v>
      </c>
      <c r="AH416" s="2">
        <v>0</v>
      </c>
      <c r="AI416" s="2">
        <v>0</v>
      </c>
      <c r="AJ416" s="2">
        <v>0</v>
      </c>
      <c r="AK416" s="2">
        <v>0</v>
      </c>
      <c r="AL416" s="2">
        <v>0</v>
      </c>
      <c r="AM416" s="2">
        <v>80.62</v>
      </c>
      <c r="AN416" s="2">
        <v>80.62</v>
      </c>
      <c r="AO416" s="2">
        <v>0</v>
      </c>
      <c r="AP416" s="2">
        <v>0</v>
      </c>
      <c r="AQ416" s="2">
        <v>0</v>
      </c>
    </row>
    <row r="417" spans="1:43" x14ac:dyDescent="0.25">
      <c r="A417" s="1">
        <v>45936</v>
      </c>
      <c r="B417" t="s">
        <v>48</v>
      </c>
      <c r="C417">
        <v>649163</v>
      </c>
      <c r="D417">
        <v>2026145113</v>
      </c>
      <c r="E417" t="s">
        <v>718</v>
      </c>
      <c r="F417" t="s">
        <v>482</v>
      </c>
      <c r="G417" t="s">
        <v>51</v>
      </c>
      <c r="H417" t="s">
        <v>376</v>
      </c>
      <c r="I417" t="s">
        <v>89</v>
      </c>
      <c r="J417" t="s">
        <v>96</v>
      </c>
      <c r="K417">
        <v>651818</v>
      </c>
      <c r="L417" t="s">
        <v>112</v>
      </c>
      <c r="M417" t="s">
        <v>104</v>
      </c>
      <c r="N417" t="s">
        <v>57</v>
      </c>
      <c r="O417" s="1">
        <v>45664</v>
      </c>
      <c r="Q417" s="1">
        <v>45968</v>
      </c>
      <c r="R417" s="2">
        <v>128.61000000000001</v>
      </c>
      <c r="S417">
        <v>1</v>
      </c>
      <c r="T417" t="s">
        <v>58</v>
      </c>
      <c r="U417" t="s">
        <v>359</v>
      </c>
      <c r="V417" s="3">
        <v>0.9</v>
      </c>
      <c r="W417" s="2">
        <v>0</v>
      </c>
      <c r="X417">
        <v>0</v>
      </c>
      <c r="Y417" t="s">
        <v>60</v>
      </c>
      <c r="Z417" t="s">
        <v>360</v>
      </c>
      <c r="AA417">
        <v>0</v>
      </c>
      <c r="AB417" s="2">
        <v>0</v>
      </c>
      <c r="AC417" s="2">
        <v>0</v>
      </c>
      <c r="AD417" s="3">
        <v>0</v>
      </c>
      <c r="AE417" s="2">
        <v>0</v>
      </c>
      <c r="AF417" s="2">
        <v>0</v>
      </c>
      <c r="AG417" s="2">
        <v>0</v>
      </c>
      <c r="AH417" s="2">
        <v>0</v>
      </c>
      <c r="AI417" s="2">
        <v>0</v>
      </c>
      <c r="AJ417" s="2">
        <v>0</v>
      </c>
      <c r="AK417" s="2">
        <v>0</v>
      </c>
      <c r="AL417" s="2">
        <v>0</v>
      </c>
      <c r="AM417" s="2">
        <v>115.75</v>
      </c>
      <c r="AN417" s="2">
        <v>115.75</v>
      </c>
      <c r="AO417" s="2">
        <v>0</v>
      </c>
      <c r="AP417" s="2">
        <v>0</v>
      </c>
      <c r="AQ417" s="2">
        <v>0</v>
      </c>
    </row>
    <row r="418" spans="1:43" x14ac:dyDescent="0.25">
      <c r="A418" s="1">
        <v>45936</v>
      </c>
      <c r="B418" t="s">
        <v>48</v>
      </c>
      <c r="C418">
        <v>649163</v>
      </c>
      <c r="D418">
        <v>2026150038</v>
      </c>
      <c r="E418" t="s">
        <v>719</v>
      </c>
      <c r="F418" t="s">
        <v>276</v>
      </c>
      <c r="G418" t="s">
        <v>51</v>
      </c>
      <c r="H418" t="s">
        <v>101</v>
      </c>
      <c r="I418" t="s">
        <v>89</v>
      </c>
      <c r="J418" t="s">
        <v>96</v>
      </c>
      <c r="K418">
        <v>651818</v>
      </c>
      <c r="L418" t="s">
        <v>112</v>
      </c>
      <c r="M418" t="s">
        <v>104</v>
      </c>
      <c r="N418" t="s">
        <v>57</v>
      </c>
      <c r="O418" s="1">
        <v>45664</v>
      </c>
      <c r="Q418" s="1">
        <v>45968</v>
      </c>
      <c r="R418" s="2">
        <v>59</v>
      </c>
      <c r="S418">
        <v>1</v>
      </c>
      <c r="T418" t="s">
        <v>58</v>
      </c>
      <c r="U418" t="s">
        <v>359</v>
      </c>
      <c r="V418" s="3">
        <v>0.9</v>
      </c>
      <c r="W418" s="2">
        <v>0</v>
      </c>
      <c r="X418">
        <v>0</v>
      </c>
      <c r="Y418" t="s">
        <v>60</v>
      </c>
      <c r="Z418" t="s">
        <v>360</v>
      </c>
      <c r="AA418">
        <v>0</v>
      </c>
      <c r="AB418" s="2">
        <v>0</v>
      </c>
      <c r="AC418" s="2">
        <v>0</v>
      </c>
      <c r="AD418" s="3">
        <v>0</v>
      </c>
      <c r="AE418" s="2">
        <v>0</v>
      </c>
      <c r="AF418" s="2">
        <v>0</v>
      </c>
      <c r="AG418" s="2">
        <v>0</v>
      </c>
      <c r="AH418" s="2">
        <v>0</v>
      </c>
      <c r="AI418" s="2">
        <v>0</v>
      </c>
      <c r="AJ418" s="2">
        <v>0</v>
      </c>
      <c r="AK418" s="2">
        <v>0</v>
      </c>
      <c r="AL418" s="2">
        <v>0</v>
      </c>
      <c r="AM418" s="2">
        <v>53.1</v>
      </c>
      <c r="AN418" s="2">
        <v>53.1</v>
      </c>
      <c r="AO418" s="2">
        <v>0</v>
      </c>
      <c r="AP418" s="2">
        <v>0</v>
      </c>
      <c r="AQ418" s="2">
        <v>0</v>
      </c>
    </row>
    <row r="419" spans="1:43" x14ac:dyDescent="0.25">
      <c r="A419" s="1">
        <v>45936</v>
      </c>
      <c r="B419" t="s">
        <v>48</v>
      </c>
      <c r="C419">
        <v>649163</v>
      </c>
      <c r="D419">
        <v>2026154681</v>
      </c>
      <c r="E419" t="s">
        <v>720</v>
      </c>
      <c r="F419" t="s">
        <v>721</v>
      </c>
      <c r="G419" t="s">
        <v>51</v>
      </c>
      <c r="H419" t="s">
        <v>122</v>
      </c>
      <c r="I419" t="s">
        <v>89</v>
      </c>
      <c r="J419" t="s">
        <v>111</v>
      </c>
      <c r="K419">
        <v>651818</v>
      </c>
      <c r="L419" t="s">
        <v>112</v>
      </c>
      <c r="M419" t="s">
        <v>104</v>
      </c>
      <c r="N419" t="s">
        <v>57</v>
      </c>
      <c r="O419" s="1">
        <v>45664</v>
      </c>
      <c r="Q419" s="1">
        <v>45968</v>
      </c>
      <c r="R419" s="2">
        <v>119.95</v>
      </c>
      <c r="S419">
        <v>1</v>
      </c>
      <c r="T419" t="s">
        <v>58</v>
      </c>
      <c r="U419" t="s">
        <v>359</v>
      </c>
      <c r="V419" s="3">
        <v>0.75</v>
      </c>
      <c r="W419" s="2">
        <v>0</v>
      </c>
      <c r="X419">
        <v>0</v>
      </c>
      <c r="Y419" t="s">
        <v>60</v>
      </c>
      <c r="Z419" t="s">
        <v>360</v>
      </c>
      <c r="AA419">
        <v>0</v>
      </c>
      <c r="AB419" s="2">
        <v>0</v>
      </c>
      <c r="AC419" s="2">
        <v>0</v>
      </c>
      <c r="AD419" s="3">
        <v>0</v>
      </c>
      <c r="AE419" s="2">
        <v>0</v>
      </c>
      <c r="AF419" s="2">
        <v>0</v>
      </c>
      <c r="AG419" s="2">
        <v>0</v>
      </c>
      <c r="AH419" s="2">
        <v>0</v>
      </c>
      <c r="AI419" s="2">
        <v>0</v>
      </c>
      <c r="AJ419" s="2">
        <v>0</v>
      </c>
      <c r="AK419" s="2">
        <v>0</v>
      </c>
      <c r="AL419" s="2">
        <v>0</v>
      </c>
      <c r="AM419" s="2">
        <v>89.96</v>
      </c>
      <c r="AN419" s="2">
        <v>89.96</v>
      </c>
      <c r="AO419" s="2">
        <v>0</v>
      </c>
      <c r="AP419" s="2">
        <v>0</v>
      </c>
      <c r="AQ419" s="2">
        <v>0</v>
      </c>
    </row>
    <row r="420" spans="1:43" x14ac:dyDescent="0.25">
      <c r="A420" s="1">
        <v>45936</v>
      </c>
      <c r="B420" t="s">
        <v>48</v>
      </c>
      <c r="C420">
        <v>649163</v>
      </c>
      <c r="D420">
        <v>2026155453</v>
      </c>
      <c r="E420" t="s">
        <v>722</v>
      </c>
      <c r="F420" t="s">
        <v>723</v>
      </c>
      <c r="G420" t="s">
        <v>51</v>
      </c>
      <c r="H420" t="s">
        <v>724</v>
      </c>
      <c r="I420" t="s">
        <v>89</v>
      </c>
      <c r="J420" t="s">
        <v>111</v>
      </c>
      <c r="K420">
        <v>651818</v>
      </c>
      <c r="L420" t="s">
        <v>112</v>
      </c>
      <c r="M420" t="s">
        <v>104</v>
      </c>
      <c r="N420" t="s">
        <v>57</v>
      </c>
      <c r="O420" s="1">
        <v>45664</v>
      </c>
      <c r="Q420" s="1">
        <v>45968</v>
      </c>
      <c r="R420" s="2">
        <v>67.3</v>
      </c>
      <c r="S420">
        <v>1</v>
      </c>
      <c r="T420" t="s">
        <v>58</v>
      </c>
      <c r="U420" t="s">
        <v>359</v>
      </c>
      <c r="V420" s="3">
        <v>0.75</v>
      </c>
      <c r="W420" s="2">
        <v>0</v>
      </c>
      <c r="X420">
        <v>0</v>
      </c>
      <c r="Y420" t="s">
        <v>60</v>
      </c>
      <c r="Z420" t="s">
        <v>360</v>
      </c>
      <c r="AA420">
        <v>0</v>
      </c>
      <c r="AB420" s="2">
        <v>0</v>
      </c>
      <c r="AC420" s="2">
        <v>0</v>
      </c>
      <c r="AD420" s="3">
        <v>0</v>
      </c>
      <c r="AE420" s="2">
        <v>0</v>
      </c>
      <c r="AF420" s="2">
        <v>0</v>
      </c>
      <c r="AG420" s="2">
        <v>0</v>
      </c>
      <c r="AH420" s="2">
        <v>0</v>
      </c>
      <c r="AI420" s="2">
        <v>0</v>
      </c>
      <c r="AJ420" s="2">
        <v>0</v>
      </c>
      <c r="AK420" s="2">
        <v>0</v>
      </c>
      <c r="AL420" s="2">
        <v>0</v>
      </c>
      <c r="AM420" s="2">
        <v>50.48</v>
      </c>
      <c r="AN420" s="2">
        <v>50.48</v>
      </c>
      <c r="AO420" s="2">
        <v>0</v>
      </c>
      <c r="AP420" s="2">
        <v>0</v>
      </c>
      <c r="AQ420" s="2">
        <v>0</v>
      </c>
    </row>
    <row r="421" spans="1:43" x14ac:dyDescent="0.25">
      <c r="A421" s="1">
        <v>45936</v>
      </c>
      <c r="B421" t="s">
        <v>48</v>
      </c>
      <c r="C421">
        <v>649163</v>
      </c>
      <c r="D421">
        <v>2026166108</v>
      </c>
      <c r="E421" t="s">
        <v>725</v>
      </c>
      <c r="F421" t="s">
        <v>527</v>
      </c>
      <c r="G421" t="s">
        <v>51</v>
      </c>
      <c r="H421" t="s">
        <v>101</v>
      </c>
      <c r="I421" t="s">
        <v>89</v>
      </c>
      <c r="J421" t="s">
        <v>111</v>
      </c>
      <c r="K421">
        <v>651818</v>
      </c>
      <c r="L421" t="s">
        <v>112</v>
      </c>
      <c r="M421" t="s">
        <v>104</v>
      </c>
      <c r="N421" t="s">
        <v>57</v>
      </c>
      <c r="O421" s="1">
        <v>45664</v>
      </c>
      <c r="Q421" s="1">
        <v>45968</v>
      </c>
      <c r="R421" s="2">
        <v>129.13</v>
      </c>
      <c r="S421">
        <v>1</v>
      </c>
      <c r="T421" t="s">
        <v>58</v>
      </c>
      <c r="U421" t="s">
        <v>359</v>
      </c>
      <c r="V421" s="3">
        <v>0.75</v>
      </c>
      <c r="W421" s="2">
        <v>0</v>
      </c>
      <c r="X421">
        <v>0</v>
      </c>
      <c r="Y421" t="s">
        <v>60</v>
      </c>
      <c r="Z421" t="s">
        <v>360</v>
      </c>
      <c r="AA421">
        <v>0</v>
      </c>
      <c r="AB421" s="2">
        <v>0</v>
      </c>
      <c r="AC421" s="2">
        <v>0</v>
      </c>
      <c r="AD421" s="3">
        <v>0</v>
      </c>
      <c r="AE421" s="2">
        <v>0</v>
      </c>
      <c r="AF421" s="2">
        <v>0</v>
      </c>
      <c r="AG421" s="2">
        <v>0</v>
      </c>
      <c r="AH421" s="2">
        <v>0</v>
      </c>
      <c r="AI421" s="2">
        <v>0</v>
      </c>
      <c r="AJ421" s="2">
        <v>0</v>
      </c>
      <c r="AK421" s="2">
        <v>0</v>
      </c>
      <c r="AL421" s="2">
        <v>0</v>
      </c>
      <c r="AM421" s="2">
        <v>96.85</v>
      </c>
      <c r="AN421" s="2">
        <v>96.85</v>
      </c>
      <c r="AO421" s="2">
        <v>0</v>
      </c>
      <c r="AP421" s="2">
        <v>0</v>
      </c>
      <c r="AQ421" s="2">
        <v>0</v>
      </c>
    </row>
    <row r="422" spans="1:43" x14ac:dyDescent="0.25">
      <c r="A422" s="1">
        <v>45936</v>
      </c>
      <c r="B422" t="s">
        <v>48</v>
      </c>
      <c r="C422">
        <v>649163</v>
      </c>
      <c r="D422">
        <v>2026175249</v>
      </c>
      <c r="E422" t="s">
        <v>726</v>
      </c>
      <c r="F422" t="s">
        <v>727</v>
      </c>
      <c r="G422" t="s">
        <v>51</v>
      </c>
      <c r="H422" t="s">
        <v>101</v>
      </c>
      <c r="I422" t="s">
        <v>89</v>
      </c>
      <c r="J422" t="s">
        <v>111</v>
      </c>
      <c r="K422">
        <v>651818</v>
      </c>
      <c r="L422" t="s">
        <v>112</v>
      </c>
      <c r="M422" t="s">
        <v>104</v>
      </c>
      <c r="N422" t="s">
        <v>57</v>
      </c>
      <c r="O422" s="1">
        <v>45664</v>
      </c>
      <c r="Q422" s="1">
        <v>45968</v>
      </c>
      <c r="R422" s="2">
        <v>61.27</v>
      </c>
      <c r="S422">
        <v>1</v>
      </c>
      <c r="T422" t="s">
        <v>58</v>
      </c>
      <c r="U422" t="s">
        <v>359</v>
      </c>
      <c r="V422" s="3">
        <v>0.75</v>
      </c>
      <c r="W422" s="2">
        <v>0</v>
      </c>
      <c r="X422">
        <v>0</v>
      </c>
      <c r="Y422" t="s">
        <v>60</v>
      </c>
      <c r="Z422" t="s">
        <v>360</v>
      </c>
      <c r="AA422">
        <v>0</v>
      </c>
      <c r="AB422" s="2">
        <v>0</v>
      </c>
      <c r="AC422" s="2">
        <v>0</v>
      </c>
      <c r="AD422" s="3">
        <v>0</v>
      </c>
      <c r="AE422" s="2">
        <v>0</v>
      </c>
      <c r="AF422" s="2">
        <v>0</v>
      </c>
      <c r="AG422" s="2">
        <v>0</v>
      </c>
      <c r="AH422" s="2">
        <v>0</v>
      </c>
      <c r="AI422" s="2">
        <v>0</v>
      </c>
      <c r="AJ422" s="2">
        <v>0</v>
      </c>
      <c r="AK422" s="2">
        <v>0</v>
      </c>
      <c r="AL422" s="2">
        <v>0</v>
      </c>
      <c r="AM422" s="2">
        <v>45.95</v>
      </c>
      <c r="AN422" s="2">
        <v>45.95</v>
      </c>
      <c r="AO422" s="2">
        <v>0</v>
      </c>
      <c r="AP422" s="2">
        <v>0</v>
      </c>
      <c r="AQ422" s="2">
        <v>0</v>
      </c>
    </row>
    <row r="423" spans="1:43" x14ac:dyDescent="0.25">
      <c r="A423" s="1">
        <v>45936</v>
      </c>
      <c r="B423" t="s">
        <v>48</v>
      </c>
      <c r="C423">
        <v>649163</v>
      </c>
      <c r="D423">
        <v>2026185573</v>
      </c>
      <c r="E423" t="s">
        <v>463</v>
      </c>
      <c r="F423" t="s">
        <v>728</v>
      </c>
      <c r="G423" t="s">
        <v>51</v>
      </c>
      <c r="H423" t="s">
        <v>101</v>
      </c>
      <c r="I423" t="s">
        <v>89</v>
      </c>
      <c r="J423" t="s">
        <v>96</v>
      </c>
      <c r="K423">
        <v>651818</v>
      </c>
      <c r="L423" t="s">
        <v>112</v>
      </c>
      <c r="M423" t="s">
        <v>104</v>
      </c>
      <c r="N423" t="s">
        <v>57</v>
      </c>
      <c r="O423" s="1">
        <v>45664</v>
      </c>
      <c r="Q423" s="1">
        <v>45968</v>
      </c>
      <c r="R423" s="2">
        <v>135.59</v>
      </c>
      <c r="S423">
        <v>1</v>
      </c>
      <c r="T423" t="s">
        <v>58</v>
      </c>
      <c r="U423" t="s">
        <v>359</v>
      </c>
      <c r="V423" s="3">
        <v>0.9</v>
      </c>
      <c r="W423" s="2">
        <v>0</v>
      </c>
      <c r="X423">
        <v>0</v>
      </c>
      <c r="Y423" t="s">
        <v>60</v>
      </c>
      <c r="Z423" t="s">
        <v>360</v>
      </c>
      <c r="AA423">
        <v>0</v>
      </c>
      <c r="AB423" s="2">
        <v>0</v>
      </c>
      <c r="AC423" s="2">
        <v>0</v>
      </c>
      <c r="AD423" s="3">
        <v>0</v>
      </c>
      <c r="AE423" s="2">
        <v>0</v>
      </c>
      <c r="AF423" s="2">
        <v>0</v>
      </c>
      <c r="AG423" s="2">
        <v>0</v>
      </c>
      <c r="AH423" s="2">
        <v>0</v>
      </c>
      <c r="AI423" s="2">
        <v>0</v>
      </c>
      <c r="AJ423" s="2">
        <v>0</v>
      </c>
      <c r="AK423" s="2">
        <v>0</v>
      </c>
      <c r="AL423" s="2">
        <v>0</v>
      </c>
      <c r="AM423" s="2">
        <v>122.03</v>
      </c>
      <c r="AN423" s="2">
        <v>122.03</v>
      </c>
      <c r="AO423" s="2">
        <v>0</v>
      </c>
      <c r="AP423" s="2">
        <v>0</v>
      </c>
      <c r="AQ423" s="2">
        <v>0</v>
      </c>
    </row>
    <row r="424" spans="1:43" x14ac:dyDescent="0.25">
      <c r="A424" s="1">
        <v>45936</v>
      </c>
      <c r="B424" t="s">
        <v>48</v>
      </c>
      <c r="C424">
        <v>649163</v>
      </c>
      <c r="D424">
        <v>2026236140</v>
      </c>
      <c r="E424" t="s">
        <v>729</v>
      </c>
      <c r="F424" t="s">
        <v>482</v>
      </c>
      <c r="G424" t="s">
        <v>51</v>
      </c>
      <c r="H424" t="s">
        <v>52</v>
      </c>
      <c r="I424" t="s">
        <v>89</v>
      </c>
      <c r="J424" t="s">
        <v>111</v>
      </c>
      <c r="K424">
        <v>651818</v>
      </c>
      <c r="L424" t="s">
        <v>112</v>
      </c>
      <c r="M424" t="s">
        <v>104</v>
      </c>
      <c r="N424" t="s">
        <v>57</v>
      </c>
      <c r="O424" s="1">
        <v>45664</v>
      </c>
      <c r="Q424" s="1">
        <v>45968</v>
      </c>
      <c r="R424" s="2">
        <v>127.21</v>
      </c>
      <c r="S424">
        <v>1</v>
      </c>
      <c r="T424" t="s">
        <v>58</v>
      </c>
      <c r="U424" t="s">
        <v>359</v>
      </c>
      <c r="V424" s="3">
        <v>0.75</v>
      </c>
      <c r="W424" s="2">
        <v>0</v>
      </c>
      <c r="X424">
        <v>0</v>
      </c>
      <c r="Y424" t="s">
        <v>60</v>
      </c>
      <c r="Z424" t="s">
        <v>360</v>
      </c>
      <c r="AA424">
        <v>0</v>
      </c>
      <c r="AB424" s="2">
        <v>0</v>
      </c>
      <c r="AC424" s="2">
        <v>0</v>
      </c>
      <c r="AD424" s="3">
        <v>0</v>
      </c>
      <c r="AE424" s="2">
        <v>0</v>
      </c>
      <c r="AF424" s="2">
        <v>0</v>
      </c>
      <c r="AG424" s="2">
        <v>0</v>
      </c>
      <c r="AH424" s="2">
        <v>0</v>
      </c>
      <c r="AI424" s="2">
        <v>0</v>
      </c>
      <c r="AJ424" s="2">
        <v>0</v>
      </c>
      <c r="AK424" s="2">
        <v>0</v>
      </c>
      <c r="AL424" s="2">
        <v>0</v>
      </c>
      <c r="AM424" s="2">
        <v>95.41</v>
      </c>
      <c r="AN424" s="2">
        <v>95.41</v>
      </c>
      <c r="AO424" s="2">
        <v>0</v>
      </c>
      <c r="AP424" s="2">
        <v>0</v>
      </c>
      <c r="AQ424" s="2">
        <v>0</v>
      </c>
    </row>
    <row r="425" spans="1:43" x14ac:dyDescent="0.25">
      <c r="A425" s="1">
        <v>45936</v>
      </c>
      <c r="B425" t="s">
        <v>48</v>
      </c>
      <c r="C425">
        <v>649163</v>
      </c>
      <c r="D425">
        <v>2026298483</v>
      </c>
      <c r="E425" t="s">
        <v>730</v>
      </c>
      <c r="F425" t="s">
        <v>220</v>
      </c>
      <c r="G425" t="s">
        <v>51</v>
      </c>
      <c r="H425" t="s">
        <v>101</v>
      </c>
      <c r="I425" t="s">
        <v>89</v>
      </c>
      <c r="J425" t="s">
        <v>111</v>
      </c>
      <c r="K425">
        <v>651818</v>
      </c>
      <c r="L425" t="s">
        <v>112</v>
      </c>
      <c r="M425" t="s">
        <v>104</v>
      </c>
      <c r="N425" t="s">
        <v>57</v>
      </c>
      <c r="O425" s="1">
        <v>45664</v>
      </c>
      <c r="Q425" s="1">
        <v>45968</v>
      </c>
      <c r="R425" s="2">
        <v>25.6</v>
      </c>
      <c r="S425">
        <v>1</v>
      </c>
      <c r="T425" t="s">
        <v>58</v>
      </c>
      <c r="U425" t="s">
        <v>359</v>
      </c>
      <c r="V425" s="3">
        <v>0.75</v>
      </c>
      <c r="W425" s="2">
        <v>0</v>
      </c>
      <c r="X425">
        <v>0</v>
      </c>
      <c r="Y425" t="s">
        <v>60</v>
      </c>
      <c r="Z425" t="s">
        <v>360</v>
      </c>
      <c r="AA425">
        <v>0</v>
      </c>
      <c r="AB425" s="2">
        <v>0</v>
      </c>
      <c r="AC425" s="2">
        <v>0</v>
      </c>
      <c r="AD425" s="3">
        <v>0</v>
      </c>
      <c r="AE425" s="2">
        <v>0</v>
      </c>
      <c r="AF425" s="2">
        <v>0</v>
      </c>
      <c r="AG425" s="2">
        <v>0</v>
      </c>
      <c r="AH425" s="2">
        <v>0</v>
      </c>
      <c r="AI425" s="2">
        <v>0</v>
      </c>
      <c r="AJ425" s="2">
        <v>0</v>
      </c>
      <c r="AK425" s="2">
        <v>0</v>
      </c>
      <c r="AL425" s="2">
        <v>0</v>
      </c>
      <c r="AM425" s="2">
        <v>19.2</v>
      </c>
      <c r="AN425" s="2">
        <v>19.2</v>
      </c>
      <c r="AO425" s="2">
        <v>0</v>
      </c>
      <c r="AP425" s="2">
        <v>0</v>
      </c>
      <c r="AQ425" s="2">
        <v>0</v>
      </c>
    </row>
    <row r="426" spans="1:43" x14ac:dyDescent="0.25">
      <c r="A426" s="1">
        <v>45936</v>
      </c>
      <c r="B426" t="s">
        <v>48</v>
      </c>
      <c r="C426">
        <v>649163</v>
      </c>
      <c r="D426">
        <v>2026443517</v>
      </c>
      <c r="E426" t="s">
        <v>731</v>
      </c>
      <c r="F426" t="s">
        <v>732</v>
      </c>
      <c r="G426" t="s">
        <v>51</v>
      </c>
      <c r="H426" t="s">
        <v>376</v>
      </c>
      <c r="I426" t="s">
        <v>89</v>
      </c>
      <c r="J426" t="s">
        <v>111</v>
      </c>
      <c r="K426">
        <v>651818</v>
      </c>
      <c r="L426" t="s">
        <v>112</v>
      </c>
      <c r="M426" t="s">
        <v>104</v>
      </c>
      <c r="N426" t="s">
        <v>57</v>
      </c>
      <c r="O426" s="1">
        <v>45661</v>
      </c>
      <c r="Q426" s="1">
        <v>45965</v>
      </c>
      <c r="R426" s="2">
        <v>36.65</v>
      </c>
      <c r="S426">
        <v>1</v>
      </c>
      <c r="T426" t="s">
        <v>58</v>
      </c>
      <c r="U426" t="s">
        <v>359</v>
      </c>
      <c r="V426" s="3">
        <v>0.75</v>
      </c>
      <c r="W426" s="2">
        <v>0</v>
      </c>
      <c r="X426">
        <v>0</v>
      </c>
      <c r="Y426" t="s">
        <v>60</v>
      </c>
      <c r="Z426" t="s">
        <v>360</v>
      </c>
      <c r="AA426">
        <v>0</v>
      </c>
      <c r="AB426" s="2">
        <v>0</v>
      </c>
      <c r="AC426" s="2">
        <v>0</v>
      </c>
      <c r="AD426" s="3">
        <v>0</v>
      </c>
      <c r="AE426" s="2">
        <v>0</v>
      </c>
      <c r="AF426" s="2">
        <v>0</v>
      </c>
      <c r="AG426" s="2">
        <v>0</v>
      </c>
      <c r="AH426" s="2">
        <v>0</v>
      </c>
      <c r="AI426" s="2">
        <v>0</v>
      </c>
      <c r="AJ426" s="2">
        <v>0</v>
      </c>
      <c r="AK426" s="2">
        <v>0</v>
      </c>
      <c r="AL426" s="2">
        <v>0</v>
      </c>
      <c r="AM426" s="2">
        <v>27.49</v>
      </c>
      <c r="AN426" s="2">
        <v>27.49</v>
      </c>
      <c r="AO426" s="2">
        <v>0</v>
      </c>
      <c r="AP426" s="2">
        <v>0</v>
      </c>
      <c r="AQ426" s="2">
        <v>0</v>
      </c>
    </row>
    <row r="427" spans="1:43" x14ac:dyDescent="0.25">
      <c r="A427" s="1">
        <v>45936</v>
      </c>
      <c r="B427" t="s">
        <v>48</v>
      </c>
      <c r="C427">
        <v>649163</v>
      </c>
      <c r="D427">
        <v>2026456395</v>
      </c>
      <c r="E427" t="s">
        <v>394</v>
      </c>
      <c r="F427" t="s">
        <v>395</v>
      </c>
      <c r="G427" t="s">
        <v>51</v>
      </c>
      <c r="H427" t="s">
        <v>203</v>
      </c>
      <c r="I427" t="s">
        <v>89</v>
      </c>
      <c r="J427" t="s">
        <v>90</v>
      </c>
      <c r="K427">
        <v>816021</v>
      </c>
      <c r="L427" t="s">
        <v>265</v>
      </c>
      <c r="M427" t="s">
        <v>266</v>
      </c>
      <c r="N427" t="s">
        <v>57</v>
      </c>
      <c r="O427" s="1">
        <v>45662</v>
      </c>
      <c r="Q427" s="1">
        <v>45966</v>
      </c>
      <c r="R427" s="2">
        <v>68.23</v>
      </c>
      <c r="S427">
        <v>1</v>
      </c>
      <c r="T427" t="s">
        <v>58</v>
      </c>
      <c r="U427" t="s">
        <v>359</v>
      </c>
      <c r="V427" s="3">
        <v>0.65</v>
      </c>
      <c r="W427" s="2">
        <v>0</v>
      </c>
      <c r="X427">
        <v>0</v>
      </c>
      <c r="Y427" t="s">
        <v>60</v>
      </c>
      <c r="Z427" t="s">
        <v>360</v>
      </c>
      <c r="AA427">
        <v>0</v>
      </c>
      <c r="AB427" s="2">
        <v>0</v>
      </c>
      <c r="AC427" s="2">
        <v>0</v>
      </c>
      <c r="AD427" s="3">
        <v>0</v>
      </c>
      <c r="AE427" s="2">
        <v>0</v>
      </c>
      <c r="AF427" s="2">
        <v>0</v>
      </c>
      <c r="AG427" s="2">
        <v>0</v>
      </c>
      <c r="AH427" s="2">
        <v>0</v>
      </c>
      <c r="AI427" s="2">
        <v>0</v>
      </c>
      <c r="AJ427" s="2">
        <v>0</v>
      </c>
      <c r="AK427" s="2">
        <v>0</v>
      </c>
      <c r="AL427" s="2">
        <v>0</v>
      </c>
      <c r="AM427" s="2">
        <v>44.35</v>
      </c>
      <c r="AN427" s="2">
        <v>44.35</v>
      </c>
      <c r="AO427" s="2">
        <v>0</v>
      </c>
      <c r="AP427" s="2">
        <v>0</v>
      </c>
      <c r="AQ427" s="2">
        <v>0</v>
      </c>
    </row>
    <row r="428" spans="1:43" x14ac:dyDescent="0.25">
      <c r="A428" s="1">
        <v>45936</v>
      </c>
      <c r="B428" t="s">
        <v>48</v>
      </c>
      <c r="C428">
        <v>649163</v>
      </c>
      <c r="D428">
        <v>2026498048</v>
      </c>
      <c r="E428" t="s">
        <v>733</v>
      </c>
      <c r="F428" t="s">
        <v>734</v>
      </c>
      <c r="G428" t="s">
        <v>51</v>
      </c>
      <c r="H428" t="s">
        <v>52</v>
      </c>
      <c r="I428" t="s">
        <v>89</v>
      </c>
      <c r="J428" t="s">
        <v>111</v>
      </c>
      <c r="K428">
        <v>651818</v>
      </c>
      <c r="L428" t="s">
        <v>112</v>
      </c>
      <c r="M428" t="s">
        <v>104</v>
      </c>
      <c r="N428" t="s">
        <v>57</v>
      </c>
      <c r="O428" s="1">
        <v>45695</v>
      </c>
      <c r="Q428" s="1">
        <v>45968</v>
      </c>
      <c r="R428" s="2">
        <v>160.30000000000001</v>
      </c>
      <c r="S428">
        <v>1</v>
      </c>
      <c r="T428" t="s">
        <v>58</v>
      </c>
      <c r="U428" t="s">
        <v>359</v>
      </c>
      <c r="V428" s="3">
        <v>0.75</v>
      </c>
      <c r="W428" s="2">
        <v>0</v>
      </c>
      <c r="X428">
        <v>0</v>
      </c>
      <c r="Y428" t="s">
        <v>60</v>
      </c>
      <c r="Z428" t="s">
        <v>360</v>
      </c>
      <c r="AA428">
        <v>0</v>
      </c>
      <c r="AB428" s="2">
        <v>0</v>
      </c>
      <c r="AC428" s="2">
        <v>0</v>
      </c>
      <c r="AD428" s="3">
        <v>0</v>
      </c>
      <c r="AE428" s="2">
        <v>0</v>
      </c>
      <c r="AF428" s="2">
        <v>0</v>
      </c>
      <c r="AG428" s="2">
        <v>0</v>
      </c>
      <c r="AH428" s="2">
        <v>0</v>
      </c>
      <c r="AI428" s="2">
        <v>0</v>
      </c>
      <c r="AJ428" s="2">
        <v>0</v>
      </c>
      <c r="AK428" s="2">
        <v>0</v>
      </c>
      <c r="AL428" s="2">
        <v>0</v>
      </c>
      <c r="AM428" s="2">
        <v>120.22</v>
      </c>
      <c r="AN428" s="2">
        <v>120.22</v>
      </c>
      <c r="AO428" s="2">
        <v>0</v>
      </c>
      <c r="AP428" s="2">
        <v>0</v>
      </c>
      <c r="AQ428" s="2">
        <v>0</v>
      </c>
    </row>
    <row r="429" spans="1:43" x14ac:dyDescent="0.25">
      <c r="A429" s="1">
        <v>45936</v>
      </c>
      <c r="B429" t="s">
        <v>48</v>
      </c>
      <c r="C429">
        <v>649163</v>
      </c>
      <c r="D429">
        <v>2026521339</v>
      </c>
      <c r="E429" t="s">
        <v>219</v>
      </c>
      <c r="F429" t="s">
        <v>100</v>
      </c>
      <c r="G429" t="s">
        <v>51</v>
      </c>
      <c r="H429" t="s">
        <v>122</v>
      </c>
      <c r="I429" t="s">
        <v>89</v>
      </c>
      <c r="J429" t="s">
        <v>96</v>
      </c>
      <c r="K429">
        <v>651818</v>
      </c>
      <c r="L429" t="s">
        <v>112</v>
      </c>
      <c r="M429" t="s">
        <v>104</v>
      </c>
      <c r="N429" t="s">
        <v>57</v>
      </c>
      <c r="O429" s="1">
        <v>45695</v>
      </c>
      <c r="Q429" s="1">
        <v>45968</v>
      </c>
      <c r="R429" s="2">
        <v>171.34</v>
      </c>
      <c r="S429">
        <v>1</v>
      </c>
      <c r="T429" t="s">
        <v>58</v>
      </c>
      <c r="U429" t="s">
        <v>359</v>
      </c>
      <c r="V429" s="3">
        <v>0.9</v>
      </c>
      <c r="W429" s="2">
        <v>0</v>
      </c>
      <c r="X429">
        <v>0</v>
      </c>
      <c r="Y429" t="s">
        <v>60</v>
      </c>
      <c r="Z429" t="s">
        <v>360</v>
      </c>
      <c r="AA429">
        <v>0</v>
      </c>
      <c r="AB429" s="2">
        <v>0</v>
      </c>
      <c r="AC429" s="2">
        <v>0</v>
      </c>
      <c r="AD429" s="3">
        <v>0</v>
      </c>
      <c r="AE429" s="2">
        <v>0</v>
      </c>
      <c r="AF429" s="2">
        <v>0</v>
      </c>
      <c r="AG429" s="2">
        <v>0</v>
      </c>
      <c r="AH429" s="2">
        <v>0</v>
      </c>
      <c r="AI429" s="2">
        <v>0</v>
      </c>
      <c r="AJ429" s="2">
        <v>0</v>
      </c>
      <c r="AK429" s="2">
        <v>0</v>
      </c>
      <c r="AL429" s="2">
        <v>0</v>
      </c>
      <c r="AM429" s="2">
        <v>154.21</v>
      </c>
      <c r="AN429" s="2">
        <v>154.21</v>
      </c>
      <c r="AO429" s="2">
        <v>0</v>
      </c>
      <c r="AP429" s="2">
        <v>0</v>
      </c>
      <c r="AQ429" s="2">
        <v>0</v>
      </c>
    </row>
    <row r="430" spans="1:43" x14ac:dyDescent="0.25">
      <c r="A430" s="1">
        <v>45936</v>
      </c>
      <c r="B430" t="s">
        <v>48</v>
      </c>
      <c r="C430">
        <v>649163</v>
      </c>
      <c r="D430">
        <v>2026544306</v>
      </c>
      <c r="E430" t="s">
        <v>735</v>
      </c>
      <c r="F430" t="s">
        <v>736</v>
      </c>
      <c r="G430" t="s">
        <v>51</v>
      </c>
      <c r="H430" t="s">
        <v>122</v>
      </c>
      <c r="I430" t="s">
        <v>89</v>
      </c>
      <c r="J430" t="s">
        <v>111</v>
      </c>
      <c r="K430">
        <v>651818</v>
      </c>
      <c r="L430" t="s">
        <v>112</v>
      </c>
      <c r="M430" t="s">
        <v>104</v>
      </c>
      <c r="N430" t="s">
        <v>57</v>
      </c>
      <c r="O430" s="1">
        <v>45695</v>
      </c>
      <c r="Q430" s="1">
        <v>45968</v>
      </c>
      <c r="R430" s="2">
        <v>189.31</v>
      </c>
      <c r="S430">
        <v>1</v>
      </c>
      <c r="T430" t="s">
        <v>58</v>
      </c>
      <c r="U430" t="s">
        <v>359</v>
      </c>
      <c r="V430" s="3">
        <v>0.75</v>
      </c>
      <c r="W430" s="2">
        <v>0</v>
      </c>
      <c r="X430">
        <v>0</v>
      </c>
      <c r="Y430" t="s">
        <v>60</v>
      </c>
      <c r="Z430" t="s">
        <v>360</v>
      </c>
      <c r="AA430">
        <v>0</v>
      </c>
      <c r="AB430" s="2">
        <v>0</v>
      </c>
      <c r="AC430" s="2">
        <v>0</v>
      </c>
      <c r="AD430" s="3">
        <v>0</v>
      </c>
      <c r="AE430" s="2">
        <v>0</v>
      </c>
      <c r="AF430" s="2">
        <v>0</v>
      </c>
      <c r="AG430" s="2">
        <v>0</v>
      </c>
      <c r="AH430" s="2">
        <v>0</v>
      </c>
      <c r="AI430" s="2">
        <v>0</v>
      </c>
      <c r="AJ430" s="2">
        <v>0</v>
      </c>
      <c r="AK430" s="2">
        <v>0</v>
      </c>
      <c r="AL430" s="2">
        <v>0</v>
      </c>
      <c r="AM430" s="2">
        <v>141.97999999999999</v>
      </c>
      <c r="AN430" s="2">
        <v>141.97999999999999</v>
      </c>
      <c r="AO430" s="2">
        <v>0</v>
      </c>
      <c r="AP430" s="2">
        <v>0</v>
      </c>
      <c r="AQ430" s="2">
        <v>0</v>
      </c>
    </row>
    <row r="431" spans="1:43" x14ac:dyDescent="0.25">
      <c r="A431" s="1">
        <v>45936</v>
      </c>
      <c r="B431" t="s">
        <v>48</v>
      </c>
      <c r="C431">
        <v>649163</v>
      </c>
      <c r="D431">
        <v>2026599464</v>
      </c>
      <c r="E431" t="s">
        <v>737</v>
      </c>
      <c r="F431" t="s">
        <v>738</v>
      </c>
      <c r="G431" t="s">
        <v>51</v>
      </c>
      <c r="H431" t="s">
        <v>390</v>
      </c>
      <c r="I431" t="s">
        <v>89</v>
      </c>
      <c r="J431" t="s">
        <v>111</v>
      </c>
      <c r="K431">
        <v>651818</v>
      </c>
      <c r="L431" t="s">
        <v>112</v>
      </c>
      <c r="M431" t="s">
        <v>104</v>
      </c>
      <c r="N431" t="s">
        <v>57</v>
      </c>
      <c r="O431" s="1">
        <v>45695</v>
      </c>
      <c r="Q431" s="1">
        <v>45968</v>
      </c>
      <c r="R431" s="2">
        <v>64.23</v>
      </c>
      <c r="S431">
        <v>1</v>
      </c>
      <c r="T431" t="s">
        <v>58</v>
      </c>
      <c r="U431" t="s">
        <v>359</v>
      </c>
      <c r="V431" s="3">
        <v>0.75</v>
      </c>
      <c r="W431" s="2">
        <v>0</v>
      </c>
      <c r="X431">
        <v>0</v>
      </c>
      <c r="Y431" t="s">
        <v>60</v>
      </c>
      <c r="Z431" t="s">
        <v>360</v>
      </c>
      <c r="AA431">
        <v>0</v>
      </c>
      <c r="AB431" s="2">
        <v>0</v>
      </c>
      <c r="AC431" s="2">
        <v>0</v>
      </c>
      <c r="AD431" s="3">
        <v>0</v>
      </c>
      <c r="AE431" s="2">
        <v>0</v>
      </c>
      <c r="AF431" s="2">
        <v>0</v>
      </c>
      <c r="AG431" s="2">
        <v>0</v>
      </c>
      <c r="AH431" s="2">
        <v>0</v>
      </c>
      <c r="AI431" s="2">
        <v>0</v>
      </c>
      <c r="AJ431" s="2">
        <v>0</v>
      </c>
      <c r="AK431" s="2">
        <v>0</v>
      </c>
      <c r="AL431" s="2">
        <v>0</v>
      </c>
      <c r="AM431" s="2">
        <v>48.17</v>
      </c>
      <c r="AN431" s="2">
        <v>48.17</v>
      </c>
      <c r="AO431" s="2">
        <v>0</v>
      </c>
      <c r="AP431" s="2">
        <v>0</v>
      </c>
      <c r="AQ431" s="2">
        <v>0</v>
      </c>
    </row>
    <row r="432" spans="1:43" x14ac:dyDescent="0.25">
      <c r="A432" s="1">
        <v>45936</v>
      </c>
      <c r="B432" t="s">
        <v>48</v>
      </c>
      <c r="C432">
        <v>649163</v>
      </c>
      <c r="D432">
        <v>2026617927</v>
      </c>
      <c r="E432" t="s">
        <v>739</v>
      </c>
      <c r="F432" t="s">
        <v>740</v>
      </c>
      <c r="G432" t="s">
        <v>51</v>
      </c>
      <c r="H432" t="s">
        <v>52</v>
      </c>
      <c r="I432" t="s">
        <v>89</v>
      </c>
      <c r="J432" t="s">
        <v>111</v>
      </c>
      <c r="K432">
        <v>651818</v>
      </c>
      <c r="L432" t="s">
        <v>112</v>
      </c>
      <c r="M432" t="s">
        <v>104</v>
      </c>
      <c r="N432" t="s">
        <v>57</v>
      </c>
      <c r="O432" s="1">
        <v>45695</v>
      </c>
      <c r="Q432" s="1">
        <v>45968</v>
      </c>
      <c r="R432" s="2">
        <v>71.63</v>
      </c>
      <c r="S432">
        <v>1</v>
      </c>
      <c r="T432" t="s">
        <v>58</v>
      </c>
      <c r="U432" t="s">
        <v>359</v>
      </c>
      <c r="V432" s="3">
        <v>0.75</v>
      </c>
      <c r="W432" s="2">
        <v>0</v>
      </c>
      <c r="X432">
        <v>0</v>
      </c>
      <c r="Y432" t="s">
        <v>60</v>
      </c>
      <c r="Z432" t="s">
        <v>360</v>
      </c>
      <c r="AA432">
        <v>0</v>
      </c>
      <c r="AB432" s="2">
        <v>0</v>
      </c>
      <c r="AC432" s="2">
        <v>0</v>
      </c>
      <c r="AD432" s="3">
        <v>0</v>
      </c>
      <c r="AE432" s="2">
        <v>0</v>
      </c>
      <c r="AF432" s="2">
        <v>0</v>
      </c>
      <c r="AG432" s="2">
        <v>0</v>
      </c>
      <c r="AH432" s="2">
        <v>0</v>
      </c>
      <c r="AI432" s="2">
        <v>0</v>
      </c>
      <c r="AJ432" s="2">
        <v>0</v>
      </c>
      <c r="AK432" s="2">
        <v>0</v>
      </c>
      <c r="AL432" s="2">
        <v>0</v>
      </c>
      <c r="AM432" s="2">
        <v>53.72</v>
      </c>
      <c r="AN432" s="2">
        <v>53.72</v>
      </c>
      <c r="AO432" s="2">
        <v>0</v>
      </c>
      <c r="AP432" s="2">
        <v>0</v>
      </c>
      <c r="AQ432" s="2">
        <v>0</v>
      </c>
    </row>
    <row r="433" spans="1:43" x14ac:dyDescent="0.25">
      <c r="A433" s="1">
        <v>45936</v>
      </c>
      <c r="B433" t="s">
        <v>48</v>
      </c>
      <c r="C433">
        <v>649163</v>
      </c>
      <c r="D433">
        <v>2026619726</v>
      </c>
      <c r="E433" t="s">
        <v>188</v>
      </c>
      <c r="F433" t="s">
        <v>337</v>
      </c>
      <c r="G433" t="s">
        <v>51</v>
      </c>
      <c r="H433" t="s">
        <v>52</v>
      </c>
      <c r="I433" t="s">
        <v>89</v>
      </c>
      <c r="J433" t="s">
        <v>96</v>
      </c>
      <c r="K433">
        <v>753748</v>
      </c>
      <c r="L433" t="s">
        <v>97</v>
      </c>
      <c r="M433" t="s">
        <v>98</v>
      </c>
      <c r="N433" t="s">
        <v>57</v>
      </c>
      <c r="O433" s="1">
        <v>45689</v>
      </c>
      <c r="Q433" s="1">
        <v>45962</v>
      </c>
      <c r="R433" s="2">
        <v>-239.84</v>
      </c>
      <c r="S433">
        <v>1</v>
      </c>
      <c r="T433" t="s">
        <v>58</v>
      </c>
      <c r="U433" t="s">
        <v>359</v>
      </c>
      <c r="V433" s="3">
        <v>0.9</v>
      </c>
      <c r="W433" s="2">
        <v>0</v>
      </c>
      <c r="X433">
        <v>-1</v>
      </c>
      <c r="Y433" t="s">
        <v>60</v>
      </c>
      <c r="Z433" t="s">
        <v>360</v>
      </c>
      <c r="AA433">
        <v>0</v>
      </c>
      <c r="AB433" s="2">
        <v>0</v>
      </c>
      <c r="AC433" s="2">
        <v>0</v>
      </c>
      <c r="AD433" s="3">
        <v>0</v>
      </c>
      <c r="AE433" s="2">
        <v>0</v>
      </c>
      <c r="AF433" s="2">
        <v>0</v>
      </c>
      <c r="AG433" s="2">
        <v>0</v>
      </c>
      <c r="AH433" s="2">
        <v>0</v>
      </c>
      <c r="AI433" s="2">
        <v>0</v>
      </c>
      <c r="AJ433" s="2">
        <v>0</v>
      </c>
      <c r="AK433" s="2">
        <v>0</v>
      </c>
      <c r="AL433" s="2">
        <v>0</v>
      </c>
      <c r="AM433" s="2">
        <v>-215.86</v>
      </c>
      <c r="AN433" s="2">
        <v>-215.86</v>
      </c>
      <c r="AO433" s="2">
        <v>0</v>
      </c>
      <c r="AP433" s="2">
        <v>0</v>
      </c>
      <c r="AQ433" s="2">
        <v>0</v>
      </c>
    </row>
    <row r="434" spans="1:43" x14ac:dyDescent="0.25">
      <c r="A434" s="1">
        <v>45936</v>
      </c>
      <c r="B434" t="s">
        <v>48</v>
      </c>
      <c r="C434">
        <v>649163</v>
      </c>
      <c r="D434">
        <v>2026628668</v>
      </c>
      <c r="E434" t="s">
        <v>741</v>
      </c>
      <c r="F434" t="s">
        <v>81</v>
      </c>
      <c r="G434" t="s">
        <v>51</v>
      </c>
      <c r="H434" t="s">
        <v>101</v>
      </c>
      <c r="I434" t="s">
        <v>89</v>
      </c>
      <c r="J434" t="s">
        <v>111</v>
      </c>
      <c r="K434">
        <v>651818</v>
      </c>
      <c r="L434" t="s">
        <v>112</v>
      </c>
      <c r="M434" t="s">
        <v>104</v>
      </c>
      <c r="N434" t="s">
        <v>57</v>
      </c>
      <c r="O434" s="1">
        <v>45695</v>
      </c>
      <c r="Q434" s="1">
        <v>45968</v>
      </c>
      <c r="R434" s="2">
        <v>39.4</v>
      </c>
      <c r="S434">
        <v>1</v>
      </c>
      <c r="T434" t="s">
        <v>58</v>
      </c>
      <c r="U434" t="s">
        <v>359</v>
      </c>
      <c r="V434" s="3">
        <v>0.75</v>
      </c>
      <c r="W434" s="2">
        <v>0</v>
      </c>
      <c r="X434">
        <v>0</v>
      </c>
      <c r="Y434" t="s">
        <v>60</v>
      </c>
      <c r="Z434" t="s">
        <v>360</v>
      </c>
      <c r="AA434">
        <v>0</v>
      </c>
      <c r="AB434" s="2">
        <v>0</v>
      </c>
      <c r="AC434" s="2">
        <v>0</v>
      </c>
      <c r="AD434" s="3">
        <v>0</v>
      </c>
      <c r="AE434" s="2">
        <v>0</v>
      </c>
      <c r="AF434" s="2">
        <v>0</v>
      </c>
      <c r="AG434" s="2">
        <v>0</v>
      </c>
      <c r="AH434" s="2">
        <v>0</v>
      </c>
      <c r="AI434" s="2">
        <v>0</v>
      </c>
      <c r="AJ434" s="2">
        <v>0</v>
      </c>
      <c r="AK434" s="2">
        <v>0</v>
      </c>
      <c r="AL434" s="2">
        <v>0</v>
      </c>
      <c r="AM434" s="2">
        <v>29.55</v>
      </c>
      <c r="AN434" s="2">
        <v>29.55</v>
      </c>
      <c r="AO434" s="2">
        <v>0</v>
      </c>
      <c r="AP434" s="2">
        <v>0</v>
      </c>
      <c r="AQ434" s="2">
        <v>0</v>
      </c>
    </row>
    <row r="435" spans="1:43" x14ac:dyDescent="0.25">
      <c r="A435" s="1">
        <v>45936</v>
      </c>
      <c r="B435" t="s">
        <v>48</v>
      </c>
      <c r="C435">
        <v>649163</v>
      </c>
      <c r="D435">
        <v>2026637122</v>
      </c>
      <c r="E435" t="s">
        <v>402</v>
      </c>
      <c r="F435" t="s">
        <v>94</v>
      </c>
      <c r="G435" t="s">
        <v>51</v>
      </c>
      <c r="H435" t="s">
        <v>376</v>
      </c>
      <c r="I435" t="s">
        <v>89</v>
      </c>
      <c r="J435" t="s">
        <v>111</v>
      </c>
      <c r="K435">
        <v>651818</v>
      </c>
      <c r="L435" t="s">
        <v>112</v>
      </c>
      <c r="M435" t="s">
        <v>104</v>
      </c>
      <c r="N435" t="s">
        <v>57</v>
      </c>
      <c r="O435" s="1">
        <v>45695</v>
      </c>
      <c r="Q435" s="1">
        <v>45968</v>
      </c>
      <c r="R435" s="2">
        <v>92.48</v>
      </c>
      <c r="S435">
        <v>1</v>
      </c>
      <c r="T435" t="s">
        <v>58</v>
      </c>
      <c r="U435" t="s">
        <v>359</v>
      </c>
      <c r="V435" s="3">
        <v>0.75</v>
      </c>
      <c r="W435" s="2">
        <v>0</v>
      </c>
      <c r="X435">
        <v>0</v>
      </c>
      <c r="Y435" t="s">
        <v>60</v>
      </c>
      <c r="Z435" t="s">
        <v>360</v>
      </c>
      <c r="AA435">
        <v>0</v>
      </c>
      <c r="AB435" s="2">
        <v>0</v>
      </c>
      <c r="AC435" s="2">
        <v>0</v>
      </c>
      <c r="AD435" s="3">
        <v>0</v>
      </c>
      <c r="AE435" s="2">
        <v>0</v>
      </c>
      <c r="AF435" s="2">
        <v>0</v>
      </c>
      <c r="AG435" s="2">
        <v>0</v>
      </c>
      <c r="AH435" s="2">
        <v>0</v>
      </c>
      <c r="AI435" s="2">
        <v>0</v>
      </c>
      <c r="AJ435" s="2">
        <v>0</v>
      </c>
      <c r="AK435" s="2">
        <v>0</v>
      </c>
      <c r="AL435" s="2">
        <v>0</v>
      </c>
      <c r="AM435" s="2">
        <v>69.36</v>
      </c>
      <c r="AN435" s="2">
        <v>69.36</v>
      </c>
      <c r="AO435" s="2">
        <v>0</v>
      </c>
      <c r="AP435" s="2">
        <v>0</v>
      </c>
      <c r="AQ435" s="2">
        <v>0</v>
      </c>
    </row>
    <row r="436" spans="1:43" x14ac:dyDescent="0.25">
      <c r="A436" s="1">
        <v>45936</v>
      </c>
      <c r="B436" t="s">
        <v>48</v>
      </c>
      <c r="C436">
        <v>649163</v>
      </c>
      <c r="D436">
        <v>2026655555</v>
      </c>
      <c r="E436" t="s">
        <v>742</v>
      </c>
      <c r="F436" t="s">
        <v>224</v>
      </c>
      <c r="G436" t="s">
        <v>51</v>
      </c>
      <c r="H436" t="s">
        <v>101</v>
      </c>
      <c r="I436" t="s">
        <v>89</v>
      </c>
      <c r="J436" t="s">
        <v>111</v>
      </c>
      <c r="K436">
        <v>651818</v>
      </c>
      <c r="L436" t="s">
        <v>112</v>
      </c>
      <c r="M436" t="s">
        <v>104</v>
      </c>
      <c r="N436" t="s">
        <v>57</v>
      </c>
      <c r="O436" s="1">
        <v>45695</v>
      </c>
      <c r="Q436" s="1">
        <v>45968</v>
      </c>
      <c r="R436" s="2">
        <v>193.9</v>
      </c>
      <c r="S436">
        <v>1</v>
      </c>
      <c r="T436" t="s">
        <v>58</v>
      </c>
      <c r="U436" t="s">
        <v>359</v>
      </c>
      <c r="V436" s="3">
        <v>0.75</v>
      </c>
      <c r="W436" s="2">
        <v>0</v>
      </c>
      <c r="X436">
        <v>0</v>
      </c>
      <c r="Y436" t="s">
        <v>60</v>
      </c>
      <c r="Z436" t="s">
        <v>360</v>
      </c>
      <c r="AA436">
        <v>0</v>
      </c>
      <c r="AB436" s="2">
        <v>0</v>
      </c>
      <c r="AC436" s="2">
        <v>0</v>
      </c>
      <c r="AD436" s="3">
        <v>0</v>
      </c>
      <c r="AE436" s="2">
        <v>0</v>
      </c>
      <c r="AF436" s="2">
        <v>0</v>
      </c>
      <c r="AG436" s="2">
        <v>0</v>
      </c>
      <c r="AH436" s="2">
        <v>0</v>
      </c>
      <c r="AI436" s="2">
        <v>0</v>
      </c>
      <c r="AJ436" s="2">
        <v>0</v>
      </c>
      <c r="AK436" s="2">
        <v>0</v>
      </c>
      <c r="AL436" s="2">
        <v>0</v>
      </c>
      <c r="AM436" s="2">
        <v>145.41999999999999</v>
      </c>
      <c r="AN436" s="2">
        <v>145.41999999999999</v>
      </c>
      <c r="AO436" s="2">
        <v>0</v>
      </c>
      <c r="AP436" s="2">
        <v>0</v>
      </c>
      <c r="AQ436" s="2">
        <v>0</v>
      </c>
    </row>
    <row r="437" spans="1:43" x14ac:dyDescent="0.25">
      <c r="A437" s="1">
        <v>45936</v>
      </c>
      <c r="B437" t="s">
        <v>48</v>
      </c>
      <c r="C437">
        <v>649163</v>
      </c>
      <c r="D437">
        <v>2026680615</v>
      </c>
      <c r="E437" t="s">
        <v>402</v>
      </c>
      <c r="F437" t="s">
        <v>743</v>
      </c>
      <c r="G437" t="s">
        <v>51</v>
      </c>
      <c r="H437" t="s">
        <v>155</v>
      </c>
      <c r="I437" t="s">
        <v>89</v>
      </c>
      <c r="J437" t="s">
        <v>111</v>
      </c>
      <c r="K437">
        <v>651818</v>
      </c>
      <c r="L437" t="s">
        <v>112</v>
      </c>
      <c r="M437" t="s">
        <v>104</v>
      </c>
      <c r="N437" t="s">
        <v>57</v>
      </c>
      <c r="O437" s="1">
        <v>45695</v>
      </c>
      <c r="Q437" s="1">
        <v>45968</v>
      </c>
      <c r="R437" s="2">
        <v>31.75</v>
      </c>
      <c r="S437">
        <v>1</v>
      </c>
      <c r="T437" t="s">
        <v>58</v>
      </c>
      <c r="U437" t="s">
        <v>359</v>
      </c>
      <c r="V437" s="3">
        <v>0.75</v>
      </c>
      <c r="W437" s="2">
        <v>0</v>
      </c>
      <c r="X437">
        <v>0</v>
      </c>
      <c r="Y437" t="s">
        <v>60</v>
      </c>
      <c r="Z437" t="s">
        <v>360</v>
      </c>
      <c r="AA437">
        <v>0</v>
      </c>
      <c r="AB437" s="2">
        <v>0</v>
      </c>
      <c r="AC437" s="2">
        <v>0</v>
      </c>
      <c r="AD437" s="3">
        <v>0</v>
      </c>
      <c r="AE437" s="2">
        <v>0</v>
      </c>
      <c r="AF437" s="2">
        <v>0</v>
      </c>
      <c r="AG437" s="2">
        <v>0</v>
      </c>
      <c r="AH437" s="2">
        <v>0</v>
      </c>
      <c r="AI437" s="2">
        <v>0</v>
      </c>
      <c r="AJ437" s="2">
        <v>0</v>
      </c>
      <c r="AK437" s="2">
        <v>0</v>
      </c>
      <c r="AL437" s="2">
        <v>0</v>
      </c>
      <c r="AM437" s="2">
        <v>23.81</v>
      </c>
      <c r="AN437" s="2">
        <v>23.81</v>
      </c>
      <c r="AO437" s="2">
        <v>0</v>
      </c>
      <c r="AP437" s="2">
        <v>0</v>
      </c>
      <c r="AQ437" s="2">
        <v>0</v>
      </c>
    </row>
    <row r="438" spans="1:43" x14ac:dyDescent="0.25">
      <c r="A438" s="1">
        <v>45936</v>
      </c>
      <c r="B438" t="s">
        <v>48</v>
      </c>
      <c r="C438">
        <v>649163</v>
      </c>
      <c r="D438">
        <v>2026682347</v>
      </c>
      <c r="E438" t="s">
        <v>744</v>
      </c>
      <c r="F438" t="s">
        <v>745</v>
      </c>
      <c r="G438" t="s">
        <v>51</v>
      </c>
      <c r="H438" t="s">
        <v>101</v>
      </c>
      <c r="I438" t="s">
        <v>89</v>
      </c>
      <c r="J438" t="s">
        <v>111</v>
      </c>
      <c r="K438">
        <v>651818</v>
      </c>
      <c r="L438" t="s">
        <v>112</v>
      </c>
      <c r="M438" t="s">
        <v>104</v>
      </c>
      <c r="N438" t="s">
        <v>57</v>
      </c>
      <c r="O438" s="1">
        <v>45695</v>
      </c>
      <c r="Q438" s="1">
        <v>45968</v>
      </c>
      <c r="R438" s="2">
        <v>21.78</v>
      </c>
      <c r="S438">
        <v>1</v>
      </c>
      <c r="T438" t="s">
        <v>58</v>
      </c>
      <c r="U438" t="s">
        <v>359</v>
      </c>
      <c r="V438" s="3">
        <v>0.75</v>
      </c>
      <c r="W438" s="2">
        <v>0</v>
      </c>
      <c r="X438">
        <v>0</v>
      </c>
      <c r="Y438" t="s">
        <v>60</v>
      </c>
      <c r="Z438" t="s">
        <v>360</v>
      </c>
      <c r="AA438">
        <v>0</v>
      </c>
      <c r="AB438" s="2">
        <v>0</v>
      </c>
      <c r="AC438" s="2">
        <v>0</v>
      </c>
      <c r="AD438" s="3">
        <v>0</v>
      </c>
      <c r="AE438" s="2">
        <v>0</v>
      </c>
      <c r="AF438" s="2">
        <v>0</v>
      </c>
      <c r="AG438" s="2">
        <v>0</v>
      </c>
      <c r="AH438" s="2">
        <v>0</v>
      </c>
      <c r="AI438" s="2">
        <v>0</v>
      </c>
      <c r="AJ438" s="2">
        <v>0</v>
      </c>
      <c r="AK438" s="2">
        <v>0</v>
      </c>
      <c r="AL438" s="2">
        <v>0</v>
      </c>
      <c r="AM438" s="2">
        <v>16.34</v>
      </c>
      <c r="AN438" s="2">
        <v>16.34</v>
      </c>
      <c r="AO438" s="2">
        <v>0</v>
      </c>
      <c r="AP438" s="2">
        <v>0</v>
      </c>
      <c r="AQ438" s="2">
        <v>0</v>
      </c>
    </row>
    <row r="439" spans="1:43" x14ac:dyDescent="0.25">
      <c r="A439" s="1">
        <v>45936</v>
      </c>
      <c r="B439" t="s">
        <v>48</v>
      </c>
      <c r="C439">
        <v>649163</v>
      </c>
      <c r="D439">
        <v>2026683722</v>
      </c>
      <c r="E439" t="s">
        <v>678</v>
      </c>
      <c r="F439" t="s">
        <v>746</v>
      </c>
      <c r="G439" t="s">
        <v>51</v>
      </c>
      <c r="H439" t="s">
        <v>122</v>
      </c>
      <c r="I439" t="s">
        <v>89</v>
      </c>
      <c r="J439" t="s">
        <v>96</v>
      </c>
      <c r="K439">
        <v>651818</v>
      </c>
      <c r="L439" t="s">
        <v>112</v>
      </c>
      <c r="M439" t="s">
        <v>104</v>
      </c>
      <c r="N439" t="s">
        <v>57</v>
      </c>
      <c r="O439" s="1">
        <v>45695</v>
      </c>
      <c r="Q439" s="1">
        <v>45968</v>
      </c>
      <c r="R439" s="2">
        <v>194.91</v>
      </c>
      <c r="S439">
        <v>1</v>
      </c>
      <c r="T439" t="s">
        <v>58</v>
      </c>
      <c r="U439" t="s">
        <v>359</v>
      </c>
      <c r="V439" s="3">
        <v>0.9</v>
      </c>
      <c r="W439" s="2">
        <v>0</v>
      </c>
      <c r="X439">
        <v>0</v>
      </c>
      <c r="Y439" t="s">
        <v>60</v>
      </c>
      <c r="Z439" t="s">
        <v>360</v>
      </c>
      <c r="AA439">
        <v>0</v>
      </c>
      <c r="AB439" s="2">
        <v>0</v>
      </c>
      <c r="AC439" s="2">
        <v>0</v>
      </c>
      <c r="AD439" s="3">
        <v>0</v>
      </c>
      <c r="AE439" s="2">
        <v>0</v>
      </c>
      <c r="AF439" s="2">
        <v>0</v>
      </c>
      <c r="AG439" s="2">
        <v>0</v>
      </c>
      <c r="AH439" s="2">
        <v>0</v>
      </c>
      <c r="AI439" s="2">
        <v>0</v>
      </c>
      <c r="AJ439" s="2">
        <v>0</v>
      </c>
      <c r="AK439" s="2">
        <v>0</v>
      </c>
      <c r="AL439" s="2">
        <v>0</v>
      </c>
      <c r="AM439" s="2">
        <v>175.42</v>
      </c>
      <c r="AN439" s="2">
        <v>175.42</v>
      </c>
      <c r="AO439" s="2">
        <v>0</v>
      </c>
      <c r="AP439" s="2">
        <v>0</v>
      </c>
      <c r="AQ439" s="2">
        <v>0</v>
      </c>
    </row>
    <row r="440" spans="1:43" x14ac:dyDescent="0.25">
      <c r="A440" s="1">
        <v>45936</v>
      </c>
      <c r="B440" t="s">
        <v>48</v>
      </c>
      <c r="C440">
        <v>649163</v>
      </c>
      <c r="D440">
        <v>2026685116</v>
      </c>
      <c r="E440" t="s">
        <v>747</v>
      </c>
      <c r="F440" t="s">
        <v>507</v>
      </c>
      <c r="G440" t="s">
        <v>51</v>
      </c>
      <c r="H440" t="s">
        <v>376</v>
      </c>
      <c r="I440" t="s">
        <v>89</v>
      </c>
      <c r="J440" t="s">
        <v>96</v>
      </c>
      <c r="K440">
        <v>651818</v>
      </c>
      <c r="L440" t="s">
        <v>112</v>
      </c>
      <c r="M440" t="s">
        <v>104</v>
      </c>
      <c r="N440" t="s">
        <v>57</v>
      </c>
      <c r="O440" s="1">
        <v>45695</v>
      </c>
      <c r="Q440" s="1">
        <v>45968</v>
      </c>
      <c r="R440" s="2">
        <v>93.13</v>
      </c>
      <c r="S440">
        <v>1</v>
      </c>
      <c r="T440" t="s">
        <v>58</v>
      </c>
      <c r="U440" t="s">
        <v>359</v>
      </c>
      <c r="V440" s="3">
        <v>0.9</v>
      </c>
      <c r="W440" s="2">
        <v>0</v>
      </c>
      <c r="X440">
        <v>0</v>
      </c>
      <c r="Y440" t="s">
        <v>60</v>
      </c>
      <c r="Z440" t="s">
        <v>360</v>
      </c>
      <c r="AA440">
        <v>0</v>
      </c>
      <c r="AB440" s="2">
        <v>0</v>
      </c>
      <c r="AC440" s="2">
        <v>0</v>
      </c>
      <c r="AD440" s="3">
        <v>0</v>
      </c>
      <c r="AE440" s="2">
        <v>0</v>
      </c>
      <c r="AF440" s="2">
        <v>0</v>
      </c>
      <c r="AG440" s="2">
        <v>0</v>
      </c>
      <c r="AH440" s="2">
        <v>0</v>
      </c>
      <c r="AI440" s="2">
        <v>0</v>
      </c>
      <c r="AJ440" s="2">
        <v>0</v>
      </c>
      <c r="AK440" s="2">
        <v>0</v>
      </c>
      <c r="AL440" s="2">
        <v>0</v>
      </c>
      <c r="AM440" s="2">
        <v>83.82</v>
      </c>
      <c r="AN440" s="2">
        <v>83.82</v>
      </c>
      <c r="AO440" s="2">
        <v>0</v>
      </c>
      <c r="AP440" s="2">
        <v>0</v>
      </c>
      <c r="AQ440" s="2">
        <v>0</v>
      </c>
    </row>
    <row r="441" spans="1:43" x14ac:dyDescent="0.25">
      <c r="A441" s="1">
        <v>45936</v>
      </c>
      <c r="B441" t="s">
        <v>48</v>
      </c>
      <c r="C441">
        <v>649163</v>
      </c>
      <c r="D441">
        <v>2026698496</v>
      </c>
      <c r="E441" t="s">
        <v>398</v>
      </c>
      <c r="F441" t="s">
        <v>399</v>
      </c>
      <c r="G441" t="s">
        <v>51</v>
      </c>
      <c r="H441" t="s">
        <v>122</v>
      </c>
      <c r="I441" t="s">
        <v>89</v>
      </c>
      <c r="J441" t="s">
        <v>111</v>
      </c>
      <c r="K441">
        <v>651818</v>
      </c>
      <c r="L441" t="s">
        <v>112</v>
      </c>
      <c r="M441" t="s">
        <v>104</v>
      </c>
      <c r="N441" t="s">
        <v>57</v>
      </c>
      <c r="O441" s="1">
        <v>45695</v>
      </c>
      <c r="Q441" s="1">
        <v>45968</v>
      </c>
      <c r="R441" s="2">
        <v>37.979999999999997</v>
      </c>
      <c r="S441">
        <v>1</v>
      </c>
      <c r="T441" t="s">
        <v>58</v>
      </c>
      <c r="U441" t="s">
        <v>359</v>
      </c>
      <c r="V441" s="3">
        <v>0.75</v>
      </c>
      <c r="W441" s="2">
        <v>0</v>
      </c>
      <c r="X441">
        <v>0</v>
      </c>
      <c r="Y441" t="s">
        <v>60</v>
      </c>
      <c r="Z441" t="s">
        <v>360</v>
      </c>
      <c r="AA441">
        <v>0</v>
      </c>
      <c r="AB441" s="2">
        <v>0</v>
      </c>
      <c r="AC441" s="2">
        <v>0</v>
      </c>
      <c r="AD441" s="3">
        <v>0</v>
      </c>
      <c r="AE441" s="2">
        <v>0</v>
      </c>
      <c r="AF441" s="2">
        <v>0</v>
      </c>
      <c r="AG441" s="2">
        <v>0</v>
      </c>
      <c r="AH441" s="2">
        <v>0</v>
      </c>
      <c r="AI441" s="2">
        <v>0</v>
      </c>
      <c r="AJ441" s="2">
        <v>0</v>
      </c>
      <c r="AK441" s="2">
        <v>0</v>
      </c>
      <c r="AL441" s="2">
        <v>0</v>
      </c>
      <c r="AM441" s="2">
        <v>28.48</v>
      </c>
      <c r="AN441" s="2">
        <v>28.48</v>
      </c>
      <c r="AO441" s="2">
        <v>0</v>
      </c>
      <c r="AP441" s="2">
        <v>0</v>
      </c>
      <c r="AQ441" s="2">
        <v>0</v>
      </c>
    </row>
    <row r="442" spans="1:43" x14ac:dyDescent="0.25">
      <c r="A442" s="1">
        <v>45936</v>
      </c>
      <c r="B442" t="s">
        <v>48</v>
      </c>
      <c r="C442">
        <v>649163</v>
      </c>
      <c r="D442">
        <v>2026832449</v>
      </c>
      <c r="E442" t="s">
        <v>97</v>
      </c>
      <c r="F442" t="s">
        <v>173</v>
      </c>
      <c r="G442" t="s">
        <v>51</v>
      </c>
      <c r="H442" t="s">
        <v>115</v>
      </c>
      <c r="I442" t="s">
        <v>89</v>
      </c>
      <c r="J442" t="s">
        <v>111</v>
      </c>
      <c r="K442">
        <v>651818</v>
      </c>
      <c r="L442" t="s">
        <v>112</v>
      </c>
      <c r="M442" t="s">
        <v>104</v>
      </c>
      <c r="N442" t="s">
        <v>57</v>
      </c>
      <c r="O442" s="1">
        <v>45695</v>
      </c>
      <c r="Q442" s="1">
        <v>45968</v>
      </c>
      <c r="R442" s="2">
        <v>33.159999999999997</v>
      </c>
      <c r="S442">
        <v>1</v>
      </c>
      <c r="T442" t="s">
        <v>58</v>
      </c>
      <c r="U442" t="s">
        <v>359</v>
      </c>
      <c r="V442" s="3">
        <v>0.75</v>
      </c>
      <c r="W442" s="2">
        <v>0</v>
      </c>
      <c r="X442">
        <v>0</v>
      </c>
      <c r="Y442" t="s">
        <v>60</v>
      </c>
      <c r="Z442" t="s">
        <v>360</v>
      </c>
      <c r="AA442">
        <v>0</v>
      </c>
      <c r="AB442" s="2">
        <v>0</v>
      </c>
      <c r="AC442" s="2">
        <v>0</v>
      </c>
      <c r="AD442" s="3">
        <v>0</v>
      </c>
      <c r="AE442" s="2">
        <v>0</v>
      </c>
      <c r="AF442" s="2">
        <v>0</v>
      </c>
      <c r="AG442" s="2">
        <v>0</v>
      </c>
      <c r="AH442" s="2">
        <v>0</v>
      </c>
      <c r="AI442" s="2">
        <v>0</v>
      </c>
      <c r="AJ442" s="2">
        <v>0</v>
      </c>
      <c r="AK442" s="2">
        <v>0</v>
      </c>
      <c r="AL442" s="2">
        <v>0</v>
      </c>
      <c r="AM442" s="2">
        <v>24.87</v>
      </c>
      <c r="AN442" s="2">
        <v>24.87</v>
      </c>
      <c r="AO442" s="2">
        <v>0</v>
      </c>
      <c r="AP442" s="2">
        <v>0</v>
      </c>
      <c r="AQ442" s="2">
        <v>0</v>
      </c>
    </row>
    <row r="443" spans="1:43" x14ac:dyDescent="0.25">
      <c r="A443" s="1">
        <v>45936</v>
      </c>
      <c r="B443" t="s">
        <v>48</v>
      </c>
      <c r="C443">
        <v>649163</v>
      </c>
      <c r="D443">
        <v>2026844912</v>
      </c>
      <c r="E443" t="s">
        <v>748</v>
      </c>
      <c r="F443" t="s">
        <v>132</v>
      </c>
      <c r="G443" t="s">
        <v>51</v>
      </c>
      <c r="H443" t="s">
        <v>101</v>
      </c>
      <c r="I443" t="s">
        <v>89</v>
      </c>
      <c r="J443" t="s">
        <v>96</v>
      </c>
      <c r="K443">
        <v>651818</v>
      </c>
      <c r="L443" t="s">
        <v>112</v>
      </c>
      <c r="M443" t="s">
        <v>104</v>
      </c>
      <c r="N443" t="s">
        <v>57</v>
      </c>
      <c r="O443" s="1">
        <v>45695</v>
      </c>
      <c r="Q443" s="1">
        <v>45968</v>
      </c>
      <c r="R443" s="2">
        <v>121.92</v>
      </c>
      <c r="S443">
        <v>1</v>
      </c>
      <c r="T443" t="s">
        <v>58</v>
      </c>
      <c r="U443" t="s">
        <v>359</v>
      </c>
      <c r="V443" s="3">
        <v>0.9</v>
      </c>
      <c r="W443" s="2">
        <v>0</v>
      </c>
      <c r="X443">
        <v>0</v>
      </c>
      <c r="Y443" t="s">
        <v>60</v>
      </c>
      <c r="Z443" t="s">
        <v>360</v>
      </c>
      <c r="AA443">
        <v>0</v>
      </c>
      <c r="AB443" s="2">
        <v>0</v>
      </c>
      <c r="AC443" s="2">
        <v>0</v>
      </c>
      <c r="AD443" s="3">
        <v>0</v>
      </c>
      <c r="AE443" s="2">
        <v>0</v>
      </c>
      <c r="AF443" s="2">
        <v>0</v>
      </c>
      <c r="AG443" s="2">
        <v>0</v>
      </c>
      <c r="AH443" s="2">
        <v>0</v>
      </c>
      <c r="AI443" s="2">
        <v>0</v>
      </c>
      <c r="AJ443" s="2">
        <v>0</v>
      </c>
      <c r="AK443" s="2">
        <v>0</v>
      </c>
      <c r="AL443" s="2">
        <v>0</v>
      </c>
      <c r="AM443" s="2">
        <v>109.73</v>
      </c>
      <c r="AN443" s="2">
        <v>109.73</v>
      </c>
      <c r="AO443" s="2">
        <v>0</v>
      </c>
      <c r="AP443" s="2">
        <v>0</v>
      </c>
      <c r="AQ443" s="2">
        <v>0</v>
      </c>
    </row>
    <row r="444" spans="1:43" x14ac:dyDescent="0.25">
      <c r="A444" s="1">
        <v>45936</v>
      </c>
      <c r="B444" t="s">
        <v>48</v>
      </c>
      <c r="C444">
        <v>649163</v>
      </c>
      <c r="D444">
        <v>2026970603</v>
      </c>
      <c r="E444" t="s">
        <v>188</v>
      </c>
      <c r="F444" t="s">
        <v>571</v>
      </c>
      <c r="G444" t="s">
        <v>51</v>
      </c>
      <c r="H444" t="s">
        <v>52</v>
      </c>
      <c r="I444" t="s">
        <v>89</v>
      </c>
      <c r="J444" t="s">
        <v>111</v>
      </c>
      <c r="K444">
        <v>651818</v>
      </c>
      <c r="L444" t="s">
        <v>112</v>
      </c>
      <c r="M444" t="s">
        <v>104</v>
      </c>
      <c r="N444" t="s">
        <v>57</v>
      </c>
      <c r="O444" s="1">
        <v>45723</v>
      </c>
      <c r="Q444" s="1">
        <v>45968</v>
      </c>
      <c r="R444" s="2">
        <v>132.5</v>
      </c>
      <c r="S444">
        <v>1</v>
      </c>
      <c r="T444" t="s">
        <v>58</v>
      </c>
      <c r="U444" t="s">
        <v>359</v>
      </c>
      <c r="V444" s="3">
        <v>0.75</v>
      </c>
      <c r="W444" s="2">
        <v>0</v>
      </c>
      <c r="X444">
        <v>0</v>
      </c>
      <c r="Y444" t="s">
        <v>60</v>
      </c>
      <c r="Z444" t="s">
        <v>360</v>
      </c>
      <c r="AA444">
        <v>0</v>
      </c>
      <c r="AB444" s="2">
        <v>0</v>
      </c>
      <c r="AC444" s="2">
        <v>0</v>
      </c>
      <c r="AD444" s="3">
        <v>0</v>
      </c>
      <c r="AE444" s="2">
        <v>0</v>
      </c>
      <c r="AF444" s="2">
        <v>0</v>
      </c>
      <c r="AG444" s="2">
        <v>0</v>
      </c>
      <c r="AH444" s="2">
        <v>0</v>
      </c>
      <c r="AI444" s="2">
        <v>0</v>
      </c>
      <c r="AJ444" s="2">
        <v>0</v>
      </c>
      <c r="AK444" s="2">
        <v>0</v>
      </c>
      <c r="AL444" s="2">
        <v>0</v>
      </c>
      <c r="AM444" s="2">
        <v>99.38</v>
      </c>
      <c r="AN444" s="2">
        <v>99.38</v>
      </c>
      <c r="AO444" s="2">
        <v>0</v>
      </c>
      <c r="AP444" s="2">
        <v>0</v>
      </c>
      <c r="AQ444" s="2">
        <v>0</v>
      </c>
    </row>
    <row r="445" spans="1:43" x14ac:dyDescent="0.25">
      <c r="A445" s="1">
        <v>45936</v>
      </c>
      <c r="B445" t="s">
        <v>48</v>
      </c>
      <c r="C445">
        <v>649163</v>
      </c>
      <c r="D445">
        <v>2027001809</v>
      </c>
      <c r="E445" t="s">
        <v>749</v>
      </c>
      <c r="F445" t="s">
        <v>585</v>
      </c>
      <c r="G445" t="s">
        <v>51</v>
      </c>
      <c r="H445" t="s">
        <v>203</v>
      </c>
      <c r="I445" t="s">
        <v>89</v>
      </c>
      <c r="J445" t="s">
        <v>96</v>
      </c>
      <c r="K445">
        <v>816021</v>
      </c>
      <c r="L445" t="s">
        <v>265</v>
      </c>
      <c r="M445" t="s">
        <v>266</v>
      </c>
      <c r="N445" t="s">
        <v>57</v>
      </c>
      <c r="O445" s="1">
        <v>45698</v>
      </c>
      <c r="Q445" s="1">
        <v>45971</v>
      </c>
      <c r="R445" s="2">
        <v>57.08</v>
      </c>
      <c r="S445">
        <v>1</v>
      </c>
      <c r="T445" t="s">
        <v>58</v>
      </c>
      <c r="U445" t="s">
        <v>359</v>
      </c>
      <c r="V445" s="3">
        <v>0.9</v>
      </c>
      <c r="W445" s="2">
        <v>0</v>
      </c>
      <c r="X445">
        <v>0</v>
      </c>
      <c r="Y445" t="s">
        <v>60</v>
      </c>
      <c r="Z445" t="s">
        <v>360</v>
      </c>
      <c r="AA445">
        <v>0</v>
      </c>
      <c r="AB445" s="2">
        <v>0</v>
      </c>
      <c r="AC445" s="2">
        <v>0</v>
      </c>
      <c r="AD445" s="3">
        <v>0</v>
      </c>
      <c r="AE445" s="2">
        <v>0</v>
      </c>
      <c r="AF445" s="2">
        <v>0</v>
      </c>
      <c r="AG445" s="2">
        <v>0</v>
      </c>
      <c r="AH445" s="2">
        <v>0</v>
      </c>
      <c r="AI445" s="2">
        <v>0</v>
      </c>
      <c r="AJ445" s="2">
        <v>0</v>
      </c>
      <c r="AK445" s="2">
        <v>0</v>
      </c>
      <c r="AL445" s="2">
        <v>0</v>
      </c>
      <c r="AM445" s="2">
        <v>51.37</v>
      </c>
      <c r="AN445" s="2">
        <v>51.37</v>
      </c>
      <c r="AO445" s="2">
        <v>0</v>
      </c>
      <c r="AP445" s="2">
        <v>0</v>
      </c>
      <c r="AQ445" s="2">
        <v>0</v>
      </c>
    </row>
    <row r="446" spans="1:43" x14ac:dyDescent="0.25">
      <c r="A446" s="1">
        <v>45936</v>
      </c>
      <c r="B446" t="s">
        <v>48</v>
      </c>
      <c r="C446">
        <v>649163</v>
      </c>
      <c r="D446">
        <v>2027003323</v>
      </c>
      <c r="E446" t="s">
        <v>750</v>
      </c>
      <c r="F446" t="s">
        <v>751</v>
      </c>
      <c r="G446" t="s">
        <v>51</v>
      </c>
      <c r="H446" t="s">
        <v>203</v>
      </c>
      <c r="I446" t="s">
        <v>89</v>
      </c>
      <c r="J446" t="s">
        <v>90</v>
      </c>
      <c r="K446">
        <v>816021</v>
      </c>
      <c r="L446" t="s">
        <v>265</v>
      </c>
      <c r="M446" t="s">
        <v>266</v>
      </c>
      <c r="N446" t="s">
        <v>57</v>
      </c>
      <c r="O446" s="1">
        <v>45696</v>
      </c>
      <c r="Q446" s="1">
        <v>45969</v>
      </c>
      <c r="R446" s="2">
        <v>133.63</v>
      </c>
      <c r="S446">
        <v>1</v>
      </c>
      <c r="T446" t="s">
        <v>58</v>
      </c>
      <c r="U446" t="s">
        <v>359</v>
      </c>
      <c r="V446" s="3">
        <v>0.65</v>
      </c>
      <c r="W446" s="2">
        <v>0</v>
      </c>
      <c r="X446">
        <v>0</v>
      </c>
      <c r="Y446" t="s">
        <v>60</v>
      </c>
      <c r="Z446" t="s">
        <v>360</v>
      </c>
      <c r="AA446">
        <v>0</v>
      </c>
      <c r="AB446" s="2">
        <v>0</v>
      </c>
      <c r="AC446" s="2">
        <v>0</v>
      </c>
      <c r="AD446" s="3">
        <v>0</v>
      </c>
      <c r="AE446" s="2">
        <v>0</v>
      </c>
      <c r="AF446" s="2">
        <v>0</v>
      </c>
      <c r="AG446" s="2">
        <v>0</v>
      </c>
      <c r="AH446" s="2">
        <v>0</v>
      </c>
      <c r="AI446" s="2">
        <v>0</v>
      </c>
      <c r="AJ446" s="2">
        <v>0</v>
      </c>
      <c r="AK446" s="2">
        <v>0</v>
      </c>
      <c r="AL446" s="2">
        <v>0</v>
      </c>
      <c r="AM446" s="2">
        <v>86.86</v>
      </c>
      <c r="AN446" s="2">
        <v>86.86</v>
      </c>
      <c r="AO446" s="2">
        <v>0</v>
      </c>
      <c r="AP446" s="2">
        <v>0</v>
      </c>
      <c r="AQ446" s="2">
        <v>0</v>
      </c>
    </row>
    <row r="447" spans="1:43" x14ac:dyDescent="0.25">
      <c r="A447" s="1">
        <v>45936</v>
      </c>
      <c r="B447" t="s">
        <v>48</v>
      </c>
      <c r="C447">
        <v>649163</v>
      </c>
      <c r="D447">
        <v>2027003554</v>
      </c>
      <c r="E447" t="s">
        <v>400</v>
      </c>
      <c r="F447" t="s">
        <v>401</v>
      </c>
      <c r="G447" t="s">
        <v>51</v>
      </c>
      <c r="H447" t="s">
        <v>203</v>
      </c>
      <c r="I447" t="s">
        <v>89</v>
      </c>
      <c r="J447" t="s">
        <v>90</v>
      </c>
      <c r="K447">
        <v>816021</v>
      </c>
      <c r="L447" t="s">
        <v>265</v>
      </c>
      <c r="M447" t="s">
        <v>266</v>
      </c>
      <c r="N447" t="s">
        <v>57</v>
      </c>
      <c r="O447" s="1">
        <v>45698</v>
      </c>
      <c r="Q447" s="1">
        <v>45971</v>
      </c>
      <c r="R447" s="2">
        <v>50.23</v>
      </c>
      <c r="S447">
        <v>1</v>
      </c>
      <c r="T447" t="s">
        <v>58</v>
      </c>
      <c r="U447" t="s">
        <v>359</v>
      </c>
      <c r="V447" s="3">
        <v>0.65</v>
      </c>
      <c r="W447" s="2">
        <v>0</v>
      </c>
      <c r="X447">
        <v>0</v>
      </c>
      <c r="Y447" t="s">
        <v>60</v>
      </c>
      <c r="Z447" t="s">
        <v>360</v>
      </c>
      <c r="AA447">
        <v>0</v>
      </c>
      <c r="AB447" s="2">
        <v>0</v>
      </c>
      <c r="AC447" s="2">
        <v>0</v>
      </c>
      <c r="AD447" s="3">
        <v>0</v>
      </c>
      <c r="AE447" s="2">
        <v>0</v>
      </c>
      <c r="AF447" s="2">
        <v>0</v>
      </c>
      <c r="AG447" s="2">
        <v>0</v>
      </c>
      <c r="AH447" s="2">
        <v>0</v>
      </c>
      <c r="AI447" s="2">
        <v>0</v>
      </c>
      <c r="AJ447" s="2">
        <v>0</v>
      </c>
      <c r="AK447" s="2">
        <v>0</v>
      </c>
      <c r="AL447" s="2">
        <v>0</v>
      </c>
      <c r="AM447" s="2">
        <v>32.65</v>
      </c>
      <c r="AN447" s="2">
        <v>32.65</v>
      </c>
      <c r="AO447" s="2">
        <v>0</v>
      </c>
      <c r="AP447" s="2">
        <v>0</v>
      </c>
      <c r="AQ447" s="2">
        <v>0</v>
      </c>
    </row>
    <row r="448" spans="1:43" x14ac:dyDescent="0.25">
      <c r="A448" s="1">
        <v>45936</v>
      </c>
      <c r="B448" t="s">
        <v>48</v>
      </c>
      <c r="C448">
        <v>649163</v>
      </c>
      <c r="D448">
        <v>2027010992</v>
      </c>
      <c r="E448" t="s">
        <v>402</v>
      </c>
      <c r="F448" t="s">
        <v>403</v>
      </c>
      <c r="G448" t="s">
        <v>51</v>
      </c>
      <c r="H448" t="s">
        <v>203</v>
      </c>
      <c r="I448" t="s">
        <v>89</v>
      </c>
      <c r="J448" t="s">
        <v>90</v>
      </c>
      <c r="K448">
        <v>816021</v>
      </c>
      <c r="L448" t="s">
        <v>265</v>
      </c>
      <c r="M448" t="s">
        <v>266</v>
      </c>
      <c r="N448" t="s">
        <v>57</v>
      </c>
      <c r="O448" s="1">
        <v>45697</v>
      </c>
      <c r="Q448" s="1">
        <v>45970</v>
      </c>
      <c r="R448" s="2">
        <v>47.01</v>
      </c>
      <c r="S448">
        <v>1</v>
      </c>
      <c r="T448" t="s">
        <v>58</v>
      </c>
      <c r="U448" t="s">
        <v>359</v>
      </c>
      <c r="V448" s="3">
        <v>0.65</v>
      </c>
      <c r="W448" s="2">
        <v>0</v>
      </c>
      <c r="X448">
        <v>0</v>
      </c>
      <c r="Y448" t="s">
        <v>60</v>
      </c>
      <c r="Z448" t="s">
        <v>360</v>
      </c>
      <c r="AA448">
        <v>0</v>
      </c>
      <c r="AB448" s="2">
        <v>0</v>
      </c>
      <c r="AC448" s="2">
        <v>0</v>
      </c>
      <c r="AD448" s="3">
        <v>0</v>
      </c>
      <c r="AE448" s="2">
        <v>0</v>
      </c>
      <c r="AF448" s="2">
        <v>0</v>
      </c>
      <c r="AG448" s="2">
        <v>0</v>
      </c>
      <c r="AH448" s="2">
        <v>0</v>
      </c>
      <c r="AI448" s="2">
        <v>0</v>
      </c>
      <c r="AJ448" s="2">
        <v>0</v>
      </c>
      <c r="AK448" s="2">
        <v>0</v>
      </c>
      <c r="AL448" s="2">
        <v>0</v>
      </c>
      <c r="AM448" s="2">
        <v>30.56</v>
      </c>
      <c r="AN448" s="2">
        <v>30.56</v>
      </c>
      <c r="AO448" s="2">
        <v>0</v>
      </c>
      <c r="AP448" s="2">
        <v>0</v>
      </c>
      <c r="AQ448" s="2">
        <v>0</v>
      </c>
    </row>
    <row r="449" spans="1:43" x14ac:dyDescent="0.25">
      <c r="A449" s="1">
        <v>45936</v>
      </c>
      <c r="B449" t="s">
        <v>48</v>
      </c>
      <c r="C449">
        <v>649163</v>
      </c>
      <c r="D449">
        <v>2027025172</v>
      </c>
      <c r="E449" t="s">
        <v>404</v>
      </c>
      <c r="F449" t="s">
        <v>405</v>
      </c>
      <c r="G449" t="s">
        <v>51</v>
      </c>
      <c r="H449" t="s">
        <v>203</v>
      </c>
      <c r="I449" t="s">
        <v>89</v>
      </c>
      <c r="J449" t="s">
        <v>90</v>
      </c>
      <c r="K449">
        <v>824082</v>
      </c>
      <c r="L449" t="s">
        <v>406</v>
      </c>
      <c r="M449" t="s">
        <v>407</v>
      </c>
      <c r="N449" t="s">
        <v>57</v>
      </c>
      <c r="O449" s="1">
        <v>45697</v>
      </c>
      <c r="Q449" s="1">
        <v>45970</v>
      </c>
      <c r="R449" s="2">
        <v>65.08</v>
      </c>
      <c r="S449">
        <v>1</v>
      </c>
      <c r="T449" t="s">
        <v>58</v>
      </c>
      <c r="U449" t="s">
        <v>359</v>
      </c>
      <c r="V449" s="3">
        <v>0.65</v>
      </c>
      <c r="W449" s="2">
        <v>0</v>
      </c>
      <c r="X449">
        <v>0</v>
      </c>
      <c r="Y449" t="s">
        <v>60</v>
      </c>
      <c r="Z449" t="s">
        <v>360</v>
      </c>
      <c r="AA449">
        <v>0</v>
      </c>
      <c r="AB449" s="2">
        <v>0</v>
      </c>
      <c r="AC449" s="2">
        <v>0</v>
      </c>
      <c r="AD449" s="3">
        <v>0</v>
      </c>
      <c r="AE449" s="2">
        <v>0</v>
      </c>
      <c r="AF449" s="2">
        <v>0</v>
      </c>
      <c r="AG449" s="2">
        <v>0</v>
      </c>
      <c r="AH449" s="2">
        <v>0</v>
      </c>
      <c r="AI449" s="2">
        <v>0</v>
      </c>
      <c r="AJ449" s="2">
        <v>0</v>
      </c>
      <c r="AK449" s="2">
        <v>0</v>
      </c>
      <c r="AL449" s="2">
        <v>0</v>
      </c>
      <c r="AM449" s="2">
        <v>42.3</v>
      </c>
      <c r="AN449" s="2">
        <v>42.3</v>
      </c>
      <c r="AO449" s="2">
        <v>0</v>
      </c>
      <c r="AP449" s="2">
        <v>0</v>
      </c>
      <c r="AQ449" s="2">
        <v>0</v>
      </c>
    </row>
    <row r="450" spans="1:43" x14ac:dyDescent="0.25">
      <c r="A450" s="1">
        <v>45936</v>
      </c>
      <c r="B450" t="s">
        <v>48</v>
      </c>
      <c r="C450">
        <v>649163</v>
      </c>
      <c r="D450">
        <v>2027235546</v>
      </c>
      <c r="E450" t="s">
        <v>752</v>
      </c>
      <c r="F450" t="s">
        <v>753</v>
      </c>
      <c r="G450" t="s">
        <v>51</v>
      </c>
      <c r="H450" t="s">
        <v>376</v>
      </c>
      <c r="I450" t="s">
        <v>89</v>
      </c>
      <c r="J450" t="s">
        <v>111</v>
      </c>
      <c r="K450">
        <v>651818</v>
      </c>
      <c r="L450" t="s">
        <v>112</v>
      </c>
      <c r="M450" t="s">
        <v>104</v>
      </c>
      <c r="N450" t="s">
        <v>57</v>
      </c>
      <c r="O450" s="1">
        <v>45723</v>
      </c>
      <c r="Q450" s="1">
        <v>45968</v>
      </c>
      <c r="R450" s="2">
        <v>107.07</v>
      </c>
      <c r="S450">
        <v>1</v>
      </c>
      <c r="T450" t="s">
        <v>58</v>
      </c>
      <c r="U450" t="s">
        <v>359</v>
      </c>
      <c r="V450" s="3">
        <v>0.75</v>
      </c>
      <c r="W450" s="2">
        <v>0</v>
      </c>
      <c r="X450">
        <v>0</v>
      </c>
      <c r="Y450" t="s">
        <v>60</v>
      </c>
      <c r="Z450" t="s">
        <v>360</v>
      </c>
      <c r="AA450">
        <v>0</v>
      </c>
      <c r="AB450" s="2">
        <v>0</v>
      </c>
      <c r="AC450" s="2">
        <v>0</v>
      </c>
      <c r="AD450" s="3">
        <v>0</v>
      </c>
      <c r="AE450" s="2">
        <v>0</v>
      </c>
      <c r="AF450" s="2">
        <v>0</v>
      </c>
      <c r="AG450" s="2">
        <v>0</v>
      </c>
      <c r="AH450" s="2">
        <v>0</v>
      </c>
      <c r="AI450" s="2">
        <v>0</v>
      </c>
      <c r="AJ450" s="2">
        <v>0</v>
      </c>
      <c r="AK450" s="2">
        <v>0</v>
      </c>
      <c r="AL450" s="2">
        <v>0</v>
      </c>
      <c r="AM450" s="2">
        <v>80.3</v>
      </c>
      <c r="AN450" s="2">
        <v>80.3</v>
      </c>
      <c r="AO450" s="2">
        <v>0</v>
      </c>
      <c r="AP450" s="2">
        <v>0</v>
      </c>
      <c r="AQ450" s="2">
        <v>0</v>
      </c>
    </row>
    <row r="451" spans="1:43" x14ac:dyDescent="0.25">
      <c r="A451" s="1">
        <v>45936</v>
      </c>
      <c r="B451" t="s">
        <v>48</v>
      </c>
      <c r="C451">
        <v>649163</v>
      </c>
      <c r="D451">
        <v>2027298069</v>
      </c>
      <c r="E451" t="s">
        <v>754</v>
      </c>
      <c r="F451" t="s">
        <v>755</v>
      </c>
      <c r="G451" t="s">
        <v>51</v>
      </c>
      <c r="H451" t="s">
        <v>129</v>
      </c>
      <c r="I451" t="s">
        <v>89</v>
      </c>
      <c r="J451" t="s">
        <v>111</v>
      </c>
      <c r="K451">
        <v>651818</v>
      </c>
      <c r="L451" t="s">
        <v>112</v>
      </c>
      <c r="M451" t="s">
        <v>104</v>
      </c>
      <c r="N451" t="s">
        <v>57</v>
      </c>
      <c r="O451" s="1">
        <v>45723</v>
      </c>
      <c r="Q451" s="1">
        <v>45968</v>
      </c>
      <c r="R451" s="2">
        <v>45.28</v>
      </c>
      <c r="S451">
        <v>1</v>
      </c>
      <c r="T451" t="s">
        <v>58</v>
      </c>
      <c r="U451" t="s">
        <v>359</v>
      </c>
      <c r="V451" s="3">
        <v>0.75</v>
      </c>
      <c r="W451" s="2">
        <v>0</v>
      </c>
      <c r="X451">
        <v>0</v>
      </c>
      <c r="Y451" t="s">
        <v>60</v>
      </c>
      <c r="Z451" t="s">
        <v>360</v>
      </c>
      <c r="AA451">
        <v>0</v>
      </c>
      <c r="AB451" s="2">
        <v>0</v>
      </c>
      <c r="AC451" s="2">
        <v>0</v>
      </c>
      <c r="AD451" s="3">
        <v>0</v>
      </c>
      <c r="AE451" s="2">
        <v>0</v>
      </c>
      <c r="AF451" s="2">
        <v>0</v>
      </c>
      <c r="AG451" s="2">
        <v>0</v>
      </c>
      <c r="AH451" s="2">
        <v>0</v>
      </c>
      <c r="AI451" s="2">
        <v>0</v>
      </c>
      <c r="AJ451" s="2">
        <v>0</v>
      </c>
      <c r="AK451" s="2">
        <v>0</v>
      </c>
      <c r="AL451" s="2">
        <v>0</v>
      </c>
      <c r="AM451" s="2">
        <v>33.96</v>
      </c>
      <c r="AN451" s="2">
        <v>33.96</v>
      </c>
      <c r="AO451" s="2">
        <v>0</v>
      </c>
      <c r="AP451" s="2">
        <v>0</v>
      </c>
      <c r="AQ451" s="2">
        <v>0</v>
      </c>
    </row>
    <row r="452" spans="1:43" x14ac:dyDescent="0.25">
      <c r="A452" s="1">
        <v>45936</v>
      </c>
      <c r="B452" t="s">
        <v>48</v>
      </c>
      <c r="C452">
        <v>649163</v>
      </c>
      <c r="D452">
        <v>2027361177</v>
      </c>
      <c r="E452" t="s">
        <v>756</v>
      </c>
      <c r="F452" t="s">
        <v>480</v>
      </c>
      <c r="G452" t="s">
        <v>51</v>
      </c>
      <c r="H452" t="s">
        <v>122</v>
      </c>
      <c r="I452" t="s">
        <v>89</v>
      </c>
      <c r="J452" t="s">
        <v>111</v>
      </c>
      <c r="K452">
        <v>651818</v>
      </c>
      <c r="L452" t="s">
        <v>112</v>
      </c>
      <c r="M452" t="s">
        <v>104</v>
      </c>
      <c r="N452" t="s">
        <v>57</v>
      </c>
      <c r="O452" s="1">
        <v>45754</v>
      </c>
      <c r="Q452" s="1">
        <v>45968</v>
      </c>
      <c r="R452" s="2">
        <v>202.87</v>
      </c>
      <c r="S452">
        <v>1</v>
      </c>
      <c r="T452" t="s">
        <v>58</v>
      </c>
      <c r="U452" t="s">
        <v>359</v>
      </c>
      <c r="V452" s="3">
        <v>0.75</v>
      </c>
      <c r="W452" s="2">
        <v>0</v>
      </c>
      <c r="X452">
        <v>0</v>
      </c>
      <c r="Y452" t="s">
        <v>60</v>
      </c>
      <c r="Z452" t="s">
        <v>360</v>
      </c>
      <c r="AA452">
        <v>0</v>
      </c>
      <c r="AB452" s="2">
        <v>0</v>
      </c>
      <c r="AC452" s="2">
        <v>0</v>
      </c>
      <c r="AD452" s="3">
        <v>0</v>
      </c>
      <c r="AE452" s="2">
        <v>0</v>
      </c>
      <c r="AF452" s="2">
        <v>0</v>
      </c>
      <c r="AG452" s="2">
        <v>0</v>
      </c>
      <c r="AH452" s="2">
        <v>0</v>
      </c>
      <c r="AI452" s="2">
        <v>0</v>
      </c>
      <c r="AJ452" s="2">
        <v>0</v>
      </c>
      <c r="AK452" s="2">
        <v>0</v>
      </c>
      <c r="AL452" s="2">
        <v>0</v>
      </c>
      <c r="AM452" s="2">
        <v>152.15</v>
      </c>
      <c r="AN452" s="2">
        <v>152.15</v>
      </c>
      <c r="AO452" s="2">
        <v>0</v>
      </c>
      <c r="AP452" s="2">
        <v>0</v>
      </c>
      <c r="AQ452" s="2">
        <v>0</v>
      </c>
    </row>
    <row r="453" spans="1:43" x14ac:dyDescent="0.25">
      <c r="A453" s="1">
        <v>45936</v>
      </c>
      <c r="B453" t="s">
        <v>48</v>
      </c>
      <c r="C453">
        <v>649163</v>
      </c>
      <c r="D453">
        <v>2027429540</v>
      </c>
      <c r="E453" t="s">
        <v>757</v>
      </c>
      <c r="F453" t="s">
        <v>527</v>
      </c>
      <c r="G453" t="s">
        <v>51</v>
      </c>
      <c r="H453" t="s">
        <v>129</v>
      </c>
      <c r="I453" t="s">
        <v>89</v>
      </c>
      <c r="J453" t="s">
        <v>111</v>
      </c>
      <c r="K453">
        <v>651818</v>
      </c>
      <c r="L453" t="s">
        <v>112</v>
      </c>
      <c r="M453" t="s">
        <v>104</v>
      </c>
      <c r="N453" t="s">
        <v>57</v>
      </c>
      <c r="O453" s="1">
        <v>45723</v>
      </c>
      <c r="Q453" s="1">
        <v>45968</v>
      </c>
      <c r="R453" s="2">
        <v>161.83000000000001</v>
      </c>
      <c r="S453">
        <v>1</v>
      </c>
      <c r="T453" t="s">
        <v>58</v>
      </c>
      <c r="U453" t="s">
        <v>359</v>
      </c>
      <c r="V453" s="3">
        <v>0.75</v>
      </c>
      <c r="W453" s="2">
        <v>0</v>
      </c>
      <c r="X453">
        <v>0</v>
      </c>
      <c r="Y453" t="s">
        <v>60</v>
      </c>
      <c r="Z453" t="s">
        <v>360</v>
      </c>
      <c r="AA453">
        <v>0</v>
      </c>
      <c r="AB453" s="2">
        <v>0</v>
      </c>
      <c r="AC453" s="2">
        <v>0</v>
      </c>
      <c r="AD453" s="3">
        <v>0</v>
      </c>
      <c r="AE453" s="2">
        <v>0</v>
      </c>
      <c r="AF453" s="2">
        <v>0</v>
      </c>
      <c r="AG453" s="2">
        <v>0</v>
      </c>
      <c r="AH453" s="2">
        <v>0</v>
      </c>
      <c r="AI453" s="2">
        <v>0</v>
      </c>
      <c r="AJ453" s="2">
        <v>0</v>
      </c>
      <c r="AK453" s="2">
        <v>0</v>
      </c>
      <c r="AL453" s="2">
        <v>0</v>
      </c>
      <c r="AM453" s="2">
        <v>121.37</v>
      </c>
      <c r="AN453" s="2">
        <v>121.37</v>
      </c>
      <c r="AO453" s="2">
        <v>0</v>
      </c>
      <c r="AP453" s="2">
        <v>0</v>
      </c>
      <c r="AQ453" s="2">
        <v>0</v>
      </c>
    </row>
    <row r="454" spans="1:43" x14ac:dyDescent="0.25">
      <c r="A454" s="1">
        <v>45936</v>
      </c>
      <c r="B454" t="s">
        <v>48</v>
      </c>
      <c r="C454">
        <v>649163</v>
      </c>
      <c r="D454">
        <v>2027482814</v>
      </c>
      <c r="E454" t="s">
        <v>758</v>
      </c>
      <c r="F454" t="s">
        <v>224</v>
      </c>
      <c r="G454" t="s">
        <v>51</v>
      </c>
      <c r="H454" t="s">
        <v>129</v>
      </c>
      <c r="I454" t="s">
        <v>89</v>
      </c>
      <c r="J454" t="s">
        <v>111</v>
      </c>
      <c r="K454">
        <v>651818</v>
      </c>
      <c r="L454" t="s">
        <v>112</v>
      </c>
      <c r="M454" t="s">
        <v>104</v>
      </c>
      <c r="N454" t="s">
        <v>57</v>
      </c>
      <c r="O454" s="1">
        <v>45723</v>
      </c>
      <c r="Q454" s="1">
        <v>45968</v>
      </c>
      <c r="R454" s="2">
        <v>28.75</v>
      </c>
      <c r="S454">
        <v>1</v>
      </c>
      <c r="T454" t="s">
        <v>58</v>
      </c>
      <c r="U454" t="s">
        <v>359</v>
      </c>
      <c r="V454" s="3">
        <v>0.75</v>
      </c>
      <c r="W454" s="2">
        <v>0</v>
      </c>
      <c r="X454">
        <v>0</v>
      </c>
      <c r="Y454" t="s">
        <v>60</v>
      </c>
      <c r="Z454" t="s">
        <v>360</v>
      </c>
      <c r="AA454">
        <v>0</v>
      </c>
      <c r="AB454" s="2">
        <v>0</v>
      </c>
      <c r="AC454" s="2">
        <v>0</v>
      </c>
      <c r="AD454" s="3">
        <v>0</v>
      </c>
      <c r="AE454" s="2">
        <v>0</v>
      </c>
      <c r="AF454" s="2">
        <v>0</v>
      </c>
      <c r="AG454" s="2">
        <v>0</v>
      </c>
      <c r="AH454" s="2">
        <v>0</v>
      </c>
      <c r="AI454" s="2">
        <v>0</v>
      </c>
      <c r="AJ454" s="2">
        <v>0</v>
      </c>
      <c r="AK454" s="2">
        <v>0</v>
      </c>
      <c r="AL454" s="2">
        <v>0</v>
      </c>
      <c r="AM454" s="2">
        <v>21.56</v>
      </c>
      <c r="AN454" s="2">
        <v>21.56</v>
      </c>
      <c r="AO454" s="2">
        <v>0</v>
      </c>
      <c r="AP454" s="2">
        <v>0</v>
      </c>
      <c r="AQ454" s="2">
        <v>0</v>
      </c>
    </row>
    <row r="455" spans="1:43" x14ac:dyDescent="0.25">
      <c r="A455" s="1">
        <v>45936</v>
      </c>
      <c r="B455" t="s">
        <v>48</v>
      </c>
      <c r="C455">
        <v>649163</v>
      </c>
      <c r="D455">
        <v>2027642345</v>
      </c>
      <c r="E455" t="s">
        <v>411</v>
      </c>
      <c r="F455" t="s">
        <v>412</v>
      </c>
      <c r="G455" t="s">
        <v>51</v>
      </c>
      <c r="H455" t="s">
        <v>159</v>
      </c>
      <c r="I455" t="s">
        <v>89</v>
      </c>
      <c r="J455" t="s">
        <v>96</v>
      </c>
      <c r="K455">
        <v>651818</v>
      </c>
      <c r="L455" t="s">
        <v>112</v>
      </c>
      <c r="M455" t="s">
        <v>104</v>
      </c>
      <c r="N455" t="s">
        <v>57</v>
      </c>
      <c r="O455" s="1">
        <v>45754</v>
      </c>
      <c r="Q455" s="1">
        <v>45968</v>
      </c>
      <c r="R455" s="2">
        <v>119.92</v>
      </c>
      <c r="S455">
        <v>1</v>
      </c>
      <c r="T455" t="s">
        <v>58</v>
      </c>
      <c r="U455" t="s">
        <v>359</v>
      </c>
      <c r="V455" s="3">
        <v>0.9</v>
      </c>
      <c r="W455" s="2">
        <v>0</v>
      </c>
      <c r="X455">
        <v>0</v>
      </c>
      <c r="Y455" t="s">
        <v>60</v>
      </c>
      <c r="Z455" t="s">
        <v>360</v>
      </c>
      <c r="AA455">
        <v>0</v>
      </c>
      <c r="AB455" s="2">
        <v>0</v>
      </c>
      <c r="AC455" s="2">
        <v>0</v>
      </c>
      <c r="AD455" s="3">
        <v>0</v>
      </c>
      <c r="AE455" s="2">
        <v>0</v>
      </c>
      <c r="AF455" s="2">
        <v>0</v>
      </c>
      <c r="AG455" s="2">
        <v>0</v>
      </c>
      <c r="AH455" s="2">
        <v>0</v>
      </c>
      <c r="AI455" s="2">
        <v>0</v>
      </c>
      <c r="AJ455" s="2">
        <v>0</v>
      </c>
      <c r="AK455" s="2">
        <v>0</v>
      </c>
      <c r="AL455" s="2">
        <v>0</v>
      </c>
      <c r="AM455" s="2">
        <v>107.93</v>
      </c>
      <c r="AN455" s="2">
        <v>107.93</v>
      </c>
      <c r="AO455" s="2">
        <v>0</v>
      </c>
      <c r="AP455" s="2">
        <v>0</v>
      </c>
      <c r="AQ455" s="2">
        <v>0</v>
      </c>
    </row>
    <row r="456" spans="1:43" x14ac:dyDescent="0.25">
      <c r="A456" s="1">
        <v>45936</v>
      </c>
      <c r="B456" t="s">
        <v>48</v>
      </c>
      <c r="C456">
        <v>649163</v>
      </c>
      <c r="D456">
        <v>2027859845</v>
      </c>
      <c r="E456" t="s">
        <v>759</v>
      </c>
      <c r="F456" t="s">
        <v>760</v>
      </c>
      <c r="G456" t="s">
        <v>51</v>
      </c>
      <c r="H456" t="s">
        <v>119</v>
      </c>
      <c r="I456" t="s">
        <v>89</v>
      </c>
      <c r="J456" t="s">
        <v>111</v>
      </c>
      <c r="K456">
        <v>651818</v>
      </c>
      <c r="L456" t="s">
        <v>112</v>
      </c>
      <c r="M456" t="s">
        <v>104</v>
      </c>
      <c r="N456" t="s">
        <v>57</v>
      </c>
      <c r="O456" s="1">
        <v>45754</v>
      </c>
      <c r="Q456" s="1">
        <v>45968</v>
      </c>
      <c r="R456" s="2">
        <v>154.30000000000001</v>
      </c>
      <c r="S456">
        <v>1</v>
      </c>
      <c r="T456" t="s">
        <v>58</v>
      </c>
      <c r="U456" t="s">
        <v>359</v>
      </c>
      <c r="V456" s="3">
        <v>0.75</v>
      </c>
      <c r="W456" s="2">
        <v>0</v>
      </c>
      <c r="X456">
        <v>0</v>
      </c>
      <c r="Y456" t="s">
        <v>60</v>
      </c>
      <c r="Z456" t="s">
        <v>360</v>
      </c>
      <c r="AA456">
        <v>0</v>
      </c>
      <c r="AB456" s="2">
        <v>0</v>
      </c>
      <c r="AC456" s="2">
        <v>0</v>
      </c>
      <c r="AD456" s="3">
        <v>0</v>
      </c>
      <c r="AE456" s="2">
        <v>0</v>
      </c>
      <c r="AF456" s="2">
        <v>0</v>
      </c>
      <c r="AG456" s="2">
        <v>0</v>
      </c>
      <c r="AH456" s="2">
        <v>0</v>
      </c>
      <c r="AI456" s="2">
        <v>0</v>
      </c>
      <c r="AJ456" s="2">
        <v>0</v>
      </c>
      <c r="AK456" s="2">
        <v>0</v>
      </c>
      <c r="AL456" s="2">
        <v>0</v>
      </c>
      <c r="AM456" s="2">
        <v>115.72</v>
      </c>
      <c r="AN456" s="2">
        <v>115.72</v>
      </c>
      <c r="AO456" s="2">
        <v>0</v>
      </c>
      <c r="AP456" s="2">
        <v>0</v>
      </c>
      <c r="AQ456" s="2">
        <v>0</v>
      </c>
    </row>
    <row r="457" spans="1:43" x14ac:dyDescent="0.25">
      <c r="A457" s="1">
        <v>45936</v>
      </c>
      <c r="B457" t="s">
        <v>48</v>
      </c>
      <c r="C457">
        <v>649163</v>
      </c>
      <c r="D457">
        <v>2027862508</v>
      </c>
      <c r="E457" t="s">
        <v>761</v>
      </c>
      <c r="F457" t="s">
        <v>762</v>
      </c>
      <c r="G457" t="s">
        <v>51</v>
      </c>
      <c r="H457" t="s">
        <v>52</v>
      </c>
      <c r="I457" t="s">
        <v>89</v>
      </c>
      <c r="J457" t="s">
        <v>111</v>
      </c>
      <c r="K457">
        <v>651818</v>
      </c>
      <c r="L457" t="s">
        <v>112</v>
      </c>
      <c r="M457" t="s">
        <v>104</v>
      </c>
      <c r="N457" t="s">
        <v>57</v>
      </c>
      <c r="O457" s="1">
        <v>45754</v>
      </c>
      <c r="Q457" s="1">
        <v>45968</v>
      </c>
      <c r="R457" s="2">
        <v>63.28</v>
      </c>
      <c r="S457">
        <v>1</v>
      </c>
      <c r="T457" t="s">
        <v>58</v>
      </c>
      <c r="U457" t="s">
        <v>359</v>
      </c>
      <c r="V457" s="3">
        <v>0.75</v>
      </c>
      <c r="W457" s="2">
        <v>0</v>
      </c>
      <c r="X457">
        <v>0</v>
      </c>
      <c r="Y457" t="s">
        <v>60</v>
      </c>
      <c r="Z457" t="s">
        <v>360</v>
      </c>
      <c r="AA457">
        <v>0</v>
      </c>
      <c r="AB457" s="2">
        <v>0</v>
      </c>
      <c r="AC457" s="2">
        <v>0</v>
      </c>
      <c r="AD457" s="3">
        <v>0</v>
      </c>
      <c r="AE457" s="2">
        <v>0</v>
      </c>
      <c r="AF457" s="2">
        <v>0</v>
      </c>
      <c r="AG457" s="2">
        <v>0</v>
      </c>
      <c r="AH457" s="2">
        <v>0</v>
      </c>
      <c r="AI457" s="2">
        <v>0</v>
      </c>
      <c r="AJ457" s="2">
        <v>0</v>
      </c>
      <c r="AK457" s="2">
        <v>0</v>
      </c>
      <c r="AL457" s="2">
        <v>0</v>
      </c>
      <c r="AM457" s="2">
        <v>47.46</v>
      </c>
      <c r="AN457" s="2">
        <v>47.46</v>
      </c>
      <c r="AO457" s="2">
        <v>0</v>
      </c>
      <c r="AP457" s="2">
        <v>0</v>
      </c>
      <c r="AQ457" s="2">
        <v>0</v>
      </c>
    </row>
    <row r="458" spans="1:43" x14ac:dyDescent="0.25">
      <c r="A458" s="1">
        <v>45936</v>
      </c>
      <c r="B458" t="s">
        <v>48</v>
      </c>
      <c r="C458">
        <v>649163</v>
      </c>
      <c r="D458">
        <v>2027863478</v>
      </c>
      <c r="E458" t="s">
        <v>759</v>
      </c>
      <c r="F458" t="s">
        <v>763</v>
      </c>
      <c r="G458" t="s">
        <v>51</v>
      </c>
      <c r="H458" t="s">
        <v>119</v>
      </c>
      <c r="I458" t="s">
        <v>89</v>
      </c>
      <c r="J458" t="s">
        <v>111</v>
      </c>
      <c r="K458">
        <v>651818</v>
      </c>
      <c r="L458" t="s">
        <v>112</v>
      </c>
      <c r="M458" t="s">
        <v>104</v>
      </c>
      <c r="N458" t="s">
        <v>57</v>
      </c>
      <c r="O458" s="1">
        <v>45754</v>
      </c>
      <c r="Q458" s="1">
        <v>45968</v>
      </c>
      <c r="R458" s="2">
        <v>25</v>
      </c>
      <c r="S458">
        <v>1</v>
      </c>
      <c r="T458" t="s">
        <v>58</v>
      </c>
      <c r="U458" t="s">
        <v>359</v>
      </c>
      <c r="V458" s="3">
        <v>0.75</v>
      </c>
      <c r="W458" s="2">
        <v>0</v>
      </c>
      <c r="X458">
        <v>0</v>
      </c>
      <c r="Y458" t="s">
        <v>60</v>
      </c>
      <c r="Z458" t="s">
        <v>360</v>
      </c>
      <c r="AA458">
        <v>0</v>
      </c>
      <c r="AB458" s="2">
        <v>0</v>
      </c>
      <c r="AC458" s="2">
        <v>0</v>
      </c>
      <c r="AD458" s="3">
        <v>0</v>
      </c>
      <c r="AE458" s="2">
        <v>0</v>
      </c>
      <c r="AF458" s="2">
        <v>0</v>
      </c>
      <c r="AG458" s="2">
        <v>0</v>
      </c>
      <c r="AH458" s="2">
        <v>0</v>
      </c>
      <c r="AI458" s="2">
        <v>0</v>
      </c>
      <c r="AJ458" s="2">
        <v>0</v>
      </c>
      <c r="AK458" s="2">
        <v>0</v>
      </c>
      <c r="AL458" s="2">
        <v>0</v>
      </c>
      <c r="AM458" s="2">
        <v>18.75</v>
      </c>
      <c r="AN458" s="2">
        <v>18.75</v>
      </c>
      <c r="AO458" s="2">
        <v>0</v>
      </c>
      <c r="AP458" s="2">
        <v>0</v>
      </c>
      <c r="AQ458" s="2">
        <v>0</v>
      </c>
    </row>
    <row r="459" spans="1:43" x14ac:dyDescent="0.25">
      <c r="A459" s="1">
        <v>45936</v>
      </c>
      <c r="B459" t="s">
        <v>48</v>
      </c>
      <c r="C459">
        <v>649163</v>
      </c>
      <c r="D459">
        <v>2027887270</v>
      </c>
      <c r="E459" t="s">
        <v>764</v>
      </c>
      <c r="F459" t="s">
        <v>81</v>
      </c>
      <c r="G459" t="s">
        <v>51</v>
      </c>
      <c r="H459" t="s">
        <v>119</v>
      </c>
      <c r="I459" t="s">
        <v>89</v>
      </c>
      <c r="J459" t="s">
        <v>111</v>
      </c>
      <c r="K459">
        <v>651818</v>
      </c>
      <c r="L459" t="s">
        <v>112</v>
      </c>
      <c r="M459" t="s">
        <v>104</v>
      </c>
      <c r="N459" t="s">
        <v>57</v>
      </c>
      <c r="O459" s="1">
        <v>45754</v>
      </c>
      <c r="Q459" s="1">
        <v>45968</v>
      </c>
      <c r="R459" s="2">
        <v>88.8</v>
      </c>
      <c r="S459">
        <v>1</v>
      </c>
      <c r="T459" t="s">
        <v>58</v>
      </c>
      <c r="U459" t="s">
        <v>359</v>
      </c>
      <c r="V459" s="3">
        <v>0.75</v>
      </c>
      <c r="W459" s="2">
        <v>0</v>
      </c>
      <c r="X459">
        <v>0</v>
      </c>
      <c r="Y459" t="s">
        <v>60</v>
      </c>
      <c r="Z459" t="s">
        <v>360</v>
      </c>
      <c r="AA459">
        <v>0</v>
      </c>
      <c r="AB459" s="2">
        <v>0</v>
      </c>
      <c r="AC459" s="2">
        <v>0</v>
      </c>
      <c r="AD459" s="3">
        <v>0</v>
      </c>
      <c r="AE459" s="2">
        <v>0</v>
      </c>
      <c r="AF459" s="2">
        <v>0</v>
      </c>
      <c r="AG459" s="2">
        <v>0</v>
      </c>
      <c r="AH459" s="2">
        <v>0</v>
      </c>
      <c r="AI459" s="2">
        <v>0</v>
      </c>
      <c r="AJ459" s="2">
        <v>0</v>
      </c>
      <c r="AK459" s="2">
        <v>0</v>
      </c>
      <c r="AL459" s="2">
        <v>0</v>
      </c>
      <c r="AM459" s="2">
        <v>66.599999999999994</v>
      </c>
      <c r="AN459" s="2">
        <v>66.599999999999994</v>
      </c>
      <c r="AO459" s="2">
        <v>0</v>
      </c>
      <c r="AP459" s="2">
        <v>0</v>
      </c>
      <c r="AQ459" s="2">
        <v>0</v>
      </c>
    </row>
    <row r="460" spans="1:43" x14ac:dyDescent="0.25">
      <c r="A460" s="1">
        <v>45936</v>
      </c>
      <c r="B460" t="s">
        <v>48</v>
      </c>
      <c r="C460">
        <v>649163</v>
      </c>
      <c r="D460">
        <v>2027965834</v>
      </c>
      <c r="E460" t="s">
        <v>765</v>
      </c>
      <c r="F460" t="s">
        <v>63</v>
      </c>
      <c r="G460" t="s">
        <v>51</v>
      </c>
      <c r="H460" t="s">
        <v>88</v>
      </c>
      <c r="I460" t="s">
        <v>89</v>
      </c>
      <c r="J460" t="s">
        <v>90</v>
      </c>
      <c r="K460">
        <v>812782</v>
      </c>
      <c r="L460" t="s">
        <v>91</v>
      </c>
      <c r="M460" t="s">
        <v>92</v>
      </c>
      <c r="N460" t="s">
        <v>456</v>
      </c>
      <c r="O460" s="1">
        <v>45738</v>
      </c>
      <c r="P460" s="1">
        <v>45936</v>
      </c>
      <c r="Q460" s="1">
        <v>45952</v>
      </c>
      <c r="R460" s="2">
        <v>-5.76</v>
      </c>
      <c r="S460">
        <v>1</v>
      </c>
      <c r="T460" t="s">
        <v>58</v>
      </c>
      <c r="U460" t="s">
        <v>359</v>
      </c>
      <c r="V460" s="3">
        <v>0.65</v>
      </c>
      <c r="W460" s="2">
        <v>0</v>
      </c>
      <c r="X460">
        <v>-1</v>
      </c>
      <c r="Y460" t="s">
        <v>60</v>
      </c>
      <c r="Z460" t="s">
        <v>360</v>
      </c>
      <c r="AA460">
        <v>0</v>
      </c>
      <c r="AB460" s="2">
        <v>0</v>
      </c>
      <c r="AC460" s="2">
        <v>0</v>
      </c>
      <c r="AD460" s="3">
        <v>0</v>
      </c>
      <c r="AE460" s="2">
        <v>0</v>
      </c>
      <c r="AF460" s="2">
        <v>0</v>
      </c>
      <c r="AG460" s="2">
        <v>0</v>
      </c>
      <c r="AH460" s="2">
        <v>0</v>
      </c>
      <c r="AI460" s="2">
        <v>0</v>
      </c>
      <c r="AJ460" s="2">
        <v>0</v>
      </c>
      <c r="AK460" s="2">
        <v>0</v>
      </c>
      <c r="AL460" s="2">
        <v>0</v>
      </c>
      <c r="AM460" s="2">
        <v>-3.74</v>
      </c>
      <c r="AN460" s="2">
        <v>-3.74</v>
      </c>
      <c r="AO460" s="2">
        <v>0</v>
      </c>
      <c r="AP460" s="2">
        <v>0</v>
      </c>
      <c r="AQ460" s="2">
        <v>0</v>
      </c>
    </row>
    <row r="461" spans="1:43" x14ac:dyDescent="0.25">
      <c r="A461" s="1">
        <v>45936</v>
      </c>
      <c r="B461" t="s">
        <v>48</v>
      </c>
      <c r="C461">
        <v>649163</v>
      </c>
      <c r="D461">
        <v>2028108470</v>
      </c>
      <c r="E461" t="s">
        <v>766</v>
      </c>
      <c r="F461" t="s">
        <v>314</v>
      </c>
      <c r="G461" t="s">
        <v>51</v>
      </c>
      <c r="H461" t="s">
        <v>101</v>
      </c>
      <c r="I461" t="s">
        <v>89</v>
      </c>
      <c r="J461" t="s">
        <v>111</v>
      </c>
      <c r="K461">
        <v>651818</v>
      </c>
      <c r="L461" t="s">
        <v>112</v>
      </c>
      <c r="M461" t="s">
        <v>104</v>
      </c>
      <c r="N461" t="s">
        <v>57</v>
      </c>
      <c r="O461" s="1">
        <v>45754</v>
      </c>
      <c r="Q461" s="1">
        <v>45968</v>
      </c>
      <c r="R461" s="2">
        <v>104.83</v>
      </c>
      <c r="S461">
        <v>1</v>
      </c>
      <c r="T461" t="s">
        <v>58</v>
      </c>
      <c r="U461" t="s">
        <v>359</v>
      </c>
      <c r="V461" s="3">
        <v>0.75</v>
      </c>
      <c r="W461" s="2">
        <v>0</v>
      </c>
      <c r="X461">
        <v>0</v>
      </c>
      <c r="Y461" t="s">
        <v>60</v>
      </c>
      <c r="Z461" t="s">
        <v>360</v>
      </c>
      <c r="AA461">
        <v>0</v>
      </c>
      <c r="AB461" s="2">
        <v>0</v>
      </c>
      <c r="AC461" s="2">
        <v>0</v>
      </c>
      <c r="AD461" s="3">
        <v>0</v>
      </c>
      <c r="AE461" s="2">
        <v>0</v>
      </c>
      <c r="AF461" s="2">
        <v>0</v>
      </c>
      <c r="AG461" s="2">
        <v>0</v>
      </c>
      <c r="AH461" s="2">
        <v>0</v>
      </c>
      <c r="AI461" s="2">
        <v>0</v>
      </c>
      <c r="AJ461" s="2">
        <v>0</v>
      </c>
      <c r="AK461" s="2">
        <v>0</v>
      </c>
      <c r="AL461" s="2">
        <v>0</v>
      </c>
      <c r="AM461" s="2">
        <v>78.62</v>
      </c>
      <c r="AN461" s="2">
        <v>78.62</v>
      </c>
      <c r="AO461" s="2">
        <v>0</v>
      </c>
      <c r="AP461" s="2">
        <v>0</v>
      </c>
      <c r="AQ461" s="2">
        <v>0</v>
      </c>
    </row>
    <row r="462" spans="1:43" x14ac:dyDescent="0.25">
      <c r="A462" s="1">
        <v>45936</v>
      </c>
      <c r="B462" t="s">
        <v>48</v>
      </c>
      <c r="C462">
        <v>649163</v>
      </c>
      <c r="D462">
        <v>2028248980</v>
      </c>
      <c r="E462" t="s">
        <v>767</v>
      </c>
      <c r="F462" t="s">
        <v>671</v>
      </c>
      <c r="G462" t="s">
        <v>51</v>
      </c>
      <c r="H462" t="s">
        <v>182</v>
      </c>
      <c r="I462" t="s">
        <v>89</v>
      </c>
      <c r="J462" t="s">
        <v>111</v>
      </c>
      <c r="K462">
        <v>651818</v>
      </c>
      <c r="L462" t="s">
        <v>112</v>
      </c>
      <c r="M462" t="s">
        <v>104</v>
      </c>
      <c r="N462" t="s">
        <v>57</v>
      </c>
      <c r="O462" s="1">
        <v>45784</v>
      </c>
      <c r="Q462" s="1">
        <v>45968</v>
      </c>
      <c r="R462" s="2">
        <v>316.83</v>
      </c>
      <c r="S462">
        <v>1</v>
      </c>
      <c r="T462" t="s">
        <v>58</v>
      </c>
      <c r="U462" t="s">
        <v>359</v>
      </c>
      <c r="V462" s="3">
        <v>0.75</v>
      </c>
      <c r="W462" s="2">
        <v>0</v>
      </c>
      <c r="X462">
        <v>0</v>
      </c>
      <c r="Y462" t="s">
        <v>60</v>
      </c>
      <c r="Z462" t="s">
        <v>360</v>
      </c>
      <c r="AA462">
        <v>0</v>
      </c>
      <c r="AB462" s="2">
        <v>0</v>
      </c>
      <c r="AC462" s="2">
        <v>0</v>
      </c>
      <c r="AD462" s="3">
        <v>0</v>
      </c>
      <c r="AE462" s="2">
        <v>0</v>
      </c>
      <c r="AF462" s="2">
        <v>0</v>
      </c>
      <c r="AG462" s="2">
        <v>0</v>
      </c>
      <c r="AH462" s="2">
        <v>0</v>
      </c>
      <c r="AI462" s="2">
        <v>0</v>
      </c>
      <c r="AJ462" s="2">
        <v>0</v>
      </c>
      <c r="AK462" s="2">
        <v>0</v>
      </c>
      <c r="AL462" s="2">
        <v>0</v>
      </c>
      <c r="AM462" s="2">
        <v>237.62</v>
      </c>
      <c r="AN462" s="2">
        <v>237.62</v>
      </c>
      <c r="AO462" s="2">
        <v>0</v>
      </c>
      <c r="AP462" s="2">
        <v>0</v>
      </c>
      <c r="AQ462" s="2">
        <v>0</v>
      </c>
    </row>
    <row r="463" spans="1:43" x14ac:dyDescent="0.25">
      <c r="A463" s="1">
        <v>45936</v>
      </c>
      <c r="B463" t="s">
        <v>48</v>
      </c>
      <c r="C463">
        <v>649163</v>
      </c>
      <c r="D463">
        <v>2028412598</v>
      </c>
      <c r="E463" t="s">
        <v>768</v>
      </c>
      <c r="F463" t="s">
        <v>205</v>
      </c>
      <c r="G463" t="s">
        <v>51</v>
      </c>
      <c r="H463" t="s">
        <v>101</v>
      </c>
      <c r="I463" t="s">
        <v>89</v>
      </c>
      <c r="J463" t="s">
        <v>111</v>
      </c>
      <c r="K463">
        <v>651818</v>
      </c>
      <c r="L463" t="s">
        <v>112</v>
      </c>
      <c r="M463" t="s">
        <v>104</v>
      </c>
      <c r="N463" t="s">
        <v>57</v>
      </c>
      <c r="O463" s="1">
        <v>45784</v>
      </c>
      <c r="Q463" s="1">
        <v>45968</v>
      </c>
      <c r="R463" s="2">
        <v>125.83</v>
      </c>
      <c r="S463">
        <v>1</v>
      </c>
      <c r="T463" t="s">
        <v>58</v>
      </c>
      <c r="U463" t="s">
        <v>359</v>
      </c>
      <c r="V463" s="3">
        <v>0.75</v>
      </c>
      <c r="W463" s="2">
        <v>0</v>
      </c>
      <c r="X463">
        <v>0</v>
      </c>
      <c r="Y463" t="s">
        <v>60</v>
      </c>
      <c r="Z463" t="s">
        <v>360</v>
      </c>
      <c r="AA463">
        <v>0</v>
      </c>
      <c r="AB463" s="2">
        <v>0</v>
      </c>
      <c r="AC463" s="2">
        <v>0</v>
      </c>
      <c r="AD463" s="3">
        <v>0</v>
      </c>
      <c r="AE463" s="2">
        <v>0</v>
      </c>
      <c r="AF463" s="2">
        <v>0</v>
      </c>
      <c r="AG463" s="2">
        <v>0</v>
      </c>
      <c r="AH463" s="2">
        <v>0</v>
      </c>
      <c r="AI463" s="2">
        <v>0</v>
      </c>
      <c r="AJ463" s="2">
        <v>0</v>
      </c>
      <c r="AK463" s="2">
        <v>0</v>
      </c>
      <c r="AL463" s="2">
        <v>0</v>
      </c>
      <c r="AM463" s="2">
        <v>94.37</v>
      </c>
      <c r="AN463" s="2">
        <v>94.37</v>
      </c>
      <c r="AO463" s="2">
        <v>0</v>
      </c>
      <c r="AP463" s="2">
        <v>0</v>
      </c>
      <c r="AQ463" s="2">
        <v>0</v>
      </c>
    </row>
    <row r="464" spans="1:43" x14ac:dyDescent="0.25">
      <c r="A464" s="1">
        <v>45936</v>
      </c>
      <c r="B464" t="s">
        <v>48</v>
      </c>
      <c r="C464">
        <v>649163</v>
      </c>
      <c r="D464">
        <v>2028549155</v>
      </c>
      <c r="E464" t="s">
        <v>764</v>
      </c>
      <c r="F464" t="s">
        <v>769</v>
      </c>
      <c r="G464" t="s">
        <v>51</v>
      </c>
      <c r="H464" t="s">
        <v>119</v>
      </c>
      <c r="I464" t="s">
        <v>89</v>
      </c>
      <c r="J464" t="s">
        <v>111</v>
      </c>
      <c r="K464">
        <v>651818</v>
      </c>
      <c r="L464" t="s">
        <v>112</v>
      </c>
      <c r="M464" t="s">
        <v>104</v>
      </c>
      <c r="N464" t="s">
        <v>57</v>
      </c>
      <c r="O464" s="1">
        <v>45784</v>
      </c>
      <c r="Q464" s="1">
        <v>45968</v>
      </c>
      <c r="R464" s="2">
        <v>31.75</v>
      </c>
      <c r="S464">
        <v>1</v>
      </c>
      <c r="T464" t="s">
        <v>58</v>
      </c>
      <c r="U464" t="s">
        <v>359</v>
      </c>
      <c r="V464" s="3">
        <v>0.75</v>
      </c>
      <c r="W464" s="2">
        <v>0</v>
      </c>
      <c r="X464">
        <v>0</v>
      </c>
      <c r="Y464" t="s">
        <v>60</v>
      </c>
      <c r="Z464" t="s">
        <v>360</v>
      </c>
      <c r="AA464">
        <v>0</v>
      </c>
      <c r="AB464" s="2">
        <v>0</v>
      </c>
      <c r="AC464" s="2">
        <v>0</v>
      </c>
      <c r="AD464" s="3">
        <v>0</v>
      </c>
      <c r="AE464" s="2">
        <v>0</v>
      </c>
      <c r="AF464" s="2">
        <v>0</v>
      </c>
      <c r="AG464" s="2">
        <v>0</v>
      </c>
      <c r="AH464" s="2">
        <v>0</v>
      </c>
      <c r="AI464" s="2">
        <v>0</v>
      </c>
      <c r="AJ464" s="2">
        <v>0</v>
      </c>
      <c r="AK464" s="2">
        <v>0</v>
      </c>
      <c r="AL464" s="2">
        <v>0</v>
      </c>
      <c r="AM464" s="2">
        <v>23.81</v>
      </c>
      <c r="AN464" s="2">
        <v>23.81</v>
      </c>
      <c r="AO464" s="2">
        <v>0</v>
      </c>
      <c r="AP464" s="2">
        <v>0</v>
      </c>
      <c r="AQ464" s="2">
        <v>0</v>
      </c>
    </row>
    <row r="465" spans="1:43" x14ac:dyDescent="0.25">
      <c r="A465" s="1">
        <v>45936</v>
      </c>
      <c r="B465" t="s">
        <v>48</v>
      </c>
      <c r="C465">
        <v>649163</v>
      </c>
      <c r="D465">
        <v>2028605534</v>
      </c>
      <c r="E465" t="s">
        <v>770</v>
      </c>
      <c r="F465" t="s">
        <v>98</v>
      </c>
      <c r="G465" t="s">
        <v>51</v>
      </c>
      <c r="H465" t="s">
        <v>105</v>
      </c>
      <c r="I465" t="s">
        <v>89</v>
      </c>
      <c r="J465" t="s">
        <v>96</v>
      </c>
      <c r="K465">
        <v>823068</v>
      </c>
      <c r="L465" t="s">
        <v>106</v>
      </c>
      <c r="M465" t="s">
        <v>107</v>
      </c>
      <c r="N465" t="s">
        <v>57</v>
      </c>
      <c r="O465" s="1">
        <v>45778</v>
      </c>
      <c r="Q465" s="1">
        <v>45962</v>
      </c>
      <c r="R465" s="2">
        <v>109.06</v>
      </c>
      <c r="S465">
        <v>1</v>
      </c>
      <c r="T465" t="s">
        <v>58</v>
      </c>
      <c r="U465" t="s">
        <v>359</v>
      </c>
      <c r="V465" s="3">
        <v>0.9</v>
      </c>
      <c r="W465" s="2">
        <v>0</v>
      </c>
      <c r="X465">
        <v>0</v>
      </c>
      <c r="Y465" t="s">
        <v>60</v>
      </c>
      <c r="Z465" t="s">
        <v>360</v>
      </c>
      <c r="AA465">
        <v>0</v>
      </c>
      <c r="AB465" s="2">
        <v>0</v>
      </c>
      <c r="AC465" s="2">
        <v>0</v>
      </c>
      <c r="AD465" s="3">
        <v>0</v>
      </c>
      <c r="AE465" s="2">
        <v>0</v>
      </c>
      <c r="AF465" s="2">
        <v>0</v>
      </c>
      <c r="AG465" s="2">
        <v>0</v>
      </c>
      <c r="AH465" s="2">
        <v>0</v>
      </c>
      <c r="AI465" s="2">
        <v>0</v>
      </c>
      <c r="AJ465" s="2">
        <v>0</v>
      </c>
      <c r="AK465" s="2">
        <v>0</v>
      </c>
      <c r="AL465" s="2">
        <v>0</v>
      </c>
      <c r="AM465" s="2">
        <v>98.15</v>
      </c>
      <c r="AN465" s="2">
        <v>98.15</v>
      </c>
      <c r="AO465" s="2">
        <v>0</v>
      </c>
      <c r="AP465" s="2">
        <v>0</v>
      </c>
      <c r="AQ465" s="2">
        <v>0</v>
      </c>
    </row>
    <row r="466" spans="1:43" x14ac:dyDescent="0.25">
      <c r="A466" s="1">
        <v>45936</v>
      </c>
      <c r="B466" t="s">
        <v>48</v>
      </c>
      <c r="C466">
        <v>649163</v>
      </c>
      <c r="D466">
        <v>2028692689</v>
      </c>
      <c r="E466" t="s">
        <v>771</v>
      </c>
      <c r="F466" t="s">
        <v>220</v>
      </c>
      <c r="G466" t="s">
        <v>51</v>
      </c>
      <c r="H466" t="s">
        <v>119</v>
      </c>
      <c r="I466" t="s">
        <v>89</v>
      </c>
      <c r="J466" t="s">
        <v>111</v>
      </c>
      <c r="K466">
        <v>651818</v>
      </c>
      <c r="L466" t="s">
        <v>112</v>
      </c>
      <c r="M466" t="s">
        <v>104</v>
      </c>
      <c r="N466" t="s">
        <v>57</v>
      </c>
      <c r="O466" s="1">
        <v>45784</v>
      </c>
      <c r="Q466" s="1">
        <v>45968</v>
      </c>
      <c r="R466" s="2">
        <v>72.38</v>
      </c>
      <c r="S466">
        <v>1</v>
      </c>
      <c r="T466" t="s">
        <v>58</v>
      </c>
      <c r="U466" t="s">
        <v>359</v>
      </c>
      <c r="V466" s="3">
        <v>0.75</v>
      </c>
      <c r="W466" s="2">
        <v>0</v>
      </c>
      <c r="X466">
        <v>0</v>
      </c>
      <c r="Y466" t="s">
        <v>60</v>
      </c>
      <c r="Z466" t="s">
        <v>360</v>
      </c>
      <c r="AA466">
        <v>0</v>
      </c>
      <c r="AB466" s="2">
        <v>0</v>
      </c>
      <c r="AC466" s="2">
        <v>0</v>
      </c>
      <c r="AD466" s="3">
        <v>0</v>
      </c>
      <c r="AE466" s="2">
        <v>0</v>
      </c>
      <c r="AF466" s="2">
        <v>0</v>
      </c>
      <c r="AG466" s="2">
        <v>0</v>
      </c>
      <c r="AH466" s="2">
        <v>0</v>
      </c>
      <c r="AI466" s="2">
        <v>0</v>
      </c>
      <c r="AJ466" s="2">
        <v>0</v>
      </c>
      <c r="AK466" s="2">
        <v>0</v>
      </c>
      <c r="AL466" s="2">
        <v>0</v>
      </c>
      <c r="AM466" s="2">
        <v>54.28</v>
      </c>
      <c r="AN466" s="2">
        <v>54.28</v>
      </c>
      <c r="AO466" s="2">
        <v>0</v>
      </c>
      <c r="AP466" s="2">
        <v>0</v>
      </c>
      <c r="AQ466" s="2">
        <v>0</v>
      </c>
    </row>
    <row r="467" spans="1:43" x14ac:dyDescent="0.25">
      <c r="A467" s="1">
        <v>45936</v>
      </c>
      <c r="B467" t="s">
        <v>48</v>
      </c>
      <c r="C467">
        <v>649163</v>
      </c>
      <c r="D467">
        <v>2028773699</v>
      </c>
      <c r="E467" t="s">
        <v>772</v>
      </c>
      <c r="F467" t="s">
        <v>81</v>
      </c>
      <c r="G467" t="s">
        <v>51</v>
      </c>
      <c r="H467" t="s">
        <v>119</v>
      </c>
      <c r="I467" t="s">
        <v>89</v>
      </c>
      <c r="J467" t="s">
        <v>111</v>
      </c>
      <c r="K467">
        <v>651818</v>
      </c>
      <c r="L467" t="s">
        <v>112</v>
      </c>
      <c r="M467" t="s">
        <v>104</v>
      </c>
      <c r="N467" t="s">
        <v>57</v>
      </c>
      <c r="O467" s="1">
        <v>45815</v>
      </c>
      <c r="Q467" s="1">
        <v>45968</v>
      </c>
      <c r="R467" s="2">
        <v>123.55</v>
      </c>
      <c r="S467">
        <v>1</v>
      </c>
      <c r="T467" t="s">
        <v>58</v>
      </c>
      <c r="U467" t="s">
        <v>359</v>
      </c>
      <c r="V467" s="3">
        <v>0.75</v>
      </c>
      <c r="W467" s="2">
        <v>0</v>
      </c>
      <c r="X467">
        <v>0</v>
      </c>
      <c r="Y467" t="s">
        <v>60</v>
      </c>
      <c r="Z467" t="s">
        <v>360</v>
      </c>
      <c r="AA467">
        <v>0</v>
      </c>
      <c r="AB467" s="2">
        <v>0</v>
      </c>
      <c r="AC467" s="2">
        <v>0</v>
      </c>
      <c r="AD467" s="3">
        <v>0</v>
      </c>
      <c r="AE467" s="2">
        <v>0</v>
      </c>
      <c r="AF467" s="2">
        <v>0</v>
      </c>
      <c r="AG467" s="2">
        <v>0</v>
      </c>
      <c r="AH467" s="2">
        <v>0</v>
      </c>
      <c r="AI467" s="2">
        <v>0</v>
      </c>
      <c r="AJ467" s="2">
        <v>0</v>
      </c>
      <c r="AK467" s="2">
        <v>0</v>
      </c>
      <c r="AL467" s="2">
        <v>92.66</v>
      </c>
      <c r="AM467" s="2">
        <v>0</v>
      </c>
      <c r="AN467" s="2">
        <v>0</v>
      </c>
      <c r="AO467" s="2">
        <v>0</v>
      </c>
      <c r="AP467" s="2">
        <v>0</v>
      </c>
      <c r="AQ467" s="2">
        <v>0</v>
      </c>
    </row>
    <row r="468" spans="1:43" x14ac:dyDescent="0.25">
      <c r="A468" s="1">
        <v>45936</v>
      </c>
      <c r="B468" t="s">
        <v>48</v>
      </c>
      <c r="C468">
        <v>649163</v>
      </c>
      <c r="D468">
        <v>2028777168</v>
      </c>
      <c r="E468" t="s">
        <v>773</v>
      </c>
      <c r="F468" t="s">
        <v>774</v>
      </c>
      <c r="G468" t="s">
        <v>51</v>
      </c>
      <c r="H468" t="s">
        <v>203</v>
      </c>
      <c r="I468" t="s">
        <v>89</v>
      </c>
      <c r="J468" t="s">
        <v>90</v>
      </c>
      <c r="K468">
        <v>816021</v>
      </c>
      <c r="L468" t="s">
        <v>265</v>
      </c>
      <c r="M468" t="s">
        <v>266</v>
      </c>
      <c r="N468" t="s">
        <v>57</v>
      </c>
      <c r="O468" s="1">
        <v>45783</v>
      </c>
      <c r="Q468" s="1">
        <v>45967</v>
      </c>
      <c r="R468" s="2">
        <v>142.03</v>
      </c>
      <c r="S468">
        <v>1</v>
      </c>
      <c r="T468" t="s">
        <v>58</v>
      </c>
      <c r="U468" t="s">
        <v>359</v>
      </c>
      <c r="V468" s="3">
        <v>0.65</v>
      </c>
      <c r="W468" s="2">
        <v>0</v>
      </c>
      <c r="X468">
        <v>0</v>
      </c>
      <c r="Y468" t="s">
        <v>60</v>
      </c>
      <c r="Z468" t="s">
        <v>360</v>
      </c>
      <c r="AA468">
        <v>0</v>
      </c>
      <c r="AB468" s="2">
        <v>0</v>
      </c>
      <c r="AC468" s="2">
        <v>0</v>
      </c>
      <c r="AD468" s="3">
        <v>0</v>
      </c>
      <c r="AE468" s="2">
        <v>0</v>
      </c>
      <c r="AF468" s="2">
        <v>0</v>
      </c>
      <c r="AG468" s="2">
        <v>0</v>
      </c>
      <c r="AH468" s="2">
        <v>0</v>
      </c>
      <c r="AI468" s="2">
        <v>0</v>
      </c>
      <c r="AJ468" s="2">
        <v>0</v>
      </c>
      <c r="AK468" s="2">
        <v>0</v>
      </c>
      <c r="AL468" s="2">
        <v>0</v>
      </c>
      <c r="AM468" s="2">
        <v>92.32</v>
      </c>
      <c r="AN468" s="2">
        <v>92.32</v>
      </c>
      <c r="AO468" s="2">
        <v>0</v>
      </c>
      <c r="AP468" s="2">
        <v>0</v>
      </c>
      <c r="AQ468" s="2">
        <v>0</v>
      </c>
    </row>
    <row r="469" spans="1:43" x14ac:dyDescent="0.25">
      <c r="A469" s="1">
        <v>45936</v>
      </c>
      <c r="B469" t="s">
        <v>48</v>
      </c>
      <c r="C469">
        <v>649163</v>
      </c>
      <c r="D469">
        <v>2028803972</v>
      </c>
      <c r="E469" t="s">
        <v>775</v>
      </c>
      <c r="F469" t="s">
        <v>776</v>
      </c>
      <c r="G469" t="s">
        <v>51</v>
      </c>
      <c r="H469" t="s">
        <v>52</v>
      </c>
      <c r="I469" t="s">
        <v>89</v>
      </c>
      <c r="J469" t="s">
        <v>96</v>
      </c>
      <c r="K469">
        <v>767312</v>
      </c>
      <c r="L469" t="s">
        <v>283</v>
      </c>
      <c r="M469" t="s">
        <v>284</v>
      </c>
      <c r="N469" t="s">
        <v>57</v>
      </c>
      <c r="O469" s="1">
        <v>45784</v>
      </c>
      <c r="Q469" s="1">
        <v>45968</v>
      </c>
      <c r="R469" s="2">
        <v>205.42</v>
      </c>
      <c r="S469">
        <v>1</v>
      </c>
      <c r="T469" t="s">
        <v>58</v>
      </c>
      <c r="U469" t="s">
        <v>359</v>
      </c>
      <c r="V469" s="3">
        <v>0.9</v>
      </c>
      <c r="W469" s="2">
        <v>0</v>
      </c>
      <c r="X469">
        <v>0</v>
      </c>
      <c r="Y469" t="s">
        <v>60</v>
      </c>
      <c r="Z469" t="s">
        <v>360</v>
      </c>
      <c r="AA469">
        <v>0</v>
      </c>
      <c r="AB469" s="2">
        <v>0</v>
      </c>
      <c r="AC469" s="2">
        <v>0</v>
      </c>
      <c r="AD469" s="3">
        <v>0</v>
      </c>
      <c r="AE469" s="2">
        <v>0</v>
      </c>
      <c r="AF469" s="2">
        <v>0</v>
      </c>
      <c r="AG469" s="2">
        <v>0</v>
      </c>
      <c r="AH469" s="2">
        <v>0</v>
      </c>
      <c r="AI469" s="2">
        <v>0</v>
      </c>
      <c r="AJ469" s="2">
        <v>0</v>
      </c>
      <c r="AK469" s="2">
        <v>0</v>
      </c>
      <c r="AL469" s="2">
        <v>0</v>
      </c>
      <c r="AM469" s="2">
        <v>184.88</v>
      </c>
      <c r="AN469" s="2">
        <v>184.88</v>
      </c>
      <c r="AO469" s="2">
        <v>0</v>
      </c>
      <c r="AP469" s="2">
        <v>0</v>
      </c>
      <c r="AQ469" s="2">
        <v>0</v>
      </c>
    </row>
    <row r="470" spans="1:43" x14ac:dyDescent="0.25">
      <c r="A470" s="1">
        <v>45936</v>
      </c>
      <c r="B470" t="s">
        <v>48</v>
      </c>
      <c r="C470">
        <v>649163</v>
      </c>
      <c r="D470">
        <v>2028859180</v>
      </c>
      <c r="E470" t="s">
        <v>777</v>
      </c>
      <c r="F470" t="s">
        <v>94</v>
      </c>
      <c r="G470" t="s">
        <v>51</v>
      </c>
      <c r="H470" t="s">
        <v>159</v>
      </c>
      <c r="I470" t="s">
        <v>89</v>
      </c>
      <c r="J470" t="s">
        <v>96</v>
      </c>
      <c r="K470">
        <v>651818</v>
      </c>
      <c r="L470" t="s">
        <v>112</v>
      </c>
      <c r="M470" t="s">
        <v>104</v>
      </c>
      <c r="N470" t="s">
        <v>57</v>
      </c>
      <c r="O470" s="1">
        <v>45815</v>
      </c>
      <c r="Q470" s="1">
        <v>45968</v>
      </c>
      <c r="R470" s="2">
        <v>57.67</v>
      </c>
      <c r="S470">
        <v>1</v>
      </c>
      <c r="T470" t="s">
        <v>58</v>
      </c>
      <c r="U470" t="s">
        <v>359</v>
      </c>
      <c r="V470" s="3">
        <v>0.9</v>
      </c>
      <c r="W470" s="2">
        <v>0</v>
      </c>
      <c r="X470">
        <v>0</v>
      </c>
      <c r="Y470" t="s">
        <v>60</v>
      </c>
      <c r="Z470" t="s">
        <v>360</v>
      </c>
      <c r="AA470">
        <v>0</v>
      </c>
      <c r="AB470" s="2">
        <v>0</v>
      </c>
      <c r="AC470" s="2">
        <v>0</v>
      </c>
      <c r="AD470" s="3">
        <v>0</v>
      </c>
      <c r="AE470" s="2">
        <v>0</v>
      </c>
      <c r="AF470" s="2">
        <v>0</v>
      </c>
      <c r="AG470" s="2">
        <v>0</v>
      </c>
      <c r="AH470" s="2">
        <v>0</v>
      </c>
      <c r="AI470" s="2">
        <v>0</v>
      </c>
      <c r="AJ470" s="2">
        <v>0</v>
      </c>
      <c r="AK470" s="2">
        <v>0</v>
      </c>
      <c r="AL470" s="2">
        <v>51.9</v>
      </c>
      <c r="AM470" s="2">
        <v>0</v>
      </c>
      <c r="AN470" s="2">
        <v>0</v>
      </c>
      <c r="AO470" s="2">
        <v>0</v>
      </c>
      <c r="AP470" s="2">
        <v>0</v>
      </c>
      <c r="AQ470" s="2">
        <v>0</v>
      </c>
    </row>
    <row r="471" spans="1:43" x14ac:dyDescent="0.25">
      <c r="A471" s="1">
        <v>45936</v>
      </c>
      <c r="B471" t="s">
        <v>48</v>
      </c>
      <c r="C471">
        <v>649163</v>
      </c>
      <c r="D471">
        <v>2029031424</v>
      </c>
      <c r="E471" t="s">
        <v>778</v>
      </c>
      <c r="F471" t="s">
        <v>779</v>
      </c>
      <c r="G471" t="s">
        <v>51</v>
      </c>
      <c r="H471" t="s">
        <v>129</v>
      </c>
      <c r="I471" t="s">
        <v>89</v>
      </c>
      <c r="J471" t="s">
        <v>111</v>
      </c>
      <c r="K471">
        <v>651818</v>
      </c>
      <c r="L471" t="s">
        <v>112</v>
      </c>
      <c r="M471" t="s">
        <v>104</v>
      </c>
      <c r="N471" t="s">
        <v>57</v>
      </c>
      <c r="O471" s="1">
        <v>45815</v>
      </c>
      <c r="Q471" s="1">
        <v>45968</v>
      </c>
      <c r="R471" s="2">
        <v>163.80000000000001</v>
      </c>
      <c r="S471">
        <v>1</v>
      </c>
      <c r="T471" t="s">
        <v>58</v>
      </c>
      <c r="U471" t="s">
        <v>359</v>
      </c>
      <c r="V471" s="3">
        <v>0.75</v>
      </c>
      <c r="W471" s="2">
        <v>0</v>
      </c>
      <c r="X471">
        <v>0</v>
      </c>
      <c r="Y471" t="s">
        <v>60</v>
      </c>
      <c r="Z471" t="s">
        <v>360</v>
      </c>
      <c r="AA471">
        <v>0</v>
      </c>
      <c r="AB471" s="2">
        <v>0</v>
      </c>
      <c r="AC471" s="2">
        <v>0</v>
      </c>
      <c r="AD471" s="3">
        <v>0</v>
      </c>
      <c r="AE471" s="2">
        <v>0</v>
      </c>
      <c r="AF471" s="2">
        <v>0</v>
      </c>
      <c r="AG471" s="2">
        <v>0</v>
      </c>
      <c r="AH471" s="2">
        <v>0</v>
      </c>
      <c r="AI471" s="2">
        <v>0</v>
      </c>
      <c r="AJ471" s="2">
        <v>0</v>
      </c>
      <c r="AK471" s="2">
        <v>0</v>
      </c>
      <c r="AL471" s="2">
        <v>122.85</v>
      </c>
      <c r="AM471" s="2">
        <v>0</v>
      </c>
      <c r="AN471" s="2">
        <v>0</v>
      </c>
      <c r="AO471" s="2">
        <v>0</v>
      </c>
      <c r="AP471" s="2">
        <v>0</v>
      </c>
      <c r="AQ471" s="2">
        <v>0</v>
      </c>
    </row>
    <row r="472" spans="1:43" x14ac:dyDescent="0.25">
      <c r="A472" s="1">
        <v>45936</v>
      </c>
      <c r="B472" t="s">
        <v>48</v>
      </c>
      <c r="C472">
        <v>649163</v>
      </c>
      <c r="D472">
        <v>2029168180</v>
      </c>
      <c r="E472" t="s">
        <v>780</v>
      </c>
      <c r="F472" t="s">
        <v>671</v>
      </c>
      <c r="G472" t="s">
        <v>51</v>
      </c>
      <c r="H472" t="s">
        <v>52</v>
      </c>
      <c r="I472" t="s">
        <v>89</v>
      </c>
      <c r="J472" t="s">
        <v>96</v>
      </c>
      <c r="K472">
        <v>753748</v>
      </c>
      <c r="L472" t="s">
        <v>97</v>
      </c>
      <c r="M472" t="s">
        <v>98</v>
      </c>
      <c r="N472" t="s">
        <v>57</v>
      </c>
      <c r="O472" s="1">
        <v>45809</v>
      </c>
      <c r="Q472" s="1">
        <v>45962</v>
      </c>
      <c r="R472" s="2">
        <v>-192.25</v>
      </c>
      <c r="S472">
        <v>1</v>
      </c>
      <c r="T472" t="s">
        <v>58</v>
      </c>
      <c r="U472" t="s">
        <v>359</v>
      </c>
      <c r="V472" s="3">
        <v>0.9</v>
      </c>
      <c r="W472" s="2">
        <v>0</v>
      </c>
      <c r="X472">
        <v>-1</v>
      </c>
      <c r="Y472" t="s">
        <v>60</v>
      </c>
      <c r="Z472" t="s">
        <v>360</v>
      </c>
      <c r="AA472">
        <v>0</v>
      </c>
      <c r="AB472" s="2">
        <v>0</v>
      </c>
      <c r="AC472" s="2">
        <v>0</v>
      </c>
      <c r="AD472" s="3">
        <v>0</v>
      </c>
      <c r="AE472" s="2">
        <v>0</v>
      </c>
      <c r="AF472" s="2">
        <v>0</v>
      </c>
      <c r="AG472" s="2">
        <v>0</v>
      </c>
      <c r="AH472" s="2">
        <v>0</v>
      </c>
      <c r="AI472" s="2">
        <v>0</v>
      </c>
      <c r="AJ472" s="2">
        <v>0</v>
      </c>
      <c r="AK472" s="2">
        <v>0</v>
      </c>
      <c r="AL472" s="2">
        <v>0</v>
      </c>
      <c r="AM472" s="2">
        <v>-173.02</v>
      </c>
      <c r="AN472" s="2">
        <v>-173.02</v>
      </c>
      <c r="AO472" s="2">
        <v>0</v>
      </c>
      <c r="AP472" s="2">
        <v>0</v>
      </c>
      <c r="AQ472" s="2">
        <v>0</v>
      </c>
    </row>
    <row r="473" spans="1:43" x14ac:dyDescent="0.25">
      <c r="A473" s="1">
        <v>45936</v>
      </c>
      <c r="B473" t="s">
        <v>48</v>
      </c>
      <c r="C473">
        <v>649163</v>
      </c>
      <c r="D473">
        <v>2029242158</v>
      </c>
      <c r="E473" t="s">
        <v>781</v>
      </c>
      <c r="F473" t="s">
        <v>782</v>
      </c>
      <c r="G473" t="s">
        <v>51</v>
      </c>
      <c r="H473" t="s">
        <v>129</v>
      </c>
      <c r="I473" t="s">
        <v>89</v>
      </c>
      <c r="J473" t="s">
        <v>111</v>
      </c>
      <c r="K473">
        <v>651818</v>
      </c>
      <c r="L473" t="s">
        <v>112</v>
      </c>
      <c r="M473" t="s">
        <v>104</v>
      </c>
      <c r="N473" t="s">
        <v>57</v>
      </c>
      <c r="O473" s="1">
        <v>45845</v>
      </c>
      <c r="Q473" s="1">
        <v>45968</v>
      </c>
      <c r="R473" s="2">
        <v>119.7</v>
      </c>
      <c r="S473">
        <v>1</v>
      </c>
      <c r="T473" t="s">
        <v>58</v>
      </c>
      <c r="U473" t="s">
        <v>359</v>
      </c>
      <c r="V473" s="3">
        <v>0.75</v>
      </c>
      <c r="W473" s="2">
        <v>0</v>
      </c>
      <c r="X473">
        <v>0</v>
      </c>
      <c r="Y473" t="s">
        <v>60</v>
      </c>
      <c r="Z473" t="s">
        <v>360</v>
      </c>
      <c r="AA473">
        <v>0</v>
      </c>
      <c r="AB473" s="2">
        <v>0</v>
      </c>
      <c r="AC473" s="2">
        <v>0</v>
      </c>
      <c r="AD473" s="3">
        <v>0</v>
      </c>
      <c r="AE473" s="2">
        <v>0</v>
      </c>
      <c r="AF473" s="2">
        <v>0</v>
      </c>
      <c r="AG473" s="2">
        <v>0</v>
      </c>
      <c r="AH473" s="2">
        <v>0</v>
      </c>
      <c r="AI473" s="2">
        <v>0</v>
      </c>
      <c r="AJ473" s="2">
        <v>0</v>
      </c>
      <c r="AK473" s="2">
        <v>0</v>
      </c>
      <c r="AL473" s="2">
        <v>89.78</v>
      </c>
      <c r="AM473" s="2">
        <v>0</v>
      </c>
      <c r="AN473" s="2">
        <v>0</v>
      </c>
      <c r="AO473" s="2">
        <v>0</v>
      </c>
      <c r="AP473" s="2">
        <v>0</v>
      </c>
      <c r="AQ473" s="2">
        <v>0</v>
      </c>
    </row>
    <row r="474" spans="1:43" x14ac:dyDescent="0.25">
      <c r="A474" s="1">
        <v>45936</v>
      </c>
      <c r="B474" t="s">
        <v>48</v>
      </c>
      <c r="C474">
        <v>649163</v>
      </c>
      <c r="D474">
        <v>2029275522</v>
      </c>
      <c r="E474" t="s">
        <v>783</v>
      </c>
      <c r="F474" t="s">
        <v>145</v>
      </c>
      <c r="G474" t="s">
        <v>51</v>
      </c>
      <c r="H474" t="s">
        <v>101</v>
      </c>
      <c r="I474" t="s">
        <v>89</v>
      </c>
      <c r="J474" t="s">
        <v>111</v>
      </c>
      <c r="K474">
        <v>821015</v>
      </c>
      <c r="L474" t="s">
        <v>325</v>
      </c>
      <c r="M474" t="s">
        <v>326</v>
      </c>
      <c r="N474" t="s">
        <v>57</v>
      </c>
      <c r="O474" s="1">
        <v>45815</v>
      </c>
      <c r="Q474" s="1">
        <v>45968</v>
      </c>
      <c r="R474" s="2">
        <v>76.8</v>
      </c>
      <c r="S474">
        <v>1</v>
      </c>
      <c r="T474" t="s">
        <v>58</v>
      </c>
      <c r="U474" t="s">
        <v>359</v>
      </c>
      <c r="V474" s="3">
        <v>0.75</v>
      </c>
      <c r="W474" s="2">
        <v>0</v>
      </c>
      <c r="X474">
        <v>0</v>
      </c>
      <c r="Y474" t="s">
        <v>60</v>
      </c>
      <c r="Z474" t="s">
        <v>360</v>
      </c>
      <c r="AA474">
        <v>0</v>
      </c>
      <c r="AB474" s="2">
        <v>0</v>
      </c>
      <c r="AC474" s="2">
        <v>0</v>
      </c>
      <c r="AD474" s="3">
        <v>0</v>
      </c>
      <c r="AE474" s="2">
        <v>0</v>
      </c>
      <c r="AF474" s="2">
        <v>0</v>
      </c>
      <c r="AG474" s="2">
        <v>0</v>
      </c>
      <c r="AH474" s="2">
        <v>0</v>
      </c>
      <c r="AI474" s="2">
        <v>0</v>
      </c>
      <c r="AJ474" s="2">
        <v>0</v>
      </c>
      <c r="AK474" s="2">
        <v>0</v>
      </c>
      <c r="AL474" s="2">
        <v>57.6</v>
      </c>
      <c r="AM474" s="2">
        <v>0</v>
      </c>
      <c r="AN474" s="2">
        <v>0</v>
      </c>
      <c r="AO474" s="2">
        <v>0</v>
      </c>
      <c r="AP474" s="2">
        <v>0</v>
      </c>
      <c r="AQ474" s="2">
        <v>0</v>
      </c>
    </row>
    <row r="475" spans="1:43" x14ac:dyDescent="0.25">
      <c r="A475" s="1">
        <v>45936</v>
      </c>
      <c r="B475" t="s">
        <v>48</v>
      </c>
      <c r="C475">
        <v>649163</v>
      </c>
      <c r="D475">
        <v>2029283860</v>
      </c>
      <c r="E475" t="s">
        <v>784</v>
      </c>
      <c r="F475" t="s">
        <v>785</v>
      </c>
      <c r="G475" t="s">
        <v>51</v>
      </c>
      <c r="H475" t="s">
        <v>105</v>
      </c>
      <c r="I475" t="s">
        <v>89</v>
      </c>
      <c r="J475" t="s">
        <v>96</v>
      </c>
      <c r="K475">
        <v>823068</v>
      </c>
      <c r="L475" t="s">
        <v>106</v>
      </c>
      <c r="M475" t="s">
        <v>107</v>
      </c>
      <c r="N475" t="s">
        <v>57</v>
      </c>
      <c r="O475" s="1">
        <v>45818</v>
      </c>
      <c r="Q475" s="1">
        <v>45971</v>
      </c>
      <c r="R475" s="2">
        <v>69.75</v>
      </c>
      <c r="S475">
        <v>1</v>
      </c>
      <c r="T475" t="s">
        <v>58</v>
      </c>
      <c r="U475" t="s">
        <v>359</v>
      </c>
      <c r="V475" s="3">
        <v>0.9</v>
      </c>
      <c r="W475" s="2">
        <v>0</v>
      </c>
      <c r="X475">
        <v>0</v>
      </c>
      <c r="Y475" t="s">
        <v>60</v>
      </c>
      <c r="Z475" t="s">
        <v>360</v>
      </c>
      <c r="AA475">
        <v>0</v>
      </c>
      <c r="AB475" s="2">
        <v>0</v>
      </c>
      <c r="AC475" s="2">
        <v>0</v>
      </c>
      <c r="AD475" s="3">
        <v>0</v>
      </c>
      <c r="AE475" s="2">
        <v>0</v>
      </c>
      <c r="AF475" s="2">
        <v>0</v>
      </c>
      <c r="AG475" s="2">
        <v>0</v>
      </c>
      <c r="AH475" s="2">
        <v>0</v>
      </c>
      <c r="AI475" s="2">
        <v>0</v>
      </c>
      <c r="AJ475" s="2">
        <v>0</v>
      </c>
      <c r="AK475" s="2">
        <v>0</v>
      </c>
      <c r="AL475" s="2">
        <v>62.78</v>
      </c>
      <c r="AM475" s="2">
        <v>0</v>
      </c>
      <c r="AN475" s="2">
        <v>0</v>
      </c>
      <c r="AO475" s="2">
        <v>0</v>
      </c>
      <c r="AP475" s="2">
        <v>0</v>
      </c>
      <c r="AQ475" s="2">
        <v>0</v>
      </c>
    </row>
    <row r="476" spans="1:43" x14ac:dyDescent="0.25">
      <c r="A476" s="1">
        <v>45936</v>
      </c>
      <c r="B476" t="s">
        <v>48</v>
      </c>
      <c r="C476">
        <v>649163</v>
      </c>
      <c r="D476">
        <v>2029290191</v>
      </c>
      <c r="E476" t="s">
        <v>786</v>
      </c>
      <c r="F476" t="s">
        <v>787</v>
      </c>
      <c r="G476" t="s">
        <v>51</v>
      </c>
      <c r="H476" t="s">
        <v>101</v>
      </c>
      <c r="I476" t="s">
        <v>89</v>
      </c>
      <c r="J476" t="s">
        <v>96</v>
      </c>
      <c r="K476">
        <v>824062</v>
      </c>
      <c r="L476" t="s">
        <v>273</v>
      </c>
      <c r="M476" t="s">
        <v>274</v>
      </c>
      <c r="N476" t="s">
        <v>456</v>
      </c>
      <c r="O476" s="1">
        <v>45839</v>
      </c>
      <c r="P476" s="1">
        <v>45936</v>
      </c>
      <c r="Q476" s="1">
        <v>45962</v>
      </c>
      <c r="R476" s="2">
        <v>-79.510000000000005</v>
      </c>
      <c r="S476">
        <v>1</v>
      </c>
      <c r="T476" t="s">
        <v>58</v>
      </c>
      <c r="U476" t="s">
        <v>359</v>
      </c>
      <c r="V476" s="3">
        <v>0.9</v>
      </c>
      <c r="W476" s="2">
        <v>0</v>
      </c>
      <c r="X476">
        <v>-1</v>
      </c>
      <c r="Y476" t="s">
        <v>60</v>
      </c>
      <c r="Z476" t="s">
        <v>360</v>
      </c>
      <c r="AA476">
        <v>0</v>
      </c>
      <c r="AB476" s="2">
        <v>0</v>
      </c>
      <c r="AC476" s="2">
        <v>0</v>
      </c>
      <c r="AD476" s="3">
        <v>0</v>
      </c>
      <c r="AE476" s="2">
        <v>0</v>
      </c>
      <c r="AF476" s="2">
        <v>0</v>
      </c>
      <c r="AG476" s="2">
        <v>0</v>
      </c>
      <c r="AH476" s="2">
        <v>0</v>
      </c>
      <c r="AI476" s="2">
        <v>0</v>
      </c>
      <c r="AJ476" s="2">
        <v>0</v>
      </c>
      <c r="AK476" s="2">
        <v>0</v>
      </c>
      <c r="AL476" s="2">
        <v>0</v>
      </c>
      <c r="AM476" s="2">
        <v>-71.56</v>
      </c>
      <c r="AN476" s="2">
        <v>-71.56</v>
      </c>
      <c r="AO476" s="2">
        <v>0</v>
      </c>
      <c r="AP476" s="2">
        <v>0</v>
      </c>
      <c r="AQ476" s="2">
        <v>0</v>
      </c>
    </row>
    <row r="477" spans="1:43" x14ac:dyDescent="0.25">
      <c r="A477" s="1">
        <v>45936</v>
      </c>
      <c r="B477" t="s">
        <v>48</v>
      </c>
      <c r="C477">
        <v>649163</v>
      </c>
      <c r="D477">
        <v>2029335780</v>
      </c>
      <c r="E477" t="s">
        <v>421</v>
      </c>
      <c r="F477" t="s">
        <v>98</v>
      </c>
      <c r="G477" t="s">
        <v>51</v>
      </c>
      <c r="H477" t="s">
        <v>101</v>
      </c>
      <c r="I477" t="s">
        <v>89</v>
      </c>
      <c r="J477" t="s">
        <v>96</v>
      </c>
      <c r="K477">
        <v>824062</v>
      </c>
      <c r="L477" t="s">
        <v>273</v>
      </c>
      <c r="M477" t="s">
        <v>274</v>
      </c>
      <c r="N477" t="s">
        <v>57</v>
      </c>
      <c r="O477" s="1">
        <v>45815</v>
      </c>
      <c r="Q477" s="1">
        <v>45968</v>
      </c>
      <c r="R477" s="2">
        <v>82.13</v>
      </c>
      <c r="S477">
        <v>1</v>
      </c>
      <c r="T477" t="s">
        <v>58</v>
      </c>
      <c r="U477" t="s">
        <v>359</v>
      </c>
      <c r="V477" s="3">
        <v>0.9</v>
      </c>
      <c r="W477" s="2">
        <v>0</v>
      </c>
      <c r="X477">
        <v>0</v>
      </c>
      <c r="Y477" t="s">
        <v>60</v>
      </c>
      <c r="Z477" t="s">
        <v>360</v>
      </c>
      <c r="AA477">
        <v>0</v>
      </c>
      <c r="AB477" s="2">
        <v>0</v>
      </c>
      <c r="AC477" s="2">
        <v>0</v>
      </c>
      <c r="AD477" s="3">
        <v>0</v>
      </c>
      <c r="AE477" s="2">
        <v>0</v>
      </c>
      <c r="AF477" s="2">
        <v>0</v>
      </c>
      <c r="AG477" s="2">
        <v>0</v>
      </c>
      <c r="AH477" s="2">
        <v>0</v>
      </c>
      <c r="AI477" s="2">
        <v>0</v>
      </c>
      <c r="AJ477" s="2">
        <v>0</v>
      </c>
      <c r="AK477" s="2">
        <v>0</v>
      </c>
      <c r="AL477" s="2">
        <v>73.92</v>
      </c>
      <c r="AM477" s="2">
        <v>0</v>
      </c>
      <c r="AN477" s="2">
        <v>0</v>
      </c>
      <c r="AO477" s="2">
        <v>0</v>
      </c>
      <c r="AP477" s="2">
        <v>0</v>
      </c>
      <c r="AQ477" s="2">
        <v>0</v>
      </c>
    </row>
    <row r="478" spans="1:43" x14ac:dyDescent="0.25">
      <c r="A478" s="1">
        <v>45936</v>
      </c>
      <c r="B478" t="s">
        <v>48</v>
      </c>
      <c r="C478">
        <v>649163</v>
      </c>
      <c r="D478">
        <v>2029501025</v>
      </c>
      <c r="E478" t="s">
        <v>740</v>
      </c>
      <c r="F478" t="s">
        <v>788</v>
      </c>
      <c r="G478" t="s">
        <v>51</v>
      </c>
      <c r="H478" t="s">
        <v>122</v>
      </c>
      <c r="I478" t="s">
        <v>89</v>
      </c>
      <c r="J478" t="s">
        <v>111</v>
      </c>
      <c r="K478">
        <v>651818</v>
      </c>
      <c r="L478" t="s">
        <v>112</v>
      </c>
      <c r="M478" t="s">
        <v>104</v>
      </c>
      <c r="N478" t="s">
        <v>57</v>
      </c>
      <c r="O478" s="1">
        <v>45845</v>
      </c>
      <c r="Q478" s="1">
        <v>45968</v>
      </c>
      <c r="R478" s="2">
        <v>329.4</v>
      </c>
      <c r="S478">
        <v>1</v>
      </c>
      <c r="T478" t="s">
        <v>58</v>
      </c>
      <c r="U478" t="s">
        <v>359</v>
      </c>
      <c r="V478" s="3">
        <v>0.75</v>
      </c>
      <c r="W478" s="2">
        <v>0</v>
      </c>
      <c r="X478">
        <v>0</v>
      </c>
      <c r="Y478" t="s">
        <v>60</v>
      </c>
      <c r="Z478" t="s">
        <v>360</v>
      </c>
      <c r="AA478">
        <v>0</v>
      </c>
      <c r="AB478" s="2">
        <v>0</v>
      </c>
      <c r="AC478" s="2">
        <v>0</v>
      </c>
      <c r="AD478" s="3">
        <v>0</v>
      </c>
      <c r="AE478" s="2">
        <v>0</v>
      </c>
      <c r="AF478" s="2">
        <v>0</v>
      </c>
      <c r="AG478" s="2">
        <v>0</v>
      </c>
      <c r="AH478" s="2">
        <v>0</v>
      </c>
      <c r="AI478" s="2">
        <v>0</v>
      </c>
      <c r="AJ478" s="2">
        <v>0</v>
      </c>
      <c r="AK478" s="2">
        <v>0</v>
      </c>
      <c r="AL478" s="2">
        <v>247.05</v>
      </c>
      <c r="AM478" s="2">
        <v>0</v>
      </c>
      <c r="AN478" s="2">
        <v>0</v>
      </c>
      <c r="AO478" s="2">
        <v>0</v>
      </c>
      <c r="AP478" s="2">
        <v>0</v>
      </c>
      <c r="AQ478" s="2">
        <v>0</v>
      </c>
    </row>
    <row r="479" spans="1:43" x14ac:dyDescent="0.25">
      <c r="A479" s="1">
        <v>45936</v>
      </c>
      <c r="B479" t="s">
        <v>48</v>
      </c>
      <c r="C479">
        <v>649163</v>
      </c>
      <c r="D479">
        <v>2029531079</v>
      </c>
      <c r="E479" t="s">
        <v>789</v>
      </c>
      <c r="F479" t="s">
        <v>790</v>
      </c>
      <c r="G479" t="s">
        <v>51</v>
      </c>
      <c r="H479" t="s">
        <v>182</v>
      </c>
      <c r="I479" t="s">
        <v>89</v>
      </c>
      <c r="J479" t="s">
        <v>102</v>
      </c>
      <c r="K479">
        <v>673059</v>
      </c>
      <c r="L479" t="s">
        <v>80</v>
      </c>
      <c r="M479" t="s">
        <v>81</v>
      </c>
      <c r="N479" t="s">
        <v>57</v>
      </c>
      <c r="O479" s="1">
        <v>45847</v>
      </c>
      <c r="Q479" s="1">
        <v>45970</v>
      </c>
      <c r="R479" s="2">
        <v>82.36</v>
      </c>
      <c r="S479">
        <v>1</v>
      </c>
      <c r="T479" t="s">
        <v>58</v>
      </c>
      <c r="U479" t="s">
        <v>359</v>
      </c>
      <c r="V479" s="3">
        <v>0.75</v>
      </c>
      <c r="W479" s="2">
        <v>0</v>
      </c>
      <c r="X479">
        <v>0</v>
      </c>
      <c r="Y479" t="s">
        <v>60</v>
      </c>
      <c r="Z479" t="s">
        <v>360</v>
      </c>
      <c r="AA479">
        <v>0</v>
      </c>
      <c r="AB479" s="2">
        <v>0</v>
      </c>
      <c r="AC479" s="2">
        <v>0</v>
      </c>
      <c r="AD479" s="3">
        <v>0</v>
      </c>
      <c r="AE479" s="2">
        <v>0</v>
      </c>
      <c r="AF479" s="2">
        <v>0</v>
      </c>
      <c r="AG479" s="2">
        <v>0</v>
      </c>
      <c r="AH479" s="2">
        <v>0</v>
      </c>
      <c r="AI479" s="2">
        <v>0</v>
      </c>
      <c r="AJ479" s="2">
        <v>0</v>
      </c>
      <c r="AK479" s="2">
        <v>0</v>
      </c>
      <c r="AL479" s="2">
        <v>61.77</v>
      </c>
      <c r="AM479" s="2">
        <v>0</v>
      </c>
      <c r="AN479" s="2">
        <v>0</v>
      </c>
      <c r="AO479" s="2">
        <v>0</v>
      </c>
      <c r="AP479" s="2">
        <v>0</v>
      </c>
      <c r="AQ479" s="2">
        <v>0</v>
      </c>
    </row>
    <row r="480" spans="1:43" x14ac:dyDescent="0.25">
      <c r="A480" s="1">
        <v>45936</v>
      </c>
      <c r="B480" t="s">
        <v>48</v>
      </c>
      <c r="C480">
        <v>649163</v>
      </c>
      <c r="D480">
        <v>2029609655</v>
      </c>
      <c r="E480" t="s">
        <v>72</v>
      </c>
      <c r="F480" t="s">
        <v>791</v>
      </c>
      <c r="G480" t="s">
        <v>51</v>
      </c>
      <c r="H480" t="s">
        <v>52</v>
      </c>
      <c r="I480" t="s">
        <v>89</v>
      </c>
      <c r="J480" t="s">
        <v>102</v>
      </c>
      <c r="K480">
        <v>651818</v>
      </c>
      <c r="L480" t="s">
        <v>112</v>
      </c>
      <c r="M480" t="s">
        <v>104</v>
      </c>
      <c r="N480" t="s">
        <v>57</v>
      </c>
      <c r="O480" s="1">
        <v>45845</v>
      </c>
      <c r="Q480" s="1">
        <v>45968</v>
      </c>
      <c r="R480" s="2">
        <v>120.19</v>
      </c>
      <c r="S480">
        <v>1</v>
      </c>
      <c r="T480" t="s">
        <v>58</v>
      </c>
      <c r="U480" t="s">
        <v>359</v>
      </c>
      <c r="V480" s="3">
        <v>0.75</v>
      </c>
      <c r="W480" s="2">
        <v>0</v>
      </c>
      <c r="X480">
        <v>0</v>
      </c>
      <c r="Y480" t="s">
        <v>60</v>
      </c>
      <c r="Z480" t="s">
        <v>360</v>
      </c>
      <c r="AA480">
        <v>0</v>
      </c>
      <c r="AB480" s="2">
        <v>0</v>
      </c>
      <c r="AC480" s="2">
        <v>0</v>
      </c>
      <c r="AD480" s="3">
        <v>0</v>
      </c>
      <c r="AE480" s="2">
        <v>0</v>
      </c>
      <c r="AF480" s="2">
        <v>0</v>
      </c>
      <c r="AG480" s="2">
        <v>0</v>
      </c>
      <c r="AH480" s="2">
        <v>0</v>
      </c>
      <c r="AI480" s="2">
        <v>0</v>
      </c>
      <c r="AJ480" s="2">
        <v>0</v>
      </c>
      <c r="AK480" s="2">
        <v>0</v>
      </c>
      <c r="AL480" s="2">
        <v>90.14</v>
      </c>
      <c r="AM480" s="2">
        <v>0</v>
      </c>
      <c r="AN480" s="2">
        <v>0</v>
      </c>
      <c r="AO480" s="2">
        <v>0</v>
      </c>
      <c r="AP480" s="2">
        <v>0</v>
      </c>
      <c r="AQ480" s="2">
        <v>0</v>
      </c>
    </row>
    <row r="481" spans="1:43" x14ac:dyDescent="0.25">
      <c r="A481" s="1">
        <v>45936</v>
      </c>
      <c r="B481" t="s">
        <v>48</v>
      </c>
      <c r="C481">
        <v>649163</v>
      </c>
      <c r="D481">
        <v>2017629365</v>
      </c>
      <c r="E481" t="s">
        <v>546</v>
      </c>
      <c r="F481" t="s">
        <v>547</v>
      </c>
      <c r="G481" t="s">
        <v>51</v>
      </c>
      <c r="H481" t="s">
        <v>150</v>
      </c>
      <c r="I481" t="s">
        <v>292</v>
      </c>
      <c r="J481" t="s">
        <v>536</v>
      </c>
      <c r="K481">
        <v>649793</v>
      </c>
      <c r="L481" t="s">
        <v>80</v>
      </c>
      <c r="M481" t="s">
        <v>537</v>
      </c>
      <c r="N481" t="s">
        <v>57</v>
      </c>
      <c r="O481" s="1">
        <v>44994</v>
      </c>
      <c r="Q481" s="1">
        <v>45970</v>
      </c>
      <c r="R481" s="2">
        <v>8.3699999999999992</v>
      </c>
      <c r="S481">
        <v>1</v>
      </c>
      <c r="T481" t="s">
        <v>58</v>
      </c>
      <c r="U481" t="s">
        <v>359</v>
      </c>
      <c r="V481" s="3">
        <v>0.15</v>
      </c>
      <c r="W481" s="2">
        <v>0</v>
      </c>
      <c r="X481">
        <v>0</v>
      </c>
      <c r="Y481" t="s">
        <v>214</v>
      </c>
      <c r="Z481" t="s">
        <v>360</v>
      </c>
      <c r="AA481">
        <v>0</v>
      </c>
      <c r="AB481" s="2">
        <v>0</v>
      </c>
      <c r="AC481" s="2">
        <v>0</v>
      </c>
      <c r="AD481" s="3">
        <v>0</v>
      </c>
      <c r="AE481" s="2">
        <v>0</v>
      </c>
      <c r="AF481" s="2">
        <v>0</v>
      </c>
      <c r="AG481" s="2">
        <v>0</v>
      </c>
      <c r="AH481" s="2">
        <v>0</v>
      </c>
      <c r="AI481" s="2">
        <v>0</v>
      </c>
      <c r="AJ481" s="2">
        <v>0</v>
      </c>
      <c r="AK481" s="2">
        <v>0</v>
      </c>
      <c r="AL481" s="2">
        <v>0</v>
      </c>
      <c r="AM481" s="2">
        <v>1.26</v>
      </c>
      <c r="AN481" s="2">
        <v>1.26</v>
      </c>
      <c r="AO481" s="2">
        <v>0</v>
      </c>
      <c r="AP481" s="2">
        <v>0</v>
      </c>
      <c r="AQ481" s="2">
        <v>0</v>
      </c>
    </row>
    <row r="482" spans="1:43" x14ac:dyDescent="0.25">
      <c r="A482" s="1">
        <v>45936</v>
      </c>
      <c r="B482" t="s">
        <v>48</v>
      </c>
      <c r="C482">
        <v>649163</v>
      </c>
      <c r="D482">
        <v>2018091396</v>
      </c>
      <c r="E482" t="s">
        <v>792</v>
      </c>
      <c r="F482" t="s">
        <v>236</v>
      </c>
      <c r="G482" t="s">
        <v>51</v>
      </c>
      <c r="H482" t="s">
        <v>129</v>
      </c>
      <c r="I482" t="s">
        <v>292</v>
      </c>
      <c r="J482" t="s">
        <v>295</v>
      </c>
      <c r="K482">
        <v>651818</v>
      </c>
      <c r="L482" t="s">
        <v>112</v>
      </c>
      <c r="M482" t="s">
        <v>104</v>
      </c>
      <c r="N482" t="s">
        <v>57</v>
      </c>
      <c r="O482" s="1">
        <v>45022</v>
      </c>
      <c r="Q482" s="1">
        <v>45967</v>
      </c>
      <c r="R482" s="2">
        <v>164.06</v>
      </c>
      <c r="S482">
        <v>1</v>
      </c>
      <c r="T482" t="s">
        <v>58</v>
      </c>
      <c r="U482" t="s">
        <v>359</v>
      </c>
      <c r="V482" s="3">
        <v>0.1</v>
      </c>
      <c r="W482" s="2">
        <v>0</v>
      </c>
      <c r="X482">
        <v>0</v>
      </c>
      <c r="Y482" t="s">
        <v>214</v>
      </c>
      <c r="Z482" t="s">
        <v>360</v>
      </c>
      <c r="AA482">
        <v>0</v>
      </c>
      <c r="AB482" s="2">
        <v>0</v>
      </c>
      <c r="AC482" s="2">
        <v>0</v>
      </c>
      <c r="AD482" s="3">
        <v>0</v>
      </c>
      <c r="AE482" s="2">
        <v>0</v>
      </c>
      <c r="AF482" s="2">
        <v>0</v>
      </c>
      <c r="AG482" s="2">
        <v>0</v>
      </c>
      <c r="AH482" s="2">
        <v>0</v>
      </c>
      <c r="AI482" s="2">
        <v>0</v>
      </c>
      <c r="AJ482" s="2">
        <v>0</v>
      </c>
      <c r="AK482" s="2">
        <v>0</v>
      </c>
      <c r="AL482" s="2">
        <v>0</v>
      </c>
      <c r="AM482" s="2">
        <v>16.41</v>
      </c>
      <c r="AN482" s="2">
        <v>16.41</v>
      </c>
      <c r="AO482" s="2">
        <v>0</v>
      </c>
      <c r="AP482" s="2">
        <v>0</v>
      </c>
      <c r="AQ482" s="2">
        <v>0</v>
      </c>
    </row>
    <row r="483" spans="1:43" x14ac:dyDescent="0.25">
      <c r="A483" s="1">
        <v>45936</v>
      </c>
      <c r="B483" t="s">
        <v>48</v>
      </c>
      <c r="C483">
        <v>649163</v>
      </c>
      <c r="D483">
        <v>2018167735</v>
      </c>
      <c r="E483" t="s">
        <v>645</v>
      </c>
      <c r="F483" t="s">
        <v>179</v>
      </c>
      <c r="G483" t="s">
        <v>51</v>
      </c>
      <c r="H483" t="s">
        <v>646</v>
      </c>
      <c r="I483" t="s">
        <v>292</v>
      </c>
      <c r="J483" t="s">
        <v>295</v>
      </c>
      <c r="K483">
        <v>651818</v>
      </c>
      <c r="L483" t="s">
        <v>112</v>
      </c>
      <c r="M483" t="s">
        <v>104</v>
      </c>
      <c r="N483" t="s">
        <v>57</v>
      </c>
      <c r="O483" s="1">
        <v>45024</v>
      </c>
      <c r="Q483" s="1">
        <v>45969</v>
      </c>
      <c r="R483" s="2">
        <v>75.44</v>
      </c>
      <c r="S483">
        <v>1</v>
      </c>
      <c r="T483" t="s">
        <v>58</v>
      </c>
      <c r="U483" t="s">
        <v>359</v>
      </c>
      <c r="V483" s="3">
        <v>0.1</v>
      </c>
      <c r="W483" s="2">
        <v>0</v>
      </c>
      <c r="X483">
        <v>0</v>
      </c>
      <c r="Y483" t="s">
        <v>214</v>
      </c>
      <c r="Z483" t="s">
        <v>360</v>
      </c>
      <c r="AA483">
        <v>0</v>
      </c>
      <c r="AB483" s="2">
        <v>0</v>
      </c>
      <c r="AC483" s="2">
        <v>0</v>
      </c>
      <c r="AD483" s="3">
        <v>0</v>
      </c>
      <c r="AE483" s="2">
        <v>0</v>
      </c>
      <c r="AF483" s="2">
        <v>0</v>
      </c>
      <c r="AG483" s="2">
        <v>0</v>
      </c>
      <c r="AH483" s="2">
        <v>0</v>
      </c>
      <c r="AI483" s="2">
        <v>0</v>
      </c>
      <c r="AJ483" s="2">
        <v>0</v>
      </c>
      <c r="AK483" s="2">
        <v>0</v>
      </c>
      <c r="AL483" s="2">
        <v>0</v>
      </c>
      <c r="AM483" s="2">
        <v>7.54</v>
      </c>
      <c r="AN483" s="2">
        <v>7.54</v>
      </c>
      <c r="AO483" s="2">
        <v>0</v>
      </c>
      <c r="AP483" s="2">
        <v>0</v>
      </c>
      <c r="AQ483" s="2">
        <v>0</v>
      </c>
    </row>
    <row r="484" spans="1:43" x14ac:dyDescent="0.25">
      <c r="A484" s="1">
        <v>45936</v>
      </c>
      <c r="B484" t="s">
        <v>48</v>
      </c>
      <c r="C484">
        <v>649163</v>
      </c>
      <c r="D484">
        <v>2018434794</v>
      </c>
      <c r="E484" t="s">
        <v>572</v>
      </c>
      <c r="F484" t="s">
        <v>573</v>
      </c>
      <c r="G484" t="s">
        <v>51</v>
      </c>
      <c r="H484" t="s">
        <v>88</v>
      </c>
      <c r="I484" t="s">
        <v>292</v>
      </c>
      <c r="J484" t="s">
        <v>536</v>
      </c>
      <c r="K484">
        <v>673059</v>
      </c>
      <c r="L484" t="s">
        <v>80</v>
      </c>
      <c r="M484" t="s">
        <v>81</v>
      </c>
      <c r="N484" t="s">
        <v>57</v>
      </c>
      <c r="O484" s="1">
        <v>45047</v>
      </c>
      <c r="Q484" s="1">
        <v>45962</v>
      </c>
      <c r="R484" s="2">
        <v>25.73</v>
      </c>
      <c r="S484">
        <v>1</v>
      </c>
      <c r="T484" t="s">
        <v>58</v>
      </c>
      <c r="U484" t="s">
        <v>359</v>
      </c>
      <c r="V484" s="3">
        <v>0.15</v>
      </c>
      <c r="W484" s="2">
        <v>0</v>
      </c>
      <c r="X484">
        <v>0</v>
      </c>
      <c r="Y484" t="s">
        <v>214</v>
      </c>
      <c r="Z484" t="s">
        <v>360</v>
      </c>
      <c r="AA484">
        <v>0</v>
      </c>
      <c r="AB484" s="2">
        <v>0</v>
      </c>
      <c r="AC484" s="2">
        <v>0</v>
      </c>
      <c r="AD484" s="3">
        <v>0</v>
      </c>
      <c r="AE484" s="2">
        <v>0</v>
      </c>
      <c r="AF484" s="2">
        <v>0</v>
      </c>
      <c r="AG484" s="2">
        <v>0</v>
      </c>
      <c r="AH484" s="2">
        <v>0</v>
      </c>
      <c r="AI484" s="2">
        <v>0</v>
      </c>
      <c r="AJ484" s="2">
        <v>0</v>
      </c>
      <c r="AK484" s="2">
        <v>0</v>
      </c>
      <c r="AL484" s="2">
        <v>0</v>
      </c>
      <c r="AM484" s="2">
        <v>3.86</v>
      </c>
      <c r="AN484" s="2">
        <v>3.86</v>
      </c>
      <c r="AO484" s="2">
        <v>0</v>
      </c>
      <c r="AP484" s="2">
        <v>0</v>
      </c>
      <c r="AQ484" s="2">
        <v>0</v>
      </c>
    </row>
    <row r="485" spans="1:43" x14ac:dyDescent="0.25">
      <c r="A485" s="1">
        <v>45936</v>
      </c>
      <c r="B485" t="s">
        <v>48</v>
      </c>
      <c r="C485">
        <v>649163</v>
      </c>
      <c r="D485">
        <v>2018462892</v>
      </c>
      <c r="E485" t="s">
        <v>650</v>
      </c>
      <c r="F485" t="s">
        <v>651</v>
      </c>
      <c r="G485" t="s">
        <v>51</v>
      </c>
      <c r="H485" t="s">
        <v>52</v>
      </c>
      <c r="I485" t="s">
        <v>292</v>
      </c>
      <c r="J485" t="s">
        <v>536</v>
      </c>
      <c r="K485">
        <v>651818</v>
      </c>
      <c r="L485" t="s">
        <v>112</v>
      </c>
      <c r="M485" t="s">
        <v>104</v>
      </c>
      <c r="N485" t="s">
        <v>57</v>
      </c>
      <c r="O485" s="1">
        <v>45052</v>
      </c>
      <c r="Q485" s="1">
        <v>45967</v>
      </c>
      <c r="R485" s="2">
        <v>51.46</v>
      </c>
      <c r="S485">
        <v>1</v>
      </c>
      <c r="T485" t="s">
        <v>58</v>
      </c>
      <c r="U485" t="s">
        <v>359</v>
      </c>
      <c r="V485" s="3">
        <v>0.15</v>
      </c>
      <c r="W485" s="2">
        <v>0</v>
      </c>
      <c r="X485">
        <v>0</v>
      </c>
      <c r="Y485" t="s">
        <v>214</v>
      </c>
      <c r="Z485" t="s">
        <v>360</v>
      </c>
      <c r="AA485">
        <v>0</v>
      </c>
      <c r="AB485" s="2">
        <v>0</v>
      </c>
      <c r="AC485" s="2">
        <v>0</v>
      </c>
      <c r="AD485" s="3">
        <v>0</v>
      </c>
      <c r="AE485" s="2">
        <v>0</v>
      </c>
      <c r="AF485" s="2">
        <v>0</v>
      </c>
      <c r="AG485" s="2">
        <v>0</v>
      </c>
      <c r="AH485" s="2">
        <v>0</v>
      </c>
      <c r="AI485" s="2">
        <v>0</v>
      </c>
      <c r="AJ485" s="2">
        <v>0</v>
      </c>
      <c r="AK485" s="2">
        <v>0</v>
      </c>
      <c r="AL485" s="2">
        <v>0</v>
      </c>
      <c r="AM485" s="2">
        <v>7.72</v>
      </c>
      <c r="AN485" s="2">
        <v>7.72</v>
      </c>
      <c r="AO485" s="2">
        <v>0</v>
      </c>
      <c r="AP485" s="2">
        <v>0</v>
      </c>
      <c r="AQ485" s="2">
        <v>0</v>
      </c>
    </row>
    <row r="486" spans="1:43" x14ac:dyDescent="0.25">
      <c r="A486" s="1">
        <v>45936</v>
      </c>
      <c r="B486" t="s">
        <v>48</v>
      </c>
      <c r="C486">
        <v>649163</v>
      </c>
      <c r="D486">
        <v>2018514897</v>
      </c>
      <c r="E486" t="s">
        <v>652</v>
      </c>
      <c r="F486" t="s">
        <v>653</v>
      </c>
      <c r="G486" t="s">
        <v>51</v>
      </c>
      <c r="H486" t="s">
        <v>323</v>
      </c>
      <c r="I486" t="s">
        <v>292</v>
      </c>
      <c r="J486" t="s">
        <v>536</v>
      </c>
      <c r="K486">
        <v>651818</v>
      </c>
      <c r="L486" t="s">
        <v>112</v>
      </c>
      <c r="M486" t="s">
        <v>104</v>
      </c>
      <c r="N486" t="s">
        <v>57</v>
      </c>
      <c r="O486" s="1">
        <v>45052</v>
      </c>
      <c r="Q486" s="1">
        <v>45967</v>
      </c>
      <c r="R486" s="2">
        <v>25.73</v>
      </c>
      <c r="S486">
        <v>1</v>
      </c>
      <c r="T486" t="s">
        <v>58</v>
      </c>
      <c r="U486" t="s">
        <v>359</v>
      </c>
      <c r="V486" s="3">
        <v>0.15</v>
      </c>
      <c r="W486" s="2">
        <v>0</v>
      </c>
      <c r="X486">
        <v>0</v>
      </c>
      <c r="Y486" t="s">
        <v>214</v>
      </c>
      <c r="Z486" t="s">
        <v>360</v>
      </c>
      <c r="AA486">
        <v>0</v>
      </c>
      <c r="AB486" s="2">
        <v>0</v>
      </c>
      <c r="AC486" s="2">
        <v>0</v>
      </c>
      <c r="AD486" s="3">
        <v>0</v>
      </c>
      <c r="AE486" s="2">
        <v>0</v>
      </c>
      <c r="AF486" s="2">
        <v>0</v>
      </c>
      <c r="AG486" s="2">
        <v>0</v>
      </c>
      <c r="AH486" s="2">
        <v>0</v>
      </c>
      <c r="AI486" s="2">
        <v>0</v>
      </c>
      <c r="AJ486" s="2">
        <v>0</v>
      </c>
      <c r="AK486" s="2">
        <v>0</v>
      </c>
      <c r="AL486" s="2">
        <v>0</v>
      </c>
      <c r="AM486" s="2">
        <v>3.86</v>
      </c>
      <c r="AN486" s="2">
        <v>3.86</v>
      </c>
      <c r="AO486" s="2">
        <v>0</v>
      </c>
      <c r="AP486" s="2">
        <v>0</v>
      </c>
      <c r="AQ486" s="2">
        <v>0</v>
      </c>
    </row>
    <row r="487" spans="1:43" x14ac:dyDescent="0.25">
      <c r="A487" s="1">
        <v>45936</v>
      </c>
      <c r="B487" t="s">
        <v>48</v>
      </c>
      <c r="C487">
        <v>649163</v>
      </c>
      <c r="D487">
        <v>2018775436</v>
      </c>
      <c r="E487" t="s">
        <v>581</v>
      </c>
      <c r="F487" t="s">
        <v>132</v>
      </c>
      <c r="G487" t="s">
        <v>51</v>
      </c>
      <c r="H487" t="s">
        <v>247</v>
      </c>
      <c r="I487" t="s">
        <v>292</v>
      </c>
      <c r="J487" t="s">
        <v>293</v>
      </c>
      <c r="K487">
        <v>673059</v>
      </c>
      <c r="L487" t="s">
        <v>80</v>
      </c>
      <c r="M487" t="s">
        <v>81</v>
      </c>
      <c r="N487" t="s">
        <v>57</v>
      </c>
      <c r="O487" s="1">
        <v>45078</v>
      </c>
      <c r="Q487" s="1">
        <v>45962</v>
      </c>
      <c r="R487" s="2">
        <v>75.56</v>
      </c>
      <c r="S487">
        <v>1</v>
      </c>
      <c r="T487" t="s">
        <v>58</v>
      </c>
      <c r="U487" t="s">
        <v>359</v>
      </c>
      <c r="V487" s="3">
        <v>0.15</v>
      </c>
      <c r="W487" s="2">
        <v>0</v>
      </c>
      <c r="X487">
        <v>0</v>
      </c>
      <c r="Y487" t="s">
        <v>214</v>
      </c>
      <c r="Z487" t="s">
        <v>360</v>
      </c>
      <c r="AA487">
        <v>0</v>
      </c>
      <c r="AB487" s="2">
        <v>0</v>
      </c>
      <c r="AC487" s="2">
        <v>0</v>
      </c>
      <c r="AD487" s="3">
        <v>0</v>
      </c>
      <c r="AE487" s="2">
        <v>0</v>
      </c>
      <c r="AF487" s="2">
        <v>0</v>
      </c>
      <c r="AG487" s="2">
        <v>0</v>
      </c>
      <c r="AH487" s="2">
        <v>0</v>
      </c>
      <c r="AI487" s="2">
        <v>0</v>
      </c>
      <c r="AJ487" s="2">
        <v>0</v>
      </c>
      <c r="AK487" s="2">
        <v>0</v>
      </c>
      <c r="AL487" s="2">
        <v>0</v>
      </c>
      <c r="AM487" s="2">
        <v>11.33</v>
      </c>
      <c r="AN487" s="2">
        <v>11.33</v>
      </c>
      <c r="AO487" s="2">
        <v>0</v>
      </c>
      <c r="AP487" s="2">
        <v>0</v>
      </c>
      <c r="AQ487" s="2">
        <v>0</v>
      </c>
    </row>
    <row r="488" spans="1:43" x14ac:dyDescent="0.25">
      <c r="A488" s="1">
        <v>45936</v>
      </c>
      <c r="B488" t="s">
        <v>48</v>
      </c>
      <c r="C488">
        <v>649163</v>
      </c>
      <c r="D488">
        <v>2018854837</v>
      </c>
      <c r="E488" t="s">
        <v>582</v>
      </c>
      <c r="F488" t="s">
        <v>583</v>
      </c>
      <c r="G488" t="s">
        <v>51</v>
      </c>
      <c r="I488" t="s">
        <v>292</v>
      </c>
      <c r="J488" t="s">
        <v>293</v>
      </c>
      <c r="K488">
        <v>673059</v>
      </c>
      <c r="L488" t="s">
        <v>80</v>
      </c>
      <c r="M488" t="s">
        <v>81</v>
      </c>
      <c r="N488" t="s">
        <v>57</v>
      </c>
      <c r="O488" s="1">
        <v>45078</v>
      </c>
      <c r="Q488" s="1">
        <v>45962</v>
      </c>
      <c r="R488" s="2">
        <v>35.369999999999997</v>
      </c>
      <c r="S488">
        <v>1</v>
      </c>
      <c r="T488" t="s">
        <v>58</v>
      </c>
      <c r="U488" t="s">
        <v>359</v>
      </c>
      <c r="V488" s="3">
        <v>0.15</v>
      </c>
      <c r="W488" s="2">
        <v>0</v>
      </c>
      <c r="X488">
        <v>0</v>
      </c>
      <c r="Y488" t="s">
        <v>214</v>
      </c>
      <c r="Z488" t="s">
        <v>360</v>
      </c>
      <c r="AA488">
        <v>0</v>
      </c>
      <c r="AB488" s="2">
        <v>0</v>
      </c>
      <c r="AC488" s="2">
        <v>0</v>
      </c>
      <c r="AD488" s="3">
        <v>0</v>
      </c>
      <c r="AE488" s="2">
        <v>0</v>
      </c>
      <c r="AF488" s="2">
        <v>0</v>
      </c>
      <c r="AG488" s="2">
        <v>0</v>
      </c>
      <c r="AH488" s="2">
        <v>0</v>
      </c>
      <c r="AI488" s="2">
        <v>0</v>
      </c>
      <c r="AJ488" s="2">
        <v>0</v>
      </c>
      <c r="AK488" s="2">
        <v>0</v>
      </c>
      <c r="AL488" s="2">
        <v>0</v>
      </c>
      <c r="AM488" s="2">
        <v>5.31</v>
      </c>
      <c r="AN488" s="2">
        <v>5.31</v>
      </c>
      <c r="AO488" s="2">
        <v>0</v>
      </c>
      <c r="AP488" s="2">
        <v>0</v>
      </c>
      <c r="AQ488" s="2">
        <v>0</v>
      </c>
    </row>
    <row r="489" spans="1:43" x14ac:dyDescent="0.25">
      <c r="A489" s="1">
        <v>45936</v>
      </c>
      <c r="B489" t="s">
        <v>48</v>
      </c>
      <c r="C489">
        <v>649163</v>
      </c>
      <c r="D489">
        <v>2018855163</v>
      </c>
      <c r="E489" t="s">
        <v>582</v>
      </c>
      <c r="F489" t="s">
        <v>441</v>
      </c>
      <c r="G489" t="s">
        <v>51</v>
      </c>
      <c r="I489" t="s">
        <v>292</v>
      </c>
      <c r="J489" t="s">
        <v>293</v>
      </c>
      <c r="K489">
        <v>673059</v>
      </c>
      <c r="L489" t="s">
        <v>80</v>
      </c>
      <c r="M489" t="s">
        <v>81</v>
      </c>
      <c r="N489" t="s">
        <v>57</v>
      </c>
      <c r="O489" s="1">
        <v>45078</v>
      </c>
      <c r="Q489" s="1">
        <v>45962</v>
      </c>
      <c r="R489" s="2">
        <v>97.89</v>
      </c>
      <c r="S489">
        <v>1</v>
      </c>
      <c r="T489" t="s">
        <v>58</v>
      </c>
      <c r="U489" t="s">
        <v>359</v>
      </c>
      <c r="V489" s="3">
        <v>0.15</v>
      </c>
      <c r="W489" s="2">
        <v>0</v>
      </c>
      <c r="X489">
        <v>0</v>
      </c>
      <c r="Y489" t="s">
        <v>214</v>
      </c>
      <c r="Z489" t="s">
        <v>360</v>
      </c>
      <c r="AA489">
        <v>0</v>
      </c>
      <c r="AB489" s="2">
        <v>0</v>
      </c>
      <c r="AC489" s="2">
        <v>0</v>
      </c>
      <c r="AD489" s="3">
        <v>0</v>
      </c>
      <c r="AE489" s="2">
        <v>0</v>
      </c>
      <c r="AF489" s="2">
        <v>0</v>
      </c>
      <c r="AG489" s="2">
        <v>0</v>
      </c>
      <c r="AH489" s="2">
        <v>0</v>
      </c>
      <c r="AI489" s="2">
        <v>0</v>
      </c>
      <c r="AJ489" s="2">
        <v>0</v>
      </c>
      <c r="AK489" s="2">
        <v>0</v>
      </c>
      <c r="AL489" s="2">
        <v>0</v>
      </c>
      <c r="AM489" s="2">
        <v>14.68</v>
      </c>
      <c r="AN489" s="2">
        <v>14.68</v>
      </c>
      <c r="AO489" s="2">
        <v>0</v>
      </c>
      <c r="AP489" s="2">
        <v>0</v>
      </c>
      <c r="AQ489" s="2">
        <v>0</v>
      </c>
    </row>
    <row r="490" spans="1:43" x14ac:dyDescent="0.25">
      <c r="A490" s="1">
        <v>45936</v>
      </c>
      <c r="B490" t="s">
        <v>48</v>
      </c>
      <c r="C490">
        <v>649163</v>
      </c>
      <c r="D490">
        <v>2018924838</v>
      </c>
      <c r="E490" t="s">
        <v>793</v>
      </c>
      <c r="F490" t="s">
        <v>205</v>
      </c>
      <c r="G490" t="s">
        <v>51</v>
      </c>
      <c r="H490" t="s">
        <v>105</v>
      </c>
      <c r="I490" t="s">
        <v>292</v>
      </c>
      <c r="J490" t="s">
        <v>536</v>
      </c>
      <c r="K490">
        <v>652037</v>
      </c>
      <c r="L490" t="s">
        <v>172</v>
      </c>
      <c r="M490" t="s">
        <v>173</v>
      </c>
      <c r="N490" t="s">
        <v>57</v>
      </c>
      <c r="O490" s="1">
        <v>45084</v>
      </c>
      <c r="Q490" s="1">
        <v>45968</v>
      </c>
      <c r="R490" s="2">
        <v>24.61</v>
      </c>
      <c r="S490">
        <v>1</v>
      </c>
      <c r="T490" t="s">
        <v>58</v>
      </c>
      <c r="U490" t="s">
        <v>359</v>
      </c>
      <c r="V490" s="3">
        <v>0.15</v>
      </c>
      <c r="W490" s="2">
        <v>0</v>
      </c>
      <c r="X490">
        <v>0</v>
      </c>
      <c r="Y490" t="s">
        <v>214</v>
      </c>
      <c r="Z490" t="s">
        <v>360</v>
      </c>
      <c r="AA490">
        <v>0</v>
      </c>
      <c r="AB490" s="2">
        <v>0</v>
      </c>
      <c r="AC490" s="2">
        <v>0</v>
      </c>
      <c r="AD490" s="3">
        <v>0</v>
      </c>
      <c r="AE490" s="2">
        <v>0</v>
      </c>
      <c r="AF490" s="2">
        <v>0</v>
      </c>
      <c r="AG490" s="2">
        <v>0</v>
      </c>
      <c r="AH490" s="2">
        <v>0</v>
      </c>
      <c r="AI490" s="2">
        <v>0</v>
      </c>
      <c r="AJ490" s="2">
        <v>0</v>
      </c>
      <c r="AK490" s="2">
        <v>0</v>
      </c>
      <c r="AL490" s="2">
        <v>0</v>
      </c>
      <c r="AM490" s="2">
        <v>3.69</v>
      </c>
      <c r="AN490" s="2">
        <v>3.69</v>
      </c>
      <c r="AO490" s="2">
        <v>0</v>
      </c>
      <c r="AP490" s="2">
        <v>0</v>
      </c>
      <c r="AQ490" s="2">
        <v>0</v>
      </c>
    </row>
    <row r="491" spans="1:43" x14ac:dyDescent="0.25">
      <c r="A491" s="1">
        <v>45936</v>
      </c>
      <c r="B491" t="s">
        <v>48</v>
      </c>
      <c r="C491">
        <v>649163</v>
      </c>
      <c r="D491">
        <v>2018961065</v>
      </c>
      <c r="E491" t="s">
        <v>402</v>
      </c>
      <c r="F491" t="s">
        <v>794</v>
      </c>
      <c r="G491" t="s">
        <v>51</v>
      </c>
      <c r="H491" t="s">
        <v>105</v>
      </c>
      <c r="I491" t="s">
        <v>292</v>
      </c>
      <c r="J491" t="s">
        <v>536</v>
      </c>
      <c r="K491">
        <v>652037</v>
      </c>
      <c r="L491" t="s">
        <v>172</v>
      </c>
      <c r="M491" t="s">
        <v>173</v>
      </c>
      <c r="N491" t="s">
        <v>57</v>
      </c>
      <c r="O491" s="1">
        <v>45086</v>
      </c>
      <c r="Q491" s="1">
        <v>45970</v>
      </c>
      <c r="R491" s="2">
        <v>24.61</v>
      </c>
      <c r="S491">
        <v>1</v>
      </c>
      <c r="T491" t="s">
        <v>58</v>
      </c>
      <c r="U491" t="s">
        <v>359</v>
      </c>
      <c r="V491" s="3">
        <v>0.15</v>
      </c>
      <c r="W491" s="2">
        <v>0</v>
      </c>
      <c r="X491">
        <v>0</v>
      </c>
      <c r="Y491" t="s">
        <v>214</v>
      </c>
      <c r="Z491" t="s">
        <v>360</v>
      </c>
      <c r="AA491">
        <v>0</v>
      </c>
      <c r="AB491" s="2">
        <v>0</v>
      </c>
      <c r="AC491" s="2">
        <v>0</v>
      </c>
      <c r="AD491" s="3">
        <v>0</v>
      </c>
      <c r="AE491" s="2">
        <v>0</v>
      </c>
      <c r="AF491" s="2">
        <v>0</v>
      </c>
      <c r="AG491" s="2">
        <v>0</v>
      </c>
      <c r="AH491" s="2">
        <v>0</v>
      </c>
      <c r="AI491" s="2">
        <v>0</v>
      </c>
      <c r="AJ491" s="2">
        <v>0</v>
      </c>
      <c r="AK491" s="2">
        <v>0</v>
      </c>
      <c r="AL491" s="2">
        <v>0</v>
      </c>
      <c r="AM491" s="2">
        <v>3.69</v>
      </c>
      <c r="AN491" s="2">
        <v>3.69</v>
      </c>
      <c r="AO491" s="2">
        <v>0</v>
      </c>
      <c r="AP491" s="2">
        <v>0</v>
      </c>
      <c r="AQ491" s="2">
        <v>0</v>
      </c>
    </row>
    <row r="492" spans="1:43" x14ac:dyDescent="0.25">
      <c r="A492" s="1">
        <v>45936</v>
      </c>
      <c r="B492" t="s">
        <v>48</v>
      </c>
      <c r="C492">
        <v>649163</v>
      </c>
      <c r="D492">
        <v>2018966124</v>
      </c>
      <c r="E492" t="s">
        <v>795</v>
      </c>
      <c r="F492" t="s">
        <v>796</v>
      </c>
      <c r="G492" t="s">
        <v>51</v>
      </c>
      <c r="H492" t="s">
        <v>105</v>
      </c>
      <c r="I492" t="s">
        <v>292</v>
      </c>
      <c r="J492" t="s">
        <v>536</v>
      </c>
      <c r="K492">
        <v>652037</v>
      </c>
      <c r="L492" t="s">
        <v>172</v>
      </c>
      <c r="M492" t="s">
        <v>173</v>
      </c>
      <c r="N492" t="s">
        <v>57</v>
      </c>
      <c r="O492" s="1">
        <v>45087</v>
      </c>
      <c r="Q492" s="1">
        <v>45971</v>
      </c>
      <c r="R492" s="2">
        <v>24.61</v>
      </c>
      <c r="S492">
        <v>1</v>
      </c>
      <c r="T492" t="s">
        <v>58</v>
      </c>
      <c r="U492" t="s">
        <v>359</v>
      </c>
      <c r="V492" s="3">
        <v>0.15</v>
      </c>
      <c r="W492" s="2">
        <v>0</v>
      </c>
      <c r="X492">
        <v>0</v>
      </c>
      <c r="Y492" t="s">
        <v>214</v>
      </c>
      <c r="Z492" t="s">
        <v>360</v>
      </c>
      <c r="AA492">
        <v>0</v>
      </c>
      <c r="AB492" s="2">
        <v>0</v>
      </c>
      <c r="AC492" s="2">
        <v>0</v>
      </c>
      <c r="AD492" s="3">
        <v>0</v>
      </c>
      <c r="AE492" s="2">
        <v>0</v>
      </c>
      <c r="AF492" s="2">
        <v>0</v>
      </c>
      <c r="AG492" s="2">
        <v>0</v>
      </c>
      <c r="AH492" s="2">
        <v>0</v>
      </c>
      <c r="AI492" s="2">
        <v>0</v>
      </c>
      <c r="AJ492" s="2">
        <v>0</v>
      </c>
      <c r="AK492" s="2">
        <v>0</v>
      </c>
      <c r="AL492" s="2">
        <v>0</v>
      </c>
      <c r="AM492" s="2">
        <v>3.69</v>
      </c>
      <c r="AN492" s="2">
        <v>3.69</v>
      </c>
      <c r="AO492" s="2">
        <v>0</v>
      </c>
      <c r="AP492" s="2">
        <v>0</v>
      </c>
      <c r="AQ492" s="2">
        <v>0</v>
      </c>
    </row>
    <row r="493" spans="1:43" x14ac:dyDescent="0.25">
      <c r="A493" s="1">
        <v>45936</v>
      </c>
      <c r="B493" t="s">
        <v>48</v>
      </c>
      <c r="C493">
        <v>649163</v>
      </c>
      <c r="D493">
        <v>2019496534</v>
      </c>
      <c r="E493" t="s">
        <v>797</v>
      </c>
      <c r="F493" t="s">
        <v>798</v>
      </c>
      <c r="G493" t="s">
        <v>51</v>
      </c>
      <c r="H493" t="s">
        <v>101</v>
      </c>
      <c r="I493" t="s">
        <v>292</v>
      </c>
      <c r="J493" t="s">
        <v>293</v>
      </c>
      <c r="K493">
        <v>651818</v>
      </c>
      <c r="L493" t="s">
        <v>112</v>
      </c>
      <c r="M493" t="s">
        <v>104</v>
      </c>
      <c r="N493" t="s">
        <v>57</v>
      </c>
      <c r="O493" s="1">
        <v>45143</v>
      </c>
      <c r="Q493" s="1">
        <v>45966</v>
      </c>
      <c r="R493" s="2">
        <v>87.95</v>
      </c>
      <c r="S493">
        <v>1</v>
      </c>
      <c r="T493" t="s">
        <v>58</v>
      </c>
      <c r="U493" t="s">
        <v>359</v>
      </c>
      <c r="V493" s="3">
        <v>0.15</v>
      </c>
      <c r="W493" s="2">
        <v>0</v>
      </c>
      <c r="X493">
        <v>0</v>
      </c>
      <c r="Y493" t="s">
        <v>214</v>
      </c>
      <c r="Z493" t="s">
        <v>360</v>
      </c>
      <c r="AA493">
        <v>0</v>
      </c>
      <c r="AB493" s="2">
        <v>0</v>
      </c>
      <c r="AC493" s="2">
        <v>0</v>
      </c>
      <c r="AD493" s="3">
        <v>0</v>
      </c>
      <c r="AE493" s="2">
        <v>0</v>
      </c>
      <c r="AF493" s="2">
        <v>0</v>
      </c>
      <c r="AG493" s="2">
        <v>0</v>
      </c>
      <c r="AH493" s="2">
        <v>0</v>
      </c>
      <c r="AI493" s="2">
        <v>0</v>
      </c>
      <c r="AJ493" s="2">
        <v>0</v>
      </c>
      <c r="AK493" s="2">
        <v>0</v>
      </c>
      <c r="AL493" s="2">
        <v>0</v>
      </c>
      <c r="AM493" s="2">
        <v>13.19</v>
      </c>
      <c r="AN493" s="2">
        <v>13.19</v>
      </c>
      <c r="AO493" s="2">
        <v>0</v>
      </c>
      <c r="AP493" s="2">
        <v>0</v>
      </c>
      <c r="AQ493" s="2">
        <v>0</v>
      </c>
    </row>
    <row r="494" spans="1:43" x14ac:dyDescent="0.25">
      <c r="A494" s="1">
        <v>45936</v>
      </c>
      <c r="B494" t="s">
        <v>48</v>
      </c>
      <c r="C494">
        <v>649163</v>
      </c>
      <c r="D494">
        <v>2020617793</v>
      </c>
      <c r="E494" t="s">
        <v>799</v>
      </c>
      <c r="F494" t="s">
        <v>800</v>
      </c>
      <c r="G494" t="s">
        <v>51</v>
      </c>
      <c r="H494" t="s">
        <v>801</v>
      </c>
      <c r="I494" t="s">
        <v>292</v>
      </c>
      <c r="J494" t="s">
        <v>295</v>
      </c>
      <c r="K494">
        <v>652037</v>
      </c>
      <c r="L494" t="s">
        <v>172</v>
      </c>
      <c r="M494" t="s">
        <v>173</v>
      </c>
      <c r="N494" t="s">
        <v>57</v>
      </c>
      <c r="O494" s="1">
        <v>45231</v>
      </c>
      <c r="Q494" s="1">
        <v>45962</v>
      </c>
      <c r="R494" s="2">
        <v>76.17</v>
      </c>
      <c r="S494">
        <v>1</v>
      </c>
      <c r="T494" t="s">
        <v>58</v>
      </c>
      <c r="U494" t="s">
        <v>359</v>
      </c>
      <c r="V494" s="3">
        <v>0.1</v>
      </c>
      <c r="W494" s="2">
        <v>0</v>
      </c>
      <c r="X494">
        <v>0</v>
      </c>
      <c r="Y494" t="s">
        <v>214</v>
      </c>
      <c r="Z494" t="s">
        <v>360</v>
      </c>
      <c r="AA494">
        <v>0</v>
      </c>
      <c r="AB494" s="2">
        <v>0</v>
      </c>
      <c r="AC494" s="2">
        <v>0</v>
      </c>
      <c r="AD494" s="3">
        <v>0</v>
      </c>
      <c r="AE494" s="2">
        <v>0</v>
      </c>
      <c r="AF494" s="2">
        <v>0</v>
      </c>
      <c r="AG494" s="2">
        <v>0</v>
      </c>
      <c r="AH494" s="2">
        <v>0</v>
      </c>
      <c r="AI494" s="2">
        <v>0</v>
      </c>
      <c r="AJ494" s="2">
        <v>0</v>
      </c>
      <c r="AK494" s="2">
        <v>0</v>
      </c>
      <c r="AL494" s="2">
        <v>0</v>
      </c>
      <c r="AM494" s="2">
        <v>7.62</v>
      </c>
      <c r="AN494" s="2">
        <v>7.62</v>
      </c>
      <c r="AO494" s="2">
        <v>0</v>
      </c>
      <c r="AP494" s="2">
        <v>0</v>
      </c>
      <c r="AQ494" s="2">
        <v>0</v>
      </c>
    </row>
    <row r="495" spans="1:43" x14ac:dyDescent="0.25">
      <c r="A495" s="1">
        <v>45936</v>
      </c>
      <c r="B495" t="s">
        <v>48</v>
      </c>
      <c r="C495">
        <v>649163</v>
      </c>
      <c r="D495">
        <v>2020736331</v>
      </c>
      <c r="E495" t="s">
        <v>611</v>
      </c>
      <c r="F495" t="s">
        <v>612</v>
      </c>
      <c r="G495" t="s">
        <v>51</v>
      </c>
      <c r="H495" t="s">
        <v>70</v>
      </c>
      <c r="I495" t="s">
        <v>292</v>
      </c>
      <c r="J495" t="s">
        <v>536</v>
      </c>
      <c r="K495">
        <v>649164</v>
      </c>
      <c r="L495" t="s">
        <v>211</v>
      </c>
      <c r="M495" t="s">
        <v>212</v>
      </c>
      <c r="N495" t="s">
        <v>57</v>
      </c>
      <c r="O495" s="1">
        <v>45261</v>
      </c>
      <c r="Q495" s="1">
        <v>45962</v>
      </c>
      <c r="R495" s="2">
        <v>25.73</v>
      </c>
      <c r="S495">
        <v>1</v>
      </c>
      <c r="T495" t="s">
        <v>58</v>
      </c>
      <c r="U495" t="s">
        <v>359</v>
      </c>
      <c r="V495" s="3">
        <v>0.15</v>
      </c>
      <c r="W495" s="2">
        <v>0</v>
      </c>
      <c r="X495">
        <v>0</v>
      </c>
      <c r="Y495" t="s">
        <v>214</v>
      </c>
      <c r="Z495" t="s">
        <v>360</v>
      </c>
      <c r="AA495">
        <v>0</v>
      </c>
      <c r="AB495" s="2">
        <v>0</v>
      </c>
      <c r="AC495" s="2">
        <v>0</v>
      </c>
      <c r="AD495" s="3">
        <v>0</v>
      </c>
      <c r="AE495" s="2">
        <v>0</v>
      </c>
      <c r="AF495" s="2">
        <v>0</v>
      </c>
      <c r="AG495" s="2">
        <v>0</v>
      </c>
      <c r="AH495" s="2">
        <v>0</v>
      </c>
      <c r="AI495" s="2">
        <v>0</v>
      </c>
      <c r="AJ495" s="2">
        <v>0</v>
      </c>
      <c r="AK495" s="2">
        <v>0</v>
      </c>
      <c r="AL495" s="2">
        <v>0</v>
      </c>
      <c r="AM495" s="2">
        <v>3.86</v>
      </c>
      <c r="AN495" s="2">
        <v>3.86</v>
      </c>
      <c r="AO495" s="2">
        <v>0</v>
      </c>
      <c r="AP495" s="2">
        <v>0</v>
      </c>
      <c r="AQ495" s="2">
        <v>0</v>
      </c>
    </row>
    <row r="496" spans="1:43" x14ac:dyDescent="0.25">
      <c r="A496" s="1">
        <v>45936</v>
      </c>
      <c r="B496" t="s">
        <v>48</v>
      </c>
      <c r="C496">
        <v>649163</v>
      </c>
      <c r="D496">
        <v>2020737470</v>
      </c>
      <c r="E496" t="s">
        <v>802</v>
      </c>
      <c r="F496" t="s">
        <v>207</v>
      </c>
      <c r="G496" t="s">
        <v>51</v>
      </c>
      <c r="H496" t="s">
        <v>70</v>
      </c>
      <c r="I496" t="s">
        <v>292</v>
      </c>
      <c r="J496" t="s">
        <v>295</v>
      </c>
      <c r="K496">
        <v>702406</v>
      </c>
      <c r="L496" t="s">
        <v>803</v>
      </c>
      <c r="M496" t="s">
        <v>746</v>
      </c>
      <c r="N496" t="s">
        <v>57</v>
      </c>
      <c r="O496" s="1">
        <v>45240</v>
      </c>
      <c r="Q496" s="1">
        <v>45971</v>
      </c>
      <c r="R496" s="2">
        <v>123.44</v>
      </c>
      <c r="S496">
        <v>1</v>
      </c>
      <c r="T496" t="s">
        <v>58</v>
      </c>
      <c r="U496" t="s">
        <v>359</v>
      </c>
      <c r="V496" s="3">
        <v>0.1</v>
      </c>
      <c r="W496" s="2">
        <v>0</v>
      </c>
      <c r="X496">
        <v>0</v>
      </c>
      <c r="Y496" t="s">
        <v>214</v>
      </c>
      <c r="Z496" t="s">
        <v>360</v>
      </c>
      <c r="AA496">
        <v>0</v>
      </c>
      <c r="AB496" s="2">
        <v>0</v>
      </c>
      <c r="AC496" s="2">
        <v>0</v>
      </c>
      <c r="AD496" s="3">
        <v>0</v>
      </c>
      <c r="AE496" s="2">
        <v>0</v>
      </c>
      <c r="AF496" s="2">
        <v>0</v>
      </c>
      <c r="AG496" s="2">
        <v>0</v>
      </c>
      <c r="AH496" s="2">
        <v>0</v>
      </c>
      <c r="AI496" s="2">
        <v>0</v>
      </c>
      <c r="AJ496" s="2">
        <v>0</v>
      </c>
      <c r="AK496" s="2">
        <v>0</v>
      </c>
      <c r="AL496" s="2">
        <v>0</v>
      </c>
      <c r="AM496" s="2">
        <v>12.34</v>
      </c>
      <c r="AN496" s="2">
        <v>12.34</v>
      </c>
      <c r="AO496" s="2">
        <v>0</v>
      </c>
      <c r="AP496" s="2">
        <v>0</v>
      </c>
      <c r="AQ496" s="2">
        <v>0</v>
      </c>
    </row>
    <row r="497" spans="1:43" x14ac:dyDescent="0.25">
      <c r="A497" s="1">
        <v>45936</v>
      </c>
      <c r="B497" t="s">
        <v>48</v>
      </c>
      <c r="C497">
        <v>649163</v>
      </c>
      <c r="D497">
        <v>2020855630</v>
      </c>
      <c r="E497" t="s">
        <v>657</v>
      </c>
      <c r="F497" t="s">
        <v>658</v>
      </c>
      <c r="G497" t="s">
        <v>51</v>
      </c>
      <c r="H497" t="s">
        <v>52</v>
      </c>
      <c r="I497" t="s">
        <v>292</v>
      </c>
      <c r="J497" t="s">
        <v>295</v>
      </c>
      <c r="K497">
        <v>651818</v>
      </c>
      <c r="L497" t="s">
        <v>112</v>
      </c>
      <c r="M497" t="s">
        <v>104</v>
      </c>
      <c r="N497" t="s">
        <v>57</v>
      </c>
      <c r="O497" s="1">
        <v>45265</v>
      </c>
      <c r="Q497" s="1">
        <v>45966</v>
      </c>
      <c r="R497" s="2">
        <v>31.67</v>
      </c>
      <c r="S497">
        <v>1</v>
      </c>
      <c r="T497" t="s">
        <v>58</v>
      </c>
      <c r="U497" t="s">
        <v>359</v>
      </c>
      <c r="V497" s="3">
        <v>0.1</v>
      </c>
      <c r="W497" s="2">
        <v>0</v>
      </c>
      <c r="X497">
        <v>0</v>
      </c>
      <c r="Y497" t="s">
        <v>214</v>
      </c>
      <c r="Z497" t="s">
        <v>360</v>
      </c>
      <c r="AA497">
        <v>0</v>
      </c>
      <c r="AB497" s="2">
        <v>0</v>
      </c>
      <c r="AC497" s="2">
        <v>0</v>
      </c>
      <c r="AD497" s="3">
        <v>0</v>
      </c>
      <c r="AE497" s="2">
        <v>0</v>
      </c>
      <c r="AF497" s="2">
        <v>0</v>
      </c>
      <c r="AG497" s="2">
        <v>0</v>
      </c>
      <c r="AH497" s="2">
        <v>0</v>
      </c>
      <c r="AI497" s="2">
        <v>0</v>
      </c>
      <c r="AJ497" s="2">
        <v>0</v>
      </c>
      <c r="AK497" s="2">
        <v>0</v>
      </c>
      <c r="AL497" s="2">
        <v>0</v>
      </c>
      <c r="AM497" s="2">
        <v>3.17</v>
      </c>
      <c r="AN497" s="2">
        <v>3.17</v>
      </c>
      <c r="AO497" s="2">
        <v>0</v>
      </c>
      <c r="AP497" s="2">
        <v>0</v>
      </c>
      <c r="AQ497" s="2">
        <v>0</v>
      </c>
    </row>
    <row r="498" spans="1:43" x14ac:dyDescent="0.25">
      <c r="A498" s="1">
        <v>45936</v>
      </c>
      <c r="B498" t="s">
        <v>48</v>
      </c>
      <c r="C498">
        <v>649163</v>
      </c>
      <c r="D498">
        <v>2021092887</v>
      </c>
      <c r="E498" t="s">
        <v>659</v>
      </c>
      <c r="F498" t="s">
        <v>660</v>
      </c>
      <c r="G498" t="s">
        <v>51</v>
      </c>
      <c r="H498" t="s">
        <v>52</v>
      </c>
      <c r="I498" t="s">
        <v>292</v>
      </c>
      <c r="J498" t="s">
        <v>295</v>
      </c>
      <c r="K498">
        <v>651818</v>
      </c>
      <c r="L498" t="s">
        <v>112</v>
      </c>
      <c r="M498" t="s">
        <v>104</v>
      </c>
      <c r="N498" t="s">
        <v>57</v>
      </c>
      <c r="O498" s="1">
        <v>45295</v>
      </c>
      <c r="Q498" s="1">
        <v>45965</v>
      </c>
      <c r="R498" s="2">
        <v>32.58</v>
      </c>
      <c r="S498">
        <v>1</v>
      </c>
      <c r="T498" t="s">
        <v>58</v>
      </c>
      <c r="U498" t="s">
        <v>359</v>
      </c>
      <c r="V498" s="3">
        <v>0.1</v>
      </c>
      <c r="W498" s="2">
        <v>0</v>
      </c>
      <c r="X498">
        <v>0</v>
      </c>
      <c r="Y498" t="s">
        <v>214</v>
      </c>
      <c r="Z498" t="s">
        <v>360</v>
      </c>
      <c r="AA498">
        <v>0</v>
      </c>
      <c r="AB498" s="2">
        <v>0</v>
      </c>
      <c r="AC498" s="2">
        <v>0</v>
      </c>
      <c r="AD498" s="3">
        <v>0</v>
      </c>
      <c r="AE498" s="2">
        <v>0</v>
      </c>
      <c r="AF498" s="2">
        <v>0</v>
      </c>
      <c r="AG498" s="2">
        <v>0</v>
      </c>
      <c r="AH498" s="2">
        <v>0</v>
      </c>
      <c r="AI498" s="2">
        <v>0</v>
      </c>
      <c r="AJ498" s="2">
        <v>0</v>
      </c>
      <c r="AK498" s="2">
        <v>0</v>
      </c>
      <c r="AL498" s="2">
        <v>0</v>
      </c>
      <c r="AM498" s="2">
        <v>3.26</v>
      </c>
      <c r="AN498" s="2">
        <v>3.26</v>
      </c>
      <c r="AO498" s="2">
        <v>0</v>
      </c>
      <c r="AP498" s="2">
        <v>0</v>
      </c>
      <c r="AQ498" s="2">
        <v>0</v>
      </c>
    </row>
    <row r="499" spans="1:43" x14ac:dyDescent="0.25">
      <c r="A499" s="1">
        <v>45936</v>
      </c>
      <c r="B499" t="s">
        <v>48</v>
      </c>
      <c r="C499">
        <v>649163</v>
      </c>
      <c r="D499">
        <v>2021166477</v>
      </c>
      <c r="E499" t="s">
        <v>638</v>
      </c>
      <c r="F499" t="s">
        <v>639</v>
      </c>
      <c r="G499" t="s">
        <v>51</v>
      </c>
      <c r="H499" t="s">
        <v>70</v>
      </c>
      <c r="I499" t="s">
        <v>292</v>
      </c>
      <c r="J499" t="s">
        <v>536</v>
      </c>
      <c r="K499">
        <v>649164</v>
      </c>
      <c r="L499" t="s">
        <v>211</v>
      </c>
      <c r="M499" t="s">
        <v>212</v>
      </c>
      <c r="N499" t="s">
        <v>57</v>
      </c>
      <c r="O499" s="1">
        <v>45292</v>
      </c>
      <c r="Q499" s="1">
        <v>45962</v>
      </c>
      <c r="R499" s="2">
        <v>25.73</v>
      </c>
      <c r="S499">
        <v>1</v>
      </c>
      <c r="T499" t="s">
        <v>58</v>
      </c>
      <c r="U499" t="s">
        <v>359</v>
      </c>
      <c r="V499" s="3">
        <v>0.15</v>
      </c>
      <c r="W499" s="2">
        <v>0</v>
      </c>
      <c r="X499">
        <v>0</v>
      </c>
      <c r="Y499" t="s">
        <v>214</v>
      </c>
      <c r="Z499" t="s">
        <v>360</v>
      </c>
      <c r="AA499">
        <v>0</v>
      </c>
      <c r="AB499" s="2">
        <v>0</v>
      </c>
      <c r="AC499" s="2">
        <v>0</v>
      </c>
      <c r="AD499" s="3">
        <v>0</v>
      </c>
      <c r="AE499" s="2">
        <v>0</v>
      </c>
      <c r="AF499" s="2">
        <v>0</v>
      </c>
      <c r="AG499" s="2">
        <v>0</v>
      </c>
      <c r="AH499" s="2">
        <v>0</v>
      </c>
      <c r="AI499" s="2">
        <v>0</v>
      </c>
      <c r="AJ499" s="2">
        <v>0</v>
      </c>
      <c r="AK499" s="2">
        <v>0</v>
      </c>
      <c r="AL499" s="2">
        <v>0</v>
      </c>
      <c r="AM499" s="2">
        <v>3.86</v>
      </c>
      <c r="AN499" s="2">
        <v>3.86</v>
      </c>
      <c r="AO499" s="2">
        <v>0</v>
      </c>
      <c r="AP499" s="2">
        <v>0</v>
      </c>
      <c r="AQ499" s="2">
        <v>0</v>
      </c>
    </row>
    <row r="500" spans="1:43" x14ac:dyDescent="0.25">
      <c r="A500" s="1">
        <v>45936</v>
      </c>
      <c r="B500" t="s">
        <v>48</v>
      </c>
      <c r="C500">
        <v>649163</v>
      </c>
      <c r="D500">
        <v>2021391379</v>
      </c>
      <c r="E500" t="s">
        <v>663</v>
      </c>
      <c r="F500" t="s">
        <v>664</v>
      </c>
      <c r="G500" t="s">
        <v>51</v>
      </c>
      <c r="H500" t="s">
        <v>88</v>
      </c>
      <c r="I500" t="s">
        <v>292</v>
      </c>
      <c r="J500" t="s">
        <v>536</v>
      </c>
      <c r="K500">
        <v>673059</v>
      </c>
      <c r="L500" t="s">
        <v>80</v>
      </c>
      <c r="M500" t="s">
        <v>81</v>
      </c>
      <c r="N500" t="s">
        <v>57</v>
      </c>
      <c r="O500" s="1">
        <v>45323</v>
      </c>
      <c r="Q500" s="1">
        <v>45962</v>
      </c>
      <c r="R500" s="2">
        <v>85.53</v>
      </c>
      <c r="S500">
        <v>1</v>
      </c>
      <c r="T500" t="s">
        <v>58</v>
      </c>
      <c r="U500" t="s">
        <v>359</v>
      </c>
      <c r="V500" s="3">
        <v>0.15</v>
      </c>
      <c r="W500" s="2">
        <v>0</v>
      </c>
      <c r="X500">
        <v>0</v>
      </c>
      <c r="Y500" t="s">
        <v>214</v>
      </c>
      <c r="Z500" t="s">
        <v>360</v>
      </c>
      <c r="AA500">
        <v>0</v>
      </c>
      <c r="AB500" s="2">
        <v>0</v>
      </c>
      <c r="AC500" s="2">
        <v>0</v>
      </c>
      <c r="AD500" s="3">
        <v>0</v>
      </c>
      <c r="AE500" s="2">
        <v>0</v>
      </c>
      <c r="AF500" s="2">
        <v>0</v>
      </c>
      <c r="AG500" s="2">
        <v>0</v>
      </c>
      <c r="AH500" s="2">
        <v>0</v>
      </c>
      <c r="AI500" s="2">
        <v>0</v>
      </c>
      <c r="AJ500" s="2">
        <v>0</v>
      </c>
      <c r="AK500" s="2">
        <v>0</v>
      </c>
      <c r="AL500" s="2">
        <v>0</v>
      </c>
      <c r="AM500" s="2">
        <v>12.83</v>
      </c>
      <c r="AN500" s="2">
        <v>12.83</v>
      </c>
      <c r="AO500" s="2">
        <v>0</v>
      </c>
      <c r="AP500" s="2">
        <v>0</v>
      </c>
      <c r="AQ500" s="2">
        <v>0</v>
      </c>
    </row>
    <row r="501" spans="1:43" x14ac:dyDescent="0.25">
      <c r="A501" s="1">
        <v>45936</v>
      </c>
      <c r="B501" t="s">
        <v>48</v>
      </c>
      <c r="C501">
        <v>649163</v>
      </c>
      <c r="D501">
        <v>2021391381</v>
      </c>
      <c r="E501" t="s">
        <v>663</v>
      </c>
      <c r="F501" t="s">
        <v>664</v>
      </c>
      <c r="G501" t="s">
        <v>51</v>
      </c>
      <c r="H501" t="s">
        <v>88</v>
      </c>
      <c r="I501" t="s">
        <v>292</v>
      </c>
      <c r="J501" t="s">
        <v>293</v>
      </c>
      <c r="K501">
        <v>673059</v>
      </c>
      <c r="L501" t="s">
        <v>80</v>
      </c>
      <c r="M501" t="s">
        <v>81</v>
      </c>
      <c r="N501" t="s">
        <v>57</v>
      </c>
      <c r="O501" s="1">
        <v>45323</v>
      </c>
      <c r="Q501" s="1">
        <v>45962</v>
      </c>
      <c r="R501" s="2">
        <v>68.41</v>
      </c>
      <c r="S501">
        <v>1</v>
      </c>
      <c r="T501" t="s">
        <v>58</v>
      </c>
      <c r="U501" t="s">
        <v>359</v>
      </c>
      <c r="V501" s="3">
        <v>0.15</v>
      </c>
      <c r="W501" s="2">
        <v>0</v>
      </c>
      <c r="X501">
        <v>0</v>
      </c>
      <c r="Y501" t="s">
        <v>214</v>
      </c>
      <c r="Z501" t="s">
        <v>360</v>
      </c>
      <c r="AA501">
        <v>0</v>
      </c>
      <c r="AB501" s="2">
        <v>0</v>
      </c>
      <c r="AC501" s="2">
        <v>0</v>
      </c>
      <c r="AD501" s="3">
        <v>0</v>
      </c>
      <c r="AE501" s="2">
        <v>0</v>
      </c>
      <c r="AF501" s="2">
        <v>0</v>
      </c>
      <c r="AG501" s="2">
        <v>0</v>
      </c>
      <c r="AH501" s="2">
        <v>0</v>
      </c>
      <c r="AI501" s="2">
        <v>0</v>
      </c>
      <c r="AJ501" s="2">
        <v>0</v>
      </c>
      <c r="AK501" s="2">
        <v>0</v>
      </c>
      <c r="AL501" s="2">
        <v>0</v>
      </c>
      <c r="AM501" s="2">
        <v>10.26</v>
      </c>
      <c r="AN501" s="2">
        <v>10.26</v>
      </c>
      <c r="AO501" s="2">
        <v>0</v>
      </c>
      <c r="AP501" s="2">
        <v>0</v>
      </c>
      <c r="AQ501" s="2">
        <v>0</v>
      </c>
    </row>
    <row r="502" spans="1:43" x14ac:dyDescent="0.25">
      <c r="A502" s="1">
        <v>45936</v>
      </c>
      <c r="B502" t="s">
        <v>48</v>
      </c>
      <c r="C502">
        <v>649163</v>
      </c>
      <c r="D502">
        <v>2021785654</v>
      </c>
      <c r="E502" t="s">
        <v>174</v>
      </c>
      <c r="F502" t="s">
        <v>562</v>
      </c>
      <c r="G502" t="s">
        <v>51</v>
      </c>
      <c r="H502" t="s">
        <v>52</v>
      </c>
      <c r="I502" t="s">
        <v>292</v>
      </c>
      <c r="J502" t="s">
        <v>293</v>
      </c>
      <c r="K502">
        <v>651818</v>
      </c>
      <c r="L502" t="s">
        <v>112</v>
      </c>
      <c r="M502" t="s">
        <v>104</v>
      </c>
      <c r="N502" t="s">
        <v>57</v>
      </c>
      <c r="O502" s="1">
        <v>45357</v>
      </c>
      <c r="Q502" s="1">
        <v>45967</v>
      </c>
      <c r="R502" s="2">
        <v>67</v>
      </c>
      <c r="S502">
        <v>1</v>
      </c>
      <c r="T502" t="s">
        <v>58</v>
      </c>
      <c r="U502" t="s">
        <v>359</v>
      </c>
      <c r="V502" s="3">
        <v>0.15</v>
      </c>
      <c r="W502" s="2">
        <v>0</v>
      </c>
      <c r="X502">
        <v>0</v>
      </c>
      <c r="Y502" t="s">
        <v>214</v>
      </c>
      <c r="Z502" t="s">
        <v>360</v>
      </c>
      <c r="AA502">
        <v>0</v>
      </c>
      <c r="AB502" s="2">
        <v>0</v>
      </c>
      <c r="AC502" s="2">
        <v>0</v>
      </c>
      <c r="AD502" s="3">
        <v>0</v>
      </c>
      <c r="AE502" s="2">
        <v>0</v>
      </c>
      <c r="AF502" s="2">
        <v>0</v>
      </c>
      <c r="AG502" s="2">
        <v>0</v>
      </c>
      <c r="AH502" s="2">
        <v>0</v>
      </c>
      <c r="AI502" s="2">
        <v>0</v>
      </c>
      <c r="AJ502" s="2">
        <v>0</v>
      </c>
      <c r="AK502" s="2">
        <v>0</v>
      </c>
      <c r="AL502" s="2">
        <v>0</v>
      </c>
      <c r="AM502" s="2">
        <v>10.050000000000001</v>
      </c>
      <c r="AN502" s="2">
        <v>10.050000000000001</v>
      </c>
      <c r="AO502" s="2">
        <v>0</v>
      </c>
      <c r="AP502" s="2">
        <v>0</v>
      </c>
      <c r="AQ502" s="2">
        <v>0</v>
      </c>
    </row>
    <row r="503" spans="1:43" x14ac:dyDescent="0.25">
      <c r="A503" s="1">
        <v>45936</v>
      </c>
      <c r="B503" t="s">
        <v>48</v>
      </c>
      <c r="C503">
        <v>649163</v>
      </c>
      <c r="D503">
        <v>2021802311</v>
      </c>
      <c r="E503" t="s">
        <v>668</v>
      </c>
      <c r="F503" t="s">
        <v>224</v>
      </c>
      <c r="G503" t="s">
        <v>51</v>
      </c>
      <c r="H503" t="s">
        <v>52</v>
      </c>
      <c r="I503" t="s">
        <v>292</v>
      </c>
      <c r="J503" t="s">
        <v>295</v>
      </c>
      <c r="K503">
        <v>651818</v>
      </c>
      <c r="L503" t="s">
        <v>112</v>
      </c>
      <c r="M503" t="s">
        <v>104</v>
      </c>
      <c r="N503" t="s">
        <v>57</v>
      </c>
      <c r="O503" s="1">
        <v>45357</v>
      </c>
      <c r="Q503" s="1">
        <v>45967</v>
      </c>
      <c r="R503" s="2">
        <v>83.63</v>
      </c>
      <c r="S503">
        <v>1</v>
      </c>
      <c r="T503" t="s">
        <v>58</v>
      </c>
      <c r="U503" t="s">
        <v>359</v>
      </c>
      <c r="V503" s="3">
        <v>0.1</v>
      </c>
      <c r="W503" s="2">
        <v>0</v>
      </c>
      <c r="X503">
        <v>0</v>
      </c>
      <c r="Y503" t="s">
        <v>214</v>
      </c>
      <c r="Z503" t="s">
        <v>360</v>
      </c>
      <c r="AA503">
        <v>0</v>
      </c>
      <c r="AB503" s="2">
        <v>0</v>
      </c>
      <c r="AC503" s="2">
        <v>0</v>
      </c>
      <c r="AD503" s="3">
        <v>0</v>
      </c>
      <c r="AE503" s="2">
        <v>0</v>
      </c>
      <c r="AF503" s="2">
        <v>0</v>
      </c>
      <c r="AG503" s="2">
        <v>0</v>
      </c>
      <c r="AH503" s="2">
        <v>0</v>
      </c>
      <c r="AI503" s="2">
        <v>0</v>
      </c>
      <c r="AJ503" s="2">
        <v>0</v>
      </c>
      <c r="AK503" s="2">
        <v>0</v>
      </c>
      <c r="AL503" s="2">
        <v>0</v>
      </c>
      <c r="AM503" s="2">
        <v>8.36</v>
      </c>
      <c r="AN503" s="2">
        <v>8.36</v>
      </c>
      <c r="AO503" s="2">
        <v>0</v>
      </c>
      <c r="AP503" s="2">
        <v>0</v>
      </c>
      <c r="AQ503" s="2">
        <v>0</v>
      </c>
    </row>
    <row r="504" spans="1:43" x14ac:dyDescent="0.25">
      <c r="A504" s="1">
        <v>45936</v>
      </c>
      <c r="B504" t="s">
        <v>48</v>
      </c>
      <c r="C504">
        <v>649163</v>
      </c>
      <c r="D504">
        <v>2021875118</v>
      </c>
      <c r="E504" t="s">
        <v>804</v>
      </c>
      <c r="F504" t="s">
        <v>805</v>
      </c>
      <c r="G504" t="s">
        <v>51</v>
      </c>
      <c r="H504" t="s">
        <v>129</v>
      </c>
      <c r="I504" t="s">
        <v>292</v>
      </c>
      <c r="J504" t="s">
        <v>295</v>
      </c>
      <c r="K504">
        <v>651818</v>
      </c>
      <c r="L504" t="s">
        <v>112</v>
      </c>
      <c r="M504" t="s">
        <v>104</v>
      </c>
      <c r="N504" t="s">
        <v>57</v>
      </c>
      <c r="O504" s="1">
        <v>45357</v>
      </c>
      <c r="Q504" s="1">
        <v>45967</v>
      </c>
      <c r="R504" s="2">
        <v>107.33</v>
      </c>
      <c r="S504">
        <v>1</v>
      </c>
      <c r="T504" t="s">
        <v>58</v>
      </c>
      <c r="U504" t="s">
        <v>359</v>
      </c>
      <c r="V504" s="3">
        <v>0.1</v>
      </c>
      <c r="W504" s="2">
        <v>0</v>
      </c>
      <c r="X504">
        <v>0</v>
      </c>
      <c r="Y504" t="s">
        <v>214</v>
      </c>
      <c r="Z504" t="s">
        <v>360</v>
      </c>
      <c r="AA504">
        <v>0</v>
      </c>
      <c r="AB504" s="2">
        <v>0</v>
      </c>
      <c r="AC504" s="2">
        <v>0</v>
      </c>
      <c r="AD504" s="3">
        <v>0</v>
      </c>
      <c r="AE504" s="2">
        <v>0</v>
      </c>
      <c r="AF504" s="2">
        <v>0</v>
      </c>
      <c r="AG504" s="2">
        <v>0</v>
      </c>
      <c r="AH504" s="2">
        <v>0</v>
      </c>
      <c r="AI504" s="2">
        <v>0</v>
      </c>
      <c r="AJ504" s="2">
        <v>0</v>
      </c>
      <c r="AK504" s="2">
        <v>0</v>
      </c>
      <c r="AL504" s="2">
        <v>0</v>
      </c>
      <c r="AM504" s="2">
        <v>10.73</v>
      </c>
      <c r="AN504" s="2">
        <v>10.73</v>
      </c>
      <c r="AO504" s="2">
        <v>0</v>
      </c>
      <c r="AP504" s="2">
        <v>0</v>
      </c>
      <c r="AQ504" s="2">
        <v>0</v>
      </c>
    </row>
    <row r="505" spans="1:43" x14ac:dyDescent="0.25">
      <c r="A505" s="1">
        <v>45936</v>
      </c>
      <c r="B505" t="s">
        <v>48</v>
      </c>
      <c r="C505">
        <v>649163</v>
      </c>
      <c r="D505">
        <v>2022025992</v>
      </c>
      <c r="E505" t="s">
        <v>806</v>
      </c>
      <c r="F505" t="s">
        <v>63</v>
      </c>
      <c r="G505" t="s">
        <v>51</v>
      </c>
      <c r="H505" t="s">
        <v>101</v>
      </c>
      <c r="I505" t="s">
        <v>292</v>
      </c>
      <c r="J505" t="s">
        <v>293</v>
      </c>
      <c r="K505">
        <v>651818</v>
      </c>
      <c r="L505" t="s">
        <v>112</v>
      </c>
      <c r="M505" t="s">
        <v>104</v>
      </c>
      <c r="N505" t="s">
        <v>57</v>
      </c>
      <c r="O505" s="1">
        <v>45357</v>
      </c>
      <c r="Q505" s="1">
        <v>45967</v>
      </c>
      <c r="R505" s="2">
        <v>28</v>
      </c>
      <c r="S505">
        <v>1</v>
      </c>
      <c r="T505" t="s">
        <v>58</v>
      </c>
      <c r="U505" t="s">
        <v>359</v>
      </c>
      <c r="V505" s="3">
        <v>0.15</v>
      </c>
      <c r="W505" s="2">
        <v>0</v>
      </c>
      <c r="X505">
        <v>0</v>
      </c>
      <c r="Y505" t="s">
        <v>214</v>
      </c>
      <c r="Z505" t="s">
        <v>360</v>
      </c>
      <c r="AA505">
        <v>0</v>
      </c>
      <c r="AB505" s="2">
        <v>0</v>
      </c>
      <c r="AC505" s="2">
        <v>0</v>
      </c>
      <c r="AD505" s="3">
        <v>0</v>
      </c>
      <c r="AE505" s="2">
        <v>0</v>
      </c>
      <c r="AF505" s="2">
        <v>0</v>
      </c>
      <c r="AG505" s="2">
        <v>0</v>
      </c>
      <c r="AH505" s="2">
        <v>0</v>
      </c>
      <c r="AI505" s="2">
        <v>0</v>
      </c>
      <c r="AJ505" s="2">
        <v>0</v>
      </c>
      <c r="AK505" s="2">
        <v>0</v>
      </c>
      <c r="AL505" s="2">
        <v>0</v>
      </c>
      <c r="AM505" s="2">
        <v>4.2</v>
      </c>
      <c r="AN505" s="2">
        <v>4.2</v>
      </c>
      <c r="AO505" s="2">
        <v>0</v>
      </c>
      <c r="AP505" s="2">
        <v>0</v>
      </c>
      <c r="AQ505" s="2">
        <v>0</v>
      </c>
    </row>
    <row r="506" spans="1:43" x14ac:dyDescent="0.25">
      <c r="A506" s="1">
        <v>45936</v>
      </c>
      <c r="B506" t="s">
        <v>48</v>
      </c>
      <c r="C506">
        <v>649163</v>
      </c>
      <c r="D506">
        <v>2022385258</v>
      </c>
      <c r="E506" t="s">
        <v>402</v>
      </c>
      <c r="F506" t="s">
        <v>671</v>
      </c>
      <c r="G506" t="s">
        <v>51</v>
      </c>
      <c r="H506" t="s">
        <v>88</v>
      </c>
      <c r="I506" t="s">
        <v>292</v>
      </c>
      <c r="J506" t="s">
        <v>293</v>
      </c>
      <c r="K506">
        <v>651818</v>
      </c>
      <c r="L506" t="s">
        <v>112</v>
      </c>
      <c r="M506" t="s">
        <v>104</v>
      </c>
      <c r="N506" t="s">
        <v>57</v>
      </c>
      <c r="O506" s="1">
        <v>45388</v>
      </c>
      <c r="Q506" s="1">
        <v>45967</v>
      </c>
      <c r="R506" s="2">
        <v>2.8</v>
      </c>
      <c r="S506">
        <v>1</v>
      </c>
      <c r="T506" t="s">
        <v>58</v>
      </c>
      <c r="U506" t="s">
        <v>359</v>
      </c>
      <c r="V506" s="3">
        <v>0.15</v>
      </c>
      <c r="W506" s="2">
        <v>0</v>
      </c>
      <c r="X506">
        <v>0</v>
      </c>
      <c r="Y506" t="s">
        <v>214</v>
      </c>
      <c r="Z506" t="s">
        <v>360</v>
      </c>
      <c r="AA506">
        <v>0</v>
      </c>
      <c r="AB506" s="2">
        <v>0</v>
      </c>
      <c r="AC506" s="2">
        <v>0</v>
      </c>
      <c r="AD506" s="3">
        <v>0</v>
      </c>
      <c r="AE506" s="2">
        <v>0</v>
      </c>
      <c r="AF506" s="2">
        <v>0</v>
      </c>
      <c r="AG506" s="2">
        <v>0</v>
      </c>
      <c r="AH506" s="2">
        <v>0</v>
      </c>
      <c r="AI506" s="2">
        <v>0</v>
      </c>
      <c r="AJ506" s="2">
        <v>0</v>
      </c>
      <c r="AK506" s="2">
        <v>0</v>
      </c>
      <c r="AL506" s="2">
        <v>0</v>
      </c>
      <c r="AM506" s="2">
        <v>0.42</v>
      </c>
      <c r="AN506" s="2">
        <v>0.42</v>
      </c>
      <c r="AO506" s="2">
        <v>0</v>
      </c>
      <c r="AP506" s="2">
        <v>0</v>
      </c>
      <c r="AQ506" s="2">
        <v>0</v>
      </c>
    </row>
    <row r="507" spans="1:43" x14ac:dyDescent="0.25">
      <c r="A507" s="1">
        <v>45936</v>
      </c>
      <c r="B507" t="s">
        <v>48</v>
      </c>
      <c r="C507">
        <v>649163</v>
      </c>
      <c r="D507">
        <v>2022623337</v>
      </c>
      <c r="E507" t="s">
        <v>807</v>
      </c>
      <c r="F507" t="s">
        <v>746</v>
      </c>
      <c r="G507" t="s">
        <v>51</v>
      </c>
      <c r="H507" t="s">
        <v>101</v>
      </c>
      <c r="I507" t="s">
        <v>292</v>
      </c>
      <c r="J507" t="s">
        <v>293</v>
      </c>
      <c r="K507">
        <v>651818</v>
      </c>
      <c r="L507" t="s">
        <v>112</v>
      </c>
      <c r="M507" t="s">
        <v>104</v>
      </c>
      <c r="N507" t="s">
        <v>57</v>
      </c>
      <c r="O507" s="1">
        <v>45392</v>
      </c>
      <c r="Q507" s="1">
        <v>45971</v>
      </c>
      <c r="R507" s="2">
        <v>388.92</v>
      </c>
      <c r="S507">
        <v>1</v>
      </c>
      <c r="T507" t="s">
        <v>58</v>
      </c>
      <c r="U507" t="s">
        <v>359</v>
      </c>
      <c r="V507" s="3">
        <v>0.15</v>
      </c>
      <c r="W507" s="2">
        <v>0</v>
      </c>
      <c r="X507">
        <v>0</v>
      </c>
      <c r="Y507" t="s">
        <v>214</v>
      </c>
      <c r="Z507" t="s">
        <v>360</v>
      </c>
      <c r="AA507">
        <v>0</v>
      </c>
      <c r="AB507" s="2">
        <v>0</v>
      </c>
      <c r="AC507" s="2">
        <v>0</v>
      </c>
      <c r="AD507" s="3">
        <v>0</v>
      </c>
      <c r="AE507" s="2">
        <v>0</v>
      </c>
      <c r="AF507" s="2">
        <v>0</v>
      </c>
      <c r="AG507" s="2">
        <v>0</v>
      </c>
      <c r="AH507" s="2">
        <v>0</v>
      </c>
      <c r="AI507" s="2">
        <v>0</v>
      </c>
      <c r="AJ507" s="2">
        <v>0</v>
      </c>
      <c r="AK507" s="2">
        <v>0</v>
      </c>
      <c r="AL507" s="2">
        <v>0</v>
      </c>
      <c r="AM507" s="2">
        <v>58.34</v>
      </c>
      <c r="AN507" s="2">
        <v>58.34</v>
      </c>
      <c r="AO507" s="2">
        <v>0</v>
      </c>
      <c r="AP507" s="2">
        <v>0</v>
      </c>
      <c r="AQ507" s="2">
        <v>0</v>
      </c>
    </row>
    <row r="508" spans="1:43" x14ac:dyDescent="0.25">
      <c r="A508" s="1">
        <v>45936</v>
      </c>
      <c r="B508" t="s">
        <v>48</v>
      </c>
      <c r="C508">
        <v>649163</v>
      </c>
      <c r="D508">
        <v>2022807452</v>
      </c>
      <c r="E508" t="s">
        <v>808</v>
      </c>
      <c r="F508" t="s">
        <v>72</v>
      </c>
      <c r="G508" t="s">
        <v>51</v>
      </c>
      <c r="H508" t="s">
        <v>101</v>
      </c>
      <c r="I508" t="s">
        <v>292</v>
      </c>
      <c r="J508" t="s">
        <v>293</v>
      </c>
      <c r="K508">
        <v>651818</v>
      </c>
      <c r="L508" t="s">
        <v>112</v>
      </c>
      <c r="M508" t="s">
        <v>104</v>
      </c>
      <c r="N508" t="s">
        <v>57</v>
      </c>
      <c r="O508" s="1">
        <v>45418</v>
      </c>
      <c r="Q508" s="1">
        <v>45967</v>
      </c>
      <c r="R508" s="2">
        <v>148.27000000000001</v>
      </c>
      <c r="S508">
        <v>1</v>
      </c>
      <c r="T508" t="s">
        <v>58</v>
      </c>
      <c r="U508" t="s">
        <v>359</v>
      </c>
      <c r="V508" s="3">
        <v>0.15</v>
      </c>
      <c r="W508" s="2">
        <v>0</v>
      </c>
      <c r="X508">
        <v>0</v>
      </c>
      <c r="Y508" t="s">
        <v>214</v>
      </c>
      <c r="Z508" t="s">
        <v>360</v>
      </c>
      <c r="AA508">
        <v>0</v>
      </c>
      <c r="AB508" s="2">
        <v>0</v>
      </c>
      <c r="AC508" s="2">
        <v>0</v>
      </c>
      <c r="AD508" s="3">
        <v>0</v>
      </c>
      <c r="AE508" s="2">
        <v>0</v>
      </c>
      <c r="AF508" s="2">
        <v>0</v>
      </c>
      <c r="AG508" s="2">
        <v>0</v>
      </c>
      <c r="AH508" s="2">
        <v>0</v>
      </c>
      <c r="AI508" s="2">
        <v>0</v>
      </c>
      <c r="AJ508" s="2">
        <v>0</v>
      </c>
      <c r="AK508" s="2">
        <v>0</v>
      </c>
      <c r="AL508" s="2">
        <v>0</v>
      </c>
      <c r="AM508" s="2">
        <v>22.24</v>
      </c>
      <c r="AN508" s="2">
        <v>22.24</v>
      </c>
      <c r="AO508" s="2">
        <v>0</v>
      </c>
      <c r="AP508" s="2">
        <v>0</v>
      </c>
      <c r="AQ508" s="2">
        <v>0</v>
      </c>
    </row>
    <row r="509" spans="1:43" x14ac:dyDescent="0.25">
      <c r="A509" s="1">
        <v>45936</v>
      </c>
      <c r="B509" t="s">
        <v>48</v>
      </c>
      <c r="C509">
        <v>649163</v>
      </c>
      <c r="D509">
        <v>2023217202</v>
      </c>
      <c r="E509" t="s">
        <v>809</v>
      </c>
      <c r="F509" t="s">
        <v>717</v>
      </c>
      <c r="G509" t="s">
        <v>51</v>
      </c>
      <c r="H509" t="s">
        <v>182</v>
      </c>
      <c r="I509" t="s">
        <v>292</v>
      </c>
      <c r="J509" t="s">
        <v>293</v>
      </c>
      <c r="K509">
        <v>673059</v>
      </c>
      <c r="L509" t="s">
        <v>80</v>
      </c>
      <c r="M509" t="s">
        <v>81</v>
      </c>
      <c r="N509" t="s">
        <v>57</v>
      </c>
      <c r="O509" s="1">
        <v>45444</v>
      </c>
      <c r="Q509" s="1">
        <v>45962</v>
      </c>
      <c r="R509" s="2">
        <v>80.8</v>
      </c>
      <c r="S509">
        <v>1</v>
      </c>
      <c r="T509" t="s">
        <v>58</v>
      </c>
      <c r="U509" t="s">
        <v>359</v>
      </c>
      <c r="V509" s="3">
        <v>0.15</v>
      </c>
      <c r="W509" s="2">
        <v>0</v>
      </c>
      <c r="X509">
        <v>0</v>
      </c>
      <c r="Y509" t="s">
        <v>214</v>
      </c>
      <c r="Z509" t="s">
        <v>360</v>
      </c>
      <c r="AA509">
        <v>0</v>
      </c>
      <c r="AB509" s="2">
        <v>0</v>
      </c>
      <c r="AC509" s="2">
        <v>0</v>
      </c>
      <c r="AD509" s="3">
        <v>0</v>
      </c>
      <c r="AE509" s="2">
        <v>0</v>
      </c>
      <c r="AF509" s="2">
        <v>0</v>
      </c>
      <c r="AG509" s="2">
        <v>0</v>
      </c>
      <c r="AH509" s="2">
        <v>0</v>
      </c>
      <c r="AI509" s="2">
        <v>0</v>
      </c>
      <c r="AJ509" s="2">
        <v>0</v>
      </c>
      <c r="AK509" s="2">
        <v>0</v>
      </c>
      <c r="AL509" s="2">
        <v>0</v>
      </c>
      <c r="AM509" s="2">
        <v>12.12</v>
      </c>
      <c r="AN509" s="2">
        <v>12.12</v>
      </c>
      <c r="AO509" s="2">
        <v>0</v>
      </c>
      <c r="AP509" s="2">
        <v>0</v>
      </c>
      <c r="AQ509" s="2">
        <v>0</v>
      </c>
    </row>
    <row r="510" spans="1:43" x14ac:dyDescent="0.25">
      <c r="A510" s="1">
        <v>45936</v>
      </c>
      <c r="B510" t="s">
        <v>48</v>
      </c>
      <c r="C510">
        <v>649163</v>
      </c>
      <c r="D510">
        <v>2023217203</v>
      </c>
      <c r="E510" t="s">
        <v>809</v>
      </c>
      <c r="F510" t="s">
        <v>717</v>
      </c>
      <c r="G510" t="s">
        <v>51</v>
      </c>
      <c r="H510" t="s">
        <v>182</v>
      </c>
      <c r="I510" t="s">
        <v>292</v>
      </c>
      <c r="J510" t="s">
        <v>536</v>
      </c>
      <c r="K510">
        <v>673059</v>
      </c>
      <c r="L510" t="s">
        <v>80</v>
      </c>
      <c r="M510" t="s">
        <v>81</v>
      </c>
      <c r="N510" t="s">
        <v>57</v>
      </c>
      <c r="O510" s="1">
        <v>45444</v>
      </c>
      <c r="Q510" s="1">
        <v>45962</v>
      </c>
      <c r="R510" s="2">
        <v>25.73</v>
      </c>
      <c r="S510">
        <v>1</v>
      </c>
      <c r="T510" t="s">
        <v>58</v>
      </c>
      <c r="U510" t="s">
        <v>359</v>
      </c>
      <c r="V510" s="3">
        <v>0.15</v>
      </c>
      <c r="W510" s="2">
        <v>0</v>
      </c>
      <c r="X510">
        <v>0</v>
      </c>
      <c r="Y510" t="s">
        <v>214</v>
      </c>
      <c r="Z510" t="s">
        <v>360</v>
      </c>
      <c r="AA510">
        <v>0</v>
      </c>
      <c r="AB510" s="2">
        <v>0</v>
      </c>
      <c r="AC510" s="2">
        <v>0</v>
      </c>
      <c r="AD510" s="3">
        <v>0</v>
      </c>
      <c r="AE510" s="2">
        <v>0</v>
      </c>
      <c r="AF510" s="2">
        <v>0</v>
      </c>
      <c r="AG510" s="2">
        <v>0</v>
      </c>
      <c r="AH510" s="2">
        <v>0</v>
      </c>
      <c r="AI510" s="2">
        <v>0</v>
      </c>
      <c r="AJ510" s="2">
        <v>0</v>
      </c>
      <c r="AK510" s="2">
        <v>0</v>
      </c>
      <c r="AL510" s="2">
        <v>0</v>
      </c>
      <c r="AM510" s="2">
        <v>3.86</v>
      </c>
      <c r="AN510" s="2">
        <v>3.86</v>
      </c>
      <c r="AO510" s="2">
        <v>0</v>
      </c>
      <c r="AP510" s="2">
        <v>0</v>
      </c>
      <c r="AQ510" s="2">
        <v>0</v>
      </c>
    </row>
    <row r="511" spans="1:43" x14ac:dyDescent="0.25">
      <c r="A511" s="1">
        <v>45936</v>
      </c>
      <c r="B511" t="s">
        <v>48</v>
      </c>
      <c r="C511">
        <v>649163</v>
      </c>
      <c r="D511">
        <v>2023217694</v>
      </c>
      <c r="E511" t="s">
        <v>810</v>
      </c>
      <c r="F511" t="s">
        <v>721</v>
      </c>
      <c r="G511" t="s">
        <v>51</v>
      </c>
      <c r="H511" t="s">
        <v>159</v>
      </c>
      <c r="I511" t="s">
        <v>292</v>
      </c>
      <c r="J511" t="s">
        <v>295</v>
      </c>
      <c r="K511">
        <v>651818</v>
      </c>
      <c r="L511" t="s">
        <v>112</v>
      </c>
      <c r="M511" t="s">
        <v>104</v>
      </c>
      <c r="N511" t="s">
        <v>57</v>
      </c>
      <c r="O511" s="1">
        <v>45449</v>
      </c>
      <c r="Q511" s="1">
        <v>45967</v>
      </c>
      <c r="R511" s="2">
        <v>29.42</v>
      </c>
      <c r="S511">
        <v>1</v>
      </c>
      <c r="T511" t="s">
        <v>58</v>
      </c>
      <c r="U511" t="s">
        <v>359</v>
      </c>
      <c r="V511" s="3">
        <v>0.1</v>
      </c>
      <c r="W511" s="2">
        <v>0</v>
      </c>
      <c r="X511">
        <v>0</v>
      </c>
      <c r="Y511" t="s">
        <v>214</v>
      </c>
      <c r="Z511" t="s">
        <v>360</v>
      </c>
      <c r="AA511">
        <v>0</v>
      </c>
      <c r="AB511" s="2">
        <v>0</v>
      </c>
      <c r="AC511" s="2">
        <v>0</v>
      </c>
      <c r="AD511" s="3">
        <v>0</v>
      </c>
      <c r="AE511" s="2">
        <v>0</v>
      </c>
      <c r="AF511" s="2">
        <v>0</v>
      </c>
      <c r="AG511" s="2">
        <v>0</v>
      </c>
      <c r="AH511" s="2">
        <v>0</v>
      </c>
      <c r="AI511" s="2">
        <v>0</v>
      </c>
      <c r="AJ511" s="2">
        <v>0</v>
      </c>
      <c r="AK511" s="2">
        <v>0</v>
      </c>
      <c r="AL511" s="2">
        <v>0</v>
      </c>
      <c r="AM511" s="2">
        <v>2.94</v>
      </c>
      <c r="AN511" s="2">
        <v>2.94</v>
      </c>
      <c r="AO511" s="2">
        <v>0</v>
      </c>
      <c r="AP511" s="2">
        <v>0</v>
      </c>
      <c r="AQ511" s="2">
        <v>0</v>
      </c>
    </row>
    <row r="512" spans="1:43" x14ac:dyDescent="0.25">
      <c r="A512" s="1">
        <v>45936</v>
      </c>
      <c r="B512" t="s">
        <v>48</v>
      </c>
      <c r="C512">
        <v>649163</v>
      </c>
      <c r="D512">
        <v>2023297035</v>
      </c>
      <c r="E512" t="s">
        <v>678</v>
      </c>
      <c r="F512" t="s">
        <v>679</v>
      </c>
      <c r="G512" t="s">
        <v>51</v>
      </c>
      <c r="H512" t="s">
        <v>115</v>
      </c>
      <c r="I512" t="s">
        <v>292</v>
      </c>
      <c r="J512" t="s">
        <v>293</v>
      </c>
      <c r="K512">
        <v>651818</v>
      </c>
      <c r="L512" t="s">
        <v>112</v>
      </c>
      <c r="M512" t="s">
        <v>104</v>
      </c>
      <c r="N512" t="s">
        <v>57</v>
      </c>
      <c r="O512" s="1">
        <v>45449</v>
      </c>
      <c r="Q512" s="1">
        <v>45967</v>
      </c>
      <c r="R512" s="2">
        <v>86.91</v>
      </c>
      <c r="S512">
        <v>1</v>
      </c>
      <c r="T512" t="s">
        <v>58</v>
      </c>
      <c r="U512" t="s">
        <v>359</v>
      </c>
      <c r="V512" s="3">
        <v>0.15</v>
      </c>
      <c r="W512" s="2">
        <v>0</v>
      </c>
      <c r="X512">
        <v>0</v>
      </c>
      <c r="Y512" t="s">
        <v>214</v>
      </c>
      <c r="Z512" t="s">
        <v>360</v>
      </c>
      <c r="AA512">
        <v>0</v>
      </c>
      <c r="AB512" s="2">
        <v>0</v>
      </c>
      <c r="AC512" s="2">
        <v>0</v>
      </c>
      <c r="AD512" s="3">
        <v>0</v>
      </c>
      <c r="AE512" s="2">
        <v>0</v>
      </c>
      <c r="AF512" s="2">
        <v>0</v>
      </c>
      <c r="AG512" s="2">
        <v>0</v>
      </c>
      <c r="AH512" s="2">
        <v>0</v>
      </c>
      <c r="AI512" s="2">
        <v>0</v>
      </c>
      <c r="AJ512" s="2">
        <v>0</v>
      </c>
      <c r="AK512" s="2">
        <v>0</v>
      </c>
      <c r="AL512" s="2">
        <v>0</v>
      </c>
      <c r="AM512" s="2">
        <v>13.04</v>
      </c>
      <c r="AN512" s="2">
        <v>13.04</v>
      </c>
      <c r="AO512" s="2">
        <v>0</v>
      </c>
      <c r="AP512" s="2">
        <v>0</v>
      </c>
      <c r="AQ512" s="2">
        <v>0</v>
      </c>
    </row>
    <row r="513" spans="1:43" x14ac:dyDescent="0.25">
      <c r="A513" s="1">
        <v>45936</v>
      </c>
      <c r="B513" t="s">
        <v>48</v>
      </c>
      <c r="C513">
        <v>649163</v>
      </c>
      <c r="D513">
        <v>2023710953</v>
      </c>
      <c r="E513" t="s">
        <v>811</v>
      </c>
      <c r="F513" t="s">
        <v>812</v>
      </c>
      <c r="G513" t="s">
        <v>51</v>
      </c>
      <c r="H513" t="s">
        <v>724</v>
      </c>
      <c r="I513" t="s">
        <v>292</v>
      </c>
      <c r="J513" t="s">
        <v>293</v>
      </c>
      <c r="K513">
        <v>651818</v>
      </c>
      <c r="L513" t="s">
        <v>112</v>
      </c>
      <c r="M513" t="s">
        <v>104</v>
      </c>
      <c r="N513" t="s">
        <v>57</v>
      </c>
      <c r="O513" s="1">
        <v>45479</v>
      </c>
      <c r="Q513" s="1">
        <v>45967</v>
      </c>
      <c r="R513" s="2">
        <v>132.86000000000001</v>
      </c>
      <c r="S513">
        <v>1</v>
      </c>
      <c r="T513" t="s">
        <v>58</v>
      </c>
      <c r="U513" t="s">
        <v>359</v>
      </c>
      <c r="V513" s="3">
        <v>0.15</v>
      </c>
      <c r="W513" s="2">
        <v>0</v>
      </c>
      <c r="X513">
        <v>0</v>
      </c>
      <c r="Y513" t="s">
        <v>214</v>
      </c>
      <c r="Z513" t="s">
        <v>360</v>
      </c>
      <c r="AA513">
        <v>0</v>
      </c>
      <c r="AB513" s="2">
        <v>0</v>
      </c>
      <c r="AC513" s="2">
        <v>0</v>
      </c>
      <c r="AD513" s="3">
        <v>0</v>
      </c>
      <c r="AE513" s="2">
        <v>0</v>
      </c>
      <c r="AF513" s="2">
        <v>0</v>
      </c>
      <c r="AG513" s="2">
        <v>0</v>
      </c>
      <c r="AH513" s="2">
        <v>0</v>
      </c>
      <c r="AI513" s="2">
        <v>0</v>
      </c>
      <c r="AJ513" s="2">
        <v>0</v>
      </c>
      <c r="AK513" s="2">
        <v>0</v>
      </c>
      <c r="AL513" s="2">
        <v>0</v>
      </c>
      <c r="AM513" s="2">
        <v>19.93</v>
      </c>
      <c r="AN513" s="2">
        <v>19.93</v>
      </c>
      <c r="AO513" s="2">
        <v>0</v>
      </c>
      <c r="AP513" s="2">
        <v>0</v>
      </c>
      <c r="AQ513" s="2">
        <v>0</v>
      </c>
    </row>
    <row r="514" spans="1:43" x14ac:dyDescent="0.25">
      <c r="A514" s="1">
        <v>45936</v>
      </c>
      <c r="B514" t="s">
        <v>48</v>
      </c>
      <c r="C514">
        <v>649163</v>
      </c>
      <c r="D514">
        <v>2024000491</v>
      </c>
      <c r="E514" t="s">
        <v>813</v>
      </c>
      <c r="F514" t="s">
        <v>814</v>
      </c>
      <c r="G514" t="s">
        <v>51</v>
      </c>
      <c r="H514" t="s">
        <v>101</v>
      </c>
      <c r="I514" t="s">
        <v>292</v>
      </c>
      <c r="J514" t="s">
        <v>293</v>
      </c>
      <c r="K514">
        <v>766747</v>
      </c>
      <c r="L514" t="s">
        <v>815</v>
      </c>
      <c r="M514" t="s">
        <v>482</v>
      </c>
      <c r="N514" t="s">
        <v>57</v>
      </c>
      <c r="O514" s="1">
        <v>45510</v>
      </c>
      <c r="Q514" s="1">
        <v>45967</v>
      </c>
      <c r="R514" s="2">
        <v>49.92</v>
      </c>
      <c r="S514">
        <v>1</v>
      </c>
      <c r="T514" t="s">
        <v>58</v>
      </c>
      <c r="U514" t="s">
        <v>359</v>
      </c>
      <c r="V514" s="3">
        <v>0.15</v>
      </c>
      <c r="W514" s="2">
        <v>0</v>
      </c>
      <c r="X514">
        <v>0</v>
      </c>
      <c r="Y514" t="s">
        <v>214</v>
      </c>
      <c r="Z514" t="s">
        <v>360</v>
      </c>
      <c r="AA514">
        <v>0</v>
      </c>
      <c r="AB514" s="2">
        <v>0</v>
      </c>
      <c r="AC514" s="2">
        <v>0</v>
      </c>
      <c r="AD514" s="3">
        <v>0</v>
      </c>
      <c r="AE514" s="2">
        <v>0</v>
      </c>
      <c r="AF514" s="2">
        <v>0</v>
      </c>
      <c r="AG514" s="2">
        <v>0</v>
      </c>
      <c r="AH514" s="2">
        <v>0</v>
      </c>
      <c r="AI514" s="2">
        <v>0</v>
      </c>
      <c r="AJ514" s="2">
        <v>0</v>
      </c>
      <c r="AK514" s="2">
        <v>0</v>
      </c>
      <c r="AL514" s="2">
        <v>0</v>
      </c>
      <c r="AM514" s="2">
        <v>7.49</v>
      </c>
      <c r="AN514" s="2">
        <v>7.49</v>
      </c>
      <c r="AO514" s="2">
        <v>0</v>
      </c>
      <c r="AP514" s="2">
        <v>0</v>
      </c>
      <c r="AQ514" s="2">
        <v>0</v>
      </c>
    </row>
    <row r="515" spans="1:43" x14ac:dyDescent="0.25">
      <c r="A515" s="1">
        <v>45936</v>
      </c>
      <c r="B515" t="s">
        <v>48</v>
      </c>
      <c r="C515">
        <v>649163</v>
      </c>
      <c r="D515">
        <v>2024001565</v>
      </c>
      <c r="E515" t="s">
        <v>148</v>
      </c>
      <c r="F515" t="s">
        <v>212</v>
      </c>
      <c r="G515" t="s">
        <v>51</v>
      </c>
      <c r="H515" t="s">
        <v>119</v>
      </c>
      <c r="I515" t="s">
        <v>292</v>
      </c>
      <c r="J515" t="s">
        <v>293</v>
      </c>
      <c r="K515">
        <v>651818</v>
      </c>
      <c r="L515" t="s">
        <v>112</v>
      </c>
      <c r="M515" t="s">
        <v>104</v>
      </c>
      <c r="N515" t="s">
        <v>57</v>
      </c>
      <c r="O515" s="1">
        <v>45510</v>
      </c>
      <c r="Q515" s="1">
        <v>45967</v>
      </c>
      <c r="R515" s="2">
        <v>40.65</v>
      </c>
      <c r="S515">
        <v>1</v>
      </c>
      <c r="T515" t="s">
        <v>58</v>
      </c>
      <c r="U515" t="s">
        <v>359</v>
      </c>
      <c r="V515" s="3">
        <v>0.15</v>
      </c>
      <c r="W515" s="2">
        <v>0</v>
      </c>
      <c r="X515">
        <v>0</v>
      </c>
      <c r="Y515" t="s">
        <v>214</v>
      </c>
      <c r="Z515" t="s">
        <v>360</v>
      </c>
      <c r="AA515">
        <v>0</v>
      </c>
      <c r="AB515" s="2">
        <v>0</v>
      </c>
      <c r="AC515" s="2">
        <v>0</v>
      </c>
      <c r="AD515" s="3">
        <v>0</v>
      </c>
      <c r="AE515" s="2">
        <v>0</v>
      </c>
      <c r="AF515" s="2">
        <v>0</v>
      </c>
      <c r="AG515" s="2">
        <v>0</v>
      </c>
      <c r="AH515" s="2">
        <v>0</v>
      </c>
      <c r="AI515" s="2">
        <v>0</v>
      </c>
      <c r="AJ515" s="2">
        <v>0</v>
      </c>
      <c r="AK515" s="2">
        <v>0</v>
      </c>
      <c r="AL515" s="2">
        <v>0</v>
      </c>
      <c r="AM515" s="2">
        <v>6.1</v>
      </c>
      <c r="AN515" s="2">
        <v>6.1</v>
      </c>
      <c r="AO515" s="2">
        <v>0</v>
      </c>
      <c r="AP515" s="2">
        <v>0</v>
      </c>
      <c r="AQ515" s="2">
        <v>0</v>
      </c>
    </row>
    <row r="516" spans="1:43" x14ac:dyDescent="0.25">
      <c r="A516" s="1">
        <v>45936</v>
      </c>
      <c r="B516" t="s">
        <v>48</v>
      </c>
      <c r="C516">
        <v>649163</v>
      </c>
      <c r="D516">
        <v>2024027343</v>
      </c>
      <c r="E516" t="s">
        <v>816</v>
      </c>
      <c r="F516" t="s">
        <v>507</v>
      </c>
      <c r="G516" t="s">
        <v>51</v>
      </c>
      <c r="H516" t="s">
        <v>101</v>
      </c>
      <c r="I516" t="s">
        <v>292</v>
      </c>
      <c r="J516" t="s">
        <v>293</v>
      </c>
      <c r="K516">
        <v>766747</v>
      </c>
      <c r="L516" t="s">
        <v>815</v>
      </c>
      <c r="M516" t="s">
        <v>482</v>
      </c>
      <c r="N516" t="s">
        <v>57</v>
      </c>
      <c r="O516" s="1">
        <v>45510</v>
      </c>
      <c r="Q516" s="1">
        <v>45967</v>
      </c>
      <c r="R516" s="2">
        <v>110.16</v>
      </c>
      <c r="S516">
        <v>1</v>
      </c>
      <c r="T516" t="s">
        <v>58</v>
      </c>
      <c r="U516" t="s">
        <v>359</v>
      </c>
      <c r="V516" s="3">
        <v>0.15</v>
      </c>
      <c r="W516" s="2">
        <v>0</v>
      </c>
      <c r="X516">
        <v>0</v>
      </c>
      <c r="Y516" t="s">
        <v>214</v>
      </c>
      <c r="Z516" t="s">
        <v>360</v>
      </c>
      <c r="AA516">
        <v>0</v>
      </c>
      <c r="AB516" s="2">
        <v>0</v>
      </c>
      <c r="AC516" s="2">
        <v>0</v>
      </c>
      <c r="AD516" s="3">
        <v>0</v>
      </c>
      <c r="AE516" s="2">
        <v>0</v>
      </c>
      <c r="AF516" s="2">
        <v>0</v>
      </c>
      <c r="AG516" s="2">
        <v>0</v>
      </c>
      <c r="AH516" s="2">
        <v>0</v>
      </c>
      <c r="AI516" s="2">
        <v>0</v>
      </c>
      <c r="AJ516" s="2">
        <v>0</v>
      </c>
      <c r="AK516" s="2">
        <v>0</v>
      </c>
      <c r="AL516" s="2">
        <v>0</v>
      </c>
      <c r="AM516" s="2">
        <v>16.52</v>
      </c>
      <c r="AN516" s="2">
        <v>16.52</v>
      </c>
      <c r="AO516" s="2">
        <v>0</v>
      </c>
      <c r="AP516" s="2">
        <v>0</v>
      </c>
      <c r="AQ516" s="2">
        <v>0</v>
      </c>
    </row>
    <row r="517" spans="1:43" x14ac:dyDescent="0.25">
      <c r="A517" s="1">
        <v>45936</v>
      </c>
      <c r="B517" t="s">
        <v>48</v>
      </c>
      <c r="C517">
        <v>649163</v>
      </c>
      <c r="D517">
        <v>2024054708</v>
      </c>
      <c r="E517" t="s">
        <v>817</v>
      </c>
      <c r="F517" t="s">
        <v>812</v>
      </c>
      <c r="G517" t="s">
        <v>51</v>
      </c>
      <c r="H517" t="s">
        <v>101</v>
      </c>
      <c r="I517" t="s">
        <v>292</v>
      </c>
      <c r="J517" t="s">
        <v>293</v>
      </c>
      <c r="K517">
        <v>651818</v>
      </c>
      <c r="L517" t="s">
        <v>112</v>
      </c>
      <c r="M517" t="s">
        <v>104</v>
      </c>
      <c r="N517" t="s">
        <v>57</v>
      </c>
      <c r="O517" s="1">
        <v>45510</v>
      </c>
      <c r="Q517" s="1">
        <v>45967</v>
      </c>
      <c r="R517" s="2">
        <v>118.88</v>
      </c>
      <c r="S517">
        <v>1</v>
      </c>
      <c r="T517" t="s">
        <v>58</v>
      </c>
      <c r="U517" t="s">
        <v>359</v>
      </c>
      <c r="V517" s="3">
        <v>0.15</v>
      </c>
      <c r="W517" s="2">
        <v>0</v>
      </c>
      <c r="X517">
        <v>0</v>
      </c>
      <c r="Y517" t="s">
        <v>214</v>
      </c>
      <c r="Z517" t="s">
        <v>360</v>
      </c>
      <c r="AA517">
        <v>0</v>
      </c>
      <c r="AB517" s="2">
        <v>0</v>
      </c>
      <c r="AC517" s="2">
        <v>0</v>
      </c>
      <c r="AD517" s="3">
        <v>0</v>
      </c>
      <c r="AE517" s="2">
        <v>0</v>
      </c>
      <c r="AF517" s="2">
        <v>0</v>
      </c>
      <c r="AG517" s="2">
        <v>0</v>
      </c>
      <c r="AH517" s="2">
        <v>0</v>
      </c>
      <c r="AI517" s="2">
        <v>0</v>
      </c>
      <c r="AJ517" s="2">
        <v>0</v>
      </c>
      <c r="AK517" s="2">
        <v>0</v>
      </c>
      <c r="AL517" s="2">
        <v>0</v>
      </c>
      <c r="AM517" s="2">
        <v>17.829999999999998</v>
      </c>
      <c r="AN517" s="2">
        <v>17.829999999999998</v>
      </c>
      <c r="AO517" s="2">
        <v>0</v>
      </c>
      <c r="AP517" s="2">
        <v>0</v>
      </c>
      <c r="AQ517" s="2">
        <v>0</v>
      </c>
    </row>
    <row r="518" spans="1:43" x14ac:dyDescent="0.25">
      <c r="A518" s="1">
        <v>45936</v>
      </c>
      <c r="B518" t="s">
        <v>48</v>
      </c>
      <c r="C518">
        <v>649163</v>
      </c>
      <c r="D518">
        <v>2024117993</v>
      </c>
      <c r="E518" t="s">
        <v>818</v>
      </c>
      <c r="F518" t="s">
        <v>593</v>
      </c>
      <c r="G518" t="s">
        <v>51</v>
      </c>
      <c r="H518" t="s">
        <v>115</v>
      </c>
      <c r="I518" t="s">
        <v>292</v>
      </c>
      <c r="J518" t="s">
        <v>295</v>
      </c>
      <c r="K518">
        <v>651818</v>
      </c>
      <c r="L518" t="s">
        <v>112</v>
      </c>
      <c r="M518" t="s">
        <v>104</v>
      </c>
      <c r="N518" t="s">
        <v>57</v>
      </c>
      <c r="O518" s="1">
        <v>45510</v>
      </c>
      <c r="Q518" s="1">
        <v>45967</v>
      </c>
      <c r="R518" s="2">
        <v>19.38</v>
      </c>
      <c r="S518">
        <v>1</v>
      </c>
      <c r="T518" t="s">
        <v>58</v>
      </c>
      <c r="U518" t="s">
        <v>359</v>
      </c>
      <c r="V518" s="3">
        <v>0.1</v>
      </c>
      <c r="W518" s="2">
        <v>0</v>
      </c>
      <c r="X518">
        <v>0</v>
      </c>
      <c r="Y518" t="s">
        <v>214</v>
      </c>
      <c r="Z518" t="s">
        <v>360</v>
      </c>
      <c r="AA518">
        <v>0</v>
      </c>
      <c r="AB518" s="2">
        <v>0</v>
      </c>
      <c r="AC518" s="2">
        <v>0</v>
      </c>
      <c r="AD518" s="3">
        <v>0</v>
      </c>
      <c r="AE518" s="2">
        <v>0</v>
      </c>
      <c r="AF518" s="2">
        <v>0</v>
      </c>
      <c r="AG518" s="2">
        <v>0</v>
      </c>
      <c r="AH518" s="2">
        <v>0</v>
      </c>
      <c r="AI518" s="2">
        <v>0</v>
      </c>
      <c r="AJ518" s="2">
        <v>0</v>
      </c>
      <c r="AK518" s="2">
        <v>0</v>
      </c>
      <c r="AL518" s="2">
        <v>0</v>
      </c>
      <c r="AM518" s="2">
        <v>1.94</v>
      </c>
      <c r="AN518" s="2">
        <v>1.94</v>
      </c>
      <c r="AO518" s="2">
        <v>0</v>
      </c>
      <c r="AP518" s="2">
        <v>0</v>
      </c>
      <c r="AQ518" s="2">
        <v>0</v>
      </c>
    </row>
    <row r="519" spans="1:43" x14ac:dyDescent="0.25">
      <c r="A519" s="1">
        <v>45936</v>
      </c>
      <c r="B519" t="s">
        <v>48</v>
      </c>
      <c r="C519">
        <v>649163</v>
      </c>
      <c r="D519">
        <v>2024153179</v>
      </c>
      <c r="E519" t="s">
        <v>681</v>
      </c>
      <c r="F519" t="s">
        <v>177</v>
      </c>
      <c r="G519" t="s">
        <v>51</v>
      </c>
      <c r="H519" t="s">
        <v>52</v>
      </c>
      <c r="I519" t="s">
        <v>292</v>
      </c>
      <c r="J519" t="s">
        <v>293</v>
      </c>
      <c r="K519">
        <v>651818</v>
      </c>
      <c r="L519" t="s">
        <v>112</v>
      </c>
      <c r="M519" t="s">
        <v>104</v>
      </c>
      <c r="N519" t="s">
        <v>57</v>
      </c>
      <c r="O519" s="1">
        <v>45510</v>
      </c>
      <c r="Q519" s="1">
        <v>45967</v>
      </c>
      <c r="R519" s="2">
        <v>89.52</v>
      </c>
      <c r="S519">
        <v>1</v>
      </c>
      <c r="T519" t="s">
        <v>58</v>
      </c>
      <c r="U519" t="s">
        <v>359</v>
      </c>
      <c r="V519" s="3">
        <v>0.15</v>
      </c>
      <c r="W519" s="2">
        <v>0</v>
      </c>
      <c r="X519">
        <v>0</v>
      </c>
      <c r="Y519" t="s">
        <v>214</v>
      </c>
      <c r="Z519" t="s">
        <v>360</v>
      </c>
      <c r="AA519">
        <v>0</v>
      </c>
      <c r="AB519" s="2">
        <v>0</v>
      </c>
      <c r="AC519" s="2">
        <v>0</v>
      </c>
      <c r="AD519" s="3">
        <v>0</v>
      </c>
      <c r="AE519" s="2">
        <v>0</v>
      </c>
      <c r="AF519" s="2">
        <v>0</v>
      </c>
      <c r="AG519" s="2">
        <v>0</v>
      </c>
      <c r="AH519" s="2">
        <v>0</v>
      </c>
      <c r="AI519" s="2">
        <v>0</v>
      </c>
      <c r="AJ519" s="2">
        <v>0</v>
      </c>
      <c r="AK519" s="2">
        <v>0</v>
      </c>
      <c r="AL519" s="2">
        <v>0</v>
      </c>
      <c r="AM519" s="2">
        <v>13.43</v>
      </c>
      <c r="AN519" s="2">
        <v>13.43</v>
      </c>
      <c r="AO519" s="2">
        <v>0</v>
      </c>
      <c r="AP519" s="2">
        <v>0</v>
      </c>
      <c r="AQ519" s="2">
        <v>0</v>
      </c>
    </row>
    <row r="520" spans="1:43" x14ac:dyDescent="0.25">
      <c r="A520" s="1">
        <v>45936</v>
      </c>
      <c r="B520" t="s">
        <v>48</v>
      </c>
      <c r="C520">
        <v>649163</v>
      </c>
      <c r="D520">
        <v>2024197970</v>
      </c>
      <c r="E520" t="s">
        <v>819</v>
      </c>
      <c r="F520" t="s">
        <v>820</v>
      </c>
      <c r="G520" t="s">
        <v>51</v>
      </c>
      <c r="H520" t="s">
        <v>101</v>
      </c>
      <c r="I520" t="s">
        <v>292</v>
      </c>
      <c r="J520" t="s">
        <v>293</v>
      </c>
      <c r="K520">
        <v>766747</v>
      </c>
      <c r="L520" t="s">
        <v>815</v>
      </c>
      <c r="M520" t="s">
        <v>482</v>
      </c>
      <c r="N520" t="s">
        <v>57</v>
      </c>
      <c r="O520" s="1">
        <v>45541</v>
      </c>
      <c r="Q520" s="1">
        <v>45967</v>
      </c>
      <c r="R520" s="2">
        <v>11.5</v>
      </c>
      <c r="S520">
        <v>1</v>
      </c>
      <c r="T520" t="s">
        <v>58</v>
      </c>
      <c r="U520" t="s">
        <v>359</v>
      </c>
      <c r="V520" s="3">
        <v>0.15</v>
      </c>
      <c r="W520" s="2">
        <v>0</v>
      </c>
      <c r="X520">
        <v>0</v>
      </c>
      <c r="Y520" t="s">
        <v>214</v>
      </c>
      <c r="Z520" t="s">
        <v>360</v>
      </c>
      <c r="AA520">
        <v>0</v>
      </c>
      <c r="AB520" s="2">
        <v>0</v>
      </c>
      <c r="AC520" s="2">
        <v>0</v>
      </c>
      <c r="AD520" s="3">
        <v>0</v>
      </c>
      <c r="AE520" s="2">
        <v>0</v>
      </c>
      <c r="AF520" s="2">
        <v>0</v>
      </c>
      <c r="AG520" s="2">
        <v>0</v>
      </c>
      <c r="AH520" s="2">
        <v>0</v>
      </c>
      <c r="AI520" s="2">
        <v>0</v>
      </c>
      <c r="AJ520" s="2">
        <v>0</v>
      </c>
      <c r="AK520" s="2">
        <v>0</v>
      </c>
      <c r="AL520" s="2">
        <v>0</v>
      </c>
      <c r="AM520" s="2">
        <v>1.72</v>
      </c>
      <c r="AN520" s="2">
        <v>1.72</v>
      </c>
      <c r="AO520" s="2">
        <v>0</v>
      </c>
      <c r="AP520" s="2">
        <v>0</v>
      </c>
      <c r="AQ520" s="2">
        <v>0</v>
      </c>
    </row>
    <row r="521" spans="1:43" x14ac:dyDescent="0.25">
      <c r="A521" s="1">
        <v>45936</v>
      </c>
      <c r="B521" t="s">
        <v>48</v>
      </c>
      <c r="C521">
        <v>649163</v>
      </c>
      <c r="D521">
        <v>2024202345</v>
      </c>
      <c r="E521" t="s">
        <v>821</v>
      </c>
      <c r="F521" t="s">
        <v>301</v>
      </c>
      <c r="G521" t="s">
        <v>51</v>
      </c>
      <c r="H521" t="s">
        <v>101</v>
      </c>
      <c r="I521" t="s">
        <v>292</v>
      </c>
      <c r="J521" t="s">
        <v>293</v>
      </c>
      <c r="K521">
        <v>766747</v>
      </c>
      <c r="L521" t="s">
        <v>815</v>
      </c>
      <c r="M521" t="s">
        <v>482</v>
      </c>
      <c r="N521" t="s">
        <v>57</v>
      </c>
      <c r="O521" s="1">
        <v>45541</v>
      </c>
      <c r="Q521" s="1">
        <v>45967</v>
      </c>
      <c r="R521" s="2">
        <v>130.72</v>
      </c>
      <c r="S521">
        <v>1</v>
      </c>
      <c r="T521" t="s">
        <v>58</v>
      </c>
      <c r="U521" t="s">
        <v>359</v>
      </c>
      <c r="V521" s="3">
        <v>0.15</v>
      </c>
      <c r="W521" s="2">
        <v>0</v>
      </c>
      <c r="X521">
        <v>0</v>
      </c>
      <c r="Y521" t="s">
        <v>214</v>
      </c>
      <c r="Z521" t="s">
        <v>360</v>
      </c>
      <c r="AA521">
        <v>0</v>
      </c>
      <c r="AB521" s="2">
        <v>0</v>
      </c>
      <c r="AC521" s="2">
        <v>0</v>
      </c>
      <c r="AD521" s="3">
        <v>0</v>
      </c>
      <c r="AE521" s="2">
        <v>0</v>
      </c>
      <c r="AF521" s="2">
        <v>0</v>
      </c>
      <c r="AG521" s="2">
        <v>0</v>
      </c>
      <c r="AH521" s="2">
        <v>0</v>
      </c>
      <c r="AI521" s="2">
        <v>0</v>
      </c>
      <c r="AJ521" s="2">
        <v>0</v>
      </c>
      <c r="AK521" s="2">
        <v>0</v>
      </c>
      <c r="AL521" s="2">
        <v>0</v>
      </c>
      <c r="AM521" s="2">
        <v>19.61</v>
      </c>
      <c r="AN521" s="2">
        <v>19.61</v>
      </c>
      <c r="AO521" s="2">
        <v>0</v>
      </c>
      <c r="AP521" s="2">
        <v>0</v>
      </c>
      <c r="AQ521" s="2">
        <v>0</v>
      </c>
    </row>
    <row r="522" spans="1:43" x14ac:dyDescent="0.25">
      <c r="A522" s="1">
        <v>45936</v>
      </c>
      <c r="B522" t="s">
        <v>48</v>
      </c>
      <c r="C522">
        <v>649163</v>
      </c>
      <c r="D522">
        <v>2024314176</v>
      </c>
      <c r="E522" t="s">
        <v>682</v>
      </c>
      <c r="F522" t="s">
        <v>683</v>
      </c>
      <c r="G522" t="s">
        <v>51</v>
      </c>
      <c r="H522" t="s">
        <v>670</v>
      </c>
      <c r="I522" t="s">
        <v>292</v>
      </c>
      <c r="J522" t="s">
        <v>293</v>
      </c>
      <c r="K522">
        <v>767312</v>
      </c>
      <c r="L522" t="s">
        <v>283</v>
      </c>
      <c r="M522" t="s">
        <v>284</v>
      </c>
      <c r="N522" t="s">
        <v>57</v>
      </c>
      <c r="O522" s="1">
        <v>45514</v>
      </c>
      <c r="Q522" s="1">
        <v>45971</v>
      </c>
      <c r="R522" s="2">
        <v>15.75</v>
      </c>
      <c r="S522">
        <v>1</v>
      </c>
      <c r="T522" t="s">
        <v>58</v>
      </c>
      <c r="U522" t="s">
        <v>359</v>
      </c>
      <c r="V522" s="3">
        <v>0.15</v>
      </c>
      <c r="W522" s="2">
        <v>0</v>
      </c>
      <c r="X522">
        <v>0</v>
      </c>
      <c r="Y522" t="s">
        <v>214</v>
      </c>
      <c r="Z522" t="s">
        <v>360</v>
      </c>
      <c r="AA522">
        <v>0</v>
      </c>
      <c r="AB522" s="2">
        <v>0</v>
      </c>
      <c r="AC522" s="2">
        <v>0</v>
      </c>
      <c r="AD522" s="3">
        <v>0</v>
      </c>
      <c r="AE522" s="2">
        <v>0</v>
      </c>
      <c r="AF522" s="2">
        <v>0</v>
      </c>
      <c r="AG522" s="2">
        <v>0</v>
      </c>
      <c r="AH522" s="2">
        <v>0</v>
      </c>
      <c r="AI522" s="2">
        <v>0</v>
      </c>
      <c r="AJ522" s="2">
        <v>0</v>
      </c>
      <c r="AK522" s="2">
        <v>0</v>
      </c>
      <c r="AL522" s="2">
        <v>0</v>
      </c>
      <c r="AM522" s="2">
        <v>2.36</v>
      </c>
      <c r="AN522" s="2">
        <v>2.36</v>
      </c>
      <c r="AO522" s="2">
        <v>0</v>
      </c>
      <c r="AP522" s="2">
        <v>0</v>
      </c>
      <c r="AQ522" s="2">
        <v>0</v>
      </c>
    </row>
    <row r="523" spans="1:43" x14ac:dyDescent="0.25">
      <c r="A523" s="1">
        <v>45936</v>
      </c>
      <c r="B523" t="s">
        <v>48</v>
      </c>
      <c r="C523">
        <v>649163</v>
      </c>
      <c r="D523">
        <v>2024324040</v>
      </c>
      <c r="E523" t="s">
        <v>380</v>
      </c>
      <c r="F523" t="s">
        <v>381</v>
      </c>
      <c r="G523" t="s">
        <v>51</v>
      </c>
      <c r="H523" t="s">
        <v>382</v>
      </c>
      <c r="I523" t="s">
        <v>292</v>
      </c>
      <c r="J523" t="s">
        <v>293</v>
      </c>
      <c r="K523">
        <v>650218</v>
      </c>
      <c r="L523" t="s">
        <v>237</v>
      </c>
      <c r="M523" t="s">
        <v>238</v>
      </c>
      <c r="N523" t="s">
        <v>57</v>
      </c>
      <c r="O523" s="1">
        <v>45514</v>
      </c>
      <c r="Q523" s="1">
        <v>45971</v>
      </c>
      <c r="R523" s="2">
        <v>25.55</v>
      </c>
      <c r="S523">
        <v>1</v>
      </c>
      <c r="T523" t="s">
        <v>58</v>
      </c>
      <c r="U523" t="s">
        <v>359</v>
      </c>
      <c r="V523" s="3">
        <v>0.15</v>
      </c>
      <c r="W523" s="2">
        <v>0</v>
      </c>
      <c r="X523">
        <v>0</v>
      </c>
      <c r="Y523" t="s">
        <v>214</v>
      </c>
      <c r="Z523" t="s">
        <v>360</v>
      </c>
      <c r="AA523">
        <v>0</v>
      </c>
      <c r="AB523" s="2">
        <v>0</v>
      </c>
      <c r="AC523" s="2">
        <v>0</v>
      </c>
      <c r="AD523" s="3">
        <v>0</v>
      </c>
      <c r="AE523" s="2">
        <v>0</v>
      </c>
      <c r="AF523" s="2">
        <v>0</v>
      </c>
      <c r="AG523" s="2">
        <v>0</v>
      </c>
      <c r="AH523" s="2">
        <v>0</v>
      </c>
      <c r="AI523" s="2">
        <v>0</v>
      </c>
      <c r="AJ523" s="2">
        <v>0</v>
      </c>
      <c r="AK523" s="2">
        <v>0</v>
      </c>
      <c r="AL523" s="2">
        <v>0</v>
      </c>
      <c r="AM523" s="2">
        <v>3.83</v>
      </c>
      <c r="AN523" s="2">
        <v>3.83</v>
      </c>
      <c r="AO523" s="2">
        <v>0</v>
      </c>
      <c r="AP523" s="2">
        <v>0</v>
      </c>
      <c r="AQ523" s="2">
        <v>0</v>
      </c>
    </row>
    <row r="524" spans="1:43" x14ac:dyDescent="0.25">
      <c r="A524" s="1">
        <v>45936</v>
      </c>
      <c r="B524" t="s">
        <v>48</v>
      </c>
      <c r="C524">
        <v>649163</v>
      </c>
      <c r="D524">
        <v>2024526717</v>
      </c>
      <c r="E524" t="s">
        <v>822</v>
      </c>
      <c r="F524" t="s">
        <v>653</v>
      </c>
      <c r="G524" t="s">
        <v>51</v>
      </c>
      <c r="H524" t="s">
        <v>101</v>
      </c>
      <c r="I524" t="s">
        <v>292</v>
      </c>
      <c r="J524" t="s">
        <v>293</v>
      </c>
      <c r="K524">
        <v>766747</v>
      </c>
      <c r="L524" t="s">
        <v>815</v>
      </c>
      <c r="M524" t="s">
        <v>482</v>
      </c>
      <c r="N524" t="s">
        <v>57</v>
      </c>
      <c r="O524" s="1">
        <v>45541</v>
      </c>
      <c r="Q524" s="1">
        <v>45967</v>
      </c>
      <c r="R524" s="2">
        <v>57.03</v>
      </c>
      <c r="S524">
        <v>1</v>
      </c>
      <c r="T524" t="s">
        <v>58</v>
      </c>
      <c r="U524" t="s">
        <v>359</v>
      </c>
      <c r="V524" s="3">
        <v>0.15</v>
      </c>
      <c r="W524" s="2">
        <v>0</v>
      </c>
      <c r="X524">
        <v>0</v>
      </c>
      <c r="Y524" t="s">
        <v>214</v>
      </c>
      <c r="Z524" t="s">
        <v>360</v>
      </c>
      <c r="AA524">
        <v>0</v>
      </c>
      <c r="AB524" s="2">
        <v>0</v>
      </c>
      <c r="AC524" s="2">
        <v>0</v>
      </c>
      <c r="AD524" s="3">
        <v>0</v>
      </c>
      <c r="AE524" s="2">
        <v>0</v>
      </c>
      <c r="AF524" s="2">
        <v>0</v>
      </c>
      <c r="AG524" s="2">
        <v>0</v>
      </c>
      <c r="AH524" s="2">
        <v>0</v>
      </c>
      <c r="AI524" s="2">
        <v>0</v>
      </c>
      <c r="AJ524" s="2">
        <v>0</v>
      </c>
      <c r="AK524" s="2">
        <v>0</v>
      </c>
      <c r="AL524" s="2">
        <v>0</v>
      </c>
      <c r="AM524" s="2">
        <v>8.5500000000000007</v>
      </c>
      <c r="AN524" s="2">
        <v>8.5500000000000007</v>
      </c>
      <c r="AO524" s="2">
        <v>0</v>
      </c>
      <c r="AP524" s="2">
        <v>0</v>
      </c>
      <c r="AQ524" s="2">
        <v>0</v>
      </c>
    </row>
    <row r="525" spans="1:43" x14ac:dyDescent="0.25">
      <c r="A525" s="1">
        <v>45936</v>
      </c>
      <c r="B525" t="s">
        <v>48</v>
      </c>
      <c r="C525">
        <v>649163</v>
      </c>
      <c r="D525">
        <v>2024529137</v>
      </c>
      <c r="E525" t="s">
        <v>823</v>
      </c>
      <c r="F525" t="s">
        <v>824</v>
      </c>
      <c r="G525" t="s">
        <v>51</v>
      </c>
      <c r="H525" t="s">
        <v>101</v>
      </c>
      <c r="I525" t="s">
        <v>292</v>
      </c>
      <c r="J525" t="s">
        <v>293</v>
      </c>
      <c r="K525">
        <v>766747</v>
      </c>
      <c r="L525" t="s">
        <v>815</v>
      </c>
      <c r="M525" t="s">
        <v>482</v>
      </c>
      <c r="N525" t="s">
        <v>57</v>
      </c>
      <c r="O525" s="1">
        <v>45541</v>
      </c>
      <c r="Q525" s="1">
        <v>45967</v>
      </c>
      <c r="R525" s="2">
        <v>34.68</v>
      </c>
      <c r="S525">
        <v>1</v>
      </c>
      <c r="T525" t="s">
        <v>58</v>
      </c>
      <c r="U525" t="s">
        <v>359</v>
      </c>
      <c r="V525" s="3">
        <v>0.15</v>
      </c>
      <c r="W525" s="2">
        <v>0</v>
      </c>
      <c r="X525">
        <v>0</v>
      </c>
      <c r="Y525" t="s">
        <v>214</v>
      </c>
      <c r="Z525" t="s">
        <v>360</v>
      </c>
      <c r="AA525">
        <v>0</v>
      </c>
      <c r="AB525" s="2">
        <v>0</v>
      </c>
      <c r="AC525" s="2">
        <v>0</v>
      </c>
      <c r="AD525" s="3">
        <v>0</v>
      </c>
      <c r="AE525" s="2">
        <v>0</v>
      </c>
      <c r="AF525" s="2">
        <v>0</v>
      </c>
      <c r="AG525" s="2">
        <v>0</v>
      </c>
      <c r="AH525" s="2">
        <v>0</v>
      </c>
      <c r="AI525" s="2">
        <v>0</v>
      </c>
      <c r="AJ525" s="2">
        <v>0</v>
      </c>
      <c r="AK525" s="2">
        <v>0</v>
      </c>
      <c r="AL525" s="2">
        <v>0</v>
      </c>
      <c r="AM525" s="2">
        <v>5.2</v>
      </c>
      <c r="AN525" s="2">
        <v>5.2</v>
      </c>
      <c r="AO525" s="2">
        <v>0</v>
      </c>
      <c r="AP525" s="2">
        <v>0</v>
      </c>
      <c r="AQ525" s="2">
        <v>0</v>
      </c>
    </row>
    <row r="526" spans="1:43" x14ac:dyDescent="0.25">
      <c r="A526" s="1">
        <v>45936</v>
      </c>
      <c r="B526" t="s">
        <v>48</v>
      </c>
      <c r="C526">
        <v>649163</v>
      </c>
      <c r="D526">
        <v>2024530409</v>
      </c>
      <c r="E526" t="s">
        <v>825</v>
      </c>
      <c r="F526" t="s">
        <v>124</v>
      </c>
      <c r="G526" t="s">
        <v>51</v>
      </c>
      <c r="H526" t="s">
        <v>101</v>
      </c>
      <c r="I526" t="s">
        <v>292</v>
      </c>
      <c r="J526" t="s">
        <v>293</v>
      </c>
      <c r="K526">
        <v>766747</v>
      </c>
      <c r="L526" t="s">
        <v>815</v>
      </c>
      <c r="M526" t="s">
        <v>482</v>
      </c>
      <c r="N526" t="s">
        <v>57</v>
      </c>
      <c r="O526" s="1">
        <v>45541</v>
      </c>
      <c r="Q526" s="1">
        <v>45967</v>
      </c>
      <c r="R526" s="2">
        <v>121.18</v>
      </c>
      <c r="S526">
        <v>1</v>
      </c>
      <c r="T526" t="s">
        <v>58</v>
      </c>
      <c r="U526" t="s">
        <v>359</v>
      </c>
      <c r="V526" s="3">
        <v>0.15</v>
      </c>
      <c r="W526" s="2">
        <v>0</v>
      </c>
      <c r="X526">
        <v>0</v>
      </c>
      <c r="Y526" t="s">
        <v>214</v>
      </c>
      <c r="Z526" t="s">
        <v>360</v>
      </c>
      <c r="AA526">
        <v>0</v>
      </c>
      <c r="AB526" s="2">
        <v>0</v>
      </c>
      <c r="AC526" s="2">
        <v>0</v>
      </c>
      <c r="AD526" s="3">
        <v>0</v>
      </c>
      <c r="AE526" s="2">
        <v>0</v>
      </c>
      <c r="AF526" s="2">
        <v>0</v>
      </c>
      <c r="AG526" s="2">
        <v>0</v>
      </c>
      <c r="AH526" s="2">
        <v>0</v>
      </c>
      <c r="AI526" s="2">
        <v>0</v>
      </c>
      <c r="AJ526" s="2">
        <v>0</v>
      </c>
      <c r="AK526" s="2">
        <v>0</v>
      </c>
      <c r="AL526" s="2">
        <v>0</v>
      </c>
      <c r="AM526" s="2">
        <v>18.18</v>
      </c>
      <c r="AN526" s="2">
        <v>18.18</v>
      </c>
      <c r="AO526" s="2">
        <v>0</v>
      </c>
      <c r="AP526" s="2">
        <v>0</v>
      </c>
      <c r="AQ526" s="2">
        <v>0</v>
      </c>
    </row>
    <row r="527" spans="1:43" x14ac:dyDescent="0.25">
      <c r="A527" s="1">
        <v>45936</v>
      </c>
      <c r="B527" t="s">
        <v>48</v>
      </c>
      <c r="C527">
        <v>649163</v>
      </c>
      <c r="D527">
        <v>2024569206</v>
      </c>
      <c r="E527" t="s">
        <v>826</v>
      </c>
      <c r="F527" t="s">
        <v>827</v>
      </c>
      <c r="G527" t="s">
        <v>51</v>
      </c>
      <c r="H527" t="s">
        <v>382</v>
      </c>
      <c r="I527" t="s">
        <v>292</v>
      </c>
      <c r="J527" t="s">
        <v>293</v>
      </c>
      <c r="K527">
        <v>649247</v>
      </c>
      <c r="L527" t="s">
        <v>75</v>
      </c>
      <c r="M527" t="s">
        <v>76</v>
      </c>
      <c r="N527" t="s">
        <v>57</v>
      </c>
      <c r="O527" s="1">
        <v>45531</v>
      </c>
      <c r="Q527" s="1">
        <v>45957</v>
      </c>
      <c r="R527" s="2">
        <v>10.82</v>
      </c>
      <c r="S527">
        <v>1</v>
      </c>
      <c r="T527" t="s">
        <v>58</v>
      </c>
      <c r="U527" t="s">
        <v>359</v>
      </c>
      <c r="V527" s="3">
        <v>0.15</v>
      </c>
      <c r="W527" s="2">
        <v>0</v>
      </c>
      <c r="X527">
        <v>0</v>
      </c>
      <c r="Y527" t="s">
        <v>214</v>
      </c>
      <c r="Z527" t="s">
        <v>360</v>
      </c>
      <c r="AA527">
        <v>0</v>
      </c>
      <c r="AB527" s="2">
        <v>0</v>
      </c>
      <c r="AC527" s="2">
        <v>0</v>
      </c>
      <c r="AD527" s="3">
        <v>0</v>
      </c>
      <c r="AE527" s="2">
        <v>0</v>
      </c>
      <c r="AF527" s="2">
        <v>0</v>
      </c>
      <c r="AG527" s="2">
        <v>0</v>
      </c>
      <c r="AH527" s="2">
        <v>0</v>
      </c>
      <c r="AI527" s="2">
        <v>0</v>
      </c>
      <c r="AJ527" s="2">
        <v>0</v>
      </c>
      <c r="AK527" s="2">
        <v>0</v>
      </c>
      <c r="AL527" s="2">
        <v>0</v>
      </c>
      <c r="AM527" s="2">
        <v>1.62</v>
      </c>
      <c r="AN527" s="2">
        <v>1.62</v>
      </c>
      <c r="AO527" s="2">
        <v>0</v>
      </c>
      <c r="AP527" s="2">
        <v>0</v>
      </c>
      <c r="AQ527" s="2">
        <v>0</v>
      </c>
    </row>
    <row r="528" spans="1:43" x14ac:dyDescent="0.25">
      <c r="A528" s="1">
        <v>45936</v>
      </c>
      <c r="B528" t="s">
        <v>48</v>
      </c>
      <c r="C528">
        <v>649163</v>
      </c>
      <c r="D528">
        <v>2024598451</v>
      </c>
      <c r="E528" t="s">
        <v>684</v>
      </c>
      <c r="F528" t="s">
        <v>685</v>
      </c>
      <c r="G528" t="s">
        <v>51</v>
      </c>
      <c r="H528" t="s">
        <v>101</v>
      </c>
      <c r="I528" t="s">
        <v>292</v>
      </c>
      <c r="J528" t="s">
        <v>295</v>
      </c>
      <c r="K528">
        <v>651818</v>
      </c>
      <c r="L528" t="s">
        <v>112</v>
      </c>
      <c r="M528" t="s">
        <v>104</v>
      </c>
      <c r="N528" t="s">
        <v>57</v>
      </c>
      <c r="O528" s="1">
        <v>45542</v>
      </c>
      <c r="Q528" s="1">
        <v>45968</v>
      </c>
      <c r="R528" s="2">
        <v>51.63</v>
      </c>
      <c r="S528">
        <v>1</v>
      </c>
      <c r="T528" t="s">
        <v>58</v>
      </c>
      <c r="U528" t="s">
        <v>359</v>
      </c>
      <c r="V528" s="3">
        <v>0.1</v>
      </c>
      <c r="W528" s="2">
        <v>0</v>
      </c>
      <c r="X528">
        <v>0</v>
      </c>
      <c r="Y528" t="s">
        <v>214</v>
      </c>
      <c r="Z528" t="s">
        <v>360</v>
      </c>
      <c r="AA528">
        <v>0</v>
      </c>
      <c r="AB528" s="2">
        <v>0</v>
      </c>
      <c r="AC528" s="2">
        <v>0</v>
      </c>
      <c r="AD528" s="3">
        <v>0</v>
      </c>
      <c r="AE528" s="2">
        <v>0</v>
      </c>
      <c r="AF528" s="2">
        <v>0</v>
      </c>
      <c r="AG528" s="2">
        <v>0</v>
      </c>
      <c r="AH528" s="2">
        <v>0</v>
      </c>
      <c r="AI528" s="2">
        <v>0</v>
      </c>
      <c r="AJ528" s="2">
        <v>0</v>
      </c>
      <c r="AK528" s="2">
        <v>0</v>
      </c>
      <c r="AL528" s="2">
        <v>0</v>
      </c>
      <c r="AM528" s="2">
        <v>5.16</v>
      </c>
      <c r="AN528" s="2">
        <v>5.16</v>
      </c>
      <c r="AO528" s="2">
        <v>0</v>
      </c>
      <c r="AP528" s="2">
        <v>0</v>
      </c>
      <c r="AQ528" s="2">
        <v>0</v>
      </c>
    </row>
    <row r="529" spans="1:43" x14ac:dyDescent="0.25">
      <c r="A529" s="1">
        <v>45936</v>
      </c>
      <c r="B529" t="s">
        <v>48</v>
      </c>
      <c r="C529">
        <v>649163</v>
      </c>
      <c r="D529">
        <v>2024630488</v>
      </c>
      <c r="E529" t="s">
        <v>828</v>
      </c>
      <c r="F529" t="s">
        <v>687</v>
      </c>
      <c r="G529" t="s">
        <v>51</v>
      </c>
      <c r="H529" t="s">
        <v>101</v>
      </c>
      <c r="I529" t="s">
        <v>292</v>
      </c>
      <c r="J529" t="s">
        <v>293</v>
      </c>
      <c r="K529">
        <v>766747</v>
      </c>
      <c r="L529" t="s">
        <v>815</v>
      </c>
      <c r="M529" t="s">
        <v>482</v>
      </c>
      <c r="N529" t="s">
        <v>57</v>
      </c>
      <c r="O529" s="1">
        <v>45541</v>
      </c>
      <c r="Q529" s="1">
        <v>45967</v>
      </c>
      <c r="R529" s="2">
        <v>15.75</v>
      </c>
      <c r="S529">
        <v>1</v>
      </c>
      <c r="T529" t="s">
        <v>58</v>
      </c>
      <c r="U529" t="s">
        <v>359</v>
      </c>
      <c r="V529" s="3">
        <v>0.15</v>
      </c>
      <c r="W529" s="2">
        <v>0</v>
      </c>
      <c r="X529">
        <v>0</v>
      </c>
      <c r="Y529" t="s">
        <v>214</v>
      </c>
      <c r="Z529" t="s">
        <v>360</v>
      </c>
      <c r="AA529">
        <v>0</v>
      </c>
      <c r="AB529" s="2">
        <v>0</v>
      </c>
      <c r="AC529" s="2">
        <v>0</v>
      </c>
      <c r="AD529" s="3">
        <v>0</v>
      </c>
      <c r="AE529" s="2">
        <v>0</v>
      </c>
      <c r="AF529" s="2">
        <v>0</v>
      </c>
      <c r="AG529" s="2">
        <v>0</v>
      </c>
      <c r="AH529" s="2">
        <v>0</v>
      </c>
      <c r="AI529" s="2">
        <v>0</v>
      </c>
      <c r="AJ529" s="2">
        <v>0</v>
      </c>
      <c r="AK529" s="2">
        <v>0</v>
      </c>
      <c r="AL529" s="2">
        <v>0</v>
      </c>
      <c r="AM529" s="2">
        <v>2.36</v>
      </c>
      <c r="AN529" s="2">
        <v>2.36</v>
      </c>
      <c r="AO529" s="2">
        <v>0</v>
      </c>
      <c r="AP529" s="2">
        <v>0</v>
      </c>
      <c r="AQ529" s="2">
        <v>0</v>
      </c>
    </row>
    <row r="530" spans="1:43" x14ac:dyDescent="0.25">
      <c r="A530" s="1">
        <v>45936</v>
      </c>
      <c r="B530" t="s">
        <v>48</v>
      </c>
      <c r="C530">
        <v>649163</v>
      </c>
      <c r="D530">
        <v>2024680807</v>
      </c>
      <c r="E530" t="s">
        <v>829</v>
      </c>
      <c r="F530" t="s">
        <v>830</v>
      </c>
      <c r="G530" t="s">
        <v>51</v>
      </c>
      <c r="H530" t="s">
        <v>52</v>
      </c>
      <c r="I530" t="s">
        <v>292</v>
      </c>
      <c r="J530" t="s">
        <v>293</v>
      </c>
      <c r="K530">
        <v>767312</v>
      </c>
      <c r="L530" t="s">
        <v>283</v>
      </c>
      <c r="M530" t="s">
        <v>284</v>
      </c>
      <c r="N530" t="s">
        <v>57</v>
      </c>
      <c r="O530" s="1">
        <v>45575</v>
      </c>
      <c r="Q530" s="1">
        <v>45971</v>
      </c>
      <c r="R530" s="2">
        <v>89.52</v>
      </c>
      <c r="S530">
        <v>1</v>
      </c>
      <c r="T530" t="s">
        <v>58</v>
      </c>
      <c r="U530" t="s">
        <v>359</v>
      </c>
      <c r="V530" s="3">
        <v>0.15</v>
      </c>
      <c r="W530" s="2">
        <v>0</v>
      </c>
      <c r="X530">
        <v>0</v>
      </c>
      <c r="Y530" t="s">
        <v>214</v>
      </c>
      <c r="Z530" t="s">
        <v>360</v>
      </c>
      <c r="AA530">
        <v>0</v>
      </c>
      <c r="AB530" s="2">
        <v>0</v>
      </c>
      <c r="AC530" s="2">
        <v>0</v>
      </c>
      <c r="AD530" s="3">
        <v>0</v>
      </c>
      <c r="AE530" s="2">
        <v>0</v>
      </c>
      <c r="AF530" s="2">
        <v>0</v>
      </c>
      <c r="AG530" s="2">
        <v>0</v>
      </c>
      <c r="AH530" s="2">
        <v>0</v>
      </c>
      <c r="AI530" s="2">
        <v>0</v>
      </c>
      <c r="AJ530" s="2">
        <v>0</v>
      </c>
      <c r="AK530" s="2">
        <v>0</v>
      </c>
      <c r="AL530" s="2">
        <v>0</v>
      </c>
      <c r="AM530" s="2">
        <v>13.43</v>
      </c>
      <c r="AN530" s="2">
        <v>13.43</v>
      </c>
      <c r="AO530" s="2">
        <v>0</v>
      </c>
      <c r="AP530" s="2">
        <v>0</v>
      </c>
      <c r="AQ530" s="2">
        <v>0</v>
      </c>
    </row>
    <row r="531" spans="1:43" x14ac:dyDescent="0.25">
      <c r="A531" s="1">
        <v>45936</v>
      </c>
      <c r="B531" t="s">
        <v>48</v>
      </c>
      <c r="C531">
        <v>649163</v>
      </c>
      <c r="D531">
        <v>2024754200</v>
      </c>
      <c r="E531" t="s">
        <v>831</v>
      </c>
      <c r="F531" t="s">
        <v>832</v>
      </c>
      <c r="G531" t="s">
        <v>51</v>
      </c>
      <c r="H531" t="s">
        <v>52</v>
      </c>
      <c r="I531" t="s">
        <v>292</v>
      </c>
      <c r="J531" t="s">
        <v>295</v>
      </c>
      <c r="K531">
        <v>767312</v>
      </c>
      <c r="L531" t="s">
        <v>283</v>
      </c>
      <c r="M531" t="s">
        <v>284</v>
      </c>
      <c r="N531" t="s">
        <v>57</v>
      </c>
      <c r="O531" s="1">
        <v>45542</v>
      </c>
      <c r="Q531" s="1">
        <v>45968</v>
      </c>
      <c r="R531" s="2">
        <v>29.25</v>
      </c>
      <c r="S531">
        <v>1</v>
      </c>
      <c r="T531" t="s">
        <v>58</v>
      </c>
      <c r="U531" t="s">
        <v>359</v>
      </c>
      <c r="V531" s="3">
        <v>0.1</v>
      </c>
      <c r="W531" s="2">
        <v>0</v>
      </c>
      <c r="X531">
        <v>0</v>
      </c>
      <c r="Y531" t="s">
        <v>214</v>
      </c>
      <c r="Z531" t="s">
        <v>360</v>
      </c>
      <c r="AA531">
        <v>0</v>
      </c>
      <c r="AB531" s="2">
        <v>0</v>
      </c>
      <c r="AC531" s="2">
        <v>0</v>
      </c>
      <c r="AD531" s="3">
        <v>0</v>
      </c>
      <c r="AE531" s="2">
        <v>0</v>
      </c>
      <c r="AF531" s="2">
        <v>0</v>
      </c>
      <c r="AG531" s="2">
        <v>0</v>
      </c>
      <c r="AH531" s="2">
        <v>0</v>
      </c>
      <c r="AI531" s="2">
        <v>0</v>
      </c>
      <c r="AJ531" s="2">
        <v>0</v>
      </c>
      <c r="AK531" s="2">
        <v>0</v>
      </c>
      <c r="AL531" s="2">
        <v>0</v>
      </c>
      <c r="AM531" s="2">
        <v>2.92</v>
      </c>
      <c r="AN531" s="2">
        <v>2.92</v>
      </c>
      <c r="AO531" s="2">
        <v>0</v>
      </c>
      <c r="AP531" s="2">
        <v>0</v>
      </c>
      <c r="AQ531" s="2">
        <v>0</v>
      </c>
    </row>
    <row r="532" spans="1:43" x14ac:dyDescent="0.25">
      <c r="A532" s="1">
        <v>45936</v>
      </c>
      <c r="B532" t="s">
        <v>48</v>
      </c>
      <c r="C532">
        <v>649163</v>
      </c>
      <c r="D532">
        <v>2024778647</v>
      </c>
      <c r="E532" t="s">
        <v>833</v>
      </c>
      <c r="F532" t="s">
        <v>834</v>
      </c>
      <c r="G532" t="s">
        <v>51</v>
      </c>
      <c r="H532" t="s">
        <v>101</v>
      </c>
      <c r="I532" t="s">
        <v>292</v>
      </c>
      <c r="J532" t="s">
        <v>293</v>
      </c>
      <c r="K532">
        <v>766747</v>
      </c>
      <c r="L532" t="s">
        <v>815</v>
      </c>
      <c r="M532" t="s">
        <v>482</v>
      </c>
      <c r="N532" t="s">
        <v>57</v>
      </c>
      <c r="O532" s="1">
        <v>45545</v>
      </c>
      <c r="Q532" s="1">
        <v>45971</v>
      </c>
      <c r="R532" s="2">
        <v>11.5</v>
      </c>
      <c r="S532">
        <v>1</v>
      </c>
      <c r="T532" t="s">
        <v>58</v>
      </c>
      <c r="U532" t="s">
        <v>359</v>
      </c>
      <c r="V532" s="3">
        <v>0.15</v>
      </c>
      <c r="W532" s="2">
        <v>0</v>
      </c>
      <c r="X532">
        <v>0</v>
      </c>
      <c r="Y532" t="s">
        <v>214</v>
      </c>
      <c r="Z532" t="s">
        <v>360</v>
      </c>
      <c r="AA532">
        <v>0</v>
      </c>
      <c r="AB532" s="2">
        <v>0</v>
      </c>
      <c r="AC532" s="2">
        <v>0</v>
      </c>
      <c r="AD532" s="3">
        <v>0</v>
      </c>
      <c r="AE532" s="2">
        <v>0</v>
      </c>
      <c r="AF532" s="2">
        <v>0</v>
      </c>
      <c r="AG532" s="2">
        <v>0</v>
      </c>
      <c r="AH532" s="2">
        <v>0</v>
      </c>
      <c r="AI532" s="2">
        <v>0</v>
      </c>
      <c r="AJ532" s="2">
        <v>0</v>
      </c>
      <c r="AK532" s="2">
        <v>0</v>
      </c>
      <c r="AL532" s="2">
        <v>0</v>
      </c>
      <c r="AM532" s="2">
        <v>1.72</v>
      </c>
      <c r="AN532" s="2">
        <v>1.72</v>
      </c>
      <c r="AO532" s="2">
        <v>0</v>
      </c>
      <c r="AP532" s="2">
        <v>0</v>
      </c>
      <c r="AQ532" s="2">
        <v>0</v>
      </c>
    </row>
    <row r="533" spans="1:43" x14ac:dyDescent="0.25">
      <c r="A533" s="1">
        <v>45936</v>
      </c>
      <c r="B533" t="s">
        <v>48</v>
      </c>
      <c r="C533">
        <v>649163</v>
      </c>
      <c r="D533">
        <v>2024789926</v>
      </c>
      <c r="E533" t="s">
        <v>686</v>
      </c>
      <c r="F533" t="s">
        <v>687</v>
      </c>
      <c r="G533" t="s">
        <v>51</v>
      </c>
      <c r="H533" t="s">
        <v>88</v>
      </c>
      <c r="I533" t="s">
        <v>292</v>
      </c>
      <c r="J533" t="s">
        <v>293</v>
      </c>
      <c r="K533">
        <v>767312</v>
      </c>
      <c r="L533" t="s">
        <v>283</v>
      </c>
      <c r="M533" t="s">
        <v>284</v>
      </c>
      <c r="N533" t="s">
        <v>57</v>
      </c>
      <c r="O533" s="1">
        <v>45545</v>
      </c>
      <c r="Q533" s="1">
        <v>45971</v>
      </c>
      <c r="R533" s="2">
        <v>18.920000000000002</v>
      </c>
      <c r="S533">
        <v>1</v>
      </c>
      <c r="T533" t="s">
        <v>58</v>
      </c>
      <c r="U533" t="s">
        <v>359</v>
      </c>
      <c r="V533" s="3">
        <v>0.15</v>
      </c>
      <c r="W533" s="2">
        <v>0</v>
      </c>
      <c r="X533">
        <v>0</v>
      </c>
      <c r="Y533" t="s">
        <v>214</v>
      </c>
      <c r="Z533" t="s">
        <v>360</v>
      </c>
      <c r="AA533">
        <v>0</v>
      </c>
      <c r="AB533" s="2">
        <v>0</v>
      </c>
      <c r="AC533" s="2">
        <v>0</v>
      </c>
      <c r="AD533" s="3">
        <v>0</v>
      </c>
      <c r="AE533" s="2">
        <v>0</v>
      </c>
      <c r="AF533" s="2">
        <v>0</v>
      </c>
      <c r="AG533" s="2">
        <v>0</v>
      </c>
      <c r="AH533" s="2">
        <v>0</v>
      </c>
      <c r="AI533" s="2">
        <v>0</v>
      </c>
      <c r="AJ533" s="2">
        <v>0</v>
      </c>
      <c r="AK533" s="2">
        <v>0</v>
      </c>
      <c r="AL533" s="2">
        <v>0</v>
      </c>
      <c r="AM533" s="2">
        <v>2.84</v>
      </c>
      <c r="AN533" s="2">
        <v>2.84</v>
      </c>
      <c r="AO533" s="2">
        <v>0</v>
      </c>
      <c r="AP533" s="2">
        <v>0</v>
      </c>
      <c r="AQ533" s="2">
        <v>0</v>
      </c>
    </row>
    <row r="534" spans="1:43" x14ac:dyDescent="0.25">
      <c r="A534" s="1">
        <v>45936</v>
      </c>
      <c r="B534" t="s">
        <v>48</v>
      </c>
      <c r="C534">
        <v>649163</v>
      </c>
      <c r="D534">
        <v>2024789927</v>
      </c>
      <c r="E534" t="s">
        <v>686</v>
      </c>
      <c r="F534" t="s">
        <v>687</v>
      </c>
      <c r="G534" t="s">
        <v>51</v>
      </c>
      <c r="H534" t="s">
        <v>88</v>
      </c>
      <c r="I534" t="s">
        <v>292</v>
      </c>
      <c r="J534" t="s">
        <v>295</v>
      </c>
      <c r="K534">
        <v>767312</v>
      </c>
      <c r="L534" t="s">
        <v>283</v>
      </c>
      <c r="M534" t="s">
        <v>284</v>
      </c>
      <c r="N534" t="s">
        <v>57</v>
      </c>
      <c r="O534" s="1">
        <v>45545</v>
      </c>
      <c r="Q534" s="1">
        <v>45971</v>
      </c>
      <c r="R534" s="2">
        <v>18.23</v>
      </c>
      <c r="S534">
        <v>1</v>
      </c>
      <c r="T534" t="s">
        <v>58</v>
      </c>
      <c r="U534" t="s">
        <v>359</v>
      </c>
      <c r="V534" s="3">
        <v>0.1</v>
      </c>
      <c r="W534" s="2">
        <v>0</v>
      </c>
      <c r="X534">
        <v>0</v>
      </c>
      <c r="Y534" t="s">
        <v>214</v>
      </c>
      <c r="Z534" t="s">
        <v>360</v>
      </c>
      <c r="AA534">
        <v>0</v>
      </c>
      <c r="AB534" s="2">
        <v>0</v>
      </c>
      <c r="AC534" s="2">
        <v>0</v>
      </c>
      <c r="AD534" s="3">
        <v>0</v>
      </c>
      <c r="AE534" s="2">
        <v>0</v>
      </c>
      <c r="AF534" s="2">
        <v>0</v>
      </c>
      <c r="AG534" s="2">
        <v>0</v>
      </c>
      <c r="AH534" s="2">
        <v>0</v>
      </c>
      <c r="AI534" s="2">
        <v>0</v>
      </c>
      <c r="AJ534" s="2">
        <v>0</v>
      </c>
      <c r="AK534" s="2">
        <v>0</v>
      </c>
      <c r="AL534" s="2">
        <v>0</v>
      </c>
      <c r="AM534" s="2">
        <v>1.82</v>
      </c>
      <c r="AN534" s="2">
        <v>1.82</v>
      </c>
      <c r="AO534" s="2">
        <v>0</v>
      </c>
      <c r="AP534" s="2">
        <v>0</v>
      </c>
      <c r="AQ534" s="2">
        <v>0</v>
      </c>
    </row>
    <row r="535" spans="1:43" x14ac:dyDescent="0.25">
      <c r="A535" s="1">
        <v>45936</v>
      </c>
      <c r="B535" t="s">
        <v>48</v>
      </c>
      <c r="C535">
        <v>649163</v>
      </c>
      <c r="D535">
        <v>2024792046</v>
      </c>
      <c r="E535" t="s">
        <v>388</v>
      </c>
      <c r="F535" t="s">
        <v>648</v>
      </c>
      <c r="G535" t="s">
        <v>51</v>
      </c>
      <c r="H535" t="s">
        <v>115</v>
      </c>
      <c r="I535" t="s">
        <v>292</v>
      </c>
      <c r="J535" t="s">
        <v>295</v>
      </c>
      <c r="K535">
        <v>767312</v>
      </c>
      <c r="L535" t="s">
        <v>283</v>
      </c>
      <c r="M535" t="s">
        <v>284</v>
      </c>
      <c r="N535" t="s">
        <v>57</v>
      </c>
      <c r="O535" s="1">
        <v>45545</v>
      </c>
      <c r="Q535" s="1">
        <v>45971</v>
      </c>
      <c r="R535" s="2">
        <v>51.78</v>
      </c>
      <c r="S535">
        <v>1</v>
      </c>
      <c r="T535" t="s">
        <v>58</v>
      </c>
      <c r="U535" t="s">
        <v>359</v>
      </c>
      <c r="V535" s="3">
        <v>0.1</v>
      </c>
      <c r="W535" s="2">
        <v>0</v>
      </c>
      <c r="X535">
        <v>0</v>
      </c>
      <c r="Y535" t="s">
        <v>214</v>
      </c>
      <c r="Z535" t="s">
        <v>360</v>
      </c>
      <c r="AA535">
        <v>0</v>
      </c>
      <c r="AB535" s="2">
        <v>0</v>
      </c>
      <c r="AC535" s="2">
        <v>0</v>
      </c>
      <c r="AD535" s="3">
        <v>0</v>
      </c>
      <c r="AE535" s="2">
        <v>0</v>
      </c>
      <c r="AF535" s="2">
        <v>0</v>
      </c>
      <c r="AG535" s="2">
        <v>0</v>
      </c>
      <c r="AH535" s="2">
        <v>0</v>
      </c>
      <c r="AI535" s="2">
        <v>0</v>
      </c>
      <c r="AJ535" s="2">
        <v>0</v>
      </c>
      <c r="AK535" s="2">
        <v>0</v>
      </c>
      <c r="AL535" s="2">
        <v>0</v>
      </c>
      <c r="AM535" s="2">
        <v>5.18</v>
      </c>
      <c r="AN535" s="2">
        <v>5.18</v>
      </c>
      <c r="AO535" s="2">
        <v>0</v>
      </c>
      <c r="AP535" s="2">
        <v>0</v>
      </c>
      <c r="AQ535" s="2">
        <v>0</v>
      </c>
    </row>
    <row r="536" spans="1:43" x14ac:dyDescent="0.25">
      <c r="A536" s="1">
        <v>45936</v>
      </c>
      <c r="B536" t="s">
        <v>48</v>
      </c>
      <c r="C536">
        <v>649163</v>
      </c>
      <c r="D536">
        <v>2024899507</v>
      </c>
      <c r="E536" t="s">
        <v>835</v>
      </c>
      <c r="F536" t="s">
        <v>836</v>
      </c>
      <c r="G536" t="s">
        <v>51</v>
      </c>
      <c r="H536" t="s">
        <v>376</v>
      </c>
      <c r="I536" t="s">
        <v>292</v>
      </c>
      <c r="J536" t="s">
        <v>293</v>
      </c>
      <c r="K536">
        <v>651818</v>
      </c>
      <c r="L536" t="s">
        <v>112</v>
      </c>
      <c r="M536" t="s">
        <v>104</v>
      </c>
      <c r="N536" t="s">
        <v>57</v>
      </c>
      <c r="O536" s="1">
        <v>45571</v>
      </c>
      <c r="Q536" s="1">
        <v>45967</v>
      </c>
      <c r="R536" s="2">
        <v>34.340000000000003</v>
      </c>
      <c r="S536">
        <v>1</v>
      </c>
      <c r="T536" t="s">
        <v>58</v>
      </c>
      <c r="U536" t="s">
        <v>359</v>
      </c>
      <c r="V536" s="3">
        <v>0.15</v>
      </c>
      <c r="W536" s="2">
        <v>0</v>
      </c>
      <c r="X536">
        <v>0</v>
      </c>
      <c r="Y536" t="s">
        <v>214</v>
      </c>
      <c r="Z536" t="s">
        <v>360</v>
      </c>
      <c r="AA536">
        <v>0</v>
      </c>
      <c r="AB536" s="2">
        <v>0</v>
      </c>
      <c r="AC536" s="2">
        <v>0</v>
      </c>
      <c r="AD536" s="3">
        <v>0</v>
      </c>
      <c r="AE536" s="2">
        <v>0</v>
      </c>
      <c r="AF536" s="2">
        <v>0</v>
      </c>
      <c r="AG536" s="2">
        <v>0</v>
      </c>
      <c r="AH536" s="2">
        <v>0</v>
      </c>
      <c r="AI536" s="2">
        <v>0</v>
      </c>
      <c r="AJ536" s="2">
        <v>0</v>
      </c>
      <c r="AK536" s="2">
        <v>0</v>
      </c>
      <c r="AL536" s="2">
        <v>0</v>
      </c>
      <c r="AM536" s="2">
        <v>5.15</v>
      </c>
      <c r="AN536" s="2">
        <v>5.15</v>
      </c>
      <c r="AO536" s="2">
        <v>0</v>
      </c>
      <c r="AP536" s="2">
        <v>0</v>
      </c>
      <c r="AQ536" s="2">
        <v>0</v>
      </c>
    </row>
    <row r="537" spans="1:43" x14ac:dyDescent="0.25">
      <c r="A537" s="1">
        <v>45936</v>
      </c>
      <c r="B537" t="s">
        <v>48</v>
      </c>
      <c r="C537">
        <v>649163</v>
      </c>
      <c r="D537">
        <v>2024899508</v>
      </c>
      <c r="E537" t="s">
        <v>835</v>
      </c>
      <c r="F537" t="s">
        <v>836</v>
      </c>
      <c r="G537" t="s">
        <v>51</v>
      </c>
      <c r="H537" t="s">
        <v>376</v>
      </c>
      <c r="I537" t="s">
        <v>292</v>
      </c>
      <c r="J537" t="s">
        <v>295</v>
      </c>
      <c r="K537">
        <v>651818</v>
      </c>
      <c r="L537" t="s">
        <v>112</v>
      </c>
      <c r="M537" t="s">
        <v>104</v>
      </c>
      <c r="N537" t="s">
        <v>57</v>
      </c>
      <c r="O537" s="1">
        <v>45571</v>
      </c>
      <c r="Q537" s="1">
        <v>45967</v>
      </c>
      <c r="R537" s="2">
        <v>29.25</v>
      </c>
      <c r="S537">
        <v>1</v>
      </c>
      <c r="T537" t="s">
        <v>58</v>
      </c>
      <c r="U537" t="s">
        <v>359</v>
      </c>
      <c r="V537" s="3">
        <v>0.1</v>
      </c>
      <c r="W537" s="2">
        <v>0</v>
      </c>
      <c r="X537">
        <v>0</v>
      </c>
      <c r="Y537" t="s">
        <v>214</v>
      </c>
      <c r="Z537" t="s">
        <v>360</v>
      </c>
      <c r="AA537">
        <v>0</v>
      </c>
      <c r="AB537" s="2">
        <v>0</v>
      </c>
      <c r="AC537" s="2">
        <v>0</v>
      </c>
      <c r="AD537" s="3">
        <v>0</v>
      </c>
      <c r="AE537" s="2">
        <v>0</v>
      </c>
      <c r="AF537" s="2">
        <v>0</v>
      </c>
      <c r="AG537" s="2">
        <v>0</v>
      </c>
      <c r="AH537" s="2">
        <v>0</v>
      </c>
      <c r="AI537" s="2">
        <v>0</v>
      </c>
      <c r="AJ537" s="2">
        <v>0</v>
      </c>
      <c r="AK537" s="2">
        <v>0</v>
      </c>
      <c r="AL537" s="2">
        <v>0</v>
      </c>
      <c r="AM537" s="2">
        <v>2.92</v>
      </c>
      <c r="AN537" s="2">
        <v>2.92</v>
      </c>
      <c r="AO537" s="2">
        <v>0</v>
      </c>
      <c r="AP537" s="2">
        <v>0</v>
      </c>
      <c r="AQ537" s="2">
        <v>0</v>
      </c>
    </row>
    <row r="538" spans="1:43" x14ac:dyDescent="0.25">
      <c r="A538" s="1">
        <v>45936</v>
      </c>
      <c r="B538" t="s">
        <v>48</v>
      </c>
      <c r="C538">
        <v>649163</v>
      </c>
      <c r="D538">
        <v>2024961805</v>
      </c>
      <c r="E538" t="s">
        <v>837</v>
      </c>
      <c r="F538" t="s">
        <v>838</v>
      </c>
      <c r="G538" t="s">
        <v>51</v>
      </c>
      <c r="H538" t="s">
        <v>101</v>
      </c>
      <c r="I538" t="s">
        <v>292</v>
      </c>
      <c r="J538" t="s">
        <v>293</v>
      </c>
      <c r="K538">
        <v>766747</v>
      </c>
      <c r="L538" t="s">
        <v>815</v>
      </c>
      <c r="M538" t="s">
        <v>482</v>
      </c>
      <c r="N538" t="s">
        <v>57</v>
      </c>
      <c r="O538" s="1">
        <v>45571</v>
      </c>
      <c r="Q538" s="1">
        <v>45967</v>
      </c>
      <c r="R538" s="2">
        <v>34.68</v>
      </c>
      <c r="S538">
        <v>1</v>
      </c>
      <c r="T538" t="s">
        <v>58</v>
      </c>
      <c r="U538" t="s">
        <v>359</v>
      </c>
      <c r="V538" s="3">
        <v>0.15</v>
      </c>
      <c r="W538" s="2">
        <v>0</v>
      </c>
      <c r="X538">
        <v>0</v>
      </c>
      <c r="Y538" t="s">
        <v>214</v>
      </c>
      <c r="Z538" t="s">
        <v>360</v>
      </c>
      <c r="AA538">
        <v>0</v>
      </c>
      <c r="AB538" s="2">
        <v>0</v>
      </c>
      <c r="AC538" s="2">
        <v>0</v>
      </c>
      <c r="AD538" s="3">
        <v>0</v>
      </c>
      <c r="AE538" s="2">
        <v>0</v>
      </c>
      <c r="AF538" s="2">
        <v>0</v>
      </c>
      <c r="AG538" s="2">
        <v>0</v>
      </c>
      <c r="AH538" s="2">
        <v>0</v>
      </c>
      <c r="AI538" s="2">
        <v>0</v>
      </c>
      <c r="AJ538" s="2">
        <v>0</v>
      </c>
      <c r="AK538" s="2">
        <v>0</v>
      </c>
      <c r="AL538" s="2">
        <v>0</v>
      </c>
      <c r="AM538" s="2">
        <v>5.2</v>
      </c>
      <c r="AN538" s="2">
        <v>5.2</v>
      </c>
      <c r="AO538" s="2">
        <v>0</v>
      </c>
      <c r="AP538" s="2">
        <v>0</v>
      </c>
      <c r="AQ538" s="2">
        <v>0</v>
      </c>
    </row>
    <row r="539" spans="1:43" x14ac:dyDescent="0.25">
      <c r="A539" s="1">
        <v>45936</v>
      </c>
      <c r="B539" t="s">
        <v>48</v>
      </c>
      <c r="C539">
        <v>649163</v>
      </c>
      <c r="D539">
        <v>2024984937</v>
      </c>
      <c r="E539" t="s">
        <v>99</v>
      </c>
      <c r="F539" t="s">
        <v>839</v>
      </c>
      <c r="G539" t="s">
        <v>51</v>
      </c>
      <c r="H539" t="s">
        <v>101</v>
      </c>
      <c r="I539" t="s">
        <v>292</v>
      </c>
      <c r="J539" t="s">
        <v>293</v>
      </c>
      <c r="K539">
        <v>673059</v>
      </c>
      <c r="L539" t="s">
        <v>80</v>
      </c>
      <c r="M539" t="s">
        <v>81</v>
      </c>
      <c r="N539" t="s">
        <v>57</v>
      </c>
      <c r="O539" s="1">
        <v>45575</v>
      </c>
      <c r="Q539" s="1">
        <v>45971</v>
      </c>
      <c r="R539" s="2">
        <v>98.07</v>
      </c>
      <c r="S539">
        <v>1</v>
      </c>
      <c r="T539" t="s">
        <v>58</v>
      </c>
      <c r="U539" t="s">
        <v>359</v>
      </c>
      <c r="V539" s="3">
        <v>0.15</v>
      </c>
      <c r="W539" s="2">
        <v>0</v>
      </c>
      <c r="X539">
        <v>0</v>
      </c>
      <c r="Y539" t="s">
        <v>214</v>
      </c>
      <c r="Z539" t="s">
        <v>360</v>
      </c>
      <c r="AA539">
        <v>0</v>
      </c>
      <c r="AB539" s="2">
        <v>0</v>
      </c>
      <c r="AC539" s="2">
        <v>0</v>
      </c>
      <c r="AD539" s="3">
        <v>0</v>
      </c>
      <c r="AE539" s="2">
        <v>0</v>
      </c>
      <c r="AF539" s="2">
        <v>0</v>
      </c>
      <c r="AG539" s="2">
        <v>0</v>
      </c>
      <c r="AH539" s="2">
        <v>0</v>
      </c>
      <c r="AI539" s="2">
        <v>0</v>
      </c>
      <c r="AJ539" s="2">
        <v>0</v>
      </c>
      <c r="AK539" s="2">
        <v>0</v>
      </c>
      <c r="AL539" s="2">
        <v>0</v>
      </c>
      <c r="AM539" s="2">
        <v>14.71</v>
      </c>
      <c r="AN539" s="2">
        <v>14.71</v>
      </c>
      <c r="AO539" s="2">
        <v>0</v>
      </c>
      <c r="AP539" s="2">
        <v>0</v>
      </c>
      <c r="AQ539" s="2">
        <v>0</v>
      </c>
    </row>
    <row r="540" spans="1:43" x14ac:dyDescent="0.25">
      <c r="A540" s="1">
        <v>45936</v>
      </c>
      <c r="B540" t="s">
        <v>48</v>
      </c>
      <c r="C540">
        <v>649163</v>
      </c>
      <c r="D540">
        <v>2025031269</v>
      </c>
      <c r="E540" t="s">
        <v>840</v>
      </c>
      <c r="F540" t="s">
        <v>841</v>
      </c>
      <c r="G540" t="s">
        <v>51</v>
      </c>
      <c r="H540" t="s">
        <v>101</v>
      </c>
      <c r="I540" t="s">
        <v>292</v>
      </c>
      <c r="J540" t="s">
        <v>293</v>
      </c>
      <c r="K540">
        <v>766747</v>
      </c>
      <c r="L540" t="s">
        <v>815</v>
      </c>
      <c r="M540" t="s">
        <v>482</v>
      </c>
      <c r="N540" t="s">
        <v>57</v>
      </c>
      <c r="O540" s="1">
        <v>45571</v>
      </c>
      <c r="Q540" s="1">
        <v>45967</v>
      </c>
      <c r="R540" s="2">
        <v>11.5</v>
      </c>
      <c r="S540">
        <v>1</v>
      </c>
      <c r="T540" t="s">
        <v>58</v>
      </c>
      <c r="U540" t="s">
        <v>359</v>
      </c>
      <c r="V540" s="3">
        <v>0.15</v>
      </c>
      <c r="W540" s="2">
        <v>0</v>
      </c>
      <c r="X540">
        <v>0</v>
      </c>
      <c r="Y540" t="s">
        <v>214</v>
      </c>
      <c r="Z540" t="s">
        <v>360</v>
      </c>
      <c r="AA540">
        <v>0</v>
      </c>
      <c r="AB540" s="2">
        <v>0</v>
      </c>
      <c r="AC540" s="2">
        <v>0</v>
      </c>
      <c r="AD540" s="3">
        <v>0</v>
      </c>
      <c r="AE540" s="2">
        <v>0</v>
      </c>
      <c r="AF540" s="2">
        <v>0</v>
      </c>
      <c r="AG540" s="2">
        <v>0</v>
      </c>
      <c r="AH540" s="2">
        <v>0</v>
      </c>
      <c r="AI540" s="2">
        <v>0</v>
      </c>
      <c r="AJ540" s="2">
        <v>0</v>
      </c>
      <c r="AK540" s="2">
        <v>0</v>
      </c>
      <c r="AL540" s="2">
        <v>0</v>
      </c>
      <c r="AM540" s="2">
        <v>1.72</v>
      </c>
      <c r="AN540" s="2">
        <v>1.72</v>
      </c>
      <c r="AO540" s="2">
        <v>0</v>
      </c>
      <c r="AP540" s="2">
        <v>0</v>
      </c>
      <c r="AQ540" s="2">
        <v>0</v>
      </c>
    </row>
    <row r="541" spans="1:43" x14ac:dyDescent="0.25">
      <c r="A541" s="1">
        <v>45936</v>
      </c>
      <c r="B541" t="s">
        <v>48</v>
      </c>
      <c r="C541">
        <v>649163</v>
      </c>
      <c r="D541">
        <v>2025049457</v>
      </c>
      <c r="E541" t="s">
        <v>842</v>
      </c>
      <c r="F541" t="s">
        <v>843</v>
      </c>
      <c r="G541" t="s">
        <v>51</v>
      </c>
      <c r="H541" t="s">
        <v>101</v>
      </c>
      <c r="I541" t="s">
        <v>292</v>
      </c>
      <c r="J541" t="s">
        <v>293</v>
      </c>
      <c r="K541">
        <v>651818</v>
      </c>
      <c r="L541" t="s">
        <v>112</v>
      </c>
      <c r="M541" t="s">
        <v>104</v>
      </c>
      <c r="N541" t="s">
        <v>57</v>
      </c>
      <c r="O541" s="1">
        <v>45572</v>
      </c>
      <c r="Q541" s="1">
        <v>45968</v>
      </c>
      <c r="R541" s="2">
        <v>59.4</v>
      </c>
      <c r="S541">
        <v>1</v>
      </c>
      <c r="T541" t="s">
        <v>58</v>
      </c>
      <c r="U541" t="s">
        <v>359</v>
      </c>
      <c r="V541" s="3">
        <v>0.15</v>
      </c>
      <c r="W541" s="2">
        <v>0</v>
      </c>
      <c r="X541">
        <v>0</v>
      </c>
      <c r="Y541" t="s">
        <v>214</v>
      </c>
      <c r="Z541" t="s">
        <v>360</v>
      </c>
      <c r="AA541">
        <v>0</v>
      </c>
      <c r="AB541" s="2">
        <v>0</v>
      </c>
      <c r="AC541" s="2">
        <v>0</v>
      </c>
      <c r="AD541" s="3">
        <v>0</v>
      </c>
      <c r="AE541" s="2">
        <v>0</v>
      </c>
      <c r="AF541" s="2">
        <v>0</v>
      </c>
      <c r="AG541" s="2">
        <v>0</v>
      </c>
      <c r="AH541" s="2">
        <v>0</v>
      </c>
      <c r="AI541" s="2">
        <v>0</v>
      </c>
      <c r="AJ541" s="2">
        <v>0</v>
      </c>
      <c r="AK541" s="2">
        <v>0</v>
      </c>
      <c r="AL541" s="2">
        <v>0</v>
      </c>
      <c r="AM541" s="2">
        <v>8.91</v>
      </c>
      <c r="AN541" s="2">
        <v>8.91</v>
      </c>
      <c r="AO541" s="2">
        <v>0</v>
      </c>
      <c r="AP541" s="2">
        <v>0</v>
      </c>
      <c r="AQ541" s="2">
        <v>0</v>
      </c>
    </row>
    <row r="542" spans="1:43" x14ac:dyDescent="0.25">
      <c r="A542" s="1">
        <v>45936</v>
      </c>
      <c r="B542" t="s">
        <v>48</v>
      </c>
      <c r="C542">
        <v>649163</v>
      </c>
      <c r="D542">
        <v>2025222897</v>
      </c>
      <c r="E542" t="s">
        <v>388</v>
      </c>
      <c r="F542" t="s">
        <v>389</v>
      </c>
      <c r="G542" t="s">
        <v>51</v>
      </c>
      <c r="H542" t="s">
        <v>390</v>
      </c>
      <c r="I542" t="s">
        <v>292</v>
      </c>
      <c r="J542" t="s">
        <v>293</v>
      </c>
      <c r="K542">
        <v>751867</v>
      </c>
      <c r="L542" t="s">
        <v>71</v>
      </c>
      <c r="M542" t="s">
        <v>72</v>
      </c>
      <c r="N542" t="s">
        <v>57</v>
      </c>
      <c r="O542" s="1">
        <v>45574</v>
      </c>
      <c r="Q542" s="1">
        <v>45970</v>
      </c>
      <c r="R542" s="2">
        <v>22</v>
      </c>
      <c r="S542">
        <v>1</v>
      </c>
      <c r="T542" t="s">
        <v>58</v>
      </c>
      <c r="U542" t="s">
        <v>359</v>
      </c>
      <c r="V542" s="3">
        <v>0.15</v>
      </c>
      <c r="W542" s="2">
        <v>0</v>
      </c>
      <c r="X542">
        <v>0</v>
      </c>
      <c r="Y542" t="s">
        <v>214</v>
      </c>
      <c r="Z542" t="s">
        <v>360</v>
      </c>
      <c r="AA542">
        <v>0</v>
      </c>
      <c r="AB542" s="2">
        <v>0</v>
      </c>
      <c r="AC542" s="2">
        <v>0</v>
      </c>
      <c r="AD542" s="3">
        <v>0</v>
      </c>
      <c r="AE542" s="2">
        <v>0</v>
      </c>
      <c r="AF542" s="2">
        <v>0</v>
      </c>
      <c r="AG542" s="2">
        <v>0</v>
      </c>
      <c r="AH542" s="2">
        <v>0</v>
      </c>
      <c r="AI542" s="2">
        <v>0</v>
      </c>
      <c r="AJ542" s="2">
        <v>0</v>
      </c>
      <c r="AK542" s="2">
        <v>0</v>
      </c>
      <c r="AL542" s="2">
        <v>0</v>
      </c>
      <c r="AM542" s="2">
        <v>3.3</v>
      </c>
      <c r="AN542" s="2">
        <v>3.3</v>
      </c>
      <c r="AO542" s="2">
        <v>0</v>
      </c>
      <c r="AP542" s="2">
        <v>0</v>
      </c>
      <c r="AQ542" s="2">
        <v>0</v>
      </c>
    </row>
    <row r="543" spans="1:43" x14ac:dyDescent="0.25">
      <c r="A543" s="1">
        <v>45936</v>
      </c>
      <c r="B543" t="s">
        <v>48</v>
      </c>
      <c r="C543">
        <v>649163</v>
      </c>
      <c r="D543">
        <v>2025432260</v>
      </c>
      <c r="E543" t="s">
        <v>844</v>
      </c>
      <c r="F543" t="s">
        <v>845</v>
      </c>
      <c r="G543" t="s">
        <v>51</v>
      </c>
      <c r="H543" t="s">
        <v>101</v>
      </c>
      <c r="I543" t="s">
        <v>292</v>
      </c>
      <c r="J543" t="s">
        <v>293</v>
      </c>
      <c r="K543">
        <v>766747</v>
      </c>
      <c r="L543" t="s">
        <v>815</v>
      </c>
      <c r="M543" t="s">
        <v>482</v>
      </c>
      <c r="N543" t="s">
        <v>57</v>
      </c>
      <c r="O543" s="1">
        <v>45602</v>
      </c>
      <c r="Q543" s="1">
        <v>45967</v>
      </c>
      <c r="R543" s="2">
        <v>11.5</v>
      </c>
      <c r="S543">
        <v>1</v>
      </c>
      <c r="T543" t="s">
        <v>58</v>
      </c>
      <c r="U543" t="s">
        <v>359</v>
      </c>
      <c r="V543" s="3">
        <v>0.7</v>
      </c>
      <c r="W543" s="2">
        <v>0</v>
      </c>
      <c r="X543">
        <v>0</v>
      </c>
      <c r="Y543" t="s">
        <v>60</v>
      </c>
      <c r="Z543" t="s">
        <v>360</v>
      </c>
      <c r="AA543">
        <v>0</v>
      </c>
      <c r="AB543" s="2">
        <v>0</v>
      </c>
      <c r="AC543" s="2">
        <v>0</v>
      </c>
      <c r="AD543" s="3">
        <v>0</v>
      </c>
      <c r="AE543" s="2">
        <v>0</v>
      </c>
      <c r="AF543" s="2">
        <v>0</v>
      </c>
      <c r="AG543" s="2">
        <v>0</v>
      </c>
      <c r="AH543" s="2">
        <v>0</v>
      </c>
      <c r="AI543" s="2">
        <v>0</v>
      </c>
      <c r="AJ543" s="2">
        <v>0</v>
      </c>
      <c r="AK543" s="2">
        <v>0</v>
      </c>
      <c r="AL543" s="2">
        <v>0</v>
      </c>
      <c r="AM543" s="2">
        <v>8.0500000000000007</v>
      </c>
      <c r="AN543" s="2">
        <v>8.0500000000000007</v>
      </c>
      <c r="AO543" s="2">
        <v>0</v>
      </c>
      <c r="AP543" s="2">
        <v>0</v>
      </c>
      <c r="AQ543" s="2">
        <v>0</v>
      </c>
    </row>
    <row r="544" spans="1:43" x14ac:dyDescent="0.25">
      <c r="A544" s="1">
        <v>45936</v>
      </c>
      <c r="B544" t="s">
        <v>48</v>
      </c>
      <c r="C544">
        <v>649163</v>
      </c>
      <c r="D544">
        <v>2025612850</v>
      </c>
      <c r="E544" t="s">
        <v>846</v>
      </c>
      <c r="F544" t="s">
        <v>169</v>
      </c>
      <c r="G544" t="s">
        <v>51</v>
      </c>
      <c r="H544" t="s">
        <v>119</v>
      </c>
      <c r="I544" t="s">
        <v>292</v>
      </c>
      <c r="J544" t="s">
        <v>293</v>
      </c>
      <c r="K544">
        <v>651818</v>
      </c>
      <c r="L544" t="s">
        <v>112</v>
      </c>
      <c r="M544" t="s">
        <v>104</v>
      </c>
      <c r="N544" t="s">
        <v>57</v>
      </c>
      <c r="O544" s="1">
        <v>45633</v>
      </c>
      <c r="Q544" s="1">
        <v>45968</v>
      </c>
      <c r="R544" s="2">
        <v>237.74</v>
      </c>
      <c r="S544">
        <v>1</v>
      </c>
      <c r="T544" t="s">
        <v>58</v>
      </c>
      <c r="U544" t="s">
        <v>359</v>
      </c>
      <c r="V544" s="3">
        <v>0.7</v>
      </c>
      <c r="W544" s="2">
        <v>0</v>
      </c>
      <c r="X544">
        <v>0</v>
      </c>
      <c r="Y544" t="s">
        <v>60</v>
      </c>
      <c r="Z544" t="s">
        <v>360</v>
      </c>
      <c r="AA544">
        <v>0</v>
      </c>
      <c r="AB544" s="2">
        <v>0</v>
      </c>
      <c r="AC544" s="2">
        <v>0</v>
      </c>
      <c r="AD544" s="3">
        <v>0</v>
      </c>
      <c r="AE544" s="2">
        <v>0</v>
      </c>
      <c r="AF544" s="2">
        <v>0</v>
      </c>
      <c r="AG544" s="2">
        <v>0</v>
      </c>
      <c r="AH544" s="2">
        <v>0</v>
      </c>
      <c r="AI544" s="2">
        <v>0</v>
      </c>
      <c r="AJ544" s="2">
        <v>0</v>
      </c>
      <c r="AK544" s="2">
        <v>0</v>
      </c>
      <c r="AL544" s="2">
        <v>0</v>
      </c>
      <c r="AM544" s="2">
        <v>166.42</v>
      </c>
      <c r="AN544" s="2">
        <v>166.42</v>
      </c>
      <c r="AO544" s="2">
        <v>0</v>
      </c>
      <c r="AP544" s="2">
        <v>0</v>
      </c>
      <c r="AQ544" s="2">
        <v>0</v>
      </c>
    </row>
    <row r="545" spans="1:43" x14ac:dyDescent="0.25">
      <c r="A545" s="1">
        <v>45936</v>
      </c>
      <c r="B545" t="s">
        <v>48</v>
      </c>
      <c r="C545">
        <v>649163</v>
      </c>
      <c r="D545">
        <v>2025627646</v>
      </c>
      <c r="E545" t="s">
        <v>847</v>
      </c>
      <c r="F545" t="s">
        <v>679</v>
      </c>
      <c r="G545" t="s">
        <v>51</v>
      </c>
      <c r="H545" t="s">
        <v>101</v>
      </c>
      <c r="I545" t="s">
        <v>292</v>
      </c>
      <c r="J545" t="s">
        <v>293</v>
      </c>
      <c r="K545">
        <v>766422</v>
      </c>
      <c r="L545" t="s">
        <v>519</v>
      </c>
      <c r="M545" t="s">
        <v>104</v>
      </c>
      <c r="N545" t="s">
        <v>57</v>
      </c>
      <c r="O545" s="1">
        <v>45602</v>
      </c>
      <c r="Q545" s="1">
        <v>45967</v>
      </c>
      <c r="R545" s="2">
        <v>46.46</v>
      </c>
      <c r="S545">
        <v>1</v>
      </c>
      <c r="T545" t="s">
        <v>58</v>
      </c>
      <c r="U545" t="s">
        <v>359</v>
      </c>
      <c r="V545" s="3">
        <v>0.7</v>
      </c>
      <c r="W545" s="2">
        <v>0</v>
      </c>
      <c r="X545">
        <v>0</v>
      </c>
      <c r="Y545" t="s">
        <v>60</v>
      </c>
      <c r="Z545" t="s">
        <v>360</v>
      </c>
      <c r="AA545">
        <v>0</v>
      </c>
      <c r="AB545" s="2">
        <v>0</v>
      </c>
      <c r="AC545" s="2">
        <v>0</v>
      </c>
      <c r="AD545" s="3">
        <v>0</v>
      </c>
      <c r="AE545" s="2">
        <v>0</v>
      </c>
      <c r="AF545" s="2">
        <v>0</v>
      </c>
      <c r="AG545" s="2">
        <v>0</v>
      </c>
      <c r="AH545" s="2">
        <v>0</v>
      </c>
      <c r="AI545" s="2">
        <v>0</v>
      </c>
      <c r="AJ545" s="2">
        <v>0</v>
      </c>
      <c r="AK545" s="2">
        <v>0</v>
      </c>
      <c r="AL545" s="2">
        <v>0</v>
      </c>
      <c r="AM545" s="2">
        <v>32.520000000000003</v>
      </c>
      <c r="AN545" s="2">
        <v>32.520000000000003</v>
      </c>
      <c r="AO545" s="2">
        <v>0</v>
      </c>
      <c r="AP545" s="2">
        <v>0</v>
      </c>
      <c r="AQ545" s="2">
        <v>0</v>
      </c>
    </row>
    <row r="546" spans="1:43" x14ac:dyDescent="0.25">
      <c r="A546" s="1">
        <v>45936</v>
      </c>
      <c r="B546" t="s">
        <v>48</v>
      </c>
      <c r="C546">
        <v>649163</v>
      </c>
      <c r="D546">
        <v>2025639664</v>
      </c>
      <c r="E546" t="s">
        <v>690</v>
      </c>
      <c r="F546" t="s">
        <v>224</v>
      </c>
      <c r="G546" t="s">
        <v>51</v>
      </c>
      <c r="H546" t="s">
        <v>431</v>
      </c>
      <c r="I546" t="s">
        <v>292</v>
      </c>
      <c r="J546" t="s">
        <v>536</v>
      </c>
      <c r="K546">
        <v>673059</v>
      </c>
      <c r="L546" t="s">
        <v>80</v>
      </c>
      <c r="M546" t="s">
        <v>81</v>
      </c>
      <c r="N546" t="s">
        <v>57</v>
      </c>
      <c r="O546" s="1">
        <v>45602</v>
      </c>
      <c r="Q546" s="1">
        <v>45967</v>
      </c>
      <c r="R546" s="2">
        <v>23.39</v>
      </c>
      <c r="S546">
        <v>1</v>
      </c>
      <c r="T546" t="s">
        <v>58</v>
      </c>
      <c r="U546" t="s">
        <v>359</v>
      </c>
      <c r="V546" s="3">
        <v>0.7</v>
      </c>
      <c r="W546" s="2">
        <v>0</v>
      </c>
      <c r="X546">
        <v>0</v>
      </c>
      <c r="Y546" t="s">
        <v>60</v>
      </c>
      <c r="Z546" t="s">
        <v>360</v>
      </c>
      <c r="AA546">
        <v>0</v>
      </c>
      <c r="AB546" s="2">
        <v>0</v>
      </c>
      <c r="AC546" s="2">
        <v>0</v>
      </c>
      <c r="AD546" s="3">
        <v>0</v>
      </c>
      <c r="AE546" s="2">
        <v>0</v>
      </c>
      <c r="AF546" s="2">
        <v>0</v>
      </c>
      <c r="AG546" s="2">
        <v>0</v>
      </c>
      <c r="AH546" s="2">
        <v>0</v>
      </c>
      <c r="AI546" s="2">
        <v>0</v>
      </c>
      <c r="AJ546" s="2">
        <v>0</v>
      </c>
      <c r="AK546" s="2">
        <v>0</v>
      </c>
      <c r="AL546" s="2">
        <v>0</v>
      </c>
      <c r="AM546" s="2">
        <v>16.37</v>
      </c>
      <c r="AN546" s="2">
        <v>16.37</v>
      </c>
      <c r="AO546" s="2">
        <v>0</v>
      </c>
      <c r="AP546" s="2">
        <v>0</v>
      </c>
      <c r="AQ546" s="2">
        <v>0</v>
      </c>
    </row>
    <row r="547" spans="1:43" x14ac:dyDescent="0.25">
      <c r="A547" s="1">
        <v>45936</v>
      </c>
      <c r="B547" t="s">
        <v>48</v>
      </c>
      <c r="C547">
        <v>649163</v>
      </c>
      <c r="D547">
        <v>2025639665</v>
      </c>
      <c r="E547" t="s">
        <v>690</v>
      </c>
      <c r="F547" t="s">
        <v>224</v>
      </c>
      <c r="G547" t="s">
        <v>51</v>
      </c>
      <c r="H547" t="s">
        <v>431</v>
      </c>
      <c r="I547" t="s">
        <v>292</v>
      </c>
      <c r="J547" t="s">
        <v>293</v>
      </c>
      <c r="K547">
        <v>673059</v>
      </c>
      <c r="L547" t="s">
        <v>80</v>
      </c>
      <c r="M547" t="s">
        <v>81</v>
      </c>
      <c r="N547" t="s">
        <v>57</v>
      </c>
      <c r="O547" s="1">
        <v>45602</v>
      </c>
      <c r="Q547" s="1">
        <v>45967</v>
      </c>
      <c r="R547" s="2">
        <v>29.1</v>
      </c>
      <c r="S547">
        <v>1</v>
      </c>
      <c r="T547" t="s">
        <v>58</v>
      </c>
      <c r="U547" t="s">
        <v>359</v>
      </c>
      <c r="V547" s="3">
        <v>0.7</v>
      </c>
      <c r="W547" s="2">
        <v>0</v>
      </c>
      <c r="X547">
        <v>0</v>
      </c>
      <c r="Y547" t="s">
        <v>60</v>
      </c>
      <c r="Z547" t="s">
        <v>360</v>
      </c>
      <c r="AA547">
        <v>0</v>
      </c>
      <c r="AB547" s="2">
        <v>0</v>
      </c>
      <c r="AC547" s="2">
        <v>0</v>
      </c>
      <c r="AD547" s="3">
        <v>0</v>
      </c>
      <c r="AE547" s="2">
        <v>0</v>
      </c>
      <c r="AF547" s="2">
        <v>0</v>
      </c>
      <c r="AG547" s="2">
        <v>0</v>
      </c>
      <c r="AH547" s="2">
        <v>0</v>
      </c>
      <c r="AI547" s="2">
        <v>0</v>
      </c>
      <c r="AJ547" s="2">
        <v>0</v>
      </c>
      <c r="AK547" s="2">
        <v>0</v>
      </c>
      <c r="AL547" s="2">
        <v>0</v>
      </c>
      <c r="AM547" s="2">
        <v>20.37</v>
      </c>
      <c r="AN547" s="2">
        <v>20.37</v>
      </c>
      <c r="AO547" s="2">
        <v>0</v>
      </c>
      <c r="AP547" s="2">
        <v>0</v>
      </c>
      <c r="AQ547" s="2">
        <v>0</v>
      </c>
    </row>
    <row r="548" spans="1:43" x14ac:dyDescent="0.25">
      <c r="A548" s="1">
        <v>45936</v>
      </c>
      <c r="B548" t="s">
        <v>48</v>
      </c>
      <c r="C548">
        <v>649163</v>
      </c>
      <c r="D548">
        <v>2025655084</v>
      </c>
      <c r="E548" t="s">
        <v>691</v>
      </c>
      <c r="F548" t="s">
        <v>158</v>
      </c>
      <c r="G548" t="s">
        <v>51</v>
      </c>
      <c r="H548" t="s">
        <v>52</v>
      </c>
      <c r="I548" t="s">
        <v>292</v>
      </c>
      <c r="J548" t="s">
        <v>295</v>
      </c>
      <c r="K548">
        <v>651818</v>
      </c>
      <c r="L548" t="s">
        <v>112</v>
      </c>
      <c r="M548" t="s">
        <v>104</v>
      </c>
      <c r="N548" t="s">
        <v>57</v>
      </c>
      <c r="O548" s="1">
        <v>45604</v>
      </c>
      <c r="Q548" s="1">
        <v>45969</v>
      </c>
      <c r="R548" s="2">
        <v>99.25</v>
      </c>
      <c r="S548">
        <v>1</v>
      </c>
      <c r="T548" t="s">
        <v>58</v>
      </c>
      <c r="U548" t="s">
        <v>359</v>
      </c>
      <c r="V548" s="3">
        <v>0.9</v>
      </c>
      <c r="W548" s="2">
        <v>0</v>
      </c>
      <c r="X548">
        <v>0</v>
      </c>
      <c r="Y548" t="s">
        <v>60</v>
      </c>
      <c r="Z548" t="s">
        <v>360</v>
      </c>
      <c r="AA548">
        <v>0</v>
      </c>
      <c r="AB548" s="2">
        <v>0</v>
      </c>
      <c r="AC548" s="2">
        <v>0</v>
      </c>
      <c r="AD548" s="3">
        <v>0</v>
      </c>
      <c r="AE548" s="2">
        <v>0</v>
      </c>
      <c r="AF548" s="2">
        <v>0</v>
      </c>
      <c r="AG548" s="2">
        <v>0</v>
      </c>
      <c r="AH548" s="2">
        <v>0</v>
      </c>
      <c r="AI548" s="2">
        <v>0</v>
      </c>
      <c r="AJ548" s="2">
        <v>0</v>
      </c>
      <c r="AK548" s="2">
        <v>0</v>
      </c>
      <c r="AL548" s="2">
        <v>0</v>
      </c>
      <c r="AM548" s="2">
        <v>89.32</v>
      </c>
      <c r="AN548" s="2">
        <v>89.32</v>
      </c>
      <c r="AO548" s="2">
        <v>0</v>
      </c>
      <c r="AP548" s="2">
        <v>0</v>
      </c>
      <c r="AQ548" s="2">
        <v>0</v>
      </c>
    </row>
    <row r="549" spans="1:43" x14ac:dyDescent="0.25">
      <c r="A549" s="1">
        <v>45936</v>
      </c>
      <c r="B549" t="s">
        <v>48</v>
      </c>
      <c r="C549">
        <v>649163</v>
      </c>
      <c r="D549">
        <v>2025660998</v>
      </c>
      <c r="E549" t="s">
        <v>848</v>
      </c>
      <c r="F549" t="s">
        <v>158</v>
      </c>
      <c r="G549" t="s">
        <v>51</v>
      </c>
      <c r="H549" t="s">
        <v>247</v>
      </c>
      <c r="I549" t="s">
        <v>292</v>
      </c>
      <c r="J549" t="s">
        <v>536</v>
      </c>
      <c r="K549">
        <v>673059</v>
      </c>
      <c r="L549" t="s">
        <v>80</v>
      </c>
      <c r="M549" t="s">
        <v>81</v>
      </c>
      <c r="N549" t="s">
        <v>57</v>
      </c>
      <c r="O549" s="1">
        <v>45665</v>
      </c>
      <c r="Q549" s="1">
        <v>45969</v>
      </c>
      <c r="R549" s="2">
        <v>42.88</v>
      </c>
      <c r="S549">
        <v>1</v>
      </c>
      <c r="T549" t="s">
        <v>58</v>
      </c>
      <c r="U549" t="s">
        <v>359</v>
      </c>
      <c r="V549" s="3">
        <v>0.7</v>
      </c>
      <c r="W549" s="2">
        <v>0</v>
      </c>
      <c r="X549">
        <v>0</v>
      </c>
      <c r="Y549" t="s">
        <v>60</v>
      </c>
      <c r="Z549" t="s">
        <v>360</v>
      </c>
      <c r="AA549">
        <v>0</v>
      </c>
      <c r="AB549" s="2">
        <v>0</v>
      </c>
      <c r="AC549" s="2">
        <v>0</v>
      </c>
      <c r="AD549" s="3">
        <v>0</v>
      </c>
      <c r="AE549" s="2">
        <v>0</v>
      </c>
      <c r="AF549" s="2">
        <v>0</v>
      </c>
      <c r="AG549" s="2">
        <v>0</v>
      </c>
      <c r="AH549" s="2">
        <v>0</v>
      </c>
      <c r="AI549" s="2">
        <v>0</v>
      </c>
      <c r="AJ549" s="2">
        <v>0</v>
      </c>
      <c r="AK549" s="2">
        <v>0</v>
      </c>
      <c r="AL549" s="2">
        <v>0</v>
      </c>
      <c r="AM549" s="2">
        <v>30.02</v>
      </c>
      <c r="AN549" s="2">
        <v>30.02</v>
      </c>
      <c r="AO549" s="2">
        <v>0</v>
      </c>
      <c r="AP549" s="2">
        <v>0</v>
      </c>
      <c r="AQ549" s="2">
        <v>0</v>
      </c>
    </row>
    <row r="550" spans="1:43" x14ac:dyDescent="0.25">
      <c r="A550" s="1">
        <v>45936</v>
      </c>
      <c r="B550" t="s">
        <v>48</v>
      </c>
      <c r="C550">
        <v>649163</v>
      </c>
      <c r="D550">
        <v>2025661000</v>
      </c>
      <c r="E550" t="s">
        <v>848</v>
      </c>
      <c r="F550" t="s">
        <v>158</v>
      </c>
      <c r="G550" t="s">
        <v>51</v>
      </c>
      <c r="H550" t="s">
        <v>247</v>
      </c>
      <c r="I550" t="s">
        <v>292</v>
      </c>
      <c r="J550" t="s">
        <v>293</v>
      </c>
      <c r="K550">
        <v>673059</v>
      </c>
      <c r="L550" t="s">
        <v>80</v>
      </c>
      <c r="M550" t="s">
        <v>81</v>
      </c>
      <c r="N550" t="s">
        <v>57</v>
      </c>
      <c r="O550" s="1">
        <v>45665</v>
      </c>
      <c r="Q550" s="1">
        <v>45969</v>
      </c>
      <c r="R550" s="2">
        <v>128.65</v>
      </c>
      <c r="S550">
        <v>1</v>
      </c>
      <c r="T550" t="s">
        <v>58</v>
      </c>
      <c r="U550" t="s">
        <v>359</v>
      </c>
      <c r="V550" s="3">
        <v>0.7</v>
      </c>
      <c r="W550" s="2">
        <v>0</v>
      </c>
      <c r="X550">
        <v>0</v>
      </c>
      <c r="Y550" t="s">
        <v>60</v>
      </c>
      <c r="Z550" t="s">
        <v>360</v>
      </c>
      <c r="AA550">
        <v>0</v>
      </c>
      <c r="AB550" s="2">
        <v>0</v>
      </c>
      <c r="AC550" s="2">
        <v>0</v>
      </c>
      <c r="AD550" s="3">
        <v>0</v>
      </c>
      <c r="AE550" s="2">
        <v>0</v>
      </c>
      <c r="AF550" s="2">
        <v>0</v>
      </c>
      <c r="AG550" s="2">
        <v>0</v>
      </c>
      <c r="AH550" s="2">
        <v>0</v>
      </c>
      <c r="AI550" s="2">
        <v>0</v>
      </c>
      <c r="AJ550" s="2">
        <v>0</v>
      </c>
      <c r="AK550" s="2">
        <v>0</v>
      </c>
      <c r="AL550" s="2">
        <v>0</v>
      </c>
      <c r="AM550" s="2">
        <v>90.06</v>
      </c>
      <c r="AN550" s="2">
        <v>90.06</v>
      </c>
      <c r="AO550" s="2">
        <v>0</v>
      </c>
      <c r="AP550" s="2">
        <v>0</v>
      </c>
      <c r="AQ550" s="2">
        <v>0</v>
      </c>
    </row>
    <row r="551" spans="1:43" x14ac:dyDescent="0.25">
      <c r="A551" s="1">
        <v>45936</v>
      </c>
      <c r="B551" t="s">
        <v>48</v>
      </c>
      <c r="C551">
        <v>649163</v>
      </c>
      <c r="D551">
        <v>2025677958</v>
      </c>
      <c r="E551" t="s">
        <v>849</v>
      </c>
      <c r="F551" t="s">
        <v>850</v>
      </c>
      <c r="G551" t="s">
        <v>51</v>
      </c>
      <c r="H551" t="s">
        <v>670</v>
      </c>
      <c r="I551" t="s">
        <v>292</v>
      </c>
      <c r="J551" t="s">
        <v>295</v>
      </c>
      <c r="K551">
        <v>767312</v>
      </c>
      <c r="L551" t="s">
        <v>283</v>
      </c>
      <c r="M551" t="s">
        <v>284</v>
      </c>
      <c r="N551" t="s">
        <v>57</v>
      </c>
      <c r="O551" s="1">
        <v>45604</v>
      </c>
      <c r="Q551" s="1">
        <v>45969</v>
      </c>
      <c r="R551" s="2">
        <v>31.08</v>
      </c>
      <c r="S551">
        <v>1</v>
      </c>
      <c r="T551" t="s">
        <v>58</v>
      </c>
      <c r="U551" t="s">
        <v>359</v>
      </c>
      <c r="V551" s="3">
        <v>0.9</v>
      </c>
      <c r="W551" s="2">
        <v>0</v>
      </c>
      <c r="X551">
        <v>0</v>
      </c>
      <c r="Y551" t="s">
        <v>60</v>
      </c>
      <c r="Z551" t="s">
        <v>360</v>
      </c>
      <c r="AA551">
        <v>0</v>
      </c>
      <c r="AB551" s="2">
        <v>0</v>
      </c>
      <c r="AC551" s="2">
        <v>0</v>
      </c>
      <c r="AD551" s="3">
        <v>0</v>
      </c>
      <c r="AE551" s="2">
        <v>0</v>
      </c>
      <c r="AF551" s="2">
        <v>0</v>
      </c>
      <c r="AG551" s="2">
        <v>0</v>
      </c>
      <c r="AH551" s="2">
        <v>0</v>
      </c>
      <c r="AI551" s="2">
        <v>0</v>
      </c>
      <c r="AJ551" s="2">
        <v>0</v>
      </c>
      <c r="AK551" s="2">
        <v>0</v>
      </c>
      <c r="AL551" s="2">
        <v>0</v>
      </c>
      <c r="AM551" s="2">
        <v>27.97</v>
      </c>
      <c r="AN551" s="2">
        <v>27.97</v>
      </c>
      <c r="AO551" s="2">
        <v>0</v>
      </c>
      <c r="AP551" s="2">
        <v>0</v>
      </c>
      <c r="AQ551" s="2">
        <v>0</v>
      </c>
    </row>
    <row r="552" spans="1:43" x14ac:dyDescent="0.25">
      <c r="A552" s="1">
        <v>45936</v>
      </c>
      <c r="B552" t="s">
        <v>48</v>
      </c>
      <c r="C552">
        <v>649163</v>
      </c>
      <c r="D552">
        <v>2025678171</v>
      </c>
      <c r="E552" t="s">
        <v>692</v>
      </c>
      <c r="F552" t="s">
        <v>441</v>
      </c>
      <c r="G552" t="s">
        <v>51</v>
      </c>
      <c r="H552" t="s">
        <v>105</v>
      </c>
      <c r="I552" t="s">
        <v>292</v>
      </c>
      <c r="J552" t="s">
        <v>331</v>
      </c>
      <c r="K552">
        <v>650218</v>
      </c>
      <c r="L552" t="s">
        <v>237</v>
      </c>
      <c r="M552" t="s">
        <v>238</v>
      </c>
      <c r="N552" t="s">
        <v>57</v>
      </c>
      <c r="O552" s="1">
        <v>45604</v>
      </c>
      <c r="Q552" s="1">
        <v>45969</v>
      </c>
      <c r="R552" s="2">
        <v>-7.77</v>
      </c>
      <c r="S552">
        <v>1</v>
      </c>
      <c r="T552" t="s">
        <v>58</v>
      </c>
      <c r="U552" t="s">
        <v>359</v>
      </c>
      <c r="V552" s="3">
        <v>0.42</v>
      </c>
      <c r="W552" s="2">
        <v>0</v>
      </c>
      <c r="X552">
        <v>-1</v>
      </c>
      <c r="Y552" t="s">
        <v>60</v>
      </c>
      <c r="Z552" t="s">
        <v>360</v>
      </c>
      <c r="AA552">
        <v>0</v>
      </c>
      <c r="AB552" s="2">
        <v>0</v>
      </c>
      <c r="AC552" s="2">
        <v>0</v>
      </c>
      <c r="AD552" s="3">
        <v>0</v>
      </c>
      <c r="AE552" s="2">
        <v>0</v>
      </c>
      <c r="AF552" s="2">
        <v>0</v>
      </c>
      <c r="AG552" s="2">
        <v>0</v>
      </c>
      <c r="AH552" s="2">
        <v>0</v>
      </c>
      <c r="AI552" s="2">
        <v>0</v>
      </c>
      <c r="AJ552" s="2">
        <v>0</v>
      </c>
      <c r="AK552" s="2">
        <v>0</v>
      </c>
      <c r="AL552" s="2">
        <v>0</v>
      </c>
      <c r="AM552" s="2">
        <v>-3.26</v>
      </c>
      <c r="AN552" s="2">
        <v>-3.26</v>
      </c>
      <c r="AO552" s="2">
        <v>0</v>
      </c>
      <c r="AP552" s="2">
        <v>0</v>
      </c>
      <c r="AQ552" s="2">
        <v>0</v>
      </c>
    </row>
    <row r="553" spans="1:43" x14ac:dyDescent="0.25">
      <c r="A553" s="1">
        <v>45936</v>
      </c>
      <c r="B553" t="s">
        <v>48</v>
      </c>
      <c r="C553">
        <v>649163</v>
      </c>
      <c r="D553">
        <v>2025678172</v>
      </c>
      <c r="E553" t="s">
        <v>692</v>
      </c>
      <c r="F553" t="s">
        <v>441</v>
      </c>
      <c r="G553" t="s">
        <v>51</v>
      </c>
      <c r="H553" t="s">
        <v>105</v>
      </c>
      <c r="I553" t="s">
        <v>292</v>
      </c>
      <c r="J553" t="s">
        <v>536</v>
      </c>
      <c r="K553">
        <v>650218</v>
      </c>
      <c r="L553" t="s">
        <v>237</v>
      </c>
      <c r="M553" t="s">
        <v>238</v>
      </c>
      <c r="N553" t="s">
        <v>57</v>
      </c>
      <c r="O553" s="1">
        <v>45604</v>
      </c>
      <c r="Q553" s="1">
        <v>45969</v>
      </c>
      <c r="R553" s="2">
        <v>24.61</v>
      </c>
      <c r="S553">
        <v>1</v>
      </c>
      <c r="T553" t="s">
        <v>58</v>
      </c>
      <c r="U553" t="s">
        <v>359</v>
      </c>
      <c r="V553" s="3">
        <v>0.7</v>
      </c>
      <c r="W553" s="2">
        <v>0</v>
      </c>
      <c r="X553">
        <v>0</v>
      </c>
      <c r="Y553" t="s">
        <v>60</v>
      </c>
      <c r="Z553" t="s">
        <v>360</v>
      </c>
      <c r="AA553">
        <v>0</v>
      </c>
      <c r="AB553" s="2">
        <v>0</v>
      </c>
      <c r="AC553" s="2">
        <v>0</v>
      </c>
      <c r="AD553" s="3">
        <v>0</v>
      </c>
      <c r="AE553" s="2">
        <v>0</v>
      </c>
      <c r="AF553" s="2">
        <v>0</v>
      </c>
      <c r="AG553" s="2">
        <v>0</v>
      </c>
      <c r="AH553" s="2">
        <v>0</v>
      </c>
      <c r="AI553" s="2">
        <v>0</v>
      </c>
      <c r="AJ553" s="2">
        <v>0</v>
      </c>
      <c r="AK553" s="2">
        <v>0</v>
      </c>
      <c r="AL553" s="2">
        <v>0</v>
      </c>
      <c r="AM553" s="2">
        <v>17.23</v>
      </c>
      <c r="AN553" s="2">
        <v>17.23</v>
      </c>
      <c r="AO553" s="2">
        <v>0</v>
      </c>
      <c r="AP553" s="2">
        <v>0</v>
      </c>
      <c r="AQ553" s="2">
        <v>0</v>
      </c>
    </row>
    <row r="554" spans="1:43" x14ac:dyDescent="0.25">
      <c r="A554" s="1">
        <v>45936</v>
      </c>
      <c r="B554" t="s">
        <v>48</v>
      </c>
      <c r="C554">
        <v>649163</v>
      </c>
      <c r="D554">
        <v>2025684074</v>
      </c>
      <c r="E554" t="s">
        <v>140</v>
      </c>
      <c r="F554" t="s">
        <v>851</v>
      </c>
      <c r="G554" t="s">
        <v>51</v>
      </c>
      <c r="H554" t="s">
        <v>101</v>
      </c>
      <c r="I554" t="s">
        <v>292</v>
      </c>
      <c r="J554" t="s">
        <v>293</v>
      </c>
      <c r="K554">
        <v>792847</v>
      </c>
      <c r="L554" t="s">
        <v>140</v>
      </c>
      <c r="M554" t="s">
        <v>141</v>
      </c>
      <c r="N554" t="s">
        <v>57</v>
      </c>
      <c r="O554" s="1">
        <v>45604</v>
      </c>
      <c r="Q554" s="1">
        <v>45969</v>
      </c>
      <c r="R554" s="2">
        <v>86.25</v>
      </c>
      <c r="S554">
        <v>1</v>
      </c>
      <c r="T554" t="s">
        <v>58</v>
      </c>
      <c r="U554" t="s">
        <v>359</v>
      </c>
      <c r="V554" s="3">
        <v>0.7</v>
      </c>
      <c r="W554" s="2">
        <v>0</v>
      </c>
      <c r="X554">
        <v>0</v>
      </c>
      <c r="Y554" t="s">
        <v>60</v>
      </c>
      <c r="Z554" t="s">
        <v>360</v>
      </c>
      <c r="AA554">
        <v>0</v>
      </c>
      <c r="AB554" s="2">
        <v>0</v>
      </c>
      <c r="AC554" s="2">
        <v>0</v>
      </c>
      <c r="AD554" s="3">
        <v>0</v>
      </c>
      <c r="AE554" s="2">
        <v>0</v>
      </c>
      <c r="AF554" s="2">
        <v>0</v>
      </c>
      <c r="AG554" s="2">
        <v>0</v>
      </c>
      <c r="AH554" s="2">
        <v>0</v>
      </c>
      <c r="AI554" s="2">
        <v>0</v>
      </c>
      <c r="AJ554" s="2">
        <v>0</v>
      </c>
      <c r="AK554" s="2">
        <v>0</v>
      </c>
      <c r="AL554" s="2">
        <v>0</v>
      </c>
      <c r="AM554" s="2">
        <v>60.38</v>
      </c>
      <c r="AN554" s="2">
        <v>60.38</v>
      </c>
      <c r="AO554" s="2">
        <v>0</v>
      </c>
      <c r="AP554" s="2">
        <v>0</v>
      </c>
      <c r="AQ554" s="2">
        <v>0</v>
      </c>
    </row>
    <row r="555" spans="1:43" x14ac:dyDescent="0.25">
      <c r="A555" s="1">
        <v>45936</v>
      </c>
      <c r="B555" t="s">
        <v>48</v>
      </c>
      <c r="C555">
        <v>649163</v>
      </c>
      <c r="D555">
        <v>2025690376</v>
      </c>
      <c r="E555" t="s">
        <v>693</v>
      </c>
      <c r="F555" t="s">
        <v>137</v>
      </c>
      <c r="G555" t="s">
        <v>51</v>
      </c>
      <c r="H555" t="s">
        <v>122</v>
      </c>
      <c r="I555" t="s">
        <v>292</v>
      </c>
      <c r="J555" t="s">
        <v>293</v>
      </c>
      <c r="K555">
        <v>651818</v>
      </c>
      <c r="L555" t="s">
        <v>112</v>
      </c>
      <c r="M555" t="s">
        <v>104</v>
      </c>
      <c r="N555" t="s">
        <v>57</v>
      </c>
      <c r="O555" s="1">
        <v>45664</v>
      </c>
      <c r="Q555" s="1">
        <v>45968</v>
      </c>
      <c r="R555" s="2">
        <v>31.28</v>
      </c>
      <c r="S555">
        <v>1</v>
      </c>
      <c r="T555" t="s">
        <v>58</v>
      </c>
      <c r="U555" t="s">
        <v>359</v>
      </c>
      <c r="V555" s="3">
        <v>0.7</v>
      </c>
      <c r="W555" s="2">
        <v>0</v>
      </c>
      <c r="X555">
        <v>0</v>
      </c>
      <c r="Y555" t="s">
        <v>60</v>
      </c>
      <c r="Z555" t="s">
        <v>360</v>
      </c>
      <c r="AA555">
        <v>0</v>
      </c>
      <c r="AB555" s="2">
        <v>0</v>
      </c>
      <c r="AC555" s="2">
        <v>0</v>
      </c>
      <c r="AD555" s="3">
        <v>0</v>
      </c>
      <c r="AE555" s="2">
        <v>0</v>
      </c>
      <c r="AF555" s="2">
        <v>0</v>
      </c>
      <c r="AG555" s="2">
        <v>0</v>
      </c>
      <c r="AH555" s="2">
        <v>0</v>
      </c>
      <c r="AI555" s="2">
        <v>0</v>
      </c>
      <c r="AJ555" s="2">
        <v>0</v>
      </c>
      <c r="AK555" s="2">
        <v>0</v>
      </c>
      <c r="AL555" s="2">
        <v>0</v>
      </c>
      <c r="AM555" s="2">
        <v>21.9</v>
      </c>
      <c r="AN555" s="2">
        <v>21.9</v>
      </c>
      <c r="AO555" s="2">
        <v>0</v>
      </c>
      <c r="AP555" s="2">
        <v>0</v>
      </c>
      <c r="AQ555" s="2">
        <v>0</v>
      </c>
    </row>
    <row r="556" spans="1:43" x14ac:dyDescent="0.25">
      <c r="A556" s="1">
        <v>45936</v>
      </c>
      <c r="B556" t="s">
        <v>48</v>
      </c>
      <c r="C556">
        <v>649163</v>
      </c>
      <c r="D556">
        <v>2025707626</v>
      </c>
      <c r="E556" t="s">
        <v>852</v>
      </c>
      <c r="F556" t="s">
        <v>853</v>
      </c>
      <c r="G556" t="s">
        <v>51</v>
      </c>
      <c r="H556" t="s">
        <v>129</v>
      </c>
      <c r="I556" t="s">
        <v>292</v>
      </c>
      <c r="J556" t="s">
        <v>293</v>
      </c>
      <c r="K556">
        <v>651818</v>
      </c>
      <c r="L556" t="s">
        <v>112</v>
      </c>
      <c r="M556" t="s">
        <v>104</v>
      </c>
      <c r="N556" t="s">
        <v>57</v>
      </c>
      <c r="O556" s="1">
        <v>45633</v>
      </c>
      <c r="Q556" s="1">
        <v>45968</v>
      </c>
      <c r="R556" s="2">
        <v>51</v>
      </c>
      <c r="S556">
        <v>1</v>
      </c>
      <c r="T556" t="s">
        <v>58</v>
      </c>
      <c r="U556" t="s">
        <v>359</v>
      </c>
      <c r="V556" s="3">
        <v>0.7</v>
      </c>
      <c r="W556" s="2">
        <v>0</v>
      </c>
      <c r="X556">
        <v>0</v>
      </c>
      <c r="Y556" t="s">
        <v>60</v>
      </c>
      <c r="Z556" t="s">
        <v>360</v>
      </c>
      <c r="AA556">
        <v>0</v>
      </c>
      <c r="AB556" s="2">
        <v>0</v>
      </c>
      <c r="AC556" s="2">
        <v>0</v>
      </c>
      <c r="AD556" s="3">
        <v>0</v>
      </c>
      <c r="AE556" s="2">
        <v>0</v>
      </c>
      <c r="AF556" s="2">
        <v>0</v>
      </c>
      <c r="AG556" s="2">
        <v>0</v>
      </c>
      <c r="AH556" s="2">
        <v>0</v>
      </c>
      <c r="AI556" s="2">
        <v>0</v>
      </c>
      <c r="AJ556" s="2">
        <v>0</v>
      </c>
      <c r="AK556" s="2">
        <v>0</v>
      </c>
      <c r="AL556" s="2">
        <v>0</v>
      </c>
      <c r="AM556" s="2">
        <v>35.700000000000003</v>
      </c>
      <c r="AN556" s="2">
        <v>35.700000000000003</v>
      </c>
      <c r="AO556" s="2">
        <v>0</v>
      </c>
      <c r="AP556" s="2">
        <v>0</v>
      </c>
      <c r="AQ556" s="2">
        <v>0</v>
      </c>
    </row>
    <row r="557" spans="1:43" x14ac:dyDescent="0.25">
      <c r="A557" s="1">
        <v>45936</v>
      </c>
      <c r="B557" t="s">
        <v>48</v>
      </c>
      <c r="C557">
        <v>649163</v>
      </c>
      <c r="D557">
        <v>2025708571</v>
      </c>
      <c r="E557" t="s">
        <v>694</v>
      </c>
      <c r="F557" t="s">
        <v>179</v>
      </c>
      <c r="G557" t="s">
        <v>51</v>
      </c>
      <c r="H557" t="s">
        <v>101</v>
      </c>
      <c r="I557" t="s">
        <v>292</v>
      </c>
      <c r="J557" t="s">
        <v>295</v>
      </c>
      <c r="K557">
        <v>651818</v>
      </c>
      <c r="L557" t="s">
        <v>112</v>
      </c>
      <c r="M557" t="s">
        <v>104</v>
      </c>
      <c r="N557" t="s">
        <v>57</v>
      </c>
      <c r="O557" s="1">
        <v>45664</v>
      </c>
      <c r="Q557" s="1">
        <v>45968</v>
      </c>
      <c r="R557" s="2">
        <v>131.25</v>
      </c>
      <c r="S557">
        <v>1</v>
      </c>
      <c r="T557" t="s">
        <v>58</v>
      </c>
      <c r="U557" t="s">
        <v>359</v>
      </c>
      <c r="V557" s="3">
        <v>0.9</v>
      </c>
      <c r="W557" s="2">
        <v>0</v>
      </c>
      <c r="X557">
        <v>0</v>
      </c>
      <c r="Y557" t="s">
        <v>60</v>
      </c>
      <c r="Z557" t="s">
        <v>360</v>
      </c>
      <c r="AA557">
        <v>0</v>
      </c>
      <c r="AB557" s="2">
        <v>0</v>
      </c>
      <c r="AC557" s="2">
        <v>0</v>
      </c>
      <c r="AD557" s="3">
        <v>0</v>
      </c>
      <c r="AE557" s="2">
        <v>0</v>
      </c>
      <c r="AF557" s="2">
        <v>0</v>
      </c>
      <c r="AG557" s="2">
        <v>0</v>
      </c>
      <c r="AH557" s="2">
        <v>0</v>
      </c>
      <c r="AI557" s="2">
        <v>0</v>
      </c>
      <c r="AJ557" s="2">
        <v>0</v>
      </c>
      <c r="AK557" s="2">
        <v>0</v>
      </c>
      <c r="AL557" s="2">
        <v>0</v>
      </c>
      <c r="AM557" s="2">
        <v>118.12</v>
      </c>
      <c r="AN557" s="2">
        <v>118.12</v>
      </c>
      <c r="AO557" s="2">
        <v>0</v>
      </c>
      <c r="AP557" s="2">
        <v>0</v>
      </c>
      <c r="AQ557" s="2">
        <v>0</v>
      </c>
    </row>
    <row r="558" spans="1:43" x14ac:dyDescent="0.25">
      <c r="A558" s="1">
        <v>45936</v>
      </c>
      <c r="B558" t="s">
        <v>48</v>
      </c>
      <c r="C558">
        <v>649163</v>
      </c>
      <c r="D558">
        <v>2025732433</v>
      </c>
      <c r="E558" t="s">
        <v>695</v>
      </c>
      <c r="F558" t="s">
        <v>353</v>
      </c>
      <c r="G558" t="s">
        <v>51</v>
      </c>
      <c r="H558" t="s">
        <v>376</v>
      </c>
      <c r="I558" t="s">
        <v>292</v>
      </c>
      <c r="J558" t="s">
        <v>293</v>
      </c>
      <c r="K558">
        <v>651818</v>
      </c>
      <c r="L558" t="s">
        <v>112</v>
      </c>
      <c r="M558" t="s">
        <v>104</v>
      </c>
      <c r="N558" t="s">
        <v>57</v>
      </c>
      <c r="O558" s="1">
        <v>45664</v>
      </c>
      <c r="Q558" s="1">
        <v>45968</v>
      </c>
      <c r="R558" s="2">
        <v>98.64</v>
      </c>
      <c r="S558">
        <v>1</v>
      </c>
      <c r="T558" t="s">
        <v>58</v>
      </c>
      <c r="U558" t="s">
        <v>359</v>
      </c>
      <c r="V558" s="3">
        <v>0.7</v>
      </c>
      <c r="W558" s="2">
        <v>0</v>
      </c>
      <c r="X558">
        <v>0</v>
      </c>
      <c r="Y558" t="s">
        <v>60</v>
      </c>
      <c r="Z558" t="s">
        <v>360</v>
      </c>
      <c r="AA558">
        <v>0</v>
      </c>
      <c r="AB558" s="2">
        <v>0</v>
      </c>
      <c r="AC558" s="2">
        <v>0</v>
      </c>
      <c r="AD558" s="3">
        <v>0</v>
      </c>
      <c r="AE558" s="2">
        <v>0</v>
      </c>
      <c r="AF558" s="2">
        <v>0</v>
      </c>
      <c r="AG558" s="2">
        <v>0</v>
      </c>
      <c r="AH558" s="2">
        <v>0</v>
      </c>
      <c r="AI558" s="2">
        <v>0</v>
      </c>
      <c r="AJ558" s="2">
        <v>0</v>
      </c>
      <c r="AK558" s="2">
        <v>0</v>
      </c>
      <c r="AL558" s="2">
        <v>0</v>
      </c>
      <c r="AM558" s="2">
        <v>69.05</v>
      </c>
      <c r="AN558" s="2">
        <v>69.05</v>
      </c>
      <c r="AO558" s="2">
        <v>0</v>
      </c>
      <c r="AP558" s="2">
        <v>0</v>
      </c>
      <c r="AQ558" s="2">
        <v>0</v>
      </c>
    </row>
    <row r="559" spans="1:43" x14ac:dyDescent="0.25">
      <c r="A559" s="1">
        <v>45936</v>
      </c>
      <c r="B559" t="s">
        <v>48</v>
      </c>
      <c r="C559">
        <v>649163</v>
      </c>
      <c r="D559">
        <v>2025772484</v>
      </c>
      <c r="E559" t="s">
        <v>526</v>
      </c>
      <c r="F559" t="s">
        <v>429</v>
      </c>
      <c r="G559" t="s">
        <v>51</v>
      </c>
      <c r="H559" t="s">
        <v>52</v>
      </c>
      <c r="I559" t="s">
        <v>292</v>
      </c>
      <c r="J559" t="s">
        <v>293</v>
      </c>
      <c r="K559">
        <v>651818</v>
      </c>
      <c r="L559" t="s">
        <v>112</v>
      </c>
      <c r="M559" t="s">
        <v>104</v>
      </c>
      <c r="N559" t="s">
        <v>57</v>
      </c>
      <c r="O559" s="1">
        <v>45633</v>
      </c>
      <c r="Q559" s="1">
        <v>45968</v>
      </c>
      <c r="R559" s="2">
        <v>261</v>
      </c>
      <c r="S559">
        <v>1</v>
      </c>
      <c r="T559" t="s">
        <v>58</v>
      </c>
      <c r="U559" t="s">
        <v>359</v>
      </c>
      <c r="V559" s="3">
        <v>0.7</v>
      </c>
      <c r="W559" s="2">
        <v>0</v>
      </c>
      <c r="X559">
        <v>0</v>
      </c>
      <c r="Y559" t="s">
        <v>60</v>
      </c>
      <c r="Z559" t="s">
        <v>360</v>
      </c>
      <c r="AA559">
        <v>0</v>
      </c>
      <c r="AB559" s="2">
        <v>0</v>
      </c>
      <c r="AC559" s="2">
        <v>0</v>
      </c>
      <c r="AD559" s="3">
        <v>0</v>
      </c>
      <c r="AE559" s="2">
        <v>0</v>
      </c>
      <c r="AF559" s="2">
        <v>0</v>
      </c>
      <c r="AG559" s="2">
        <v>0</v>
      </c>
      <c r="AH559" s="2">
        <v>0</v>
      </c>
      <c r="AI559" s="2">
        <v>0</v>
      </c>
      <c r="AJ559" s="2">
        <v>0</v>
      </c>
      <c r="AK559" s="2">
        <v>0</v>
      </c>
      <c r="AL559" s="2">
        <v>0</v>
      </c>
      <c r="AM559" s="2">
        <v>182.7</v>
      </c>
      <c r="AN559" s="2">
        <v>182.7</v>
      </c>
      <c r="AO559" s="2">
        <v>0</v>
      </c>
      <c r="AP559" s="2">
        <v>0</v>
      </c>
      <c r="AQ559" s="2">
        <v>0</v>
      </c>
    </row>
    <row r="560" spans="1:43" x14ac:dyDescent="0.25">
      <c r="A560" s="1">
        <v>45936</v>
      </c>
      <c r="B560" t="s">
        <v>48</v>
      </c>
      <c r="C560">
        <v>649163</v>
      </c>
      <c r="D560">
        <v>2025803166</v>
      </c>
      <c r="E560" t="s">
        <v>854</v>
      </c>
      <c r="F560" t="s">
        <v>855</v>
      </c>
      <c r="G560" t="s">
        <v>51</v>
      </c>
      <c r="H560" t="s">
        <v>52</v>
      </c>
      <c r="I560" t="s">
        <v>292</v>
      </c>
      <c r="J560" t="s">
        <v>293</v>
      </c>
      <c r="K560">
        <v>651818</v>
      </c>
      <c r="L560" t="s">
        <v>112</v>
      </c>
      <c r="M560" t="s">
        <v>104</v>
      </c>
      <c r="N560" t="s">
        <v>57</v>
      </c>
      <c r="O560" s="1">
        <v>45633</v>
      </c>
      <c r="Q560" s="1">
        <v>45968</v>
      </c>
      <c r="R560" s="2">
        <v>140.6</v>
      </c>
      <c r="S560">
        <v>1</v>
      </c>
      <c r="T560" t="s">
        <v>58</v>
      </c>
      <c r="U560" t="s">
        <v>359</v>
      </c>
      <c r="V560" s="3">
        <v>0.7</v>
      </c>
      <c r="W560" s="2">
        <v>0</v>
      </c>
      <c r="X560">
        <v>0</v>
      </c>
      <c r="Y560" t="s">
        <v>60</v>
      </c>
      <c r="Z560" t="s">
        <v>360</v>
      </c>
      <c r="AA560">
        <v>0</v>
      </c>
      <c r="AB560" s="2">
        <v>0</v>
      </c>
      <c r="AC560" s="2">
        <v>0</v>
      </c>
      <c r="AD560" s="3">
        <v>0</v>
      </c>
      <c r="AE560" s="2">
        <v>0</v>
      </c>
      <c r="AF560" s="2">
        <v>0</v>
      </c>
      <c r="AG560" s="2">
        <v>0</v>
      </c>
      <c r="AH560" s="2">
        <v>0</v>
      </c>
      <c r="AI560" s="2">
        <v>0</v>
      </c>
      <c r="AJ560" s="2">
        <v>0</v>
      </c>
      <c r="AK560" s="2">
        <v>0</v>
      </c>
      <c r="AL560" s="2">
        <v>0</v>
      </c>
      <c r="AM560" s="2">
        <v>98.42</v>
      </c>
      <c r="AN560" s="2">
        <v>98.42</v>
      </c>
      <c r="AO560" s="2">
        <v>0</v>
      </c>
      <c r="AP560" s="2">
        <v>0</v>
      </c>
      <c r="AQ560" s="2">
        <v>0</v>
      </c>
    </row>
    <row r="561" spans="1:43" x14ac:dyDescent="0.25">
      <c r="A561" s="1">
        <v>45936</v>
      </c>
      <c r="B561" t="s">
        <v>48</v>
      </c>
      <c r="C561">
        <v>649163</v>
      </c>
      <c r="D561">
        <v>2025805895</v>
      </c>
      <c r="E561" t="s">
        <v>856</v>
      </c>
      <c r="F561" t="s">
        <v>194</v>
      </c>
      <c r="G561" t="s">
        <v>51</v>
      </c>
      <c r="H561" t="s">
        <v>52</v>
      </c>
      <c r="I561" t="s">
        <v>292</v>
      </c>
      <c r="J561" t="s">
        <v>295</v>
      </c>
      <c r="K561">
        <v>651818</v>
      </c>
      <c r="L561" t="s">
        <v>112</v>
      </c>
      <c r="M561" t="s">
        <v>104</v>
      </c>
      <c r="N561" t="s">
        <v>57</v>
      </c>
      <c r="O561" s="1">
        <v>45633</v>
      </c>
      <c r="Q561" s="1">
        <v>45968</v>
      </c>
      <c r="R561" s="2">
        <v>80.349999999999994</v>
      </c>
      <c r="S561">
        <v>1</v>
      </c>
      <c r="T561" t="s">
        <v>58</v>
      </c>
      <c r="U561" t="s">
        <v>359</v>
      </c>
      <c r="V561" s="3">
        <v>0.9</v>
      </c>
      <c r="W561" s="2">
        <v>0</v>
      </c>
      <c r="X561">
        <v>0</v>
      </c>
      <c r="Y561" t="s">
        <v>60</v>
      </c>
      <c r="Z561" t="s">
        <v>360</v>
      </c>
      <c r="AA561">
        <v>0</v>
      </c>
      <c r="AB561" s="2">
        <v>0</v>
      </c>
      <c r="AC561" s="2">
        <v>0</v>
      </c>
      <c r="AD561" s="3">
        <v>0</v>
      </c>
      <c r="AE561" s="2">
        <v>0</v>
      </c>
      <c r="AF561" s="2">
        <v>0</v>
      </c>
      <c r="AG561" s="2">
        <v>0</v>
      </c>
      <c r="AH561" s="2">
        <v>0</v>
      </c>
      <c r="AI561" s="2">
        <v>0</v>
      </c>
      <c r="AJ561" s="2">
        <v>0</v>
      </c>
      <c r="AK561" s="2">
        <v>0</v>
      </c>
      <c r="AL561" s="2">
        <v>0</v>
      </c>
      <c r="AM561" s="2">
        <v>72.319999999999993</v>
      </c>
      <c r="AN561" s="2">
        <v>72.319999999999993</v>
      </c>
      <c r="AO561" s="2">
        <v>0</v>
      </c>
      <c r="AP561" s="2">
        <v>0</v>
      </c>
      <c r="AQ561" s="2">
        <v>0</v>
      </c>
    </row>
    <row r="562" spans="1:43" x14ac:dyDescent="0.25">
      <c r="A562" s="1">
        <v>45936</v>
      </c>
      <c r="B562" t="s">
        <v>48</v>
      </c>
      <c r="C562">
        <v>649163</v>
      </c>
      <c r="D562">
        <v>2025805896</v>
      </c>
      <c r="E562" t="s">
        <v>856</v>
      </c>
      <c r="F562" t="s">
        <v>194</v>
      </c>
      <c r="G562" t="s">
        <v>51</v>
      </c>
      <c r="H562" t="s">
        <v>52</v>
      </c>
      <c r="I562" t="s">
        <v>292</v>
      </c>
      <c r="J562" t="s">
        <v>293</v>
      </c>
      <c r="K562">
        <v>651818</v>
      </c>
      <c r="L562" t="s">
        <v>112</v>
      </c>
      <c r="M562" t="s">
        <v>104</v>
      </c>
      <c r="N562" t="s">
        <v>57</v>
      </c>
      <c r="O562" s="1">
        <v>45633</v>
      </c>
      <c r="Q562" s="1">
        <v>45968</v>
      </c>
      <c r="R562" s="2">
        <v>111.68</v>
      </c>
      <c r="S562">
        <v>1</v>
      </c>
      <c r="T562" t="s">
        <v>58</v>
      </c>
      <c r="U562" t="s">
        <v>359</v>
      </c>
      <c r="V562" s="3">
        <v>0.7</v>
      </c>
      <c r="W562" s="2">
        <v>0</v>
      </c>
      <c r="X562">
        <v>0</v>
      </c>
      <c r="Y562" t="s">
        <v>60</v>
      </c>
      <c r="Z562" t="s">
        <v>360</v>
      </c>
      <c r="AA562">
        <v>0</v>
      </c>
      <c r="AB562" s="2">
        <v>0</v>
      </c>
      <c r="AC562" s="2">
        <v>0</v>
      </c>
      <c r="AD562" s="3">
        <v>0</v>
      </c>
      <c r="AE562" s="2">
        <v>0</v>
      </c>
      <c r="AF562" s="2">
        <v>0</v>
      </c>
      <c r="AG562" s="2">
        <v>0</v>
      </c>
      <c r="AH562" s="2">
        <v>0</v>
      </c>
      <c r="AI562" s="2">
        <v>0</v>
      </c>
      <c r="AJ562" s="2">
        <v>0</v>
      </c>
      <c r="AK562" s="2">
        <v>0</v>
      </c>
      <c r="AL562" s="2">
        <v>0</v>
      </c>
      <c r="AM562" s="2">
        <v>78.180000000000007</v>
      </c>
      <c r="AN562" s="2">
        <v>78.180000000000007</v>
      </c>
      <c r="AO562" s="2">
        <v>0</v>
      </c>
      <c r="AP562" s="2">
        <v>0</v>
      </c>
      <c r="AQ562" s="2">
        <v>0</v>
      </c>
    </row>
    <row r="563" spans="1:43" x14ac:dyDescent="0.25">
      <c r="A563" s="1">
        <v>45936</v>
      </c>
      <c r="B563" t="s">
        <v>48</v>
      </c>
      <c r="C563">
        <v>649163</v>
      </c>
      <c r="D563">
        <v>2025815281</v>
      </c>
      <c r="E563" t="s">
        <v>696</v>
      </c>
      <c r="F563" t="s">
        <v>697</v>
      </c>
      <c r="G563" t="s">
        <v>51</v>
      </c>
      <c r="H563" t="s">
        <v>122</v>
      </c>
      <c r="I563" t="s">
        <v>292</v>
      </c>
      <c r="J563" t="s">
        <v>295</v>
      </c>
      <c r="K563">
        <v>651818</v>
      </c>
      <c r="L563" t="s">
        <v>112</v>
      </c>
      <c r="M563" t="s">
        <v>104</v>
      </c>
      <c r="N563" t="s">
        <v>57</v>
      </c>
      <c r="O563" s="1">
        <v>45633</v>
      </c>
      <c r="Q563" s="1">
        <v>45968</v>
      </c>
      <c r="R563" s="2">
        <v>21.83</v>
      </c>
      <c r="S563">
        <v>1</v>
      </c>
      <c r="T563" t="s">
        <v>58</v>
      </c>
      <c r="U563" t="s">
        <v>359</v>
      </c>
      <c r="V563" s="3">
        <v>0.9</v>
      </c>
      <c r="W563" s="2">
        <v>0</v>
      </c>
      <c r="X563">
        <v>0</v>
      </c>
      <c r="Y563" t="s">
        <v>60</v>
      </c>
      <c r="Z563" t="s">
        <v>360</v>
      </c>
      <c r="AA563">
        <v>0</v>
      </c>
      <c r="AB563" s="2">
        <v>0</v>
      </c>
      <c r="AC563" s="2">
        <v>0</v>
      </c>
      <c r="AD563" s="3">
        <v>0</v>
      </c>
      <c r="AE563" s="2">
        <v>0</v>
      </c>
      <c r="AF563" s="2">
        <v>0</v>
      </c>
      <c r="AG563" s="2">
        <v>0</v>
      </c>
      <c r="AH563" s="2">
        <v>0</v>
      </c>
      <c r="AI563" s="2">
        <v>0</v>
      </c>
      <c r="AJ563" s="2">
        <v>0</v>
      </c>
      <c r="AK563" s="2">
        <v>0</v>
      </c>
      <c r="AL563" s="2">
        <v>0</v>
      </c>
      <c r="AM563" s="2">
        <v>19.649999999999999</v>
      </c>
      <c r="AN563" s="2">
        <v>19.649999999999999</v>
      </c>
      <c r="AO563" s="2">
        <v>0</v>
      </c>
      <c r="AP563" s="2">
        <v>0</v>
      </c>
      <c r="AQ563" s="2">
        <v>0</v>
      </c>
    </row>
    <row r="564" spans="1:43" x14ac:dyDescent="0.25">
      <c r="A564" s="1">
        <v>45936</v>
      </c>
      <c r="B564" t="s">
        <v>48</v>
      </c>
      <c r="C564">
        <v>649163</v>
      </c>
      <c r="D564">
        <v>2025815282</v>
      </c>
      <c r="E564" t="s">
        <v>696</v>
      </c>
      <c r="F564" t="s">
        <v>697</v>
      </c>
      <c r="G564" t="s">
        <v>51</v>
      </c>
      <c r="H564" t="s">
        <v>122</v>
      </c>
      <c r="I564" t="s">
        <v>292</v>
      </c>
      <c r="J564" t="s">
        <v>293</v>
      </c>
      <c r="K564">
        <v>651818</v>
      </c>
      <c r="L564" t="s">
        <v>112</v>
      </c>
      <c r="M564" t="s">
        <v>104</v>
      </c>
      <c r="N564" t="s">
        <v>57</v>
      </c>
      <c r="O564" s="1">
        <v>45633</v>
      </c>
      <c r="Q564" s="1">
        <v>45968</v>
      </c>
      <c r="R564" s="2">
        <v>31.28</v>
      </c>
      <c r="S564">
        <v>1</v>
      </c>
      <c r="T564" t="s">
        <v>58</v>
      </c>
      <c r="U564" t="s">
        <v>359</v>
      </c>
      <c r="V564" s="3">
        <v>0.7</v>
      </c>
      <c r="W564" s="2">
        <v>0</v>
      </c>
      <c r="X564">
        <v>0</v>
      </c>
      <c r="Y564" t="s">
        <v>60</v>
      </c>
      <c r="Z564" t="s">
        <v>360</v>
      </c>
      <c r="AA564">
        <v>0</v>
      </c>
      <c r="AB564" s="2">
        <v>0</v>
      </c>
      <c r="AC564" s="2">
        <v>0</v>
      </c>
      <c r="AD564" s="3">
        <v>0</v>
      </c>
      <c r="AE564" s="2">
        <v>0</v>
      </c>
      <c r="AF564" s="2">
        <v>0</v>
      </c>
      <c r="AG564" s="2">
        <v>0</v>
      </c>
      <c r="AH564" s="2">
        <v>0</v>
      </c>
      <c r="AI564" s="2">
        <v>0</v>
      </c>
      <c r="AJ564" s="2">
        <v>0</v>
      </c>
      <c r="AK564" s="2">
        <v>0</v>
      </c>
      <c r="AL564" s="2">
        <v>0</v>
      </c>
      <c r="AM564" s="2">
        <v>21.9</v>
      </c>
      <c r="AN564" s="2">
        <v>21.9</v>
      </c>
      <c r="AO564" s="2">
        <v>0</v>
      </c>
      <c r="AP564" s="2">
        <v>0</v>
      </c>
      <c r="AQ564" s="2">
        <v>0</v>
      </c>
    </row>
    <row r="565" spans="1:43" x14ac:dyDescent="0.25">
      <c r="A565" s="1">
        <v>45936</v>
      </c>
      <c r="B565" t="s">
        <v>48</v>
      </c>
      <c r="C565">
        <v>649163</v>
      </c>
      <c r="D565">
        <v>2025863138</v>
      </c>
      <c r="E565" t="s">
        <v>699</v>
      </c>
      <c r="F565" t="s">
        <v>700</v>
      </c>
      <c r="G565" t="s">
        <v>51</v>
      </c>
      <c r="H565" t="s">
        <v>52</v>
      </c>
      <c r="I565" t="s">
        <v>292</v>
      </c>
      <c r="J565" t="s">
        <v>293</v>
      </c>
      <c r="K565">
        <v>651818</v>
      </c>
      <c r="L565" t="s">
        <v>112</v>
      </c>
      <c r="M565" t="s">
        <v>104</v>
      </c>
      <c r="N565" t="s">
        <v>57</v>
      </c>
      <c r="O565" s="1">
        <v>45633</v>
      </c>
      <c r="Q565" s="1">
        <v>45968</v>
      </c>
      <c r="R565" s="2">
        <v>129.22</v>
      </c>
      <c r="S565">
        <v>1</v>
      </c>
      <c r="T565" t="s">
        <v>58</v>
      </c>
      <c r="U565" t="s">
        <v>359</v>
      </c>
      <c r="V565" s="3">
        <v>0.7</v>
      </c>
      <c r="W565" s="2">
        <v>0</v>
      </c>
      <c r="X565">
        <v>0</v>
      </c>
      <c r="Y565" t="s">
        <v>60</v>
      </c>
      <c r="Z565" t="s">
        <v>360</v>
      </c>
      <c r="AA565">
        <v>0</v>
      </c>
      <c r="AB565" s="2">
        <v>0</v>
      </c>
      <c r="AC565" s="2">
        <v>0</v>
      </c>
      <c r="AD565" s="3">
        <v>0</v>
      </c>
      <c r="AE565" s="2">
        <v>0</v>
      </c>
      <c r="AF565" s="2">
        <v>0</v>
      </c>
      <c r="AG565" s="2">
        <v>0</v>
      </c>
      <c r="AH565" s="2">
        <v>0</v>
      </c>
      <c r="AI565" s="2">
        <v>0</v>
      </c>
      <c r="AJ565" s="2">
        <v>0</v>
      </c>
      <c r="AK565" s="2">
        <v>0</v>
      </c>
      <c r="AL565" s="2">
        <v>0</v>
      </c>
      <c r="AM565" s="2">
        <v>90.45</v>
      </c>
      <c r="AN565" s="2">
        <v>90.45</v>
      </c>
      <c r="AO565" s="2">
        <v>0</v>
      </c>
      <c r="AP565" s="2">
        <v>0</v>
      </c>
      <c r="AQ565" s="2">
        <v>0</v>
      </c>
    </row>
    <row r="566" spans="1:43" x14ac:dyDescent="0.25">
      <c r="A566" s="1">
        <v>45936</v>
      </c>
      <c r="B566" t="s">
        <v>48</v>
      </c>
      <c r="C566">
        <v>649163</v>
      </c>
      <c r="D566">
        <v>2025884354</v>
      </c>
      <c r="E566" t="s">
        <v>148</v>
      </c>
      <c r="F566" t="s">
        <v>535</v>
      </c>
      <c r="G566" t="s">
        <v>51</v>
      </c>
      <c r="H566" t="s">
        <v>52</v>
      </c>
      <c r="I566" t="s">
        <v>292</v>
      </c>
      <c r="J566" t="s">
        <v>293</v>
      </c>
      <c r="K566">
        <v>651818</v>
      </c>
      <c r="L566" t="s">
        <v>112</v>
      </c>
      <c r="M566" t="s">
        <v>104</v>
      </c>
      <c r="N566" t="s">
        <v>57</v>
      </c>
      <c r="O566" s="1">
        <v>45633</v>
      </c>
      <c r="Q566" s="1">
        <v>45968</v>
      </c>
      <c r="R566" s="2">
        <v>83</v>
      </c>
      <c r="S566">
        <v>1</v>
      </c>
      <c r="T566" t="s">
        <v>58</v>
      </c>
      <c r="U566" t="s">
        <v>359</v>
      </c>
      <c r="V566" s="3">
        <v>0.7</v>
      </c>
      <c r="W566" s="2">
        <v>0</v>
      </c>
      <c r="X566">
        <v>0</v>
      </c>
      <c r="Y566" t="s">
        <v>60</v>
      </c>
      <c r="Z566" t="s">
        <v>360</v>
      </c>
      <c r="AA566">
        <v>0</v>
      </c>
      <c r="AB566" s="2">
        <v>0</v>
      </c>
      <c r="AC566" s="2">
        <v>0</v>
      </c>
      <c r="AD566" s="3">
        <v>0</v>
      </c>
      <c r="AE566" s="2">
        <v>0</v>
      </c>
      <c r="AF566" s="2">
        <v>0</v>
      </c>
      <c r="AG566" s="2">
        <v>0</v>
      </c>
      <c r="AH566" s="2">
        <v>0</v>
      </c>
      <c r="AI566" s="2">
        <v>0</v>
      </c>
      <c r="AJ566" s="2">
        <v>0</v>
      </c>
      <c r="AK566" s="2">
        <v>0</v>
      </c>
      <c r="AL566" s="2">
        <v>0</v>
      </c>
      <c r="AM566" s="2">
        <v>58.1</v>
      </c>
      <c r="AN566" s="2">
        <v>58.1</v>
      </c>
      <c r="AO566" s="2">
        <v>0</v>
      </c>
      <c r="AP566" s="2">
        <v>0</v>
      </c>
      <c r="AQ566" s="2">
        <v>0</v>
      </c>
    </row>
    <row r="567" spans="1:43" x14ac:dyDescent="0.25">
      <c r="A567" s="1">
        <v>45936</v>
      </c>
      <c r="B567" t="s">
        <v>48</v>
      </c>
      <c r="C567">
        <v>649163</v>
      </c>
      <c r="D567">
        <v>2025885800</v>
      </c>
      <c r="E567" t="s">
        <v>857</v>
      </c>
      <c r="F567" t="s">
        <v>858</v>
      </c>
      <c r="G567" t="s">
        <v>51</v>
      </c>
      <c r="H567" t="s">
        <v>155</v>
      </c>
      <c r="I567" t="s">
        <v>292</v>
      </c>
      <c r="J567" t="s">
        <v>293</v>
      </c>
      <c r="K567">
        <v>651818</v>
      </c>
      <c r="L567" t="s">
        <v>112</v>
      </c>
      <c r="M567" t="s">
        <v>104</v>
      </c>
      <c r="N567" t="s">
        <v>57</v>
      </c>
      <c r="O567" s="1">
        <v>45633</v>
      </c>
      <c r="Q567" s="1">
        <v>45968</v>
      </c>
      <c r="R567" s="2">
        <v>187.04</v>
      </c>
      <c r="S567">
        <v>1</v>
      </c>
      <c r="T567" t="s">
        <v>58</v>
      </c>
      <c r="U567" t="s">
        <v>359</v>
      </c>
      <c r="V567" s="3">
        <v>0.7</v>
      </c>
      <c r="W567" s="2">
        <v>0</v>
      </c>
      <c r="X567">
        <v>0</v>
      </c>
      <c r="Y567" t="s">
        <v>60</v>
      </c>
      <c r="Z567" t="s">
        <v>360</v>
      </c>
      <c r="AA567">
        <v>0</v>
      </c>
      <c r="AB567" s="2">
        <v>0</v>
      </c>
      <c r="AC567" s="2">
        <v>0</v>
      </c>
      <c r="AD567" s="3">
        <v>0</v>
      </c>
      <c r="AE567" s="2">
        <v>0</v>
      </c>
      <c r="AF567" s="2">
        <v>0</v>
      </c>
      <c r="AG567" s="2">
        <v>0</v>
      </c>
      <c r="AH567" s="2">
        <v>0</v>
      </c>
      <c r="AI567" s="2">
        <v>0</v>
      </c>
      <c r="AJ567" s="2">
        <v>0</v>
      </c>
      <c r="AK567" s="2">
        <v>0</v>
      </c>
      <c r="AL567" s="2">
        <v>0</v>
      </c>
      <c r="AM567" s="2">
        <v>130.93</v>
      </c>
      <c r="AN567" s="2">
        <v>130.93</v>
      </c>
      <c r="AO567" s="2">
        <v>0</v>
      </c>
      <c r="AP567" s="2">
        <v>0</v>
      </c>
      <c r="AQ567" s="2">
        <v>0</v>
      </c>
    </row>
    <row r="568" spans="1:43" x14ac:dyDescent="0.25">
      <c r="A568" s="1">
        <v>45936</v>
      </c>
      <c r="B568" t="s">
        <v>48</v>
      </c>
      <c r="C568">
        <v>649163</v>
      </c>
      <c r="D568">
        <v>2025887934</v>
      </c>
      <c r="E568" t="s">
        <v>701</v>
      </c>
      <c r="F568" t="s">
        <v>337</v>
      </c>
      <c r="G568" t="s">
        <v>51</v>
      </c>
      <c r="H568" t="s">
        <v>129</v>
      </c>
      <c r="I568" t="s">
        <v>292</v>
      </c>
      <c r="J568" t="s">
        <v>293</v>
      </c>
      <c r="K568">
        <v>651818</v>
      </c>
      <c r="L568" t="s">
        <v>112</v>
      </c>
      <c r="M568" t="s">
        <v>104</v>
      </c>
      <c r="N568" t="s">
        <v>57</v>
      </c>
      <c r="O568" s="1">
        <v>45633</v>
      </c>
      <c r="Q568" s="1">
        <v>45968</v>
      </c>
      <c r="R568" s="2">
        <v>122.32</v>
      </c>
      <c r="S568">
        <v>1</v>
      </c>
      <c r="T568" t="s">
        <v>58</v>
      </c>
      <c r="U568" t="s">
        <v>359</v>
      </c>
      <c r="V568" s="3">
        <v>0.7</v>
      </c>
      <c r="W568" s="2">
        <v>0</v>
      </c>
      <c r="X568">
        <v>0</v>
      </c>
      <c r="Y568" t="s">
        <v>60</v>
      </c>
      <c r="Z568" t="s">
        <v>360</v>
      </c>
      <c r="AA568">
        <v>0</v>
      </c>
      <c r="AB568" s="2">
        <v>0</v>
      </c>
      <c r="AC568" s="2">
        <v>0</v>
      </c>
      <c r="AD568" s="3">
        <v>0</v>
      </c>
      <c r="AE568" s="2">
        <v>0</v>
      </c>
      <c r="AF568" s="2">
        <v>0</v>
      </c>
      <c r="AG568" s="2">
        <v>0</v>
      </c>
      <c r="AH568" s="2">
        <v>0</v>
      </c>
      <c r="AI568" s="2">
        <v>0</v>
      </c>
      <c r="AJ568" s="2">
        <v>0</v>
      </c>
      <c r="AK568" s="2">
        <v>0</v>
      </c>
      <c r="AL568" s="2">
        <v>0</v>
      </c>
      <c r="AM568" s="2">
        <v>85.62</v>
      </c>
      <c r="AN568" s="2">
        <v>85.62</v>
      </c>
      <c r="AO568" s="2">
        <v>0</v>
      </c>
      <c r="AP568" s="2">
        <v>0</v>
      </c>
      <c r="AQ568" s="2">
        <v>0</v>
      </c>
    </row>
    <row r="569" spans="1:43" x14ac:dyDescent="0.25">
      <c r="A569" s="1">
        <v>45936</v>
      </c>
      <c r="B569" t="s">
        <v>48</v>
      </c>
      <c r="C569">
        <v>649163</v>
      </c>
      <c r="D569">
        <v>2025896511</v>
      </c>
      <c r="E569" t="s">
        <v>702</v>
      </c>
      <c r="F569" t="s">
        <v>227</v>
      </c>
      <c r="G569" t="s">
        <v>51</v>
      </c>
      <c r="H569" t="s">
        <v>646</v>
      </c>
      <c r="I569" t="s">
        <v>292</v>
      </c>
      <c r="J569" t="s">
        <v>293</v>
      </c>
      <c r="K569">
        <v>651818</v>
      </c>
      <c r="L569" t="s">
        <v>112</v>
      </c>
      <c r="M569" t="s">
        <v>104</v>
      </c>
      <c r="N569" t="s">
        <v>57</v>
      </c>
      <c r="O569" s="1">
        <v>45633</v>
      </c>
      <c r="Q569" s="1">
        <v>45968</v>
      </c>
      <c r="R569" s="2">
        <v>40</v>
      </c>
      <c r="S569">
        <v>1</v>
      </c>
      <c r="T569" t="s">
        <v>58</v>
      </c>
      <c r="U569" t="s">
        <v>359</v>
      </c>
      <c r="V569" s="3">
        <v>0.7</v>
      </c>
      <c r="W569" s="2">
        <v>0</v>
      </c>
      <c r="X569">
        <v>0</v>
      </c>
      <c r="Y569" t="s">
        <v>60</v>
      </c>
      <c r="Z569" t="s">
        <v>360</v>
      </c>
      <c r="AA569">
        <v>0</v>
      </c>
      <c r="AB569" s="2">
        <v>0</v>
      </c>
      <c r="AC569" s="2">
        <v>0</v>
      </c>
      <c r="AD569" s="3">
        <v>0</v>
      </c>
      <c r="AE569" s="2">
        <v>0</v>
      </c>
      <c r="AF569" s="2">
        <v>0</v>
      </c>
      <c r="AG569" s="2">
        <v>0</v>
      </c>
      <c r="AH569" s="2">
        <v>0</v>
      </c>
      <c r="AI569" s="2">
        <v>0</v>
      </c>
      <c r="AJ569" s="2">
        <v>0</v>
      </c>
      <c r="AK569" s="2">
        <v>0</v>
      </c>
      <c r="AL569" s="2">
        <v>0</v>
      </c>
      <c r="AM569" s="2">
        <v>28</v>
      </c>
      <c r="AN569" s="2">
        <v>28</v>
      </c>
      <c r="AO569" s="2">
        <v>0</v>
      </c>
      <c r="AP569" s="2">
        <v>0</v>
      </c>
      <c r="AQ569" s="2">
        <v>0</v>
      </c>
    </row>
    <row r="570" spans="1:43" x14ac:dyDescent="0.25">
      <c r="A570" s="1">
        <v>45936</v>
      </c>
      <c r="B570" t="s">
        <v>48</v>
      </c>
      <c r="C570">
        <v>649163</v>
      </c>
      <c r="D570">
        <v>2025973879</v>
      </c>
      <c r="E570" t="s">
        <v>859</v>
      </c>
      <c r="F570" t="s">
        <v>860</v>
      </c>
      <c r="G570" t="s">
        <v>51</v>
      </c>
      <c r="H570" t="s">
        <v>129</v>
      </c>
      <c r="I570" t="s">
        <v>292</v>
      </c>
      <c r="J570" t="s">
        <v>295</v>
      </c>
      <c r="K570">
        <v>753748</v>
      </c>
      <c r="L570" t="s">
        <v>97</v>
      </c>
      <c r="M570" t="s">
        <v>98</v>
      </c>
      <c r="N570" t="s">
        <v>57</v>
      </c>
      <c r="O570" s="1">
        <v>45658</v>
      </c>
      <c r="Q570" s="1">
        <v>45962</v>
      </c>
      <c r="R570" s="2">
        <v>83.63</v>
      </c>
      <c r="S570">
        <v>1</v>
      </c>
      <c r="T570" t="s">
        <v>58</v>
      </c>
      <c r="U570" t="s">
        <v>359</v>
      </c>
      <c r="V570" s="3">
        <v>0.9</v>
      </c>
      <c r="W570" s="2">
        <v>0</v>
      </c>
      <c r="X570">
        <v>0</v>
      </c>
      <c r="Y570" t="s">
        <v>60</v>
      </c>
      <c r="Z570" t="s">
        <v>360</v>
      </c>
      <c r="AA570">
        <v>0</v>
      </c>
      <c r="AB570" s="2">
        <v>0</v>
      </c>
      <c r="AC570" s="2">
        <v>0</v>
      </c>
      <c r="AD570" s="3">
        <v>0</v>
      </c>
      <c r="AE570" s="2">
        <v>0</v>
      </c>
      <c r="AF570" s="2">
        <v>0</v>
      </c>
      <c r="AG570" s="2">
        <v>0</v>
      </c>
      <c r="AH570" s="2">
        <v>0</v>
      </c>
      <c r="AI570" s="2">
        <v>0</v>
      </c>
      <c r="AJ570" s="2">
        <v>0</v>
      </c>
      <c r="AK570" s="2">
        <v>0</v>
      </c>
      <c r="AL570" s="2">
        <v>0</v>
      </c>
      <c r="AM570" s="2">
        <v>75.27</v>
      </c>
      <c r="AN570" s="2">
        <v>75.27</v>
      </c>
      <c r="AO570" s="2">
        <v>0</v>
      </c>
      <c r="AP570" s="2">
        <v>0</v>
      </c>
      <c r="AQ570" s="2">
        <v>0</v>
      </c>
    </row>
    <row r="571" spans="1:43" x14ac:dyDescent="0.25">
      <c r="A571" s="1">
        <v>45936</v>
      </c>
      <c r="B571" t="s">
        <v>48</v>
      </c>
      <c r="C571">
        <v>649163</v>
      </c>
      <c r="D571">
        <v>2026028784</v>
      </c>
      <c r="E571" t="s">
        <v>861</v>
      </c>
      <c r="F571" t="s">
        <v>862</v>
      </c>
      <c r="G571" t="s">
        <v>51</v>
      </c>
      <c r="H571" t="s">
        <v>101</v>
      </c>
      <c r="I571" t="s">
        <v>292</v>
      </c>
      <c r="J571" t="s">
        <v>293</v>
      </c>
      <c r="K571">
        <v>651818</v>
      </c>
      <c r="L571" t="s">
        <v>112</v>
      </c>
      <c r="M571" t="s">
        <v>104</v>
      </c>
      <c r="N571" t="s">
        <v>57</v>
      </c>
      <c r="O571" s="1">
        <v>45664</v>
      </c>
      <c r="Q571" s="1">
        <v>45968</v>
      </c>
      <c r="R571" s="2">
        <v>96</v>
      </c>
      <c r="S571">
        <v>1</v>
      </c>
      <c r="T571" t="s">
        <v>58</v>
      </c>
      <c r="U571" t="s">
        <v>359</v>
      </c>
      <c r="V571" s="3">
        <v>0.7</v>
      </c>
      <c r="W571" s="2">
        <v>0</v>
      </c>
      <c r="X571">
        <v>0</v>
      </c>
      <c r="Y571" t="s">
        <v>60</v>
      </c>
      <c r="Z571" t="s">
        <v>360</v>
      </c>
      <c r="AA571">
        <v>0</v>
      </c>
      <c r="AB571" s="2">
        <v>0</v>
      </c>
      <c r="AC571" s="2">
        <v>0</v>
      </c>
      <c r="AD571" s="3">
        <v>0</v>
      </c>
      <c r="AE571" s="2">
        <v>0</v>
      </c>
      <c r="AF571" s="2">
        <v>0</v>
      </c>
      <c r="AG571" s="2">
        <v>0</v>
      </c>
      <c r="AH571" s="2">
        <v>0</v>
      </c>
      <c r="AI571" s="2">
        <v>0</v>
      </c>
      <c r="AJ571" s="2">
        <v>0</v>
      </c>
      <c r="AK571" s="2">
        <v>0</v>
      </c>
      <c r="AL571" s="2">
        <v>0</v>
      </c>
      <c r="AM571" s="2">
        <v>67.2</v>
      </c>
      <c r="AN571" s="2">
        <v>67.2</v>
      </c>
      <c r="AO571" s="2">
        <v>0</v>
      </c>
      <c r="AP571" s="2">
        <v>0</v>
      </c>
      <c r="AQ571" s="2">
        <v>0</v>
      </c>
    </row>
    <row r="572" spans="1:43" x14ac:dyDescent="0.25">
      <c r="A572" s="1">
        <v>45936</v>
      </c>
      <c r="B572" t="s">
        <v>48</v>
      </c>
      <c r="C572">
        <v>649163</v>
      </c>
      <c r="D572">
        <v>2026036712</v>
      </c>
      <c r="E572" t="s">
        <v>703</v>
      </c>
      <c r="F572" t="s">
        <v>63</v>
      </c>
      <c r="G572" t="s">
        <v>51</v>
      </c>
      <c r="H572" t="s">
        <v>101</v>
      </c>
      <c r="I572" t="s">
        <v>292</v>
      </c>
      <c r="J572" t="s">
        <v>293</v>
      </c>
      <c r="K572">
        <v>651818</v>
      </c>
      <c r="L572" t="s">
        <v>112</v>
      </c>
      <c r="M572" t="s">
        <v>104</v>
      </c>
      <c r="N572" t="s">
        <v>57</v>
      </c>
      <c r="O572" s="1">
        <v>45664</v>
      </c>
      <c r="Q572" s="1">
        <v>45968</v>
      </c>
      <c r="R572" s="2">
        <v>74.58</v>
      </c>
      <c r="S572">
        <v>1</v>
      </c>
      <c r="T572" t="s">
        <v>58</v>
      </c>
      <c r="U572" t="s">
        <v>359</v>
      </c>
      <c r="V572" s="3">
        <v>0.7</v>
      </c>
      <c r="W572" s="2">
        <v>0</v>
      </c>
      <c r="X572">
        <v>0</v>
      </c>
      <c r="Y572" t="s">
        <v>60</v>
      </c>
      <c r="Z572" t="s">
        <v>360</v>
      </c>
      <c r="AA572">
        <v>0</v>
      </c>
      <c r="AB572" s="2">
        <v>0</v>
      </c>
      <c r="AC572" s="2">
        <v>0</v>
      </c>
      <c r="AD572" s="3">
        <v>0</v>
      </c>
      <c r="AE572" s="2">
        <v>0</v>
      </c>
      <c r="AF572" s="2">
        <v>0</v>
      </c>
      <c r="AG572" s="2">
        <v>0</v>
      </c>
      <c r="AH572" s="2">
        <v>0</v>
      </c>
      <c r="AI572" s="2">
        <v>0</v>
      </c>
      <c r="AJ572" s="2">
        <v>0</v>
      </c>
      <c r="AK572" s="2">
        <v>0</v>
      </c>
      <c r="AL572" s="2">
        <v>0</v>
      </c>
      <c r="AM572" s="2">
        <v>52.21</v>
      </c>
      <c r="AN572" s="2">
        <v>52.21</v>
      </c>
      <c r="AO572" s="2">
        <v>0</v>
      </c>
      <c r="AP572" s="2">
        <v>0</v>
      </c>
      <c r="AQ572" s="2">
        <v>0</v>
      </c>
    </row>
    <row r="573" spans="1:43" x14ac:dyDescent="0.25">
      <c r="A573" s="1">
        <v>45936</v>
      </c>
      <c r="B573" t="s">
        <v>48</v>
      </c>
      <c r="C573">
        <v>649163</v>
      </c>
      <c r="D573">
        <v>2026043419</v>
      </c>
      <c r="E573" t="s">
        <v>863</v>
      </c>
      <c r="F573" t="s">
        <v>74</v>
      </c>
      <c r="G573" t="s">
        <v>51</v>
      </c>
      <c r="H573" t="s">
        <v>119</v>
      </c>
      <c r="I573" t="s">
        <v>292</v>
      </c>
      <c r="J573" t="s">
        <v>293</v>
      </c>
      <c r="K573">
        <v>651818</v>
      </c>
      <c r="L573" t="s">
        <v>112</v>
      </c>
      <c r="M573" t="s">
        <v>104</v>
      </c>
      <c r="N573" t="s">
        <v>57</v>
      </c>
      <c r="O573" s="1">
        <v>45664</v>
      </c>
      <c r="Q573" s="1">
        <v>45968</v>
      </c>
      <c r="R573" s="2">
        <v>79.33</v>
      </c>
      <c r="S573">
        <v>1</v>
      </c>
      <c r="T573" t="s">
        <v>58</v>
      </c>
      <c r="U573" t="s">
        <v>359</v>
      </c>
      <c r="V573" s="3">
        <v>0.7</v>
      </c>
      <c r="W573" s="2">
        <v>0</v>
      </c>
      <c r="X573">
        <v>0</v>
      </c>
      <c r="Y573" t="s">
        <v>60</v>
      </c>
      <c r="Z573" t="s">
        <v>360</v>
      </c>
      <c r="AA573">
        <v>0</v>
      </c>
      <c r="AB573" s="2">
        <v>0</v>
      </c>
      <c r="AC573" s="2">
        <v>0</v>
      </c>
      <c r="AD573" s="3">
        <v>0</v>
      </c>
      <c r="AE573" s="2">
        <v>0</v>
      </c>
      <c r="AF573" s="2">
        <v>0</v>
      </c>
      <c r="AG573" s="2">
        <v>0</v>
      </c>
      <c r="AH573" s="2">
        <v>0</v>
      </c>
      <c r="AI573" s="2">
        <v>0</v>
      </c>
      <c r="AJ573" s="2">
        <v>0</v>
      </c>
      <c r="AK573" s="2">
        <v>0</v>
      </c>
      <c r="AL573" s="2">
        <v>0</v>
      </c>
      <c r="AM573" s="2">
        <v>55.53</v>
      </c>
      <c r="AN573" s="2">
        <v>55.53</v>
      </c>
      <c r="AO573" s="2">
        <v>0</v>
      </c>
      <c r="AP573" s="2">
        <v>0</v>
      </c>
      <c r="AQ573" s="2">
        <v>0</v>
      </c>
    </row>
    <row r="574" spans="1:43" x14ac:dyDescent="0.25">
      <c r="A574" s="1">
        <v>45936</v>
      </c>
      <c r="B574" t="s">
        <v>48</v>
      </c>
      <c r="C574">
        <v>649163</v>
      </c>
      <c r="D574">
        <v>2026047071</v>
      </c>
      <c r="E574" t="s">
        <v>601</v>
      </c>
      <c r="F574" t="s">
        <v>169</v>
      </c>
      <c r="G574" t="s">
        <v>51</v>
      </c>
      <c r="H574" t="s">
        <v>52</v>
      </c>
      <c r="I574" t="s">
        <v>292</v>
      </c>
      <c r="J574" t="s">
        <v>293</v>
      </c>
      <c r="K574">
        <v>651818</v>
      </c>
      <c r="L574" t="s">
        <v>112</v>
      </c>
      <c r="M574" t="s">
        <v>104</v>
      </c>
      <c r="N574" t="s">
        <v>57</v>
      </c>
      <c r="O574" s="1">
        <v>45664</v>
      </c>
      <c r="Q574" s="1">
        <v>45968</v>
      </c>
      <c r="R574" s="2">
        <v>323.26</v>
      </c>
      <c r="S574">
        <v>1</v>
      </c>
      <c r="T574" t="s">
        <v>58</v>
      </c>
      <c r="U574" t="s">
        <v>359</v>
      </c>
      <c r="V574" s="3">
        <v>0.7</v>
      </c>
      <c r="W574" s="2">
        <v>0</v>
      </c>
      <c r="X574">
        <v>0</v>
      </c>
      <c r="Y574" t="s">
        <v>60</v>
      </c>
      <c r="Z574" t="s">
        <v>360</v>
      </c>
      <c r="AA574">
        <v>0</v>
      </c>
      <c r="AB574" s="2">
        <v>0</v>
      </c>
      <c r="AC574" s="2">
        <v>0</v>
      </c>
      <c r="AD574" s="3">
        <v>0</v>
      </c>
      <c r="AE574" s="2">
        <v>0</v>
      </c>
      <c r="AF574" s="2">
        <v>0</v>
      </c>
      <c r="AG574" s="2">
        <v>0</v>
      </c>
      <c r="AH574" s="2">
        <v>0</v>
      </c>
      <c r="AI574" s="2">
        <v>0</v>
      </c>
      <c r="AJ574" s="2">
        <v>0</v>
      </c>
      <c r="AK574" s="2">
        <v>0</v>
      </c>
      <c r="AL574" s="2">
        <v>0</v>
      </c>
      <c r="AM574" s="2">
        <v>226.28</v>
      </c>
      <c r="AN574" s="2">
        <v>226.28</v>
      </c>
      <c r="AO574" s="2">
        <v>0</v>
      </c>
      <c r="AP574" s="2">
        <v>0</v>
      </c>
      <c r="AQ574" s="2">
        <v>0</v>
      </c>
    </row>
    <row r="575" spans="1:43" x14ac:dyDescent="0.25">
      <c r="A575" s="1">
        <v>45936</v>
      </c>
      <c r="B575" t="s">
        <v>48</v>
      </c>
      <c r="C575">
        <v>649163</v>
      </c>
      <c r="D575">
        <v>2026050470</v>
      </c>
      <c r="E575" t="s">
        <v>704</v>
      </c>
      <c r="F575" t="s">
        <v>72</v>
      </c>
      <c r="G575" t="s">
        <v>51</v>
      </c>
      <c r="H575" t="s">
        <v>203</v>
      </c>
      <c r="I575" t="s">
        <v>292</v>
      </c>
      <c r="J575" t="s">
        <v>293</v>
      </c>
      <c r="K575">
        <v>796984</v>
      </c>
      <c r="L575" t="s">
        <v>204</v>
      </c>
      <c r="M575" t="s">
        <v>205</v>
      </c>
      <c r="N575" t="s">
        <v>57</v>
      </c>
      <c r="O575" s="1">
        <v>45632</v>
      </c>
      <c r="Q575" s="1">
        <v>45967</v>
      </c>
      <c r="R575" s="2">
        <v>9.6999999999999993</v>
      </c>
      <c r="S575">
        <v>1</v>
      </c>
      <c r="T575" t="s">
        <v>58</v>
      </c>
      <c r="U575" t="s">
        <v>359</v>
      </c>
      <c r="V575" s="3">
        <v>0.7</v>
      </c>
      <c r="W575" s="2">
        <v>0</v>
      </c>
      <c r="X575">
        <v>0</v>
      </c>
      <c r="Y575" t="s">
        <v>60</v>
      </c>
      <c r="Z575" t="s">
        <v>360</v>
      </c>
      <c r="AA575">
        <v>0</v>
      </c>
      <c r="AB575" s="2">
        <v>0</v>
      </c>
      <c r="AC575" s="2">
        <v>0</v>
      </c>
      <c r="AD575" s="3">
        <v>0</v>
      </c>
      <c r="AE575" s="2">
        <v>0</v>
      </c>
      <c r="AF575" s="2">
        <v>0</v>
      </c>
      <c r="AG575" s="2">
        <v>0</v>
      </c>
      <c r="AH575" s="2">
        <v>0</v>
      </c>
      <c r="AI575" s="2">
        <v>0</v>
      </c>
      <c r="AJ575" s="2">
        <v>0</v>
      </c>
      <c r="AK575" s="2">
        <v>0</v>
      </c>
      <c r="AL575" s="2">
        <v>0</v>
      </c>
      <c r="AM575" s="2">
        <v>6.79</v>
      </c>
      <c r="AN575" s="2">
        <v>6.79</v>
      </c>
      <c r="AO575" s="2">
        <v>0</v>
      </c>
      <c r="AP575" s="2">
        <v>0</v>
      </c>
      <c r="AQ575" s="2">
        <v>0</v>
      </c>
    </row>
    <row r="576" spans="1:43" x14ac:dyDescent="0.25">
      <c r="A576" s="1">
        <v>45936</v>
      </c>
      <c r="B576" t="s">
        <v>48</v>
      </c>
      <c r="C576">
        <v>649163</v>
      </c>
      <c r="D576">
        <v>2026053294</v>
      </c>
      <c r="E576" t="s">
        <v>705</v>
      </c>
      <c r="F576" t="s">
        <v>393</v>
      </c>
      <c r="G576" t="s">
        <v>51</v>
      </c>
      <c r="H576" t="s">
        <v>101</v>
      </c>
      <c r="I576" t="s">
        <v>292</v>
      </c>
      <c r="J576" t="s">
        <v>293</v>
      </c>
      <c r="K576">
        <v>651818</v>
      </c>
      <c r="L576" t="s">
        <v>112</v>
      </c>
      <c r="M576" t="s">
        <v>104</v>
      </c>
      <c r="N576" t="s">
        <v>57</v>
      </c>
      <c r="O576" s="1">
        <v>45664</v>
      </c>
      <c r="Q576" s="1">
        <v>45968</v>
      </c>
      <c r="R576" s="2">
        <v>124.72</v>
      </c>
      <c r="S576">
        <v>1</v>
      </c>
      <c r="T576" t="s">
        <v>58</v>
      </c>
      <c r="U576" t="s">
        <v>359</v>
      </c>
      <c r="V576" s="3">
        <v>0.7</v>
      </c>
      <c r="W576" s="2">
        <v>0</v>
      </c>
      <c r="X576">
        <v>0</v>
      </c>
      <c r="Y576" t="s">
        <v>60</v>
      </c>
      <c r="Z576" t="s">
        <v>360</v>
      </c>
      <c r="AA576">
        <v>0</v>
      </c>
      <c r="AB576" s="2">
        <v>0</v>
      </c>
      <c r="AC576" s="2">
        <v>0</v>
      </c>
      <c r="AD576" s="3">
        <v>0</v>
      </c>
      <c r="AE576" s="2">
        <v>0</v>
      </c>
      <c r="AF576" s="2">
        <v>0</v>
      </c>
      <c r="AG576" s="2">
        <v>0</v>
      </c>
      <c r="AH576" s="2">
        <v>0</v>
      </c>
      <c r="AI576" s="2">
        <v>0</v>
      </c>
      <c r="AJ576" s="2">
        <v>0</v>
      </c>
      <c r="AK576" s="2">
        <v>0</v>
      </c>
      <c r="AL576" s="2">
        <v>0</v>
      </c>
      <c r="AM576" s="2">
        <v>87.3</v>
      </c>
      <c r="AN576" s="2">
        <v>87.3</v>
      </c>
      <c r="AO576" s="2">
        <v>0</v>
      </c>
      <c r="AP576" s="2">
        <v>0</v>
      </c>
      <c r="AQ576" s="2">
        <v>0</v>
      </c>
    </row>
    <row r="577" spans="1:43" x14ac:dyDescent="0.25">
      <c r="A577" s="1">
        <v>45936</v>
      </c>
      <c r="B577" t="s">
        <v>48</v>
      </c>
      <c r="C577">
        <v>649163</v>
      </c>
      <c r="D577">
        <v>2026056484</v>
      </c>
      <c r="E577" t="s">
        <v>864</v>
      </c>
      <c r="F577" t="s">
        <v>571</v>
      </c>
      <c r="G577" t="s">
        <v>51</v>
      </c>
      <c r="H577" t="s">
        <v>122</v>
      </c>
      <c r="I577" t="s">
        <v>292</v>
      </c>
      <c r="J577" t="s">
        <v>293</v>
      </c>
      <c r="K577">
        <v>651818</v>
      </c>
      <c r="L577" t="s">
        <v>112</v>
      </c>
      <c r="M577" t="s">
        <v>104</v>
      </c>
      <c r="N577" t="s">
        <v>57</v>
      </c>
      <c r="O577" s="1">
        <v>45664</v>
      </c>
      <c r="Q577" s="1">
        <v>45968</v>
      </c>
      <c r="R577" s="2">
        <v>46.72</v>
      </c>
      <c r="S577">
        <v>1</v>
      </c>
      <c r="T577" t="s">
        <v>58</v>
      </c>
      <c r="U577" t="s">
        <v>359</v>
      </c>
      <c r="V577" s="3">
        <v>0.7</v>
      </c>
      <c r="W577" s="2">
        <v>0</v>
      </c>
      <c r="X577">
        <v>0</v>
      </c>
      <c r="Y577" t="s">
        <v>60</v>
      </c>
      <c r="Z577" t="s">
        <v>360</v>
      </c>
      <c r="AA577">
        <v>0</v>
      </c>
      <c r="AB577" s="2">
        <v>0</v>
      </c>
      <c r="AC577" s="2">
        <v>0</v>
      </c>
      <c r="AD577" s="3">
        <v>0</v>
      </c>
      <c r="AE577" s="2">
        <v>0</v>
      </c>
      <c r="AF577" s="2">
        <v>0</v>
      </c>
      <c r="AG577" s="2">
        <v>0</v>
      </c>
      <c r="AH577" s="2">
        <v>0</v>
      </c>
      <c r="AI577" s="2">
        <v>0</v>
      </c>
      <c r="AJ577" s="2">
        <v>0</v>
      </c>
      <c r="AK577" s="2">
        <v>0</v>
      </c>
      <c r="AL577" s="2">
        <v>0</v>
      </c>
      <c r="AM577" s="2">
        <v>32.700000000000003</v>
      </c>
      <c r="AN577" s="2">
        <v>32.700000000000003</v>
      </c>
      <c r="AO577" s="2">
        <v>0</v>
      </c>
      <c r="AP577" s="2">
        <v>0</v>
      </c>
      <c r="AQ577" s="2">
        <v>0</v>
      </c>
    </row>
    <row r="578" spans="1:43" x14ac:dyDescent="0.25">
      <c r="A578" s="1">
        <v>45936</v>
      </c>
      <c r="B578" t="s">
        <v>48</v>
      </c>
      <c r="C578">
        <v>649163</v>
      </c>
      <c r="D578">
        <v>2026077464</v>
      </c>
      <c r="E578" t="s">
        <v>865</v>
      </c>
      <c r="F578" t="s">
        <v>740</v>
      </c>
      <c r="G578" t="s">
        <v>51</v>
      </c>
      <c r="H578" t="s">
        <v>101</v>
      </c>
      <c r="I578" t="s">
        <v>292</v>
      </c>
      <c r="J578" t="s">
        <v>293</v>
      </c>
      <c r="K578">
        <v>651818</v>
      </c>
      <c r="L578" t="s">
        <v>112</v>
      </c>
      <c r="M578" t="s">
        <v>104</v>
      </c>
      <c r="N578" t="s">
        <v>57</v>
      </c>
      <c r="O578" s="1">
        <v>45664</v>
      </c>
      <c r="Q578" s="1">
        <v>45968</v>
      </c>
      <c r="R578" s="2">
        <v>198.36</v>
      </c>
      <c r="S578">
        <v>1</v>
      </c>
      <c r="T578" t="s">
        <v>58</v>
      </c>
      <c r="U578" t="s">
        <v>359</v>
      </c>
      <c r="V578" s="3">
        <v>0.7</v>
      </c>
      <c r="W578" s="2">
        <v>0</v>
      </c>
      <c r="X578">
        <v>0</v>
      </c>
      <c r="Y578" t="s">
        <v>60</v>
      </c>
      <c r="Z578" t="s">
        <v>360</v>
      </c>
      <c r="AA578">
        <v>0</v>
      </c>
      <c r="AB578" s="2">
        <v>0</v>
      </c>
      <c r="AC578" s="2">
        <v>0</v>
      </c>
      <c r="AD578" s="3">
        <v>0</v>
      </c>
      <c r="AE578" s="2">
        <v>0</v>
      </c>
      <c r="AF578" s="2">
        <v>0</v>
      </c>
      <c r="AG578" s="2">
        <v>0</v>
      </c>
      <c r="AH578" s="2">
        <v>0</v>
      </c>
      <c r="AI578" s="2">
        <v>0</v>
      </c>
      <c r="AJ578" s="2">
        <v>0</v>
      </c>
      <c r="AK578" s="2">
        <v>0</v>
      </c>
      <c r="AL578" s="2">
        <v>0</v>
      </c>
      <c r="AM578" s="2">
        <v>138.85</v>
      </c>
      <c r="AN578" s="2">
        <v>138.85</v>
      </c>
      <c r="AO578" s="2">
        <v>0</v>
      </c>
      <c r="AP578" s="2">
        <v>0</v>
      </c>
      <c r="AQ578" s="2">
        <v>0</v>
      </c>
    </row>
    <row r="579" spans="1:43" x14ac:dyDescent="0.25">
      <c r="A579" s="1">
        <v>45936</v>
      </c>
      <c r="B579" t="s">
        <v>48</v>
      </c>
      <c r="C579">
        <v>649163</v>
      </c>
      <c r="D579">
        <v>2026082701</v>
      </c>
      <c r="E579" t="s">
        <v>706</v>
      </c>
      <c r="F579" t="s">
        <v>194</v>
      </c>
      <c r="G579" t="s">
        <v>51</v>
      </c>
      <c r="H579" t="s">
        <v>115</v>
      </c>
      <c r="I579" t="s">
        <v>292</v>
      </c>
      <c r="J579" t="s">
        <v>295</v>
      </c>
      <c r="K579">
        <v>651818</v>
      </c>
      <c r="L579" t="s">
        <v>112</v>
      </c>
      <c r="M579" t="s">
        <v>104</v>
      </c>
      <c r="N579" t="s">
        <v>57</v>
      </c>
      <c r="O579" s="1">
        <v>45664</v>
      </c>
      <c r="Q579" s="1">
        <v>45968</v>
      </c>
      <c r="R579" s="2">
        <v>74</v>
      </c>
      <c r="S579">
        <v>1</v>
      </c>
      <c r="T579" t="s">
        <v>58</v>
      </c>
      <c r="U579" t="s">
        <v>359</v>
      </c>
      <c r="V579" s="3">
        <v>0.9</v>
      </c>
      <c r="W579" s="2">
        <v>0</v>
      </c>
      <c r="X579">
        <v>0</v>
      </c>
      <c r="Y579" t="s">
        <v>60</v>
      </c>
      <c r="Z579" t="s">
        <v>360</v>
      </c>
      <c r="AA579">
        <v>0</v>
      </c>
      <c r="AB579" s="2">
        <v>0</v>
      </c>
      <c r="AC579" s="2">
        <v>0</v>
      </c>
      <c r="AD579" s="3">
        <v>0</v>
      </c>
      <c r="AE579" s="2">
        <v>0</v>
      </c>
      <c r="AF579" s="2">
        <v>0</v>
      </c>
      <c r="AG579" s="2">
        <v>0</v>
      </c>
      <c r="AH579" s="2">
        <v>0</v>
      </c>
      <c r="AI579" s="2">
        <v>0</v>
      </c>
      <c r="AJ579" s="2">
        <v>0</v>
      </c>
      <c r="AK579" s="2">
        <v>0</v>
      </c>
      <c r="AL579" s="2">
        <v>0</v>
      </c>
      <c r="AM579" s="2">
        <v>66.599999999999994</v>
      </c>
      <c r="AN579" s="2">
        <v>66.599999999999994</v>
      </c>
      <c r="AO579" s="2">
        <v>0</v>
      </c>
      <c r="AP579" s="2">
        <v>0</v>
      </c>
      <c r="AQ579" s="2">
        <v>0</v>
      </c>
    </row>
    <row r="580" spans="1:43" x14ac:dyDescent="0.25">
      <c r="A580" s="1">
        <v>45936</v>
      </c>
      <c r="B580" t="s">
        <v>48</v>
      </c>
      <c r="C580">
        <v>649163</v>
      </c>
      <c r="D580">
        <v>2026082702</v>
      </c>
      <c r="E580" t="s">
        <v>706</v>
      </c>
      <c r="F580" t="s">
        <v>194</v>
      </c>
      <c r="G580" t="s">
        <v>51</v>
      </c>
      <c r="H580" t="s">
        <v>115</v>
      </c>
      <c r="I580" t="s">
        <v>292</v>
      </c>
      <c r="J580" t="s">
        <v>293</v>
      </c>
      <c r="K580">
        <v>651818</v>
      </c>
      <c r="L580" t="s">
        <v>112</v>
      </c>
      <c r="M580" t="s">
        <v>104</v>
      </c>
      <c r="N580" t="s">
        <v>57</v>
      </c>
      <c r="O580" s="1">
        <v>45664</v>
      </c>
      <c r="Q580" s="1">
        <v>45968</v>
      </c>
      <c r="R580" s="2">
        <v>32.979999999999997</v>
      </c>
      <c r="S580">
        <v>1</v>
      </c>
      <c r="T580" t="s">
        <v>58</v>
      </c>
      <c r="U580" t="s">
        <v>359</v>
      </c>
      <c r="V580" s="3">
        <v>0.7</v>
      </c>
      <c r="W580" s="2">
        <v>0</v>
      </c>
      <c r="X580">
        <v>0</v>
      </c>
      <c r="Y580" t="s">
        <v>60</v>
      </c>
      <c r="Z580" t="s">
        <v>360</v>
      </c>
      <c r="AA580">
        <v>0</v>
      </c>
      <c r="AB580" s="2">
        <v>0</v>
      </c>
      <c r="AC580" s="2">
        <v>0</v>
      </c>
      <c r="AD580" s="3">
        <v>0</v>
      </c>
      <c r="AE580" s="2">
        <v>0</v>
      </c>
      <c r="AF580" s="2">
        <v>0</v>
      </c>
      <c r="AG580" s="2">
        <v>0</v>
      </c>
      <c r="AH580" s="2">
        <v>0</v>
      </c>
      <c r="AI580" s="2">
        <v>0</v>
      </c>
      <c r="AJ580" s="2">
        <v>0</v>
      </c>
      <c r="AK580" s="2">
        <v>0</v>
      </c>
      <c r="AL580" s="2">
        <v>0</v>
      </c>
      <c r="AM580" s="2">
        <v>23.09</v>
      </c>
      <c r="AN580" s="2">
        <v>23.09</v>
      </c>
      <c r="AO580" s="2">
        <v>0</v>
      </c>
      <c r="AP580" s="2">
        <v>0</v>
      </c>
      <c r="AQ580" s="2">
        <v>0</v>
      </c>
    </row>
    <row r="581" spans="1:43" x14ac:dyDescent="0.25">
      <c r="A581" s="1">
        <v>45936</v>
      </c>
      <c r="B581" t="s">
        <v>48</v>
      </c>
      <c r="C581">
        <v>649163</v>
      </c>
      <c r="D581">
        <v>2026083912</v>
      </c>
      <c r="E581" t="s">
        <v>866</v>
      </c>
      <c r="F581" t="s">
        <v>867</v>
      </c>
      <c r="G581" t="s">
        <v>51</v>
      </c>
      <c r="H581" t="s">
        <v>52</v>
      </c>
      <c r="I581" t="s">
        <v>292</v>
      </c>
      <c r="J581" t="s">
        <v>293</v>
      </c>
      <c r="K581">
        <v>651818</v>
      </c>
      <c r="L581" t="s">
        <v>112</v>
      </c>
      <c r="M581" t="s">
        <v>104</v>
      </c>
      <c r="N581" t="s">
        <v>57</v>
      </c>
      <c r="O581" s="1">
        <v>45664</v>
      </c>
      <c r="Q581" s="1">
        <v>45968</v>
      </c>
      <c r="R581" s="2">
        <v>210.64</v>
      </c>
      <c r="S581">
        <v>1</v>
      </c>
      <c r="T581" t="s">
        <v>58</v>
      </c>
      <c r="U581" t="s">
        <v>359</v>
      </c>
      <c r="V581" s="3">
        <v>0.7</v>
      </c>
      <c r="W581" s="2">
        <v>0</v>
      </c>
      <c r="X581">
        <v>0</v>
      </c>
      <c r="Y581" t="s">
        <v>60</v>
      </c>
      <c r="Z581" t="s">
        <v>360</v>
      </c>
      <c r="AA581">
        <v>0</v>
      </c>
      <c r="AB581" s="2">
        <v>0</v>
      </c>
      <c r="AC581" s="2">
        <v>0</v>
      </c>
      <c r="AD581" s="3">
        <v>0</v>
      </c>
      <c r="AE581" s="2">
        <v>0</v>
      </c>
      <c r="AF581" s="2">
        <v>0</v>
      </c>
      <c r="AG581" s="2">
        <v>0</v>
      </c>
      <c r="AH581" s="2">
        <v>0</v>
      </c>
      <c r="AI581" s="2">
        <v>0</v>
      </c>
      <c r="AJ581" s="2">
        <v>0</v>
      </c>
      <c r="AK581" s="2">
        <v>0</v>
      </c>
      <c r="AL581" s="2">
        <v>0</v>
      </c>
      <c r="AM581" s="2">
        <v>147.44999999999999</v>
      </c>
      <c r="AN581" s="2">
        <v>147.44999999999999</v>
      </c>
      <c r="AO581" s="2">
        <v>0</v>
      </c>
      <c r="AP581" s="2">
        <v>0</v>
      </c>
      <c r="AQ581" s="2">
        <v>0</v>
      </c>
    </row>
    <row r="582" spans="1:43" x14ac:dyDescent="0.25">
      <c r="A582" s="1">
        <v>45936</v>
      </c>
      <c r="B582" t="s">
        <v>48</v>
      </c>
      <c r="C582">
        <v>649163</v>
      </c>
      <c r="D582">
        <v>2026084802</v>
      </c>
      <c r="E582" t="s">
        <v>868</v>
      </c>
      <c r="F582" t="s">
        <v>708</v>
      </c>
      <c r="G582" t="s">
        <v>51</v>
      </c>
      <c r="H582" t="s">
        <v>101</v>
      </c>
      <c r="I582" t="s">
        <v>292</v>
      </c>
      <c r="J582" t="s">
        <v>293</v>
      </c>
      <c r="K582">
        <v>651818</v>
      </c>
      <c r="L582" t="s">
        <v>112</v>
      </c>
      <c r="M582" t="s">
        <v>104</v>
      </c>
      <c r="N582" t="s">
        <v>57</v>
      </c>
      <c r="O582" s="1">
        <v>45664</v>
      </c>
      <c r="Q582" s="1">
        <v>45968</v>
      </c>
      <c r="R582" s="2">
        <v>105.02</v>
      </c>
      <c r="S582">
        <v>1</v>
      </c>
      <c r="T582" t="s">
        <v>58</v>
      </c>
      <c r="U582" t="s">
        <v>359</v>
      </c>
      <c r="V582" s="3">
        <v>0.7</v>
      </c>
      <c r="W582" s="2">
        <v>0</v>
      </c>
      <c r="X582">
        <v>0</v>
      </c>
      <c r="Y582" t="s">
        <v>60</v>
      </c>
      <c r="Z582" t="s">
        <v>360</v>
      </c>
      <c r="AA582">
        <v>0</v>
      </c>
      <c r="AB582" s="2">
        <v>0</v>
      </c>
      <c r="AC582" s="2">
        <v>0</v>
      </c>
      <c r="AD582" s="3">
        <v>0</v>
      </c>
      <c r="AE582" s="2">
        <v>0</v>
      </c>
      <c r="AF582" s="2">
        <v>0</v>
      </c>
      <c r="AG582" s="2">
        <v>0</v>
      </c>
      <c r="AH582" s="2">
        <v>0</v>
      </c>
      <c r="AI582" s="2">
        <v>0</v>
      </c>
      <c r="AJ582" s="2">
        <v>0</v>
      </c>
      <c r="AK582" s="2">
        <v>0</v>
      </c>
      <c r="AL582" s="2">
        <v>0</v>
      </c>
      <c r="AM582" s="2">
        <v>73.510000000000005</v>
      </c>
      <c r="AN582" s="2">
        <v>73.510000000000005</v>
      </c>
      <c r="AO582" s="2">
        <v>0</v>
      </c>
      <c r="AP582" s="2">
        <v>0</v>
      </c>
      <c r="AQ582" s="2">
        <v>0</v>
      </c>
    </row>
    <row r="583" spans="1:43" x14ac:dyDescent="0.25">
      <c r="A583" s="1">
        <v>45936</v>
      </c>
      <c r="B583" t="s">
        <v>48</v>
      </c>
      <c r="C583">
        <v>649163</v>
      </c>
      <c r="D583">
        <v>2026099501</v>
      </c>
      <c r="E583" t="s">
        <v>707</v>
      </c>
      <c r="F583" t="s">
        <v>708</v>
      </c>
      <c r="G583" t="s">
        <v>51</v>
      </c>
      <c r="H583" t="s">
        <v>122</v>
      </c>
      <c r="I583" t="s">
        <v>292</v>
      </c>
      <c r="J583" t="s">
        <v>293</v>
      </c>
      <c r="K583">
        <v>651818</v>
      </c>
      <c r="L583" t="s">
        <v>112</v>
      </c>
      <c r="M583" t="s">
        <v>104</v>
      </c>
      <c r="N583" t="s">
        <v>57</v>
      </c>
      <c r="O583" s="1">
        <v>45664</v>
      </c>
      <c r="Q583" s="1">
        <v>45968</v>
      </c>
      <c r="R583" s="2">
        <v>31.28</v>
      </c>
      <c r="S583">
        <v>1</v>
      </c>
      <c r="T583" t="s">
        <v>58</v>
      </c>
      <c r="U583" t="s">
        <v>359</v>
      </c>
      <c r="V583" s="3">
        <v>0.7</v>
      </c>
      <c r="W583" s="2">
        <v>0</v>
      </c>
      <c r="X583">
        <v>0</v>
      </c>
      <c r="Y583" t="s">
        <v>60</v>
      </c>
      <c r="Z583" t="s">
        <v>360</v>
      </c>
      <c r="AA583">
        <v>0</v>
      </c>
      <c r="AB583" s="2">
        <v>0</v>
      </c>
      <c r="AC583" s="2">
        <v>0</v>
      </c>
      <c r="AD583" s="3">
        <v>0</v>
      </c>
      <c r="AE583" s="2">
        <v>0</v>
      </c>
      <c r="AF583" s="2">
        <v>0</v>
      </c>
      <c r="AG583" s="2">
        <v>0</v>
      </c>
      <c r="AH583" s="2">
        <v>0</v>
      </c>
      <c r="AI583" s="2">
        <v>0</v>
      </c>
      <c r="AJ583" s="2">
        <v>0</v>
      </c>
      <c r="AK583" s="2">
        <v>0</v>
      </c>
      <c r="AL583" s="2">
        <v>0</v>
      </c>
      <c r="AM583" s="2">
        <v>21.9</v>
      </c>
      <c r="AN583" s="2">
        <v>21.9</v>
      </c>
      <c r="AO583" s="2">
        <v>0</v>
      </c>
      <c r="AP583" s="2">
        <v>0</v>
      </c>
      <c r="AQ583" s="2">
        <v>0</v>
      </c>
    </row>
    <row r="584" spans="1:43" x14ac:dyDescent="0.25">
      <c r="A584" s="1">
        <v>45936</v>
      </c>
      <c r="B584" t="s">
        <v>48</v>
      </c>
      <c r="C584">
        <v>649163</v>
      </c>
      <c r="D584">
        <v>2026100107</v>
      </c>
      <c r="E584" t="s">
        <v>709</v>
      </c>
      <c r="F584" t="s">
        <v>671</v>
      </c>
      <c r="G584" t="s">
        <v>51</v>
      </c>
      <c r="H584" t="s">
        <v>122</v>
      </c>
      <c r="I584" t="s">
        <v>292</v>
      </c>
      <c r="J584" t="s">
        <v>295</v>
      </c>
      <c r="K584">
        <v>651818</v>
      </c>
      <c r="L584" t="s">
        <v>112</v>
      </c>
      <c r="M584" t="s">
        <v>104</v>
      </c>
      <c r="N584" t="s">
        <v>57</v>
      </c>
      <c r="O584" s="1">
        <v>45664</v>
      </c>
      <c r="Q584" s="1">
        <v>45968</v>
      </c>
      <c r="R584" s="2">
        <v>163.25</v>
      </c>
      <c r="S584">
        <v>1</v>
      </c>
      <c r="T584" t="s">
        <v>58</v>
      </c>
      <c r="U584" t="s">
        <v>359</v>
      </c>
      <c r="V584" s="3">
        <v>0.9</v>
      </c>
      <c r="W584" s="2">
        <v>0</v>
      </c>
      <c r="X584">
        <v>0</v>
      </c>
      <c r="Y584" t="s">
        <v>60</v>
      </c>
      <c r="Z584" t="s">
        <v>360</v>
      </c>
      <c r="AA584">
        <v>0</v>
      </c>
      <c r="AB584" s="2">
        <v>0</v>
      </c>
      <c r="AC584" s="2">
        <v>0</v>
      </c>
      <c r="AD584" s="3">
        <v>0</v>
      </c>
      <c r="AE584" s="2">
        <v>0</v>
      </c>
      <c r="AF584" s="2">
        <v>0</v>
      </c>
      <c r="AG584" s="2">
        <v>0</v>
      </c>
      <c r="AH584" s="2">
        <v>0</v>
      </c>
      <c r="AI584" s="2">
        <v>0</v>
      </c>
      <c r="AJ584" s="2">
        <v>0</v>
      </c>
      <c r="AK584" s="2">
        <v>0</v>
      </c>
      <c r="AL584" s="2">
        <v>0</v>
      </c>
      <c r="AM584" s="2">
        <v>146.91999999999999</v>
      </c>
      <c r="AN584" s="2">
        <v>146.91999999999999</v>
      </c>
      <c r="AO584" s="2">
        <v>0</v>
      </c>
      <c r="AP584" s="2">
        <v>0</v>
      </c>
      <c r="AQ584" s="2">
        <v>0</v>
      </c>
    </row>
    <row r="585" spans="1:43" x14ac:dyDescent="0.25">
      <c r="A585" s="1">
        <v>45936</v>
      </c>
      <c r="B585" t="s">
        <v>48</v>
      </c>
      <c r="C585">
        <v>649163</v>
      </c>
      <c r="D585">
        <v>2026103478</v>
      </c>
      <c r="E585" t="s">
        <v>712</v>
      </c>
      <c r="F585" t="s">
        <v>713</v>
      </c>
      <c r="G585" t="s">
        <v>51</v>
      </c>
      <c r="H585" t="s">
        <v>122</v>
      </c>
      <c r="I585" t="s">
        <v>292</v>
      </c>
      <c r="J585" t="s">
        <v>293</v>
      </c>
      <c r="K585">
        <v>651818</v>
      </c>
      <c r="L585" t="s">
        <v>112</v>
      </c>
      <c r="M585" t="s">
        <v>104</v>
      </c>
      <c r="N585" t="s">
        <v>57</v>
      </c>
      <c r="O585" s="1">
        <v>45664</v>
      </c>
      <c r="Q585" s="1">
        <v>45968</v>
      </c>
      <c r="R585" s="2">
        <v>46.72</v>
      </c>
      <c r="S585">
        <v>1</v>
      </c>
      <c r="T585" t="s">
        <v>58</v>
      </c>
      <c r="U585" t="s">
        <v>359</v>
      </c>
      <c r="V585" s="3">
        <v>0.7</v>
      </c>
      <c r="W585" s="2">
        <v>0</v>
      </c>
      <c r="X585">
        <v>0</v>
      </c>
      <c r="Y585" t="s">
        <v>60</v>
      </c>
      <c r="Z585" t="s">
        <v>360</v>
      </c>
      <c r="AA585">
        <v>0</v>
      </c>
      <c r="AB585" s="2">
        <v>0</v>
      </c>
      <c r="AC585" s="2">
        <v>0</v>
      </c>
      <c r="AD585" s="3">
        <v>0</v>
      </c>
      <c r="AE585" s="2">
        <v>0</v>
      </c>
      <c r="AF585" s="2">
        <v>0</v>
      </c>
      <c r="AG585" s="2">
        <v>0</v>
      </c>
      <c r="AH585" s="2">
        <v>0</v>
      </c>
      <c r="AI585" s="2">
        <v>0</v>
      </c>
      <c r="AJ585" s="2">
        <v>0</v>
      </c>
      <c r="AK585" s="2">
        <v>0</v>
      </c>
      <c r="AL585" s="2">
        <v>0</v>
      </c>
      <c r="AM585" s="2">
        <v>32.700000000000003</v>
      </c>
      <c r="AN585" s="2">
        <v>32.700000000000003</v>
      </c>
      <c r="AO585" s="2">
        <v>0</v>
      </c>
      <c r="AP585" s="2">
        <v>0</v>
      </c>
      <c r="AQ585" s="2">
        <v>0</v>
      </c>
    </row>
    <row r="586" spans="1:43" x14ac:dyDescent="0.25">
      <c r="A586" s="1">
        <v>45936</v>
      </c>
      <c r="B586" t="s">
        <v>48</v>
      </c>
      <c r="C586">
        <v>649163</v>
      </c>
      <c r="D586">
        <v>2026103480</v>
      </c>
      <c r="E586" t="s">
        <v>712</v>
      </c>
      <c r="F586" t="s">
        <v>713</v>
      </c>
      <c r="G586" t="s">
        <v>51</v>
      </c>
      <c r="H586" t="s">
        <v>122</v>
      </c>
      <c r="I586" t="s">
        <v>292</v>
      </c>
      <c r="J586" t="s">
        <v>295</v>
      </c>
      <c r="K586">
        <v>651818</v>
      </c>
      <c r="L586" t="s">
        <v>112</v>
      </c>
      <c r="M586" t="s">
        <v>104</v>
      </c>
      <c r="N586" t="s">
        <v>57</v>
      </c>
      <c r="O586" s="1">
        <v>45664</v>
      </c>
      <c r="Q586" s="1">
        <v>45968</v>
      </c>
      <c r="R586" s="2">
        <v>30.75</v>
      </c>
      <c r="S586">
        <v>1</v>
      </c>
      <c r="T586" t="s">
        <v>58</v>
      </c>
      <c r="U586" t="s">
        <v>359</v>
      </c>
      <c r="V586" s="3">
        <v>0.9</v>
      </c>
      <c r="W586" s="2">
        <v>0</v>
      </c>
      <c r="X586">
        <v>0</v>
      </c>
      <c r="Y586" t="s">
        <v>60</v>
      </c>
      <c r="Z586" t="s">
        <v>360</v>
      </c>
      <c r="AA586">
        <v>0</v>
      </c>
      <c r="AB586" s="2">
        <v>0</v>
      </c>
      <c r="AC586" s="2">
        <v>0</v>
      </c>
      <c r="AD586" s="3">
        <v>0</v>
      </c>
      <c r="AE586" s="2">
        <v>0</v>
      </c>
      <c r="AF586" s="2">
        <v>0</v>
      </c>
      <c r="AG586" s="2">
        <v>0</v>
      </c>
      <c r="AH586" s="2">
        <v>0</v>
      </c>
      <c r="AI586" s="2">
        <v>0</v>
      </c>
      <c r="AJ586" s="2">
        <v>0</v>
      </c>
      <c r="AK586" s="2">
        <v>0</v>
      </c>
      <c r="AL586" s="2">
        <v>0</v>
      </c>
      <c r="AM586" s="2">
        <v>27.68</v>
      </c>
      <c r="AN586" s="2">
        <v>27.68</v>
      </c>
      <c r="AO586" s="2">
        <v>0</v>
      </c>
      <c r="AP586" s="2">
        <v>0</v>
      </c>
      <c r="AQ586" s="2">
        <v>0</v>
      </c>
    </row>
    <row r="587" spans="1:43" x14ac:dyDescent="0.25">
      <c r="A587" s="1">
        <v>45936</v>
      </c>
      <c r="B587" t="s">
        <v>48</v>
      </c>
      <c r="C587">
        <v>649163</v>
      </c>
      <c r="D587">
        <v>2026113523</v>
      </c>
      <c r="E587" t="s">
        <v>714</v>
      </c>
      <c r="F587" t="s">
        <v>715</v>
      </c>
      <c r="G587" t="s">
        <v>51</v>
      </c>
      <c r="H587" t="s">
        <v>101</v>
      </c>
      <c r="I587" t="s">
        <v>292</v>
      </c>
      <c r="J587" t="s">
        <v>293</v>
      </c>
      <c r="K587">
        <v>651818</v>
      </c>
      <c r="L587" t="s">
        <v>112</v>
      </c>
      <c r="M587" t="s">
        <v>104</v>
      </c>
      <c r="N587" t="s">
        <v>57</v>
      </c>
      <c r="O587" s="1">
        <v>45664</v>
      </c>
      <c r="Q587" s="1">
        <v>45968</v>
      </c>
      <c r="R587" s="2">
        <v>284.54000000000002</v>
      </c>
      <c r="S587">
        <v>1</v>
      </c>
      <c r="T587" t="s">
        <v>58</v>
      </c>
      <c r="U587" t="s">
        <v>359</v>
      </c>
      <c r="V587" s="3">
        <v>0.7</v>
      </c>
      <c r="W587" s="2">
        <v>0</v>
      </c>
      <c r="X587">
        <v>0</v>
      </c>
      <c r="Y587" t="s">
        <v>60</v>
      </c>
      <c r="Z587" t="s">
        <v>360</v>
      </c>
      <c r="AA587">
        <v>0</v>
      </c>
      <c r="AB587" s="2">
        <v>0</v>
      </c>
      <c r="AC587" s="2">
        <v>0</v>
      </c>
      <c r="AD587" s="3">
        <v>0</v>
      </c>
      <c r="AE587" s="2">
        <v>0</v>
      </c>
      <c r="AF587" s="2">
        <v>0</v>
      </c>
      <c r="AG587" s="2">
        <v>0</v>
      </c>
      <c r="AH587" s="2">
        <v>0</v>
      </c>
      <c r="AI587" s="2">
        <v>0</v>
      </c>
      <c r="AJ587" s="2">
        <v>0</v>
      </c>
      <c r="AK587" s="2">
        <v>0</v>
      </c>
      <c r="AL587" s="2">
        <v>0</v>
      </c>
      <c r="AM587" s="2">
        <v>199.18</v>
      </c>
      <c r="AN587" s="2">
        <v>199.18</v>
      </c>
      <c r="AO587" s="2">
        <v>0</v>
      </c>
      <c r="AP587" s="2">
        <v>0</v>
      </c>
      <c r="AQ587" s="2">
        <v>0</v>
      </c>
    </row>
    <row r="588" spans="1:43" x14ac:dyDescent="0.25">
      <c r="A588" s="1">
        <v>45936</v>
      </c>
      <c r="B588" t="s">
        <v>48</v>
      </c>
      <c r="C588">
        <v>649163</v>
      </c>
      <c r="D588">
        <v>2026119932</v>
      </c>
      <c r="E588" t="s">
        <v>869</v>
      </c>
      <c r="F588" t="s">
        <v>648</v>
      </c>
      <c r="G588" t="s">
        <v>51</v>
      </c>
      <c r="H588" t="s">
        <v>79</v>
      </c>
      <c r="I588" t="s">
        <v>292</v>
      </c>
      <c r="J588" t="s">
        <v>293</v>
      </c>
      <c r="K588">
        <v>651818</v>
      </c>
      <c r="L588" t="s">
        <v>112</v>
      </c>
      <c r="M588" t="s">
        <v>104</v>
      </c>
      <c r="N588" t="s">
        <v>57</v>
      </c>
      <c r="O588" s="1">
        <v>45664</v>
      </c>
      <c r="Q588" s="1">
        <v>45968</v>
      </c>
      <c r="R588" s="2">
        <v>110.16</v>
      </c>
      <c r="S588">
        <v>1</v>
      </c>
      <c r="T588" t="s">
        <v>58</v>
      </c>
      <c r="U588" t="s">
        <v>359</v>
      </c>
      <c r="V588" s="3">
        <v>0.7</v>
      </c>
      <c r="W588" s="2">
        <v>0</v>
      </c>
      <c r="X588">
        <v>0</v>
      </c>
      <c r="Y588" t="s">
        <v>60</v>
      </c>
      <c r="Z588" t="s">
        <v>360</v>
      </c>
      <c r="AA588">
        <v>0</v>
      </c>
      <c r="AB588" s="2">
        <v>0</v>
      </c>
      <c r="AC588" s="2">
        <v>0</v>
      </c>
      <c r="AD588" s="3">
        <v>0</v>
      </c>
      <c r="AE588" s="2">
        <v>0</v>
      </c>
      <c r="AF588" s="2">
        <v>0</v>
      </c>
      <c r="AG588" s="2">
        <v>0</v>
      </c>
      <c r="AH588" s="2">
        <v>0</v>
      </c>
      <c r="AI588" s="2">
        <v>0</v>
      </c>
      <c r="AJ588" s="2">
        <v>0</v>
      </c>
      <c r="AK588" s="2">
        <v>0</v>
      </c>
      <c r="AL588" s="2">
        <v>0</v>
      </c>
      <c r="AM588" s="2">
        <v>77.11</v>
      </c>
      <c r="AN588" s="2">
        <v>77.11</v>
      </c>
      <c r="AO588" s="2">
        <v>0</v>
      </c>
      <c r="AP588" s="2">
        <v>0</v>
      </c>
      <c r="AQ588" s="2">
        <v>0</v>
      </c>
    </row>
    <row r="589" spans="1:43" x14ac:dyDescent="0.25">
      <c r="A589" s="1">
        <v>45936</v>
      </c>
      <c r="B589" t="s">
        <v>48</v>
      </c>
      <c r="C589">
        <v>649163</v>
      </c>
      <c r="D589">
        <v>2026126660</v>
      </c>
      <c r="E589" t="s">
        <v>696</v>
      </c>
      <c r="F589" t="s">
        <v>717</v>
      </c>
      <c r="G589" t="s">
        <v>51</v>
      </c>
      <c r="H589" t="s">
        <v>52</v>
      </c>
      <c r="I589" t="s">
        <v>292</v>
      </c>
      <c r="J589" t="s">
        <v>293</v>
      </c>
      <c r="K589">
        <v>651818</v>
      </c>
      <c r="L589" t="s">
        <v>112</v>
      </c>
      <c r="M589" t="s">
        <v>104</v>
      </c>
      <c r="N589" t="s">
        <v>57</v>
      </c>
      <c r="O589" s="1">
        <v>45664</v>
      </c>
      <c r="Q589" s="1">
        <v>45968</v>
      </c>
      <c r="R589" s="2">
        <v>140.6</v>
      </c>
      <c r="S589">
        <v>1</v>
      </c>
      <c r="T589" t="s">
        <v>58</v>
      </c>
      <c r="U589" t="s">
        <v>359</v>
      </c>
      <c r="V589" s="3">
        <v>0.7</v>
      </c>
      <c r="W589" s="2">
        <v>0</v>
      </c>
      <c r="X589">
        <v>0</v>
      </c>
      <c r="Y589" t="s">
        <v>60</v>
      </c>
      <c r="Z589" t="s">
        <v>360</v>
      </c>
      <c r="AA589">
        <v>0</v>
      </c>
      <c r="AB589" s="2">
        <v>0</v>
      </c>
      <c r="AC589" s="2">
        <v>0</v>
      </c>
      <c r="AD589" s="3">
        <v>0</v>
      </c>
      <c r="AE589" s="2">
        <v>0</v>
      </c>
      <c r="AF589" s="2">
        <v>0</v>
      </c>
      <c r="AG589" s="2">
        <v>0</v>
      </c>
      <c r="AH589" s="2">
        <v>0</v>
      </c>
      <c r="AI589" s="2">
        <v>0</v>
      </c>
      <c r="AJ589" s="2">
        <v>0</v>
      </c>
      <c r="AK589" s="2">
        <v>0</v>
      </c>
      <c r="AL589" s="2">
        <v>0</v>
      </c>
      <c r="AM589" s="2">
        <v>98.42</v>
      </c>
      <c r="AN589" s="2">
        <v>98.42</v>
      </c>
      <c r="AO589" s="2">
        <v>0</v>
      </c>
      <c r="AP589" s="2">
        <v>0</v>
      </c>
      <c r="AQ589" s="2">
        <v>0</v>
      </c>
    </row>
    <row r="590" spans="1:43" x14ac:dyDescent="0.25">
      <c r="A590" s="1">
        <v>45936</v>
      </c>
      <c r="B590" t="s">
        <v>48</v>
      </c>
      <c r="C590">
        <v>649163</v>
      </c>
      <c r="D590">
        <v>2026131288</v>
      </c>
      <c r="E590" t="s">
        <v>870</v>
      </c>
      <c r="F590" t="s">
        <v>871</v>
      </c>
      <c r="G590" t="s">
        <v>51</v>
      </c>
      <c r="H590" t="s">
        <v>52</v>
      </c>
      <c r="I590" t="s">
        <v>292</v>
      </c>
      <c r="J590" t="s">
        <v>293</v>
      </c>
      <c r="K590">
        <v>651818</v>
      </c>
      <c r="L590" t="s">
        <v>112</v>
      </c>
      <c r="M590" t="s">
        <v>104</v>
      </c>
      <c r="N590" t="s">
        <v>57</v>
      </c>
      <c r="O590" s="1">
        <v>45664</v>
      </c>
      <c r="Q590" s="1">
        <v>45968</v>
      </c>
      <c r="R590" s="2">
        <v>176.94</v>
      </c>
      <c r="S590">
        <v>1</v>
      </c>
      <c r="T590" t="s">
        <v>58</v>
      </c>
      <c r="U590" t="s">
        <v>359</v>
      </c>
      <c r="V590" s="3">
        <v>0.7</v>
      </c>
      <c r="W590" s="2">
        <v>0</v>
      </c>
      <c r="X590">
        <v>0</v>
      </c>
      <c r="Y590" t="s">
        <v>60</v>
      </c>
      <c r="Z590" t="s">
        <v>360</v>
      </c>
      <c r="AA590">
        <v>0</v>
      </c>
      <c r="AB590" s="2">
        <v>0</v>
      </c>
      <c r="AC590" s="2">
        <v>0</v>
      </c>
      <c r="AD590" s="3">
        <v>0</v>
      </c>
      <c r="AE590" s="2">
        <v>0</v>
      </c>
      <c r="AF590" s="2">
        <v>0</v>
      </c>
      <c r="AG590" s="2">
        <v>0</v>
      </c>
      <c r="AH590" s="2">
        <v>0</v>
      </c>
      <c r="AI590" s="2">
        <v>0</v>
      </c>
      <c r="AJ590" s="2">
        <v>0</v>
      </c>
      <c r="AK590" s="2">
        <v>0</v>
      </c>
      <c r="AL590" s="2">
        <v>0</v>
      </c>
      <c r="AM590" s="2">
        <v>123.86</v>
      </c>
      <c r="AN590" s="2">
        <v>123.86</v>
      </c>
      <c r="AO590" s="2">
        <v>0</v>
      </c>
      <c r="AP590" s="2">
        <v>0</v>
      </c>
      <c r="AQ590" s="2">
        <v>0</v>
      </c>
    </row>
    <row r="591" spans="1:43" x14ac:dyDescent="0.25">
      <c r="A591" s="1">
        <v>45936</v>
      </c>
      <c r="B591" t="s">
        <v>48</v>
      </c>
      <c r="C591">
        <v>649163</v>
      </c>
      <c r="D591">
        <v>2026145112</v>
      </c>
      <c r="E591" t="s">
        <v>718</v>
      </c>
      <c r="F591" t="s">
        <v>482</v>
      </c>
      <c r="G591" t="s">
        <v>51</v>
      </c>
      <c r="H591" t="s">
        <v>376</v>
      </c>
      <c r="I591" t="s">
        <v>292</v>
      </c>
      <c r="J591" t="s">
        <v>293</v>
      </c>
      <c r="K591">
        <v>651818</v>
      </c>
      <c r="L591" t="s">
        <v>112</v>
      </c>
      <c r="M591" t="s">
        <v>104</v>
      </c>
      <c r="N591" t="s">
        <v>57</v>
      </c>
      <c r="O591" s="1">
        <v>45664</v>
      </c>
      <c r="Q591" s="1">
        <v>45968</v>
      </c>
      <c r="R591" s="2">
        <v>50.48</v>
      </c>
      <c r="S591">
        <v>1</v>
      </c>
      <c r="T591" t="s">
        <v>58</v>
      </c>
      <c r="U591" t="s">
        <v>359</v>
      </c>
      <c r="V591" s="3">
        <v>0.7</v>
      </c>
      <c r="W591" s="2">
        <v>0</v>
      </c>
      <c r="X591">
        <v>0</v>
      </c>
      <c r="Y591" t="s">
        <v>60</v>
      </c>
      <c r="Z591" t="s">
        <v>360</v>
      </c>
      <c r="AA591">
        <v>0</v>
      </c>
      <c r="AB591" s="2">
        <v>0</v>
      </c>
      <c r="AC591" s="2">
        <v>0</v>
      </c>
      <c r="AD591" s="3">
        <v>0</v>
      </c>
      <c r="AE591" s="2">
        <v>0</v>
      </c>
      <c r="AF591" s="2">
        <v>0</v>
      </c>
      <c r="AG591" s="2">
        <v>0</v>
      </c>
      <c r="AH591" s="2">
        <v>0</v>
      </c>
      <c r="AI591" s="2">
        <v>0</v>
      </c>
      <c r="AJ591" s="2">
        <v>0</v>
      </c>
      <c r="AK591" s="2">
        <v>0</v>
      </c>
      <c r="AL591" s="2">
        <v>0</v>
      </c>
      <c r="AM591" s="2">
        <v>35.340000000000003</v>
      </c>
      <c r="AN591" s="2">
        <v>35.340000000000003</v>
      </c>
      <c r="AO591" s="2">
        <v>0</v>
      </c>
      <c r="AP591" s="2">
        <v>0</v>
      </c>
      <c r="AQ591" s="2">
        <v>0</v>
      </c>
    </row>
    <row r="592" spans="1:43" x14ac:dyDescent="0.25">
      <c r="A592" s="1">
        <v>45936</v>
      </c>
      <c r="B592" t="s">
        <v>48</v>
      </c>
      <c r="C592">
        <v>649163</v>
      </c>
      <c r="D592">
        <v>2026150039</v>
      </c>
      <c r="E592" t="s">
        <v>719</v>
      </c>
      <c r="F592" t="s">
        <v>276</v>
      </c>
      <c r="G592" t="s">
        <v>51</v>
      </c>
      <c r="H592" t="s">
        <v>101</v>
      </c>
      <c r="I592" t="s">
        <v>292</v>
      </c>
      <c r="J592" t="s">
        <v>293</v>
      </c>
      <c r="K592">
        <v>651818</v>
      </c>
      <c r="L592" t="s">
        <v>112</v>
      </c>
      <c r="M592" t="s">
        <v>104</v>
      </c>
      <c r="N592" t="s">
        <v>57</v>
      </c>
      <c r="O592" s="1">
        <v>45664</v>
      </c>
      <c r="Q592" s="1">
        <v>45968</v>
      </c>
      <c r="R592" s="2">
        <v>72.760000000000005</v>
      </c>
      <c r="S592">
        <v>1</v>
      </c>
      <c r="T592" t="s">
        <v>58</v>
      </c>
      <c r="U592" t="s">
        <v>359</v>
      </c>
      <c r="V592" s="3">
        <v>0.7</v>
      </c>
      <c r="W592" s="2">
        <v>0</v>
      </c>
      <c r="X592">
        <v>0</v>
      </c>
      <c r="Y592" t="s">
        <v>60</v>
      </c>
      <c r="Z592" t="s">
        <v>360</v>
      </c>
      <c r="AA592">
        <v>0</v>
      </c>
      <c r="AB592" s="2">
        <v>0</v>
      </c>
      <c r="AC592" s="2">
        <v>0</v>
      </c>
      <c r="AD592" s="3">
        <v>0</v>
      </c>
      <c r="AE592" s="2">
        <v>0</v>
      </c>
      <c r="AF592" s="2">
        <v>0</v>
      </c>
      <c r="AG592" s="2">
        <v>0</v>
      </c>
      <c r="AH592" s="2">
        <v>0</v>
      </c>
      <c r="AI592" s="2">
        <v>0</v>
      </c>
      <c r="AJ592" s="2">
        <v>0</v>
      </c>
      <c r="AK592" s="2">
        <v>0</v>
      </c>
      <c r="AL592" s="2">
        <v>0</v>
      </c>
      <c r="AM592" s="2">
        <v>50.93</v>
      </c>
      <c r="AN592" s="2">
        <v>50.93</v>
      </c>
      <c r="AO592" s="2">
        <v>0</v>
      </c>
      <c r="AP592" s="2">
        <v>0</v>
      </c>
      <c r="AQ592" s="2">
        <v>0</v>
      </c>
    </row>
    <row r="593" spans="1:43" x14ac:dyDescent="0.25">
      <c r="A593" s="1">
        <v>45936</v>
      </c>
      <c r="B593" t="s">
        <v>48</v>
      </c>
      <c r="C593">
        <v>649163</v>
      </c>
      <c r="D593">
        <v>2026153413</v>
      </c>
      <c r="E593" t="s">
        <v>872</v>
      </c>
      <c r="F593" t="s">
        <v>740</v>
      </c>
      <c r="G593" t="s">
        <v>51</v>
      </c>
      <c r="H593" t="s">
        <v>310</v>
      </c>
      <c r="I593" t="s">
        <v>292</v>
      </c>
      <c r="J593" t="s">
        <v>293</v>
      </c>
      <c r="K593">
        <v>651818</v>
      </c>
      <c r="L593" t="s">
        <v>112</v>
      </c>
      <c r="M593" t="s">
        <v>104</v>
      </c>
      <c r="N593" t="s">
        <v>57</v>
      </c>
      <c r="O593" s="1">
        <v>45664</v>
      </c>
      <c r="Q593" s="1">
        <v>45968</v>
      </c>
      <c r="R593" s="2">
        <v>223.92</v>
      </c>
      <c r="S593">
        <v>1</v>
      </c>
      <c r="T593" t="s">
        <v>58</v>
      </c>
      <c r="U593" t="s">
        <v>359</v>
      </c>
      <c r="V593" s="3">
        <v>0.7</v>
      </c>
      <c r="W593" s="2">
        <v>0</v>
      </c>
      <c r="X593">
        <v>0</v>
      </c>
      <c r="Y593" t="s">
        <v>60</v>
      </c>
      <c r="Z593" t="s">
        <v>360</v>
      </c>
      <c r="AA593">
        <v>0</v>
      </c>
      <c r="AB593" s="2">
        <v>0</v>
      </c>
      <c r="AC593" s="2">
        <v>0</v>
      </c>
      <c r="AD593" s="3">
        <v>0</v>
      </c>
      <c r="AE593" s="2">
        <v>0</v>
      </c>
      <c r="AF593" s="2">
        <v>0</v>
      </c>
      <c r="AG593" s="2">
        <v>0</v>
      </c>
      <c r="AH593" s="2">
        <v>0</v>
      </c>
      <c r="AI593" s="2">
        <v>0</v>
      </c>
      <c r="AJ593" s="2">
        <v>0</v>
      </c>
      <c r="AK593" s="2">
        <v>0</v>
      </c>
      <c r="AL593" s="2">
        <v>0</v>
      </c>
      <c r="AM593" s="2">
        <v>156.74</v>
      </c>
      <c r="AN593" s="2">
        <v>156.74</v>
      </c>
      <c r="AO593" s="2">
        <v>0</v>
      </c>
      <c r="AP593" s="2">
        <v>0</v>
      </c>
      <c r="AQ593" s="2">
        <v>0</v>
      </c>
    </row>
    <row r="594" spans="1:43" x14ac:dyDescent="0.25">
      <c r="A594" s="1">
        <v>45936</v>
      </c>
      <c r="B594" t="s">
        <v>48</v>
      </c>
      <c r="C594">
        <v>649163</v>
      </c>
      <c r="D594">
        <v>2026153889</v>
      </c>
      <c r="E594" t="s">
        <v>872</v>
      </c>
      <c r="F594" t="s">
        <v>873</v>
      </c>
      <c r="G594" t="s">
        <v>51</v>
      </c>
      <c r="H594" t="s">
        <v>310</v>
      </c>
      <c r="I594" t="s">
        <v>292</v>
      </c>
      <c r="J594" t="s">
        <v>293</v>
      </c>
      <c r="K594">
        <v>651818</v>
      </c>
      <c r="L594" t="s">
        <v>112</v>
      </c>
      <c r="M594" t="s">
        <v>104</v>
      </c>
      <c r="N594" t="s">
        <v>57</v>
      </c>
      <c r="O594" s="1">
        <v>45664</v>
      </c>
      <c r="Q594" s="1">
        <v>45968</v>
      </c>
      <c r="R594" s="2">
        <v>60.76</v>
      </c>
      <c r="S594">
        <v>1</v>
      </c>
      <c r="T594" t="s">
        <v>58</v>
      </c>
      <c r="U594" t="s">
        <v>359</v>
      </c>
      <c r="V594" s="3">
        <v>0.7</v>
      </c>
      <c r="W594" s="2">
        <v>0</v>
      </c>
      <c r="X594">
        <v>0</v>
      </c>
      <c r="Y594" t="s">
        <v>60</v>
      </c>
      <c r="Z594" t="s">
        <v>360</v>
      </c>
      <c r="AA594">
        <v>0</v>
      </c>
      <c r="AB594" s="2">
        <v>0</v>
      </c>
      <c r="AC594" s="2">
        <v>0</v>
      </c>
      <c r="AD594" s="3">
        <v>0</v>
      </c>
      <c r="AE594" s="2">
        <v>0</v>
      </c>
      <c r="AF594" s="2">
        <v>0</v>
      </c>
      <c r="AG594" s="2">
        <v>0</v>
      </c>
      <c r="AH594" s="2">
        <v>0</v>
      </c>
      <c r="AI594" s="2">
        <v>0</v>
      </c>
      <c r="AJ594" s="2">
        <v>0</v>
      </c>
      <c r="AK594" s="2">
        <v>0</v>
      </c>
      <c r="AL594" s="2">
        <v>0</v>
      </c>
      <c r="AM594" s="2">
        <v>42.53</v>
      </c>
      <c r="AN594" s="2">
        <v>42.53</v>
      </c>
      <c r="AO594" s="2">
        <v>0</v>
      </c>
      <c r="AP594" s="2">
        <v>0</v>
      </c>
      <c r="AQ594" s="2">
        <v>0</v>
      </c>
    </row>
    <row r="595" spans="1:43" x14ac:dyDescent="0.25">
      <c r="A595" s="1">
        <v>45936</v>
      </c>
      <c r="B595" t="s">
        <v>48</v>
      </c>
      <c r="C595">
        <v>649163</v>
      </c>
      <c r="D595">
        <v>2026154680</v>
      </c>
      <c r="E595" t="s">
        <v>720</v>
      </c>
      <c r="F595" t="s">
        <v>721</v>
      </c>
      <c r="G595" t="s">
        <v>51</v>
      </c>
      <c r="H595" t="s">
        <v>122</v>
      </c>
      <c r="I595" t="s">
        <v>292</v>
      </c>
      <c r="J595" t="s">
        <v>293</v>
      </c>
      <c r="K595">
        <v>651818</v>
      </c>
      <c r="L595" t="s">
        <v>112</v>
      </c>
      <c r="M595" t="s">
        <v>104</v>
      </c>
      <c r="N595" t="s">
        <v>57</v>
      </c>
      <c r="O595" s="1">
        <v>45664</v>
      </c>
      <c r="Q595" s="1">
        <v>45968</v>
      </c>
      <c r="R595" s="2">
        <v>46.72</v>
      </c>
      <c r="S595">
        <v>1</v>
      </c>
      <c r="T595" t="s">
        <v>58</v>
      </c>
      <c r="U595" t="s">
        <v>359</v>
      </c>
      <c r="V595" s="3">
        <v>0.7</v>
      </c>
      <c r="W595" s="2">
        <v>0</v>
      </c>
      <c r="X595">
        <v>0</v>
      </c>
      <c r="Y595" t="s">
        <v>60</v>
      </c>
      <c r="Z595" t="s">
        <v>360</v>
      </c>
      <c r="AA595">
        <v>0</v>
      </c>
      <c r="AB595" s="2">
        <v>0</v>
      </c>
      <c r="AC595" s="2">
        <v>0</v>
      </c>
      <c r="AD595" s="3">
        <v>0</v>
      </c>
      <c r="AE595" s="2">
        <v>0</v>
      </c>
      <c r="AF595" s="2">
        <v>0</v>
      </c>
      <c r="AG595" s="2">
        <v>0</v>
      </c>
      <c r="AH595" s="2">
        <v>0</v>
      </c>
      <c r="AI595" s="2">
        <v>0</v>
      </c>
      <c r="AJ595" s="2">
        <v>0</v>
      </c>
      <c r="AK595" s="2">
        <v>0</v>
      </c>
      <c r="AL595" s="2">
        <v>0</v>
      </c>
      <c r="AM595" s="2">
        <v>32.700000000000003</v>
      </c>
      <c r="AN595" s="2">
        <v>32.700000000000003</v>
      </c>
      <c r="AO595" s="2">
        <v>0</v>
      </c>
      <c r="AP595" s="2">
        <v>0</v>
      </c>
      <c r="AQ595" s="2">
        <v>0</v>
      </c>
    </row>
    <row r="596" spans="1:43" x14ac:dyDescent="0.25">
      <c r="A596" s="1">
        <v>45936</v>
      </c>
      <c r="B596" t="s">
        <v>48</v>
      </c>
      <c r="C596">
        <v>649163</v>
      </c>
      <c r="D596">
        <v>2026155452</v>
      </c>
      <c r="E596" t="s">
        <v>722</v>
      </c>
      <c r="F596" t="s">
        <v>723</v>
      </c>
      <c r="G596" t="s">
        <v>51</v>
      </c>
      <c r="H596" t="s">
        <v>724</v>
      </c>
      <c r="I596" t="s">
        <v>292</v>
      </c>
      <c r="J596" t="s">
        <v>293</v>
      </c>
      <c r="K596">
        <v>651818</v>
      </c>
      <c r="L596" t="s">
        <v>112</v>
      </c>
      <c r="M596" t="s">
        <v>104</v>
      </c>
      <c r="N596" t="s">
        <v>57</v>
      </c>
      <c r="O596" s="1">
        <v>45664</v>
      </c>
      <c r="Q596" s="1">
        <v>45968</v>
      </c>
      <c r="R596" s="2">
        <v>135.84</v>
      </c>
      <c r="S596">
        <v>1</v>
      </c>
      <c r="T596" t="s">
        <v>58</v>
      </c>
      <c r="U596" t="s">
        <v>359</v>
      </c>
      <c r="V596" s="3">
        <v>0.7</v>
      </c>
      <c r="W596" s="2">
        <v>0</v>
      </c>
      <c r="X596">
        <v>0</v>
      </c>
      <c r="Y596" t="s">
        <v>60</v>
      </c>
      <c r="Z596" t="s">
        <v>360</v>
      </c>
      <c r="AA596">
        <v>0</v>
      </c>
      <c r="AB596" s="2">
        <v>0</v>
      </c>
      <c r="AC596" s="2">
        <v>0</v>
      </c>
      <c r="AD596" s="3">
        <v>0</v>
      </c>
      <c r="AE596" s="2">
        <v>0</v>
      </c>
      <c r="AF596" s="2">
        <v>0</v>
      </c>
      <c r="AG596" s="2">
        <v>0</v>
      </c>
      <c r="AH596" s="2">
        <v>0</v>
      </c>
      <c r="AI596" s="2">
        <v>0</v>
      </c>
      <c r="AJ596" s="2">
        <v>0</v>
      </c>
      <c r="AK596" s="2">
        <v>0</v>
      </c>
      <c r="AL596" s="2">
        <v>0</v>
      </c>
      <c r="AM596" s="2">
        <v>95.09</v>
      </c>
      <c r="AN596" s="2">
        <v>95.09</v>
      </c>
      <c r="AO596" s="2">
        <v>0</v>
      </c>
      <c r="AP596" s="2">
        <v>0</v>
      </c>
      <c r="AQ596" s="2">
        <v>0</v>
      </c>
    </row>
    <row r="597" spans="1:43" x14ac:dyDescent="0.25">
      <c r="A597" s="1">
        <v>45936</v>
      </c>
      <c r="B597" t="s">
        <v>48</v>
      </c>
      <c r="C597">
        <v>649163</v>
      </c>
      <c r="D597">
        <v>2026175248</v>
      </c>
      <c r="E597" t="s">
        <v>726</v>
      </c>
      <c r="F597" t="s">
        <v>727</v>
      </c>
      <c r="G597" t="s">
        <v>51</v>
      </c>
      <c r="H597" t="s">
        <v>101</v>
      </c>
      <c r="I597" t="s">
        <v>292</v>
      </c>
      <c r="J597" t="s">
        <v>293</v>
      </c>
      <c r="K597">
        <v>651818</v>
      </c>
      <c r="L597" t="s">
        <v>112</v>
      </c>
      <c r="M597" t="s">
        <v>104</v>
      </c>
      <c r="N597" t="s">
        <v>57</v>
      </c>
      <c r="O597" s="1">
        <v>45664</v>
      </c>
      <c r="Q597" s="1">
        <v>45968</v>
      </c>
      <c r="R597" s="2">
        <v>52</v>
      </c>
      <c r="S597">
        <v>1</v>
      </c>
      <c r="T597" t="s">
        <v>58</v>
      </c>
      <c r="U597" t="s">
        <v>359</v>
      </c>
      <c r="V597" s="3">
        <v>0.7</v>
      </c>
      <c r="W597" s="2">
        <v>0</v>
      </c>
      <c r="X597">
        <v>0</v>
      </c>
      <c r="Y597" t="s">
        <v>60</v>
      </c>
      <c r="Z597" t="s">
        <v>360</v>
      </c>
      <c r="AA597">
        <v>0</v>
      </c>
      <c r="AB597" s="2">
        <v>0</v>
      </c>
      <c r="AC597" s="2">
        <v>0</v>
      </c>
      <c r="AD597" s="3">
        <v>0</v>
      </c>
      <c r="AE597" s="2">
        <v>0</v>
      </c>
      <c r="AF597" s="2">
        <v>0</v>
      </c>
      <c r="AG597" s="2">
        <v>0</v>
      </c>
      <c r="AH597" s="2">
        <v>0</v>
      </c>
      <c r="AI597" s="2">
        <v>0</v>
      </c>
      <c r="AJ597" s="2">
        <v>0</v>
      </c>
      <c r="AK597" s="2">
        <v>0</v>
      </c>
      <c r="AL597" s="2">
        <v>0</v>
      </c>
      <c r="AM597" s="2">
        <v>36.4</v>
      </c>
      <c r="AN597" s="2">
        <v>36.4</v>
      </c>
      <c r="AO597" s="2">
        <v>0</v>
      </c>
      <c r="AP597" s="2">
        <v>0</v>
      </c>
      <c r="AQ597" s="2">
        <v>0</v>
      </c>
    </row>
    <row r="598" spans="1:43" x14ac:dyDescent="0.25">
      <c r="A598" s="1">
        <v>45936</v>
      </c>
      <c r="B598" t="s">
        <v>48</v>
      </c>
      <c r="C598">
        <v>649163</v>
      </c>
      <c r="D598">
        <v>2026185826</v>
      </c>
      <c r="E598" t="s">
        <v>463</v>
      </c>
      <c r="F598" t="s">
        <v>874</v>
      </c>
      <c r="G598" t="s">
        <v>51</v>
      </c>
      <c r="H598" t="s">
        <v>101</v>
      </c>
      <c r="I598" t="s">
        <v>292</v>
      </c>
      <c r="J598" t="s">
        <v>295</v>
      </c>
      <c r="K598">
        <v>651818</v>
      </c>
      <c r="L598" t="s">
        <v>112</v>
      </c>
      <c r="M598" t="s">
        <v>104</v>
      </c>
      <c r="N598" t="s">
        <v>57</v>
      </c>
      <c r="O598" s="1">
        <v>45664</v>
      </c>
      <c r="Q598" s="1">
        <v>45968</v>
      </c>
      <c r="R598" s="2">
        <v>99.25</v>
      </c>
      <c r="S598">
        <v>1</v>
      </c>
      <c r="T598" t="s">
        <v>58</v>
      </c>
      <c r="U598" t="s">
        <v>359</v>
      </c>
      <c r="V598" s="3">
        <v>0.9</v>
      </c>
      <c r="W598" s="2">
        <v>0</v>
      </c>
      <c r="X598">
        <v>0</v>
      </c>
      <c r="Y598" t="s">
        <v>60</v>
      </c>
      <c r="Z598" t="s">
        <v>360</v>
      </c>
      <c r="AA598">
        <v>0</v>
      </c>
      <c r="AB598" s="2">
        <v>0</v>
      </c>
      <c r="AC598" s="2">
        <v>0</v>
      </c>
      <c r="AD598" s="3">
        <v>0</v>
      </c>
      <c r="AE598" s="2">
        <v>0</v>
      </c>
      <c r="AF598" s="2">
        <v>0</v>
      </c>
      <c r="AG598" s="2">
        <v>0</v>
      </c>
      <c r="AH598" s="2">
        <v>0</v>
      </c>
      <c r="AI598" s="2">
        <v>0</v>
      </c>
      <c r="AJ598" s="2">
        <v>0</v>
      </c>
      <c r="AK598" s="2">
        <v>0</v>
      </c>
      <c r="AL598" s="2">
        <v>0</v>
      </c>
      <c r="AM598" s="2">
        <v>89.32</v>
      </c>
      <c r="AN598" s="2">
        <v>89.32</v>
      </c>
      <c r="AO598" s="2">
        <v>0</v>
      </c>
      <c r="AP598" s="2">
        <v>0</v>
      </c>
      <c r="AQ598" s="2">
        <v>0</v>
      </c>
    </row>
    <row r="599" spans="1:43" x14ac:dyDescent="0.25">
      <c r="A599" s="1">
        <v>45936</v>
      </c>
      <c r="B599" t="s">
        <v>48</v>
      </c>
      <c r="C599">
        <v>649163</v>
      </c>
      <c r="D599">
        <v>2026189683</v>
      </c>
      <c r="E599" t="s">
        <v>875</v>
      </c>
      <c r="F599" t="s">
        <v>671</v>
      </c>
      <c r="G599" t="s">
        <v>51</v>
      </c>
      <c r="H599" t="s">
        <v>88</v>
      </c>
      <c r="I599" t="s">
        <v>292</v>
      </c>
      <c r="J599" t="s">
        <v>293</v>
      </c>
      <c r="K599">
        <v>778902</v>
      </c>
      <c r="L599" t="s">
        <v>876</v>
      </c>
      <c r="M599" t="s">
        <v>362</v>
      </c>
      <c r="N599" t="s">
        <v>57</v>
      </c>
      <c r="O599" s="1">
        <v>45658</v>
      </c>
      <c r="Q599" s="1">
        <v>45962</v>
      </c>
      <c r="R599" s="2">
        <v>17.809999999999999</v>
      </c>
      <c r="S599">
        <v>1</v>
      </c>
      <c r="T599" t="s">
        <v>58</v>
      </c>
      <c r="U599" t="s">
        <v>359</v>
      </c>
      <c r="V599" s="3">
        <v>0.7</v>
      </c>
      <c r="W599" s="2">
        <v>0</v>
      </c>
      <c r="X599">
        <v>0</v>
      </c>
      <c r="Y599" t="s">
        <v>60</v>
      </c>
      <c r="Z599" t="s">
        <v>360</v>
      </c>
      <c r="AA599">
        <v>0</v>
      </c>
      <c r="AB599" s="2">
        <v>0</v>
      </c>
      <c r="AC599" s="2">
        <v>0</v>
      </c>
      <c r="AD599" s="3">
        <v>0</v>
      </c>
      <c r="AE599" s="2">
        <v>0</v>
      </c>
      <c r="AF599" s="2">
        <v>0</v>
      </c>
      <c r="AG599" s="2">
        <v>0</v>
      </c>
      <c r="AH599" s="2">
        <v>0</v>
      </c>
      <c r="AI599" s="2">
        <v>0</v>
      </c>
      <c r="AJ599" s="2">
        <v>0</v>
      </c>
      <c r="AK599" s="2">
        <v>0</v>
      </c>
      <c r="AL599" s="2">
        <v>0</v>
      </c>
      <c r="AM599" s="2">
        <v>12.47</v>
      </c>
      <c r="AN599" s="2">
        <v>12.47</v>
      </c>
      <c r="AO599" s="2">
        <v>0</v>
      </c>
      <c r="AP599" s="2">
        <v>0</v>
      </c>
      <c r="AQ599" s="2">
        <v>0</v>
      </c>
    </row>
    <row r="600" spans="1:43" x14ac:dyDescent="0.25">
      <c r="A600" s="1">
        <v>45936</v>
      </c>
      <c r="B600" t="s">
        <v>48</v>
      </c>
      <c r="C600">
        <v>649163</v>
      </c>
      <c r="D600">
        <v>2026221487</v>
      </c>
      <c r="E600" t="s">
        <v>426</v>
      </c>
      <c r="F600" t="s">
        <v>877</v>
      </c>
      <c r="G600" t="s">
        <v>51</v>
      </c>
      <c r="H600" t="s">
        <v>101</v>
      </c>
      <c r="I600" t="s">
        <v>292</v>
      </c>
      <c r="J600" t="s">
        <v>295</v>
      </c>
      <c r="K600">
        <v>651818</v>
      </c>
      <c r="L600" t="s">
        <v>112</v>
      </c>
      <c r="M600" t="s">
        <v>104</v>
      </c>
      <c r="N600" t="s">
        <v>57</v>
      </c>
      <c r="O600" s="1">
        <v>45663</v>
      </c>
      <c r="Q600" s="1">
        <v>45967</v>
      </c>
      <c r="R600" s="2">
        <v>51.78</v>
      </c>
      <c r="S600">
        <v>1</v>
      </c>
      <c r="T600" t="s">
        <v>58</v>
      </c>
      <c r="U600" t="s">
        <v>359</v>
      </c>
      <c r="V600" s="3">
        <v>0.9</v>
      </c>
      <c r="W600" s="2">
        <v>0</v>
      </c>
      <c r="X600">
        <v>0</v>
      </c>
      <c r="Y600" t="s">
        <v>60</v>
      </c>
      <c r="Z600" t="s">
        <v>360</v>
      </c>
      <c r="AA600">
        <v>0</v>
      </c>
      <c r="AB600" s="2">
        <v>0</v>
      </c>
      <c r="AC600" s="2">
        <v>0</v>
      </c>
      <c r="AD600" s="3">
        <v>0</v>
      </c>
      <c r="AE600" s="2">
        <v>0</v>
      </c>
      <c r="AF600" s="2">
        <v>0</v>
      </c>
      <c r="AG600" s="2">
        <v>0</v>
      </c>
      <c r="AH600" s="2">
        <v>0</v>
      </c>
      <c r="AI600" s="2">
        <v>0</v>
      </c>
      <c r="AJ600" s="2">
        <v>0</v>
      </c>
      <c r="AK600" s="2">
        <v>0</v>
      </c>
      <c r="AL600" s="2">
        <v>0</v>
      </c>
      <c r="AM600" s="2">
        <v>46.6</v>
      </c>
      <c r="AN600" s="2">
        <v>46.6</v>
      </c>
      <c r="AO600" s="2">
        <v>0</v>
      </c>
      <c r="AP600" s="2">
        <v>0</v>
      </c>
      <c r="AQ600" s="2">
        <v>0</v>
      </c>
    </row>
    <row r="601" spans="1:43" x14ac:dyDescent="0.25">
      <c r="A601" s="1">
        <v>45936</v>
      </c>
      <c r="B601" t="s">
        <v>48</v>
      </c>
      <c r="C601">
        <v>649163</v>
      </c>
      <c r="D601">
        <v>2026298484</v>
      </c>
      <c r="E601" t="s">
        <v>730</v>
      </c>
      <c r="F601" t="s">
        <v>220</v>
      </c>
      <c r="G601" t="s">
        <v>51</v>
      </c>
      <c r="H601" t="s">
        <v>101</v>
      </c>
      <c r="I601" t="s">
        <v>292</v>
      </c>
      <c r="J601" t="s">
        <v>293</v>
      </c>
      <c r="K601">
        <v>651818</v>
      </c>
      <c r="L601" t="s">
        <v>112</v>
      </c>
      <c r="M601" t="s">
        <v>104</v>
      </c>
      <c r="N601" t="s">
        <v>57</v>
      </c>
      <c r="O601" s="1">
        <v>45664</v>
      </c>
      <c r="Q601" s="1">
        <v>45968</v>
      </c>
      <c r="R601" s="2">
        <v>58.24</v>
      </c>
      <c r="S601">
        <v>1</v>
      </c>
      <c r="T601" t="s">
        <v>58</v>
      </c>
      <c r="U601" t="s">
        <v>359</v>
      </c>
      <c r="V601" s="3">
        <v>0.7</v>
      </c>
      <c r="W601" s="2">
        <v>0</v>
      </c>
      <c r="X601">
        <v>0</v>
      </c>
      <c r="Y601" t="s">
        <v>60</v>
      </c>
      <c r="Z601" t="s">
        <v>360</v>
      </c>
      <c r="AA601">
        <v>0</v>
      </c>
      <c r="AB601" s="2">
        <v>0</v>
      </c>
      <c r="AC601" s="2">
        <v>0</v>
      </c>
      <c r="AD601" s="3">
        <v>0</v>
      </c>
      <c r="AE601" s="2">
        <v>0</v>
      </c>
      <c r="AF601" s="2">
        <v>0</v>
      </c>
      <c r="AG601" s="2">
        <v>0</v>
      </c>
      <c r="AH601" s="2">
        <v>0</v>
      </c>
      <c r="AI601" s="2">
        <v>0</v>
      </c>
      <c r="AJ601" s="2">
        <v>0</v>
      </c>
      <c r="AK601" s="2">
        <v>0</v>
      </c>
      <c r="AL601" s="2">
        <v>0</v>
      </c>
      <c r="AM601" s="2">
        <v>40.770000000000003</v>
      </c>
      <c r="AN601" s="2">
        <v>40.770000000000003</v>
      </c>
      <c r="AO601" s="2">
        <v>0</v>
      </c>
      <c r="AP601" s="2">
        <v>0</v>
      </c>
      <c r="AQ601" s="2">
        <v>0</v>
      </c>
    </row>
    <row r="602" spans="1:43" x14ac:dyDescent="0.25">
      <c r="A602" s="1">
        <v>45936</v>
      </c>
      <c r="B602" t="s">
        <v>48</v>
      </c>
      <c r="C602">
        <v>649163</v>
      </c>
      <c r="D602">
        <v>2026443516</v>
      </c>
      <c r="E602" t="s">
        <v>731</v>
      </c>
      <c r="F602" t="s">
        <v>732</v>
      </c>
      <c r="G602" t="s">
        <v>51</v>
      </c>
      <c r="H602" t="s">
        <v>376</v>
      </c>
      <c r="I602" t="s">
        <v>292</v>
      </c>
      <c r="J602" t="s">
        <v>295</v>
      </c>
      <c r="K602">
        <v>651818</v>
      </c>
      <c r="L602" t="s">
        <v>112</v>
      </c>
      <c r="M602" t="s">
        <v>104</v>
      </c>
      <c r="N602" t="s">
        <v>57</v>
      </c>
      <c r="O602" s="1">
        <v>45661</v>
      </c>
      <c r="Q602" s="1">
        <v>45965</v>
      </c>
      <c r="R602" s="2">
        <v>32.58</v>
      </c>
      <c r="S602">
        <v>1</v>
      </c>
      <c r="T602" t="s">
        <v>58</v>
      </c>
      <c r="U602" t="s">
        <v>359</v>
      </c>
      <c r="V602" s="3">
        <v>0.9</v>
      </c>
      <c r="W602" s="2">
        <v>0</v>
      </c>
      <c r="X602">
        <v>0</v>
      </c>
      <c r="Y602" t="s">
        <v>60</v>
      </c>
      <c r="Z602" t="s">
        <v>360</v>
      </c>
      <c r="AA602">
        <v>0</v>
      </c>
      <c r="AB602" s="2">
        <v>0</v>
      </c>
      <c r="AC602" s="2">
        <v>0</v>
      </c>
      <c r="AD602" s="3">
        <v>0</v>
      </c>
      <c r="AE602" s="2">
        <v>0</v>
      </c>
      <c r="AF602" s="2">
        <v>0</v>
      </c>
      <c r="AG602" s="2">
        <v>0</v>
      </c>
      <c r="AH602" s="2">
        <v>0</v>
      </c>
      <c r="AI602" s="2">
        <v>0</v>
      </c>
      <c r="AJ602" s="2">
        <v>0</v>
      </c>
      <c r="AK602" s="2">
        <v>0</v>
      </c>
      <c r="AL602" s="2">
        <v>0</v>
      </c>
      <c r="AM602" s="2">
        <v>29.32</v>
      </c>
      <c r="AN602" s="2">
        <v>29.32</v>
      </c>
      <c r="AO602" s="2">
        <v>0</v>
      </c>
      <c r="AP602" s="2">
        <v>0</v>
      </c>
      <c r="AQ602" s="2">
        <v>0</v>
      </c>
    </row>
    <row r="603" spans="1:43" x14ac:dyDescent="0.25">
      <c r="A603" s="1">
        <v>45936</v>
      </c>
      <c r="B603" t="s">
        <v>48</v>
      </c>
      <c r="C603">
        <v>649163</v>
      </c>
      <c r="D603">
        <v>2026456393</v>
      </c>
      <c r="E603" t="s">
        <v>394</v>
      </c>
      <c r="F603" t="s">
        <v>395</v>
      </c>
      <c r="G603" t="s">
        <v>51</v>
      </c>
      <c r="H603" t="s">
        <v>203</v>
      </c>
      <c r="I603" t="s">
        <v>292</v>
      </c>
      <c r="J603" t="s">
        <v>293</v>
      </c>
      <c r="K603">
        <v>816021</v>
      </c>
      <c r="L603" t="s">
        <v>265</v>
      </c>
      <c r="M603" t="s">
        <v>266</v>
      </c>
      <c r="N603" t="s">
        <v>57</v>
      </c>
      <c r="O603" s="1">
        <v>45662</v>
      </c>
      <c r="Q603" s="1">
        <v>45966</v>
      </c>
      <c r="R603" s="2">
        <v>19.41</v>
      </c>
      <c r="S603">
        <v>1</v>
      </c>
      <c r="T603" t="s">
        <v>58</v>
      </c>
      <c r="U603" t="s">
        <v>359</v>
      </c>
      <c r="V603" s="3">
        <v>0.7</v>
      </c>
      <c r="W603" s="2">
        <v>0</v>
      </c>
      <c r="X603">
        <v>0</v>
      </c>
      <c r="Y603" t="s">
        <v>60</v>
      </c>
      <c r="Z603" t="s">
        <v>360</v>
      </c>
      <c r="AA603">
        <v>0</v>
      </c>
      <c r="AB603" s="2">
        <v>0</v>
      </c>
      <c r="AC603" s="2">
        <v>0</v>
      </c>
      <c r="AD603" s="3">
        <v>0</v>
      </c>
      <c r="AE603" s="2">
        <v>0</v>
      </c>
      <c r="AF603" s="2">
        <v>0</v>
      </c>
      <c r="AG603" s="2">
        <v>0</v>
      </c>
      <c r="AH603" s="2">
        <v>0</v>
      </c>
      <c r="AI603" s="2">
        <v>0</v>
      </c>
      <c r="AJ603" s="2">
        <v>0</v>
      </c>
      <c r="AK603" s="2">
        <v>0</v>
      </c>
      <c r="AL603" s="2">
        <v>0</v>
      </c>
      <c r="AM603" s="2">
        <v>13.59</v>
      </c>
      <c r="AN603" s="2">
        <v>13.59</v>
      </c>
      <c r="AO603" s="2">
        <v>0</v>
      </c>
      <c r="AP603" s="2">
        <v>0</v>
      </c>
      <c r="AQ603" s="2">
        <v>0</v>
      </c>
    </row>
    <row r="604" spans="1:43" x14ac:dyDescent="0.25">
      <c r="A604" s="1">
        <v>45936</v>
      </c>
      <c r="B604" t="s">
        <v>48</v>
      </c>
      <c r="C604">
        <v>649163</v>
      </c>
      <c r="D604">
        <v>2026456394</v>
      </c>
      <c r="E604" t="s">
        <v>394</v>
      </c>
      <c r="F604" t="s">
        <v>395</v>
      </c>
      <c r="G604" t="s">
        <v>51</v>
      </c>
      <c r="H604" t="s">
        <v>203</v>
      </c>
      <c r="I604" t="s">
        <v>292</v>
      </c>
      <c r="J604" t="s">
        <v>536</v>
      </c>
      <c r="K604">
        <v>816021</v>
      </c>
      <c r="L604" t="s">
        <v>265</v>
      </c>
      <c r="M604" t="s">
        <v>266</v>
      </c>
      <c r="N604" t="s">
        <v>57</v>
      </c>
      <c r="O604" s="1">
        <v>45662</v>
      </c>
      <c r="Q604" s="1">
        <v>45966</v>
      </c>
      <c r="R604" s="2">
        <v>12.6</v>
      </c>
      <c r="S604">
        <v>1</v>
      </c>
      <c r="T604" t="s">
        <v>58</v>
      </c>
      <c r="U604" t="s">
        <v>359</v>
      </c>
      <c r="V604" s="3">
        <v>0.7</v>
      </c>
      <c r="W604" s="2">
        <v>0</v>
      </c>
      <c r="X604">
        <v>0</v>
      </c>
      <c r="Y604" t="s">
        <v>60</v>
      </c>
      <c r="Z604" t="s">
        <v>360</v>
      </c>
      <c r="AA604">
        <v>0</v>
      </c>
      <c r="AB604" s="2">
        <v>0</v>
      </c>
      <c r="AC604" s="2">
        <v>0</v>
      </c>
      <c r="AD604" s="3">
        <v>0</v>
      </c>
      <c r="AE604" s="2">
        <v>0</v>
      </c>
      <c r="AF604" s="2">
        <v>0</v>
      </c>
      <c r="AG604" s="2">
        <v>0</v>
      </c>
      <c r="AH604" s="2">
        <v>0</v>
      </c>
      <c r="AI604" s="2">
        <v>0</v>
      </c>
      <c r="AJ604" s="2">
        <v>0</v>
      </c>
      <c r="AK604" s="2">
        <v>0</v>
      </c>
      <c r="AL604" s="2">
        <v>0</v>
      </c>
      <c r="AM604" s="2">
        <v>8.82</v>
      </c>
      <c r="AN604" s="2">
        <v>8.82</v>
      </c>
      <c r="AO604" s="2">
        <v>0</v>
      </c>
      <c r="AP604" s="2">
        <v>0</v>
      </c>
      <c r="AQ604" s="2">
        <v>0</v>
      </c>
    </row>
    <row r="605" spans="1:43" x14ac:dyDescent="0.25">
      <c r="A605" s="1">
        <v>45936</v>
      </c>
      <c r="B605" t="s">
        <v>48</v>
      </c>
      <c r="C605">
        <v>649163</v>
      </c>
      <c r="D605">
        <v>2026515689</v>
      </c>
      <c r="E605" t="s">
        <v>818</v>
      </c>
      <c r="F605" t="s">
        <v>878</v>
      </c>
      <c r="G605" t="s">
        <v>51</v>
      </c>
      <c r="H605" t="s">
        <v>70</v>
      </c>
      <c r="I605" t="s">
        <v>292</v>
      </c>
      <c r="J605" t="s">
        <v>295</v>
      </c>
      <c r="K605">
        <v>702406</v>
      </c>
      <c r="L605" t="s">
        <v>803</v>
      </c>
      <c r="M605" t="s">
        <v>746</v>
      </c>
      <c r="N605" t="s">
        <v>57</v>
      </c>
      <c r="O605" s="1">
        <v>45666</v>
      </c>
      <c r="Q605" s="1">
        <v>45970</v>
      </c>
      <c r="R605" s="2">
        <v>99.25</v>
      </c>
      <c r="S605">
        <v>1</v>
      </c>
      <c r="T605" t="s">
        <v>58</v>
      </c>
      <c r="U605" t="s">
        <v>359</v>
      </c>
      <c r="V605" s="3">
        <v>0.9</v>
      </c>
      <c r="W605" s="2">
        <v>0</v>
      </c>
      <c r="X605">
        <v>0</v>
      </c>
      <c r="Y605" t="s">
        <v>60</v>
      </c>
      <c r="Z605" t="s">
        <v>360</v>
      </c>
      <c r="AA605">
        <v>0</v>
      </c>
      <c r="AB605" s="2">
        <v>0</v>
      </c>
      <c r="AC605" s="2">
        <v>0</v>
      </c>
      <c r="AD605" s="3">
        <v>0</v>
      </c>
      <c r="AE605" s="2">
        <v>0</v>
      </c>
      <c r="AF605" s="2">
        <v>0</v>
      </c>
      <c r="AG605" s="2">
        <v>0</v>
      </c>
      <c r="AH605" s="2">
        <v>0</v>
      </c>
      <c r="AI605" s="2">
        <v>0</v>
      </c>
      <c r="AJ605" s="2">
        <v>0</v>
      </c>
      <c r="AK605" s="2">
        <v>0</v>
      </c>
      <c r="AL605" s="2">
        <v>0</v>
      </c>
      <c r="AM605" s="2">
        <v>89.32</v>
      </c>
      <c r="AN605" s="2">
        <v>89.32</v>
      </c>
      <c r="AO605" s="2">
        <v>0</v>
      </c>
      <c r="AP605" s="2">
        <v>0</v>
      </c>
      <c r="AQ605" s="2">
        <v>0</v>
      </c>
    </row>
    <row r="606" spans="1:43" x14ac:dyDescent="0.25">
      <c r="A606" s="1">
        <v>45936</v>
      </c>
      <c r="B606" t="s">
        <v>48</v>
      </c>
      <c r="C606">
        <v>649163</v>
      </c>
      <c r="D606">
        <v>2026521340</v>
      </c>
      <c r="E606" t="s">
        <v>219</v>
      </c>
      <c r="F606" t="s">
        <v>100</v>
      </c>
      <c r="G606" t="s">
        <v>51</v>
      </c>
      <c r="H606" t="s">
        <v>122</v>
      </c>
      <c r="I606" t="s">
        <v>292</v>
      </c>
      <c r="J606" t="s">
        <v>293</v>
      </c>
      <c r="K606">
        <v>651818</v>
      </c>
      <c r="L606" t="s">
        <v>112</v>
      </c>
      <c r="M606" t="s">
        <v>104</v>
      </c>
      <c r="N606" t="s">
        <v>57</v>
      </c>
      <c r="O606" s="1">
        <v>45695</v>
      </c>
      <c r="Q606" s="1">
        <v>45968</v>
      </c>
      <c r="R606" s="2">
        <v>31.28</v>
      </c>
      <c r="S606">
        <v>1</v>
      </c>
      <c r="T606" t="s">
        <v>58</v>
      </c>
      <c r="U606" t="s">
        <v>359</v>
      </c>
      <c r="V606" s="3">
        <v>0.7</v>
      </c>
      <c r="W606" s="2">
        <v>0</v>
      </c>
      <c r="X606">
        <v>0</v>
      </c>
      <c r="Y606" t="s">
        <v>60</v>
      </c>
      <c r="Z606" t="s">
        <v>360</v>
      </c>
      <c r="AA606">
        <v>0</v>
      </c>
      <c r="AB606" s="2">
        <v>0</v>
      </c>
      <c r="AC606" s="2">
        <v>0</v>
      </c>
      <c r="AD606" s="3">
        <v>0</v>
      </c>
      <c r="AE606" s="2">
        <v>0</v>
      </c>
      <c r="AF606" s="2">
        <v>0</v>
      </c>
      <c r="AG606" s="2">
        <v>0</v>
      </c>
      <c r="AH606" s="2">
        <v>0</v>
      </c>
      <c r="AI606" s="2">
        <v>0</v>
      </c>
      <c r="AJ606" s="2">
        <v>0</v>
      </c>
      <c r="AK606" s="2">
        <v>0</v>
      </c>
      <c r="AL606" s="2">
        <v>0</v>
      </c>
      <c r="AM606" s="2">
        <v>21.9</v>
      </c>
      <c r="AN606" s="2">
        <v>21.9</v>
      </c>
      <c r="AO606" s="2">
        <v>0</v>
      </c>
      <c r="AP606" s="2">
        <v>0</v>
      </c>
      <c r="AQ606" s="2">
        <v>0</v>
      </c>
    </row>
    <row r="607" spans="1:43" x14ac:dyDescent="0.25">
      <c r="A607" s="1">
        <v>45936</v>
      </c>
      <c r="B607" t="s">
        <v>48</v>
      </c>
      <c r="C607">
        <v>649163</v>
      </c>
      <c r="D607">
        <v>2026589574</v>
      </c>
      <c r="E607" t="s">
        <v>879</v>
      </c>
      <c r="F607" t="s">
        <v>482</v>
      </c>
      <c r="G607" t="s">
        <v>51</v>
      </c>
      <c r="H607" t="s">
        <v>310</v>
      </c>
      <c r="I607" t="s">
        <v>292</v>
      </c>
      <c r="J607" t="s">
        <v>295</v>
      </c>
      <c r="K607">
        <v>651818</v>
      </c>
      <c r="L607" t="s">
        <v>112</v>
      </c>
      <c r="M607" t="s">
        <v>104</v>
      </c>
      <c r="N607" t="s">
        <v>57</v>
      </c>
      <c r="O607" s="1">
        <v>45695</v>
      </c>
      <c r="Q607" s="1">
        <v>45968</v>
      </c>
      <c r="R607" s="2">
        <v>83.63</v>
      </c>
      <c r="S607">
        <v>1</v>
      </c>
      <c r="T607" t="s">
        <v>58</v>
      </c>
      <c r="U607" t="s">
        <v>359</v>
      </c>
      <c r="V607" s="3">
        <v>0.9</v>
      </c>
      <c r="W607" s="2">
        <v>0</v>
      </c>
      <c r="X607">
        <v>0</v>
      </c>
      <c r="Y607" t="s">
        <v>60</v>
      </c>
      <c r="Z607" t="s">
        <v>360</v>
      </c>
      <c r="AA607">
        <v>0</v>
      </c>
      <c r="AB607" s="2">
        <v>0</v>
      </c>
      <c r="AC607" s="2">
        <v>0</v>
      </c>
      <c r="AD607" s="3">
        <v>0</v>
      </c>
      <c r="AE607" s="2">
        <v>0</v>
      </c>
      <c r="AF607" s="2">
        <v>0</v>
      </c>
      <c r="AG607" s="2">
        <v>0</v>
      </c>
      <c r="AH607" s="2">
        <v>0</v>
      </c>
      <c r="AI607" s="2">
        <v>0</v>
      </c>
      <c r="AJ607" s="2">
        <v>0</v>
      </c>
      <c r="AK607" s="2">
        <v>0</v>
      </c>
      <c r="AL607" s="2">
        <v>0</v>
      </c>
      <c r="AM607" s="2">
        <v>75.27</v>
      </c>
      <c r="AN607" s="2">
        <v>75.27</v>
      </c>
      <c r="AO607" s="2">
        <v>0</v>
      </c>
      <c r="AP607" s="2">
        <v>0</v>
      </c>
      <c r="AQ607" s="2">
        <v>0</v>
      </c>
    </row>
    <row r="608" spans="1:43" x14ac:dyDescent="0.25">
      <c r="A608" s="1">
        <v>45936</v>
      </c>
      <c r="B608" t="s">
        <v>48</v>
      </c>
      <c r="C608">
        <v>649163</v>
      </c>
      <c r="D608">
        <v>2026599463</v>
      </c>
      <c r="E608" t="s">
        <v>737</v>
      </c>
      <c r="F608" t="s">
        <v>738</v>
      </c>
      <c r="G608" t="s">
        <v>51</v>
      </c>
      <c r="H608" t="s">
        <v>390</v>
      </c>
      <c r="I608" t="s">
        <v>292</v>
      </c>
      <c r="J608" t="s">
        <v>295</v>
      </c>
      <c r="K608">
        <v>651818</v>
      </c>
      <c r="L608" t="s">
        <v>112</v>
      </c>
      <c r="M608" t="s">
        <v>104</v>
      </c>
      <c r="N608" t="s">
        <v>57</v>
      </c>
      <c r="O608" s="1">
        <v>45695</v>
      </c>
      <c r="Q608" s="1">
        <v>45968</v>
      </c>
      <c r="R608" s="2">
        <v>48.08</v>
      </c>
      <c r="S608">
        <v>1</v>
      </c>
      <c r="T608" t="s">
        <v>58</v>
      </c>
      <c r="U608" t="s">
        <v>359</v>
      </c>
      <c r="V608" s="3">
        <v>0.9</v>
      </c>
      <c r="W608" s="2">
        <v>0</v>
      </c>
      <c r="X608">
        <v>0</v>
      </c>
      <c r="Y608" t="s">
        <v>60</v>
      </c>
      <c r="Z608" t="s">
        <v>360</v>
      </c>
      <c r="AA608">
        <v>0</v>
      </c>
      <c r="AB608" s="2">
        <v>0</v>
      </c>
      <c r="AC608" s="2">
        <v>0</v>
      </c>
      <c r="AD608" s="3">
        <v>0</v>
      </c>
      <c r="AE608" s="2">
        <v>0</v>
      </c>
      <c r="AF608" s="2">
        <v>0</v>
      </c>
      <c r="AG608" s="2">
        <v>0</v>
      </c>
      <c r="AH608" s="2">
        <v>0</v>
      </c>
      <c r="AI608" s="2">
        <v>0</v>
      </c>
      <c r="AJ608" s="2">
        <v>0</v>
      </c>
      <c r="AK608" s="2">
        <v>0</v>
      </c>
      <c r="AL608" s="2">
        <v>0</v>
      </c>
      <c r="AM608" s="2">
        <v>43.27</v>
      </c>
      <c r="AN608" s="2">
        <v>43.27</v>
      </c>
      <c r="AO608" s="2">
        <v>0</v>
      </c>
      <c r="AP608" s="2">
        <v>0</v>
      </c>
      <c r="AQ608" s="2">
        <v>0</v>
      </c>
    </row>
    <row r="609" spans="1:43" x14ac:dyDescent="0.25">
      <c r="A609" s="1">
        <v>45936</v>
      </c>
      <c r="B609" t="s">
        <v>48</v>
      </c>
      <c r="C609">
        <v>649163</v>
      </c>
      <c r="D609">
        <v>2026599465</v>
      </c>
      <c r="E609" t="s">
        <v>737</v>
      </c>
      <c r="F609" t="s">
        <v>738</v>
      </c>
      <c r="G609" t="s">
        <v>51</v>
      </c>
      <c r="H609" t="s">
        <v>390</v>
      </c>
      <c r="I609" t="s">
        <v>292</v>
      </c>
      <c r="J609" t="s">
        <v>293</v>
      </c>
      <c r="K609">
        <v>651818</v>
      </c>
      <c r="L609" t="s">
        <v>112</v>
      </c>
      <c r="M609" t="s">
        <v>104</v>
      </c>
      <c r="N609" t="s">
        <v>57</v>
      </c>
      <c r="O609" s="1">
        <v>45695</v>
      </c>
      <c r="Q609" s="1">
        <v>45968</v>
      </c>
      <c r="R609" s="2">
        <v>103.64</v>
      </c>
      <c r="S609">
        <v>1</v>
      </c>
      <c r="T609" t="s">
        <v>58</v>
      </c>
      <c r="U609" t="s">
        <v>359</v>
      </c>
      <c r="V609" s="3">
        <v>0.7</v>
      </c>
      <c r="W609" s="2">
        <v>0</v>
      </c>
      <c r="X609">
        <v>0</v>
      </c>
      <c r="Y609" t="s">
        <v>60</v>
      </c>
      <c r="Z609" t="s">
        <v>360</v>
      </c>
      <c r="AA609">
        <v>0</v>
      </c>
      <c r="AB609" s="2">
        <v>0</v>
      </c>
      <c r="AC609" s="2">
        <v>0</v>
      </c>
      <c r="AD609" s="3">
        <v>0</v>
      </c>
      <c r="AE609" s="2">
        <v>0</v>
      </c>
      <c r="AF609" s="2">
        <v>0</v>
      </c>
      <c r="AG609" s="2">
        <v>0</v>
      </c>
      <c r="AH609" s="2">
        <v>0</v>
      </c>
      <c r="AI609" s="2">
        <v>0</v>
      </c>
      <c r="AJ609" s="2">
        <v>0</v>
      </c>
      <c r="AK609" s="2">
        <v>0</v>
      </c>
      <c r="AL609" s="2">
        <v>0</v>
      </c>
      <c r="AM609" s="2">
        <v>72.55</v>
      </c>
      <c r="AN609" s="2">
        <v>72.55</v>
      </c>
      <c r="AO609" s="2">
        <v>0</v>
      </c>
      <c r="AP609" s="2">
        <v>0</v>
      </c>
      <c r="AQ609" s="2">
        <v>0</v>
      </c>
    </row>
    <row r="610" spans="1:43" x14ac:dyDescent="0.25">
      <c r="A610" s="1">
        <v>45936</v>
      </c>
      <c r="B610" t="s">
        <v>48</v>
      </c>
      <c r="C610">
        <v>649163</v>
      </c>
      <c r="D610">
        <v>2026617926</v>
      </c>
      <c r="E610" t="s">
        <v>739</v>
      </c>
      <c r="F610" t="s">
        <v>740</v>
      </c>
      <c r="G610" t="s">
        <v>51</v>
      </c>
      <c r="H610" t="s">
        <v>52</v>
      </c>
      <c r="I610" t="s">
        <v>292</v>
      </c>
      <c r="J610" t="s">
        <v>293</v>
      </c>
      <c r="K610">
        <v>651818</v>
      </c>
      <c r="L610" t="s">
        <v>112</v>
      </c>
      <c r="M610" t="s">
        <v>104</v>
      </c>
      <c r="N610" t="s">
        <v>57</v>
      </c>
      <c r="O610" s="1">
        <v>45695</v>
      </c>
      <c r="Q610" s="1">
        <v>45968</v>
      </c>
      <c r="R610" s="2">
        <v>129.22</v>
      </c>
      <c r="S610">
        <v>1</v>
      </c>
      <c r="T610" t="s">
        <v>58</v>
      </c>
      <c r="U610" t="s">
        <v>359</v>
      </c>
      <c r="V610" s="3">
        <v>0.7</v>
      </c>
      <c r="W610" s="2">
        <v>0</v>
      </c>
      <c r="X610">
        <v>0</v>
      </c>
      <c r="Y610" t="s">
        <v>60</v>
      </c>
      <c r="Z610" t="s">
        <v>360</v>
      </c>
      <c r="AA610">
        <v>0</v>
      </c>
      <c r="AB610" s="2">
        <v>0</v>
      </c>
      <c r="AC610" s="2">
        <v>0</v>
      </c>
      <c r="AD610" s="3">
        <v>0</v>
      </c>
      <c r="AE610" s="2">
        <v>0</v>
      </c>
      <c r="AF610" s="2">
        <v>0</v>
      </c>
      <c r="AG610" s="2">
        <v>0</v>
      </c>
      <c r="AH610" s="2">
        <v>0</v>
      </c>
      <c r="AI610" s="2">
        <v>0</v>
      </c>
      <c r="AJ610" s="2">
        <v>0</v>
      </c>
      <c r="AK610" s="2">
        <v>0</v>
      </c>
      <c r="AL610" s="2">
        <v>0</v>
      </c>
      <c r="AM610" s="2">
        <v>90.45</v>
      </c>
      <c r="AN610" s="2">
        <v>90.45</v>
      </c>
      <c r="AO610" s="2">
        <v>0</v>
      </c>
      <c r="AP610" s="2">
        <v>0</v>
      </c>
      <c r="AQ610" s="2">
        <v>0</v>
      </c>
    </row>
    <row r="611" spans="1:43" x14ac:dyDescent="0.25">
      <c r="A611" s="1">
        <v>45936</v>
      </c>
      <c r="B611" t="s">
        <v>48</v>
      </c>
      <c r="C611">
        <v>649163</v>
      </c>
      <c r="D611">
        <v>2026619727</v>
      </c>
      <c r="E611" t="s">
        <v>188</v>
      </c>
      <c r="F611" t="s">
        <v>337</v>
      </c>
      <c r="G611" t="s">
        <v>51</v>
      </c>
      <c r="H611" t="s">
        <v>52</v>
      </c>
      <c r="I611" t="s">
        <v>292</v>
      </c>
      <c r="J611" t="s">
        <v>293</v>
      </c>
      <c r="K611">
        <v>753748</v>
      </c>
      <c r="L611" t="s">
        <v>97</v>
      </c>
      <c r="M611" t="s">
        <v>98</v>
      </c>
      <c r="N611" t="s">
        <v>57</v>
      </c>
      <c r="O611" s="1">
        <v>45689</v>
      </c>
      <c r="Q611" s="1">
        <v>45962</v>
      </c>
      <c r="R611" s="2">
        <v>-28.38</v>
      </c>
      <c r="S611">
        <v>1</v>
      </c>
      <c r="T611" t="s">
        <v>58</v>
      </c>
      <c r="U611" t="s">
        <v>359</v>
      </c>
      <c r="V611" s="3">
        <v>0.7</v>
      </c>
      <c r="W611" s="2">
        <v>0</v>
      </c>
      <c r="X611">
        <v>-1</v>
      </c>
      <c r="Y611" t="s">
        <v>60</v>
      </c>
      <c r="Z611" t="s">
        <v>360</v>
      </c>
      <c r="AA611">
        <v>0</v>
      </c>
      <c r="AB611" s="2">
        <v>0</v>
      </c>
      <c r="AC611" s="2">
        <v>0</v>
      </c>
      <c r="AD611" s="3">
        <v>0</v>
      </c>
      <c r="AE611" s="2">
        <v>0</v>
      </c>
      <c r="AF611" s="2">
        <v>0</v>
      </c>
      <c r="AG611" s="2">
        <v>0</v>
      </c>
      <c r="AH611" s="2">
        <v>0</v>
      </c>
      <c r="AI611" s="2">
        <v>0</v>
      </c>
      <c r="AJ611" s="2">
        <v>0</v>
      </c>
      <c r="AK611" s="2">
        <v>0</v>
      </c>
      <c r="AL611" s="2">
        <v>0</v>
      </c>
      <c r="AM611" s="2">
        <v>-19.87</v>
      </c>
      <c r="AN611" s="2">
        <v>-19.87</v>
      </c>
      <c r="AO611" s="2">
        <v>0</v>
      </c>
      <c r="AP611" s="2">
        <v>0</v>
      </c>
      <c r="AQ611" s="2">
        <v>0</v>
      </c>
    </row>
    <row r="612" spans="1:43" x14ac:dyDescent="0.25">
      <c r="A612" s="1">
        <v>45936</v>
      </c>
      <c r="B612" t="s">
        <v>48</v>
      </c>
      <c r="C612">
        <v>649163</v>
      </c>
      <c r="D612">
        <v>2026628666</v>
      </c>
      <c r="E612" t="s">
        <v>741</v>
      </c>
      <c r="F612" t="s">
        <v>81</v>
      </c>
      <c r="G612" t="s">
        <v>51</v>
      </c>
      <c r="H612" t="s">
        <v>101</v>
      </c>
      <c r="I612" t="s">
        <v>292</v>
      </c>
      <c r="J612" t="s">
        <v>293</v>
      </c>
      <c r="K612">
        <v>651818</v>
      </c>
      <c r="L612" t="s">
        <v>112</v>
      </c>
      <c r="M612" t="s">
        <v>104</v>
      </c>
      <c r="N612" t="s">
        <v>57</v>
      </c>
      <c r="O612" s="1">
        <v>45695</v>
      </c>
      <c r="Q612" s="1">
        <v>45968</v>
      </c>
      <c r="R612" s="2">
        <v>58.24</v>
      </c>
      <c r="S612">
        <v>1</v>
      </c>
      <c r="T612" t="s">
        <v>58</v>
      </c>
      <c r="U612" t="s">
        <v>359</v>
      </c>
      <c r="V612" s="3">
        <v>0.7</v>
      </c>
      <c r="W612" s="2">
        <v>0</v>
      </c>
      <c r="X612">
        <v>0</v>
      </c>
      <c r="Y612" t="s">
        <v>60</v>
      </c>
      <c r="Z612" t="s">
        <v>360</v>
      </c>
      <c r="AA612">
        <v>0</v>
      </c>
      <c r="AB612" s="2">
        <v>0</v>
      </c>
      <c r="AC612" s="2">
        <v>0</v>
      </c>
      <c r="AD612" s="3">
        <v>0</v>
      </c>
      <c r="AE612" s="2">
        <v>0</v>
      </c>
      <c r="AF612" s="2">
        <v>0</v>
      </c>
      <c r="AG612" s="2">
        <v>0</v>
      </c>
      <c r="AH612" s="2">
        <v>0</v>
      </c>
      <c r="AI612" s="2">
        <v>0</v>
      </c>
      <c r="AJ612" s="2">
        <v>0</v>
      </c>
      <c r="AK612" s="2">
        <v>0</v>
      </c>
      <c r="AL612" s="2">
        <v>0</v>
      </c>
      <c r="AM612" s="2">
        <v>40.770000000000003</v>
      </c>
      <c r="AN612" s="2">
        <v>40.770000000000003</v>
      </c>
      <c r="AO612" s="2">
        <v>0</v>
      </c>
      <c r="AP612" s="2">
        <v>0</v>
      </c>
      <c r="AQ612" s="2">
        <v>0</v>
      </c>
    </row>
    <row r="613" spans="1:43" x14ac:dyDescent="0.25">
      <c r="A613" s="1">
        <v>45936</v>
      </c>
      <c r="B613" t="s">
        <v>48</v>
      </c>
      <c r="C613">
        <v>649163</v>
      </c>
      <c r="D613">
        <v>2026637123</v>
      </c>
      <c r="E613" t="s">
        <v>402</v>
      </c>
      <c r="F613" t="s">
        <v>94</v>
      </c>
      <c r="G613" t="s">
        <v>51</v>
      </c>
      <c r="H613" t="s">
        <v>376</v>
      </c>
      <c r="I613" t="s">
        <v>292</v>
      </c>
      <c r="J613" t="s">
        <v>295</v>
      </c>
      <c r="K613">
        <v>651818</v>
      </c>
      <c r="L613" t="s">
        <v>112</v>
      </c>
      <c r="M613" t="s">
        <v>104</v>
      </c>
      <c r="N613" t="s">
        <v>57</v>
      </c>
      <c r="O613" s="1">
        <v>45695</v>
      </c>
      <c r="Q613" s="1">
        <v>45968</v>
      </c>
      <c r="R613" s="2">
        <v>145.08000000000001</v>
      </c>
      <c r="S613">
        <v>1</v>
      </c>
      <c r="T613" t="s">
        <v>58</v>
      </c>
      <c r="U613" t="s">
        <v>359</v>
      </c>
      <c r="V613" s="3">
        <v>0.9</v>
      </c>
      <c r="W613" s="2">
        <v>0</v>
      </c>
      <c r="X613">
        <v>0</v>
      </c>
      <c r="Y613" t="s">
        <v>60</v>
      </c>
      <c r="Z613" t="s">
        <v>360</v>
      </c>
      <c r="AA613">
        <v>0</v>
      </c>
      <c r="AB613" s="2">
        <v>0</v>
      </c>
      <c r="AC613" s="2">
        <v>0</v>
      </c>
      <c r="AD613" s="3">
        <v>0</v>
      </c>
      <c r="AE613" s="2">
        <v>0</v>
      </c>
      <c r="AF613" s="2">
        <v>0</v>
      </c>
      <c r="AG613" s="2">
        <v>0</v>
      </c>
      <c r="AH613" s="2">
        <v>0</v>
      </c>
      <c r="AI613" s="2">
        <v>0</v>
      </c>
      <c r="AJ613" s="2">
        <v>0</v>
      </c>
      <c r="AK613" s="2">
        <v>0</v>
      </c>
      <c r="AL613" s="2">
        <v>0</v>
      </c>
      <c r="AM613" s="2">
        <v>130.57</v>
      </c>
      <c r="AN613" s="2">
        <v>130.57</v>
      </c>
      <c r="AO613" s="2">
        <v>0</v>
      </c>
      <c r="AP613" s="2">
        <v>0</v>
      </c>
      <c r="AQ613" s="2">
        <v>0</v>
      </c>
    </row>
    <row r="614" spans="1:43" x14ac:dyDescent="0.25">
      <c r="A614" s="1">
        <v>45936</v>
      </c>
      <c r="B614" t="s">
        <v>48</v>
      </c>
      <c r="C614">
        <v>649163</v>
      </c>
      <c r="D614">
        <v>2026655556</v>
      </c>
      <c r="E614" t="s">
        <v>742</v>
      </c>
      <c r="F614" t="s">
        <v>224</v>
      </c>
      <c r="G614" t="s">
        <v>51</v>
      </c>
      <c r="H614" t="s">
        <v>101</v>
      </c>
      <c r="I614" t="s">
        <v>292</v>
      </c>
      <c r="J614" t="s">
        <v>293</v>
      </c>
      <c r="K614">
        <v>651818</v>
      </c>
      <c r="L614" t="s">
        <v>112</v>
      </c>
      <c r="M614" t="s">
        <v>104</v>
      </c>
      <c r="N614" t="s">
        <v>57</v>
      </c>
      <c r="O614" s="1">
        <v>45695</v>
      </c>
      <c r="Q614" s="1">
        <v>45968</v>
      </c>
      <c r="R614" s="2">
        <v>52</v>
      </c>
      <c r="S614">
        <v>1</v>
      </c>
      <c r="T614" t="s">
        <v>58</v>
      </c>
      <c r="U614" t="s">
        <v>359</v>
      </c>
      <c r="V614" s="3">
        <v>0.7</v>
      </c>
      <c r="W614" s="2">
        <v>0</v>
      </c>
      <c r="X614">
        <v>0</v>
      </c>
      <c r="Y614" t="s">
        <v>60</v>
      </c>
      <c r="Z614" t="s">
        <v>360</v>
      </c>
      <c r="AA614">
        <v>0</v>
      </c>
      <c r="AB614" s="2">
        <v>0</v>
      </c>
      <c r="AC614" s="2">
        <v>0</v>
      </c>
      <c r="AD614" s="3">
        <v>0</v>
      </c>
      <c r="AE614" s="2">
        <v>0</v>
      </c>
      <c r="AF614" s="2">
        <v>0</v>
      </c>
      <c r="AG614" s="2">
        <v>0</v>
      </c>
      <c r="AH614" s="2">
        <v>0</v>
      </c>
      <c r="AI614" s="2">
        <v>0</v>
      </c>
      <c r="AJ614" s="2">
        <v>0</v>
      </c>
      <c r="AK614" s="2">
        <v>0</v>
      </c>
      <c r="AL614" s="2">
        <v>0</v>
      </c>
      <c r="AM614" s="2">
        <v>36.4</v>
      </c>
      <c r="AN614" s="2">
        <v>36.4</v>
      </c>
      <c r="AO614" s="2">
        <v>0</v>
      </c>
      <c r="AP614" s="2">
        <v>0</v>
      </c>
      <c r="AQ614" s="2">
        <v>0</v>
      </c>
    </row>
    <row r="615" spans="1:43" x14ac:dyDescent="0.25">
      <c r="A615" s="1">
        <v>45936</v>
      </c>
      <c r="B615" t="s">
        <v>48</v>
      </c>
      <c r="C615">
        <v>649163</v>
      </c>
      <c r="D615">
        <v>2026680616</v>
      </c>
      <c r="E615" t="s">
        <v>402</v>
      </c>
      <c r="F615" t="s">
        <v>743</v>
      </c>
      <c r="G615" t="s">
        <v>51</v>
      </c>
      <c r="H615" t="s">
        <v>155</v>
      </c>
      <c r="I615" t="s">
        <v>292</v>
      </c>
      <c r="J615" t="s">
        <v>293</v>
      </c>
      <c r="K615">
        <v>651818</v>
      </c>
      <c r="L615" t="s">
        <v>112</v>
      </c>
      <c r="M615" t="s">
        <v>104</v>
      </c>
      <c r="N615" t="s">
        <v>57</v>
      </c>
      <c r="O615" s="1">
        <v>45695</v>
      </c>
      <c r="Q615" s="1">
        <v>45968</v>
      </c>
      <c r="R615" s="2">
        <v>40.78</v>
      </c>
      <c r="S615">
        <v>1</v>
      </c>
      <c r="T615" t="s">
        <v>58</v>
      </c>
      <c r="U615" t="s">
        <v>359</v>
      </c>
      <c r="V615" s="3">
        <v>0.7</v>
      </c>
      <c r="W615" s="2">
        <v>0</v>
      </c>
      <c r="X615">
        <v>0</v>
      </c>
      <c r="Y615" t="s">
        <v>60</v>
      </c>
      <c r="Z615" t="s">
        <v>360</v>
      </c>
      <c r="AA615">
        <v>0</v>
      </c>
      <c r="AB615" s="2">
        <v>0</v>
      </c>
      <c r="AC615" s="2">
        <v>0</v>
      </c>
      <c r="AD615" s="3">
        <v>0</v>
      </c>
      <c r="AE615" s="2">
        <v>0</v>
      </c>
      <c r="AF615" s="2">
        <v>0</v>
      </c>
      <c r="AG615" s="2">
        <v>0</v>
      </c>
      <c r="AH615" s="2">
        <v>0</v>
      </c>
      <c r="AI615" s="2">
        <v>0</v>
      </c>
      <c r="AJ615" s="2">
        <v>0</v>
      </c>
      <c r="AK615" s="2">
        <v>0</v>
      </c>
      <c r="AL615" s="2">
        <v>0</v>
      </c>
      <c r="AM615" s="2">
        <v>28.55</v>
      </c>
      <c r="AN615" s="2">
        <v>28.55</v>
      </c>
      <c r="AO615" s="2">
        <v>0</v>
      </c>
      <c r="AP615" s="2">
        <v>0</v>
      </c>
      <c r="AQ615" s="2">
        <v>0</v>
      </c>
    </row>
    <row r="616" spans="1:43" x14ac:dyDescent="0.25">
      <c r="A616" s="1">
        <v>45936</v>
      </c>
      <c r="B616" t="s">
        <v>48</v>
      </c>
      <c r="C616">
        <v>649163</v>
      </c>
      <c r="D616">
        <v>2026682346</v>
      </c>
      <c r="E616" t="s">
        <v>744</v>
      </c>
      <c r="F616" t="s">
        <v>745</v>
      </c>
      <c r="G616" t="s">
        <v>51</v>
      </c>
      <c r="H616" t="s">
        <v>101</v>
      </c>
      <c r="I616" t="s">
        <v>292</v>
      </c>
      <c r="J616" t="s">
        <v>293</v>
      </c>
      <c r="K616">
        <v>651818</v>
      </c>
      <c r="L616" t="s">
        <v>112</v>
      </c>
      <c r="M616" t="s">
        <v>104</v>
      </c>
      <c r="N616" t="s">
        <v>57</v>
      </c>
      <c r="O616" s="1">
        <v>45695</v>
      </c>
      <c r="Q616" s="1">
        <v>45968</v>
      </c>
      <c r="R616" s="2">
        <v>58.24</v>
      </c>
      <c r="S616">
        <v>1</v>
      </c>
      <c r="T616" t="s">
        <v>58</v>
      </c>
      <c r="U616" t="s">
        <v>359</v>
      </c>
      <c r="V616" s="3">
        <v>0.7</v>
      </c>
      <c r="W616" s="2">
        <v>0</v>
      </c>
      <c r="X616">
        <v>0</v>
      </c>
      <c r="Y616" t="s">
        <v>60</v>
      </c>
      <c r="Z616" t="s">
        <v>360</v>
      </c>
      <c r="AA616">
        <v>0</v>
      </c>
      <c r="AB616" s="2">
        <v>0</v>
      </c>
      <c r="AC616" s="2">
        <v>0</v>
      </c>
      <c r="AD616" s="3">
        <v>0</v>
      </c>
      <c r="AE616" s="2">
        <v>0</v>
      </c>
      <c r="AF616" s="2">
        <v>0</v>
      </c>
      <c r="AG616" s="2">
        <v>0</v>
      </c>
      <c r="AH616" s="2">
        <v>0</v>
      </c>
      <c r="AI616" s="2">
        <v>0</v>
      </c>
      <c r="AJ616" s="2">
        <v>0</v>
      </c>
      <c r="AK616" s="2">
        <v>0</v>
      </c>
      <c r="AL616" s="2">
        <v>0</v>
      </c>
      <c r="AM616" s="2">
        <v>40.770000000000003</v>
      </c>
      <c r="AN616" s="2">
        <v>40.770000000000003</v>
      </c>
      <c r="AO616" s="2">
        <v>0</v>
      </c>
      <c r="AP616" s="2">
        <v>0</v>
      </c>
      <c r="AQ616" s="2">
        <v>0</v>
      </c>
    </row>
    <row r="617" spans="1:43" x14ac:dyDescent="0.25">
      <c r="A617" s="1">
        <v>45936</v>
      </c>
      <c r="B617" t="s">
        <v>48</v>
      </c>
      <c r="C617">
        <v>649163</v>
      </c>
      <c r="D617">
        <v>2026683721</v>
      </c>
      <c r="E617" t="s">
        <v>678</v>
      </c>
      <c r="F617" t="s">
        <v>746</v>
      </c>
      <c r="G617" t="s">
        <v>51</v>
      </c>
      <c r="H617" t="s">
        <v>122</v>
      </c>
      <c r="I617" t="s">
        <v>292</v>
      </c>
      <c r="J617" t="s">
        <v>293</v>
      </c>
      <c r="K617">
        <v>651818</v>
      </c>
      <c r="L617" t="s">
        <v>112</v>
      </c>
      <c r="M617" t="s">
        <v>104</v>
      </c>
      <c r="N617" t="s">
        <v>57</v>
      </c>
      <c r="O617" s="1">
        <v>45695</v>
      </c>
      <c r="Q617" s="1">
        <v>45968</v>
      </c>
      <c r="R617" s="2">
        <v>46.72</v>
      </c>
      <c r="S617">
        <v>1</v>
      </c>
      <c r="T617" t="s">
        <v>58</v>
      </c>
      <c r="U617" t="s">
        <v>359</v>
      </c>
      <c r="V617" s="3">
        <v>0.7</v>
      </c>
      <c r="W617" s="2">
        <v>0</v>
      </c>
      <c r="X617">
        <v>0</v>
      </c>
      <c r="Y617" t="s">
        <v>60</v>
      </c>
      <c r="Z617" t="s">
        <v>360</v>
      </c>
      <c r="AA617">
        <v>0</v>
      </c>
      <c r="AB617" s="2">
        <v>0</v>
      </c>
      <c r="AC617" s="2">
        <v>0</v>
      </c>
      <c r="AD617" s="3">
        <v>0</v>
      </c>
      <c r="AE617" s="2">
        <v>0</v>
      </c>
      <c r="AF617" s="2">
        <v>0</v>
      </c>
      <c r="AG617" s="2">
        <v>0</v>
      </c>
      <c r="AH617" s="2">
        <v>0</v>
      </c>
      <c r="AI617" s="2">
        <v>0</v>
      </c>
      <c r="AJ617" s="2">
        <v>0</v>
      </c>
      <c r="AK617" s="2">
        <v>0</v>
      </c>
      <c r="AL617" s="2">
        <v>0</v>
      </c>
      <c r="AM617" s="2">
        <v>32.700000000000003</v>
      </c>
      <c r="AN617" s="2">
        <v>32.700000000000003</v>
      </c>
      <c r="AO617" s="2">
        <v>0</v>
      </c>
      <c r="AP617" s="2">
        <v>0</v>
      </c>
      <c r="AQ617" s="2">
        <v>0</v>
      </c>
    </row>
    <row r="618" spans="1:43" x14ac:dyDescent="0.25">
      <c r="A618" s="1">
        <v>45936</v>
      </c>
      <c r="B618" t="s">
        <v>48</v>
      </c>
      <c r="C618">
        <v>649163</v>
      </c>
      <c r="D618">
        <v>2026698495</v>
      </c>
      <c r="E618" t="s">
        <v>398</v>
      </c>
      <c r="F618" t="s">
        <v>399</v>
      </c>
      <c r="G618" t="s">
        <v>51</v>
      </c>
      <c r="H618" t="s">
        <v>122</v>
      </c>
      <c r="I618" t="s">
        <v>292</v>
      </c>
      <c r="J618" t="s">
        <v>293</v>
      </c>
      <c r="K618">
        <v>651818</v>
      </c>
      <c r="L618" t="s">
        <v>112</v>
      </c>
      <c r="M618" t="s">
        <v>104</v>
      </c>
      <c r="N618" t="s">
        <v>57</v>
      </c>
      <c r="O618" s="1">
        <v>45695</v>
      </c>
      <c r="Q618" s="1">
        <v>45968</v>
      </c>
      <c r="R618" s="2">
        <v>17.64</v>
      </c>
      <c r="S618">
        <v>1</v>
      </c>
      <c r="T618" t="s">
        <v>58</v>
      </c>
      <c r="U618" t="s">
        <v>359</v>
      </c>
      <c r="V618" s="3">
        <v>0.7</v>
      </c>
      <c r="W618" s="2">
        <v>0</v>
      </c>
      <c r="X618">
        <v>0</v>
      </c>
      <c r="Y618" t="s">
        <v>60</v>
      </c>
      <c r="Z618" t="s">
        <v>360</v>
      </c>
      <c r="AA618">
        <v>0</v>
      </c>
      <c r="AB618" s="2">
        <v>0</v>
      </c>
      <c r="AC618" s="2">
        <v>0</v>
      </c>
      <c r="AD618" s="3">
        <v>0</v>
      </c>
      <c r="AE618" s="2">
        <v>0</v>
      </c>
      <c r="AF618" s="2">
        <v>0</v>
      </c>
      <c r="AG618" s="2">
        <v>0</v>
      </c>
      <c r="AH618" s="2">
        <v>0</v>
      </c>
      <c r="AI618" s="2">
        <v>0</v>
      </c>
      <c r="AJ618" s="2">
        <v>0</v>
      </c>
      <c r="AK618" s="2">
        <v>0</v>
      </c>
      <c r="AL618" s="2">
        <v>0</v>
      </c>
      <c r="AM618" s="2">
        <v>12.35</v>
      </c>
      <c r="AN618" s="2">
        <v>12.35</v>
      </c>
      <c r="AO618" s="2">
        <v>0</v>
      </c>
      <c r="AP618" s="2">
        <v>0</v>
      </c>
      <c r="AQ618" s="2">
        <v>0</v>
      </c>
    </row>
    <row r="619" spans="1:43" x14ac:dyDescent="0.25">
      <c r="A619" s="1">
        <v>45936</v>
      </c>
      <c r="B619" t="s">
        <v>48</v>
      </c>
      <c r="C619">
        <v>649163</v>
      </c>
      <c r="D619">
        <v>2026718142</v>
      </c>
      <c r="E619" t="s">
        <v>831</v>
      </c>
      <c r="F619" t="s">
        <v>240</v>
      </c>
      <c r="G619" t="s">
        <v>51</v>
      </c>
      <c r="H619" t="s">
        <v>101</v>
      </c>
      <c r="I619" t="s">
        <v>292</v>
      </c>
      <c r="J619" t="s">
        <v>293</v>
      </c>
      <c r="K619">
        <v>768271</v>
      </c>
      <c r="L619" t="s">
        <v>880</v>
      </c>
      <c r="M619" t="s">
        <v>220</v>
      </c>
      <c r="N619" t="s">
        <v>57</v>
      </c>
      <c r="O619" s="1">
        <v>45689</v>
      </c>
      <c r="Q619" s="1">
        <v>45962</v>
      </c>
      <c r="R619" s="2">
        <v>284.54000000000002</v>
      </c>
      <c r="S619">
        <v>1</v>
      </c>
      <c r="T619" t="s">
        <v>58</v>
      </c>
      <c r="U619" t="s">
        <v>359</v>
      </c>
      <c r="V619" s="3">
        <v>0.7</v>
      </c>
      <c r="W619" s="2">
        <v>0</v>
      </c>
      <c r="X619">
        <v>0</v>
      </c>
      <c r="Y619" t="s">
        <v>60</v>
      </c>
      <c r="Z619" t="s">
        <v>360</v>
      </c>
      <c r="AA619">
        <v>0</v>
      </c>
      <c r="AB619" s="2">
        <v>0</v>
      </c>
      <c r="AC619" s="2">
        <v>0</v>
      </c>
      <c r="AD619" s="3">
        <v>0</v>
      </c>
      <c r="AE619" s="2">
        <v>0</v>
      </c>
      <c r="AF619" s="2">
        <v>0</v>
      </c>
      <c r="AG619" s="2">
        <v>0</v>
      </c>
      <c r="AH619" s="2">
        <v>0</v>
      </c>
      <c r="AI619" s="2">
        <v>0</v>
      </c>
      <c r="AJ619" s="2">
        <v>0</v>
      </c>
      <c r="AK619" s="2">
        <v>0</v>
      </c>
      <c r="AL619" s="2">
        <v>0</v>
      </c>
      <c r="AM619" s="2">
        <v>199.18</v>
      </c>
      <c r="AN619" s="2">
        <v>199.18</v>
      </c>
      <c r="AO619" s="2">
        <v>0</v>
      </c>
      <c r="AP619" s="2">
        <v>0</v>
      </c>
      <c r="AQ619" s="2">
        <v>0</v>
      </c>
    </row>
    <row r="620" spans="1:43" x14ac:dyDescent="0.25">
      <c r="A620" s="1">
        <v>45936</v>
      </c>
      <c r="B620" t="s">
        <v>48</v>
      </c>
      <c r="C620">
        <v>649163</v>
      </c>
      <c r="D620">
        <v>2026721808</v>
      </c>
      <c r="E620" t="s">
        <v>881</v>
      </c>
      <c r="F620" t="s">
        <v>367</v>
      </c>
      <c r="G620" t="s">
        <v>51</v>
      </c>
      <c r="H620" t="s">
        <v>52</v>
      </c>
      <c r="I620" t="s">
        <v>292</v>
      </c>
      <c r="J620" t="s">
        <v>295</v>
      </c>
      <c r="K620">
        <v>651818</v>
      </c>
      <c r="L620" t="s">
        <v>112</v>
      </c>
      <c r="M620" t="s">
        <v>104</v>
      </c>
      <c r="N620" t="s">
        <v>57</v>
      </c>
      <c r="O620" s="1">
        <v>45695</v>
      </c>
      <c r="Q620" s="1">
        <v>45968</v>
      </c>
      <c r="R620" s="2">
        <v>23.05</v>
      </c>
      <c r="S620">
        <v>1</v>
      </c>
      <c r="T620" t="s">
        <v>58</v>
      </c>
      <c r="U620" t="s">
        <v>359</v>
      </c>
      <c r="V620" s="3">
        <v>0.9</v>
      </c>
      <c r="W620" s="2">
        <v>0</v>
      </c>
      <c r="X620">
        <v>0</v>
      </c>
      <c r="Y620" t="s">
        <v>60</v>
      </c>
      <c r="Z620" t="s">
        <v>360</v>
      </c>
      <c r="AA620">
        <v>0</v>
      </c>
      <c r="AB620" s="2">
        <v>0</v>
      </c>
      <c r="AC620" s="2">
        <v>0</v>
      </c>
      <c r="AD620" s="3">
        <v>0</v>
      </c>
      <c r="AE620" s="2">
        <v>0</v>
      </c>
      <c r="AF620" s="2">
        <v>0</v>
      </c>
      <c r="AG620" s="2">
        <v>0</v>
      </c>
      <c r="AH620" s="2">
        <v>0</v>
      </c>
      <c r="AI620" s="2">
        <v>0</v>
      </c>
      <c r="AJ620" s="2">
        <v>0</v>
      </c>
      <c r="AK620" s="2">
        <v>0</v>
      </c>
      <c r="AL620" s="2">
        <v>0</v>
      </c>
      <c r="AM620" s="2">
        <v>20.74</v>
      </c>
      <c r="AN620" s="2">
        <v>20.74</v>
      </c>
      <c r="AO620" s="2">
        <v>0</v>
      </c>
      <c r="AP620" s="2">
        <v>0</v>
      </c>
      <c r="AQ620" s="2">
        <v>0</v>
      </c>
    </row>
    <row r="621" spans="1:43" x14ac:dyDescent="0.25">
      <c r="A621" s="1">
        <v>45936</v>
      </c>
      <c r="B621" t="s">
        <v>48</v>
      </c>
      <c r="C621">
        <v>649163</v>
      </c>
      <c r="D621">
        <v>2026733978</v>
      </c>
      <c r="E621" t="s">
        <v>882</v>
      </c>
      <c r="F621" t="s">
        <v>128</v>
      </c>
      <c r="G621" t="s">
        <v>51</v>
      </c>
      <c r="H621" t="s">
        <v>101</v>
      </c>
      <c r="I621" t="s">
        <v>292</v>
      </c>
      <c r="J621" t="s">
        <v>293</v>
      </c>
      <c r="K621">
        <v>651818</v>
      </c>
      <c r="L621" t="s">
        <v>112</v>
      </c>
      <c r="M621" t="s">
        <v>104</v>
      </c>
      <c r="N621" t="s">
        <v>57</v>
      </c>
      <c r="O621" s="1">
        <v>45695</v>
      </c>
      <c r="Q621" s="1">
        <v>45968</v>
      </c>
      <c r="R621" s="2">
        <v>122.22</v>
      </c>
      <c r="S621">
        <v>1</v>
      </c>
      <c r="T621" t="s">
        <v>58</v>
      </c>
      <c r="U621" t="s">
        <v>359</v>
      </c>
      <c r="V621" s="3">
        <v>0.7</v>
      </c>
      <c r="W621" s="2">
        <v>0</v>
      </c>
      <c r="X621">
        <v>0</v>
      </c>
      <c r="Y621" t="s">
        <v>60</v>
      </c>
      <c r="Z621" t="s">
        <v>360</v>
      </c>
      <c r="AA621">
        <v>0</v>
      </c>
      <c r="AB621" s="2">
        <v>0</v>
      </c>
      <c r="AC621" s="2">
        <v>0</v>
      </c>
      <c r="AD621" s="3">
        <v>0</v>
      </c>
      <c r="AE621" s="2">
        <v>0</v>
      </c>
      <c r="AF621" s="2">
        <v>0</v>
      </c>
      <c r="AG621" s="2">
        <v>0</v>
      </c>
      <c r="AH621" s="2">
        <v>0</v>
      </c>
      <c r="AI621" s="2">
        <v>0</v>
      </c>
      <c r="AJ621" s="2">
        <v>0</v>
      </c>
      <c r="AK621" s="2">
        <v>0</v>
      </c>
      <c r="AL621" s="2">
        <v>0</v>
      </c>
      <c r="AM621" s="2">
        <v>85.55</v>
      </c>
      <c r="AN621" s="2">
        <v>85.55</v>
      </c>
      <c r="AO621" s="2">
        <v>0</v>
      </c>
      <c r="AP621" s="2">
        <v>0</v>
      </c>
      <c r="AQ621" s="2">
        <v>0</v>
      </c>
    </row>
    <row r="622" spans="1:43" x14ac:dyDescent="0.25">
      <c r="A622" s="1">
        <v>45936</v>
      </c>
      <c r="B622" t="s">
        <v>48</v>
      </c>
      <c r="C622">
        <v>649163</v>
      </c>
      <c r="D622">
        <v>2026737140</v>
      </c>
      <c r="E622" t="s">
        <v>883</v>
      </c>
      <c r="F622" t="s">
        <v>884</v>
      </c>
      <c r="G622" t="s">
        <v>51</v>
      </c>
      <c r="H622" t="s">
        <v>101</v>
      </c>
      <c r="I622" t="s">
        <v>292</v>
      </c>
      <c r="J622" t="s">
        <v>293</v>
      </c>
      <c r="K622">
        <v>651818</v>
      </c>
      <c r="L622" t="s">
        <v>112</v>
      </c>
      <c r="M622" t="s">
        <v>104</v>
      </c>
      <c r="N622" t="s">
        <v>57</v>
      </c>
      <c r="O622" s="1">
        <v>45695</v>
      </c>
      <c r="Q622" s="1">
        <v>45968</v>
      </c>
      <c r="R622" s="2">
        <v>124.72</v>
      </c>
      <c r="S622">
        <v>1</v>
      </c>
      <c r="T622" t="s">
        <v>58</v>
      </c>
      <c r="U622" t="s">
        <v>359</v>
      </c>
      <c r="V622" s="3">
        <v>0.7</v>
      </c>
      <c r="W622" s="2">
        <v>0</v>
      </c>
      <c r="X622">
        <v>0</v>
      </c>
      <c r="Y622" t="s">
        <v>60</v>
      </c>
      <c r="Z622" t="s">
        <v>360</v>
      </c>
      <c r="AA622">
        <v>0</v>
      </c>
      <c r="AB622" s="2">
        <v>0</v>
      </c>
      <c r="AC622" s="2">
        <v>0</v>
      </c>
      <c r="AD622" s="3">
        <v>0</v>
      </c>
      <c r="AE622" s="2">
        <v>0</v>
      </c>
      <c r="AF622" s="2">
        <v>0</v>
      </c>
      <c r="AG622" s="2">
        <v>0</v>
      </c>
      <c r="AH622" s="2">
        <v>0</v>
      </c>
      <c r="AI622" s="2">
        <v>0</v>
      </c>
      <c r="AJ622" s="2">
        <v>0</v>
      </c>
      <c r="AK622" s="2">
        <v>0</v>
      </c>
      <c r="AL622" s="2">
        <v>0</v>
      </c>
      <c r="AM622" s="2">
        <v>87.3</v>
      </c>
      <c r="AN622" s="2">
        <v>87.3</v>
      </c>
      <c r="AO622" s="2">
        <v>0</v>
      </c>
      <c r="AP622" s="2">
        <v>0</v>
      </c>
      <c r="AQ622" s="2">
        <v>0</v>
      </c>
    </row>
    <row r="623" spans="1:43" x14ac:dyDescent="0.25">
      <c r="A623" s="1">
        <v>45936</v>
      </c>
      <c r="B623" t="s">
        <v>48</v>
      </c>
      <c r="C623">
        <v>649163</v>
      </c>
      <c r="D623">
        <v>2026807823</v>
      </c>
      <c r="E623" t="s">
        <v>123</v>
      </c>
      <c r="F623" t="s">
        <v>507</v>
      </c>
      <c r="G623" t="s">
        <v>51</v>
      </c>
      <c r="H623" t="s">
        <v>52</v>
      </c>
      <c r="I623" t="s">
        <v>292</v>
      </c>
      <c r="J623" t="s">
        <v>293</v>
      </c>
      <c r="K623">
        <v>651818</v>
      </c>
      <c r="L623" t="s">
        <v>112</v>
      </c>
      <c r="M623" t="s">
        <v>104</v>
      </c>
      <c r="N623" t="s">
        <v>57</v>
      </c>
      <c r="O623" s="1">
        <v>45695</v>
      </c>
      <c r="Q623" s="1">
        <v>45968</v>
      </c>
      <c r="R623" s="2">
        <v>129.22</v>
      </c>
      <c r="S623">
        <v>1</v>
      </c>
      <c r="T623" t="s">
        <v>58</v>
      </c>
      <c r="U623" t="s">
        <v>359</v>
      </c>
      <c r="V623" s="3">
        <v>0.7</v>
      </c>
      <c r="W623" s="2">
        <v>0</v>
      </c>
      <c r="X623">
        <v>0</v>
      </c>
      <c r="Y623" t="s">
        <v>60</v>
      </c>
      <c r="Z623" t="s">
        <v>360</v>
      </c>
      <c r="AA623">
        <v>0</v>
      </c>
      <c r="AB623" s="2">
        <v>0</v>
      </c>
      <c r="AC623" s="2">
        <v>0</v>
      </c>
      <c r="AD623" s="3">
        <v>0</v>
      </c>
      <c r="AE623" s="2">
        <v>0</v>
      </c>
      <c r="AF623" s="2">
        <v>0</v>
      </c>
      <c r="AG623" s="2">
        <v>0</v>
      </c>
      <c r="AH623" s="2">
        <v>0</v>
      </c>
      <c r="AI623" s="2">
        <v>0</v>
      </c>
      <c r="AJ623" s="2">
        <v>0</v>
      </c>
      <c r="AK623" s="2">
        <v>0</v>
      </c>
      <c r="AL623" s="2">
        <v>0</v>
      </c>
      <c r="AM623" s="2">
        <v>90.45</v>
      </c>
      <c r="AN623" s="2">
        <v>90.45</v>
      </c>
      <c r="AO623" s="2">
        <v>0</v>
      </c>
      <c r="AP623" s="2">
        <v>0</v>
      </c>
      <c r="AQ623" s="2">
        <v>0</v>
      </c>
    </row>
    <row r="624" spans="1:43" x14ac:dyDescent="0.25">
      <c r="A624" s="1">
        <v>45936</v>
      </c>
      <c r="B624" t="s">
        <v>48</v>
      </c>
      <c r="C624">
        <v>649163</v>
      </c>
      <c r="D624">
        <v>2026827011</v>
      </c>
      <c r="E624" t="s">
        <v>885</v>
      </c>
      <c r="F624" t="s">
        <v>845</v>
      </c>
      <c r="G624" t="s">
        <v>51</v>
      </c>
      <c r="H624" t="s">
        <v>129</v>
      </c>
      <c r="I624" t="s">
        <v>292</v>
      </c>
      <c r="J624" t="s">
        <v>293</v>
      </c>
      <c r="K624">
        <v>651818</v>
      </c>
      <c r="L624" t="s">
        <v>112</v>
      </c>
      <c r="M624" t="s">
        <v>104</v>
      </c>
      <c r="N624" t="s">
        <v>57</v>
      </c>
      <c r="O624" s="1">
        <v>45695</v>
      </c>
      <c r="Q624" s="1">
        <v>45968</v>
      </c>
      <c r="R624" s="2">
        <v>122.32</v>
      </c>
      <c r="S624">
        <v>1</v>
      </c>
      <c r="T624" t="s">
        <v>58</v>
      </c>
      <c r="U624" t="s">
        <v>359</v>
      </c>
      <c r="V624" s="3">
        <v>0.7</v>
      </c>
      <c r="W624" s="2">
        <v>0</v>
      </c>
      <c r="X624">
        <v>0</v>
      </c>
      <c r="Y624" t="s">
        <v>60</v>
      </c>
      <c r="Z624" t="s">
        <v>360</v>
      </c>
      <c r="AA624">
        <v>0</v>
      </c>
      <c r="AB624" s="2">
        <v>0</v>
      </c>
      <c r="AC624" s="2">
        <v>0</v>
      </c>
      <c r="AD624" s="3">
        <v>0</v>
      </c>
      <c r="AE624" s="2">
        <v>0</v>
      </c>
      <c r="AF624" s="2">
        <v>0</v>
      </c>
      <c r="AG624" s="2">
        <v>0</v>
      </c>
      <c r="AH624" s="2">
        <v>0</v>
      </c>
      <c r="AI624" s="2">
        <v>0</v>
      </c>
      <c r="AJ624" s="2">
        <v>0</v>
      </c>
      <c r="AK624" s="2">
        <v>0</v>
      </c>
      <c r="AL624" s="2">
        <v>0</v>
      </c>
      <c r="AM624" s="2">
        <v>85.62</v>
      </c>
      <c r="AN624" s="2">
        <v>85.62</v>
      </c>
      <c r="AO624" s="2">
        <v>0</v>
      </c>
      <c r="AP624" s="2">
        <v>0</v>
      </c>
      <c r="AQ624" s="2">
        <v>0</v>
      </c>
    </row>
    <row r="625" spans="1:43" x14ac:dyDescent="0.25">
      <c r="A625" s="1">
        <v>45936</v>
      </c>
      <c r="B625" t="s">
        <v>48</v>
      </c>
      <c r="C625">
        <v>649163</v>
      </c>
      <c r="D625">
        <v>2026832448</v>
      </c>
      <c r="E625" t="s">
        <v>97</v>
      </c>
      <c r="F625" t="s">
        <v>173</v>
      </c>
      <c r="G625" t="s">
        <v>51</v>
      </c>
      <c r="H625" t="s">
        <v>115</v>
      </c>
      <c r="I625" t="s">
        <v>292</v>
      </c>
      <c r="J625" t="s">
        <v>293</v>
      </c>
      <c r="K625">
        <v>651818</v>
      </c>
      <c r="L625" t="s">
        <v>112</v>
      </c>
      <c r="M625" t="s">
        <v>104</v>
      </c>
      <c r="N625" t="s">
        <v>57</v>
      </c>
      <c r="O625" s="1">
        <v>45695</v>
      </c>
      <c r="Q625" s="1">
        <v>45968</v>
      </c>
      <c r="R625" s="2">
        <v>32.979999999999997</v>
      </c>
      <c r="S625">
        <v>1</v>
      </c>
      <c r="T625" t="s">
        <v>58</v>
      </c>
      <c r="U625" t="s">
        <v>359</v>
      </c>
      <c r="V625" s="3">
        <v>0.7</v>
      </c>
      <c r="W625" s="2">
        <v>0</v>
      </c>
      <c r="X625">
        <v>0</v>
      </c>
      <c r="Y625" t="s">
        <v>60</v>
      </c>
      <c r="Z625" t="s">
        <v>360</v>
      </c>
      <c r="AA625">
        <v>0</v>
      </c>
      <c r="AB625" s="2">
        <v>0</v>
      </c>
      <c r="AC625" s="2">
        <v>0</v>
      </c>
      <c r="AD625" s="3">
        <v>0</v>
      </c>
      <c r="AE625" s="2">
        <v>0</v>
      </c>
      <c r="AF625" s="2">
        <v>0</v>
      </c>
      <c r="AG625" s="2">
        <v>0</v>
      </c>
      <c r="AH625" s="2">
        <v>0</v>
      </c>
      <c r="AI625" s="2">
        <v>0</v>
      </c>
      <c r="AJ625" s="2">
        <v>0</v>
      </c>
      <c r="AK625" s="2">
        <v>0</v>
      </c>
      <c r="AL625" s="2">
        <v>0</v>
      </c>
      <c r="AM625" s="2">
        <v>23.09</v>
      </c>
      <c r="AN625" s="2">
        <v>23.09</v>
      </c>
      <c r="AO625" s="2">
        <v>0</v>
      </c>
      <c r="AP625" s="2">
        <v>0</v>
      </c>
      <c r="AQ625" s="2">
        <v>0</v>
      </c>
    </row>
    <row r="626" spans="1:43" x14ac:dyDescent="0.25">
      <c r="A626" s="1">
        <v>45936</v>
      </c>
      <c r="B626" t="s">
        <v>48</v>
      </c>
      <c r="C626">
        <v>649163</v>
      </c>
      <c r="D626">
        <v>2026832450</v>
      </c>
      <c r="E626" t="s">
        <v>97</v>
      </c>
      <c r="F626" t="s">
        <v>173</v>
      </c>
      <c r="G626" t="s">
        <v>51</v>
      </c>
      <c r="H626" t="s">
        <v>115</v>
      </c>
      <c r="I626" t="s">
        <v>292</v>
      </c>
      <c r="J626" t="s">
        <v>295</v>
      </c>
      <c r="K626">
        <v>651818</v>
      </c>
      <c r="L626" t="s">
        <v>112</v>
      </c>
      <c r="M626" t="s">
        <v>104</v>
      </c>
      <c r="N626" t="s">
        <v>57</v>
      </c>
      <c r="O626" s="1">
        <v>45695</v>
      </c>
      <c r="Q626" s="1">
        <v>45968</v>
      </c>
      <c r="R626" s="2">
        <v>41.25</v>
      </c>
      <c r="S626">
        <v>1</v>
      </c>
      <c r="T626" t="s">
        <v>58</v>
      </c>
      <c r="U626" t="s">
        <v>359</v>
      </c>
      <c r="V626" s="3">
        <v>0.9</v>
      </c>
      <c r="W626" s="2">
        <v>0</v>
      </c>
      <c r="X626">
        <v>0</v>
      </c>
      <c r="Y626" t="s">
        <v>60</v>
      </c>
      <c r="Z626" t="s">
        <v>360</v>
      </c>
      <c r="AA626">
        <v>0</v>
      </c>
      <c r="AB626" s="2">
        <v>0</v>
      </c>
      <c r="AC626" s="2">
        <v>0</v>
      </c>
      <c r="AD626" s="3">
        <v>0</v>
      </c>
      <c r="AE626" s="2">
        <v>0</v>
      </c>
      <c r="AF626" s="2">
        <v>0</v>
      </c>
      <c r="AG626" s="2">
        <v>0</v>
      </c>
      <c r="AH626" s="2">
        <v>0</v>
      </c>
      <c r="AI626" s="2">
        <v>0</v>
      </c>
      <c r="AJ626" s="2">
        <v>0</v>
      </c>
      <c r="AK626" s="2">
        <v>0</v>
      </c>
      <c r="AL626" s="2">
        <v>0</v>
      </c>
      <c r="AM626" s="2">
        <v>37.119999999999997</v>
      </c>
      <c r="AN626" s="2">
        <v>37.119999999999997</v>
      </c>
      <c r="AO626" s="2">
        <v>0</v>
      </c>
      <c r="AP626" s="2">
        <v>0</v>
      </c>
      <c r="AQ626" s="2">
        <v>0</v>
      </c>
    </row>
    <row r="627" spans="1:43" x14ac:dyDescent="0.25">
      <c r="A627" s="1">
        <v>45936</v>
      </c>
      <c r="B627" t="s">
        <v>48</v>
      </c>
      <c r="C627">
        <v>649163</v>
      </c>
      <c r="D627">
        <v>2026844913</v>
      </c>
      <c r="E627" t="s">
        <v>748</v>
      </c>
      <c r="F627" t="s">
        <v>132</v>
      </c>
      <c r="G627" t="s">
        <v>51</v>
      </c>
      <c r="H627" t="s">
        <v>101</v>
      </c>
      <c r="I627" t="s">
        <v>292</v>
      </c>
      <c r="J627" t="s">
        <v>293</v>
      </c>
      <c r="K627">
        <v>651818</v>
      </c>
      <c r="L627" t="s">
        <v>112</v>
      </c>
      <c r="M627" t="s">
        <v>104</v>
      </c>
      <c r="N627" t="s">
        <v>57</v>
      </c>
      <c r="O627" s="1">
        <v>45695</v>
      </c>
      <c r="Q627" s="1">
        <v>45968</v>
      </c>
      <c r="R627" s="2">
        <v>78.400000000000006</v>
      </c>
      <c r="S627">
        <v>1</v>
      </c>
      <c r="T627" t="s">
        <v>58</v>
      </c>
      <c r="U627" t="s">
        <v>359</v>
      </c>
      <c r="V627" s="3">
        <v>0.7</v>
      </c>
      <c r="W627" s="2">
        <v>0</v>
      </c>
      <c r="X627">
        <v>0</v>
      </c>
      <c r="Y627" t="s">
        <v>60</v>
      </c>
      <c r="Z627" t="s">
        <v>360</v>
      </c>
      <c r="AA627">
        <v>0</v>
      </c>
      <c r="AB627" s="2">
        <v>0</v>
      </c>
      <c r="AC627" s="2">
        <v>0</v>
      </c>
      <c r="AD627" s="3">
        <v>0</v>
      </c>
      <c r="AE627" s="2">
        <v>0</v>
      </c>
      <c r="AF627" s="2">
        <v>0</v>
      </c>
      <c r="AG627" s="2">
        <v>0</v>
      </c>
      <c r="AH627" s="2">
        <v>0</v>
      </c>
      <c r="AI627" s="2">
        <v>0</v>
      </c>
      <c r="AJ627" s="2">
        <v>0</v>
      </c>
      <c r="AK627" s="2">
        <v>0</v>
      </c>
      <c r="AL627" s="2">
        <v>0</v>
      </c>
      <c r="AM627" s="2">
        <v>54.88</v>
      </c>
      <c r="AN627" s="2">
        <v>54.88</v>
      </c>
      <c r="AO627" s="2">
        <v>0</v>
      </c>
      <c r="AP627" s="2">
        <v>0</v>
      </c>
      <c r="AQ627" s="2">
        <v>0</v>
      </c>
    </row>
    <row r="628" spans="1:43" x14ac:dyDescent="0.25">
      <c r="A628" s="1">
        <v>45936</v>
      </c>
      <c r="B628" t="s">
        <v>48</v>
      </c>
      <c r="C628">
        <v>649163</v>
      </c>
      <c r="D628">
        <v>2026860056</v>
      </c>
      <c r="E628" t="s">
        <v>733</v>
      </c>
      <c r="F628" t="s">
        <v>734</v>
      </c>
      <c r="G628" t="s">
        <v>51</v>
      </c>
      <c r="H628" t="s">
        <v>52</v>
      </c>
      <c r="I628" t="s">
        <v>292</v>
      </c>
      <c r="J628" t="s">
        <v>293</v>
      </c>
      <c r="K628">
        <v>651818</v>
      </c>
      <c r="L628" t="s">
        <v>112</v>
      </c>
      <c r="M628" t="s">
        <v>104</v>
      </c>
      <c r="N628" t="s">
        <v>57</v>
      </c>
      <c r="O628" s="1">
        <v>45695</v>
      </c>
      <c r="Q628" s="1">
        <v>45968</v>
      </c>
      <c r="R628" s="2">
        <v>13</v>
      </c>
      <c r="S628">
        <v>1</v>
      </c>
      <c r="T628" t="s">
        <v>58</v>
      </c>
      <c r="U628" t="s">
        <v>359</v>
      </c>
      <c r="V628" s="3">
        <v>0.7</v>
      </c>
      <c r="W628" s="2">
        <v>0</v>
      </c>
      <c r="X628">
        <v>0</v>
      </c>
      <c r="Y628" t="s">
        <v>60</v>
      </c>
      <c r="Z628" t="s">
        <v>360</v>
      </c>
      <c r="AA628">
        <v>0</v>
      </c>
      <c r="AB628" s="2">
        <v>0</v>
      </c>
      <c r="AC628" s="2">
        <v>0</v>
      </c>
      <c r="AD628" s="3">
        <v>0</v>
      </c>
      <c r="AE628" s="2">
        <v>0</v>
      </c>
      <c r="AF628" s="2">
        <v>0</v>
      </c>
      <c r="AG628" s="2">
        <v>0</v>
      </c>
      <c r="AH628" s="2">
        <v>0</v>
      </c>
      <c r="AI628" s="2">
        <v>0</v>
      </c>
      <c r="AJ628" s="2">
        <v>0</v>
      </c>
      <c r="AK628" s="2">
        <v>0</v>
      </c>
      <c r="AL628" s="2">
        <v>0</v>
      </c>
      <c r="AM628" s="2">
        <v>9.1</v>
      </c>
      <c r="AN628" s="2">
        <v>9.1</v>
      </c>
      <c r="AO628" s="2">
        <v>0</v>
      </c>
      <c r="AP628" s="2">
        <v>0</v>
      </c>
      <c r="AQ628" s="2">
        <v>0</v>
      </c>
    </row>
    <row r="629" spans="1:43" x14ac:dyDescent="0.25">
      <c r="A629" s="1">
        <v>45936</v>
      </c>
      <c r="B629" t="s">
        <v>48</v>
      </c>
      <c r="C629">
        <v>649163</v>
      </c>
      <c r="D629">
        <v>2026862484</v>
      </c>
      <c r="E629" t="s">
        <v>699</v>
      </c>
      <c r="F629" t="s">
        <v>886</v>
      </c>
      <c r="G629" t="s">
        <v>51</v>
      </c>
      <c r="H629" t="s">
        <v>101</v>
      </c>
      <c r="I629" t="s">
        <v>292</v>
      </c>
      <c r="J629" t="s">
        <v>293</v>
      </c>
      <c r="K629">
        <v>764123</v>
      </c>
      <c r="L629" t="s">
        <v>887</v>
      </c>
      <c r="M629" t="s">
        <v>888</v>
      </c>
      <c r="N629" t="s">
        <v>57</v>
      </c>
      <c r="O629" s="1">
        <v>45694</v>
      </c>
      <c r="Q629" s="1">
        <v>45967</v>
      </c>
      <c r="R629" s="2">
        <v>11.5</v>
      </c>
      <c r="S629">
        <v>1</v>
      </c>
      <c r="T629" t="s">
        <v>58</v>
      </c>
      <c r="U629" t="s">
        <v>359</v>
      </c>
      <c r="V629" s="3">
        <v>0.7</v>
      </c>
      <c r="W629" s="2">
        <v>0</v>
      </c>
      <c r="X629">
        <v>0</v>
      </c>
      <c r="Y629" t="s">
        <v>60</v>
      </c>
      <c r="Z629" t="s">
        <v>360</v>
      </c>
      <c r="AA629">
        <v>0</v>
      </c>
      <c r="AB629" s="2">
        <v>0</v>
      </c>
      <c r="AC629" s="2">
        <v>0</v>
      </c>
      <c r="AD629" s="3">
        <v>0</v>
      </c>
      <c r="AE629" s="2">
        <v>0</v>
      </c>
      <c r="AF629" s="2">
        <v>0</v>
      </c>
      <c r="AG629" s="2">
        <v>0</v>
      </c>
      <c r="AH629" s="2">
        <v>0</v>
      </c>
      <c r="AI629" s="2">
        <v>0</v>
      </c>
      <c r="AJ629" s="2">
        <v>0</v>
      </c>
      <c r="AK629" s="2">
        <v>0</v>
      </c>
      <c r="AL629" s="2">
        <v>0</v>
      </c>
      <c r="AM629" s="2">
        <v>8.0500000000000007</v>
      </c>
      <c r="AN629" s="2">
        <v>8.0500000000000007</v>
      </c>
      <c r="AO629" s="2">
        <v>0</v>
      </c>
      <c r="AP629" s="2">
        <v>0</v>
      </c>
      <c r="AQ629" s="2">
        <v>0</v>
      </c>
    </row>
    <row r="630" spans="1:43" x14ac:dyDescent="0.25">
      <c r="A630" s="1">
        <v>45936</v>
      </c>
      <c r="B630" t="s">
        <v>48</v>
      </c>
      <c r="C630">
        <v>649163</v>
      </c>
      <c r="D630">
        <v>2026952797</v>
      </c>
      <c r="E630" t="s">
        <v>889</v>
      </c>
      <c r="F630" t="s">
        <v>72</v>
      </c>
      <c r="G630" t="s">
        <v>51</v>
      </c>
      <c r="H630" t="s">
        <v>101</v>
      </c>
      <c r="I630" t="s">
        <v>292</v>
      </c>
      <c r="J630" t="s">
        <v>293</v>
      </c>
      <c r="K630">
        <v>812656</v>
      </c>
      <c r="L630" t="s">
        <v>509</v>
      </c>
      <c r="M630" t="s">
        <v>476</v>
      </c>
      <c r="N630" t="s">
        <v>57</v>
      </c>
      <c r="O630" s="1">
        <v>45693</v>
      </c>
      <c r="Q630" s="1">
        <v>45966</v>
      </c>
      <c r="R630" s="2">
        <v>341.13</v>
      </c>
      <c r="S630">
        <v>1</v>
      </c>
      <c r="T630" t="s">
        <v>58</v>
      </c>
      <c r="U630" t="s">
        <v>359</v>
      </c>
      <c r="V630" s="3">
        <v>0.7</v>
      </c>
      <c r="W630" s="2">
        <v>0</v>
      </c>
      <c r="X630">
        <v>0</v>
      </c>
      <c r="Y630" t="s">
        <v>60</v>
      </c>
      <c r="Z630" t="s">
        <v>360</v>
      </c>
      <c r="AA630">
        <v>0</v>
      </c>
      <c r="AB630" s="2">
        <v>0</v>
      </c>
      <c r="AC630" s="2">
        <v>0</v>
      </c>
      <c r="AD630" s="3">
        <v>0</v>
      </c>
      <c r="AE630" s="2">
        <v>0</v>
      </c>
      <c r="AF630" s="2">
        <v>0</v>
      </c>
      <c r="AG630" s="2">
        <v>0</v>
      </c>
      <c r="AH630" s="2">
        <v>0</v>
      </c>
      <c r="AI630" s="2">
        <v>0</v>
      </c>
      <c r="AJ630" s="2">
        <v>0</v>
      </c>
      <c r="AK630" s="2">
        <v>0</v>
      </c>
      <c r="AL630" s="2">
        <v>0</v>
      </c>
      <c r="AM630" s="2">
        <v>238.79</v>
      </c>
      <c r="AN630" s="2">
        <v>238.79</v>
      </c>
      <c r="AO630" s="2">
        <v>0</v>
      </c>
      <c r="AP630" s="2">
        <v>0</v>
      </c>
      <c r="AQ630" s="2">
        <v>0</v>
      </c>
    </row>
    <row r="631" spans="1:43" x14ac:dyDescent="0.25">
      <c r="A631" s="1">
        <v>45936</v>
      </c>
      <c r="B631" t="s">
        <v>48</v>
      </c>
      <c r="C631">
        <v>649163</v>
      </c>
      <c r="D631">
        <v>2026958511</v>
      </c>
      <c r="E631" t="s">
        <v>890</v>
      </c>
      <c r="F631" t="s">
        <v>429</v>
      </c>
      <c r="G631" t="s">
        <v>51</v>
      </c>
      <c r="H631" t="s">
        <v>155</v>
      </c>
      <c r="I631" t="s">
        <v>292</v>
      </c>
      <c r="J631" t="s">
        <v>293</v>
      </c>
      <c r="K631">
        <v>813184</v>
      </c>
      <c r="L631" t="s">
        <v>408</v>
      </c>
      <c r="M631" t="s">
        <v>410</v>
      </c>
      <c r="N631" t="s">
        <v>57</v>
      </c>
      <c r="O631" s="1">
        <v>45694</v>
      </c>
      <c r="Q631" s="1">
        <v>45967</v>
      </c>
      <c r="R631" s="2">
        <v>89.95</v>
      </c>
      <c r="S631">
        <v>1</v>
      </c>
      <c r="T631" t="s">
        <v>58</v>
      </c>
      <c r="U631" t="s">
        <v>359</v>
      </c>
      <c r="V631" s="3">
        <v>0.7</v>
      </c>
      <c r="W631" s="2">
        <v>0</v>
      </c>
      <c r="X631">
        <v>0</v>
      </c>
      <c r="Y631" t="s">
        <v>60</v>
      </c>
      <c r="Z631" t="s">
        <v>360</v>
      </c>
      <c r="AA631">
        <v>0</v>
      </c>
      <c r="AB631" s="2">
        <v>0</v>
      </c>
      <c r="AC631" s="2">
        <v>0</v>
      </c>
      <c r="AD631" s="3">
        <v>0</v>
      </c>
      <c r="AE631" s="2">
        <v>0</v>
      </c>
      <c r="AF631" s="2">
        <v>0</v>
      </c>
      <c r="AG631" s="2">
        <v>0</v>
      </c>
      <c r="AH631" s="2">
        <v>0</v>
      </c>
      <c r="AI631" s="2">
        <v>0</v>
      </c>
      <c r="AJ631" s="2">
        <v>0</v>
      </c>
      <c r="AK631" s="2">
        <v>0</v>
      </c>
      <c r="AL631" s="2">
        <v>0</v>
      </c>
      <c r="AM631" s="2">
        <v>62.96</v>
      </c>
      <c r="AN631" s="2">
        <v>62.96</v>
      </c>
      <c r="AO631" s="2">
        <v>0</v>
      </c>
      <c r="AP631" s="2">
        <v>0</v>
      </c>
      <c r="AQ631" s="2">
        <v>0</v>
      </c>
    </row>
    <row r="632" spans="1:43" x14ac:dyDescent="0.25">
      <c r="A632" s="1">
        <v>45936</v>
      </c>
      <c r="B632" t="s">
        <v>48</v>
      </c>
      <c r="C632">
        <v>649163</v>
      </c>
      <c r="D632">
        <v>2026970604</v>
      </c>
      <c r="E632" t="s">
        <v>188</v>
      </c>
      <c r="F632" t="s">
        <v>571</v>
      </c>
      <c r="G632" t="s">
        <v>51</v>
      </c>
      <c r="H632" t="s">
        <v>52</v>
      </c>
      <c r="I632" t="s">
        <v>292</v>
      </c>
      <c r="J632" t="s">
        <v>295</v>
      </c>
      <c r="K632">
        <v>651818</v>
      </c>
      <c r="L632" t="s">
        <v>112</v>
      </c>
      <c r="M632" t="s">
        <v>104</v>
      </c>
      <c r="N632" t="s">
        <v>57</v>
      </c>
      <c r="O632" s="1">
        <v>45723</v>
      </c>
      <c r="Q632" s="1">
        <v>45968</v>
      </c>
      <c r="R632" s="2">
        <v>99.25</v>
      </c>
      <c r="S632">
        <v>1</v>
      </c>
      <c r="T632" t="s">
        <v>58</v>
      </c>
      <c r="U632" t="s">
        <v>359</v>
      </c>
      <c r="V632" s="3">
        <v>0.9</v>
      </c>
      <c r="W632" s="2">
        <v>0</v>
      </c>
      <c r="X632">
        <v>0</v>
      </c>
      <c r="Y632" t="s">
        <v>60</v>
      </c>
      <c r="Z632" t="s">
        <v>360</v>
      </c>
      <c r="AA632">
        <v>0</v>
      </c>
      <c r="AB632" s="2">
        <v>0</v>
      </c>
      <c r="AC632" s="2">
        <v>0</v>
      </c>
      <c r="AD632" s="3">
        <v>0</v>
      </c>
      <c r="AE632" s="2">
        <v>0</v>
      </c>
      <c r="AF632" s="2">
        <v>0</v>
      </c>
      <c r="AG632" s="2">
        <v>0</v>
      </c>
      <c r="AH632" s="2">
        <v>0</v>
      </c>
      <c r="AI632" s="2">
        <v>0</v>
      </c>
      <c r="AJ632" s="2">
        <v>0</v>
      </c>
      <c r="AK632" s="2">
        <v>0</v>
      </c>
      <c r="AL632" s="2">
        <v>0</v>
      </c>
      <c r="AM632" s="2">
        <v>89.32</v>
      </c>
      <c r="AN632" s="2">
        <v>89.32</v>
      </c>
      <c r="AO632" s="2">
        <v>0</v>
      </c>
      <c r="AP632" s="2">
        <v>0</v>
      </c>
      <c r="AQ632" s="2">
        <v>0</v>
      </c>
    </row>
    <row r="633" spans="1:43" x14ac:dyDescent="0.25">
      <c r="A633" s="1">
        <v>45936</v>
      </c>
      <c r="B633" t="s">
        <v>48</v>
      </c>
      <c r="C633">
        <v>649163</v>
      </c>
      <c r="D633">
        <v>2026978414</v>
      </c>
      <c r="E633" t="s">
        <v>891</v>
      </c>
      <c r="F633" t="s">
        <v>892</v>
      </c>
      <c r="G633" t="s">
        <v>51</v>
      </c>
      <c r="H633" t="s">
        <v>101</v>
      </c>
      <c r="I633" t="s">
        <v>292</v>
      </c>
      <c r="J633" t="s">
        <v>293</v>
      </c>
      <c r="K633">
        <v>813181</v>
      </c>
      <c r="L633" t="s">
        <v>893</v>
      </c>
      <c r="M633" t="s">
        <v>393</v>
      </c>
      <c r="N633" t="s">
        <v>57</v>
      </c>
      <c r="O633" s="1">
        <v>45695</v>
      </c>
      <c r="Q633" s="1">
        <v>45968</v>
      </c>
      <c r="R633" s="2">
        <v>56.5</v>
      </c>
      <c r="S633">
        <v>1</v>
      </c>
      <c r="T633" t="s">
        <v>58</v>
      </c>
      <c r="U633" t="s">
        <v>359</v>
      </c>
      <c r="V633" s="3">
        <v>0.7</v>
      </c>
      <c r="W633" s="2">
        <v>0</v>
      </c>
      <c r="X633">
        <v>0</v>
      </c>
      <c r="Y633" t="s">
        <v>60</v>
      </c>
      <c r="Z633" t="s">
        <v>360</v>
      </c>
      <c r="AA633">
        <v>0</v>
      </c>
      <c r="AB633" s="2">
        <v>0</v>
      </c>
      <c r="AC633" s="2">
        <v>0</v>
      </c>
      <c r="AD633" s="3">
        <v>0</v>
      </c>
      <c r="AE633" s="2">
        <v>0</v>
      </c>
      <c r="AF633" s="2">
        <v>0</v>
      </c>
      <c r="AG633" s="2">
        <v>0</v>
      </c>
      <c r="AH633" s="2">
        <v>0</v>
      </c>
      <c r="AI633" s="2">
        <v>0</v>
      </c>
      <c r="AJ633" s="2">
        <v>0</v>
      </c>
      <c r="AK633" s="2">
        <v>0</v>
      </c>
      <c r="AL633" s="2">
        <v>0</v>
      </c>
      <c r="AM633" s="2">
        <v>39.549999999999997</v>
      </c>
      <c r="AN633" s="2">
        <v>39.549999999999997</v>
      </c>
      <c r="AO633" s="2">
        <v>0</v>
      </c>
      <c r="AP633" s="2">
        <v>0</v>
      </c>
      <c r="AQ633" s="2">
        <v>0</v>
      </c>
    </row>
    <row r="634" spans="1:43" x14ac:dyDescent="0.25">
      <c r="A634" s="1">
        <v>45936</v>
      </c>
      <c r="B634" t="s">
        <v>48</v>
      </c>
      <c r="C634">
        <v>649163</v>
      </c>
      <c r="D634">
        <v>2026978805</v>
      </c>
      <c r="E634" t="s">
        <v>894</v>
      </c>
      <c r="F634" t="s">
        <v>895</v>
      </c>
      <c r="G634" t="s">
        <v>51</v>
      </c>
      <c r="H634" t="s">
        <v>101</v>
      </c>
      <c r="I634" t="s">
        <v>292</v>
      </c>
      <c r="J634" t="s">
        <v>293</v>
      </c>
      <c r="K634">
        <v>824062</v>
      </c>
      <c r="L634" t="s">
        <v>273</v>
      </c>
      <c r="M634" t="s">
        <v>274</v>
      </c>
      <c r="N634" t="s">
        <v>57</v>
      </c>
      <c r="O634" s="1">
        <v>45695</v>
      </c>
      <c r="Q634" s="1">
        <v>45968</v>
      </c>
      <c r="R634" s="2">
        <v>15.75</v>
      </c>
      <c r="S634">
        <v>1</v>
      </c>
      <c r="T634" t="s">
        <v>58</v>
      </c>
      <c r="U634" t="s">
        <v>359</v>
      </c>
      <c r="V634" s="3">
        <v>0.7</v>
      </c>
      <c r="W634" s="2">
        <v>0</v>
      </c>
      <c r="X634">
        <v>0</v>
      </c>
      <c r="Y634" t="s">
        <v>60</v>
      </c>
      <c r="Z634" t="s">
        <v>360</v>
      </c>
      <c r="AA634">
        <v>0</v>
      </c>
      <c r="AB634" s="2">
        <v>0</v>
      </c>
      <c r="AC634" s="2">
        <v>0</v>
      </c>
      <c r="AD634" s="3">
        <v>0</v>
      </c>
      <c r="AE634" s="2">
        <v>0</v>
      </c>
      <c r="AF634" s="2">
        <v>0</v>
      </c>
      <c r="AG634" s="2">
        <v>0</v>
      </c>
      <c r="AH634" s="2">
        <v>0</v>
      </c>
      <c r="AI634" s="2">
        <v>0</v>
      </c>
      <c r="AJ634" s="2">
        <v>0</v>
      </c>
      <c r="AK634" s="2">
        <v>0</v>
      </c>
      <c r="AL634" s="2">
        <v>0</v>
      </c>
      <c r="AM634" s="2">
        <v>11.02</v>
      </c>
      <c r="AN634" s="2">
        <v>11.02</v>
      </c>
      <c r="AO634" s="2">
        <v>0</v>
      </c>
      <c r="AP634" s="2">
        <v>0</v>
      </c>
      <c r="AQ634" s="2">
        <v>0</v>
      </c>
    </row>
    <row r="635" spans="1:43" x14ac:dyDescent="0.25">
      <c r="A635" s="1">
        <v>45936</v>
      </c>
      <c r="B635" t="s">
        <v>48</v>
      </c>
      <c r="C635">
        <v>649163</v>
      </c>
      <c r="D635">
        <v>2027001808</v>
      </c>
      <c r="E635" t="s">
        <v>749</v>
      </c>
      <c r="F635" t="s">
        <v>585</v>
      </c>
      <c r="G635" t="s">
        <v>51</v>
      </c>
      <c r="H635" t="s">
        <v>203</v>
      </c>
      <c r="I635" t="s">
        <v>292</v>
      </c>
      <c r="J635" t="s">
        <v>293</v>
      </c>
      <c r="K635">
        <v>816021</v>
      </c>
      <c r="L635" t="s">
        <v>265</v>
      </c>
      <c r="M635" t="s">
        <v>266</v>
      </c>
      <c r="N635" t="s">
        <v>57</v>
      </c>
      <c r="O635" s="1">
        <v>45698</v>
      </c>
      <c r="Q635" s="1">
        <v>45971</v>
      </c>
      <c r="R635" s="2">
        <v>7.11</v>
      </c>
      <c r="S635">
        <v>1</v>
      </c>
      <c r="T635" t="s">
        <v>58</v>
      </c>
      <c r="U635" t="s">
        <v>359</v>
      </c>
      <c r="V635" s="3">
        <v>0.7</v>
      </c>
      <c r="W635" s="2">
        <v>0</v>
      </c>
      <c r="X635">
        <v>0</v>
      </c>
      <c r="Y635" t="s">
        <v>60</v>
      </c>
      <c r="Z635" t="s">
        <v>360</v>
      </c>
      <c r="AA635">
        <v>0</v>
      </c>
      <c r="AB635" s="2">
        <v>0</v>
      </c>
      <c r="AC635" s="2">
        <v>0</v>
      </c>
      <c r="AD635" s="3">
        <v>0</v>
      </c>
      <c r="AE635" s="2">
        <v>0</v>
      </c>
      <c r="AF635" s="2">
        <v>0</v>
      </c>
      <c r="AG635" s="2">
        <v>0</v>
      </c>
      <c r="AH635" s="2">
        <v>0</v>
      </c>
      <c r="AI635" s="2">
        <v>0</v>
      </c>
      <c r="AJ635" s="2">
        <v>0</v>
      </c>
      <c r="AK635" s="2">
        <v>0</v>
      </c>
      <c r="AL635" s="2">
        <v>0</v>
      </c>
      <c r="AM635" s="2">
        <v>4.9800000000000004</v>
      </c>
      <c r="AN635" s="2">
        <v>4.9800000000000004</v>
      </c>
      <c r="AO635" s="2">
        <v>0</v>
      </c>
      <c r="AP635" s="2">
        <v>0</v>
      </c>
      <c r="AQ635" s="2">
        <v>0</v>
      </c>
    </row>
    <row r="636" spans="1:43" x14ac:dyDescent="0.25">
      <c r="A636" s="1">
        <v>45936</v>
      </c>
      <c r="B636" t="s">
        <v>48</v>
      </c>
      <c r="C636">
        <v>649163</v>
      </c>
      <c r="D636">
        <v>2027003321</v>
      </c>
      <c r="E636" t="s">
        <v>750</v>
      </c>
      <c r="F636" t="s">
        <v>751</v>
      </c>
      <c r="G636" t="s">
        <v>51</v>
      </c>
      <c r="H636" t="s">
        <v>203</v>
      </c>
      <c r="I636" t="s">
        <v>292</v>
      </c>
      <c r="J636" t="s">
        <v>293</v>
      </c>
      <c r="K636">
        <v>816021</v>
      </c>
      <c r="L636" t="s">
        <v>265</v>
      </c>
      <c r="M636" t="s">
        <v>266</v>
      </c>
      <c r="N636" t="s">
        <v>57</v>
      </c>
      <c r="O636" s="1">
        <v>45696</v>
      </c>
      <c r="Q636" s="1">
        <v>45969</v>
      </c>
      <c r="R636" s="2">
        <v>29.2</v>
      </c>
      <c r="S636">
        <v>1</v>
      </c>
      <c r="T636" t="s">
        <v>58</v>
      </c>
      <c r="U636" t="s">
        <v>359</v>
      </c>
      <c r="V636" s="3">
        <v>0.7</v>
      </c>
      <c r="W636" s="2">
        <v>0</v>
      </c>
      <c r="X636">
        <v>0</v>
      </c>
      <c r="Y636" t="s">
        <v>60</v>
      </c>
      <c r="Z636" t="s">
        <v>360</v>
      </c>
      <c r="AA636">
        <v>0</v>
      </c>
      <c r="AB636" s="2">
        <v>0</v>
      </c>
      <c r="AC636" s="2">
        <v>0</v>
      </c>
      <c r="AD636" s="3">
        <v>0</v>
      </c>
      <c r="AE636" s="2">
        <v>0</v>
      </c>
      <c r="AF636" s="2">
        <v>0</v>
      </c>
      <c r="AG636" s="2">
        <v>0</v>
      </c>
      <c r="AH636" s="2">
        <v>0</v>
      </c>
      <c r="AI636" s="2">
        <v>0</v>
      </c>
      <c r="AJ636" s="2">
        <v>0</v>
      </c>
      <c r="AK636" s="2">
        <v>0</v>
      </c>
      <c r="AL636" s="2">
        <v>0</v>
      </c>
      <c r="AM636" s="2">
        <v>20.440000000000001</v>
      </c>
      <c r="AN636" s="2">
        <v>20.440000000000001</v>
      </c>
      <c r="AO636" s="2">
        <v>0</v>
      </c>
      <c r="AP636" s="2">
        <v>0</v>
      </c>
      <c r="AQ636" s="2">
        <v>0</v>
      </c>
    </row>
    <row r="637" spans="1:43" x14ac:dyDescent="0.25">
      <c r="A637" s="1">
        <v>45936</v>
      </c>
      <c r="B637" t="s">
        <v>48</v>
      </c>
      <c r="C637">
        <v>649163</v>
      </c>
      <c r="D637">
        <v>2027003322</v>
      </c>
      <c r="E637" t="s">
        <v>750</v>
      </c>
      <c r="F637" t="s">
        <v>751</v>
      </c>
      <c r="G637" t="s">
        <v>51</v>
      </c>
      <c r="H637" t="s">
        <v>203</v>
      </c>
      <c r="I637" t="s">
        <v>292</v>
      </c>
      <c r="J637" t="s">
        <v>536</v>
      </c>
      <c r="K637">
        <v>816021</v>
      </c>
      <c r="L637" t="s">
        <v>265</v>
      </c>
      <c r="M637" t="s">
        <v>266</v>
      </c>
      <c r="N637" t="s">
        <v>57</v>
      </c>
      <c r="O637" s="1">
        <v>45696</v>
      </c>
      <c r="Q637" s="1">
        <v>45969</v>
      </c>
      <c r="R637" s="2">
        <v>20.95</v>
      </c>
      <c r="S637">
        <v>1</v>
      </c>
      <c r="T637" t="s">
        <v>58</v>
      </c>
      <c r="U637" t="s">
        <v>359</v>
      </c>
      <c r="V637" s="3">
        <v>0.7</v>
      </c>
      <c r="W637" s="2">
        <v>0</v>
      </c>
      <c r="X637">
        <v>0</v>
      </c>
      <c r="Y637" t="s">
        <v>60</v>
      </c>
      <c r="Z637" t="s">
        <v>360</v>
      </c>
      <c r="AA637">
        <v>0</v>
      </c>
      <c r="AB637" s="2">
        <v>0</v>
      </c>
      <c r="AC637" s="2">
        <v>0</v>
      </c>
      <c r="AD637" s="3">
        <v>0</v>
      </c>
      <c r="AE637" s="2">
        <v>0</v>
      </c>
      <c r="AF637" s="2">
        <v>0</v>
      </c>
      <c r="AG637" s="2">
        <v>0</v>
      </c>
      <c r="AH637" s="2">
        <v>0</v>
      </c>
      <c r="AI637" s="2">
        <v>0</v>
      </c>
      <c r="AJ637" s="2">
        <v>0</v>
      </c>
      <c r="AK637" s="2">
        <v>0</v>
      </c>
      <c r="AL637" s="2">
        <v>0</v>
      </c>
      <c r="AM637" s="2">
        <v>14.66</v>
      </c>
      <c r="AN637" s="2">
        <v>14.66</v>
      </c>
      <c r="AO637" s="2">
        <v>0</v>
      </c>
      <c r="AP637" s="2">
        <v>0</v>
      </c>
      <c r="AQ637" s="2">
        <v>0</v>
      </c>
    </row>
    <row r="638" spans="1:43" x14ac:dyDescent="0.25">
      <c r="A638" s="1">
        <v>45936</v>
      </c>
      <c r="B638" t="s">
        <v>48</v>
      </c>
      <c r="C638">
        <v>649163</v>
      </c>
      <c r="D638">
        <v>2027003552</v>
      </c>
      <c r="E638" t="s">
        <v>400</v>
      </c>
      <c r="F638" t="s">
        <v>401</v>
      </c>
      <c r="G638" t="s">
        <v>51</v>
      </c>
      <c r="H638" t="s">
        <v>203</v>
      </c>
      <c r="I638" t="s">
        <v>292</v>
      </c>
      <c r="J638" t="s">
        <v>293</v>
      </c>
      <c r="K638">
        <v>816021</v>
      </c>
      <c r="L638" t="s">
        <v>265</v>
      </c>
      <c r="M638" t="s">
        <v>266</v>
      </c>
      <c r="N638" t="s">
        <v>57</v>
      </c>
      <c r="O638" s="1">
        <v>45698</v>
      </c>
      <c r="Q638" s="1">
        <v>45971</v>
      </c>
      <c r="R638" s="2">
        <v>27.38</v>
      </c>
      <c r="S638">
        <v>1</v>
      </c>
      <c r="T638" t="s">
        <v>58</v>
      </c>
      <c r="U638" t="s">
        <v>359</v>
      </c>
      <c r="V638" s="3">
        <v>0.7</v>
      </c>
      <c r="W638" s="2">
        <v>0</v>
      </c>
      <c r="X638">
        <v>0</v>
      </c>
      <c r="Y638" t="s">
        <v>60</v>
      </c>
      <c r="Z638" t="s">
        <v>360</v>
      </c>
      <c r="AA638">
        <v>0</v>
      </c>
      <c r="AB638" s="2">
        <v>0</v>
      </c>
      <c r="AC638" s="2">
        <v>0</v>
      </c>
      <c r="AD638" s="3">
        <v>0</v>
      </c>
      <c r="AE638" s="2">
        <v>0</v>
      </c>
      <c r="AF638" s="2">
        <v>0</v>
      </c>
      <c r="AG638" s="2">
        <v>0</v>
      </c>
      <c r="AH638" s="2">
        <v>0</v>
      </c>
      <c r="AI638" s="2">
        <v>0</v>
      </c>
      <c r="AJ638" s="2">
        <v>0</v>
      </c>
      <c r="AK638" s="2">
        <v>0</v>
      </c>
      <c r="AL638" s="2">
        <v>0</v>
      </c>
      <c r="AM638" s="2">
        <v>19.170000000000002</v>
      </c>
      <c r="AN638" s="2">
        <v>19.170000000000002</v>
      </c>
      <c r="AO638" s="2">
        <v>0</v>
      </c>
      <c r="AP638" s="2">
        <v>0</v>
      </c>
      <c r="AQ638" s="2">
        <v>0</v>
      </c>
    </row>
    <row r="639" spans="1:43" x14ac:dyDescent="0.25">
      <c r="A639" s="1">
        <v>45936</v>
      </c>
      <c r="B639" t="s">
        <v>48</v>
      </c>
      <c r="C639">
        <v>649163</v>
      </c>
      <c r="D639">
        <v>2027010991</v>
      </c>
      <c r="E639" t="s">
        <v>402</v>
      </c>
      <c r="F639" t="s">
        <v>403</v>
      </c>
      <c r="G639" t="s">
        <v>51</v>
      </c>
      <c r="H639" t="s">
        <v>203</v>
      </c>
      <c r="I639" t="s">
        <v>292</v>
      </c>
      <c r="J639" t="s">
        <v>293</v>
      </c>
      <c r="K639">
        <v>816021</v>
      </c>
      <c r="L639" t="s">
        <v>265</v>
      </c>
      <c r="M639" t="s">
        <v>266</v>
      </c>
      <c r="N639" t="s">
        <v>57</v>
      </c>
      <c r="O639" s="1">
        <v>45697</v>
      </c>
      <c r="Q639" s="1">
        <v>45970</v>
      </c>
      <c r="R639" s="2">
        <v>9.6999999999999993</v>
      </c>
      <c r="S639">
        <v>1</v>
      </c>
      <c r="T639" t="s">
        <v>58</v>
      </c>
      <c r="U639" t="s">
        <v>359</v>
      </c>
      <c r="V639" s="3">
        <v>0.7</v>
      </c>
      <c r="W639" s="2">
        <v>0</v>
      </c>
      <c r="X639">
        <v>0</v>
      </c>
      <c r="Y639" t="s">
        <v>60</v>
      </c>
      <c r="Z639" t="s">
        <v>360</v>
      </c>
      <c r="AA639">
        <v>0</v>
      </c>
      <c r="AB639" s="2">
        <v>0</v>
      </c>
      <c r="AC639" s="2">
        <v>0</v>
      </c>
      <c r="AD639" s="3">
        <v>0</v>
      </c>
      <c r="AE639" s="2">
        <v>0</v>
      </c>
      <c r="AF639" s="2">
        <v>0</v>
      </c>
      <c r="AG639" s="2">
        <v>0</v>
      </c>
      <c r="AH639" s="2">
        <v>0</v>
      </c>
      <c r="AI639" s="2">
        <v>0</v>
      </c>
      <c r="AJ639" s="2">
        <v>0</v>
      </c>
      <c r="AK639" s="2">
        <v>0</v>
      </c>
      <c r="AL639" s="2">
        <v>0</v>
      </c>
      <c r="AM639" s="2">
        <v>6.79</v>
      </c>
      <c r="AN639" s="2">
        <v>6.79</v>
      </c>
      <c r="AO639" s="2">
        <v>0</v>
      </c>
      <c r="AP639" s="2">
        <v>0</v>
      </c>
      <c r="AQ639" s="2">
        <v>0</v>
      </c>
    </row>
    <row r="640" spans="1:43" x14ac:dyDescent="0.25">
      <c r="A640" s="1">
        <v>45936</v>
      </c>
      <c r="B640" t="s">
        <v>48</v>
      </c>
      <c r="C640">
        <v>649163</v>
      </c>
      <c r="D640">
        <v>2027010993</v>
      </c>
      <c r="E640" t="s">
        <v>402</v>
      </c>
      <c r="F640" t="s">
        <v>403</v>
      </c>
      <c r="G640" t="s">
        <v>51</v>
      </c>
      <c r="H640" t="s">
        <v>203</v>
      </c>
      <c r="I640" t="s">
        <v>292</v>
      </c>
      <c r="J640" t="s">
        <v>536</v>
      </c>
      <c r="K640">
        <v>816021</v>
      </c>
      <c r="L640" t="s">
        <v>265</v>
      </c>
      <c r="M640" t="s">
        <v>266</v>
      </c>
      <c r="N640" t="s">
        <v>57</v>
      </c>
      <c r="O640" s="1">
        <v>45697</v>
      </c>
      <c r="Q640" s="1">
        <v>45970</v>
      </c>
      <c r="R640" s="2">
        <v>6.3</v>
      </c>
      <c r="S640">
        <v>1</v>
      </c>
      <c r="T640" t="s">
        <v>58</v>
      </c>
      <c r="U640" t="s">
        <v>359</v>
      </c>
      <c r="V640" s="3">
        <v>0.7</v>
      </c>
      <c r="W640" s="2">
        <v>0</v>
      </c>
      <c r="X640">
        <v>0</v>
      </c>
      <c r="Y640" t="s">
        <v>60</v>
      </c>
      <c r="Z640" t="s">
        <v>360</v>
      </c>
      <c r="AA640">
        <v>0</v>
      </c>
      <c r="AB640" s="2">
        <v>0</v>
      </c>
      <c r="AC640" s="2">
        <v>0</v>
      </c>
      <c r="AD640" s="3">
        <v>0</v>
      </c>
      <c r="AE640" s="2">
        <v>0</v>
      </c>
      <c r="AF640" s="2">
        <v>0</v>
      </c>
      <c r="AG640" s="2">
        <v>0</v>
      </c>
      <c r="AH640" s="2">
        <v>0</v>
      </c>
      <c r="AI640" s="2">
        <v>0</v>
      </c>
      <c r="AJ640" s="2">
        <v>0</v>
      </c>
      <c r="AK640" s="2">
        <v>0</v>
      </c>
      <c r="AL640" s="2">
        <v>0</v>
      </c>
      <c r="AM640" s="2">
        <v>4.41</v>
      </c>
      <c r="AN640" s="2">
        <v>4.41</v>
      </c>
      <c r="AO640" s="2">
        <v>0</v>
      </c>
      <c r="AP640" s="2">
        <v>0</v>
      </c>
      <c r="AQ640" s="2">
        <v>0</v>
      </c>
    </row>
    <row r="641" spans="1:43" x14ac:dyDescent="0.25">
      <c r="A641" s="1">
        <v>45936</v>
      </c>
      <c r="B641" t="s">
        <v>48</v>
      </c>
      <c r="C641">
        <v>649163</v>
      </c>
      <c r="D641">
        <v>2029738920</v>
      </c>
      <c r="E641" t="s">
        <v>422</v>
      </c>
      <c r="F641" t="s">
        <v>423</v>
      </c>
      <c r="G641" t="s">
        <v>51</v>
      </c>
      <c r="H641" t="s">
        <v>79</v>
      </c>
      <c r="I641" t="s">
        <v>89</v>
      </c>
      <c r="J641" t="s">
        <v>102</v>
      </c>
      <c r="K641">
        <v>673059</v>
      </c>
      <c r="L641" t="s">
        <v>80</v>
      </c>
      <c r="M641" t="s">
        <v>81</v>
      </c>
      <c r="N641" t="s">
        <v>57</v>
      </c>
      <c r="O641" s="1">
        <v>45846</v>
      </c>
      <c r="Q641" s="1">
        <v>45969</v>
      </c>
      <c r="R641" s="2">
        <v>53.6</v>
      </c>
      <c r="S641">
        <v>1</v>
      </c>
      <c r="T641" t="s">
        <v>58</v>
      </c>
      <c r="U641" t="s">
        <v>359</v>
      </c>
      <c r="V641" s="3">
        <v>0.75</v>
      </c>
      <c r="W641" s="2">
        <v>0</v>
      </c>
      <c r="X641">
        <v>0</v>
      </c>
      <c r="Y641" t="s">
        <v>60</v>
      </c>
      <c r="Z641" t="s">
        <v>360</v>
      </c>
      <c r="AA641">
        <v>0</v>
      </c>
      <c r="AB641" s="2">
        <v>0</v>
      </c>
      <c r="AC641" s="2">
        <v>0</v>
      </c>
      <c r="AD641" s="3">
        <v>0</v>
      </c>
      <c r="AE641" s="2">
        <v>0</v>
      </c>
      <c r="AF641" s="2">
        <v>0</v>
      </c>
      <c r="AG641" s="2">
        <v>0</v>
      </c>
      <c r="AH641" s="2">
        <v>0</v>
      </c>
      <c r="AI641" s="2">
        <v>0</v>
      </c>
      <c r="AJ641" s="2">
        <v>0</v>
      </c>
      <c r="AK641" s="2">
        <v>0</v>
      </c>
      <c r="AL641" s="2">
        <v>40.200000000000003</v>
      </c>
      <c r="AM641" s="2">
        <v>0</v>
      </c>
      <c r="AN641" s="2">
        <v>0</v>
      </c>
      <c r="AO641" s="2">
        <v>0</v>
      </c>
      <c r="AP641" s="2">
        <v>0</v>
      </c>
      <c r="AQ641" s="2">
        <v>0</v>
      </c>
    </row>
    <row r="642" spans="1:43" x14ac:dyDescent="0.25">
      <c r="A642" s="1">
        <v>45936</v>
      </c>
      <c r="B642" t="s">
        <v>48</v>
      </c>
      <c r="C642">
        <v>649163</v>
      </c>
      <c r="D642">
        <v>2029838336</v>
      </c>
      <c r="E642" t="s">
        <v>434</v>
      </c>
      <c r="F642" t="s">
        <v>435</v>
      </c>
      <c r="G642" t="s">
        <v>51</v>
      </c>
      <c r="H642" t="s">
        <v>101</v>
      </c>
      <c r="I642" t="s">
        <v>89</v>
      </c>
      <c r="J642" t="s">
        <v>102</v>
      </c>
      <c r="K642">
        <v>840313</v>
      </c>
      <c r="L642" t="s">
        <v>436</v>
      </c>
      <c r="M642" t="s">
        <v>437</v>
      </c>
      <c r="N642" t="s">
        <v>57</v>
      </c>
      <c r="O642" s="1">
        <v>45846</v>
      </c>
      <c r="Q642" s="1">
        <v>45969</v>
      </c>
      <c r="R642" s="2">
        <v>20.6</v>
      </c>
      <c r="S642">
        <v>1</v>
      </c>
      <c r="T642" t="s">
        <v>58</v>
      </c>
      <c r="U642" t="s">
        <v>359</v>
      </c>
      <c r="V642" s="3">
        <v>0.75</v>
      </c>
      <c r="W642" s="2">
        <v>0</v>
      </c>
      <c r="X642">
        <v>0</v>
      </c>
      <c r="Y642" t="s">
        <v>60</v>
      </c>
      <c r="Z642" t="s">
        <v>360</v>
      </c>
      <c r="AA642">
        <v>0</v>
      </c>
      <c r="AB642" s="2">
        <v>0</v>
      </c>
      <c r="AC642" s="2">
        <v>0</v>
      </c>
      <c r="AD642" s="3">
        <v>0</v>
      </c>
      <c r="AE642" s="2">
        <v>0</v>
      </c>
      <c r="AF642" s="2">
        <v>0</v>
      </c>
      <c r="AG642" s="2">
        <v>0</v>
      </c>
      <c r="AH642" s="2">
        <v>0</v>
      </c>
      <c r="AI642" s="2">
        <v>0</v>
      </c>
      <c r="AJ642" s="2">
        <v>0</v>
      </c>
      <c r="AK642" s="2">
        <v>0</v>
      </c>
      <c r="AL642" s="2">
        <v>15.45</v>
      </c>
      <c r="AM642" s="2">
        <v>0</v>
      </c>
      <c r="AN642" s="2">
        <v>0</v>
      </c>
      <c r="AO642" s="2">
        <v>0</v>
      </c>
      <c r="AP642" s="2">
        <v>0</v>
      </c>
      <c r="AQ642" s="2">
        <v>0</v>
      </c>
    </row>
    <row r="643" spans="1:43" x14ac:dyDescent="0.25">
      <c r="A643" s="1">
        <v>45936</v>
      </c>
      <c r="B643" t="s">
        <v>48</v>
      </c>
      <c r="C643">
        <v>649163</v>
      </c>
      <c r="D643">
        <v>2029842749</v>
      </c>
      <c r="E643" t="s">
        <v>896</v>
      </c>
      <c r="F643" t="s">
        <v>897</v>
      </c>
      <c r="G643" t="s">
        <v>51</v>
      </c>
      <c r="H643" t="s">
        <v>119</v>
      </c>
      <c r="I643" t="s">
        <v>89</v>
      </c>
      <c r="J643" t="s">
        <v>111</v>
      </c>
      <c r="K643">
        <v>651818</v>
      </c>
      <c r="L643" t="s">
        <v>112</v>
      </c>
      <c r="M643" t="s">
        <v>104</v>
      </c>
      <c r="N643" t="s">
        <v>57</v>
      </c>
      <c r="O643" s="1">
        <v>45876</v>
      </c>
      <c r="Q643" s="1">
        <v>45968</v>
      </c>
      <c r="R643" s="2">
        <v>191.89</v>
      </c>
      <c r="S643">
        <v>1</v>
      </c>
      <c r="T643" t="s">
        <v>58</v>
      </c>
      <c r="U643" t="s">
        <v>359</v>
      </c>
      <c r="V643" s="3">
        <v>0.75</v>
      </c>
      <c r="W643" s="2">
        <v>0</v>
      </c>
      <c r="X643">
        <v>0</v>
      </c>
      <c r="Y643" t="s">
        <v>60</v>
      </c>
      <c r="Z643" t="s">
        <v>360</v>
      </c>
      <c r="AA643">
        <v>0</v>
      </c>
      <c r="AB643" s="2">
        <v>0</v>
      </c>
      <c r="AC643" s="2">
        <v>0</v>
      </c>
      <c r="AD643" s="3">
        <v>0</v>
      </c>
      <c r="AE643" s="2">
        <v>0</v>
      </c>
      <c r="AF643" s="2">
        <v>0</v>
      </c>
      <c r="AG643" s="2">
        <v>0</v>
      </c>
      <c r="AH643" s="2">
        <v>0</v>
      </c>
      <c r="AI643" s="2">
        <v>0</v>
      </c>
      <c r="AJ643" s="2">
        <v>0</v>
      </c>
      <c r="AK643" s="2">
        <v>0</v>
      </c>
      <c r="AL643" s="2">
        <v>143.91999999999999</v>
      </c>
      <c r="AM643" s="2">
        <v>0</v>
      </c>
      <c r="AN643" s="2">
        <v>0</v>
      </c>
      <c r="AO643" s="2">
        <v>0</v>
      </c>
      <c r="AP643" s="2">
        <v>0</v>
      </c>
      <c r="AQ643" s="2">
        <v>0</v>
      </c>
    </row>
    <row r="644" spans="1:43" x14ac:dyDescent="0.25">
      <c r="A644" s="1">
        <v>45936</v>
      </c>
      <c r="B644" t="s">
        <v>48</v>
      </c>
      <c r="C644">
        <v>649163</v>
      </c>
      <c r="D644">
        <v>2029866851</v>
      </c>
      <c r="E644" t="s">
        <v>898</v>
      </c>
      <c r="F644" t="s">
        <v>899</v>
      </c>
      <c r="G644" t="s">
        <v>51</v>
      </c>
      <c r="H644" t="s">
        <v>79</v>
      </c>
      <c r="I644" t="s">
        <v>89</v>
      </c>
      <c r="J644" t="s">
        <v>102</v>
      </c>
      <c r="K644">
        <v>673059</v>
      </c>
      <c r="L644" t="s">
        <v>80</v>
      </c>
      <c r="M644" t="s">
        <v>81</v>
      </c>
      <c r="N644" t="s">
        <v>57</v>
      </c>
      <c r="O644" s="1">
        <v>45848</v>
      </c>
      <c r="Q644" s="1">
        <v>45971</v>
      </c>
      <c r="R644" s="2">
        <v>160.22999999999999</v>
      </c>
      <c r="S644">
        <v>1</v>
      </c>
      <c r="T644" t="s">
        <v>58</v>
      </c>
      <c r="U644" t="s">
        <v>359</v>
      </c>
      <c r="V644" s="3">
        <v>0.75</v>
      </c>
      <c r="W644" s="2">
        <v>0</v>
      </c>
      <c r="X644">
        <v>0</v>
      </c>
      <c r="Y644" t="s">
        <v>60</v>
      </c>
      <c r="Z644" t="s">
        <v>360</v>
      </c>
      <c r="AA644">
        <v>0</v>
      </c>
      <c r="AB644" s="2">
        <v>0</v>
      </c>
      <c r="AC644" s="2">
        <v>0</v>
      </c>
      <c r="AD644" s="3">
        <v>0</v>
      </c>
      <c r="AE644" s="2">
        <v>0</v>
      </c>
      <c r="AF644" s="2">
        <v>0</v>
      </c>
      <c r="AG644" s="2">
        <v>0</v>
      </c>
      <c r="AH644" s="2">
        <v>0</v>
      </c>
      <c r="AI644" s="2">
        <v>0</v>
      </c>
      <c r="AJ644" s="2">
        <v>0</v>
      </c>
      <c r="AK644" s="2">
        <v>0</v>
      </c>
      <c r="AL644" s="2">
        <v>120.17</v>
      </c>
      <c r="AM644" s="2">
        <v>0</v>
      </c>
      <c r="AN644" s="2">
        <v>0</v>
      </c>
      <c r="AO644" s="2">
        <v>0</v>
      </c>
      <c r="AP644" s="2">
        <v>0</v>
      </c>
      <c r="AQ644" s="2">
        <v>0</v>
      </c>
    </row>
    <row r="645" spans="1:43" x14ac:dyDescent="0.25">
      <c r="A645" s="1">
        <v>45936</v>
      </c>
      <c r="B645" t="s">
        <v>48</v>
      </c>
      <c r="C645">
        <v>649163</v>
      </c>
      <c r="D645">
        <v>2029887594</v>
      </c>
      <c r="E645" t="s">
        <v>510</v>
      </c>
      <c r="F645" t="s">
        <v>900</v>
      </c>
      <c r="G645" t="s">
        <v>51</v>
      </c>
      <c r="H645" t="s">
        <v>52</v>
      </c>
      <c r="I645" t="s">
        <v>89</v>
      </c>
      <c r="J645" t="s">
        <v>96</v>
      </c>
      <c r="K645">
        <v>753748</v>
      </c>
      <c r="L645" t="s">
        <v>97</v>
      </c>
      <c r="M645" t="s">
        <v>98</v>
      </c>
      <c r="N645" t="s">
        <v>57</v>
      </c>
      <c r="O645" s="1">
        <v>45870</v>
      </c>
      <c r="Q645" s="1">
        <v>45962</v>
      </c>
      <c r="R645" s="2">
        <v>-305.58</v>
      </c>
      <c r="S645">
        <v>1</v>
      </c>
      <c r="T645" t="s">
        <v>58</v>
      </c>
      <c r="U645" t="s">
        <v>359</v>
      </c>
      <c r="V645" s="3">
        <v>0.9</v>
      </c>
      <c r="W645" s="2">
        <v>0</v>
      </c>
      <c r="X645">
        <v>-1</v>
      </c>
      <c r="Y645" t="s">
        <v>60</v>
      </c>
      <c r="Z645" t="s">
        <v>360</v>
      </c>
      <c r="AA645">
        <v>0</v>
      </c>
      <c r="AB645" s="2">
        <v>0</v>
      </c>
      <c r="AC645" s="2">
        <v>0</v>
      </c>
      <c r="AD645" s="3">
        <v>0</v>
      </c>
      <c r="AE645" s="2">
        <v>0</v>
      </c>
      <c r="AF645" s="2">
        <v>0</v>
      </c>
      <c r="AG645" s="2">
        <v>0</v>
      </c>
      <c r="AH645" s="2">
        <v>0</v>
      </c>
      <c r="AI645" s="2">
        <v>0</v>
      </c>
      <c r="AJ645" s="2">
        <v>0</v>
      </c>
      <c r="AK645" s="2">
        <v>0</v>
      </c>
      <c r="AL645" s="2">
        <v>0</v>
      </c>
      <c r="AM645" s="2">
        <v>-275.02</v>
      </c>
      <c r="AN645" s="2">
        <v>-275.02</v>
      </c>
      <c r="AO645" s="2">
        <v>0</v>
      </c>
      <c r="AP645" s="2">
        <v>0</v>
      </c>
      <c r="AQ645" s="2">
        <v>0</v>
      </c>
    </row>
    <row r="646" spans="1:43" x14ac:dyDescent="0.25">
      <c r="A646" s="1">
        <v>45936</v>
      </c>
      <c r="B646" t="s">
        <v>48</v>
      </c>
      <c r="C646">
        <v>649163</v>
      </c>
      <c r="D646">
        <v>2029919053</v>
      </c>
      <c r="E646" t="s">
        <v>901</v>
      </c>
      <c r="F646" t="s">
        <v>902</v>
      </c>
      <c r="G646" t="s">
        <v>51</v>
      </c>
      <c r="H646" t="s">
        <v>310</v>
      </c>
      <c r="I646" t="s">
        <v>89</v>
      </c>
      <c r="J646" t="s">
        <v>111</v>
      </c>
      <c r="K646">
        <v>651818</v>
      </c>
      <c r="L646" t="s">
        <v>112</v>
      </c>
      <c r="M646" t="s">
        <v>104</v>
      </c>
      <c r="N646" t="s">
        <v>57</v>
      </c>
      <c r="O646" s="1">
        <v>45876</v>
      </c>
      <c r="Q646" s="1">
        <v>45968</v>
      </c>
      <c r="R646" s="2">
        <v>219.55</v>
      </c>
      <c r="S646">
        <v>1</v>
      </c>
      <c r="T646" t="s">
        <v>58</v>
      </c>
      <c r="U646" t="s">
        <v>359</v>
      </c>
      <c r="V646" s="3">
        <v>0.75</v>
      </c>
      <c r="W646" s="2">
        <v>0</v>
      </c>
      <c r="X646">
        <v>0</v>
      </c>
      <c r="Y646" t="s">
        <v>60</v>
      </c>
      <c r="Z646" t="s">
        <v>360</v>
      </c>
      <c r="AA646">
        <v>0</v>
      </c>
      <c r="AB646" s="2">
        <v>0</v>
      </c>
      <c r="AC646" s="2">
        <v>0</v>
      </c>
      <c r="AD646" s="3">
        <v>0</v>
      </c>
      <c r="AE646" s="2">
        <v>0</v>
      </c>
      <c r="AF646" s="2">
        <v>0</v>
      </c>
      <c r="AG646" s="2">
        <v>0</v>
      </c>
      <c r="AH646" s="2">
        <v>0</v>
      </c>
      <c r="AI646" s="2">
        <v>0</v>
      </c>
      <c r="AJ646" s="2">
        <v>0</v>
      </c>
      <c r="AK646" s="2">
        <v>0</v>
      </c>
      <c r="AL646" s="2">
        <v>164.66</v>
      </c>
      <c r="AM646" s="2">
        <v>0</v>
      </c>
      <c r="AN646" s="2">
        <v>0</v>
      </c>
      <c r="AO646" s="2">
        <v>0</v>
      </c>
      <c r="AP646" s="2">
        <v>0</v>
      </c>
      <c r="AQ646" s="2">
        <v>0</v>
      </c>
    </row>
    <row r="647" spans="1:43" x14ac:dyDescent="0.25">
      <c r="A647" s="1">
        <v>45936</v>
      </c>
      <c r="B647" t="s">
        <v>48</v>
      </c>
      <c r="C647">
        <v>649163</v>
      </c>
      <c r="D647">
        <v>2029959146</v>
      </c>
      <c r="E647" t="s">
        <v>903</v>
      </c>
      <c r="F647" t="s">
        <v>904</v>
      </c>
      <c r="G647" t="s">
        <v>51</v>
      </c>
      <c r="H647" t="s">
        <v>110</v>
      </c>
      <c r="I647" t="s">
        <v>89</v>
      </c>
      <c r="J647" t="s">
        <v>111</v>
      </c>
      <c r="K647">
        <v>651818</v>
      </c>
      <c r="L647" t="s">
        <v>112</v>
      </c>
      <c r="M647" t="s">
        <v>104</v>
      </c>
      <c r="N647" t="s">
        <v>57</v>
      </c>
      <c r="O647" s="1">
        <v>45876</v>
      </c>
      <c r="Q647" s="1">
        <v>45968</v>
      </c>
      <c r="R647" s="2">
        <v>187</v>
      </c>
      <c r="S647">
        <v>1</v>
      </c>
      <c r="T647" t="s">
        <v>58</v>
      </c>
      <c r="U647" t="s">
        <v>359</v>
      </c>
      <c r="V647" s="3">
        <v>0.75</v>
      </c>
      <c r="W647" s="2">
        <v>0</v>
      </c>
      <c r="X647">
        <v>0</v>
      </c>
      <c r="Y647" t="s">
        <v>60</v>
      </c>
      <c r="Z647" t="s">
        <v>360</v>
      </c>
      <c r="AA647">
        <v>0</v>
      </c>
      <c r="AB647" s="2">
        <v>0</v>
      </c>
      <c r="AC647" s="2">
        <v>0</v>
      </c>
      <c r="AD647" s="3">
        <v>0</v>
      </c>
      <c r="AE647" s="2">
        <v>0</v>
      </c>
      <c r="AF647" s="2">
        <v>0</v>
      </c>
      <c r="AG647" s="2">
        <v>0</v>
      </c>
      <c r="AH647" s="2">
        <v>0</v>
      </c>
      <c r="AI647" s="2">
        <v>0</v>
      </c>
      <c r="AJ647" s="2">
        <v>0</v>
      </c>
      <c r="AK647" s="2">
        <v>0</v>
      </c>
      <c r="AL647" s="2">
        <v>140.25</v>
      </c>
      <c r="AM647" s="2">
        <v>0</v>
      </c>
      <c r="AN647" s="2">
        <v>0</v>
      </c>
      <c r="AO647" s="2">
        <v>0</v>
      </c>
      <c r="AP647" s="2">
        <v>0</v>
      </c>
      <c r="AQ647" s="2">
        <v>0</v>
      </c>
    </row>
    <row r="648" spans="1:43" x14ac:dyDescent="0.25">
      <c r="A648" s="1">
        <v>45936</v>
      </c>
      <c r="B648" t="s">
        <v>48</v>
      </c>
      <c r="C648">
        <v>649163</v>
      </c>
      <c r="D648">
        <v>2029963806</v>
      </c>
      <c r="E648" t="s">
        <v>94</v>
      </c>
      <c r="F648" t="s">
        <v>905</v>
      </c>
      <c r="G648" t="s">
        <v>51</v>
      </c>
      <c r="H648" t="s">
        <v>159</v>
      </c>
      <c r="I648" t="s">
        <v>89</v>
      </c>
      <c r="J648" t="s">
        <v>96</v>
      </c>
      <c r="K648">
        <v>651818</v>
      </c>
      <c r="L648" t="s">
        <v>112</v>
      </c>
      <c r="M648" t="s">
        <v>104</v>
      </c>
      <c r="N648" t="s">
        <v>57</v>
      </c>
      <c r="O648" s="1">
        <v>45876</v>
      </c>
      <c r="Q648" s="1">
        <v>45968</v>
      </c>
      <c r="R648" s="2">
        <v>92.65</v>
      </c>
      <c r="S648">
        <v>1</v>
      </c>
      <c r="T648" t="s">
        <v>58</v>
      </c>
      <c r="U648" t="s">
        <v>359</v>
      </c>
      <c r="V648" s="3">
        <v>0.9</v>
      </c>
      <c r="W648" s="2">
        <v>0</v>
      </c>
      <c r="X648">
        <v>0</v>
      </c>
      <c r="Y648" t="s">
        <v>60</v>
      </c>
      <c r="Z648" t="s">
        <v>360</v>
      </c>
      <c r="AA648">
        <v>0</v>
      </c>
      <c r="AB648" s="2">
        <v>0</v>
      </c>
      <c r="AC648" s="2">
        <v>0</v>
      </c>
      <c r="AD648" s="3">
        <v>0</v>
      </c>
      <c r="AE648" s="2">
        <v>0</v>
      </c>
      <c r="AF648" s="2">
        <v>0</v>
      </c>
      <c r="AG648" s="2">
        <v>0</v>
      </c>
      <c r="AH648" s="2">
        <v>0</v>
      </c>
      <c r="AI648" s="2">
        <v>0</v>
      </c>
      <c r="AJ648" s="2">
        <v>0</v>
      </c>
      <c r="AK648" s="2">
        <v>0</v>
      </c>
      <c r="AL648" s="2">
        <v>83.38</v>
      </c>
      <c r="AM648" s="2">
        <v>0</v>
      </c>
      <c r="AN648" s="2">
        <v>0</v>
      </c>
      <c r="AO648" s="2">
        <v>0</v>
      </c>
      <c r="AP648" s="2">
        <v>0</v>
      </c>
      <c r="AQ648" s="2">
        <v>0</v>
      </c>
    </row>
    <row r="649" spans="1:43" x14ac:dyDescent="0.25">
      <c r="A649" s="1">
        <v>45936</v>
      </c>
      <c r="B649" t="s">
        <v>48</v>
      </c>
      <c r="C649">
        <v>649163</v>
      </c>
      <c r="D649">
        <v>2030013622</v>
      </c>
      <c r="E649" t="s">
        <v>906</v>
      </c>
      <c r="F649" t="s">
        <v>907</v>
      </c>
      <c r="G649" t="s">
        <v>51</v>
      </c>
      <c r="H649" t="s">
        <v>110</v>
      </c>
      <c r="I649" t="s">
        <v>89</v>
      </c>
      <c r="J649" t="s">
        <v>111</v>
      </c>
      <c r="K649">
        <v>651818</v>
      </c>
      <c r="L649" t="s">
        <v>112</v>
      </c>
      <c r="M649" t="s">
        <v>104</v>
      </c>
      <c r="N649" t="s">
        <v>57</v>
      </c>
      <c r="O649" s="1">
        <v>45876</v>
      </c>
      <c r="Q649" s="1">
        <v>45968</v>
      </c>
      <c r="R649" s="2">
        <v>59.5</v>
      </c>
      <c r="S649">
        <v>1</v>
      </c>
      <c r="T649" t="s">
        <v>58</v>
      </c>
      <c r="U649" t="s">
        <v>359</v>
      </c>
      <c r="V649" s="3">
        <v>0.75</v>
      </c>
      <c r="W649" s="2">
        <v>0</v>
      </c>
      <c r="X649">
        <v>0</v>
      </c>
      <c r="Y649" t="s">
        <v>60</v>
      </c>
      <c r="Z649" t="s">
        <v>360</v>
      </c>
      <c r="AA649">
        <v>0</v>
      </c>
      <c r="AB649" s="2">
        <v>0</v>
      </c>
      <c r="AC649" s="2">
        <v>0</v>
      </c>
      <c r="AD649" s="3">
        <v>0</v>
      </c>
      <c r="AE649" s="2">
        <v>0</v>
      </c>
      <c r="AF649" s="2">
        <v>0</v>
      </c>
      <c r="AG649" s="2">
        <v>0</v>
      </c>
      <c r="AH649" s="2">
        <v>0</v>
      </c>
      <c r="AI649" s="2">
        <v>0</v>
      </c>
      <c r="AJ649" s="2">
        <v>0</v>
      </c>
      <c r="AK649" s="2">
        <v>0</v>
      </c>
      <c r="AL649" s="2">
        <v>44.62</v>
      </c>
      <c r="AM649" s="2">
        <v>0</v>
      </c>
      <c r="AN649" s="2">
        <v>0</v>
      </c>
      <c r="AO649" s="2">
        <v>0</v>
      </c>
      <c r="AP649" s="2">
        <v>0</v>
      </c>
      <c r="AQ649" s="2">
        <v>0</v>
      </c>
    </row>
    <row r="650" spans="1:43" x14ac:dyDescent="0.25">
      <c r="A650" s="1">
        <v>45936</v>
      </c>
      <c r="B650" t="s">
        <v>48</v>
      </c>
      <c r="C650">
        <v>649163</v>
      </c>
      <c r="D650">
        <v>2030047485</v>
      </c>
      <c r="E650" t="s">
        <v>713</v>
      </c>
      <c r="F650" t="s">
        <v>240</v>
      </c>
      <c r="G650" t="s">
        <v>51</v>
      </c>
      <c r="H650" t="s">
        <v>110</v>
      </c>
      <c r="I650" t="s">
        <v>89</v>
      </c>
      <c r="J650" t="s">
        <v>111</v>
      </c>
      <c r="K650">
        <v>651818</v>
      </c>
      <c r="L650" t="s">
        <v>112</v>
      </c>
      <c r="M650" t="s">
        <v>104</v>
      </c>
      <c r="N650" t="s">
        <v>57</v>
      </c>
      <c r="O650" s="1">
        <v>45876</v>
      </c>
      <c r="Q650" s="1">
        <v>45968</v>
      </c>
      <c r="R650" s="2">
        <v>152.19999999999999</v>
      </c>
      <c r="S650">
        <v>1</v>
      </c>
      <c r="T650" t="s">
        <v>58</v>
      </c>
      <c r="U650" t="s">
        <v>359</v>
      </c>
      <c r="V650" s="3">
        <v>0.75</v>
      </c>
      <c r="W650" s="2">
        <v>0</v>
      </c>
      <c r="X650">
        <v>0</v>
      </c>
      <c r="Y650" t="s">
        <v>60</v>
      </c>
      <c r="Z650" t="s">
        <v>360</v>
      </c>
      <c r="AA650">
        <v>0</v>
      </c>
      <c r="AB650" s="2">
        <v>0</v>
      </c>
      <c r="AC650" s="2">
        <v>0</v>
      </c>
      <c r="AD650" s="3">
        <v>0</v>
      </c>
      <c r="AE650" s="2">
        <v>0</v>
      </c>
      <c r="AF650" s="2">
        <v>0</v>
      </c>
      <c r="AG650" s="2">
        <v>0</v>
      </c>
      <c r="AH650" s="2">
        <v>0</v>
      </c>
      <c r="AI650" s="2">
        <v>0</v>
      </c>
      <c r="AJ650" s="2">
        <v>0</v>
      </c>
      <c r="AK650" s="2">
        <v>0</v>
      </c>
      <c r="AL650" s="2">
        <v>114.15</v>
      </c>
      <c r="AM650" s="2">
        <v>0</v>
      </c>
      <c r="AN650" s="2">
        <v>0</v>
      </c>
      <c r="AO650" s="2">
        <v>0</v>
      </c>
      <c r="AP650" s="2">
        <v>0</v>
      </c>
      <c r="AQ650" s="2">
        <v>0</v>
      </c>
    </row>
    <row r="651" spans="1:43" x14ac:dyDescent="0.25">
      <c r="A651" s="1">
        <v>45936</v>
      </c>
      <c r="B651" t="s">
        <v>48</v>
      </c>
      <c r="C651">
        <v>649163</v>
      </c>
      <c r="D651">
        <v>2030047734</v>
      </c>
      <c r="E651" t="s">
        <v>908</v>
      </c>
      <c r="F651" t="s">
        <v>909</v>
      </c>
      <c r="G651" t="s">
        <v>51</v>
      </c>
      <c r="H651" t="s">
        <v>390</v>
      </c>
      <c r="I651" t="s">
        <v>89</v>
      </c>
      <c r="J651" t="s">
        <v>96</v>
      </c>
      <c r="K651">
        <v>651818</v>
      </c>
      <c r="L651" t="s">
        <v>112</v>
      </c>
      <c r="M651" t="s">
        <v>104</v>
      </c>
      <c r="N651" t="s">
        <v>57</v>
      </c>
      <c r="O651" s="1">
        <v>45876</v>
      </c>
      <c r="Q651" s="1">
        <v>45968</v>
      </c>
      <c r="R651" s="2">
        <v>70.959999999999994</v>
      </c>
      <c r="S651">
        <v>1</v>
      </c>
      <c r="T651" t="s">
        <v>58</v>
      </c>
      <c r="U651" t="s">
        <v>359</v>
      </c>
      <c r="V651" s="3">
        <v>0.9</v>
      </c>
      <c r="W651" s="2">
        <v>0</v>
      </c>
      <c r="X651">
        <v>0</v>
      </c>
      <c r="Y651" t="s">
        <v>60</v>
      </c>
      <c r="Z651" t="s">
        <v>360</v>
      </c>
      <c r="AA651">
        <v>0</v>
      </c>
      <c r="AB651" s="2">
        <v>0</v>
      </c>
      <c r="AC651" s="2">
        <v>0</v>
      </c>
      <c r="AD651" s="3">
        <v>0</v>
      </c>
      <c r="AE651" s="2">
        <v>0</v>
      </c>
      <c r="AF651" s="2">
        <v>0</v>
      </c>
      <c r="AG651" s="2">
        <v>0</v>
      </c>
      <c r="AH651" s="2">
        <v>0</v>
      </c>
      <c r="AI651" s="2">
        <v>0</v>
      </c>
      <c r="AJ651" s="2">
        <v>0</v>
      </c>
      <c r="AK651" s="2">
        <v>0</v>
      </c>
      <c r="AL651" s="2">
        <v>63.86</v>
      </c>
      <c r="AM651" s="2">
        <v>0</v>
      </c>
      <c r="AN651" s="2">
        <v>0</v>
      </c>
      <c r="AO651" s="2">
        <v>0</v>
      </c>
      <c r="AP651" s="2">
        <v>0</v>
      </c>
      <c r="AQ651" s="2">
        <v>0</v>
      </c>
    </row>
    <row r="652" spans="1:43" x14ac:dyDescent="0.25">
      <c r="A652" s="1">
        <v>45936</v>
      </c>
      <c r="B652" t="s">
        <v>48</v>
      </c>
      <c r="C652">
        <v>649163</v>
      </c>
      <c r="D652">
        <v>2030090690</v>
      </c>
      <c r="E652" t="s">
        <v>476</v>
      </c>
      <c r="F652" t="s">
        <v>910</v>
      </c>
      <c r="G652" t="s">
        <v>51</v>
      </c>
      <c r="H652" t="s">
        <v>115</v>
      </c>
      <c r="I652" t="s">
        <v>89</v>
      </c>
      <c r="J652" t="s">
        <v>111</v>
      </c>
      <c r="K652">
        <v>651818</v>
      </c>
      <c r="L652" t="s">
        <v>112</v>
      </c>
      <c r="M652" t="s">
        <v>104</v>
      </c>
      <c r="N652" t="s">
        <v>57</v>
      </c>
      <c r="O652" s="1">
        <v>45876</v>
      </c>
      <c r="Q652" s="1">
        <v>45968</v>
      </c>
      <c r="R652" s="2">
        <v>52.6</v>
      </c>
      <c r="S652">
        <v>1</v>
      </c>
      <c r="T652" t="s">
        <v>58</v>
      </c>
      <c r="U652" t="s">
        <v>359</v>
      </c>
      <c r="V652" s="3">
        <v>0.75</v>
      </c>
      <c r="W652" s="2">
        <v>0</v>
      </c>
      <c r="X652">
        <v>0</v>
      </c>
      <c r="Y652" t="s">
        <v>60</v>
      </c>
      <c r="Z652" t="s">
        <v>360</v>
      </c>
      <c r="AA652">
        <v>0</v>
      </c>
      <c r="AB652" s="2">
        <v>0</v>
      </c>
      <c r="AC652" s="2">
        <v>0</v>
      </c>
      <c r="AD652" s="3">
        <v>0</v>
      </c>
      <c r="AE652" s="2">
        <v>0</v>
      </c>
      <c r="AF652" s="2">
        <v>0</v>
      </c>
      <c r="AG652" s="2">
        <v>0</v>
      </c>
      <c r="AH652" s="2">
        <v>0</v>
      </c>
      <c r="AI652" s="2">
        <v>0</v>
      </c>
      <c r="AJ652" s="2">
        <v>0</v>
      </c>
      <c r="AK652" s="2">
        <v>0</v>
      </c>
      <c r="AL652" s="2">
        <v>39.450000000000003</v>
      </c>
      <c r="AM652" s="2">
        <v>0</v>
      </c>
      <c r="AN652" s="2">
        <v>0</v>
      </c>
      <c r="AO652" s="2">
        <v>0</v>
      </c>
      <c r="AP652" s="2">
        <v>0</v>
      </c>
      <c r="AQ652" s="2">
        <v>0</v>
      </c>
    </row>
    <row r="653" spans="1:43" x14ac:dyDescent="0.25">
      <c r="A653" s="1">
        <v>45936</v>
      </c>
      <c r="B653" t="s">
        <v>48</v>
      </c>
      <c r="C653">
        <v>649163</v>
      </c>
      <c r="D653">
        <v>2030189268</v>
      </c>
      <c r="E653" t="s">
        <v>911</v>
      </c>
      <c r="F653" t="s">
        <v>912</v>
      </c>
      <c r="G653" t="s">
        <v>51</v>
      </c>
      <c r="H653" t="s">
        <v>323</v>
      </c>
      <c r="I653" t="s">
        <v>89</v>
      </c>
      <c r="J653" t="s">
        <v>90</v>
      </c>
      <c r="K653">
        <v>651818</v>
      </c>
      <c r="L653" t="s">
        <v>112</v>
      </c>
      <c r="M653" t="s">
        <v>104</v>
      </c>
      <c r="N653" t="s">
        <v>57</v>
      </c>
      <c r="O653" s="1">
        <v>45876</v>
      </c>
      <c r="Q653" s="1">
        <v>45968</v>
      </c>
      <c r="R653" s="2">
        <v>24.4</v>
      </c>
      <c r="S653">
        <v>1</v>
      </c>
      <c r="T653" t="s">
        <v>58</v>
      </c>
      <c r="U653" t="s">
        <v>359</v>
      </c>
      <c r="V653" s="3">
        <v>0.65</v>
      </c>
      <c r="W653" s="2">
        <v>0</v>
      </c>
      <c r="X653">
        <v>0</v>
      </c>
      <c r="Y653" t="s">
        <v>60</v>
      </c>
      <c r="Z653" t="s">
        <v>360</v>
      </c>
      <c r="AA653">
        <v>0</v>
      </c>
      <c r="AB653" s="2">
        <v>0</v>
      </c>
      <c r="AC653" s="2">
        <v>0</v>
      </c>
      <c r="AD653" s="3">
        <v>0</v>
      </c>
      <c r="AE653" s="2">
        <v>0</v>
      </c>
      <c r="AF653" s="2">
        <v>0</v>
      </c>
      <c r="AG653" s="2">
        <v>0</v>
      </c>
      <c r="AH653" s="2">
        <v>0</v>
      </c>
      <c r="AI653" s="2">
        <v>0</v>
      </c>
      <c r="AJ653" s="2">
        <v>0</v>
      </c>
      <c r="AK653" s="2">
        <v>0</v>
      </c>
      <c r="AL653" s="2">
        <v>15.86</v>
      </c>
      <c r="AM653" s="2">
        <v>0</v>
      </c>
      <c r="AN653" s="2">
        <v>0</v>
      </c>
      <c r="AO653" s="2">
        <v>0</v>
      </c>
      <c r="AP653" s="2">
        <v>0</v>
      </c>
      <c r="AQ653" s="2">
        <v>0</v>
      </c>
    </row>
    <row r="654" spans="1:43" x14ac:dyDescent="0.25">
      <c r="A654" s="1">
        <v>45936</v>
      </c>
      <c r="B654" t="s">
        <v>48</v>
      </c>
      <c r="C654">
        <v>649163</v>
      </c>
      <c r="D654">
        <v>2030192141</v>
      </c>
      <c r="E654" t="s">
        <v>913</v>
      </c>
      <c r="F654" t="s">
        <v>914</v>
      </c>
      <c r="G654" t="s">
        <v>51</v>
      </c>
      <c r="H654" t="s">
        <v>119</v>
      </c>
      <c r="I654" t="s">
        <v>89</v>
      </c>
      <c r="J654" t="s">
        <v>102</v>
      </c>
      <c r="K654">
        <v>651818</v>
      </c>
      <c r="L654" t="s">
        <v>112</v>
      </c>
      <c r="M654" t="s">
        <v>104</v>
      </c>
      <c r="N654" t="s">
        <v>57</v>
      </c>
      <c r="O654" s="1">
        <v>45876</v>
      </c>
      <c r="Q654" s="1">
        <v>45968</v>
      </c>
      <c r="R654" s="2">
        <v>76.45</v>
      </c>
      <c r="S654">
        <v>1</v>
      </c>
      <c r="T654" t="s">
        <v>58</v>
      </c>
      <c r="U654" t="s">
        <v>359</v>
      </c>
      <c r="V654" s="3">
        <v>0.75</v>
      </c>
      <c r="W654" s="2">
        <v>0</v>
      </c>
      <c r="X654">
        <v>0</v>
      </c>
      <c r="Y654" t="s">
        <v>60</v>
      </c>
      <c r="Z654" t="s">
        <v>360</v>
      </c>
      <c r="AA654">
        <v>0</v>
      </c>
      <c r="AB654" s="2">
        <v>0</v>
      </c>
      <c r="AC654" s="2">
        <v>0</v>
      </c>
      <c r="AD654" s="3">
        <v>0</v>
      </c>
      <c r="AE654" s="2">
        <v>0</v>
      </c>
      <c r="AF654" s="2">
        <v>0</v>
      </c>
      <c r="AG654" s="2">
        <v>0</v>
      </c>
      <c r="AH654" s="2">
        <v>0</v>
      </c>
      <c r="AI654" s="2">
        <v>0</v>
      </c>
      <c r="AJ654" s="2">
        <v>0</v>
      </c>
      <c r="AK654" s="2">
        <v>0</v>
      </c>
      <c r="AL654" s="2">
        <v>57.34</v>
      </c>
      <c r="AM654" s="2">
        <v>0</v>
      </c>
      <c r="AN654" s="2">
        <v>0</v>
      </c>
      <c r="AO654" s="2">
        <v>0</v>
      </c>
      <c r="AP654" s="2">
        <v>0</v>
      </c>
      <c r="AQ654" s="2">
        <v>0</v>
      </c>
    </row>
    <row r="655" spans="1:43" x14ac:dyDescent="0.25">
      <c r="A655" s="1">
        <v>45936</v>
      </c>
      <c r="B655" t="s">
        <v>48</v>
      </c>
      <c r="C655">
        <v>649163</v>
      </c>
      <c r="D655">
        <v>2030228486</v>
      </c>
      <c r="E655" t="s">
        <v>524</v>
      </c>
      <c r="F655" t="s">
        <v>915</v>
      </c>
      <c r="G655" t="s">
        <v>51</v>
      </c>
      <c r="H655" t="s">
        <v>52</v>
      </c>
      <c r="I655" t="s">
        <v>89</v>
      </c>
      <c r="J655" t="s">
        <v>102</v>
      </c>
      <c r="K655">
        <v>673059</v>
      </c>
      <c r="L655" t="s">
        <v>80</v>
      </c>
      <c r="M655" t="s">
        <v>81</v>
      </c>
      <c r="N655" t="s">
        <v>57</v>
      </c>
      <c r="O655" s="1">
        <v>45875</v>
      </c>
      <c r="Q655" s="1">
        <v>45967</v>
      </c>
      <c r="R655" s="2">
        <v>81.099999999999994</v>
      </c>
      <c r="S655">
        <v>1</v>
      </c>
      <c r="T655" t="s">
        <v>58</v>
      </c>
      <c r="U655" t="s">
        <v>359</v>
      </c>
      <c r="V655" s="3">
        <v>0.75</v>
      </c>
      <c r="W655" s="2">
        <v>0</v>
      </c>
      <c r="X655">
        <v>0</v>
      </c>
      <c r="Y655" t="s">
        <v>60</v>
      </c>
      <c r="Z655" t="s">
        <v>360</v>
      </c>
      <c r="AA655">
        <v>0</v>
      </c>
      <c r="AB655" s="2">
        <v>0</v>
      </c>
      <c r="AC655" s="2">
        <v>0</v>
      </c>
      <c r="AD655" s="3">
        <v>0</v>
      </c>
      <c r="AE655" s="2">
        <v>0</v>
      </c>
      <c r="AF655" s="2">
        <v>0</v>
      </c>
      <c r="AG655" s="2">
        <v>0</v>
      </c>
      <c r="AH655" s="2">
        <v>0</v>
      </c>
      <c r="AI655" s="2">
        <v>0</v>
      </c>
      <c r="AJ655" s="2">
        <v>0</v>
      </c>
      <c r="AK655" s="2">
        <v>0</v>
      </c>
      <c r="AL655" s="2">
        <v>60.82</v>
      </c>
      <c r="AM655" s="2">
        <v>0</v>
      </c>
      <c r="AN655" s="2">
        <v>0</v>
      </c>
      <c r="AO655" s="2">
        <v>0</v>
      </c>
      <c r="AP655" s="2">
        <v>0</v>
      </c>
      <c r="AQ655" s="2">
        <v>0</v>
      </c>
    </row>
    <row r="656" spans="1:43" x14ac:dyDescent="0.25">
      <c r="A656" s="1">
        <v>45936</v>
      </c>
      <c r="B656" t="s">
        <v>48</v>
      </c>
      <c r="C656">
        <v>649163</v>
      </c>
      <c r="D656">
        <v>2030277547</v>
      </c>
      <c r="E656" t="s">
        <v>439</v>
      </c>
      <c r="F656" t="s">
        <v>440</v>
      </c>
      <c r="G656" t="s">
        <v>51</v>
      </c>
      <c r="H656" t="s">
        <v>247</v>
      </c>
      <c r="I656" t="s">
        <v>89</v>
      </c>
      <c r="J656" t="s">
        <v>102</v>
      </c>
      <c r="K656">
        <v>673059</v>
      </c>
      <c r="L656" t="s">
        <v>80</v>
      </c>
      <c r="M656" t="s">
        <v>81</v>
      </c>
      <c r="N656" t="s">
        <v>57</v>
      </c>
      <c r="O656" s="1">
        <v>45878</v>
      </c>
      <c r="Q656" s="1">
        <v>45970</v>
      </c>
      <c r="R656" s="2">
        <v>37.18</v>
      </c>
      <c r="S656">
        <v>1</v>
      </c>
      <c r="T656" t="s">
        <v>58</v>
      </c>
      <c r="U656" t="s">
        <v>359</v>
      </c>
      <c r="V656" s="3">
        <v>0.75</v>
      </c>
      <c r="W656" s="2">
        <v>0</v>
      </c>
      <c r="X656">
        <v>0</v>
      </c>
      <c r="Y656" t="s">
        <v>60</v>
      </c>
      <c r="Z656" t="s">
        <v>360</v>
      </c>
      <c r="AA656">
        <v>0</v>
      </c>
      <c r="AB656" s="2">
        <v>0</v>
      </c>
      <c r="AC656" s="2">
        <v>0</v>
      </c>
      <c r="AD656" s="3">
        <v>0</v>
      </c>
      <c r="AE656" s="2">
        <v>0</v>
      </c>
      <c r="AF656" s="2">
        <v>0</v>
      </c>
      <c r="AG656" s="2">
        <v>0</v>
      </c>
      <c r="AH656" s="2">
        <v>0</v>
      </c>
      <c r="AI656" s="2">
        <v>0</v>
      </c>
      <c r="AJ656" s="2">
        <v>0</v>
      </c>
      <c r="AK656" s="2">
        <v>0</v>
      </c>
      <c r="AL656" s="2">
        <v>27.88</v>
      </c>
      <c r="AM656" s="2">
        <v>0</v>
      </c>
      <c r="AN656" s="2">
        <v>0</v>
      </c>
      <c r="AO656" s="2">
        <v>0</v>
      </c>
      <c r="AP656" s="2">
        <v>0</v>
      </c>
      <c r="AQ656" s="2">
        <v>0</v>
      </c>
    </row>
    <row r="657" spans="1:43" x14ac:dyDescent="0.25">
      <c r="A657" s="1">
        <v>45936</v>
      </c>
      <c r="B657" t="s">
        <v>48</v>
      </c>
      <c r="C657">
        <v>649163</v>
      </c>
      <c r="D657">
        <v>2030317596</v>
      </c>
      <c r="E657" t="s">
        <v>916</v>
      </c>
      <c r="F657" t="s">
        <v>745</v>
      </c>
      <c r="G657" t="s">
        <v>51</v>
      </c>
      <c r="H657" t="s">
        <v>101</v>
      </c>
      <c r="I657" t="s">
        <v>89</v>
      </c>
      <c r="J657" t="s">
        <v>102</v>
      </c>
      <c r="K657">
        <v>651818</v>
      </c>
      <c r="L657" t="s">
        <v>112</v>
      </c>
      <c r="M657" t="s">
        <v>104</v>
      </c>
      <c r="N657" t="s">
        <v>57</v>
      </c>
      <c r="O657" s="1">
        <v>45906</v>
      </c>
      <c r="Q657" s="1">
        <v>45967</v>
      </c>
      <c r="R657" s="2">
        <v>69.3</v>
      </c>
      <c r="S657">
        <v>1</v>
      </c>
      <c r="T657" t="s">
        <v>58</v>
      </c>
      <c r="U657" t="s">
        <v>359</v>
      </c>
      <c r="V657" s="3">
        <v>0.75</v>
      </c>
      <c r="W657" s="2">
        <v>0</v>
      </c>
      <c r="X657">
        <v>0</v>
      </c>
      <c r="Y657" t="s">
        <v>60</v>
      </c>
      <c r="Z657" t="s">
        <v>360</v>
      </c>
      <c r="AA657">
        <v>0</v>
      </c>
      <c r="AB657" s="2">
        <v>0</v>
      </c>
      <c r="AC657" s="2">
        <v>0</v>
      </c>
      <c r="AD657" s="3">
        <v>0</v>
      </c>
      <c r="AE657" s="2">
        <v>0</v>
      </c>
      <c r="AF657" s="2">
        <v>0</v>
      </c>
      <c r="AG657" s="2">
        <v>0</v>
      </c>
      <c r="AH657" s="2">
        <v>0</v>
      </c>
      <c r="AI657" s="2">
        <v>0</v>
      </c>
      <c r="AJ657" s="2">
        <v>0</v>
      </c>
      <c r="AK657" s="2">
        <v>0</v>
      </c>
      <c r="AL657" s="2">
        <v>51.98</v>
      </c>
      <c r="AM657" s="2">
        <v>0</v>
      </c>
      <c r="AN657" s="2">
        <v>0</v>
      </c>
      <c r="AO657" s="2">
        <v>0</v>
      </c>
      <c r="AP657" s="2">
        <v>0</v>
      </c>
      <c r="AQ657" s="2">
        <v>0</v>
      </c>
    </row>
    <row r="658" spans="1:43" x14ac:dyDescent="0.25">
      <c r="A658" s="1">
        <v>45936</v>
      </c>
      <c r="B658" t="s">
        <v>48</v>
      </c>
      <c r="C658">
        <v>649163</v>
      </c>
      <c r="D658">
        <v>2030329365</v>
      </c>
      <c r="E658" t="s">
        <v>648</v>
      </c>
      <c r="F658" t="s">
        <v>917</v>
      </c>
      <c r="G658" t="s">
        <v>51</v>
      </c>
      <c r="H658" t="s">
        <v>105</v>
      </c>
      <c r="I658" t="s">
        <v>89</v>
      </c>
      <c r="J658" t="s">
        <v>96</v>
      </c>
      <c r="K658">
        <v>823068</v>
      </c>
      <c r="L658" t="s">
        <v>106</v>
      </c>
      <c r="M658" t="s">
        <v>107</v>
      </c>
      <c r="N658" t="s">
        <v>57</v>
      </c>
      <c r="O658" s="1">
        <v>45878</v>
      </c>
      <c r="Q658" s="1">
        <v>45970</v>
      </c>
      <c r="R658" s="2">
        <v>84.56</v>
      </c>
      <c r="S658">
        <v>1</v>
      </c>
      <c r="T658" t="s">
        <v>58</v>
      </c>
      <c r="U658" t="s">
        <v>359</v>
      </c>
      <c r="V658" s="3">
        <v>0.9</v>
      </c>
      <c r="W658" s="2">
        <v>0</v>
      </c>
      <c r="X658">
        <v>0</v>
      </c>
      <c r="Y658" t="s">
        <v>60</v>
      </c>
      <c r="Z658" t="s">
        <v>360</v>
      </c>
      <c r="AA658">
        <v>0</v>
      </c>
      <c r="AB658" s="2">
        <v>0</v>
      </c>
      <c r="AC658" s="2">
        <v>0</v>
      </c>
      <c r="AD658" s="3">
        <v>0</v>
      </c>
      <c r="AE658" s="2">
        <v>0</v>
      </c>
      <c r="AF658" s="2">
        <v>0</v>
      </c>
      <c r="AG658" s="2">
        <v>0</v>
      </c>
      <c r="AH658" s="2">
        <v>0</v>
      </c>
      <c r="AI658" s="2">
        <v>0</v>
      </c>
      <c r="AJ658" s="2">
        <v>0</v>
      </c>
      <c r="AK658" s="2">
        <v>0</v>
      </c>
      <c r="AL658" s="2">
        <v>76.099999999999994</v>
      </c>
      <c r="AM658" s="2">
        <v>0</v>
      </c>
      <c r="AN658" s="2">
        <v>0</v>
      </c>
      <c r="AO658" s="2">
        <v>0</v>
      </c>
      <c r="AP658" s="2">
        <v>0</v>
      </c>
      <c r="AQ658" s="2">
        <v>0</v>
      </c>
    </row>
    <row r="659" spans="1:43" x14ac:dyDescent="0.25">
      <c r="A659" s="1">
        <v>45936</v>
      </c>
      <c r="B659" t="s">
        <v>48</v>
      </c>
      <c r="C659">
        <v>649163</v>
      </c>
      <c r="D659">
        <v>2030336751</v>
      </c>
      <c r="E659" t="s">
        <v>918</v>
      </c>
      <c r="F659" t="s">
        <v>919</v>
      </c>
      <c r="G659" t="s">
        <v>51</v>
      </c>
      <c r="H659" t="s">
        <v>129</v>
      </c>
      <c r="I659" t="s">
        <v>89</v>
      </c>
      <c r="J659" t="s">
        <v>96</v>
      </c>
      <c r="K659">
        <v>651818</v>
      </c>
      <c r="L659" t="s">
        <v>112</v>
      </c>
      <c r="M659" t="s">
        <v>104</v>
      </c>
      <c r="N659" t="s">
        <v>57</v>
      </c>
      <c r="O659" s="1">
        <v>45906</v>
      </c>
      <c r="Q659" s="1">
        <v>45967</v>
      </c>
      <c r="R659" s="2">
        <v>216.41</v>
      </c>
      <c r="S659">
        <v>1</v>
      </c>
      <c r="T659" t="s">
        <v>58</v>
      </c>
      <c r="U659" t="s">
        <v>359</v>
      </c>
      <c r="V659" s="3">
        <v>0.9</v>
      </c>
      <c r="W659" s="2">
        <v>0</v>
      </c>
      <c r="X659">
        <v>0</v>
      </c>
      <c r="Y659" t="s">
        <v>60</v>
      </c>
      <c r="Z659" t="s">
        <v>360</v>
      </c>
      <c r="AA659">
        <v>0</v>
      </c>
      <c r="AB659" s="2">
        <v>0</v>
      </c>
      <c r="AC659" s="2">
        <v>0</v>
      </c>
      <c r="AD659" s="3">
        <v>0</v>
      </c>
      <c r="AE659" s="2">
        <v>0</v>
      </c>
      <c r="AF659" s="2">
        <v>0</v>
      </c>
      <c r="AG659" s="2">
        <v>0</v>
      </c>
      <c r="AH659" s="2">
        <v>0</v>
      </c>
      <c r="AI659" s="2">
        <v>0</v>
      </c>
      <c r="AJ659" s="2">
        <v>0</v>
      </c>
      <c r="AK659" s="2">
        <v>0</v>
      </c>
      <c r="AL659" s="2">
        <v>194.77</v>
      </c>
      <c r="AM659" s="2">
        <v>0</v>
      </c>
      <c r="AN659" s="2">
        <v>0</v>
      </c>
      <c r="AO659" s="2">
        <v>0</v>
      </c>
      <c r="AP659" s="2">
        <v>0</v>
      </c>
      <c r="AQ659" s="2">
        <v>0</v>
      </c>
    </row>
    <row r="660" spans="1:43" x14ac:dyDescent="0.25">
      <c r="A660" s="1">
        <v>45936</v>
      </c>
      <c r="B660" t="s">
        <v>48</v>
      </c>
      <c r="C660">
        <v>649163</v>
      </c>
      <c r="D660">
        <v>2030340158</v>
      </c>
      <c r="E660" t="s">
        <v>920</v>
      </c>
      <c r="F660" t="s">
        <v>921</v>
      </c>
      <c r="G660" t="s">
        <v>51</v>
      </c>
      <c r="H660" t="s">
        <v>182</v>
      </c>
      <c r="I660" t="s">
        <v>89</v>
      </c>
      <c r="J660" t="s">
        <v>96</v>
      </c>
      <c r="K660">
        <v>673059</v>
      </c>
      <c r="L660" t="s">
        <v>80</v>
      </c>
      <c r="M660" t="s">
        <v>81</v>
      </c>
      <c r="N660" t="s">
        <v>57</v>
      </c>
      <c r="O660" s="1">
        <v>45901</v>
      </c>
      <c r="Q660" s="1">
        <v>45962</v>
      </c>
      <c r="R660" s="2">
        <v>96.5</v>
      </c>
      <c r="S660">
        <v>1</v>
      </c>
      <c r="T660" t="s">
        <v>58</v>
      </c>
      <c r="U660" t="s">
        <v>359</v>
      </c>
      <c r="V660" s="3">
        <v>0.9</v>
      </c>
      <c r="W660" s="2">
        <v>0</v>
      </c>
      <c r="X660">
        <v>0</v>
      </c>
      <c r="Y660" t="s">
        <v>60</v>
      </c>
      <c r="Z660" t="s">
        <v>360</v>
      </c>
      <c r="AA660">
        <v>0</v>
      </c>
      <c r="AB660" s="2">
        <v>0</v>
      </c>
      <c r="AC660" s="2">
        <v>0</v>
      </c>
      <c r="AD660" s="3">
        <v>0</v>
      </c>
      <c r="AE660" s="2">
        <v>0</v>
      </c>
      <c r="AF660" s="2">
        <v>0</v>
      </c>
      <c r="AG660" s="2">
        <v>0</v>
      </c>
      <c r="AH660" s="2">
        <v>0</v>
      </c>
      <c r="AI660" s="2">
        <v>0</v>
      </c>
      <c r="AJ660" s="2">
        <v>0</v>
      </c>
      <c r="AK660" s="2">
        <v>0</v>
      </c>
      <c r="AL660" s="2">
        <v>86.85</v>
      </c>
      <c r="AM660" s="2">
        <v>0</v>
      </c>
      <c r="AN660" s="2">
        <v>0</v>
      </c>
      <c r="AO660" s="2">
        <v>0</v>
      </c>
      <c r="AP660" s="2">
        <v>0</v>
      </c>
      <c r="AQ660" s="2">
        <v>0</v>
      </c>
    </row>
    <row r="661" spans="1:43" x14ac:dyDescent="0.25">
      <c r="A661" s="1">
        <v>45936</v>
      </c>
      <c r="B661" t="s">
        <v>48</v>
      </c>
      <c r="C661">
        <v>649163</v>
      </c>
      <c r="D661">
        <v>2030345987</v>
      </c>
      <c r="E661" t="s">
        <v>94</v>
      </c>
      <c r="F661" t="s">
        <v>922</v>
      </c>
      <c r="G661" t="s">
        <v>51</v>
      </c>
      <c r="H661" t="s">
        <v>105</v>
      </c>
      <c r="I661" t="s">
        <v>89</v>
      </c>
      <c r="J661" t="s">
        <v>96</v>
      </c>
      <c r="K661">
        <v>823068</v>
      </c>
      <c r="L661" t="s">
        <v>106</v>
      </c>
      <c r="M661" t="s">
        <v>107</v>
      </c>
      <c r="N661" t="s">
        <v>57</v>
      </c>
      <c r="O661" s="1">
        <v>45876</v>
      </c>
      <c r="Q661" s="1">
        <v>45968</v>
      </c>
      <c r="R661" s="2">
        <v>51.46</v>
      </c>
      <c r="S661">
        <v>1</v>
      </c>
      <c r="T661" t="s">
        <v>58</v>
      </c>
      <c r="U661" t="s">
        <v>359</v>
      </c>
      <c r="V661" s="3">
        <v>0.9</v>
      </c>
      <c r="W661" s="2">
        <v>0</v>
      </c>
      <c r="X661">
        <v>0</v>
      </c>
      <c r="Y661" t="s">
        <v>60</v>
      </c>
      <c r="Z661" t="s">
        <v>360</v>
      </c>
      <c r="AA661">
        <v>0</v>
      </c>
      <c r="AB661" s="2">
        <v>0</v>
      </c>
      <c r="AC661" s="2">
        <v>0</v>
      </c>
      <c r="AD661" s="3">
        <v>0</v>
      </c>
      <c r="AE661" s="2">
        <v>0</v>
      </c>
      <c r="AF661" s="2">
        <v>0</v>
      </c>
      <c r="AG661" s="2">
        <v>0</v>
      </c>
      <c r="AH661" s="2">
        <v>0</v>
      </c>
      <c r="AI661" s="2">
        <v>0</v>
      </c>
      <c r="AJ661" s="2">
        <v>0</v>
      </c>
      <c r="AK661" s="2">
        <v>0</v>
      </c>
      <c r="AL661" s="2">
        <v>46.31</v>
      </c>
      <c r="AM661" s="2">
        <v>0</v>
      </c>
      <c r="AN661" s="2">
        <v>0</v>
      </c>
      <c r="AO661" s="2">
        <v>0</v>
      </c>
      <c r="AP661" s="2">
        <v>0</v>
      </c>
      <c r="AQ661" s="2">
        <v>0</v>
      </c>
    </row>
    <row r="662" spans="1:43" x14ac:dyDescent="0.25">
      <c r="A662" s="1">
        <v>45936</v>
      </c>
      <c r="B662" t="s">
        <v>48</v>
      </c>
      <c r="C662">
        <v>649163</v>
      </c>
      <c r="D662">
        <v>2030366107</v>
      </c>
      <c r="E662" t="s">
        <v>377</v>
      </c>
      <c r="F662" t="s">
        <v>923</v>
      </c>
      <c r="G662" t="s">
        <v>51</v>
      </c>
      <c r="H662" t="s">
        <v>52</v>
      </c>
      <c r="I662" t="s">
        <v>89</v>
      </c>
      <c r="J662" t="s">
        <v>96</v>
      </c>
      <c r="K662">
        <v>651818</v>
      </c>
      <c r="L662" t="s">
        <v>112</v>
      </c>
      <c r="M662" t="s">
        <v>104</v>
      </c>
      <c r="N662" t="s">
        <v>57</v>
      </c>
      <c r="O662" s="1">
        <v>45878</v>
      </c>
      <c r="Q662" s="1">
        <v>45970</v>
      </c>
      <c r="R662" s="2">
        <v>59.42</v>
      </c>
      <c r="S662">
        <v>1</v>
      </c>
      <c r="T662" t="s">
        <v>58</v>
      </c>
      <c r="U662" t="s">
        <v>359</v>
      </c>
      <c r="V662" s="3">
        <v>0.9</v>
      </c>
      <c r="W662" s="2">
        <v>0</v>
      </c>
      <c r="X662">
        <v>0</v>
      </c>
      <c r="Y662" t="s">
        <v>60</v>
      </c>
      <c r="Z662" t="s">
        <v>360</v>
      </c>
      <c r="AA662">
        <v>0</v>
      </c>
      <c r="AB662" s="2">
        <v>0</v>
      </c>
      <c r="AC662" s="2">
        <v>0</v>
      </c>
      <c r="AD662" s="3">
        <v>0</v>
      </c>
      <c r="AE662" s="2">
        <v>0</v>
      </c>
      <c r="AF662" s="2">
        <v>0</v>
      </c>
      <c r="AG662" s="2">
        <v>0</v>
      </c>
      <c r="AH662" s="2">
        <v>0</v>
      </c>
      <c r="AI662" s="2">
        <v>0</v>
      </c>
      <c r="AJ662" s="2">
        <v>0</v>
      </c>
      <c r="AK662" s="2">
        <v>0</v>
      </c>
      <c r="AL662" s="2">
        <v>53.48</v>
      </c>
      <c r="AM662" s="2">
        <v>0</v>
      </c>
      <c r="AN662" s="2">
        <v>0</v>
      </c>
      <c r="AO662" s="2">
        <v>0</v>
      </c>
      <c r="AP662" s="2">
        <v>0</v>
      </c>
      <c r="AQ662" s="2">
        <v>0</v>
      </c>
    </row>
    <row r="663" spans="1:43" x14ac:dyDescent="0.25">
      <c r="A663" s="1">
        <v>45936</v>
      </c>
      <c r="B663" t="s">
        <v>48</v>
      </c>
      <c r="C663">
        <v>649163</v>
      </c>
      <c r="D663">
        <v>2030386535</v>
      </c>
      <c r="E663" t="s">
        <v>924</v>
      </c>
      <c r="F663" t="s">
        <v>925</v>
      </c>
      <c r="G663" t="s">
        <v>51</v>
      </c>
      <c r="H663" t="s">
        <v>105</v>
      </c>
      <c r="I663" t="s">
        <v>89</v>
      </c>
      <c r="J663" t="s">
        <v>96</v>
      </c>
      <c r="K663">
        <v>652037</v>
      </c>
      <c r="L663" t="s">
        <v>172</v>
      </c>
      <c r="M663" t="s">
        <v>173</v>
      </c>
      <c r="N663" t="s">
        <v>57</v>
      </c>
      <c r="O663" s="1">
        <v>45878</v>
      </c>
      <c r="Q663" s="1">
        <v>45970</v>
      </c>
      <c r="R663" s="2">
        <v>124.88</v>
      </c>
      <c r="S663">
        <v>1</v>
      </c>
      <c r="T663" t="s">
        <v>58</v>
      </c>
      <c r="U663" t="s">
        <v>359</v>
      </c>
      <c r="V663" s="3">
        <v>0.9</v>
      </c>
      <c r="W663" s="2">
        <v>0</v>
      </c>
      <c r="X663">
        <v>0</v>
      </c>
      <c r="Y663" t="s">
        <v>60</v>
      </c>
      <c r="Z663" t="s">
        <v>360</v>
      </c>
      <c r="AA663">
        <v>0</v>
      </c>
      <c r="AB663" s="2">
        <v>0</v>
      </c>
      <c r="AC663" s="2">
        <v>0</v>
      </c>
      <c r="AD663" s="3">
        <v>0</v>
      </c>
      <c r="AE663" s="2">
        <v>0</v>
      </c>
      <c r="AF663" s="2">
        <v>0</v>
      </c>
      <c r="AG663" s="2">
        <v>0</v>
      </c>
      <c r="AH663" s="2">
        <v>0</v>
      </c>
      <c r="AI663" s="2">
        <v>0</v>
      </c>
      <c r="AJ663" s="2">
        <v>0</v>
      </c>
      <c r="AK663" s="2">
        <v>0</v>
      </c>
      <c r="AL663" s="2">
        <v>112.39</v>
      </c>
      <c r="AM663" s="2">
        <v>0</v>
      </c>
      <c r="AN663" s="2">
        <v>0</v>
      </c>
      <c r="AO663" s="2">
        <v>0</v>
      </c>
      <c r="AP663" s="2">
        <v>0</v>
      </c>
      <c r="AQ663" s="2">
        <v>0</v>
      </c>
    </row>
    <row r="664" spans="1:43" x14ac:dyDescent="0.25">
      <c r="A664" s="1">
        <v>45936</v>
      </c>
      <c r="B664" t="s">
        <v>48</v>
      </c>
      <c r="C664">
        <v>649163</v>
      </c>
      <c r="D664">
        <v>2030406801</v>
      </c>
      <c r="E664" t="s">
        <v>926</v>
      </c>
      <c r="F664" t="s">
        <v>927</v>
      </c>
      <c r="G664" t="s">
        <v>51</v>
      </c>
      <c r="H664" t="s">
        <v>203</v>
      </c>
      <c r="I664" t="s">
        <v>89</v>
      </c>
      <c r="J664" t="s">
        <v>102</v>
      </c>
      <c r="K664">
        <v>796984</v>
      </c>
      <c r="L664" t="s">
        <v>204</v>
      </c>
      <c r="M664" t="s">
        <v>205</v>
      </c>
      <c r="N664" t="s">
        <v>57</v>
      </c>
      <c r="O664" s="1">
        <v>45878</v>
      </c>
      <c r="Q664" s="1">
        <v>45970</v>
      </c>
      <c r="R664" s="2">
        <v>27.28</v>
      </c>
      <c r="S664">
        <v>1</v>
      </c>
      <c r="T664" t="s">
        <v>58</v>
      </c>
      <c r="U664" t="s">
        <v>359</v>
      </c>
      <c r="V664" s="3">
        <v>0.75</v>
      </c>
      <c r="W664" s="2">
        <v>0</v>
      </c>
      <c r="X664">
        <v>0</v>
      </c>
      <c r="Y664" t="s">
        <v>60</v>
      </c>
      <c r="Z664" t="s">
        <v>360</v>
      </c>
      <c r="AA664">
        <v>0</v>
      </c>
      <c r="AB664" s="2">
        <v>0</v>
      </c>
      <c r="AC664" s="2">
        <v>0</v>
      </c>
      <c r="AD664" s="3">
        <v>0</v>
      </c>
      <c r="AE664" s="2">
        <v>0</v>
      </c>
      <c r="AF664" s="2">
        <v>0</v>
      </c>
      <c r="AG664" s="2">
        <v>0</v>
      </c>
      <c r="AH664" s="2">
        <v>0</v>
      </c>
      <c r="AI664" s="2">
        <v>0</v>
      </c>
      <c r="AJ664" s="2">
        <v>0</v>
      </c>
      <c r="AK664" s="2">
        <v>0</v>
      </c>
      <c r="AL664" s="2">
        <v>20.46</v>
      </c>
      <c r="AM664" s="2">
        <v>0</v>
      </c>
      <c r="AN664" s="2">
        <v>0</v>
      </c>
      <c r="AO664" s="2">
        <v>0</v>
      </c>
      <c r="AP664" s="2">
        <v>0</v>
      </c>
      <c r="AQ664" s="2">
        <v>0</v>
      </c>
    </row>
    <row r="665" spans="1:43" x14ac:dyDescent="0.25">
      <c r="A665" s="1">
        <v>45936</v>
      </c>
      <c r="B665" t="s">
        <v>48</v>
      </c>
      <c r="C665">
        <v>649163</v>
      </c>
      <c r="D665">
        <v>2030435037</v>
      </c>
      <c r="E665" t="s">
        <v>368</v>
      </c>
      <c r="F665" t="s">
        <v>928</v>
      </c>
      <c r="G665" t="s">
        <v>51</v>
      </c>
      <c r="H665" t="s">
        <v>159</v>
      </c>
      <c r="I665" t="s">
        <v>89</v>
      </c>
      <c r="J665" t="s">
        <v>96</v>
      </c>
      <c r="K665">
        <v>651818</v>
      </c>
      <c r="L665" t="s">
        <v>112</v>
      </c>
      <c r="M665" t="s">
        <v>104</v>
      </c>
      <c r="N665" t="s">
        <v>57</v>
      </c>
      <c r="O665" s="1">
        <v>45907</v>
      </c>
      <c r="Q665" s="1">
        <v>45968</v>
      </c>
      <c r="R665" s="2">
        <v>87.13</v>
      </c>
      <c r="S665">
        <v>1</v>
      </c>
      <c r="T665" t="s">
        <v>58</v>
      </c>
      <c r="U665" t="s">
        <v>359</v>
      </c>
      <c r="V665" s="3">
        <v>0.9</v>
      </c>
      <c r="W665" s="2">
        <v>0</v>
      </c>
      <c r="X665">
        <v>0</v>
      </c>
      <c r="Y665" t="s">
        <v>60</v>
      </c>
      <c r="Z665" t="s">
        <v>360</v>
      </c>
      <c r="AA665">
        <v>0</v>
      </c>
      <c r="AB665" s="2">
        <v>0</v>
      </c>
      <c r="AC665" s="2">
        <v>0</v>
      </c>
      <c r="AD665" s="3">
        <v>0</v>
      </c>
      <c r="AE665" s="2">
        <v>0</v>
      </c>
      <c r="AF665" s="2">
        <v>0</v>
      </c>
      <c r="AG665" s="2">
        <v>0</v>
      </c>
      <c r="AH665" s="2">
        <v>0</v>
      </c>
      <c r="AI665" s="2">
        <v>0</v>
      </c>
      <c r="AJ665" s="2">
        <v>0</v>
      </c>
      <c r="AK665" s="2">
        <v>0</v>
      </c>
      <c r="AL665" s="2">
        <v>78.42</v>
      </c>
      <c r="AM665" s="2">
        <v>0</v>
      </c>
      <c r="AN665" s="2">
        <v>0</v>
      </c>
      <c r="AO665" s="2">
        <v>0</v>
      </c>
      <c r="AP665" s="2">
        <v>0</v>
      </c>
      <c r="AQ665" s="2">
        <v>0</v>
      </c>
    </row>
    <row r="666" spans="1:43" x14ac:dyDescent="0.25">
      <c r="A666" s="1">
        <v>45936</v>
      </c>
      <c r="B666" t="s">
        <v>48</v>
      </c>
      <c r="C666">
        <v>649163</v>
      </c>
      <c r="D666">
        <v>2030441006</v>
      </c>
      <c r="E666" t="s">
        <v>929</v>
      </c>
      <c r="F666" t="s">
        <v>593</v>
      </c>
      <c r="G666" t="s">
        <v>51</v>
      </c>
      <c r="H666" t="s">
        <v>159</v>
      </c>
      <c r="I666" t="s">
        <v>89</v>
      </c>
      <c r="J666" t="s">
        <v>96</v>
      </c>
      <c r="K666">
        <v>651818</v>
      </c>
      <c r="L666" t="s">
        <v>112</v>
      </c>
      <c r="M666" t="s">
        <v>104</v>
      </c>
      <c r="N666" t="s">
        <v>57</v>
      </c>
      <c r="O666" s="1">
        <v>45907</v>
      </c>
      <c r="Q666" s="1">
        <v>45968</v>
      </c>
      <c r="R666" s="2">
        <v>101.93</v>
      </c>
      <c r="S666">
        <v>1</v>
      </c>
      <c r="T666" t="s">
        <v>58</v>
      </c>
      <c r="U666" t="s">
        <v>359</v>
      </c>
      <c r="V666" s="3">
        <v>0.9</v>
      </c>
      <c r="W666" s="2">
        <v>0</v>
      </c>
      <c r="X666">
        <v>0</v>
      </c>
      <c r="Y666" t="s">
        <v>60</v>
      </c>
      <c r="Z666" t="s">
        <v>360</v>
      </c>
      <c r="AA666">
        <v>0</v>
      </c>
      <c r="AB666" s="2">
        <v>0</v>
      </c>
      <c r="AC666" s="2">
        <v>0</v>
      </c>
      <c r="AD666" s="3">
        <v>0</v>
      </c>
      <c r="AE666" s="2">
        <v>0</v>
      </c>
      <c r="AF666" s="2">
        <v>0</v>
      </c>
      <c r="AG666" s="2">
        <v>0</v>
      </c>
      <c r="AH666" s="2">
        <v>0</v>
      </c>
      <c r="AI666" s="2">
        <v>0</v>
      </c>
      <c r="AJ666" s="2">
        <v>0</v>
      </c>
      <c r="AK666" s="2">
        <v>0</v>
      </c>
      <c r="AL666" s="2">
        <v>91.74</v>
      </c>
      <c r="AM666" s="2">
        <v>0</v>
      </c>
      <c r="AN666" s="2">
        <v>0</v>
      </c>
      <c r="AO666" s="2">
        <v>0</v>
      </c>
      <c r="AP666" s="2">
        <v>0</v>
      </c>
      <c r="AQ666" s="2">
        <v>0</v>
      </c>
    </row>
    <row r="667" spans="1:43" x14ac:dyDescent="0.25">
      <c r="A667" s="1">
        <v>45936</v>
      </c>
      <c r="B667" t="s">
        <v>48</v>
      </c>
      <c r="C667">
        <v>649163</v>
      </c>
      <c r="D667">
        <v>2030443828</v>
      </c>
      <c r="E667" t="s">
        <v>930</v>
      </c>
      <c r="F667" t="s">
        <v>931</v>
      </c>
      <c r="G667" t="s">
        <v>51</v>
      </c>
      <c r="H667" t="s">
        <v>110</v>
      </c>
      <c r="I667" t="s">
        <v>89</v>
      </c>
      <c r="J667" t="s">
        <v>96</v>
      </c>
      <c r="K667">
        <v>651818</v>
      </c>
      <c r="L667" t="s">
        <v>112</v>
      </c>
      <c r="M667" t="s">
        <v>104</v>
      </c>
      <c r="N667" t="s">
        <v>57</v>
      </c>
      <c r="O667" s="1">
        <v>45907</v>
      </c>
      <c r="Q667" s="1">
        <v>45968</v>
      </c>
      <c r="R667" s="2">
        <v>176.63</v>
      </c>
      <c r="S667">
        <v>1</v>
      </c>
      <c r="T667" t="s">
        <v>58</v>
      </c>
      <c r="U667" t="s">
        <v>359</v>
      </c>
      <c r="V667" s="3">
        <v>0.9</v>
      </c>
      <c r="W667" s="2">
        <v>0</v>
      </c>
      <c r="X667">
        <v>0</v>
      </c>
      <c r="Y667" t="s">
        <v>60</v>
      </c>
      <c r="Z667" t="s">
        <v>360</v>
      </c>
      <c r="AA667">
        <v>0</v>
      </c>
      <c r="AB667" s="2">
        <v>0</v>
      </c>
      <c r="AC667" s="2">
        <v>0</v>
      </c>
      <c r="AD667" s="3">
        <v>0</v>
      </c>
      <c r="AE667" s="2">
        <v>0</v>
      </c>
      <c r="AF667" s="2">
        <v>0</v>
      </c>
      <c r="AG667" s="2">
        <v>0</v>
      </c>
      <c r="AH667" s="2">
        <v>0</v>
      </c>
      <c r="AI667" s="2">
        <v>0</v>
      </c>
      <c r="AJ667" s="2">
        <v>0</v>
      </c>
      <c r="AK667" s="2">
        <v>0</v>
      </c>
      <c r="AL667" s="2">
        <v>158.97</v>
      </c>
      <c r="AM667" s="2">
        <v>0</v>
      </c>
      <c r="AN667" s="2">
        <v>0</v>
      </c>
      <c r="AO667" s="2">
        <v>0</v>
      </c>
      <c r="AP667" s="2">
        <v>0</v>
      </c>
      <c r="AQ667" s="2">
        <v>0</v>
      </c>
    </row>
    <row r="668" spans="1:43" x14ac:dyDescent="0.25">
      <c r="A668" s="1">
        <v>45936</v>
      </c>
      <c r="B668" t="s">
        <v>48</v>
      </c>
      <c r="C668">
        <v>649163</v>
      </c>
      <c r="D668">
        <v>2030469387</v>
      </c>
      <c r="E668" t="s">
        <v>478</v>
      </c>
      <c r="F668" t="s">
        <v>932</v>
      </c>
      <c r="G668" t="s">
        <v>51</v>
      </c>
      <c r="H668" t="s">
        <v>105</v>
      </c>
      <c r="I668" t="s">
        <v>89</v>
      </c>
      <c r="J668" t="s">
        <v>96</v>
      </c>
      <c r="K668">
        <v>823068</v>
      </c>
      <c r="L668" t="s">
        <v>106</v>
      </c>
      <c r="M668" t="s">
        <v>107</v>
      </c>
      <c r="N668" t="s">
        <v>57</v>
      </c>
      <c r="O668" s="1">
        <v>45901</v>
      </c>
      <c r="Q668" s="1">
        <v>45962</v>
      </c>
      <c r="R668" s="2">
        <v>35.17</v>
      </c>
      <c r="S668">
        <v>1</v>
      </c>
      <c r="T668" t="s">
        <v>58</v>
      </c>
      <c r="U668" t="s">
        <v>359</v>
      </c>
      <c r="V668" s="3">
        <v>0.9</v>
      </c>
      <c r="W668" s="2">
        <v>0</v>
      </c>
      <c r="X668">
        <v>0</v>
      </c>
      <c r="Y668" t="s">
        <v>60</v>
      </c>
      <c r="Z668" t="s">
        <v>360</v>
      </c>
      <c r="AA668">
        <v>0</v>
      </c>
      <c r="AB668" s="2">
        <v>0</v>
      </c>
      <c r="AC668" s="2">
        <v>0</v>
      </c>
      <c r="AD668" s="3">
        <v>0</v>
      </c>
      <c r="AE668" s="2">
        <v>0</v>
      </c>
      <c r="AF668" s="2">
        <v>0</v>
      </c>
      <c r="AG668" s="2">
        <v>0</v>
      </c>
      <c r="AH668" s="2">
        <v>0</v>
      </c>
      <c r="AI668" s="2">
        <v>0</v>
      </c>
      <c r="AJ668" s="2">
        <v>0</v>
      </c>
      <c r="AK668" s="2">
        <v>0</v>
      </c>
      <c r="AL668" s="2">
        <v>31.65</v>
      </c>
      <c r="AM668" s="2">
        <v>0</v>
      </c>
      <c r="AN668" s="2">
        <v>0</v>
      </c>
      <c r="AO668" s="2">
        <v>0</v>
      </c>
      <c r="AP668" s="2">
        <v>0</v>
      </c>
      <c r="AQ668" s="2">
        <v>0</v>
      </c>
    </row>
    <row r="669" spans="1:43" x14ac:dyDescent="0.25">
      <c r="A669" s="1">
        <v>45936</v>
      </c>
      <c r="B669" t="s">
        <v>48</v>
      </c>
      <c r="C669">
        <v>649163</v>
      </c>
      <c r="D669">
        <v>2030477513</v>
      </c>
      <c r="E669" t="s">
        <v>933</v>
      </c>
      <c r="F669" t="s">
        <v>934</v>
      </c>
      <c r="G669" t="s">
        <v>51</v>
      </c>
      <c r="H669" t="s">
        <v>119</v>
      </c>
      <c r="I669" t="s">
        <v>89</v>
      </c>
      <c r="J669" t="s">
        <v>111</v>
      </c>
      <c r="K669">
        <v>651818</v>
      </c>
      <c r="L669" t="s">
        <v>112</v>
      </c>
      <c r="M669" t="s">
        <v>104</v>
      </c>
      <c r="N669" t="s">
        <v>57</v>
      </c>
      <c r="O669" s="1">
        <v>45906</v>
      </c>
      <c r="Q669" s="1">
        <v>45967</v>
      </c>
      <c r="R669" s="2">
        <v>24.48</v>
      </c>
      <c r="S669">
        <v>1</v>
      </c>
      <c r="T669" t="s">
        <v>58</v>
      </c>
      <c r="U669" t="s">
        <v>359</v>
      </c>
      <c r="V669" s="3">
        <v>0.75</v>
      </c>
      <c r="W669" s="2">
        <v>0</v>
      </c>
      <c r="X669">
        <v>0</v>
      </c>
      <c r="Y669" t="s">
        <v>60</v>
      </c>
      <c r="Z669" t="s">
        <v>360</v>
      </c>
      <c r="AA669">
        <v>0</v>
      </c>
      <c r="AB669" s="2">
        <v>0</v>
      </c>
      <c r="AC669" s="2">
        <v>0</v>
      </c>
      <c r="AD669" s="3">
        <v>0</v>
      </c>
      <c r="AE669" s="2">
        <v>0</v>
      </c>
      <c r="AF669" s="2">
        <v>0</v>
      </c>
      <c r="AG669" s="2">
        <v>0</v>
      </c>
      <c r="AH669" s="2">
        <v>0</v>
      </c>
      <c r="AI669" s="2">
        <v>0</v>
      </c>
      <c r="AJ669" s="2">
        <v>0</v>
      </c>
      <c r="AK669" s="2">
        <v>0</v>
      </c>
      <c r="AL669" s="2">
        <v>18.36</v>
      </c>
      <c r="AM669" s="2">
        <v>0</v>
      </c>
      <c r="AN669" s="2">
        <v>0</v>
      </c>
      <c r="AO669" s="2">
        <v>0</v>
      </c>
      <c r="AP669" s="2">
        <v>0</v>
      </c>
      <c r="AQ669" s="2">
        <v>0</v>
      </c>
    </row>
    <row r="670" spans="1:43" x14ac:dyDescent="0.25">
      <c r="A670" s="1">
        <v>45936</v>
      </c>
      <c r="B670" t="s">
        <v>48</v>
      </c>
      <c r="C670">
        <v>649163</v>
      </c>
      <c r="D670">
        <v>2030500797</v>
      </c>
      <c r="E670" t="s">
        <v>935</v>
      </c>
      <c r="F670" t="s">
        <v>936</v>
      </c>
      <c r="G670" t="s">
        <v>51</v>
      </c>
      <c r="H670" t="s">
        <v>101</v>
      </c>
      <c r="I670" t="s">
        <v>89</v>
      </c>
      <c r="J670" t="s">
        <v>96</v>
      </c>
      <c r="K670">
        <v>673059</v>
      </c>
      <c r="L670" t="s">
        <v>80</v>
      </c>
      <c r="M670" t="s">
        <v>81</v>
      </c>
      <c r="N670" t="s">
        <v>57</v>
      </c>
      <c r="O670" s="1">
        <v>45901</v>
      </c>
      <c r="Q670" s="1">
        <v>45962</v>
      </c>
      <c r="R670" s="2">
        <v>68.08</v>
      </c>
      <c r="S670">
        <v>1</v>
      </c>
      <c r="T670" t="s">
        <v>58</v>
      </c>
      <c r="U670" t="s">
        <v>359</v>
      </c>
      <c r="V670" s="3">
        <v>0.9</v>
      </c>
      <c r="W670" s="2">
        <v>0</v>
      </c>
      <c r="X670">
        <v>0</v>
      </c>
      <c r="Y670" t="s">
        <v>60</v>
      </c>
      <c r="Z670" t="s">
        <v>360</v>
      </c>
      <c r="AA670">
        <v>0</v>
      </c>
      <c r="AB670" s="2">
        <v>0</v>
      </c>
      <c r="AC670" s="2">
        <v>0</v>
      </c>
      <c r="AD670" s="3">
        <v>0</v>
      </c>
      <c r="AE670" s="2">
        <v>0</v>
      </c>
      <c r="AF670" s="2">
        <v>0</v>
      </c>
      <c r="AG670" s="2">
        <v>0</v>
      </c>
      <c r="AH670" s="2">
        <v>0</v>
      </c>
      <c r="AI670" s="2">
        <v>0</v>
      </c>
      <c r="AJ670" s="2">
        <v>0</v>
      </c>
      <c r="AK670" s="2">
        <v>0</v>
      </c>
      <c r="AL670" s="2">
        <v>61.27</v>
      </c>
      <c r="AM670" s="2">
        <v>0</v>
      </c>
      <c r="AN670" s="2">
        <v>0</v>
      </c>
      <c r="AO670" s="2">
        <v>0</v>
      </c>
      <c r="AP670" s="2">
        <v>0</v>
      </c>
      <c r="AQ670" s="2">
        <v>0</v>
      </c>
    </row>
    <row r="671" spans="1:43" x14ac:dyDescent="0.25">
      <c r="A671" s="1">
        <v>45936</v>
      </c>
      <c r="B671" t="s">
        <v>48</v>
      </c>
      <c r="C671">
        <v>649163</v>
      </c>
      <c r="D671">
        <v>2030517071</v>
      </c>
      <c r="E671" t="s">
        <v>937</v>
      </c>
      <c r="F671" t="s">
        <v>938</v>
      </c>
      <c r="G671" t="s">
        <v>51</v>
      </c>
      <c r="H671" t="s">
        <v>129</v>
      </c>
      <c r="I671" t="s">
        <v>89</v>
      </c>
      <c r="J671" t="s">
        <v>111</v>
      </c>
      <c r="K671">
        <v>651818</v>
      </c>
      <c r="L671" t="s">
        <v>112</v>
      </c>
      <c r="M671" t="s">
        <v>104</v>
      </c>
      <c r="N671" t="s">
        <v>57</v>
      </c>
      <c r="O671" s="1">
        <v>45907</v>
      </c>
      <c r="Q671" s="1">
        <v>45968</v>
      </c>
      <c r="R671" s="2">
        <v>41.58</v>
      </c>
      <c r="S671">
        <v>1</v>
      </c>
      <c r="T671" t="s">
        <v>58</v>
      </c>
      <c r="U671" t="s">
        <v>359</v>
      </c>
      <c r="V671" s="3">
        <v>0.75</v>
      </c>
      <c r="W671" s="2">
        <v>0</v>
      </c>
      <c r="X671">
        <v>0</v>
      </c>
      <c r="Y671" t="s">
        <v>60</v>
      </c>
      <c r="Z671" t="s">
        <v>360</v>
      </c>
      <c r="AA671">
        <v>0</v>
      </c>
      <c r="AB671" s="2">
        <v>0</v>
      </c>
      <c r="AC671" s="2">
        <v>0</v>
      </c>
      <c r="AD671" s="3">
        <v>0</v>
      </c>
      <c r="AE671" s="2">
        <v>0</v>
      </c>
      <c r="AF671" s="2">
        <v>0</v>
      </c>
      <c r="AG671" s="2">
        <v>0</v>
      </c>
      <c r="AH671" s="2">
        <v>0</v>
      </c>
      <c r="AI671" s="2">
        <v>0</v>
      </c>
      <c r="AJ671" s="2">
        <v>0</v>
      </c>
      <c r="AK671" s="2">
        <v>0</v>
      </c>
      <c r="AL671" s="2">
        <v>31.18</v>
      </c>
      <c r="AM671" s="2">
        <v>0</v>
      </c>
      <c r="AN671" s="2">
        <v>0</v>
      </c>
      <c r="AO671" s="2">
        <v>0</v>
      </c>
      <c r="AP671" s="2">
        <v>0</v>
      </c>
      <c r="AQ671" s="2">
        <v>0</v>
      </c>
    </row>
    <row r="672" spans="1:43" x14ac:dyDescent="0.25">
      <c r="A672" s="1">
        <v>45936</v>
      </c>
      <c r="B672" t="s">
        <v>48</v>
      </c>
      <c r="C672">
        <v>649163</v>
      </c>
      <c r="D672">
        <v>2030518950</v>
      </c>
      <c r="E672" t="s">
        <v>939</v>
      </c>
      <c r="F672" t="s">
        <v>940</v>
      </c>
      <c r="G672" t="s">
        <v>51</v>
      </c>
      <c r="H672" t="s">
        <v>159</v>
      </c>
      <c r="I672" t="s">
        <v>89</v>
      </c>
      <c r="J672" t="s">
        <v>96</v>
      </c>
      <c r="K672">
        <v>651818</v>
      </c>
      <c r="L672" t="s">
        <v>112</v>
      </c>
      <c r="M672" t="s">
        <v>104</v>
      </c>
      <c r="N672" t="s">
        <v>57</v>
      </c>
      <c r="O672" s="1">
        <v>45907</v>
      </c>
      <c r="Q672" s="1">
        <v>45968</v>
      </c>
      <c r="R672" s="2">
        <v>68.25</v>
      </c>
      <c r="S672">
        <v>1</v>
      </c>
      <c r="T672" t="s">
        <v>58</v>
      </c>
      <c r="U672" t="s">
        <v>359</v>
      </c>
      <c r="V672" s="3">
        <v>0.9</v>
      </c>
      <c r="W672" s="2">
        <v>0</v>
      </c>
      <c r="X672">
        <v>0</v>
      </c>
      <c r="Y672" t="s">
        <v>60</v>
      </c>
      <c r="Z672" t="s">
        <v>360</v>
      </c>
      <c r="AA672">
        <v>0</v>
      </c>
      <c r="AB672" s="2">
        <v>0</v>
      </c>
      <c r="AC672" s="2">
        <v>0</v>
      </c>
      <c r="AD672" s="3">
        <v>0</v>
      </c>
      <c r="AE672" s="2">
        <v>0</v>
      </c>
      <c r="AF672" s="2">
        <v>0</v>
      </c>
      <c r="AG672" s="2">
        <v>0</v>
      </c>
      <c r="AH672" s="2">
        <v>0</v>
      </c>
      <c r="AI672" s="2">
        <v>0</v>
      </c>
      <c r="AJ672" s="2">
        <v>0</v>
      </c>
      <c r="AK672" s="2">
        <v>0</v>
      </c>
      <c r="AL672" s="2">
        <v>61.42</v>
      </c>
      <c r="AM672" s="2">
        <v>0</v>
      </c>
      <c r="AN672" s="2">
        <v>0</v>
      </c>
      <c r="AO672" s="2">
        <v>0</v>
      </c>
      <c r="AP672" s="2">
        <v>0</v>
      </c>
      <c r="AQ672" s="2">
        <v>0</v>
      </c>
    </row>
    <row r="673" spans="1:43" x14ac:dyDescent="0.25">
      <c r="A673" s="1">
        <v>45936</v>
      </c>
      <c r="B673" t="s">
        <v>48</v>
      </c>
      <c r="C673">
        <v>649163</v>
      </c>
      <c r="D673">
        <v>2030641191</v>
      </c>
      <c r="E673" t="s">
        <v>941</v>
      </c>
      <c r="F673" t="s">
        <v>593</v>
      </c>
      <c r="G673" t="s">
        <v>51</v>
      </c>
      <c r="H673" t="s">
        <v>88</v>
      </c>
      <c r="I673" t="s">
        <v>89</v>
      </c>
      <c r="J673" t="s">
        <v>90</v>
      </c>
      <c r="K673">
        <v>651818</v>
      </c>
      <c r="L673" t="s">
        <v>112</v>
      </c>
      <c r="M673" t="s">
        <v>104</v>
      </c>
      <c r="N673" t="s">
        <v>57</v>
      </c>
      <c r="O673" s="1">
        <v>45906</v>
      </c>
      <c r="Q673" s="1">
        <v>45967</v>
      </c>
      <c r="R673" s="2">
        <v>57.54</v>
      </c>
      <c r="S673">
        <v>1</v>
      </c>
      <c r="T673" t="s">
        <v>58</v>
      </c>
      <c r="U673" t="s">
        <v>359</v>
      </c>
      <c r="V673" s="3">
        <v>0.65</v>
      </c>
      <c r="W673" s="2">
        <v>0</v>
      </c>
      <c r="X673">
        <v>0</v>
      </c>
      <c r="Y673" t="s">
        <v>60</v>
      </c>
      <c r="Z673" t="s">
        <v>360</v>
      </c>
      <c r="AA673">
        <v>0</v>
      </c>
      <c r="AB673" s="2">
        <v>0</v>
      </c>
      <c r="AC673" s="2">
        <v>0</v>
      </c>
      <c r="AD673" s="3">
        <v>0</v>
      </c>
      <c r="AE673" s="2">
        <v>0</v>
      </c>
      <c r="AF673" s="2">
        <v>0</v>
      </c>
      <c r="AG673" s="2">
        <v>0</v>
      </c>
      <c r="AH673" s="2">
        <v>0</v>
      </c>
      <c r="AI673" s="2">
        <v>0</v>
      </c>
      <c r="AJ673" s="2">
        <v>0</v>
      </c>
      <c r="AK673" s="2">
        <v>0</v>
      </c>
      <c r="AL673" s="2">
        <v>37.4</v>
      </c>
      <c r="AM673" s="2">
        <v>0</v>
      </c>
      <c r="AN673" s="2">
        <v>0</v>
      </c>
      <c r="AO673" s="2">
        <v>0</v>
      </c>
      <c r="AP673" s="2">
        <v>0</v>
      </c>
      <c r="AQ673" s="2">
        <v>0</v>
      </c>
    </row>
    <row r="674" spans="1:43" x14ac:dyDescent="0.25">
      <c r="A674" s="1">
        <v>45936</v>
      </c>
      <c r="B674" t="s">
        <v>48</v>
      </c>
      <c r="C674">
        <v>649163</v>
      </c>
      <c r="D674">
        <v>2030675167</v>
      </c>
      <c r="E674" t="s">
        <v>942</v>
      </c>
      <c r="F674" t="s">
        <v>943</v>
      </c>
      <c r="G674" t="s">
        <v>51</v>
      </c>
      <c r="H674" t="s">
        <v>323</v>
      </c>
      <c r="I674" t="s">
        <v>89</v>
      </c>
      <c r="J674" t="s">
        <v>116</v>
      </c>
      <c r="K674">
        <v>823350</v>
      </c>
      <c r="L674" t="s">
        <v>66</v>
      </c>
      <c r="M674" t="s">
        <v>67</v>
      </c>
      <c r="N674" t="s">
        <v>57</v>
      </c>
      <c r="O674" s="1">
        <v>45901</v>
      </c>
      <c r="Q674" s="1">
        <v>45962</v>
      </c>
      <c r="R674" s="2">
        <v>-25.65</v>
      </c>
      <c r="S674">
        <v>1</v>
      </c>
      <c r="T674" t="s">
        <v>58</v>
      </c>
      <c r="U674" t="s">
        <v>359</v>
      </c>
      <c r="V674" s="3">
        <v>0.75</v>
      </c>
      <c r="W674" s="2">
        <v>0</v>
      </c>
      <c r="X674">
        <v>-1</v>
      </c>
      <c r="Y674" t="s">
        <v>60</v>
      </c>
      <c r="Z674" t="s">
        <v>360</v>
      </c>
      <c r="AA674">
        <v>0</v>
      </c>
      <c r="AB674" s="2">
        <v>0</v>
      </c>
      <c r="AC674" s="2">
        <v>0</v>
      </c>
      <c r="AD674" s="3">
        <v>0</v>
      </c>
      <c r="AE674" s="2">
        <v>0</v>
      </c>
      <c r="AF674" s="2">
        <v>0</v>
      </c>
      <c r="AG674" s="2">
        <v>0</v>
      </c>
      <c r="AH674" s="2">
        <v>0</v>
      </c>
      <c r="AI674" s="2">
        <v>0</v>
      </c>
      <c r="AJ674" s="2">
        <v>0</v>
      </c>
      <c r="AK674" s="2">
        <v>0</v>
      </c>
      <c r="AL674" s="2">
        <v>0</v>
      </c>
      <c r="AM674" s="2">
        <v>-19.239999999999998</v>
      </c>
      <c r="AN674" s="2">
        <v>-19.239999999999998</v>
      </c>
      <c r="AO674" s="2">
        <v>0</v>
      </c>
      <c r="AP674" s="2">
        <v>0</v>
      </c>
      <c r="AQ674" s="2">
        <v>0</v>
      </c>
    </row>
    <row r="675" spans="1:43" x14ac:dyDescent="0.25">
      <c r="A675" s="1">
        <v>45936</v>
      </c>
      <c r="B675" t="s">
        <v>48</v>
      </c>
      <c r="C675">
        <v>649163</v>
      </c>
      <c r="D675">
        <v>2030675271</v>
      </c>
      <c r="E675" t="s">
        <v>944</v>
      </c>
      <c r="F675" t="s">
        <v>945</v>
      </c>
      <c r="G675" t="s">
        <v>51</v>
      </c>
      <c r="H675" t="s">
        <v>115</v>
      </c>
      <c r="I675" t="s">
        <v>89</v>
      </c>
      <c r="J675" t="s">
        <v>102</v>
      </c>
      <c r="K675">
        <v>753748</v>
      </c>
      <c r="L675" t="s">
        <v>97</v>
      </c>
      <c r="M675" t="s">
        <v>98</v>
      </c>
      <c r="N675" t="s">
        <v>57</v>
      </c>
      <c r="O675" s="1">
        <v>45901</v>
      </c>
      <c r="Q675" s="1">
        <v>45962</v>
      </c>
      <c r="R675" s="2">
        <v>-58.93</v>
      </c>
      <c r="S675">
        <v>1</v>
      </c>
      <c r="T675" t="s">
        <v>58</v>
      </c>
      <c r="U675" t="s">
        <v>359</v>
      </c>
      <c r="V675" s="3">
        <v>0.75</v>
      </c>
      <c r="W675" s="2">
        <v>0</v>
      </c>
      <c r="X675">
        <v>-1</v>
      </c>
      <c r="Y675" t="s">
        <v>60</v>
      </c>
      <c r="Z675" t="s">
        <v>360</v>
      </c>
      <c r="AA675">
        <v>0</v>
      </c>
      <c r="AB675" s="2">
        <v>0</v>
      </c>
      <c r="AC675" s="2">
        <v>0</v>
      </c>
      <c r="AD675" s="3">
        <v>0</v>
      </c>
      <c r="AE675" s="2">
        <v>0</v>
      </c>
      <c r="AF675" s="2">
        <v>0</v>
      </c>
      <c r="AG675" s="2">
        <v>0</v>
      </c>
      <c r="AH675" s="2">
        <v>0</v>
      </c>
      <c r="AI675" s="2">
        <v>0</v>
      </c>
      <c r="AJ675" s="2">
        <v>0</v>
      </c>
      <c r="AK675" s="2">
        <v>0</v>
      </c>
      <c r="AL675" s="2">
        <v>0</v>
      </c>
      <c r="AM675" s="2">
        <v>-44.2</v>
      </c>
      <c r="AN675" s="2">
        <v>-44.2</v>
      </c>
      <c r="AO675" s="2">
        <v>0</v>
      </c>
      <c r="AP675" s="2">
        <v>0</v>
      </c>
      <c r="AQ675" s="2">
        <v>0</v>
      </c>
    </row>
    <row r="676" spans="1:43" x14ac:dyDescent="0.25">
      <c r="A676" s="1">
        <v>45936</v>
      </c>
      <c r="B676" t="s">
        <v>48</v>
      </c>
      <c r="C676">
        <v>649163</v>
      </c>
      <c r="D676">
        <v>2030678711</v>
      </c>
      <c r="E676" t="s">
        <v>946</v>
      </c>
      <c r="F676" t="s">
        <v>947</v>
      </c>
      <c r="G676" t="s">
        <v>51</v>
      </c>
      <c r="H676" t="s">
        <v>101</v>
      </c>
      <c r="I676" t="s">
        <v>89</v>
      </c>
      <c r="J676" t="s">
        <v>96</v>
      </c>
      <c r="K676">
        <v>651818</v>
      </c>
      <c r="L676" t="s">
        <v>112</v>
      </c>
      <c r="M676" t="s">
        <v>104</v>
      </c>
      <c r="N676" t="s">
        <v>57</v>
      </c>
      <c r="O676" s="1">
        <v>45906</v>
      </c>
      <c r="Q676" s="1">
        <v>45967</v>
      </c>
      <c r="R676" s="2">
        <v>87.08</v>
      </c>
      <c r="S676">
        <v>1</v>
      </c>
      <c r="T676" t="s">
        <v>58</v>
      </c>
      <c r="U676" t="s">
        <v>359</v>
      </c>
      <c r="V676" s="3">
        <v>0.9</v>
      </c>
      <c r="W676" s="2">
        <v>0</v>
      </c>
      <c r="X676">
        <v>0</v>
      </c>
      <c r="Y676" t="s">
        <v>60</v>
      </c>
      <c r="Z676" t="s">
        <v>360</v>
      </c>
      <c r="AA676">
        <v>0</v>
      </c>
      <c r="AB676" s="2">
        <v>0</v>
      </c>
      <c r="AC676" s="2">
        <v>0</v>
      </c>
      <c r="AD676" s="3">
        <v>0</v>
      </c>
      <c r="AE676" s="2">
        <v>0</v>
      </c>
      <c r="AF676" s="2">
        <v>0</v>
      </c>
      <c r="AG676" s="2">
        <v>0</v>
      </c>
      <c r="AH676" s="2">
        <v>0</v>
      </c>
      <c r="AI676" s="2">
        <v>0</v>
      </c>
      <c r="AJ676" s="2">
        <v>0</v>
      </c>
      <c r="AK676" s="2">
        <v>0</v>
      </c>
      <c r="AL676" s="2">
        <v>78.37</v>
      </c>
      <c r="AM676" s="2">
        <v>0</v>
      </c>
      <c r="AN676" s="2">
        <v>0</v>
      </c>
      <c r="AO676" s="2">
        <v>0</v>
      </c>
      <c r="AP676" s="2">
        <v>0</v>
      </c>
      <c r="AQ676" s="2">
        <v>0</v>
      </c>
    </row>
    <row r="677" spans="1:43" x14ac:dyDescent="0.25">
      <c r="A677" s="1">
        <v>45936</v>
      </c>
      <c r="B677" t="s">
        <v>48</v>
      </c>
      <c r="C677">
        <v>649163</v>
      </c>
      <c r="D677">
        <v>2030703147</v>
      </c>
      <c r="E677" t="s">
        <v>948</v>
      </c>
      <c r="F677" t="s">
        <v>949</v>
      </c>
      <c r="G677" t="s">
        <v>51</v>
      </c>
      <c r="H677" t="s">
        <v>52</v>
      </c>
      <c r="I677" t="s">
        <v>89</v>
      </c>
      <c r="J677" t="s">
        <v>102</v>
      </c>
      <c r="K677">
        <v>673059</v>
      </c>
      <c r="L677" t="s">
        <v>80</v>
      </c>
      <c r="M677" t="s">
        <v>81</v>
      </c>
      <c r="N677" t="s">
        <v>57</v>
      </c>
      <c r="O677" s="1">
        <v>45901</v>
      </c>
      <c r="Q677" s="1">
        <v>45962</v>
      </c>
      <c r="R677" s="2">
        <v>-22.15</v>
      </c>
      <c r="S677">
        <v>1</v>
      </c>
      <c r="T677" t="s">
        <v>58</v>
      </c>
      <c r="U677" t="s">
        <v>359</v>
      </c>
      <c r="V677" s="3">
        <v>0.75</v>
      </c>
      <c r="W677" s="2">
        <v>0</v>
      </c>
      <c r="X677">
        <v>-1</v>
      </c>
      <c r="Y677" t="s">
        <v>60</v>
      </c>
      <c r="Z677" t="s">
        <v>360</v>
      </c>
      <c r="AA677">
        <v>0</v>
      </c>
      <c r="AB677" s="2">
        <v>0</v>
      </c>
      <c r="AC677" s="2">
        <v>0</v>
      </c>
      <c r="AD677" s="3">
        <v>0</v>
      </c>
      <c r="AE677" s="2">
        <v>0</v>
      </c>
      <c r="AF677" s="2">
        <v>0</v>
      </c>
      <c r="AG677" s="2">
        <v>0</v>
      </c>
      <c r="AH677" s="2">
        <v>0</v>
      </c>
      <c r="AI677" s="2">
        <v>0</v>
      </c>
      <c r="AJ677" s="2">
        <v>0</v>
      </c>
      <c r="AK677" s="2">
        <v>0</v>
      </c>
      <c r="AL677" s="2">
        <v>0</v>
      </c>
      <c r="AM677" s="2">
        <v>-16.61</v>
      </c>
      <c r="AN677" s="2">
        <v>-16.61</v>
      </c>
      <c r="AO677" s="2">
        <v>0</v>
      </c>
      <c r="AP677" s="2">
        <v>0</v>
      </c>
      <c r="AQ677" s="2">
        <v>0</v>
      </c>
    </row>
    <row r="678" spans="1:43" x14ac:dyDescent="0.25">
      <c r="A678" s="1">
        <v>45936</v>
      </c>
      <c r="B678" t="s">
        <v>48</v>
      </c>
      <c r="C678">
        <v>649163</v>
      </c>
      <c r="D678">
        <v>2030719341</v>
      </c>
      <c r="E678" t="s">
        <v>950</v>
      </c>
      <c r="F678" t="s">
        <v>570</v>
      </c>
      <c r="G678" t="s">
        <v>51</v>
      </c>
      <c r="H678" t="s">
        <v>159</v>
      </c>
      <c r="I678" t="s">
        <v>89</v>
      </c>
      <c r="J678" t="s">
        <v>96</v>
      </c>
      <c r="K678">
        <v>651818</v>
      </c>
      <c r="L678" t="s">
        <v>112</v>
      </c>
      <c r="M678" t="s">
        <v>104</v>
      </c>
      <c r="N678" t="s">
        <v>57</v>
      </c>
      <c r="O678" s="1">
        <v>45906</v>
      </c>
      <c r="Q678" s="1">
        <v>45967</v>
      </c>
      <c r="R678" s="2">
        <v>167.21</v>
      </c>
      <c r="S678">
        <v>1</v>
      </c>
      <c r="T678" t="s">
        <v>58</v>
      </c>
      <c r="U678" t="s">
        <v>359</v>
      </c>
      <c r="V678" s="3">
        <v>0.9</v>
      </c>
      <c r="W678" s="2">
        <v>0</v>
      </c>
      <c r="X678">
        <v>0</v>
      </c>
      <c r="Y678" t="s">
        <v>60</v>
      </c>
      <c r="Z678" t="s">
        <v>360</v>
      </c>
      <c r="AA678">
        <v>0</v>
      </c>
      <c r="AB678" s="2">
        <v>0</v>
      </c>
      <c r="AC678" s="2">
        <v>0</v>
      </c>
      <c r="AD678" s="3">
        <v>0</v>
      </c>
      <c r="AE678" s="2">
        <v>0</v>
      </c>
      <c r="AF678" s="2">
        <v>0</v>
      </c>
      <c r="AG678" s="2">
        <v>0</v>
      </c>
      <c r="AH678" s="2">
        <v>0</v>
      </c>
      <c r="AI678" s="2">
        <v>0</v>
      </c>
      <c r="AJ678" s="2">
        <v>0</v>
      </c>
      <c r="AK678" s="2">
        <v>0</v>
      </c>
      <c r="AL678" s="2">
        <v>150.49</v>
      </c>
      <c r="AM678" s="2">
        <v>0</v>
      </c>
      <c r="AN678" s="2">
        <v>0</v>
      </c>
      <c r="AO678" s="2">
        <v>0</v>
      </c>
      <c r="AP678" s="2">
        <v>0</v>
      </c>
      <c r="AQ678" s="2">
        <v>0</v>
      </c>
    </row>
    <row r="679" spans="1:43" x14ac:dyDescent="0.25">
      <c r="A679" s="1">
        <v>45936</v>
      </c>
      <c r="B679" t="s">
        <v>48</v>
      </c>
      <c r="C679">
        <v>649163</v>
      </c>
      <c r="D679">
        <v>2030735252</v>
      </c>
      <c r="E679" t="s">
        <v>951</v>
      </c>
      <c r="F679" t="s">
        <v>952</v>
      </c>
      <c r="G679" t="s">
        <v>51</v>
      </c>
      <c r="H679" t="s">
        <v>105</v>
      </c>
      <c r="I679" t="s">
        <v>89</v>
      </c>
      <c r="J679" t="s">
        <v>96</v>
      </c>
      <c r="K679">
        <v>823068</v>
      </c>
      <c r="L679" t="s">
        <v>106</v>
      </c>
      <c r="M679" t="s">
        <v>107</v>
      </c>
      <c r="N679" t="s">
        <v>57</v>
      </c>
      <c r="O679" s="1">
        <v>45906</v>
      </c>
      <c r="Q679" s="1">
        <v>45967</v>
      </c>
      <c r="R679" s="2">
        <v>41.32</v>
      </c>
      <c r="S679">
        <v>1</v>
      </c>
      <c r="T679" t="s">
        <v>58</v>
      </c>
      <c r="U679" t="s">
        <v>359</v>
      </c>
      <c r="V679" s="3">
        <v>0.9</v>
      </c>
      <c r="W679" s="2">
        <v>0</v>
      </c>
      <c r="X679">
        <v>0</v>
      </c>
      <c r="Y679" t="s">
        <v>60</v>
      </c>
      <c r="Z679" t="s">
        <v>360</v>
      </c>
      <c r="AA679">
        <v>0</v>
      </c>
      <c r="AB679" s="2">
        <v>0</v>
      </c>
      <c r="AC679" s="2">
        <v>0</v>
      </c>
      <c r="AD679" s="3">
        <v>0</v>
      </c>
      <c r="AE679" s="2">
        <v>0</v>
      </c>
      <c r="AF679" s="2">
        <v>0</v>
      </c>
      <c r="AG679" s="2">
        <v>0</v>
      </c>
      <c r="AH679" s="2">
        <v>0</v>
      </c>
      <c r="AI679" s="2">
        <v>0</v>
      </c>
      <c r="AJ679" s="2">
        <v>0</v>
      </c>
      <c r="AK679" s="2">
        <v>0</v>
      </c>
      <c r="AL679" s="2">
        <v>37.19</v>
      </c>
      <c r="AM679" s="2">
        <v>0</v>
      </c>
      <c r="AN679" s="2">
        <v>0</v>
      </c>
      <c r="AO679" s="2">
        <v>0</v>
      </c>
      <c r="AP679" s="2">
        <v>0</v>
      </c>
      <c r="AQ679" s="2">
        <v>0</v>
      </c>
    </row>
    <row r="680" spans="1:43" x14ac:dyDescent="0.25">
      <c r="A680" s="1">
        <v>45936</v>
      </c>
      <c r="B680" t="s">
        <v>48</v>
      </c>
      <c r="C680">
        <v>649163</v>
      </c>
      <c r="D680">
        <v>2030752805</v>
      </c>
      <c r="E680" t="s">
        <v>953</v>
      </c>
      <c r="F680" t="s">
        <v>954</v>
      </c>
      <c r="G680" t="s">
        <v>51</v>
      </c>
      <c r="H680" t="s">
        <v>110</v>
      </c>
      <c r="I680" t="s">
        <v>89</v>
      </c>
      <c r="J680" t="s">
        <v>102</v>
      </c>
      <c r="K680">
        <v>651818</v>
      </c>
      <c r="L680" t="s">
        <v>112</v>
      </c>
      <c r="M680" t="s">
        <v>104</v>
      </c>
      <c r="N680" t="s">
        <v>57</v>
      </c>
      <c r="O680" s="1">
        <v>45906</v>
      </c>
      <c r="Q680" s="1">
        <v>45967</v>
      </c>
      <c r="R680" s="2">
        <v>74.11</v>
      </c>
      <c r="S680">
        <v>1</v>
      </c>
      <c r="T680" t="s">
        <v>58</v>
      </c>
      <c r="U680" t="s">
        <v>359</v>
      </c>
      <c r="V680" s="3">
        <v>0.75</v>
      </c>
      <c r="W680" s="2">
        <v>0</v>
      </c>
      <c r="X680">
        <v>0</v>
      </c>
      <c r="Y680" t="s">
        <v>60</v>
      </c>
      <c r="Z680" t="s">
        <v>360</v>
      </c>
      <c r="AA680">
        <v>0</v>
      </c>
      <c r="AB680" s="2">
        <v>0</v>
      </c>
      <c r="AC680" s="2">
        <v>0</v>
      </c>
      <c r="AD680" s="3">
        <v>0</v>
      </c>
      <c r="AE680" s="2">
        <v>0</v>
      </c>
      <c r="AF680" s="2">
        <v>0</v>
      </c>
      <c r="AG680" s="2">
        <v>0</v>
      </c>
      <c r="AH680" s="2">
        <v>0</v>
      </c>
      <c r="AI680" s="2">
        <v>0</v>
      </c>
      <c r="AJ680" s="2">
        <v>0</v>
      </c>
      <c r="AK680" s="2">
        <v>0</v>
      </c>
      <c r="AL680" s="2">
        <v>55.58</v>
      </c>
      <c r="AM680" s="2">
        <v>0</v>
      </c>
      <c r="AN680" s="2">
        <v>0</v>
      </c>
      <c r="AO680" s="2">
        <v>0</v>
      </c>
      <c r="AP680" s="2">
        <v>0</v>
      </c>
      <c r="AQ680" s="2">
        <v>0</v>
      </c>
    </row>
    <row r="681" spans="1:43" x14ac:dyDescent="0.25">
      <c r="A681" s="1">
        <v>45936</v>
      </c>
      <c r="B681" t="s">
        <v>48</v>
      </c>
      <c r="C681">
        <v>649163</v>
      </c>
      <c r="D681">
        <v>2030917278</v>
      </c>
      <c r="E681" t="s">
        <v>551</v>
      </c>
      <c r="F681" t="s">
        <v>552</v>
      </c>
      <c r="G681" t="s">
        <v>51</v>
      </c>
      <c r="H681" t="s">
        <v>247</v>
      </c>
      <c r="I681" t="s">
        <v>89</v>
      </c>
      <c r="J681" t="s">
        <v>102</v>
      </c>
      <c r="K681">
        <v>874230</v>
      </c>
      <c r="L681" t="s">
        <v>554</v>
      </c>
      <c r="M681" t="s">
        <v>555</v>
      </c>
      <c r="N681" t="s">
        <v>57</v>
      </c>
      <c r="O681" s="1">
        <v>45910</v>
      </c>
      <c r="Q681" s="1">
        <v>45971</v>
      </c>
      <c r="R681" s="2">
        <v>32.380000000000003</v>
      </c>
      <c r="S681">
        <v>1</v>
      </c>
      <c r="T681" t="s">
        <v>58</v>
      </c>
      <c r="U681" t="s">
        <v>359</v>
      </c>
      <c r="V681" s="3">
        <v>0.75</v>
      </c>
      <c r="W681" s="2">
        <v>0</v>
      </c>
      <c r="X681">
        <v>0</v>
      </c>
      <c r="Y681" t="s">
        <v>60</v>
      </c>
      <c r="Z681" t="s">
        <v>360</v>
      </c>
      <c r="AA681">
        <v>0</v>
      </c>
      <c r="AB681" s="2">
        <v>0</v>
      </c>
      <c r="AC681" s="2">
        <v>0</v>
      </c>
      <c r="AD681" s="3">
        <v>0</v>
      </c>
      <c r="AE681" s="2">
        <v>0</v>
      </c>
      <c r="AF681" s="2">
        <v>0</v>
      </c>
      <c r="AG681" s="2">
        <v>0</v>
      </c>
      <c r="AH681" s="2">
        <v>0</v>
      </c>
      <c r="AI681" s="2">
        <v>0</v>
      </c>
      <c r="AJ681" s="2">
        <v>0</v>
      </c>
      <c r="AK681" s="2">
        <v>0</v>
      </c>
      <c r="AL681" s="2">
        <v>24.28</v>
      </c>
      <c r="AM681" s="2">
        <v>0</v>
      </c>
      <c r="AN681" s="2">
        <v>0</v>
      </c>
      <c r="AO681" s="2">
        <v>0</v>
      </c>
      <c r="AP681" s="2">
        <v>0</v>
      </c>
      <c r="AQ681" s="2">
        <v>0</v>
      </c>
    </row>
    <row r="682" spans="1:43" x14ac:dyDescent="0.25">
      <c r="A682" s="1">
        <v>45936</v>
      </c>
      <c r="B682" t="s">
        <v>48</v>
      </c>
      <c r="C682">
        <v>649163</v>
      </c>
      <c r="D682">
        <v>2030933673</v>
      </c>
      <c r="E682" t="s">
        <v>955</v>
      </c>
      <c r="F682" t="s">
        <v>956</v>
      </c>
      <c r="G682" t="s">
        <v>51</v>
      </c>
      <c r="H682" t="s">
        <v>105</v>
      </c>
      <c r="I682" t="s">
        <v>89</v>
      </c>
      <c r="J682" t="s">
        <v>96</v>
      </c>
      <c r="K682">
        <v>823068</v>
      </c>
      <c r="L682" t="s">
        <v>106</v>
      </c>
      <c r="M682" t="s">
        <v>107</v>
      </c>
      <c r="N682" t="s">
        <v>57</v>
      </c>
      <c r="O682" s="1">
        <v>45909</v>
      </c>
      <c r="Q682" s="1">
        <v>45970</v>
      </c>
      <c r="R682" s="2">
        <v>76.5</v>
      </c>
      <c r="S682">
        <v>1</v>
      </c>
      <c r="T682" t="s">
        <v>58</v>
      </c>
      <c r="U682" t="s">
        <v>59</v>
      </c>
      <c r="V682" s="3">
        <v>0.9</v>
      </c>
      <c r="W682" s="2">
        <v>0</v>
      </c>
      <c r="X682">
        <v>0</v>
      </c>
      <c r="Y682" t="s">
        <v>60</v>
      </c>
      <c r="Z682" t="s">
        <v>360</v>
      </c>
      <c r="AA682">
        <v>0</v>
      </c>
      <c r="AB682" s="2">
        <v>0</v>
      </c>
      <c r="AC682" s="2">
        <v>0</v>
      </c>
      <c r="AD682" s="3">
        <v>0</v>
      </c>
      <c r="AE682" s="2">
        <v>0</v>
      </c>
      <c r="AF682" s="2">
        <v>0</v>
      </c>
      <c r="AG682" s="2">
        <v>0</v>
      </c>
      <c r="AH682" s="2">
        <v>0</v>
      </c>
      <c r="AI682" s="2">
        <v>0</v>
      </c>
      <c r="AJ682" s="2">
        <v>0</v>
      </c>
      <c r="AK682" s="2">
        <v>0</v>
      </c>
      <c r="AL682" s="2">
        <v>68.849999999999994</v>
      </c>
      <c r="AM682" s="2">
        <v>0</v>
      </c>
      <c r="AN682" s="2">
        <v>0</v>
      </c>
      <c r="AO682" s="2">
        <v>0</v>
      </c>
      <c r="AP682" s="2">
        <v>0</v>
      </c>
      <c r="AQ682" s="2">
        <v>0</v>
      </c>
    </row>
    <row r="683" spans="1:43" x14ac:dyDescent="0.25">
      <c r="A683" s="1">
        <v>45936</v>
      </c>
      <c r="B683" t="s">
        <v>48</v>
      </c>
      <c r="C683">
        <v>649163</v>
      </c>
      <c r="D683">
        <v>2030945124</v>
      </c>
      <c r="E683" t="s">
        <v>388</v>
      </c>
      <c r="F683" t="s">
        <v>453</v>
      </c>
      <c r="G683" t="s">
        <v>51</v>
      </c>
      <c r="H683" t="s">
        <v>101</v>
      </c>
      <c r="I683" t="s">
        <v>89</v>
      </c>
      <c r="J683" t="s">
        <v>102</v>
      </c>
      <c r="K683">
        <v>820873</v>
      </c>
      <c r="L683" t="s">
        <v>134</v>
      </c>
      <c r="M683" t="s">
        <v>135</v>
      </c>
      <c r="N683" t="s">
        <v>57</v>
      </c>
      <c r="O683" s="1">
        <v>45909</v>
      </c>
      <c r="Q683" s="1">
        <v>45970</v>
      </c>
      <c r="R683" s="2">
        <v>47.13</v>
      </c>
      <c r="S683">
        <v>1</v>
      </c>
      <c r="T683" t="s">
        <v>58</v>
      </c>
      <c r="U683" t="s">
        <v>59</v>
      </c>
      <c r="V683" s="3">
        <v>0.75</v>
      </c>
      <c r="W683" s="2">
        <v>0</v>
      </c>
      <c r="X683">
        <v>0</v>
      </c>
      <c r="Y683" t="s">
        <v>60</v>
      </c>
      <c r="Z683" t="s">
        <v>360</v>
      </c>
      <c r="AA683">
        <v>0</v>
      </c>
      <c r="AB683" s="2">
        <v>0</v>
      </c>
      <c r="AC683" s="2">
        <v>0</v>
      </c>
      <c r="AD683" s="3">
        <v>0</v>
      </c>
      <c r="AE683" s="2">
        <v>0</v>
      </c>
      <c r="AF683" s="2">
        <v>0</v>
      </c>
      <c r="AG683" s="2">
        <v>0</v>
      </c>
      <c r="AH683" s="2">
        <v>0</v>
      </c>
      <c r="AI683" s="2">
        <v>0</v>
      </c>
      <c r="AJ683" s="2">
        <v>0</v>
      </c>
      <c r="AK683" s="2">
        <v>0</v>
      </c>
      <c r="AL683" s="2">
        <v>35.35</v>
      </c>
      <c r="AM683" s="2">
        <v>0</v>
      </c>
      <c r="AN683" s="2">
        <v>0</v>
      </c>
      <c r="AO683" s="2">
        <v>0</v>
      </c>
      <c r="AP683" s="2">
        <v>0</v>
      </c>
      <c r="AQ683" s="2">
        <v>0</v>
      </c>
    </row>
    <row r="684" spans="1:43" x14ac:dyDescent="0.25">
      <c r="A684" s="1">
        <v>45936</v>
      </c>
      <c r="B684" t="s">
        <v>48</v>
      </c>
      <c r="C684">
        <v>649163</v>
      </c>
      <c r="D684">
        <v>2030951715</v>
      </c>
      <c r="E684" t="s">
        <v>957</v>
      </c>
      <c r="F684" t="s">
        <v>708</v>
      </c>
      <c r="G684" t="s">
        <v>51</v>
      </c>
      <c r="H684" t="s">
        <v>105</v>
      </c>
      <c r="I684" t="s">
        <v>89</v>
      </c>
      <c r="J684" t="s">
        <v>96</v>
      </c>
      <c r="K684">
        <v>652037</v>
      </c>
      <c r="L684" t="s">
        <v>172</v>
      </c>
      <c r="M684" t="s">
        <v>173</v>
      </c>
      <c r="N684" t="s">
        <v>57</v>
      </c>
      <c r="O684" s="1">
        <v>45910</v>
      </c>
      <c r="Q684" s="1">
        <v>45971</v>
      </c>
      <c r="R684" s="2">
        <v>38.67</v>
      </c>
      <c r="S684">
        <v>1</v>
      </c>
      <c r="T684" t="s">
        <v>58</v>
      </c>
      <c r="U684" t="s">
        <v>59</v>
      </c>
      <c r="V684" s="3">
        <v>0.9</v>
      </c>
      <c r="W684" s="2">
        <v>0</v>
      </c>
      <c r="X684">
        <v>0</v>
      </c>
      <c r="Y684" t="s">
        <v>60</v>
      </c>
      <c r="Z684" t="s">
        <v>360</v>
      </c>
      <c r="AA684">
        <v>0</v>
      </c>
      <c r="AB684" s="2">
        <v>0</v>
      </c>
      <c r="AC684" s="2">
        <v>0</v>
      </c>
      <c r="AD684" s="3">
        <v>0</v>
      </c>
      <c r="AE684" s="2">
        <v>0</v>
      </c>
      <c r="AF684" s="2">
        <v>0</v>
      </c>
      <c r="AG684" s="2">
        <v>0</v>
      </c>
      <c r="AH684" s="2">
        <v>0</v>
      </c>
      <c r="AI684" s="2">
        <v>0</v>
      </c>
      <c r="AJ684" s="2">
        <v>0</v>
      </c>
      <c r="AK684" s="2">
        <v>0</v>
      </c>
      <c r="AL684" s="2">
        <v>34.799999999999997</v>
      </c>
      <c r="AM684" s="2">
        <v>0</v>
      </c>
      <c r="AN684" s="2">
        <v>0</v>
      </c>
      <c r="AO684" s="2">
        <v>0</v>
      </c>
      <c r="AP684" s="2">
        <v>0</v>
      </c>
      <c r="AQ684" s="2">
        <v>0</v>
      </c>
    </row>
    <row r="685" spans="1:43" x14ac:dyDescent="0.25">
      <c r="A685" s="1">
        <v>45936</v>
      </c>
      <c r="B685" t="s">
        <v>48</v>
      </c>
      <c r="C685">
        <v>649163</v>
      </c>
      <c r="D685">
        <v>2030963809</v>
      </c>
      <c r="E685" t="s">
        <v>958</v>
      </c>
      <c r="F685" t="s">
        <v>959</v>
      </c>
      <c r="G685" t="s">
        <v>51</v>
      </c>
      <c r="H685" t="s">
        <v>88</v>
      </c>
      <c r="I685" t="s">
        <v>89</v>
      </c>
      <c r="J685" t="s">
        <v>102</v>
      </c>
      <c r="K685">
        <v>673059</v>
      </c>
      <c r="L685" t="s">
        <v>80</v>
      </c>
      <c r="M685" t="s">
        <v>81</v>
      </c>
      <c r="N685" t="s">
        <v>57</v>
      </c>
      <c r="O685" s="1">
        <v>45910</v>
      </c>
      <c r="Q685" s="1">
        <v>45971</v>
      </c>
      <c r="R685" s="2">
        <v>74.290000000000006</v>
      </c>
      <c r="S685">
        <v>1</v>
      </c>
      <c r="T685" t="s">
        <v>58</v>
      </c>
      <c r="U685" t="s">
        <v>59</v>
      </c>
      <c r="V685" s="3">
        <v>0.75</v>
      </c>
      <c r="W685" s="2">
        <v>0</v>
      </c>
      <c r="X685">
        <v>0</v>
      </c>
      <c r="Y685" t="s">
        <v>60</v>
      </c>
      <c r="Z685" t="s">
        <v>360</v>
      </c>
      <c r="AA685">
        <v>0</v>
      </c>
      <c r="AB685" s="2">
        <v>0</v>
      </c>
      <c r="AC685" s="2">
        <v>0</v>
      </c>
      <c r="AD685" s="3">
        <v>0</v>
      </c>
      <c r="AE685" s="2">
        <v>0</v>
      </c>
      <c r="AF685" s="2">
        <v>0</v>
      </c>
      <c r="AG685" s="2">
        <v>0</v>
      </c>
      <c r="AH685" s="2">
        <v>0</v>
      </c>
      <c r="AI685" s="2">
        <v>0</v>
      </c>
      <c r="AJ685" s="2">
        <v>0</v>
      </c>
      <c r="AK685" s="2">
        <v>0</v>
      </c>
      <c r="AL685" s="2">
        <v>55.72</v>
      </c>
      <c r="AM685" s="2">
        <v>0</v>
      </c>
      <c r="AN685" s="2">
        <v>0</v>
      </c>
      <c r="AO685" s="2">
        <v>0</v>
      </c>
      <c r="AP685" s="2">
        <v>0</v>
      </c>
      <c r="AQ685" s="2">
        <v>0</v>
      </c>
    </row>
    <row r="686" spans="1:43" x14ac:dyDescent="0.25">
      <c r="A686" s="1">
        <v>45936</v>
      </c>
      <c r="B686" t="s">
        <v>48</v>
      </c>
      <c r="C686">
        <v>649163</v>
      </c>
      <c r="D686">
        <v>2016750309</v>
      </c>
      <c r="E686" t="s">
        <v>357</v>
      </c>
      <c r="F686" t="s">
        <v>358</v>
      </c>
      <c r="G686" t="s">
        <v>51</v>
      </c>
      <c r="H686" t="s">
        <v>88</v>
      </c>
      <c r="I686" t="s">
        <v>209</v>
      </c>
      <c r="J686" t="s">
        <v>210</v>
      </c>
      <c r="K686">
        <v>652037</v>
      </c>
      <c r="L686" t="s">
        <v>172</v>
      </c>
      <c r="M686" t="s">
        <v>173</v>
      </c>
      <c r="N686" t="s">
        <v>57</v>
      </c>
      <c r="O686" s="1">
        <v>44873</v>
      </c>
      <c r="Q686" s="1">
        <v>45969</v>
      </c>
      <c r="R686" s="2">
        <v>0</v>
      </c>
      <c r="S686">
        <v>1</v>
      </c>
      <c r="T686" t="s">
        <v>58</v>
      </c>
      <c r="U686" t="s">
        <v>359</v>
      </c>
      <c r="V686" s="4">
        <v>6.5000000000000002E-2</v>
      </c>
      <c r="W686" s="2">
        <v>0</v>
      </c>
      <c r="X686">
        <v>0</v>
      </c>
      <c r="Y686" t="s">
        <v>214</v>
      </c>
      <c r="Z686" t="s">
        <v>360</v>
      </c>
      <c r="AA686">
        <v>0</v>
      </c>
      <c r="AB686" s="2">
        <v>0</v>
      </c>
      <c r="AC686" s="2">
        <v>0</v>
      </c>
      <c r="AD686" s="3">
        <v>0</v>
      </c>
      <c r="AE686" s="2">
        <v>0</v>
      </c>
      <c r="AF686" s="2">
        <v>0</v>
      </c>
      <c r="AG686" s="2">
        <v>0</v>
      </c>
      <c r="AH686" s="2">
        <v>0</v>
      </c>
      <c r="AI686" s="2">
        <v>0</v>
      </c>
      <c r="AJ686" s="2">
        <v>0</v>
      </c>
      <c r="AK686" s="2">
        <v>0</v>
      </c>
      <c r="AL686" s="2">
        <v>0</v>
      </c>
      <c r="AM686" s="2">
        <v>0</v>
      </c>
      <c r="AN686" s="2">
        <v>0</v>
      </c>
      <c r="AO686" s="2">
        <v>0</v>
      </c>
      <c r="AP686" s="2">
        <v>0</v>
      </c>
      <c r="AQ686" s="2">
        <v>0</v>
      </c>
    </row>
    <row r="687" spans="1:43" x14ac:dyDescent="0.25">
      <c r="A687" s="1">
        <v>45936</v>
      </c>
      <c r="B687" t="s">
        <v>48</v>
      </c>
      <c r="C687">
        <v>649163</v>
      </c>
      <c r="D687">
        <v>2016855835</v>
      </c>
      <c r="E687" t="s">
        <v>634</v>
      </c>
      <c r="F687" t="s">
        <v>362</v>
      </c>
      <c r="G687" t="s">
        <v>51</v>
      </c>
      <c r="H687" t="s">
        <v>70</v>
      </c>
      <c r="I687" t="s">
        <v>209</v>
      </c>
      <c r="J687" t="s">
        <v>210</v>
      </c>
      <c r="K687">
        <v>652037</v>
      </c>
      <c r="L687" t="s">
        <v>172</v>
      </c>
      <c r="M687" t="s">
        <v>173</v>
      </c>
      <c r="N687" t="s">
        <v>57</v>
      </c>
      <c r="O687" s="1">
        <v>44896</v>
      </c>
      <c r="Q687" s="1">
        <v>45962</v>
      </c>
      <c r="R687" s="2">
        <v>0</v>
      </c>
      <c r="S687">
        <v>1</v>
      </c>
      <c r="T687" t="s">
        <v>58</v>
      </c>
      <c r="U687" t="s">
        <v>359</v>
      </c>
      <c r="V687" s="4">
        <v>6.5000000000000002E-2</v>
      </c>
      <c r="W687" s="2">
        <v>0</v>
      </c>
      <c r="X687">
        <v>0</v>
      </c>
      <c r="Y687" t="s">
        <v>214</v>
      </c>
      <c r="Z687" t="s">
        <v>360</v>
      </c>
      <c r="AA687">
        <v>0</v>
      </c>
      <c r="AB687" s="2">
        <v>0</v>
      </c>
      <c r="AC687" s="2">
        <v>0</v>
      </c>
      <c r="AD687" s="3">
        <v>0</v>
      </c>
      <c r="AE687" s="2">
        <v>0</v>
      </c>
      <c r="AF687" s="2">
        <v>0</v>
      </c>
      <c r="AG687" s="2">
        <v>0</v>
      </c>
      <c r="AH687" s="2">
        <v>0</v>
      </c>
      <c r="AI687" s="2">
        <v>0</v>
      </c>
      <c r="AJ687" s="2">
        <v>0</v>
      </c>
      <c r="AK687" s="2">
        <v>0</v>
      </c>
      <c r="AL687" s="2">
        <v>0</v>
      </c>
      <c r="AM687" s="2">
        <v>0</v>
      </c>
      <c r="AN687" s="2">
        <v>0</v>
      </c>
      <c r="AO687" s="2">
        <v>0</v>
      </c>
      <c r="AP687" s="2">
        <v>0</v>
      </c>
      <c r="AQ687" s="2">
        <v>0</v>
      </c>
    </row>
    <row r="688" spans="1:43" x14ac:dyDescent="0.25">
      <c r="A688" s="1">
        <v>45936</v>
      </c>
      <c r="B688" t="s">
        <v>48</v>
      </c>
      <c r="C688">
        <v>649163</v>
      </c>
      <c r="D688">
        <v>2016954035</v>
      </c>
      <c r="E688" t="s">
        <v>513</v>
      </c>
      <c r="F688" t="s">
        <v>636</v>
      </c>
      <c r="G688" t="s">
        <v>51</v>
      </c>
      <c r="H688" t="s">
        <v>70</v>
      </c>
      <c r="I688" t="s">
        <v>209</v>
      </c>
      <c r="J688" t="s">
        <v>210</v>
      </c>
      <c r="K688">
        <v>649164</v>
      </c>
      <c r="L688" t="s">
        <v>211</v>
      </c>
      <c r="M688" t="s">
        <v>212</v>
      </c>
      <c r="N688" t="s">
        <v>57</v>
      </c>
      <c r="O688" s="1">
        <v>44927</v>
      </c>
      <c r="Q688" s="1">
        <v>45962</v>
      </c>
      <c r="R688" s="2">
        <v>0</v>
      </c>
      <c r="S688">
        <v>1</v>
      </c>
      <c r="T688" t="s">
        <v>58</v>
      </c>
      <c r="U688" t="s">
        <v>359</v>
      </c>
      <c r="V688" s="4">
        <v>6.5000000000000002E-2</v>
      </c>
      <c r="W688" s="2">
        <v>0</v>
      </c>
      <c r="X688">
        <v>0</v>
      </c>
      <c r="Y688" t="s">
        <v>214</v>
      </c>
      <c r="Z688" t="s">
        <v>360</v>
      </c>
      <c r="AA688">
        <v>0</v>
      </c>
      <c r="AB688" s="2">
        <v>0</v>
      </c>
      <c r="AC688" s="2">
        <v>0</v>
      </c>
      <c r="AD688" s="3">
        <v>0</v>
      </c>
      <c r="AE688" s="2">
        <v>0</v>
      </c>
      <c r="AF688" s="2">
        <v>0</v>
      </c>
      <c r="AG688" s="2">
        <v>0</v>
      </c>
      <c r="AH688" s="2">
        <v>0</v>
      </c>
      <c r="AI688" s="2">
        <v>0</v>
      </c>
      <c r="AJ688" s="2">
        <v>0</v>
      </c>
      <c r="AK688" s="2">
        <v>0</v>
      </c>
      <c r="AL688" s="2">
        <v>0</v>
      </c>
      <c r="AM688" s="2">
        <v>0</v>
      </c>
      <c r="AN688" s="2">
        <v>0</v>
      </c>
      <c r="AO688" s="2">
        <v>0</v>
      </c>
      <c r="AP688" s="2">
        <v>0</v>
      </c>
      <c r="AQ688" s="2">
        <v>0</v>
      </c>
    </row>
    <row r="689" spans="1:43" x14ac:dyDescent="0.25">
      <c r="A689" s="1">
        <v>45936</v>
      </c>
      <c r="B689" t="s">
        <v>48</v>
      </c>
      <c r="C689">
        <v>649163</v>
      </c>
      <c r="D689">
        <v>2017242802</v>
      </c>
      <c r="E689" t="s">
        <v>542</v>
      </c>
      <c r="F689" t="s">
        <v>543</v>
      </c>
      <c r="G689" t="s">
        <v>51</v>
      </c>
      <c r="H689" t="s">
        <v>88</v>
      </c>
      <c r="I689" t="s">
        <v>209</v>
      </c>
      <c r="J689" t="s">
        <v>210</v>
      </c>
      <c r="K689">
        <v>652037</v>
      </c>
      <c r="L689" t="s">
        <v>172</v>
      </c>
      <c r="M689" t="s">
        <v>173</v>
      </c>
      <c r="N689" t="s">
        <v>57</v>
      </c>
      <c r="O689" s="1">
        <v>44930</v>
      </c>
      <c r="Q689" s="1">
        <v>45965</v>
      </c>
      <c r="R689" s="2">
        <v>0</v>
      </c>
      <c r="S689">
        <v>1</v>
      </c>
      <c r="T689" t="s">
        <v>58</v>
      </c>
      <c r="U689" t="s">
        <v>359</v>
      </c>
      <c r="V689" s="4">
        <v>6.5000000000000002E-2</v>
      </c>
      <c r="W689" s="2">
        <v>0</v>
      </c>
      <c r="X689">
        <v>0</v>
      </c>
      <c r="Y689" t="s">
        <v>214</v>
      </c>
      <c r="Z689" t="s">
        <v>360</v>
      </c>
      <c r="AA689">
        <v>0</v>
      </c>
      <c r="AB689" s="2">
        <v>0</v>
      </c>
      <c r="AC689" s="2">
        <v>0</v>
      </c>
      <c r="AD689" s="3">
        <v>0</v>
      </c>
      <c r="AE689" s="2">
        <v>0</v>
      </c>
      <c r="AF689" s="2">
        <v>0</v>
      </c>
      <c r="AG689" s="2">
        <v>0</v>
      </c>
      <c r="AH689" s="2">
        <v>0</v>
      </c>
      <c r="AI689" s="2">
        <v>0</v>
      </c>
      <c r="AJ689" s="2">
        <v>0</v>
      </c>
      <c r="AK689" s="2">
        <v>0</v>
      </c>
      <c r="AL689" s="2">
        <v>0</v>
      </c>
      <c r="AM689" s="2">
        <v>0</v>
      </c>
      <c r="AN689" s="2">
        <v>0</v>
      </c>
      <c r="AO689" s="2">
        <v>0</v>
      </c>
      <c r="AP689" s="2">
        <v>0</v>
      </c>
      <c r="AQ689" s="2">
        <v>0</v>
      </c>
    </row>
    <row r="690" spans="1:43" x14ac:dyDescent="0.25">
      <c r="A690" s="1">
        <v>45936</v>
      </c>
      <c r="B690" t="s">
        <v>48</v>
      </c>
      <c r="C690">
        <v>649163</v>
      </c>
      <c r="D690">
        <v>2017539418</v>
      </c>
      <c r="E690" t="s">
        <v>568</v>
      </c>
      <c r="F690" t="s">
        <v>569</v>
      </c>
      <c r="G690" t="s">
        <v>51</v>
      </c>
      <c r="H690" t="s">
        <v>427</v>
      </c>
      <c r="I690" t="s">
        <v>209</v>
      </c>
      <c r="J690" t="s">
        <v>210</v>
      </c>
      <c r="K690">
        <v>649793</v>
      </c>
      <c r="L690" t="s">
        <v>80</v>
      </c>
      <c r="M690" t="s">
        <v>537</v>
      </c>
      <c r="N690" t="s">
        <v>57</v>
      </c>
      <c r="O690" s="1">
        <v>44986</v>
      </c>
      <c r="Q690" s="1">
        <v>45962</v>
      </c>
      <c r="R690" s="2">
        <v>0</v>
      </c>
      <c r="S690">
        <v>1</v>
      </c>
      <c r="T690" t="s">
        <v>58</v>
      </c>
      <c r="U690" t="s">
        <v>359</v>
      </c>
      <c r="V690" s="4">
        <v>6.5000000000000002E-2</v>
      </c>
      <c r="W690" s="2">
        <v>0</v>
      </c>
      <c r="X690">
        <v>0</v>
      </c>
      <c r="Y690" t="s">
        <v>214</v>
      </c>
      <c r="Z690" t="s">
        <v>360</v>
      </c>
      <c r="AA690">
        <v>0</v>
      </c>
      <c r="AB690" s="2">
        <v>0</v>
      </c>
      <c r="AC690" s="2">
        <v>0</v>
      </c>
      <c r="AD690" s="3">
        <v>0</v>
      </c>
      <c r="AE690" s="2">
        <v>0</v>
      </c>
      <c r="AF690" s="2">
        <v>0</v>
      </c>
      <c r="AG690" s="2">
        <v>0</v>
      </c>
      <c r="AH690" s="2">
        <v>0</v>
      </c>
      <c r="AI690" s="2">
        <v>0</v>
      </c>
      <c r="AJ690" s="2">
        <v>0</v>
      </c>
      <c r="AK690" s="2">
        <v>0</v>
      </c>
      <c r="AL690" s="2">
        <v>0</v>
      </c>
      <c r="AM690" s="2">
        <v>0</v>
      </c>
      <c r="AN690" s="2">
        <v>0</v>
      </c>
      <c r="AO690" s="2">
        <v>0</v>
      </c>
      <c r="AP690" s="2">
        <v>0</v>
      </c>
      <c r="AQ690" s="2">
        <v>0</v>
      </c>
    </row>
    <row r="691" spans="1:43" x14ac:dyDescent="0.25">
      <c r="A691" s="1">
        <v>45936</v>
      </c>
      <c r="B691" t="s">
        <v>48</v>
      </c>
      <c r="C691">
        <v>649163</v>
      </c>
      <c r="D691">
        <v>2017624588</v>
      </c>
      <c r="E691" t="s">
        <v>637</v>
      </c>
      <c r="F691" t="s">
        <v>224</v>
      </c>
      <c r="G691" t="s">
        <v>51</v>
      </c>
      <c r="H691" t="s">
        <v>70</v>
      </c>
      <c r="I691" t="s">
        <v>209</v>
      </c>
      <c r="J691" t="s">
        <v>210</v>
      </c>
      <c r="K691">
        <v>650794</v>
      </c>
      <c r="L691" t="s">
        <v>172</v>
      </c>
      <c r="M691" t="s">
        <v>624</v>
      </c>
      <c r="N691" t="s">
        <v>57</v>
      </c>
      <c r="O691" s="1">
        <v>44967</v>
      </c>
      <c r="Q691" s="1">
        <v>45971</v>
      </c>
      <c r="R691" s="2">
        <v>0</v>
      </c>
      <c r="S691">
        <v>1</v>
      </c>
      <c r="T691" t="s">
        <v>58</v>
      </c>
      <c r="U691" t="s">
        <v>359</v>
      </c>
      <c r="V691" s="4">
        <v>6.5000000000000002E-2</v>
      </c>
      <c r="W691" s="2">
        <v>0</v>
      </c>
      <c r="X691">
        <v>0</v>
      </c>
      <c r="Y691" t="s">
        <v>214</v>
      </c>
      <c r="Z691" t="s">
        <v>360</v>
      </c>
      <c r="AA691">
        <v>0</v>
      </c>
      <c r="AB691" s="2">
        <v>0</v>
      </c>
      <c r="AC691" s="2">
        <v>0</v>
      </c>
      <c r="AD691" s="3">
        <v>0</v>
      </c>
      <c r="AE691" s="2">
        <v>0</v>
      </c>
      <c r="AF691" s="2">
        <v>0</v>
      </c>
      <c r="AG691" s="2">
        <v>0</v>
      </c>
      <c r="AH691" s="2">
        <v>0</v>
      </c>
      <c r="AI691" s="2">
        <v>0</v>
      </c>
      <c r="AJ691" s="2">
        <v>0</v>
      </c>
      <c r="AK691" s="2">
        <v>0</v>
      </c>
      <c r="AL691" s="2">
        <v>0</v>
      </c>
      <c r="AM691" s="2">
        <v>0</v>
      </c>
      <c r="AN691" s="2">
        <v>0</v>
      </c>
      <c r="AO691" s="2">
        <v>0</v>
      </c>
      <c r="AP691" s="2">
        <v>0</v>
      </c>
      <c r="AQ691" s="2">
        <v>0</v>
      </c>
    </row>
    <row r="692" spans="1:43" x14ac:dyDescent="0.25">
      <c r="A692" s="1">
        <v>45936</v>
      </c>
      <c r="B692" t="s">
        <v>48</v>
      </c>
      <c r="C692">
        <v>649163</v>
      </c>
      <c r="D692">
        <v>2018439353</v>
      </c>
      <c r="E692" t="s">
        <v>574</v>
      </c>
      <c r="F692" t="s">
        <v>575</v>
      </c>
      <c r="G692" t="s">
        <v>51</v>
      </c>
      <c r="H692" t="s">
        <v>70</v>
      </c>
      <c r="I692" t="s">
        <v>209</v>
      </c>
      <c r="J692" t="s">
        <v>210</v>
      </c>
      <c r="K692">
        <v>678320</v>
      </c>
      <c r="L692" t="s">
        <v>576</v>
      </c>
      <c r="M692" t="s">
        <v>139</v>
      </c>
      <c r="N692" t="s">
        <v>57</v>
      </c>
      <c r="O692" s="1">
        <v>45047</v>
      </c>
      <c r="Q692" s="1">
        <v>45962</v>
      </c>
      <c r="R692" s="2">
        <v>0</v>
      </c>
      <c r="S692">
        <v>1</v>
      </c>
      <c r="T692" t="s">
        <v>58</v>
      </c>
      <c r="U692" t="s">
        <v>359</v>
      </c>
      <c r="V692" s="4">
        <v>6.5000000000000002E-2</v>
      </c>
      <c r="W692" s="2">
        <v>0</v>
      </c>
      <c r="X692">
        <v>0</v>
      </c>
      <c r="Y692" t="s">
        <v>214</v>
      </c>
      <c r="Z692" t="s">
        <v>360</v>
      </c>
      <c r="AA692">
        <v>0</v>
      </c>
      <c r="AB692" s="2">
        <v>0</v>
      </c>
      <c r="AC692" s="2">
        <v>0</v>
      </c>
      <c r="AD692" s="3">
        <v>0</v>
      </c>
      <c r="AE692" s="2">
        <v>0</v>
      </c>
      <c r="AF692" s="2">
        <v>0</v>
      </c>
      <c r="AG692" s="2">
        <v>0</v>
      </c>
      <c r="AH692" s="2">
        <v>0</v>
      </c>
      <c r="AI692" s="2">
        <v>0</v>
      </c>
      <c r="AJ692" s="2">
        <v>0</v>
      </c>
      <c r="AK692" s="2">
        <v>0</v>
      </c>
      <c r="AL692" s="2">
        <v>0</v>
      </c>
      <c r="AM692" s="2">
        <v>0</v>
      </c>
      <c r="AN692" s="2">
        <v>0</v>
      </c>
      <c r="AO692" s="2">
        <v>0</v>
      </c>
      <c r="AP692" s="2">
        <v>0</v>
      </c>
      <c r="AQ692" s="2">
        <v>0</v>
      </c>
    </row>
    <row r="693" spans="1:43" x14ac:dyDescent="0.25">
      <c r="A693" s="1">
        <v>45936</v>
      </c>
      <c r="B693" t="s">
        <v>48</v>
      </c>
      <c r="C693">
        <v>649163</v>
      </c>
      <c r="D693">
        <v>2018472293</v>
      </c>
      <c r="E693" t="s">
        <v>577</v>
      </c>
      <c r="F693" t="s">
        <v>578</v>
      </c>
      <c r="G693" t="s">
        <v>51</v>
      </c>
      <c r="H693" t="s">
        <v>70</v>
      </c>
      <c r="I693" t="s">
        <v>209</v>
      </c>
      <c r="J693" t="s">
        <v>210</v>
      </c>
      <c r="K693">
        <v>678320</v>
      </c>
      <c r="L693" t="s">
        <v>576</v>
      </c>
      <c r="M693" t="s">
        <v>139</v>
      </c>
      <c r="N693" t="s">
        <v>57</v>
      </c>
      <c r="O693" s="1">
        <v>45047</v>
      </c>
      <c r="Q693" s="1">
        <v>45962</v>
      </c>
      <c r="R693" s="2">
        <v>0</v>
      </c>
      <c r="S693">
        <v>1</v>
      </c>
      <c r="T693" t="s">
        <v>58</v>
      </c>
      <c r="U693" t="s">
        <v>359</v>
      </c>
      <c r="V693" s="4">
        <v>6.5000000000000002E-2</v>
      </c>
      <c r="W693" s="2">
        <v>0</v>
      </c>
      <c r="X693">
        <v>0</v>
      </c>
      <c r="Y693" t="s">
        <v>214</v>
      </c>
      <c r="Z693" t="s">
        <v>360</v>
      </c>
      <c r="AA693">
        <v>0</v>
      </c>
      <c r="AB693" s="2">
        <v>0</v>
      </c>
      <c r="AC693" s="2">
        <v>0</v>
      </c>
      <c r="AD693" s="3">
        <v>0</v>
      </c>
      <c r="AE693" s="2">
        <v>0</v>
      </c>
      <c r="AF693" s="2">
        <v>0</v>
      </c>
      <c r="AG693" s="2">
        <v>0</v>
      </c>
      <c r="AH693" s="2">
        <v>0</v>
      </c>
      <c r="AI693" s="2">
        <v>0</v>
      </c>
      <c r="AJ693" s="2">
        <v>0</v>
      </c>
      <c r="AK693" s="2">
        <v>0</v>
      </c>
      <c r="AL693" s="2">
        <v>0</v>
      </c>
      <c r="AM693" s="2">
        <v>0</v>
      </c>
      <c r="AN693" s="2">
        <v>0</v>
      </c>
      <c r="AO693" s="2">
        <v>0</v>
      </c>
      <c r="AP693" s="2">
        <v>0</v>
      </c>
      <c r="AQ693" s="2">
        <v>0</v>
      </c>
    </row>
    <row r="694" spans="1:43" x14ac:dyDescent="0.25">
      <c r="A694" s="1">
        <v>45936</v>
      </c>
      <c r="B694" t="s">
        <v>48</v>
      </c>
      <c r="C694">
        <v>649163</v>
      </c>
      <c r="D694">
        <v>2018775433</v>
      </c>
      <c r="E694" t="s">
        <v>581</v>
      </c>
      <c r="F694" t="s">
        <v>132</v>
      </c>
      <c r="G694" t="s">
        <v>51</v>
      </c>
      <c r="H694" t="s">
        <v>247</v>
      </c>
      <c r="I694" t="s">
        <v>209</v>
      </c>
      <c r="J694" t="s">
        <v>960</v>
      </c>
      <c r="K694">
        <v>673059</v>
      </c>
      <c r="L694" t="s">
        <v>80</v>
      </c>
      <c r="M694" t="s">
        <v>81</v>
      </c>
      <c r="N694" t="s">
        <v>57</v>
      </c>
      <c r="O694" s="1">
        <v>45078</v>
      </c>
      <c r="Q694" s="1">
        <v>45962</v>
      </c>
      <c r="R694" s="2">
        <v>15</v>
      </c>
      <c r="S694">
        <v>1</v>
      </c>
      <c r="T694" t="s">
        <v>58</v>
      </c>
      <c r="U694" t="s">
        <v>359</v>
      </c>
      <c r="V694" s="3">
        <v>0.19</v>
      </c>
      <c r="W694" s="2">
        <v>0</v>
      </c>
      <c r="X694">
        <v>0</v>
      </c>
      <c r="Y694" t="s">
        <v>214</v>
      </c>
      <c r="Z694" t="s">
        <v>360</v>
      </c>
      <c r="AA694">
        <v>0</v>
      </c>
      <c r="AB694" s="2">
        <v>0</v>
      </c>
      <c r="AC694" s="2">
        <v>0</v>
      </c>
      <c r="AD694" s="3">
        <v>0</v>
      </c>
      <c r="AE694" s="2">
        <v>0</v>
      </c>
      <c r="AF694" s="2">
        <v>0</v>
      </c>
      <c r="AG694" s="2">
        <v>0</v>
      </c>
      <c r="AH694" s="2">
        <v>0</v>
      </c>
      <c r="AI694" s="2">
        <v>0</v>
      </c>
      <c r="AJ694" s="2">
        <v>0</v>
      </c>
      <c r="AK694" s="2">
        <v>0</v>
      </c>
      <c r="AL694" s="2">
        <v>0</v>
      </c>
      <c r="AM694" s="2">
        <v>2.85</v>
      </c>
      <c r="AN694" s="2">
        <v>2.85</v>
      </c>
      <c r="AO694" s="2">
        <v>0</v>
      </c>
      <c r="AP694" s="2">
        <v>0</v>
      </c>
      <c r="AQ694" s="2">
        <v>0</v>
      </c>
    </row>
    <row r="695" spans="1:43" x14ac:dyDescent="0.25">
      <c r="A695" s="1">
        <v>45936</v>
      </c>
      <c r="B695" t="s">
        <v>48</v>
      </c>
      <c r="C695">
        <v>649163</v>
      </c>
      <c r="D695">
        <v>2020435111</v>
      </c>
      <c r="E695" t="s">
        <v>148</v>
      </c>
      <c r="F695" t="s">
        <v>194</v>
      </c>
      <c r="G695" t="s">
        <v>51</v>
      </c>
      <c r="H695" t="s">
        <v>129</v>
      </c>
      <c r="I695" t="s">
        <v>209</v>
      </c>
      <c r="J695" t="s">
        <v>961</v>
      </c>
      <c r="K695">
        <v>651818</v>
      </c>
      <c r="L695" t="s">
        <v>112</v>
      </c>
      <c r="M695" t="s">
        <v>104</v>
      </c>
      <c r="N695" t="s">
        <v>57</v>
      </c>
      <c r="O695" s="1">
        <v>45231</v>
      </c>
      <c r="Q695" s="1">
        <v>45962</v>
      </c>
      <c r="R695" s="2">
        <v>-15</v>
      </c>
      <c r="S695">
        <v>1</v>
      </c>
      <c r="T695" t="s">
        <v>58</v>
      </c>
      <c r="U695" t="s">
        <v>359</v>
      </c>
      <c r="V695" s="3">
        <v>0.05</v>
      </c>
      <c r="W695" s="2">
        <v>0</v>
      </c>
      <c r="X695">
        <v>-1</v>
      </c>
      <c r="Y695" t="s">
        <v>214</v>
      </c>
      <c r="Z695" t="s">
        <v>360</v>
      </c>
      <c r="AA695">
        <v>0</v>
      </c>
      <c r="AB695" s="2">
        <v>0</v>
      </c>
      <c r="AC695" s="2">
        <v>0</v>
      </c>
      <c r="AD695" s="3">
        <v>0</v>
      </c>
      <c r="AE695" s="2">
        <v>0</v>
      </c>
      <c r="AF695" s="2">
        <v>0</v>
      </c>
      <c r="AG695" s="2">
        <v>0</v>
      </c>
      <c r="AH695" s="2">
        <v>0</v>
      </c>
      <c r="AI695" s="2">
        <v>0</v>
      </c>
      <c r="AJ695" s="2">
        <v>0</v>
      </c>
      <c r="AK695" s="2">
        <v>0</v>
      </c>
      <c r="AL695" s="2">
        <v>0</v>
      </c>
      <c r="AM695" s="2">
        <v>-0.75</v>
      </c>
      <c r="AN695" s="2">
        <v>-0.75</v>
      </c>
      <c r="AO695" s="2">
        <v>0</v>
      </c>
      <c r="AP695" s="2">
        <v>0</v>
      </c>
      <c r="AQ695" s="2">
        <v>0</v>
      </c>
    </row>
    <row r="696" spans="1:43" x14ac:dyDescent="0.25">
      <c r="A696" s="1">
        <v>45936</v>
      </c>
      <c r="B696" t="s">
        <v>48</v>
      </c>
      <c r="C696">
        <v>649163</v>
      </c>
      <c r="D696">
        <v>2020720599</v>
      </c>
      <c r="E696" t="s">
        <v>611</v>
      </c>
      <c r="F696" t="s">
        <v>63</v>
      </c>
      <c r="G696" t="s">
        <v>51</v>
      </c>
      <c r="H696" t="s">
        <v>70</v>
      </c>
      <c r="I696" t="s">
        <v>209</v>
      </c>
      <c r="J696" t="s">
        <v>210</v>
      </c>
      <c r="K696">
        <v>649164</v>
      </c>
      <c r="L696" t="s">
        <v>211</v>
      </c>
      <c r="M696" t="s">
        <v>212</v>
      </c>
      <c r="N696" t="s">
        <v>57</v>
      </c>
      <c r="O696" s="1">
        <v>45261</v>
      </c>
      <c r="Q696" s="1">
        <v>45962</v>
      </c>
      <c r="R696" s="2">
        <v>0</v>
      </c>
      <c r="S696">
        <v>1</v>
      </c>
      <c r="T696" t="s">
        <v>58</v>
      </c>
      <c r="U696" t="s">
        <v>359</v>
      </c>
      <c r="V696" s="4">
        <v>6.5000000000000002E-2</v>
      </c>
      <c r="W696" s="2">
        <v>0</v>
      </c>
      <c r="X696">
        <v>0</v>
      </c>
      <c r="Y696" t="s">
        <v>214</v>
      </c>
      <c r="Z696" t="s">
        <v>360</v>
      </c>
      <c r="AA696">
        <v>0</v>
      </c>
      <c r="AB696" s="2">
        <v>0</v>
      </c>
      <c r="AC696" s="2">
        <v>0</v>
      </c>
      <c r="AD696" s="3">
        <v>0</v>
      </c>
      <c r="AE696" s="2">
        <v>0</v>
      </c>
      <c r="AF696" s="2">
        <v>0</v>
      </c>
      <c r="AG696" s="2">
        <v>0</v>
      </c>
      <c r="AH696" s="2">
        <v>0</v>
      </c>
      <c r="AI696" s="2">
        <v>0</v>
      </c>
      <c r="AJ696" s="2">
        <v>0</v>
      </c>
      <c r="AK696" s="2">
        <v>0</v>
      </c>
      <c r="AL696" s="2">
        <v>0</v>
      </c>
      <c r="AM696" s="2">
        <v>0</v>
      </c>
      <c r="AN696" s="2">
        <v>0</v>
      </c>
      <c r="AO696" s="2">
        <v>0</v>
      </c>
      <c r="AP696" s="2">
        <v>0</v>
      </c>
      <c r="AQ696" s="2">
        <v>0</v>
      </c>
    </row>
    <row r="697" spans="1:43" x14ac:dyDescent="0.25">
      <c r="A697" s="1">
        <v>45936</v>
      </c>
      <c r="B697" t="s">
        <v>48</v>
      </c>
      <c r="C697">
        <v>649163</v>
      </c>
      <c r="D697">
        <v>2020736332</v>
      </c>
      <c r="E697" t="s">
        <v>611</v>
      </c>
      <c r="F697" t="s">
        <v>612</v>
      </c>
      <c r="G697" t="s">
        <v>51</v>
      </c>
      <c r="H697" t="s">
        <v>70</v>
      </c>
      <c r="I697" t="s">
        <v>209</v>
      </c>
      <c r="J697" t="s">
        <v>210</v>
      </c>
      <c r="K697">
        <v>649164</v>
      </c>
      <c r="L697" t="s">
        <v>211</v>
      </c>
      <c r="M697" t="s">
        <v>212</v>
      </c>
      <c r="N697" t="s">
        <v>57</v>
      </c>
      <c r="O697" s="1">
        <v>45261</v>
      </c>
      <c r="Q697" s="1">
        <v>45962</v>
      </c>
      <c r="R697" s="2">
        <v>0</v>
      </c>
      <c r="S697">
        <v>1</v>
      </c>
      <c r="T697" t="s">
        <v>58</v>
      </c>
      <c r="U697" t="s">
        <v>359</v>
      </c>
      <c r="V697" s="4">
        <v>6.5000000000000002E-2</v>
      </c>
      <c r="W697" s="2">
        <v>0</v>
      </c>
      <c r="X697">
        <v>0</v>
      </c>
      <c r="Y697" t="s">
        <v>214</v>
      </c>
      <c r="Z697" t="s">
        <v>360</v>
      </c>
      <c r="AA697">
        <v>0</v>
      </c>
      <c r="AB697" s="2">
        <v>0</v>
      </c>
      <c r="AC697" s="2">
        <v>0</v>
      </c>
      <c r="AD697" s="3">
        <v>0</v>
      </c>
      <c r="AE697" s="2">
        <v>0</v>
      </c>
      <c r="AF697" s="2">
        <v>0</v>
      </c>
      <c r="AG697" s="2">
        <v>0</v>
      </c>
      <c r="AH697" s="2">
        <v>0</v>
      </c>
      <c r="AI697" s="2">
        <v>0</v>
      </c>
      <c r="AJ697" s="2">
        <v>0</v>
      </c>
      <c r="AK697" s="2">
        <v>0</v>
      </c>
      <c r="AL697" s="2">
        <v>0</v>
      </c>
      <c r="AM697" s="2">
        <v>0</v>
      </c>
      <c r="AN697" s="2">
        <v>0</v>
      </c>
      <c r="AO697" s="2">
        <v>0</v>
      </c>
      <c r="AP697" s="2">
        <v>0</v>
      </c>
      <c r="AQ697" s="2">
        <v>0</v>
      </c>
    </row>
    <row r="698" spans="1:43" x14ac:dyDescent="0.25">
      <c r="A698" s="1">
        <v>45936</v>
      </c>
      <c r="B698" t="s">
        <v>48</v>
      </c>
      <c r="C698">
        <v>649163</v>
      </c>
      <c r="D698">
        <v>2020891512</v>
      </c>
      <c r="E698" t="s">
        <v>616</v>
      </c>
      <c r="F698" t="s">
        <v>486</v>
      </c>
      <c r="G698" t="s">
        <v>51</v>
      </c>
      <c r="H698" t="s">
        <v>70</v>
      </c>
      <c r="I698" t="s">
        <v>209</v>
      </c>
      <c r="J698" t="s">
        <v>210</v>
      </c>
      <c r="K698">
        <v>649164</v>
      </c>
      <c r="L698" t="s">
        <v>211</v>
      </c>
      <c r="M698" t="s">
        <v>212</v>
      </c>
      <c r="N698" t="s">
        <v>57</v>
      </c>
      <c r="O698" s="1">
        <v>45261</v>
      </c>
      <c r="Q698" s="1">
        <v>45962</v>
      </c>
      <c r="R698" s="2">
        <v>0</v>
      </c>
      <c r="S698">
        <v>1</v>
      </c>
      <c r="T698" t="s">
        <v>58</v>
      </c>
      <c r="U698" t="s">
        <v>359</v>
      </c>
      <c r="V698" s="4">
        <v>6.5000000000000002E-2</v>
      </c>
      <c r="W698" s="2">
        <v>0</v>
      </c>
      <c r="X698">
        <v>0</v>
      </c>
      <c r="Y698" t="s">
        <v>214</v>
      </c>
      <c r="Z698" t="s">
        <v>360</v>
      </c>
      <c r="AA698">
        <v>0</v>
      </c>
      <c r="AB698" s="2">
        <v>0</v>
      </c>
      <c r="AC698" s="2">
        <v>0</v>
      </c>
      <c r="AD698" s="3">
        <v>0</v>
      </c>
      <c r="AE698" s="2">
        <v>0</v>
      </c>
      <c r="AF698" s="2">
        <v>0</v>
      </c>
      <c r="AG698" s="2">
        <v>0</v>
      </c>
      <c r="AH698" s="2">
        <v>0</v>
      </c>
      <c r="AI698" s="2">
        <v>0</v>
      </c>
      <c r="AJ698" s="2">
        <v>0</v>
      </c>
      <c r="AK698" s="2">
        <v>0</v>
      </c>
      <c r="AL698" s="2">
        <v>0</v>
      </c>
      <c r="AM698" s="2">
        <v>0</v>
      </c>
      <c r="AN698" s="2">
        <v>0</v>
      </c>
      <c r="AO698" s="2">
        <v>0</v>
      </c>
      <c r="AP698" s="2">
        <v>0</v>
      </c>
      <c r="AQ698" s="2">
        <v>0</v>
      </c>
    </row>
    <row r="699" spans="1:43" x14ac:dyDescent="0.25">
      <c r="A699" s="1">
        <v>45936</v>
      </c>
      <c r="B699" t="s">
        <v>48</v>
      </c>
      <c r="C699">
        <v>649163</v>
      </c>
      <c r="D699">
        <v>2020895975</v>
      </c>
      <c r="E699" t="s">
        <v>97</v>
      </c>
      <c r="F699" t="s">
        <v>482</v>
      </c>
      <c r="G699" t="s">
        <v>51</v>
      </c>
      <c r="H699" t="s">
        <v>247</v>
      </c>
      <c r="I699" t="s">
        <v>209</v>
      </c>
      <c r="J699" t="s">
        <v>960</v>
      </c>
      <c r="K699">
        <v>673059</v>
      </c>
      <c r="L699" t="s">
        <v>80</v>
      </c>
      <c r="M699" t="s">
        <v>81</v>
      </c>
      <c r="N699" t="s">
        <v>456</v>
      </c>
      <c r="O699" s="1">
        <v>45292</v>
      </c>
      <c r="P699" s="1">
        <v>45936</v>
      </c>
      <c r="Q699" s="1">
        <v>45962</v>
      </c>
      <c r="R699" s="2">
        <v>-15</v>
      </c>
      <c r="S699">
        <v>1</v>
      </c>
      <c r="T699" t="s">
        <v>58</v>
      </c>
      <c r="U699" t="s">
        <v>359</v>
      </c>
      <c r="V699" s="3">
        <v>0.19</v>
      </c>
      <c r="W699" s="2">
        <v>0</v>
      </c>
      <c r="X699">
        <v>-1</v>
      </c>
      <c r="Y699" t="s">
        <v>214</v>
      </c>
      <c r="Z699" t="s">
        <v>360</v>
      </c>
      <c r="AA699">
        <v>0</v>
      </c>
      <c r="AB699" s="2">
        <v>0</v>
      </c>
      <c r="AC699" s="2">
        <v>0</v>
      </c>
      <c r="AD699" s="3">
        <v>0</v>
      </c>
      <c r="AE699" s="2">
        <v>0</v>
      </c>
      <c r="AF699" s="2">
        <v>0</v>
      </c>
      <c r="AG699" s="2">
        <v>0</v>
      </c>
      <c r="AH699" s="2">
        <v>0</v>
      </c>
      <c r="AI699" s="2">
        <v>0</v>
      </c>
      <c r="AJ699" s="2">
        <v>0</v>
      </c>
      <c r="AK699" s="2">
        <v>0</v>
      </c>
      <c r="AL699" s="2">
        <v>0</v>
      </c>
      <c r="AM699" s="2">
        <v>-2.85</v>
      </c>
      <c r="AN699" s="2">
        <v>-2.85</v>
      </c>
      <c r="AO699" s="2">
        <v>0</v>
      </c>
      <c r="AP699" s="2">
        <v>0</v>
      </c>
      <c r="AQ699" s="2">
        <v>0</v>
      </c>
    </row>
    <row r="700" spans="1:43" x14ac:dyDescent="0.25">
      <c r="A700" s="1">
        <v>45936</v>
      </c>
      <c r="B700" t="s">
        <v>48</v>
      </c>
      <c r="C700">
        <v>649163</v>
      </c>
      <c r="D700">
        <v>2021646245</v>
      </c>
      <c r="E700" t="s">
        <v>962</v>
      </c>
      <c r="F700" t="s">
        <v>337</v>
      </c>
      <c r="G700" t="s">
        <v>51</v>
      </c>
      <c r="H700" t="s">
        <v>431</v>
      </c>
      <c r="I700" t="s">
        <v>209</v>
      </c>
      <c r="J700" t="s">
        <v>225</v>
      </c>
      <c r="K700">
        <v>673059</v>
      </c>
      <c r="L700" t="s">
        <v>80</v>
      </c>
      <c r="M700" t="s">
        <v>81</v>
      </c>
      <c r="N700" t="s">
        <v>57</v>
      </c>
      <c r="O700" s="1">
        <v>45329</v>
      </c>
      <c r="Q700" s="1">
        <v>45968</v>
      </c>
      <c r="R700" s="2">
        <v>15</v>
      </c>
      <c r="S700">
        <v>1</v>
      </c>
      <c r="T700" t="s">
        <v>58</v>
      </c>
      <c r="U700" t="s">
        <v>359</v>
      </c>
      <c r="V700" s="3">
        <v>0.28999999999999998</v>
      </c>
      <c r="W700" s="2">
        <v>0</v>
      </c>
      <c r="X700">
        <v>0</v>
      </c>
      <c r="Y700" t="s">
        <v>214</v>
      </c>
      <c r="Z700" t="s">
        <v>360</v>
      </c>
      <c r="AA700">
        <v>0</v>
      </c>
      <c r="AB700" s="2">
        <v>0</v>
      </c>
      <c r="AC700" s="2">
        <v>0</v>
      </c>
      <c r="AD700" s="3">
        <v>0</v>
      </c>
      <c r="AE700" s="2">
        <v>0</v>
      </c>
      <c r="AF700" s="2">
        <v>0</v>
      </c>
      <c r="AG700" s="2">
        <v>0</v>
      </c>
      <c r="AH700" s="2">
        <v>0</v>
      </c>
      <c r="AI700" s="2">
        <v>0</v>
      </c>
      <c r="AJ700" s="2">
        <v>0</v>
      </c>
      <c r="AK700" s="2">
        <v>0</v>
      </c>
      <c r="AL700" s="2">
        <v>0</v>
      </c>
      <c r="AM700" s="2">
        <v>4.3499999999999996</v>
      </c>
      <c r="AN700" s="2">
        <v>4.3499999999999996</v>
      </c>
      <c r="AO700" s="2">
        <v>0</v>
      </c>
      <c r="AP700" s="2">
        <v>0</v>
      </c>
      <c r="AQ700" s="2">
        <v>0</v>
      </c>
    </row>
    <row r="701" spans="1:43" x14ac:dyDescent="0.25">
      <c r="A701" s="1">
        <v>45936</v>
      </c>
      <c r="B701" t="s">
        <v>48</v>
      </c>
      <c r="C701">
        <v>649163</v>
      </c>
      <c r="D701">
        <v>2023010065</v>
      </c>
      <c r="E701" t="s">
        <v>368</v>
      </c>
      <c r="F701" t="s">
        <v>369</v>
      </c>
      <c r="G701" t="s">
        <v>51</v>
      </c>
      <c r="H701" t="s">
        <v>262</v>
      </c>
      <c r="I701" t="s">
        <v>209</v>
      </c>
      <c r="J701" t="s">
        <v>222</v>
      </c>
      <c r="K701">
        <v>751867</v>
      </c>
      <c r="L701" t="s">
        <v>71</v>
      </c>
      <c r="M701" t="s">
        <v>72</v>
      </c>
      <c r="N701" t="s">
        <v>57</v>
      </c>
      <c r="O701" s="1">
        <v>45419</v>
      </c>
      <c r="Q701" s="1">
        <v>45968</v>
      </c>
      <c r="R701" s="2">
        <v>15</v>
      </c>
      <c r="S701">
        <v>1</v>
      </c>
      <c r="T701" t="s">
        <v>58</v>
      </c>
      <c r="U701" t="s">
        <v>359</v>
      </c>
      <c r="V701" s="3">
        <v>0.1</v>
      </c>
      <c r="W701" s="2">
        <v>0</v>
      </c>
      <c r="X701">
        <v>0</v>
      </c>
      <c r="Y701" t="s">
        <v>214</v>
      </c>
      <c r="Z701" t="s">
        <v>360</v>
      </c>
      <c r="AA701">
        <v>0</v>
      </c>
      <c r="AB701" s="2">
        <v>0</v>
      </c>
      <c r="AC701" s="2">
        <v>0</v>
      </c>
      <c r="AD701" s="3">
        <v>0</v>
      </c>
      <c r="AE701" s="2">
        <v>0</v>
      </c>
      <c r="AF701" s="2">
        <v>0</v>
      </c>
      <c r="AG701" s="2">
        <v>0</v>
      </c>
      <c r="AH701" s="2">
        <v>0</v>
      </c>
      <c r="AI701" s="2">
        <v>0</v>
      </c>
      <c r="AJ701" s="2">
        <v>0</v>
      </c>
      <c r="AK701" s="2">
        <v>0</v>
      </c>
      <c r="AL701" s="2">
        <v>0</v>
      </c>
      <c r="AM701" s="2">
        <v>1.5</v>
      </c>
      <c r="AN701" s="2">
        <v>1.5</v>
      </c>
      <c r="AO701" s="2">
        <v>0</v>
      </c>
      <c r="AP701" s="2">
        <v>0</v>
      </c>
      <c r="AQ701" s="2">
        <v>0</v>
      </c>
    </row>
    <row r="702" spans="1:43" x14ac:dyDescent="0.25">
      <c r="A702" s="1">
        <v>45936</v>
      </c>
      <c r="B702" t="s">
        <v>48</v>
      </c>
      <c r="C702">
        <v>649163</v>
      </c>
      <c r="D702">
        <v>2023048532</v>
      </c>
      <c r="E702" t="s">
        <v>370</v>
      </c>
      <c r="F702" t="s">
        <v>371</v>
      </c>
      <c r="G702" t="s">
        <v>51</v>
      </c>
      <c r="H702" t="s">
        <v>262</v>
      </c>
      <c r="I702" t="s">
        <v>209</v>
      </c>
      <c r="J702" t="s">
        <v>222</v>
      </c>
      <c r="K702">
        <v>751867</v>
      </c>
      <c r="L702" t="s">
        <v>71</v>
      </c>
      <c r="M702" t="s">
        <v>72</v>
      </c>
      <c r="N702" t="s">
        <v>57</v>
      </c>
      <c r="O702" s="1">
        <v>45422</v>
      </c>
      <c r="Q702" s="1">
        <v>45971</v>
      </c>
      <c r="R702" s="2">
        <v>15</v>
      </c>
      <c r="S702">
        <v>1</v>
      </c>
      <c r="T702" t="s">
        <v>58</v>
      </c>
      <c r="U702" t="s">
        <v>359</v>
      </c>
      <c r="V702" s="3">
        <v>0.1</v>
      </c>
      <c r="W702" s="2">
        <v>0</v>
      </c>
      <c r="X702">
        <v>0</v>
      </c>
      <c r="Y702" t="s">
        <v>214</v>
      </c>
      <c r="Z702" t="s">
        <v>360</v>
      </c>
      <c r="AA702">
        <v>0</v>
      </c>
      <c r="AB702" s="2">
        <v>0</v>
      </c>
      <c r="AC702" s="2">
        <v>0</v>
      </c>
      <c r="AD702" s="3">
        <v>0</v>
      </c>
      <c r="AE702" s="2">
        <v>0</v>
      </c>
      <c r="AF702" s="2">
        <v>0</v>
      </c>
      <c r="AG702" s="2">
        <v>0</v>
      </c>
      <c r="AH702" s="2">
        <v>0</v>
      </c>
      <c r="AI702" s="2">
        <v>0</v>
      </c>
      <c r="AJ702" s="2">
        <v>0</v>
      </c>
      <c r="AK702" s="2">
        <v>0</v>
      </c>
      <c r="AL702" s="2">
        <v>0</v>
      </c>
      <c r="AM702" s="2">
        <v>1.5</v>
      </c>
      <c r="AN702" s="2">
        <v>1.5</v>
      </c>
      <c r="AO702" s="2">
        <v>0</v>
      </c>
      <c r="AP702" s="2">
        <v>0</v>
      </c>
      <c r="AQ702" s="2">
        <v>0</v>
      </c>
    </row>
    <row r="703" spans="1:43" x14ac:dyDescent="0.25">
      <c r="A703" s="1">
        <v>45936</v>
      </c>
      <c r="B703" t="s">
        <v>48</v>
      </c>
      <c r="C703">
        <v>649163</v>
      </c>
      <c r="D703">
        <v>2023372600</v>
      </c>
      <c r="E703" t="s">
        <v>374</v>
      </c>
      <c r="F703" t="s">
        <v>375</v>
      </c>
      <c r="G703" t="s">
        <v>51</v>
      </c>
      <c r="H703" t="s">
        <v>376</v>
      </c>
      <c r="I703" t="s">
        <v>209</v>
      </c>
      <c r="J703" t="s">
        <v>222</v>
      </c>
      <c r="K703">
        <v>650218</v>
      </c>
      <c r="L703" t="s">
        <v>237</v>
      </c>
      <c r="M703" t="s">
        <v>238</v>
      </c>
      <c r="N703" t="s">
        <v>57</v>
      </c>
      <c r="O703" s="1">
        <v>45447</v>
      </c>
      <c r="Q703" s="1">
        <v>45965</v>
      </c>
      <c r="R703" s="2">
        <v>15</v>
      </c>
      <c r="S703">
        <v>1</v>
      </c>
      <c r="T703" t="s">
        <v>58</v>
      </c>
      <c r="U703" t="s">
        <v>359</v>
      </c>
      <c r="V703" s="3">
        <v>0.1</v>
      </c>
      <c r="W703" s="2">
        <v>0</v>
      </c>
      <c r="X703">
        <v>0</v>
      </c>
      <c r="Y703" t="s">
        <v>214</v>
      </c>
      <c r="Z703" t="s">
        <v>360</v>
      </c>
      <c r="AA703">
        <v>0</v>
      </c>
      <c r="AB703" s="2">
        <v>0</v>
      </c>
      <c r="AC703" s="2">
        <v>0</v>
      </c>
      <c r="AD703" s="3">
        <v>0</v>
      </c>
      <c r="AE703" s="2">
        <v>0</v>
      </c>
      <c r="AF703" s="2">
        <v>0</v>
      </c>
      <c r="AG703" s="2">
        <v>0</v>
      </c>
      <c r="AH703" s="2">
        <v>0</v>
      </c>
      <c r="AI703" s="2">
        <v>0</v>
      </c>
      <c r="AJ703" s="2">
        <v>0</v>
      </c>
      <c r="AK703" s="2">
        <v>0</v>
      </c>
      <c r="AL703" s="2">
        <v>0</v>
      </c>
      <c r="AM703" s="2">
        <v>1.5</v>
      </c>
      <c r="AN703" s="2">
        <v>1.5</v>
      </c>
      <c r="AO703" s="2">
        <v>0</v>
      </c>
      <c r="AP703" s="2">
        <v>0</v>
      </c>
      <c r="AQ703" s="2">
        <v>0</v>
      </c>
    </row>
    <row r="704" spans="1:43" x14ac:dyDescent="0.25">
      <c r="A704" s="1">
        <v>45936</v>
      </c>
      <c r="B704" t="s">
        <v>48</v>
      </c>
      <c r="C704">
        <v>649163</v>
      </c>
      <c r="D704">
        <v>2023402088</v>
      </c>
      <c r="E704" t="s">
        <v>377</v>
      </c>
      <c r="F704" t="s">
        <v>378</v>
      </c>
      <c r="G704" t="s">
        <v>51</v>
      </c>
      <c r="H704" t="s">
        <v>323</v>
      </c>
      <c r="I704" t="s">
        <v>209</v>
      </c>
      <c r="J704" t="s">
        <v>222</v>
      </c>
      <c r="K704">
        <v>673059</v>
      </c>
      <c r="L704" t="s">
        <v>80</v>
      </c>
      <c r="M704" t="s">
        <v>81</v>
      </c>
      <c r="N704" t="s">
        <v>57</v>
      </c>
      <c r="O704" s="1">
        <v>45449</v>
      </c>
      <c r="Q704" s="1">
        <v>45967</v>
      </c>
      <c r="R704" s="2">
        <v>15</v>
      </c>
      <c r="S704">
        <v>1</v>
      </c>
      <c r="T704" t="s">
        <v>58</v>
      </c>
      <c r="U704" t="s">
        <v>359</v>
      </c>
      <c r="V704" s="3">
        <v>0.1</v>
      </c>
      <c r="W704" s="2">
        <v>0</v>
      </c>
      <c r="X704">
        <v>0</v>
      </c>
      <c r="Y704" t="s">
        <v>214</v>
      </c>
      <c r="Z704" t="s">
        <v>360</v>
      </c>
      <c r="AA704">
        <v>0</v>
      </c>
      <c r="AB704" s="2">
        <v>0</v>
      </c>
      <c r="AC704" s="2">
        <v>0</v>
      </c>
      <c r="AD704" s="3">
        <v>0</v>
      </c>
      <c r="AE704" s="2">
        <v>0</v>
      </c>
      <c r="AF704" s="2">
        <v>0</v>
      </c>
      <c r="AG704" s="2">
        <v>0</v>
      </c>
      <c r="AH704" s="2">
        <v>0</v>
      </c>
      <c r="AI704" s="2">
        <v>0</v>
      </c>
      <c r="AJ704" s="2">
        <v>0</v>
      </c>
      <c r="AK704" s="2">
        <v>0</v>
      </c>
      <c r="AL704" s="2">
        <v>0</v>
      </c>
      <c r="AM704" s="2">
        <v>1.5</v>
      </c>
      <c r="AN704" s="2">
        <v>1.5</v>
      </c>
      <c r="AO704" s="2">
        <v>0</v>
      </c>
      <c r="AP704" s="2">
        <v>0</v>
      </c>
      <c r="AQ704" s="2">
        <v>0</v>
      </c>
    </row>
    <row r="705" spans="1:43" x14ac:dyDescent="0.25">
      <c r="A705" s="1">
        <v>45936</v>
      </c>
      <c r="B705" t="s">
        <v>48</v>
      </c>
      <c r="C705">
        <v>649163</v>
      </c>
      <c r="D705">
        <v>2024324041</v>
      </c>
      <c r="E705" t="s">
        <v>380</v>
      </c>
      <c r="F705" t="s">
        <v>381</v>
      </c>
      <c r="G705" t="s">
        <v>51</v>
      </c>
      <c r="H705" t="s">
        <v>382</v>
      </c>
      <c r="I705" t="s">
        <v>209</v>
      </c>
      <c r="J705" t="s">
        <v>222</v>
      </c>
      <c r="K705">
        <v>650218</v>
      </c>
      <c r="L705" t="s">
        <v>237</v>
      </c>
      <c r="M705" t="s">
        <v>238</v>
      </c>
      <c r="N705" t="s">
        <v>57</v>
      </c>
      <c r="O705" s="1">
        <v>45514</v>
      </c>
      <c r="Q705" s="1">
        <v>45971</v>
      </c>
      <c r="R705" s="2">
        <v>15</v>
      </c>
      <c r="S705">
        <v>1</v>
      </c>
      <c r="T705" t="s">
        <v>58</v>
      </c>
      <c r="U705" t="s">
        <v>359</v>
      </c>
      <c r="V705" s="3">
        <v>0.1</v>
      </c>
      <c r="W705" s="2">
        <v>0</v>
      </c>
      <c r="X705">
        <v>0</v>
      </c>
      <c r="Y705" t="s">
        <v>214</v>
      </c>
      <c r="Z705" t="s">
        <v>360</v>
      </c>
      <c r="AA705">
        <v>0</v>
      </c>
      <c r="AB705" s="2">
        <v>0</v>
      </c>
      <c r="AC705" s="2">
        <v>0</v>
      </c>
      <c r="AD705" s="3">
        <v>0</v>
      </c>
      <c r="AE705" s="2">
        <v>0</v>
      </c>
      <c r="AF705" s="2">
        <v>0</v>
      </c>
      <c r="AG705" s="2">
        <v>0</v>
      </c>
      <c r="AH705" s="2">
        <v>0</v>
      </c>
      <c r="AI705" s="2">
        <v>0</v>
      </c>
      <c r="AJ705" s="2">
        <v>0</v>
      </c>
      <c r="AK705" s="2">
        <v>0</v>
      </c>
      <c r="AL705" s="2">
        <v>0</v>
      </c>
      <c r="AM705" s="2">
        <v>1.5</v>
      </c>
      <c r="AN705" s="2">
        <v>1.5</v>
      </c>
      <c r="AO705" s="2">
        <v>0</v>
      </c>
      <c r="AP705" s="2">
        <v>0</v>
      </c>
      <c r="AQ705" s="2">
        <v>0</v>
      </c>
    </row>
    <row r="706" spans="1:43" x14ac:dyDescent="0.25">
      <c r="A706" s="1">
        <v>45936</v>
      </c>
      <c r="B706" t="s">
        <v>48</v>
      </c>
      <c r="C706">
        <v>649163</v>
      </c>
      <c r="D706">
        <v>2024680809</v>
      </c>
      <c r="E706" t="s">
        <v>829</v>
      </c>
      <c r="F706" t="s">
        <v>830</v>
      </c>
      <c r="G706" t="s">
        <v>51</v>
      </c>
      <c r="H706" t="s">
        <v>52</v>
      </c>
      <c r="I706" t="s">
        <v>209</v>
      </c>
      <c r="J706" t="s">
        <v>225</v>
      </c>
      <c r="K706">
        <v>767312</v>
      </c>
      <c r="L706" t="s">
        <v>283</v>
      </c>
      <c r="M706" t="s">
        <v>284</v>
      </c>
      <c r="N706" t="s">
        <v>57</v>
      </c>
      <c r="O706" s="1">
        <v>45575</v>
      </c>
      <c r="Q706" s="1">
        <v>45971</v>
      </c>
      <c r="R706" s="2">
        <v>15</v>
      </c>
      <c r="S706">
        <v>1</v>
      </c>
      <c r="T706" t="s">
        <v>58</v>
      </c>
      <c r="U706" t="s">
        <v>359</v>
      </c>
      <c r="V706" s="3">
        <v>0.28999999999999998</v>
      </c>
      <c r="W706" s="2">
        <v>0</v>
      </c>
      <c r="X706">
        <v>0</v>
      </c>
      <c r="Y706" t="s">
        <v>214</v>
      </c>
      <c r="Z706" t="s">
        <v>360</v>
      </c>
      <c r="AA706">
        <v>0</v>
      </c>
      <c r="AB706" s="2">
        <v>0</v>
      </c>
      <c r="AC706" s="2">
        <v>0</v>
      </c>
      <c r="AD706" s="3">
        <v>0</v>
      </c>
      <c r="AE706" s="2">
        <v>0</v>
      </c>
      <c r="AF706" s="2">
        <v>0</v>
      </c>
      <c r="AG706" s="2">
        <v>0</v>
      </c>
      <c r="AH706" s="2">
        <v>0</v>
      </c>
      <c r="AI706" s="2">
        <v>0</v>
      </c>
      <c r="AJ706" s="2">
        <v>0</v>
      </c>
      <c r="AK706" s="2">
        <v>0</v>
      </c>
      <c r="AL706" s="2">
        <v>0</v>
      </c>
      <c r="AM706" s="2">
        <v>4.3499999999999996</v>
      </c>
      <c r="AN706" s="2">
        <v>4.3499999999999996</v>
      </c>
      <c r="AO706" s="2">
        <v>0</v>
      </c>
      <c r="AP706" s="2">
        <v>0</v>
      </c>
      <c r="AQ706" s="2">
        <v>0</v>
      </c>
    </row>
    <row r="707" spans="1:43" x14ac:dyDescent="0.25">
      <c r="A707" s="1">
        <v>45936</v>
      </c>
      <c r="B707" t="s">
        <v>48</v>
      </c>
      <c r="C707">
        <v>649163</v>
      </c>
      <c r="D707">
        <v>2025222898</v>
      </c>
      <c r="E707" t="s">
        <v>388</v>
      </c>
      <c r="F707" t="s">
        <v>389</v>
      </c>
      <c r="G707" t="s">
        <v>51</v>
      </c>
      <c r="H707" t="s">
        <v>390</v>
      </c>
      <c r="I707" t="s">
        <v>209</v>
      </c>
      <c r="J707" t="s">
        <v>222</v>
      </c>
      <c r="K707">
        <v>751867</v>
      </c>
      <c r="L707" t="s">
        <v>71</v>
      </c>
      <c r="M707" t="s">
        <v>72</v>
      </c>
      <c r="N707" t="s">
        <v>57</v>
      </c>
      <c r="O707" s="1">
        <v>45574</v>
      </c>
      <c r="Q707" s="1">
        <v>45970</v>
      </c>
      <c r="R707" s="2">
        <v>15</v>
      </c>
      <c r="S707">
        <v>1</v>
      </c>
      <c r="T707" t="s">
        <v>58</v>
      </c>
      <c r="U707" t="s">
        <v>359</v>
      </c>
      <c r="V707" s="3">
        <v>0.1</v>
      </c>
      <c r="W707" s="2">
        <v>0</v>
      </c>
      <c r="X707">
        <v>0</v>
      </c>
      <c r="Y707" t="s">
        <v>214</v>
      </c>
      <c r="Z707" t="s">
        <v>360</v>
      </c>
      <c r="AA707">
        <v>0</v>
      </c>
      <c r="AB707" s="2">
        <v>0</v>
      </c>
      <c r="AC707" s="2">
        <v>0</v>
      </c>
      <c r="AD707" s="3">
        <v>0</v>
      </c>
      <c r="AE707" s="2">
        <v>0</v>
      </c>
      <c r="AF707" s="2">
        <v>0</v>
      </c>
      <c r="AG707" s="2">
        <v>0</v>
      </c>
      <c r="AH707" s="2">
        <v>0</v>
      </c>
      <c r="AI707" s="2">
        <v>0</v>
      </c>
      <c r="AJ707" s="2">
        <v>0</v>
      </c>
      <c r="AK707" s="2">
        <v>0</v>
      </c>
      <c r="AL707" s="2">
        <v>0</v>
      </c>
      <c r="AM707" s="2">
        <v>1.5</v>
      </c>
      <c r="AN707" s="2">
        <v>1.5</v>
      </c>
      <c r="AO707" s="2">
        <v>0</v>
      </c>
      <c r="AP707" s="2">
        <v>0</v>
      </c>
      <c r="AQ707" s="2">
        <v>0</v>
      </c>
    </row>
    <row r="708" spans="1:43" x14ac:dyDescent="0.25">
      <c r="A708" s="1">
        <v>45936</v>
      </c>
      <c r="B708" t="s">
        <v>48</v>
      </c>
      <c r="C708">
        <v>649163</v>
      </c>
      <c r="D708">
        <v>2025698058</v>
      </c>
      <c r="E708" t="s">
        <v>139</v>
      </c>
      <c r="F708" t="s">
        <v>393</v>
      </c>
      <c r="G708" t="s">
        <v>51</v>
      </c>
      <c r="H708" t="s">
        <v>88</v>
      </c>
      <c r="I708" t="s">
        <v>209</v>
      </c>
      <c r="J708" t="s">
        <v>222</v>
      </c>
      <c r="K708">
        <v>650218</v>
      </c>
      <c r="L708" t="s">
        <v>237</v>
      </c>
      <c r="M708" t="s">
        <v>238</v>
      </c>
      <c r="N708" t="s">
        <v>57</v>
      </c>
      <c r="O708" s="1">
        <v>45605</v>
      </c>
      <c r="Q708" s="1">
        <v>45970</v>
      </c>
      <c r="R708" s="2">
        <v>15</v>
      </c>
      <c r="S708">
        <v>1</v>
      </c>
      <c r="T708" t="s">
        <v>58</v>
      </c>
      <c r="U708" t="s">
        <v>359</v>
      </c>
      <c r="V708" s="3">
        <v>0.38</v>
      </c>
      <c r="W708" s="2">
        <v>0</v>
      </c>
      <c r="X708">
        <v>0</v>
      </c>
      <c r="Y708" t="s">
        <v>60</v>
      </c>
      <c r="Z708" t="s">
        <v>360</v>
      </c>
      <c r="AA708">
        <v>0</v>
      </c>
      <c r="AB708" s="2">
        <v>0</v>
      </c>
      <c r="AC708" s="2">
        <v>0</v>
      </c>
      <c r="AD708" s="3">
        <v>0</v>
      </c>
      <c r="AE708" s="2">
        <v>0</v>
      </c>
      <c r="AF708" s="2">
        <v>0</v>
      </c>
      <c r="AG708" s="2">
        <v>0</v>
      </c>
      <c r="AH708" s="2">
        <v>0</v>
      </c>
      <c r="AI708" s="2">
        <v>0</v>
      </c>
      <c r="AJ708" s="2">
        <v>0</v>
      </c>
      <c r="AK708" s="2">
        <v>0</v>
      </c>
      <c r="AL708" s="2">
        <v>0</v>
      </c>
      <c r="AM708" s="2">
        <v>5.7</v>
      </c>
      <c r="AN708" s="2">
        <v>5.7</v>
      </c>
      <c r="AO708" s="2">
        <v>0</v>
      </c>
      <c r="AP708" s="2">
        <v>0</v>
      </c>
      <c r="AQ708" s="2">
        <v>0</v>
      </c>
    </row>
    <row r="709" spans="1:43" x14ac:dyDescent="0.25">
      <c r="A709" s="1">
        <v>45936</v>
      </c>
      <c r="B709" t="s">
        <v>48</v>
      </c>
      <c r="C709">
        <v>649163</v>
      </c>
      <c r="D709">
        <v>2028565358</v>
      </c>
      <c r="E709" t="s">
        <v>139</v>
      </c>
      <c r="F709" t="s">
        <v>416</v>
      </c>
      <c r="G709" t="s">
        <v>51</v>
      </c>
      <c r="H709" t="s">
        <v>88</v>
      </c>
      <c r="I709" t="s">
        <v>209</v>
      </c>
      <c r="J709" t="s">
        <v>222</v>
      </c>
      <c r="K709">
        <v>650218</v>
      </c>
      <c r="L709" t="s">
        <v>237</v>
      </c>
      <c r="M709" t="s">
        <v>238</v>
      </c>
      <c r="N709" t="s">
        <v>57</v>
      </c>
      <c r="O709" s="1">
        <v>45777</v>
      </c>
      <c r="Q709" s="1">
        <v>45960</v>
      </c>
      <c r="R709" s="2">
        <v>-15</v>
      </c>
      <c r="S709">
        <v>1</v>
      </c>
      <c r="T709" t="s">
        <v>58</v>
      </c>
      <c r="U709" t="s">
        <v>359</v>
      </c>
      <c r="V709" s="3">
        <v>0.38</v>
      </c>
      <c r="W709" s="2">
        <v>0</v>
      </c>
      <c r="X709">
        <v>-1</v>
      </c>
      <c r="Y709" t="s">
        <v>60</v>
      </c>
      <c r="Z709" t="s">
        <v>360</v>
      </c>
      <c r="AA709">
        <v>0</v>
      </c>
      <c r="AB709" s="2">
        <v>0</v>
      </c>
      <c r="AC709" s="2">
        <v>0</v>
      </c>
      <c r="AD709" s="3">
        <v>0</v>
      </c>
      <c r="AE709" s="2">
        <v>0</v>
      </c>
      <c r="AF709" s="2">
        <v>0</v>
      </c>
      <c r="AG709" s="2">
        <v>0</v>
      </c>
      <c r="AH709" s="2">
        <v>0</v>
      </c>
      <c r="AI709" s="2">
        <v>0</v>
      </c>
      <c r="AJ709" s="2">
        <v>0</v>
      </c>
      <c r="AK709" s="2">
        <v>0</v>
      </c>
      <c r="AL709" s="2">
        <v>0</v>
      </c>
      <c r="AM709" s="2">
        <v>-5.7</v>
      </c>
      <c r="AN709" s="2">
        <v>-5.7</v>
      </c>
      <c r="AO709" s="2">
        <v>0</v>
      </c>
      <c r="AP709" s="2">
        <v>0</v>
      </c>
      <c r="AQ709" s="2">
        <v>0</v>
      </c>
    </row>
    <row r="710" spans="1:43" x14ac:dyDescent="0.25">
      <c r="A710" s="1">
        <v>45936</v>
      </c>
      <c r="B710" t="s">
        <v>48</v>
      </c>
      <c r="C710">
        <v>649163</v>
      </c>
      <c r="D710">
        <v>2028605535</v>
      </c>
      <c r="E710" t="s">
        <v>770</v>
      </c>
      <c r="F710" t="s">
        <v>98</v>
      </c>
      <c r="G710" t="s">
        <v>51</v>
      </c>
      <c r="H710" t="s">
        <v>105</v>
      </c>
      <c r="I710" t="s">
        <v>209</v>
      </c>
      <c r="J710" t="s">
        <v>963</v>
      </c>
      <c r="K710">
        <v>823068</v>
      </c>
      <c r="L710" t="s">
        <v>106</v>
      </c>
      <c r="M710" t="s">
        <v>107</v>
      </c>
      <c r="N710" t="s">
        <v>57</v>
      </c>
      <c r="O710" s="1">
        <v>45778</v>
      </c>
      <c r="Q710" s="1">
        <v>45962</v>
      </c>
      <c r="R710" s="2">
        <v>19.5</v>
      </c>
      <c r="S710">
        <v>1</v>
      </c>
      <c r="T710" t="s">
        <v>58</v>
      </c>
      <c r="U710" t="s">
        <v>359</v>
      </c>
      <c r="V710" s="3">
        <v>0.39</v>
      </c>
      <c r="W710" s="2">
        <v>0</v>
      </c>
      <c r="X710">
        <v>0</v>
      </c>
      <c r="Y710" t="s">
        <v>60</v>
      </c>
      <c r="Z710" t="s">
        <v>360</v>
      </c>
      <c r="AA710">
        <v>0</v>
      </c>
      <c r="AB710" s="2">
        <v>0</v>
      </c>
      <c r="AC710" s="2">
        <v>0</v>
      </c>
      <c r="AD710" s="3">
        <v>0</v>
      </c>
      <c r="AE710" s="2">
        <v>0</v>
      </c>
      <c r="AF710" s="2">
        <v>0</v>
      </c>
      <c r="AG710" s="2">
        <v>0</v>
      </c>
      <c r="AH710" s="2">
        <v>0</v>
      </c>
      <c r="AI710" s="2">
        <v>0</v>
      </c>
      <c r="AJ710" s="2">
        <v>0</v>
      </c>
      <c r="AK710" s="2">
        <v>0</v>
      </c>
      <c r="AL710" s="2">
        <v>0</v>
      </c>
      <c r="AM710" s="2">
        <v>7.6</v>
      </c>
      <c r="AN710" s="2">
        <v>7.6</v>
      </c>
      <c r="AO710" s="2">
        <v>0</v>
      </c>
      <c r="AP710" s="2">
        <v>0</v>
      </c>
      <c r="AQ710" s="2">
        <v>0</v>
      </c>
    </row>
    <row r="711" spans="1:43" x14ac:dyDescent="0.25">
      <c r="A711" s="1">
        <v>45936</v>
      </c>
      <c r="B711" t="s">
        <v>48</v>
      </c>
      <c r="C711">
        <v>649163</v>
      </c>
      <c r="D711">
        <v>2029299957</v>
      </c>
      <c r="E711" t="s">
        <v>419</v>
      </c>
      <c r="F711" t="s">
        <v>420</v>
      </c>
      <c r="G711" t="s">
        <v>51</v>
      </c>
      <c r="H711" t="s">
        <v>52</v>
      </c>
      <c r="I711" t="s">
        <v>209</v>
      </c>
      <c r="J711" t="s">
        <v>222</v>
      </c>
      <c r="K711">
        <v>856824</v>
      </c>
      <c r="L711" t="s">
        <v>298</v>
      </c>
      <c r="M711" t="s">
        <v>299</v>
      </c>
      <c r="N711" t="s">
        <v>57</v>
      </c>
      <c r="O711" s="1">
        <v>45813</v>
      </c>
      <c r="Q711" s="1">
        <v>45966</v>
      </c>
      <c r="R711" s="2">
        <v>15</v>
      </c>
      <c r="S711">
        <v>1</v>
      </c>
      <c r="T711" t="s">
        <v>58</v>
      </c>
      <c r="U711" t="s">
        <v>359</v>
      </c>
      <c r="V711" s="3">
        <v>0.38</v>
      </c>
      <c r="W711" s="2">
        <v>0</v>
      </c>
      <c r="X711">
        <v>0</v>
      </c>
      <c r="Y711" t="s">
        <v>60</v>
      </c>
      <c r="Z711" t="s">
        <v>360</v>
      </c>
      <c r="AA711">
        <v>0</v>
      </c>
      <c r="AB711" s="2">
        <v>0</v>
      </c>
      <c r="AC711" s="2">
        <v>0</v>
      </c>
      <c r="AD711" s="3">
        <v>0</v>
      </c>
      <c r="AE711" s="2">
        <v>0</v>
      </c>
      <c r="AF711" s="2">
        <v>0</v>
      </c>
      <c r="AG711" s="2">
        <v>0</v>
      </c>
      <c r="AH711" s="2">
        <v>0</v>
      </c>
      <c r="AI711" s="2">
        <v>0</v>
      </c>
      <c r="AJ711" s="2">
        <v>0</v>
      </c>
      <c r="AK711" s="2">
        <v>0</v>
      </c>
      <c r="AL711" s="2">
        <v>5.7</v>
      </c>
      <c r="AM711" s="2">
        <v>0</v>
      </c>
      <c r="AN711" s="2">
        <v>0</v>
      </c>
      <c r="AO711" s="2">
        <v>0</v>
      </c>
      <c r="AP711" s="2">
        <v>0</v>
      </c>
      <c r="AQ711" s="2">
        <v>0</v>
      </c>
    </row>
    <row r="712" spans="1:43" x14ac:dyDescent="0.25">
      <c r="A712" s="1">
        <v>45936</v>
      </c>
      <c r="B712" t="s">
        <v>48</v>
      </c>
      <c r="C712">
        <v>649163</v>
      </c>
      <c r="D712">
        <v>2029335783</v>
      </c>
      <c r="E712" t="s">
        <v>421</v>
      </c>
      <c r="F712" t="s">
        <v>98</v>
      </c>
      <c r="G712" t="s">
        <v>51</v>
      </c>
      <c r="H712" t="s">
        <v>101</v>
      </c>
      <c r="I712" t="s">
        <v>209</v>
      </c>
      <c r="J712" t="s">
        <v>232</v>
      </c>
      <c r="K712">
        <v>824062</v>
      </c>
      <c r="L712" t="s">
        <v>273</v>
      </c>
      <c r="M712" t="s">
        <v>274</v>
      </c>
      <c r="N712" t="s">
        <v>57</v>
      </c>
      <c r="O712" s="1">
        <v>45815</v>
      </c>
      <c r="Q712" s="1">
        <v>45968</v>
      </c>
      <c r="R712" s="2">
        <v>15</v>
      </c>
      <c r="S712">
        <v>1</v>
      </c>
      <c r="T712" t="s">
        <v>58</v>
      </c>
      <c r="U712" t="s">
        <v>359</v>
      </c>
      <c r="V712" s="3">
        <v>0.38</v>
      </c>
      <c r="W712" s="2">
        <v>0</v>
      </c>
      <c r="X712">
        <v>0</v>
      </c>
      <c r="Y712" t="s">
        <v>60</v>
      </c>
      <c r="Z712" t="s">
        <v>360</v>
      </c>
      <c r="AA712">
        <v>0</v>
      </c>
      <c r="AB712" s="2">
        <v>0</v>
      </c>
      <c r="AC712" s="2">
        <v>0</v>
      </c>
      <c r="AD712" s="3">
        <v>0</v>
      </c>
      <c r="AE712" s="2">
        <v>0</v>
      </c>
      <c r="AF712" s="2">
        <v>0</v>
      </c>
      <c r="AG712" s="2">
        <v>0</v>
      </c>
      <c r="AH712" s="2">
        <v>0</v>
      </c>
      <c r="AI712" s="2">
        <v>0</v>
      </c>
      <c r="AJ712" s="2">
        <v>0</v>
      </c>
      <c r="AK712" s="2">
        <v>0</v>
      </c>
      <c r="AL712" s="2">
        <v>5.7</v>
      </c>
      <c r="AM712" s="2">
        <v>0</v>
      </c>
      <c r="AN712" s="2">
        <v>0</v>
      </c>
      <c r="AO712" s="2">
        <v>0</v>
      </c>
      <c r="AP712" s="2">
        <v>0</v>
      </c>
      <c r="AQ712" s="2">
        <v>0</v>
      </c>
    </row>
    <row r="713" spans="1:43" x14ac:dyDescent="0.25">
      <c r="A713" s="1">
        <v>45936</v>
      </c>
      <c r="B713" t="s">
        <v>48</v>
      </c>
      <c r="C713">
        <v>649163</v>
      </c>
      <c r="D713">
        <v>2029738922</v>
      </c>
      <c r="E713" t="s">
        <v>422</v>
      </c>
      <c r="F713" t="s">
        <v>423</v>
      </c>
      <c r="G713" t="s">
        <v>51</v>
      </c>
      <c r="H713" t="s">
        <v>79</v>
      </c>
      <c r="I713" t="s">
        <v>209</v>
      </c>
      <c r="J713" t="s">
        <v>232</v>
      </c>
      <c r="K713">
        <v>673059</v>
      </c>
      <c r="L713" t="s">
        <v>80</v>
      </c>
      <c r="M713" t="s">
        <v>81</v>
      </c>
      <c r="N713" t="s">
        <v>57</v>
      </c>
      <c r="O713" s="1">
        <v>45846</v>
      </c>
      <c r="Q713" s="1">
        <v>45969</v>
      </c>
      <c r="R713" s="2">
        <v>15</v>
      </c>
      <c r="S713">
        <v>1</v>
      </c>
      <c r="T713" t="s">
        <v>58</v>
      </c>
      <c r="U713" t="s">
        <v>359</v>
      </c>
      <c r="V713" s="3">
        <v>0.38</v>
      </c>
      <c r="W713" s="2">
        <v>0</v>
      </c>
      <c r="X713">
        <v>0</v>
      </c>
      <c r="Y713" t="s">
        <v>60</v>
      </c>
      <c r="Z713" t="s">
        <v>360</v>
      </c>
      <c r="AA713">
        <v>0</v>
      </c>
      <c r="AB713" s="2">
        <v>0</v>
      </c>
      <c r="AC713" s="2">
        <v>0</v>
      </c>
      <c r="AD713" s="3">
        <v>0</v>
      </c>
      <c r="AE713" s="2">
        <v>0</v>
      </c>
      <c r="AF713" s="2">
        <v>0</v>
      </c>
      <c r="AG713" s="2">
        <v>0</v>
      </c>
      <c r="AH713" s="2">
        <v>0</v>
      </c>
      <c r="AI713" s="2">
        <v>0</v>
      </c>
      <c r="AJ713" s="2">
        <v>0</v>
      </c>
      <c r="AK713" s="2">
        <v>0</v>
      </c>
      <c r="AL713" s="2">
        <v>5.7</v>
      </c>
      <c r="AM713" s="2">
        <v>0</v>
      </c>
      <c r="AN713" s="2">
        <v>0</v>
      </c>
      <c r="AO713" s="2">
        <v>0</v>
      </c>
      <c r="AP713" s="2">
        <v>0</v>
      </c>
      <c r="AQ713" s="2">
        <v>0</v>
      </c>
    </row>
    <row r="714" spans="1:43" x14ac:dyDescent="0.25">
      <c r="A714" s="1">
        <v>45936</v>
      </c>
      <c r="B714" t="s">
        <v>48</v>
      </c>
      <c r="C714">
        <v>649163</v>
      </c>
      <c r="D714">
        <v>2029786428</v>
      </c>
      <c r="E714" t="s">
        <v>425</v>
      </c>
      <c r="F714" t="s">
        <v>426</v>
      </c>
      <c r="G714" t="s">
        <v>51</v>
      </c>
      <c r="H714" t="s">
        <v>427</v>
      </c>
      <c r="I714" t="s">
        <v>209</v>
      </c>
      <c r="J714" t="s">
        <v>232</v>
      </c>
      <c r="K714">
        <v>812994</v>
      </c>
      <c r="L714" t="s">
        <v>428</v>
      </c>
      <c r="M714" t="s">
        <v>309</v>
      </c>
      <c r="N714" t="s">
        <v>57</v>
      </c>
      <c r="O714" s="1">
        <v>45842</v>
      </c>
      <c r="Q714" s="1">
        <v>45965</v>
      </c>
      <c r="R714" s="2">
        <v>15</v>
      </c>
      <c r="S714">
        <v>1</v>
      </c>
      <c r="T714" t="s">
        <v>58</v>
      </c>
      <c r="U714" t="s">
        <v>359</v>
      </c>
      <c r="V714" s="3">
        <v>0.38</v>
      </c>
      <c r="W714" s="2">
        <v>0</v>
      </c>
      <c r="X714">
        <v>0</v>
      </c>
      <c r="Y714" t="s">
        <v>60</v>
      </c>
      <c r="Z714" t="s">
        <v>360</v>
      </c>
      <c r="AA714">
        <v>0</v>
      </c>
      <c r="AB714" s="2">
        <v>0</v>
      </c>
      <c r="AC714" s="2">
        <v>0</v>
      </c>
      <c r="AD714" s="3">
        <v>0</v>
      </c>
      <c r="AE714" s="2">
        <v>0</v>
      </c>
      <c r="AF714" s="2">
        <v>0</v>
      </c>
      <c r="AG714" s="2">
        <v>0</v>
      </c>
      <c r="AH714" s="2">
        <v>0</v>
      </c>
      <c r="AI714" s="2">
        <v>0</v>
      </c>
      <c r="AJ714" s="2">
        <v>0</v>
      </c>
      <c r="AK714" s="2">
        <v>0</v>
      </c>
      <c r="AL714" s="2">
        <v>5.7</v>
      </c>
      <c r="AM714" s="2">
        <v>0</v>
      </c>
      <c r="AN714" s="2">
        <v>0</v>
      </c>
      <c r="AO714" s="2">
        <v>0</v>
      </c>
      <c r="AP714" s="2">
        <v>0</v>
      </c>
      <c r="AQ714" s="2">
        <v>0</v>
      </c>
    </row>
    <row r="715" spans="1:43" x14ac:dyDescent="0.25">
      <c r="A715" s="1">
        <v>45936</v>
      </c>
      <c r="B715" t="s">
        <v>48</v>
      </c>
      <c r="C715">
        <v>649163</v>
      </c>
      <c r="D715">
        <v>2029786839</v>
      </c>
      <c r="E715" t="s">
        <v>429</v>
      </c>
      <c r="F715" t="s">
        <v>430</v>
      </c>
      <c r="G715" t="s">
        <v>51</v>
      </c>
      <c r="H715" t="s">
        <v>431</v>
      </c>
      <c r="I715" t="s">
        <v>209</v>
      </c>
      <c r="J715" t="s">
        <v>222</v>
      </c>
      <c r="K715">
        <v>751867</v>
      </c>
      <c r="L715" t="s">
        <v>71</v>
      </c>
      <c r="M715" t="s">
        <v>72</v>
      </c>
      <c r="N715" t="s">
        <v>57</v>
      </c>
      <c r="O715" s="1">
        <v>45842</v>
      </c>
      <c r="Q715" s="1">
        <v>45965</v>
      </c>
      <c r="R715" s="2">
        <v>15</v>
      </c>
      <c r="S715">
        <v>1</v>
      </c>
      <c r="T715" t="s">
        <v>58</v>
      </c>
      <c r="U715" t="s">
        <v>359</v>
      </c>
      <c r="V715" s="3">
        <v>0.38</v>
      </c>
      <c r="W715" s="2">
        <v>0</v>
      </c>
      <c r="X715">
        <v>0</v>
      </c>
      <c r="Y715" t="s">
        <v>60</v>
      </c>
      <c r="Z715" t="s">
        <v>360</v>
      </c>
      <c r="AA715">
        <v>0</v>
      </c>
      <c r="AB715" s="2">
        <v>0</v>
      </c>
      <c r="AC715" s="2">
        <v>0</v>
      </c>
      <c r="AD715" s="3">
        <v>0</v>
      </c>
      <c r="AE715" s="2">
        <v>0</v>
      </c>
      <c r="AF715" s="2">
        <v>0</v>
      </c>
      <c r="AG715" s="2">
        <v>0</v>
      </c>
      <c r="AH715" s="2">
        <v>0</v>
      </c>
      <c r="AI715" s="2">
        <v>0</v>
      </c>
      <c r="AJ715" s="2">
        <v>0</v>
      </c>
      <c r="AK715" s="2">
        <v>0</v>
      </c>
      <c r="AL715" s="2">
        <v>5.7</v>
      </c>
      <c r="AM715" s="2">
        <v>0</v>
      </c>
      <c r="AN715" s="2">
        <v>0</v>
      </c>
      <c r="AO715" s="2">
        <v>0</v>
      </c>
      <c r="AP715" s="2">
        <v>0</v>
      </c>
      <c r="AQ715" s="2">
        <v>0</v>
      </c>
    </row>
    <row r="716" spans="1:43" x14ac:dyDescent="0.25">
      <c r="A716" s="1">
        <v>45936</v>
      </c>
      <c r="B716" t="s">
        <v>48</v>
      </c>
      <c r="C716">
        <v>649163</v>
      </c>
      <c r="D716">
        <v>2029838337</v>
      </c>
      <c r="E716" t="s">
        <v>434</v>
      </c>
      <c r="F716" t="s">
        <v>435</v>
      </c>
      <c r="G716" t="s">
        <v>51</v>
      </c>
      <c r="H716" t="s">
        <v>101</v>
      </c>
      <c r="I716" t="s">
        <v>209</v>
      </c>
      <c r="J716" t="s">
        <v>232</v>
      </c>
      <c r="K716">
        <v>840313</v>
      </c>
      <c r="L716" t="s">
        <v>436</v>
      </c>
      <c r="M716" t="s">
        <v>437</v>
      </c>
      <c r="N716" t="s">
        <v>57</v>
      </c>
      <c r="O716" s="1">
        <v>45846</v>
      </c>
      <c r="Q716" s="1">
        <v>45969</v>
      </c>
      <c r="R716" s="2">
        <v>15</v>
      </c>
      <c r="S716">
        <v>1</v>
      </c>
      <c r="T716" t="s">
        <v>58</v>
      </c>
      <c r="U716" t="s">
        <v>359</v>
      </c>
      <c r="V716" s="3">
        <v>0.38</v>
      </c>
      <c r="W716" s="2">
        <v>0</v>
      </c>
      <c r="X716">
        <v>0</v>
      </c>
      <c r="Y716" t="s">
        <v>60</v>
      </c>
      <c r="Z716" t="s">
        <v>360</v>
      </c>
      <c r="AA716">
        <v>0</v>
      </c>
      <c r="AB716" s="2">
        <v>0</v>
      </c>
      <c r="AC716" s="2">
        <v>0</v>
      </c>
      <c r="AD716" s="3">
        <v>0</v>
      </c>
      <c r="AE716" s="2">
        <v>0</v>
      </c>
      <c r="AF716" s="2">
        <v>0</v>
      </c>
      <c r="AG716" s="2">
        <v>0</v>
      </c>
      <c r="AH716" s="2">
        <v>0</v>
      </c>
      <c r="AI716" s="2">
        <v>0</v>
      </c>
      <c r="AJ716" s="2">
        <v>0</v>
      </c>
      <c r="AK716" s="2">
        <v>0</v>
      </c>
      <c r="AL716" s="2">
        <v>5.7</v>
      </c>
      <c r="AM716" s="2">
        <v>0</v>
      </c>
      <c r="AN716" s="2">
        <v>0</v>
      </c>
      <c r="AO716" s="2">
        <v>0</v>
      </c>
      <c r="AP716" s="2">
        <v>0</v>
      </c>
      <c r="AQ716" s="2">
        <v>0</v>
      </c>
    </row>
    <row r="717" spans="1:43" x14ac:dyDescent="0.25">
      <c r="A717" s="1">
        <v>45936</v>
      </c>
      <c r="B717" t="s">
        <v>48</v>
      </c>
      <c r="C717">
        <v>649163</v>
      </c>
      <c r="D717">
        <v>2030277550</v>
      </c>
      <c r="E717" t="s">
        <v>439</v>
      </c>
      <c r="F717" t="s">
        <v>440</v>
      </c>
      <c r="G717" t="s">
        <v>51</v>
      </c>
      <c r="H717" t="s">
        <v>247</v>
      </c>
      <c r="I717" t="s">
        <v>209</v>
      </c>
      <c r="J717" t="s">
        <v>961</v>
      </c>
      <c r="K717">
        <v>673059</v>
      </c>
      <c r="L717" t="s">
        <v>80</v>
      </c>
      <c r="M717" t="s">
        <v>81</v>
      </c>
      <c r="N717" t="s">
        <v>57</v>
      </c>
      <c r="O717" s="1">
        <v>45878</v>
      </c>
      <c r="Q717" s="1">
        <v>45970</v>
      </c>
      <c r="R717" s="2">
        <v>15</v>
      </c>
      <c r="S717">
        <v>1</v>
      </c>
      <c r="T717" t="s">
        <v>58</v>
      </c>
      <c r="U717" t="s">
        <v>359</v>
      </c>
      <c r="V717" s="3">
        <v>0.19</v>
      </c>
      <c r="W717" s="2">
        <v>0</v>
      </c>
      <c r="X717">
        <v>0</v>
      </c>
      <c r="Y717" t="s">
        <v>60</v>
      </c>
      <c r="Z717" t="s">
        <v>360</v>
      </c>
      <c r="AA717">
        <v>0</v>
      </c>
      <c r="AB717" s="2">
        <v>0</v>
      </c>
      <c r="AC717" s="2">
        <v>0</v>
      </c>
      <c r="AD717" s="3">
        <v>0</v>
      </c>
      <c r="AE717" s="2">
        <v>0</v>
      </c>
      <c r="AF717" s="2">
        <v>0</v>
      </c>
      <c r="AG717" s="2">
        <v>0</v>
      </c>
      <c r="AH717" s="2">
        <v>0</v>
      </c>
      <c r="AI717" s="2">
        <v>0</v>
      </c>
      <c r="AJ717" s="2">
        <v>0</v>
      </c>
      <c r="AK717" s="2">
        <v>0</v>
      </c>
      <c r="AL717" s="2">
        <v>2.85</v>
      </c>
      <c r="AM717" s="2">
        <v>0</v>
      </c>
      <c r="AN717" s="2">
        <v>0</v>
      </c>
      <c r="AO717" s="2">
        <v>0</v>
      </c>
      <c r="AP717" s="2">
        <v>0</v>
      </c>
      <c r="AQ717" s="2">
        <v>0</v>
      </c>
    </row>
    <row r="718" spans="1:43" x14ac:dyDescent="0.25">
      <c r="A718" s="1">
        <v>45936</v>
      </c>
      <c r="B718" t="s">
        <v>48</v>
      </c>
      <c r="C718">
        <v>649163</v>
      </c>
      <c r="D718">
        <v>2030290667</v>
      </c>
      <c r="E718" t="s">
        <v>441</v>
      </c>
      <c r="F718" t="s">
        <v>442</v>
      </c>
      <c r="G718" t="s">
        <v>51</v>
      </c>
      <c r="H718" t="s">
        <v>390</v>
      </c>
      <c r="I718" t="s">
        <v>209</v>
      </c>
      <c r="J718" t="s">
        <v>222</v>
      </c>
      <c r="K718">
        <v>650218</v>
      </c>
      <c r="L718" t="s">
        <v>237</v>
      </c>
      <c r="M718" t="s">
        <v>238</v>
      </c>
      <c r="N718" t="s">
        <v>57</v>
      </c>
      <c r="O718" s="1">
        <v>45872</v>
      </c>
      <c r="Q718" s="1">
        <v>45964</v>
      </c>
      <c r="R718" s="2">
        <v>15</v>
      </c>
      <c r="S718">
        <v>1</v>
      </c>
      <c r="T718" t="s">
        <v>58</v>
      </c>
      <c r="U718" t="s">
        <v>359</v>
      </c>
      <c r="V718" s="3">
        <v>0.38</v>
      </c>
      <c r="W718" s="2">
        <v>0</v>
      </c>
      <c r="X718">
        <v>0</v>
      </c>
      <c r="Y718" t="s">
        <v>60</v>
      </c>
      <c r="Z718" t="s">
        <v>360</v>
      </c>
      <c r="AA718">
        <v>0</v>
      </c>
      <c r="AB718" s="2">
        <v>0</v>
      </c>
      <c r="AC718" s="2">
        <v>0</v>
      </c>
      <c r="AD718" s="3">
        <v>0</v>
      </c>
      <c r="AE718" s="2">
        <v>0</v>
      </c>
      <c r="AF718" s="2">
        <v>0</v>
      </c>
      <c r="AG718" s="2">
        <v>0</v>
      </c>
      <c r="AH718" s="2">
        <v>0</v>
      </c>
      <c r="AI718" s="2">
        <v>0</v>
      </c>
      <c r="AJ718" s="2">
        <v>0</v>
      </c>
      <c r="AK718" s="2">
        <v>0</v>
      </c>
      <c r="AL718" s="2">
        <v>5.7</v>
      </c>
      <c r="AM718" s="2">
        <v>0</v>
      </c>
      <c r="AN718" s="2">
        <v>0</v>
      </c>
      <c r="AO718" s="2">
        <v>0</v>
      </c>
      <c r="AP718" s="2">
        <v>0</v>
      </c>
      <c r="AQ718" s="2">
        <v>0</v>
      </c>
    </row>
    <row r="719" spans="1:43" x14ac:dyDescent="0.25">
      <c r="A719" s="1">
        <v>45936</v>
      </c>
      <c r="B719" t="s">
        <v>48</v>
      </c>
      <c r="C719">
        <v>649163</v>
      </c>
      <c r="D719">
        <v>2030339161</v>
      </c>
      <c r="E719" t="s">
        <v>627</v>
      </c>
      <c r="F719" t="s">
        <v>964</v>
      </c>
      <c r="G719" t="s">
        <v>51</v>
      </c>
      <c r="H719" t="s">
        <v>247</v>
      </c>
      <c r="I719" t="s">
        <v>209</v>
      </c>
      <c r="J719" t="s">
        <v>960</v>
      </c>
      <c r="K719">
        <v>874230</v>
      </c>
      <c r="L719" t="s">
        <v>554</v>
      </c>
      <c r="M719" t="s">
        <v>555</v>
      </c>
      <c r="N719" t="s">
        <v>57</v>
      </c>
      <c r="O719" s="1">
        <v>45875</v>
      </c>
      <c r="Q719" s="1">
        <v>45967</v>
      </c>
      <c r="R719" s="2">
        <v>15</v>
      </c>
      <c r="S719">
        <v>1</v>
      </c>
      <c r="T719" t="s">
        <v>58</v>
      </c>
      <c r="U719" t="s">
        <v>359</v>
      </c>
      <c r="V719" s="3">
        <v>0.19</v>
      </c>
      <c r="W719" s="2">
        <v>0</v>
      </c>
      <c r="X719">
        <v>0</v>
      </c>
      <c r="Y719" t="s">
        <v>60</v>
      </c>
      <c r="Z719" t="s">
        <v>360</v>
      </c>
      <c r="AA719">
        <v>0</v>
      </c>
      <c r="AB719" s="2">
        <v>0</v>
      </c>
      <c r="AC719" s="2">
        <v>0</v>
      </c>
      <c r="AD719" s="3">
        <v>0</v>
      </c>
      <c r="AE719" s="2">
        <v>0</v>
      </c>
      <c r="AF719" s="2">
        <v>0</v>
      </c>
      <c r="AG719" s="2">
        <v>0</v>
      </c>
      <c r="AH719" s="2">
        <v>0</v>
      </c>
      <c r="AI719" s="2">
        <v>0</v>
      </c>
      <c r="AJ719" s="2">
        <v>0</v>
      </c>
      <c r="AK719" s="2">
        <v>0</v>
      </c>
      <c r="AL719" s="2">
        <v>0</v>
      </c>
      <c r="AM719" s="2">
        <v>2.85</v>
      </c>
      <c r="AN719" s="2">
        <v>2.85</v>
      </c>
      <c r="AO719" s="2">
        <v>0</v>
      </c>
      <c r="AP719" s="2">
        <v>0</v>
      </c>
      <c r="AQ719" s="2">
        <v>0</v>
      </c>
    </row>
    <row r="720" spans="1:43" x14ac:dyDescent="0.25">
      <c r="A720" s="1">
        <v>45936</v>
      </c>
      <c r="B720" t="s">
        <v>48</v>
      </c>
      <c r="C720">
        <v>649163</v>
      </c>
      <c r="D720">
        <v>2030375984</v>
      </c>
      <c r="E720" t="s">
        <v>94</v>
      </c>
      <c r="F720" t="s">
        <v>548</v>
      </c>
      <c r="G720" t="s">
        <v>51</v>
      </c>
      <c r="H720" t="s">
        <v>150</v>
      </c>
      <c r="I720" t="s">
        <v>209</v>
      </c>
      <c r="J720" t="s">
        <v>217</v>
      </c>
      <c r="K720">
        <v>877790</v>
      </c>
      <c r="L720" t="s">
        <v>151</v>
      </c>
      <c r="M720" t="s">
        <v>152</v>
      </c>
      <c r="N720" t="s">
        <v>57</v>
      </c>
      <c r="O720" s="1">
        <v>45877</v>
      </c>
      <c r="Q720" s="1">
        <v>45969</v>
      </c>
      <c r="R720" s="2">
        <v>15</v>
      </c>
      <c r="S720">
        <v>1</v>
      </c>
      <c r="T720" t="s">
        <v>58</v>
      </c>
      <c r="U720" t="s">
        <v>359</v>
      </c>
      <c r="V720" s="3">
        <v>0.19</v>
      </c>
      <c r="W720" s="2">
        <v>0</v>
      </c>
      <c r="X720">
        <v>0</v>
      </c>
      <c r="Y720" t="s">
        <v>60</v>
      </c>
      <c r="Z720" t="s">
        <v>360</v>
      </c>
      <c r="AA720">
        <v>0</v>
      </c>
      <c r="AB720" s="2">
        <v>0</v>
      </c>
      <c r="AC720" s="2">
        <v>0</v>
      </c>
      <c r="AD720" s="3">
        <v>0</v>
      </c>
      <c r="AE720" s="2">
        <v>0</v>
      </c>
      <c r="AF720" s="2">
        <v>0</v>
      </c>
      <c r="AG720" s="2">
        <v>0</v>
      </c>
      <c r="AH720" s="2">
        <v>0</v>
      </c>
      <c r="AI720" s="2">
        <v>0</v>
      </c>
      <c r="AJ720" s="2">
        <v>0</v>
      </c>
      <c r="AK720" s="2">
        <v>0</v>
      </c>
      <c r="AL720" s="2">
        <v>2.85</v>
      </c>
      <c r="AM720" s="2">
        <v>0</v>
      </c>
      <c r="AN720" s="2">
        <v>0</v>
      </c>
      <c r="AO720" s="2">
        <v>0</v>
      </c>
      <c r="AP720" s="2">
        <v>0</v>
      </c>
      <c r="AQ720" s="2">
        <v>0</v>
      </c>
    </row>
    <row r="721" spans="1:43" x14ac:dyDescent="0.25">
      <c r="A721" s="1">
        <v>45936</v>
      </c>
      <c r="B721" t="s">
        <v>48</v>
      </c>
      <c r="C721">
        <v>649163</v>
      </c>
      <c r="D721">
        <v>2030399998</v>
      </c>
      <c r="E721" t="s">
        <v>447</v>
      </c>
      <c r="F721" t="s">
        <v>139</v>
      </c>
      <c r="G721" t="s">
        <v>51</v>
      </c>
      <c r="H721" t="s">
        <v>101</v>
      </c>
      <c r="I721" t="s">
        <v>209</v>
      </c>
      <c r="J721" t="s">
        <v>232</v>
      </c>
      <c r="K721">
        <v>824062</v>
      </c>
      <c r="L721" t="s">
        <v>273</v>
      </c>
      <c r="M721" t="s">
        <v>274</v>
      </c>
      <c r="N721" t="s">
        <v>57</v>
      </c>
      <c r="O721" s="1">
        <v>45878</v>
      </c>
      <c r="Q721" s="1">
        <v>45970</v>
      </c>
      <c r="R721" s="2">
        <v>15</v>
      </c>
      <c r="S721">
        <v>1</v>
      </c>
      <c r="T721" t="s">
        <v>58</v>
      </c>
      <c r="U721" t="s">
        <v>359</v>
      </c>
      <c r="V721" s="3">
        <v>0.38</v>
      </c>
      <c r="W721" s="2">
        <v>0</v>
      </c>
      <c r="X721">
        <v>0</v>
      </c>
      <c r="Y721" t="s">
        <v>60</v>
      </c>
      <c r="Z721" t="s">
        <v>360</v>
      </c>
      <c r="AA721">
        <v>0</v>
      </c>
      <c r="AB721" s="2">
        <v>0</v>
      </c>
      <c r="AC721" s="2">
        <v>0</v>
      </c>
      <c r="AD721" s="3">
        <v>0</v>
      </c>
      <c r="AE721" s="2">
        <v>0</v>
      </c>
      <c r="AF721" s="2">
        <v>0</v>
      </c>
      <c r="AG721" s="2">
        <v>0</v>
      </c>
      <c r="AH721" s="2">
        <v>0</v>
      </c>
      <c r="AI721" s="2">
        <v>0</v>
      </c>
      <c r="AJ721" s="2">
        <v>0</v>
      </c>
      <c r="AK721" s="2">
        <v>0</v>
      </c>
      <c r="AL721" s="2">
        <v>5.7</v>
      </c>
      <c r="AM721" s="2">
        <v>0</v>
      </c>
      <c r="AN721" s="2">
        <v>0</v>
      </c>
      <c r="AO721" s="2">
        <v>0</v>
      </c>
      <c r="AP721" s="2">
        <v>0</v>
      </c>
      <c r="AQ721" s="2">
        <v>0</v>
      </c>
    </row>
    <row r="722" spans="1:43" x14ac:dyDescent="0.25">
      <c r="A722" s="1">
        <v>45936</v>
      </c>
      <c r="B722" t="s">
        <v>48</v>
      </c>
      <c r="C722">
        <v>649163</v>
      </c>
      <c r="D722">
        <v>2030896176</v>
      </c>
      <c r="E722" t="s">
        <v>448</v>
      </c>
      <c r="F722" t="s">
        <v>449</v>
      </c>
      <c r="G722" t="s">
        <v>51</v>
      </c>
      <c r="H722" t="s">
        <v>101</v>
      </c>
      <c r="I722" t="s">
        <v>209</v>
      </c>
      <c r="J722" t="s">
        <v>232</v>
      </c>
      <c r="K722">
        <v>820873</v>
      </c>
      <c r="L722" t="s">
        <v>134</v>
      </c>
      <c r="M722" t="s">
        <v>135</v>
      </c>
      <c r="N722" t="s">
        <v>57</v>
      </c>
      <c r="O722" s="1">
        <v>45906</v>
      </c>
      <c r="Q722" s="1">
        <v>45967</v>
      </c>
      <c r="R722" s="2">
        <v>15</v>
      </c>
      <c r="S722">
        <v>1</v>
      </c>
      <c r="T722" t="s">
        <v>58</v>
      </c>
      <c r="U722" t="s">
        <v>359</v>
      </c>
      <c r="V722" s="3">
        <v>0.38</v>
      </c>
      <c r="W722" s="2">
        <v>0</v>
      </c>
      <c r="X722">
        <v>0</v>
      </c>
      <c r="Y722" t="s">
        <v>60</v>
      </c>
      <c r="Z722" t="s">
        <v>360</v>
      </c>
      <c r="AA722">
        <v>0</v>
      </c>
      <c r="AB722" s="2">
        <v>0</v>
      </c>
      <c r="AC722" s="2">
        <v>0</v>
      </c>
      <c r="AD722" s="3">
        <v>0</v>
      </c>
      <c r="AE722" s="2">
        <v>0</v>
      </c>
      <c r="AF722" s="2">
        <v>0</v>
      </c>
      <c r="AG722" s="2">
        <v>0</v>
      </c>
      <c r="AH722" s="2">
        <v>0</v>
      </c>
      <c r="AI722" s="2">
        <v>0</v>
      </c>
      <c r="AJ722" s="2">
        <v>0</v>
      </c>
      <c r="AK722" s="2">
        <v>0</v>
      </c>
      <c r="AL722" s="2">
        <v>5.7</v>
      </c>
      <c r="AM722" s="2">
        <v>0</v>
      </c>
      <c r="AN722" s="2">
        <v>0</v>
      </c>
      <c r="AO722" s="2">
        <v>0</v>
      </c>
      <c r="AP722" s="2">
        <v>0</v>
      </c>
      <c r="AQ722" s="2">
        <v>0</v>
      </c>
    </row>
    <row r="723" spans="1:43" x14ac:dyDescent="0.25">
      <c r="A723" s="1">
        <v>45936</v>
      </c>
      <c r="B723" t="s">
        <v>48</v>
      </c>
      <c r="C723">
        <v>649163</v>
      </c>
      <c r="D723">
        <v>2030905165</v>
      </c>
      <c r="E723" t="s">
        <v>549</v>
      </c>
      <c r="F723" t="s">
        <v>550</v>
      </c>
      <c r="G723" t="s">
        <v>51</v>
      </c>
      <c r="H723" t="s">
        <v>52</v>
      </c>
      <c r="I723" t="s">
        <v>209</v>
      </c>
      <c r="J723" t="s">
        <v>225</v>
      </c>
      <c r="K723">
        <v>753748</v>
      </c>
      <c r="L723" t="s">
        <v>97</v>
      </c>
      <c r="M723" t="s">
        <v>98</v>
      </c>
      <c r="N723" t="s">
        <v>57</v>
      </c>
      <c r="O723" s="1">
        <v>45906</v>
      </c>
      <c r="Q723" s="1">
        <v>45967</v>
      </c>
      <c r="R723" s="2">
        <v>15</v>
      </c>
      <c r="S723">
        <v>1</v>
      </c>
      <c r="T723" t="s">
        <v>58</v>
      </c>
      <c r="U723" t="s">
        <v>359</v>
      </c>
      <c r="V723" s="3">
        <v>0.28999999999999998</v>
      </c>
      <c r="W723" s="2">
        <v>0</v>
      </c>
      <c r="X723">
        <v>0</v>
      </c>
      <c r="Y723" t="s">
        <v>60</v>
      </c>
      <c r="Z723" t="s">
        <v>360</v>
      </c>
      <c r="AA723">
        <v>0</v>
      </c>
      <c r="AB723" s="2">
        <v>0</v>
      </c>
      <c r="AC723" s="2">
        <v>0</v>
      </c>
      <c r="AD723" s="3">
        <v>0</v>
      </c>
      <c r="AE723" s="2">
        <v>0</v>
      </c>
      <c r="AF723" s="2">
        <v>0</v>
      </c>
      <c r="AG723" s="2">
        <v>0</v>
      </c>
      <c r="AH723" s="2">
        <v>0</v>
      </c>
      <c r="AI723" s="2">
        <v>0</v>
      </c>
      <c r="AJ723" s="2">
        <v>0</v>
      </c>
      <c r="AK723" s="2">
        <v>0</v>
      </c>
      <c r="AL723" s="2">
        <v>4.3499999999999996</v>
      </c>
      <c r="AM723" s="2">
        <v>0</v>
      </c>
      <c r="AN723" s="2">
        <v>0</v>
      </c>
      <c r="AO723" s="2">
        <v>0</v>
      </c>
      <c r="AP723" s="2">
        <v>0</v>
      </c>
      <c r="AQ723" s="2">
        <v>0</v>
      </c>
    </row>
    <row r="724" spans="1:43" x14ac:dyDescent="0.25">
      <c r="A724" s="1">
        <v>45936</v>
      </c>
      <c r="B724" t="s">
        <v>48</v>
      </c>
      <c r="C724">
        <v>649163</v>
      </c>
      <c r="D724">
        <v>2030917279</v>
      </c>
      <c r="E724" t="s">
        <v>551</v>
      </c>
      <c r="F724" t="s">
        <v>552</v>
      </c>
      <c r="G724" t="s">
        <v>51</v>
      </c>
      <c r="H724" t="s">
        <v>247</v>
      </c>
      <c r="I724" t="s">
        <v>209</v>
      </c>
      <c r="J724" t="s">
        <v>960</v>
      </c>
      <c r="K724">
        <v>874230</v>
      </c>
      <c r="L724" t="s">
        <v>554</v>
      </c>
      <c r="M724" t="s">
        <v>555</v>
      </c>
      <c r="N724" t="s">
        <v>57</v>
      </c>
      <c r="O724" s="1">
        <v>45910</v>
      </c>
      <c r="Q724" s="1">
        <v>45971</v>
      </c>
      <c r="R724" s="2">
        <v>15</v>
      </c>
      <c r="S724">
        <v>1</v>
      </c>
      <c r="T724" t="s">
        <v>58</v>
      </c>
      <c r="U724" t="s">
        <v>359</v>
      </c>
      <c r="V724" s="3">
        <v>0.19</v>
      </c>
      <c r="W724" s="2">
        <v>0</v>
      </c>
      <c r="X724">
        <v>0</v>
      </c>
      <c r="Y724" t="s">
        <v>60</v>
      </c>
      <c r="Z724" t="s">
        <v>360</v>
      </c>
      <c r="AA724">
        <v>0</v>
      </c>
      <c r="AB724" s="2">
        <v>0</v>
      </c>
      <c r="AC724" s="2">
        <v>0</v>
      </c>
      <c r="AD724" s="3">
        <v>0</v>
      </c>
      <c r="AE724" s="2">
        <v>0</v>
      </c>
      <c r="AF724" s="2">
        <v>0</v>
      </c>
      <c r="AG724" s="2">
        <v>0</v>
      </c>
      <c r="AH724" s="2">
        <v>0</v>
      </c>
      <c r="AI724" s="2">
        <v>0</v>
      </c>
      <c r="AJ724" s="2">
        <v>0</v>
      </c>
      <c r="AK724" s="2">
        <v>0</v>
      </c>
      <c r="AL724" s="2">
        <v>2.85</v>
      </c>
      <c r="AM724" s="2">
        <v>0</v>
      </c>
      <c r="AN724" s="2">
        <v>0</v>
      </c>
      <c r="AO724" s="2">
        <v>0</v>
      </c>
      <c r="AP724" s="2">
        <v>0</v>
      </c>
      <c r="AQ724" s="2">
        <v>0</v>
      </c>
    </row>
    <row r="725" spans="1:43" x14ac:dyDescent="0.25">
      <c r="A725" s="1">
        <v>45936</v>
      </c>
      <c r="B725" t="s">
        <v>48</v>
      </c>
      <c r="C725">
        <v>649163</v>
      </c>
      <c r="D725">
        <v>2030933674</v>
      </c>
      <c r="E725" t="s">
        <v>955</v>
      </c>
      <c r="F725" t="s">
        <v>956</v>
      </c>
      <c r="G725" t="s">
        <v>51</v>
      </c>
      <c r="H725" t="s">
        <v>105</v>
      </c>
      <c r="I725" t="s">
        <v>209</v>
      </c>
      <c r="J725" t="s">
        <v>963</v>
      </c>
      <c r="K725">
        <v>823068</v>
      </c>
      <c r="L725" t="s">
        <v>106</v>
      </c>
      <c r="M725" t="s">
        <v>107</v>
      </c>
      <c r="N725" t="s">
        <v>57</v>
      </c>
      <c r="O725" s="1">
        <v>45909</v>
      </c>
      <c r="Q725" s="1">
        <v>45970</v>
      </c>
      <c r="R725" s="2">
        <v>19.5</v>
      </c>
      <c r="S725">
        <v>1</v>
      </c>
      <c r="T725" t="s">
        <v>58</v>
      </c>
      <c r="U725" t="s">
        <v>59</v>
      </c>
      <c r="V725" s="3">
        <v>0.39</v>
      </c>
      <c r="W725" s="2">
        <v>0</v>
      </c>
      <c r="X725">
        <v>0</v>
      </c>
      <c r="Y725" t="s">
        <v>60</v>
      </c>
      <c r="Z725" t="s">
        <v>360</v>
      </c>
      <c r="AA725">
        <v>0</v>
      </c>
      <c r="AB725" s="2">
        <v>0</v>
      </c>
      <c r="AC725" s="2">
        <v>0</v>
      </c>
      <c r="AD725" s="3">
        <v>0</v>
      </c>
      <c r="AE725" s="2">
        <v>0</v>
      </c>
      <c r="AF725" s="2">
        <v>0</v>
      </c>
      <c r="AG725" s="2">
        <v>0</v>
      </c>
      <c r="AH725" s="2">
        <v>0</v>
      </c>
      <c r="AI725" s="2">
        <v>0</v>
      </c>
      <c r="AJ725" s="2">
        <v>0</v>
      </c>
      <c r="AK725" s="2">
        <v>0</v>
      </c>
      <c r="AL725" s="2">
        <v>7.6</v>
      </c>
      <c r="AM725" s="2">
        <v>0</v>
      </c>
      <c r="AN725" s="2">
        <v>0</v>
      </c>
      <c r="AO725" s="2">
        <v>0</v>
      </c>
      <c r="AP725" s="2">
        <v>0</v>
      </c>
      <c r="AQ725" s="2">
        <v>0</v>
      </c>
    </row>
    <row r="726" spans="1:43" x14ac:dyDescent="0.25">
      <c r="A726" s="1">
        <v>45936</v>
      </c>
      <c r="B726" t="s">
        <v>48</v>
      </c>
      <c r="C726">
        <v>649163</v>
      </c>
      <c r="D726">
        <v>2030934310</v>
      </c>
      <c r="E726" t="s">
        <v>556</v>
      </c>
      <c r="F726" t="s">
        <v>557</v>
      </c>
      <c r="G726" t="s">
        <v>51</v>
      </c>
      <c r="H726" t="s">
        <v>427</v>
      </c>
      <c r="I726" t="s">
        <v>209</v>
      </c>
      <c r="J726" t="s">
        <v>225</v>
      </c>
      <c r="K726">
        <v>812994</v>
      </c>
      <c r="L726" t="s">
        <v>428</v>
      </c>
      <c r="M726" t="s">
        <v>309</v>
      </c>
      <c r="N726" t="s">
        <v>456</v>
      </c>
      <c r="O726" s="1">
        <v>45909</v>
      </c>
      <c r="P726" s="1">
        <v>45936</v>
      </c>
      <c r="Q726" s="1">
        <v>45939</v>
      </c>
      <c r="R726" s="2">
        <v>-2.5</v>
      </c>
      <c r="S726">
        <v>1</v>
      </c>
      <c r="T726" t="s">
        <v>58</v>
      </c>
      <c r="U726" t="s">
        <v>221</v>
      </c>
      <c r="V726" s="3">
        <v>0.28999999999999998</v>
      </c>
      <c r="W726" s="2">
        <v>0</v>
      </c>
      <c r="X726">
        <v>-1</v>
      </c>
      <c r="Y726" t="s">
        <v>60</v>
      </c>
      <c r="Z726" t="s">
        <v>360</v>
      </c>
      <c r="AA726">
        <v>0</v>
      </c>
      <c r="AB726" s="2">
        <v>0</v>
      </c>
      <c r="AC726" s="2">
        <v>0</v>
      </c>
      <c r="AD726" s="3">
        <v>0</v>
      </c>
      <c r="AE726" s="2">
        <v>0</v>
      </c>
      <c r="AF726" s="2">
        <v>0</v>
      </c>
      <c r="AG726" s="2">
        <v>0</v>
      </c>
      <c r="AH726" s="2">
        <v>0</v>
      </c>
      <c r="AI726" s="2">
        <v>0</v>
      </c>
      <c r="AJ726" s="2">
        <v>0</v>
      </c>
      <c r="AK726" s="2">
        <v>0</v>
      </c>
      <c r="AL726" s="2">
        <v>0</v>
      </c>
      <c r="AM726" s="2">
        <v>-0.72</v>
      </c>
      <c r="AN726" s="2">
        <v>-0.72</v>
      </c>
      <c r="AO726" s="2">
        <v>0</v>
      </c>
      <c r="AP726" s="2">
        <v>0</v>
      </c>
      <c r="AQ726" s="2">
        <v>0</v>
      </c>
    </row>
    <row r="727" spans="1:43" x14ac:dyDescent="0.25">
      <c r="A727" s="1">
        <v>45936</v>
      </c>
      <c r="B727" t="s">
        <v>48</v>
      </c>
      <c r="C727">
        <v>649163</v>
      </c>
      <c r="D727">
        <v>2030945125</v>
      </c>
      <c r="E727" t="s">
        <v>388</v>
      </c>
      <c r="F727" t="s">
        <v>453</v>
      </c>
      <c r="G727" t="s">
        <v>51</v>
      </c>
      <c r="H727" t="s">
        <v>101</v>
      </c>
      <c r="I727" t="s">
        <v>209</v>
      </c>
      <c r="J727" t="s">
        <v>222</v>
      </c>
      <c r="K727">
        <v>820873</v>
      </c>
      <c r="L727" t="s">
        <v>134</v>
      </c>
      <c r="M727" t="s">
        <v>135</v>
      </c>
      <c r="N727" t="s">
        <v>57</v>
      </c>
      <c r="O727" s="1">
        <v>45909</v>
      </c>
      <c r="Q727" s="1">
        <v>45970</v>
      </c>
      <c r="R727" s="2">
        <v>15</v>
      </c>
      <c r="S727">
        <v>1</v>
      </c>
      <c r="T727" t="s">
        <v>58</v>
      </c>
      <c r="U727" t="s">
        <v>59</v>
      </c>
      <c r="V727" s="3">
        <v>0.38</v>
      </c>
      <c r="W727" s="2">
        <v>0</v>
      </c>
      <c r="X727">
        <v>0</v>
      </c>
      <c r="Y727" t="s">
        <v>60</v>
      </c>
      <c r="Z727" t="s">
        <v>360</v>
      </c>
      <c r="AA727">
        <v>0</v>
      </c>
      <c r="AB727" s="2">
        <v>0</v>
      </c>
      <c r="AC727" s="2">
        <v>0</v>
      </c>
      <c r="AD727" s="3">
        <v>0</v>
      </c>
      <c r="AE727" s="2">
        <v>0</v>
      </c>
      <c r="AF727" s="2">
        <v>0</v>
      </c>
      <c r="AG727" s="2">
        <v>0</v>
      </c>
      <c r="AH727" s="2">
        <v>0</v>
      </c>
      <c r="AI727" s="2">
        <v>0</v>
      </c>
      <c r="AJ727" s="2">
        <v>0</v>
      </c>
      <c r="AK727" s="2">
        <v>0</v>
      </c>
      <c r="AL727" s="2">
        <v>5.7</v>
      </c>
      <c r="AM727" s="2">
        <v>0</v>
      </c>
      <c r="AN727" s="2">
        <v>0</v>
      </c>
      <c r="AO727" s="2">
        <v>0</v>
      </c>
      <c r="AP727" s="2">
        <v>0</v>
      </c>
      <c r="AQ727" s="2">
        <v>0</v>
      </c>
    </row>
    <row r="728" spans="1:43" x14ac:dyDescent="0.25">
      <c r="A728" s="1">
        <v>45936</v>
      </c>
      <c r="B728" t="s">
        <v>48</v>
      </c>
      <c r="C728">
        <v>649163</v>
      </c>
      <c r="D728">
        <v>2030954482</v>
      </c>
      <c r="E728" t="s">
        <v>454</v>
      </c>
      <c r="F728" t="s">
        <v>455</v>
      </c>
      <c r="G728" t="s">
        <v>51</v>
      </c>
      <c r="H728" t="s">
        <v>101</v>
      </c>
      <c r="I728" t="s">
        <v>209</v>
      </c>
      <c r="J728" t="s">
        <v>965</v>
      </c>
      <c r="K728">
        <v>856824</v>
      </c>
      <c r="L728" t="s">
        <v>298</v>
      </c>
      <c r="M728" t="s">
        <v>299</v>
      </c>
      <c r="N728" t="s">
        <v>57</v>
      </c>
      <c r="O728" s="1">
        <v>45910</v>
      </c>
      <c r="Q728" s="1">
        <v>45971</v>
      </c>
      <c r="R728" s="2">
        <v>35.04</v>
      </c>
      <c r="S728">
        <v>1</v>
      </c>
      <c r="T728" t="s">
        <v>58</v>
      </c>
      <c r="U728" t="s">
        <v>59</v>
      </c>
      <c r="V728" s="3">
        <v>0.38</v>
      </c>
      <c r="W728" s="2">
        <v>0</v>
      </c>
      <c r="X728">
        <v>0</v>
      </c>
      <c r="Y728" t="s">
        <v>60</v>
      </c>
      <c r="Z728" t="s">
        <v>360</v>
      </c>
      <c r="AA728">
        <v>0</v>
      </c>
      <c r="AB728" s="2">
        <v>0</v>
      </c>
      <c r="AC728" s="2">
        <v>0</v>
      </c>
      <c r="AD728" s="3">
        <v>0</v>
      </c>
      <c r="AE728" s="2">
        <v>0</v>
      </c>
      <c r="AF728" s="2">
        <v>0</v>
      </c>
      <c r="AG728" s="2">
        <v>0</v>
      </c>
      <c r="AH728" s="2">
        <v>0</v>
      </c>
      <c r="AI728" s="2">
        <v>0</v>
      </c>
      <c r="AJ728" s="2">
        <v>0</v>
      </c>
      <c r="AK728" s="2">
        <v>0</v>
      </c>
      <c r="AL728" s="2">
        <v>13.32</v>
      </c>
      <c r="AM728" s="2">
        <v>0</v>
      </c>
      <c r="AN728" s="2">
        <v>0</v>
      </c>
      <c r="AO728" s="2">
        <v>0</v>
      </c>
      <c r="AP728" s="2">
        <v>0</v>
      </c>
      <c r="AQ728" s="2">
        <v>0</v>
      </c>
    </row>
    <row r="729" spans="1:43" x14ac:dyDescent="0.25">
      <c r="A729" s="1">
        <v>45936</v>
      </c>
      <c r="B729" t="s">
        <v>48</v>
      </c>
      <c r="C729">
        <v>649163</v>
      </c>
      <c r="D729">
        <v>2030954483</v>
      </c>
      <c r="E729" t="s">
        <v>454</v>
      </c>
      <c r="F729" t="s">
        <v>455</v>
      </c>
      <c r="G729" t="s">
        <v>51</v>
      </c>
      <c r="H729" t="s">
        <v>101</v>
      </c>
      <c r="I729" t="s">
        <v>209</v>
      </c>
      <c r="J729" t="s">
        <v>232</v>
      </c>
      <c r="K729">
        <v>856824</v>
      </c>
      <c r="L729" t="s">
        <v>298</v>
      </c>
      <c r="M729" t="s">
        <v>299</v>
      </c>
      <c r="N729" t="s">
        <v>57</v>
      </c>
      <c r="O729" s="1">
        <v>45910</v>
      </c>
      <c r="Q729" s="1">
        <v>45971</v>
      </c>
      <c r="R729" s="2">
        <v>15</v>
      </c>
      <c r="S729">
        <v>1</v>
      </c>
      <c r="T729" t="s">
        <v>58</v>
      </c>
      <c r="U729" t="s">
        <v>221</v>
      </c>
      <c r="V729" s="3">
        <v>0.38</v>
      </c>
      <c r="W729" s="2">
        <v>0</v>
      </c>
      <c r="X729">
        <v>0</v>
      </c>
      <c r="Y729" t="s">
        <v>60</v>
      </c>
      <c r="Z729" t="s">
        <v>360</v>
      </c>
      <c r="AA729">
        <v>0</v>
      </c>
      <c r="AB729" s="2">
        <v>0</v>
      </c>
      <c r="AC729" s="2">
        <v>0</v>
      </c>
      <c r="AD729" s="3">
        <v>0</v>
      </c>
      <c r="AE729" s="2">
        <v>0</v>
      </c>
      <c r="AF729" s="2">
        <v>0</v>
      </c>
      <c r="AG729" s="2">
        <v>0</v>
      </c>
      <c r="AH729" s="2">
        <v>0</v>
      </c>
      <c r="AI729" s="2">
        <v>0</v>
      </c>
      <c r="AJ729" s="2">
        <v>0</v>
      </c>
      <c r="AK729" s="2">
        <v>0</v>
      </c>
      <c r="AL729" s="2">
        <v>5.7</v>
      </c>
      <c r="AM729" s="2">
        <v>0</v>
      </c>
      <c r="AN729" s="2">
        <v>0</v>
      </c>
      <c r="AO729" s="2">
        <v>0</v>
      </c>
      <c r="AP729" s="2">
        <v>0</v>
      </c>
      <c r="AQ729" s="2">
        <v>0</v>
      </c>
    </row>
    <row r="730" spans="1:43" x14ac:dyDescent="0.25">
      <c r="A730" s="1">
        <v>45936</v>
      </c>
      <c r="B730" t="s">
        <v>48</v>
      </c>
      <c r="C730">
        <v>649163</v>
      </c>
      <c r="D730">
        <v>2030985509</v>
      </c>
      <c r="E730" t="s">
        <v>423</v>
      </c>
      <c r="F730" t="s">
        <v>259</v>
      </c>
      <c r="G730" t="s">
        <v>51</v>
      </c>
      <c r="H730" t="s">
        <v>101</v>
      </c>
      <c r="I730" t="s">
        <v>209</v>
      </c>
      <c r="J730" t="s">
        <v>232</v>
      </c>
      <c r="K730">
        <v>814033</v>
      </c>
      <c r="L730" t="s">
        <v>256</v>
      </c>
      <c r="M730" t="s">
        <v>165</v>
      </c>
      <c r="N730" t="s">
        <v>456</v>
      </c>
      <c r="O730" s="1">
        <v>45912</v>
      </c>
      <c r="P730" s="1">
        <v>45936</v>
      </c>
      <c r="Q730" s="1">
        <v>45942</v>
      </c>
      <c r="R730" s="2">
        <v>-5</v>
      </c>
      <c r="S730">
        <v>1</v>
      </c>
      <c r="T730" t="s">
        <v>58</v>
      </c>
      <c r="U730" t="s">
        <v>221</v>
      </c>
      <c r="V730" s="3">
        <v>0.38</v>
      </c>
      <c r="W730" s="2">
        <v>0</v>
      </c>
      <c r="X730">
        <v>-1</v>
      </c>
      <c r="Y730" t="s">
        <v>60</v>
      </c>
      <c r="Z730" t="s">
        <v>360</v>
      </c>
      <c r="AA730">
        <v>0</v>
      </c>
      <c r="AB730" s="2">
        <v>0</v>
      </c>
      <c r="AC730" s="2">
        <v>0</v>
      </c>
      <c r="AD730" s="3">
        <v>0</v>
      </c>
      <c r="AE730" s="2">
        <v>0</v>
      </c>
      <c r="AF730" s="2">
        <v>0</v>
      </c>
      <c r="AG730" s="2">
        <v>0</v>
      </c>
      <c r="AH730" s="2">
        <v>0</v>
      </c>
      <c r="AI730" s="2">
        <v>0</v>
      </c>
      <c r="AJ730" s="2">
        <v>0</v>
      </c>
      <c r="AK730" s="2">
        <v>0</v>
      </c>
      <c r="AL730" s="2">
        <v>0</v>
      </c>
      <c r="AM730" s="2">
        <v>-1.9</v>
      </c>
      <c r="AN730" s="2">
        <v>-1.9</v>
      </c>
      <c r="AO730" s="2">
        <v>0</v>
      </c>
      <c r="AP730" s="2">
        <v>0</v>
      </c>
      <c r="AQ730" s="2">
        <v>0</v>
      </c>
    </row>
    <row r="731" spans="1:43" x14ac:dyDescent="0.25">
      <c r="A731" s="1">
        <v>45936</v>
      </c>
      <c r="B731" t="s">
        <v>48</v>
      </c>
      <c r="C731">
        <v>649163</v>
      </c>
      <c r="D731">
        <v>2031250522</v>
      </c>
      <c r="E731" t="s">
        <v>457</v>
      </c>
      <c r="F731" t="s">
        <v>458</v>
      </c>
      <c r="G731" t="s">
        <v>51</v>
      </c>
      <c r="H731" t="s">
        <v>101</v>
      </c>
      <c r="I731" t="s">
        <v>209</v>
      </c>
      <c r="J731" t="s">
        <v>232</v>
      </c>
      <c r="K731">
        <v>673059</v>
      </c>
      <c r="L731" t="s">
        <v>80</v>
      </c>
      <c r="M731" t="s">
        <v>81</v>
      </c>
      <c r="N731" t="s">
        <v>456</v>
      </c>
      <c r="O731" s="1">
        <v>45931</v>
      </c>
      <c r="P731" s="1">
        <v>45936</v>
      </c>
      <c r="Q731" s="1">
        <v>45962</v>
      </c>
      <c r="R731" s="2">
        <v>-15</v>
      </c>
      <c r="S731">
        <v>1</v>
      </c>
      <c r="T731" t="s">
        <v>58</v>
      </c>
      <c r="U731" t="s">
        <v>213</v>
      </c>
      <c r="V731" s="3">
        <v>0.38</v>
      </c>
      <c r="W731" s="2">
        <v>0</v>
      </c>
      <c r="X731">
        <v>-1</v>
      </c>
      <c r="Y731" t="s">
        <v>60</v>
      </c>
      <c r="Z731" t="s">
        <v>360</v>
      </c>
      <c r="AA731">
        <v>0</v>
      </c>
      <c r="AB731" s="2">
        <v>0</v>
      </c>
      <c r="AC731" s="2">
        <v>0</v>
      </c>
      <c r="AD731" s="3">
        <v>0</v>
      </c>
      <c r="AE731" s="2">
        <v>0</v>
      </c>
      <c r="AF731" s="2">
        <v>0</v>
      </c>
      <c r="AG731" s="2">
        <v>0</v>
      </c>
      <c r="AH731" s="2">
        <v>0</v>
      </c>
      <c r="AI731" s="2">
        <v>0</v>
      </c>
      <c r="AJ731" s="2">
        <v>0</v>
      </c>
      <c r="AK731" s="2">
        <v>0</v>
      </c>
      <c r="AL731" s="2">
        <v>0</v>
      </c>
      <c r="AM731" s="2">
        <v>-5.7</v>
      </c>
      <c r="AN731" s="2">
        <v>-5.7</v>
      </c>
      <c r="AO731" s="2">
        <v>0</v>
      </c>
      <c r="AP731" s="2">
        <v>0</v>
      </c>
      <c r="AQ731" s="2">
        <v>0</v>
      </c>
    </row>
    <row r="732" spans="1:43" x14ac:dyDescent="0.25">
      <c r="A732" s="1">
        <v>45936</v>
      </c>
      <c r="B732" t="s">
        <v>48</v>
      </c>
      <c r="C732">
        <v>649163</v>
      </c>
      <c r="D732">
        <v>2016750307</v>
      </c>
      <c r="E732" t="s">
        <v>357</v>
      </c>
      <c r="F732" t="s">
        <v>358</v>
      </c>
      <c r="G732" t="s">
        <v>51</v>
      </c>
      <c r="H732" t="s">
        <v>88</v>
      </c>
      <c r="I732" t="s">
        <v>243</v>
      </c>
      <c r="J732" t="s">
        <v>244</v>
      </c>
      <c r="K732">
        <v>652037</v>
      </c>
      <c r="L732" t="s">
        <v>172</v>
      </c>
      <c r="M732" t="s">
        <v>173</v>
      </c>
      <c r="N732" t="s">
        <v>57</v>
      </c>
      <c r="O732" s="1">
        <v>44873</v>
      </c>
      <c r="Q732" s="1">
        <v>45969</v>
      </c>
      <c r="R732" s="2">
        <v>58.09</v>
      </c>
      <c r="S732">
        <v>1</v>
      </c>
      <c r="T732" t="s">
        <v>58</v>
      </c>
      <c r="U732" t="s">
        <v>359</v>
      </c>
      <c r="V732" s="3">
        <v>0.06</v>
      </c>
      <c r="W732" s="2">
        <v>0</v>
      </c>
      <c r="X732">
        <v>0</v>
      </c>
      <c r="Y732" t="s">
        <v>214</v>
      </c>
      <c r="Z732" t="s">
        <v>360</v>
      </c>
      <c r="AA732">
        <v>0</v>
      </c>
      <c r="AB732" s="2">
        <v>0</v>
      </c>
      <c r="AC732" s="2">
        <v>0</v>
      </c>
      <c r="AD732" s="3">
        <v>0</v>
      </c>
      <c r="AE732" s="2">
        <v>0</v>
      </c>
      <c r="AF732" s="2">
        <v>0</v>
      </c>
      <c r="AG732" s="2">
        <v>0</v>
      </c>
      <c r="AH732" s="2">
        <v>0</v>
      </c>
      <c r="AI732" s="2">
        <v>0</v>
      </c>
      <c r="AJ732" s="2">
        <v>0</v>
      </c>
      <c r="AK732" s="2">
        <v>0</v>
      </c>
      <c r="AL732" s="2">
        <v>0</v>
      </c>
      <c r="AM732" s="2">
        <v>3.49</v>
      </c>
      <c r="AN732" s="2">
        <v>3.49</v>
      </c>
      <c r="AO732" s="2">
        <v>0</v>
      </c>
      <c r="AP732" s="2">
        <v>0</v>
      </c>
      <c r="AQ732" s="2">
        <v>0</v>
      </c>
    </row>
    <row r="733" spans="1:43" x14ac:dyDescent="0.25">
      <c r="A733" s="1">
        <v>45936</v>
      </c>
      <c r="B733" t="s">
        <v>48</v>
      </c>
      <c r="C733">
        <v>649163</v>
      </c>
      <c r="D733">
        <v>2016770176</v>
      </c>
      <c r="E733" t="s">
        <v>966</v>
      </c>
      <c r="F733" t="s">
        <v>644</v>
      </c>
      <c r="G733" t="s">
        <v>51</v>
      </c>
      <c r="H733" t="s">
        <v>52</v>
      </c>
      <c r="I733" t="s">
        <v>243</v>
      </c>
      <c r="J733" t="s">
        <v>244</v>
      </c>
      <c r="K733">
        <v>651818</v>
      </c>
      <c r="L733" t="s">
        <v>112</v>
      </c>
      <c r="M733" t="s">
        <v>104</v>
      </c>
      <c r="N733" t="s">
        <v>57</v>
      </c>
      <c r="O733" s="1">
        <v>44875</v>
      </c>
      <c r="Q733" s="1">
        <v>45971</v>
      </c>
      <c r="R733" s="2">
        <v>38.83</v>
      </c>
      <c r="S733">
        <v>1</v>
      </c>
      <c r="T733" t="s">
        <v>58</v>
      </c>
      <c r="U733" t="s">
        <v>359</v>
      </c>
      <c r="V733" s="3">
        <v>0.06</v>
      </c>
      <c r="W733" s="2">
        <v>0</v>
      </c>
      <c r="X733">
        <v>0</v>
      </c>
      <c r="Y733" t="s">
        <v>214</v>
      </c>
      <c r="Z733" t="s">
        <v>360</v>
      </c>
      <c r="AA733">
        <v>0</v>
      </c>
      <c r="AB733" s="2">
        <v>0</v>
      </c>
      <c r="AC733" s="2">
        <v>0</v>
      </c>
      <c r="AD733" s="3">
        <v>0</v>
      </c>
      <c r="AE733" s="2">
        <v>0</v>
      </c>
      <c r="AF733" s="2">
        <v>0</v>
      </c>
      <c r="AG733" s="2">
        <v>0</v>
      </c>
      <c r="AH733" s="2">
        <v>0</v>
      </c>
      <c r="AI733" s="2">
        <v>0</v>
      </c>
      <c r="AJ733" s="2">
        <v>0</v>
      </c>
      <c r="AK733" s="2">
        <v>0</v>
      </c>
      <c r="AL733" s="2">
        <v>0</v>
      </c>
      <c r="AM733" s="2">
        <v>2.33</v>
      </c>
      <c r="AN733" s="2">
        <v>2.33</v>
      </c>
      <c r="AO733" s="2">
        <v>0</v>
      </c>
      <c r="AP733" s="2">
        <v>0</v>
      </c>
      <c r="AQ733" s="2">
        <v>0</v>
      </c>
    </row>
    <row r="734" spans="1:43" x14ac:dyDescent="0.25">
      <c r="A734" s="1">
        <v>45936</v>
      </c>
      <c r="B734" t="s">
        <v>48</v>
      </c>
      <c r="C734">
        <v>649163</v>
      </c>
      <c r="D734">
        <v>2016855836</v>
      </c>
      <c r="E734" t="s">
        <v>634</v>
      </c>
      <c r="F734" t="s">
        <v>362</v>
      </c>
      <c r="G734" t="s">
        <v>51</v>
      </c>
      <c r="H734" t="s">
        <v>70</v>
      </c>
      <c r="I734" t="s">
        <v>243</v>
      </c>
      <c r="J734" t="s">
        <v>244</v>
      </c>
      <c r="K734">
        <v>652037</v>
      </c>
      <c r="L734" t="s">
        <v>172</v>
      </c>
      <c r="M734" t="s">
        <v>173</v>
      </c>
      <c r="N734" t="s">
        <v>456</v>
      </c>
      <c r="O734" s="1">
        <v>44896</v>
      </c>
      <c r="P734" s="1">
        <v>45936</v>
      </c>
      <c r="Q734" s="1">
        <v>45962</v>
      </c>
      <c r="R734" s="2">
        <v>-134.52000000000001</v>
      </c>
      <c r="S734">
        <v>1</v>
      </c>
      <c r="T734" t="s">
        <v>58</v>
      </c>
      <c r="U734" t="s">
        <v>359</v>
      </c>
      <c r="V734" s="3">
        <v>0.06</v>
      </c>
      <c r="W734" s="2">
        <v>0</v>
      </c>
      <c r="X734">
        <v>-1</v>
      </c>
      <c r="Y734" t="s">
        <v>214</v>
      </c>
      <c r="Z734" t="s">
        <v>360</v>
      </c>
      <c r="AA734">
        <v>0</v>
      </c>
      <c r="AB734" s="2">
        <v>0</v>
      </c>
      <c r="AC734" s="2">
        <v>0</v>
      </c>
      <c r="AD734" s="3">
        <v>0</v>
      </c>
      <c r="AE734" s="2">
        <v>0</v>
      </c>
      <c r="AF734" s="2">
        <v>0</v>
      </c>
      <c r="AG734" s="2">
        <v>0</v>
      </c>
      <c r="AH734" s="2">
        <v>0</v>
      </c>
      <c r="AI734" s="2">
        <v>0</v>
      </c>
      <c r="AJ734" s="2">
        <v>0</v>
      </c>
      <c r="AK734" s="2">
        <v>0</v>
      </c>
      <c r="AL734" s="2">
        <v>0</v>
      </c>
      <c r="AM734" s="2">
        <v>-8.07</v>
      </c>
      <c r="AN734" s="2">
        <v>-8.07</v>
      </c>
      <c r="AO734" s="2">
        <v>0</v>
      </c>
      <c r="AP734" s="2">
        <v>0</v>
      </c>
      <c r="AQ734" s="2">
        <v>0</v>
      </c>
    </row>
    <row r="735" spans="1:43" x14ac:dyDescent="0.25">
      <c r="A735" s="1">
        <v>45936</v>
      </c>
      <c r="B735" t="s">
        <v>48</v>
      </c>
      <c r="C735">
        <v>649163</v>
      </c>
      <c r="D735">
        <v>2017003447</v>
      </c>
      <c r="E735" t="s">
        <v>967</v>
      </c>
      <c r="F735" t="s">
        <v>72</v>
      </c>
      <c r="G735" t="s">
        <v>51</v>
      </c>
      <c r="H735" t="s">
        <v>70</v>
      </c>
      <c r="I735" t="s">
        <v>243</v>
      </c>
      <c r="J735" t="s">
        <v>244</v>
      </c>
      <c r="K735">
        <v>650794</v>
      </c>
      <c r="L735" t="s">
        <v>172</v>
      </c>
      <c r="M735" t="s">
        <v>624</v>
      </c>
      <c r="N735" t="s">
        <v>57</v>
      </c>
      <c r="O735" s="1">
        <v>44902</v>
      </c>
      <c r="Q735" s="1">
        <v>45968</v>
      </c>
      <c r="R735" s="2">
        <v>39.979999999999997</v>
      </c>
      <c r="S735">
        <v>1</v>
      </c>
      <c r="T735" t="s">
        <v>58</v>
      </c>
      <c r="U735" t="s">
        <v>359</v>
      </c>
      <c r="V735" s="3">
        <v>0.06</v>
      </c>
      <c r="W735" s="2">
        <v>0</v>
      </c>
      <c r="X735">
        <v>0</v>
      </c>
      <c r="Y735" t="s">
        <v>214</v>
      </c>
      <c r="Z735" t="s">
        <v>360</v>
      </c>
      <c r="AA735">
        <v>0</v>
      </c>
      <c r="AB735" s="2">
        <v>0</v>
      </c>
      <c r="AC735" s="2">
        <v>0</v>
      </c>
      <c r="AD735" s="3">
        <v>0</v>
      </c>
      <c r="AE735" s="2">
        <v>0</v>
      </c>
      <c r="AF735" s="2">
        <v>0</v>
      </c>
      <c r="AG735" s="2">
        <v>0</v>
      </c>
      <c r="AH735" s="2">
        <v>0</v>
      </c>
      <c r="AI735" s="2">
        <v>0</v>
      </c>
      <c r="AJ735" s="2">
        <v>0</v>
      </c>
      <c r="AK735" s="2">
        <v>0</v>
      </c>
      <c r="AL735" s="2">
        <v>0</v>
      </c>
      <c r="AM735" s="2">
        <v>2.4</v>
      </c>
      <c r="AN735" s="2">
        <v>2.4</v>
      </c>
      <c r="AO735" s="2">
        <v>0</v>
      </c>
      <c r="AP735" s="2">
        <v>0</v>
      </c>
      <c r="AQ735" s="2">
        <v>0</v>
      </c>
    </row>
    <row r="736" spans="1:43" x14ac:dyDescent="0.25">
      <c r="A736" s="1">
        <v>45936</v>
      </c>
      <c r="B736" t="s">
        <v>48</v>
      </c>
      <c r="C736">
        <v>649163</v>
      </c>
      <c r="D736">
        <v>2017624589</v>
      </c>
      <c r="E736" t="s">
        <v>637</v>
      </c>
      <c r="F736" t="s">
        <v>224</v>
      </c>
      <c r="G736" t="s">
        <v>51</v>
      </c>
      <c r="H736" t="s">
        <v>70</v>
      </c>
      <c r="I736" t="s">
        <v>243</v>
      </c>
      <c r="J736" t="s">
        <v>244</v>
      </c>
      <c r="K736">
        <v>650794</v>
      </c>
      <c r="L736" t="s">
        <v>172</v>
      </c>
      <c r="M736" t="s">
        <v>624</v>
      </c>
      <c r="N736" t="s">
        <v>57</v>
      </c>
      <c r="O736" s="1">
        <v>44967</v>
      </c>
      <c r="Q736" s="1">
        <v>45971</v>
      </c>
      <c r="R736" s="2">
        <v>53.08</v>
      </c>
      <c r="S736">
        <v>1</v>
      </c>
      <c r="T736" t="s">
        <v>58</v>
      </c>
      <c r="U736" t="s">
        <v>359</v>
      </c>
      <c r="V736" s="3">
        <v>0.06</v>
      </c>
      <c r="W736" s="2">
        <v>0</v>
      </c>
      <c r="X736">
        <v>0</v>
      </c>
      <c r="Y736" t="s">
        <v>214</v>
      </c>
      <c r="Z736" t="s">
        <v>360</v>
      </c>
      <c r="AA736">
        <v>0</v>
      </c>
      <c r="AB736" s="2">
        <v>0</v>
      </c>
      <c r="AC736" s="2">
        <v>0</v>
      </c>
      <c r="AD736" s="3">
        <v>0</v>
      </c>
      <c r="AE736" s="2">
        <v>0</v>
      </c>
      <c r="AF736" s="2">
        <v>0</v>
      </c>
      <c r="AG736" s="2">
        <v>0</v>
      </c>
      <c r="AH736" s="2">
        <v>0</v>
      </c>
      <c r="AI736" s="2">
        <v>0</v>
      </c>
      <c r="AJ736" s="2">
        <v>0</v>
      </c>
      <c r="AK736" s="2">
        <v>0</v>
      </c>
      <c r="AL736" s="2">
        <v>0</v>
      </c>
      <c r="AM736" s="2">
        <v>3.18</v>
      </c>
      <c r="AN736" s="2">
        <v>3.18</v>
      </c>
      <c r="AO736" s="2">
        <v>0</v>
      </c>
      <c r="AP736" s="2">
        <v>0</v>
      </c>
      <c r="AQ736" s="2">
        <v>0</v>
      </c>
    </row>
    <row r="737" spans="1:43" x14ac:dyDescent="0.25">
      <c r="A737" s="1">
        <v>45936</v>
      </c>
      <c r="B737" t="s">
        <v>48</v>
      </c>
      <c r="C737">
        <v>649163</v>
      </c>
      <c r="D737">
        <v>2018264457</v>
      </c>
      <c r="E737" t="s">
        <v>968</v>
      </c>
      <c r="F737" t="s">
        <v>259</v>
      </c>
      <c r="G737" t="s">
        <v>51</v>
      </c>
      <c r="H737" t="s">
        <v>122</v>
      </c>
      <c r="I737" t="s">
        <v>243</v>
      </c>
      <c r="J737" t="s">
        <v>244</v>
      </c>
      <c r="K737">
        <v>651818</v>
      </c>
      <c r="L737" t="s">
        <v>112</v>
      </c>
      <c r="M737" t="s">
        <v>104</v>
      </c>
      <c r="N737" t="s">
        <v>57</v>
      </c>
      <c r="O737" s="1">
        <v>45052</v>
      </c>
      <c r="Q737" s="1">
        <v>45967</v>
      </c>
      <c r="R737" s="2">
        <v>47.79</v>
      </c>
      <c r="S737">
        <v>1</v>
      </c>
      <c r="T737" t="s">
        <v>58</v>
      </c>
      <c r="U737" t="s">
        <v>359</v>
      </c>
      <c r="V737" s="3">
        <v>0.06</v>
      </c>
      <c r="W737" s="2">
        <v>0</v>
      </c>
      <c r="X737">
        <v>0</v>
      </c>
      <c r="Y737" t="s">
        <v>214</v>
      </c>
      <c r="Z737" t="s">
        <v>360</v>
      </c>
      <c r="AA737">
        <v>0</v>
      </c>
      <c r="AB737" s="2">
        <v>0</v>
      </c>
      <c r="AC737" s="2">
        <v>0</v>
      </c>
      <c r="AD737" s="3">
        <v>0</v>
      </c>
      <c r="AE737" s="2">
        <v>0</v>
      </c>
      <c r="AF737" s="2">
        <v>0</v>
      </c>
      <c r="AG737" s="2">
        <v>0</v>
      </c>
      <c r="AH737" s="2">
        <v>0</v>
      </c>
      <c r="AI737" s="2">
        <v>0</v>
      </c>
      <c r="AJ737" s="2">
        <v>0</v>
      </c>
      <c r="AK737" s="2">
        <v>0</v>
      </c>
      <c r="AL737" s="2">
        <v>0</v>
      </c>
      <c r="AM737" s="2">
        <v>2.87</v>
      </c>
      <c r="AN737" s="2">
        <v>2.87</v>
      </c>
      <c r="AO737" s="2">
        <v>0</v>
      </c>
      <c r="AP737" s="2">
        <v>0</v>
      </c>
      <c r="AQ737" s="2">
        <v>0</v>
      </c>
    </row>
    <row r="738" spans="1:43" x14ac:dyDescent="0.25">
      <c r="A738" s="1">
        <v>45936</v>
      </c>
      <c r="B738" t="s">
        <v>48</v>
      </c>
      <c r="C738">
        <v>649163</v>
      </c>
      <c r="D738">
        <v>2018695482</v>
      </c>
      <c r="E738" t="s">
        <v>969</v>
      </c>
      <c r="F738" t="s">
        <v>482</v>
      </c>
      <c r="G738" t="s">
        <v>51</v>
      </c>
      <c r="H738" t="s">
        <v>70</v>
      </c>
      <c r="I738" t="s">
        <v>243</v>
      </c>
      <c r="J738" t="s">
        <v>244</v>
      </c>
      <c r="K738">
        <v>650218</v>
      </c>
      <c r="L738" t="s">
        <v>237</v>
      </c>
      <c r="M738" t="s">
        <v>238</v>
      </c>
      <c r="N738" t="s">
        <v>57</v>
      </c>
      <c r="O738" s="1">
        <v>45078</v>
      </c>
      <c r="Q738" s="1">
        <v>45962</v>
      </c>
      <c r="R738" s="2">
        <v>57.29</v>
      </c>
      <c r="S738">
        <v>1</v>
      </c>
      <c r="T738" t="s">
        <v>58</v>
      </c>
      <c r="U738" t="s">
        <v>359</v>
      </c>
      <c r="V738" s="3">
        <v>0.06</v>
      </c>
      <c r="W738" s="2">
        <v>0</v>
      </c>
      <c r="X738">
        <v>0</v>
      </c>
      <c r="Y738" t="s">
        <v>214</v>
      </c>
      <c r="Z738" t="s">
        <v>360</v>
      </c>
      <c r="AA738">
        <v>0</v>
      </c>
      <c r="AB738" s="2">
        <v>0</v>
      </c>
      <c r="AC738" s="2">
        <v>0</v>
      </c>
      <c r="AD738" s="3">
        <v>0</v>
      </c>
      <c r="AE738" s="2">
        <v>0</v>
      </c>
      <c r="AF738" s="2">
        <v>0</v>
      </c>
      <c r="AG738" s="2">
        <v>0</v>
      </c>
      <c r="AH738" s="2">
        <v>0</v>
      </c>
      <c r="AI738" s="2">
        <v>0</v>
      </c>
      <c r="AJ738" s="2">
        <v>0</v>
      </c>
      <c r="AK738" s="2">
        <v>0</v>
      </c>
      <c r="AL738" s="2">
        <v>0</v>
      </c>
      <c r="AM738" s="2">
        <v>3.44</v>
      </c>
      <c r="AN738" s="2">
        <v>3.44</v>
      </c>
      <c r="AO738" s="2">
        <v>0</v>
      </c>
      <c r="AP738" s="2">
        <v>0</v>
      </c>
      <c r="AQ738" s="2">
        <v>0</v>
      </c>
    </row>
    <row r="739" spans="1:43" x14ac:dyDescent="0.25">
      <c r="A739" s="1">
        <v>45936</v>
      </c>
      <c r="B739" t="s">
        <v>48</v>
      </c>
      <c r="C739">
        <v>649163</v>
      </c>
      <c r="D739">
        <v>2019638944</v>
      </c>
      <c r="E739" t="s">
        <v>970</v>
      </c>
      <c r="F739" t="s">
        <v>971</v>
      </c>
      <c r="G739" t="s">
        <v>51</v>
      </c>
      <c r="H739" t="s">
        <v>122</v>
      </c>
      <c r="I739" t="s">
        <v>243</v>
      </c>
      <c r="J739" t="s">
        <v>244</v>
      </c>
      <c r="K739">
        <v>651818</v>
      </c>
      <c r="L739" t="s">
        <v>112</v>
      </c>
      <c r="M739" t="s">
        <v>104</v>
      </c>
      <c r="N739" t="s">
        <v>57</v>
      </c>
      <c r="O739" s="1">
        <v>45146</v>
      </c>
      <c r="Q739" s="1">
        <v>45969</v>
      </c>
      <c r="R739" s="2">
        <v>40.07</v>
      </c>
      <c r="S739">
        <v>1</v>
      </c>
      <c r="T739" t="s">
        <v>58</v>
      </c>
      <c r="U739" t="s">
        <v>359</v>
      </c>
      <c r="V739" s="3">
        <v>0.06</v>
      </c>
      <c r="W739" s="2">
        <v>0</v>
      </c>
      <c r="X739">
        <v>0</v>
      </c>
      <c r="Y739" t="s">
        <v>214</v>
      </c>
      <c r="Z739" t="s">
        <v>360</v>
      </c>
      <c r="AA739">
        <v>0</v>
      </c>
      <c r="AB739" s="2">
        <v>0</v>
      </c>
      <c r="AC739" s="2">
        <v>0</v>
      </c>
      <c r="AD739" s="3">
        <v>0</v>
      </c>
      <c r="AE739" s="2">
        <v>0</v>
      </c>
      <c r="AF739" s="2">
        <v>0</v>
      </c>
      <c r="AG739" s="2">
        <v>0</v>
      </c>
      <c r="AH739" s="2">
        <v>0</v>
      </c>
      <c r="AI739" s="2">
        <v>0</v>
      </c>
      <c r="AJ739" s="2">
        <v>0</v>
      </c>
      <c r="AK739" s="2">
        <v>0</v>
      </c>
      <c r="AL739" s="2">
        <v>0</v>
      </c>
      <c r="AM739" s="2">
        <v>2.4</v>
      </c>
      <c r="AN739" s="2">
        <v>2.4</v>
      </c>
      <c r="AO739" s="2">
        <v>0</v>
      </c>
      <c r="AP739" s="2">
        <v>0</v>
      </c>
      <c r="AQ739" s="2">
        <v>0</v>
      </c>
    </row>
    <row r="740" spans="1:43" x14ac:dyDescent="0.25">
      <c r="A740" s="1">
        <v>45936</v>
      </c>
      <c r="B740" t="s">
        <v>48</v>
      </c>
      <c r="C740">
        <v>649163</v>
      </c>
      <c r="D740">
        <v>2019958314</v>
      </c>
      <c r="E740" t="s">
        <v>972</v>
      </c>
      <c r="F740" t="s">
        <v>973</v>
      </c>
      <c r="G740" t="s">
        <v>51</v>
      </c>
      <c r="H740" t="s">
        <v>70</v>
      </c>
      <c r="I740" t="s">
        <v>243</v>
      </c>
      <c r="J740" t="s">
        <v>244</v>
      </c>
      <c r="K740">
        <v>678320</v>
      </c>
      <c r="L740" t="s">
        <v>576</v>
      </c>
      <c r="M740" t="s">
        <v>139</v>
      </c>
      <c r="N740" t="s">
        <v>57</v>
      </c>
      <c r="O740" s="1">
        <v>45175</v>
      </c>
      <c r="Q740" s="1">
        <v>45967</v>
      </c>
      <c r="R740" s="2">
        <v>49.12</v>
      </c>
      <c r="S740">
        <v>1</v>
      </c>
      <c r="T740" t="s">
        <v>58</v>
      </c>
      <c r="U740" t="s">
        <v>359</v>
      </c>
      <c r="V740" s="3">
        <v>0.06</v>
      </c>
      <c r="W740" s="2">
        <v>0</v>
      </c>
      <c r="X740">
        <v>0</v>
      </c>
      <c r="Y740" t="s">
        <v>214</v>
      </c>
      <c r="Z740" t="s">
        <v>360</v>
      </c>
      <c r="AA740">
        <v>0</v>
      </c>
      <c r="AB740" s="2">
        <v>0</v>
      </c>
      <c r="AC740" s="2">
        <v>0</v>
      </c>
      <c r="AD740" s="3">
        <v>0</v>
      </c>
      <c r="AE740" s="2">
        <v>0</v>
      </c>
      <c r="AF740" s="2">
        <v>0</v>
      </c>
      <c r="AG740" s="2">
        <v>0</v>
      </c>
      <c r="AH740" s="2">
        <v>0</v>
      </c>
      <c r="AI740" s="2">
        <v>0</v>
      </c>
      <c r="AJ740" s="2">
        <v>0</v>
      </c>
      <c r="AK740" s="2">
        <v>0</v>
      </c>
      <c r="AL740" s="2">
        <v>0</v>
      </c>
      <c r="AM740" s="2">
        <v>2.95</v>
      </c>
      <c r="AN740" s="2">
        <v>2.95</v>
      </c>
      <c r="AO740" s="2">
        <v>0</v>
      </c>
      <c r="AP740" s="2">
        <v>0</v>
      </c>
      <c r="AQ740" s="2">
        <v>0</v>
      </c>
    </row>
    <row r="741" spans="1:43" x14ac:dyDescent="0.25">
      <c r="A741" s="1">
        <v>45936</v>
      </c>
      <c r="B741" t="s">
        <v>48</v>
      </c>
      <c r="C741">
        <v>649163</v>
      </c>
      <c r="D741">
        <v>2020685017</v>
      </c>
      <c r="E741" t="s">
        <v>974</v>
      </c>
      <c r="F741" t="s">
        <v>975</v>
      </c>
      <c r="G741" t="s">
        <v>51</v>
      </c>
      <c r="H741" t="s">
        <v>70</v>
      </c>
      <c r="I741" t="s">
        <v>243</v>
      </c>
      <c r="J741" t="s">
        <v>244</v>
      </c>
      <c r="K741">
        <v>702406</v>
      </c>
      <c r="L741" t="s">
        <v>803</v>
      </c>
      <c r="M741" t="s">
        <v>746</v>
      </c>
      <c r="N741" t="s">
        <v>57</v>
      </c>
      <c r="O741" s="1">
        <v>45237</v>
      </c>
      <c r="Q741" s="1">
        <v>45968</v>
      </c>
      <c r="R741" s="2">
        <v>57.29</v>
      </c>
      <c r="S741">
        <v>1</v>
      </c>
      <c r="T741" t="s">
        <v>58</v>
      </c>
      <c r="U741" t="s">
        <v>359</v>
      </c>
      <c r="V741" s="3">
        <v>0.06</v>
      </c>
      <c r="W741" s="2">
        <v>0</v>
      </c>
      <c r="X741">
        <v>0</v>
      </c>
      <c r="Y741" t="s">
        <v>214</v>
      </c>
      <c r="Z741" t="s">
        <v>360</v>
      </c>
      <c r="AA741">
        <v>0</v>
      </c>
      <c r="AB741" s="2">
        <v>0</v>
      </c>
      <c r="AC741" s="2">
        <v>0</v>
      </c>
      <c r="AD741" s="3">
        <v>0</v>
      </c>
      <c r="AE741" s="2">
        <v>0</v>
      </c>
      <c r="AF741" s="2">
        <v>0</v>
      </c>
      <c r="AG741" s="2">
        <v>0</v>
      </c>
      <c r="AH741" s="2">
        <v>0</v>
      </c>
      <c r="AI741" s="2">
        <v>0</v>
      </c>
      <c r="AJ741" s="2">
        <v>0</v>
      </c>
      <c r="AK741" s="2">
        <v>0</v>
      </c>
      <c r="AL741" s="2">
        <v>0</v>
      </c>
      <c r="AM741" s="2">
        <v>3.44</v>
      </c>
      <c r="AN741" s="2">
        <v>3.44</v>
      </c>
      <c r="AO741" s="2">
        <v>0</v>
      </c>
      <c r="AP741" s="2">
        <v>0</v>
      </c>
      <c r="AQ741" s="2">
        <v>0</v>
      </c>
    </row>
    <row r="742" spans="1:43" x14ac:dyDescent="0.25">
      <c r="A742" s="1">
        <v>45936</v>
      </c>
      <c r="B742" t="s">
        <v>48</v>
      </c>
      <c r="C742">
        <v>649163</v>
      </c>
      <c r="D742">
        <v>2020953073</v>
      </c>
      <c r="E742" t="s">
        <v>976</v>
      </c>
      <c r="F742" t="s">
        <v>740</v>
      </c>
      <c r="G742" t="s">
        <v>51</v>
      </c>
      <c r="H742" t="s">
        <v>431</v>
      </c>
      <c r="I742" t="s">
        <v>243</v>
      </c>
      <c r="J742" t="s">
        <v>244</v>
      </c>
      <c r="K742">
        <v>673059</v>
      </c>
      <c r="L742" t="s">
        <v>80</v>
      </c>
      <c r="M742" t="s">
        <v>81</v>
      </c>
      <c r="N742" t="s">
        <v>57</v>
      </c>
      <c r="O742" s="1">
        <v>45292</v>
      </c>
      <c r="Q742" s="1">
        <v>45962</v>
      </c>
      <c r="R742" s="2">
        <v>85.6</v>
      </c>
      <c r="S742">
        <v>1</v>
      </c>
      <c r="T742" t="s">
        <v>58</v>
      </c>
      <c r="U742" t="s">
        <v>359</v>
      </c>
      <c r="V742" s="3">
        <v>0.06</v>
      </c>
      <c r="W742" s="2">
        <v>0</v>
      </c>
      <c r="X742">
        <v>0</v>
      </c>
      <c r="Y742" t="s">
        <v>214</v>
      </c>
      <c r="Z742" t="s">
        <v>360</v>
      </c>
      <c r="AA742">
        <v>0</v>
      </c>
      <c r="AB742" s="2">
        <v>0</v>
      </c>
      <c r="AC742" s="2">
        <v>0</v>
      </c>
      <c r="AD742" s="3">
        <v>0</v>
      </c>
      <c r="AE742" s="2">
        <v>0</v>
      </c>
      <c r="AF742" s="2">
        <v>0</v>
      </c>
      <c r="AG742" s="2">
        <v>0</v>
      </c>
      <c r="AH742" s="2">
        <v>0</v>
      </c>
      <c r="AI742" s="2">
        <v>0</v>
      </c>
      <c r="AJ742" s="2">
        <v>0</v>
      </c>
      <c r="AK742" s="2">
        <v>0</v>
      </c>
      <c r="AL742" s="2">
        <v>0</v>
      </c>
      <c r="AM742" s="2">
        <v>5.14</v>
      </c>
      <c r="AN742" s="2">
        <v>5.14</v>
      </c>
      <c r="AO742" s="2">
        <v>0</v>
      </c>
      <c r="AP742" s="2">
        <v>0</v>
      </c>
      <c r="AQ742" s="2">
        <v>0</v>
      </c>
    </row>
    <row r="743" spans="1:43" x14ac:dyDescent="0.25">
      <c r="A743" s="1">
        <v>45936</v>
      </c>
      <c r="B743" t="s">
        <v>48</v>
      </c>
      <c r="C743">
        <v>649163</v>
      </c>
      <c r="D743">
        <v>2021350310</v>
      </c>
      <c r="E743" t="s">
        <v>977</v>
      </c>
      <c r="F743" t="s">
        <v>978</v>
      </c>
      <c r="G743" t="s">
        <v>51</v>
      </c>
      <c r="H743" t="s">
        <v>70</v>
      </c>
      <c r="I743" t="s">
        <v>243</v>
      </c>
      <c r="J743" t="s">
        <v>244</v>
      </c>
      <c r="K743">
        <v>678320</v>
      </c>
      <c r="L743" t="s">
        <v>576</v>
      </c>
      <c r="M743" t="s">
        <v>139</v>
      </c>
      <c r="N743" t="s">
        <v>57</v>
      </c>
      <c r="O743" s="1">
        <v>45301</v>
      </c>
      <c r="Q743" s="1">
        <v>45971</v>
      </c>
      <c r="R743" s="2">
        <v>49.98</v>
      </c>
      <c r="S743">
        <v>1</v>
      </c>
      <c r="T743" t="s">
        <v>58</v>
      </c>
      <c r="U743" t="s">
        <v>359</v>
      </c>
      <c r="V743" s="3">
        <v>0.06</v>
      </c>
      <c r="W743" s="2">
        <v>0</v>
      </c>
      <c r="X743">
        <v>0</v>
      </c>
      <c r="Y743" t="s">
        <v>214</v>
      </c>
      <c r="Z743" t="s">
        <v>360</v>
      </c>
      <c r="AA743">
        <v>0</v>
      </c>
      <c r="AB743" s="2">
        <v>0</v>
      </c>
      <c r="AC743" s="2">
        <v>0</v>
      </c>
      <c r="AD743" s="3">
        <v>0</v>
      </c>
      <c r="AE743" s="2">
        <v>0</v>
      </c>
      <c r="AF743" s="2">
        <v>0</v>
      </c>
      <c r="AG743" s="2">
        <v>0</v>
      </c>
      <c r="AH743" s="2">
        <v>0</v>
      </c>
      <c r="AI743" s="2">
        <v>0</v>
      </c>
      <c r="AJ743" s="2">
        <v>0</v>
      </c>
      <c r="AK743" s="2">
        <v>0</v>
      </c>
      <c r="AL743" s="2">
        <v>0</v>
      </c>
      <c r="AM743" s="2">
        <v>3</v>
      </c>
      <c r="AN743" s="2">
        <v>3</v>
      </c>
      <c r="AO743" s="2">
        <v>0</v>
      </c>
      <c r="AP743" s="2">
        <v>0</v>
      </c>
      <c r="AQ743" s="2">
        <v>0</v>
      </c>
    </row>
    <row r="744" spans="1:43" x14ac:dyDescent="0.25">
      <c r="A744" s="1">
        <v>45936</v>
      </c>
      <c r="B744" t="s">
        <v>48</v>
      </c>
      <c r="C744">
        <v>649163</v>
      </c>
      <c r="D744">
        <v>2021391382</v>
      </c>
      <c r="E744" t="s">
        <v>663</v>
      </c>
      <c r="F744" t="s">
        <v>664</v>
      </c>
      <c r="G744" t="s">
        <v>51</v>
      </c>
      <c r="H744" t="s">
        <v>88</v>
      </c>
      <c r="I744" t="s">
        <v>243</v>
      </c>
      <c r="J744" t="s">
        <v>244</v>
      </c>
      <c r="K744">
        <v>673059</v>
      </c>
      <c r="L744" t="s">
        <v>80</v>
      </c>
      <c r="M744" t="s">
        <v>81</v>
      </c>
      <c r="N744" t="s">
        <v>57</v>
      </c>
      <c r="O744" s="1">
        <v>45323</v>
      </c>
      <c r="Q744" s="1">
        <v>45962</v>
      </c>
      <c r="R744" s="2">
        <v>78.12</v>
      </c>
      <c r="S744">
        <v>1</v>
      </c>
      <c r="T744" t="s">
        <v>58</v>
      </c>
      <c r="U744" t="s">
        <v>359</v>
      </c>
      <c r="V744" s="3">
        <v>0.06</v>
      </c>
      <c r="W744" s="2">
        <v>0</v>
      </c>
      <c r="X744">
        <v>0</v>
      </c>
      <c r="Y744" t="s">
        <v>214</v>
      </c>
      <c r="Z744" t="s">
        <v>360</v>
      </c>
      <c r="AA744">
        <v>0</v>
      </c>
      <c r="AB744" s="2">
        <v>0</v>
      </c>
      <c r="AC744" s="2">
        <v>0</v>
      </c>
      <c r="AD744" s="3">
        <v>0</v>
      </c>
      <c r="AE744" s="2">
        <v>0</v>
      </c>
      <c r="AF744" s="2">
        <v>0</v>
      </c>
      <c r="AG744" s="2">
        <v>0</v>
      </c>
      <c r="AH744" s="2">
        <v>0</v>
      </c>
      <c r="AI744" s="2">
        <v>0</v>
      </c>
      <c r="AJ744" s="2">
        <v>0</v>
      </c>
      <c r="AK744" s="2">
        <v>0</v>
      </c>
      <c r="AL744" s="2">
        <v>0</v>
      </c>
      <c r="AM744" s="2">
        <v>4.6900000000000004</v>
      </c>
      <c r="AN744" s="2">
        <v>4.6900000000000004</v>
      </c>
      <c r="AO744" s="2">
        <v>0</v>
      </c>
      <c r="AP744" s="2">
        <v>0</v>
      </c>
      <c r="AQ744" s="2">
        <v>0</v>
      </c>
    </row>
    <row r="745" spans="1:43" x14ac:dyDescent="0.25">
      <c r="A745" s="1">
        <v>45936</v>
      </c>
      <c r="B745" t="s">
        <v>48</v>
      </c>
      <c r="C745">
        <v>649163</v>
      </c>
      <c r="D745">
        <v>2021645073</v>
      </c>
      <c r="E745" t="s">
        <v>979</v>
      </c>
      <c r="F745" t="s">
        <v>562</v>
      </c>
      <c r="G745" t="s">
        <v>51</v>
      </c>
      <c r="H745" t="s">
        <v>70</v>
      </c>
      <c r="I745" t="s">
        <v>243</v>
      </c>
      <c r="J745" t="s">
        <v>244</v>
      </c>
      <c r="K745">
        <v>650218</v>
      </c>
      <c r="L745" t="s">
        <v>237</v>
      </c>
      <c r="M745" t="s">
        <v>238</v>
      </c>
      <c r="N745" t="s">
        <v>57</v>
      </c>
      <c r="O745" s="1">
        <v>45356</v>
      </c>
      <c r="Q745" s="1">
        <v>45966</v>
      </c>
      <c r="R745" s="2">
        <v>39.979999999999997</v>
      </c>
      <c r="S745">
        <v>1</v>
      </c>
      <c r="T745" t="s">
        <v>58</v>
      </c>
      <c r="U745" t="s">
        <v>359</v>
      </c>
      <c r="V745" s="3">
        <v>0.06</v>
      </c>
      <c r="W745" s="2">
        <v>0</v>
      </c>
      <c r="X745">
        <v>0</v>
      </c>
      <c r="Y745" t="s">
        <v>214</v>
      </c>
      <c r="Z745" t="s">
        <v>360</v>
      </c>
      <c r="AA745">
        <v>0</v>
      </c>
      <c r="AB745" s="2">
        <v>0</v>
      </c>
      <c r="AC745" s="2">
        <v>0</v>
      </c>
      <c r="AD745" s="3">
        <v>0</v>
      </c>
      <c r="AE745" s="2">
        <v>0</v>
      </c>
      <c r="AF745" s="2">
        <v>0</v>
      </c>
      <c r="AG745" s="2">
        <v>0</v>
      </c>
      <c r="AH745" s="2">
        <v>0</v>
      </c>
      <c r="AI745" s="2">
        <v>0</v>
      </c>
      <c r="AJ745" s="2">
        <v>0</v>
      </c>
      <c r="AK745" s="2">
        <v>0</v>
      </c>
      <c r="AL745" s="2">
        <v>0</v>
      </c>
      <c r="AM745" s="2">
        <v>2.4</v>
      </c>
      <c r="AN745" s="2">
        <v>2.4</v>
      </c>
      <c r="AO745" s="2">
        <v>0</v>
      </c>
      <c r="AP745" s="2">
        <v>0</v>
      </c>
      <c r="AQ745" s="2">
        <v>0</v>
      </c>
    </row>
    <row r="746" spans="1:43" x14ac:dyDescent="0.25">
      <c r="A746" s="1">
        <v>45936</v>
      </c>
      <c r="B746" t="s">
        <v>48</v>
      </c>
      <c r="C746">
        <v>649163</v>
      </c>
      <c r="D746">
        <v>2022273838</v>
      </c>
      <c r="E746" t="s">
        <v>640</v>
      </c>
      <c r="F746" t="s">
        <v>641</v>
      </c>
      <c r="G746" t="s">
        <v>51</v>
      </c>
      <c r="H746" t="s">
        <v>70</v>
      </c>
      <c r="I746" t="s">
        <v>243</v>
      </c>
      <c r="J746" t="s">
        <v>244</v>
      </c>
      <c r="K746">
        <v>649164</v>
      </c>
      <c r="L746" t="s">
        <v>211</v>
      </c>
      <c r="M746" t="s">
        <v>212</v>
      </c>
      <c r="N746" t="s">
        <v>57</v>
      </c>
      <c r="O746" s="1">
        <v>45383</v>
      </c>
      <c r="Q746" s="1">
        <v>45962</v>
      </c>
      <c r="R746" s="2">
        <v>35.979999999999997</v>
      </c>
      <c r="S746">
        <v>1</v>
      </c>
      <c r="T746" t="s">
        <v>58</v>
      </c>
      <c r="U746" t="s">
        <v>359</v>
      </c>
      <c r="V746" s="3">
        <v>0.06</v>
      </c>
      <c r="W746" s="2">
        <v>0</v>
      </c>
      <c r="X746">
        <v>0</v>
      </c>
      <c r="Y746" t="s">
        <v>214</v>
      </c>
      <c r="Z746" t="s">
        <v>360</v>
      </c>
      <c r="AA746">
        <v>0</v>
      </c>
      <c r="AB746" s="2">
        <v>0</v>
      </c>
      <c r="AC746" s="2">
        <v>0</v>
      </c>
      <c r="AD746" s="3">
        <v>0</v>
      </c>
      <c r="AE746" s="2">
        <v>0</v>
      </c>
      <c r="AF746" s="2">
        <v>0</v>
      </c>
      <c r="AG746" s="2">
        <v>0</v>
      </c>
      <c r="AH746" s="2">
        <v>0</v>
      </c>
      <c r="AI746" s="2">
        <v>0</v>
      </c>
      <c r="AJ746" s="2">
        <v>0</v>
      </c>
      <c r="AK746" s="2">
        <v>0</v>
      </c>
      <c r="AL746" s="2">
        <v>0</v>
      </c>
      <c r="AM746" s="2">
        <v>2.16</v>
      </c>
      <c r="AN746" s="2">
        <v>2.16</v>
      </c>
      <c r="AO746" s="2">
        <v>0</v>
      </c>
      <c r="AP746" s="2">
        <v>0</v>
      </c>
      <c r="AQ746" s="2">
        <v>0</v>
      </c>
    </row>
    <row r="747" spans="1:43" x14ac:dyDescent="0.25">
      <c r="A747" s="1">
        <v>45936</v>
      </c>
      <c r="B747" t="s">
        <v>48</v>
      </c>
      <c r="C747">
        <v>649163</v>
      </c>
      <c r="D747">
        <v>2022645069</v>
      </c>
      <c r="E747" t="s">
        <v>707</v>
      </c>
      <c r="F747" t="s">
        <v>132</v>
      </c>
      <c r="G747" t="s">
        <v>51</v>
      </c>
      <c r="H747" t="s">
        <v>70</v>
      </c>
      <c r="I747" t="s">
        <v>243</v>
      </c>
      <c r="J747" t="s">
        <v>244</v>
      </c>
      <c r="K747">
        <v>649247</v>
      </c>
      <c r="L747" t="s">
        <v>75</v>
      </c>
      <c r="M747" t="s">
        <v>76</v>
      </c>
      <c r="N747" t="s">
        <v>57</v>
      </c>
      <c r="O747" s="1">
        <v>45392</v>
      </c>
      <c r="Q747" s="1">
        <v>45971</v>
      </c>
      <c r="R747" s="2">
        <v>39.979999999999997</v>
      </c>
      <c r="S747">
        <v>1</v>
      </c>
      <c r="T747" t="s">
        <v>58</v>
      </c>
      <c r="U747" t="s">
        <v>359</v>
      </c>
      <c r="V747" s="3">
        <v>0.06</v>
      </c>
      <c r="W747" s="2">
        <v>0</v>
      </c>
      <c r="X747">
        <v>0</v>
      </c>
      <c r="Y747" t="s">
        <v>214</v>
      </c>
      <c r="Z747" t="s">
        <v>360</v>
      </c>
      <c r="AA747">
        <v>0</v>
      </c>
      <c r="AB747" s="2">
        <v>0</v>
      </c>
      <c r="AC747" s="2">
        <v>0</v>
      </c>
      <c r="AD747" s="3">
        <v>0</v>
      </c>
      <c r="AE747" s="2">
        <v>0</v>
      </c>
      <c r="AF747" s="2">
        <v>0</v>
      </c>
      <c r="AG747" s="2">
        <v>0</v>
      </c>
      <c r="AH747" s="2">
        <v>0</v>
      </c>
      <c r="AI747" s="2">
        <v>0</v>
      </c>
      <c r="AJ747" s="2">
        <v>0</v>
      </c>
      <c r="AK747" s="2">
        <v>0</v>
      </c>
      <c r="AL747" s="2">
        <v>0</v>
      </c>
      <c r="AM747" s="2">
        <v>2.4</v>
      </c>
      <c r="AN747" s="2">
        <v>2.4</v>
      </c>
      <c r="AO747" s="2">
        <v>0</v>
      </c>
      <c r="AP747" s="2">
        <v>0</v>
      </c>
      <c r="AQ747" s="2">
        <v>0</v>
      </c>
    </row>
    <row r="748" spans="1:43" x14ac:dyDescent="0.25">
      <c r="A748" s="1">
        <v>45936</v>
      </c>
      <c r="B748" t="s">
        <v>48</v>
      </c>
      <c r="C748">
        <v>649163</v>
      </c>
      <c r="D748">
        <v>2023048530</v>
      </c>
      <c r="E748" t="s">
        <v>370</v>
      </c>
      <c r="F748" t="s">
        <v>371</v>
      </c>
      <c r="G748" t="s">
        <v>51</v>
      </c>
      <c r="H748" t="s">
        <v>262</v>
      </c>
      <c r="I748" t="s">
        <v>243</v>
      </c>
      <c r="J748" t="s">
        <v>244</v>
      </c>
      <c r="K748">
        <v>751867</v>
      </c>
      <c r="L748" t="s">
        <v>71</v>
      </c>
      <c r="M748" t="s">
        <v>72</v>
      </c>
      <c r="N748" t="s">
        <v>57</v>
      </c>
      <c r="O748" s="1">
        <v>45422</v>
      </c>
      <c r="Q748" s="1">
        <v>45971</v>
      </c>
      <c r="R748" s="2">
        <v>119.64</v>
      </c>
      <c r="S748">
        <v>1</v>
      </c>
      <c r="T748" t="s">
        <v>58</v>
      </c>
      <c r="U748" t="s">
        <v>359</v>
      </c>
      <c r="V748" s="3">
        <v>0.06</v>
      </c>
      <c r="W748" s="2">
        <v>0</v>
      </c>
      <c r="X748">
        <v>0</v>
      </c>
      <c r="Y748" t="s">
        <v>214</v>
      </c>
      <c r="Z748" t="s">
        <v>360</v>
      </c>
      <c r="AA748">
        <v>0</v>
      </c>
      <c r="AB748" s="2">
        <v>0</v>
      </c>
      <c r="AC748" s="2">
        <v>0</v>
      </c>
      <c r="AD748" s="3">
        <v>0</v>
      </c>
      <c r="AE748" s="2">
        <v>0</v>
      </c>
      <c r="AF748" s="2">
        <v>0</v>
      </c>
      <c r="AG748" s="2">
        <v>0</v>
      </c>
      <c r="AH748" s="2">
        <v>0</v>
      </c>
      <c r="AI748" s="2">
        <v>0</v>
      </c>
      <c r="AJ748" s="2">
        <v>0</v>
      </c>
      <c r="AK748" s="2">
        <v>0</v>
      </c>
      <c r="AL748" s="2">
        <v>0</v>
      </c>
      <c r="AM748" s="2">
        <v>7.18</v>
      </c>
      <c r="AN748" s="2">
        <v>7.18</v>
      </c>
      <c r="AO748" s="2">
        <v>0</v>
      </c>
      <c r="AP748" s="2">
        <v>0</v>
      </c>
      <c r="AQ748" s="2">
        <v>0</v>
      </c>
    </row>
    <row r="749" spans="1:43" x14ac:dyDescent="0.25">
      <c r="A749" s="1">
        <v>45936</v>
      </c>
      <c r="B749" t="s">
        <v>48</v>
      </c>
      <c r="C749">
        <v>649163</v>
      </c>
      <c r="D749">
        <v>2023217204</v>
      </c>
      <c r="E749" t="s">
        <v>809</v>
      </c>
      <c r="F749" t="s">
        <v>717</v>
      </c>
      <c r="G749" t="s">
        <v>51</v>
      </c>
      <c r="H749" t="s">
        <v>182</v>
      </c>
      <c r="I749" t="s">
        <v>243</v>
      </c>
      <c r="J749" t="s">
        <v>244</v>
      </c>
      <c r="K749">
        <v>673059</v>
      </c>
      <c r="L749" t="s">
        <v>80</v>
      </c>
      <c r="M749" t="s">
        <v>81</v>
      </c>
      <c r="N749" t="s">
        <v>57</v>
      </c>
      <c r="O749" s="1">
        <v>45444</v>
      </c>
      <c r="Q749" s="1">
        <v>45962</v>
      </c>
      <c r="R749" s="2">
        <v>35.39</v>
      </c>
      <c r="S749">
        <v>1</v>
      </c>
      <c r="T749" t="s">
        <v>58</v>
      </c>
      <c r="U749" t="s">
        <v>359</v>
      </c>
      <c r="V749" s="3">
        <v>0.06</v>
      </c>
      <c r="W749" s="2">
        <v>0</v>
      </c>
      <c r="X749">
        <v>0</v>
      </c>
      <c r="Y749" t="s">
        <v>214</v>
      </c>
      <c r="Z749" t="s">
        <v>360</v>
      </c>
      <c r="AA749">
        <v>0</v>
      </c>
      <c r="AB749" s="2">
        <v>0</v>
      </c>
      <c r="AC749" s="2">
        <v>0</v>
      </c>
      <c r="AD749" s="3">
        <v>0</v>
      </c>
      <c r="AE749" s="2">
        <v>0</v>
      </c>
      <c r="AF749" s="2">
        <v>0</v>
      </c>
      <c r="AG749" s="2">
        <v>0</v>
      </c>
      <c r="AH749" s="2">
        <v>0</v>
      </c>
      <c r="AI749" s="2">
        <v>0</v>
      </c>
      <c r="AJ749" s="2">
        <v>0</v>
      </c>
      <c r="AK749" s="2">
        <v>0</v>
      </c>
      <c r="AL749" s="2">
        <v>0</v>
      </c>
      <c r="AM749" s="2">
        <v>2.12</v>
      </c>
      <c r="AN749" s="2">
        <v>2.12</v>
      </c>
      <c r="AO749" s="2">
        <v>0</v>
      </c>
      <c r="AP749" s="2">
        <v>0</v>
      </c>
      <c r="AQ749" s="2">
        <v>0</v>
      </c>
    </row>
    <row r="750" spans="1:43" x14ac:dyDescent="0.25">
      <c r="A750" s="1">
        <v>45936</v>
      </c>
      <c r="B750" t="s">
        <v>48</v>
      </c>
      <c r="C750">
        <v>649163</v>
      </c>
      <c r="D750">
        <v>2023245977</v>
      </c>
      <c r="E750" t="s">
        <v>372</v>
      </c>
      <c r="F750" t="s">
        <v>373</v>
      </c>
      <c r="G750" t="s">
        <v>51</v>
      </c>
      <c r="H750" t="s">
        <v>70</v>
      </c>
      <c r="I750" t="s">
        <v>243</v>
      </c>
      <c r="J750" t="s">
        <v>244</v>
      </c>
      <c r="K750">
        <v>650218</v>
      </c>
      <c r="L750" t="s">
        <v>237</v>
      </c>
      <c r="M750" t="s">
        <v>238</v>
      </c>
      <c r="N750" t="s">
        <v>57</v>
      </c>
      <c r="O750" s="1">
        <v>45444</v>
      </c>
      <c r="Q750" s="1">
        <v>45962</v>
      </c>
      <c r="R750" s="2">
        <v>24.88</v>
      </c>
      <c r="S750">
        <v>1</v>
      </c>
      <c r="T750" t="s">
        <v>58</v>
      </c>
      <c r="U750" t="s">
        <v>359</v>
      </c>
      <c r="V750" s="3">
        <v>0.06</v>
      </c>
      <c r="W750" s="2">
        <v>0</v>
      </c>
      <c r="X750">
        <v>0</v>
      </c>
      <c r="Y750" t="s">
        <v>214</v>
      </c>
      <c r="Z750" t="s">
        <v>360</v>
      </c>
      <c r="AA750">
        <v>0</v>
      </c>
      <c r="AB750" s="2">
        <v>0</v>
      </c>
      <c r="AC750" s="2">
        <v>0</v>
      </c>
      <c r="AD750" s="3">
        <v>0</v>
      </c>
      <c r="AE750" s="2">
        <v>0</v>
      </c>
      <c r="AF750" s="2">
        <v>0</v>
      </c>
      <c r="AG750" s="2">
        <v>0</v>
      </c>
      <c r="AH750" s="2">
        <v>0</v>
      </c>
      <c r="AI750" s="2">
        <v>0</v>
      </c>
      <c r="AJ750" s="2">
        <v>0</v>
      </c>
      <c r="AK750" s="2">
        <v>0</v>
      </c>
      <c r="AL750" s="2">
        <v>0</v>
      </c>
      <c r="AM750" s="2">
        <v>1.49</v>
      </c>
      <c r="AN750" s="2">
        <v>1.49</v>
      </c>
      <c r="AO750" s="2">
        <v>0</v>
      </c>
      <c r="AP750" s="2">
        <v>0</v>
      </c>
      <c r="AQ750" s="2">
        <v>0</v>
      </c>
    </row>
    <row r="751" spans="1:43" x14ac:dyDescent="0.25">
      <c r="A751" s="1">
        <v>45936</v>
      </c>
      <c r="B751" t="s">
        <v>48</v>
      </c>
      <c r="C751">
        <v>649163</v>
      </c>
      <c r="D751">
        <v>2023294110</v>
      </c>
      <c r="E751" t="s">
        <v>676</v>
      </c>
      <c r="F751" t="s">
        <v>677</v>
      </c>
      <c r="G751" t="s">
        <v>51</v>
      </c>
      <c r="H751" t="s">
        <v>122</v>
      </c>
      <c r="I751" t="s">
        <v>243</v>
      </c>
      <c r="J751" t="s">
        <v>244</v>
      </c>
      <c r="K751">
        <v>651818</v>
      </c>
      <c r="L751" t="s">
        <v>112</v>
      </c>
      <c r="M751" t="s">
        <v>104</v>
      </c>
      <c r="N751" t="s">
        <v>57</v>
      </c>
      <c r="O751" s="1">
        <v>45449</v>
      </c>
      <c r="Q751" s="1">
        <v>45967</v>
      </c>
      <c r="R751" s="2">
        <v>40.07</v>
      </c>
      <c r="S751">
        <v>1</v>
      </c>
      <c r="T751" t="s">
        <v>58</v>
      </c>
      <c r="U751" t="s">
        <v>359</v>
      </c>
      <c r="V751" s="3">
        <v>0.06</v>
      </c>
      <c r="W751" s="2">
        <v>0</v>
      </c>
      <c r="X751">
        <v>0</v>
      </c>
      <c r="Y751" t="s">
        <v>214</v>
      </c>
      <c r="Z751" t="s">
        <v>360</v>
      </c>
      <c r="AA751">
        <v>0</v>
      </c>
      <c r="AB751" s="2">
        <v>0</v>
      </c>
      <c r="AC751" s="2">
        <v>0</v>
      </c>
      <c r="AD751" s="3">
        <v>0</v>
      </c>
      <c r="AE751" s="2">
        <v>0</v>
      </c>
      <c r="AF751" s="2">
        <v>0</v>
      </c>
      <c r="AG751" s="2">
        <v>0</v>
      </c>
      <c r="AH751" s="2">
        <v>0</v>
      </c>
      <c r="AI751" s="2">
        <v>0</v>
      </c>
      <c r="AJ751" s="2">
        <v>0</v>
      </c>
      <c r="AK751" s="2">
        <v>0</v>
      </c>
      <c r="AL751" s="2">
        <v>0</v>
      </c>
      <c r="AM751" s="2">
        <v>2.4</v>
      </c>
      <c r="AN751" s="2">
        <v>2.4</v>
      </c>
      <c r="AO751" s="2">
        <v>0</v>
      </c>
      <c r="AP751" s="2">
        <v>0</v>
      </c>
      <c r="AQ751" s="2">
        <v>0</v>
      </c>
    </row>
    <row r="752" spans="1:43" x14ac:dyDescent="0.25">
      <c r="A752" s="1">
        <v>45936</v>
      </c>
      <c r="B752" t="s">
        <v>48</v>
      </c>
      <c r="C752">
        <v>649163</v>
      </c>
      <c r="D752">
        <v>2023372599</v>
      </c>
      <c r="E752" t="s">
        <v>374</v>
      </c>
      <c r="F752" t="s">
        <v>375</v>
      </c>
      <c r="G752" t="s">
        <v>51</v>
      </c>
      <c r="H752" t="s">
        <v>376</v>
      </c>
      <c r="I752" t="s">
        <v>243</v>
      </c>
      <c r="J752" t="s">
        <v>244</v>
      </c>
      <c r="K752">
        <v>650218</v>
      </c>
      <c r="L752" t="s">
        <v>237</v>
      </c>
      <c r="M752" t="s">
        <v>238</v>
      </c>
      <c r="N752" t="s">
        <v>57</v>
      </c>
      <c r="O752" s="1">
        <v>45447</v>
      </c>
      <c r="Q752" s="1">
        <v>45965</v>
      </c>
      <c r="R752" s="2">
        <v>136.15</v>
      </c>
      <c r="S752">
        <v>1</v>
      </c>
      <c r="T752" t="s">
        <v>58</v>
      </c>
      <c r="U752" t="s">
        <v>359</v>
      </c>
      <c r="V752" s="3">
        <v>0.06</v>
      </c>
      <c r="W752" s="2">
        <v>0</v>
      </c>
      <c r="X752">
        <v>0</v>
      </c>
      <c r="Y752" t="s">
        <v>214</v>
      </c>
      <c r="Z752" t="s">
        <v>360</v>
      </c>
      <c r="AA752">
        <v>0</v>
      </c>
      <c r="AB752" s="2">
        <v>0</v>
      </c>
      <c r="AC752" s="2">
        <v>0</v>
      </c>
      <c r="AD752" s="3">
        <v>0</v>
      </c>
      <c r="AE752" s="2">
        <v>0</v>
      </c>
      <c r="AF752" s="2">
        <v>0</v>
      </c>
      <c r="AG752" s="2">
        <v>0</v>
      </c>
      <c r="AH752" s="2">
        <v>0</v>
      </c>
      <c r="AI752" s="2">
        <v>0</v>
      </c>
      <c r="AJ752" s="2">
        <v>0</v>
      </c>
      <c r="AK752" s="2">
        <v>0</v>
      </c>
      <c r="AL752" s="2">
        <v>0</v>
      </c>
      <c r="AM752" s="2">
        <v>8.17</v>
      </c>
      <c r="AN752" s="2">
        <v>8.17</v>
      </c>
      <c r="AO752" s="2">
        <v>0</v>
      </c>
      <c r="AP752" s="2">
        <v>0</v>
      </c>
      <c r="AQ752" s="2">
        <v>0</v>
      </c>
    </row>
    <row r="753" spans="1:43" x14ac:dyDescent="0.25">
      <c r="A753" s="1">
        <v>45936</v>
      </c>
      <c r="B753" t="s">
        <v>48</v>
      </c>
      <c r="C753">
        <v>649163</v>
      </c>
      <c r="D753">
        <v>2023399790</v>
      </c>
      <c r="E753" t="s">
        <v>980</v>
      </c>
      <c r="F753" t="s">
        <v>72</v>
      </c>
      <c r="G753" t="s">
        <v>51</v>
      </c>
      <c r="H753" t="s">
        <v>101</v>
      </c>
      <c r="I753" t="s">
        <v>243</v>
      </c>
      <c r="J753" t="s">
        <v>244</v>
      </c>
      <c r="K753">
        <v>651818</v>
      </c>
      <c r="L753" t="s">
        <v>112</v>
      </c>
      <c r="M753" t="s">
        <v>104</v>
      </c>
      <c r="N753" t="s">
        <v>57</v>
      </c>
      <c r="O753" s="1">
        <v>45449</v>
      </c>
      <c r="Q753" s="1">
        <v>45967</v>
      </c>
      <c r="R753" s="2">
        <v>67.84</v>
      </c>
      <c r="S753">
        <v>1</v>
      </c>
      <c r="T753" t="s">
        <v>58</v>
      </c>
      <c r="U753" t="s">
        <v>359</v>
      </c>
      <c r="V753" s="3">
        <v>0.06</v>
      </c>
      <c r="W753" s="2">
        <v>0</v>
      </c>
      <c r="X753">
        <v>0</v>
      </c>
      <c r="Y753" t="s">
        <v>214</v>
      </c>
      <c r="Z753" t="s">
        <v>360</v>
      </c>
      <c r="AA753">
        <v>0</v>
      </c>
      <c r="AB753" s="2">
        <v>0</v>
      </c>
      <c r="AC753" s="2">
        <v>0</v>
      </c>
      <c r="AD753" s="3">
        <v>0</v>
      </c>
      <c r="AE753" s="2">
        <v>0</v>
      </c>
      <c r="AF753" s="2">
        <v>0</v>
      </c>
      <c r="AG753" s="2">
        <v>0</v>
      </c>
      <c r="AH753" s="2">
        <v>0</v>
      </c>
      <c r="AI753" s="2">
        <v>0</v>
      </c>
      <c r="AJ753" s="2">
        <v>0</v>
      </c>
      <c r="AK753" s="2">
        <v>0</v>
      </c>
      <c r="AL753" s="2">
        <v>0</v>
      </c>
      <c r="AM753" s="2">
        <v>4.07</v>
      </c>
      <c r="AN753" s="2">
        <v>4.07</v>
      </c>
      <c r="AO753" s="2">
        <v>0</v>
      </c>
      <c r="AP753" s="2">
        <v>0</v>
      </c>
      <c r="AQ753" s="2">
        <v>0</v>
      </c>
    </row>
    <row r="754" spans="1:43" x14ac:dyDescent="0.25">
      <c r="A754" s="1">
        <v>45936</v>
      </c>
      <c r="B754" t="s">
        <v>48</v>
      </c>
      <c r="C754">
        <v>649163</v>
      </c>
      <c r="D754">
        <v>2023402086</v>
      </c>
      <c r="E754" t="s">
        <v>377</v>
      </c>
      <c r="F754" t="s">
        <v>378</v>
      </c>
      <c r="G754" t="s">
        <v>51</v>
      </c>
      <c r="H754" t="s">
        <v>323</v>
      </c>
      <c r="I754" t="s">
        <v>243</v>
      </c>
      <c r="J754" t="s">
        <v>244</v>
      </c>
      <c r="K754">
        <v>673059</v>
      </c>
      <c r="L754" t="s">
        <v>80</v>
      </c>
      <c r="M754" t="s">
        <v>81</v>
      </c>
      <c r="N754" t="s">
        <v>57</v>
      </c>
      <c r="O754" s="1">
        <v>45449</v>
      </c>
      <c r="Q754" s="1">
        <v>45967</v>
      </c>
      <c r="R754" s="2">
        <v>52.03</v>
      </c>
      <c r="S754">
        <v>1</v>
      </c>
      <c r="T754" t="s">
        <v>58</v>
      </c>
      <c r="U754" t="s">
        <v>359</v>
      </c>
      <c r="V754" s="3">
        <v>0.06</v>
      </c>
      <c r="W754" s="2">
        <v>0</v>
      </c>
      <c r="X754">
        <v>0</v>
      </c>
      <c r="Y754" t="s">
        <v>214</v>
      </c>
      <c r="Z754" t="s">
        <v>360</v>
      </c>
      <c r="AA754">
        <v>0</v>
      </c>
      <c r="AB754" s="2">
        <v>0</v>
      </c>
      <c r="AC754" s="2">
        <v>0</v>
      </c>
      <c r="AD754" s="3">
        <v>0</v>
      </c>
      <c r="AE754" s="2">
        <v>0</v>
      </c>
      <c r="AF754" s="2">
        <v>0</v>
      </c>
      <c r="AG754" s="2">
        <v>0</v>
      </c>
      <c r="AH754" s="2">
        <v>0</v>
      </c>
      <c r="AI754" s="2">
        <v>0</v>
      </c>
      <c r="AJ754" s="2">
        <v>0</v>
      </c>
      <c r="AK754" s="2">
        <v>0</v>
      </c>
      <c r="AL754" s="2">
        <v>0</v>
      </c>
      <c r="AM754" s="2">
        <v>3.12</v>
      </c>
      <c r="AN754" s="2">
        <v>3.12</v>
      </c>
      <c r="AO754" s="2">
        <v>0</v>
      </c>
      <c r="AP754" s="2">
        <v>0</v>
      </c>
      <c r="AQ754" s="2">
        <v>0</v>
      </c>
    </row>
    <row r="755" spans="1:43" x14ac:dyDescent="0.25">
      <c r="A755" s="1">
        <v>45936</v>
      </c>
      <c r="B755" t="s">
        <v>48</v>
      </c>
      <c r="C755">
        <v>649163</v>
      </c>
      <c r="D755">
        <v>2024178503</v>
      </c>
      <c r="E755" t="s">
        <v>981</v>
      </c>
      <c r="F755" t="s">
        <v>982</v>
      </c>
      <c r="G755" t="s">
        <v>51</v>
      </c>
      <c r="H755" t="s">
        <v>101</v>
      </c>
      <c r="I755" t="s">
        <v>243</v>
      </c>
      <c r="J755" t="s">
        <v>244</v>
      </c>
      <c r="K755">
        <v>766747</v>
      </c>
      <c r="L755" t="s">
        <v>815</v>
      </c>
      <c r="M755" t="s">
        <v>482</v>
      </c>
      <c r="N755" t="s">
        <v>57</v>
      </c>
      <c r="O755" s="1">
        <v>45510</v>
      </c>
      <c r="Q755" s="1">
        <v>45967</v>
      </c>
      <c r="R755" s="2">
        <v>80.16</v>
      </c>
      <c r="S755">
        <v>1</v>
      </c>
      <c r="T755" t="s">
        <v>58</v>
      </c>
      <c r="U755" t="s">
        <v>359</v>
      </c>
      <c r="V755" s="3">
        <v>0.06</v>
      </c>
      <c r="W755" s="2">
        <v>0</v>
      </c>
      <c r="X755">
        <v>0</v>
      </c>
      <c r="Y755" t="s">
        <v>214</v>
      </c>
      <c r="Z755" t="s">
        <v>360</v>
      </c>
      <c r="AA755">
        <v>0</v>
      </c>
      <c r="AB755" s="2">
        <v>0</v>
      </c>
      <c r="AC755" s="2">
        <v>0</v>
      </c>
      <c r="AD755" s="3">
        <v>0</v>
      </c>
      <c r="AE755" s="2">
        <v>0</v>
      </c>
      <c r="AF755" s="2">
        <v>0</v>
      </c>
      <c r="AG755" s="2">
        <v>0</v>
      </c>
      <c r="AH755" s="2">
        <v>0</v>
      </c>
      <c r="AI755" s="2">
        <v>0</v>
      </c>
      <c r="AJ755" s="2">
        <v>0</v>
      </c>
      <c r="AK755" s="2">
        <v>0</v>
      </c>
      <c r="AL755" s="2">
        <v>0</v>
      </c>
      <c r="AM755" s="2">
        <v>4.8099999999999996</v>
      </c>
      <c r="AN755" s="2">
        <v>4.8099999999999996</v>
      </c>
      <c r="AO755" s="2">
        <v>0</v>
      </c>
      <c r="AP755" s="2">
        <v>0</v>
      </c>
      <c r="AQ755" s="2">
        <v>0</v>
      </c>
    </row>
    <row r="756" spans="1:43" x14ac:dyDescent="0.25">
      <c r="A756" s="1">
        <v>45936</v>
      </c>
      <c r="B756" t="s">
        <v>48</v>
      </c>
      <c r="C756">
        <v>649163</v>
      </c>
      <c r="D756">
        <v>2024197969</v>
      </c>
      <c r="E756" t="s">
        <v>819</v>
      </c>
      <c r="F756" t="s">
        <v>820</v>
      </c>
      <c r="G756" t="s">
        <v>51</v>
      </c>
      <c r="H756" t="s">
        <v>101</v>
      </c>
      <c r="I756" t="s">
        <v>243</v>
      </c>
      <c r="J756" t="s">
        <v>244</v>
      </c>
      <c r="K756">
        <v>766747</v>
      </c>
      <c r="L756" t="s">
        <v>815</v>
      </c>
      <c r="M756" t="s">
        <v>482</v>
      </c>
      <c r="N756" t="s">
        <v>57</v>
      </c>
      <c r="O756" s="1">
        <v>45541</v>
      </c>
      <c r="Q756" s="1">
        <v>45967</v>
      </c>
      <c r="R756" s="2">
        <v>18.72</v>
      </c>
      <c r="S756">
        <v>1</v>
      </c>
      <c r="T756" t="s">
        <v>58</v>
      </c>
      <c r="U756" t="s">
        <v>359</v>
      </c>
      <c r="V756" s="3">
        <v>0.06</v>
      </c>
      <c r="W756" s="2">
        <v>0</v>
      </c>
      <c r="X756">
        <v>0</v>
      </c>
      <c r="Y756" t="s">
        <v>214</v>
      </c>
      <c r="Z756" t="s">
        <v>360</v>
      </c>
      <c r="AA756">
        <v>0</v>
      </c>
      <c r="AB756" s="2">
        <v>0</v>
      </c>
      <c r="AC756" s="2">
        <v>0</v>
      </c>
      <c r="AD756" s="3">
        <v>0</v>
      </c>
      <c r="AE756" s="2">
        <v>0</v>
      </c>
      <c r="AF756" s="2">
        <v>0</v>
      </c>
      <c r="AG756" s="2">
        <v>0</v>
      </c>
      <c r="AH756" s="2">
        <v>0</v>
      </c>
      <c r="AI756" s="2">
        <v>0</v>
      </c>
      <c r="AJ756" s="2">
        <v>0</v>
      </c>
      <c r="AK756" s="2">
        <v>0</v>
      </c>
      <c r="AL756" s="2">
        <v>0</v>
      </c>
      <c r="AM756" s="2">
        <v>1.1200000000000001</v>
      </c>
      <c r="AN756" s="2">
        <v>1.1200000000000001</v>
      </c>
      <c r="AO756" s="2">
        <v>0</v>
      </c>
      <c r="AP756" s="2">
        <v>0</v>
      </c>
      <c r="AQ756" s="2">
        <v>0</v>
      </c>
    </row>
    <row r="757" spans="1:43" x14ac:dyDescent="0.25">
      <c r="A757" s="1">
        <v>45936</v>
      </c>
      <c r="B757" t="s">
        <v>48</v>
      </c>
      <c r="C757">
        <v>649163</v>
      </c>
      <c r="D757">
        <v>2024307282</v>
      </c>
      <c r="E757" t="s">
        <v>983</v>
      </c>
      <c r="F757" t="s">
        <v>984</v>
      </c>
      <c r="G757" t="s">
        <v>51</v>
      </c>
      <c r="H757" t="s">
        <v>101</v>
      </c>
      <c r="I757" t="s">
        <v>243</v>
      </c>
      <c r="J757" t="s">
        <v>244</v>
      </c>
      <c r="K757">
        <v>669316</v>
      </c>
      <c r="L757" t="s">
        <v>258</v>
      </c>
      <c r="M757" t="s">
        <v>259</v>
      </c>
      <c r="N757" t="s">
        <v>57</v>
      </c>
      <c r="O757" s="1">
        <v>45513</v>
      </c>
      <c r="Q757" s="1">
        <v>45970</v>
      </c>
      <c r="R757" s="2">
        <v>137.19</v>
      </c>
      <c r="S757">
        <v>1</v>
      </c>
      <c r="T757" t="s">
        <v>58</v>
      </c>
      <c r="U757" t="s">
        <v>359</v>
      </c>
      <c r="V757" s="3">
        <v>0.06</v>
      </c>
      <c r="W757" s="2">
        <v>0</v>
      </c>
      <c r="X757">
        <v>0</v>
      </c>
      <c r="Y757" t="s">
        <v>214</v>
      </c>
      <c r="Z757" t="s">
        <v>360</v>
      </c>
      <c r="AA757">
        <v>0</v>
      </c>
      <c r="AB757" s="2">
        <v>0</v>
      </c>
      <c r="AC757" s="2">
        <v>0</v>
      </c>
      <c r="AD757" s="3">
        <v>0</v>
      </c>
      <c r="AE757" s="2">
        <v>0</v>
      </c>
      <c r="AF757" s="2">
        <v>0</v>
      </c>
      <c r="AG757" s="2">
        <v>0</v>
      </c>
      <c r="AH757" s="2">
        <v>0</v>
      </c>
      <c r="AI757" s="2">
        <v>0</v>
      </c>
      <c r="AJ757" s="2">
        <v>0</v>
      </c>
      <c r="AK757" s="2">
        <v>0</v>
      </c>
      <c r="AL757" s="2">
        <v>0</v>
      </c>
      <c r="AM757" s="2">
        <v>8.23</v>
      </c>
      <c r="AN757" s="2">
        <v>8.23</v>
      </c>
      <c r="AO757" s="2">
        <v>0</v>
      </c>
      <c r="AP757" s="2">
        <v>0</v>
      </c>
      <c r="AQ757" s="2">
        <v>0</v>
      </c>
    </row>
    <row r="758" spans="1:43" x14ac:dyDescent="0.25">
      <c r="A758" s="1">
        <v>45936</v>
      </c>
      <c r="B758" t="s">
        <v>48</v>
      </c>
      <c r="C758">
        <v>649163</v>
      </c>
      <c r="D758">
        <v>2024320117</v>
      </c>
      <c r="E758" t="s">
        <v>379</v>
      </c>
      <c r="F758" t="s">
        <v>224</v>
      </c>
      <c r="G758" t="s">
        <v>51</v>
      </c>
      <c r="H758" t="s">
        <v>70</v>
      </c>
      <c r="I758" t="s">
        <v>243</v>
      </c>
      <c r="J758" t="s">
        <v>244</v>
      </c>
      <c r="K758">
        <v>650218</v>
      </c>
      <c r="L758" t="s">
        <v>237</v>
      </c>
      <c r="M758" t="s">
        <v>238</v>
      </c>
      <c r="N758" t="s">
        <v>57</v>
      </c>
      <c r="O758" s="1">
        <v>45514</v>
      </c>
      <c r="Q758" s="1">
        <v>45971</v>
      </c>
      <c r="R758" s="2">
        <v>44.21</v>
      </c>
      <c r="S758">
        <v>1</v>
      </c>
      <c r="T758" t="s">
        <v>58</v>
      </c>
      <c r="U758" t="s">
        <v>359</v>
      </c>
      <c r="V758" s="3">
        <v>0.06</v>
      </c>
      <c r="W758" s="2">
        <v>0</v>
      </c>
      <c r="X758">
        <v>0</v>
      </c>
      <c r="Y758" t="s">
        <v>214</v>
      </c>
      <c r="Z758" t="s">
        <v>360</v>
      </c>
      <c r="AA758">
        <v>0</v>
      </c>
      <c r="AB758" s="2">
        <v>0</v>
      </c>
      <c r="AC758" s="2">
        <v>0</v>
      </c>
      <c r="AD758" s="3">
        <v>0</v>
      </c>
      <c r="AE758" s="2">
        <v>0</v>
      </c>
      <c r="AF758" s="2">
        <v>0</v>
      </c>
      <c r="AG758" s="2">
        <v>0</v>
      </c>
      <c r="AH758" s="2">
        <v>0</v>
      </c>
      <c r="AI758" s="2">
        <v>0</v>
      </c>
      <c r="AJ758" s="2">
        <v>0</v>
      </c>
      <c r="AK758" s="2">
        <v>0</v>
      </c>
      <c r="AL758" s="2">
        <v>0</v>
      </c>
      <c r="AM758" s="2">
        <v>2.65</v>
      </c>
      <c r="AN758" s="2">
        <v>2.65</v>
      </c>
      <c r="AO758" s="2">
        <v>0</v>
      </c>
      <c r="AP758" s="2">
        <v>0</v>
      </c>
      <c r="AQ758" s="2">
        <v>0</v>
      </c>
    </row>
    <row r="759" spans="1:43" x14ac:dyDescent="0.25">
      <c r="A759" s="1">
        <v>45936</v>
      </c>
      <c r="B759" t="s">
        <v>48</v>
      </c>
      <c r="C759">
        <v>649163</v>
      </c>
      <c r="D759">
        <v>2024529138</v>
      </c>
      <c r="E759" t="s">
        <v>823</v>
      </c>
      <c r="F759" t="s">
        <v>824</v>
      </c>
      <c r="G759" t="s">
        <v>51</v>
      </c>
      <c r="H759" t="s">
        <v>101</v>
      </c>
      <c r="I759" t="s">
        <v>243</v>
      </c>
      <c r="J759" t="s">
        <v>244</v>
      </c>
      <c r="K759">
        <v>766747</v>
      </c>
      <c r="L759" t="s">
        <v>815</v>
      </c>
      <c r="M759" t="s">
        <v>482</v>
      </c>
      <c r="N759" t="s">
        <v>57</v>
      </c>
      <c r="O759" s="1">
        <v>45541</v>
      </c>
      <c r="Q759" s="1">
        <v>45967</v>
      </c>
      <c r="R759" s="2">
        <v>47.56</v>
      </c>
      <c r="S759">
        <v>1</v>
      </c>
      <c r="T759" t="s">
        <v>58</v>
      </c>
      <c r="U759" t="s">
        <v>359</v>
      </c>
      <c r="V759" s="3">
        <v>0.06</v>
      </c>
      <c r="W759" s="2">
        <v>0</v>
      </c>
      <c r="X759">
        <v>0</v>
      </c>
      <c r="Y759" t="s">
        <v>214</v>
      </c>
      <c r="Z759" t="s">
        <v>360</v>
      </c>
      <c r="AA759">
        <v>0</v>
      </c>
      <c r="AB759" s="2">
        <v>0</v>
      </c>
      <c r="AC759" s="2">
        <v>0</v>
      </c>
      <c r="AD759" s="3">
        <v>0</v>
      </c>
      <c r="AE759" s="2">
        <v>0</v>
      </c>
      <c r="AF759" s="2">
        <v>0</v>
      </c>
      <c r="AG759" s="2">
        <v>0</v>
      </c>
      <c r="AH759" s="2">
        <v>0</v>
      </c>
      <c r="AI759" s="2">
        <v>0</v>
      </c>
      <c r="AJ759" s="2">
        <v>0</v>
      </c>
      <c r="AK759" s="2">
        <v>0</v>
      </c>
      <c r="AL759" s="2">
        <v>0</v>
      </c>
      <c r="AM759" s="2">
        <v>2.85</v>
      </c>
      <c r="AN759" s="2">
        <v>2.85</v>
      </c>
      <c r="AO759" s="2">
        <v>0</v>
      </c>
      <c r="AP759" s="2">
        <v>0</v>
      </c>
      <c r="AQ759" s="2">
        <v>0</v>
      </c>
    </row>
    <row r="760" spans="1:43" x14ac:dyDescent="0.25">
      <c r="A760" s="1">
        <v>45936</v>
      </c>
      <c r="B760" t="s">
        <v>48</v>
      </c>
      <c r="C760">
        <v>649163</v>
      </c>
      <c r="D760">
        <v>2024569205</v>
      </c>
      <c r="E760" t="s">
        <v>826</v>
      </c>
      <c r="F760" t="s">
        <v>827</v>
      </c>
      <c r="G760" t="s">
        <v>51</v>
      </c>
      <c r="H760" t="s">
        <v>382</v>
      </c>
      <c r="I760" t="s">
        <v>243</v>
      </c>
      <c r="J760" t="s">
        <v>244</v>
      </c>
      <c r="K760">
        <v>649247</v>
      </c>
      <c r="L760" t="s">
        <v>75</v>
      </c>
      <c r="M760" t="s">
        <v>76</v>
      </c>
      <c r="N760" t="s">
        <v>57</v>
      </c>
      <c r="O760" s="1">
        <v>45531</v>
      </c>
      <c r="Q760" s="1">
        <v>45957</v>
      </c>
      <c r="R760" s="2">
        <v>60.87</v>
      </c>
      <c r="S760">
        <v>1</v>
      </c>
      <c r="T760" t="s">
        <v>58</v>
      </c>
      <c r="U760" t="s">
        <v>359</v>
      </c>
      <c r="V760" s="3">
        <v>0.06</v>
      </c>
      <c r="W760" s="2">
        <v>0</v>
      </c>
      <c r="X760">
        <v>0</v>
      </c>
      <c r="Y760" t="s">
        <v>214</v>
      </c>
      <c r="Z760" t="s">
        <v>360</v>
      </c>
      <c r="AA760">
        <v>0</v>
      </c>
      <c r="AB760" s="2">
        <v>0</v>
      </c>
      <c r="AC760" s="2">
        <v>0</v>
      </c>
      <c r="AD760" s="3">
        <v>0</v>
      </c>
      <c r="AE760" s="2">
        <v>0</v>
      </c>
      <c r="AF760" s="2">
        <v>0</v>
      </c>
      <c r="AG760" s="2">
        <v>0</v>
      </c>
      <c r="AH760" s="2">
        <v>0</v>
      </c>
      <c r="AI760" s="2">
        <v>0</v>
      </c>
      <c r="AJ760" s="2">
        <v>0</v>
      </c>
      <c r="AK760" s="2">
        <v>0</v>
      </c>
      <c r="AL760" s="2">
        <v>0</v>
      </c>
      <c r="AM760" s="2">
        <v>3.65</v>
      </c>
      <c r="AN760" s="2">
        <v>3.65</v>
      </c>
      <c r="AO760" s="2">
        <v>0</v>
      </c>
      <c r="AP760" s="2">
        <v>0</v>
      </c>
      <c r="AQ760" s="2">
        <v>0</v>
      </c>
    </row>
    <row r="761" spans="1:43" x14ac:dyDescent="0.25">
      <c r="A761" s="1">
        <v>45936</v>
      </c>
      <c r="B761" t="s">
        <v>48</v>
      </c>
      <c r="C761">
        <v>649163</v>
      </c>
      <c r="D761">
        <v>2024630487</v>
      </c>
      <c r="E761" t="s">
        <v>828</v>
      </c>
      <c r="F761" t="s">
        <v>687</v>
      </c>
      <c r="G761" t="s">
        <v>51</v>
      </c>
      <c r="H761" t="s">
        <v>101</v>
      </c>
      <c r="I761" t="s">
        <v>243</v>
      </c>
      <c r="J761" t="s">
        <v>244</v>
      </c>
      <c r="K761">
        <v>766747</v>
      </c>
      <c r="L761" t="s">
        <v>815</v>
      </c>
      <c r="M761" t="s">
        <v>482</v>
      </c>
      <c r="N761" t="s">
        <v>57</v>
      </c>
      <c r="O761" s="1">
        <v>45541</v>
      </c>
      <c r="Q761" s="1">
        <v>45967</v>
      </c>
      <c r="R761" s="2">
        <v>90.98</v>
      </c>
      <c r="S761">
        <v>1</v>
      </c>
      <c r="T761" t="s">
        <v>58</v>
      </c>
      <c r="U761" t="s">
        <v>359</v>
      </c>
      <c r="V761" s="3">
        <v>0.06</v>
      </c>
      <c r="W761" s="2">
        <v>0</v>
      </c>
      <c r="X761">
        <v>0</v>
      </c>
      <c r="Y761" t="s">
        <v>214</v>
      </c>
      <c r="Z761" t="s">
        <v>360</v>
      </c>
      <c r="AA761">
        <v>0</v>
      </c>
      <c r="AB761" s="2">
        <v>0</v>
      </c>
      <c r="AC761" s="2">
        <v>0</v>
      </c>
      <c r="AD761" s="3">
        <v>0</v>
      </c>
      <c r="AE761" s="2">
        <v>0</v>
      </c>
      <c r="AF761" s="2">
        <v>0</v>
      </c>
      <c r="AG761" s="2">
        <v>0</v>
      </c>
      <c r="AH761" s="2">
        <v>0</v>
      </c>
      <c r="AI761" s="2">
        <v>0</v>
      </c>
      <c r="AJ761" s="2">
        <v>0</v>
      </c>
      <c r="AK761" s="2">
        <v>0</v>
      </c>
      <c r="AL761" s="2">
        <v>0</v>
      </c>
      <c r="AM761" s="2">
        <v>5.46</v>
      </c>
      <c r="AN761" s="2">
        <v>5.46</v>
      </c>
      <c r="AO761" s="2">
        <v>0</v>
      </c>
      <c r="AP761" s="2">
        <v>0</v>
      </c>
      <c r="AQ761" s="2">
        <v>0</v>
      </c>
    </row>
    <row r="762" spans="1:43" x14ac:dyDescent="0.25">
      <c r="A762" s="1">
        <v>45936</v>
      </c>
      <c r="B762" t="s">
        <v>48</v>
      </c>
      <c r="C762">
        <v>649163</v>
      </c>
      <c r="D762">
        <v>2024779716</v>
      </c>
      <c r="E762" t="s">
        <v>985</v>
      </c>
      <c r="F762" t="s">
        <v>986</v>
      </c>
      <c r="G762" t="s">
        <v>51</v>
      </c>
      <c r="H762" t="s">
        <v>70</v>
      </c>
      <c r="I762" t="s">
        <v>243</v>
      </c>
      <c r="J762" t="s">
        <v>244</v>
      </c>
      <c r="K762">
        <v>728134</v>
      </c>
      <c r="L762" t="s">
        <v>352</v>
      </c>
      <c r="M762" t="s">
        <v>353</v>
      </c>
      <c r="N762" t="s">
        <v>57</v>
      </c>
      <c r="O762" s="1">
        <v>45545</v>
      </c>
      <c r="Q762" s="1">
        <v>45971</v>
      </c>
      <c r="R762" s="2">
        <v>49.98</v>
      </c>
      <c r="S762">
        <v>1</v>
      </c>
      <c r="T762" t="s">
        <v>58</v>
      </c>
      <c r="U762" t="s">
        <v>359</v>
      </c>
      <c r="V762" s="3">
        <v>0.06</v>
      </c>
      <c r="W762" s="2">
        <v>0</v>
      </c>
      <c r="X762">
        <v>0</v>
      </c>
      <c r="Y762" t="s">
        <v>214</v>
      </c>
      <c r="Z762" t="s">
        <v>360</v>
      </c>
      <c r="AA762">
        <v>0</v>
      </c>
      <c r="AB762" s="2">
        <v>0</v>
      </c>
      <c r="AC762" s="2">
        <v>0</v>
      </c>
      <c r="AD762" s="3">
        <v>0</v>
      </c>
      <c r="AE762" s="2">
        <v>0</v>
      </c>
      <c r="AF762" s="2">
        <v>0</v>
      </c>
      <c r="AG762" s="2">
        <v>0</v>
      </c>
      <c r="AH762" s="2">
        <v>0</v>
      </c>
      <c r="AI762" s="2">
        <v>0</v>
      </c>
      <c r="AJ762" s="2">
        <v>0</v>
      </c>
      <c r="AK762" s="2">
        <v>0</v>
      </c>
      <c r="AL762" s="2">
        <v>0</v>
      </c>
      <c r="AM762" s="2">
        <v>3</v>
      </c>
      <c r="AN762" s="2">
        <v>3</v>
      </c>
      <c r="AO762" s="2">
        <v>0</v>
      </c>
      <c r="AP762" s="2">
        <v>0</v>
      </c>
      <c r="AQ762" s="2">
        <v>0</v>
      </c>
    </row>
    <row r="763" spans="1:43" x14ac:dyDescent="0.25">
      <c r="A763" s="1">
        <v>45936</v>
      </c>
      <c r="B763" t="s">
        <v>48</v>
      </c>
      <c r="C763">
        <v>649163</v>
      </c>
      <c r="D763">
        <v>2024792045</v>
      </c>
      <c r="E763" t="s">
        <v>388</v>
      </c>
      <c r="F763" t="s">
        <v>648</v>
      </c>
      <c r="G763" t="s">
        <v>51</v>
      </c>
      <c r="H763" t="s">
        <v>115</v>
      </c>
      <c r="I763" t="s">
        <v>243</v>
      </c>
      <c r="J763" t="s">
        <v>244</v>
      </c>
      <c r="K763">
        <v>767312</v>
      </c>
      <c r="L763" t="s">
        <v>283</v>
      </c>
      <c r="M763" t="s">
        <v>284</v>
      </c>
      <c r="N763" t="s">
        <v>57</v>
      </c>
      <c r="O763" s="1">
        <v>45545</v>
      </c>
      <c r="Q763" s="1">
        <v>45971</v>
      </c>
      <c r="R763" s="2">
        <v>15.04</v>
      </c>
      <c r="S763">
        <v>1</v>
      </c>
      <c r="T763" t="s">
        <v>58</v>
      </c>
      <c r="U763" t="s">
        <v>359</v>
      </c>
      <c r="V763" s="3">
        <v>0.06</v>
      </c>
      <c r="W763" s="2">
        <v>0</v>
      </c>
      <c r="X763">
        <v>0</v>
      </c>
      <c r="Y763" t="s">
        <v>214</v>
      </c>
      <c r="Z763" t="s">
        <v>360</v>
      </c>
      <c r="AA763">
        <v>0</v>
      </c>
      <c r="AB763" s="2">
        <v>0</v>
      </c>
      <c r="AC763" s="2">
        <v>0</v>
      </c>
      <c r="AD763" s="3">
        <v>0</v>
      </c>
      <c r="AE763" s="2">
        <v>0</v>
      </c>
      <c r="AF763" s="2">
        <v>0</v>
      </c>
      <c r="AG763" s="2">
        <v>0</v>
      </c>
      <c r="AH763" s="2">
        <v>0</v>
      </c>
      <c r="AI763" s="2">
        <v>0</v>
      </c>
      <c r="AJ763" s="2">
        <v>0</v>
      </c>
      <c r="AK763" s="2">
        <v>0</v>
      </c>
      <c r="AL763" s="2">
        <v>0</v>
      </c>
      <c r="AM763" s="2">
        <v>0.9</v>
      </c>
      <c r="AN763" s="2">
        <v>0.9</v>
      </c>
      <c r="AO763" s="2">
        <v>0</v>
      </c>
      <c r="AP763" s="2">
        <v>0</v>
      </c>
      <c r="AQ763" s="2">
        <v>0</v>
      </c>
    </row>
    <row r="764" spans="1:43" x14ac:dyDescent="0.25">
      <c r="A764" s="1">
        <v>45936</v>
      </c>
      <c r="B764" t="s">
        <v>48</v>
      </c>
      <c r="C764">
        <v>649163</v>
      </c>
      <c r="D764">
        <v>2024899509</v>
      </c>
      <c r="E764" t="s">
        <v>835</v>
      </c>
      <c r="F764" t="s">
        <v>836</v>
      </c>
      <c r="G764" t="s">
        <v>51</v>
      </c>
      <c r="H764" t="s">
        <v>376</v>
      </c>
      <c r="I764" t="s">
        <v>243</v>
      </c>
      <c r="J764" t="s">
        <v>244</v>
      </c>
      <c r="K764">
        <v>651818</v>
      </c>
      <c r="L764" t="s">
        <v>112</v>
      </c>
      <c r="M764" t="s">
        <v>104</v>
      </c>
      <c r="N764" t="s">
        <v>57</v>
      </c>
      <c r="O764" s="1">
        <v>45571</v>
      </c>
      <c r="Q764" s="1">
        <v>45967</v>
      </c>
      <c r="R764" s="2">
        <v>49.55</v>
      </c>
      <c r="S764">
        <v>1</v>
      </c>
      <c r="T764" t="s">
        <v>58</v>
      </c>
      <c r="U764" t="s">
        <v>359</v>
      </c>
      <c r="V764" s="3">
        <v>0.06</v>
      </c>
      <c r="W764" s="2">
        <v>0</v>
      </c>
      <c r="X764">
        <v>0</v>
      </c>
      <c r="Y764" t="s">
        <v>214</v>
      </c>
      <c r="Z764" t="s">
        <v>360</v>
      </c>
      <c r="AA764">
        <v>0</v>
      </c>
      <c r="AB764" s="2">
        <v>0</v>
      </c>
      <c r="AC764" s="2">
        <v>0</v>
      </c>
      <c r="AD764" s="3">
        <v>0</v>
      </c>
      <c r="AE764" s="2">
        <v>0</v>
      </c>
      <c r="AF764" s="2">
        <v>0</v>
      </c>
      <c r="AG764" s="2">
        <v>0</v>
      </c>
      <c r="AH764" s="2">
        <v>0</v>
      </c>
      <c r="AI764" s="2">
        <v>0</v>
      </c>
      <c r="AJ764" s="2">
        <v>0</v>
      </c>
      <c r="AK764" s="2">
        <v>0</v>
      </c>
      <c r="AL764" s="2">
        <v>0</v>
      </c>
      <c r="AM764" s="2">
        <v>2.97</v>
      </c>
      <c r="AN764" s="2">
        <v>2.97</v>
      </c>
      <c r="AO764" s="2">
        <v>0</v>
      </c>
      <c r="AP764" s="2">
        <v>0</v>
      </c>
      <c r="AQ764" s="2">
        <v>0</v>
      </c>
    </row>
    <row r="765" spans="1:43" x14ac:dyDescent="0.25">
      <c r="A765" s="1">
        <v>45936</v>
      </c>
      <c r="B765" t="s">
        <v>48</v>
      </c>
      <c r="C765">
        <v>649163</v>
      </c>
      <c r="D765">
        <v>2024984936</v>
      </c>
      <c r="E765" t="s">
        <v>99</v>
      </c>
      <c r="F765" t="s">
        <v>839</v>
      </c>
      <c r="G765" t="s">
        <v>51</v>
      </c>
      <c r="H765" t="s">
        <v>101</v>
      </c>
      <c r="I765" t="s">
        <v>243</v>
      </c>
      <c r="J765" t="s">
        <v>244</v>
      </c>
      <c r="K765">
        <v>673059</v>
      </c>
      <c r="L765" t="s">
        <v>80</v>
      </c>
      <c r="M765" t="s">
        <v>81</v>
      </c>
      <c r="N765" t="s">
        <v>57</v>
      </c>
      <c r="O765" s="1">
        <v>45575</v>
      </c>
      <c r="Q765" s="1">
        <v>45971</v>
      </c>
      <c r="R765" s="2">
        <v>107.98</v>
      </c>
      <c r="S765">
        <v>1</v>
      </c>
      <c r="T765" t="s">
        <v>58</v>
      </c>
      <c r="U765" t="s">
        <v>359</v>
      </c>
      <c r="V765" s="3">
        <v>0.06</v>
      </c>
      <c r="W765" s="2">
        <v>0</v>
      </c>
      <c r="X765">
        <v>0</v>
      </c>
      <c r="Y765" t="s">
        <v>214</v>
      </c>
      <c r="Z765" t="s">
        <v>360</v>
      </c>
      <c r="AA765">
        <v>0</v>
      </c>
      <c r="AB765" s="2">
        <v>0</v>
      </c>
      <c r="AC765" s="2">
        <v>0</v>
      </c>
      <c r="AD765" s="3">
        <v>0</v>
      </c>
      <c r="AE765" s="2">
        <v>0</v>
      </c>
      <c r="AF765" s="2">
        <v>0</v>
      </c>
      <c r="AG765" s="2">
        <v>0</v>
      </c>
      <c r="AH765" s="2">
        <v>0</v>
      </c>
      <c r="AI765" s="2">
        <v>0</v>
      </c>
      <c r="AJ765" s="2">
        <v>0</v>
      </c>
      <c r="AK765" s="2">
        <v>0</v>
      </c>
      <c r="AL765" s="2">
        <v>0</v>
      </c>
      <c r="AM765" s="2">
        <v>6.48</v>
      </c>
      <c r="AN765" s="2">
        <v>6.48</v>
      </c>
      <c r="AO765" s="2">
        <v>0</v>
      </c>
      <c r="AP765" s="2">
        <v>0</v>
      </c>
      <c r="AQ765" s="2">
        <v>0</v>
      </c>
    </row>
    <row r="766" spans="1:43" x14ac:dyDescent="0.25">
      <c r="A766" s="1">
        <v>45936</v>
      </c>
      <c r="B766" t="s">
        <v>48</v>
      </c>
      <c r="C766">
        <v>649163</v>
      </c>
      <c r="D766">
        <v>2025031268</v>
      </c>
      <c r="E766" t="s">
        <v>840</v>
      </c>
      <c r="F766" t="s">
        <v>841</v>
      </c>
      <c r="G766" t="s">
        <v>51</v>
      </c>
      <c r="H766" t="s">
        <v>101</v>
      </c>
      <c r="I766" t="s">
        <v>243</v>
      </c>
      <c r="J766" t="s">
        <v>244</v>
      </c>
      <c r="K766">
        <v>766747</v>
      </c>
      <c r="L766" t="s">
        <v>815</v>
      </c>
      <c r="M766" t="s">
        <v>482</v>
      </c>
      <c r="N766" t="s">
        <v>57</v>
      </c>
      <c r="O766" s="1">
        <v>45571</v>
      </c>
      <c r="Q766" s="1">
        <v>45967</v>
      </c>
      <c r="R766" s="2">
        <v>47.56</v>
      </c>
      <c r="S766">
        <v>1</v>
      </c>
      <c r="T766" t="s">
        <v>58</v>
      </c>
      <c r="U766" t="s">
        <v>359</v>
      </c>
      <c r="V766" s="3">
        <v>0.06</v>
      </c>
      <c r="W766" s="2">
        <v>0</v>
      </c>
      <c r="X766">
        <v>0</v>
      </c>
      <c r="Y766" t="s">
        <v>214</v>
      </c>
      <c r="Z766" t="s">
        <v>360</v>
      </c>
      <c r="AA766">
        <v>0</v>
      </c>
      <c r="AB766" s="2">
        <v>0</v>
      </c>
      <c r="AC766" s="2">
        <v>0</v>
      </c>
      <c r="AD766" s="3">
        <v>0</v>
      </c>
      <c r="AE766" s="2">
        <v>0</v>
      </c>
      <c r="AF766" s="2">
        <v>0</v>
      </c>
      <c r="AG766" s="2">
        <v>0</v>
      </c>
      <c r="AH766" s="2">
        <v>0</v>
      </c>
      <c r="AI766" s="2">
        <v>0</v>
      </c>
      <c r="AJ766" s="2">
        <v>0</v>
      </c>
      <c r="AK766" s="2">
        <v>0</v>
      </c>
      <c r="AL766" s="2">
        <v>0</v>
      </c>
      <c r="AM766" s="2">
        <v>2.85</v>
      </c>
      <c r="AN766" s="2">
        <v>2.85</v>
      </c>
      <c r="AO766" s="2">
        <v>0</v>
      </c>
      <c r="AP766" s="2">
        <v>0</v>
      </c>
      <c r="AQ766" s="2">
        <v>0</v>
      </c>
    </row>
    <row r="767" spans="1:43" x14ac:dyDescent="0.25">
      <c r="A767" s="1">
        <v>45936</v>
      </c>
      <c r="B767" t="s">
        <v>48</v>
      </c>
      <c r="C767">
        <v>649163</v>
      </c>
      <c r="D767">
        <v>2025432259</v>
      </c>
      <c r="E767" t="s">
        <v>844</v>
      </c>
      <c r="F767" t="s">
        <v>845</v>
      </c>
      <c r="G767" t="s">
        <v>51</v>
      </c>
      <c r="H767" t="s">
        <v>101</v>
      </c>
      <c r="I767" t="s">
        <v>243</v>
      </c>
      <c r="J767" t="s">
        <v>244</v>
      </c>
      <c r="K767">
        <v>766747</v>
      </c>
      <c r="L767" t="s">
        <v>815</v>
      </c>
      <c r="M767" t="s">
        <v>482</v>
      </c>
      <c r="N767" t="s">
        <v>57</v>
      </c>
      <c r="O767" s="1">
        <v>45602</v>
      </c>
      <c r="Q767" s="1">
        <v>45967</v>
      </c>
      <c r="R767" s="2">
        <v>47.56</v>
      </c>
      <c r="S767">
        <v>1</v>
      </c>
      <c r="T767" t="s">
        <v>58</v>
      </c>
      <c r="U767" t="s">
        <v>359</v>
      </c>
      <c r="V767" s="4">
        <v>0.375</v>
      </c>
      <c r="W767" s="2">
        <v>0</v>
      </c>
      <c r="X767">
        <v>0</v>
      </c>
      <c r="Y767" t="s">
        <v>60</v>
      </c>
      <c r="Z767" t="s">
        <v>360</v>
      </c>
      <c r="AA767">
        <v>0</v>
      </c>
      <c r="AB767" s="2">
        <v>0</v>
      </c>
      <c r="AC767" s="2">
        <v>0</v>
      </c>
      <c r="AD767" s="3">
        <v>0</v>
      </c>
      <c r="AE767" s="2">
        <v>0</v>
      </c>
      <c r="AF767" s="2">
        <v>0</v>
      </c>
      <c r="AG767" s="2">
        <v>0</v>
      </c>
      <c r="AH767" s="2">
        <v>0</v>
      </c>
      <c r="AI767" s="2">
        <v>0</v>
      </c>
      <c r="AJ767" s="2">
        <v>0</v>
      </c>
      <c r="AK767" s="2">
        <v>0</v>
      </c>
      <c r="AL767" s="2">
        <v>0</v>
      </c>
      <c r="AM767" s="2">
        <v>17.84</v>
      </c>
      <c r="AN767" s="2">
        <v>17.84</v>
      </c>
      <c r="AO767" s="2">
        <v>0</v>
      </c>
      <c r="AP767" s="2">
        <v>0</v>
      </c>
      <c r="AQ767" s="2">
        <v>0</v>
      </c>
    </row>
    <row r="768" spans="1:43" x14ac:dyDescent="0.25">
      <c r="A768" s="1">
        <v>45936</v>
      </c>
      <c r="B768" t="s">
        <v>48</v>
      </c>
      <c r="C768">
        <v>649163</v>
      </c>
      <c r="D768">
        <v>2025660999</v>
      </c>
      <c r="E768" t="s">
        <v>848</v>
      </c>
      <c r="F768" t="s">
        <v>158</v>
      </c>
      <c r="G768" t="s">
        <v>51</v>
      </c>
      <c r="H768" t="s">
        <v>247</v>
      </c>
      <c r="I768" t="s">
        <v>243</v>
      </c>
      <c r="J768" t="s">
        <v>244</v>
      </c>
      <c r="K768">
        <v>673059</v>
      </c>
      <c r="L768" t="s">
        <v>80</v>
      </c>
      <c r="M768" t="s">
        <v>81</v>
      </c>
      <c r="N768" t="s">
        <v>57</v>
      </c>
      <c r="O768" s="1">
        <v>45665</v>
      </c>
      <c r="Q768" s="1">
        <v>45969</v>
      </c>
      <c r="R768" s="2">
        <v>89.53</v>
      </c>
      <c r="S768">
        <v>1</v>
      </c>
      <c r="T768" t="s">
        <v>58</v>
      </c>
      <c r="U768" t="s">
        <v>359</v>
      </c>
      <c r="V768" s="4">
        <v>0.375</v>
      </c>
      <c r="W768" s="2">
        <v>0</v>
      </c>
      <c r="X768">
        <v>0</v>
      </c>
      <c r="Y768" t="s">
        <v>60</v>
      </c>
      <c r="Z768" t="s">
        <v>360</v>
      </c>
      <c r="AA768">
        <v>0</v>
      </c>
      <c r="AB768" s="2">
        <v>0</v>
      </c>
      <c r="AC768" s="2">
        <v>0</v>
      </c>
      <c r="AD768" s="3">
        <v>0</v>
      </c>
      <c r="AE768" s="2">
        <v>0</v>
      </c>
      <c r="AF768" s="2">
        <v>0</v>
      </c>
      <c r="AG768" s="2">
        <v>0</v>
      </c>
      <c r="AH768" s="2">
        <v>0</v>
      </c>
      <c r="AI768" s="2">
        <v>0</v>
      </c>
      <c r="AJ768" s="2">
        <v>0</v>
      </c>
      <c r="AK768" s="2">
        <v>0</v>
      </c>
      <c r="AL768" s="2">
        <v>0</v>
      </c>
      <c r="AM768" s="2">
        <v>33.57</v>
      </c>
      <c r="AN768" s="2">
        <v>33.57</v>
      </c>
      <c r="AO768" s="2">
        <v>0</v>
      </c>
      <c r="AP768" s="2">
        <v>0</v>
      </c>
      <c r="AQ768" s="2">
        <v>0</v>
      </c>
    </row>
    <row r="769" spans="1:43" x14ac:dyDescent="0.25">
      <c r="A769" s="1">
        <v>45936</v>
      </c>
      <c r="B769" t="s">
        <v>48</v>
      </c>
      <c r="C769">
        <v>649163</v>
      </c>
      <c r="D769">
        <v>2025677957</v>
      </c>
      <c r="E769" t="s">
        <v>849</v>
      </c>
      <c r="F769" t="s">
        <v>850</v>
      </c>
      <c r="G769" t="s">
        <v>51</v>
      </c>
      <c r="H769" t="s">
        <v>670</v>
      </c>
      <c r="I769" t="s">
        <v>243</v>
      </c>
      <c r="J769" t="s">
        <v>244</v>
      </c>
      <c r="K769">
        <v>767312</v>
      </c>
      <c r="L769" t="s">
        <v>283</v>
      </c>
      <c r="M769" t="s">
        <v>284</v>
      </c>
      <c r="N769" t="s">
        <v>57</v>
      </c>
      <c r="O769" s="1">
        <v>45604</v>
      </c>
      <c r="Q769" s="1">
        <v>45969</v>
      </c>
      <c r="R769" s="2">
        <v>24.36</v>
      </c>
      <c r="S769">
        <v>1</v>
      </c>
      <c r="T769" t="s">
        <v>58</v>
      </c>
      <c r="U769" t="s">
        <v>359</v>
      </c>
      <c r="V769" s="4">
        <v>0.375</v>
      </c>
      <c r="W769" s="2">
        <v>0</v>
      </c>
      <c r="X769">
        <v>0</v>
      </c>
      <c r="Y769" t="s">
        <v>60</v>
      </c>
      <c r="Z769" t="s">
        <v>360</v>
      </c>
      <c r="AA769">
        <v>0</v>
      </c>
      <c r="AB769" s="2">
        <v>0</v>
      </c>
      <c r="AC769" s="2">
        <v>0</v>
      </c>
      <c r="AD769" s="3">
        <v>0</v>
      </c>
      <c r="AE769" s="2">
        <v>0</v>
      </c>
      <c r="AF769" s="2">
        <v>0</v>
      </c>
      <c r="AG769" s="2">
        <v>0</v>
      </c>
      <c r="AH769" s="2">
        <v>0</v>
      </c>
      <c r="AI769" s="2">
        <v>0</v>
      </c>
      <c r="AJ769" s="2">
        <v>0</v>
      </c>
      <c r="AK769" s="2">
        <v>0</v>
      </c>
      <c r="AL769" s="2">
        <v>0</v>
      </c>
      <c r="AM769" s="2">
        <v>9.14</v>
      </c>
      <c r="AN769" s="2">
        <v>9.14</v>
      </c>
      <c r="AO769" s="2">
        <v>0</v>
      </c>
      <c r="AP769" s="2">
        <v>0</v>
      </c>
      <c r="AQ769" s="2">
        <v>0</v>
      </c>
    </row>
    <row r="770" spans="1:43" x14ac:dyDescent="0.25">
      <c r="A770" s="1">
        <v>45936</v>
      </c>
      <c r="B770" t="s">
        <v>48</v>
      </c>
      <c r="C770">
        <v>649163</v>
      </c>
      <c r="D770">
        <v>2025698057</v>
      </c>
      <c r="E770" t="s">
        <v>139</v>
      </c>
      <c r="F770" t="s">
        <v>393</v>
      </c>
      <c r="G770" t="s">
        <v>51</v>
      </c>
      <c r="H770" t="s">
        <v>88</v>
      </c>
      <c r="I770" t="s">
        <v>243</v>
      </c>
      <c r="J770" t="s">
        <v>244</v>
      </c>
      <c r="K770">
        <v>650218</v>
      </c>
      <c r="L770" t="s">
        <v>237</v>
      </c>
      <c r="M770" t="s">
        <v>238</v>
      </c>
      <c r="N770" t="s">
        <v>57</v>
      </c>
      <c r="O770" s="1">
        <v>45605</v>
      </c>
      <c r="Q770" s="1">
        <v>45970</v>
      </c>
      <c r="R770" s="2">
        <v>36.119999999999997</v>
      </c>
      <c r="S770">
        <v>1</v>
      </c>
      <c r="T770" t="s">
        <v>58</v>
      </c>
      <c r="U770" t="s">
        <v>359</v>
      </c>
      <c r="V770" s="4">
        <v>0.375</v>
      </c>
      <c r="W770" s="2">
        <v>0</v>
      </c>
      <c r="X770">
        <v>0</v>
      </c>
      <c r="Y770" t="s">
        <v>60</v>
      </c>
      <c r="Z770" t="s">
        <v>360</v>
      </c>
      <c r="AA770">
        <v>0</v>
      </c>
      <c r="AB770" s="2">
        <v>0</v>
      </c>
      <c r="AC770" s="2">
        <v>0</v>
      </c>
      <c r="AD770" s="3">
        <v>0</v>
      </c>
      <c r="AE770" s="2">
        <v>0</v>
      </c>
      <c r="AF770" s="2">
        <v>0</v>
      </c>
      <c r="AG770" s="2">
        <v>0</v>
      </c>
      <c r="AH770" s="2">
        <v>0</v>
      </c>
      <c r="AI770" s="2">
        <v>0</v>
      </c>
      <c r="AJ770" s="2">
        <v>0</v>
      </c>
      <c r="AK770" s="2">
        <v>0</v>
      </c>
      <c r="AL770" s="2">
        <v>0</v>
      </c>
      <c r="AM770" s="2">
        <v>13.54</v>
      </c>
      <c r="AN770" s="2">
        <v>13.54</v>
      </c>
      <c r="AO770" s="2">
        <v>0</v>
      </c>
      <c r="AP770" s="2">
        <v>0</v>
      </c>
      <c r="AQ770" s="2">
        <v>0</v>
      </c>
    </row>
    <row r="771" spans="1:43" x14ac:dyDescent="0.25">
      <c r="A771" s="1">
        <v>45936</v>
      </c>
      <c r="B771" t="s">
        <v>48</v>
      </c>
      <c r="C771">
        <v>649163</v>
      </c>
      <c r="D771">
        <v>2025703126</v>
      </c>
      <c r="E771" t="s">
        <v>987</v>
      </c>
      <c r="F771" t="s">
        <v>988</v>
      </c>
      <c r="G771" t="s">
        <v>51</v>
      </c>
      <c r="H771" t="s">
        <v>79</v>
      </c>
      <c r="I771" t="s">
        <v>243</v>
      </c>
      <c r="J771" t="s">
        <v>244</v>
      </c>
      <c r="K771">
        <v>767312</v>
      </c>
      <c r="L771" t="s">
        <v>283</v>
      </c>
      <c r="M771" t="s">
        <v>284</v>
      </c>
      <c r="N771" t="s">
        <v>57</v>
      </c>
      <c r="O771" s="1">
        <v>45606</v>
      </c>
      <c r="Q771" s="1">
        <v>45971</v>
      </c>
      <c r="R771" s="2">
        <v>21.47</v>
      </c>
      <c r="S771">
        <v>1</v>
      </c>
      <c r="T771" t="s">
        <v>58</v>
      </c>
      <c r="U771" t="s">
        <v>359</v>
      </c>
      <c r="V771" s="4">
        <v>0.375</v>
      </c>
      <c r="W771" s="2">
        <v>0</v>
      </c>
      <c r="X771">
        <v>0</v>
      </c>
      <c r="Y771" t="s">
        <v>60</v>
      </c>
      <c r="Z771" t="s">
        <v>360</v>
      </c>
      <c r="AA771">
        <v>0</v>
      </c>
      <c r="AB771" s="2">
        <v>0</v>
      </c>
      <c r="AC771" s="2">
        <v>0</v>
      </c>
      <c r="AD771" s="3">
        <v>0</v>
      </c>
      <c r="AE771" s="2">
        <v>0</v>
      </c>
      <c r="AF771" s="2">
        <v>0</v>
      </c>
      <c r="AG771" s="2">
        <v>0</v>
      </c>
      <c r="AH771" s="2">
        <v>0</v>
      </c>
      <c r="AI771" s="2">
        <v>0</v>
      </c>
      <c r="AJ771" s="2">
        <v>0</v>
      </c>
      <c r="AK771" s="2">
        <v>0</v>
      </c>
      <c r="AL771" s="2">
        <v>0</v>
      </c>
      <c r="AM771" s="2">
        <v>8.0500000000000007</v>
      </c>
      <c r="AN771" s="2">
        <v>8.0500000000000007</v>
      </c>
      <c r="AO771" s="2">
        <v>0</v>
      </c>
      <c r="AP771" s="2">
        <v>0</v>
      </c>
      <c r="AQ771" s="2">
        <v>0</v>
      </c>
    </row>
    <row r="772" spans="1:43" x14ac:dyDescent="0.25">
      <c r="A772" s="1">
        <v>45936</v>
      </c>
      <c r="B772" t="s">
        <v>48</v>
      </c>
      <c r="C772">
        <v>649163</v>
      </c>
      <c r="D772">
        <v>2025732434</v>
      </c>
      <c r="E772" t="s">
        <v>695</v>
      </c>
      <c r="F772" t="s">
        <v>353</v>
      </c>
      <c r="G772" t="s">
        <v>51</v>
      </c>
      <c r="H772" t="s">
        <v>376</v>
      </c>
      <c r="I772" t="s">
        <v>243</v>
      </c>
      <c r="J772" t="s">
        <v>244</v>
      </c>
      <c r="K772">
        <v>651818</v>
      </c>
      <c r="L772" t="s">
        <v>112</v>
      </c>
      <c r="M772" t="s">
        <v>104</v>
      </c>
      <c r="N772" t="s">
        <v>57</v>
      </c>
      <c r="O772" s="1">
        <v>45664</v>
      </c>
      <c r="Q772" s="1">
        <v>45968</v>
      </c>
      <c r="R772" s="2">
        <v>103.36</v>
      </c>
      <c r="S772">
        <v>1</v>
      </c>
      <c r="T772" t="s">
        <v>58</v>
      </c>
      <c r="U772" t="s">
        <v>359</v>
      </c>
      <c r="V772" s="4">
        <v>0.375</v>
      </c>
      <c r="W772" s="2">
        <v>0</v>
      </c>
      <c r="X772">
        <v>0</v>
      </c>
      <c r="Y772" t="s">
        <v>60</v>
      </c>
      <c r="Z772" t="s">
        <v>360</v>
      </c>
      <c r="AA772">
        <v>0</v>
      </c>
      <c r="AB772" s="2">
        <v>0</v>
      </c>
      <c r="AC772" s="2">
        <v>0</v>
      </c>
      <c r="AD772" s="3">
        <v>0</v>
      </c>
      <c r="AE772" s="2">
        <v>0</v>
      </c>
      <c r="AF772" s="2">
        <v>0</v>
      </c>
      <c r="AG772" s="2">
        <v>0</v>
      </c>
      <c r="AH772" s="2">
        <v>0</v>
      </c>
      <c r="AI772" s="2">
        <v>0</v>
      </c>
      <c r="AJ772" s="2">
        <v>0</v>
      </c>
      <c r="AK772" s="2">
        <v>0</v>
      </c>
      <c r="AL772" s="2">
        <v>0</v>
      </c>
      <c r="AM772" s="2">
        <v>38.76</v>
      </c>
      <c r="AN772" s="2">
        <v>38.76</v>
      </c>
      <c r="AO772" s="2">
        <v>0</v>
      </c>
      <c r="AP772" s="2">
        <v>0</v>
      </c>
      <c r="AQ772" s="2">
        <v>0</v>
      </c>
    </row>
    <row r="773" spans="1:43" x14ac:dyDescent="0.25">
      <c r="A773" s="1">
        <v>45936</v>
      </c>
      <c r="B773" t="s">
        <v>48</v>
      </c>
      <c r="C773">
        <v>649163</v>
      </c>
      <c r="D773">
        <v>2025815451</v>
      </c>
      <c r="E773" t="s">
        <v>696</v>
      </c>
      <c r="F773" t="s">
        <v>697</v>
      </c>
      <c r="G773" t="s">
        <v>51</v>
      </c>
      <c r="H773" t="s">
        <v>122</v>
      </c>
      <c r="I773" t="s">
        <v>243</v>
      </c>
      <c r="J773" t="s">
        <v>244</v>
      </c>
      <c r="K773">
        <v>651818</v>
      </c>
      <c r="L773" t="s">
        <v>112</v>
      </c>
      <c r="M773" t="s">
        <v>104</v>
      </c>
      <c r="N773" t="s">
        <v>57</v>
      </c>
      <c r="O773" s="1">
        <v>45633</v>
      </c>
      <c r="Q773" s="1">
        <v>45968</v>
      </c>
      <c r="R773" s="2">
        <v>40.07</v>
      </c>
      <c r="S773">
        <v>1</v>
      </c>
      <c r="T773" t="s">
        <v>58</v>
      </c>
      <c r="U773" t="s">
        <v>359</v>
      </c>
      <c r="V773" s="4">
        <v>0.375</v>
      </c>
      <c r="W773" s="2">
        <v>0</v>
      </c>
      <c r="X773">
        <v>0</v>
      </c>
      <c r="Y773" t="s">
        <v>60</v>
      </c>
      <c r="Z773" t="s">
        <v>360</v>
      </c>
      <c r="AA773">
        <v>0</v>
      </c>
      <c r="AB773" s="2">
        <v>0</v>
      </c>
      <c r="AC773" s="2">
        <v>0</v>
      </c>
      <c r="AD773" s="3">
        <v>0</v>
      </c>
      <c r="AE773" s="2">
        <v>0</v>
      </c>
      <c r="AF773" s="2">
        <v>0</v>
      </c>
      <c r="AG773" s="2">
        <v>0</v>
      </c>
      <c r="AH773" s="2">
        <v>0</v>
      </c>
      <c r="AI773" s="2">
        <v>0</v>
      </c>
      <c r="AJ773" s="2">
        <v>0</v>
      </c>
      <c r="AK773" s="2">
        <v>0</v>
      </c>
      <c r="AL773" s="2">
        <v>0</v>
      </c>
      <c r="AM773" s="2">
        <v>15.03</v>
      </c>
      <c r="AN773" s="2">
        <v>15.03</v>
      </c>
      <c r="AO773" s="2">
        <v>0</v>
      </c>
      <c r="AP773" s="2">
        <v>0</v>
      </c>
      <c r="AQ773" s="2">
        <v>0</v>
      </c>
    </row>
    <row r="774" spans="1:43" x14ac:dyDescent="0.25">
      <c r="A774" s="1">
        <v>45936</v>
      </c>
      <c r="B774" t="s">
        <v>48</v>
      </c>
      <c r="C774">
        <v>649163</v>
      </c>
      <c r="D774">
        <v>2025863140</v>
      </c>
      <c r="E774" t="s">
        <v>699</v>
      </c>
      <c r="F774" t="s">
        <v>700</v>
      </c>
      <c r="G774" t="s">
        <v>51</v>
      </c>
      <c r="H774" t="s">
        <v>52</v>
      </c>
      <c r="I774" t="s">
        <v>243</v>
      </c>
      <c r="J774" t="s">
        <v>244</v>
      </c>
      <c r="K774">
        <v>651818</v>
      </c>
      <c r="L774" t="s">
        <v>112</v>
      </c>
      <c r="M774" t="s">
        <v>104</v>
      </c>
      <c r="N774" t="s">
        <v>57</v>
      </c>
      <c r="O774" s="1">
        <v>45633</v>
      </c>
      <c r="Q774" s="1">
        <v>45968</v>
      </c>
      <c r="R774" s="2">
        <v>55.66</v>
      </c>
      <c r="S774">
        <v>1</v>
      </c>
      <c r="T774" t="s">
        <v>58</v>
      </c>
      <c r="U774" t="s">
        <v>359</v>
      </c>
      <c r="V774" s="4">
        <v>0.375</v>
      </c>
      <c r="W774" s="2">
        <v>0</v>
      </c>
      <c r="X774">
        <v>0</v>
      </c>
      <c r="Y774" t="s">
        <v>60</v>
      </c>
      <c r="Z774" t="s">
        <v>360</v>
      </c>
      <c r="AA774">
        <v>0</v>
      </c>
      <c r="AB774" s="2">
        <v>0</v>
      </c>
      <c r="AC774" s="2">
        <v>0</v>
      </c>
      <c r="AD774" s="3">
        <v>0</v>
      </c>
      <c r="AE774" s="2">
        <v>0</v>
      </c>
      <c r="AF774" s="2">
        <v>0</v>
      </c>
      <c r="AG774" s="2">
        <v>0</v>
      </c>
      <c r="AH774" s="2">
        <v>0</v>
      </c>
      <c r="AI774" s="2">
        <v>0</v>
      </c>
      <c r="AJ774" s="2">
        <v>0</v>
      </c>
      <c r="AK774" s="2">
        <v>0</v>
      </c>
      <c r="AL774" s="2">
        <v>0</v>
      </c>
      <c r="AM774" s="2">
        <v>20.87</v>
      </c>
      <c r="AN774" s="2">
        <v>20.87</v>
      </c>
      <c r="AO774" s="2">
        <v>0</v>
      </c>
      <c r="AP774" s="2">
        <v>0</v>
      </c>
      <c r="AQ774" s="2">
        <v>0</v>
      </c>
    </row>
    <row r="775" spans="1:43" x14ac:dyDescent="0.25">
      <c r="A775" s="1">
        <v>45936</v>
      </c>
      <c r="B775" t="s">
        <v>48</v>
      </c>
      <c r="C775">
        <v>649163</v>
      </c>
      <c r="D775">
        <v>2025884356</v>
      </c>
      <c r="E775" t="s">
        <v>148</v>
      </c>
      <c r="F775" t="s">
        <v>535</v>
      </c>
      <c r="G775" t="s">
        <v>51</v>
      </c>
      <c r="H775" t="s">
        <v>52</v>
      </c>
      <c r="I775" t="s">
        <v>243</v>
      </c>
      <c r="J775" t="s">
        <v>244</v>
      </c>
      <c r="K775">
        <v>651818</v>
      </c>
      <c r="L775" t="s">
        <v>112</v>
      </c>
      <c r="M775" t="s">
        <v>104</v>
      </c>
      <c r="N775" t="s">
        <v>57</v>
      </c>
      <c r="O775" s="1">
        <v>45633</v>
      </c>
      <c r="Q775" s="1">
        <v>45968</v>
      </c>
      <c r="R775" s="2">
        <v>55.66</v>
      </c>
      <c r="S775">
        <v>1</v>
      </c>
      <c r="T775" t="s">
        <v>58</v>
      </c>
      <c r="U775" t="s">
        <v>359</v>
      </c>
      <c r="V775" s="4">
        <v>0.375</v>
      </c>
      <c r="W775" s="2">
        <v>0</v>
      </c>
      <c r="X775">
        <v>0</v>
      </c>
      <c r="Y775" t="s">
        <v>60</v>
      </c>
      <c r="Z775" t="s">
        <v>360</v>
      </c>
      <c r="AA775">
        <v>0</v>
      </c>
      <c r="AB775" s="2">
        <v>0</v>
      </c>
      <c r="AC775" s="2">
        <v>0</v>
      </c>
      <c r="AD775" s="3">
        <v>0</v>
      </c>
      <c r="AE775" s="2">
        <v>0</v>
      </c>
      <c r="AF775" s="2">
        <v>0</v>
      </c>
      <c r="AG775" s="2">
        <v>0</v>
      </c>
      <c r="AH775" s="2">
        <v>0</v>
      </c>
      <c r="AI775" s="2">
        <v>0</v>
      </c>
      <c r="AJ775" s="2">
        <v>0</v>
      </c>
      <c r="AK775" s="2">
        <v>0</v>
      </c>
      <c r="AL775" s="2">
        <v>0</v>
      </c>
      <c r="AM775" s="2">
        <v>20.87</v>
      </c>
      <c r="AN775" s="2">
        <v>20.87</v>
      </c>
      <c r="AO775" s="2">
        <v>0</v>
      </c>
      <c r="AP775" s="2">
        <v>0</v>
      </c>
      <c r="AQ775" s="2">
        <v>0</v>
      </c>
    </row>
    <row r="776" spans="1:43" x14ac:dyDescent="0.25">
      <c r="A776" s="1">
        <v>45936</v>
      </c>
      <c r="B776" t="s">
        <v>48</v>
      </c>
      <c r="C776">
        <v>649163</v>
      </c>
      <c r="D776">
        <v>2026038650</v>
      </c>
      <c r="E776" t="s">
        <v>989</v>
      </c>
      <c r="F776" t="s">
        <v>482</v>
      </c>
      <c r="G776" t="s">
        <v>51</v>
      </c>
      <c r="H776" t="s">
        <v>52</v>
      </c>
      <c r="I776" t="s">
        <v>243</v>
      </c>
      <c r="J776" t="s">
        <v>244</v>
      </c>
      <c r="K776">
        <v>651818</v>
      </c>
      <c r="L776" t="s">
        <v>112</v>
      </c>
      <c r="M776" t="s">
        <v>104</v>
      </c>
      <c r="N776" t="s">
        <v>57</v>
      </c>
      <c r="O776" s="1">
        <v>45633</v>
      </c>
      <c r="Q776" s="1">
        <v>45968</v>
      </c>
      <c r="R776" s="2">
        <v>65.48</v>
      </c>
      <c r="S776">
        <v>1</v>
      </c>
      <c r="T776" t="s">
        <v>58</v>
      </c>
      <c r="U776" t="s">
        <v>359</v>
      </c>
      <c r="V776" s="4">
        <v>0.375</v>
      </c>
      <c r="W776" s="2">
        <v>0</v>
      </c>
      <c r="X776">
        <v>0</v>
      </c>
      <c r="Y776" t="s">
        <v>60</v>
      </c>
      <c r="Z776" t="s">
        <v>360</v>
      </c>
      <c r="AA776">
        <v>0</v>
      </c>
      <c r="AB776" s="2">
        <v>0</v>
      </c>
      <c r="AC776" s="2">
        <v>0</v>
      </c>
      <c r="AD776" s="3">
        <v>0</v>
      </c>
      <c r="AE776" s="2">
        <v>0</v>
      </c>
      <c r="AF776" s="2">
        <v>0</v>
      </c>
      <c r="AG776" s="2">
        <v>0</v>
      </c>
      <c r="AH776" s="2">
        <v>0</v>
      </c>
      <c r="AI776" s="2">
        <v>0</v>
      </c>
      <c r="AJ776" s="2">
        <v>0</v>
      </c>
      <c r="AK776" s="2">
        <v>0</v>
      </c>
      <c r="AL776" s="2">
        <v>0</v>
      </c>
      <c r="AM776" s="2">
        <v>24.56</v>
      </c>
      <c r="AN776" s="2">
        <v>24.56</v>
      </c>
      <c r="AO776" s="2">
        <v>0</v>
      </c>
      <c r="AP776" s="2">
        <v>0</v>
      </c>
      <c r="AQ776" s="2">
        <v>0</v>
      </c>
    </row>
    <row r="777" spans="1:43" x14ac:dyDescent="0.25">
      <c r="A777" s="1">
        <v>45936</v>
      </c>
      <c r="B777" t="s">
        <v>48</v>
      </c>
      <c r="C777">
        <v>649163</v>
      </c>
      <c r="D777">
        <v>2026047881</v>
      </c>
      <c r="E777" t="s">
        <v>990</v>
      </c>
      <c r="F777" t="s">
        <v>991</v>
      </c>
      <c r="G777" t="s">
        <v>51</v>
      </c>
      <c r="H777" t="s">
        <v>122</v>
      </c>
      <c r="I777" t="s">
        <v>243</v>
      </c>
      <c r="J777" t="s">
        <v>244</v>
      </c>
      <c r="K777">
        <v>651818</v>
      </c>
      <c r="L777" t="s">
        <v>112</v>
      </c>
      <c r="M777" t="s">
        <v>104</v>
      </c>
      <c r="N777" t="s">
        <v>57</v>
      </c>
      <c r="O777" s="1">
        <v>45633</v>
      </c>
      <c r="Q777" s="1">
        <v>45968</v>
      </c>
      <c r="R777" s="2">
        <v>40.07</v>
      </c>
      <c r="S777">
        <v>1</v>
      </c>
      <c r="T777" t="s">
        <v>58</v>
      </c>
      <c r="U777" t="s">
        <v>359</v>
      </c>
      <c r="V777" s="4">
        <v>0.375</v>
      </c>
      <c r="W777" s="2">
        <v>0</v>
      </c>
      <c r="X777">
        <v>0</v>
      </c>
      <c r="Y777" t="s">
        <v>60</v>
      </c>
      <c r="Z777" t="s">
        <v>360</v>
      </c>
      <c r="AA777">
        <v>0</v>
      </c>
      <c r="AB777" s="2">
        <v>0</v>
      </c>
      <c r="AC777" s="2">
        <v>0</v>
      </c>
      <c r="AD777" s="3">
        <v>0</v>
      </c>
      <c r="AE777" s="2">
        <v>0</v>
      </c>
      <c r="AF777" s="2">
        <v>0</v>
      </c>
      <c r="AG777" s="2">
        <v>0</v>
      </c>
      <c r="AH777" s="2">
        <v>0</v>
      </c>
      <c r="AI777" s="2">
        <v>0</v>
      </c>
      <c r="AJ777" s="2">
        <v>0</v>
      </c>
      <c r="AK777" s="2">
        <v>0</v>
      </c>
      <c r="AL777" s="2">
        <v>0</v>
      </c>
      <c r="AM777" s="2">
        <v>15.03</v>
      </c>
      <c r="AN777" s="2">
        <v>15.03</v>
      </c>
      <c r="AO777" s="2">
        <v>0</v>
      </c>
      <c r="AP777" s="2">
        <v>0</v>
      </c>
      <c r="AQ777" s="2">
        <v>0</v>
      </c>
    </row>
    <row r="778" spans="1:43" x14ac:dyDescent="0.25">
      <c r="A778" s="1">
        <v>45936</v>
      </c>
      <c r="B778" t="s">
        <v>48</v>
      </c>
      <c r="C778">
        <v>649163</v>
      </c>
      <c r="D778">
        <v>2026048649</v>
      </c>
      <c r="E778" t="s">
        <v>992</v>
      </c>
      <c r="F778" t="s">
        <v>845</v>
      </c>
      <c r="G778" t="s">
        <v>51</v>
      </c>
      <c r="H778" t="s">
        <v>101</v>
      </c>
      <c r="I778" t="s">
        <v>243</v>
      </c>
      <c r="J778" t="s">
        <v>244</v>
      </c>
      <c r="K778">
        <v>651818</v>
      </c>
      <c r="L778" t="s">
        <v>112</v>
      </c>
      <c r="M778" t="s">
        <v>104</v>
      </c>
      <c r="N778" t="s">
        <v>57</v>
      </c>
      <c r="O778" s="1">
        <v>45664</v>
      </c>
      <c r="Q778" s="1">
        <v>45968</v>
      </c>
      <c r="R778" s="2">
        <v>190.54</v>
      </c>
      <c r="S778">
        <v>1</v>
      </c>
      <c r="T778" t="s">
        <v>58</v>
      </c>
      <c r="U778" t="s">
        <v>359</v>
      </c>
      <c r="V778" s="4">
        <v>0.375</v>
      </c>
      <c r="W778" s="2">
        <v>0</v>
      </c>
      <c r="X778">
        <v>0</v>
      </c>
      <c r="Y778" t="s">
        <v>60</v>
      </c>
      <c r="Z778" t="s">
        <v>360</v>
      </c>
      <c r="AA778">
        <v>0</v>
      </c>
      <c r="AB778" s="2">
        <v>0</v>
      </c>
      <c r="AC778" s="2">
        <v>0</v>
      </c>
      <c r="AD778" s="3">
        <v>0</v>
      </c>
      <c r="AE778" s="2">
        <v>0</v>
      </c>
      <c r="AF778" s="2">
        <v>0</v>
      </c>
      <c r="AG778" s="2">
        <v>0</v>
      </c>
      <c r="AH778" s="2">
        <v>0</v>
      </c>
      <c r="AI778" s="2">
        <v>0</v>
      </c>
      <c r="AJ778" s="2">
        <v>0</v>
      </c>
      <c r="AK778" s="2">
        <v>0</v>
      </c>
      <c r="AL778" s="2">
        <v>0</v>
      </c>
      <c r="AM778" s="2">
        <v>71.45</v>
      </c>
      <c r="AN778" s="2">
        <v>71.45</v>
      </c>
      <c r="AO778" s="2">
        <v>0</v>
      </c>
      <c r="AP778" s="2">
        <v>0</v>
      </c>
      <c r="AQ778" s="2">
        <v>0</v>
      </c>
    </row>
    <row r="779" spans="1:43" x14ac:dyDescent="0.25">
      <c r="A779" s="1">
        <v>45936</v>
      </c>
      <c r="B779" t="s">
        <v>48</v>
      </c>
      <c r="C779">
        <v>649163</v>
      </c>
      <c r="D779">
        <v>2026057641</v>
      </c>
      <c r="E779" t="s">
        <v>993</v>
      </c>
      <c r="F779" t="s">
        <v>179</v>
      </c>
      <c r="G779" t="s">
        <v>51</v>
      </c>
      <c r="H779" t="s">
        <v>52</v>
      </c>
      <c r="I779" t="s">
        <v>243</v>
      </c>
      <c r="J779" t="s">
        <v>244</v>
      </c>
      <c r="K779">
        <v>767312</v>
      </c>
      <c r="L779" t="s">
        <v>283</v>
      </c>
      <c r="M779" t="s">
        <v>284</v>
      </c>
      <c r="N779" t="s">
        <v>57</v>
      </c>
      <c r="O779" s="1">
        <v>45632</v>
      </c>
      <c r="Q779" s="1">
        <v>45967</v>
      </c>
      <c r="R779" s="2">
        <v>32.380000000000003</v>
      </c>
      <c r="S779">
        <v>1</v>
      </c>
      <c r="T779" t="s">
        <v>58</v>
      </c>
      <c r="U779" t="s">
        <v>359</v>
      </c>
      <c r="V779" s="4">
        <v>0.375</v>
      </c>
      <c r="W779" s="2">
        <v>0</v>
      </c>
      <c r="X779">
        <v>0</v>
      </c>
      <c r="Y779" t="s">
        <v>60</v>
      </c>
      <c r="Z779" t="s">
        <v>360</v>
      </c>
      <c r="AA779">
        <v>0</v>
      </c>
      <c r="AB779" s="2">
        <v>0</v>
      </c>
      <c r="AC779" s="2">
        <v>0</v>
      </c>
      <c r="AD779" s="3">
        <v>0</v>
      </c>
      <c r="AE779" s="2">
        <v>0</v>
      </c>
      <c r="AF779" s="2">
        <v>0</v>
      </c>
      <c r="AG779" s="2">
        <v>0</v>
      </c>
      <c r="AH779" s="2">
        <v>0</v>
      </c>
      <c r="AI779" s="2">
        <v>0</v>
      </c>
      <c r="AJ779" s="2">
        <v>0</v>
      </c>
      <c r="AK779" s="2">
        <v>0</v>
      </c>
      <c r="AL779" s="2">
        <v>0</v>
      </c>
      <c r="AM779" s="2">
        <v>12.14</v>
      </c>
      <c r="AN779" s="2">
        <v>12.14</v>
      </c>
      <c r="AO779" s="2">
        <v>0</v>
      </c>
      <c r="AP779" s="2">
        <v>0</v>
      </c>
      <c r="AQ779" s="2">
        <v>0</v>
      </c>
    </row>
    <row r="780" spans="1:43" x14ac:dyDescent="0.25">
      <c r="A780" s="1">
        <v>45936</v>
      </c>
      <c r="B780" t="s">
        <v>48</v>
      </c>
      <c r="C780">
        <v>649163</v>
      </c>
      <c r="D780">
        <v>2026119931</v>
      </c>
      <c r="E780" t="s">
        <v>869</v>
      </c>
      <c r="F780" t="s">
        <v>648</v>
      </c>
      <c r="G780" t="s">
        <v>51</v>
      </c>
      <c r="H780" t="s">
        <v>79</v>
      </c>
      <c r="I780" t="s">
        <v>243</v>
      </c>
      <c r="J780" t="s">
        <v>244</v>
      </c>
      <c r="K780">
        <v>651818</v>
      </c>
      <c r="L780" t="s">
        <v>112</v>
      </c>
      <c r="M780" t="s">
        <v>104</v>
      </c>
      <c r="N780" t="s">
        <v>57</v>
      </c>
      <c r="O780" s="1">
        <v>45664</v>
      </c>
      <c r="Q780" s="1">
        <v>45968</v>
      </c>
      <c r="R780" s="2">
        <v>58.32</v>
      </c>
      <c r="S780">
        <v>1</v>
      </c>
      <c r="T780" t="s">
        <v>58</v>
      </c>
      <c r="U780" t="s">
        <v>359</v>
      </c>
      <c r="V780" s="4">
        <v>0.375</v>
      </c>
      <c r="W780" s="2">
        <v>0</v>
      </c>
      <c r="X780">
        <v>0</v>
      </c>
      <c r="Y780" t="s">
        <v>60</v>
      </c>
      <c r="Z780" t="s">
        <v>360</v>
      </c>
      <c r="AA780">
        <v>0</v>
      </c>
      <c r="AB780" s="2">
        <v>0</v>
      </c>
      <c r="AC780" s="2">
        <v>0</v>
      </c>
      <c r="AD780" s="3">
        <v>0</v>
      </c>
      <c r="AE780" s="2">
        <v>0</v>
      </c>
      <c r="AF780" s="2">
        <v>0</v>
      </c>
      <c r="AG780" s="2">
        <v>0</v>
      </c>
      <c r="AH780" s="2">
        <v>0</v>
      </c>
      <c r="AI780" s="2">
        <v>0</v>
      </c>
      <c r="AJ780" s="2">
        <v>0</v>
      </c>
      <c r="AK780" s="2">
        <v>0</v>
      </c>
      <c r="AL780" s="2">
        <v>0</v>
      </c>
      <c r="AM780" s="2">
        <v>21.87</v>
      </c>
      <c r="AN780" s="2">
        <v>21.87</v>
      </c>
      <c r="AO780" s="2">
        <v>0</v>
      </c>
      <c r="AP780" s="2">
        <v>0</v>
      </c>
      <c r="AQ780" s="2">
        <v>0</v>
      </c>
    </row>
    <row r="781" spans="1:43" x14ac:dyDescent="0.25">
      <c r="A781" s="1">
        <v>45936</v>
      </c>
      <c r="B781" t="s">
        <v>48</v>
      </c>
      <c r="C781">
        <v>649163</v>
      </c>
      <c r="D781">
        <v>2026443518</v>
      </c>
      <c r="E781" t="s">
        <v>731</v>
      </c>
      <c r="F781" t="s">
        <v>732</v>
      </c>
      <c r="G781" t="s">
        <v>51</v>
      </c>
      <c r="H781" t="s">
        <v>376</v>
      </c>
      <c r="I781" t="s">
        <v>243</v>
      </c>
      <c r="J781" t="s">
        <v>244</v>
      </c>
      <c r="K781">
        <v>651818</v>
      </c>
      <c r="L781" t="s">
        <v>112</v>
      </c>
      <c r="M781" t="s">
        <v>104</v>
      </c>
      <c r="N781" t="s">
        <v>57</v>
      </c>
      <c r="O781" s="1">
        <v>45661</v>
      </c>
      <c r="Q781" s="1">
        <v>45965</v>
      </c>
      <c r="R781" s="2">
        <v>50.64</v>
      </c>
      <c r="S781">
        <v>1</v>
      </c>
      <c r="T781" t="s">
        <v>58</v>
      </c>
      <c r="U781" t="s">
        <v>359</v>
      </c>
      <c r="V781" s="4">
        <v>0.375</v>
      </c>
      <c r="W781" s="2">
        <v>0</v>
      </c>
      <c r="X781">
        <v>0</v>
      </c>
      <c r="Y781" t="s">
        <v>60</v>
      </c>
      <c r="Z781" t="s">
        <v>360</v>
      </c>
      <c r="AA781">
        <v>0</v>
      </c>
      <c r="AB781" s="2">
        <v>0</v>
      </c>
      <c r="AC781" s="2">
        <v>0</v>
      </c>
      <c r="AD781" s="3">
        <v>0</v>
      </c>
      <c r="AE781" s="2">
        <v>0</v>
      </c>
      <c r="AF781" s="2">
        <v>0</v>
      </c>
      <c r="AG781" s="2">
        <v>0</v>
      </c>
      <c r="AH781" s="2">
        <v>0</v>
      </c>
      <c r="AI781" s="2">
        <v>0</v>
      </c>
      <c r="AJ781" s="2">
        <v>0</v>
      </c>
      <c r="AK781" s="2">
        <v>0</v>
      </c>
      <c r="AL781" s="2">
        <v>0</v>
      </c>
      <c r="AM781" s="2">
        <v>18.989999999999998</v>
      </c>
      <c r="AN781" s="2">
        <v>18.989999999999998</v>
      </c>
      <c r="AO781" s="2">
        <v>0</v>
      </c>
      <c r="AP781" s="2">
        <v>0</v>
      </c>
      <c r="AQ781" s="2">
        <v>0</v>
      </c>
    </row>
    <row r="782" spans="1:43" x14ac:dyDescent="0.25">
      <c r="A782" s="1">
        <v>45936</v>
      </c>
      <c r="B782" t="s">
        <v>48</v>
      </c>
      <c r="C782">
        <v>649163</v>
      </c>
      <c r="D782">
        <v>2026485485</v>
      </c>
      <c r="E782" t="s">
        <v>396</v>
      </c>
      <c r="F782" t="s">
        <v>397</v>
      </c>
      <c r="G782" t="s">
        <v>51</v>
      </c>
      <c r="H782" t="s">
        <v>129</v>
      </c>
      <c r="I782" t="s">
        <v>243</v>
      </c>
      <c r="J782" t="s">
        <v>244</v>
      </c>
      <c r="K782">
        <v>650218</v>
      </c>
      <c r="L782" t="s">
        <v>237</v>
      </c>
      <c r="M782" t="s">
        <v>238</v>
      </c>
      <c r="N782" t="s">
        <v>57</v>
      </c>
      <c r="O782" s="1">
        <v>45665</v>
      </c>
      <c r="Q782" s="1">
        <v>45969</v>
      </c>
      <c r="R782" s="2">
        <v>55.63</v>
      </c>
      <c r="S782">
        <v>1</v>
      </c>
      <c r="T782" t="s">
        <v>58</v>
      </c>
      <c r="U782" t="s">
        <v>359</v>
      </c>
      <c r="V782" s="4">
        <v>0.375</v>
      </c>
      <c r="W782" s="2">
        <v>0</v>
      </c>
      <c r="X782">
        <v>0</v>
      </c>
      <c r="Y782" t="s">
        <v>60</v>
      </c>
      <c r="Z782" t="s">
        <v>360</v>
      </c>
      <c r="AA782">
        <v>0</v>
      </c>
      <c r="AB782" s="2">
        <v>0</v>
      </c>
      <c r="AC782" s="2">
        <v>0</v>
      </c>
      <c r="AD782" s="3">
        <v>0</v>
      </c>
      <c r="AE782" s="2">
        <v>0</v>
      </c>
      <c r="AF782" s="2">
        <v>0</v>
      </c>
      <c r="AG782" s="2">
        <v>0</v>
      </c>
      <c r="AH782" s="2">
        <v>0</v>
      </c>
      <c r="AI782" s="2">
        <v>0</v>
      </c>
      <c r="AJ782" s="2">
        <v>0</v>
      </c>
      <c r="AK782" s="2">
        <v>0</v>
      </c>
      <c r="AL782" s="2">
        <v>0</v>
      </c>
      <c r="AM782" s="2">
        <v>20.86</v>
      </c>
      <c r="AN782" s="2">
        <v>20.86</v>
      </c>
      <c r="AO782" s="2">
        <v>0</v>
      </c>
      <c r="AP782" s="2">
        <v>0</v>
      </c>
      <c r="AQ782" s="2">
        <v>0</v>
      </c>
    </row>
    <row r="783" spans="1:43" x14ac:dyDescent="0.25">
      <c r="A783" s="1">
        <v>45936</v>
      </c>
      <c r="B783" t="s">
        <v>48</v>
      </c>
      <c r="C783">
        <v>649163</v>
      </c>
      <c r="D783">
        <v>2026617925</v>
      </c>
      <c r="E783" t="s">
        <v>739</v>
      </c>
      <c r="F783" t="s">
        <v>740</v>
      </c>
      <c r="G783" t="s">
        <v>51</v>
      </c>
      <c r="H783" t="s">
        <v>52</v>
      </c>
      <c r="I783" t="s">
        <v>243</v>
      </c>
      <c r="J783" t="s">
        <v>244</v>
      </c>
      <c r="K783">
        <v>651818</v>
      </c>
      <c r="L783" t="s">
        <v>112</v>
      </c>
      <c r="M783" t="s">
        <v>104</v>
      </c>
      <c r="N783" t="s">
        <v>57</v>
      </c>
      <c r="O783" s="1">
        <v>45695</v>
      </c>
      <c r="Q783" s="1">
        <v>45968</v>
      </c>
      <c r="R783" s="2">
        <v>48.88</v>
      </c>
      <c r="S783">
        <v>1</v>
      </c>
      <c r="T783" t="s">
        <v>58</v>
      </c>
      <c r="U783" t="s">
        <v>359</v>
      </c>
      <c r="V783" s="4">
        <v>0.375</v>
      </c>
      <c r="W783" s="2">
        <v>0</v>
      </c>
      <c r="X783">
        <v>0</v>
      </c>
      <c r="Y783" t="s">
        <v>60</v>
      </c>
      <c r="Z783" t="s">
        <v>360</v>
      </c>
      <c r="AA783">
        <v>0</v>
      </c>
      <c r="AB783" s="2">
        <v>0</v>
      </c>
      <c r="AC783" s="2">
        <v>0</v>
      </c>
      <c r="AD783" s="3">
        <v>0</v>
      </c>
      <c r="AE783" s="2">
        <v>0</v>
      </c>
      <c r="AF783" s="2">
        <v>0</v>
      </c>
      <c r="AG783" s="2">
        <v>0</v>
      </c>
      <c r="AH783" s="2">
        <v>0</v>
      </c>
      <c r="AI783" s="2">
        <v>0</v>
      </c>
      <c r="AJ783" s="2">
        <v>0</v>
      </c>
      <c r="AK783" s="2">
        <v>0</v>
      </c>
      <c r="AL783" s="2">
        <v>0</v>
      </c>
      <c r="AM783" s="2">
        <v>18.329999999999998</v>
      </c>
      <c r="AN783" s="2">
        <v>18.329999999999998</v>
      </c>
      <c r="AO783" s="2">
        <v>0</v>
      </c>
      <c r="AP783" s="2">
        <v>0</v>
      </c>
      <c r="AQ783" s="2">
        <v>0</v>
      </c>
    </row>
    <row r="784" spans="1:43" x14ac:dyDescent="0.25">
      <c r="A784" s="1">
        <v>45936</v>
      </c>
      <c r="B784" t="s">
        <v>48</v>
      </c>
      <c r="C784">
        <v>649163</v>
      </c>
      <c r="D784">
        <v>2026628667</v>
      </c>
      <c r="E784" t="s">
        <v>741</v>
      </c>
      <c r="F784" t="s">
        <v>81</v>
      </c>
      <c r="G784" t="s">
        <v>51</v>
      </c>
      <c r="H784" t="s">
        <v>101</v>
      </c>
      <c r="I784" t="s">
        <v>243</v>
      </c>
      <c r="J784" t="s">
        <v>244</v>
      </c>
      <c r="K784">
        <v>651818</v>
      </c>
      <c r="L784" t="s">
        <v>112</v>
      </c>
      <c r="M784" t="s">
        <v>104</v>
      </c>
      <c r="N784" t="s">
        <v>57</v>
      </c>
      <c r="O784" s="1">
        <v>45695</v>
      </c>
      <c r="Q784" s="1">
        <v>45968</v>
      </c>
      <c r="R784" s="2">
        <v>43.36</v>
      </c>
      <c r="S784">
        <v>1</v>
      </c>
      <c r="T784" t="s">
        <v>58</v>
      </c>
      <c r="U784" t="s">
        <v>359</v>
      </c>
      <c r="V784" s="4">
        <v>0.375</v>
      </c>
      <c r="W784" s="2">
        <v>0</v>
      </c>
      <c r="X784">
        <v>0</v>
      </c>
      <c r="Y784" t="s">
        <v>60</v>
      </c>
      <c r="Z784" t="s">
        <v>360</v>
      </c>
      <c r="AA784">
        <v>0</v>
      </c>
      <c r="AB784" s="2">
        <v>0</v>
      </c>
      <c r="AC784" s="2">
        <v>0</v>
      </c>
      <c r="AD784" s="3">
        <v>0</v>
      </c>
      <c r="AE784" s="2">
        <v>0</v>
      </c>
      <c r="AF784" s="2">
        <v>0</v>
      </c>
      <c r="AG784" s="2">
        <v>0</v>
      </c>
      <c r="AH784" s="2">
        <v>0</v>
      </c>
      <c r="AI784" s="2">
        <v>0</v>
      </c>
      <c r="AJ784" s="2">
        <v>0</v>
      </c>
      <c r="AK784" s="2">
        <v>0</v>
      </c>
      <c r="AL784" s="2">
        <v>0</v>
      </c>
      <c r="AM784" s="2">
        <v>16.260000000000002</v>
      </c>
      <c r="AN784" s="2">
        <v>16.260000000000002</v>
      </c>
      <c r="AO784" s="2">
        <v>0</v>
      </c>
      <c r="AP784" s="2">
        <v>0</v>
      </c>
      <c r="AQ784" s="2">
        <v>0</v>
      </c>
    </row>
    <row r="785" spans="1:43" x14ac:dyDescent="0.25">
      <c r="A785" s="1">
        <v>45936</v>
      </c>
      <c r="B785" t="s">
        <v>48</v>
      </c>
      <c r="C785">
        <v>649163</v>
      </c>
      <c r="D785">
        <v>2026680614</v>
      </c>
      <c r="E785" t="s">
        <v>402</v>
      </c>
      <c r="F785" t="s">
        <v>743</v>
      </c>
      <c r="G785" t="s">
        <v>51</v>
      </c>
      <c r="H785" t="s">
        <v>155</v>
      </c>
      <c r="I785" t="s">
        <v>243</v>
      </c>
      <c r="J785" t="s">
        <v>244</v>
      </c>
      <c r="K785">
        <v>651818</v>
      </c>
      <c r="L785" t="s">
        <v>112</v>
      </c>
      <c r="M785" t="s">
        <v>104</v>
      </c>
      <c r="N785" t="s">
        <v>57</v>
      </c>
      <c r="O785" s="1">
        <v>45695</v>
      </c>
      <c r="Q785" s="1">
        <v>45968</v>
      </c>
      <c r="R785" s="2">
        <v>42.23</v>
      </c>
      <c r="S785">
        <v>1</v>
      </c>
      <c r="T785" t="s">
        <v>58</v>
      </c>
      <c r="U785" t="s">
        <v>359</v>
      </c>
      <c r="V785" s="4">
        <v>0.375</v>
      </c>
      <c r="W785" s="2">
        <v>0</v>
      </c>
      <c r="X785">
        <v>0</v>
      </c>
      <c r="Y785" t="s">
        <v>60</v>
      </c>
      <c r="Z785" t="s">
        <v>360</v>
      </c>
      <c r="AA785">
        <v>0</v>
      </c>
      <c r="AB785" s="2">
        <v>0</v>
      </c>
      <c r="AC785" s="2">
        <v>0</v>
      </c>
      <c r="AD785" s="3">
        <v>0</v>
      </c>
      <c r="AE785" s="2">
        <v>0</v>
      </c>
      <c r="AF785" s="2">
        <v>0</v>
      </c>
      <c r="AG785" s="2">
        <v>0</v>
      </c>
      <c r="AH785" s="2">
        <v>0</v>
      </c>
      <c r="AI785" s="2">
        <v>0</v>
      </c>
      <c r="AJ785" s="2">
        <v>0</v>
      </c>
      <c r="AK785" s="2">
        <v>0</v>
      </c>
      <c r="AL785" s="2">
        <v>0</v>
      </c>
      <c r="AM785" s="2">
        <v>15.84</v>
      </c>
      <c r="AN785" s="2">
        <v>15.84</v>
      </c>
      <c r="AO785" s="2">
        <v>0</v>
      </c>
      <c r="AP785" s="2">
        <v>0</v>
      </c>
      <c r="AQ785" s="2">
        <v>0</v>
      </c>
    </row>
    <row r="786" spans="1:43" x14ac:dyDescent="0.25">
      <c r="A786" s="1">
        <v>45936</v>
      </c>
      <c r="B786" t="s">
        <v>48</v>
      </c>
      <c r="C786">
        <v>649163</v>
      </c>
      <c r="D786">
        <v>2026682935</v>
      </c>
      <c r="E786" t="s">
        <v>994</v>
      </c>
      <c r="F786" t="s">
        <v>658</v>
      </c>
      <c r="G786" t="s">
        <v>51</v>
      </c>
      <c r="H786" t="s">
        <v>70</v>
      </c>
      <c r="I786" t="s">
        <v>243</v>
      </c>
      <c r="J786" t="s">
        <v>244</v>
      </c>
      <c r="K786">
        <v>728134</v>
      </c>
      <c r="L786" t="s">
        <v>352</v>
      </c>
      <c r="M786" t="s">
        <v>353</v>
      </c>
      <c r="N786" t="s">
        <v>456</v>
      </c>
      <c r="O786" s="1">
        <v>45678</v>
      </c>
      <c r="P786" s="1">
        <v>45936</v>
      </c>
      <c r="Q786" s="1">
        <v>45951</v>
      </c>
      <c r="R786" s="2">
        <v>-26.65</v>
      </c>
      <c r="S786">
        <v>1</v>
      </c>
      <c r="T786" t="s">
        <v>58</v>
      </c>
      <c r="U786" t="s">
        <v>359</v>
      </c>
      <c r="V786" s="4">
        <v>0.375</v>
      </c>
      <c r="W786" s="2">
        <v>0</v>
      </c>
      <c r="X786">
        <v>-1</v>
      </c>
      <c r="Y786" t="s">
        <v>60</v>
      </c>
      <c r="Z786" t="s">
        <v>360</v>
      </c>
      <c r="AA786">
        <v>0</v>
      </c>
      <c r="AB786" s="2">
        <v>0</v>
      </c>
      <c r="AC786" s="2">
        <v>0</v>
      </c>
      <c r="AD786" s="3">
        <v>0</v>
      </c>
      <c r="AE786" s="2">
        <v>0</v>
      </c>
      <c r="AF786" s="2">
        <v>0</v>
      </c>
      <c r="AG786" s="2">
        <v>0</v>
      </c>
      <c r="AH786" s="2">
        <v>0</v>
      </c>
      <c r="AI786" s="2">
        <v>0</v>
      </c>
      <c r="AJ786" s="2">
        <v>0</v>
      </c>
      <c r="AK786" s="2">
        <v>0</v>
      </c>
      <c r="AL786" s="2">
        <v>0</v>
      </c>
      <c r="AM786" s="2">
        <v>-9.99</v>
      </c>
      <c r="AN786" s="2">
        <v>-9.99</v>
      </c>
      <c r="AO786" s="2">
        <v>0</v>
      </c>
      <c r="AP786" s="2">
        <v>0</v>
      </c>
      <c r="AQ786" s="2">
        <v>0</v>
      </c>
    </row>
    <row r="787" spans="1:43" x14ac:dyDescent="0.25">
      <c r="A787" s="1">
        <v>45936</v>
      </c>
      <c r="B787" t="s">
        <v>48</v>
      </c>
      <c r="C787">
        <v>649163</v>
      </c>
      <c r="D787">
        <v>2026860055</v>
      </c>
      <c r="E787" t="s">
        <v>733</v>
      </c>
      <c r="F787" t="s">
        <v>734</v>
      </c>
      <c r="G787" t="s">
        <v>51</v>
      </c>
      <c r="H787" t="s">
        <v>52</v>
      </c>
      <c r="I787" t="s">
        <v>243</v>
      </c>
      <c r="J787" t="s">
        <v>244</v>
      </c>
      <c r="K787">
        <v>651818</v>
      </c>
      <c r="L787" t="s">
        <v>112</v>
      </c>
      <c r="M787" t="s">
        <v>104</v>
      </c>
      <c r="N787" t="s">
        <v>57</v>
      </c>
      <c r="O787" s="1">
        <v>45695</v>
      </c>
      <c r="Q787" s="1">
        <v>45968</v>
      </c>
      <c r="R787" s="2">
        <v>57.96</v>
      </c>
      <c r="S787">
        <v>1</v>
      </c>
      <c r="T787" t="s">
        <v>58</v>
      </c>
      <c r="U787" t="s">
        <v>359</v>
      </c>
      <c r="V787" s="4">
        <v>0.375</v>
      </c>
      <c r="W787" s="2">
        <v>0</v>
      </c>
      <c r="X787">
        <v>0</v>
      </c>
      <c r="Y787" t="s">
        <v>60</v>
      </c>
      <c r="Z787" t="s">
        <v>360</v>
      </c>
      <c r="AA787">
        <v>0</v>
      </c>
      <c r="AB787" s="2">
        <v>0</v>
      </c>
      <c r="AC787" s="2">
        <v>0</v>
      </c>
      <c r="AD787" s="3">
        <v>0</v>
      </c>
      <c r="AE787" s="2">
        <v>0</v>
      </c>
      <c r="AF787" s="2">
        <v>0</v>
      </c>
      <c r="AG787" s="2">
        <v>0</v>
      </c>
      <c r="AH787" s="2">
        <v>0</v>
      </c>
      <c r="AI787" s="2">
        <v>0</v>
      </c>
      <c r="AJ787" s="2">
        <v>0</v>
      </c>
      <c r="AK787" s="2">
        <v>0</v>
      </c>
      <c r="AL787" s="2">
        <v>0</v>
      </c>
      <c r="AM787" s="2">
        <v>21.74</v>
      </c>
      <c r="AN787" s="2">
        <v>21.74</v>
      </c>
      <c r="AO787" s="2">
        <v>0</v>
      </c>
      <c r="AP787" s="2">
        <v>0</v>
      </c>
      <c r="AQ787" s="2">
        <v>0</v>
      </c>
    </row>
    <row r="788" spans="1:43" x14ac:dyDescent="0.25">
      <c r="A788" s="1">
        <v>45936</v>
      </c>
      <c r="B788" t="s">
        <v>48</v>
      </c>
      <c r="C788">
        <v>649163</v>
      </c>
      <c r="D788">
        <v>2026862483</v>
      </c>
      <c r="E788" t="s">
        <v>699</v>
      </c>
      <c r="F788" t="s">
        <v>886</v>
      </c>
      <c r="G788" t="s">
        <v>51</v>
      </c>
      <c r="H788" t="s">
        <v>101</v>
      </c>
      <c r="I788" t="s">
        <v>243</v>
      </c>
      <c r="J788" t="s">
        <v>244</v>
      </c>
      <c r="K788">
        <v>764123</v>
      </c>
      <c r="L788" t="s">
        <v>887</v>
      </c>
      <c r="M788" t="s">
        <v>888</v>
      </c>
      <c r="N788" t="s">
        <v>57</v>
      </c>
      <c r="O788" s="1">
        <v>45694</v>
      </c>
      <c r="Q788" s="1">
        <v>45967</v>
      </c>
      <c r="R788" s="2">
        <v>64.760000000000005</v>
      </c>
      <c r="S788">
        <v>1</v>
      </c>
      <c r="T788" t="s">
        <v>58</v>
      </c>
      <c r="U788" t="s">
        <v>359</v>
      </c>
      <c r="V788" s="4">
        <v>0.375</v>
      </c>
      <c r="W788" s="2">
        <v>0</v>
      </c>
      <c r="X788">
        <v>0</v>
      </c>
      <c r="Y788" t="s">
        <v>60</v>
      </c>
      <c r="Z788" t="s">
        <v>360</v>
      </c>
      <c r="AA788">
        <v>0</v>
      </c>
      <c r="AB788" s="2">
        <v>0</v>
      </c>
      <c r="AC788" s="2">
        <v>0</v>
      </c>
      <c r="AD788" s="3">
        <v>0</v>
      </c>
      <c r="AE788" s="2">
        <v>0</v>
      </c>
      <c r="AF788" s="2">
        <v>0</v>
      </c>
      <c r="AG788" s="2">
        <v>0</v>
      </c>
      <c r="AH788" s="2">
        <v>0</v>
      </c>
      <c r="AI788" s="2">
        <v>0</v>
      </c>
      <c r="AJ788" s="2">
        <v>0</v>
      </c>
      <c r="AK788" s="2">
        <v>0</v>
      </c>
      <c r="AL788" s="2">
        <v>0</v>
      </c>
      <c r="AM788" s="2">
        <v>24.28</v>
      </c>
      <c r="AN788" s="2">
        <v>24.28</v>
      </c>
      <c r="AO788" s="2">
        <v>0</v>
      </c>
      <c r="AP788" s="2">
        <v>0</v>
      </c>
      <c r="AQ788" s="2">
        <v>0</v>
      </c>
    </row>
    <row r="789" spans="1:43" x14ac:dyDescent="0.25">
      <c r="A789" s="1">
        <v>45936</v>
      </c>
      <c r="B789" t="s">
        <v>48</v>
      </c>
      <c r="C789">
        <v>649163</v>
      </c>
      <c r="D789">
        <v>2026978806</v>
      </c>
      <c r="E789" t="s">
        <v>894</v>
      </c>
      <c r="F789" t="s">
        <v>895</v>
      </c>
      <c r="G789" t="s">
        <v>51</v>
      </c>
      <c r="H789" t="s">
        <v>101</v>
      </c>
      <c r="I789" t="s">
        <v>243</v>
      </c>
      <c r="J789" t="s">
        <v>244</v>
      </c>
      <c r="K789">
        <v>824062</v>
      </c>
      <c r="L789" t="s">
        <v>273</v>
      </c>
      <c r="M789" t="s">
        <v>274</v>
      </c>
      <c r="N789" t="s">
        <v>57</v>
      </c>
      <c r="O789" s="1">
        <v>45695</v>
      </c>
      <c r="Q789" s="1">
        <v>45968</v>
      </c>
      <c r="R789" s="2">
        <v>112.85</v>
      </c>
      <c r="S789">
        <v>1</v>
      </c>
      <c r="T789" t="s">
        <v>58</v>
      </c>
      <c r="U789" t="s">
        <v>359</v>
      </c>
      <c r="V789" s="4">
        <v>0.375</v>
      </c>
      <c r="W789" s="2">
        <v>0</v>
      </c>
      <c r="X789">
        <v>0</v>
      </c>
      <c r="Y789" t="s">
        <v>60</v>
      </c>
      <c r="Z789" t="s">
        <v>360</v>
      </c>
      <c r="AA789">
        <v>0</v>
      </c>
      <c r="AB789" s="2">
        <v>0</v>
      </c>
      <c r="AC789" s="2">
        <v>0</v>
      </c>
      <c r="AD789" s="3">
        <v>0</v>
      </c>
      <c r="AE789" s="2">
        <v>0</v>
      </c>
      <c r="AF789" s="2">
        <v>0</v>
      </c>
      <c r="AG789" s="2">
        <v>0</v>
      </c>
      <c r="AH789" s="2">
        <v>0</v>
      </c>
      <c r="AI789" s="2">
        <v>0</v>
      </c>
      <c r="AJ789" s="2">
        <v>0</v>
      </c>
      <c r="AK789" s="2">
        <v>0</v>
      </c>
      <c r="AL789" s="2">
        <v>0</v>
      </c>
      <c r="AM789" s="2">
        <v>42.32</v>
      </c>
      <c r="AN789" s="2">
        <v>42.32</v>
      </c>
      <c r="AO789" s="2">
        <v>0</v>
      </c>
      <c r="AP789" s="2">
        <v>0</v>
      </c>
      <c r="AQ789" s="2">
        <v>0</v>
      </c>
    </row>
    <row r="790" spans="1:43" x14ac:dyDescent="0.25">
      <c r="A790" s="1">
        <v>45936</v>
      </c>
      <c r="B790" t="s">
        <v>48</v>
      </c>
      <c r="C790">
        <v>649163</v>
      </c>
      <c r="D790">
        <v>2027001684</v>
      </c>
      <c r="E790" t="s">
        <v>995</v>
      </c>
      <c r="F790" t="s">
        <v>996</v>
      </c>
      <c r="G790" t="s">
        <v>51</v>
      </c>
      <c r="H790" t="s">
        <v>670</v>
      </c>
      <c r="I790" t="s">
        <v>243</v>
      </c>
      <c r="J790" t="s">
        <v>244</v>
      </c>
      <c r="K790">
        <v>767312</v>
      </c>
      <c r="L790" t="s">
        <v>283</v>
      </c>
      <c r="M790" t="s">
        <v>284</v>
      </c>
      <c r="N790" t="s">
        <v>57</v>
      </c>
      <c r="O790" s="1">
        <v>45696</v>
      </c>
      <c r="Q790" s="1">
        <v>45969</v>
      </c>
      <c r="R790" s="2">
        <v>77.2</v>
      </c>
      <c r="S790">
        <v>1</v>
      </c>
      <c r="T790" t="s">
        <v>58</v>
      </c>
      <c r="U790" t="s">
        <v>359</v>
      </c>
      <c r="V790" s="4">
        <v>0.375</v>
      </c>
      <c r="W790" s="2">
        <v>0</v>
      </c>
      <c r="X790">
        <v>0</v>
      </c>
      <c r="Y790" t="s">
        <v>60</v>
      </c>
      <c r="Z790" t="s">
        <v>360</v>
      </c>
      <c r="AA790">
        <v>0</v>
      </c>
      <c r="AB790" s="2">
        <v>0</v>
      </c>
      <c r="AC790" s="2">
        <v>0</v>
      </c>
      <c r="AD790" s="3">
        <v>0</v>
      </c>
      <c r="AE790" s="2">
        <v>0</v>
      </c>
      <c r="AF790" s="2">
        <v>0</v>
      </c>
      <c r="AG790" s="2">
        <v>0</v>
      </c>
      <c r="AH790" s="2">
        <v>0</v>
      </c>
      <c r="AI790" s="2">
        <v>0</v>
      </c>
      <c r="AJ790" s="2">
        <v>0</v>
      </c>
      <c r="AK790" s="2">
        <v>0</v>
      </c>
      <c r="AL790" s="2">
        <v>0</v>
      </c>
      <c r="AM790" s="2">
        <v>28.95</v>
      </c>
      <c r="AN790" s="2">
        <v>28.95</v>
      </c>
      <c r="AO790" s="2">
        <v>0</v>
      </c>
      <c r="AP790" s="2">
        <v>0</v>
      </c>
      <c r="AQ790" s="2">
        <v>0</v>
      </c>
    </row>
    <row r="791" spans="1:43" x14ac:dyDescent="0.25">
      <c r="A791" s="1">
        <v>45936</v>
      </c>
      <c r="B791" t="s">
        <v>48</v>
      </c>
      <c r="C791">
        <v>649163</v>
      </c>
      <c r="D791">
        <v>2027001807</v>
      </c>
      <c r="E791" t="s">
        <v>749</v>
      </c>
      <c r="F791" t="s">
        <v>585</v>
      </c>
      <c r="G791" t="s">
        <v>51</v>
      </c>
      <c r="H791" t="s">
        <v>203</v>
      </c>
      <c r="I791" t="s">
        <v>243</v>
      </c>
      <c r="J791" t="s">
        <v>244</v>
      </c>
      <c r="K791">
        <v>816021</v>
      </c>
      <c r="L791" t="s">
        <v>265</v>
      </c>
      <c r="M791" t="s">
        <v>266</v>
      </c>
      <c r="N791" t="s">
        <v>57</v>
      </c>
      <c r="O791" s="1">
        <v>45698</v>
      </c>
      <c r="Q791" s="1">
        <v>45971</v>
      </c>
      <c r="R791" s="2">
        <v>53.08</v>
      </c>
      <c r="S791">
        <v>1</v>
      </c>
      <c r="T791" t="s">
        <v>58</v>
      </c>
      <c r="U791" t="s">
        <v>359</v>
      </c>
      <c r="V791" s="4">
        <v>0.375</v>
      </c>
      <c r="W791" s="2">
        <v>0</v>
      </c>
      <c r="X791">
        <v>0</v>
      </c>
      <c r="Y791" t="s">
        <v>60</v>
      </c>
      <c r="Z791" t="s">
        <v>360</v>
      </c>
      <c r="AA791">
        <v>0</v>
      </c>
      <c r="AB791" s="2">
        <v>0</v>
      </c>
      <c r="AC791" s="2">
        <v>0</v>
      </c>
      <c r="AD791" s="3">
        <v>0</v>
      </c>
      <c r="AE791" s="2">
        <v>0</v>
      </c>
      <c r="AF791" s="2">
        <v>0</v>
      </c>
      <c r="AG791" s="2">
        <v>0</v>
      </c>
      <c r="AH791" s="2">
        <v>0</v>
      </c>
      <c r="AI791" s="2">
        <v>0</v>
      </c>
      <c r="AJ791" s="2">
        <v>0</v>
      </c>
      <c r="AK791" s="2">
        <v>0</v>
      </c>
      <c r="AL791" s="2">
        <v>0</v>
      </c>
      <c r="AM791" s="2">
        <v>19.899999999999999</v>
      </c>
      <c r="AN791" s="2">
        <v>19.899999999999999</v>
      </c>
      <c r="AO791" s="2">
        <v>0</v>
      </c>
      <c r="AP791" s="2">
        <v>0</v>
      </c>
      <c r="AQ791" s="2">
        <v>0</v>
      </c>
    </row>
    <row r="792" spans="1:43" x14ac:dyDescent="0.25">
      <c r="A792" s="1">
        <v>45936</v>
      </c>
      <c r="B792" t="s">
        <v>48</v>
      </c>
      <c r="C792">
        <v>649163</v>
      </c>
      <c r="D792">
        <v>2027014989</v>
      </c>
      <c r="E792" t="s">
        <v>997</v>
      </c>
      <c r="F792" t="s">
        <v>998</v>
      </c>
      <c r="G792" t="s">
        <v>51</v>
      </c>
      <c r="H792" t="s">
        <v>79</v>
      </c>
      <c r="I792" t="s">
        <v>243</v>
      </c>
      <c r="J792" t="s">
        <v>244</v>
      </c>
      <c r="K792">
        <v>673059</v>
      </c>
      <c r="L792" t="s">
        <v>80</v>
      </c>
      <c r="M792" t="s">
        <v>81</v>
      </c>
      <c r="N792" t="s">
        <v>57</v>
      </c>
      <c r="O792" s="1">
        <v>45696</v>
      </c>
      <c r="Q792" s="1">
        <v>45969</v>
      </c>
      <c r="R792" s="2">
        <v>59.58</v>
      </c>
      <c r="S792">
        <v>1</v>
      </c>
      <c r="T792" t="s">
        <v>58</v>
      </c>
      <c r="U792" t="s">
        <v>359</v>
      </c>
      <c r="V792" s="4">
        <v>0.375</v>
      </c>
      <c r="W792" s="2">
        <v>0</v>
      </c>
      <c r="X792">
        <v>0</v>
      </c>
      <c r="Y792" t="s">
        <v>60</v>
      </c>
      <c r="Z792" t="s">
        <v>360</v>
      </c>
      <c r="AA792">
        <v>0</v>
      </c>
      <c r="AB792" s="2">
        <v>0</v>
      </c>
      <c r="AC792" s="2">
        <v>0</v>
      </c>
      <c r="AD792" s="3">
        <v>0</v>
      </c>
      <c r="AE792" s="2">
        <v>0</v>
      </c>
      <c r="AF792" s="2">
        <v>0</v>
      </c>
      <c r="AG792" s="2">
        <v>0</v>
      </c>
      <c r="AH792" s="2">
        <v>0</v>
      </c>
      <c r="AI792" s="2">
        <v>0</v>
      </c>
      <c r="AJ792" s="2">
        <v>0</v>
      </c>
      <c r="AK792" s="2">
        <v>0</v>
      </c>
      <c r="AL792" s="2">
        <v>0</v>
      </c>
      <c r="AM792" s="2">
        <v>22.34</v>
      </c>
      <c r="AN792" s="2">
        <v>22.34</v>
      </c>
      <c r="AO792" s="2">
        <v>0</v>
      </c>
      <c r="AP792" s="2">
        <v>0</v>
      </c>
      <c r="AQ792" s="2">
        <v>0</v>
      </c>
    </row>
    <row r="793" spans="1:43" x14ac:dyDescent="0.25">
      <c r="A793" s="1">
        <v>45936</v>
      </c>
      <c r="B793" t="s">
        <v>48</v>
      </c>
      <c r="C793">
        <v>649163</v>
      </c>
      <c r="D793">
        <v>2027071860</v>
      </c>
      <c r="E793" t="s">
        <v>999</v>
      </c>
      <c r="F793" t="s">
        <v>224</v>
      </c>
      <c r="G793" t="s">
        <v>51</v>
      </c>
      <c r="H793" t="s">
        <v>203</v>
      </c>
      <c r="I793" t="s">
        <v>243</v>
      </c>
      <c r="J793" t="s">
        <v>244</v>
      </c>
      <c r="K793">
        <v>796984</v>
      </c>
      <c r="L793" t="s">
        <v>204</v>
      </c>
      <c r="M793" t="s">
        <v>205</v>
      </c>
      <c r="N793" t="s">
        <v>57</v>
      </c>
      <c r="O793" s="1">
        <v>45717</v>
      </c>
      <c r="Q793" s="1">
        <v>45962</v>
      </c>
      <c r="R793" s="2">
        <v>53.08</v>
      </c>
      <c r="S793">
        <v>1</v>
      </c>
      <c r="T793" t="s">
        <v>58</v>
      </c>
      <c r="U793" t="s">
        <v>359</v>
      </c>
      <c r="V793" s="4">
        <v>0.375</v>
      </c>
      <c r="W793" s="2">
        <v>0</v>
      </c>
      <c r="X793">
        <v>0</v>
      </c>
      <c r="Y793" t="s">
        <v>60</v>
      </c>
      <c r="Z793" t="s">
        <v>360</v>
      </c>
      <c r="AA793">
        <v>0</v>
      </c>
      <c r="AB793" s="2">
        <v>0</v>
      </c>
      <c r="AC793" s="2">
        <v>0</v>
      </c>
      <c r="AD793" s="3">
        <v>0</v>
      </c>
      <c r="AE793" s="2">
        <v>0</v>
      </c>
      <c r="AF793" s="2">
        <v>0</v>
      </c>
      <c r="AG793" s="2">
        <v>0</v>
      </c>
      <c r="AH793" s="2">
        <v>0</v>
      </c>
      <c r="AI793" s="2">
        <v>0</v>
      </c>
      <c r="AJ793" s="2">
        <v>0</v>
      </c>
      <c r="AK793" s="2">
        <v>0</v>
      </c>
      <c r="AL793" s="2">
        <v>0</v>
      </c>
      <c r="AM793" s="2">
        <v>19.899999999999999</v>
      </c>
      <c r="AN793" s="2">
        <v>19.899999999999999</v>
      </c>
      <c r="AO793" s="2">
        <v>0</v>
      </c>
      <c r="AP793" s="2">
        <v>0</v>
      </c>
      <c r="AQ793" s="2">
        <v>0</v>
      </c>
    </row>
    <row r="794" spans="1:43" x14ac:dyDescent="0.25">
      <c r="A794" s="1">
        <v>45936</v>
      </c>
      <c r="B794" t="s">
        <v>48</v>
      </c>
      <c r="C794">
        <v>649163</v>
      </c>
      <c r="D794">
        <v>2027082733</v>
      </c>
      <c r="E794" t="s">
        <v>1000</v>
      </c>
      <c r="F794" t="s">
        <v>290</v>
      </c>
      <c r="G794" t="s">
        <v>51</v>
      </c>
      <c r="H794" t="s">
        <v>101</v>
      </c>
      <c r="I794" t="s">
        <v>243</v>
      </c>
      <c r="J794" t="s">
        <v>244</v>
      </c>
      <c r="K794">
        <v>669316</v>
      </c>
      <c r="L794" t="s">
        <v>258</v>
      </c>
      <c r="M794" t="s">
        <v>259</v>
      </c>
      <c r="N794" t="s">
        <v>456</v>
      </c>
      <c r="O794" s="1">
        <v>45701</v>
      </c>
      <c r="P794" s="1">
        <v>45936</v>
      </c>
      <c r="Q794" s="1">
        <v>45943</v>
      </c>
      <c r="R794" s="2">
        <v>-145.63999999999999</v>
      </c>
      <c r="S794">
        <v>1</v>
      </c>
      <c r="T794" t="s">
        <v>58</v>
      </c>
      <c r="U794" t="s">
        <v>359</v>
      </c>
      <c r="V794" s="4">
        <v>0.375</v>
      </c>
      <c r="W794" s="2">
        <v>0</v>
      </c>
      <c r="X794">
        <v>-1</v>
      </c>
      <c r="Y794" t="s">
        <v>60</v>
      </c>
      <c r="Z794" t="s">
        <v>360</v>
      </c>
      <c r="AA794">
        <v>0</v>
      </c>
      <c r="AB794" s="2">
        <v>0</v>
      </c>
      <c r="AC794" s="2">
        <v>0</v>
      </c>
      <c r="AD794" s="3">
        <v>0</v>
      </c>
      <c r="AE794" s="2">
        <v>0</v>
      </c>
      <c r="AF794" s="2">
        <v>0</v>
      </c>
      <c r="AG794" s="2">
        <v>0</v>
      </c>
      <c r="AH794" s="2">
        <v>0</v>
      </c>
      <c r="AI794" s="2">
        <v>0</v>
      </c>
      <c r="AJ794" s="2">
        <v>0</v>
      </c>
      <c r="AK794" s="2">
        <v>0</v>
      </c>
      <c r="AL794" s="2">
        <v>0</v>
      </c>
      <c r="AM794" s="2">
        <v>-54.62</v>
      </c>
      <c r="AN794" s="2">
        <v>-54.62</v>
      </c>
      <c r="AO794" s="2">
        <v>0</v>
      </c>
      <c r="AP794" s="2">
        <v>0</v>
      </c>
      <c r="AQ794" s="2">
        <v>0</v>
      </c>
    </row>
    <row r="795" spans="1:43" x14ac:dyDescent="0.25">
      <c r="A795" s="1">
        <v>45936</v>
      </c>
      <c r="B795" t="s">
        <v>48</v>
      </c>
      <c r="C795">
        <v>649163</v>
      </c>
      <c r="D795">
        <v>2027380470</v>
      </c>
      <c r="E795" t="s">
        <v>1001</v>
      </c>
      <c r="F795" t="s">
        <v>1002</v>
      </c>
      <c r="G795" t="s">
        <v>51</v>
      </c>
      <c r="H795" t="s">
        <v>101</v>
      </c>
      <c r="I795" t="s">
        <v>243</v>
      </c>
      <c r="J795" t="s">
        <v>244</v>
      </c>
      <c r="K795">
        <v>822733</v>
      </c>
      <c r="L795" t="s">
        <v>269</v>
      </c>
      <c r="M795" t="s">
        <v>270</v>
      </c>
      <c r="N795" t="s">
        <v>57</v>
      </c>
      <c r="O795" s="1">
        <v>45723</v>
      </c>
      <c r="Q795" s="1">
        <v>45968</v>
      </c>
      <c r="R795" s="2">
        <v>60.3</v>
      </c>
      <c r="S795">
        <v>1</v>
      </c>
      <c r="T795" t="s">
        <v>58</v>
      </c>
      <c r="U795" t="s">
        <v>359</v>
      </c>
      <c r="V795" s="4">
        <v>0.375</v>
      </c>
      <c r="W795" s="2">
        <v>0</v>
      </c>
      <c r="X795">
        <v>0</v>
      </c>
      <c r="Y795" t="s">
        <v>60</v>
      </c>
      <c r="Z795" t="s">
        <v>360</v>
      </c>
      <c r="AA795">
        <v>0</v>
      </c>
      <c r="AB795" s="2">
        <v>0</v>
      </c>
      <c r="AC795" s="2">
        <v>0</v>
      </c>
      <c r="AD795" s="3">
        <v>0</v>
      </c>
      <c r="AE795" s="2">
        <v>0</v>
      </c>
      <c r="AF795" s="2">
        <v>0</v>
      </c>
      <c r="AG795" s="2">
        <v>0</v>
      </c>
      <c r="AH795" s="2">
        <v>0</v>
      </c>
      <c r="AI795" s="2">
        <v>0</v>
      </c>
      <c r="AJ795" s="2">
        <v>0</v>
      </c>
      <c r="AK795" s="2">
        <v>0</v>
      </c>
      <c r="AL795" s="2">
        <v>0</v>
      </c>
      <c r="AM795" s="2">
        <v>22.61</v>
      </c>
      <c r="AN795" s="2">
        <v>22.61</v>
      </c>
      <c r="AO795" s="2">
        <v>0</v>
      </c>
      <c r="AP795" s="2">
        <v>0</v>
      </c>
      <c r="AQ795" s="2">
        <v>0</v>
      </c>
    </row>
    <row r="796" spans="1:43" x14ac:dyDescent="0.25">
      <c r="A796" s="1">
        <v>45936</v>
      </c>
      <c r="B796" t="s">
        <v>48</v>
      </c>
      <c r="C796">
        <v>649163</v>
      </c>
      <c r="D796">
        <v>2027482811</v>
      </c>
      <c r="E796" t="s">
        <v>758</v>
      </c>
      <c r="F796" t="s">
        <v>224</v>
      </c>
      <c r="G796" t="s">
        <v>51</v>
      </c>
      <c r="H796" t="s">
        <v>129</v>
      </c>
      <c r="I796" t="s">
        <v>243</v>
      </c>
      <c r="J796" t="s">
        <v>244</v>
      </c>
      <c r="K796">
        <v>651818</v>
      </c>
      <c r="L796" t="s">
        <v>112</v>
      </c>
      <c r="M796" t="s">
        <v>104</v>
      </c>
      <c r="N796" t="s">
        <v>57</v>
      </c>
      <c r="O796" s="1">
        <v>45723</v>
      </c>
      <c r="Q796" s="1">
        <v>45968</v>
      </c>
      <c r="R796" s="2">
        <v>40.1</v>
      </c>
      <c r="S796">
        <v>1</v>
      </c>
      <c r="T796" t="s">
        <v>58</v>
      </c>
      <c r="U796" t="s">
        <v>359</v>
      </c>
      <c r="V796" s="4">
        <v>0.375</v>
      </c>
      <c r="W796" s="2">
        <v>0</v>
      </c>
      <c r="X796">
        <v>0</v>
      </c>
      <c r="Y796" t="s">
        <v>60</v>
      </c>
      <c r="Z796" t="s">
        <v>360</v>
      </c>
      <c r="AA796">
        <v>0</v>
      </c>
      <c r="AB796" s="2">
        <v>0</v>
      </c>
      <c r="AC796" s="2">
        <v>0</v>
      </c>
      <c r="AD796" s="3">
        <v>0</v>
      </c>
      <c r="AE796" s="2">
        <v>0</v>
      </c>
      <c r="AF796" s="2">
        <v>0</v>
      </c>
      <c r="AG796" s="2">
        <v>0</v>
      </c>
      <c r="AH796" s="2">
        <v>0</v>
      </c>
      <c r="AI796" s="2">
        <v>0</v>
      </c>
      <c r="AJ796" s="2">
        <v>0</v>
      </c>
      <c r="AK796" s="2">
        <v>0</v>
      </c>
      <c r="AL796" s="2">
        <v>0</v>
      </c>
      <c r="AM796" s="2">
        <v>15.04</v>
      </c>
      <c r="AN796" s="2">
        <v>15.04</v>
      </c>
      <c r="AO796" s="2">
        <v>0</v>
      </c>
      <c r="AP796" s="2">
        <v>0</v>
      </c>
      <c r="AQ796" s="2">
        <v>0</v>
      </c>
    </row>
    <row r="797" spans="1:43" x14ac:dyDescent="0.25">
      <c r="A797" s="1">
        <v>45936</v>
      </c>
      <c r="B797" t="s">
        <v>48</v>
      </c>
      <c r="C797">
        <v>649163</v>
      </c>
      <c r="D797">
        <v>2027014990</v>
      </c>
      <c r="E797" t="s">
        <v>997</v>
      </c>
      <c r="F797" t="s">
        <v>998</v>
      </c>
      <c r="G797" t="s">
        <v>51</v>
      </c>
      <c r="H797" t="s">
        <v>79</v>
      </c>
      <c r="I797" t="s">
        <v>292</v>
      </c>
      <c r="J797" t="s">
        <v>293</v>
      </c>
      <c r="K797">
        <v>673059</v>
      </c>
      <c r="L797" t="s">
        <v>80</v>
      </c>
      <c r="M797" t="s">
        <v>81</v>
      </c>
      <c r="N797" t="s">
        <v>57</v>
      </c>
      <c r="O797" s="1">
        <v>45696</v>
      </c>
      <c r="Q797" s="1">
        <v>45969</v>
      </c>
      <c r="R797" s="2">
        <v>10.82</v>
      </c>
      <c r="S797">
        <v>1</v>
      </c>
      <c r="T797" t="s">
        <v>58</v>
      </c>
      <c r="U797" t="s">
        <v>359</v>
      </c>
      <c r="V797" s="3">
        <v>0.7</v>
      </c>
      <c r="W797" s="2">
        <v>0</v>
      </c>
      <c r="X797">
        <v>0</v>
      </c>
      <c r="Y797" t="s">
        <v>60</v>
      </c>
      <c r="Z797" t="s">
        <v>360</v>
      </c>
      <c r="AA797">
        <v>0</v>
      </c>
      <c r="AB797" s="2">
        <v>0</v>
      </c>
      <c r="AC797" s="2">
        <v>0</v>
      </c>
      <c r="AD797" s="3">
        <v>0</v>
      </c>
      <c r="AE797" s="2">
        <v>0</v>
      </c>
      <c r="AF797" s="2">
        <v>0</v>
      </c>
      <c r="AG797" s="2">
        <v>0</v>
      </c>
      <c r="AH797" s="2">
        <v>0</v>
      </c>
      <c r="AI797" s="2">
        <v>0</v>
      </c>
      <c r="AJ797" s="2">
        <v>0</v>
      </c>
      <c r="AK797" s="2">
        <v>0</v>
      </c>
      <c r="AL797" s="2">
        <v>0</v>
      </c>
      <c r="AM797" s="2">
        <v>7.57</v>
      </c>
      <c r="AN797" s="2">
        <v>7.57</v>
      </c>
      <c r="AO797" s="2">
        <v>0</v>
      </c>
      <c r="AP797" s="2">
        <v>0</v>
      </c>
      <c r="AQ797" s="2">
        <v>0</v>
      </c>
    </row>
    <row r="798" spans="1:43" x14ac:dyDescent="0.25">
      <c r="A798" s="1">
        <v>45936</v>
      </c>
      <c r="B798" t="s">
        <v>48</v>
      </c>
      <c r="C798">
        <v>649163</v>
      </c>
      <c r="D798">
        <v>2027025171</v>
      </c>
      <c r="E798" t="s">
        <v>404</v>
      </c>
      <c r="F798" t="s">
        <v>405</v>
      </c>
      <c r="G798" t="s">
        <v>51</v>
      </c>
      <c r="H798" t="s">
        <v>203</v>
      </c>
      <c r="I798" t="s">
        <v>292</v>
      </c>
      <c r="J798" t="s">
        <v>293</v>
      </c>
      <c r="K798">
        <v>824082</v>
      </c>
      <c r="L798" t="s">
        <v>406</v>
      </c>
      <c r="M798" t="s">
        <v>407</v>
      </c>
      <c r="N798" t="s">
        <v>57</v>
      </c>
      <c r="O798" s="1">
        <v>45697</v>
      </c>
      <c r="Q798" s="1">
        <v>45970</v>
      </c>
      <c r="R798" s="2">
        <v>29.2</v>
      </c>
      <c r="S798">
        <v>1</v>
      </c>
      <c r="T798" t="s">
        <v>58</v>
      </c>
      <c r="U798" t="s">
        <v>359</v>
      </c>
      <c r="V798" s="3">
        <v>0.7</v>
      </c>
      <c r="W798" s="2">
        <v>0</v>
      </c>
      <c r="X798">
        <v>0</v>
      </c>
      <c r="Y798" t="s">
        <v>60</v>
      </c>
      <c r="Z798" t="s">
        <v>360</v>
      </c>
      <c r="AA798">
        <v>0</v>
      </c>
      <c r="AB798" s="2">
        <v>0</v>
      </c>
      <c r="AC798" s="2">
        <v>0</v>
      </c>
      <c r="AD798" s="3">
        <v>0</v>
      </c>
      <c r="AE798" s="2">
        <v>0</v>
      </c>
      <c r="AF798" s="2">
        <v>0</v>
      </c>
      <c r="AG798" s="2">
        <v>0</v>
      </c>
      <c r="AH798" s="2">
        <v>0</v>
      </c>
      <c r="AI798" s="2">
        <v>0</v>
      </c>
      <c r="AJ798" s="2">
        <v>0</v>
      </c>
      <c r="AK798" s="2">
        <v>0</v>
      </c>
      <c r="AL798" s="2">
        <v>0</v>
      </c>
      <c r="AM798" s="2">
        <v>20.440000000000001</v>
      </c>
      <c r="AN798" s="2">
        <v>20.440000000000001</v>
      </c>
      <c r="AO798" s="2">
        <v>0</v>
      </c>
      <c r="AP798" s="2">
        <v>0</v>
      </c>
      <c r="AQ798" s="2">
        <v>0</v>
      </c>
    </row>
    <row r="799" spans="1:43" x14ac:dyDescent="0.25">
      <c r="A799" s="1">
        <v>45936</v>
      </c>
      <c r="B799" t="s">
        <v>48</v>
      </c>
      <c r="C799">
        <v>649163</v>
      </c>
      <c r="D799">
        <v>2027035339</v>
      </c>
      <c r="E799" t="s">
        <v>408</v>
      </c>
      <c r="F799" t="s">
        <v>409</v>
      </c>
      <c r="G799" t="s">
        <v>51</v>
      </c>
      <c r="H799" t="s">
        <v>155</v>
      </c>
      <c r="I799" t="s">
        <v>292</v>
      </c>
      <c r="J799" t="s">
        <v>293</v>
      </c>
      <c r="K799">
        <v>813184</v>
      </c>
      <c r="L799" t="s">
        <v>408</v>
      </c>
      <c r="M799" t="s">
        <v>410</v>
      </c>
      <c r="N799" t="s">
        <v>57</v>
      </c>
      <c r="O799" s="1">
        <v>45698</v>
      </c>
      <c r="Q799" s="1">
        <v>45971</v>
      </c>
      <c r="R799" s="2">
        <v>39.25</v>
      </c>
      <c r="S799">
        <v>1</v>
      </c>
      <c r="T799" t="s">
        <v>58</v>
      </c>
      <c r="U799" t="s">
        <v>359</v>
      </c>
      <c r="V799" s="3">
        <v>0.7</v>
      </c>
      <c r="W799" s="2">
        <v>0</v>
      </c>
      <c r="X799">
        <v>0</v>
      </c>
      <c r="Y799" t="s">
        <v>60</v>
      </c>
      <c r="Z799" t="s">
        <v>360</v>
      </c>
      <c r="AA799">
        <v>0</v>
      </c>
      <c r="AB799" s="2">
        <v>0</v>
      </c>
      <c r="AC799" s="2">
        <v>0</v>
      </c>
      <c r="AD799" s="3">
        <v>0</v>
      </c>
      <c r="AE799" s="2">
        <v>0</v>
      </c>
      <c r="AF799" s="2">
        <v>0</v>
      </c>
      <c r="AG799" s="2">
        <v>0</v>
      </c>
      <c r="AH799" s="2">
        <v>0</v>
      </c>
      <c r="AI799" s="2">
        <v>0</v>
      </c>
      <c r="AJ799" s="2">
        <v>0</v>
      </c>
      <c r="AK799" s="2">
        <v>0</v>
      </c>
      <c r="AL799" s="2">
        <v>0</v>
      </c>
      <c r="AM799" s="2">
        <v>27.48</v>
      </c>
      <c r="AN799" s="2">
        <v>27.48</v>
      </c>
      <c r="AO799" s="2">
        <v>0</v>
      </c>
      <c r="AP799" s="2">
        <v>0</v>
      </c>
      <c r="AQ799" s="2">
        <v>0</v>
      </c>
    </row>
    <row r="800" spans="1:43" x14ac:dyDescent="0.25">
      <c r="A800" s="1">
        <v>45936</v>
      </c>
      <c r="B800" t="s">
        <v>48</v>
      </c>
      <c r="C800">
        <v>649163</v>
      </c>
      <c r="D800">
        <v>2027071859</v>
      </c>
      <c r="E800" t="s">
        <v>999</v>
      </c>
      <c r="F800" t="s">
        <v>224</v>
      </c>
      <c r="G800" t="s">
        <v>51</v>
      </c>
      <c r="H800" t="s">
        <v>203</v>
      </c>
      <c r="I800" t="s">
        <v>292</v>
      </c>
      <c r="J800" t="s">
        <v>293</v>
      </c>
      <c r="K800">
        <v>796984</v>
      </c>
      <c r="L800" t="s">
        <v>204</v>
      </c>
      <c r="M800" t="s">
        <v>205</v>
      </c>
      <c r="N800" t="s">
        <v>57</v>
      </c>
      <c r="O800" s="1">
        <v>45717</v>
      </c>
      <c r="Q800" s="1">
        <v>45962</v>
      </c>
      <c r="R800" s="2">
        <v>9.1</v>
      </c>
      <c r="S800">
        <v>1</v>
      </c>
      <c r="T800" t="s">
        <v>58</v>
      </c>
      <c r="U800" t="s">
        <v>359</v>
      </c>
      <c r="V800" s="3">
        <v>0.7</v>
      </c>
      <c r="W800" s="2">
        <v>0</v>
      </c>
      <c r="X800">
        <v>0</v>
      </c>
      <c r="Y800" t="s">
        <v>60</v>
      </c>
      <c r="Z800" t="s">
        <v>360</v>
      </c>
      <c r="AA800">
        <v>0</v>
      </c>
      <c r="AB800" s="2">
        <v>0</v>
      </c>
      <c r="AC800" s="2">
        <v>0</v>
      </c>
      <c r="AD800" s="3">
        <v>0</v>
      </c>
      <c r="AE800" s="2">
        <v>0</v>
      </c>
      <c r="AF800" s="2">
        <v>0</v>
      </c>
      <c r="AG800" s="2">
        <v>0</v>
      </c>
      <c r="AH800" s="2">
        <v>0</v>
      </c>
      <c r="AI800" s="2">
        <v>0</v>
      </c>
      <c r="AJ800" s="2">
        <v>0</v>
      </c>
      <c r="AK800" s="2">
        <v>0</v>
      </c>
      <c r="AL800" s="2">
        <v>0</v>
      </c>
      <c r="AM800" s="2">
        <v>6.37</v>
      </c>
      <c r="AN800" s="2">
        <v>6.37</v>
      </c>
      <c r="AO800" s="2">
        <v>0</v>
      </c>
      <c r="AP800" s="2">
        <v>0</v>
      </c>
      <c r="AQ800" s="2">
        <v>0</v>
      </c>
    </row>
    <row r="801" spans="1:43" x14ac:dyDescent="0.25">
      <c r="A801" s="1">
        <v>45936</v>
      </c>
      <c r="B801" t="s">
        <v>48</v>
      </c>
      <c r="C801">
        <v>649163</v>
      </c>
      <c r="D801">
        <v>2027235545</v>
      </c>
      <c r="E801" t="s">
        <v>752</v>
      </c>
      <c r="F801" t="s">
        <v>753</v>
      </c>
      <c r="G801" t="s">
        <v>51</v>
      </c>
      <c r="H801" t="s">
        <v>376</v>
      </c>
      <c r="I801" t="s">
        <v>292</v>
      </c>
      <c r="J801" t="s">
        <v>293</v>
      </c>
      <c r="K801">
        <v>651818</v>
      </c>
      <c r="L801" t="s">
        <v>112</v>
      </c>
      <c r="M801" t="s">
        <v>104</v>
      </c>
      <c r="N801" t="s">
        <v>57</v>
      </c>
      <c r="O801" s="1">
        <v>45723</v>
      </c>
      <c r="Q801" s="1">
        <v>45968</v>
      </c>
      <c r="R801" s="2">
        <v>122.53</v>
      </c>
      <c r="S801">
        <v>1</v>
      </c>
      <c r="T801" t="s">
        <v>58</v>
      </c>
      <c r="U801" t="s">
        <v>359</v>
      </c>
      <c r="V801" s="3">
        <v>0.7</v>
      </c>
      <c r="W801" s="2">
        <v>0</v>
      </c>
      <c r="X801">
        <v>0</v>
      </c>
      <c r="Y801" t="s">
        <v>60</v>
      </c>
      <c r="Z801" t="s">
        <v>360</v>
      </c>
      <c r="AA801">
        <v>0</v>
      </c>
      <c r="AB801" s="2">
        <v>0</v>
      </c>
      <c r="AC801" s="2">
        <v>0</v>
      </c>
      <c r="AD801" s="3">
        <v>0</v>
      </c>
      <c r="AE801" s="2">
        <v>0</v>
      </c>
      <c r="AF801" s="2">
        <v>0</v>
      </c>
      <c r="AG801" s="2">
        <v>0</v>
      </c>
      <c r="AH801" s="2">
        <v>0</v>
      </c>
      <c r="AI801" s="2">
        <v>0</v>
      </c>
      <c r="AJ801" s="2">
        <v>0</v>
      </c>
      <c r="AK801" s="2">
        <v>0</v>
      </c>
      <c r="AL801" s="2">
        <v>0</v>
      </c>
      <c r="AM801" s="2">
        <v>85.77</v>
      </c>
      <c r="AN801" s="2">
        <v>85.77</v>
      </c>
      <c r="AO801" s="2">
        <v>0</v>
      </c>
      <c r="AP801" s="2">
        <v>0</v>
      </c>
      <c r="AQ801" s="2">
        <v>0</v>
      </c>
    </row>
    <row r="802" spans="1:43" x14ac:dyDescent="0.25">
      <c r="A802" s="1">
        <v>45936</v>
      </c>
      <c r="B802" t="s">
        <v>48</v>
      </c>
      <c r="C802">
        <v>649163</v>
      </c>
      <c r="D802">
        <v>2027298067</v>
      </c>
      <c r="E802" t="s">
        <v>754</v>
      </c>
      <c r="F802" t="s">
        <v>755</v>
      </c>
      <c r="G802" t="s">
        <v>51</v>
      </c>
      <c r="H802" t="s">
        <v>129</v>
      </c>
      <c r="I802" t="s">
        <v>292</v>
      </c>
      <c r="J802" t="s">
        <v>293</v>
      </c>
      <c r="K802">
        <v>651818</v>
      </c>
      <c r="L802" t="s">
        <v>112</v>
      </c>
      <c r="M802" t="s">
        <v>104</v>
      </c>
      <c r="N802" t="s">
        <v>57</v>
      </c>
      <c r="O802" s="1">
        <v>45723</v>
      </c>
      <c r="Q802" s="1">
        <v>45968</v>
      </c>
      <c r="R802" s="2">
        <v>73.56</v>
      </c>
      <c r="S802">
        <v>1</v>
      </c>
      <c r="T802" t="s">
        <v>58</v>
      </c>
      <c r="U802" t="s">
        <v>359</v>
      </c>
      <c r="V802" s="3">
        <v>0.7</v>
      </c>
      <c r="W802" s="2">
        <v>0</v>
      </c>
      <c r="X802">
        <v>0</v>
      </c>
      <c r="Y802" t="s">
        <v>60</v>
      </c>
      <c r="Z802" t="s">
        <v>360</v>
      </c>
      <c r="AA802">
        <v>0</v>
      </c>
      <c r="AB802" s="2">
        <v>0</v>
      </c>
      <c r="AC802" s="2">
        <v>0</v>
      </c>
      <c r="AD802" s="3">
        <v>0</v>
      </c>
      <c r="AE802" s="2">
        <v>0</v>
      </c>
      <c r="AF802" s="2">
        <v>0</v>
      </c>
      <c r="AG802" s="2">
        <v>0</v>
      </c>
      <c r="AH802" s="2">
        <v>0</v>
      </c>
      <c r="AI802" s="2">
        <v>0</v>
      </c>
      <c r="AJ802" s="2">
        <v>0</v>
      </c>
      <c r="AK802" s="2">
        <v>0</v>
      </c>
      <c r="AL802" s="2">
        <v>0</v>
      </c>
      <c r="AM802" s="2">
        <v>51.49</v>
      </c>
      <c r="AN802" s="2">
        <v>51.49</v>
      </c>
      <c r="AO802" s="2">
        <v>0</v>
      </c>
      <c r="AP802" s="2">
        <v>0</v>
      </c>
      <c r="AQ802" s="2">
        <v>0</v>
      </c>
    </row>
    <row r="803" spans="1:43" x14ac:dyDescent="0.25">
      <c r="A803" s="1">
        <v>45936</v>
      </c>
      <c r="B803" t="s">
        <v>48</v>
      </c>
      <c r="C803">
        <v>649163</v>
      </c>
      <c r="D803">
        <v>2027298068</v>
      </c>
      <c r="E803" t="s">
        <v>754</v>
      </c>
      <c r="F803" t="s">
        <v>755</v>
      </c>
      <c r="G803" t="s">
        <v>51</v>
      </c>
      <c r="H803" t="s">
        <v>129</v>
      </c>
      <c r="I803" t="s">
        <v>292</v>
      </c>
      <c r="J803" t="s">
        <v>295</v>
      </c>
      <c r="K803">
        <v>651818</v>
      </c>
      <c r="L803" t="s">
        <v>112</v>
      </c>
      <c r="M803" t="s">
        <v>104</v>
      </c>
      <c r="N803" t="s">
        <v>57</v>
      </c>
      <c r="O803" s="1">
        <v>45723</v>
      </c>
      <c r="Q803" s="1">
        <v>45968</v>
      </c>
      <c r="R803" s="2">
        <v>64.92</v>
      </c>
      <c r="S803">
        <v>1</v>
      </c>
      <c r="T803" t="s">
        <v>58</v>
      </c>
      <c r="U803" t="s">
        <v>359</v>
      </c>
      <c r="V803" s="3">
        <v>0.9</v>
      </c>
      <c r="W803" s="2">
        <v>0</v>
      </c>
      <c r="X803">
        <v>0</v>
      </c>
      <c r="Y803" t="s">
        <v>60</v>
      </c>
      <c r="Z803" t="s">
        <v>360</v>
      </c>
      <c r="AA803">
        <v>0</v>
      </c>
      <c r="AB803" s="2">
        <v>0</v>
      </c>
      <c r="AC803" s="2">
        <v>0</v>
      </c>
      <c r="AD803" s="3">
        <v>0</v>
      </c>
      <c r="AE803" s="2">
        <v>0</v>
      </c>
      <c r="AF803" s="2">
        <v>0</v>
      </c>
      <c r="AG803" s="2">
        <v>0</v>
      </c>
      <c r="AH803" s="2">
        <v>0</v>
      </c>
      <c r="AI803" s="2">
        <v>0</v>
      </c>
      <c r="AJ803" s="2">
        <v>0</v>
      </c>
      <c r="AK803" s="2">
        <v>0</v>
      </c>
      <c r="AL803" s="2">
        <v>0</v>
      </c>
      <c r="AM803" s="2">
        <v>58.43</v>
      </c>
      <c r="AN803" s="2">
        <v>58.43</v>
      </c>
      <c r="AO803" s="2">
        <v>0</v>
      </c>
      <c r="AP803" s="2">
        <v>0</v>
      </c>
      <c r="AQ803" s="2">
        <v>0</v>
      </c>
    </row>
    <row r="804" spans="1:43" x14ac:dyDescent="0.25">
      <c r="A804" s="1">
        <v>45936</v>
      </c>
      <c r="B804" t="s">
        <v>48</v>
      </c>
      <c r="C804">
        <v>649163</v>
      </c>
      <c r="D804">
        <v>2027380471</v>
      </c>
      <c r="E804" t="s">
        <v>1001</v>
      </c>
      <c r="F804" t="s">
        <v>1002</v>
      </c>
      <c r="G804" t="s">
        <v>51</v>
      </c>
      <c r="H804" t="s">
        <v>101</v>
      </c>
      <c r="I804" t="s">
        <v>292</v>
      </c>
      <c r="J804" t="s">
        <v>293</v>
      </c>
      <c r="K804">
        <v>822733</v>
      </c>
      <c r="L804" t="s">
        <v>269</v>
      </c>
      <c r="M804" t="s">
        <v>270</v>
      </c>
      <c r="N804" t="s">
        <v>57</v>
      </c>
      <c r="O804" s="1">
        <v>45723</v>
      </c>
      <c r="Q804" s="1">
        <v>45968</v>
      </c>
      <c r="R804" s="2">
        <v>11.5</v>
      </c>
      <c r="S804">
        <v>1</v>
      </c>
      <c r="T804" t="s">
        <v>58</v>
      </c>
      <c r="U804" t="s">
        <v>359</v>
      </c>
      <c r="V804" s="3">
        <v>0.7</v>
      </c>
      <c r="W804" s="2">
        <v>0</v>
      </c>
      <c r="X804">
        <v>0</v>
      </c>
      <c r="Y804" t="s">
        <v>60</v>
      </c>
      <c r="Z804" t="s">
        <v>360</v>
      </c>
      <c r="AA804">
        <v>0</v>
      </c>
      <c r="AB804" s="2">
        <v>0</v>
      </c>
      <c r="AC804" s="2">
        <v>0</v>
      </c>
      <c r="AD804" s="3">
        <v>0</v>
      </c>
      <c r="AE804" s="2">
        <v>0</v>
      </c>
      <c r="AF804" s="2">
        <v>0</v>
      </c>
      <c r="AG804" s="2">
        <v>0</v>
      </c>
      <c r="AH804" s="2">
        <v>0</v>
      </c>
      <c r="AI804" s="2">
        <v>0</v>
      </c>
      <c r="AJ804" s="2">
        <v>0</v>
      </c>
      <c r="AK804" s="2">
        <v>0</v>
      </c>
      <c r="AL804" s="2">
        <v>0</v>
      </c>
      <c r="AM804" s="2">
        <v>8.0500000000000007</v>
      </c>
      <c r="AN804" s="2">
        <v>8.0500000000000007</v>
      </c>
      <c r="AO804" s="2">
        <v>0</v>
      </c>
      <c r="AP804" s="2">
        <v>0</v>
      </c>
      <c r="AQ804" s="2">
        <v>0</v>
      </c>
    </row>
    <row r="805" spans="1:43" x14ac:dyDescent="0.25">
      <c r="A805" s="1">
        <v>45936</v>
      </c>
      <c r="B805" t="s">
        <v>48</v>
      </c>
      <c r="C805">
        <v>649163</v>
      </c>
      <c r="D805">
        <v>2027429539</v>
      </c>
      <c r="E805" t="s">
        <v>757</v>
      </c>
      <c r="F805" t="s">
        <v>527</v>
      </c>
      <c r="G805" t="s">
        <v>51</v>
      </c>
      <c r="H805" t="s">
        <v>129</v>
      </c>
      <c r="I805" t="s">
        <v>292</v>
      </c>
      <c r="J805" t="s">
        <v>293</v>
      </c>
      <c r="K805">
        <v>651818</v>
      </c>
      <c r="L805" t="s">
        <v>112</v>
      </c>
      <c r="M805" t="s">
        <v>104</v>
      </c>
      <c r="N805" t="s">
        <v>57</v>
      </c>
      <c r="O805" s="1">
        <v>45723</v>
      </c>
      <c r="Q805" s="1">
        <v>45968</v>
      </c>
      <c r="R805" s="2">
        <v>161.30000000000001</v>
      </c>
      <c r="S805">
        <v>1</v>
      </c>
      <c r="T805" t="s">
        <v>58</v>
      </c>
      <c r="U805" t="s">
        <v>359</v>
      </c>
      <c r="V805" s="3">
        <v>0.7</v>
      </c>
      <c r="W805" s="2">
        <v>0</v>
      </c>
      <c r="X805">
        <v>0</v>
      </c>
      <c r="Y805" t="s">
        <v>60</v>
      </c>
      <c r="Z805" t="s">
        <v>360</v>
      </c>
      <c r="AA805">
        <v>0</v>
      </c>
      <c r="AB805" s="2">
        <v>0</v>
      </c>
      <c r="AC805" s="2">
        <v>0</v>
      </c>
      <c r="AD805" s="3">
        <v>0</v>
      </c>
      <c r="AE805" s="2">
        <v>0</v>
      </c>
      <c r="AF805" s="2">
        <v>0</v>
      </c>
      <c r="AG805" s="2">
        <v>0</v>
      </c>
      <c r="AH805" s="2">
        <v>0</v>
      </c>
      <c r="AI805" s="2">
        <v>0</v>
      </c>
      <c r="AJ805" s="2">
        <v>0</v>
      </c>
      <c r="AK805" s="2">
        <v>0</v>
      </c>
      <c r="AL805" s="2">
        <v>0</v>
      </c>
      <c r="AM805" s="2">
        <v>112.91</v>
      </c>
      <c r="AN805" s="2">
        <v>112.91</v>
      </c>
      <c r="AO805" s="2">
        <v>0</v>
      </c>
      <c r="AP805" s="2">
        <v>0</v>
      </c>
      <c r="AQ805" s="2">
        <v>0</v>
      </c>
    </row>
    <row r="806" spans="1:43" x14ac:dyDescent="0.25">
      <c r="A806" s="1">
        <v>45936</v>
      </c>
      <c r="B806" t="s">
        <v>48</v>
      </c>
      <c r="C806">
        <v>649163</v>
      </c>
      <c r="D806">
        <v>2027482812</v>
      </c>
      <c r="E806" t="s">
        <v>758</v>
      </c>
      <c r="F806" t="s">
        <v>224</v>
      </c>
      <c r="G806" t="s">
        <v>51</v>
      </c>
      <c r="H806" t="s">
        <v>129</v>
      </c>
      <c r="I806" t="s">
        <v>292</v>
      </c>
      <c r="J806" t="s">
        <v>293</v>
      </c>
      <c r="K806">
        <v>651818</v>
      </c>
      <c r="L806" t="s">
        <v>112</v>
      </c>
      <c r="M806" t="s">
        <v>104</v>
      </c>
      <c r="N806" t="s">
        <v>57</v>
      </c>
      <c r="O806" s="1">
        <v>45723</v>
      </c>
      <c r="Q806" s="1">
        <v>45968</v>
      </c>
      <c r="R806" s="2">
        <v>28.73</v>
      </c>
      <c r="S806">
        <v>1</v>
      </c>
      <c r="T806" t="s">
        <v>58</v>
      </c>
      <c r="U806" t="s">
        <v>359</v>
      </c>
      <c r="V806" s="3">
        <v>0.7</v>
      </c>
      <c r="W806" s="2">
        <v>0</v>
      </c>
      <c r="X806">
        <v>0</v>
      </c>
      <c r="Y806" t="s">
        <v>60</v>
      </c>
      <c r="Z806" t="s">
        <v>360</v>
      </c>
      <c r="AA806">
        <v>0</v>
      </c>
      <c r="AB806" s="2">
        <v>0</v>
      </c>
      <c r="AC806" s="2">
        <v>0</v>
      </c>
      <c r="AD806" s="3">
        <v>0</v>
      </c>
      <c r="AE806" s="2">
        <v>0</v>
      </c>
      <c r="AF806" s="2">
        <v>0</v>
      </c>
      <c r="AG806" s="2">
        <v>0</v>
      </c>
      <c r="AH806" s="2">
        <v>0</v>
      </c>
      <c r="AI806" s="2">
        <v>0</v>
      </c>
      <c r="AJ806" s="2">
        <v>0</v>
      </c>
      <c r="AK806" s="2">
        <v>0</v>
      </c>
      <c r="AL806" s="2">
        <v>0</v>
      </c>
      <c r="AM806" s="2">
        <v>20.11</v>
      </c>
      <c r="AN806" s="2">
        <v>20.11</v>
      </c>
      <c r="AO806" s="2">
        <v>0</v>
      </c>
      <c r="AP806" s="2">
        <v>0</v>
      </c>
      <c r="AQ806" s="2">
        <v>0</v>
      </c>
    </row>
    <row r="807" spans="1:43" x14ac:dyDescent="0.25">
      <c r="A807" s="1">
        <v>45936</v>
      </c>
      <c r="B807" t="s">
        <v>48</v>
      </c>
      <c r="C807">
        <v>649163</v>
      </c>
      <c r="D807">
        <v>2027482813</v>
      </c>
      <c r="E807" t="s">
        <v>758</v>
      </c>
      <c r="F807" t="s">
        <v>224</v>
      </c>
      <c r="G807" t="s">
        <v>51</v>
      </c>
      <c r="H807" t="s">
        <v>129</v>
      </c>
      <c r="I807" t="s">
        <v>292</v>
      </c>
      <c r="J807" t="s">
        <v>295</v>
      </c>
      <c r="K807">
        <v>651818</v>
      </c>
      <c r="L807" t="s">
        <v>112</v>
      </c>
      <c r="M807" t="s">
        <v>104</v>
      </c>
      <c r="N807" t="s">
        <v>57</v>
      </c>
      <c r="O807" s="1">
        <v>45723</v>
      </c>
      <c r="Q807" s="1">
        <v>45968</v>
      </c>
      <c r="R807" s="2">
        <v>29.25</v>
      </c>
      <c r="S807">
        <v>1</v>
      </c>
      <c r="T807" t="s">
        <v>58</v>
      </c>
      <c r="U807" t="s">
        <v>359</v>
      </c>
      <c r="V807" s="3">
        <v>0.9</v>
      </c>
      <c r="W807" s="2">
        <v>0</v>
      </c>
      <c r="X807">
        <v>0</v>
      </c>
      <c r="Y807" t="s">
        <v>60</v>
      </c>
      <c r="Z807" t="s">
        <v>360</v>
      </c>
      <c r="AA807">
        <v>0</v>
      </c>
      <c r="AB807" s="2">
        <v>0</v>
      </c>
      <c r="AC807" s="2">
        <v>0</v>
      </c>
      <c r="AD807" s="3">
        <v>0</v>
      </c>
      <c r="AE807" s="2">
        <v>0</v>
      </c>
      <c r="AF807" s="2">
        <v>0</v>
      </c>
      <c r="AG807" s="2">
        <v>0</v>
      </c>
      <c r="AH807" s="2">
        <v>0</v>
      </c>
      <c r="AI807" s="2">
        <v>0</v>
      </c>
      <c r="AJ807" s="2">
        <v>0</v>
      </c>
      <c r="AK807" s="2">
        <v>0</v>
      </c>
      <c r="AL807" s="2">
        <v>0</v>
      </c>
      <c r="AM807" s="2">
        <v>26.32</v>
      </c>
      <c r="AN807" s="2">
        <v>26.32</v>
      </c>
      <c r="AO807" s="2">
        <v>0</v>
      </c>
      <c r="AP807" s="2">
        <v>0</v>
      </c>
      <c r="AQ807" s="2">
        <v>0</v>
      </c>
    </row>
    <row r="808" spans="1:43" x14ac:dyDescent="0.25">
      <c r="A808" s="1">
        <v>45936</v>
      </c>
      <c r="B808" t="s">
        <v>48</v>
      </c>
      <c r="C808">
        <v>649163</v>
      </c>
      <c r="D808">
        <v>2027545459</v>
      </c>
      <c r="E808" t="s">
        <v>1003</v>
      </c>
      <c r="F808" t="s">
        <v>1004</v>
      </c>
      <c r="G808" t="s">
        <v>51</v>
      </c>
      <c r="H808" t="s">
        <v>101</v>
      </c>
      <c r="I808" t="s">
        <v>292</v>
      </c>
      <c r="J808" t="s">
        <v>295</v>
      </c>
      <c r="K808">
        <v>651818</v>
      </c>
      <c r="L808" t="s">
        <v>112</v>
      </c>
      <c r="M808" t="s">
        <v>104</v>
      </c>
      <c r="N808" t="s">
        <v>57</v>
      </c>
      <c r="O808" s="1">
        <v>45723</v>
      </c>
      <c r="Q808" s="1">
        <v>45968</v>
      </c>
      <c r="R808" s="2">
        <v>25</v>
      </c>
      <c r="S808">
        <v>1</v>
      </c>
      <c r="T808" t="s">
        <v>58</v>
      </c>
      <c r="U808" t="s">
        <v>359</v>
      </c>
      <c r="V808" s="3">
        <v>0.9</v>
      </c>
      <c r="W808" s="2">
        <v>0</v>
      </c>
      <c r="X808">
        <v>0</v>
      </c>
      <c r="Y808" t="s">
        <v>60</v>
      </c>
      <c r="Z808" t="s">
        <v>360</v>
      </c>
      <c r="AA808">
        <v>0</v>
      </c>
      <c r="AB808" s="2">
        <v>0</v>
      </c>
      <c r="AC808" s="2">
        <v>0</v>
      </c>
      <c r="AD808" s="3">
        <v>0</v>
      </c>
      <c r="AE808" s="2">
        <v>0</v>
      </c>
      <c r="AF808" s="2">
        <v>0</v>
      </c>
      <c r="AG808" s="2">
        <v>0</v>
      </c>
      <c r="AH808" s="2">
        <v>0</v>
      </c>
      <c r="AI808" s="2">
        <v>0</v>
      </c>
      <c r="AJ808" s="2">
        <v>0</v>
      </c>
      <c r="AK808" s="2">
        <v>0</v>
      </c>
      <c r="AL808" s="2">
        <v>0</v>
      </c>
      <c r="AM808" s="2">
        <v>22.5</v>
      </c>
      <c r="AN808" s="2">
        <v>22.5</v>
      </c>
      <c r="AO808" s="2">
        <v>0</v>
      </c>
      <c r="AP808" s="2">
        <v>0</v>
      </c>
      <c r="AQ808" s="2">
        <v>0</v>
      </c>
    </row>
    <row r="809" spans="1:43" x14ac:dyDescent="0.25">
      <c r="A809" s="1">
        <v>45936</v>
      </c>
      <c r="B809" t="s">
        <v>48</v>
      </c>
      <c r="C809">
        <v>649163</v>
      </c>
      <c r="D809">
        <v>2027573958</v>
      </c>
      <c r="E809" t="s">
        <v>1005</v>
      </c>
      <c r="F809" t="s">
        <v>673</v>
      </c>
      <c r="G809" t="s">
        <v>51</v>
      </c>
      <c r="H809" t="s">
        <v>431</v>
      </c>
      <c r="I809" t="s">
        <v>292</v>
      </c>
      <c r="J809" t="s">
        <v>293</v>
      </c>
      <c r="K809">
        <v>673059</v>
      </c>
      <c r="L809" t="s">
        <v>80</v>
      </c>
      <c r="M809" t="s">
        <v>81</v>
      </c>
      <c r="N809" t="s">
        <v>57</v>
      </c>
      <c r="O809" s="1">
        <v>45757</v>
      </c>
      <c r="Q809" s="1">
        <v>45971</v>
      </c>
      <c r="R809" s="2">
        <v>130.27000000000001</v>
      </c>
      <c r="S809">
        <v>1</v>
      </c>
      <c r="T809" t="s">
        <v>58</v>
      </c>
      <c r="U809" t="s">
        <v>359</v>
      </c>
      <c r="V809" s="3">
        <v>0.7</v>
      </c>
      <c r="W809" s="2">
        <v>0</v>
      </c>
      <c r="X809">
        <v>0</v>
      </c>
      <c r="Y809" t="s">
        <v>60</v>
      </c>
      <c r="Z809" t="s">
        <v>360</v>
      </c>
      <c r="AA809">
        <v>0</v>
      </c>
      <c r="AB809" s="2">
        <v>0</v>
      </c>
      <c r="AC809" s="2">
        <v>0</v>
      </c>
      <c r="AD809" s="3">
        <v>0</v>
      </c>
      <c r="AE809" s="2">
        <v>0</v>
      </c>
      <c r="AF809" s="2">
        <v>0</v>
      </c>
      <c r="AG809" s="2">
        <v>0</v>
      </c>
      <c r="AH809" s="2">
        <v>0</v>
      </c>
      <c r="AI809" s="2">
        <v>0</v>
      </c>
      <c r="AJ809" s="2">
        <v>0</v>
      </c>
      <c r="AK809" s="2">
        <v>0</v>
      </c>
      <c r="AL809" s="2">
        <v>0</v>
      </c>
      <c r="AM809" s="2">
        <v>91.19</v>
      </c>
      <c r="AN809" s="2">
        <v>91.19</v>
      </c>
      <c r="AO809" s="2">
        <v>0</v>
      </c>
      <c r="AP809" s="2">
        <v>0</v>
      </c>
      <c r="AQ809" s="2">
        <v>0</v>
      </c>
    </row>
    <row r="810" spans="1:43" x14ac:dyDescent="0.25">
      <c r="A810" s="1">
        <v>45936</v>
      </c>
      <c r="B810" t="s">
        <v>48</v>
      </c>
      <c r="C810">
        <v>649163</v>
      </c>
      <c r="D810">
        <v>2027606915</v>
      </c>
      <c r="E810" t="s">
        <v>256</v>
      </c>
      <c r="F810" t="s">
        <v>165</v>
      </c>
      <c r="G810" t="s">
        <v>51</v>
      </c>
      <c r="H810" t="s">
        <v>101</v>
      </c>
      <c r="I810" t="s">
        <v>292</v>
      </c>
      <c r="J810" t="s">
        <v>293</v>
      </c>
      <c r="K810">
        <v>814033</v>
      </c>
      <c r="L810" t="s">
        <v>256</v>
      </c>
      <c r="M810" t="s">
        <v>165</v>
      </c>
      <c r="N810" t="s">
        <v>57</v>
      </c>
      <c r="O810" s="1">
        <v>45722</v>
      </c>
      <c r="Q810" s="1">
        <v>45967</v>
      </c>
      <c r="R810" s="2">
        <v>11.5</v>
      </c>
      <c r="S810">
        <v>1</v>
      </c>
      <c r="T810" t="s">
        <v>58</v>
      </c>
      <c r="U810" t="s">
        <v>359</v>
      </c>
      <c r="V810" s="3">
        <v>0.7</v>
      </c>
      <c r="W810" s="2">
        <v>0</v>
      </c>
      <c r="X810">
        <v>0</v>
      </c>
      <c r="Y810" t="s">
        <v>60</v>
      </c>
      <c r="Z810" t="s">
        <v>360</v>
      </c>
      <c r="AA810">
        <v>0</v>
      </c>
      <c r="AB810" s="2">
        <v>0</v>
      </c>
      <c r="AC810" s="2">
        <v>0</v>
      </c>
      <c r="AD810" s="3">
        <v>0</v>
      </c>
      <c r="AE810" s="2">
        <v>0</v>
      </c>
      <c r="AF810" s="2">
        <v>0</v>
      </c>
      <c r="AG810" s="2">
        <v>0</v>
      </c>
      <c r="AH810" s="2">
        <v>0</v>
      </c>
      <c r="AI810" s="2">
        <v>0</v>
      </c>
      <c r="AJ810" s="2">
        <v>0</v>
      </c>
      <c r="AK810" s="2">
        <v>0</v>
      </c>
      <c r="AL810" s="2">
        <v>0</v>
      </c>
      <c r="AM810" s="2">
        <v>8.0500000000000007</v>
      </c>
      <c r="AN810" s="2">
        <v>8.0500000000000007</v>
      </c>
      <c r="AO810" s="2">
        <v>0</v>
      </c>
      <c r="AP810" s="2">
        <v>0</v>
      </c>
      <c r="AQ810" s="2">
        <v>0</v>
      </c>
    </row>
    <row r="811" spans="1:43" x14ac:dyDescent="0.25">
      <c r="A811" s="1">
        <v>45936</v>
      </c>
      <c r="B811" t="s">
        <v>48</v>
      </c>
      <c r="C811">
        <v>649163</v>
      </c>
      <c r="D811">
        <v>2027625564</v>
      </c>
      <c r="E811" t="s">
        <v>1006</v>
      </c>
      <c r="F811" t="s">
        <v>1007</v>
      </c>
      <c r="G811" t="s">
        <v>51</v>
      </c>
      <c r="H811" t="s">
        <v>101</v>
      </c>
      <c r="I811" t="s">
        <v>292</v>
      </c>
      <c r="J811" t="s">
        <v>293</v>
      </c>
      <c r="K811">
        <v>760902</v>
      </c>
      <c r="L811" t="s">
        <v>1008</v>
      </c>
      <c r="M811" t="s">
        <v>1009</v>
      </c>
      <c r="N811" t="s">
        <v>57</v>
      </c>
      <c r="O811" s="1">
        <v>45725</v>
      </c>
      <c r="Q811" s="1">
        <v>45970</v>
      </c>
      <c r="R811" s="2">
        <v>19</v>
      </c>
      <c r="S811">
        <v>1</v>
      </c>
      <c r="T811" t="s">
        <v>58</v>
      </c>
      <c r="U811" t="s">
        <v>359</v>
      </c>
      <c r="V811" s="3">
        <v>0.7</v>
      </c>
      <c r="W811" s="2">
        <v>0</v>
      </c>
      <c r="X811">
        <v>0</v>
      </c>
      <c r="Y811" t="s">
        <v>60</v>
      </c>
      <c r="Z811" t="s">
        <v>360</v>
      </c>
      <c r="AA811">
        <v>0</v>
      </c>
      <c r="AB811" s="2">
        <v>0</v>
      </c>
      <c r="AC811" s="2">
        <v>0</v>
      </c>
      <c r="AD811" s="3">
        <v>0</v>
      </c>
      <c r="AE811" s="2">
        <v>0</v>
      </c>
      <c r="AF811" s="2">
        <v>0</v>
      </c>
      <c r="AG811" s="2">
        <v>0</v>
      </c>
      <c r="AH811" s="2">
        <v>0</v>
      </c>
      <c r="AI811" s="2">
        <v>0</v>
      </c>
      <c r="AJ811" s="2">
        <v>0</v>
      </c>
      <c r="AK811" s="2">
        <v>0</v>
      </c>
      <c r="AL811" s="2">
        <v>0</v>
      </c>
      <c r="AM811" s="2">
        <v>13.3</v>
      </c>
      <c r="AN811" s="2">
        <v>13.3</v>
      </c>
      <c r="AO811" s="2">
        <v>0</v>
      </c>
      <c r="AP811" s="2">
        <v>0</v>
      </c>
      <c r="AQ811" s="2">
        <v>0</v>
      </c>
    </row>
    <row r="812" spans="1:43" x14ac:dyDescent="0.25">
      <c r="A812" s="1">
        <v>45936</v>
      </c>
      <c r="B812" t="s">
        <v>48</v>
      </c>
      <c r="C812">
        <v>649163</v>
      </c>
      <c r="D812">
        <v>2027642346</v>
      </c>
      <c r="E812" t="s">
        <v>411</v>
      </c>
      <c r="F812" t="s">
        <v>412</v>
      </c>
      <c r="G812" t="s">
        <v>51</v>
      </c>
      <c r="H812" t="s">
        <v>159</v>
      </c>
      <c r="I812" t="s">
        <v>292</v>
      </c>
      <c r="J812" t="s">
        <v>536</v>
      </c>
      <c r="K812">
        <v>651818</v>
      </c>
      <c r="L812" t="s">
        <v>112</v>
      </c>
      <c r="M812" t="s">
        <v>104</v>
      </c>
      <c r="N812" t="s">
        <v>57</v>
      </c>
      <c r="O812" s="1">
        <v>45754</v>
      </c>
      <c r="Q812" s="1">
        <v>45968</v>
      </c>
      <c r="R812" s="2">
        <v>21.44</v>
      </c>
      <c r="S812">
        <v>1</v>
      </c>
      <c r="T812" t="s">
        <v>58</v>
      </c>
      <c r="U812" t="s">
        <v>359</v>
      </c>
      <c r="V812" s="3">
        <v>0.7</v>
      </c>
      <c r="W812" s="2">
        <v>0</v>
      </c>
      <c r="X812">
        <v>0</v>
      </c>
      <c r="Y812" t="s">
        <v>60</v>
      </c>
      <c r="Z812" t="s">
        <v>360</v>
      </c>
      <c r="AA812">
        <v>0</v>
      </c>
      <c r="AB812" s="2">
        <v>0</v>
      </c>
      <c r="AC812" s="2">
        <v>0</v>
      </c>
      <c r="AD812" s="3">
        <v>0</v>
      </c>
      <c r="AE812" s="2">
        <v>0</v>
      </c>
      <c r="AF812" s="2">
        <v>0</v>
      </c>
      <c r="AG812" s="2">
        <v>0</v>
      </c>
      <c r="AH812" s="2">
        <v>0</v>
      </c>
      <c r="AI812" s="2">
        <v>0</v>
      </c>
      <c r="AJ812" s="2">
        <v>0</v>
      </c>
      <c r="AK812" s="2">
        <v>0</v>
      </c>
      <c r="AL812" s="2">
        <v>0</v>
      </c>
      <c r="AM812" s="2">
        <v>15.01</v>
      </c>
      <c r="AN812" s="2">
        <v>15.01</v>
      </c>
      <c r="AO812" s="2">
        <v>0</v>
      </c>
      <c r="AP812" s="2">
        <v>0</v>
      </c>
      <c r="AQ812" s="2">
        <v>0</v>
      </c>
    </row>
    <row r="813" spans="1:43" x14ac:dyDescent="0.25">
      <c r="A813" s="1">
        <v>45936</v>
      </c>
      <c r="B813" t="s">
        <v>48</v>
      </c>
      <c r="C813">
        <v>649163</v>
      </c>
      <c r="D813">
        <v>2027712307</v>
      </c>
      <c r="E813" t="s">
        <v>1010</v>
      </c>
      <c r="F813" t="s">
        <v>1011</v>
      </c>
      <c r="G813" t="s">
        <v>51</v>
      </c>
      <c r="H813" t="s">
        <v>101</v>
      </c>
      <c r="I813" t="s">
        <v>292</v>
      </c>
      <c r="J813" t="s">
        <v>295</v>
      </c>
      <c r="K813">
        <v>651818</v>
      </c>
      <c r="L813" t="s">
        <v>112</v>
      </c>
      <c r="M813" t="s">
        <v>104</v>
      </c>
      <c r="N813" t="s">
        <v>57</v>
      </c>
      <c r="O813" s="1">
        <v>45727</v>
      </c>
      <c r="Q813" s="1">
        <v>45941</v>
      </c>
      <c r="R813" s="2">
        <v>123.44</v>
      </c>
      <c r="S813">
        <v>1</v>
      </c>
      <c r="T813" t="s">
        <v>58</v>
      </c>
      <c r="U813" t="s">
        <v>359</v>
      </c>
      <c r="V813" s="3">
        <v>0.9</v>
      </c>
      <c r="W813" s="2">
        <v>0</v>
      </c>
      <c r="X813">
        <v>0</v>
      </c>
      <c r="Y813" t="s">
        <v>60</v>
      </c>
      <c r="Z813" t="s">
        <v>360</v>
      </c>
      <c r="AA813">
        <v>0</v>
      </c>
      <c r="AB813" s="2">
        <v>0</v>
      </c>
      <c r="AC813" s="2">
        <v>0</v>
      </c>
      <c r="AD813" s="3">
        <v>0</v>
      </c>
      <c r="AE813" s="2">
        <v>0</v>
      </c>
      <c r="AF813" s="2">
        <v>0</v>
      </c>
      <c r="AG813" s="2">
        <v>0</v>
      </c>
      <c r="AH813" s="2">
        <v>0</v>
      </c>
      <c r="AI813" s="2">
        <v>0</v>
      </c>
      <c r="AJ813" s="2">
        <v>0</v>
      </c>
      <c r="AK813" s="2">
        <v>0</v>
      </c>
      <c r="AL813" s="2">
        <v>0</v>
      </c>
      <c r="AM813" s="2">
        <v>111.1</v>
      </c>
      <c r="AN813" s="2">
        <v>111.1</v>
      </c>
      <c r="AO813" s="2">
        <v>0</v>
      </c>
      <c r="AP813" s="2">
        <v>0</v>
      </c>
      <c r="AQ813" s="2">
        <v>0</v>
      </c>
    </row>
    <row r="814" spans="1:43" x14ac:dyDescent="0.25">
      <c r="A814" s="1">
        <v>45936</v>
      </c>
      <c r="B814" t="s">
        <v>48</v>
      </c>
      <c r="C814">
        <v>649163</v>
      </c>
      <c r="D814">
        <v>2027859846</v>
      </c>
      <c r="E814" t="s">
        <v>759</v>
      </c>
      <c r="F814" t="s">
        <v>760</v>
      </c>
      <c r="G814" t="s">
        <v>51</v>
      </c>
      <c r="H814" t="s">
        <v>119</v>
      </c>
      <c r="I814" t="s">
        <v>292</v>
      </c>
      <c r="J814" t="s">
        <v>295</v>
      </c>
      <c r="K814">
        <v>651818</v>
      </c>
      <c r="L814" t="s">
        <v>112</v>
      </c>
      <c r="M814" t="s">
        <v>104</v>
      </c>
      <c r="N814" t="s">
        <v>57</v>
      </c>
      <c r="O814" s="1">
        <v>45754</v>
      </c>
      <c r="Q814" s="1">
        <v>45968</v>
      </c>
      <c r="R814" s="2">
        <v>248.92</v>
      </c>
      <c r="S814">
        <v>1</v>
      </c>
      <c r="T814" t="s">
        <v>58</v>
      </c>
      <c r="U814" t="s">
        <v>359</v>
      </c>
      <c r="V814" s="3">
        <v>0.9</v>
      </c>
      <c r="W814" s="2">
        <v>0</v>
      </c>
      <c r="X814">
        <v>0</v>
      </c>
      <c r="Y814" t="s">
        <v>60</v>
      </c>
      <c r="Z814" t="s">
        <v>360</v>
      </c>
      <c r="AA814">
        <v>0</v>
      </c>
      <c r="AB814" s="2">
        <v>0</v>
      </c>
      <c r="AC814" s="2">
        <v>0</v>
      </c>
      <c r="AD814" s="3">
        <v>0</v>
      </c>
      <c r="AE814" s="2">
        <v>0</v>
      </c>
      <c r="AF814" s="2">
        <v>0</v>
      </c>
      <c r="AG814" s="2">
        <v>0</v>
      </c>
      <c r="AH814" s="2">
        <v>0</v>
      </c>
      <c r="AI814" s="2">
        <v>0</v>
      </c>
      <c r="AJ814" s="2">
        <v>0</v>
      </c>
      <c r="AK814" s="2">
        <v>0</v>
      </c>
      <c r="AL814" s="2">
        <v>0</v>
      </c>
      <c r="AM814" s="2">
        <v>224.03</v>
      </c>
      <c r="AN814" s="2">
        <v>224.03</v>
      </c>
      <c r="AO814" s="2">
        <v>0</v>
      </c>
      <c r="AP814" s="2">
        <v>0</v>
      </c>
      <c r="AQ814" s="2">
        <v>0</v>
      </c>
    </row>
    <row r="815" spans="1:43" x14ac:dyDescent="0.25">
      <c r="A815" s="1">
        <v>45936</v>
      </c>
      <c r="B815" t="s">
        <v>48</v>
      </c>
      <c r="C815">
        <v>649163</v>
      </c>
      <c r="D815">
        <v>2027859847</v>
      </c>
      <c r="E815" t="s">
        <v>759</v>
      </c>
      <c r="F815" t="s">
        <v>760</v>
      </c>
      <c r="G815" t="s">
        <v>51</v>
      </c>
      <c r="H815" t="s">
        <v>119</v>
      </c>
      <c r="I815" t="s">
        <v>292</v>
      </c>
      <c r="J815" t="s">
        <v>293</v>
      </c>
      <c r="K815">
        <v>651818</v>
      </c>
      <c r="L815" t="s">
        <v>112</v>
      </c>
      <c r="M815" t="s">
        <v>104</v>
      </c>
      <c r="N815" t="s">
        <v>57</v>
      </c>
      <c r="O815" s="1">
        <v>45754</v>
      </c>
      <c r="Q815" s="1">
        <v>45968</v>
      </c>
      <c r="R815" s="2">
        <v>51</v>
      </c>
      <c r="S815">
        <v>1</v>
      </c>
      <c r="T815" t="s">
        <v>58</v>
      </c>
      <c r="U815" t="s">
        <v>359</v>
      </c>
      <c r="V815" s="3">
        <v>0.7</v>
      </c>
      <c r="W815" s="2">
        <v>0</v>
      </c>
      <c r="X815">
        <v>0</v>
      </c>
      <c r="Y815" t="s">
        <v>60</v>
      </c>
      <c r="Z815" t="s">
        <v>360</v>
      </c>
      <c r="AA815">
        <v>0</v>
      </c>
      <c r="AB815" s="2">
        <v>0</v>
      </c>
      <c r="AC815" s="2">
        <v>0</v>
      </c>
      <c r="AD815" s="3">
        <v>0</v>
      </c>
      <c r="AE815" s="2">
        <v>0</v>
      </c>
      <c r="AF815" s="2">
        <v>0</v>
      </c>
      <c r="AG815" s="2">
        <v>0</v>
      </c>
      <c r="AH815" s="2">
        <v>0</v>
      </c>
      <c r="AI815" s="2">
        <v>0</v>
      </c>
      <c r="AJ815" s="2">
        <v>0</v>
      </c>
      <c r="AK815" s="2">
        <v>0</v>
      </c>
      <c r="AL815" s="2">
        <v>0</v>
      </c>
      <c r="AM815" s="2">
        <v>35.700000000000003</v>
      </c>
      <c r="AN815" s="2">
        <v>35.700000000000003</v>
      </c>
      <c r="AO815" s="2">
        <v>0</v>
      </c>
      <c r="AP815" s="2">
        <v>0</v>
      </c>
      <c r="AQ815" s="2">
        <v>0</v>
      </c>
    </row>
    <row r="816" spans="1:43" x14ac:dyDescent="0.25">
      <c r="A816" s="1">
        <v>45936</v>
      </c>
      <c r="B816" t="s">
        <v>48</v>
      </c>
      <c r="C816">
        <v>649163</v>
      </c>
      <c r="D816">
        <v>2027862507</v>
      </c>
      <c r="E816" t="s">
        <v>761</v>
      </c>
      <c r="F816" t="s">
        <v>762</v>
      </c>
      <c r="G816" t="s">
        <v>51</v>
      </c>
      <c r="H816" t="s">
        <v>52</v>
      </c>
      <c r="I816" t="s">
        <v>292</v>
      </c>
      <c r="J816" t="s">
        <v>293</v>
      </c>
      <c r="K816">
        <v>651818</v>
      </c>
      <c r="L816" t="s">
        <v>112</v>
      </c>
      <c r="M816" t="s">
        <v>104</v>
      </c>
      <c r="N816" t="s">
        <v>57</v>
      </c>
      <c r="O816" s="1">
        <v>45754</v>
      </c>
      <c r="Q816" s="1">
        <v>45968</v>
      </c>
      <c r="R816" s="2">
        <v>89.52</v>
      </c>
      <c r="S816">
        <v>1</v>
      </c>
      <c r="T816" t="s">
        <v>58</v>
      </c>
      <c r="U816" t="s">
        <v>359</v>
      </c>
      <c r="V816" s="3">
        <v>0.7</v>
      </c>
      <c r="W816" s="2">
        <v>0</v>
      </c>
      <c r="X816">
        <v>0</v>
      </c>
      <c r="Y816" t="s">
        <v>60</v>
      </c>
      <c r="Z816" t="s">
        <v>360</v>
      </c>
      <c r="AA816">
        <v>0</v>
      </c>
      <c r="AB816" s="2">
        <v>0</v>
      </c>
      <c r="AC816" s="2">
        <v>0</v>
      </c>
      <c r="AD816" s="3">
        <v>0</v>
      </c>
      <c r="AE816" s="2">
        <v>0</v>
      </c>
      <c r="AF816" s="2">
        <v>0</v>
      </c>
      <c r="AG816" s="2">
        <v>0</v>
      </c>
      <c r="AH816" s="2">
        <v>0</v>
      </c>
      <c r="AI816" s="2">
        <v>0</v>
      </c>
      <c r="AJ816" s="2">
        <v>0</v>
      </c>
      <c r="AK816" s="2">
        <v>0</v>
      </c>
      <c r="AL816" s="2">
        <v>0</v>
      </c>
      <c r="AM816" s="2">
        <v>62.66</v>
      </c>
      <c r="AN816" s="2">
        <v>62.66</v>
      </c>
      <c r="AO816" s="2">
        <v>0</v>
      </c>
      <c r="AP816" s="2">
        <v>0</v>
      </c>
      <c r="AQ816" s="2">
        <v>0</v>
      </c>
    </row>
    <row r="817" spans="1:43" x14ac:dyDescent="0.25">
      <c r="A817" s="1">
        <v>45936</v>
      </c>
      <c r="B817" t="s">
        <v>48</v>
      </c>
      <c r="C817">
        <v>649163</v>
      </c>
      <c r="D817">
        <v>2027863479</v>
      </c>
      <c r="E817" t="s">
        <v>759</v>
      </c>
      <c r="F817" t="s">
        <v>763</v>
      </c>
      <c r="G817" t="s">
        <v>51</v>
      </c>
      <c r="H817" t="s">
        <v>119</v>
      </c>
      <c r="I817" t="s">
        <v>292</v>
      </c>
      <c r="J817" t="s">
        <v>295</v>
      </c>
      <c r="K817">
        <v>651818</v>
      </c>
      <c r="L817" t="s">
        <v>112</v>
      </c>
      <c r="M817" t="s">
        <v>104</v>
      </c>
      <c r="N817" t="s">
        <v>57</v>
      </c>
      <c r="O817" s="1">
        <v>45754</v>
      </c>
      <c r="Q817" s="1">
        <v>45968</v>
      </c>
      <c r="R817" s="2">
        <v>26.25</v>
      </c>
      <c r="S817">
        <v>1</v>
      </c>
      <c r="T817" t="s">
        <v>58</v>
      </c>
      <c r="U817" t="s">
        <v>359</v>
      </c>
      <c r="V817" s="3">
        <v>0.9</v>
      </c>
      <c r="W817" s="2">
        <v>0</v>
      </c>
      <c r="X817">
        <v>0</v>
      </c>
      <c r="Y817" t="s">
        <v>60</v>
      </c>
      <c r="Z817" t="s">
        <v>360</v>
      </c>
      <c r="AA817">
        <v>0</v>
      </c>
      <c r="AB817" s="2">
        <v>0</v>
      </c>
      <c r="AC817" s="2">
        <v>0</v>
      </c>
      <c r="AD817" s="3">
        <v>0</v>
      </c>
      <c r="AE817" s="2">
        <v>0</v>
      </c>
      <c r="AF817" s="2">
        <v>0</v>
      </c>
      <c r="AG817" s="2">
        <v>0</v>
      </c>
      <c r="AH817" s="2">
        <v>0</v>
      </c>
      <c r="AI817" s="2">
        <v>0</v>
      </c>
      <c r="AJ817" s="2">
        <v>0</v>
      </c>
      <c r="AK817" s="2">
        <v>0</v>
      </c>
      <c r="AL817" s="2">
        <v>0</v>
      </c>
      <c r="AM817" s="2">
        <v>23.62</v>
      </c>
      <c r="AN817" s="2">
        <v>23.62</v>
      </c>
      <c r="AO817" s="2">
        <v>0</v>
      </c>
      <c r="AP817" s="2">
        <v>0</v>
      </c>
      <c r="AQ817" s="2">
        <v>0</v>
      </c>
    </row>
    <row r="818" spans="1:43" x14ac:dyDescent="0.25">
      <c r="A818" s="1">
        <v>45936</v>
      </c>
      <c r="B818" t="s">
        <v>48</v>
      </c>
      <c r="C818">
        <v>649163</v>
      </c>
      <c r="D818">
        <v>2027863480</v>
      </c>
      <c r="E818" t="s">
        <v>759</v>
      </c>
      <c r="F818" t="s">
        <v>763</v>
      </c>
      <c r="G818" t="s">
        <v>51</v>
      </c>
      <c r="H818" t="s">
        <v>119</v>
      </c>
      <c r="I818" t="s">
        <v>292</v>
      </c>
      <c r="J818" t="s">
        <v>293</v>
      </c>
      <c r="K818">
        <v>651818</v>
      </c>
      <c r="L818" t="s">
        <v>112</v>
      </c>
      <c r="M818" t="s">
        <v>104</v>
      </c>
      <c r="N818" t="s">
        <v>57</v>
      </c>
      <c r="O818" s="1">
        <v>45754</v>
      </c>
      <c r="Q818" s="1">
        <v>45968</v>
      </c>
      <c r="R818" s="2">
        <v>34</v>
      </c>
      <c r="S818">
        <v>1</v>
      </c>
      <c r="T818" t="s">
        <v>58</v>
      </c>
      <c r="U818" t="s">
        <v>359</v>
      </c>
      <c r="V818" s="3">
        <v>0.7</v>
      </c>
      <c r="W818" s="2">
        <v>0</v>
      </c>
      <c r="X818">
        <v>0</v>
      </c>
      <c r="Y818" t="s">
        <v>60</v>
      </c>
      <c r="Z818" t="s">
        <v>360</v>
      </c>
      <c r="AA818">
        <v>0</v>
      </c>
      <c r="AB818" s="2">
        <v>0</v>
      </c>
      <c r="AC818" s="2">
        <v>0</v>
      </c>
      <c r="AD818" s="3">
        <v>0</v>
      </c>
      <c r="AE818" s="2">
        <v>0</v>
      </c>
      <c r="AF818" s="2">
        <v>0</v>
      </c>
      <c r="AG818" s="2">
        <v>0</v>
      </c>
      <c r="AH818" s="2">
        <v>0</v>
      </c>
      <c r="AI818" s="2">
        <v>0</v>
      </c>
      <c r="AJ818" s="2">
        <v>0</v>
      </c>
      <c r="AK818" s="2">
        <v>0</v>
      </c>
      <c r="AL818" s="2">
        <v>0</v>
      </c>
      <c r="AM818" s="2">
        <v>23.8</v>
      </c>
      <c r="AN818" s="2">
        <v>23.8</v>
      </c>
      <c r="AO818" s="2">
        <v>0</v>
      </c>
      <c r="AP818" s="2">
        <v>0</v>
      </c>
      <c r="AQ818" s="2">
        <v>0</v>
      </c>
    </row>
    <row r="819" spans="1:43" x14ac:dyDescent="0.25">
      <c r="A819" s="1">
        <v>45936</v>
      </c>
      <c r="B819" t="s">
        <v>48</v>
      </c>
      <c r="C819">
        <v>649163</v>
      </c>
      <c r="D819">
        <v>2027887271</v>
      </c>
      <c r="E819" t="s">
        <v>764</v>
      </c>
      <c r="F819" t="s">
        <v>81</v>
      </c>
      <c r="G819" t="s">
        <v>51</v>
      </c>
      <c r="H819" t="s">
        <v>119</v>
      </c>
      <c r="I819" t="s">
        <v>292</v>
      </c>
      <c r="J819" t="s">
        <v>295</v>
      </c>
      <c r="K819">
        <v>651818</v>
      </c>
      <c r="L819" t="s">
        <v>112</v>
      </c>
      <c r="M819" t="s">
        <v>104</v>
      </c>
      <c r="N819" t="s">
        <v>57</v>
      </c>
      <c r="O819" s="1">
        <v>45754</v>
      </c>
      <c r="Q819" s="1">
        <v>45968</v>
      </c>
      <c r="R819" s="2">
        <v>35.46</v>
      </c>
      <c r="S819">
        <v>1</v>
      </c>
      <c r="T819" t="s">
        <v>58</v>
      </c>
      <c r="U819" t="s">
        <v>359</v>
      </c>
      <c r="V819" s="3">
        <v>0.9</v>
      </c>
      <c r="W819" s="2">
        <v>0</v>
      </c>
      <c r="X819">
        <v>0</v>
      </c>
      <c r="Y819" t="s">
        <v>60</v>
      </c>
      <c r="Z819" t="s">
        <v>360</v>
      </c>
      <c r="AA819">
        <v>0</v>
      </c>
      <c r="AB819" s="2">
        <v>0</v>
      </c>
      <c r="AC819" s="2">
        <v>0</v>
      </c>
      <c r="AD819" s="3">
        <v>0</v>
      </c>
      <c r="AE819" s="2">
        <v>0</v>
      </c>
      <c r="AF819" s="2">
        <v>0</v>
      </c>
      <c r="AG819" s="2">
        <v>0</v>
      </c>
      <c r="AH819" s="2">
        <v>0</v>
      </c>
      <c r="AI819" s="2">
        <v>0</v>
      </c>
      <c r="AJ819" s="2">
        <v>0</v>
      </c>
      <c r="AK819" s="2">
        <v>0</v>
      </c>
      <c r="AL819" s="2">
        <v>0</v>
      </c>
      <c r="AM819" s="2">
        <v>31.91</v>
      </c>
      <c r="AN819" s="2">
        <v>31.91</v>
      </c>
      <c r="AO819" s="2">
        <v>0</v>
      </c>
      <c r="AP819" s="2">
        <v>0</v>
      </c>
      <c r="AQ819" s="2">
        <v>0</v>
      </c>
    </row>
    <row r="820" spans="1:43" x14ac:dyDescent="0.25">
      <c r="A820" s="1">
        <v>45936</v>
      </c>
      <c r="B820" t="s">
        <v>48</v>
      </c>
      <c r="C820">
        <v>649163</v>
      </c>
      <c r="D820">
        <v>2027887272</v>
      </c>
      <c r="E820" t="s">
        <v>764</v>
      </c>
      <c r="F820" t="s">
        <v>81</v>
      </c>
      <c r="G820" t="s">
        <v>51</v>
      </c>
      <c r="H820" t="s">
        <v>119</v>
      </c>
      <c r="I820" t="s">
        <v>292</v>
      </c>
      <c r="J820" t="s">
        <v>293</v>
      </c>
      <c r="K820">
        <v>651818</v>
      </c>
      <c r="L820" t="s">
        <v>112</v>
      </c>
      <c r="M820" t="s">
        <v>104</v>
      </c>
      <c r="N820" t="s">
        <v>57</v>
      </c>
      <c r="O820" s="1">
        <v>45754</v>
      </c>
      <c r="Q820" s="1">
        <v>45968</v>
      </c>
      <c r="R820" s="2">
        <v>34</v>
      </c>
      <c r="S820">
        <v>1</v>
      </c>
      <c r="T820" t="s">
        <v>58</v>
      </c>
      <c r="U820" t="s">
        <v>359</v>
      </c>
      <c r="V820" s="3">
        <v>0.7</v>
      </c>
      <c r="W820" s="2">
        <v>0</v>
      </c>
      <c r="X820">
        <v>0</v>
      </c>
      <c r="Y820" t="s">
        <v>60</v>
      </c>
      <c r="Z820" t="s">
        <v>360</v>
      </c>
      <c r="AA820">
        <v>0</v>
      </c>
      <c r="AB820" s="2">
        <v>0</v>
      </c>
      <c r="AC820" s="2">
        <v>0</v>
      </c>
      <c r="AD820" s="3">
        <v>0</v>
      </c>
      <c r="AE820" s="2">
        <v>0</v>
      </c>
      <c r="AF820" s="2">
        <v>0</v>
      </c>
      <c r="AG820" s="2">
        <v>0</v>
      </c>
      <c r="AH820" s="2">
        <v>0</v>
      </c>
      <c r="AI820" s="2">
        <v>0</v>
      </c>
      <c r="AJ820" s="2">
        <v>0</v>
      </c>
      <c r="AK820" s="2">
        <v>0</v>
      </c>
      <c r="AL820" s="2">
        <v>0</v>
      </c>
      <c r="AM820" s="2">
        <v>23.8</v>
      </c>
      <c r="AN820" s="2">
        <v>23.8</v>
      </c>
      <c r="AO820" s="2">
        <v>0</v>
      </c>
      <c r="AP820" s="2">
        <v>0</v>
      </c>
      <c r="AQ820" s="2">
        <v>0</v>
      </c>
    </row>
    <row r="821" spans="1:43" x14ac:dyDescent="0.25">
      <c r="A821" s="1">
        <v>45936</v>
      </c>
      <c r="B821" t="s">
        <v>48</v>
      </c>
      <c r="C821">
        <v>649163</v>
      </c>
      <c r="D821">
        <v>2027887273</v>
      </c>
      <c r="E821" t="s">
        <v>764</v>
      </c>
      <c r="F821" t="s">
        <v>81</v>
      </c>
      <c r="G821" t="s">
        <v>51</v>
      </c>
      <c r="H821" t="s">
        <v>119</v>
      </c>
      <c r="I821" t="s">
        <v>292</v>
      </c>
      <c r="J821" t="s">
        <v>331</v>
      </c>
      <c r="K821">
        <v>651818</v>
      </c>
      <c r="L821" t="s">
        <v>112</v>
      </c>
      <c r="M821" t="s">
        <v>104</v>
      </c>
      <c r="N821" t="s">
        <v>57</v>
      </c>
      <c r="O821" s="1">
        <v>45754</v>
      </c>
      <c r="Q821" s="1">
        <v>45968</v>
      </c>
      <c r="R821" s="2">
        <v>22.53</v>
      </c>
      <c r="S821">
        <v>1</v>
      </c>
      <c r="T821" t="s">
        <v>58</v>
      </c>
      <c r="U821" t="s">
        <v>359</v>
      </c>
      <c r="V821" s="3">
        <v>0.42</v>
      </c>
      <c r="W821" s="2">
        <v>0</v>
      </c>
      <c r="X821">
        <v>0</v>
      </c>
      <c r="Y821" t="s">
        <v>60</v>
      </c>
      <c r="Z821" t="s">
        <v>360</v>
      </c>
      <c r="AA821">
        <v>0</v>
      </c>
      <c r="AB821" s="2">
        <v>0</v>
      </c>
      <c r="AC821" s="2">
        <v>0</v>
      </c>
      <c r="AD821" s="3">
        <v>0</v>
      </c>
      <c r="AE821" s="2">
        <v>0</v>
      </c>
      <c r="AF821" s="2">
        <v>0</v>
      </c>
      <c r="AG821" s="2">
        <v>0</v>
      </c>
      <c r="AH821" s="2">
        <v>0</v>
      </c>
      <c r="AI821" s="2">
        <v>0</v>
      </c>
      <c r="AJ821" s="2">
        <v>0</v>
      </c>
      <c r="AK821" s="2">
        <v>0</v>
      </c>
      <c r="AL821" s="2">
        <v>0</v>
      </c>
      <c r="AM821" s="2">
        <v>9.4600000000000009</v>
      </c>
      <c r="AN821" s="2">
        <v>9.4600000000000009</v>
      </c>
      <c r="AO821" s="2">
        <v>0</v>
      </c>
      <c r="AP821" s="2">
        <v>0</v>
      </c>
      <c r="AQ821" s="2">
        <v>0</v>
      </c>
    </row>
    <row r="822" spans="1:43" x14ac:dyDescent="0.25">
      <c r="A822" s="1">
        <v>45936</v>
      </c>
      <c r="B822" t="s">
        <v>48</v>
      </c>
      <c r="C822">
        <v>649163</v>
      </c>
      <c r="D822">
        <v>2027965833</v>
      </c>
      <c r="E822" t="s">
        <v>765</v>
      </c>
      <c r="F822" t="s">
        <v>63</v>
      </c>
      <c r="G822" t="s">
        <v>51</v>
      </c>
      <c r="H822" t="s">
        <v>88</v>
      </c>
      <c r="I822" t="s">
        <v>292</v>
      </c>
      <c r="J822" t="s">
        <v>293</v>
      </c>
      <c r="K822">
        <v>812782</v>
      </c>
      <c r="L822" t="s">
        <v>91</v>
      </c>
      <c r="M822" t="s">
        <v>92</v>
      </c>
      <c r="N822" t="s">
        <v>456</v>
      </c>
      <c r="O822" s="1">
        <v>45738</v>
      </c>
      <c r="P822" s="1">
        <v>45936</v>
      </c>
      <c r="Q822" s="1">
        <v>45952</v>
      </c>
      <c r="R822" s="2">
        <v>-11.38</v>
      </c>
      <c r="S822">
        <v>1</v>
      </c>
      <c r="T822" t="s">
        <v>58</v>
      </c>
      <c r="U822" t="s">
        <v>359</v>
      </c>
      <c r="V822" s="3">
        <v>0.7</v>
      </c>
      <c r="W822" s="2">
        <v>0</v>
      </c>
      <c r="X822">
        <v>-1</v>
      </c>
      <c r="Y822" t="s">
        <v>60</v>
      </c>
      <c r="Z822" t="s">
        <v>360</v>
      </c>
      <c r="AA822">
        <v>0</v>
      </c>
      <c r="AB822" s="2">
        <v>0</v>
      </c>
      <c r="AC822" s="2">
        <v>0</v>
      </c>
      <c r="AD822" s="3">
        <v>0</v>
      </c>
      <c r="AE822" s="2">
        <v>0</v>
      </c>
      <c r="AF822" s="2">
        <v>0</v>
      </c>
      <c r="AG822" s="2">
        <v>0</v>
      </c>
      <c r="AH822" s="2">
        <v>0</v>
      </c>
      <c r="AI822" s="2">
        <v>0</v>
      </c>
      <c r="AJ822" s="2">
        <v>0</v>
      </c>
      <c r="AK822" s="2">
        <v>0</v>
      </c>
      <c r="AL822" s="2">
        <v>0</v>
      </c>
      <c r="AM822" s="2">
        <v>-7.97</v>
      </c>
      <c r="AN822" s="2">
        <v>-7.97</v>
      </c>
      <c r="AO822" s="2">
        <v>0</v>
      </c>
      <c r="AP822" s="2">
        <v>0</v>
      </c>
      <c r="AQ822" s="2">
        <v>0</v>
      </c>
    </row>
    <row r="823" spans="1:43" x14ac:dyDescent="0.25">
      <c r="A823" s="1">
        <v>45936</v>
      </c>
      <c r="B823" t="s">
        <v>48</v>
      </c>
      <c r="C823">
        <v>649163</v>
      </c>
      <c r="D823">
        <v>2027993138</v>
      </c>
      <c r="E823" t="s">
        <v>1012</v>
      </c>
      <c r="F823" t="s">
        <v>145</v>
      </c>
      <c r="G823" t="s">
        <v>51</v>
      </c>
      <c r="H823" t="s">
        <v>101</v>
      </c>
      <c r="I823" t="s">
        <v>292</v>
      </c>
      <c r="J823" t="s">
        <v>293</v>
      </c>
      <c r="K823">
        <v>821015</v>
      </c>
      <c r="L823" t="s">
        <v>325</v>
      </c>
      <c r="M823" t="s">
        <v>326</v>
      </c>
      <c r="N823" t="s">
        <v>57</v>
      </c>
      <c r="O823" s="1">
        <v>45748</v>
      </c>
      <c r="Q823" s="1">
        <v>45962</v>
      </c>
      <c r="R823" s="2">
        <v>-50.19</v>
      </c>
      <c r="S823">
        <v>1</v>
      </c>
      <c r="T823" t="s">
        <v>58</v>
      </c>
      <c r="U823" t="s">
        <v>359</v>
      </c>
      <c r="V823" s="3">
        <v>0.7</v>
      </c>
      <c r="W823" s="2">
        <v>0</v>
      </c>
      <c r="X823">
        <v>-1</v>
      </c>
      <c r="Y823" t="s">
        <v>60</v>
      </c>
      <c r="Z823" t="s">
        <v>360</v>
      </c>
      <c r="AA823">
        <v>0</v>
      </c>
      <c r="AB823" s="2">
        <v>0</v>
      </c>
      <c r="AC823" s="2">
        <v>0</v>
      </c>
      <c r="AD823" s="3">
        <v>0</v>
      </c>
      <c r="AE823" s="2">
        <v>0</v>
      </c>
      <c r="AF823" s="2">
        <v>0</v>
      </c>
      <c r="AG823" s="2">
        <v>0</v>
      </c>
      <c r="AH823" s="2">
        <v>0</v>
      </c>
      <c r="AI823" s="2">
        <v>0</v>
      </c>
      <c r="AJ823" s="2">
        <v>0</v>
      </c>
      <c r="AK823" s="2">
        <v>0</v>
      </c>
      <c r="AL823" s="2">
        <v>0</v>
      </c>
      <c r="AM823" s="2">
        <v>-35.130000000000003</v>
      </c>
      <c r="AN823" s="2">
        <v>-35.130000000000003</v>
      </c>
      <c r="AO823" s="2">
        <v>0</v>
      </c>
      <c r="AP823" s="2">
        <v>0</v>
      </c>
      <c r="AQ823" s="2">
        <v>0</v>
      </c>
    </row>
    <row r="824" spans="1:43" x14ac:dyDescent="0.25">
      <c r="A824" s="1">
        <v>45936</v>
      </c>
      <c r="B824" t="s">
        <v>48</v>
      </c>
      <c r="C824">
        <v>649163</v>
      </c>
      <c r="D824">
        <v>2028073917</v>
      </c>
      <c r="E824" t="s">
        <v>1013</v>
      </c>
      <c r="F824" t="s">
        <v>1014</v>
      </c>
      <c r="G824" t="s">
        <v>51</v>
      </c>
      <c r="H824" t="s">
        <v>52</v>
      </c>
      <c r="I824" t="s">
        <v>292</v>
      </c>
      <c r="J824" t="s">
        <v>293</v>
      </c>
      <c r="K824">
        <v>822733</v>
      </c>
      <c r="L824" t="s">
        <v>269</v>
      </c>
      <c r="M824" t="s">
        <v>270</v>
      </c>
      <c r="N824" t="s">
        <v>57</v>
      </c>
      <c r="O824" s="1">
        <v>45754</v>
      </c>
      <c r="Q824" s="1">
        <v>45968</v>
      </c>
      <c r="R824" s="2">
        <v>129.22</v>
      </c>
      <c r="S824">
        <v>1</v>
      </c>
      <c r="T824" t="s">
        <v>58</v>
      </c>
      <c r="U824" t="s">
        <v>359</v>
      </c>
      <c r="V824" s="3">
        <v>0.7</v>
      </c>
      <c r="W824" s="2">
        <v>0</v>
      </c>
      <c r="X824">
        <v>0</v>
      </c>
      <c r="Y824" t="s">
        <v>60</v>
      </c>
      <c r="Z824" t="s">
        <v>360</v>
      </c>
      <c r="AA824">
        <v>0</v>
      </c>
      <c r="AB824" s="2">
        <v>0</v>
      </c>
      <c r="AC824" s="2">
        <v>0</v>
      </c>
      <c r="AD824" s="3">
        <v>0</v>
      </c>
      <c r="AE824" s="2">
        <v>0</v>
      </c>
      <c r="AF824" s="2">
        <v>0</v>
      </c>
      <c r="AG824" s="2">
        <v>0</v>
      </c>
      <c r="AH824" s="2">
        <v>0</v>
      </c>
      <c r="AI824" s="2">
        <v>0</v>
      </c>
      <c r="AJ824" s="2">
        <v>0</v>
      </c>
      <c r="AK824" s="2">
        <v>0</v>
      </c>
      <c r="AL824" s="2">
        <v>0</v>
      </c>
      <c r="AM824" s="2">
        <v>90.45</v>
      </c>
      <c r="AN824" s="2">
        <v>90.45</v>
      </c>
      <c r="AO824" s="2">
        <v>0</v>
      </c>
      <c r="AP824" s="2">
        <v>0</v>
      </c>
      <c r="AQ824" s="2">
        <v>0</v>
      </c>
    </row>
    <row r="825" spans="1:43" x14ac:dyDescent="0.25">
      <c r="A825" s="1">
        <v>45936</v>
      </c>
      <c r="B825" t="s">
        <v>48</v>
      </c>
      <c r="C825">
        <v>649163</v>
      </c>
      <c r="D825">
        <v>2028108469</v>
      </c>
      <c r="E825" t="s">
        <v>766</v>
      </c>
      <c r="F825" t="s">
        <v>314</v>
      </c>
      <c r="G825" t="s">
        <v>51</v>
      </c>
      <c r="H825" t="s">
        <v>101</v>
      </c>
      <c r="I825" t="s">
        <v>292</v>
      </c>
      <c r="J825" t="s">
        <v>293</v>
      </c>
      <c r="K825">
        <v>651818</v>
      </c>
      <c r="L825" t="s">
        <v>112</v>
      </c>
      <c r="M825" t="s">
        <v>104</v>
      </c>
      <c r="N825" t="s">
        <v>57</v>
      </c>
      <c r="O825" s="1">
        <v>45754</v>
      </c>
      <c r="Q825" s="1">
        <v>45968</v>
      </c>
      <c r="R825" s="2">
        <v>198.36</v>
      </c>
      <c r="S825">
        <v>1</v>
      </c>
      <c r="T825" t="s">
        <v>58</v>
      </c>
      <c r="U825" t="s">
        <v>359</v>
      </c>
      <c r="V825" s="3">
        <v>0.7</v>
      </c>
      <c r="W825" s="2">
        <v>0</v>
      </c>
      <c r="X825">
        <v>0</v>
      </c>
      <c r="Y825" t="s">
        <v>60</v>
      </c>
      <c r="Z825" t="s">
        <v>360</v>
      </c>
      <c r="AA825">
        <v>0</v>
      </c>
      <c r="AB825" s="2">
        <v>0</v>
      </c>
      <c r="AC825" s="2">
        <v>0</v>
      </c>
      <c r="AD825" s="3">
        <v>0</v>
      </c>
      <c r="AE825" s="2">
        <v>0</v>
      </c>
      <c r="AF825" s="2">
        <v>0</v>
      </c>
      <c r="AG825" s="2">
        <v>0</v>
      </c>
      <c r="AH825" s="2">
        <v>0</v>
      </c>
      <c r="AI825" s="2">
        <v>0</v>
      </c>
      <c r="AJ825" s="2">
        <v>0</v>
      </c>
      <c r="AK825" s="2">
        <v>0</v>
      </c>
      <c r="AL825" s="2">
        <v>0</v>
      </c>
      <c r="AM825" s="2">
        <v>138.85</v>
      </c>
      <c r="AN825" s="2">
        <v>138.85</v>
      </c>
      <c r="AO825" s="2">
        <v>0</v>
      </c>
      <c r="AP825" s="2">
        <v>0</v>
      </c>
      <c r="AQ825" s="2">
        <v>0</v>
      </c>
    </row>
    <row r="826" spans="1:43" x14ac:dyDescent="0.25">
      <c r="A826" s="1">
        <v>45936</v>
      </c>
      <c r="B826" t="s">
        <v>48</v>
      </c>
      <c r="C826">
        <v>649163</v>
      </c>
      <c r="D826">
        <v>2028135305</v>
      </c>
      <c r="E826" t="s">
        <v>81</v>
      </c>
      <c r="F826" t="s">
        <v>527</v>
      </c>
      <c r="G826" t="s">
        <v>51</v>
      </c>
      <c r="H826" t="s">
        <v>122</v>
      </c>
      <c r="I826" t="s">
        <v>292</v>
      </c>
      <c r="J826" t="s">
        <v>293</v>
      </c>
      <c r="K826">
        <v>767312</v>
      </c>
      <c r="L826" t="s">
        <v>283</v>
      </c>
      <c r="M826" t="s">
        <v>284</v>
      </c>
      <c r="N826" t="s">
        <v>57</v>
      </c>
      <c r="O826" s="1">
        <v>45748</v>
      </c>
      <c r="Q826" s="1">
        <v>45962</v>
      </c>
      <c r="R826" s="2">
        <v>17.64</v>
      </c>
      <c r="S826">
        <v>1</v>
      </c>
      <c r="T826" t="s">
        <v>58</v>
      </c>
      <c r="U826" t="s">
        <v>359</v>
      </c>
      <c r="V826" s="3">
        <v>0.7</v>
      </c>
      <c r="W826" s="2">
        <v>0</v>
      </c>
      <c r="X826">
        <v>0</v>
      </c>
      <c r="Y826" t="s">
        <v>60</v>
      </c>
      <c r="Z826" t="s">
        <v>360</v>
      </c>
      <c r="AA826">
        <v>0</v>
      </c>
      <c r="AB826" s="2">
        <v>0</v>
      </c>
      <c r="AC826" s="2">
        <v>0</v>
      </c>
      <c r="AD826" s="3">
        <v>0</v>
      </c>
      <c r="AE826" s="2">
        <v>0</v>
      </c>
      <c r="AF826" s="2">
        <v>0</v>
      </c>
      <c r="AG826" s="2">
        <v>0</v>
      </c>
      <c r="AH826" s="2">
        <v>0</v>
      </c>
      <c r="AI826" s="2">
        <v>0</v>
      </c>
      <c r="AJ826" s="2">
        <v>0</v>
      </c>
      <c r="AK826" s="2">
        <v>0</v>
      </c>
      <c r="AL826" s="2">
        <v>0</v>
      </c>
      <c r="AM826" s="2">
        <v>12.35</v>
      </c>
      <c r="AN826" s="2">
        <v>12.35</v>
      </c>
      <c r="AO826" s="2">
        <v>0</v>
      </c>
      <c r="AP826" s="2">
        <v>0</v>
      </c>
      <c r="AQ826" s="2">
        <v>0</v>
      </c>
    </row>
    <row r="827" spans="1:43" x14ac:dyDescent="0.25">
      <c r="A827" s="1">
        <v>45936</v>
      </c>
      <c r="B827" t="s">
        <v>48</v>
      </c>
      <c r="C827">
        <v>649163</v>
      </c>
      <c r="D827">
        <v>2028135306</v>
      </c>
      <c r="E827" t="s">
        <v>81</v>
      </c>
      <c r="F827" t="s">
        <v>527</v>
      </c>
      <c r="G827" t="s">
        <v>51</v>
      </c>
      <c r="H827" t="s">
        <v>122</v>
      </c>
      <c r="I827" t="s">
        <v>292</v>
      </c>
      <c r="J827" t="s">
        <v>295</v>
      </c>
      <c r="K827">
        <v>767312</v>
      </c>
      <c r="L827" t="s">
        <v>283</v>
      </c>
      <c r="M827" t="s">
        <v>284</v>
      </c>
      <c r="N827" t="s">
        <v>57</v>
      </c>
      <c r="O827" s="1">
        <v>45748</v>
      </c>
      <c r="Q827" s="1">
        <v>45962</v>
      </c>
      <c r="R827" s="2">
        <v>43.81</v>
      </c>
      <c r="S827">
        <v>1</v>
      </c>
      <c r="T827" t="s">
        <v>58</v>
      </c>
      <c r="U827" t="s">
        <v>359</v>
      </c>
      <c r="V827" s="3">
        <v>0.9</v>
      </c>
      <c r="W827" s="2">
        <v>0</v>
      </c>
      <c r="X827">
        <v>0</v>
      </c>
      <c r="Y827" t="s">
        <v>60</v>
      </c>
      <c r="Z827" t="s">
        <v>360</v>
      </c>
      <c r="AA827">
        <v>0</v>
      </c>
      <c r="AB827" s="2">
        <v>0</v>
      </c>
      <c r="AC827" s="2">
        <v>0</v>
      </c>
      <c r="AD827" s="3">
        <v>0</v>
      </c>
      <c r="AE827" s="2">
        <v>0</v>
      </c>
      <c r="AF827" s="2">
        <v>0</v>
      </c>
      <c r="AG827" s="2">
        <v>0</v>
      </c>
      <c r="AH827" s="2">
        <v>0</v>
      </c>
      <c r="AI827" s="2">
        <v>0</v>
      </c>
      <c r="AJ827" s="2">
        <v>0</v>
      </c>
      <c r="AK827" s="2">
        <v>0</v>
      </c>
      <c r="AL827" s="2">
        <v>0</v>
      </c>
      <c r="AM827" s="2">
        <v>39.43</v>
      </c>
      <c r="AN827" s="2">
        <v>39.43</v>
      </c>
      <c r="AO827" s="2">
        <v>0</v>
      </c>
      <c r="AP827" s="2">
        <v>0</v>
      </c>
      <c r="AQ827" s="2">
        <v>0</v>
      </c>
    </row>
    <row r="828" spans="1:43" x14ac:dyDescent="0.25">
      <c r="A828" s="1">
        <v>45936</v>
      </c>
      <c r="B828" t="s">
        <v>48</v>
      </c>
      <c r="C828">
        <v>649163</v>
      </c>
      <c r="D828">
        <v>2028143929</v>
      </c>
      <c r="E828" t="s">
        <v>267</v>
      </c>
      <c r="F828" t="s">
        <v>1015</v>
      </c>
      <c r="G828" t="s">
        <v>51</v>
      </c>
      <c r="H828" t="s">
        <v>52</v>
      </c>
      <c r="I828" t="s">
        <v>292</v>
      </c>
      <c r="J828" t="s">
        <v>293</v>
      </c>
      <c r="K828">
        <v>822733</v>
      </c>
      <c r="L828" t="s">
        <v>269</v>
      </c>
      <c r="M828" t="s">
        <v>270</v>
      </c>
      <c r="N828" t="s">
        <v>57</v>
      </c>
      <c r="O828" s="1">
        <v>45754</v>
      </c>
      <c r="Q828" s="1">
        <v>45968</v>
      </c>
      <c r="R828" s="2">
        <v>48.76</v>
      </c>
      <c r="S828">
        <v>1</v>
      </c>
      <c r="T828" t="s">
        <v>58</v>
      </c>
      <c r="U828" t="s">
        <v>359</v>
      </c>
      <c r="V828" s="3">
        <v>0.7</v>
      </c>
      <c r="W828" s="2">
        <v>0</v>
      </c>
      <c r="X828">
        <v>0</v>
      </c>
      <c r="Y828" t="s">
        <v>60</v>
      </c>
      <c r="Z828" t="s">
        <v>360</v>
      </c>
      <c r="AA828">
        <v>0</v>
      </c>
      <c r="AB828" s="2">
        <v>0</v>
      </c>
      <c r="AC828" s="2">
        <v>0</v>
      </c>
      <c r="AD828" s="3">
        <v>0</v>
      </c>
      <c r="AE828" s="2">
        <v>0</v>
      </c>
      <c r="AF828" s="2">
        <v>0</v>
      </c>
      <c r="AG828" s="2">
        <v>0</v>
      </c>
      <c r="AH828" s="2">
        <v>0</v>
      </c>
      <c r="AI828" s="2">
        <v>0</v>
      </c>
      <c r="AJ828" s="2">
        <v>0</v>
      </c>
      <c r="AK828" s="2">
        <v>0</v>
      </c>
      <c r="AL828" s="2">
        <v>0</v>
      </c>
      <c r="AM828" s="2">
        <v>34.130000000000003</v>
      </c>
      <c r="AN828" s="2">
        <v>34.130000000000003</v>
      </c>
      <c r="AO828" s="2">
        <v>0</v>
      </c>
      <c r="AP828" s="2">
        <v>0</v>
      </c>
      <c r="AQ828" s="2">
        <v>0</v>
      </c>
    </row>
    <row r="829" spans="1:43" x14ac:dyDescent="0.25">
      <c r="A829" s="1">
        <v>45936</v>
      </c>
      <c r="B829" t="s">
        <v>48</v>
      </c>
      <c r="C829">
        <v>649163</v>
      </c>
      <c r="D829">
        <v>2028182786</v>
      </c>
      <c r="E829" t="s">
        <v>233</v>
      </c>
      <c r="F829" t="s">
        <v>1016</v>
      </c>
      <c r="G829" t="s">
        <v>51</v>
      </c>
      <c r="H829" t="s">
        <v>52</v>
      </c>
      <c r="I829" t="s">
        <v>292</v>
      </c>
      <c r="J829" t="s">
        <v>293</v>
      </c>
      <c r="K829">
        <v>822733</v>
      </c>
      <c r="L829" t="s">
        <v>269</v>
      </c>
      <c r="M829" t="s">
        <v>270</v>
      </c>
      <c r="N829" t="s">
        <v>57</v>
      </c>
      <c r="O829" s="1">
        <v>45754</v>
      </c>
      <c r="Q829" s="1">
        <v>45968</v>
      </c>
      <c r="R829" s="2">
        <v>92.47</v>
      </c>
      <c r="S829">
        <v>1</v>
      </c>
      <c r="T829" t="s">
        <v>58</v>
      </c>
      <c r="U829" t="s">
        <v>359</v>
      </c>
      <c r="V829" s="3">
        <v>0.7</v>
      </c>
      <c r="W829" s="2">
        <v>0</v>
      </c>
      <c r="X829">
        <v>0</v>
      </c>
      <c r="Y829" t="s">
        <v>60</v>
      </c>
      <c r="Z829" t="s">
        <v>360</v>
      </c>
      <c r="AA829">
        <v>0</v>
      </c>
      <c r="AB829" s="2">
        <v>0</v>
      </c>
      <c r="AC829" s="2">
        <v>0</v>
      </c>
      <c r="AD829" s="3">
        <v>0</v>
      </c>
      <c r="AE829" s="2">
        <v>0</v>
      </c>
      <c r="AF829" s="2">
        <v>0</v>
      </c>
      <c r="AG829" s="2">
        <v>0</v>
      </c>
      <c r="AH829" s="2">
        <v>0</v>
      </c>
      <c r="AI829" s="2">
        <v>0</v>
      </c>
      <c r="AJ829" s="2">
        <v>0</v>
      </c>
      <c r="AK829" s="2">
        <v>0</v>
      </c>
      <c r="AL829" s="2">
        <v>0</v>
      </c>
      <c r="AM829" s="2">
        <v>64.73</v>
      </c>
      <c r="AN829" s="2">
        <v>64.73</v>
      </c>
      <c r="AO829" s="2">
        <v>0</v>
      </c>
      <c r="AP829" s="2">
        <v>0</v>
      </c>
      <c r="AQ829" s="2">
        <v>0</v>
      </c>
    </row>
    <row r="830" spans="1:43" x14ac:dyDescent="0.25">
      <c r="A830" s="1">
        <v>45936</v>
      </c>
      <c r="B830" t="s">
        <v>48</v>
      </c>
      <c r="C830">
        <v>649163</v>
      </c>
      <c r="D830">
        <v>2028192005</v>
      </c>
      <c r="E830" t="s">
        <v>1017</v>
      </c>
      <c r="F830" t="s">
        <v>1018</v>
      </c>
      <c r="G830" t="s">
        <v>51</v>
      </c>
      <c r="H830" t="s">
        <v>101</v>
      </c>
      <c r="I830" t="s">
        <v>292</v>
      </c>
      <c r="J830" t="s">
        <v>293</v>
      </c>
      <c r="K830">
        <v>840313</v>
      </c>
      <c r="L830" t="s">
        <v>436</v>
      </c>
      <c r="M830" t="s">
        <v>437</v>
      </c>
      <c r="N830" t="s">
        <v>57</v>
      </c>
      <c r="O830" s="1">
        <v>45755</v>
      </c>
      <c r="Q830" s="1">
        <v>45969</v>
      </c>
      <c r="R830" s="2">
        <v>15.75</v>
      </c>
      <c r="S830">
        <v>1</v>
      </c>
      <c r="T830" t="s">
        <v>58</v>
      </c>
      <c r="U830" t="s">
        <v>359</v>
      </c>
      <c r="V830" s="3">
        <v>0.7</v>
      </c>
      <c r="W830" s="2">
        <v>0</v>
      </c>
      <c r="X830">
        <v>0</v>
      </c>
      <c r="Y830" t="s">
        <v>60</v>
      </c>
      <c r="Z830" t="s">
        <v>360</v>
      </c>
      <c r="AA830">
        <v>0</v>
      </c>
      <c r="AB830" s="2">
        <v>0</v>
      </c>
      <c r="AC830" s="2">
        <v>0</v>
      </c>
      <c r="AD830" s="3">
        <v>0</v>
      </c>
      <c r="AE830" s="2">
        <v>0</v>
      </c>
      <c r="AF830" s="2">
        <v>0</v>
      </c>
      <c r="AG830" s="2">
        <v>0</v>
      </c>
      <c r="AH830" s="2">
        <v>0</v>
      </c>
      <c r="AI830" s="2">
        <v>0</v>
      </c>
      <c r="AJ830" s="2">
        <v>0</v>
      </c>
      <c r="AK830" s="2">
        <v>0</v>
      </c>
      <c r="AL830" s="2">
        <v>0</v>
      </c>
      <c r="AM830" s="2">
        <v>11.02</v>
      </c>
      <c r="AN830" s="2">
        <v>11.02</v>
      </c>
      <c r="AO830" s="2">
        <v>0</v>
      </c>
      <c r="AP830" s="2">
        <v>0</v>
      </c>
      <c r="AQ830" s="2">
        <v>0</v>
      </c>
    </row>
    <row r="831" spans="1:43" x14ac:dyDescent="0.25">
      <c r="A831" s="1">
        <v>45936</v>
      </c>
      <c r="B831" t="s">
        <v>48</v>
      </c>
      <c r="C831">
        <v>649163</v>
      </c>
      <c r="D831">
        <v>2028248959</v>
      </c>
      <c r="E831" t="s">
        <v>1019</v>
      </c>
      <c r="F831" t="s">
        <v>207</v>
      </c>
      <c r="G831" t="s">
        <v>51</v>
      </c>
      <c r="H831" t="s">
        <v>52</v>
      </c>
      <c r="I831" t="s">
        <v>292</v>
      </c>
      <c r="J831" t="s">
        <v>295</v>
      </c>
      <c r="K831">
        <v>767312</v>
      </c>
      <c r="L831" t="s">
        <v>283</v>
      </c>
      <c r="M831" t="s">
        <v>284</v>
      </c>
      <c r="N831" t="s">
        <v>57</v>
      </c>
      <c r="O831" s="1">
        <v>45753</v>
      </c>
      <c r="Q831" s="1">
        <v>45967</v>
      </c>
      <c r="R831" s="2">
        <v>20.399999999999999</v>
      </c>
      <c r="S831">
        <v>1</v>
      </c>
      <c r="T831" t="s">
        <v>58</v>
      </c>
      <c r="U831" t="s">
        <v>359</v>
      </c>
      <c r="V831" s="3">
        <v>0.9</v>
      </c>
      <c r="W831" s="2">
        <v>0</v>
      </c>
      <c r="X831">
        <v>0</v>
      </c>
      <c r="Y831" t="s">
        <v>60</v>
      </c>
      <c r="Z831" t="s">
        <v>360</v>
      </c>
      <c r="AA831">
        <v>0</v>
      </c>
      <c r="AB831" s="2">
        <v>0</v>
      </c>
      <c r="AC831" s="2">
        <v>0</v>
      </c>
      <c r="AD831" s="3">
        <v>0</v>
      </c>
      <c r="AE831" s="2">
        <v>0</v>
      </c>
      <c r="AF831" s="2">
        <v>0</v>
      </c>
      <c r="AG831" s="2">
        <v>0</v>
      </c>
      <c r="AH831" s="2">
        <v>0</v>
      </c>
      <c r="AI831" s="2">
        <v>0</v>
      </c>
      <c r="AJ831" s="2">
        <v>0</v>
      </c>
      <c r="AK831" s="2">
        <v>0</v>
      </c>
      <c r="AL831" s="2">
        <v>0</v>
      </c>
      <c r="AM831" s="2">
        <v>18.36</v>
      </c>
      <c r="AN831" s="2">
        <v>18.36</v>
      </c>
      <c r="AO831" s="2">
        <v>0</v>
      </c>
      <c r="AP831" s="2">
        <v>0</v>
      </c>
      <c r="AQ831" s="2">
        <v>0</v>
      </c>
    </row>
    <row r="832" spans="1:43" x14ac:dyDescent="0.25">
      <c r="A832" s="1">
        <v>45936</v>
      </c>
      <c r="B832" t="s">
        <v>48</v>
      </c>
      <c r="C832">
        <v>649163</v>
      </c>
      <c r="D832">
        <v>2028248979</v>
      </c>
      <c r="E832" t="s">
        <v>767</v>
      </c>
      <c r="F832" t="s">
        <v>671</v>
      </c>
      <c r="G832" t="s">
        <v>51</v>
      </c>
      <c r="H832" t="s">
        <v>182</v>
      </c>
      <c r="I832" t="s">
        <v>292</v>
      </c>
      <c r="J832" t="s">
        <v>293</v>
      </c>
      <c r="K832">
        <v>651818</v>
      </c>
      <c r="L832" t="s">
        <v>112</v>
      </c>
      <c r="M832" t="s">
        <v>104</v>
      </c>
      <c r="N832" t="s">
        <v>57</v>
      </c>
      <c r="O832" s="1">
        <v>45784</v>
      </c>
      <c r="Q832" s="1">
        <v>45968</v>
      </c>
      <c r="R832" s="2">
        <v>120.5</v>
      </c>
      <c r="S832">
        <v>1</v>
      </c>
      <c r="T832" t="s">
        <v>58</v>
      </c>
      <c r="U832" t="s">
        <v>359</v>
      </c>
      <c r="V832" s="3">
        <v>0.7</v>
      </c>
      <c r="W832" s="2">
        <v>0</v>
      </c>
      <c r="X832">
        <v>0</v>
      </c>
      <c r="Y832" t="s">
        <v>60</v>
      </c>
      <c r="Z832" t="s">
        <v>360</v>
      </c>
      <c r="AA832">
        <v>0</v>
      </c>
      <c r="AB832" s="2">
        <v>0</v>
      </c>
      <c r="AC832" s="2">
        <v>0</v>
      </c>
      <c r="AD832" s="3">
        <v>0</v>
      </c>
      <c r="AE832" s="2">
        <v>0</v>
      </c>
      <c r="AF832" s="2">
        <v>0</v>
      </c>
      <c r="AG832" s="2">
        <v>0</v>
      </c>
      <c r="AH832" s="2">
        <v>0</v>
      </c>
      <c r="AI832" s="2">
        <v>0</v>
      </c>
      <c r="AJ832" s="2">
        <v>0</v>
      </c>
      <c r="AK832" s="2">
        <v>0</v>
      </c>
      <c r="AL832" s="2">
        <v>0</v>
      </c>
      <c r="AM832" s="2">
        <v>84.35</v>
      </c>
      <c r="AN832" s="2">
        <v>84.35</v>
      </c>
      <c r="AO832" s="2">
        <v>0</v>
      </c>
      <c r="AP832" s="2">
        <v>0</v>
      </c>
      <c r="AQ832" s="2">
        <v>0</v>
      </c>
    </row>
    <row r="833" spans="1:43" x14ac:dyDescent="0.25">
      <c r="A833" s="1">
        <v>45936</v>
      </c>
      <c r="B833" t="s">
        <v>48</v>
      </c>
      <c r="C833">
        <v>649163</v>
      </c>
      <c r="D833">
        <v>2028281048</v>
      </c>
      <c r="E833" t="s">
        <v>1020</v>
      </c>
      <c r="F833" t="s">
        <v>1021</v>
      </c>
      <c r="G833" t="s">
        <v>51</v>
      </c>
      <c r="H833" t="s">
        <v>101</v>
      </c>
      <c r="I833" t="s">
        <v>292</v>
      </c>
      <c r="J833" t="s">
        <v>293</v>
      </c>
      <c r="K833">
        <v>806645</v>
      </c>
      <c r="L833" t="s">
        <v>1022</v>
      </c>
      <c r="M833" t="s">
        <v>1023</v>
      </c>
      <c r="N833" t="s">
        <v>57</v>
      </c>
      <c r="O833" s="1">
        <v>45755</v>
      </c>
      <c r="Q833" s="1">
        <v>45969</v>
      </c>
      <c r="R833" s="2">
        <v>24.65</v>
      </c>
      <c r="S833">
        <v>1</v>
      </c>
      <c r="T833" t="s">
        <v>58</v>
      </c>
      <c r="U833" t="s">
        <v>359</v>
      </c>
      <c r="V833" s="3">
        <v>0.7</v>
      </c>
      <c r="W833" s="2">
        <v>0</v>
      </c>
      <c r="X833">
        <v>0</v>
      </c>
      <c r="Y833" t="s">
        <v>60</v>
      </c>
      <c r="Z833" t="s">
        <v>360</v>
      </c>
      <c r="AA833">
        <v>0</v>
      </c>
      <c r="AB833" s="2">
        <v>0</v>
      </c>
      <c r="AC833" s="2">
        <v>0</v>
      </c>
      <c r="AD833" s="3">
        <v>0</v>
      </c>
      <c r="AE833" s="2">
        <v>0</v>
      </c>
      <c r="AF833" s="2">
        <v>0</v>
      </c>
      <c r="AG833" s="2">
        <v>0</v>
      </c>
      <c r="AH833" s="2">
        <v>0</v>
      </c>
      <c r="AI833" s="2">
        <v>0</v>
      </c>
      <c r="AJ833" s="2">
        <v>0</v>
      </c>
      <c r="AK833" s="2">
        <v>0</v>
      </c>
      <c r="AL833" s="2">
        <v>0</v>
      </c>
      <c r="AM833" s="2">
        <v>17.260000000000002</v>
      </c>
      <c r="AN833" s="2">
        <v>17.260000000000002</v>
      </c>
      <c r="AO833" s="2">
        <v>0</v>
      </c>
      <c r="AP833" s="2">
        <v>0</v>
      </c>
      <c r="AQ833" s="2">
        <v>0</v>
      </c>
    </row>
    <row r="834" spans="1:43" x14ac:dyDescent="0.25">
      <c r="A834" s="1">
        <v>45936</v>
      </c>
      <c r="B834" t="s">
        <v>48</v>
      </c>
      <c r="C834">
        <v>649163</v>
      </c>
      <c r="D834">
        <v>2028281147</v>
      </c>
      <c r="E834" t="s">
        <v>1024</v>
      </c>
      <c r="F834" t="s">
        <v>212</v>
      </c>
      <c r="G834" t="s">
        <v>51</v>
      </c>
      <c r="H834" t="s">
        <v>203</v>
      </c>
      <c r="I834" t="s">
        <v>292</v>
      </c>
      <c r="J834" t="s">
        <v>293</v>
      </c>
      <c r="K834">
        <v>816021</v>
      </c>
      <c r="L834" t="s">
        <v>265</v>
      </c>
      <c r="M834" t="s">
        <v>266</v>
      </c>
      <c r="N834" t="s">
        <v>57</v>
      </c>
      <c r="O834" s="1">
        <v>45755</v>
      </c>
      <c r="Q834" s="1">
        <v>45969</v>
      </c>
      <c r="R834" s="2">
        <v>18.2</v>
      </c>
      <c r="S834">
        <v>1</v>
      </c>
      <c r="T834" t="s">
        <v>58</v>
      </c>
      <c r="U834" t="s">
        <v>359</v>
      </c>
      <c r="V834" s="3">
        <v>0.7</v>
      </c>
      <c r="W834" s="2">
        <v>0</v>
      </c>
      <c r="X834">
        <v>0</v>
      </c>
      <c r="Y834" t="s">
        <v>60</v>
      </c>
      <c r="Z834" t="s">
        <v>360</v>
      </c>
      <c r="AA834">
        <v>0</v>
      </c>
      <c r="AB834" s="2">
        <v>0</v>
      </c>
      <c r="AC834" s="2">
        <v>0</v>
      </c>
      <c r="AD834" s="3">
        <v>0</v>
      </c>
      <c r="AE834" s="2">
        <v>0</v>
      </c>
      <c r="AF834" s="2">
        <v>0</v>
      </c>
      <c r="AG834" s="2">
        <v>0</v>
      </c>
      <c r="AH834" s="2">
        <v>0</v>
      </c>
      <c r="AI834" s="2">
        <v>0</v>
      </c>
      <c r="AJ834" s="2">
        <v>0</v>
      </c>
      <c r="AK834" s="2">
        <v>0</v>
      </c>
      <c r="AL834" s="2">
        <v>0</v>
      </c>
      <c r="AM834" s="2">
        <v>12.74</v>
      </c>
      <c r="AN834" s="2">
        <v>12.74</v>
      </c>
      <c r="AO834" s="2">
        <v>0</v>
      </c>
      <c r="AP834" s="2">
        <v>0</v>
      </c>
      <c r="AQ834" s="2">
        <v>0</v>
      </c>
    </row>
    <row r="835" spans="1:43" x14ac:dyDescent="0.25">
      <c r="A835" s="1">
        <v>45936</v>
      </c>
      <c r="B835" t="s">
        <v>48</v>
      </c>
      <c r="C835">
        <v>649163</v>
      </c>
      <c r="D835">
        <v>2028286563</v>
      </c>
      <c r="E835" t="s">
        <v>1025</v>
      </c>
      <c r="F835" t="s">
        <v>1026</v>
      </c>
      <c r="G835" t="s">
        <v>51</v>
      </c>
      <c r="H835" t="s">
        <v>101</v>
      </c>
      <c r="I835" t="s">
        <v>292</v>
      </c>
      <c r="J835" t="s">
        <v>293</v>
      </c>
      <c r="K835">
        <v>807212</v>
      </c>
      <c r="L835" t="s">
        <v>340</v>
      </c>
      <c r="M835" t="s">
        <v>341</v>
      </c>
      <c r="N835" t="s">
        <v>57</v>
      </c>
      <c r="O835" s="1">
        <v>45755</v>
      </c>
      <c r="Q835" s="1">
        <v>45969</v>
      </c>
      <c r="R835" s="2">
        <v>56.5</v>
      </c>
      <c r="S835">
        <v>1</v>
      </c>
      <c r="T835" t="s">
        <v>58</v>
      </c>
      <c r="U835" t="s">
        <v>359</v>
      </c>
      <c r="V835" s="3">
        <v>0.7</v>
      </c>
      <c r="W835" s="2">
        <v>0</v>
      </c>
      <c r="X835">
        <v>0</v>
      </c>
      <c r="Y835" t="s">
        <v>60</v>
      </c>
      <c r="Z835" t="s">
        <v>360</v>
      </c>
      <c r="AA835">
        <v>0</v>
      </c>
      <c r="AB835" s="2">
        <v>0</v>
      </c>
      <c r="AC835" s="2">
        <v>0</v>
      </c>
      <c r="AD835" s="3">
        <v>0</v>
      </c>
      <c r="AE835" s="2">
        <v>0</v>
      </c>
      <c r="AF835" s="2">
        <v>0</v>
      </c>
      <c r="AG835" s="2">
        <v>0</v>
      </c>
      <c r="AH835" s="2">
        <v>0</v>
      </c>
      <c r="AI835" s="2">
        <v>0</v>
      </c>
      <c r="AJ835" s="2">
        <v>0</v>
      </c>
      <c r="AK835" s="2">
        <v>0</v>
      </c>
      <c r="AL835" s="2">
        <v>0</v>
      </c>
      <c r="AM835" s="2">
        <v>39.549999999999997</v>
      </c>
      <c r="AN835" s="2">
        <v>39.549999999999997</v>
      </c>
      <c r="AO835" s="2">
        <v>0</v>
      </c>
      <c r="AP835" s="2">
        <v>0</v>
      </c>
      <c r="AQ835" s="2">
        <v>0</v>
      </c>
    </row>
    <row r="836" spans="1:43" x14ac:dyDescent="0.25">
      <c r="A836" s="1">
        <v>45936</v>
      </c>
      <c r="B836" t="s">
        <v>48</v>
      </c>
      <c r="C836">
        <v>649163</v>
      </c>
      <c r="D836">
        <v>2028297704</v>
      </c>
      <c r="E836" t="s">
        <v>1027</v>
      </c>
      <c r="F836" t="s">
        <v>1028</v>
      </c>
      <c r="G836" t="s">
        <v>51</v>
      </c>
      <c r="H836" t="s">
        <v>79</v>
      </c>
      <c r="I836" t="s">
        <v>292</v>
      </c>
      <c r="J836" t="s">
        <v>293</v>
      </c>
      <c r="K836">
        <v>822865</v>
      </c>
      <c r="L836" t="s">
        <v>146</v>
      </c>
      <c r="M836" t="s">
        <v>147</v>
      </c>
      <c r="N836" t="s">
        <v>57</v>
      </c>
      <c r="O836" s="1">
        <v>45756</v>
      </c>
      <c r="Q836" s="1">
        <v>45970</v>
      </c>
      <c r="R836" s="2">
        <v>33.54</v>
      </c>
      <c r="S836">
        <v>1</v>
      </c>
      <c r="T836" t="s">
        <v>58</v>
      </c>
      <c r="U836" t="s">
        <v>359</v>
      </c>
      <c r="V836" s="3">
        <v>0.7</v>
      </c>
      <c r="W836" s="2">
        <v>0</v>
      </c>
      <c r="X836">
        <v>0</v>
      </c>
      <c r="Y836" t="s">
        <v>60</v>
      </c>
      <c r="Z836" t="s">
        <v>360</v>
      </c>
      <c r="AA836">
        <v>0</v>
      </c>
      <c r="AB836" s="2">
        <v>0</v>
      </c>
      <c r="AC836" s="2">
        <v>0</v>
      </c>
      <c r="AD836" s="3">
        <v>0</v>
      </c>
      <c r="AE836" s="2">
        <v>0</v>
      </c>
      <c r="AF836" s="2">
        <v>0</v>
      </c>
      <c r="AG836" s="2">
        <v>0</v>
      </c>
      <c r="AH836" s="2">
        <v>0</v>
      </c>
      <c r="AI836" s="2">
        <v>0</v>
      </c>
      <c r="AJ836" s="2">
        <v>0</v>
      </c>
      <c r="AK836" s="2">
        <v>0</v>
      </c>
      <c r="AL836" s="2">
        <v>0</v>
      </c>
      <c r="AM836" s="2">
        <v>23.48</v>
      </c>
      <c r="AN836" s="2">
        <v>23.48</v>
      </c>
      <c r="AO836" s="2">
        <v>0</v>
      </c>
      <c r="AP836" s="2">
        <v>0</v>
      </c>
      <c r="AQ836" s="2">
        <v>0</v>
      </c>
    </row>
    <row r="837" spans="1:43" x14ac:dyDescent="0.25">
      <c r="A837" s="1">
        <v>45936</v>
      </c>
      <c r="B837" t="s">
        <v>48</v>
      </c>
      <c r="C837">
        <v>649163</v>
      </c>
      <c r="D837">
        <v>2028368523</v>
      </c>
      <c r="E837" t="s">
        <v>1029</v>
      </c>
      <c r="F837" t="s">
        <v>740</v>
      </c>
      <c r="G837" t="s">
        <v>51</v>
      </c>
      <c r="H837" t="s">
        <v>52</v>
      </c>
      <c r="I837" t="s">
        <v>292</v>
      </c>
      <c r="J837" t="s">
        <v>293</v>
      </c>
      <c r="K837">
        <v>822733</v>
      </c>
      <c r="L837" t="s">
        <v>269</v>
      </c>
      <c r="M837" t="s">
        <v>270</v>
      </c>
      <c r="N837" t="s">
        <v>57</v>
      </c>
      <c r="O837" s="1">
        <v>45784</v>
      </c>
      <c r="Q837" s="1">
        <v>45968</v>
      </c>
      <c r="R837" s="2">
        <v>48.76</v>
      </c>
      <c r="S837">
        <v>1</v>
      </c>
      <c r="T837" t="s">
        <v>58</v>
      </c>
      <c r="U837" t="s">
        <v>359</v>
      </c>
      <c r="V837" s="3">
        <v>0.7</v>
      </c>
      <c r="W837" s="2">
        <v>0</v>
      </c>
      <c r="X837">
        <v>0</v>
      </c>
      <c r="Y837" t="s">
        <v>60</v>
      </c>
      <c r="Z837" t="s">
        <v>360</v>
      </c>
      <c r="AA837">
        <v>0</v>
      </c>
      <c r="AB837" s="2">
        <v>0</v>
      </c>
      <c r="AC837" s="2">
        <v>0</v>
      </c>
      <c r="AD837" s="3">
        <v>0</v>
      </c>
      <c r="AE837" s="2">
        <v>0</v>
      </c>
      <c r="AF837" s="2">
        <v>0</v>
      </c>
      <c r="AG837" s="2">
        <v>0</v>
      </c>
      <c r="AH837" s="2">
        <v>0</v>
      </c>
      <c r="AI837" s="2">
        <v>0</v>
      </c>
      <c r="AJ837" s="2">
        <v>0</v>
      </c>
      <c r="AK837" s="2">
        <v>0</v>
      </c>
      <c r="AL837" s="2">
        <v>0</v>
      </c>
      <c r="AM837" s="2">
        <v>34.130000000000003</v>
      </c>
      <c r="AN837" s="2">
        <v>34.130000000000003</v>
      </c>
      <c r="AO837" s="2">
        <v>0</v>
      </c>
      <c r="AP837" s="2">
        <v>0</v>
      </c>
      <c r="AQ837" s="2">
        <v>0</v>
      </c>
    </row>
    <row r="838" spans="1:43" x14ac:dyDescent="0.25">
      <c r="A838" s="1">
        <v>45936</v>
      </c>
      <c r="B838" t="s">
        <v>48</v>
      </c>
      <c r="C838">
        <v>649163</v>
      </c>
      <c r="D838">
        <v>2028412597</v>
      </c>
      <c r="E838" t="s">
        <v>768</v>
      </c>
      <c r="F838" t="s">
        <v>205</v>
      </c>
      <c r="G838" t="s">
        <v>51</v>
      </c>
      <c r="H838" t="s">
        <v>101</v>
      </c>
      <c r="I838" t="s">
        <v>292</v>
      </c>
      <c r="J838" t="s">
        <v>293</v>
      </c>
      <c r="K838">
        <v>651818</v>
      </c>
      <c r="L838" t="s">
        <v>112</v>
      </c>
      <c r="M838" t="s">
        <v>104</v>
      </c>
      <c r="N838" t="s">
        <v>57</v>
      </c>
      <c r="O838" s="1">
        <v>45784</v>
      </c>
      <c r="Q838" s="1">
        <v>45968</v>
      </c>
      <c r="R838" s="2">
        <v>80.14</v>
      </c>
      <c r="S838">
        <v>1</v>
      </c>
      <c r="T838" t="s">
        <v>58</v>
      </c>
      <c r="U838" t="s">
        <v>359</v>
      </c>
      <c r="V838" s="3">
        <v>0.7</v>
      </c>
      <c r="W838" s="2">
        <v>0</v>
      </c>
      <c r="X838">
        <v>0</v>
      </c>
      <c r="Y838" t="s">
        <v>60</v>
      </c>
      <c r="Z838" t="s">
        <v>360</v>
      </c>
      <c r="AA838">
        <v>0</v>
      </c>
      <c r="AB838" s="2">
        <v>0</v>
      </c>
      <c r="AC838" s="2">
        <v>0</v>
      </c>
      <c r="AD838" s="3">
        <v>0</v>
      </c>
      <c r="AE838" s="2">
        <v>0</v>
      </c>
      <c r="AF838" s="2">
        <v>0</v>
      </c>
      <c r="AG838" s="2">
        <v>0</v>
      </c>
      <c r="AH838" s="2">
        <v>0</v>
      </c>
      <c r="AI838" s="2">
        <v>0</v>
      </c>
      <c r="AJ838" s="2">
        <v>0</v>
      </c>
      <c r="AK838" s="2">
        <v>0</v>
      </c>
      <c r="AL838" s="2">
        <v>0</v>
      </c>
      <c r="AM838" s="2">
        <v>56.1</v>
      </c>
      <c r="AN838" s="2">
        <v>56.1</v>
      </c>
      <c r="AO838" s="2">
        <v>0</v>
      </c>
      <c r="AP838" s="2">
        <v>0</v>
      </c>
      <c r="AQ838" s="2">
        <v>0</v>
      </c>
    </row>
    <row r="839" spans="1:43" x14ac:dyDescent="0.25">
      <c r="A839" s="1">
        <v>45936</v>
      </c>
      <c r="B839" t="s">
        <v>48</v>
      </c>
      <c r="C839">
        <v>649163</v>
      </c>
      <c r="D839">
        <v>2028436941</v>
      </c>
      <c r="E839" t="s">
        <v>412</v>
      </c>
      <c r="F839" t="s">
        <v>1030</v>
      </c>
      <c r="G839" t="s">
        <v>51</v>
      </c>
      <c r="H839" t="s">
        <v>310</v>
      </c>
      <c r="I839" t="s">
        <v>292</v>
      </c>
      <c r="J839" t="s">
        <v>293</v>
      </c>
      <c r="K839">
        <v>651818</v>
      </c>
      <c r="L839" t="s">
        <v>112</v>
      </c>
      <c r="M839" t="s">
        <v>104</v>
      </c>
      <c r="N839" t="s">
        <v>57</v>
      </c>
      <c r="O839" s="1">
        <v>45784</v>
      </c>
      <c r="Q839" s="1">
        <v>45968</v>
      </c>
      <c r="R839" s="2">
        <v>77.12</v>
      </c>
      <c r="S839">
        <v>1</v>
      </c>
      <c r="T839" t="s">
        <v>58</v>
      </c>
      <c r="U839" t="s">
        <v>359</v>
      </c>
      <c r="V839" s="3">
        <v>0.7</v>
      </c>
      <c r="W839" s="2">
        <v>0</v>
      </c>
      <c r="X839">
        <v>0</v>
      </c>
      <c r="Y839" t="s">
        <v>60</v>
      </c>
      <c r="Z839" t="s">
        <v>360</v>
      </c>
      <c r="AA839">
        <v>0</v>
      </c>
      <c r="AB839" s="2">
        <v>0</v>
      </c>
      <c r="AC839" s="2">
        <v>0</v>
      </c>
      <c r="AD839" s="3">
        <v>0</v>
      </c>
      <c r="AE839" s="2">
        <v>0</v>
      </c>
      <c r="AF839" s="2">
        <v>0</v>
      </c>
      <c r="AG839" s="2">
        <v>0</v>
      </c>
      <c r="AH839" s="2">
        <v>0</v>
      </c>
      <c r="AI839" s="2">
        <v>0</v>
      </c>
      <c r="AJ839" s="2">
        <v>0</v>
      </c>
      <c r="AK839" s="2">
        <v>0</v>
      </c>
      <c r="AL839" s="2">
        <v>0</v>
      </c>
      <c r="AM839" s="2">
        <v>53.98</v>
      </c>
      <c r="AN839" s="2">
        <v>53.98</v>
      </c>
      <c r="AO839" s="2">
        <v>0</v>
      </c>
      <c r="AP839" s="2">
        <v>0</v>
      </c>
      <c r="AQ839" s="2">
        <v>0</v>
      </c>
    </row>
    <row r="840" spans="1:43" x14ac:dyDescent="0.25">
      <c r="A840" s="1">
        <v>45936</v>
      </c>
      <c r="B840" t="s">
        <v>48</v>
      </c>
      <c r="C840">
        <v>649163</v>
      </c>
      <c r="D840">
        <v>2028549154</v>
      </c>
      <c r="E840" t="s">
        <v>764</v>
      </c>
      <c r="F840" t="s">
        <v>769</v>
      </c>
      <c r="G840" t="s">
        <v>51</v>
      </c>
      <c r="H840" t="s">
        <v>119</v>
      </c>
      <c r="I840" t="s">
        <v>292</v>
      </c>
      <c r="J840" t="s">
        <v>295</v>
      </c>
      <c r="K840">
        <v>651818</v>
      </c>
      <c r="L840" t="s">
        <v>112</v>
      </c>
      <c r="M840" t="s">
        <v>104</v>
      </c>
      <c r="N840" t="s">
        <v>57</v>
      </c>
      <c r="O840" s="1">
        <v>45784</v>
      </c>
      <c r="Q840" s="1">
        <v>45968</v>
      </c>
      <c r="R840" s="2">
        <v>26.25</v>
      </c>
      <c r="S840">
        <v>1</v>
      </c>
      <c r="T840" t="s">
        <v>58</v>
      </c>
      <c r="U840" t="s">
        <v>359</v>
      </c>
      <c r="V840" s="3">
        <v>0.9</v>
      </c>
      <c r="W840" s="2">
        <v>0</v>
      </c>
      <c r="X840">
        <v>0</v>
      </c>
      <c r="Y840" t="s">
        <v>60</v>
      </c>
      <c r="Z840" t="s">
        <v>360</v>
      </c>
      <c r="AA840">
        <v>0</v>
      </c>
      <c r="AB840" s="2">
        <v>0</v>
      </c>
      <c r="AC840" s="2">
        <v>0</v>
      </c>
      <c r="AD840" s="3">
        <v>0</v>
      </c>
      <c r="AE840" s="2">
        <v>0</v>
      </c>
      <c r="AF840" s="2">
        <v>0</v>
      </c>
      <c r="AG840" s="2">
        <v>0</v>
      </c>
      <c r="AH840" s="2">
        <v>0</v>
      </c>
      <c r="AI840" s="2">
        <v>0</v>
      </c>
      <c r="AJ840" s="2">
        <v>0</v>
      </c>
      <c r="AK840" s="2">
        <v>0</v>
      </c>
      <c r="AL840" s="2">
        <v>0</v>
      </c>
      <c r="AM840" s="2">
        <v>23.62</v>
      </c>
      <c r="AN840" s="2">
        <v>23.62</v>
      </c>
      <c r="AO840" s="2">
        <v>0</v>
      </c>
      <c r="AP840" s="2">
        <v>0</v>
      </c>
      <c r="AQ840" s="2">
        <v>0</v>
      </c>
    </row>
    <row r="841" spans="1:43" x14ac:dyDescent="0.25">
      <c r="A841" s="1">
        <v>45936</v>
      </c>
      <c r="B841" t="s">
        <v>48</v>
      </c>
      <c r="C841">
        <v>649163</v>
      </c>
      <c r="D841">
        <v>2028565355</v>
      </c>
      <c r="E841" t="s">
        <v>139</v>
      </c>
      <c r="F841" t="s">
        <v>416</v>
      </c>
      <c r="G841" t="s">
        <v>51</v>
      </c>
      <c r="H841" t="s">
        <v>88</v>
      </c>
      <c r="I841" t="s">
        <v>292</v>
      </c>
      <c r="J841" t="s">
        <v>293</v>
      </c>
      <c r="K841">
        <v>650218</v>
      </c>
      <c r="L841" t="s">
        <v>237</v>
      </c>
      <c r="M841" t="s">
        <v>238</v>
      </c>
      <c r="N841" t="s">
        <v>57</v>
      </c>
      <c r="O841" s="1">
        <v>45777</v>
      </c>
      <c r="Q841" s="1">
        <v>45960</v>
      </c>
      <c r="R841" s="2">
        <v>-30.16</v>
      </c>
      <c r="S841">
        <v>1</v>
      </c>
      <c r="T841" t="s">
        <v>58</v>
      </c>
      <c r="U841" t="s">
        <v>359</v>
      </c>
      <c r="V841" s="3">
        <v>0.7</v>
      </c>
      <c r="W841" s="2">
        <v>0</v>
      </c>
      <c r="X841">
        <v>-1</v>
      </c>
      <c r="Y841" t="s">
        <v>60</v>
      </c>
      <c r="Z841" t="s">
        <v>360</v>
      </c>
      <c r="AA841">
        <v>0</v>
      </c>
      <c r="AB841" s="2">
        <v>0</v>
      </c>
      <c r="AC841" s="2">
        <v>0</v>
      </c>
      <c r="AD841" s="3">
        <v>0</v>
      </c>
      <c r="AE841" s="2">
        <v>0</v>
      </c>
      <c r="AF841" s="2">
        <v>0</v>
      </c>
      <c r="AG841" s="2">
        <v>0</v>
      </c>
      <c r="AH841" s="2">
        <v>0</v>
      </c>
      <c r="AI841" s="2">
        <v>0</v>
      </c>
      <c r="AJ841" s="2">
        <v>0</v>
      </c>
      <c r="AK841" s="2">
        <v>0</v>
      </c>
      <c r="AL841" s="2">
        <v>0</v>
      </c>
      <c r="AM841" s="2">
        <v>-21.11</v>
      </c>
      <c r="AN841" s="2">
        <v>-21.11</v>
      </c>
      <c r="AO841" s="2">
        <v>0</v>
      </c>
      <c r="AP841" s="2">
        <v>0</v>
      </c>
      <c r="AQ841" s="2">
        <v>0</v>
      </c>
    </row>
    <row r="842" spans="1:43" x14ac:dyDescent="0.25">
      <c r="A842" s="1">
        <v>45936</v>
      </c>
      <c r="B842" t="s">
        <v>48</v>
      </c>
      <c r="C842">
        <v>649163</v>
      </c>
      <c r="D842">
        <v>2028582349</v>
      </c>
      <c r="E842" t="s">
        <v>396</v>
      </c>
      <c r="F842" t="s">
        <v>250</v>
      </c>
      <c r="G842" t="s">
        <v>51</v>
      </c>
      <c r="H842" t="s">
        <v>101</v>
      </c>
      <c r="I842" t="s">
        <v>292</v>
      </c>
      <c r="J842" t="s">
        <v>293</v>
      </c>
      <c r="K842">
        <v>821015</v>
      </c>
      <c r="L842" t="s">
        <v>325</v>
      </c>
      <c r="M842" t="s">
        <v>326</v>
      </c>
      <c r="N842" t="s">
        <v>57</v>
      </c>
      <c r="O842" s="1">
        <v>45784</v>
      </c>
      <c r="Q842" s="1">
        <v>45968</v>
      </c>
      <c r="R842" s="2">
        <v>77.52</v>
      </c>
      <c r="S842">
        <v>1</v>
      </c>
      <c r="T842" t="s">
        <v>58</v>
      </c>
      <c r="U842" t="s">
        <v>359</v>
      </c>
      <c r="V842" s="3">
        <v>0.7</v>
      </c>
      <c r="W842" s="2">
        <v>0</v>
      </c>
      <c r="X842">
        <v>0</v>
      </c>
      <c r="Y842" t="s">
        <v>60</v>
      </c>
      <c r="Z842" t="s">
        <v>360</v>
      </c>
      <c r="AA842">
        <v>0</v>
      </c>
      <c r="AB842" s="2">
        <v>0</v>
      </c>
      <c r="AC842" s="2">
        <v>0</v>
      </c>
      <c r="AD842" s="3">
        <v>0</v>
      </c>
      <c r="AE842" s="2">
        <v>0</v>
      </c>
      <c r="AF842" s="2">
        <v>0</v>
      </c>
      <c r="AG842" s="2">
        <v>0</v>
      </c>
      <c r="AH842" s="2">
        <v>0</v>
      </c>
      <c r="AI842" s="2">
        <v>0</v>
      </c>
      <c r="AJ842" s="2">
        <v>0</v>
      </c>
      <c r="AK842" s="2">
        <v>0</v>
      </c>
      <c r="AL842" s="2">
        <v>0</v>
      </c>
      <c r="AM842" s="2">
        <v>54.26</v>
      </c>
      <c r="AN842" s="2">
        <v>54.26</v>
      </c>
      <c r="AO842" s="2">
        <v>0</v>
      </c>
      <c r="AP842" s="2">
        <v>0</v>
      </c>
      <c r="AQ842" s="2">
        <v>0</v>
      </c>
    </row>
    <row r="843" spans="1:43" x14ac:dyDescent="0.25">
      <c r="A843" s="1">
        <v>45936</v>
      </c>
      <c r="B843" t="s">
        <v>48</v>
      </c>
      <c r="C843">
        <v>649163</v>
      </c>
      <c r="D843">
        <v>2028605533</v>
      </c>
      <c r="E843" t="s">
        <v>770</v>
      </c>
      <c r="F843" t="s">
        <v>98</v>
      </c>
      <c r="G843" t="s">
        <v>51</v>
      </c>
      <c r="H843" t="s">
        <v>105</v>
      </c>
      <c r="I843" t="s">
        <v>292</v>
      </c>
      <c r="J843" t="s">
        <v>536</v>
      </c>
      <c r="K843">
        <v>823068</v>
      </c>
      <c r="L843" t="s">
        <v>106</v>
      </c>
      <c r="M843" t="s">
        <v>107</v>
      </c>
      <c r="N843" t="s">
        <v>57</v>
      </c>
      <c r="O843" s="1">
        <v>45778</v>
      </c>
      <c r="Q843" s="1">
        <v>45962</v>
      </c>
      <c r="R843" s="2">
        <v>24.61</v>
      </c>
      <c r="S843">
        <v>1</v>
      </c>
      <c r="T843" t="s">
        <v>58</v>
      </c>
      <c r="U843" t="s">
        <v>359</v>
      </c>
      <c r="V843" s="3">
        <v>0.7</v>
      </c>
      <c r="W843" s="2">
        <v>0</v>
      </c>
      <c r="X843">
        <v>0</v>
      </c>
      <c r="Y843" t="s">
        <v>60</v>
      </c>
      <c r="Z843" t="s">
        <v>360</v>
      </c>
      <c r="AA843">
        <v>0</v>
      </c>
      <c r="AB843" s="2">
        <v>0</v>
      </c>
      <c r="AC843" s="2">
        <v>0</v>
      </c>
      <c r="AD843" s="3">
        <v>0</v>
      </c>
      <c r="AE843" s="2">
        <v>0</v>
      </c>
      <c r="AF843" s="2">
        <v>0</v>
      </c>
      <c r="AG843" s="2">
        <v>0</v>
      </c>
      <c r="AH843" s="2">
        <v>0</v>
      </c>
      <c r="AI843" s="2">
        <v>0</v>
      </c>
      <c r="AJ843" s="2">
        <v>0</v>
      </c>
      <c r="AK843" s="2">
        <v>0</v>
      </c>
      <c r="AL843" s="2">
        <v>0</v>
      </c>
      <c r="AM843" s="2">
        <v>17.23</v>
      </c>
      <c r="AN843" s="2">
        <v>17.23</v>
      </c>
      <c r="AO843" s="2">
        <v>0</v>
      </c>
      <c r="AP843" s="2">
        <v>0</v>
      </c>
      <c r="AQ843" s="2">
        <v>0</v>
      </c>
    </row>
    <row r="844" spans="1:43" x14ac:dyDescent="0.25">
      <c r="A844" s="1">
        <v>45936</v>
      </c>
      <c r="B844" t="s">
        <v>48</v>
      </c>
      <c r="C844">
        <v>649163</v>
      </c>
      <c r="D844">
        <v>2028683415</v>
      </c>
      <c r="E844" t="s">
        <v>1031</v>
      </c>
      <c r="F844" t="s">
        <v>1031</v>
      </c>
      <c r="G844" t="s">
        <v>51</v>
      </c>
      <c r="H844" t="s">
        <v>101</v>
      </c>
      <c r="I844" t="s">
        <v>292</v>
      </c>
      <c r="J844" t="s">
        <v>293</v>
      </c>
      <c r="K844">
        <v>824076</v>
      </c>
      <c r="L844" t="s">
        <v>1032</v>
      </c>
      <c r="M844" t="s">
        <v>1033</v>
      </c>
      <c r="N844" t="s">
        <v>57</v>
      </c>
      <c r="O844" s="1">
        <v>45778</v>
      </c>
      <c r="Q844" s="1">
        <v>45962</v>
      </c>
      <c r="R844" s="2">
        <v>56.62</v>
      </c>
      <c r="S844">
        <v>1</v>
      </c>
      <c r="T844" t="s">
        <v>58</v>
      </c>
      <c r="U844" t="s">
        <v>359</v>
      </c>
      <c r="V844" s="3">
        <v>0.7</v>
      </c>
      <c r="W844" s="2">
        <v>0</v>
      </c>
      <c r="X844">
        <v>0</v>
      </c>
      <c r="Y844" t="s">
        <v>60</v>
      </c>
      <c r="Z844" t="s">
        <v>360</v>
      </c>
      <c r="AA844">
        <v>0</v>
      </c>
      <c r="AB844" s="2">
        <v>0</v>
      </c>
      <c r="AC844" s="2">
        <v>0</v>
      </c>
      <c r="AD844" s="3">
        <v>0</v>
      </c>
      <c r="AE844" s="2">
        <v>0</v>
      </c>
      <c r="AF844" s="2">
        <v>0</v>
      </c>
      <c r="AG844" s="2">
        <v>0</v>
      </c>
      <c r="AH844" s="2">
        <v>0</v>
      </c>
      <c r="AI844" s="2">
        <v>0</v>
      </c>
      <c r="AJ844" s="2">
        <v>0</v>
      </c>
      <c r="AK844" s="2">
        <v>0</v>
      </c>
      <c r="AL844" s="2">
        <v>0</v>
      </c>
      <c r="AM844" s="2">
        <v>39.630000000000003</v>
      </c>
      <c r="AN844" s="2">
        <v>39.630000000000003</v>
      </c>
      <c r="AO844" s="2">
        <v>0</v>
      </c>
      <c r="AP844" s="2">
        <v>0</v>
      </c>
      <c r="AQ844" s="2">
        <v>0</v>
      </c>
    </row>
    <row r="845" spans="1:43" x14ac:dyDescent="0.25">
      <c r="A845" s="1">
        <v>45936</v>
      </c>
      <c r="B845" t="s">
        <v>48</v>
      </c>
      <c r="C845">
        <v>649163</v>
      </c>
      <c r="D845">
        <v>2028766411</v>
      </c>
      <c r="E845" t="s">
        <v>1034</v>
      </c>
      <c r="F845" t="s">
        <v>1035</v>
      </c>
      <c r="G845" t="s">
        <v>51</v>
      </c>
      <c r="H845" t="s">
        <v>101</v>
      </c>
      <c r="I845" t="s">
        <v>292</v>
      </c>
      <c r="J845" t="s">
        <v>295</v>
      </c>
      <c r="K845">
        <v>807212</v>
      </c>
      <c r="L845" t="s">
        <v>340</v>
      </c>
      <c r="M845" t="s">
        <v>341</v>
      </c>
      <c r="N845" t="s">
        <v>57</v>
      </c>
      <c r="O845" s="1">
        <v>45782</v>
      </c>
      <c r="Q845" s="1">
        <v>45966</v>
      </c>
      <c r="R845" s="2">
        <v>46.58</v>
      </c>
      <c r="S845">
        <v>1</v>
      </c>
      <c r="T845" t="s">
        <v>58</v>
      </c>
      <c r="U845" t="s">
        <v>359</v>
      </c>
      <c r="V845" s="3">
        <v>0.9</v>
      </c>
      <c r="W845" s="2">
        <v>0</v>
      </c>
      <c r="X845">
        <v>0</v>
      </c>
      <c r="Y845" t="s">
        <v>60</v>
      </c>
      <c r="Z845" t="s">
        <v>360</v>
      </c>
      <c r="AA845">
        <v>0</v>
      </c>
      <c r="AB845" s="2">
        <v>0</v>
      </c>
      <c r="AC845" s="2">
        <v>0</v>
      </c>
      <c r="AD845" s="3">
        <v>0</v>
      </c>
      <c r="AE845" s="2">
        <v>0</v>
      </c>
      <c r="AF845" s="2">
        <v>0</v>
      </c>
      <c r="AG845" s="2">
        <v>0</v>
      </c>
      <c r="AH845" s="2">
        <v>0</v>
      </c>
      <c r="AI845" s="2">
        <v>0</v>
      </c>
      <c r="AJ845" s="2">
        <v>0</v>
      </c>
      <c r="AK845" s="2">
        <v>0</v>
      </c>
      <c r="AL845" s="2">
        <v>0</v>
      </c>
      <c r="AM845" s="2">
        <v>41.92</v>
      </c>
      <c r="AN845" s="2">
        <v>41.92</v>
      </c>
      <c r="AO845" s="2">
        <v>0</v>
      </c>
      <c r="AP845" s="2">
        <v>0</v>
      </c>
      <c r="AQ845" s="2">
        <v>0</v>
      </c>
    </row>
    <row r="846" spans="1:43" x14ac:dyDescent="0.25">
      <c r="A846" s="1">
        <v>45936</v>
      </c>
      <c r="B846" t="s">
        <v>48</v>
      </c>
      <c r="C846">
        <v>649163</v>
      </c>
      <c r="D846">
        <v>2028773700</v>
      </c>
      <c r="E846" t="s">
        <v>772</v>
      </c>
      <c r="F846" t="s">
        <v>81</v>
      </c>
      <c r="G846" t="s">
        <v>51</v>
      </c>
      <c r="H846" t="s">
        <v>119</v>
      </c>
      <c r="I846" t="s">
        <v>292</v>
      </c>
      <c r="J846" t="s">
        <v>295</v>
      </c>
      <c r="K846">
        <v>651818</v>
      </c>
      <c r="L846" t="s">
        <v>112</v>
      </c>
      <c r="M846" t="s">
        <v>104</v>
      </c>
      <c r="N846" t="s">
        <v>57</v>
      </c>
      <c r="O846" s="1">
        <v>45815</v>
      </c>
      <c r="Q846" s="1">
        <v>45968</v>
      </c>
      <c r="R846" s="2">
        <v>33.25</v>
      </c>
      <c r="S846">
        <v>1</v>
      </c>
      <c r="T846" t="s">
        <v>58</v>
      </c>
      <c r="U846" t="s">
        <v>359</v>
      </c>
      <c r="V846" s="3">
        <v>0.9</v>
      </c>
      <c r="W846" s="2">
        <v>0</v>
      </c>
      <c r="X846">
        <v>0</v>
      </c>
      <c r="Y846" t="s">
        <v>60</v>
      </c>
      <c r="Z846" t="s">
        <v>360</v>
      </c>
      <c r="AA846">
        <v>0</v>
      </c>
      <c r="AB846" s="2">
        <v>0</v>
      </c>
      <c r="AC846" s="2">
        <v>0</v>
      </c>
      <c r="AD846" s="3">
        <v>0</v>
      </c>
      <c r="AE846" s="2">
        <v>0</v>
      </c>
      <c r="AF846" s="2">
        <v>0</v>
      </c>
      <c r="AG846" s="2">
        <v>0</v>
      </c>
      <c r="AH846" s="2">
        <v>0</v>
      </c>
      <c r="AI846" s="2">
        <v>0</v>
      </c>
      <c r="AJ846" s="2">
        <v>0</v>
      </c>
      <c r="AK846" s="2">
        <v>0</v>
      </c>
      <c r="AL846" s="2">
        <v>29.92</v>
      </c>
      <c r="AM846" s="2">
        <v>0</v>
      </c>
      <c r="AN846" s="2">
        <v>0</v>
      </c>
      <c r="AO846" s="2">
        <v>0</v>
      </c>
      <c r="AP846" s="2">
        <v>0</v>
      </c>
      <c r="AQ846" s="2">
        <v>0</v>
      </c>
    </row>
    <row r="847" spans="1:43" x14ac:dyDescent="0.25">
      <c r="A847" s="1">
        <v>45936</v>
      </c>
      <c r="B847" t="s">
        <v>48</v>
      </c>
      <c r="C847">
        <v>649163</v>
      </c>
      <c r="D847">
        <v>2028777167</v>
      </c>
      <c r="E847" t="s">
        <v>773</v>
      </c>
      <c r="F847" t="s">
        <v>774</v>
      </c>
      <c r="G847" t="s">
        <v>51</v>
      </c>
      <c r="H847" t="s">
        <v>203</v>
      </c>
      <c r="I847" t="s">
        <v>292</v>
      </c>
      <c r="J847" t="s">
        <v>293</v>
      </c>
      <c r="K847">
        <v>816021</v>
      </c>
      <c r="L847" t="s">
        <v>265</v>
      </c>
      <c r="M847" t="s">
        <v>266</v>
      </c>
      <c r="N847" t="s">
        <v>57</v>
      </c>
      <c r="O847" s="1">
        <v>45783</v>
      </c>
      <c r="Q847" s="1">
        <v>45967</v>
      </c>
      <c r="R847" s="2">
        <v>18.2</v>
      </c>
      <c r="S847">
        <v>1</v>
      </c>
      <c r="T847" t="s">
        <v>58</v>
      </c>
      <c r="U847" t="s">
        <v>359</v>
      </c>
      <c r="V847" s="3">
        <v>0.7</v>
      </c>
      <c r="W847" s="2">
        <v>0</v>
      </c>
      <c r="X847">
        <v>0</v>
      </c>
      <c r="Y847" t="s">
        <v>60</v>
      </c>
      <c r="Z847" t="s">
        <v>360</v>
      </c>
      <c r="AA847">
        <v>0</v>
      </c>
      <c r="AB847" s="2">
        <v>0</v>
      </c>
      <c r="AC847" s="2">
        <v>0</v>
      </c>
      <c r="AD847" s="3">
        <v>0</v>
      </c>
      <c r="AE847" s="2">
        <v>0</v>
      </c>
      <c r="AF847" s="2">
        <v>0</v>
      </c>
      <c r="AG847" s="2">
        <v>0</v>
      </c>
      <c r="AH847" s="2">
        <v>0</v>
      </c>
      <c r="AI847" s="2">
        <v>0</v>
      </c>
      <c r="AJ847" s="2">
        <v>0</v>
      </c>
      <c r="AK847" s="2">
        <v>0</v>
      </c>
      <c r="AL847" s="2">
        <v>0</v>
      </c>
      <c r="AM847" s="2">
        <v>12.74</v>
      </c>
      <c r="AN847" s="2">
        <v>12.74</v>
      </c>
      <c r="AO847" s="2">
        <v>0</v>
      </c>
      <c r="AP847" s="2">
        <v>0</v>
      </c>
      <c r="AQ847" s="2">
        <v>0</v>
      </c>
    </row>
    <row r="848" spans="1:43" x14ac:dyDescent="0.25">
      <c r="A848" s="1">
        <v>45936</v>
      </c>
      <c r="B848" t="s">
        <v>48</v>
      </c>
      <c r="C848">
        <v>649163</v>
      </c>
      <c r="D848">
        <v>2028781143</v>
      </c>
      <c r="E848" t="s">
        <v>1036</v>
      </c>
      <c r="F848" t="s">
        <v>1037</v>
      </c>
      <c r="G848" t="s">
        <v>51</v>
      </c>
      <c r="H848" t="s">
        <v>101</v>
      </c>
      <c r="I848" t="s">
        <v>292</v>
      </c>
      <c r="J848" t="s">
        <v>295</v>
      </c>
      <c r="K848">
        <v>807212</v>
      </c>
      <c r="L848" t="s">
        <v>340</v>
      </c>
      <c r="M848" t="s">
        <v>341</v>
      </c>
      <c r="N848" t="s">
        <v>57</v>
      </c>
      <c r="O848" s="1">
        <v>45783</v>
      </c>
      <c r="Q848" s="1">
        <v>45967</v>
      </c>
      <c r="R848" s="2">
        <v>25.29</v>
      </c>
      <c r="S848">
        <v>1</v>
      </c>
      <c r="T848" t="s">
        <v>58</v>
      </c>
      <c r="U848" t="s">
        <v>359</v>
      </c>
      <c r="V848" s="3">
        <v>0.9</v>
      </c>
      <c r="W848" s="2">
        <v>0</v>
      </c>
      <c r="X848">
        <v>0</v>
      </c>
      <c r="Y848" t="s">
        <v>60</v>
      </c>
      <c r="Z848" t="s">
        <v>360</v>
      </c>
      <c r="AA848">
        <v>0</v>
      </c>
      <c r="AB848" s="2">
        <v>0</v>
      </c>
      <c r="AC848" s="2">
        <v>0</v>
      </c>
      <c r="AD848" s="3">
        <v>0</v>
      </c>
      <c r="AE848" s="2">
        <v>0</v>
      </c>
      <c r="AF848" s="2">
        <v>0</v>
      </c>
      <c r="AG848" s="2">
        <v>0</v>
      </c>
      <c r="AH848" s="2">
        <v>0</v>
      </c>
      <c r="AI848" s="2">
        <v>0</v>
      </c>
      <c r="AJ848" s="2">
        <v>0</v>
      </c>
      <c r="AK848" s="2">
        <v>0</v>
      </c>
      <c r="AL848" s="2">
        <v>0</v>
      </c>
      <c r="AM848" s="2">
        <v>22.76</v>
      </c>
      <c r="AN848" s="2">
        <v>22.76</v>
      </c>
      <c r="AO848" s="2">
        <v>0</v>
      </c>
      <c r="AP848" s="2">
        <v>0</v>
      </c>
      <c r="AQ848" s="2">
        <v>0</v>
      </c>
    </row>
    <row r="849" spans="1:43" x14ac:dyDescent="0.25">
      <c r="A849" s="1">
        <v>45936</v>
      </c>
      <c r="B849" t="s">
        <v>48</v>
      </c>
      <c r="C849">
        <v>649163</v>
      </c>
      <c r="D849">
        <v>2028800280</v>
      </c>
      <c r="E849" t="s">
        <v>1038</v>
      </c>
      <c r="F849" t="s">
        <v>721</v>
      </c>
      <c r="G849" t="s">
        <v>51</v>
      </c>
      <c r="H849" t="s">
        <v>101</v>
      </c>
      <c r="I849" t="s">
        <v>292</v>
      </c>
      <c r="J849" t="s">
        <v>293</v>
      </c>
      <c r="K849">
        <v>843573</v>
      </c>
      <c r="L849" t="s">
        <v>1039</v>
      </c>
      <c r="M849" t="s">
        <v>1040</v>
      </c>
      <c r="N849" t="s">
        <v>57</v>
      </c>
      <c r="O849" s="1">
        <v>45785</v>
      </c>
      <c r="Q849" s="1">
        <v>45969</v>
      </c>
      <c r="R849" s="2">
        <v>19</v>
      </c>
      <c r="S849">
        <v>1</v>
      </c>
      <c r="T849" t="s">
        <v>58</v>
      </c>
      <c r="U849" t="s">
        <v>359</v>
      </c>
      <c r="V849" s="3">
        <v>0.7</v>
      </c>
      <c r="W849" s="2">
        <v>0</v>
      </c>
      <c r="X849">
        <v>0</v>
      </c>
      <c r="Y849" t="s">
        <v>60</v>
      </c>
      <c r="Z849" t="s">
        <v>360</v>
      </c>
      <c r="AA849">
        <v>0</v>
      </c>
      <c r="AB849" s="2">
        <v>0</v>
      </c>
      <c r="AC849" s="2">
        <v>0</v>
      </c>
      <c r="AD849" s="3">
        <v>0</v>
      </c>
      <c r="AE849" s="2">
        <v>0</v>
      </c>
      <c r="AF849" s="2">
        <v>0</v>
      </c>
      <c r="AG849" s="2">
        <v>0</v>
      </c>
      <c r="AH849" s="2">
        <v>0</v>
      </c>
      <c r="AI849" s="2">
        <v>0</v>
      </c>
      <c r="AJ849" s="2">
        <v>0</v>
      </c>
      <c r="AK849" s="2">
        <v>0</v>
      </c>
      <c r="AL849" s="2">
        <v>0</v>
      </c>
      <c r="AM849" s="2">
        <v>13.3</v>
      </c>
      <c r="AN849" s="2">
        <v>13.3</v>
      </c>
      <c r="AO849" s="2">
        <v>0</v>
      </c>
      <c r="AP849" s="2">
        <v>0</v>
      </c>
      <c r="AQ849" s="2">
        <v>0</v>
      </c>
    </row>
    <row r="850" spans="1:43" x14ac:dyDescent="0.25">
      <c r="A850" s="1">
        <v>45936</v>
      </c>
      <c r="B850" t="s">
        <v>48</v>
      </c>
      <c r="C850">
        <v>649163</v>
      </c>
      <c r="D850">
        <v>2028803828</v>
      </c>
      <c r="E850" t="s">
        <v>831</v>
      </c>
      <c r="F850" t="s">
        <v>1041</v>
      </c>
      <c r="G850" t="s">
        <v>51</v>
      </c>
      <c r="H850" t="s">
        <v>101</v>
      </c>
      <c r="I850" t="s">
        <v>292</v>
      </c>
      <c r="J850" t="s">
        <v>293</v>
      </c>
      <c r="K850">
        <v>669316</v>
      </c>
      <c r="L850" t="s">
        <v>258</v>
      </c>
      <c r="M850" t="s">
        <v>259</v>
      </c>
      <c r="N850" t="s">
        <v>57</v>
      </c>
      <c r="O850" s="1">
        <v>45809</v>
      </c>
      <c r="Q850" s="1">
        <v>45962</v>
      </c>
      <c r="R850" s="2">
        <v>-66.510000000000005</v>
      </c>
      <c r="S850">
        <v>1</v>
      </c>
      <c r="T850" t="s">
        <v>58</v>
      </c>
      <c r="U850" t="s">
        <v>359</v>
      </c>
      <c r="V850" s="3">
        <v>0.7</v>
      </c>
      <c r="W850" s="2">
        <v>0</v>
      </c>
      <c r="X850">
        <v>-1</v>
      </c>
      <c r="Y850" t="s">
        <v>60</v>
      </c>
      <c r="Z850" t="s">
        <v>360</v>
      </c>
      <c r="AA850">
        <v>0</v>
      </c>
      <c r="AB850" s="2">
        <v>0</v>
      </c>
      <c r="AC850" s="2">
        <v>0</v>
      </c>
      <c r="AD850" s="3">
        <v>0</v>
      </c>
      <c r="AE850" s="2">
        <v>0</v>
      </c>
      <c r="AF850" s="2">
        <v>0</v>
      </c>
      <c r="AG850" s="2">
        <v>0</v>
      </c>
      <c r="AH850" s="2">
        <v>0</v>
      </c>
      <c r="AI850" s="2">
        <v>0</v>
      </c>
      <c r="AJ850" s="2">
        <v>0</v>
      </c>
      <c r="AK850" s="2">
        <v>0</v>
      </c>
      <c r="AL850" s="2">
        <v>0</v>
      </c>
      <c r="AM850" s="2">
        <v>-46.56</v>
      </c>
      <c r="AN850" s="2">
        <v>-46.56</v>
      </c>
      <c r="AO850" s="2">
        <v>0</v>
      </c>
      <c r="AP850" s="2">
        <v>0</v>
      </c>
      <c r="AQ850" s="2">
        <v>0</v>
      </c>
    </row>
    <row r="851" spans="1:43" x14ac:dyDescent="0.25">
      <c r="A851" s="1">
        <v>45936</v>
      </c>
      <c r="B851" t="s">
        <v>48</v>
      </c>
      <c r="C851">
        <v>649163</v>
      </c>
      <c r="D851">
        <v>2028818487</v>
      </c>
      <c r="E851" t="s">
        <v>1042</v>
      </c>
      <c r="F851" t="s">
        <v>532</v>
      </c>
      <c r="G851" t="s">
        <v>51</v>
      </c>
      <c r="H851" t="s">
        <v>101</v>
      </c>
      <c r="I851" t="s">
        <v>292</v>
      </c>
      <c r="J851" t="s">
        <v>293</v>
      </c>
      <c r="K851">
        <v>856163</v>
      </c>
      <c r="L851" t="s">
        <v>66</v>
      </c>
      <c r="M851" t="s">
        <v>156</v>
      </c>
      <c r="N851" t="s">
        <v>57</v>
      </c>
      <c r="O851" s="1">
        <v>45785</v>
      </c>
      <c r="Q851" s="1">
        <v>45969</v>
      </c>
      <c r="R851" s="2">
        <v>24.65</v>
      </c>
      <c r="S851">
        <v>1</v>
      </c>
      <c r="T851" t="s">
        <v>58</v>
      </c>
      <c r="U851" t="s">
        <v>359</v>
      </c>
      <c r="V851" s="3">
        <v>0.7</v>
      </c>
      <c r="W851" s="2">
        <v>0</v>
      </c>
      <c r="X851">
        <v>0</v>
      </c>
      <c r="Y851" t="s">
        <v>60</v>
      </c>
      <c r="Z851" t="s">
        <v>360</v>
      </c>
      <c r="AA851">
        <v>0</v>
      </c>
      <c r="AB851" s="2">
        <v>0</v>
      </c>
      <c r="AC851" s="2">
        <v>0</v>
      </c>
      <c r="AD851" s="3">
        <v>0</v>
      </c>
      <c r="AE851" s="2">
        <v>0</v>
      </c>
      <c r="AF851" s="2">
        <v>0</v>
      </c>
      <c r="AG851" s="2">
        <v>0</v>
      </c>
      <c r="AH851" s="2">
        <v>0</v>
      </c>
      <c r="AI851" s="2">
        <v>0</v>
      </c>
      <c r="AJ851" s="2">
        <v>0</v>
      </c>
      <c r="AK851" s="2">
        <v>0</v>
      </c>
      <c r="AL851" s="2">
        <v>0</v>
      </c>
      <c r="AM851" s="2">
        <v>17.260000000000002</v>
      </c>
      <c r="AN851" s="2">
        <v>17.260000000000002</v>
      </c>
      <c r="AO851" s="2">
        <v>0</v>
      </c>
      <c r="AP851" s="2">
        <v>0</v>
      </c>
      <c r="AQ851" s="2">
        <v>0</v>
      </c>
    </row>
    <row r="852" spans="1:43" x14ac:dyDescent="0.25">
      <c r="A852" s="1">
        <v>45936</v>
      </c>
      <c r="B852" t="s">
        <v>48</v>
      </c>
      <c r="C852">
        <v>649163</v>
      </c>
      <c r="D852">
        <v>2028819908</v>
      </c>
      <c r="E852" t="s">
        <v>417</v>
      </c>
      <c r="F852" t="s">
        <v>418</v>
      </c>
      <c r="G852" t="s">
        <v>51</v>
      </c>
      <c r="H852" t="s">
        <v>70</v>
      </c>
      <c r="I852" t="s">
        <v>292</v>
      </c>
      <c r="J852" t="s">
        <v>536</v>
      </c>
      <c r="K852">
        <v>650218</v>
      </c>
      <c r="L852" t="s">
        <v>237</v>
      </c>
      <c r="M852" t="s">
        <v>238</v>
      </c>
      <c r="N852" t="s">
        <v>57</v>
      </c>
      <c r="O852" s="1">
        <v>45785</v>
      </c>
      <c r="Q852" s="1">
        <v>45969</v>
      </c>
      <c r="R852" s="2">
        <v>25.73</v>
      </c>
      <c r="S852">
        <v>1</v>
      </c>
      <c r="T852" t="s">
        <v>58</v>
      </c>
      <c r="U852" t="s">
        <v>359</v>
      </c>
      <c r="V852" s="3">
        <v>0.7</v>
      </c>
      <c r="W852" s="2">
        <v>0</v>
      </c>
      <c r="X852">
        <v>0</v>
      </c>
      <c r="Y852" t="s">
        <v>60</v>
      </c>
      <c r="Z852" t="s">
        <v>360</v>
      </c>
      <c r="AA852">
        <v>0</v>
      </c>
      <c r="AB852" s="2">
        <v>0</v>
      </c>
      <c r="AC852" s="2">
        <v>0</v>
      </c>
      <c r="AD852" s="3">
        <v>0</v>
      </c>
      <c r="AE852" s="2">
        <v>0</v>
      </c>
      <c r="AF852" s="2">
        <v>0</v>
      </c>
      <c r="AG852" s="2">
        <v>0</v>
      </c>
      <c r="AH852" s="2">
        <v>0</v>
      </c>
      <c r="AI852" s="2">
        <v>0</v>
      </c>
      <c r="AJ852" s="2">
        <v>0</v>
      </c>
      <c r="AK852" s="2">
        <v>0</v>
      </c>
      <c r="AL852" s="2">
        <v>0</v>
      </c>
      <c r="AM852" s="2">
        <v>18.010000000000002</v>
      </c>
      <c r="AN852" s="2">
        <v>18.010000000000002</v>
      </c>
      <c r="AO852" s="2">
        <v>0</v>
      </c>
      <c r="AP852" s="2">
        <v>0</v>
      </c>
      <c r="AQ852" s="2">
        <v>0</v>
      </c>
    </row>
    <row r="853" spans="1:43" x14ac:dyDescent="0.25">
      <c r="A853" s="1">
        <v>45936</v>
      </c>
      <c r="B853" t="s">
        <v>48</v>
      </c>
      <c r="C853">
        <v>649163</v>
      </c>
      <c r="D853">
        <v>2028821221</v>
      </c>
      <c r="E853" t="s">
        <v>1043</v>
      </c>
      <c r="F853" t="s">
        <v>1044</v>
      </c>
      <c r="G853" t="s">
        <v>51</v>
      </c>
      <c r="H853" t="s">
        <v>101</v>
      </c>
      <c r="I853" t="s">
        <v>292</v>
      </c>
      <c r="J853" t="s">
        <v>293</v>
      </c>
      <c r="K853">
        <v>856824</v>
      </c>
      <c r="L853" t="s">
        <v>298</v>
      </c>
      <c r="M853" t="s">
        <v>299</v>
      </c>
      <c r="N853" t="s">
        <v>57</v>
      </c>
      <c r="O853" s="1">
        <v>45809</v>
      </c>
      <c r="Q853" s="1">
        <v>45962</v>
      </c>
      <c r="R853" s="2">
        <v>46.08</v>
      </c>
      <c r="S853">
        <v>1</v>
      </c>
      <c r="T853" t="s">
        <v>58</v>
      </c>
      <c r="U853" t="s">
        <v>359</v>
      </c>
      <c r="V853" s="3">
        <v>0.7</v>
      </c>
      <c r="W853" s="2">
        <v>0</v>
      </c>
      <c r="X853">
        <v>0</v>
      </c>
      <c r="Y853" t="s">
        <v>60</v>
      </c>
      <c r="Z853" t="s">
        <v>360</v>
      </c>
      <c r="AA853">
        <v>0</v>
      </c>
      <c r="AB853" s="2">
        <v>0</v>
      </c>
      <c r="AC853" s="2">
        <v>0</v>
      </c>
      <c r="AD853" s="3">
        <v>0</v>
      </c>
      <c r="AE853" s="2">
        <v>0</v>
      </c>
      <c r="AF853" s="2">
        <v>0</v>
      </c>
      <c r="AG853" s="2">
        <v>0</v>
      </c>
      <c r="AH853" s="2">
        <v>0</v>
      </c>
      <c r="AI853" s="2">
        <v>0</v>
      </c>
      <c r="AJ853" s="2">
        <v>0</v>
      </c>
      <c r="AK853" s="2">
        <v>0</v>
      </c>
      <c r="AL853" s="2">
        <v>0</v>
      </c>
      <c r="AM853" s="2">
        <v>32.26</v>
      </c>
      <c r="AN853" s="2">
        <v>32.26</v>
      </c>
      <c r="AO853" s="2">
        <v>0</v>
      </c>
      <c r="AP853" s="2">
        <v>0</v>
      </c>
      <c r="AQ853" s="2">
        <v>0</v>
      </c>
    </row>
    <row r="854" spans="1:43" x14ac:dyDescent="0.25">
      <c r="A854" s="1">
        <v>45936</v>
      </c>
      <c r="B854" t="s">
        <v>48</v>
      </c>
      <c r="C854">
        <v>649163</v>
      </c>
      <c r="D854">
        <v>2028982416</v>
      </c>
      <c r="E854" t="s">
        <v>1045</v>
      </c>
      <c r="F854" t="s">
        <v>532</v>
      </c>
      <c r="G854" t="s">
        <v>51</v>
      </c>
      <c r="H854" t="s">
        <v>101</v>
      </c>
      <c r="I854" t="s">
        <v>292</v>
      </c>
      <c r="J854" t="s">
        <v>293</v>
      </c>
      <c r="K854">
        <v>651818</v>
      </c>
      <c r="L854" t="s">
        <v>112</v>
      </c>
      <c r="M854" t="s">
        <v>104</v>
      </c>
      <c r="N854" t="s">
        <v>57</v>
      </c>
      <c r="O854" s="1">
        <v>45815</v>
      </c>
      <c r="Q854" s="1">
        <v>45968</v>
      </c>
      <c r="R854" s="2">
        <v>101.38</v>
      </c>
      <c r="S854">
        <v>1</v>
      </c>
      <c r="T854" t="s">
        <v>58</v>
      </c>
      <c r="U854" t="s">
        <v>359</v>
      </c>
      <c r="V854" s="3">
        <v>0.7</v>
      </c>
      <c r="W854" s="2">
        <v>0</v>
      </c>
      <c r="X854">
        <v>0</v>
      </c>
      <c r="Y854" t="s">
        <v>60</v>
      </c>
      <c r="Z854" t="s">
        <v>360</v>
      </c>
      <c r="AA854">
        <v>0</v>
      </c>
      <c r="AB854" s="2">
        <v>0</v>
      </c>
      <c r="AC854" s="2">
        <v>0</v>
      </c>
      <c r="AD854" s="3">
        <v>0</v>
      </c>
      <c r="AE854" s="2">
        <v>0</v>
      </c>
      <c r="AF854" s="2">
        <v>0</v>
      </c>
      <c r="AG854" s="2">
        <v>0</v>
      </c>
      <c r="AH854" s="2">
        <v>0</v>
      </c>
      <c r="AI854" s="2">
        <v>0</v>
      </c>
      <c r="AJ854" s="2">
        <v>0</v>
      </c>
      <c r="AK854" s="2">
        <v>0</v>
      </c>
      <c r="AL854" s="2">
        <v>70.97</v>
      </c>
      <c r="AM854" s="2">
        <v>0</v>
      </c>
      <c r="AN854" s="2">
        <v>0</v>
      </c>
      <c r="AO854" s="2">
        <v>0</v>
      </c>
      <c r="AP854" s="2">
        <v>0</v>
      </c>
      <c r="AQ854" s="2">
        <v>0</v>
      </c>
    </row>
    <row r="855" spans="1:43" x14ac:dyDescent="0.25">
      <c r="A855" s="1">
        <v>45936</v>
      </c>
      <c r="B855" t="s">
        <v>48</v>
      </c>
      <c r="C855">
        <v>649163</v>
      </c>
      <c r="D855">
        <v>2028982417</v>
      </c>
      <c r="E855" t="s">
        <v>1045</v>
      </c>
      <c r="F855" t="s">
        <v>532</v>
      </c>
      <c r="G855" t="s">
        <v>51</v>
      </c>
      <c r="H855" t="s">
        <v>101</v>
      </c>
      <c r="I855" t="s">
        <v>292</v>
      </c>
      <c r="J855" t="s">
        <v>295</v>
      </c>
      <c r="K855">
        <v>651818</v>
      </c>
      <c r="L855" t="s">
        <v>112</v>
      </c>
      <c r="M855" t="s">
        <v>104</v>
      </c>
      <c r="N855" t="s">
        <v>57</v>
      </c>
      <c r="O855" s="1">
        <v>45815</v>
      </c>
      <c r="Q855" s="1">
        <v>45968</v>
      </c>
      <c r="R855" s="2">
        <v>146.88</v>
      </c>
      <c r="S855">
        <v>1</v>
      </c>
      <c r="T855" t="s">
        <v>58</v>
      </c>
      <c r="U855" t="s">
        <v>359</v>
      </c>
      <c r="V855" s="3">
        <v>0.9</v>
      </c>
      <c r="W855" s="2">
        <v>0</v>
      </c>
      <c r="X855">
        <v>0</v>
      </c>
      <c r="Y855" t="s">
        <v>60</v>
      </c>
      <c r="Z855" t="s">
        <v>360</v>
      </c>
      <c r="AA855">
        <v>0</v>
      </c>
      <c r="AB855" s="2">
        <v>0</v>
      </c>
      <c r="AC855" s="2">
        <v>0</v>
      </c>
      <c r="AD855" s="3">
        <v>0</v>
      </c>
      <c r="AE855" s="2">
        <v>0</v>
      </c>
      <c r="AF855" s="2">
        <v>0</v>
      </c>
      <c r="AG855" s="2">
        <v>0</v>
      </c>
      <c r="AH855" s="2">
        <v>0</v>
      </c>
      <c r="AI855" s="2">
        <v>0</v>
      </c>
      <c r="AJ855" s="2">
        <v>0</v>
      </c>
      <c r="AK855" s="2">
        <v>0</v>
      </c>
      <c r="AL855" s="2">
        <v>132.19</v>
      </c>
      <c r="AM855" s="2">
        <v>0</v>
      </c>
      <c r="AN855" s="2">
        <v>0</v>
      </c>
      <c r="AO855" s="2">
        <v>0</v>
      </c>
      <c r="AP855" s="2">
        <v>0</v>
      </c>
      <c r="AQ855" s="2">
        <v>0</v>
      </c>
    </row>
    <row r="856" spans="1:43" x14ac:dyDescent="0.25">
      <c r="A856" s="1">
        <v>45936</v>
      </c>
      <c r="B856" t="s">
        <v>48</v>
      </c>
      <c r="C856">
        <v>649163</v>
      </c>
      <c r="D856">
        <v>2029031423</v>
      </c>
      <c r="E856" t="s">
        <v>778</v>
      </c>
      <c r="F856" t="s">
        <v>779</v>
      </c>
      <c r="G856" t="s">
        <v>51</v>
      </c>
      <c r="H856" t="s">
        <v>129</v>
      </c>
      <c r="I856" t="s">
        <v>292</v>
      </c>
      <c r="J856" t="s">
        <v>293</v>
      </c>
      <c r="K856">
        <v>651818</v>
      </c>
      <c r="L856" t="s">
        <v>112</v>
      </c>
      <c r="M856" t="s">
        <v>104</v>
      </c>
      <c r="N856" t="s">
        <v>57</v>
      </c>
      <c r="O856" s="1">
        <v>45815</v>
      </c>
      <c r="Q856" s="1">
        <v>45968</v>
      </c>
      <c r="R856" s="2">
        <v>103.5</v>
      </c>
      <c r="S856">
        <v>1</v>
      </c>
      <c r="T856" t="s">
        <v>58</v>
      </c>
      <c r="U856" t="s">
        <v>359</v>
      </c>
      <c r="V856" s="3">
        <v>0.7</v>
      </c>
      <c r="W856" s="2">
        <v>0</v>
      </c>
      <c r="X856">
        <v>0</v>
      </c>
      <c r="Y856" t="s">
        <v>60</v>
      </c>
      <c r="Z856" t="s">
        <v>360</v>
      </c>
      <c r="AA856">
        <v>0</v>
      </c>
      <c r="AB856" s="2">
        <v>0</v>
      </c>
      <c r="AC856" s="2">
        <v>0</v>
      </c>
      <c r="AD856" s="3">
        <v>0</v>
      </c>
      <c r="AE856" s="2">
        <v>0</v>
      </c>
      <c r="AF856" s="2">
        <v>0</v>
      </c>
      <c r="AG856" s="2">
        <v>0</v>
      </c>
      <c r="AH856" s="2">
        <v>0</v>
      </c>
      <c r="AI856" s="2">
        <v>0</v>
      </c>
      <c r="AJ856" s="2">
        <v>0</v>
      </c>
      <c r="AK856" s="2">
        <v>0</v>
      </c>
      <c r="AL856" s="2">
        <v>72.45</v>
      </c>
      <c r="AM856" s="2">
        <v>0</v>
      </c>
      <c r="AN856" s="2">
        <v>0</v>
      </c>
      <c r="AO856" s="2">
        <v>0</v>
      </c>
      <c r="AP856" s="2">
        <v>0</v>
      </c>
      <c r="AQ856" s="2">
        <v>0</v>
      </c>
    </row>
    <row r="857" spans="1:43" x14ac:dyDescent="0.25">
      <c r="A857" s="1">
        <v>45936</v>
      </c>
      <c r="B857" t="s">
        <v>48</v>
      </c>
      <c r="C857">
        <v>649163</v>
      </c>
      <c r="D857">
        <v>2029031425</v>
      </c>
      <c r="E857" t="s">
        <v>778</v>
      </c>
      <c r="F857" t="s">
        <v>779</v>
      </c>
      <c r="G857" t="s">
        <v>51</v>
      </c>
      <c r="H857" t="s">
        <v>129</v>
      </c>
      <c r="I857" t="s">
        <v>292</v>
      </c>
      <c r="J857" t="s">
        <v>295</v>
      </c>
      <c r="K857">
        <v>651818</v>
      </c>
      <c r="L857" t="s">
        <v>112</v>
      </c>
      <c r="M857" t="s">
        <v>104</v>
      </c>
      <c r="N857" t="s">
        <v>57</v>
      </c>
      <c r="O857" s="1">
        <v>45815</v>
      </c>
      <c r="Q857" s="1">
        <v>45968</v>
      </c>
      <c r="R857" s="2">
        <v>134.16999999999999</v>
      </c>
      <c r="S857">
        <v>1</v>
      </c>
      <c r="T857" t="s">
        <v>58</v>
      </c>
      <c r="U857" t="s">
        <v>359</v>
      </c>
      <c r="V857" s="3">
        <v>0.9</v>
      </c>
      <c r="W857" s="2">
        <v>0</v>
      </c>
      <c r="X857">
        <v>0</v>
      </c>
      <c r="Y857" t="s">
        <v>60</v>
      </c>
      <c r="Z857" t="s">
        <v>360</v>
      </c>
      <c r="AA857">
        <v>0</v>
      </c>
      <c r="AB857" s="2">
        <v>0</v>
      </c>
      <c r="AC857" s="2">
        <v>0</v>
      </c>
      <c r="AD857" s="3">
        <v>0</v>
      </c>
      <c r="AE857" s="2">
        <v>0</v>
      </c>
      <c r="AF857" s="2">
        <v>0</v>
      </c>
      <c r="AG857" s="2">
        <v>0</v>
      </c>
      <c r="AH857" s="2">
        <v>0</v>
      </c>
      <c r="AI857" s="2">
        <v>0</v>
      </c>
      <c r="AJ857" s="2">
        <v>0</v>
      </c>
      <c r="AK857" s="2">
        <v>0</v>
      </c>
      <c r="AL857" s="2">
        <v>120.75</v>
      </c>
      <c r="AM857" s="2">
        <v>0</v>
      </c>
      <c r="AN857" s="2">
        <v>0</v>
      </c>
      <c r="AO857" s="2">
        <v>0</v>
      </c>
      <c r="AP857" s="2">
        <v>0</v>
      </c>
      <c r="AQ857" s="2">
        <v>0</v>
      </c>
    </row>
    <row r="858" spans="1:43" x14ac:dyDescent="0.25">
      <c r="A858" s="1">
        <v>45936</v>
      </c>
      <c r="B858" t="s">
        <v>48</v>
      </c>
      <c r="C858">
        <v>649163</v>
      </c>
      <c r="D858">
        <v>2029275520</v>
      </c>
      <c r="E858" t="s">
        <v>783</v>
      </c>
      <c r="F858" t="s">
        <v>145</v>
      </c>
      <c r="G858" t="s">
        <v>51</v>
      </c>
      <c r="H858" t="s">
        <v>101</v>
      </c>
      <c r="I858" t="s">
        <v>292</v>
      </c>
      <c r="J858" t="s">
        <v>295</v>
      </c>
      <c r="K858">
        <v>821015</v>
      </c>
      <c r="L858" t="s">
        <v>325</v>
      </c>
      <c r="M858" t="s">
        <v>326</v>
      </c>
      <c r="N858" t="s">
        <v>57</v>
      </c>
      <c r="O858" s="1">
        <v>45815</v>
      </c>
      <c r="Q858" s="1">
        <v>45968</v>
      </c>
      <c r="R858" s="2">
        <v>75.75</v>
      </c>
      <c r="S858">
        <v>1</v>
      </c>
      <c r="T858" t="s">
        <v>58</v>
      </c>
      <c r="U858" t="s">
        <v>359</v>
      </c>
      <c r="V858" s="3">
        <v>0.9</v>
      </c>
      <c r="W858" s="2">
        <v>0</v>
      </c>
      <c r="X858">
        <v>0</v>
      </c>
      <c r="Y858" t="s">
        <v>60</v>
      </c>
      <c r="Z858" t="s">
        <v>360</v>
      </c>
      <c r="AA858">
        <v>0</v>
      </c>
      <c r="AB858" s="2">
        <v>0</v>
      </c>
      <c r="AC858" s="2">
        <v>0</v>
      </c>
      <c r="AD858" s="3">
        <v>0</v>
      </c>
      <c r="AE858" s="2">
        <v>0</v>
      </c>
      <c r="AF858" s="2">
        <v>0</v>
      </c>
      <c r="AG858" s="2">
        <v>0</v>
      </c>
      <c r="AH858" s="2">
        <v>0</v>
      </c>
      <c r="AI858" s="2">
        <v>0</v>
      </c>
      <c r="AJ858" s="2">
        <v>0</v>
      </c>
      <c r="AK858" s="2">
        <v>0</v>
      </c>
      <c r="AL858" s="2">
        <v>68.180000000000007</v>
      </c>
      <c r="AM858" s="2">
        <v>0</v>
      </c>
      <c r="AN858" s="2">
        <v>0</v>
      </c>
      <c r="AO858" s="2">
        <v>0</v>
      </c>
      <c r="AP858" s="2">
        <v>0</v>
      </c>
      <c r="AQ858" s="2">
        <v>0</v>
      </c>
    </row>
    <row r="859" spans="1:43" x14ac:dyDescent="0.25">
      <c r="A859" s="1">
        <v>45936</v>
      </c>
      <c r="B859" t="s">
        <v>48</v>
      </c>
      <c r="C859">
        <v>649163</v>
      </c>
      <c r="D859">
        <v>2029275521</v>
      </c>
      <c r="E859" t="s">
        <v>783</v>
      </c>
      <c r="F859" t="s">
        <v>145</v>
      </c>
      <c r="G859" t="s">
        <v>51</v>
      </c>
      <c r="H859" t="s">
        <v>101</v>
      </c>
      <c r="I859" t="s">
        <v>292</v>
      </c>
      <c r="J859" t="s">
        <v>293</v>
      </c>
      <c r="K859">
        <v>821015</v>
      </c>
      <c r="L859" t="s">
        <v>325</v>
      </c>
      <c r="M859" t="s">
        <v>326</v>
      </c>
      <c r="N859" t="s">
        <v>57</v>
      </c>
      <c r="O859" s="1">
        <v>45815</v>
      </c>
      <c r="Q859" s="1">
        <v>45968</v>
      </c>
      <c r="R859" s="2">
        <v>341.13</v>
      </c>
      <c r="S859">
        <v>1</v>
      </c>
      <c r="T859" t="s">
        <v>58</v>
      </c>
      <c r="U859" t="s">
        <v>359</v>
      </c>
      <c r="V859" s="3">
        <v>0.7</v>
      </c>
      <c r="W859" s="2">
        <v>0</v>
      </c>
      <c r="X859">
        <v>0</v>
      </c>
      <c r="Y859" t="s">
        <v>60</v>
      </c>
      <c r="Z859" t="s">
        <v>360</v>
      </c>
      <c r="AA859">
        <v>0</v>
      </c>
      <c r="AB859" s="2">
        <v>0</v>
      </c>
      <c r="AC859" s="2">
        <v>0</v>
      </c>
      <c r="AD859" s="3">
        <v>0</v>
      </c>
      <c r="AE859" s="2">
        <v>0</v>
      </c>
      <c r="AF859" s="2">
        <v>0</v>
      </c>
      <c r="AG859" s="2">
        <v>0</v>
      </c>
      <c r="AH859" s="2">
        <v>0</v>
      </c>
      <c r="AI859" s="2">
        <v>0</v>
      </c>
      <c r="AJ859" s="2">
        <v>0</v>
      </c>
      <c r="AK859" s="2">
        <v>0</v>
      </c>
      <c r="AL859" s="2">
        <v>238.79</v>
      </c>
      <c r="AM859" s="2">
        <v>0</v>
      </c>
      <c r="AN859" s="2">
        <v>0</v>
      </c>
      <c r="AO859" s="2">
        <v>0</v>
      </c>
      <c r="AP859" s="2">
        <v>0</v>
      </c>
      <c r="AQ859" s="2">
        <v>0</v>
      </c>
    </row>
    <row r="860" spans="1:43" x14ac:dyDescent="0.25">
      <c r="A860" s="1">
        <v>45936</v>
      </c>
      <c r="B860" t="s">
        <v>48</v>
      </c>
      <c r="C860">
        <v>649163</v>
      </c>
      <c r="D860">
        <v>2029276299</v>
      </c>
      <c r="E860" t="s">
        <v>1046</v>
      </c>
      <c r="F860" t="s">
        <v>1047</v>
      </c>
      <c r="G860" t="s">
        <v>51</v>
      </c>
      <c r="H860" t="s">
        <v>101</v>
      </c>
      <c r="I860" t="s">
        <v>292</v>
      </c>
      <c r="J860" t="s">
        <v>295</v>
      </c>
      <c r="K860">
        <v>824062</v>
      </c>
      <c r="L860" t="s">
        <v>273</v>
      </c>
      <c r="M860" t="s">
        <v>274</v>
      </c>
      <c r="N860" t="s">
        <v>57</v>
      </c>
      <c r="O860" s="1">
        <v>45812</v>
      </c>
      <c r="Q860" s="1">
        <v>45965</v>
      </c>
      <c r="R860" s="2">
        <v>44.13</v>
      </c>
      <c r="S860">
        <v>1</v>
      </c>
      <c r="T860" t="s">
        <v>58</v>
      </c>
      <c r="U860" t="s">
        <v>359</v>
      </c>
      <c r="V860" s="3">
        <v>0.9</v>
      </c>
      <c r="W860" s="2">
        <v>0</v>
      </c>
      <c r="X860">
        <v>0</v>
      </c>
      <c r="Y860" t="s">
        <v>60</v>
      </c>
      <c r="Z860" t="s">
        <v>360</v>
      </c>
      <c r="AA860">
        <v>0</v>
      </c>
      <c r="AB860" s="2">
        <v>0</v>
      </c>
      <c r="AC860" s="2">
        <v>0</v>
      </c>
      <c r="AD860" s="3">
        <v>0</v>
      </c>
      <c r="AE860" s="2">
        <v>0</v>
      </c>
      <c r="AF860" s="2">
        <v>0</v>
      </c>
      <c r="AG860" s="2">
        <v>0</v>
      </c>
      <c r="AH860" s="2">
        <v>0</v>
      </c>
      <c r="AI860" s="2">
        <v>0</v>
      </c>
      <c r="AJ860" s="2">
        <v>0</v>
      </c>
      <c r="AK860" s="2">
        <v>0</v>
      </c>
      <c r="AL860" s="2">
        <v>39.72</v>
      </c>
      <c r="AM860" s="2">
        <v>0</v>
      </c>
      <c r="AN860" s="2">
        <v>0</v>
      </c>
      <c r="AO860" s="2">
        <v>0</v>
      </c>
      <c r="AP860" s="2">
        <v>0</v>
      </c>
      <c r="AQ860" s="2">
        <v>0</v>
      </c>
    </row>
    <row r="861" spans="1:43" x14ac:dyDescent="0.25">
      <c r="A861" s="1">
        <v>45936</v>
      </c>
      <c r="B861" t="s">
        <v>48</v>
      </c>
      <c r="C861">
        <v>649163</v>
      </c>
      <c r="D861">
        <v>2029276300</v>
      </c>
      <c r="E861" t="s">
        <v>1046</v>
      </c>
      <c r="F861" t="s">
        <v>1047</v>
      </c>
      <c r="G861" t="s">
        <v>51</v>
      </c>
      <c r="H861" t="s">
        <v>101</v>
      </c>
      <c r="I861" t="s">
        <v>292</v>
      </c>
      <c r="J861" t="s">
        <v>293</v>
      </c>
      <c r="K861">
        <v>824062</v>
      </c>
      <c r="L861" t="s">
        <v>273</v>
      </c>
      <c r="M861" t="s">
        <v>274</v>
      </c>
      <c r="N861" t="s">
        <v>57</v>
      </c>
      <c r="O861" s="1">
        <v>45812</v>
      </c>
      <c r="Q861" s="1">
        <v>45965</v>
      </c>
      <c r="R861" s="2">
        <v>57.35</v>
      </c>
      <c r="S861">
        <v>1</v>
      </c>
      <c r="T861" t="s">
        <v>58</v>
      </c>
      <c r="U861" t="s">
        <v>359</v>
      </c>
      <c r="V861" s="3">
        <v>0.7</v>
      </c>
      <c r="W861" s="2">
        <v>0</v>
      </c>
      <c r="X861">
        <v>0</v>
      </c>
      <c r="Y861" t="s">
        <v>60</v>
      </c>
      <c r="Z861" t="s">
        <v>360</v>
      </c>
      <c r="AA861">
        <v>0</v>
      </c>
      <c r="AB861" s="2">
        <v>0</v>
      </c>
      <c r="AC861" s="2">
        <v>0</v>
      </c>
      <c r="AD861" s="3">
        <v>0</v>
      </c>
      <c r="AE861" s="2">
        <v>0</v>
      </c>
      <c r="AF861" s="2">
        <v>0</v>
      </c>
      <c r="AG861" s="2">
        <v>0</v>
      </c>
      <c r="AH861" s="2">
        <v>0</v>
      </c>
      <c r="AI861" s="2">
        <v>0</v>
      </c>
      <c r="AJ861" s="2">
        <v>0</v>
      </c>
      <c r="AK861" s="2">
        <v>0</v>
      </c>
      <c r="AL861" s="2">
        <v>40.14</v>
      </c>
      <c r="AM861" s="2">
        <v>0</v>
      </c>
      <c r="AN861" s="2">
        <v>0</v>
      </c>
      <c r="AO861" s="2">
        <v>0</v>
      </c>
      <c r="AP861" s="2">
        <v>0</v>
      </c>
      <c r="AQ861" s="2">
        <v>0</v>
      </c>
    </row>
    <row r="862" spans="1:43" x14ac:dyDescent="0.25">
      <c r="A862" s="1">
        <v>45936</v>
      </c>
      <c r="B862" t="s">
        <v>48</v>
      </c>
      <c r="C862">
        <v>649163</v>
      </c>
      <c r="D862">
        <v>2029277784</v>
      </c>
      <c r="E862" t="s">
        <v>1048</v>
      </c>
      <c r="F862" t="s">
        <v>1049</v>
      </c>
      <c r="G862" t="s">
        <v>51</v>
      </c>
      <c r="H862" t="s">
        <v>101</v>
      </c>
      <c r="I862" t="s">
        <v>292</v>
      </c>
      <c r="J862" t="s">
        <v>293</v>
      </c>
      <c r="K862">
        <v>768271</v>
      </c>
      <c r="L862" t="s">
        <v>880</v>
      </c>
      <c r="M862" t="s">
        <v>220</v>
      </c>
      <c r="N862" t="s">
        <v>57</v>
      </c>
      <c r="O862" s="1">
        <v>45839</v>
      </c>
      <c r="Q862" s="1">
        <v>45962</v>
      </c>
      <c r="R862" s="2">
        <v>49.8</v>
      </c>
      <c r="S862">
        <v>1</v>
      </c>
      <c r="T862" t="s">
        <v>58</v>
      </c>
      <c r="U862" t="s">
        <v>359</v>
      </c>
      <c r="V862" s="3">
        <v>0.7</v>
      </c>
      <c r="W862" s="2">
        <v>0</v>
      </c>
      <c r="X862">
        <v>0</v>
      </c>
      <c r="Y862" t="s">
        <v>60</v>
      </c>
      <c r="Z862" t="s">
        <v>360</v>
      </c>
      <c r="AA862">
        <v>0</v>
      </c>
      <c r="AB862" s="2">
        <v>0</v>
      </c>
      <c r="AC862" s="2">
        <v>0</v>
      </c>
      <c r="AD862" s="3">
        <v>0</v>
      </c>
      <c r="AE862" s="2">
        <v>0</v>
      </c>
      <c r="AF862" s="2">
        <v>0</v>
      </c>
      <c r="AG862" s="2">
        <v>0</v>
      </c>
      <c r="AH862" s="2">
        <v>0</v>
      </c>
      <c r="AI862" s="2">
        <v>0</v>
      </c>
      <c r="AJ862" s="2">
        <v>0</v>
      </c>
      <c r="AK862" s="2">
        <v>0</v>
      </c>
      <c r="AL862" s="2">
        <v>34.86</v>
      </c>
      <c r="AM862" s="2">
        <v>0</v>
      </c>
      <c r="AN862" s="2">
        <v>0</v>
      </c>
      <c r="AO862" s="2">
        <v>0</v>
      </c>
      <c r="AP862" s="2">
        <v>0</v>
      </c>
      <c r="AQ862" s="2">
        <v>0</v>
      </c>
    </row>
    <row r="863" spans="1:43" x14ac:dyDescent="0.25">
      <c r="A863" s="1">
        <v>45936</v>
      </c>
      <c r="B863" t="s">
        <v>48</v>
      </c>
      <c r="C863">
        <v>649163</v>
      </c>
      <c r="D863">
        <v>2029283859</v>
      </c>
      <c r="E863" t="s">
        <v>784</v>
      </c>
      <c r="F863" t="s">
        <v>785</v>
      </c>
      <c r="G863" t="s">
        <v>51</v>
      </c>
      <c r="H863" t="s">
        <v>105</v>
      </c>
      <c r="I863" t="s">
        <v>292</v>
      </c>
      <c r="J863" t="s">
        <v>294</v>
      </c>
      <c r="K863">
        <v>823068</v>
      </c>
      <c r="L863" t="s">
        <v>106</v>
      </c>
      <c r="M863" t="s">
        <v>107</v>
      </c>
      <c r="N863" t="s">
        <v>57</v>
      </c>
      <c r="O863" s="1">
        <v>45818</v>
      </c>
      <c r="Q863" s="1">
        <v>45971</v>
      </c>
      <c r="R863" s="2">
        <v>24.61</v>
      </c>
      <c r="S863">
        <v>1</v>
      </c>
      <c r="T863" t="s">
        <v>58</v>
      </c>
      <c r="U863" t="s">
        <v>359</v>
      </c>
      <c r="V863" s="3">
        <v>0.7</v>
      </c>
      <c r="W863" s="2">
        <v>0</v>
      </c>
      <c r="X863">
        <v>0</v>
      </c>
      <c r="Y863" t="s">
        <v>60</v>
      </c>
      <c r="Z863" t="s">
        <v>360</v>
      </c>
      <c r="AA863">
        <v>0</v>
      </c>
      <c r="AB863" s="2">
        <v>0</v>
      </c>
      <c r="AC863" s="2">
        <v>0</v>
      </c>
      <c r="AD863" s="3">
        <v>0</v>
      </c>
      <c r="AE863" s="2">
        <v>0</v>
      </c>
      <c r="AF863" s="2">
        <v>0</v>
      </c>
      <c r="AG863" s="2">
        <v>0</v>
      </c>
      <c r="AH863" s="2">
        <v>0</v>
      </c>
      <c r="AI863" s="2">
        <v>0</v>
      </c>
      <c r="AJ863" s="2">
        <v>0</v>
      </c>
      <c r="AK863" s="2">
        <v>0</v>
      </c>
      <c r="AL863" s="2">
        <v>17.23</v>
      </c>
      <c r="AM863" s="2">
        <v>0</v>
      </c>
      <c r="AN863" s="2">
        <v>0</v>
      </c>
      <c r="AO863" s="2">
        <v>0</v>
      </c>
      <c r="AP863" s="2">
        <v>0</v>
      </c>
      <c r="AQ863" s="2">
        <v>0</v>
      </c>
    </row>
    <row r="864" spans="1:43" x14ac:dyDescent="0.25">
      <c r="A864" s="1">
        <v>45936</v>
      </c>
      <c r="B864" t="s">
        <v>48</v>
      </c>
      <c r="C864">
        <v>649163</v>
      </c>
      <c r="D864">
        <v>2029313140</v>
      </c>
      <c r="E864" t="s">
        <v>1050</v>
      </c>
      <c r="F864" t="s">
        <v>161</v>
      </c>
      <c r="G864" t="s">
        <v>51</v>
      </c>
      <c r="H864" t="s">
        <v>101</v>
      </c>
      <c r="I864" t="s">
        <v>292</v>
      </c>
      <c r="J864" t="s">
        <v>293</v>
      </c>
      <c r="K864">
        <v>813184</v>
      </c>
      <c r="L864" t="s">
        <v>408</v>
      </c>
      <c r="M864" t="s">
        <v>410</v>
      </c>
      <c r="N864" t="s">
        <v>57</v>
      </c>
      <c r="O864" s="1">
        <v>45814</v>
      </c>
      <c r="Q864" s="1">
        <v>45967</v>
      </c>
      <c r="R864" s="2">
        <v>80.16</v>
      </c>
      <c r="S864">
        <v>1</v>
      </c>
      <c r="T864" t="s">
        <v>58</v>
      </c>
      <c r="U864" t="s">
        <v>359</v>
      </c>
      <c r="V864" s="3">
        <v>0.7</v>
      </c>
      <c r="W864" s="2">
        <v>0</v>
      </c>
      <c r="X864">
        <v>0</v>
      </c>
      <c r="Y864" t="s">
        <v>60</v>
      </c>
      <c r="Z864" t="s">
        <v>360</v>
      </c>
      <c r="AA864">
        <v>0</v>
      </c>
      <c r="AB864" s="2">
        <v>0</v>
      </c>
      <c r="AC864" s="2">
        <v>0</v>
      </c>
      <c r="AD864" s="3">
        <v>0</v>
      </c>
      <c r="AE864" s="2">
        <v>0</v>
      </c>
      <c r="AF864" s="2">
        <v>0</v>
      </c>
      <c r="AG864" s="2">
        <v>0</v>
      </c>
      <c r="AH864" s="2">
        <v>0</v>
      </c>
      <c r="AI864" s="2">
        <v>0</v>
      </c>
      <c r="AJ864" s="2">
        <v>0</v>
      </c>
      <c r="AK864" s="2">
        <v>0</v>
      </c>
      <c r="AL864" s="2">
        <v>56.11</v>
      </c>
      <c r="AM864" s="2">
        <v>0</v>
      </c>
      <c r="AN864" s="2">
        <v>0</v>
      </c>
      <c r="AO864" s="2">
        <v>0</v>
      </c>
      <c r="AP864" s="2">
        <v>0</v>
      </c>
      <c r="AQ864" s="2">
        <v>0</v>
      </c>
    </row>
    <row r="865" spans="1:43" x14ac:dyDescent="0.25">
      <c r="A865" s="1">
        <v>45936</v>
      </c>
      <c r="B865" t="s">
        <v>48</v>
      </c>
      <c r="C865">
        <v>649163</v>
      </c>
      <c r="D865">
        <v>2029319950</v>
      </c>
      <c r="E865" t="s">
        <v>1051</v>
      </c>
      <c r="F865" t="s">
        <v>1052</v>
      </c>
      <c r="G865" t="s">
        <v>51</v>
      </c>
      <c r="H865" t="s">
        <v>101</v>
      </c>
      <c r="I865" t="s">
        <v>292</v>
      </c>
      <c r="J865" t="s">
        <v>293</v>
      </c>
      <c r="K865">
        <v>807212</v>
      </c>
      <c r="L865" t="s">
        <v>340</v>
      </c>
      <c r="M865" t="s">
        <v>341</v>
      </c>
      <c r="N865" t="s">
        <v>57</v>
      </c>
      <c r="O865" s="1">
        <v>45814</v>
      </c>
      <c r="Q865" s="1">
        <v>45967</v>
      </c>
      <c r="R865" s="2">
        <v>37.18</v>
      </c>
      <c r="S865">
        <v>1</v>
      </c>
      <c r="T865" t="s">
        <v>58</v>
      </c>
      <c r="U865" t="s">
        <v>359</v>
      </c>
      <c r="V865" s="3">
        <v>0.7</v>
      </c>
      <c r="W865" s="2">
        <v>0</v>
      </c>
      <c r="X865">
        <v>0</v>
      </c>
      <c r="Y865" t="s">
        <v>60</v>
      </c>
      <c r="Z865" t="s">
        <v>360</v>
      </c>
      <c r="AA865">
        <v>0</v>
      </c>
      <c r="AB865" s="2">
        <v>0</v>
      </c>
      <c r="AC865" s="2">
        <v>0</v>
      </c>
      <c r="AD865" s="3">
        <v>0</v>
      </c>
      <c r="AE865" s="2">
        <v>0</v>
      </c>
      <c r="AF865" s="2">
        <v>0</v>
      </c>
      <c r="AG865" s="2">
        <v>0</v>
      </c>
      <c r="AH865" s="2">
        <v>0</v>
      </c>
      <c r="AI865" s="2">
        <v>0</v>
      </c>
      <c r="AJ865" s="2">
        <v>0</v>
      </c>
      <c r="AK865" s="2">
        <v>0</v>
      </c>
      <c r="AL865" s="2">
        <v>26.03</v>
      </c>
      <c r="AM865" s="2">
        <v>0</v>
      </c>
      <c r="AN865" s="2">
        <v>0</v>
      </c>
      <c r="AO865" s="2">
        <v>0</v>
      </c>
      <c r="AP865" s="2">
        <v>0</v>
      </c>
      <c r="AQ865" s="2">
        <v>0</v>
      </c>
    </row>
    <row r="866" spans="1:43" x14ac:dyDescent="0.25">
      <c r="A866" s="1">
        <v>45936</v>
      </c>
      <c r="B866" t="s">
        <v>48</v>
      </c>
      <c r="C866">
        <v>649163</v>
      </c>
      <c r="D866">
        <v>2029331330</v>
      </c>
      <c r="E866" t="s">
        <v>1053</v>
      </c>
      <c r="F866" t="s">
        <v>1054</v>
      </c>
      <c r="G866" t="s">
        <v>51</v>
      </c>
      <c r="H866" t="s">
        <v>101</v>
      </c>
      <c r="I866" t="s">
        <v>292</v>
      </c>
      <c r="J866" t="s">
        <v>293</v>
      </c>
      <c r="K866">
        <v>812656</v>
      </c>
      <c r="L866" t="s">
        <v>509</v>
      </c>
      <c r="M866" t="s">
        <v>476</v>
      </c>
      <c r="N866" t="s">
        <v>57</v>
      </c>
      <c r="O866" s="1">
        <v>45815</v>
      </c>
      <c r="Q866" s="1">
        <v>45968</v>
      </c>
      <c r="R866" s="2">
        <v>100.21</v>
      </c>
      <c r="S866">
        <v>1</v>
      </c>
      <c r="T866" t="s">
        <v>58</v>
      </c>
      <c r="U866" t="s">
        <v>359</v>
      </c>
      <c r="V866" s="3">
        <v>0.7</v>
      </c>
      <c r="W866" s="2">
        <v>0</v>
      </c>
      <c r="X866">
        <v>0</v>
      </c>
      <c r="Y866" t="s">
        <v>60</v>
      </c>
      <c r="Z866" t="s">
        <v>360</v>
      </c>
      <c r="AA866">
        <v>0</v>
      </c>
      <c r="AB866" s="2">
        <v>0</v>
      </c>
      <c r="AC866" s="2">
        <v>0</v>
      </c>
      <c r="AD866" s="3">
        <v>0</v>
      </c>
      <c r="AE866" s="2">
        <v>0</v>
      </c>
      <c r="AF866" s="2">
        <v>0</v>
      </c>
      <c r="AG866" s="2">
        <v>0</v>
      </c>
      <c r="AH866" s="2">
        <v>0</v>
      </c>
      <c r="AI866" s="2">
        <v>0</v>
      </c>
      <c r="AJ866" s="2">
        <v>0</v>
      </c>
      <c r="AK866" s="2">
        <v>0</v>
      </c>
      <c r="AL866" s="2">
        <v>70.150000000000006</v>
      </c>
      <c r="AM866" s="2">
        <v>0</v>
      </c>
      <c r="AN866" s="2">
        <v>0</v>
      </c>
      <c r="AO866" s="2">
        <v>0</v>
      </c>
      <c r="AP866" s="2">
        <v>0</v>
      </c>
      <c r="AQ866" s="2">
        <v>0</v>
      </c>
    </row>
    <row r="867" spans="1:43" x14ac:dyDescent="0.25">
      <c r="A867" s="1">
        <v>45936</v>
      </c>
      <c r="B867" t="s">
        <v>48</v>
      </c>
      <c r="C867">
        <v>649163</v>
      </c>
      <c r="D867">
        <v>2029335781</v>
      </c>
      <c r="E867" t="s">
        <v>421</v>
      </c>
      <c r="F867" t="s">
        <v>98</v>
      </c>
      <c r="G867" t="s">
        <v>51</v>
      </c>
      <c r="H867" t="s">
        <v>101</v>
      </c>
      <c r="I867" t="s">
        <v>292</v>
      </c>
      <c r="J867" t="s">
        <v>293</v>
      </c>
      <c r="K867">
        <v>824062</v>
      </c>
      <c r="L867" t="s">
        <v>273</v>
      </c>
      <c r="M867" t="s">
        <v>274</v>
      </c>
      <c r="N867" t="s">
        <v>57</v>
      </c>
      <c r="O867" s="1">
        <v>45815</v>
      </c>
      <c r="Q867" s="1">
        <v>45968</v>
      </c>
      <c r="R867" s="2">
        <v>11.5</v>
      </c>
      <c r="S867">
        <v>1</v>
      </c>
      <c r="T867" t="s">
        <v>58</v>
      </c>
      <c r="U867" t="s">
        <v>359</v>
      </c>
      <c r="V867" s="3">
        <v>0.7</v>
      </c>
      <c r="W867" s="2">
        <v>0</v>
      </c>
      <c r="X867">
        <v>0</v>
      </c>
      <c r="Y867" t="s">
        <v>60</v>
      </c>
      <c r="Z867" t="s">
        <v>360</v>
      </c>
      <c r="AA867">
        <v>0</v>
      </c>
      <c r="AB867" s="2">
        <v>0</v>
      </c>
      <c r="AC867" s="2">
        <v>0</v>
      </c>
      <c r="AD867" s="3">
        <v>0</v>
      </c>
      <c r="AE867" s="2">
        <v>0</v>
      </c>
      <c r="AF867" s="2">
        <v>0</v>
      </c>
      <c r="AG867" s="2">
        <v>0</v>
      </c>
      <c r="AH867" s="2">
        <v>0</v>
      </c>
      <c r="AI867" s="2">
        <v>0</v>
      </c>
      <c r="AJ867" s="2">
        <v>0</v>
      </c>
      <c r="AK867" s="2">
        <v>0</v>
      </c>
      <c r="AL867" s="2">
        <v>8.0500000000000007</v>
      </c>
      <c r="AM867" s="2">
        <v>0</v>
      </c>
      <c r="AN867" s="2">
        <v>0</v>
      </c>
      <c r="AO867" s="2">
        <v>0</v>
      </c>
      <c r="AP867" s="2">
        <v>0</v>
      </c>
      <c r="AQ867" s="2">
        <v>0</v>
      </c>
    </row>
    <row r="868" spans="1:43" x14ac:dyDescent="0.25">
      <c r="A868" s="1">
        <v>45936</v>
      </c>
      <c r="B868" t="s">
        <v>48</v>
      </c>
      <c r="C868">
        <v>649163</v>
      </c>
      <c r="D868">
        <v>2029378241</v>
      </c>
      <c r="E868" t="s">
        <v>1055</v>
      </c>
      <c r="F868" t="s">
        <v>1056</v>
      </c>
      <c r="G868" t="s">
        <v>51</v>
      </c>
      <c r="H868" t="s">
        <v>323</v>
      </c>
      <c r="I868" t="s">
        <v>292</v>
      </c>
      <c r="J868" t="s">
        <v>293</v>
      </c>
      <c r="K868">
        <v>812656</v>
      </c>
      <c r="L868" t="s">
        <v>509</v>
      </c>
      <c r="M868" t="s">
        <v>476</v>
      </c>
      <c r="N868" t="s">
        <v>57</v>
      </c>
      <c r="O868" s="1">
        <v>45818</v>
      </c>
      <c r="Q868" s="1">
        <v>45971</v>
      </c>
      <c r="R868" s="2">
        <v>42.15</v>
      </c>
      <c r="S868">
        <v>1</v>
      </c>
      <c r="T868" t="s">
        <v>58</v>
      </c>
      <c r="U868" t="s">
        <v>359</v>
      </c>
      <c r="V868" s="3">
        <v>0.7</v>
      </c>
      <c r="W868" s="2">
        <v>0</v>
      </c>
      <c r="X868">
        <v>0</v>
      </c>
      <c r="Y868" t="s">
        <v>60</v>
      </c>
      <c r="Z868" t="s">
        <v>360</v>
      </c>
      <c r="AA868">
        <v>0</v>
      </c>
      <c r="AB868" s="2">
        <v>0</v>
      </c>
      <c r="AC868" s="2">
        <v>0</v>
      </c>
      <c r="AD868" s="3">
        <v>0</v>
      </c>
      <c r="AE868" s="2">
        <v>0</v>
      </c>
      <c r="AF868" s="2">
        <v>0</v>
      </c>
      <c r="AG868" s="2">
        <v>0</v>
      </c>
      <c r="AH868" s="2">
        <v>0</v>
      </c>
      <c r="AI868" s="2">
        <v>0</v>
      </c>
      <c r="AJ868" s="2">
        <v>0</v>
      </c>
      <c r="AK868" s="2">
        <v>0</v>
      </c>
      <c r="AL868" s="2">
        <v>29.5</v>
      </c>
      <c r="AM868" s="2">
        <v>0</v>
      </c>
      <c r="AN868" s="2">
        <v>0</v>
      </c>
      <c r="AO868" s="2">
        <v>0</v>
      </c>
      <c r="AP868" s="2">
        <v>0</v>
      </c>
      <c r="AQ868" s="2">
        <v>0</v>
      </c>
    </row>
    <row r="869" spans="1:43" x14ac:dyDescent="0.25">
      <c r="A869" s="1">
        <v>45936</v>
      </c>
      <c r="B869" t="s">
        <v>48</v>
      </c>
      <c r="C869">
        <v>649163</v>
      </c>
      <c r="D869">
        <v>2029407291</v>
      </c>
      <c r="E869" t="s">
        <v>541</v>
      </c>
      <c r="F869" t="s">
        <v>402</v>
      </c>
      <c r="G869" t="s">
        <v>51</v>
      </c>
      <c r="H869" t="s">
        <v>262</v>
      </c>
      <c r="I869" t="s">
        <v>292</v>
      </c>
      <c r="J869" t="s">
        <v>295</v>
      </c>
      <c r="K869">
        <v>651818</v>
      </c>
      <c r="L869" t="s">
        <v>112</v>
      </c>
      <c r="M869" t="s">
        <v>104</v>
      </c>
      <c r="N869" t="s">
        <v>57</v>
      </c>
      <c r="O869" s="1">
        <v>45845</v>
      </c>
      <c r="Q869" s="1">
        <v>45968</v>
      </c>
      <c r="R869" s="2">
        <v>41.88</v>
      </c>
      <c r="S869">
        <v>1</v>
      </c>
      <c r="T869" t="s">
        <v>58</v>
      </c>
      <c r="U869" t="s">
        <v>359</v>
      </c>
      <c r="V869" s="3">
        <v>0.9</v>
      </c>
      <c r="W869" s="2">
        <v>0</v>
      </c>
      <c r="X869">
        <v>0</v>
      </c>
      <c r="Y869" t="s">
        <v>60</v>
      </c>
      <c r="Z869" t="s">
        <v>360</v>
      </c>
      <c r="AA869">
        <v>0</v>
      </c>
      <c r="AB869" s="2">
        <v>0</v>
      </c>
      <c r="AC869" s="2">
        <v>0</v>
      </c>
      <c r="AD869" s="3">
        <v>0</v>
      </c>
      <c r="AE869" s="2">
        <v>0</v>
      </c>
      <c r="AF869" s="2">
        <v>0</v>
      </c>
      <c r="AG869" s="2">
        <v>0</v>
      </c>
      <c r="AH869" s="2">
        <v>0</v>
      </c>
      <c r="AI869" s="2">
        <v>0</v>
      </c>
      <c r="AJ869" s="2">
        <v>0</v>
      </c>
      <c r="AK869" s="2">
        <v>0</v>
      </c>
      <c r="AL869" s="2">
        <v>37.69</v>
      </c>
      <c r="AM869" s="2">
        <v>0</v>
      </c>
      <c r="AN869" s="2">
        <v>0</v>
      </c>
      <c r="AO869" s="2">
        <v>0</v>
      </c>
      <c r="AP869" s="2">
        <v>0</v>
      </c>
      <c r="AQ869" s="2">
        <v>0</v>
      </c>
    </row>
    <row r="870" spans="1:43" x14ac:dyDescent="0.25">
      <c r="A870" s="1">
        <v>45936</v>
      </c>
      <c r="B870" t="s">
        <v>48</v>
      </c>
      <c r="C870">
        <v>649163</v>
      </c>
      <c r="D870">
        <v>2029501869</v>
      </c>
      <c r="E870" t="s">
        <v>1057</v>
      </c>
      <c r="F870" t="s">
        <v>1058</v>
      </c>
      <c r="G870" t="s">
        <v>51</v>
      </c>
      <c r="H870" t="s">
        <v>52</v>
      </c>
      <c r="I870" t="s">
        <v>292</v>
      </c>
      <c r="J870" t="s">
        <v>293</v>
      </c>
      <c r="K870">
        <v>856824</v>
      </c>
      <c r="L870" t="s">
        <v>298</v>
      </c>
      <c r="M870" t="s">
        <v>299</v>
      </c>
      <c r="N870" t="s">
        <v>57</v>
      </c>
      <c r="O870" s="1">
        <v>45839</v>
      </c>
      <c r="Q870" s="1">
        <v>45962</v>
      </c>
      <c r="R870" s="2">
        <v>113.36</v>
      </c>
      <c r="S870">
        <v>1</v>
      </c>
      <c r="T870" t="s">
        <v>58</v>
      </c>
      <c r="U870" t="s">
        <v>359</v>
      </c>
      <c r="V870" s="3">
        <v>0.7</v>
      </c>
      <c r="W870" s="2">
        <v>0</v>
      </c>
      <c r="X870">
        <v>0</v>
      </c>
      <c r="Y870" t="s">
        <v>60</v>
      </c>
      <c r="Z870" t="s">
        <v>360</v>
      </c>
      <c r="AA870">
        <v>0</v>
      </c>
      <c r="AB870" s="2">
        <v>0</v>
      </c>
      <c r="AC870" s="2">
        <v>0</v>
      </c>
      <c r="AD870" s="3">
        <v>0</v>
      </c>
      <c r="AE870" s="2">
        <v>0</v>
      </c>
      <c r="AF870" s="2">
        <v>0</v>
      </c>
      <c r="AG870" s="2">
        <v>0</v>
      </c>
      <c r="AH870" s="2">
        <v>0</v>
      </c>
      <c r="AI870" s="2">
        <v>0</v>
      </c>
      <c r="AJ870" s="2">
        <v>0</v>
      </c>
      <c r="AK870" s="2">
        <v>0</v>
      </c>
      <c r="AL870" s="2">
        <v>79.349999999999994</v>
      </c>
      <c r="AM870" s="2">
        <v>0</v>
      </c>
      <c r="AN870" s="2">
        <v>0</v>
      </c>
      <c r="AO870" s="2">
        <v>0</v>
      </c>
      <c r="AP870" s="2">
        <v>0</v>
      </c>
      <c r="AQ870" s="2">
        <v>0</v>
      </c>
    </row>
    <row r="871" spans="1:43" x14ac:dyDescent="0.25">
      <c r="A871" s="1">
        <v>45936</v>
      </c>
      <c r="B871" t="s">
        <v>48</v>
      </c>
      <c r="C871">
        <v>649163</v>
      </c>
      <c r="D871">
        <v>2029526294</v>
      </c>
      <c r="E871" t="s">
        <v>1059</v>
      </c>
      <c r="F871" t="s">
        <v>1060</v>
      </c>
      <c r="G871" t="s">
        <v>51</v>
      </c>
      <c r="H871" t="s">
        <v>101</v>
      </c>
      <c r="I871" t="s">
        <v>292</v>
      </c>
      <c r="J871" t="s">
        <v>293</v>
      </c>
      <c r="K871">
        <v>812994</v>
      </c>
      <c r="L871" t="s">
        <v>428</v>
      </c>
      <c r="M871" t="s">
        <v>309</v>
      </c>
      <c r="N871" t="s">
        <v>57</v>
      </c>
      <c r="O871" s="1">
        <v>45839</v>
      </c>
      <c r="Q871" s="1">
        <v>45962</v>
      </c>
      <c r="R871" s="2">
        <v>-60.8</v>
      </c>
      <c r="S871">
        <v>1</v>
      </c>
      <c r="T871" t="s">
        <v>58</v>
      </c>
      <c r="U871" t="s">
        <v>359</v>
      </c>
      <c r="V871" s="3">
        <v>0.7</v>
      </c>
      <c r="W871" s="2">
        <v>0</v>
      </c>
      <c r="X871">
        <v>-1</v>
      </c>
      <c r="Y871" t="s">
        <v>60</v>
      </c>
      <c r="Z871" t="s">
        <v>360</v>
      </c>
      <c r="AA871">
        <v>0</v>
      </c>
      <c r="AB871" s="2">
        <v>0</v>
      </c>
      <c r="AC871" s="2">
        <v>0</v>
      </c>
      <c r="AD871" s="3">
        <v>0</v>
      </c>
      <c r="AE871" s="2">
        <v>0</v>
      </c>
      <c r="AF871" s="2">
        <v>0</v>
      </c>
      <c r="AG871" s="2">
        <v>0</v>
      </c>
      <c r="AH871" s="2">
        <v>0</v>
      </c>
      <c r="AI871" s="2">
        <v>0</v>
      </c>
      <c r="AJ871" s="2">
        <v>0</v>
      </c>
      <c r="AK871" s="2">
        <v>0</v>
      </c>
      <c r="AL871" s="2">
        <v>0</v>
      </c>
      <c r="AM871" s="2">
        <v>-42.56</v>
      </c>
      <c r="AN871" s="2">
        <v>-42.56</v>
      </c>
      <c r="AO871" s="2">
        <v>0</v>
      </c>
      <c r="AP871" s="2">
        <v>0</v>
      </c>
      <c r="AQ871" s="2">
        <v>0</v>
      </c>
    </row>
    <row r="872" spans="1:43" x14ac:dyDescent="0.25">
      <c r="A872" s="1">
        <v>45936</v>
      </c>
      <c r="B872" t="s">
        <v>48</v>
      </c>
      <c r="C872">
        <v>649163</v>
      </c>
      <c r="D872">
        <v>2029531080</v>
      </c>
      <c r="E872" t="s">
        <v>789</v>
      </c>
      <c r="F872" t="s">
        <v>790</v>
      </c>
      <c r="G872" t="s">
        <v>51</v>
      </c>
      <c r="H872" t="s">
        <v>182</v>
      </c>
      <c r="I872" t="s">
        <v>292</v>
      </c>
      <c r="J872" t="s">
        <v>293</v>
      </c>
      <c r="K872">
        <v>673059</v>
      </c>
      <c r="L872" t="s">
        <v>80</v>
      </c>
      <c r="M872" t="s">
        <v>81</v>
      </c>
      <c r="N872" t="s">
        <v>57</v>
      </c>
      <c r="O872" s="1">
        <v>45847</v>
      </c>
      <c r="Q872" s="1">
        <v>45970</v>
      </c>
      <c r="R872" s="2">
        <v>120.5</v>
      </c>
      <c r="S872">
        <v>1</v>
      </c>
      <c r="T872" t="s">
        <v>58</v>
      </c>
      <c r="U872" t="s">
        <v>359</v>
      </c>
      <c r="V872" s="3">
        <v>0.7</v>
      </c>
      <c r="W872" s="2">
        <v>0</v>
      </c>
      <c r="X872">
        <v>0</v>
      </c>
      <c r="Y872" t="s">
        <v>60</v>
      </c>
      <c r="Z872" t="s">
        <v>360</v>
      </c>
      <c r="AA872">
        <v>0</v>
      </c>
      <c r="AB872" s="2">
        <v>0</v>
      </c>
      <c r="AC872" s="2">
        <v>0</v>
      </c>
      <c r="AD872" s="3">
        <v>0</v>
      </c>
      <c r="AE872" s="2">
        <v>0</v>
      </c>
      <c r="AF872" s="2">
        <v>0</v>
      </c>
      <c r="AG872" s="2">
        <v>0</v>
      </c>
      <c r="AH872" s="2">
        <v>0</v>
      </c>
      <c r="AI872" s="2">
        <v>0</v>
      </c>
      <c r="AJ872" s="2">
        <v>0</v>
      </c>
      <c r="AK872" s="2">
        <v>0</v>
      </c>
      <c r="AL872" s="2">
        <v>84.35</v>
      </c>
      <c r="AM872" s="2">
        <v>0</v>
      </c>
      <c r="AN872" s="2">
        <v>0</v>
      </c>
      <c r="AO872" s="2">
        <v>0</v>
      </c>
      <c r="AP872" s="2">
        <v>0</v>
      </c>
      <c r="AQ872" s="2">
        <v>0</v>
      </c>
    </row>
    <row r="873" spans="1:43" x14ac:dyDescent="0.25">
      <c r="A873" s="1">
        <v>45936</v>
      </c>
      <c r="B873" t="s">
        <v>48</v>
      </c>
      <c r="C873">
        <v>649163</v>
      </c>
      <c r="D873">
        <v>2029609656</v>
      </c>
      <c r="E873" t="s">
        <v>72</v>
      </c>
      <c r="F873" t="s">
        <v>791</v>
      </c>
      <c r="G873" t="s">
        <v>51</v>
      </c>
      <c r="H873" t="s">
        <v>52</v>
      </c>
      <c r="I873" t="s">
        <v>292</v>
      </c>
      <c r="J873" t="s">
        <v>295</v>
      </c>
      <c r="K873">
        <v>651818</v>
      </c>
      <c r="L873" t="s">
        <v>112</v>
      </c>
      <c r="M873" t="s">
        <v>104</v>
      </c>
      <c r="N873" t="s">
        <v>57</v>
      </c>
      <c r="O873" s="1">
        <v>45845</v>
      </c>
      <c r="Q873" s="1">
        <v>45968</v>
      </c>
      <c r="R873" s="2">
        <v>35.85</v>
      </c>
      <c r="S873">
        <v>1</v>
      </c>
      <c r="T873" t="s">
        <v>58</v>
      </c>
      <c r="U873" t="s">
        <v>359</v>
      </c>
      <c r="V873" s="3">
        <v>0.9</v>
      </c>
      <c r="W873" s="2">
        <v>0</v>
      </c>
      <c r="X873">
        <v>0</v>
      </c>
      <c r="Y873" t="s">
        <v>60</v>
      </c>
      <c r="Z873" t="s">
        <v>360</v>
      </c>
      <c r="AA873">
        <v>0</v>
      </c>
      <c r="AB873" s="2">
        <v>0</v>
      </c>
      <c r="AC873" s="2">
        <v>0</v>
      </c>
      <c r="AD873" s="3">
        <v>0</v>
      </c>
      <c r="AE873" s="2">
        <v>0</v>
      </c>
      <c r="AF873" s="2">
        <v>0</v>
      </c>
      <c r="AG873" s="2">
        <v>0</v>
      </c>
      <c r="AH873" s="2">
        <v>0</v>
      </c>
      <c r="AI873" s="2">
        <v>0</v>
      </c>
      <c r="AJ873" s="2">
        <v>0</v>
      </c>
      <c r="AK873" s="2">
        <v>0</v>
      </c>
      <c r="AL873" s="2">
        <v>32.26</v>
      </c>
      <c r="AM873" s="2">
        <v>0</v>
      </c>
      <c r="AN873" s="2">
        <v>0</v>
      </c>
      <c r="AO873" s="2">
        <v>0</v>
      </c>
      <c r="AP873" s="2">
        <v>0</v>
      </c>
      <c r="AQ873" s="2">
        <v>0</v>
      </c>
    </row>
    <row r="874" spans="1:43" x14ac:dyDescent="0.25">
      <c r="A874" s="1">
        <v>45936</v>
      </c>
      <c r="B874" t="s">
        <v>48</v>
      </c>
      <c r="C874">
        <v>649163</v>
      </c>
      <c r="D874">
        <v>2029658015</v>
      </c>
      <c r="E874" t="s">
        <v>220</v>
      </c>
      <c r="F874" t="s">
        <v>831</v>
      </c>
      <c r="G874" t="s">
        <v>51</v>
      </c>
      <c r="H874" t="s">
        <v>88</v>
      </c>
      <c r="I874" t="s">
        <v>292</v>
      </c>
      <c r="J874" t="s">
        <v>293</v>
      </c>
      <c r="K874">
        <v>812782</v>
      </c>
      <c r="L874" t="s">
        <v>91</v>
      </c>
      <c r="M874" t="s">
        <v>92</v>
      </c>
      <c r="N874" t="s">
        <v>57</v>
      </c>
      <c r="O874" s="1">
        <v>45845</v>
      </c>
      <c r="Q874" s="1">
        <v>45968</v>
      </c>
      <c r="R874" s="2">
        <v>22.72</v>
      </c>
      <c r="S874">
        <v>1</v>
      </c>
      <c r="T874" t="s">
        <v>58</v>
      </c>
      <c r="U874" t="s">
        <v>359</v>
      </c>
      <c r="V874" s="3">
        <v>0.7</v>
      </c>
      <c r="W874" s="2">
        <v>0</v>
      </c>
      <c r="X874">
        <v>0</v>
      </c>
      <c r="Y874" t="s">
        <v>60</v>
      </c>
      <c r="Z874" t="s">
        <v>360</v>
      </c>
      <c r="AA874">
        <v>0</v>
      </c>
      <c r="AB874" s="2">
        <v>0</v>
      </c>
      <c r="AC874" s="2">
        <v>0</v>
      </c>
      <c r="AD874" s="3">
        <v>0</v>
      </c>
      <c r="AE874" s="2">
        <v>0</v>
      </c>
      <c r="AF874" s="2">
        <v>0</v>
      </c>
      <c r="AG874" s="2">
        <v>0</v>
      </c>
      <c r="AH874" s="2">
        <v>0</v>
      </c>
      <c r="AI874" s="2">
        <v>0</v>
      </c>
      <c r="AJ874" s="2">
        <v>0</v>
      </c>
      <c r="AK874" s="2">
        <v>0</v>
      </c>
      <c r="AL874" s="2">
        <v>15.9</v>
      </c>
      <c r="AM874" s="2">
        <v>0</v>
      </c>
      <c r="AN874" s="2">
        <v>0</v>
      </c>
      <c r="AO874" s="2">
        <v>0</v>
      </c>
      <c r="AP874" s="2">
        <v>0</v>
      </c>
      <c r="AQ874" s="2">
        <v>0</v>
      </c>
    </row>
    <row r="875" spans="1:43" x14ac:dyDescent="0.25">
      <c r="A875" s="1">
        <v>45936</v>
      </c>
      <c r="B875" t="s">
        <v>48</v>
      </c>
      <c r="C875">
        <v>649163</v>
      </c>
      <c r="D875">
        <v>2029668179</v>
      </c>
      <c r="E875" t="s">
        <v>234</v>
      </c>
      <c r="F875" t="s">
        <v>1061</v>
      </c>
      <c r="G875" t="s">
        <v>51</v>
      </c>
      <c r="H875" t="s">
        <v>88</v>
      </c>
      <c r="I875" t="s">
        <v>292</v>
      </c>
      <c r="J875" t="s">
        <v>293</v>
      </c>
      <c r="K875">
        <v>767312</v>
      </c>
      <c r="L875" t="s">
        <v>283</v>
      </c>
      <c r="M875" t="s">
        <v>284</v>
      </c>
      <c r="N875" t="s">
        <v>456</v>
      </c>
      <c r="O875" s="1">
        <v>45835</v>
      </c>
      <c r="P875" s="1">
        <v>45936</v>
      </c>
      <c r="Q875" s="1">
        <v>45957</v>
      </c>
      <c r="R875" s="2">
        <v>-42.42</v>
      </c>
      <c r="S875">
        <v>1</v>
      </c>
      <c r="T875" t="s">
        <v>58</v>
      </c>
      <c r="U875" t="s">
        <v>359</v>
      </c>
      <c r="V875" s="3">
        <v>0.7</v>
      </c>
      <c r="W875" s="2">
        <v>0</v>
      </c>
      <c r="X875">
        <v>-1</v>
      </c>
      <c r="Y875" t="s">
        <v>60</v>
      </c>
      <c r="Z875" t="s">
        <v>360</v>
      </c>
      <c r="AA875">
        <v>0</v>
      </c>
      <c r="AB875" s="2">
        <v>0</v>
      </c>
      <c r="AC875" s="2">
        <v>0</v>
      </c>
      <c r="AD875" s="3">
        <v>0</v>
      </c>
      <c r="AE875" s="2">
        <v>0</v>
      </c>
      <c r="AF875" s="2">
        <v>0</v>
      </c>
      <c r="AG875" s="2">
        <v>0</v>
      </c>
      <c r="AH875" s="2">
        <v>0</v>
      </c>
      <c r="AI875" s="2">
        <v>0</v>
      </c>
      <c r="AJ875" s="2">
        <v>0</v>
      </c>
      <c r="AK875" s="2">
        <v>0</v>
      </c>
      <c r="AL875" s="2">
        <v>0</v>
      </c>
      <c r="AM875" s="2">
        <v>-29.69</v>
      </c>
      <c r="AN875" s="2">
        <v>-29.69</v>
      </c>
      <c r="AO875" s="2">
        <v>0</v>
      </c>
      <c r="AP875" s="2">
        <v>0</v>
      </c>
      <c r="AQ875" s="2">
        <v>0</v>
      </c>
    </row>
    <row r="876" spans="1:43" x14ac:dyDescent="0.25">
      <c r="A876" s="1">
        <v>45936</v>
      </c>
      <c r="B876" t="s">
        <v>48</v>
      </c>
      <c r="C876">
        <v>649163</v>
      </c>
      <c r="D876">
        <v>2029738921</v>
      </c>
      <c r="E876" t="s">
        <v>422</v>
      </c>
      <c r="F876" t="s">
        <v>423</v>
      </c>
      <c r="G876" t="s">
        <v>51</v>
      </c>
      <c r="H876" t="s">
        <v>79</v>
      </c>
      <c r="I876" t="s">
        <v>292</v>
      </c>
      <c r="J876" t="s">
        <v>293</v>
      </c>
      <c r="K876">
        <v>673059</v>
      </c>
      <c r="L876" t="s">
        <v>80</v>
      </c>
      <c r="M876" t="s">
        <v>81</v>
      </c>
      <c r="N876" t="s">
        <v>57</v>
      </c>
      <c r="O876" s="1">
        <v>45846</v>
      </c>
      <c r="Q876" s="1">
        <v>45969</v>
      </c>
      <c r="R876" s="2">
        <v>69.88</v>
      </c>
      <c r="S876">
        <v>1</v>
      </c>
      <c r="T876" t="s">
        <v>58</v>
      </c>
      <c r="U876" t="s">
        <v>359</v>
      </c>
      <c r="V876" s="3">
        <v>0.7</v>
      </c>
      <c r="W876" s="2">
        <v>0</v>
      </c>
      <c r="X876">
        <v>0</v>
      </c>
      <c r="Y876" t="s">
        <v>60</v>
      </c>
      <c r="Z876" t="s">
        <v>360</v>
      </c>
      <c r="AA876">
        <v>0</v>
      </c>
      <c r="AB876" s="2">
        <v>0</v>
      </c>
      <c r="AC876" s="2">
        <v>0</v>
      </c>
      <c r="AD876" s="3">
        <v>0</v>
      </c>
      <c r="AE876" s="2">
        <v>0</v>
      </c>
      <c r="AF876" s="2">
        <v>0</v>
      </c>
      <c r="AG876" s="2">
        <v>0</v>
      </c>
      <c r="AH876" s="2">
        <v>0</v>
      </c>
      <c r="AI876" s="2">
        <v>0</v>
      </c>
      <c r="AJ876" s="2">
        <v>0</v>
      </c>
      <c r="AK876" s="2">
        <v>0</v>
      </c>
      <c r="AL876" s="2">
        <v>48.92</v>
      </c>
      <c r="AM876" s="2">
        <v>0</v>
      </c>
      <c r="AN876" s="2">
        <v>0</v>
      </c>
      <c r="AO876" s="2">
        <v>0</v>
      </c>
      <c r="AP876" s="2">
        <v>0</v>
      </c>
      <c r="AQ876" s="2">
        <v>0</v>
      </c>
    </row>
    <row r="877" spans="1:43" x14ac:dyDescent="0.25">
      <c r="A877" s="1">
        <v>45936</v>
      </c>
      <c r="B877" t="s">
        <v>48</v>
      </c>
      <c r="C877">
        <v>649163</v>
      </c>
      <c r="D877">
        <v>2029752466</v>
      </c>
      <c r="E877" t="s">
        <v>1062</v>
      </c>
      <c r="F877" t="s">
        <v>1063</v>
      </c>
      <c r="G877" t="s">
        <v>51</v>
      </c>
      <c r="H877" t="s">
        <v>88</v>
      </c>
      <c r="I877" t="s">
        <v>292</v>
      </c>
      <c r="J877" t="s">
        <v>293</v>
      </c>
      <c r="K877">
        <v>767312</v>
      </c>
      <c r="L877" t="s">
        <v>283</v>
      </c>
      <c r="M877" t="s">
        <v>284</v>
      </c>
      <c r="N877" t="s">
        <v>57</v>
      </c>
      <c r="O877" s="1">
        <v>45840</v>
      </c>
      <c r="Q877" s="1">
        <v>45993</v>
      </c>
      <c r="R877" s="2">
        <v>18.46</v>
      </c>
      <c r="S877">
        <v>1</v>
      </c>
      <c r="T877" t="s">
        <v>58</v>
      </c>
      <c r="U877" t="s">
        <v>359</v>
      </c>
      <c r="V877" s="3">
        <v>0.7</v>
      </c>
      <c r="W877" s="2">
        <v>0</v>
      </c>
      <c r="X877">
        <v>0</v>
      </c>
      <c r="Y877" t="s">
        <v>60</v>
      </c>
      <c r="Z877" t="s">
        <v>360</v>
      </c>
      <c r="AA877">
        <v>0</v>
      </c>
      <c r="AB877" s="2">
        <v>0</v>
      </c>
      <c r="AC877" s="2">
        <v>0</v>
      </c>
      <c r="AD877" s="3">
        <v>0</v>
      </c>
      <c r="AE877" s="2">
        <v>0</v>
      </c>
      <c r="AF877" s="2">
        <v>0</v>
      </c>
      <c r="AG877" s="2">
        <v>0</v>
      </c>
      <c r="AH877" s="2">
        <v>0</v>
      </c>
      <c r="AI877" s="2">
        <v>0</v>
      </c>
      <c r="AJ877" s="2">
        <v>0</v>
      </c>
      <c r="AK877" s="2">
        <v>0</v>
      </c>
      <c r="AL877" s="2">
        <v>12.92</v>
      </c>
      <c r="AM877" s="2">
        <v>0</v>
      </c>
      <c r="AN877" s="2">
        <v>0</v>
      </c>
      <c r="AO877" s="2">
        <v>0</v>
      </c>
      <c r="AP877" s="2">
        <v>0</v>
      </c>
      <c r="AQ877" s="2">
        <v>0</v>
      </c>
    </row>
    <row r="878" spans="1:43" x14ac:dyDescent="0.25">
      <c r="A878" s="1">
        <v>45936</v>
      </c>
      <c r="B878" t="s">
        <v>48</v>
      </c>
      <c r="C878">
        <v>649163</v>
      </c>
      <c r="D878">
        <v>2029752466</v>
      </c>
      <c r="E878" t="s">
        <v>1062</v>
      </c>
      <c r="F878" t="s">
        <v>1063</v>
      </c>
      <c r="G878" t="s">
        <v>51</v>
      </c>
      <c r="H878" t="s">
        <v>88</v>
      </c>
      <c r="I878" t="s">
        <v>292</v>
      </c>
      <c r="J878" t="s">
        <v>293</v>
      </c>
      <c r="K878">
        <v>767312</v>
      </c>
      <c r="L878" t="s">
        <v>283</v>
      </c>
      <c r="M878" t="s">
        <v>284</v>
      </c>
      <c r="N878" t="s">
        <v>57</v>
      </c>
      <c r="O878" s="1">
        <v>45840</v>
      </c>
      <c r="Q878" s="1">
        <v>45993</v>
      </c>
      <c r="R878" s="2">
        <v>18.46</v>
      </c>
      <c r="S878">
        <v>1</v>
      </c>
      <c r="T878" t="s">
        <v>58</v>
      </c>
      <c r="U878" t="s">
        <v>359</v>
      </c>
      <c r="V878" s="3">
        <v>0.7</v>
      </c>
      <c r="W878" s="2">
        <v>0</v>
      </c>
      <c r="X878">
        <v>0</v>
      </c>
      <c r="Y878" t="s">
        <v>60</v>
      </c>
      <c r="Z878" t="s">
        <v>360</v>
      </c>
      <c r="AA878">
        <v>0</v>
      </c>
      <c r="AB878" s="2">
        <v>0</v>
      </c>
      <c r="AC878" s="2">
        <v>0</v>
      </c>
      <c r="AD878" s="3">
        <v>0</v>
      </c>
      <c r="AE878" s="2">
        <v>0</v>
      </c>
      <c r="AF878" s="2">
        <v>0</v>
      </c>
      <c r="AG878" s="2">
        <v>0</v>
      </c>
      <c r="AH878" s="2">
        <v>0</v>
      </c>
      <c r="AI878" s="2">
        <v>0</v>
      </c>
      <c r="AJ878" s="2">
        <v>0</v>
      </c>
      <c r="AK878" s="2">
        <v>0</v>
      </c>
      <c r="AL878" s="2">
        <v>12.92</v>
      </c>
      <c r="AM878" s="2">
        <v>0</v>
      </c>
      <c r="AN878" s="2">
        <v>0</v>
      </c>
      <c r="AO878" s="2">
        <v>0</v>
      </c>
      <c r="AP878" s="2">
        <v>0</v>
      </c>
      <c r="AQ878" s="2">
        <v>0</v>
      </c>
    </row>
    <row r="879" spans="1:43" x14ac:dyDescent="0.25">
      <c r="A879" s="1">
        <v>45936</v>
      </c>
      <c r="B879" t="s">
        <v>48</v>
      </c>
      <c r="C879">
        <v>649163</v>
      </c>
      <c r="D879">
        <v>2029838334</v>
      </c>
      <c r="E879" t="s">
        <v>434</v>
      </c>
      <c r="F879" t="s">
        <v>435</v>
      </c>
      <c r="G879" t="s">
        <v>51</v>
      </c>
      <c r="H879" t="s">
        <v>101</v>
      </c>
      <c r="I879" t="s">
        <v>292</v>
      </c>
      <c r="J879" t="s">
        <v>293</v>
      </c>
      <c r="K879">
        <v>840313</v>
      </c>
      <c r="L879" t="s">
        <v>436</v>
      </c>
      <c r="M879" t="s">
        <v>437</v>
      </c>
      <c r="N879" t="s">
        <v>57</v>
      </c>
      <c r="O879" s="1">
        <v>45846</v>
      </c>
      <c r="Q879" s="1">
        <v>45969</v>
      </c>
      <c r="R879" s="2">
        <v>56.5</v>
      </c>
      <c r="S879">
        <v>1</v>
      </c>
      <c r="T879" t="s">
        <v>58</v>
      </c>
      <c r="U879" t="s">
        <v>359</v>
      </c>
      <c r="V879" s="3">
        <v>0.7</v>
      </c>
      <c r="W879" s="2">
        <v>0</v>
      </c>
      <c r="X879">
        <v>0</v>
      </c>
      <c r="Y879" t="s">
        <v>60</v>
      </c>
      <c r="Z879" t="s">
        <v>360</v>
      </c>
      <c r="AA879">
        <v>0</v>
      </c>
      <c r="AB879" s="2">
        <v>0</v>
      </c>
      <c r="AC879" s="2">
        <v>0</v>
      </c>
      <c r="AD879" s="3">
        <v>0</v>
      </c>
      <c r="AE879" s="2">
        <v>0</v>
      </c>
      <c r="AF879" s="2">
        <v>0</v>
      </c>
      <c r="AG879" s="2">
        <v>0</v>
      </c>
      <c r="AH879" s="2">
        <v>0</v>
      </c>
      <c r="AI879" s="2">
        <v>0</v>
      </c>
      <c r="AJ879" s="2">
        <v>0</v>
      </c>
      <c r="AK879" s="2">
        <v>0</v>
      </c>
      <c r="AL879" s="2">
        <v>39.549999999999997</v>
      </c>
      <c r="AM879" s="2">
        <v>0</v>
      </c>
      <c r="AN879" s="2">
        <v>0</v>
      </c>
      <c r="AO879" s="2">
        <v>0</v>
      </c>
      <c r="AP879" s="2">
        <v>0</v>
      </c>
      <c r="AQ879" s="2">
        <v>0</v>
      </c>
    </row>
    <row r="880" spans="1:43" x14ac:dyDescent="0.25">
      <c r="A880" s="1">
        <v>45936</v>
      </c>
      <c r="B880" t="s">
        <v>48</v>
      </c>
      <c r="C880">
        <v>649163</v>
      </c>
      <c r="D880">
        <v>2029841553</v>
      </c>
      <c r="E880" t="s">
        <v>1064</v>
      </c>
      <c r="F880" t="s">
        <v>1065</v>
      </c>
      <c r="G880" t="s">
        <v>51</v>
      </c>
      <c r="H880" t="s">
        <v>52</v>
      </c>
      <c r="I880" t="s">
        <v>292</v>
      </c>
      <c r="J880" t="s">
        <v>293</v>
      </c>
      <c r="K880">
        <v>812656</v>
      </c>
      <c r="L880" t="s">
        <v>509</v>
      </c>
      <c r="M880" t="s">
        <v>476</v>
      </c>
      <c r="N880" t="s">
        <v>57</v>
      </c>
      <c r="O880" s="1">
        <v>45846</v>
      </c>
      <c r="Q880" s="1">
        <v>45969</v>
      </c>
      <c r="R880" s="2">
        <v>89.52</v>
      </c>
      <c r="S880">
        <v>1</v>
      </c>
      <c r="T880" t="s">
        <v>58</v>
      </c>
      <c r="U880" t="s">
        <v>359</v>
      </c>
      <c r="V880" s="3">
        <v>0.7</v>
      </c>
      <c r="W880" s="2">
        <v>0</v>
      </c>
      <c r="X880">
        <v>0</v>
      </c>
      <c r="Y880" t="s">
        <v>60</v>
      </c>
      <c r="Z880" t="s">
        <v>360</v>
      </c>
      <c r="AA880">
        <v>0</v>
      </c>
      <c r="AB880" s="2">
        <v>0</v>
      </c>
      <c r="AC880" s="2">
        <v>0</v>
      </c>
      <c r="AD880" s="3">
        <v>0</v>
      </c>
      <c r="AE880" s="2">
        <v>0</v>
      </c>
      <c r="AF880" s="2">
        <v>0</v>
      </c>
      <c r="AG880" s="2">
        <v>0</v>
      </c>
      <c r="AH880" s="2">
        <v>0</v>
      </c>
      <c r="AI880" s="2">
        <v>0</v>
      </c>
      <c r="AJ880" s="2">
        <v>0</v>
      </c>
      <c r="AK880" s="2">
        <v>0</v>
      </c>
      <c r="AL880" s="2">
        <v>62.66</v>
      </c>
      <c r="AM880" s="2">
        <v>0</v>
      </c>
      <c r="AN880" s="2">
        <v>0</v>
      </c>
      <c r="AO880" s="2">
        <v>0</v>
      </c>
      <c r="AP880" s="2">
        <v>0</v>
      </c>
      <c r="AQ880" s="2">
        <v>0</v>
      </c>
    </row>
    <row r="881" spans="1:43" x14ac:dyDescent="0.25">
      <c r="A881" s="1">
        <v>45936</v>
      </c>
      <c r="B881" t="s">
        <v>48</v>
      </c>
      <c r="C881">
        <v>649163</v>
      </c>
      <c r="D881">
        <v>2029842748</v>
      </c>
      <c r="E881" t="s">
        <v>896</v>
      </c>
      <c r="F881" t="s">
        <v>897</v>
      </c>
      <c r="G881" t="s">
        <v>51</v>
      </c>
      <c r="H881" t="s">
        <v>119</v>
      </c>
      <c r="I881" t="s">
        <v>292</v>
      </c>
      <c r="J881" t="s">
        <v>293</v>
      </c>
      <c r="K881">
        <v>651818</v>
      </c>
      <c r="L881" t="s">
        <v>112</v>
      </c>
      <c r="M881" t="s">
        <v>104</v>
      </c>
      <c r="N881" t="s">
        <v>57</v>
      </c>
      <c r="O881" s="1">
        <v>45876</v>
      </c>
      <c r="Q881" s="1">
        <v>45968</v>
      </c>
      <c r="R881" s="2">
        <v>51</v>
      </c>
      <c r="S881">
        <v>1</v>
      </c>
      <c r="T881" t="s">
        <v>58</v>
      </c>
      <c r="U881" t="s">
        <v>359</v>
      </c>
      <c r="V881" s="3">
        <v>0.7</v>
      </c>
      <c r="W881" s="2">
        <v>0</v>
      </c>
      <c r="X881">
        <v>0</v>
      </c>
      <c r="Y881" t="s">
        <v>60</v>
      </c>
      <c r="Z881" t="s">
        <v>360</v>
      </c>
      <c r="AA881">
        <v>0</v>
      </c>
      <c r="AB881" s="2">
        <v>0</v>
      </c>
      <c r="AC881" s="2">
        <v>0</v>
      </c>
      <c r="AD881" s="3">
        <v>0</v>
      </c>
      <c r="AE881" s="2">
        <v>0</v>
      </c>
      <c r="AF881" s="2">
        <v>0</v>
      </c>
      <c r="AG881" s="2">
        <v>0</v>
      </c>
      <c r="AH881" s="2">
        <v>0</v>
      </c>
      <c r="AI881" s="2">
        <v>0</v>
      </c>
      <c r="AJ881" s="2">
        <v>0</v>
      </c>
      <c r="AK881" s="2">
        <v>0</v>
      </c>
      <c r="AL881" s="2">
        <v>35.700000000000003</v>
      </c>
      <c r="AM881" s="2">
        <v>0</v>
      </c>
      <c r="AN881" s="2">
        <v>0</v>
      </c>
      <c r="AO881" s="2">
        <v>0</v>
      </c>
      <c r="AP881" s="2">
        <v>0</v>
      </c>
      <c r="AQ881" s="2">
        <v>0</v>
      </c>
    </row>
    <row r="882" spans="1:43" x14ac:dyDescent="0.25">
      <c r="A882" s="1">
        <v>45936</v>
      </c>
      <c r="B882" t="s">
        <v>48</v>
      </c>
      <c r="C882">
        <v>649163</v>
      </c>
      <c r="D882">
        <v>2029851936</v>
      </c>
      <c r="E882" t="s">
        <v>1066</v>
      </c>
      <c r="F882" t="s">
        <v>1067</v>
      </c>
      <c r="G882" t="s">
        <v>51</v>
      </c>
      <c r="H882" t="s">
        <v>203</v>
      </c>
      <c r="I882" t="s">
        <v>292</v>
      </c>
      <c r="J882" t="s">
        <v>293</v>
      </c>
      <c r="K882">
        <v>824082</v>
      </c>
      <c r="L882" t="s">
        <v>406</v>
      </c>
      <c r="M882" t="s">
        <v>407</v>
      </c>
      <c r="N882" t="s">
        <v>57</v>
      </c>
      <c r="O882" s="1">
        <v>45847</v>
      </c>
      <c r="Q882" s="1">
        <v>45970</v>
      </c>
      <c r="R882" s="2">
        <v>11.69</v>
      </c>
      <c r="S882">
        <v>1</v>
      </c>
      <c r="T882" t="s">
        <v>58</v>
      </c>
      <c r="U882" t="s">
        <v>359</v>
      </c>
      <c r="V882" s="3">
        <v>0.7</v>
      </c>
      <c r="W882" s="2">
        <v>0</v>
      </c>
      <c r="X882">
        <v>0</v>
      </c>
      <c r="Y882" t="s">
        <v>60</v>
      </c>
      <c r="Z882" t="s">
        <v>360</v>
      </c>
      <c r="AA882">
        <v>0</v>
      </c>
      <c r="AB882" s="2">
        <v>0</v>
      </c>
      <c r="AC882" s="2">
        <v>0</v>
      </c>
      <c r="AD882" s="3">
        <v>0</v>
      </c>
      <c r="AE882" s="2">
        <v>0</v>
      </c>
      <c r="AF882" s="2">
        <v>0</v>
      </c>
      <c r="AG882" s="2">
        <v>0</v>
      </c>
      <c r="AH882" s="2">
        <v>0</v>
      </c>
      <c r="AI882" s="2">
        <v>0</v>
      </c>
      <c r="AJ882" s="2">
        <v>0</v>
      </c>
      <c r="AK882" s="2">
        <v>0</v>
      </c>
      <c r="AL882" s="2">
        <v>8.18</v>
      </c>
      <c r="AM882" s="2">
        <v>0</v>
      </c>
      <c r="AN882" s="2">
        <v>0</v>
      </c>
      <c r="AO882" s="2">
        <v>0</v>
      </c>
      <c r="AP882" s="2">
        <v>0</v>
      </c>
      <c r="AQ882" s="2">
        <v>0</v>
      </c>
    </row>
    <row r="883" spans="1:43" x14ac:dyDescent="0.25">
      <c r="A883" s="1">
        <v>45936</v>
      </c>
      <c r="B883" t="s">
        <v>48</v>
      </c>
      <c r="C883">
        <v>649163</v>
      </c>
      <c r="D883">
        <v>2029866852</v>
      </c>
      <c r="E883" t="s">
        <v>898</v>
      </c>
      <c r="F883" t="s">
        <v>899</v>
      </c>
      <c r="G883" t="s">
        <v>51</v>
      </c>
      <c r="H883" t="s">
        <v>79</v>
      </c>
      <c r="I883" t="s">
        <v>292</v>
      </c>
      <c r="J883" t="s">
        <v>293</v>
      </c>
      <c r="K883">
        <v>673059</v>
      </c>
      <c r="L883" t="s">
        <v>80</v>
      </c>
      <c r="M883" t="s">
        <v>81</v>
      </c>
      <c r="N883" t="s">
        <v>57</v>
      </c>
      <c r="O883" s="1">
        <v>45848</v>
      </c>
      <c r="Q883" s="1">
        <v>45971</v>
      </c>
      <c r="R883" s="2">
        <v>144.69999999999999</v>
      </c>
      <c r="S883">
        <v>1</v>
      </c>
      <c r="T883" t="s">
        <v>58</v>
      </c>
      <c r="U883" t="s">
        <v>359</v>
      </c>
      <c r="V883" s="3">
        <v>0.7</v>
      </c>
      <c r="W883" s="2">
        <v>0</v>
      </c>
      <c r="X883">
        <v>0</v>
      </c>
      <c r="Y883" t="s">
        <v>60</v>
      </c>
      <c r="Z883" t="s">
        <v>360</v>
      </c>
      <c r="AA883">
        <v>0</v>
      </c>
      <c r="AB883" s="2">
        <v>0</v>
      </c>
      <c r="AC883" s="2">
        <v>0</v>
      </c>
      <c r="AD883" s="3">
        <v>0</v>
      </c>
      <c r="AE883" s="2">
        <v>0</v>
      </c>
      <c r="AF883" s="2">
        <v>0</v>
      </c>
      <c r="AG883" s="2">
        <v>0</v>
      </c>
      <c r="AH883" s="2">
        <v>0</v>
      </c>
      <c r="AI883" s="2">
        <v>0</v>
      </c>
      <c r="AJ883" s="2">
        <v>0</v>
      </c>
      <c r="AK883" s="2">
        <v>0</v>
      </c>
      <c r="AL883" s="2">
        <v>101.29</v>
      </c>
      <c r="AM883" s="2">
        <v>0</v>
      </c>
      <c r="AN883" s="2">
        <v>0</v>
      </c>
      <c r="AO883" s="2">
        <v>0</v>
      </c>
      <c r="AP883" s="2">
        <v>0</v>
      </c>
      <c r="AQ883" s="2">
        <v>0</v>
      </c>
    </row>
    <row r="884" spans="1:43" x14ac:dyDescent="0.25">
      <c r="A884" s="1">
        <v>45936</v>
      </c>
      <c r="B884" t="s">
        <v>48</v>
      </c>
      <c r="C884">
        <v>649163</v>
      </c>
      <c r="D884">
        <v>2029872568</v>
      </c>
      <c r="E884" t="s">
        <v>1068</v>
      </c>
      <c r="F884" t="s">
        <v>1018</v>
      </c>
      <c r="G884" t="s">
        <v>51</v>
      </c>
      <c r="H884" t="s">
        <v>101</v>
      </c>
      <c r="I884" t="s">
        <v>292</v>
      </c>
      <c r="J884" t="s">
        <v>293</v>
      </c>
      <c r="K884">
        <v>812994</v>
      </c>
      <c r="L884" t="s">
        <v>428</v>
      </c>
      <c r="M884" t="s">
        <v>309</v>
      </c>
      <c r="N884" t="s">
        <v>57</v>
      </c>
      <c r="O884" s="1">
        <v>45848</v>
      </c>
      <c r="Q884" s="1">
        <v>45971</v>
      </c>
      <c r="R884" s="2">
        <v>30</v>
      </c>
      <c r="S884">
        <v>1</v>
      </c>
      <c r="T884" t="s">
        <v>58</v>
      </c>
      <c r="U884" t="s">
        <v>359</v>
      </c>
      <c r="V884" s="3">
        <v>0.7</v>
      </c>
      <c r="W884" s="2">
        <v>0</v>
      </c>
      <c r="X884">
        <v>0</v>
      </c>
      <c r="Y884" t="s">
        <v>60</v>
      </c>
      <c r="Z884" t="s">
        <v>360</v>
      </c>
      <c r="AA884">
        <v>0</v>
      </c>
      <c r="AB884" s="2">
        <v>0</v>
      </c>
      <c r="AC884" s="2">
        <v>0</v>
      </c>
      <c r="AD884" s="3">
        <v>0</v>
      </c>
      <c r="AE884" s="2">
        <v>0</v>
      </c>
      <c r="AF884" s="2">
        <v>0</v>
      </c>
      <c r="AG884" s="2">
        <v>0</v>
      </c>
      <c r="AH884" s="2">
        <v>0</v>
      </c>
      <c r="AI884" s="2">
        <v>0</v>
      </c>
      <c r="AJ884" s="2">
        <v>0</v>
      </c>
      <c r="AK884" s="2">
        <v>0</v>
      </c>
      <c r="AL884" s="2">
        <v>0</v>
      </c>
      <c r="AM884" s="2">
        <v>21</v>
      </c>
      <c r="AN884" s="2">
        <v>21</v>
      </c>
      <c r="AO884" s="2">
        <v>0</v>
      </c>
      <c r="AP884" s="2">
        <v>0</v>
      </c>
      <c r="AQ884" s="2">
        <v>0</v>
      </c>
    </row>
    <row r="885" spans="1:43" x14ac:dyDescent="0.25">
      <c r="A885" s="1">
        <v>45936</v>
      </c>
      <c r="B885" t="s">
        <v>48</v>
      </c>
      <c r="C885">
        <v>649163</v>
      </c>
      <c r="D885">
        <v>2029877132</v>
      </c>
      <c r="E885" t="s">
        <v>234</v>
      </c>
      <c r="F885" t="s">
        <v>1069</v>
      </c>
      <c r="G885" t="s">
        <v>51</v>
      </c>
      <c r="H885" t="s">
        <v>101</v>
      </c>
      <c r="I885" t="s">
        <v>292</v>
      </c>
      <c r="J885" t="s">
        <v>293</v>
      </c>
      <c r="K885">
        <v>767312</v>
      </c>
      <c r="L885" t="s">
        <v>283</v>
      </c>
      <c r="M885" t="s">
        <v>284</v>
      </c>
      <c r="N885" t="s">
        <v>57</v>
      </c>
      <c r="O885" s="1">
        <v>45848</v>
      </c>
      <c r="Q885" s="1">
        <v>45971</v>
      </c>
      <c r="R885" s="2">
        <v>96</v>
      </c>
      <c r="S885">
        <v>1</v>
      </c>
      <c r="T885" t="s">
        <v>58</v>
      </c>
      <c r="U885" t="s">
        <v>359</v>
      </c>
      <c r="V885" s="3">
        <v>0.7</v>
      </c>
      <c r="W885" s="2">
        <v>0</v>
      </c>
      <c r="X885">
        <v>0</v>
      </c>
      <c r="Y885" t="s">
        <v>60</v>
      </c>
      <c r="Z885" t="s">
        <v>360</v>
      </c>
      <c r="AA885">
        <v>0</v>
      </c>
      <c r="AB885" s="2">
        <v>0</v>
      </c>
      <c r="AC885" s="2">
        <v>0</v>
      </c>
      <c r="AD885" s="3">
        <v>0</v>
      </c>
      <c r="AE885" s="2">
        <v>0</v>
      </c>
      <c r="AF885" s="2">
        <v>0</v>
      </c>
      <c r="AG885" s="2">
        <v>0</v>
      </c>
      <c r="AH885" s="2">
        <v>0</v>
      </c>
      <c r="AI885" s="2">
        <v>0</v>
      </c>
      <c r="AJ885" s="2">
        <v>0</v>
      </c>
      <c r="AK885" s="2">
        <v>0</v>
      </c>
      <c r="AL885" s="2">
        <v>67.2</v>
      </c>
      <c r="AM885" s="2">
        <v>0</v>
      </c>
      <c r="AN885" s="2">
        <v>0</v>
      </c>
      <c r="AO885" s="2">
        <v>0</v>
      </c>
      <c r="AP885" s="2">
        <v>0</v>
      </c>
      <c r="AQ885" s="2">
        <v>0</v>
      </c>
    </row>
    <row r="886" spans="1:43" x14ac:dyDescent="0.25">
      <c r="A886" s="1">
        <v>45936</v>
      </c>
      <c r="B886" t="s">
        <v>48</v>
      </c>
      <c r="C886">
        <v>649163</v>
      </c>
      <c r="D886">
        <v>2029880668</v>
      </c>
      <c r="E886" t="s">
        <v>1070</v>
      </c>
      <c r="F886" t="s">
        <v>1071</v>
      </c>
      <c r="G886" t="s">
        <v>51</v>
      </c>
      <c r="H886" t="s">
        <v>101</v>
      </c>
      <c r="I886" t="s">
        <v>292</v>
      </c>
      <c r="J886" t="s">
        <v>293</v>
      </c>
      <c r="K886">
        <v>840313</v>
      </c>
      <c r="L886" t="s">
        <v>436</v>
      </c>
      <c r="M886" t="s">
        <v>437</v>
      </c>
      <c r="N886" t="s">
        <v>57</v>
      </c>
      <c r="O886" s="1">
        <v>45848</v>
      </c>
      <c r="Q886" s="1">
        <v>45971</v>
      </c>
      <c r="R886" s="2">
        <v>56.5</v>
      </c>
      <c r="S886">
        <v>1</v>
      </c>
      <c r="T886" t="s">
        <v>58</v>
      </c>
      <c r="U886" t="s">
        <v>359</v>
      </c>
      <c r="V886" s="3">
        <v>0.7</v>
      </c>
      <c r="W886" s="2">
        <v>0</v>
      </c>
      <c r="X886">
        <v>0</v>
      </c>
      <c r="Y886" t="s">
        <v>60</v>
      </c>
      <c r="Z886" t="s">
        <v>360</v>
      </c>
      <c r="AA886">
        <v>0</v>
      </c>
      <c r="AB886" s="2">
        <v>0</v>
      </c>
      <c r="AC886" s="2">
        <v>0</v>
      </c>
      <c r="AD886" s="3">
        <v>0</v>
      </c>
      <c r="AE886" s="2">
        <v>0</v>
      </c>
      <c r="AF886" s="2">
        <v>0</v>
      </c>
      <c r="AG886" s="2">
        <v>0</v>
      </c>
      <c r="AH886" s="2">
        <v>0</v>
      </c>
      <c r="AI886" s="2">
        <v>0</v>
      </c>
      <c r="AJ886" s="2">
        <v>0</v>
      </c>
      <c r="AK886" s="2">
        <v>0</v>
      </c>
      <c r="AL886" s="2">
        <v>39.549999999999997</v>
      </c>
      <c r="AM886" s="2">
        <v>0</v>
      </c>
      <c r="AN886" s="2">
        <v>0</v>
      </c>
      <c r="AO886" s="2">
        <v>0</v>
      </c>
      <c r="AP886" s="2">
        <v>0</v>
      </c>
      <c r="AQ886" s="2">
        <v>0</v>
      </c>
    </row>
    <row r="887" spans="1:43" x14ac:dyDescent="0.25">
      <c r="A887" s="1">
        <v>45936</v>
      </c>
      <c r="B887" t="s">
        <v>48</v>
      </c>
      <c r="C887">
        <v>649163</v>
      </c>
      <c r="D887">
        <v>2029880677</v>
      </c>
      <c r="E887" t="s">
        <v>1072</v>
      </c>
      <c r="F887" t="s">
        <v>1073</v>
      </c>
      <c r="G887" t="s">
        <v>51</v>
      </c>
      <c r="H887" t="s">
        <v>101</v>
      </c>
      <c r="I887" t="s">
        <v>292</v>
      </c>
      <c r="J887" t="s">
        <v>293</v>
      </c>
      <c r="K887">
        <v>812994</v>
      </c>
      <c r="L887" t="s">
        <v>428</v>
      </c>
      <c r="M887" t="s">
        <v>309</v>
      </c>
      <c r="N887" t="s">
        <v>57</v>
      </c>
      <c r="O887" s="1">
        <v>45848</v>
      </c>
      <c r="Q887" s="1">
        <v>45971</v>
      </c>
      <c r="R887" s="2">
        <v>88.96</v>
      </c>
      <c r="S887">
        <v>1</v>
      </c>
      <c r="T887" t="s">
        <v>58</v>
      </c>
      <c r="U887" t="s">
        <v>359</v>
      </c>
      <c r="V887" s="3">
        <v>0.7</v>
      </c>
      <c r="W887" s="2">
        <v>0</v>
      </c>
      <c r="X887">
        <v>0</v>
      </c>
      <c r="Y887" t="s">
        <v>60</v>
      </c>
      <c r="Z887" t="s">
        <v>360</v>
      </c>
      <c r="AA887">
        <v>0</v>
      </c>
      <c r="AB887" s="2">
        <v>0</v>
      </c>
      <c r="AC887" s="2">
        <v>0</v>
      </c>
      <c r="AD887" s="3">
        <v>0</v>
      </c>
      <c r="AE887" s="2">
        <v>0</v>
      </c>
      <c r="AF887" s="2">
        <v>0</v>
      </c>
      <c r="AG887" s="2">
        <v>0</v>
      </c>
      <c r="AH887" s="2">
        <v>0</v>
      </c>
      <c r="AI887" s="2">
        <v>0</v>
      </c>
      <c r="AJ887" s="2">
        <v>0</v>
      </c>
      <c r="AK887" s="2">
        <v>0</v>
      </c>
      <c r="AL887" s="2">
        <v>62.27</v>
      </c>
      <c r="AM887" s="2">
        <v>0</v>
      </c>
      <c r="AN887" s="2">
        <v>0</v>
      </c>
      <c r="AO887" s="2">
        <v>0</v>
      </c>
      <c r="AP887" s="2">
        <v>0</v>
      </c>
      <c r="AQ887" s="2">
        <v>0</v>
      </c>
    </row>
    <row r="888" spans="1:43" x14ac:dyDescent="0.25">
      <c r="A888" s="1">
        <v>45936</v>
      </c>
      <c r="B888" t="s">
        <v>48</v>
      </c>
      <c r="C888">
        <v>649163</v>
      </c>
      <c r="D888">
        <v>2029887595</v>
      </c>
      <c r="E888" t="s">
        <v>510</v>
      </c>
      <c r="F888" t="s">
        <v>900</v>
      </c>
      <c r="G888" t="s">
        <v>51</v>
      </c>
      <c r="H888" t="s">
        <v>52</v>
      </c>
      <c r="I888" t="s">
        <v>292</v>
      </c>
      <c r="J888" t="s">
        <v>293</v>
      </c>
      <c r="K888">
        <v>753748</v>
      </c>
      <c r="L888" t="s">
        <v>97</v>
      </c>
      <c r="M888" t="s">
        <v>98</v>
      </c>
      <c r="N888" t="s">
        <v>57</v>
      </c>
      <c r="O888" s="1">
        <v>45870</v>
      </c>
      <c r="Q888" s="1">
        <v>45962</v>
      </c>
      <c r="R888" s="2">
        <v>-141.47</v>
      </c>
      <c r="S888">
        <v>1</v>
      </c>
      <c r="T888" t="s">
        <v>58</v>
      </c>
      <c r="U888" t="s">
        <v>359</v>
      </c>
      <c r="V888" s="3">
        <v>0.7</v>
      </c>
      <c r="W888" s="2">
        <v>0</v>
      </c>
      <c r="X888">
        <v>-1</v>
      </c>
      <c r="Y888" t="s">
        <v>60</v>
      </c>
      <c r="Z888" t="s">
        <v>360</v>
      </c>
      <c r="AA888">
        <v>0</v>
      </c>
      <c r="AB888" s="2">
        <v>0</v>
      </c>
      <c r="AC888" s="2">
        <v>0</v>
      </c>
      <c r="AD888" s="3">
        <v>0</v>
      </c>
      <c r="AE888" s="2">
        <v>0</v>
      </c>
      <c r="AF888" s="2">
        <v>0</v>
      </c>
      <c r="AG888" s="2">
        <v>0</v>
      </c>
      <c r="AH888" s="2">
        <v>0</v>
      </c>
      <c r="AI888" s="2">
        <v>0</v>
      </c>
      <c r="AJ888" s="2">
        <v>0</v>
      </c>
      <c r="AK888" s="2">
        <v>0</v>
      </c>
      <c r="AL888" s="2">
        <v>0</v>
      </c>
      <c r="AM888" s="2">
        <v>-99.03</v>
      </c>
      <c r="AN888" s="2">
        <v>-99.03</v>
      </c>
      <c r="AO888" s="2">
        <v>0</v>
      </c>
      <c r="AP888" s="2">
        <v>0</v>
      </c>
      <c r="AQ888" s="2">
        <v>0</v>
      </c>
    </row>
    <row r="889" spans="1:43" x14ac:dyDescent="0.25">
      <c r="A889" s="1">
        <v>45936</v>
      </c>
      <c r="B889" t="s">
        <v>48</v>
      </c>
      <c r="C889">
        <v>649163</v>
      </c>
      <c r="D889">
        <v>2029919052</v>
      </c>
      <c r="E889" t="s">
        <v>901</v>
      </c>
      <c r="F889" t="s">
        <v>902</v>
      </c>
      <c r="G889" t="s">
        <v>51</v>
      </c>
      <c r="H889" t="s">
        <v>310</v>
      </c>
      <c r="I889" t="s">
        <v>292</v>
      </c>
      <c r="J889" t="s">
        <v>293</v>
      </c>
      <c r="K889">
        <v>651818</v>
      </c>
      <c r="L889" t="s">
        <v>112</v>
      </c>
      <c r="M889" t="s">
        <v>104</v>
      </c>
      <c r="N889" t="s">
        <v>57</v>
      </c>
      <c r="O889" s="1">
        <v>45876</v>
      </c>
      <c r="Q889" s="1">
        <v>45968</v>
      </c>
      <c r="R889" s="2">
        <v>69.37</v>
      </c>
      <c r="S889">
        <v>1</v>
      </c>
      <c r="T889" t="s">
        <v>58</v>
      </c>
      <c r="U889" t="s">
        <v>359</v>
      </c>
      <c r="V889" s="3">
        <v>0.7</v>
      </c>
      <c r="W889" s="2">
        <v>0</v>
      </c>
      <c r="X889">
        <v>0</v>
      </c>
      <c r="Y889" t="s">
        <v>60</v>
      </c>
      <c r="Z889" t="s">
        <v>360</v>
      </c>
      <c r="AA889">
        <v>0</v>
      </c>
      <c r="AB889" s="2">
        <v>0</v>
      </c>
      <c r="AC889" s="2">
        <v>0</v>
      </c>
      <c r="AD889" s="3">
        <v>0</v>
      </c>
      <c r="AE889" s="2">
        <v>0</v>
      </c>
      <c r="AF889" s="2">
        <v>0</v>
      </c>
      <c r="AG889" s="2">
        <v>0</v>
      </c>
      <c r="AH889" s="2">
        <v>0</v>
      </c>
      <c r="AI889" s="2">
        <v>0</v>
      </c>
      <c r="AJ889" s="2">
        <v>0</v>
      </c>
      <c r="AK889" s="2">
        <v>0</v>
      </c>
      <c r="AL889" s="2">
        <v>48.56</v>
      </c>
      <c r="AM889" s="2">
        <v>0</v>
      </c>
      <c r="AN889" s="2">
        <v>0</v>
      </c>
      <c r="AO889" s="2">
        <v>0</v>
      </c>
      <c r="AP889" s="2">
        <v>0</v>
      </c>
      <c r="AQ889" s="2">
        <v>0</v>
      </c>
    </row>
    <row r="890" spans="1:43" x14ac:dyDescent="0.25">
      <c r="A890" s="1">
        <v>45936</v>
      </c>
      <c r="B890" t="s">
        <v>48</v>
      </c>
      <c r="C890">
        <v>649163</v>
      </c>
      <c r="D890">
        <v>2029959147</v>
      </c>
      <c r="E890" t="s">
        <v>903</v>
      </c>
      <c r="F890" t="s">
        <v>904</v>
      </c>
      <c r="G890" t="s">
        <v>51</v>
      </c>
      <c r="H890" t="s">
        <v>110</v>
      </c>
      <c r="I890" t="s">
        <v>292</v>
      </c>
      <c r="J890" t="s">
        <v>293</v>
      </c>
      <c r="K890">
        <v>651818</v>
      </c>
      <c r="L890" t="s">
        <v>112</v>
      </c>
      <c r="M890" t="s">
        <v>104</v>
      </c>
      <c r="N890" t="s">
        <v>57</v>
      </c>
      <c r="O890" s="1">
        <v>45876</v>
      </c>
      <c r="Q890" s="1">
        <v>45968</v>
      </c>
      <c r="R890" s="2">
        <v>122.32</v>
      </c>
      <c r="S890">
        <v>1</v>
      </c>
      <c r="T890" t="s">
        <v>58</v>
      </c>
      <c r="U890" t="s">
        <v>359</v>
      </c>
      <c r="V890" s="3">
        <v>0.7</v>
      </c>
      <c r="W890" s="2">
        <v>0</v>
      </c>
      <c r="X890">
        <v>0</v>
      </c>
      <c r="Y890" t="s">
        <v>60</v>
      </c>
      <c r="Z890" t="s">
        <v>360</v>
      </c>
      <c r="AA890">
        <v>0</v>
      </c>
      <c r="AB890" s="2">
        <v>0</v>
      </c>
      <c r="AC890" s="2">
        <v>0</v>
      </c>
      <c r="AD890" s="3">
        <v>0</v>
      </c>
      <c r="AE890" s="2">
        <v>0</v>
      </c>
      <c r="AF890" s="2">
        <v>0</v>
      </c>
      <c r="AG890" s="2">
        <v>0</v>
      </c>
      <c r="AH890" s="2">
        <v>0</v>
      </c>
      <c r="AI890" s="2">
        <v>0</v>
      </c>
      <c r="AJ890" s="2">
        <v>0</v>
      </c>
      <c r="AK890" s="2">
        <v>0</v>
      </c>
      <c r="AL890" s="2">
        <v>85.62</v>
      </c>
      <c r="AM890" s="2">
        <v>0</v>
      </c>
      <c r="AN890" s="2">
        <v>0</v>
      </c>
      <c r="AO890" s="2">
        <v>0</v>
      </c>
      <c r="AP890" s="2">
        <v>0</v>
      </c>
      <c r="AQ890" s="2">
        <v>0</v>
      </c>
    </row>
    <row r="891" spans="1:43" x14ac:dyDescent="0.25">
      <c r="A891" s="1">
        <v>45936</v>
      </c>
      <c r="B891" t="s">
        <v>48</v>
      </c>
      <c r="C891">
        <v>649163</v>
      </c>
      <c r="D891">
        <v>2030013620</v>
      </c>
      <c r="E891" t="s">
        <v>906</v>
      </c>
      <c r="F891" t="s">
        <v>907</v>
      </c>
      <c r="G891" t="s">
        <v>51</v>
      </c>
      <c r="H891" t="s">
        <v>110</v>
      </c>
      <c r="I891" t="s">
        <v>292</v>
      </c>
      <c r="J891" t="s">
        <v>293</v>
      </c>
      <c r="K891">
        <v>651818</v>
      </c>
      <c r="L891" t="s">
        <v>112</v>
      </c>
      <c r="M891" t="s">
        <v>104</v>
      </c>
      <c r="N891" t="s">
        <v>57</v>
      </c>
      <c r="O891" s="1">
        <v>45876</v>
      </c>
      <c r="Q891" s="1">
        <v>45968</v>
      </c>
      <c r="R891" s="2">
        <v>64.63</v>
      </c>
      <c r="S891">
        <v>1</v>
      </c>
      <c r="T891" t="s">
        <v>58</v>
      </c>
      <c r="U891" t="s">
        <v>359</v>
      </c>
      <c r="V891" s="3">
        <v>0.7</v>
      </c>
      <c r="W891" s="2">
        <v>0</v>
      </c>
      <c r="X891">
        <v>0</v>
      </c>
      <c r="Y891" t="s">
        <v>60</v>
      </c>
      <c r="Z891" t="s">
        <v>360</v>
      </c>
      <c r="AA891">
        <v>0</v>
      </c>
      <c r="AB891" s="2">
        <v>0</v>
      </c>
      <c r="AC891" s="2">
        <v>0</v>
      </c>
      <c r="AD891" s="3">
        <v>0</v>
      </c>
      <c r="AE891" s="2">
        <v>0</v>
      </c>
      <c r="AF891" s="2">
        <v>0</v>
      </c>
      <c r="AG891" s="2">
        <v>0</v>
      </c>
      <c r="AH891" s="2">
        <v>0</v>
      </c>
      <c r="AI891" s="2">
        <v>0</v>
      </c>
      <c r="AJ891" s="2">
        <v>0</v>
      </c>
      <c r="AK891" s="2">
        <v>0</v>
      </c>
      <c r="AL891" s="2">
        <v>45.24</v>
      </c>
      <c r="AM891" s="2">
        <v>0</v>
      </c>
      <c r="AN891" s="2">
        <v>0</v>
      </c>
      <c r="AO891" s="2">
        <v>0</v>
      </c>
      <c r="AP891" s="2">
        <v>0</v>
      </c>
      <c r="AQ891" s="2">
        <v>0</v>
      </c>
    </row>
    <row r="892" spans="1:43" x14ac:dyDescent="0.25">
      <c r="A892" s="1">
        <v>45936</v>
      </c>
      <c r="B892" t="s">
        <v>48</v>
      </c>
      <c r="C892">
        <v>649163</v>
      </c>
      <c r="D892">
        <v>2030013621</v>
      </c>
      <c r="E892" t="s">
        <v>906</v>
      </c>
      <c r="F892" t="s">
        <v>907</v>
      </c>
      <c r="G892" t="s">
        <v>51</v>
      </c>
      <c r="H892" t="s">
        <v>110</v>
      </c>
      <c r="I892" t="s">
        <v>292</v>
      </c>
      <c r="J892" t="s">
        <v>295</v>
      </c>
      <c r="K892">
        <v>651818</v>
      </c>
      <c r="L892" t="s">
        <v>112</v>
      </c>
      <c r="M892" t="s">
        <v>104</v>
      </c>
      <c r="N892" t="s">
        <v>57</v>
      </c>
      <c r="O892" s="1">
        <v>45876</v>
      </c>
      <c r="Q892" s="1">
        <v>45968</v>
      </c>
      <c r="R892" s="2">
        <v>47.08</v>
      </c>
      <c r="S892">
        <v>1</v>
      </c>
      <c r="T892" t="s">
        <v>58</v>
      </c>
      <c r="U892" t="s">
        <v>359</v>
      </c>
      <c r="V892" s="3">
        <v>0.9</v>
      </c>
      <c r="W892" s="2">
        <v>0</v>
      </c>
      <c r="X892">
        <v>0</v>
      </c>
      <c r="Y892" t="s">
        <v>60</v>
      </c>
      <c r="Z892" t="s">
        <v>360</v>
      </c>
      <c r="AA892">
        <v>0</v>
      </c>
      <c r="AB892" s="2">
        <v>0</v>
      </c>
      <c r="AC892" s="2">
        <v>0</v>
      </c>
      <c r="AD892" s="3">
        <v>0</v>
      </c>
      <c r="AE892" s="2">
        <v>0</v>
      </c>
      <c r="AF892" s="2">
        <v>0</v>
      </c>
      <c r="AG892" s="2">
        <v>0</v>
      </c>
      <c r="AH892" s="2">
        <v>0</v>
      </c>
      <c r="AI892" s="2">
        <v>0</v>
      </c>
      <c r="AJ892" s="2">
        <v>0</v>
      </c>
      <c r="AK892" s="2">
        <v>0</v>
      </c>
      <c r="AL892" s="2">
        <v>42.37</v>
      </c>
      <c r="AM892" s="2">
        <v>0</v>
      </c>
      <c r="AN892" s="2">
        <v>0</v>
      </c>
      <c r="AO892" s="2">
        <v>0</v>
      </c>
      <c r="AP892" s="2">
        <v>0</v>
      </c>
      <c r="AQ892" s="2">
        <v>0</v>
      </c>
    </row>
    <row r="893" spans="1:43" x14ac:dyDescent="0.25">
      <c r="A893" s="1">
        <v>45936</v>
      </c>
      <c r="B893" t="s">
        <v>48</v>
      </c>
      <c r="C893">
        <v>649163</v>
      </c>
      <c r="D893">
        <v>2030047486</v>
      </c>
      <c r="E893" t="s">
        <v>713</v>
      </c>
      <c r="F893" t="s">
        <v>240</v>
      </c>
      <c r="G893" t="s">
        <v>51</v>
      </c>
      <c r="H893" t="s">
        <v>110</v>
      </c>
      <c r="I893" t="s">
        <v>292</v>
      </c>
      <c r="J893" t="s">
        <v>293</v>
      </c>
      <c r="K893">
        <v>651818</v>
      </c>
      <c r="L893" t="s">
        <v>112</v>
      </c>
      <c r="M893" t="s">
        <v>104</v>
      </c>
      <c r="N893" t="s">
        <v>57</v>
      </c>
      <c r="O893" s="1">
        <v>45876</v>
      </c>
      <c r="Q893" s="1">
        <v>45968</v>
      </c>
      <c r="R893" s="2">
        <v>94.38</v>
      </c>
      <c r="S893">
        <v>1</v>
      </c>
      <c r="T893" t="s">
        <v>58</v>
      </c>
      <c r="U893" t="s">
        <v>359</v>
      </c>
      <c r="V893" s="3">
        <v>0.7</v>
      </c>
      <c r="W893" s="2">
        <v>0</v>
      </c>
      <c r="X893">
        <v>0</v>
      </c>
      <c r="Y893" t="s">
        <v>60</v>
      </c>
      <c r="Z893" t="s">
        <v>360</v>
      </c>
      <c r="AA893">
        <v>0</v>
      </c>
      <c r="AB893" s="2">
        <v>0</v>
      </c>
      <c r="AC893" s="2">
        <v>0</v>
      </c>
      <c r="AD893" s="3">
        <v>0</v>
      </c>
      <c r="AE893" s="2">
        <v>0</v>
      </c>
      <c r="AF893" s="2">
        <v>0</v>
      </c>
      <c r="AG893" s="2">
        <v>0</v>
      </c>
      <c r="AH893" s="2">
        <v>0</v>
      </c>
      <c r="AI893" s="2">
        <v>0</v>
      </c>
      <c r="AJ893" s="2">
        <v>0</v>
      </c>
      <c r="AK893" s="2">
        <v>0</v>
      </c>
      <c r="AL893" s="2">
        <v>66.069999999999993</v>
      </c>
      <c r="AM893" s="2">
        <v>0</v>
      </c>
      <c r="AN893" s="2">
        <v>0</v>
      </c>
      <c r="AO893" s="2">
        <v>0</v>
      </c>
      <c r="AP893" s="2">
        <v>0</v>
      </c>
      <c r="AQ893" s="2">
        <v>0</v>
      </c>
    </row>
    <row r="894" spans="1:43" x14ac:dyDescent="0.25">
      <c r="A894" s="1">
        <v>45936</v>
      </c>
      <c r="B894" t="s">
        <v>48</v>
      </c>
      <c r="C894">
        <v>649163</v>
      </c>
      <c r="D894">
        <v>2030047733</v>
      </c>
      <c r="E894" t="s">
        <v>908</v>
      </c>
      <c r="F894" t="s">
        <v>909</v>
      </c>
      <c r="G894" t="s">
        <v>51</v>
      </c>
      <c r="H894" t="s">
        <v>390</v>
      </c>
      <c r="I894" t="s">
        <v>292</v>
      </c>
      <c r="J894" t="s">
        <v>293</v>
      </c>
      <c r="K894">
        <v>651818</v>
      </c>
      <c r="L894" t="s">
        <v>112</v>
      </c>
      <c r="M894" t="s">
        <v>104</v>
      </c>
      <c r="N894" t="s">
        <v>57</v>
      </c>
      <c r="O894" s="1">
        <v>45876</v>
      </c>
      <c r="Q894" s="1">
        <v>45968</v>
      </c>
      <c r="R894" s="2">
        <v>75.459999999999994</v>
      </c>
      <c r="S894">
        <v>1</v>
      </c>
      <c r="T894" t="s">
        <v>58</v>
      </c>
      <c r="U894" t="s">
        <v>359</v>
      </c>
      <c r="V894" s="3">
        <v>0.7</v>
      </c>
      <c r="W894" s="2">
        <v>0</v>
      </c>
      <c r="X894">
        <v>0</v>
      </c>
      <c r="Y894" t="s">
        <v>60</v>
      </c>
      <c r="Z894" t="s">
        <v>360</v>
      </c>
      <c r="AA894">
        <v>0</v>
      </c>
      <c r="AB894" s="2">
        <v>0</v>
      </c>
      <c r="AC894" s="2">
        <v>0</v>
      </c>
      <c r="AD894" s="3">
        <v>0</v>
      </c>
      <c r="AE894" s="2">
        <v>0</v>
      </c>
      <c r="AF894" s="2">
        <v>0</v>
      </c>
      <c r="AG894" s="2">
        <v>0</v>
      </c>
      <c r="AH894" s="2">
        <v>0</v>
      </c>
      <c r="AI894" s="2">
        <v>0</v>
      </c>
      <c r="AJ894" s="2">
        <v>0</v>
      </c>
      <c r="AK894" s="2">
        <v>0</v>
      </c>
      <c r="AL894" s="2">
        <v>52.82</v>
      </c>
      <c r="AM894" s="2">
        <v>0</v>
      </c>
      <c r="AN894" s="2">
        <v>0</v>
      </c>
      <c r="AO894" s="2">
        <v>0</v>
      </c>
      <c r="AP894" s="2">
        <v>0</v>
      </c>
      <c r="AQ894" s="2">
        <v>0</v>
      </c>
    </row>
    <row r="895" spans="1:43" x14ac:dyDescent="0.25">
      <c r="A895" s="1">
        <v>45936</v>
      </c>
      <c r="B895" t="s">
        <v>48</v>
      </c>
      <c r="C895">
        <v>649163</v>
      </c>
      <c r="D895">
        <v>2030090691</v>
      </c>
      <c r="E895" t="s">
        <v>476</v>
      </c>
      <c r="F895" t="s">
        <v>910</v>
      </c>
      <c r="G895" t="s">
        <v>51</v>
      </c>
      <c r="H895" t="s">
        <v>115</v>
      </c>
      <c r="I895" t="s">
        <v>292</v>
      </c>
      <c r="J895" t="s">
        <v>295</v>
      </c>
      <c r="K895">
        <v>651818</v>
      </c>
      <c r="L895" t="s">
        <v>112</v>
      </c>
      <c r="M895" t="s">
        <v>104</v>
      </c>
      <c r="N895" t="s">
        <v>57</v>
      </c>
      <c r="O895" s="1">
        <v>45876</v>
      </c>
      <c r="Q895" s="1">
        <v>45968</v>
      </c>
      <c r="R895" s="2">
        <v>13.31</v>
      </c>
      <c r="S895">
        <v>1</v>
      </c>
      <c r="T895" t="s">
        <v>58</v>
      </c>
      <c r="U895" t="s">
        <v>359</v>
      </c>
      <c r="V895" s="3">
        <v>0.9</v>
      </c>
      <c r="W895" s="2">
        <v>0</v>
      </c>
      <c r="X895">
        <v>0</v>
      </c>
      <c r="Y895" t="s">
        <v>60</v>
      </c>
      <c r="Z895" t="s">
        <v>360</v>
      </c>
      <c r="AA895">
        <v>0</v>
      </c>
      <c r="AB895" s="2">
        <v>0</v>
      </c>
      <c r="AC895" s="2">
        <v>0</v>
      </c>
      <c r="AD895" s="3">
        <v>0</v>
      </c>
      <c r="AE895" s="2">
        <v>0</v>
      </c>
      <c r="AF895" s="2">
        <v>0</v>
      </c>
      <c r="AG895" s="2">
        <v>0</v>
      </c>
      <c r="AH895" s="2">
        <v>0</v>
      </c>
      <c r="AI895" s="2">
        <v>0</v>
      </c>
      <c r="AJ895" s="2">
        <v>0</v>
      </c>
      <c r="AK895" s="2">
        <v>0</v>
      </c>
      <c r="AL895" s="2">
        <v>11.98</v>
      </c>
      <c r="AM895" s="2">
        <v>0</v>
      </c>
      <c r="AN895" s="2">
        <v>0</v>
      </c>
      <c r="AO895" s="2">
        <v>0</v>
      </c>
      <c r="AP895" s="2">
        <v>0</v>
      </c>
      <c r="AQ895" s="2">
        <v>0</v>
      </c>
    </row>
    <row r="896" spans="1:43" x14ac:dyDescent="0.25">
      <c r="A896" s="1">
        <v>45936</v>
      </c>
      <c r="B896" t="s">
        <v>48</v>
      </c>
      <c r="C896">
        <v>649163</v>
      </c>
      <c r="D896">
        <v>2030189267</v>
      </c>
      <c r="E896" t="s">
        <v>911</v>
      </c>
      <c r="F896" t="s">
        <v>912</v>
      </c>
      <c r="G896" t="s">
        <v>51</v>
      </c>
      <c r="H896" t="s">
        <v>323</v>
      </c>
      <c r="I896" t="s">
        <v>292</v>
      </c>
      <c r="J896" t="s">
        <v>536</v>
      </c>
      <c r="K896">
        <v>651818</v>
      </c>
      <c r="L896" t="s">
        <v>112</v>
      </c>
      <c r="M896" t="s">
        <v>104</v>
      </c>
      <c r="N896" t="s">
        <v>57</v>
      </c>
      <c r="O896" s="1">
        <v>45876</v>
      </c>
      <c r="Q896" s="1">
        <v>45968</v>
      </c>
      <c r="R896" s="2">
        <v>25.73</v>
      </c>
      <c r="S896">
        <v>1</v>
      </c>
      <c r="T896" t="s">
        <v>58</v>
      </c>
      <c r="U896" t="s">
        <v>359</v>
      </c>
      <c r="V896" s="3">
        <v>0.7</v>
      </c>
      <c r="W896" s="2">
        <v>0</v>
      </c>
      <c r="X896">
        <v>0</v>
      </c>
      <c r="Y896" t="s">
        <v>60</v>
      </c>
      <c r="Z896" t="s">
        <v>360</v>
      </c>
      <c r="AA896">
        <v>0</v>
      </c>
      <c r="AB896" s="2">
        <v>0</v>
      </c>
      <c r="AC896" s="2">
        <v>0</v>
      </c>
      <c r="AD896" s="3">
        <v>0</v>
      </c>
      <c r="AE896" s="2">
        <v>0</v>
      </c>
      <c r="AF896" s="2">
        <v>0</v>
      </c>
      <c r="AG896" s="2">
        <v>0</v>
      </c>
      <c r="AH896" s="2">
        <v>0</v>
      </c>
      <c r="AI896" s="2">
        <v>0</v>
      </c>
      <c r="AJ896" s="2">
        <v>0</v>
      </c>
      <c r="AK896" s="2">
        <v>0</v>
      </c>
      <c r="AL896" s="2">
        <v>18.010000000000002</v>
      </c>
      <c r="AM896" s="2">
        <v>0</v>
      </c>
      <c r="AN896" s="2">
        <v>0</v>
      </c>
      <c r="AO896" s="2">
        <v>0</v>
      </c>
      <c r="AP896" s="2">
        <v>0</v>
      </c>
      <c r="AQ896" s="2">
        <v>0</v>
      </c>
    </row>
    <row r="897" spans="1:43" x14ac:dyDescent="0.25">
      <c r="A897" s="1">
        <v>45936</v>
      </c>
      <c r="B897" t="s">
        <v>48</v>
      </c>
      <c r="C897">
        <v>649163</v>
      </c>
      <c r="D897">
        <v>2030192140</v>
      </c>
      <c r="E897" t="s">
        <v>913</v>
      </c>
      <c r="F897" t="s">
        <v>914</v>
      </c>
      <c r="G897" t="s">
        <v>51</v>
      </c>
      <c r="H897" t="s">
        <v>119</v>
      </c>
      <c r="I897" t="s">
        <v>292</v>
      </c>
      <c r="J897" t="s">
        <v>293</v>
      </c>
      <c r="K897">
        <v>651818</v>
      </c>
      <c r="L897" t="s">
        <v>112</v>
      </c>
      <c r="M897" t="s">
        <v>104</v>
      </c>
      <c r="N897" t="s">
        <v>57</v>
      </c>
      <c r="O897" s="1">
        <v>45876</v>
      </c>
      <c r="Q897" s="1">
        <v>45968</v>
      </c>
      <c r="R897" s="2">
        <v>34</v>
      </c>
      <c r="S897">
        <v>1</v>
      </c>
      <c r="T897" t="s">
        <v>58</v>
      </c>
      <c r="U897" t="s">
        <v>359</v>
      </c>
      <c r="V897" s="3">
        <v>0.7</v>
      </c>
      <c r="W897" s="2">
        <v>0</v>
      </c>
      <c r="X897">
        <v>0</v>
      </c>
      <c r="Y897" t="s">
        <v>60</v>
      </c>
      <c r="Z897" t="s">
        <v>360</v>
      </c>
      <c r="AA897">
        <v>0</v>
      </c>
      <c r="AB897" s="2">
        <v>0</v>
      </c>
      <c r="AC897" s="2">
        <v>0</v>
      </c>
      <c r="AD897" s="3">
        <v>0</v>
      </c>
      <c r="AE897" s="2">
        <v>0</v>
      </c>
      <c r="AF897" s="2">
        <v>0</v>
      </c>
      <c r="AG897" s="2">
        <v>0</v>
      </c>
      <c r="AH897" s="2">
        <v>0</v>
      </c>
      <c r="AI897" s="2">
        <v>0</v>
      </c>
      <c r="AJ897" s="2">
        <v>0</v>
      </c>
      <c r="AK897" s="2">
        <v>0</v>
      </c>
      <c r="AL897" s="2">
        <v>23.8</v>
      </c>
      <c r="AM897" s="2">
        <v>0</v>
      </c>
      <c r="AN897" s="2">
        <v>0</v>
      </c>
      <c r="AO897" s="2">
        <v>0</v>
      </c>
      <c r="AP897" s="2">
        <v>0</v>
      </c>
      <c r="AQ897" s="2">
        <v>0</v>
      </c>
    </row>
    <row r="898" spans="1:43" x14ac:dyDescent="0.25">
      <c r="A898" s="1">
        <v>45936</v>
      </c>
      <c r="B898" t="s">
        <v>48</v>
      </c>
      <c r="C898">
        <v>649163</v>
      </c>
      <c r="D898">
        <v>2030193265</v>
      </c>
      <c r="E898" t="s">
        <v>478</v>
      </c>
      <c r="F898" t="s">
        <v>1074</v>
      </c>
      <c r="G898" t="s">
        <v>51</v>
      </c>
      <c r="H898" t="s">
        <v>101</v>
      </c>
      <c r="I898" t="s">
        <v>292</v>
      </c>
      <c r="J898" t="s">
        <v>293</v>
      </c>
      <c r="K898">
        <v>651818</v>
      </c>
      <c r="L898" t="s">
        <v>112</v>
      </c>
      <c r="M898" t="s">
        <v>104</v>
      </c>
      <c r="N898" t="s">
        <v>57</v>
      </c>
      <c r="O898" s="1">
        <v>45875</v>
      </c>
      <c r="Q898" s="1">
        <v>45967</v>
      </c>
      <c r="R898" s="2">
        <v>117.94</v>
      </c>
      <c r="S898">
        <v>1</v>
      </c>
      <c r="T898" t="s">
        <v>58</v>
      </c>
      <c r="U898" t="s">
        <v>359</v>
      </c>
      <c r="V898" s="3">
        <v>0.7</v>
      </c>
      <c r="W898" s="2">
        <v>0</v>
      </c>
      <c r="X898">
        <v>0</v>
      </c>
      <c r="Y898" t="s">
        <v>60</v>
      </c>
      <c r="Z898" t="s">
        <v>360</v>
      </c>
      <c r="AA898">
        <v>0</v>
      </c>
      <c r="AB898" s="2">
        <v>0</v>
      </c>
      <c r="AC898" s="2">
        <v>0</v>
      </c>
      <c r="AD898" s="3">
        <v>0</v>
      </c>
      <c r="AE898" s="2">
        <v>0</v>
      </c>
      <c r="AF898" s="2">
        <v>0</v>
      </c>
      <c r="AG898" s="2">
        <v>0</v>
      </c>
      <c r="AH898" s="2">
        <v>0</v>
      </c>
      <c r="AI898" s="2">
        <v>0</v>
      </c>
      <c r="AJ898" s="2">
        <v>0</v>
      </c>
      <c r="AK898" s="2">
        <v>0</v>
      </c>
      <c r="AL898" s="2">
        <v>82.56</v>
      </c>
      <c r="AM898" s="2">
        <v>0</v>
      </c>
      <c r="AN898" s="2">
        <v>0</v>
      </c>
      <c r="AO898" s="2">
        <v>0</v>
      </c>
      <c r="AP898" s="2">
        <v>0</v>
      </c>
      <c r="AQ898" s="2">
        <v>0</v>
      </c>
    </row>
    <row r="899" spans="1:43" x14ac:dyDescent="0.25">
      <c r="A899" s="1">
        <v>45936</v>
      </c>
      <c r="B899" t="s">
        <v>48</v>
      </c>
      <c r="C899">
        <v>649163</v>
      </c>
      <c r="D899">
        <v>2030228487</v>
      </c>
      <c r="E899" t="s">
        <v>524</v>
      </c>
      <c r="F899" t="s">
        <v>915</v>
      </c>
      <c r="G899" t="s">
        <v>51</v>
      </c>
      <c r="H899" t="s">
        <v>52</v>
      </c>
      <c r="I899" t="s">
        <v>292</v>
      </c>
      <c r="J899" t="s">
        <v>293</v>
      </c>
      <c r="K899">
        <v>673059</v>
      </c>
      <c r="L899" t="s">
        <v>80</v>
      </c>
      <c r="M899" t="s">
        <v>81</v>
      </c>
      <c r="N899" t="s">
        <v>57</v>
      </c>
      <c r="O899" s="1">
        <v>45875</v>
      </c>
      <c r="Q899" s="1">
        <v>45967</v>
      </c>
      <c r="R899" s="2">
        <v>103.76</v>
      </c>
      <c r="S899">
        <v>1</v>
      </c>
      <c r="T899" t="s">
        <v>58</v>
      </c>
      <c r="U899" t="s">
        <v>359</v>
      </c>
      <c r="V899" s="3">
        <v>0.7</v>
      </c>
      <c r="W899" s="2">
        <v>0</v>
      </c>
      <c r="X899">
        <v>0</v>
      </c>
      <c r="Y899" t="s">
        <v>60</v>
      </c>
      <c r="Z899" t="s">
        <v>360</v>
      </c>
      <c r="AA899">
        <v>0</v>
      </c>
      <c r="AB899" s="2">
        <v>0</v>
      </c>
      <c r="AC899" s="2">
        <v>0</v>
      </c>
      <c r="AD899" s="3">
        <v>0</v>
      </c>
      <c r="AE899" s="2">
        <v>0</v>
      </c>
      <c r="AF899" s="2">
        <v>0</v>
      </c>
      <c r="AG899" s="2">
        <v>0</v>
      </c>
      <c r="AH899" s="2">
        <v>0</v>
      </c>
      <c r="AI899" s="2">
        <v>0</v>
      </c>
      <c r="AJ899" s="2">
        <v>0</v>
      </c>
      <c r="AK899" s="2">
        <v>0</v>
      </c>
      <c r="AL899" s="2">
        <v>72.63</v>
      </c>
      <c r="AM899" s="2">
        <v>0</v>
      </c>
      <c r="AN899" s="2">
        <v>0</v>
      </c>
      <c r="AO899" s="2">
        <v>0</v>
      </c>
      <c r="AP899" s="2">
        <v>0</v>
      </c>
      <c r="AQ899" s="2">
        <v>0</v>
      </c>
    </row>
    <row r="900" spans="1:43" x14ac:dyDescent="0.25">
      <c r="A900" s="1">
        <v>45936</v>
      </c>
      <c r="B900" t="s">
        <v>48</v>
      </c>
      <c r="C900">
        <v>649163</v>
      </c>
      <c r="D900">
        <v>2030228488</v>
      </c>
      <c r="E900" t="s">
        <v>524</v>
      </c>
      <c r="F900" t="s">
        <v>915</v>
      </c>
      <c r="G900" t="s">
        <v>51</v>
      </c>
      <c r="H900" t="s">
        <v>52</v>
      </c>
      <c r="I900" t="s">
        <v>292</v>
      </c>
      <c r="J900" t="s">
        <v>536</v>
      </c>
      <c r="K900">
        <v>673059</v>
      </c>
      <c r="L900" t="s">
        <v>80</v>
      </c>
      <c r="M900" t="s">
        <v>81</v>
      </c>
      <c r="N900" t="s">
        <v>57</v>
      </c>
      <c r="O900" s="1">
        <v>45875</v>
      </c>
      <c r="Q900" s="1">
        <v>45967</v>
      </c>
      <c r="R900" s="2">
        <v>25.73</v>
      </c>
      <c r="S900">
        <v>1</v>
      </c>
      <c r="T900" t="s">
        <v>58</v>
      </c>
      <c r="U900" t="s">
        <v>359</v>
      </c>
      <c r="V900" s="3">
        <v>0.7</v>
      </c>
      <c r="W900" s="2">
        <v>0</v>
      </c>
      <c r="X900">
        <v>0</v>
      </c>
      <c r="Y900" t="s">
        <v>60</v>
      </c>
      <c r="Z900" t="s">
        <v>360</v>
      </c>
      <c r="AA900">
        <v>0</v>
      </c>
      <c r="AB900" s="2">
        <v>0</v>
      </c>
      <c r="AC900" s="2">
        <v>0</v>
      </c>
      <c r="AD900" s="3">
        <v>0</v>
      </c>
      <c r="AE900" s="2">
        <v>0</v>
      </c>
      <c r="AF900" s="2">
        <v>0</v>
      </c>
      <c r="AG900" s="2">
        <v>0</v>
      </c>
      <c r="AH900" s="2">
        <v>0</v>
      </c>
      <c r="AI900" s="2">
        <v>0</v>
      </c>
      <c r="AJ900" s="2">
        <v>0</v>
      </c>
      <c r="AK900" s="2">
        <v>0</v>
      </c>
      <c r="AL900" s="2">
        <v>18.010000000000002</v>
      </c>
      <c r="AM900" s="2">
        <v>0</v>
      </c>
      <c r="AN900" s="2">
        <v>0</v>
      </c>
      <c r="AO900" s="2">
        <v>0</v>
      </c>
      <c r="AP900" s="2">
        <v>0</v>
      </c>
      <c r="AQ900" s="2">
        <v>0</v>
      </c>
    </row>
    <row r="901" spans="1:43" x14ac:dyDescent="0.25">
      <c r="A901" s="1">
        <v>45936</v>
      </c>
      <c r="B901" t="s">
        <v>48</v>
      </c>
      <c r="C901">
        <v>649163</v>
      </c>
      <c r="D901">
        <v>2030245942</v>
      </c>
      <c r="E901" t="s">
        <v>1075</v>
      </c>
      <c r="F901" t="s">
        <v>1076</v>
      </c>
      <c r="G901" t="s">
        <v>51</v>
      </c>
      <c r="H901" t="s">
        <v>52</v>
      </c>
      <c r="I901" t="s">
        <v>292</v>
      </c>
      <c r="J901" t="s">
        <v>293</v>
      </c>
      <c r="K901">
        <v>856824</v>
      </c>
      <c r="L901" t="s">
        <v>298</v>
      </c>
      <c r="M901" t="s">
        <v>299</v>
      </c>
      <c r="N901" t="s">
        <v>456</v>
      </c>
      <c r="O901" s="1">
        <v>45870</v>
      </c>
      <c r="P901" s="1">
        <v>45936</v>
      </c>
      <c r="Q901" s="1">
        <v>45962</v>
      </c>
      <c r="R901" s="2">
        <v>-57.75</v>
      </c>
      <c r="S901">
        <v>1</v>
      </c>
      <c r="T901" t="s">
        <v>58</v>
      </c>
      <c r="U901" t="s">
        <v>359</v>
      </c>
      <c r="V901" s="3">
        <v>0.7</v>
      </c>
      <c r="W901" s="2">
        <v>0</v>
      </c>
      <c r="X901">
        <v>-1</v>
      </c>
      <c r="Y901" t="s">
        <v>60</v>
      </c>
      <c r="Z901" t="s">
        <v>360</v>
      </c>
      <c r="AA901">
        <v>0</v>
      </c>
      <c r="AB901" s="2">
        <v>0</v>
      </c>
      <c r="AC901" s="2">
        <v>0</v>
      </c>
      <c r="AD901" s="3">
        <v>0</v>
      </c>
      <c r="AE901" s="2">
        <v>0</v>
      </c>
      <c r="AF901" s="2">
        <v>0</v>
      </c>
      <c r="AG901" s="2">
        <v>0</v>
      </c>
      <c r="AH901" s="2">
        <v>0</v>
      </c>
      <c r="AI901" s="2">
        <v>0</v>
      </c>
      <c r="AJ901" s="2">
        <v>0</v>
      </c>
      <c r="AK901" s="2">
        <v>0</v>
      </c>
      <c r="AL901" s="2">
        <v>0</v>
      </c>
      <c r="AM901" s="2">
        <v>-40.42</v>
      </c>
      <c r="AN901" s="2">
        <v>-40.42</v>
      </c>
      <c r="AO901" s="2">
        <v>0</v>
      </c>
      <c r="AP901" s="2">
        <v>0</v>
      </c>
      <c r="AQ901" s="2">
        <v>0</v>
      </c>
    </row>
    <row r="902" spans="1:43" x14ac:dyDescent="0.25">
      <c r="A902" s="1">
        <v>45936</v>
      </c>
      <c r="B902" t="s">
        <v>48</v>
      </c>
      <c r="C902">
        <v>649163</v>
      </c>
      <c r="D902">
        <v>2030277548</v>
      </c>
      <c r="E902" t="s">
        <v>439</v>
      </c>
      <c r="F902" t="s">
        <v>440</v>
      </c>
      <c r="G902" t="s">
        <v>51</v>
      </c>
      <c r="H902" t="s">
        <v>247</v>
      </c>
      <c r="I902" t="s">
        <v>292</v>
      </c>
      <c r="J902" t="s">
        <v>536</v>
      </c>
      <c r="K902">
        <v>673059</v>
      </c>
      <c r="L902" t="s">
        <v>80</v>
      </c>
      <c r="M902" t="s">
        <v>81</v>
      </c>
      <c r="N902" t="s">
        <v>57</v>
      </c>
      <c r="O902" s="1">
        <v>45878</v>
      </c>
      <c r="Q902" s="1">
        <v>45970</v>
      </c>
      <c r="R902" s="2">
        <v>49.83</v>
      </c>
      <c r="S902">
        <v>1</v>
      </c>
      <c r="T902" t="s">
        <v>58</v>
      </c>
      <c r="U902" t="s">
        <v>359</v>
      </c>
      <c r="V902" s="3">
        <v>0.7</v>
      </c>
      <c r="W902" s="2">
        <v>0</v>
      </c>
      <c r="X902">
        <v>0</v>
      </c>
      <c r="Y902" t="s">
        <v>60</v>
      </c>
      <c r="Z902" t="s">
        <v>360</v>
      </c>
      <c r="AA902">
        <v>0</v>
      </c>
      <c r="AB902" s="2">
        <v>0</v>
      </c>
      <c r="AC902" s="2">
        <v>0</v>
      </c>
      <c r="AD902" s="3">
        <v>0</v>
      </c>
      <c r="AE902" s="2">
        <v>0</v>
      </c>
      <c r="AF902" s="2">
        <v>0</v>
      </c>
      <c r="AG902" s="2">
        <v>0</v>
      </c>
      <c r="AH902" s="2">
        <v>0</v>
      </c>
      <c r="AI902" s="2">
        <v>0</v>
      </c>
      <c r="AJ902" s="2">
        <v>0</v>
      </c>
      <c r="AK902" s="2">
        <v>0</v>
      </c>
      <c r="AL902" s="2">
        <v>34.880000000000003</v>
      </c>
      <c r="AM902" s="2">
        <v>0</v>
      </c>
      <c r="AN902" s="2">
        <v>0</v>
      </c>
      <c r="AO902" s="2">
        <v>0</v>
      </c>
      <c r="AP902" s="2">
        <v>0</v>
      </c>
      <c r="AQ902" s="2">
        <v>0</v>
      </c>
    </row>
    <row r="903" spans="1:43" x14ac:dyDescent="0.25">
      <c r="A903" s="1">
        <v>45936</v>
      </c>
      <c r="B903" t="s">
        <v>48</v>
      </c>
      <c r="C903">
        <v>649163</v>
      </c>
      <c r="D903">
        <v>2030277549</v>
      </c>
      <c r="E903" t="s">
        <v>439</v>
      </c>
      <c r="F903" t="s">
        <v>440</v>
      </c>
      <c r="G903" t="s">
        <v>51</v>
      </c>
      <c r="H903" t="s">
        <v>247</v>
      </c>
      <c r="I903" t="s">
        <v>292</v>
      </c>
      <c r="J903" t="s">
        <v>293</v>
      </c>
      <c r="K903">
        <v>673059</v>
      </c>
      <c r="L903" t="s">
        <v>80</v>
      </c>
      <c r="M903" t="s">
        <v>81</v>
      </c>
      <c r="N903" t="s">
        <v>57</v>
      </c>
      <c r="O903" s="1">
        <v>45878</v>
      </c>
      <c r="Q903" s="1">
        <v>45970</v>
      </c>
      <c r="R903" s="2">
        <v>188.08</v>
      </c>
      <c r="S903">
        <v>1</v>
      </c>
      <c r="T903" t="s">
        <v>58</v>
      </c>
      <c r="U903" t="s">
        <v>359</v>
      </c>
      <c r="V903" s="3">
        <v>0.7</v>
      </c>
      <c r="W903" s="2">
        <v>0</v>
      </c>
      <c r="X903">
        <v>0</v>
      </c>
      <c r="Y903" t="s">
        <v>60</v>
      </c>
      <c r="Z903" t="s">
        <v>360</v>
      </c>
      <c r="AA903">
        <v>0</v>
      </c>
      <c r="AB903" s="2">
        <v>0</v>
      </c>
      <c r="AC903" s="2">
        <v>0</v>
      </c>
      <c r="AD903" s="3">
        <v>0</v>
      </c>
      <c r="AE903" s="2">
        <v>0</v>
      </c>
      <c r="AF903" s="2">
        <v>0</v>
      </c>
      <c r="AG903" s="2">
        <v>0</v>
      </c>
      <c r="AH903" s="2">
        <v>0</v>
      </c>
      <c r="AI903" s="2">
        <v>0</v>
      </c>
      <c r="AJ903" s="2">
        <v>0</v>
      </c>
      <c r="AK903" s="2">
        <v>0</v>
      </c>
      <c r="AL903" s="2">
        <v>131.66</v>
      </c>
      <c r="AM903" s="2">
        <v>0</v>
      </c>
      <c r="AN903" s="2">
        <v>0</v>
      </c>
      <c r="AO903" s="2">
        <v>0</v>
      </c>
      <c r="AP903" s="2">
        <v>0</v>
      </c>
      <c r="AQ903" s="2">
        <v>0</v>
      </c>
    </row>
    <row r="904" spans="1:43" x14ac:dyDescent="0.25">
      <c r="A904" s="1">
        <v>45936</v>
      </c>
      <c r="B904" t="s">
        <v>48</v>
      </c>
      <c r="C904">
        <v>649163</v>
      </c>
      <c r="D904">
        <v>2030302641</v>
      </c>
      <c r="E904" t="s">
        <v>94</v>
      </c>
      <c r="F904" t="s">
        <v>1077</v>
      </c>
      <c r="G904" t="s">
        <v>51</v>
      </c>
      <c r="H904" t="s">
        <v>95</v>
      </c>
      <c r="I904" t="s">
        <v>292</v>
      </c>
      <c r="J904" t="s">
        <v>293</v>
      </c>
      <c r="K904">
        <v>822733</v>
      </c>
      <c r="L904" t="s">
        <v>269</v>
      </c>
      <c r="M904" t="s">
        <v>270</v>
      </c>
      <c r="N904" t="s">
        <v>57</v>
      </c>
      <c r="O904" s="1">
        <v>45876</v>
      </c>
      <c r="Q904" s="1">
        <v>45968</v>
      </c>
      <c r="R904" s="2">
        <v>45.46</v>
      </c>
      <c r="S904">
        <v>1</v>
      </c>
      <c r="T904" t="s">
        <v>58</v>
      </c>
      <c r="U904" t="s">
        <v>359</v>
      </c>
      <c r="V904" s="3">
        <v>0.7</v>
      </c>
      <c r="W904" s="2">
        <v>0</v>
      </c>
      <c r="X904">
        <v>0</v>
      </c>
      <c r="Y904" t="s">
        <v>60</v>
      </c>
      <c r="Z904" t="s">
        <v>360</v>
      </c>
      <c r="AA904">
        <v>0</v>
      </c>
      <c r="AB904" s="2">
        <v>0</v>
      </c>
      <c r="AC904" s="2">
        <v>0</v>
      </c>
      <c r="AD904" s="3">
        <v>0</v>
      </c>
      <c r="AE904" s="2">
        <v>0</v>
      </c>
      <c r="AF904" s="2">
        <v>0</v>
      </c>
      <c r="AG904" s="2">
        <v>0</v>
      </c>
      <c r="AH904" s="2">
        <v>0</v>
      </c>
      <c r="AI904" s="2">
        <v>0</v>
      </c>
      <c r="AJ904" s="2">
        <v>0</v>
      </c>
      <c r="AK904" s="2">
        <v>0</v>
      </c>
      <c r="AL904" s="2">
        <v>31.82</v>
      </c>
      <c r="AM904" s="2">
        <v>0</v>
      </c>
      <c r="AN904" s="2">
        <v>0</v>
      </c>
      <c r="AO904" s="2">
        <v>0</v>
      </c>
      <c r="AP904" s="2">
        <v>0</v>
      </c>
      <c r="AQ904" s="2">
        <v>0</v>
      </c>
    </row>
    <row r="905" spans="1:43" x14ac:dyDescent="0.25">
      <c r="A905" s="1">
        <v>45936</v>
      </c>
      <c r="B905" t="s">
        <v>48</v>
      </c>
      <c r="C905">
        <v>649163</v>
      </c>
      <c r="D905">
        <v>2030308661</v>
      </c>
      <c r="E905" t="s">
        <v>1078</v>
      </c>
      <c r="F905" t="s">
        <v>463</v>
      </c>
      <c r="G905" t="s">
        <v>51</v>
      </c>
      <c r="H905" t="s">
        <v>101</v>
      </c>
      <c r="I905" t="s">
        <v>292</v>
      </c>
      <c r="J905" t="s">
        <v>293</v>
      </c>
      <c r="K905">
        <v>812656</v>
      </c>
      <c r="L905" t="s">
        <v>509</v>
      </c>
      <c r="M905" t="s">
        <v>476</v>
      </c>
      <c r="N905" t="s">
        <v>57</v>
      </c>
      <c r="O905" s="1">
        <v>45874</v>
      </c>
      <c r="Q905" s="1">
        <v>45966</v>
      </c>
      <c r="R905" s="2">
        <v>190.44</v>
      </c>
      <c r="S905">
        <v>1</v>
      </c>
      <c r="T905" t="s">
        <v>58</v>
      </c>
      <c r="U905" t="s">
        <v>359</v>
      </c>
      <c r="V905" s="3">
        <v>0.7</v>
      </c>
      <c r="W905" s="2">
        <v>0</v>
      </c>
      <c r="X905">
        <v>0</v>
      </c>
      <c r="Y905" t="s">
        <v>60</v>
      </c>
      <c r="Z905" t="s">
        <v>360</v>
      </c>
      <c r="AA905">
        <v>0</v>
      </c>
      <c r="AB905" s="2">
        <v>0</v>
      </c>
      <c r="AC905" s="2">
        <v>0</v>
      </c>
      <c r="AD905" s="3">
        <v>0</v>
      </c>
      <c r="AE905" s="2">
        <v>0</v>
      </c>
      <c r="AF905" s="2">
        <v>0</v>
      </c>
      <c r="AG905" s="2">
        <v>0</v>
      </c>
      <c r="AH905" s="2">
        <v>0</v>
      </c>
      <c r="AI905" s="2">
        <v>0</v>
      </c>
      <c r="AJ905" s="2">
        <v>0</v>
      </c>
      <c r="AK905" s="2">
        <v>0</v>
      </c>
      <c r="AL905" s="2">
        <v>133.31</v>
      </c>
      <c r="AM905" s="2">
        <v>0</v>
      </c>
      <c r="AN905" s="2">
        <v>0</v>
      </c>
      <c r="AO905" s="2">
        <v>0</v>
      </c>
      <c r="AP905" s="2">
        <v>0</v>
      </c>
      <c r="AQ905" s="2">
        <v>0</v>
      </c>
    </row>
    <row r="906" spans="1:43" x14ac:dyDescent="0.25">
      <c r="A906" s="1">
        <v>45936</v>
      </c>
      <c r="B906" t="s">
        <v>48</v>
      </c>
      <c r="C906">
        <v>649163</v>
      </c>
      <c r="D906">
        <v>2030317595</v>
      </c>
      <c r="E906" t="s">
        <v>916</v>
      </c>
      <c r="F906" t="s">
        <v>745</v>
      </c>
      <c r="G906" t="s">
        <v>51</v>
      </c>
      <c r="H906" t="s">
        <v>101</v>
      </c>
      <c r="I906" t="s">
        <v>292</v>
      </c>
      <c r="J906" t="s">
        <v>293</v>
      </c>
      <c r="K906">
        <v>651818</v>
      </c>
      <c r="L906" t="s">
        <v>112</v>
      </c>
      <c r="M906" t="s">
        <v>104</v>
      </c>
      <c r="N906" t="s">
        <v>57</v>
      </c>
      <c r="O906" s="1">
        <v>45906</v>
      </c>
      <c r="Q906" s="1">
        <v>45967</v>
      </c>
      <c r="R906" s="2">
        <v>115.38</v>
      </c>
      <c r="S906">
        <v>1</v>
      </c>
      <c r="T906" t="s">
        <v>58</v>
      </c>
      <c r="U906" t="s">
        <v>359</v>
      </c>
      <c r="V906" s="3">
        <v>0.7</v>
      </c>
      <c r="W906" s="2">
        <v>0</v>
      </c>
      <c r="X906">
        <v>0</v>
      </c>
      <c r="Y906" t="s">
        <v>60</v>
      </c>
      <c r="Z906" t="s">
        <v>360</v>
      </c>
      <c r="AA906">
        <v>0</v>
      </c>
      <c r="AB906" s="2">
        <v>0</v>
      </c>
      <c r="AC906" s="2">
        <v>0</v>
      </c>
      <c r="AD906" s="3">
        <v>0</v>
      </c>
      <c r="AE906" s="2">
        <v>0</v>
      </c>
      <c r="AF906" s="2">
        <v>0</v>
      </c>
      <c r="AG906" s="2">
        <v>0</v>
      </c>
      <c r="AH906" s="2">
        <v>0</v>
      </c>
      <c r="AI906" s="2">
        <v>0</v>
      </c>
      <c r="AJ906" s="2">
        <v>0</v>
      </c>
      <c r="AK906" s="2">
        <v>0</v>
      </c>
      <c r="AL906" s="2">
        <v>80.77</v>
      </c>
      <c r="AM906" s="2">
        <v>0</v>
      </c>
      <c r="AN906" s="2">
        <v>0</v>
      </c>
      <c r="AO906" s="2">
        <v>0</v>
      </c>
      <c r="AP906" s="2">
        <v>0</v>
      </c>
      <c r="AQ906" s="2">
        <v>0</v>
      </c>
    </row>
    <row r="907" spans="1:43" x14ac:dyDescent="0.25">
      <c r="A907" s="1">
        <v>45936</v>
      </c>
      <c r="B907" t="s">
        <v>48</v>
      </c>
      <c r="C907">
        <v>649163</v>
      </c>
      <c r="D907">
        <v>2030329363</v>
      </c>
      <c r="E907" t="s">
        <v>648</v>
      </c>
      <c r="F907" t="s">
        <v>917</v>
      </c>
      <c r="G907" t="s">
        <v>51</v>
      </c>
      <c r="H907" t="s">
        <v>105</v>
      </c>
      <c r="I907" t="s">
        <v>292</v>
      </c>
      <c r="J907" t="s">
        <v>331</v>
      </c>
      <c r="K907">
        <v>823068</v>
      </c>
      <c r="L907" t="s">
        <v>106</v>
      </c>
      <c r="M907" t="s">
        <v>107</v>
      </c>
      <c r="N907" t="s">
        <v>57</v>
      </c>
      <c r="O907" s="1">
        <v>45878</v>
      </c>
      <c r="Q907" s="1">
        <v>45970</v>
      </c>
      <c r="R907" s="2">
        <v>43.86</v>
      </c>
      <c r="S907">
        <v>1</v>
      </c>
      <c r="T907" t="s">
        <v>58</v>
      </c>
      <c r="U907" t="s">
        <v>359</v>
      </c>
      <c r="V907" s="3">
        <v>0.42</v>
      </c>
      <c r="W907" s="2">
        <v>0</v>
      </c>
      <c r="X907">
        <v>0</v>
      </c>
      <c r="Y907" t="s">
        <v>60</v>
      </c>
      <c r="Z907" t="s">
        <v>360</v>
      </c>
      <c r="AA907">
        <v>0</v>
      </c>
      <c r="AB907" s="2">
        <v>0</v>
      </c>
      <c r="AC907" s="2">
        <v>0</v>
      </c>
      <c r="AD907" s="3">
        <v>0</v>
      </c>
      <c r="AE907" s="2">
        <v>0</v>
      </c>
      <c r="AF907" s="2">
        <v>0</v>
      </c>
      <c r="AG907" s="2">
        <v>0</v>
      </c>
      <c r="AH907" s="2">
        <v>0</v>
      </c>
      <c r="AI907" s="2">
        <v>0</v>
      </c>
      <c r="AJ907" s="2">
        <v>0</v>
      </c>
      <c r="AK907" s="2">
        <v>0</v>
      </c>
      <c r="AL907" s="2">
        <v>18.420000000000002</v>
      </c>
      <c r="AM907" s="2">
        <v>0</v>
      </c>
      <c r="AN907" s="2">
        <v>0</v>
      </c>
      <c r="AO907" s="2">
        <v>0</v>
      </c>
      <c r="AP907" s="2">
        <v>0</v>
      </c>
      <c r="AQ907" s="2">
        <v>0</v>
      </c>
    </row>
    <row r="908" spans="1:43" x14ac:dyDescent="0.25">
      <c r="A908" s="1">
        <v>45936</v>
      </c>
      <c r="B908" t="s">
        <v>48</v>
      </c>
      <c r="C908">
        <v>649163</v>
      </c>
      <c r="D908">
        <v>2030329364</v>
      </c>
      <c r="E908" t="s">
        <v>648</v>
      </c>
      <c r="F908" t="s">
        <v>917</v>
      </c>
      <c r="G908" t="s">
        <v>51</v>
      </c>
      <c r="H908" t="s">
        <v>105</v>
      </c>
      <c r="I908" t="s">
        <v>292</v>
      </c>
      <c r="J908" t="s">
        <v>536</v>
      </c>
      <c r="K908">
        <v>823068</v>
      </c>
      <c r="L908" t="s">
        <v>106</v>
      </c>
      <c r="M908" t="s">
        <v>107</v>
      </c>
      <c r="N908" t="s">
        <v>57</v>
      </c>
      <c r="O908" s="1">
        <v>45878</v>
      </c>
      <c r="Q908" s="1">
        <v>45970</v>
      </c>
      <c r="R908" s="2">
        <v>24.61</v>
      </c>
      <c r="S908">
        <v>1</v>
      </c>
      <c r="T908" t="s">
        <v>58</v>
      </c>
      <c r="U908" t="s">
        <v>359</v>
      </c>
      <c r="V908" s="3">
        <v>0.7</v>
      </c>
      <c r="W908" s="2">
        <v>0</v>
      </c>
      <c r="X908">
        <v>0</v>
      </c>
      <c r="Y908" t="s">
        <v>60</v>
      </c>
      <c r="Z908" t="s">
        <v>360</v>
      </c>
      <c r="AA908">
        <v>0</v>
      </c>
      <c r="AB908" s="2">
        <v>0</v>
      </c>
      <c r="AC908" s="2">
        <v>0</v>
      </c>
      <c r="AD908" s="3">
        <v>0</v>
      </c>
      <c r="AE908" s="2">
        <v>0</v>
      </c>
      <c r="AF908" s="2">
        <v>0</v>
      </c>
      <c r="AG908" s="2">
        <v>0</v>
      </c>
      <c r="AH908" s="2">
        <v>0</v>
      </c>
      <c r="AI908" s="2">
        <v>0</v>
      </c>
      <c r="AJ908" s="2">
        <v>0</v>
      </c>
      <c r="AK908" s="2">
        <v>0</v>
      </c>
      <c r="AL908" s="2">
        <v>17.23</v>
      </c>
      <c r="AM908" s="2">
        <v>0</v>
      </c>
      <c r="AN908" s="2">
        <v>0</v>
      </c>
      <c r="AO908" s="2">
        <v>0</v>
      </c>
      <c r="AP908" s="2">
        <v>0</v>
      </c>
      <c r="AQ908" s="2">
        <v>0</v>
      </c>
    </row>
    <row r="909" spans="1:43" x14ac:dyDescent="0.25">
      <c r="A909" s="1">
        <v>45936</v>
      </c>
      <c r="B909" t="s">
        <v>48</v>
      </c>
      <c r="C909">
        <v>649163</v>
      </c>
      <c r="D909">
        <v>2030334039</v>
      </c>
      <c r="E909" t="s">
        <v>1079</v>
      </c>
      <c r="F909" t="s">
        <v>118</v>
      </c>
      <c r="G909" t="s">
        <v>51</v>
      </c>
      <c r="H909" t="s">
        <v>724</v>
      </c>
      <c r="I909" t="s">
        <v>292</v>
      </c>
      <c r="J909" t="s">
        <v>295</v>
      </c>
      <c r="K909">
        <v>651818</v>
      </c>
      <c r="L909" t="s">
        <v>112</v>
      </c>
      <c r="M909" t="s">
        <v>104</v>
      </c>
      <c r="N909" t="s">
        <v>57</v>
      </c>
      <c r="O909" s="1">
        <v>45906</v>
      </c>
      <c r="Q909" s="1">
        <v>45967</v>
      </c>
      <c r="R909" s="2">
        <v>47.08</v>
      </c>
      <c r="S909">
        <v>1</v>
      </c>
      <c r="T909" t="s">
        <v>58</v>
      </c>
      <c r="U909" t="s">
        <v>359</v>
      </c>
      <c r="V909" s="3">
        <v>0.9</v>
      </c>
      <c r="W909" s="2">
        <v>0</v>
      </c>
      <c r="X909">
        <v>0</v>
      </c>
      <c r="Y909" t="s">
        <v>60</v>
      </c>
      <c r="Z909" t="s">
        <v>360</v>
      </c>
      <c r="AA909">
        <v>0</v>
      </c>
      <c r="AB909" s="2">
        <v>0</v>
      </c>
      <c r="AC909" s="2">
        <v>0</v>
      </c>
      <c r="AD909" s="3">
        <v>0</v>
      </c>
      <c r="AE909" s="2">
        <v>0</v>
      </c>
      <c r="AF909" s="2">
        <v>0</v>
      </c>
      <c r="AG909" s="2">
        <v>0</v>
      </c>
      <c r="AH909" s="2">
        <v>0</v>
      </c>
      <c r="AI909" s="2">
        <v>0</v>
      </c>
      <c r="AJ909" s="2">
        <v>0</v>
      </c>
      <c r="AK909" s="2">
        <v>0</v>
      </c>
      <c r="AL909" s="2">
        <v>42.37</v>
      </c>
      <c r="AM909" s="2">
        <v>0</v>
      </c>
      <c r="AN909" s="2">
        <v>0</v>
      </c>
      <c r="AO909" s="2">
        <v>0</v>
      </c>
      <c r="AP909" s="2">
        <v>0</v>
      </c>
      <c r="AQ909" s="2">
        <v>0</v>
      </c>
    </row>
    <row r="910" spans="1:43" x14ac:dyDescent="0.25">
      <c r="A910" s="1">
        <v>45936</v>
      </c>
      <c r="B910" t="s">
        <v>48</v>
      </c>
      <c r="C910">
        <v>649163</v>
      </c>
      <c r="D910">
        <v>2030334040</v>
      </c>
      <c r="E910" t="s">
        <v>1079</v>
      </c>
      <c r="F910" t="s">
        <v>118</v>
      </c>
      <c r="G910" t="s">
        <v>51</v>
      </c>
      <c r="H910" t="s">
        <v>724</v>
      </c>
      <c r="I910" t="s">
        <v>292</v>
      </c>
      <c r="J910" t="s">
        <v>293</v>
      </c>
      <c r="K910">
        <v>651818</v>
      </c>
      <c r="L910" t="s">
        <v>112</v>
      </c>
      <c r="M910" t="s">
        <v>104</v>
      </c>
      <c r="N910" t="s">
        <v>57</v>
      </c>
      <c r="O910" s="1">
        <v>45906</v>
      </c>
      <c r="Q910" s="1">
        <v>45967</v>
      </c>
      <c r="R910" s="2">
        <v>47.89</v>
      </c>
      <c r="S910">
        <v>1</v>
      </c>
      <c r="T910" t="s">
        <v>58</v>
      </c>
      <c r="U910" t="s">
        <v>359</v>
      </c>
      <c r="V910" s="3">
        <v>0.7</v>
      </c>
      <c r="W910" s="2">
        <v>0</v>
      </c>
      <c r="X910">
        <v>0</v>
      </c>
      <c r="Y910" t="s">
        <v>60</v>
      </c>
      <c r="Z910" t="s">
        <v>360</v>
      </c>
      <c r="AA910">
        <v>0</v>
      </c>
      <c r="AB910" s="2">
        <v>0</v>
      </c>
      <c r="AC910" s="2">
        <v>0</v>
      </c>
      <c r="AD910" s="3">
        <v>0</v>
      </c>
      <c r="AE910" s="2">
        <v>0</v>
      </c>
      <c r="AF910" s="2">
        <v>0</v>
      </c>
      <c r="AG910" s="2">
        <v>0</v>
      </c>
      <c r="AH910" s="2">
        <v>0</v>
      </c>
      <c r="AI910" s="2">
        <v>0</v>
      </c>
      <c r="AJ910" s="2">
        <v>0</v>
      </c>
      <c r="AK910" s="2">
        <v>0</v>
      </c>
      <c r="AL910" s="2">
        <v>33.520000000000003</v>
      </c>
      <c r="AM910" s="2">
        <v>0</v>
      </c>
      <c r="AN910" s="2">
        <v>0</v>
      </c>
      <c r="AO910" s="2">
        <v>0</v>
      </c>
      <c r="AP910" s="2">
        <v>0</v>
      </c>
      <c r="AQ910" s="2">
        <v>0</v>
      </c>
    </row>
    <row r="911" spans="1:43" x14ac:dyDescent="0.25">
      <c r="A911" s="1">
        <v>45936</v>
      </c>
      <c r="B911" t="s">
        <v>48</v>
      </c>
      <c r="C911">
        <v>649163</v>
      </c>
      <c r="D911">
        <v>2030336752</v>
      </c>
      <c r="E911" t="s">
        <v>918</v>
      </c>
      <c r="F911" t="s">
        <v>919</v>
      </c>
      <c r="G911" t="s">
        <v>51</v>
      </c>
      <c r="H911" t="s">
        <v>129</v>
      </c>
      <c r="I911" t="s">
        <v>292</v>
      </c>
      <c r="J911" t="s">
        <v>293</v>
      </c>
      <c r="K911">
        <v>651818</v>
      </c>
      <c r="L911" t="s">
        <v>112</v>
      </c>
      <c r="M911" t="s">
        <v>104</v>
      </c>
      <c r="N911" t="s">
        <v>57</v>
      </c>
      <c r="O911" s="1">
        <v>45906</v>
      </c>
      <c r="Q911" s="1">
        <v>45967</v>
      </c>
      <c r="R911" s="2">
        <v>31.88</v>
      </c>
      <c r="S911">
        <v>1</v>
      </c>
      <c r="T911" t="s">
        <v>58</v>
      </c>
      <c r="U911" t="s">
        <v>359</v>
      </c>
      <c r="V911" s="3">
        <v>0.7</v>
      </c>
      <c r="W911" s="2">
        <v>0</v>
      </c>
      <c r="X911">
        <v>0</v>
      </c>
      <c r="Y911" t="s">
        <v>60</v>
      </c>
      <c r="Z911" t="s">
        <v>360</v>
      </c>
      <c r="AA911">
        <v>0</v>
      </c>
      <c r="AB911" s="2">
        <v>0</v>
      </c>
      <c r="AC911" s="2">
        <v>0</v>
      </c>
      <c r="AD911" s="3">
        <v>0</v>
      </c>
      <c r="AE911" s="2">
        <v>0</v>
      </c>
      <c r="AF911" s="2">
        <v>0</v>
      </c>
      <c r="AG911" s="2">
        <v>0</v>
      </c>
      <c r="AH911" s="2">
        <v>0</v>
      </c>
      <c r="AI911" s="2">
        <v>0</v>
      </c>
      <c r="AJ911" s="2">
        <v>0</v>
      </c>
      <c r="AK911" s="2">
        <v>0</v>
      </c>
      <c r="AL911" s="2">
        <v>22.32</v>
      </c>
      <c r="AM911" s="2">
        <v>0</v>
      </c>
      <c r="AN911" s="2">
        <v>0</v>
      </c>
      <c r="AO911" s="2">
        <v>0</v>
      </c>
      <c r="AP911" s="2">
        <v>0</v>
      </c>
      <c r="AQ911" s="2">
        <v>0</v>
      </c>
    </row>
    <row r="912" spans="1:43" x14ac:dyDescent="0.25">
      <c r="A912" s="1">
        <v>45936</v>
      </c>
      <c r="B912" t="s">
        <v>48</v>
      </c>
      <c r="C912">
        <v>649163</v>
      </c>
      <c r="D912">
        <v>2030339441</v>
      </c>
      <c r="E912" t="s">
        <v>1080</v>
      </c>
      <c r="F912" t="s">
        <v>1081</v>
      </c>
      <c r="G912" t="s">
        <v>51</v>
      </c>
      <c r="H912" t="s">
        <v>101</v>
      </c>
      <c r="I912" t="s">
        <v>292</v>
      </c>
      <c r="J912" t="s">
        <v>293</v>
      </c>
      <c r="K912">
        <v>807212</v>
      </c>
      <c r="L912" t="s">
        <v>340</v>
      </c>
      <c r="M912" t="s">
        <v>341</v>
      </c>
      <c r="N912" t="s">
        <v>57</v>
      </c>
      <c r="O912" s="1">
        <v>45875</v>
      </c>
      <c r="Q912" s="1">
        <v>45967</v>
      </c>
      <c r="R912" s="2">
        <v>49.8</v>
      </c>
      <c r="S912">
        <v>1</v>
      </c>
      <c r="T912" t="s">
        <v>58</v>
      </c>
      <c r="U912" t="s">
        <v>359</v>
      </c>
      <c r="V912" s="3">
        <v>0.7</v>
      </c>
      <c r="W912" s="2">
        <v>0</v>
      </c>
      <c r="X912">
        <v>0</v>
      </c>
      <c r="Y912" t="s">
        <v>60</v>
      </c>
      <c r="Z912" t="s">
        <v>360</v>
      </c>
      <c r="AA912">
        <v>0</v>
      </c>
      <c r="AB912" s="2">
        <v>0</v>
      </c>
      <c r="AC912" s="2">
        <v>0</v>
      </c>
      <c r="AD912" s="3">
        <v>0</v>
      </c>
      <c r="AE912" s="2">
        <v>0</v>
      </c>
      <c r="AF912" s="2">
        <v>0</v>
      </c>
      <c r="AG912" s="2">
        <v>0</v>
      </c>
      <c r="AH912" s="2">
        <v>0</v>
      </c>
      <c r="AI912" s="2">
        <v>0</v>
      </c>
      <c r="AJ912" s="2">
        <v>0</v>
      </c>
      <c r="AK912" s="2">
        <v>0</v>
      </c>
      <c r="AL912" s="2">
        <v>34.86</v>
      </c>
      <c r="AM912" s="2">
        <v>0</v>
      </c>
      <c r="AN912" s="2">
        <v>0</v>
      </c>
      <c r="AO912" s="2">
        <v>0</v>
      </c>
      <c r="AP912" s="2">
        <v>0</v>
      </c>
      <c r="AQ912" s="2">
        <v>0</v>
      </c>
    </row>
    <row r="913" spans="1:43" x14ac:dyDescent="0.25">
      <c r="A913" s="1">
        <v>45936</v>
      </c>
      <c r="B913" t="s">
        <v>48</v>
      </c>
      <c r="C913">
        <v>649163</v>
      </c>
      <c r="D913">
        <v>2030340159</v>
      </c>
      <c r="E913" t="s">
        <v>920</v>
      </c>
      <c r="F913" t="s">
        <v>921</v>
      </c>
      <c r="G913" t="s">
        <v>51</v>
      </c>
      <c r="H913" t="s">
        <v>182</v>
      </c>
      <c r="I913" t="s">
        <v>292</v>
      </c>
      <c r="J913" t="s">
        <v>293</v>
      </c>
      <c r="K913">
        <v>673059</v>
      </c>
      <c r="L913" t="s">
        <v>80</v>
      </c>
      <c r="M913" t="s">
        <v>81</v>
      </c>
      <c r="N913" t="s">
        <v>57</v>
      </c>
      <c r="O913" s="1">
        <v>45901</v>
      </c>
      <c r="Q913" s="1">
        <v>45962</v>
      </c>
      <c r="R913" s="2">
        <v>101.15</v>
      </c>
      <c r="S913">
        <v>1</v>
      </c>
      <c r="T913" t="s">
        <v>58</v>
      </c>
      <c r="U913" t="s">
        <v>359</v>
      </c>
      <c r="V913" s="3">
        <v>0.7</v>
      </c>
      <c r="W913" s="2">
        <v>0</v>
      </c>
      <c r="X913">
        <v>0</v>
      </c>
      <c r="Y913" t="s">
        <v>60</v>
      </c>
      <c r="Z913" t="s">
        <v>360</v>
      </c>
      <c r="AA913">
        <v>0</v>
      </c>
      <c r="AB913" s="2">
        <v>0</v>
      </c>
      <c r="AC913" s="2">
        <v>0</v>
      </c>
      <c r="AD913" s="3">
        <v>0</v>
      </c>
      <c r="AE913" s="2">
        <v>0</v>
      </c>
      <c r="AF913" s="2">
        <v>0</v>
      </c>
      <c r="AG913" s="2">
        <v>0</v>
      </c>
      <c r="AH913" s="2">
        <v>0</v>
      </c>
      <c r="AI913" s="2">
        <v>0</v>
      </c>
      <c r="AJ913" s="2">
        <v>0</v>
      </c>
      <c r="AK913" s="2">
        <v>0</v>
      </c>
      <c r="AL913" s="2">
        <v>70.8</v>
      </c>
      <c r="AM913" s="2">
        <v>0</v>
      </c>
      <c r="AN913" s="2">
        <v>0</v>
      </c>
      <c r="AO913" s="2">
        <v>0</v>
      </c>
      <c r="AP913" s="2">
        <v>0</v>
      </c>
      <c r="AQ913" s="2">
        <v>0</v>
      </c>
    </row>
    <row r="914" spans="1:43" x14ac:dyDescent="0.25">
      <c r="A914" s="1">
        <v>45936</v>
      </c>
      <c r="B914" t="s">
        <v>48</v>
      </c>
      <c r="C914">
        <v>649163</v>
      </c>
      <c r="D914">
        <v>2030345986</v>
      </c>
      <c r="E914" t="s">
        <v>94</v>
      </c>
      <c r="F914" t="s">
        <v>922</v>
      </c>
      <c r="G914" t="s">
        <v>51</v>
      </c>
      <c r="H914" t="s">
        <v>105</v>
      </c>
      <c r="I914" t="s">
        <v>292</v>
      </c>
      <c r="J914" t="s">
        <v>536</v>
      </c>
      <c r="K914">
        <v>823068</v>
      </c>
      <c r="L914" t="s">
        <v>106</v>
      </c>
      <c r="M914" t="s">
        <v>107</v>
      </c>
      <c r="N914" t="s">
        <v>57</v>
      </c>
      <c r="O914" s="1">
        <v>45876</v>
      </c>
      <c r="Q914" s="1">
        <v>45968</v>
      </c>
      <c r="R914" s="2">
        <v>24.61</v>
      </c>
      <c r="S914">
        <v>1</v>
      </c>
      <c r="T914" t="s">
        <v>58</v>
      </c>
      <c r="U914" t="s">
        <v>359</v>
      </c>
      <c r="V914" s="3">
        <v>0.7</v>
      </c>
      <c r="W914" s="2">
        <v>0</v>
      </c>
      <c r="X914">
        <v>0</v>
      </c>
      <c r="Y914" t="s">
        <v>60</v>
      </c>
      <c r="Z914" t="s">
        <v>360</v>
      </c>
      <c r="AA914">
        <v>0</v>
      </c>
      <c r="AB914" s="2">
        <v>0</v>
      </c>
      <c r="AC914" s="2">
        <v>0</v>
      </c>
      <c r="AD914" s="3">
        <v>0</v>
      </c>
      <c r="AE914" s="2">
        <v>0</v>
      </c>
      <c r="AF914" s="2">
        <v>0</v>
      </c>
      <c r="AG914" s="2">
        <v>0</v>
      </c>
      <c r="AH914" s="2">
        <v>0</v>
      </c>
      <c r="AI914" s="2">
        <v>0</v>
      </c>
      <c r="AJ914" s="2">
        <v>0</v>
      </c>
      <c r="AK914" s="2">
        <v>0</v>
      </c>
      <c r="AL914" s="2">
        <v>17.23</v>
      </c>
      <c r="AM914" s="2">
        <v>0</v>
      </c>
      <c r="AN914" s="2">
        <v>0</v>
      </c>
      <c r="AO914" s="2">
        <v>0</v>
      </c>
      <c r="AP914" s="2">
        <v>0</v>
      </c>
      <c r="AQ914" s="2">
        <v>0</v>
      </c>
    </row>
    <row r="915" spans="1:43" x14ac:dyDescent="0.25">
      <c r="A915" s="1">
        <v>45936</v>
      </c>
      <c r="B915" t="s">
        <v>48</v>
      </c>
      <c r="C915">
        <v>649163</v>
      </c>
      <c r="D915">
        <v>2030359699</v>
      </c>
      <c r="E915" t="s">
        <v>1082</v>
      </c>
      <c r="F915" t="s">
        <v>1083</v>
      </c>
      <c r="G915" t="s">
        <v>51</v>
      </c>
      <c r="H915" t="s">
        <v>101</v>
      </c>
      <c r="I915" t="s">
        <v>292</v>
      </c>
      <c r="J915" t="s">
        <v>293</v>
      </c>
      <c r="K915">
        <v>807212</v>
      </c>
      <c r="L915" t="s">
        <v>340</v>
      </c>
      <c r="M915" t="s">
        <v>341</v>
      </c>
      <c r="N915" t="s">
        <v>57</v>
      </c>
      <c r="O915" s="1">
        <v>45876</v>
      </c>
      <c r="Q915" s="1">
        <v>45968</v>
      </c>
      <c r="R915" s="2">
        <v>58.24</v>
      </c>
      <c r="S915">
        <v>1</v>
      </c>
      <c r="T915" t="s">
        <v>58</v>
      </c>
      <c r="U915" t="s">
        <v>359</v>
      </c>
      <c r="V915" s="3">
        <v>0.7</v>
      </c>
      <c r="W915" s="2">
        <v>0</v>
      </c>
      <c r="X915">
        <v>0</v>
      </c>
      <c r="Y915" t="s">
        <v>60</v>
      </c>
      <c r="Z915" t="s">
        <v>360</v>
      </c>
      <c r="AA915">
        <v>0</v>
      </c>
      <c r="AB915" s="2">
        <v>0</v>
      </c>
      <c r="AC915" s="2">
        <v>0</v>
      </c>
      <c r="AD915" s="3">
        <v>0</v>
      </c>
      <c r="AE915" s="2">
        <v>0</v>
      </c>
      <c r="AF915" s="2">
        <v>0</v>
      </c>
      <c r="AG915" s="2">
        <v>0</v>
      </c>
      <c r="AH915" s="2">
        <v>0</v>
      </c>
      <c r="AI915" s="2">
        <v>0</v>
      </c>
      <c r="AJ915" s="2">
        <v>0</v>
      </c>
      <c r="AK915" s="2">
        <v>0</v>
      </c>
      <c r="AL915" s="2">
        <v>40.770000000000003</v>
      </c>
      <c r="AM915" s="2">
        <v>0</v>
      </c>
      <c r="AN915" s="2">
        <v>0</v>
      </c>
      <c r="AO915" s="2">
        <v>0</v>
      </c>
      <c r="AP915" s="2">
        <v>0</v>
      </c>
      <c r="AQ915" s="2">
        <v>0</v>
      </c>
    </row>
    <row r="916" spans="1:43" x14ac:dyDescent="0.25">
      <c r="A916" s="1">
        <v>45936</v>
      </c>
      <c r="B916" t="s">
        <v>48</v>
      </c>
      <c r="C916">
        <v>649163</v>
      </c>
      <c r="D916">
        <v>2030366106</v>
      </c>
      <c r="E916" t="s">
        <v>377</v>
      </c>
      <c r="F916" t="s">
        <v>923</v>
      </c>
      <c r="G916" t="s">
        <v>51</v>
      </c>
      <c r="H916" t="s">
        <v>52</v>
      </c>
      <c r="I916" t="s">
        <v>292</v>
      </c>
      <c r="J916" t="s">
        <v>293</v>
      </c>
      <c r="K916">
        <v>651818</v>
      </c>
      <c r="L916" t="s">
        <v>112</v>
      </c>
      <c r="M916" t="s">
        <v>104</v>
      </c>
      <c r="N916" t="s">
        <v>57</v>
      </c>
      <c r="O916" s="1">
        <v>45878</v>
      </c>
      <c r="Q916" s="1">
        <v>45970</v>
      </c>
      <c r="R916" s="2">
        <v>28.38</v>
      </c>
      <c r="S916">
        <v>1</v>
      </c>
      <c r="T916" t="s">
        <v>58</v>
      </c>
      <c r="U916" t="s">
        <v>359</v>
      </c>
      <c r="V916" s="3">
        <v>0.7</v>
      </c>
      <c r="W916" s="2">
        <v>0</v>
      </c>
      <c r="X916">
        <v>0</v>
      </c>
      <c r="Y916" t="s">
        <v>60</v>
      </c>
      <c r="Z916" t="s">
        <v>360</v>
      </c>
      <c r="AA916">
        <v>0</v>
      </c>
      <c r="AB916" s="2">
        <v>0</v>
      </c>
      <c r="AC916" s="2">
        <v>0</v>
      </c>
      <c r="AD916" s="3">
        <v>0</v>
      </c>
      <c r="AE916" s="2">
        <v>0</v>
      </c>
      <c r="AF916" s="2">
        <v>0</v>
      </c>
      <c r="AG916" s="2">
        <v>0</v>
      </c>
      <c r="AH916" s="2">
        <v>0</v>
      </c>
      <c r="AI916" s="2">
        <v>0</v>
      </c>
      <c r="AJ916" s="2">
        <v>0</v>
      </c>
      <c r="AK916" s="2">
        <v>0</v>
      </c>
      <c r="AL916" s="2">
        <v>19.87</v>
      </c>
      <c r="AM916" s="2">
        <v>0</v>
      </c>
      <c r="AN916" s="2">
        <v>0</v>
      </c>
      <c r="AO916" s="2">
        <v>0</v>
      </c>
      <c r="AP916" s="2">
        <v>0</v>
      </c>
      <c r="AQ916" s="2">
        <v>0</v>
      </c>
    </row>
    <row r="917" spans="1:43" x14ac:dyDescent="0.25">
      <c r="A917" s="1">
        <v>45936</v>
      </c>
      <c r="B917" t="s">
        <v>48</v>
      </c>
      <c r="C917">
        <v>649163</v>
      </c>
      <c r="D917">
        <v>2030367108</v>
      </c>
      <c r="E917" t="s">
        <v>608</v>
      </c>
      <c r="F917" t="s">
        <v>1084</v>
      </c>
      <c r="G917" t="s">
        <v>51</v>
      </c>
      <c r="H917" t="s">
        <v>382</v>
      </c>
      <c r="I917" t="s">
        <v>292</v>
      </c>
      <c r="J917" t="s">
        <v>293</v>
      </c>
      <c r="K917">
        <v>650218</v>
      </c>
      <c r="L917" t="s">
        <v>237</v>
      </c>
      <c r="M917" t="s">
        <v>238</v>
      </c>
      <c r="N917" t="s">
        <v>57</v>
      </c>
      <c r="O917" s="1">
        <v>45877</v>
      </c>
      <c r="Q917" s="1">
        <v>45969</v>
      </c>
      <c r="R917" s="2">
        <v>10.82</v>
      </c>
      <c r="S917">
        <v>1</v>
      </c>
      <c r="T917" t="s">
        <v>58</v>
      </c>
      <c r="U917" t="s">
        <v>359</v>
      </c>
      <c r="V917" s="3">
        <v>0.7</v>
      </c>
      <c r="W917" s="2">
        <v>0</v>
      </c>
      <c r="X917">
        <v>0</v>
      </c>
      <c r="Y917" t="s">
        <v>60</v>
      </c>
      <c r="Z917" t="s">
        <v>360</v>
      </c>
      <c r="AA917">
        <v>0</v>
      </c>
      <c r="AB917" s="2">
        <v>0</v>
      </c>
      <c r="AC917" s="2">
        <v>0</v>
      </c>
      <c r="AD917" s="3">
        <v>0</v>
      </c>
      <c r="AE917" s="2">
        <v>0</v>
      </c>
      <c r="AF917" s="2">
        <v>0</v>
      </c>
      <c r="AG917" s="2">
        <v>0</v>
      </c>
      <c r="AH917" s="2">
        <v>0</v>
      </c>
      <c r="AI917" s="2">
        <v>0</v>
      </c>
      <c r="AJ917" s="2">
        <v>0</v>
      </c>
      <c r="AK917" s="2">
        <v>0</v>
      </c>
      <c r="AL917" s="2">
        <v>7.57</v>
      </c>
      <c r="AM917" s="2">
        <v>0</v>
      </c>
      <c r="AN917" s="2">
        <v>0</v>
      </c>
      <c r="AO917" s="2">
        <v>0</v>
      </c>
      <c r="AP917" s="2">
        <v>0</v>
      </c>
      <c r="AQ917" s="2">
        <v>0</v>
      </c>
    </row>
    <row r="918" spans="1:43" x14ac:dyDescent="0.25">
      <c r="A918" s="1">
        <v>45936</v>
      </c>
      <c r="B918" t="s">
        <v>48</v>
      </c>
      <c r="C918">
        <v>649163</v>
      </c>
      <c r="D918">
        <v>2030376028</v>
      </c>
      <c r="E918" t="s">
        <v>1085</v>
      </c>
      <c r="F918" t="s">
        <v>1086</v>
      </c>
      <c r="G918" t="s">
        <v>51</v>
      </c>
      <c r="H918" t="s">
        <v>203</v>
      </c>
      <c r="I918" t="s">
        <v>292</v>
      </c>
      <c r="J918" t="s">
        <v>295</v>
      </c>
      <c r="K918">
        <v>816021</v>
      </c>
      <c r="L918" t="s">
        <v>265</v>
      </c>
      <c r="M918" t="s">
        <v>266</v>
      </c>
      <c r="N918" t="s">
        <v>57</v>
      </c>
      <c r="O918" s="1">
        <v>45877</v>
      </c>
      <c r="Q918" s="1">
        <v>45969</v>
      </c>
      <c r="R918" s="2">
        <v>73</v>
      </c>
      <c r="S918">
        <v>1</v>
      </c>
      <c r="T918" t="s">
        <v>58</v>
      </c>
      <c r="U918" t="s">
        <v>359</v>
      </c>
      <c r="V918" s="3">
        <v>0.9</v>
      </c>
      <c r="W918" s="2">
        <v>0</v>
      </c>
      <c r="X918">
        <v>0</v>
      </c>
      <c r="Y918" t="s">
        <v>60</v>
      </c>
      <c r="Z918" t="s">
        <v>360</v>
      </c>
      <c r="AA918">
        <v>0</v>
      </c>
      <c r="AB918" s="2">
        <v>0</v>
      </c>
      <c r="AC918" s="2">
        <v>0</v>
      </c>
      <c r="AD918" s="3">
        <v>0</v>
      </c>
      <c r="AE918" s="2">
        <v>0</v>
      </c>
      <c r="AF918" s="2">
        <v>0</v>
      </c>
      <c r="AG918" s="2">
        <v>0</v>
      </c>
      <c r="AH918" s="2">
        <v>0</v>
      </c>
      <c r="AI918" s="2">
        <v>0</v>
      </c>
      <c r="AJ918" s="2">
        <v>0</v>
      </c>
      <c r="AK918" s="2">
        <v>0</v>
      </c>
      <c r="AL918" s="2">
        <v>65.7</v>
      </c>
      <c r="AM918" s="2">
        <v>0</v>
      </c>
      <c r="AN918" s="2">
        <v>0</v>
      </c>
      <c r="AO918" s="2">
        <v>0</v>
      </c>
      <c r="AP918" s="2">
        <v>0</v>
      </c>
      <c r="AQ918" s="2">
        <v>0</v>
      </c>
    </row>
    <row r="919" spans="1:43" x14ac:dyDescent="0.25">
      <c r="A919" s="1">
        <v>45936</v>
      </c>
      <c r="B919" t="s">
        <v>48</v>
      </c>
      <c r="C919">
        <v>649163</v>
      </c>
      <c r="D919">
        <v>2030395015</v>
      </c>
      <c r="E919" t="s">
        <v>445</v>
      </c>
      <c r="F919" t="s">
        <v>446</v>
      </c>
      <c r="G919" t="s">
        <v>51</v>
      </c>
      <c r="H919" t="s">
        <v>203</v>
      </c>
      <c r="I919" t="s">
        <v>292</v>
      </c>
      <c r="J919" t="s">
        <v>293</v>
      </c>
      <c r="K919">
        <v>796984</v>
      </c>
      <c r="L919" t="s">
        <v>204</v>
      </c>
      <c r="M919" t="s">
        <v>205</v>
      </c>
      <c r="N919" t="s">
        <v>57</v>
      </c>
      <c r="O919" s="1">
        <v>45878</v>
      </c>
      <c r="Q919" s="1">
        <v>45970</v>
      </c>
      <c r="R919" s="2">
        <v>9.1</v>
      </c>
      <c r="S919">
        <v>1</v>
      </c>
      <c r="T919" t="s">
        <v>58</v>
      </c>
      <c r="U919" t="s">
        <v>359</v>
      </c>
      <c r="V919" s="3">
        <v>0.7</v>
      </c>
      <c r="W919" s="2">
        <v>0</v>
      </c>
      <c r="X919">
        <v>0</v>
      </c>
      <c r="Y919" t="s">
        <v>60</v>
      </c>
      <c r="Z919" t="s">
        <v>360</v>
      </c>
      <c r="AA919">
        <v>0</v>
      </c>
      <c r="AB919" s="2">
        <v>0</v>
      </c>
      <c r="AC919" s="2">
        <v>0</v>
      </c>
      <c r="AD919" s="3">
        <v>0</v>
      </c>
      <c r="AE919" s="2">
        <v>0</v>
      </c>
      <c r="AF919" s="2">
        <v>0</v>
      </c>
      <c r="AG919" s="2">
        <v>0</v>
      </c>
      <c r="AH919" s="2">
        <v>0</v>
      </c>
      <c r="AI919" s="2">
        <v>0</v>
      </c>
      <c r="AJ919" s="2">
        <v>0</v>
      </c>
      <c r="AK919" s="2">
        <v>0</v>
      </c>
      <c r="AL919" s="2">
        <v>6.37</v>
      </c>
      <c r="AM919" s="2">
        <v>0</v>
      </c>
      <c r="AN919" s="2">
        <v>0</v>
      </c>
      <c r="AO919" s="2">
        <v>0</v>
      </c>
      <c r="AP919" s="2">
        <v>0</v>
      </c>
      <c r="AQ919" s="2">
        <v>0</v>
      </c>
    </row>
    <row r="920" spans="1:43" x14ac:dyDescent="0.25">
      <c r="A920" s="1">
        <v>45936</v>
      </c>
      <c r="B920" t="s">
        <v>48</v>
      </c>
      <c r="C920">
        <v>649163</v>
      </c>
      <c r="D920">
        <v>2030399995</v>
      </c>
      <c r="E920" t="s">
        <v>447</v>
      </c>
      <c r="F920" t="s">
        <v>139</v>
      </c>
      <c r="G920" t="s">
        <v>51</v>
      </c>
      <c r="H920" t="s">
        <v>101</v>
      </c>
      <c r="I920" t="s">
        <v>292</v>
      </c>
      <c r="J920" t="s">
        <v>293</v>
      </c>
      <c r="K920">
        <v>824062</v>
      </c>
      <c r="L920" t="s">
        <v>273</v>
      </c>
      <c r="M920" t="s">
        <v>274</v>
      </c>
      <c r="N920" t="s">
        <v>57</v>
      </c>
      <c r="O920" s="1">
        <v>45878</v>
      </c>
      <c r="Q920" s="1">
        <v>45970</v>
      </c>
      <c r="R920" s="2">
        <v>99.19</v>
      </c>
      <c r="S920">
        <v>1</v>
      </c>
      <c r="T920" t="s">
        <v>58</v>
      </c>
      <c r="U920" t="s">
        <v>359</v>
      </c>
      <c r="V920" s="3">
        <v>0.7</v>
      </c>
      <c r="W920" s="2">
        <v>0</v>
      </c>
      <c r="X920">
        <v>0</v>
      </c>
      <c r="Y920" t="s">
        <v>60</v>
      </c>
      <c r="Z920" t="s">
        <v>360</v>
      </c>
      <c r="AA920">
        <v>0</v>
      </c>
      <c r="AB920" s="2">
        <v>0</v>
      </c>
      <c r="AC920" s="2">
        <v>0</v>
      </c>
      <c r="AD920" s="3">
        <v>0</v>
      </c>
      <c r="AE920" s="2">
        <v>0</v>
      </c>
      <c r="AF920" s="2">
        <v>0</v>
      </c>
      <c r="AG920" s="2">
        <v>0</v>
      </c>
      <c r="AH920" s="2">
        <v>0</v>
      </c>
      <c r="AI920" s="2">
        <v>0</v>
      </c>
      <c r="AJ920" s="2">
        <v>0</v>
      </c>
      <c r="AK920" s="2">
        <v>0</v>
      </c>
      <c r="AL920" s="2">
        <v>69.430000000000007</v>
      </c>
      <c r="AM920" s="2">
        <v>0</v>
      </c>
      <c r="AN920" s="2">
        <v>0</v>
      </c>
      <c r="AO920" s="2">
        <v>0</v>
      </c>
      <c r="AP920" s="2">
        <v>0</v>
      </c>
      <c r="AQ920" s="2">
        <v>0</v>
      </c>
    </row>
    <row r="921" spans="1:43" x14ac:dyDescent="0.25">
      <c r="A921" s="1">
        <v>45936</v>
      </c>
      <c r="B921" t="s">
        <v>48</v>
      </c>
      <c r="C921">
        <v>649163</v>
      </c>
      <c r="D921">
        <v>2030399996</v>
      </c>
      <c r="E921" t="s">
        <v>447</v>
      </c>
      <c r="F921" t="s">
        <v>139</v>
      </c>
      <c r="G921" t="s">
        <v>51</v>
      </c>
      <c r="H921" t="s">
        <v>101</v>
      </c>
      <c r="I921" t="s">
        <v>292</v>
      </c>
      <c r="J921" t="s">
        <v>295</v>
      </c>
      <c r="K921">
        <v>824062</v>
      </c>
      <c r="L921" t="s">
        <v>273</v>
      </c>
      <c r="M921" t="s">
        <v>274</v>
      </c>
      <c r="N921" t="s">
        <v>57</v>
      </c>
      <c r="O921" s="1">
        <v>45878</v>
      </c>
      <c r="Q921" s="1">
        <v>45970</v>
      </c>
      <c r="R921" s="2">
        <v>258.5</v>
      </c>
      <c r="S921">
        <v>1</v>
      </c>
      <c r="T921" t="s">
        <v>58</v>
      </c>
      <c r="U921" t="s">
        <v>359</v>
      </c>
      <c r="V921" s="3">
        <v>0.9</v>
      </c>
      <c r="W921" s="2">
        <v>0</v>
      </c>
      <c r="X921">
        <v>0</v>
      </c>
      <c r="Y921" t="s">
        <v>60</v>
      </c>
      <c r="Z921" t="s">
        <v>360</v>
      </c>
      <c r="AA921">
        <v>0</v>
      </c>
      <c r="AB921" s="2">
        <v>0</v>
      </c>
      <c r="AC921" s="2">
        <v>0</v>
      </c>
      <c r="AD921" s="3">
        <v>0</v>
      </c>
      <c r="AE921" s="2">
        <v>0</v>
      </c>
      <c r="AF921" s="2">
        <v>0</v>
      </c>
      <c r="AG921" s="2">
        <v>0</v>
      </c>
      <c r="AH921" s="2">
        <v>0</v>
      </c>
      <c r="AI921" s="2">
        <v>0</v>
      </c>
      <c r="AJ921" s="2">
        <v>0</v>
      </c>
      <c r="AK921" s="2">
        <v>0</v>
      </c>
      <c r="AL921" s="2">
        <v>232.65</v>
      </c>
      <c r="AM921" s="2">
        <v>0</v>
      </c>
      <c r="AN921" s="2">
        <v>0</v>
      </c>
      <c r="AO921" s="2">
        <v>0</v>
      </c>
      <c r="AP921" s="2">
        <v>0</v>
      </c>
      <c r="AQ921" s="2">
        <v>0</v>
      </c>
    </row>
    <row r="922" spans="1:43" x14ac:dyDescent="0.25">
      <c r="A922" s="1">
        <v>45936</v>
      </c>
      <c r="B922" t="s">
        <v>48</v>
      </c>
      <c r="C922">
        <v>649163</v>
      </c>
      <c r="D922">
        <v>2030404321</v>
      </c>
      <c r="E922" t="s">
        <v>1087</v>
      </c>
      <c r="F922" t="s">
        <v>1088</v>
      </c>
      <c r="G922" t="s">
        <v>51</v>
      </c>
      <c r="H922" t="s">
        <v>670</v>
      </c>
      <c r="I922" t="s">
        <v>292</v>
      </c>
      <c r="J922" t="s">
        <v>293</v>
      </c>
      <c r="K922">
        <v>822865</v>
      </c>
      <c r="L922" t="s">
        <v>146</v>
      </c>
      <c r="M922" t="s">
        <v>147</v>
      </c>
      <c r="N922" t="s">
        <v>57</v>
      </c>
      <c r="O922" s="1">
        <v>45878</v>
      </c>
      <c r="Q922" s="1">
        <v>45970</v>
      </c>
      <c r="R922" s="2">
        <v>11.5</v>
      </c>
      <c r="S922">
        <v>1</v>
      </c>
      <c r="T922" t="s">
        <v>58</v>
      </c>
      <c r="U922" t="s">
        <v>359</v>
      </c>
      <c r="V922" s="3">
        <v>0.7</v>
      </c>
      <c r="W922" s="2">
        <v>0</v>
      </c>
      <c r="X922">
        <v>0</v>
      </c>
      <c r="Y922" t="s">
        <v>60</v>
      </c>
      <c r="Z922" t="s">
        <v>360</v>
      </c>
      <c r="AA922">
        <v>0</v>
      </c>
      <c r="AB922" s="2">
        <v>0</v>
      </c>
      <c r="AC922" s="2">
        <v>0</v>
      </c>
      <c r="AD922" s="3">
        <v>0</v>
      </c>
      <c r="AE922" s="2">
        <v>0</v>
      </c>
      <c r="AF922" s="2">
        <v>0</v>
      </c>
      <c r="AG922" s="2">
        <v>0</v>
      </c>
      <c r="AH922" s="2">
        <v>0</v>
      </c>
      <c r="AI922" s="2">
        <v>0</v>
      </c>
      <c r="AJ922" s="2">
        <v>0</v>
      </c>
      <c r="AK922" s="2">
        <v>0</v>
      </c>
      <c r="AL922" s="2">
        <v>8.0500000000000007</v>
      </c>
      <c r="AM922" s="2">
        <v>0</v>
      </c>
      <c r="AN922" s="2">
        <v>0</v>
      </c>
      <c r="AO922" s="2">
        <v>0</v>
      </c>
      <c r="AP922" s="2">
        <v>0</v>
      </c>
      <c r="AQ922" s="2">
        <v>0</v>
      </c>
    </row>
    <row r="923" spans="1:43" x14ac:dyDescent="0.25">
      <c r="A923" s="1">
        <v>45936</v>
      </c>
      <c r="B923" t="s">
        <v>48</v>
      </c>
      <c r="C923">
        <v>649163</v>
      </c>
      <c r="D923">
        <v>2030405975</v>
      </c>
      <c r="E923" t="s">
        <v>839</v>
      </c>
      <c r="F923" t="s">
        <v>1089</v>
      </c>
      <c r="G923" t="s">
        <v>51</v>
      </c>
      <c r="H923" t="s">
        <v>182</v>
      </c>
      <c r="I923" t="s">
        <v>292</v>
      </c>
      <c r="J923" t="s">
        <v>293</v>
      </c>
      <c r="K923">
        <v>856824</v>
      </c>
      <c r="L923" t="s">
        <v>298</v>
      </c>
      <c r="M923" t="s">
        <v>299</v>
      </c>
      <c r="N923" t="s">
        <v>57</v>
      </c>
      <c r="O923" s="1">
        <v>45901</v>
      </c>
      <c r="Q923" s="1">
        <v>45962</v>
      </c>
      <c r="R923" s="2">
        <v>85.98</v>
      </c>
      <c r="S923">
        <v>1</v>
      </c>
      <c r="T923" t="s">
        <v>58</v>
      </c>
      <c r="U923" t="s">
        <v>359</v>
      </c>
      <c r="V923" s="3">
        <v>0.7</v>
      </c>
      <c r="W923" s="2">
        <v>0</v>
      </c>
      <c r="X923">
        <v>0</v>
      </c>
      <c r="Y923" t="s">
        <v>60</v>
      </c>
      <c r="Z923" t="s">
        <v>360</v>
      </c>
      <c r="AA923">
        <v>0</v>
      </c>
      <c r="AB923" s="2">
        <v>0</v>
      </c>
      <c r="AC923" s="2">
        <v>0</v>
      </c>
      <c r="AD923" s="3">
        <v>0</v>
      </c>
      <c r="AE923" s="2">
        <v>0</v>
      </c>
      <c r="AF923" s="2">
        <v>0</v>
      </c>
      <c r="AG923" s="2">
        <v>0</v>
      </c>
      <c r="AH923" s="2">
        <v>0</v>
      </c>
      <c r="AI923" s="2">
        <v>0</v>
      </c>
      <c r="AJ923" s="2">
        <v>0</v>
      </c>
      <c r="AK923" s="2">
        <v>0</v>
      </c>
      <c r="AL923" s="2">
        <v>60.19</v>
      </c>
      <c r="AM923" s="2">
        <v>0</v>
      </c>
      <c r="AN923" s="2">
        <v>0</v>
      </c>
      <c r="AO923" s="2">
        <v>0</v>
      </c>
      <c r="AP923" s="2">
        <v>0</v>
      </c>
      <c r="AQ923" s="2">
        <v>0</v>
      </c>
    </row>
    <row r="924" spans="1:43" x14ac:dyDescent="0.25">
      <c r="A924" s="1">
        <v>45936</v>
      </c>
      <c r="B924" t="s">
        <v>48</v>
      </c>
      <c r="C924">
        <v>649163</v>
      </c>
      <c r="D924">
        <v>2030406800</v>
      </c>
      <c r="E924" t="s">
        <v>926</v>
      </c>
      <c r="F924" t="s">
        <v>927</v>
      </c>
      <c r="G924" t="s">
        <v>51</v>
      </c>
      <c r="H924" t="s">
        <v>203</v>
      </c>
      <c r="I924" t="s">
        <v>292</v>
      </c>
      <c r="J924" t="s">
        <v>293</v>
      </c>
      <c r="K924">
        <v>796984</v>
      </c>
      <c r="L924" t="s">
        <v>204</v>
      </c>
      <c r="M924" t="s">
        <v>205</v>
      </c>
      <c r="N924" t="s">
        <v>57</v>
      </c>
      <c r="O924" s="1">
        <v>45878</v>
      </c>
      <c r="Q924" s="1">
        <v>45970</v>
      </c>
      <c r="R924" s="2">
        <v>9.1</v>
      </c>
      <c r="S924">
        <v>1</v>
      </c>
      <c r="T924" t="s">
        <v>58</v>
      </c>
      <c r="U924" t="s">
        <v>359</v>
      </c>
      <c r="V924" s="3">
        <v>0.7</v>
      </c>
      <c r="W924" s="2">
        <v>0</v>
      </c>
      <c r="X924">
        <v>0</v>
      </c>
      <c r="Y924" t="s">
        <v>60</v>
      </c>
      <c r="Z924" t="s">
        <v>360</v>
      </c>
      <c r="AA924">
        <v>0</v>
      </c>
      <c r="AB924" s="2">
        <v>0</v>
      </c>
      <c r="AC924" s="2">
        <v>0</v>
      </c>
      <c r="AD924" s="3">
        <v>0</v>
      </c>
      <c r="AE924" s="2">
        <v>0</v>
      </c>
      <c r="AF924" s="2">
        <v>0</v>
      </c>
      <c r="AG924" s="2">
        <v>0</v>
      </c>
      <c r="AH924" s="2">
        <v>0</v>
      </c>
      <c r="AI924" s="2">
        <v>0</v>
      </c>
      <c r="AJ924" s="2">
        <v>0</v>
      </c>
      <c r="AK924" s="2">
        <v>0</v>
      </c>
      <c r="AL924" s="2">
        <v>6.37</v>
      </c>
      <c r="AM924" s="2">
        <v>0</v>
      </c>
      <c r="AN924" s="2">
        <v>0</v>
      </c>
      <c r="AO924" s="2">
        <v>0</v>
      </c>
      <c r="AP924" s="2">
        <v>0</v>
      </c>
      <c r="AQ924" s="2">
        <v>0</v>
      </c>
    </row>
    <row r="925" spans="1:43" x14ac:dyDescent="0.25">
      <c r="A925" s="1">
        <v>45936</v>
      </c>
      <c r="B925" t="s">
        <v>48</v>
      </c>
      <c r="C925">
        <v>649163</v>
      </c>
      <c r="D925">
        <v>2030435038</v>
      </c>
      <c r="E925" t="s">
        <v>368</v>
      </c>
      <c r="F925" t="s">
        <v>928</v>
      </c>
      <c r="G925" t="s">
        <v>51</v>
      </c>
      <c r="H925" t="s">
        <v>159</v>
      </c>
      <c r="I925" t="s">
        <v>292</v>
      </c>
      <c r="J925" t="s">
        <v>536</v>
      </c>
      <c r="K925">
        <v>651818</v>
      </c>
      <c r="L925" t="s">
        <v>112</v>
      </c>
      <c r="M925" t="s">
        <v>104</v>
      </c>
      <c r="N925" t="s">
        <v>57</v>
      </c>
      <c r="O925" s="1">
        <v>45907</v>
      </c>
      <c r="Q925" s="1">
        <v>45968</v>
      </c>
      <c r="R925" s="2">
        <v>21.44</v>
      </c>
      <c r="S925">
        <v>1</v>
      </c>
      <c r="T925" t="s">
        <v>58</v>
      </c>
      <c r="U925" t="s">
        <v>359</v>
      </c>
      <c r="V925" s="3">
        <v>0.7</v>
      </c>
      <c r="W925" s="2">
        <v>0</v>
      </c>
      <c r="X925">
        <v>0</v>
      </c>
      <c r="Y925" t="s">
        <v>60</v>
      </c>
      <c r="Z925" t="s">
        <v>360</v>
      </c>
      <c r="AA925">
        <v>0</v>
      </c>
      <c r="AB925" s="2">
        <v>0</v>
      </c>
      <c r="AC925" s="2">
        <v>0</v>
      </c>
      <c r="AD925" s="3">
        <v>0</v>
      </c>
      <c r="AE925" s="2">
        <v>0</v>
      </c>
      <c r="AF925" s="2">
        <v>0</v>
      </c>
      <c r="AG925" s="2">
        <v>0</v>
      </c>
      <c r="AH925" s="2">
        <v>0</v>
      </c>
      <c r="AI925" s="2">
        <v>0</v>
      </c>
      <c r="AJ925" s="2">
        <v>0</v>
      </c>
      <c r="AK925" s="2">
        <v>0</v>
      </c>
      <c r="AL925" s="2">
        <v>15.01</v>
      </c>
      <c r="AM925" s="2">
        <v>0</v>
      </c>
      <c r="AN925" s="2">
        <v>0</v>
      </c>
      <c r="AO925" s="2">
        <v>0</v>
      </c>
      <c r="AP925" s="2">
        <v>0</v>
      </c>
      <c r="AQ925" s="2">
        <v>0</v>
      </c>
    </row>
    <row r="926" spans="1:43" x14ac:dyDescent="0.25">
      <c r="A926" s="1">
        <v>45936</v>
      </c>
      <c r="B926" t="s">
        <v>48</v>
      </c>
      <c r="C926">
        <v>649163</v>
      </c>
      <c r="D926">
        <v>2030443827</v>
      </c>
      <c r="E926" t="s">
        <v>930</v>
      </c>
      <c r="F926" t="s">
        <v>931</v>
      </c>
      <c r="G926" t="s">
        <v>51</v>
      </c>
      <c r="H926" t="s">
        <v>110</v>
      </c>
      <c r="I926" t="s">
        <v>292</v>
      </c>
      <c r="J926" t="s">
        <v>293</v>
      </c>
      <c r="K926">
        <v>651818</v>
      </c>
      <c r="L926" t="s">
        <v>112</v>
      </c>
      <c r="M926" t="s">
        <v>104</v>
      </c>
      <c r="N926" t="s">
        <v>57</v>
      </c>
      <c r="O926" s="1">
        <v>45907</v>
      </c>
      <c r="Q926" s="1">
        <v>45968</v>
      </c>
      <c r="R926" s="2">
        <v>101.25</v>
      </c>
      <c r="S926">
        <v>1</v>
      </c>
      <c r="T926" t="s">
        <v>58</v>
      </c>
      <c r="U926" t="s">
        <v>359</v>
      </c>
      <c r="V926" s="3">
        <v>0.7</v>
      </c>
      <c r="W926" s="2">
        <v>0</v>
      </c>
      <c r="X926">
        <v>0</v>
      </c>
      <c r="Y926" t="s">
        <v>60</v>
      </c>
      <c r="Z926" t="s">
        <v>360</v>
      </c>
      <c r="AA926">
        <v>0</v>
      </c>
      <c r="AB926" s="2">
        <v>0</v>
      </c>
      <c r="AC926" s="2">
        <v>0</v>
      </c>
      <c r="AD926" s="3">
        <v>0</v>
      </c>
      <c r="AE926" s="2">
        <v>0</v>
      </c>
      <c r="AF926" s="2">
        <v>0</v>
      </c>
      <c r="AG926" s="2">
        <v>0</v>
      </c>
      <c r="AH926" s="2">
        <v>0</v>
      </c>
      <c r="AI926" s="2">
        <v>0</v>
      </c>
      <c r="AJ926" s="2">
        <v>0</v>
      </c>
      <c r="AK926" s="2">
        <v>0</v>
      </c>
      <c r="AL926" s="2">
        <v>70.88</v>
      </c>
      <c r="AM926" s="2">
        <v>0</v>
      </c>
      <c r="AN926" s="2">
        <v>0</v>
      </c>
      <c r="AO926" s="2">
        <v>0</v>
      </c>
      <c r="AP926" s="2">
        <v>0</v>
      </c>
      <c r="AQ926" s="2">
        <v>0</v>
      </c>
    </row>
    <row r="927" spans="1:43" x14ac:dyDescent="0.25">
      <c r="A927" s="1">
        <v>45936</v>
      </c>
      <c r="B927" t="s">
        <v>48</v>
      </c>
      <c r="C927">
        <v>649163</v>
      </c>
      <c r="D927">
        <v>2030477514</v>
      </c>
      <c r="E927" t="s">
        <v>933</v>
      </c>
      <c r="F927" t="s">
        <v>934</v>
      </c>
      <c r="G927" t="s">
        <v>51</v>
      </c>
      <c r="H927" t="s">
        <v>119</v>
      </c>
      <c r="I927" t="s">
        <v>292</v>
      </c>
      <c r="J927" t="s">
        <v>293</v>
      </c>
      <c r="K927">
        <v>651818</v>
      </c>
      <c r="L927" t="s">
        <v>112</v>
      </c>
      <c r="M927" t="s">
        <v>104</v>
      </c>
      <c r="N927" t="s">
        <v>57</v>
      </c>
      <c r="O927" s="1">
        <v>45906</v>
      </c>
      <c r="Q927" s="1">
        <v>45967</v>
      </c>
      <c r="R927" s="2">
        <v>19</v>
      </c>
      <c r="S927">
        <v>1</v>
      </c>
      <c r="T927" t="s">
        <v>58</v>
      </c>
      <c r="U927" t="s">
        <v>359</v>
      </c>
      <c r="V927" s="3">
        <v>0.7</v>
      </c>
      <c r="W927" s="2">
        <v>0</v>
      </c>
      <c r="X927">
        <v>0</v>
      </c>
      <c r="Y927" t="s">
        <v>60</v>
      </c>
      <c r="Z927" t="s">
        <v>360</v>
      </c>
      <c r="AA927">
        <v>0</v>
      </c>
      <c r="AB927" s="2">
        <v>0</v>
      </c>
      <c r="AC927" s="2">
        <v>0</v>
      </c>
      <c r="AD927" s="3">
        <v>0</v>
      </c>
      <c r="AE927" s="2">
        <v>0</v>
      </c>
      <c r="AF927" s="2">
        <v>0</v>
      </c>
      <c r="AG927" s="2">
        <v>0</v>
      </c>
      <c r="AH927" s="2">
        <v>0</v>
      </c>
      <c r="AI927" s="2">
        <v>0</v>
      </c>
      <c r="AJ927" s="2">
        <v>0</v>
      </c>
      <c r="AK927" s="2">
        <v>0</v>
      </c>
      <c r="AL927" s="2">
        <v>13.3</v>
      </c>
      <c r="AM927" s="2">
        <v>0</v>
      </c>
      <c r="AN927" s="2">
        <v>0</v>
      </c>
      <c r="AO927" s="2">
        <v>0</v>
      </c>
      <c r="AP927" s="2">
        <v>0</v>
      </c>
      <c r="AQ927" s="2">
        <v>0</v>
      </c>
    </row>
    <row r="928" spans="1:43" x14ac:dyDescent="0.25">
      <c r="A928" s="1">
        <v>45936</v>
      </c>
      <c r="B928" t="s">
        <v>48</v>
      </c>
      <c r="C928">
        <v>649163</v>
      </c>
      <c r="D928">
        <v>2030479537</v>
      </c>
      <c r="E928" t="s">
        <v>1090</v>
      </c>
      <c r="F928" t="s">
        <v>971</v>
      </c>
      <c r="G928" t="s">
        <v>51</v>
      </c>
      <c r="H928" t="s">
        <v>52</v>
      </c>
      <c r="I928" t="s">
        <v>292</v>
      </c>
      <c r="J928" t="s">
        <v>293</v>
      </c>
      <c r="K928">
        <v>651818</v>
      </c>
      <c r="L928" t="s">
        <v>112</v>
      </c>
      <c r="M928" t="s">
        <v>104</v>
      </c>
      <c r="N928" t="s">
        <v>57</v>
      </c>
      <c r="O928" s="1">
        <v>45906</v>
      </c>
      <c r="Q928" s="1">
        <v>45967</v>
      </c>
      <c r="R928" s="2">
        <v>38.31</v>
      </c>
      <c r="S928">
        <v>1</v>
      </c>
      <c r="T928" t="s">
        <v>58</v>
      </c>
      <c r="U928" t="s">
        <v>359</v>
      </c>
      <c r="V928" s="3">
        <v>0.7</v>
      </c>
      <c r="W928" s="2">
        <v>0</v>
      </c>
      <c r="X928">
        <v>0</v>
      </c>
      <c r="Y928" t="s">
        <v>60</v>
      </c>
      <c r="Z928" t="s">
        <v>360</v>
      </c>
      <c r="AA928">
        <v>0</v>
      </c>
      <c r="AB928" s="2">
        <v>0</v>
      </c>
      <c r="AC928" s="2">
        <v>0</v>
      </c>
      <c r="AD928" s="3">
        <v>0</v>
      </c>
      <c r="AE928" s="2">
        <v>0</v>
      </c>
      <c r="AF928" s="2">
        <v>0</v>
      </c>
      <c r="AG928" s="2">
        <v>0</v>
      </c>
      <c r="AH928" s="2">
        <v>0</v>
      </c>
      <c r="AI928" s="2">
        <v>0</v>
      </c>
      <c r="AJ928" s="2">
        <v>0</v>
      </c>
      <c r="AK928" s="2">
        <v>0</v>
      </c>
      <c r="AL928" s="2">
        <v>26.82</v>
      </c>
      <c r="AM928" s="2">
        <v>0</v>
      </c>
      <c r="AN928" s="2">
        <v>0</v>
      </c>
      <c r="AO928" s="2">
        <v>0</v>
      </c>
      <c r="AP928" s="2">
        <v>0</v>
      </c>
      <c r="AQ928" s="2">
        <v>0</v>
      </c>
    </row>
    <row r="929" spans="1:43" x14ac:dyDescent="0.25">
      <c r="A929" s="1">
        <v>45936</v>
      </c>
      <c r="B929" t="s">
        <v>48</v>
      </c>
      <c r="C929">
        <v>649163</v>
      </c>
      <c r="D929">
        <v>2030500796</v>
      </c>
      <c r="E929" t="s">
        <v>935</v>
      </c>
      <c r="F929" t="s">
        <v>936</v>
      </c>
      <c r="G929" t="s">
        <v>51</v>
      </c>
      <c r="H929" t="s">
        <v>101</v>
      </c>
      <c r="I929" t="s">
        <v>292</v>
      </c>
      <c r="J929" t="s">
        <v>293</v>
      </c>
      <c r="K929">
        <v>673059</v>
      </c>
      <c r="L929" t="s">
        <v>80</v>
      </c>
      <c r="M929" t="s">
        <v>81</v>
      </c>
      <c r="N929" t="s">
        <v>57</v>
      </c>
      <c r="O929" s="1">
        <v>45901</v>
      </c>
      <c r="Q929" s="1">
        <v>45962</v>
      </c>
      <c r="R929" s="2">
        <v>119.57</v>
      </c>
      <c r="S929">
        <v>1</v>
      </c>
      <c r="T929" t="s">
        <v>58</v>
      </c>
      <c r="U929" t="s">
        <v>359</v>
      </c>
      <c r="V929" s="3">
        <v>0.7</v>
      </c>
      <c r="W929" s="2">
        <v>0</v>
      </c>
      <c r="X929">
        <v>0</v>
      </c>
      <c r="Y929" t="s">
        <v>60</v>
      </c>
      <c r="Z929" t="s">
        <v>360</v>
      </c>
      <c r="AA929">
        <v>0</v>
      </c>
      <c r="AB929" s="2">
        <v>0</v>
      </c>
      <c r="AC929" s="2">
        <v>0</v>
      </c>
      <c r="AD929" s="3">
        <v>0</v>
      </c>
      <c r="AE929" s="2">
        <v>0</v>
      </c>
      <c r="AF929" s="2">
        <v>0</v>
      </c>
      <c r="AG929" s="2">
        <v>0</v>
      </c>
      <c r="AH929" s="2">
        <v>0</v>
      </c>
      <c r="AI929" s="2">
        <v>0</v>
      </c>
      <c r="AJ929" s="2">
        <v>0</v>
      </c>
      <c r="AK929" s="2">
        <v>0</v>
      </c>
      <c r="AL929" s="2">
        <v>83.7</v>
      </c>
      <c r="AM929" s="2">
        <v>0</v>
      </c>
      <c r="AN929" s="2">
        <v>0</v>
      </c>
      <c r="AO929" s="2">
        <v>0</v>
      </c>
      <c r="AP929" s="2">
        <v>0</v>
      </c>
      <c r="AQ929" s="2">
        <v>0</v>
      </c>
    </row>
    <row r="930" spans="1:43" x14ac:dyDescent="0.25">
      <c r="A930" s="1">
        <v>45936</v>
      </c>
      <c r="B930" t="s">
        <v>48</v>
      </c>
      <c r="C930">
        <v>649163</v>
      </c>
      <c r="D930">
        <v>2030517070</v>
      </c>
      <c r="E930" t="s">
        <v>937</v>
      </c>
      <c r="F930" t="s">
        <v>938</v>
      </c>
      <c r="G930" t="s">
        <v>51</v>
      </c>
      <c r="H930" t="s">
        <v>129</v>
      </c>
      <c r="I930" t="s">
        <v>292</v>
      </c>
      <c r="J930" t="s">
        <v>293</v>
      </c>
      <c r="K930">
        <v>651818</v>
      </c>
      <c r="L930" t="s">
        <v>112</v>
      </c>
      <c r="M930" t="s">
        <v>104</v>
      </c>
      <c r="N930" t="s">
        <v>57</v>
      </c>
      <c r="O930" s="1">
        <v>45907</v>
      </c>
      <c r="Q930" s="1">
        <v>45968</v>
      </c>
      <c r="R930" s="2">
        <v>20.420000000000002</v>
      </c>
      <c r="S930">
        <v>1</v>
      </c>
      <c r="T930" t="s">
        <v>58</v>
      </c>
      <c r="U930" t="s">
        <v>359</v>
      </c>
      <c r="V930" s="3">
        <v>0.7</v>
      </c>
      <c r="W930" s="2">
        <v>0</v>
      </c>
      <c r="X930">
        <v>0</v>
      </c>
      <c r="Y930" t="s">
        <v>60</v>
      </c>
      <c r="Z930" t="s">
        <v>360</v>
      </c>
      <c r="AA930">
        <v>0</v>
      </c>
      <c r="AB930" s="2">
        <v>0</v>
      </c>
      <c r="AC930" s="2">
        <v>0</v>
      </c>
      <c r="AD930" s="3">
        <v>0</v>
      </c>
      <c r="AE930" s="2">
        <v>0</v>
      </c>
      <c r="AF930" s="2">
        <v>0</v>
      </c>
      <c r="AG930" s="2">
        <v>0</v>
      </c>
      <c r="AH930" s="2">
        <v>0</v>
      </c>
      <c r="AI930" s="2">
        <v>0</v>
      </c>
      <c r="AJ930" s="2">
        <v>0</v>
      </c>
      <c r="AK930" s="2">
        <v>0</v>
      </c>
      <c r="AL930" s="2">
        <v>14.29</v>
      </c>
      <c r="AM930" s="2">
        <v>0</v>
      </c>
      <c r="AN930" s="2">
        <v>0</v>
      </c>
      <c r="AO930" s="2">
        <v>0</v>
      </c>
      <c r="AP930" s="2">
        <v>0</v>
      </c>
      <c r="AQ930" s="2">
        <v>0</v>
      </c>
    </row>
    <row r="931" spans="1:43" x14ac:dyDescent="0.25">
      <c r="A931" s="1">
        <v>45936</v>
      </c>
      <c r="B931" t="s">
        <v>48</v>
      </c>
      <c r="C931">
        <v>649163</v>
      </c>
      <c r="D931">
        <v>2030517073</v>
      </c>
      <c r="E931" t="s">
        <v>937</v>
      </c>
      <c r="F931" t="s">
        <v>938</v>
      </c>
      <c r="G931" t="s">
        <v>51</v>
      </c>
      <c r="H931" t="s">
        <v>129</v>
      </c>
      <c r="I931" t="s">
        <v>292</v>
      </c>
      <c r="J931" t="s">
        <v>295</v>
      </c>
      <c r="K931">
        <v>651818</v>
      </c>
      <c r="L931" t="s">
        <v>112</v>
      </c>
      <c r="M931" t="s">
        <v>104</v>
      </c>
      <c r="N931" t="s">
        <v>57</v>
      </c>
      <c r="O931" s="1">
        <v>45907</v>
      </c>
      <c r="Q931" s="1">
        <v>45968</v>
      </c>
      <c r="R931" s="2">
        <v>25</v>
      </c>
      <c r="S931">
        <v>1</v>
      </c>
      <c r="T931" t="s">
        <v>58</v>
      </c>
      <c r="U931" t="s">
        <v>359</v>
      </c>
      <c r="V931" s="3">
        <v>0.9</v>
      </c>
      <c r="W931" s="2">
        <v>0</v>
      </c>
      <c r="X931">
        <v>0</v>
      </c>
      <c r="Y931" t="s">
        <v>60</v>
      </c>
      <c r="Z931" t="s">
        <v>360</v>
      </c>
      <c r="AA931">
        <v>0</v>
      </c>
      <c r="AB931" s="2">
        <v>0</v>
      </c>
      <c r="AC931" s="2">
        <v>0</v>
      </c>
      <c r="AD931" s="3">
        <v>0</v>
      </c>
      <c r="AE931" s="2">
        <v>0</v>
      </c>
      <c r="AF931" s="2">
        <v>0</v>
      </c>
      <c r="AG931" s="2">
        <v>0</v>
      </c>
      <c r="AH931" s="2">
        <v>0</v>
      </c>
      <c r="AI931" s="2">
        <v>0</v>
      </c>
      <c r="AJ931" s="2">
        <v>0</v>
      </c>
      <c r="AK931" s="2">
        <v>0</v>
      </c>
      <c r="AL931" s="2">
        <v>22.5</v>
      </c>
      <c r="AM931" s="2">
        <v>0</v>
      </c>
      <c r="AN931" s="2">
        <v>0</v>
      </c>
      <c r="AO931" s="2">
        <v>0</v>
      </c>
      <c r="AP931" s="2">
        <v>0</v>
      </c>
      <c r="AQ931" s="2">
        <v>0</v>
      </c>
    </row>
    <row r="932" spans="1:43" x14ac:dyDescent="0.25">
      <c r="A932" s="1">
        <v>45936</v>
      </c>
      <c r="B932" t="s">
        <v>48</v>
      </c>
      <c r="C932">
        <v>649163</v>
      </c>
      <c r="D932">
        <v>2030518949</v>
      </c>
      <c r="E932" t="s">
        <v>939</v>
      </c>
      <c r="F932" t="s">
        <v>940</v>
      </c>
      <c r="G932" t="s">
        <v>51</v>
      </c>
      <c r="H932" t="s">
        <v>159</v>
      </c>
      <c r="I932" t="s">
        <v>292</v>
      </c>
      <c r="J932" t="s">
        <v>536</v>
      </c>
      <c r="K932">
        <v>651818</v>
      </c>
      <c r="L932" t="s">
        <v>112</v>
      </c>
      <c r="M932" t="s">
        <v>104</v>
      </c>
      <c r="N932" t="s">
        <v>57</v>
      </c>
      <c r="O932" s="1">
        <v>45907</v>
      </c>
      <c r="Q932" s="1">
        <v>45968</v>
      </c>
      <c r="R932" s="2">
        <v>21.44</v>
      </c>
      <c r="S932">
        <v>1</v>
      </c>
      <c r="T932" t="s">
        <v>58</v>
      </c>
      <c r="U932" t="s">
        <v>359</v>
      </c>
      <c r="V932" s="3">
        <v>0.7</v>
      </c>
      <c r="W932" s="2">
        <v>0</v>
      </c>
      <c r="X932">
        <v>0</v>
      </c>
      <c r="Y932" t="s">
        <v>60</v>
      </c>
      <c r="Z932" t="s">
        <v>360</v>
      </c>
      <c r="AA932">
        <v>0</v>
      </c>
      <c r="AB932" s="2">
        <v>0</v>
      </c>
      <c r="AC932" s="2">
        <v>0</v>
      </c>
      <c r="AD932" s="3">
        <v>0</v>
      </c>
      <c r="AE932" s="2">
        <v>0</v>
      </c>
      <c r="AF932" s="2">
        <v>0</v>
      </c>
      <c r="AG932" s="2">
        <v>0</v>
      </c>
      <c r="AH932" s="2">
        <v>0</v>
      </c>
      <c r="AI932" s="2">
        <v>0</v>
      </c>
      <c r="AJ932" s="2">
        <v>0</v>
      </c>
      <c r="AK932" s="2">
        <v>0</v>
      </c>
      <c r="AL932" s="2">
        <v>15.01</v>
      </c>
      <c r="AM932" s="2">
        <v>0</v>
      </c>
      <c r="AN932" s="2">
        <v>0</v>
      </c>
      <c r="AO932" s="2">
        <v>0</v>
      </c>
      <c r="AP932" s="2">
        <v>0</v>
      </c>
      <c r="AQ932" s="2">
        <v>0</v>
      </c>
    </row>
    <row r="933" spans="1:43" x14ac:dyDescent="0.25">
      <c r="A933" s="1">
        <v>45936</v>
      </c>
      <c r="B933" t="s">
        <v>48</v>
      </c>
      <c r="C933">
        <v>649163</v>
      </c>
      <c r="D933">
        <v>2030543058</v>
      </c>
      <c r="E933" t="s">
        <v>1091</v>
      </c>
      <c r="F933" t="s">
        <v>1092</v>
      </c>
      <c r="G933" t="s">
        <v>51</v>
      </c>
      <c r="H933" t="s">
        <v>79</v>
      </c>
      <c r="I933" t="s">
        <v>292</v>
      </c>
      <c r="J933" t="s">
        <v>293</v>
      </c>
      <c r="K933">
        <v>867497</v>
      </c>
      <c r="L933" t="s">
        <v>1093</v>
      </c>
      <c r="M933" t="s">
        <v>1094</v>
      </c>
      <c r="N933" t="s">
        <v>57</v>
      </c>
      <c r="O933" s="1">
        <v>45901</v>
      </c>
      <c r="Q933" s="1">
        <v>45962</v>
      </c>
      <c r="R933" s="2">
        <v>-39.03</v>
      </c>
      <c r="S933">
        <v>1</v>
      </c>
      <c r="T933" t="s">
        <v>58</v>
      </c>
      <c r="U933" t="s">
        <v>359</v>
      </c>
      <c r="V933" s="3">
        <v>0.7</v>
      </c>
      <c r="W933" s="2">
        <v>0</v>
      </c>
      <c r="X933">
        <v>-1</v>
      </c>
      <c r="Y933" t="s">
        <v>60</v>
      </c>
      <c r="Z933" t="s">
        <v>360</v>
      </c>
      <c r="AA933">
        <v>0</v>
      </c>
      <c r="AB933" s="2">
        <v>0</v>
      </c>
      <c r="AC933" s="2">
        <v>0</v>
      </c>
      <c r="AD933" s="3">
        <v>0</v>
      </c>
      <c r="AE933" s="2">
        <v>0</v>
      </c>
      <c r="AF933" s="2">
        <v>0</v>
      </c>
      <c r="AG933" s="2">
        <v>0</v>
      </c>
      <c r="AH933" s="2">
        <v>0</v>
      </c>
      <c r="AI933" s="2">
        <v>0</v>
      </c>
      <c r="AJ933" s="2">
        <v>0</v>
      </c>
      <c r="AK933" s="2">
        <v>0</v>
      </c>
      <c r="AL933" s="2">
        <v>0</v>
      </c>
      <c r="AM933" s="2">
        <v>-27.32</v>
      </c>
      <c r="AN933" s="2">
        <v>-27.32</v>
      </c>
      <c r="AO933" s="2">
        <v>0</v>
      </c>
      <c r="AP933" s="2">
        <v>0</v>
      </c>
      <c r="AQ933" s="2">
        <v>0</v>
      </c>
    </row>
    <row r="934" spans="1:43" x14ac:dyDescent="0.25">
      <c r="A934" s="1">
        <v>45936</v>
      </c>
      <c r="B934" t="s">
        <v>48</v>
      </c>
      <c r="C934">
        <v>649163</v>
      </c>
      <c r="D934">
        <v>2030641192</v>
      </c>
      <c r="E934" t="s">
        <v>941</v>
      </c>
      <c r="F934" t="s">
        <v>593</v>
      </c>
      <c r="G934" t="s">
        <v>51</v>
      </c>
      <c r="H934" t="s">
        <v>88</v>
      </c>
      <c r="I934" t="s">
        <v>292</v>
      </c>
      <c r="J934" t="s">
        <v>293</v>
      </c>
      <c r="K934">
        <v>651818</v>
      </c>
      <c r="L934" t="s">
        <v>112</v>
      </c>
      <c r="M934" t="s">
        <v>104</v>
      </c>
      <c r="N934" t="s">
        <v>57</v>
      </c>
      <c r="O934" s="1">
        <v>45906</v>
      </c>
      <c r="Q934" s="1">
        <v>45967</v>
      </c>
      <c r="R934" s="2">
        <v>19.100000000000001</v>
      </c>
      <c r="S934">
        <v>1</v>
      </c>
      <c r="T934" t="s">
        <v>58</v>
      </c>
      <c r="U934" t="s">
        <v>359</v>
      </c>
      <c r="V934" s="3">
        <v>0.7</v>
      </c>
      <c r="W934" s="2">
        <v>0</v>
      </c>
      <c r="X934">
        <v>0</v>
      </c>
      <c r="Y934" t="s">
        <v>60</v>
      </c>
      <c r="Z934" t="s">
        <v>360</v>
      </c>
      <c r="AA934">
        <v>0</v>
      </c>
      <c r="AB934" s="2">
        <v>0</v>
      </c>
      <c r="AC934" s="2">
        <v>0</v>
      </c>
      <c r="AD934" s="3">
        <v>0</v>
      </c>
      <c r="AE934" s="2">
        <v>0</v>
      </c>
      <c r="AF934" s="2">
        <v>0</v>
      </c>
      <c r="AG934" s="2">
        <v>0</v>
      </c>
      <c r="AH934" s="2">
        <v>0</v>
      </c>
      <c r="AI934" s="2">
        <v>0</v>
      </c>
      <c r="AJ934" s="2">
        <v>0</v>
      </c>
      <c r="AK934" s="2">
        <v>0</v>
      </c>
      <c r="AL934" s="2">
        <v>13.37</v>
      </c>
      <c r="AM934" s="2">
        <v>0</v>
      </c>
      <c r="AN934" s="2">
        <v>0</v>
      </c>
      <c r="AO934" s="2">
        <v>0</v>
      </c>
      <c r="AP934" s="2">
        <v>0</v>
      </c>
      <c r="AQ934" s="2">
        <v>0</v>
      </c>
    </row>
    <row r="935" spans="1:43" x14ac:dyDescent="0.25">
      <c r="A935" s="1">
        <v>45936</v>
      </c>
      <c r="B935" t="s">
        <v>48</v>
      </c>
      <c r="C935">
        <v>649163</v>
      </c>
      <c r="D935">
        <v>2030641193</v>
      </c>
      <c r="E935" t="s">
        <v>941</v>
      </c>
      <c r="F935" t="s">
        <v>593</v>
      </c>
      <c r="G935" t="s">
        <v>51</v>
      </c>
      <c r="H935" t="s">
        <v>88</v>
      </c>
      <c r="I935" t="s">
        <v>292</v>
      </c>
      <c r="J935" t="s">
        <v>295</v>
      </c>
      <c r="K935">
        <v>651818</v>
      </c>
      <c r="L935" t="s">
        <v>112</v>
      </c>
      <c r="M935" t="s">
        <v>104</v>
      </c>
      <c r="N935" t="s">
        <v>57</v>
      </c>
      <c r="O935" s="1">
        <v>45906</v>
      </c>
      <c r="Q935" s="1">
        <v>45967</v>
      </c>
      <c r="R935" s="2">
        <v>22.88</v>
      </c>
      <c r="S935">
        <v>1</v>
      </c>
      <c r="T935" t="s">
        <v>58</v>
      </c>
      <c r="U935" t="s">
        <v>359</v>
      </c>
      <c r="V935" s="3">
        <v>0.9</v>
      </c>
      <c r="W935" s="2">
        <v>0</v>
      </c>
      <c r="X935">
        <v>0</v>
      </c>
      <c r="Y935" t="s">
        <v>60</v>
      </c>
      <c r="Z935" t="s">
        <v>360</v>
      </c>
      <c r="AA935">
        <v>0</v>
      </c>
      <c r="AB935" s="2">
        <v>0</v>
      </c>
      <c r="AC935" s="2">
        <v>0</v>
      </c>
      <c r="AD935" s="3">
        <v>0</v>
      </c>
      <c r="AE935" s="2">
        <v>0</v>
      </c>
      <c r="AF935" s="2">
        <v>0</v>
      </c>
      <c r="AG935" s="2">
        <v>0</v>
      </c>
      <c r="AH935" s="2">
        <v>0</v>
      </c>
      <c r="AI935" s="2">
        <v>0</v>
      </c>
      <c r="AJ935" s="2">
        <v>0</v>
      </c>
      <c r="AK935" s="2">
        <v>0</v>
      </c>
      <c r="AL935" s="2">
        <v>20.59</v>
      </c>
      <c r="AM935" s="2">
        <v>0</v>
      </c>
      <c r="AN935" s="2">
        <v>0</v>
      </c>
      <c r="AO935" s="2">
        <v>0</v>
      </c>
      <c r="AP935" s="2">
        <v>0</v>
      </c>
      <c r="AQ935" s="2">
        <v>0</v>
      </c>
    </row>
    <row r="936" spans="1:43" x14ac:dyDescent="0.25">
      <c r="A936" s="1">
        <v>45936</v>
      </c>
      <c r="B936" t="s">
        <v>48</v>
      </c>
      <c r="C936">
        <v>649163</v>
      </c>
      <c r="D936">
        <v>2030658213</v>
      </c>
      <c r="E936" t="s">
        <v>1095</v>
      </c>
      <c r="F936" t="s">
        <v>1096</v>
      </c>
      <c r="G936" t="s">
        <v>51</v>
      </c>
      <c r="H936" t="s">
        <v>79</v>
      </c>
      <c r="I936" t="s">
        <v>292</v>
      </c>
      <c r="J936" t="s">
        <v>293</v>
      </c>
      <c r="K936">
        <v>821015</v>
      </c>
      <c r="L936" t="s">
        <v>325</v>
      </c>
      <c r="M936" t="s">
        <v>326</v>
      </c>
      <c r="N936" t="s">
        <v>57</v>
      </c>
      <c r="O936" s="1">
        <v>45901</v>
      </c>
      <c r="Q936" s="1">
        <v>45962</v>
      </c>
      <c r="R936" s="2">
        <v>-22.72</v>
      </c>
      <c r="S936">
        <v>1</v>
      </c>
      <c r="T936" t="s">
        <v>58</v>
      </c>
      <c r="U936" t="s">
        <v>359</v>
      </c>
      <c r="V936" s="3">
        <v>0.7</v>
      </c>
      <c r="W936" s="2">
        <v>0</v>
      </c>
      <c r="X936">
        <v>-1</v>
      </c>
      <c r="Y936" t="s">
        <v>60</v>
      </c>
      <c r="Z936" t="s">
        <v>360</v>
      </c>
      <c r="AA936">
        <v>0</v>
      </c>
      <c r="AB936" s="2">
        <v>0</v>
      </c>
      <c r="AC936" s="2">
        <v>0</v>
      </c>
      <c r="AD936" s="3">
        <v>0</v>
      </c>
      <c r="AE936" s="2">
        <v>0</v>
      </c>
      <c r="AF936" s="2">
        <v>0</v>
      </c>
      <c r="AG936" s="2">
        <v>0</v>
      </c>
      <c r="AH936" s="2">
        <v>0</v>
      </c>
      <c r="AI936" s="2">
        <v>0</v>
      </c>
      <c r="AJ936" s="2">
        <v>0</v>
      </c>
      <c r="AK936" s="2">
        <v>0</v>
      </c>
      <c r="AL936" s="2">
        <v>0</v>
      </c>
      <c r="AM936" s="2">
        <v>-15.9</v>
      </c>
      <c r="AN936" s="2">
        <v>-15.9</v>
      </c>
      <c r="AO936" s="2">
        <v>0</v>
      </c>
      <c r="AP936" s="2">
        <v>0</v>
      </c>
      <c r="AQ936" s="2">
        <v>0</v>
      </c>
    </row>
    <row r="937" spans="1:43" x14ac:dyDescent="0.25">
      <c r="A937" s="1">
        <v>45936</v>
      </c>
      <c r="B937" t="s">
        <v>48</v>
      </c>
      <c r="C937">
        <v>649163</v>
      </c>
      <c r="D937">
        <v>2030675165</v>
      </c>
      <c r="E937" t="s">
        <v>942</v>
      </c>
      <c r="F937" t="s">
        <v>943</v>
      </c>
      <c r="G937" t="s">
        <v>51</v>
      </c>
      <c r="H937" t="s">
        <v>323</v>
      </c>
      <c r="I937" t="s">
        <v>292</v>
      </c>
      <c r="J937" t="s">
        <v>293</v>
      </c>
      <c r="K937">
        <v>823350</v>
      </c>
      <c r="L937" t="s">
        <v>66</v>
      </c>
      <c r="M937" t="s">
        <v>67</v>
      </c>
      <c r="N937" t="s">
        <v>57</v>
      </c>
      <c r="O937" s="1">
        <v>45901</v>
      </c>
      <c r="Q937" s="1">
        <v>45962</v>
      </c>
      <c r="R937" s="2">
        <v>-24.15</v>
      </c>
      <c r="S937">
        <v>1</v>
      </c>
      <c r="T937" t="s">
        <v>58</v>
      </c>
      <c r="U937" t="s">
        <v>359</v>
      </c>
      <c r="V937" s="3">
        <v>0.7</v>
      </c>
      <c r="W937" s="2">
        <v>0</v>
      </c>
      <c r="X937">
        <v>-1</v>
      </c>
      <c r="Y937" t="s">
        <v>60</v>
      </c>
      <c r="Z937" t="s">
        <v>360</v>
      </c>
      <c r="AA937">
        <v>0</v>
      </c>
      <c r="AB937" s="2">
        <v>0</v>
      </c>
      <c r="AC937" s="2">
        <v>0</v>
      </c>
      <c r="AD937" s="3">
        <v>0</v>
      </c>
      <c r="AE937" s="2">
        <v>0</v>
      </c>
      <c r="AF937" s="2">
        <v>0</v>
      </c>
      <c r="AG937" s="2">
        <v>0</v>
      </c>
      <c r="AH937" s="2">
        <v>0</v>
      </c>
      <c r="AI937" s="2">
        <v>0</v>
      </c>
      <c r="AJ937" s="2">
        <v>0</v>
      </c>
      <c r="AK937" s="2">
        <v>0</v>
      </c>
      <c r="AL937" s="2">
        <v>0</v>
      </c>
      <c r="AM937" s="2">
        <v>-16.899999999999999</v>
      </c>
      <c r="AN937" s="2">
        <v>-16.899999999999999</v>
      </c>
      <c r="AO937" s="2">
        <v>0</v>
      </c>
      <c r="AP937" s="2">
        <v>0</v>
      </c>
      <c r="AQ937" s="2">
        <v>0</v>
      </c>
    </row>
    <row r="938" spans="1:43" x14ac:dyDescent="0.25">
      <c r="A938" s="1">
        <v>45936</v>
      </c>
      <c r="B938" t="s">
        <v>48</v>
      </c>
      <c r="C938">
        <v>649163</v>
      </c>
      <c r="D938">
        <v>2030675270</v>
      </c>
      <c r="E938" t="s">
        <v>944</v>
      </c>
      <c r="F938" t="s">
        <v>945</v>
      </c>
      <c r="G938" t="s">
        <v>51</v>
      </c>
      <c r="H938" t="s">
        <v>115</v>
      </c>
      <c r="I938" t="s">
        <v>292</v>
      </c>
      <c r="J938" t="s">
        <v>295</v>
      </c>
      <c r="K938">
        <v>753748</v>
      </c>
      <c r="L938" t="s">
        <v>97</v>
      </c>
      <c r="M938" t="s">
        <v>98</v>
      </c>
      <c r="N938" t="s">
        <v>57</v>
      </c>
      <c r="O938" s="1">
        <v>45901</v>
      </c>
      <c r="Q938" s="1">
        <v>45962</v>
      </c>
      <c r="R938" s="2">
        <v>-101.63</v>
      </c>
      <c r="S938">
        <v>1</v>
      </c>
      <c r="T938" t="s">
        <v>58</v>
      </c>
      <c r="U938" t="s">
        <v>359</v>
      </c>
      <c r="V938" s="3">
        <v>0.9</v>
      </c>
      <c r="W938" s="2">
        <v>0</v>
      </c>
      <c r="X938">
        <v>-1</v>
      </c>
      <c r="Y938" t="s">
        <v>60</v>
      </c>
      <c r="Z938" t="s">
        <v>360</v>
      </c>
      <c r="AA938">
        <v>0</v>
      </c>
      <c r="AB938" s="2">
        <v>0</v>
      </c>
      <c r="AC938" s="2">
        <v>0</v>
      </c>
      <c r="AD938" s="3">
        <v>0</v>
      </c>
      <c r="AE938" s="2">
        <v>0</v>
      </c>
      <c r="AF938" s="2">
        <v>0</v>
      </c>
      <c r="AG938" s="2">
        <v>0</v>
      </c>
      <c r="AH938" s="2">
        <v>0</v>
      </c>
      <c r="AI938" s="2">
        <v>0</v>
      </c>
      <c r="AJ938" s="2">
        <v>0</v>
      </c>
      <c r="AK938" s="2">
        <v>0</v>
      </c>
      <c r="AL938" s="2">
        <v>0</v>
      </c>
      <c r="AM938" s="2">
        <v>-91.47</v>
      </c>
      <c r="AN938" s="2">
        <v>-91.47</v>
      </c>
      <c r="AO938" s="2">
        <v>0</v>
      </c>
      <c r="AP938" s="2">
        <v>0</v>
      </c>
      <c r="AQ938" s="2">
        <v>0</v>
      </c>
    </row>
    <row r="939" spans="1:43" x14ac:dyDescent="0.25">
      <c r="A939" s="1">
        <v>45936</v>
      </c>
      <c r="B939" t="s">
        <v>48</v>
      </c>
      <c r="C939">
        <v>649163</v>
      </c>
      <c r="D939">
        <v>2030675272</v>
      </c>
      <c r="E939" t="s">
        <v>944</v>
      </c>
      <c r="F939" t="s">
        <v>945</v>
      </c>
      <c r="G939" t="s">
        <v>51</v>
      </c>
      <c r="H939" t="s">
        <v>115</v>
      </c>
      <c r="I939" t="s">
        <v>292</v>
      </c>
      <c r="J939" t="s">
        <v>293</v>
      </c>
      <c r="K939">
        <v>753748</v>
      </c>
      <c r="L939" t="s">
        <v>97</v>
      </c>
      <c r="M939" t="s">
        <v>98</v>
      </c>
      <c r="N939" t="s">
        <v>57</v>
      </c>
      <c r="O939" s="1">
        <v>45901</v>
      </c>
      <c r="Q939" s="1">
        <v>45962</v>
      </c>
      <c r="R939" s="2">
        <v>-18.57</v>
      </c>
      <c r="S939">
        <v>1</v>
      </c>
      <c r="T939" t="s">
        <v>58</v>
      </c>
      <c r="U939" t="s">
        <v>359</v>
      </c>
      <c r="V939" s="3">
        <v>0.7</v>
      </c>
      <c r="W939" s="2">
        <v>0</v>
      </c>
      <c r="X939">
        <v>-1</v>
      </c>
      <c r="Y939" t="s">
        <v>60</v>
      </c>
      <c r="Z939" t="s">
        <v>360</v>
      </c>
      <c r="AA939">
        <v>0</v>
      </c>
      <c r="AB939" s="2">
        <v>0</v>
      </c>
      <c r="AC939" s="2">
        <v>0</v>
      </c>
      <c r="AD939" s="3">
        <v>0</v>
      </c>
      <c r="AE939" s="2">
        <v>0</v>
      </c>
      <c r="AF939" s="2">
        <v>0</v>
      </c>
      <c r="AG939" s="2">
        <v>0</v>
      </c>
      <c r="AH939" s="2">
        <v>0</v>
      </c>
      <c r="AI939" s="2">
        <v>0</v>
      </c>
      <c r="AJ939" s="2">
        <v>0</v>
      </c>
      <c r="AK939" s="2">
        <v>0</v>
      </c>
      <c r="AL939" s="2">
        <v>0</v>
      </c>
      <c r="AM939" s="2">
        <v>-13</v>
      </c>
      <c r="AN939" s="2">
        <v>-13</v>
      </c>
      <c r="AO939" s="2">
        <v>0</v>
      </c>
      <c r="AP939" s="2">
        <v>0</v>
      </c>
      <c r="AQ939" s="2">
        <v>0</v>
      </c>
    </row>
    <row r="940" spans="1:43" x14ac:dyDescent="0.25">
      <c r="A940" s="1">
        <v>45936</v>
      </c>
      <c r="B940" t="s">
        <v>48</v>
      </c>
      <c r="C940">
        <v>649163</v>
      </c>
      <c r="D940">
        <v>2030699504</v>
      </c>
      <c r="E940" t="s">
        <v>1097</v>
      </c>
      <c r="F940" t="s">
        <v>1098</v>
      </c>
      <c r="G940" t="s">
        <v>51</v>
      </c>
      <c r="H940" t="s">
        <v>101</v>
      </c>
      <c r="I940" t="s">
        <v>292</v>
      </c>
      <c r="J940" t="s">
        <v>293</v>
      </c>
      <c r="K940">
        <v>823350</v>
      </c>
      <c r="L940" t="s">
        <v>66</v>
      </c>
      <c r="M940" t="s">
        <v>67</v>
      </c>
      <c r="N940" t="s">
        <v>57</v>
      </c>
      <c r="O940" s="1">
        <v>45909</v>
      </c>
      <c r="Q940" s="1">
        <v>45970</v>
      </c>
      <c r="R940" s="2">
        <v>212.26</v>
      </c>
      <c r="S940">
        <v>1</v>
      </c>
      <c r="T940" t="s">
        <v>58</v>
      </c>
      <c r="U940" t="s">
        <v>359</v>
      </c>
      <c r="V940" s="3">
        <v>0.7</v>
      </c>
      <c r="W940" s="2">
        <v>0</v>
      </c>
      <c r="X940">
        <v>0</v>
      </c>
      <c r="Y940" t="s">
        <v>60</v>
      </c>
      <c r="Z940" t="s">
        <v>360</v>
      </c>
      <c r="AA940">
        <v>0</v>
      </c>
      <c r="AB940" s="2">
        <v>0</v>
      </c>
      <c r="AC940" s="2">
        <v>0</v>
      </c>
      <c r="AD940" s="3">
        <v>0</v>
      </c>
      <c r="AE940" s="2">
        <v>0</v>
      </c>
      <c r="AF940" s="2">
        <v>0</v>
      </c>
      <c r="AG940" s="2">
        <v>0</v>
      </c>
      <c r="AH940" s="2">
        <v>0</v>
      </c>
      <c r="AI940" s="2">
        <v>0</v>
      </c>
      <c r="AJ940" s="2">
        <v>0</v>
      </c>
      <c r="AK940" s="2">
        <v>0</v>
      </c>
      <c r="AL940" s="2">
        <v>148.58000000000001</v>
      </c>
      <c r="AM940" s="2">
        <v>0</v>
      </c>
      <c r="AN940" s="2">
        <v>0</v>
      </c>
      <c r="AO940" s="2">
        <v>0</v>
      </c>
      <c r="AP940" s="2">
        <v>0</v>
      </c>
      <c r="AQ940" s="2">
        <v>0</v>
      </c>
    </row>
    <row r="941" spans="1:43" x14ac:dyDescent="0.25">
      <c r="A941" s="1">
        <v>45936</v>
      </c>
      <c r="B941" t="s">
        <v>48</v>
      </c>
      <c r="C941">
        <v>649163</v>
      </c>
      <c r="D941">
        <v>2030703148</v>
      </c>
      <c r="E941" t="s">
        <v>948</v>
      </c>
      <c r="F941" t="s">
        <v>949</v>
      </c>
      <c r="G941" t="s">
        <v>51</v>
      </c>
      <c r="H941" t="s">
        <v>52</v>
      </c>
      <c r="I941" t="s">
        <v>292</v>
      </c>
      <c r="J941" t="s">
        <v>293</v>
      </c>
      <c r="K941">
        <v>673059</v>
      </c>
      <c r="L941" t="s">
        <v>80</v>
      </c>
      <c r="M941" t="s">
        <v>81</v>
      </c>
      <c r="N941" t="s">
        <v>57</v>
      </c>
      <c r="O941" s="1">
        <v>45901</v>
      </c>
      <c r="Q941" s="1">
        <v>45962</v>
      </c>
      <c r="R941" s="2">
        <v>-74.44</v>
      </c>
      <c r="S941">
        <v>1</v>
      </c>
      <c r="T941" t="s">
        <v>58</v>
      </c>
      <c r="U941" t="s">
        <v>359</v>
      </c>
      <c r="V941" s="3">
        <v>0.7</v>
      </c>
      <c r="W941" s="2">
        <v>0</v>
      </c>
      <c r="X941">
        <v>-1</v>
      </c>
      <c r="Y941" t="s">
        <v>60</v>
      </c>
      <c r="Z941" t="s">
        <v>360</v>
      </c>
      <c r="AA941">
        <v>0</v>
      </c>
      <c r="AB941" s="2">
        <v>0</v>
      </c>
      <c r="AC941" s="2">
        <v>0</v>
      </c>
      <c r="AD941" s="3">
        <v>0</v>
      </c>
      <c r="AE941" s="2">
        <v>0</v>
      </c>
      <c r="AF941" s="2">
        <v>0</v>
      </c>
      <c r="AG941" s="2">
        <v>0</v>
      </c>
      <c r="AH941" s="2">
        <v>0</v>
      </c>
      <c r="AI941" s="2">
        <v>0</v>
      </c>
      <c r="AJ941" s="2">
        <v>0</v>
      </c>
      <c r="AK941" s="2">
        <v>0</v>
      </c>
      <c r="AL941" s="2">
        <v>0</v>
      </c>
      <c r="AM941" s="2">
        <v>-52.11</v>
      </c>
      <c r="AN941" s="2">
        <v>-52.11</v>
      </c>
      <c r="AO941" s="2">
        <v>0</v>
      </c>
      <c r="AP941" s="2">
        <v>0</v>
      </c>
      <c r="AQ941" s="2">
        <v>0</v>
      </c>
    </row>
    <row r="942" spans="1:43" x14ac:dyDescent="0.25">
      <c r="A942" s="1">
        <v>45936</v>
      </c>
      <c r="B942" t="s">
        <v>48</v>
      </c>
      <c r="C942">
        <v>649163</v>
      </c>
      <c r="D942">
        <v>2030725188</v>
      </c>
      <c r="E942" t="s">
        <v>187</v>
      </c>
      <c r="F942" t="s">
        <v>970</v>
      </c>
      <c r="G942" t="s">
        <v>51</v>
      </c>
      <c r="H942" t="s">
        <v>52</v>
      </c>
      <c r="I942" t="s">
        <v>292</v>
      </c>
      <c r="J942" t="s">
        <v>293</v>
      </c>
      <c r="K942">
        <v>821015</v>
      </c>
      <c r="L942" t="s">
        <v>325</v>
      </c>
      <c r="M942" t="s">
        <v>326</v>
      </c>
      <c r="N942" t="s">
        <v>57</v>
      </c>
      <c r="O942" s="1">
        <v>45898</v>
      </c>
      <c r="Q942" s="1">
        <v>45959</v>
      </c>
      <c r="R942" s="2">
        <v>-119.52</v>
      </c>
      <c r="S942">
        <v>1</v>
      </c>
      <c r="T942" t="s">
        <v>58</v>
      </c>
      <c r="U942" t="s">
        <v>359</v>
      </c>
      <c r="V942" s="3">
        <v>0.7</v>
      </c>
      <c r="W942" s="2">
        <v>0</v>
      </c>
      <c r="X942">
        <v>-1</v>
      </c>
      <c r="Y942" t="s">
        <v>60</v>
      </c>
      <c r="Z942" t="s">
        <v>360</v>
      </c>
      <c r="AA942">
        <v>0</v>
      </c>
      <c r="AB942" s="2">
        <v>0</v>
      </c>
      <c r="AC942" s="2">
        <v>0</v>
      </c>
      <c r="AD942" s="3">
        <v>0</v>
      </c>
      <c r="AE942" s="2">
        <v>0</v>
      </c>
      <c r="AF942" s="2">
        <v>0</v>
      </c>
      <c r="AG942" s="2">
        <v>0</v>
      </c>
      <c r="AH942" s="2">
        <v>0</v>
      </c>
      <c r="AI942" s="2">
        <v>0</v>
      </c>
      <c r="AJ942" s="2">
        <v>0</v>
      </c>
      <c r="AK942" s="2">
        <v>0</v>
      </c>
      <c r="AL942" s="2">
        <v>0</v>
      </c>
      <c r="AM942" s="2">
        <v>-83.66</v>
      </c>
      <c r="AN942" s="2">
        <v>-83.66</v>
      </c>
      <c r="AO942" s="2">
        <v>0</v>
      </c>
      <c r="AP942" s="2">
        <v>0</v>
      </c>
      <c r="AQ942" s="2">
        <v>0</v>
      </c>
    </row>
    <row r="943" spans="1:43" x14ac:dyDescent="0.25">
      <c r="A943" s="1">
        <v>45936</v>
      </c>
      <c r="B943" t="s">
        <v>48</v>
      </c>
      <c r="C943">
        <v>649163</v>
      </c>
      <c r="D943">
        <v>2030735251</v>
      </c>
      <c r="E943" t="s">
        <v>951</v>
      </c>
      <c r="F943" t="s">
        <v>952</v>
      </c>
      <c r="G943" t="s">
        <v>51</v>
      </c>
      <c r="H943" t="s">
        <v>105</v>
      </c>
      <c r="I943" t="s">
        <v>292</v>
      </c>
      <c r="J943" t="s">
        <v>536</v>
      </c>
      <c r="K943">
        <v>823068</v>
      </c>
      <c r="L943" t="s">
        <v>106</v>
      </c>
      <c r="M943" t="s">
        <v>107</v>
      </c>
      <c r="N943" t="s">
        <v>57</v>
      </c>
      <c r="O943" s="1">
        <v>45906</v>
      </c>
      <c r="Q943" s="1">
        <v>45967</v>
      </c>
      <c r="R943" s="2">
        <v>24.61</v>
      </c>
      <c r="S943">
        <v>1</v>
      </c>
      <c r="T943" t="s">
        <v>58</v>
      </c>
      <c r="U943" t="s">
        <v>359</v>
      </c>
      <c r="V943" s="3">
        <v>0.7</v>
      </c>
      <c r="W943" s="2">
        <v>0</v>
      </c>
      <c r="X943">
        <v>0</v>
      </c>
      <c r="Y943" t="s">
        <v>60</v>
      </c>
      <c r="Z943" t="s">
        <v>360</v>
      </c>
      <c r="AA943">
        <v>0</v>
      </c>
      <c r="AB943" s="2">
        <v>0</v>
      </c>
      <c r="AC943" s="2">
        <v>0</v>
      </c>
      <c r="AD943" s="3">
        <v>0</v>
      </c>
      <c r="AE943" s="2">
        <v>0</v>
      </c>
      <c r="AF943" s="2">
        <v>0</v>
      </c>
      <c r="AG943" s="2">
        <v>0</v>
      </c>
      <c r="AH943" s="2">
        <v>0</v>
      </c>
      <c r="AI943" s="2">
        <v>0</v>
      </c>
      <c r="AJ943" s="2">
        <v>0</v>
      </c>
      <c r="AK943" s="2">
        <v>0</v>
      </c>
      <c r="AL943" s="2">
        <v>17.23</v>
      </c>
      <c r="AM943" s="2">
        <v>0</v>
      </c>
      <c r="AN943" s="2">
        <v>0</v>
      </c>
      <c r="AO943" s="2">
        <v>0</v>
      </c>
      <c r="AP943" s="2">
        <v>0</v>
      </c>
      <c r="AQ943" s="2">
        <v>0</v>
      </c>
    </row>
    <row r="944" spans="1:43" x14ac:dyDescent="0.25">
      <c r="A944" s="1">
        <v>45936</v>
      </c>
      <c r="B944" t="s">
        <v>48</v>
      </c>
      <c r="C944">
        <v>649163</v>
      </c>
      <c r="D944">
        <v>2030775883</v>
      </c>
      <c r="E944" t="s">
        <v>648</v>
      </c>
      <c r="F944" t="s">
        <v>526</v>
      </c>
      <c r="G944" t="s">
        <v>51</v>
      </c>
      <c r="H944" t="s">
        <v>88</v>
      </c>
      <c r="I944" t="s">
        <v>292</v>
      </c>
      <c r="J944" t="s">
        <v>293</v>
      </c>
      <c r="K944">
        <v>878036</v>
      </c>
      <c r="L944" t="s">
        <v>335</v>
      </c>
      <c r="M944" t="s">
        <v>336</v>
      </c>
      <c r="N944" t="s">
        <v>57</v>
      </c>
      <c r="O944" s="1">
        <v>45901</v>
      </c>
      <c r="Q944" s="1">
        <v>45962</v>
      </c>
      <c r="R944" s="2">
        <v>120.91</v>
      </c>
      <c r="S944">
        <v>1</v>
      </c>
      <c r="T944" t="s">
        <v>58</v>
      </c>
      <c r="U944" t="s">
        <v>359</v>
      </c>
      <c r="V944" s="3">
        <v>0.7</v>
      </c>
      <c r="W944" s="2">
        <v>0</v>
      </c>
      <c r="X944">
        <v>0</v>
      </c>
      <c r="Y944" t="s">
        <v>60</v>
      </c>
      <c r="Z944" t="s">
        <v>360</v>
      </c>
      <c r="AA944">
        <v>0</v>
      </c>
      <c r="AB944" s="2">
        <v>0</v>
      </c>
      <c r="AC944" s="2">
        <v>0</v>
      </c>
      <c r="AD944" s="3">
        <v>0</v>
      </c>
      <c r="AE944" s="2">
        <v>0</v>
      </c>
      <c r="AF944" s="2">
        <v>0</v>
      </c>
      <c r="AG944" s="2">
        <v>0</v>
      </c>
      <c r="AH944" s="2">
        <v>0</v>
      </c>
      <c r="AI944" s="2">
        <v>0</v>
      </c>
      <c r="AJ944" s="2">
        <v>0</v>
      </c>
      <c r="AK944" s="2">
        <v>0</v>
      </c>
      <c r="AL944" s="2">
        <v>84.64</v>
      </c>
      <c r="AM944" s="2">
        <v>0</v>
      </c>
      <c r="AN944" s="2">
        <v>0</v>
      </c>
      <c r="AO944" s="2">
        <v>0</v>
      </c>
      <c r="AP944" s="2">
        <v>0</v>
      </c>
      <c r="AQ944" s="2">
        <v>0</v>
      </c>
    </row>
    <row r="945" spans="1:43" x14ac:dyDescent="0.25">
      <c r="A945" s="1">
        <v>45936</v>
      </c>
      <c r="B945" t="s">
        <v>48</v>
      </c>
      <c r="C945">
        <v>649163</v>
      </c>
      <c r="D945">
        <v>2030841404</v>
      </c>
      <c r="E945" t="s">
        <v>1099</v>
      </c>
      <c r="F945" t="s">
        <v>593</v>
      </c>
      <c r="G945" t="s">
        <v>51</v>
      </c>
      <c r="H945" t="s">
        <v>431</v>
      </c>
      <c r="I945" t="s">
        <v>292</v>
      </c>
      <c r="J945" t="s">
        <v>293</v>
      </c>
      <c r="K945">
        <v>673059</v>
      </c>
      <c r="L945" t="s">
        <v>80</v>
      </c>
      <c r="M945" t="s">
        <v>81</v>
      </c>
      <c r="N945" t="s">
        <v>456</v>
      </c>
      <c r="O945" s="1">
        <v>45927</v>
      </c>
      <c r="P945" s="1">
        <v>45936</v>
      </c>
      <c r="Q945" s="1">
        <v>45957</v>
      </c>
      <c r="R945" s="2">
        <v>-69.66</v>
      </c>
      <c r="S945">
        <v>1</v>
      </c>
      <c r="T945" t="s">
        <v>58</v>
      </c>
      <c r="U945" t="s">
        <v>59</v>
      </c>
      <c r="V945" s="3">
        <v>0.7</v>
      </c>
      <c r="W945" s="2">
        <v>0</v>
      </c>
      <c r="X945">
        <v>-1</v>
      </c>
      <c r="Y945" t="s">
        <v>60</v>
      </c>
      <c r="Z945" t="s">
        <v>360</v>
      </c>
      <c r="AA945">
        <v>0</v>
      </c>
      <c r="AB945" s="2">
        <v>0</v>
      </c>
      <c r="AC945" s="2">
        <v>0</v>
      </c>
      <c r="AD945" s="3">
        <v>0</v>
      </c>
      <c r="AE945" s="2">
        <v>0</v>
      </c>
      <c r="AF945" s="2">
        <v>0</v>
      </c>
      <c r="AG945" s="2">
        <v>0</v>
      </c>
      <c r="AH945" s="2">
        <v>0</v>
      </c>
      <c r="AI945" s="2">
        <v>0</v>
      </c>
      <c r="AJ945" s="2">
        <v>0</v>
      </c>
      <c r="AK945" s="2">
        <v>0</v>
      </c>
      <c r="AL945" s="2">
        <v>0</v>
      </c>
      <c r="AM945" s="2">
        <v>-48.76</v>
      </c>
      <c r="AN945" s="2">
        <v>-48.76</v>
      </c>
      <c r="AO945" s="2">
        <v>0</v>
      </c>
      <c r="AP945" s="2">
        <v>0</v>
      </c>
      <c r="AQ945" s="2">
        <v>0</v>
      </c>
    </row>
    <row r="946" spans="1:43" x14ac:dyDescent="0.25">
      <c r="A946" s="1">
        <v>45936</v>
      </c>
      <c r="B946" t="s">
        <v>48</v>
      </c>
      <c r="C946">
        <v>649163</v>
      </c>
      <c r="D946">
        <v>2030841405</v>
      </c>
      <c r="E946" t="s">
        <v>1099</v>
      </c>
      <c r="F946" t="s">
        <v>593</v>
      </c>
      <c r="G946" t="s">
        <v>51</v>
      </c>
      <c r="H946" t="s">
        <v>431</v>
      </c>
      <c r="I946" t="s">
        <v>292</v>
      </c>
      <c r="J946" t="s">
        <v>294</v>
      </c>
      <c r="K946">
        <v>673059</v>
      </c>
      <c r="L946" t="s">
        <v>80</v>
      </c>
      <c r="M946" t="s">
        <v>81</v>
      </c>
      <c r="N946" t="s">
        <v>456</v>
      </c>
      <c r="O946" s="1">
        <v>45927</v>
      </c>
      <c r="P946" s="1">
        <v>45936</v>
      </c>
      <c r="Q946" s="1">
        <v>45957</v>
      </c>
      <c r="R946" s="2">
        <v>-23.39</v>
      </c>
      <c r="S946">
        <v>1</v>
      </c>
      <c r="T946" t="s">
        <v>58</v>
      </c>
      <c r="U946" t="s">
        <v>59</v>
      </c>
      <c r="V946" s="3">
        <v>0.7</v>
      </c>
      <c r="W946" s="2">
        <v>0</v>
      </c>
      <c r="X946">
        <v>-1</v>
      </c>
      <c r="Y946" t="s">
        <v>60</v>
      </c>
      <c r="Z946" t="s">
        <v>360</v>
      </c>
      <c r="AA946">
        <v>0</v>
      </c>
      <c r="AB946" s="2">
        <v>0</v>
      </c>
      <c r="AC946" s="2">
        <v>0</v>
      </c>
      <c r="AD946" s="3">
        <v>0</v>
      </c>
      <c r="AE946" s="2">
        <v>0</v>
      </c>
      <c r="AF946" s="2">
        <v>0</v>
      </c>
      <c r="AG946" s="2">
        <v>0</v>
      </c>
      <c r="AH946" s="2">
        <v>0</v>
      </c>
      <c r="AI946" s="2">
        <v>0</v>
      </c>
      <c r="AJ946" s="2">
        <v>0</v>
      </c>
      <c r="AK946" s="2">
        <v>0</v>
      </c>
      <c r="AL946" s="2">
        <v>0</v>
      </c>
      <c r="AM946" s="2">
        <v>-16.37</v>
      </c>
      <c r="AN946" s="2">
        <v>-16.37</v>
      </c>
      <c r="AO946" s="2">
        <v>0</v>
      </c>
      <c r="AP946" s="2">
        <v>0</v>
      </c>
      <c r="AQ946" s="2">
        <v>0</v>
      </c>
    </row>
    <row r="947" spans="1:43" x14ac:dyDescent="0.25">
      <c r="A947" s="1">
        <v>45936</v>
      </c>
      <c r="B947" t="s">
        <v>48</v>
      </c>
      <c r="C947">
        <v>649163</v>
      </c>
      <c r="D947">
        <v>2030886486</v>
      </c>
      <c r="E947" t="s">
        <v>1100</v>
      </c>
      <c r="F947" t="s">
        <v>92</v>
      </c>
      <c r="G947" t="s">
        <v>51</v>
      </c>
      <c r="H947" t="s">
        <v>323</v>
      </c>
      <c r="I947" t="s">
        <v>292</v>
      </c>
      <c r="J947" t="s">
        <v>293</v>
      </c>
      <c r="K947">
        <v>856163</v>
      </c>
      <c r="L947" t="s">
        <v>66</v>
      </c>
      <c r="M947" t="s">
        <v>156</v>
      </c>
      <c r="N947" t="s">
        <v>57</v>
      </c>
      <c r="O947" s="1">
        <v>45906</v>
      </c>
      <c r="Q947" s="1">
        <v>45967</v>
      </c>
      <c r="R947" s="2">
        <v>35.04</v>
      </c>
      <c r="S947">
        <v>1</v>
      </c>
      <c r="T947" t="s">
        <v>58</v>
      </c>
      <c r="U947" t="s">
        <v>359</v>
      </c>
      <c r="V947" s="3">
        <v>0.7</v>
      </c>
      <c r="W947" s="2">
        <v>0</v>
      </c>
      <c r="X947">
        <v>0</v>
      </c>
      <c r="Y947" t="s">
        <v>60</v>
      </c>
      <c r="Z947" t="s">
        <v>360</v>
      </c>
      <c r="AA947">
        <v>0</v>
      </c>
      <c r="AB947" s="2">
        <v>0</v>
      </c>
      <c r="AC947" s="2">
        <v>0</v>
      </c>
      <c r="AD947" s="3">
        <v>0</v>
      </c>
      <c r="AE947" s="2">
        <v>0</v>
      </c>
      <c r="AF947" s="2">
        <v>0</v>
      </c>
      <c r="AG947" s="2">
        <v>0</v>
      </c>
      <c r="AH947" s="2">
        <v>0</v>
      </c>
      <c r="AI947" s="2">
        <v>0</v>
      </c>
      <c r="AJ947" s="2">
        <v>0</v>
      </c>
      <c r="AK947" s="2">
        <v>0</v>
      </c>
      <c r="AL947" s="2">
        <v>24.53</v>
      </c>
      <c r="AM947" s="2">
        <v>0</v>
      </c>
      <c r="AN947" s="2">
        <v>0</v>
      </c>
      <c r="AO947" s="2">
        <v>0</v>
      </c>
      <c r="AP947" s="2">
        <v>0</v>
      </c>
      <c r="AQ947" s="2">
        <v>0</v>
      </c>
    </row>
    <row r="948" spans="1:43" x14ac:dyDescent="0.25">
      <c r="A948" s="1">
        <v>45936</v>
      </c>
      <c r="B948" t="s">
        <v>48</v>
      </c>
      <c r="C948">
        <v>649163</v>
      </c>
      <c r="D948">
        <v>2030917277</v>
      </c>
      <c r="E948" t="s">
        <v>551</v>
      </c>
      <c r="F948" t="s">
        <v>552</v>
      </c>
      <c r="G948" t="s">
        <v>51</v>
      </c>
      <c r="H948" t="s">
        <v>247</v>
      </c>
      <c r="I948" t="s">
        <v>292</v>
      </c>
      <c r="J948" t="s">
        <v>293</v>
      </c>
      <c r="K948">
        <v>874230</v>
      </c>
      <c r="L948" t="s">
        <v>554</v>
      </c>
      <c r="M948" t="s">
        <v>555</v>
      </c>
      <c r="N948" t="s">
        <v>57</v>
      </c>
      <c r="O948" s="1">
        <v>45910</v>
      </c>
      <c r="Q948" s="1">
        <v>45971</v>
      </c>
      <c r="R948" s="2">
        <v>79.58</v>
      </c>
      <c r="S948">
        <v>1</v>
      </c>
      <c r="T948" t="s">
        <v>58</v>
      </c>
      <c r="U948" t="s">
        <v>359</v>
      </c>
      <c r="V948" s="3">
        <v>0.7</v>
      </c>
      <c r="W948" s="2">
        <v>0</v>
      </c>
      <c r="X948">
        <v>0</v>
      </c>
      <c r="Y948" t="s">
        <v>60</v>
      </c>
      <c r="Z948" t="s">
        <v>360</v>
      </c>
      <c r="AA948">
        <v>0</v>
      </c>
      <c r="AB948" s="2">
        <v>0</v>
      </c>
      <c r="AC948" s="2">
        <v>0</v>
      </c>
      <c r="AD948" s="3">
        <v>0</v>
      </c>
      <c r="AE948" s="2">
        <v>0</v>
      </c>
      <c r="AF948" s="2">
        <v>0</v>
      </c>
      <c r="AG948" s="2">
        <v>0</v>
      </c>
      <c r="AH948" s="2">
        <v>0</v>
      </c>
      <c r="AI948" s="2">
        <v>0</v>
      </c>
      <c r="AJ948" s="2">
        <v>0</v>
      </c>
      <c r="AK948" s="2">
        <v>0</v>
      </c>
      <c r="AL948" s="2">
        <v>55.71</v>
      </c>
      <c r="AM948" s="2">
        <v>0</v>
      </c>
      <c r="AN948" s="2">
        <v>0</v>
      </c>
      <c r="AO948" s="2">
        <v>0</v>
      </c>
      <c r="AP948" s="2">
        <v>0</v>
      </c>
      <c r="AQ948" s="2">
        <v>0</v>
      </c>
    </row>
    <row r="949" spans="1:43" x14ac:dyDescent="0.25">
      <c r="A949" s="1">
        <v>45936</v>
      </c>
      <c r="B949" t="s">
        <v>48</v>
      </c>
      <c r="C949">
        <v>649163</v>
      </c>
      <c r="D949">
        <v>2030933671</v>
      </c>
      <c r="E949" t="s">
        <v>955</v>
      </c>
      <c r="F949" t="s">
        <v>956</v>
      </c>
      <c r="G949" t="s">
        <v>51</v>
      </c>
      <c r="H949" t="s">
        <v>105</v>
      </c>
      <c r="I949" t="s">
        <v>292</v>
      </c>
      <c r="J949" t="s">
        <v>331</v>
      </c>
      <c r="K949">
        <v>823068</v>
      </c>
      <c r="L949" t="s">
        <v>106</v>
      </c>
      <c r="M949" t="s">
        <v>107</v>
      </c>
      <c r="N949" t="s">
        <v>57</v>
      </c>
      <c r="O949" s="1">
        <v>45909</v>
      </c>
      <c r="Q949" s="1">
        <v>45970</v>
      </c>
      <c r="R949" s="2">
        <v>27.8</v>
      </c>
      <c r="S949">
        <v>1</v>
      </c>
      <c r="T949" t="s">
        <v>58</v>
      </c>
      <c r="U949" t="s">
        <v>59</v>
      </c>
      <c r="V949" s="3">
        <v>0.42</v>
      </c>
      <c r="W949" s="2">
        <v>0</v>
      </c>
      <c r="X949">
        <v>0</v>
      </c>
      <c r="Y949" t="s">
        <v>60</v>
      </c>
      <c r="Z949" t="s">
        <v>360</v>
      </c>
      <c r="AA949">
        <v>0</v>
      </c>
      <c r="AB949" s="2">
        <v>0</v>
      </c>
      <c r="AC949" s="2">
        <v>0</v>
      </c>
      <c r="AD949" s="3">
        <v>0</v>
      </c>
      <c r="AE949" s="2">
        <v>0</v>
      </c>
      <c r="AF949" s="2">
        <v>0</v>
      </c>
      <c r="AG949" s="2">
        <v>0</v>
      </c>
      <c r="AH949" s="2">
        <v>0</v>
      </c>
      <c r="AI949" s="2">
        <v>0</v>
      </c>
      <c r="AJ949" s="2">
        <v>0</v>
      </c>
      <c r="AK949" s="2">
        <v>0</v>
      </c>
      <c r="AL949" s="2">
        <v>11.68</v>
      </c>
      <c r="AM949" s="2">
        <v>0</v>
      </c>
      <c r="AN949" s="2">
        <v>0</v>
      </c>
      <c r="AO949" s="2">
        <v>0</v>
      </c>
      <c r="AP949" s="2">
        <v>0</v>
      </c>
      <c r="AQ949" s="2">
        <v>0</v>
      </c>
    </row>
    <row r="950" spans="1:43" x14ac:dyDescent="0.25">
      <c r="A950" s="1">
        <v>45936</v>
      </c>
      <c r="B950" t="s">
        <v>48</v>
      </c>
      <c r="C950">
        <v>649163</v>
      </c>
      <c r="D950">
        <v>2030933672</v>
      </c>
      <c r="E950" t="s">
        <v>955</v>
      </c>
      <c r="F950" t="s">
        <v>956</v>
      </c>
      <c r="G950" t="s">
        <v>51</v>
      </c>
      <c r="H950" t="s">
        <v>105</v>
      </c>
      <c r="I950" t="s">
        <v>292</v>
      </c>
      <c r="J950" t="s">
        <v>294</v>
      </c>
      <c r="K950">
        <v>823068</v>
      </c>
      <c r="L950" t="s">
        <v>106</v>
      </c>
      <c r="M950" t="s">
        <v>107</v>
      </c>
      <c r="N950" t="s">
        <v>57</v>
      </c>
      <c r="O950" s="1">
        <v>45909</v>
      </c>
      <c r="Q950" s="1">
        <v>45970</v>
      </c>
      <c r="R950" s="2">
        <v>24.61</v>
      </c>
      <c r="S950">
        <v>1</v>
      </c>
      <c r="T950" t="s">
        <v>58</v>
      </c>
      <c r="U950" t="s">
        <v>59</v>
      </c>
      <c r="V950" s="3">
        <v>0.7</v>
      </c>
      <c r="W950" s="2">
        <v>0</v>
      </c>
      <c r="X950">
        <v>0</v>
      </c>
      <c r="Y950" t="s">
        <v>60</v>
      </c>
      <c r="Z950" t="s">
        <v>360</v>
      </c>
      <c r="AA950">
        <v>0</v>
      </c>
      <c r="AB950" s="2">
        <v>0</v>
      </c>
      <c r="AC950" s="2">
        <v>0</v>
      </c>
      <c r="AD950" s="3">
        <v>0</v>
      </c>
      <c r="AE950" s="2">
        <v>0</v>
      </c>
      <c r="AF950" s="2">
        <v>0</v>
      </c>
      <c r="AG950" s="2">
        <v>0</v>
      </c>
      <c r="AH950" s="2">
        <v>0</v>
      </c>
      <c r="AI950" s="2">
        <v>0</v>
      </c>
      <c r="AJ950" s="2">
        <v>0</v>
      </c>
      <c r="AK950" s="2">
        <v>0</v>
      </c>
      <c r="AL950" s="2">
        <v>17.23</v>
      </c>
      <c r="AM950" s="2">
        <v>0</v>
      </c>
      <c r="AN950" s="2">
        <v>0</v>
      </c>
      <c r="AO950" s="2">
        <v>0</v>
      </c>
      <c r="AP950" s="2">
        <v>0</v>
      </c>
      <c r="AQ950" s="2">
        <v>0</v>
      </c>
    </row>
    <row r="951" spans="1:43" x14ac:dyDescent="0.25">
      <c r="A951" s="1">
        <v>45936</v>
      </c>
      <c r="B951" t="s">
        <v>48</v>
      </c>
      <c r="C951">
        <v>649163</v>
      </c>
      <c r="D951">
        <v>2030940127</v>
      </c>
      <c r="E951" t="s">
        <v>1101</v>
      </c>
      <c r="F951" t="s">
        <v>1102</v>
      </c>
      <c r="G951" t="s">
        <v>51</v>
      </c>
      <c r="H951" t="s">
        <v>52</v>
      </c>
      <c r="I951" t="s">
        <v>292</v>
      </c>
      <c r="J951" t="s">
        <v>293</v>
      </c>
      <c r="K951">
        <v>673059</v>
      </c>
      <c r="L951" t="s">
        <v>80</v>
      </c>
      <c r="M951" t="s">
        <v>81</v>
      </c>
      <c r="N951" t="s">
        <v>57</v>
      </c>
      <c r="O951" s="1">
        <v>45909</v>
      </c>
      <c r="Q951" s="1">
        <v>45970</v>
      </c>
      <c r="R951" s="2">
        <v>147.4</v>
      </c>
      <c r="S951">
        <v>1</v>
      </c>
      <c r="T951" t="s">
        <v>58</v>
      </c>
      <c r="U951" t="s">
        <v>59</v>
      </c>
      <c r="V951" s="3">
        <v>0.7</v>
      </c>
      <c r="W951" s="2">
        <v>0</v>
      </c>
      <c r="X951">
        <v>0</v>
      </c>
      <c r="Y951" t="s">
        <v>60</v>
      </c>
      <c r="Z951" t="s">
        <v>360</v>
      </c>
      <c r="AA951">
        <v>0</v>
      </c>
      <c r="AB951" s="2">
        <v>0</v>
      </c>
      <c r="AC951" s="2">
        <v>0</v>
      </c>
      <c r="AD951" s="3">
        <v>0</v>
      </c>
      <c r="AE951" s="2">
        <v>0</v>
      </c>
      <c r="AF951" s="2">
        <v>0</v>
      </c>
      <c r="AG951" s="2">
        <v>0</v>
      </c>
      <c r="AH951" s="2">
        <v>0</v>
      </c>
      <c r="AI951" s="2">
        <v>0</v>
      </c>
      <c r="AJ951" s="2">
        <v>0</v>
      </c>
      <c r="AK951" s="2">
        <v>0</v>
      </c>
      <c r="AL951" s="2">
        <v>103.18</v>
      </c>
      <c r="AM951" s="2">
        <v>0</v>
      </c>
      <c r="AN951" s="2">
        <v>0</v>
      </c>
      <c r="AO951" s="2">
        <v>0</v>
      </c>
      <c r="AP951" s="2">
        <v>0</v>
      </c>
      <c r="AQ951" s="2">
        <v>0</v>
      </c>
    </row>
    <row r="952" spans="1:43" x14ac:dyDescent="0.25">
      <c r="A952" s="1">
        <v>45936</v>
      </c>
      <c r="B952" t="s">
        <v>48</v>
      </c>
      <c r="C952">
        <v>649163</v>
      </c>
      <c r="D952">
        <v>2030945123</v>
      </c>
      <c r="E952" t="s">
        <v>388</v>
      </c>
      <c r="F952" t="s">
        <v>453</v>
      </c>
      <c r="G952" t="s">
        <v>51</v>
      </c>
      <c r="H952" t="s">
        <v>101</v>
      </c>
      <c r="I952" t="s">
        <v>292</v>
      </c>
      <c r="J952" t="s">
        <v>331</v>
      </c>
      <c r="K952">
        <v>820873</v>
      </c>
      <c r="L952" t="s">
        <v>134</v>
      </c>
      <c r="M952" t="s">
        <v>135</v>
      </c>
      <c r="N952" t="s">
        <v>57</v>
      </c>
      <c r="O952" s="1">
        <v>45909</v>
      </c>
      <c r="Q952" s="1">
        <v>45970</v>
      </c>
      <c r="R952" s="2">
        <v>25.08</v>
      </c>
      <c r="S952">
        <v>1</v>
      </c>
      <c r="T952" t="s">
        <v>58</v>
      </c>
      <c r="U952" t="s">
        <v>59</v>
      </c>
      <c r="V952" s="3">
        <v>0.42</v>
      </c>
      <c r="W952" s="2">
        <v>0</v>
      </c>
      <c r="X952">
        <v>0</v>
      </c>
      <c r="Y952" t="s">
        <v>60</v>
      </c>
      <c r="Z952" t="s">
        <v>360</v>
      </c>
      <c r="AA952">
        <v>0</v>
      </c>
      <c r="AB952" s="2">
        <v>0</v>
      </c>
      <c r="AC952" s="2">
        <v>0</v>
      </c>
      <c r="AD952" s="3">
        <v>0</v>
      </c>
      <c r="AE952" s="2">
        <v>0</v>
      </c>
      <c r="AF952" s="2">
        <v>0</v>
      </c>
      <c r="AG952" s="2">
        <v>0</v>
      </c>
      <c r="AH952" s="2">
        <v>0</v>
      </c>
      <c r="AI952" s="2">
        <v>0</v>
      </c>
      <c r="AJ952" s="2">
        <v>0</v>
      </c>
      <c r="AK952" s="2">
        <v>0</v>
      </c>
      <c r="AL952" s="2">
        <v>10.53</v>
      </c>
      <c r="AM952" s="2">
        <v>0</v>
      </c>
      <c r="AN952" s="2">
        <v>0</v>
      </c>
      <c r="AO952" s="2">
        <v>0</v>
      </c>
      <c r="AP952" s="2">
        <v>0</v>
      </c>
      <c r="AQ952" s="2">
        <v>0</v>
      </c>
    </row>
    <row r="953" spans="1:43" x14ac:dyDescent="0.25">
      <c r="A953" s="1">
        <v>45936</v>
      </c>
      <c r="B953" t="s">
        <v>48</v>
      </c>
      <c r="C953">
        <v>649163</v>
      </c>
      <c r="D953">
        <v>2030963808</v>
      </c>
      <c r="E953" t="s">
        <v>958</v>
      </c>
      <c r="F953" t="s">
        <v>959</v>
      </c>
      <c r="G953" t="s">
        <v>51</v>
      </c>
      <c r="H953" t="s">
        <v>88</v>
      </c>
      <c r="I953" t="s">
        <v>292</v>
      </c>
      <c r="J953" t="s">
        <v>293</v>
      </c>
      <c r="K953">
        <v>673059</v>
      </c>
      <c r="L953" t="s">
        <v>80</v>
      </c>
      <c r="M953" t="s">
        <v>81</v>
      </c>
      <c r="N953" t="s">
        <v>57</v>
      </c>
      <c r="O953" s="1">
        <v>45910</v>
      </c>
      <c r="Q953" s="1">
        <v>45971</v>
      </c>
      <c r="R953" s="2">
        <v>57.27</v>
      </c>
      <c r="S953">
        <v>1</v>
      </c>
      <c r="T953" t="s">
        <v>58</v>
      </c>
      <c r="U953" t="s">
        <v>59</v>
      </c>
      <c r="V953" s="3">
        <v>0.7</v>
      </c>
      <c r="W953" s="2">
        <v>0</v>
      </c>
      <c r="X953">
        <v>0</v>
      </c>
      <c r="Y953" t="s">
        <v>60</v>
      </c>
      <c r="Z953" t="s">
        <v>360</v>
      </c>
      <c r="AA953">
        <v>0</v>
      </c>
      <c r="AB953" s="2">
        <v>0</v>
      </c>
      <c r="AC953" s="2">
        <v>0</v>
      </c>
      <c r="AD953" s="3">
        <v>0</v>
      </c>
      <c r="AE953" s="2">
        <v>0</v>
      </c>
      <c r="AF953" s="2">
        <v>0</v>
      </c>
      <c r="AG953" s="2">
        <v>0</v>
      </c>
      <c r="AH953" s="2">
        <v>0</v>
      </c>
      <c r="AI953" s="2">
        <v>0</v>
      </c>
      <c r="AJ953" s="2">
        <v>0</v>
      </c>
      <c r="AK953" s="2">
        <v>0</v>
      </c>
      <c r="AL953" s="2">
        <v>40.090000000000003</v>
      </c>
      <c r="AM953" s="2">
        <v>0</v>
      </c>
      <c r="AN953" s="2">
        <v>0</v>
      </c>
      <c r="AO953" s="2">
        <v>0</v>
      </c>
      <c r="AP953" s="2">
        <v>0</v>
      </c>
      <c r="AQ953" s="2">
        <v>0</v>
      </c>
    </row>
    <row r="954" spans="1:43" x14ac:dyDescent="0.25">
      <c r="A954" s="1">
        <v>45936</v>
      </c>
      <c r="B954" t="s">
        <v>48</v>
      </c>
      <c r="C954">
        <v>649163</v>
      </c>
      <c r="D954">
        <v>2030966818</v>
      </c>
      <c r="E954" t="s">
        <v>361</v>
      </c>
      <c r="F954" t="s">
        <v>362</v>
      </c>
      <c r="G954" t="s">
        <v>51</v>
      </c>
      <c r="H954" t="s">
        <v>323</v>
      </c>
      <c r="I954" t="s">
        <v>292</v>
      </c>
      <c r="J954" t="s">
        <v>293</v>
      </c>
      <c r="K954">
        <v>823350</v>
      </c>
      <c r="L954" t="s">
        <v>66</v>
      </c>
      <c r="M954" t="s">
        <v>67</v>
      </c>
      <c r="N954" t="s">
        <v>57</v>
      </c>
      <c r="O954" s="1">
        <v>45910</v>
      </c>
      <c r="Q954" s="1">
        <v>45971</v>
      </c>
      <c r="R954" s="2">
        <v>18.57</v>
      </c>
      <c r="S954">
        <v>1</v>
      </c>
      <c r="T954" t="s">
        <v>58</v>
      </c>
      <c r="U954" t="s">
        <v>59</v>
      </c>
      <c r="V954" s="3">
        <v>0.7</v>
      </c>
      <c r="W954" s="2">
        <v>0</v>
      </c>
      <c r="X954">
        <v>0</v>
      </c>
      <c r="Y954" t="s">
        <v>60</v>
      </c>
      <c r="Z954" t="s">
        <v>360</v>
      </c>
      <c r="AA954">
        <v>0</v>
      </c>
      <c r="AB954" s="2">
        <v>0</v>
      </c>
      <c r="AC954" s="2">
        <v>0</v>
      </c>
      <c r="AD954" s="3">
        <v>0</v>
      </c>
      <c r="AE954" s="2">
        <v>0</v>
      </c>
      <c r="AF954" s="2">
        <v>0</v>
      </c>
      <c r="AG954" s="2">
        <v>0</v>
      </c>
      <c r="AH954" s="2">
        <v>0</v>
      </c>
      <c r="AI954" s="2">
        <v>0</v>
      </c>
      <c r="AJ954" s="2">
        <v>0</v>
      </c>
      <c r="AK954" s="2">
        <v>0</v>
      </c>
      <c r="AL954" s="2">
        <v>13</v>
      </c>
      <c r="AM954" s="2">
        <v>0</v>
      </c>
      <c r="AN954" s="2">
        <v>0</v>
      </c>
      <c r="AO954" s="2">
        <v>0</v>
      </c>
      <c r="AP954" s="2">
        <v>0</v>
      </c>
      <c r="AQ954" s="2">
        <v>0</v>
      </c>
    </row>
    <row r="955" spans="1:43" x14ac:dyDescent="0.25">
      <c r="A955" s="1">
        <v>45936</v>
      </c>
      <c r="B955" t="s">
        <v>48</v>
      </c>
      <c r="C955">
        <v>649163</v>
      </c>
      <c r="D955">
        <v>2031250521</v>
      </c>
      <c r="E955" t="s">
        <v>457</v>
      </c>
      <c r="F955" t="s">
        <v>458</v>
      </c>
      <c r="G955" t="s">
        <v>51</v>
      </c>
      <c r="H955" t="s">
        <v>101</v>
      </c>
      <c r="I955" t="s">
        <v>292</v>
      </c>
      <c r="J955" t="s">
        <v>293</v>
      </c>
      <c r="K955">
        <v>673059</v>
      </c>
      <c r="L955" t="s">
        <v>80</v>
      </c>
      <c r="M955" t="s">
        <v>81</v>
      </c>
      <c r="N955" t="s">
        <v>456</v>
      </c>
      <c r="O955" s="1">
        <v>45931</v>
      </c>
      <c r="P955" s="1">
        <v>45936</v>
      </c>
      <c r="Q955" s="1">
        <v>45962</v>
      </c>
      <c r="R955" s="2">
        <v>-170.5</v>
      </c>
      <c r="S955">
        <v>1</v>
      </c>
      <c r="T955" t="s">
        <v>58</v>
      </c>
      <c r="U955" t="s">
        <v>213</v>
      </c>
      <c r="V955" s="3">
        <v>0.7</v>
      </c>
      <c r="W955" s="2">
        <v>0</v>
      </c>
      <c r="X955">
        <v>-1</v>
      </c>
      <c r="Y955" t="s">
        <v>60</v>
      </c>
      <c r="Z955" t="s">
        <v>360</v>
      </c>
      <c r="AA955">
        <v>0</v>
      </c>
      <c r="AB955" s="2">
        <v>0</v>
      </c>
      <c r="AC955" s="2">
        <v>0</v>
      </c>
      <c r="AD955" s="3">
        <v>0</v>
      </c>
      <c r="AE955" s="2">
        <v>0</v>
      </c>
      <c r="AF955" s="2">
        <v>0</v>
      </c>
      <c r="AG955" s="2">
        <v>0</v>
      </c>
      <c r="AH955" s="2">
        <v>0</v>
      </c>
      <c r="AI955" s="2">
        <v>0</v>
      </c>
      <c r="AJ955" s="2">
        <v>0</v>
      </c>
      <c r="AK955" s="2">
        <v>0</v>
      </c>
      <c r="AL955" s="2">
        <v>0</v>
      </c>
      <c r="AM955" s="2">
        <v>-119.35</v>
      </c>
      <c r="AN955" s="2">
        <v>-119.35</v>
      </c>
      <c r="AO955" s="2">
        <v>0</v>
      </c>
      <c r="AP955" s="2">
        <v>0</v>
      </c>
      <c r="AQ955" s="2">
        <v>0</v>
      </c>
    </row>
    <row r="956" spans="1:43" x14ac:dyDescent="0.25">
      <c r="A956" s="1">
        <v>45936</v>
      </c>
      <c r="B956" t="s">
        <v>48</v>
      </c>
      <c r="C956">
        <v>649163</v>
      </c>
      <c r="D956">
        <v>2020895974</v>
      </c>
      <c r="E956" t="s">
        <v>97</v>
      </c>
      <c r="F956" t="s">
        <v>482</v>
      </c>
      <c r="G956" t="s">
        <v>51</v>
      </c>
      <c r="H956" t="s">
        <v>247</v>
      </c>
      <c r="I956" t="s">
        <v>344</v>
      </c>
      <c r="J956" t="s">
        <v>553</v>
      </c>
      <c r="K956">
        <v>673059</v>
      </c>
      <c r="L956" t="s">
        <v>80</v>
      </c>
      <c r="M956" t="s">
        <v>81</v>
      </c>
      <c r="N956" t="s">
        <v>456</v>
      </c>
      <c r="O956" s="1">
        <v>45657</v>
      </c>
      <c r="P956" s="1">
        <v>45936</v>
      </c>
      <c r="Q956" s="1">
        <v>45960</v>
      </c>
      <c r="R956" s="2">
        <v>-349.55</v>
      </c>
      <c r="S956">
        <v>1</v>
      </c>
      <c r="T956" t="s">
        <v>58</v>
      </c>
      <c r="U956" t="s">
        <v>359</v>
      </c>
      <c r="V956" s="3">
        <v>0.19</v>
      </c>
      <c r="W956" s="2">
        <v>0</v>
      </c>
      <c r="X956">
        <v>-1</v>
      </c>
      <c r="Y956" t="s">
        <v>60</v>
      </c>
      <c r="Z956" t="s">
        <v>360</v>
      </c>
      <c r="AA956">
        <v>0</v>
      </c>
      <c r="AB956" s="2">
        <v>0</v>
      </c>
      <c r="AC956" s="2">
        <v>0</v>
      </c>
      <c r="AD956" s="3">
        <v>0</v>
      </c>
      <c r="AE956" s="2">
        <v>0</v>
      </c>
      <c r="AF956" s="2">
        <v>0</v>
      </c>
      <c r="AG956" s="2">
        <v>0</v>
      </c>
      <c r="AH956" s="2">
        <v>0</v>
      </c>
      <c r="AI956" s="2">
        <v>0</v>
      </c>
      <c r="AJ956" s="2">
        <v>0</v>
      </c>
      <c r="AK956" s="2">
        <v>0</v>
      </c>
      <c r="AL956" s="2">
        <v>0</v>
      </c>
      <c r="AM956" s="2">
        <v>-66.41</v>
      </c>
      <c r="AN956" s="2">
        <v>-66.41</v>
      </c>
      <c r="AO956" s="2">
        <v>0</v>
      </c>
      <c r="AP956" s="2">
        <v>0</v>
      </c>
      <c r="AQ956" s="2">
        <v>0</v>
      </c>
    </row>
    <row r="957" spans="1:43" x14ac:dyDescent="0.25">
      <c r="A957" s="1">
        <v>45936</v>
      </c>
      <c r="B957" t="s">
        <v>48</v>
      </c>
      <c r="C957">
        <v>649163</v>
      </c>
      <c r="D957">
        <v>2027500015</v>
      </c>
      <c r="E957" t="s">
        <v>1103</v>
      </c>
      <c r="F957" t="s">
        <v>1104</v>
      </c>
      <c r="G957" t="s">
        <v>51</v>
      </c>
      <c r="H957" t="s">
        <v>376</v>
      </c>
      <c r="I957" t="s">
        <v>243</v>
      </c>
      <c r="J957" t="s">
        <v>244</v>
      </c>
      <c r="K957">
        <v>822865</v>
      </c>
      <c r="L957" t="s">
        <v>146</v>
      </c>
      <c r="M957" t="s">
        <v>147</v>
      </c>
      <c r="N957" t="s">
        <v>57</v>
      </c>
      <c r="O957" s="1">
        <v>45718</v>
      </c>
      <c r="Q957" s="1">
        <v>45963</v>
      </c>
      <c r="R957" s="2">
        <v>36.299999999999997</v>
      </c>
      <c r="S957">
        <v>1</v>
      </c>
      <c r="T957" t="s">
        <v>58</v>
      </c>
      <c r="U957" t="s">
        <v>359</v>
      </c>
      <c r="V957" s="4">
        <v>0.375</v>
      </c>
      <c r="W957" s="2">
        <v>0</v>
      </c>
      <c r="X957">
        <v>0</v>
      </c>
      <c r="Y957" t="s">
        <v>60</v>
      </c>
      <c r="Z957" t="s">
        <v>360</v>
      </c>
      <c r="AA957">
        <v>0</v>
      </c>
      <c r="AB957" s="2">
        <v>0</v>
      </c>
      <c r="AC957" s="2">
        <v>0</v>
      </c>
      <c r="AD957" s="3">
        <v>0</v>
      </c>
      <c r="AE957" s="2">
        <v>0</v>
      </c>
      <c r="AF957" s="2">
        <v>0</v>
      </c>
      <c r="AG957" s="2">
        <v>0</v>
      </c>
      <c r="AH957" s="2">
        <v>0</v>
      </c>
      <c r="AI957" s="2">
        <v>0</v>
      </c>
      <c r="AJ957" s="2">
        <v>0</v>
      </c>
      <c r="AK957" s="2">
        <v>0</v>
      </c>
      <c r="AL957" s="2">
        <v>0</v>
      </c>
      <c r="AM957" s="2">
        <v>13.61</v>
      </c>
      <c r="AN957" s="2">
        <v>13.61</v>
      </c>
      <c r="AO957" s="2">
        <v>0</v>
      </c>
      <c r="AP957" s="2">
        <v>0</v>
      </c>
      <c r="AQ957" s="2">
        <v>0</v>
      </c>
    </row>
    <row r="958" spans="1:43" x14ac:dyDescent="0.25">
      <c r="A958" s="1">
        <v>45936</v>
      </c>
      <c r="B958" t="s">
        <v>48</v>
      </c>
      <c r="C958">
        <v>649163</v>
      </c>
      <c r="D958">
        <v>2027545460</v>
      </c>
      <c r="E958" t="s">
        <v>1003</v>
      </c>
      <c r="F958" t="s">
        <v>1004</v>
      </c>
      <c r="G958" t="s">
        <v>51</v>
      </c>
      <c r="H958" t="s">
        <v>101</v>
      </c>
      <c r="I958" t="s">
        <v>243</v>
      </c>
      <c r="J958" t="s">
        <v>244</v>
      </c>
      <c r="K958">
        <v>651818</v>
      </c>
      <c r="L958" t="s">
        <v>112</v>
      </c>
      <c r="M958" t="s">
        <v>104</v>
      </c>
      <c r="N958" t="s">
        <v>57</v>
      </c>
      <c r="O958" s="1">
        <v>45723</v>
      </c>
      <c r="Q958" s="1">
        <v>45968</v>
      </c>
      <c r="R958" s="2">
        <v>48.61</v>
      </c>
      <c r="S958">
        <v>1</v>
      </c>
      <c r="T958" t="s">
        <v>58</v>
      </c>
      <c r="U958" t="s">
        <v>359</v>
      </c>
      <c r="V958" s="4">
        <v>0.375</v>
      </c>
      <c r="W958" s="2">
        <v>0</v>
      </c>
      <c r="X958">
        <v>0</v>
      </c>
      <c r="Y958" t="s">
        <v>60</v>
      </c>
      <c r="Z958" t="s">
        <v>360</v>
      </c>
      <c r="AA958">
        <v>0</v>
      </c>
      <c r="AB958" s="2">
        <v>0</v>
      </c>
      <c r="AC958" s="2">
        <v>0</v>
      </c>
      <c r="AD958" s="3">
        <v>0</v>
      </c>
      <c r="AE958" s="2">
        <v>0</v>
      </c>
      <c r="AF958" s="2">
        <v>0</v>
      </c>
      <c r="AG958" s="2">
        <v>0</v>
      </c>
      <c r="AH958" s="2">
        <v>0</v>
      </c>
      <c r="AI958" s="2">
        <v>0</v>
      </c>
      <c r="AJ958" s="2">
        <v>0</v>
      </c>
      <c r="AK958" s="2">
        <v>0</v>
      </c>
      <c r="AL958" s="2">
        <v>0</v>
      </c>
      <c r="AM958" s="2">
        <v>18.23</v>
      </c>
      <c r="AN958" s="2">
        <v>18.23</v>
      </c>
      <c r="AO958" s="2">
        <v>0</v>
      </c>
      <c r="AP958" s="2">
        <v>0</v>
      </c>
      <c r="AQ958" s="2">
        <v>0</v>
      </c>
    </row>
    <row r="959" spans="1:43" x14ac:dyDescent="0.25">
      <c r="A959" s="1">
        <v>45936</v>
      </c>
      <c r="B959" t="s">
        <v>48</v>
      </c>
      <c r="C959">
        <v>649163</v>
      </c>
      <c r="D959">
        <v>2027573959</v>
      </c>
      <c r="E959" t="s">
        <v>1005</v>
      </c>
      <c r="F959" t="s">
        <v>673</v>
      </c>
      <c r="G959" t="s">
        <v>51</v>
      </c>
      <c r="H959" t="s">
        <v>431</v>
      </c>
      <c r="I959" t="s">
        <v>243</v>
      </c>
      <c r="J959" t="s">
        <v>244</v>
      </c>
      <c r="K959">
        <v>673059</v>
      </c>
      <c r="L959" t="s">
        <v>80</v>
      </c>
      <c r="M959" t="s">
        <v>81</v>
      </c>
      <c r="N959" t="s">
        <v>57</v>
      </c>
      <c r="O959" s="1">
        <v>45757</v>
      </c>
      <c r="Q959" s="1">
        <v>45971</v>
      </c>
      <c r="R959" s="2">
        <v>23.34</v>
      </c>
      <c r="S959">
        <v>1</v>
      </c>
      <c r="T959" t="s">
        <v>58</v>
      </c>
      <c r="U959" t="s">
        <v>359</v>
      </c>
      <c r="V959" s="4">
        <v>0.375</v>
      </c>
      <c r="W959" s="2">
        <v>0</v>
      </c>
      <c r="X959">
        <v>0</v>
      </c>
      <c r="Y959" t="s">
        <v>60</v>
      </c>
      <c r="Z959" t="s">
        <v>360</v>
      </c>
      <c r="AA959">
        <v>0</v>
      </c>
      <c r="AB959" s="2">
        <v>0</v>
      </c>
      <c r="AC959" s="2">
        <v>0</v>
      </c>
      <c r="AD959" s="3">
        <v>0</v>
      </c>
      <c r="AE959" s="2">
        <v>0</v>
      </c>
      <c r="AF959" s="2">
        <v>0</v>
      </c>
      <c r="AG959" s="2">
        <v>0</v>
      </c>
      <c r="AH959" s="2">
        <v>0</v>
      </c>
      <c r="AI959" s="2">
        <v>0</v>
      </c>
      <c r="AJ959" s="2">
        <v>0</v>
      </c>
      <c r="AK959" s="2">
        <v>0</v>
      </c>
      <c r="AL959" s="2">
        <v>0</v>
      </c>
      <c r="AM959" s="2">
        <v>8.75</v>
      </c>
      <c r="AN959" s="2">
        <v>8.75</v>
      </c>
      <c r="AO959" s="2">
        <v>0</v>
      </c>
      <c r="AP959" s="2">
        <v>0</v>
      </c>
      <c r="AQ959" s="2">
        <v>0</v>
      </c>
    </row>
    <row r="960" spans="1:43" x14ac:dyDescent="0.25">
      <c r="A960" s="1">
        <v>45936</v>
      </c>
      <c r="B960" t="s">
        <v>48</v>
      </c>
      <c r="C960">
        <v>649163</v>
      </c>
      <c r="D960">
        <v>2027763445</v>
      </c>
      <c r="E960" t="s">
        <v>413</v>
      </c>
      <c r="F960" t="s">
        <v>100</v>
      </c>
      <c r="G960" t="s">
        <v>51</v>
      </c>
      <c r="H960" t="s">
        <v>70</v>
      </c>
      <c r="I960" t="s">
        <v>243</v>
      </c>
      <c r="J960" t="s">
        <v>244</v>
      </c>
      <c r="K960">
        <v>650218</v>
      </c>
      <c r="L960" t="s">
        <v>237</v>
      </c>
      <c r="M960" t="s">
        <v>238</v>
      </c>
      <c r="N960" t="s">
        <v>57</v>
      </c>
      <c r="O960" s="1">
        <v>45748</v>
      </c>
      <c r="Q960" s="1">
        <v>45962</v>
      </c>
      <c r="R960" s="2">
        <v>57.79</v>
      </c>
      <c r="S960">
        <v>1</v>
      </c>
      <c r="T960" t="s">
        <v>58</v>
      </c>
      <c r="U960" t="s">
        <v>359</v>
      </c>
      <c r="V960" s="4">
        <v>0.375</v>
      </c>
      <c r="W960" s="2">
        <v>0</v>
      </c>
      <c r="X960">
        <v>0</v>
      </c>
      <c r="Y960" t="s">
        <v>60</v>
      </c>
      <c r="Z960" t="s">
        <v>360</v>
      </c>
      <c r="AA960">
        <v>0</v>
      </c>
      <c r="AB960" s="2">
        <v>0</v>
      </c>
      <c r="AC960" s="2">
        <v>0</v>
      </c>
      <c r="AD960" s="3">
        <v>0</v>
      </c>
      <c r="AE960" s="2">
        <v>0</v>
      </c>
      <c r="AF960" s="2">
        <v>0</v>
      </c>
      <c r="AG960" s="2">
        <v>0</v>
      </c>
      <c r="AH960" s="2">
        <v>0</v>
      </c>
      <c r="AI960" s="2">
        <v>0</v>
      </c>
      <c r="AJ960" s="2">
        <v>0</v>
      </c>
      <c r="AK960" s="2">
        <v>0</v>
      </c>
      <c r="AL960" s="2">
        <v>0</v>
      </c>
      <c r="AM960" s="2">
        <v>21.67</v>
      </c>
      <c r="AN960" s="2">
        <v>21.67</v>
      </c>
      <c r="AO960" s="2">
        <v>0</v>
      </c>
      <c r="AP960" s="2">
        <v>0</v>
      </c>
      <c r="AQ960" s="2">
        <v>0</v>
      </c>
    </row>
    <row r="961" spans="1:43" x14ac:dyDescent="0.25">
      <c r="A961" s="1">
        <v>45936</v>
      </c>
      <c r="B961" t="s">
        <v>48</v>
      </c>
      <c r="C961">
        <v>649163</v>
      </c>
      <c r="D961">
        <v>2028192004</v>
      </c>
      <c r="E961" t="s">
        <v>1017</v>
      </c>
      <c r="F961" t="s">
        <v>1018</v>
      </c>
      <c r="G961" t="s">
        <v>51</v>
      </c>
      <c r="H961" t="s">
        <v>101</v>
      </c>
      <c r="I961" t="s">
        <v>243</v>
      </c>
      <c r="J961" t="s">
        <v>244</v>
      </c>
      <c r="K961">
        <v>840313</v>
      </c>
      <c r="L961" t="s">
        <v>436</v>
      </c>
      <c r="M961" t="s">
        <v>437</v>
      </c>
      <c r="N961" t="s">
        <v>57</v>
      </c>
      <c r="O961" s="1">
        <v>45755</v>
      </c>
      <c r="Q961" s="1">
        <v>45969</v>
      </c>
      <c r="R961" s="2">
        <v>129.41</v>
      </c>
      <c r="S961">
        <v>1</v>
      </c>
      <c r="T961" t="s">
        <v>58</v>
      </c>
      <c r="U961" t="s">
        <v>359</v>
      </c>
      <c r="V961" s="4">
        <v>0.375</v>
      </c>
      <c r="W961" s="2">
        <v>0</v>
      </c>
      <c r="X961">
        <v>0</v>
      </c>
      <c r="Y961" t="s">
        <v>60</v>
      </c>
      <c r="Z961" t="s">
        <v>360</v>
      </c>
      <c r="AA961">
        <v>0</v>
      </c>
      <c r="AB961" s="2">
        <v>0</v>
      </c>
      <c r="AC961" s="2">
        <v>0</v>
      </c>
      <c r="AD961" s="3">
        <v>0</v>
      </c>
      <c r="AE961" s="2">
        <v>0</v>
      </c>
      <c r="AF961" s="2">
        <v>0</v>
      </c>
      <c r="AG961" s="2">
        <v>0</v>
      </c>
      <c r="AH961" s="2">
        <v>0</v>
      </c>
      <c r="AI961" s="2">
        <v>0</v>
      </c>
      <c r="AJ961" s="2">
        <v>0</v>
      </c>
      <c r="AK961" s="2">
        <v>0</v>
      </c>
      <c r="AL961" s="2">
        <v>0</v>
      </c>
      <c r="AM961" s="2">
        <v>48.53</v>
      </c>
      <c r="AN961" s="2">
        <v>48.53</v>
      </c>
      <c r="AO961" s="2">
        <v>0</v>
      </c>
      <c r="AP961" s="2">
        <v>0</v>
      </c>
      <c r="AQ961" s="2">
        <v>0</v>
      </c>
    </row>
    <row r="962" spans="1:43" x14ac:dyDescent="0.25">
      <c r="A962" s="1">
        <v>45936</v>
      </c>
      <c r="B962" t="s">
        <v>48</v>
      </c>
      <c r="C962">
        <v>649163</v>
      </c>
      <c r="D962">
        <v>2028271608</v>
      </c>
      <c r="E962" t="s">
        <v>1105</v>
      </c>
      <c r="F962" t="s">
        <v>1106</v>
      </c>
      <c r="G962" t="s">
        <v>51</v>
      </c>
      <c r="H962" t="s">
        <v>101</v>
      </c>
      <c r="I962" t="s">
        <v>243</v>
      </c>
      <c r="J962" t="s">
        <v>244</v>
      </c>
      <c r="K962">
        <v>856824</v>
      </c>
      <c r="L962" t="s">
        <v>298</v>
      </c>
      <c r="M962" t="s">
        <v>299</v>
      </c>
      <c r="N962" t="s">
        <v>57</v>
      </c>
      <c r="O962" s="1">
        <v>45755</v>
      </c>
      <c r="Q962" s="1">
        <v>45969</v>
      </c>
      <c r="R962" s="2">
        <v>81.94</v>
      </c>
      <c r="S962">
        <v>1</v>
      </c>
      <c r="T962" t="s">
        <v>58</v>
      </c>
      <c r="U962" t="s">
        <v>359</v>
      </c>
      <c r="V962" s="4">
        <v>0.375</v>
      </c>
      <c r="W962" s="2">
        <v>0</v>
      </c>
      <c r="X962">
        <v>0</v>
      </c>
      <c r="Y962" t="s">
        <v>60</v>
      </c>
      <c r="Z962" t="s">
        <v>360</v>
      </c>
      <c r="AA962">
        <v>0</v>
      </c>
      <c r="AB962" s="2">
        <v>0</v>
      </c>
      <c r="AC962" s="2">
        <v>0</v>
      </c>
      <c r="AD962" s="3">
        <v>0</v>
      </c>
      <c r="AE962" s="2">
        <v>0</v>
      </c>
      <c r="AF962" s="2">
        <v>0</v>
      </c>
      <c r="AG962" s="2">
        <v>0</v>
      </c>
      <c r="AH962" s="2">
        <v>0</v>
      </c>
      <c r="AI962" s="2">
        <v>0</v>
      </c>
      <c r="AJ962" s="2">
        <v>0</v>
      </c>
      <c r="AK962" s="2">
        <v>0</v>
      </c>
      <c r="AL962" s="2">
        <v>0</v>
      </c>
      <c r="AM962" s="2">
        <v>30.73</v>
      </c>
      <c r="AN962" s="2">
        <v>30.73</v>
      </c>
      <c r="AO962" s="2">
        <v>0</v>
      </c>
      <c r="AP962" s="2">
        <v>0</v>
      </c>
      <c r="AQ962" s="2">
        <v>0</v>
      </c>
    </row>
    <row r="963" spans="1:43" x14ac:dyDescent="0.25">
      <c r="A963" s="1">
        <v>45936</v>
      </c>
      <c r="B963" t="s">
        <v>48</v>
      </c>
      <c r="C963">
        <v>649163</v>
      </c>
      <c r="D963">
        <v>2028281047</v>
      </c>
      <c r="E963" t="s">
        <v>1020</v>
      </c>
      <c r="F963" t="s">
        <v>1021</v>
      </c>
      <c r="G963" t="s">
        <v>51</v>
      </c>
      <c r="H963" t="s">
        <v>101</v>
      </c>
      <c r="I963" t="s">
        <v>243</v>
      </c>
      <c r="J963" t="s">
        <v>244</v>
      </c>
      <c r="K963">
        <v>806645</v>
      </c>
      <c r="L963" t="s">
        <v>1022</v>
      </c>
      <c r="M963" t="s">
        <v>1023</v>
      </c>
      <c r="N963" t="s">
        <v>57</v>
      </c>
      <c r="O963" s="1">
        <v>45755</v>
      </c>
      <c r="Q963" s="1">
        <v>45969</v>
      </c>
      <c r="R963" s="2">
        <v>59.51</v>
      </c>
      <c r="S963">
        <v>1</v>
      </c>
      <c r="T963" t="s">
        <v>58</v>
      </c>
      <c r="U963" t="s">
        <v>359</v>
      </c>
      <c r="V963" s="4">
        <v>0.375</v>
      </c>
      <c r="W963" s="2">
        <v>0</v>
      </c>
      <c r="X963">
        <v>0</v>
      </c>
      <c r="Y963" t="s">
        <v>60</v>
      </c>
      <c r="Z963" t="s">
        <v>360</v>
      </c>
      <c r="AA963">
        <v>0</v>
      </c>
      <c r="AB963" s="2">
        <v>0</v>
      </c>
      <c r="AC963" s="2">
        <v>0</v>
      </c>
      <c r="AD963" s="3">
        <v>0</v>
      </c>
      <c r="AE963" s="2">
        <v>0</v>
      </c>
      <c r="AF963" s="2">
        <v>0</v>
      </c>
      <c r="AG963" s="2">
        <v>0</v>
      </c>
      <c r="AH963" s="2">
        <v>0</v>
      </c>
      <c r="AI963" s="2">
        <v>0</v>
      </c>
      <c r="AJ963" s="2">
        <v>0</v>
      </c>
      <c r="AK963" s="2">
        <v>0</v>
      </c>
      <c r="AL963" s="2">
        <v>0</v>
      </c>
      <c r="AM963" s="2">
        <v>22.32</v>
      </c>
      <c r="AN963" s="2">
        <v>22.32</v>
      </c>
      <c r="AO963" s="2">
        <v>0</v>
      </c>
      <c r="AP963" s="2">
        <v>0</v>
      </c>
      <c r="AQ963" s="2">
        <v>0</v>
      </c>
    </row>
    <row r="964" spans="1:43" x14ac:dyDescent="0.25">
      <c r="A964" s="1">
        <v>45936</v>
      </c>
      <c r="B964" t="s">
        <v>48</v>
      </c>
      <c r="C964">
        <v>649163</v>
      </c>
      <c r="D964">
        <v>2028281146</v>
      </c>
      <c r="E964" t="s">
        <v>1024</v>
      </c>
      <c r="F964" t="s">
        <v>212</v>
      </c>
      <c r="G964" t="s">
        <v>51</v>
      </c>
      <c r="H964" t="s">
        <v>203</v>
      </c>
      <c r="I964" t="s">
        <v>243</v>
      </c>
      <c r="J964" t="s">
        <v>244</v>
      </c>
      <c r="K964">
        <v>816021</v>
      </c>
      <c r="L964" t="s">
        <v>265</v>
      </c>
      <c r="M964" t="s">
        <v>266</v>
      </c>
      <c r="N964" t="s">
        <v>57</v>
      </c>
      <c r="O964" s="1">
        <v>45755</v>
      </c>
      <c r="Q964" s="1">
        <v>45969</v>
      </c>
      <c r="R964" s="2">
        <v>120.25</v>
      </c>
      <c r="S964">
        <v>1</v>
      </c>
      <c r="T964" t="s">
        <v>58</v>
      </c>
      <c r="U964" t="s">
        <v>359</v>
      </c>
      <c r="V964" s="4">
        <v>0.375</v>
      </c>
      <c r="W964" s="2">
        <v>0</v>
      </c>
      <c r="X964">
        <v>0</v>
      </c>
      <c r="Y964" t="s">
        <v>60</v>
      </c>
      <c r="Z964" t="s">
        <v>360</v>
      </c>
      <c r="AA964">
        <v>0</v>
      </c>
      <c r="AB964" s="2">
        <v>0</v>
      </c>
      <c r="AC964" s="2">
        <v>0</v>
      </c>
      <c r="AD964" s="3">
        <v>0</v>
      </c>
      <c r="AE964" s="2">
        <v>0</v>
      </c>
      <c r="AF964" s="2">
        <v>0</v>
      </c>
      <c r="AG964" s="2">
        <v>0</v>
      </c>
      <c r="AH964" s="2">
        <v>0</v>
      </c>
      <c r="AI964" s="2">
        <v>0</v>
      </c>
      <c r="AJ964" s="2">
        <v>0</v>
      </c>
      <c r="AK964" s="2">
        <v>0</v>
      </c>
      <c r="AL964" s="2">
        <v>0</v>
      </c>
      <c r="AM964" s="2">
        <v>45.09</v>
      </c>
      <c r="AN964" s="2">
        <v>45.09</v>
      </c>
      <c r="AO964" s="2">
        <v>0</v>
      </c>
      <c r="AP964" s="2">
        <v>0</v>
      </c>
      <c r="AQ964" s="2">
        <v>0</v>
      </c>
    </row>
    <row r="965" spans="1:43" x14ac:dyDescent="0.25">
      <c r="A965" s="1">
        <v>45936</v>
      </c>
      <c r="B965" t="s">
        <v>48</v>
      </c>
      <c r="C965">
        <v>649163</v>
      </c>
      <c r="D965">
        <v>2028297703</v>
      </c>
      <c r="E965" t="s">
        <v>1027</v>
      </c>
      <c r="F965" t="s">
        <v>1028</v>
      </c>
      <c r="G965" t="s">
        <v>51</v>
      </c>
      <c r="H965" t="s">
        <v>79</v>
      </c>
      <c r="I965" t="s">
        <v>243</v>
      </c>
      <c r="J965" t="s">
        <v>244</v>
      </c>
      <c r="K965">
        <v>822865</v>
      </c>
      <c r="L965" t="s">
        <v>146</v>
      </c>
      <c r="M965" t="s">
        <v>147</v>
      </c>
      <c r="N965" t="s">
        <v>57</v>
      </c>
      <c r="O965" s="1">
        <v>45756</v>
      </c>
      <c r="Q965" s="1">
        <v>45970</v>
      </c>
      <c r="R965" s="2">
        <v>18.62</v>
      </c>
      <c r="S965">
        <v>1</v>
      </c>
      <c r="T965" t="s">
        <v>58</v>
      </c>
      <c r="U965" t="s">
        <v>359</v>
      </c>
      <c r="V965" s="4">
        <v>0.375</v>
      </c>
      <c r="W965" s="2">
        <v>0</v>
      </c>
      <c r="X965">
        <v>0</v>
      </c>
      <c r="Y965" t="s">
        <v>60</v>
      </c>
      <c r="Z965" t="s">
        <v>360</v>
      </c>
      <c r="AA965">
        <v>0</v>
      </c>
      <c r="AB965" s="2">
        <v>0</v>
      </c>
      <c r="AC965" s="2">
        <v>0</v>
      </c>
      <c r="AD965" s="3">
        <v>0</v>
      </c>
      <c r="AE965" s="2">
        <v>0</v>
      </c>
      <c r="AF965" s="2">
        <v>0</v>
      </c>
      <c r="AG965" s="2">
        <v>0</v>
      </c>
      <c r="AH965" s="2">
        <v>0</v>
      </c>
      <c r="AI965" s="2">
        <v>0</v>
      </c>
      <c r="AJ965" s="2">
        <v>0</v>
      </c>
      <c r="AK965" s="2">
        <v>0</v>
      </c>
      <c r="AL965" s="2">
        <v>0</v>
      </c>
      <c r="AM965" s="2">
        <v>6.98</v>
      </c>
      <c r="AN965" s="2">
        <v>6.98</v>
      </c>
      <c r="AO965" s="2">
        <v>0</v>
      </c>
      <c r="AP965" s="2">
        <v>0</v>
      </c>
      <c r="AQ965" s="2">
        <v>0</v>
      </c>
    </row>
    <row r="966" spans="1:43" x14ac:dyDescent="0.25">
      <c r="A966" s="1">
        <v>45936</v>
      </c>
      <c r="B966" t="s">
        <v>48</v>
      </c>
      <c r="C966">
        <v>649163</v>
      </c>
      <c r="D966">
        <v>2028565357</v>
      </c>
      <c r="E966" t="s">
        <v>139</v>
      </c>
      <c r="F966" t="s">
        <v>416</v>
      </c>
      <c r="G966" t="s">
        <v>51</v>
      </c>
      <c r="H966" t="s">
        <v>88</v>
      </c>
      <c r="I966" t="s">
        <v>243</v>
      </c>
      <c r="J966" t="s">
        <v>244</v>
      </c>
      <c r="K966">
        <v>650218</v>
      </c>
      <c r="L966" t="s">
        <v>237</v>
      </c>
      <c r="M966" t="s">
        <v>238</v>
      </c>
      <c r="N966" t="s">
        <v>57</v>
      </c>
      <c r="O966" s="1">
        <v>45777</v>
      </c>
      <c r="Q966" s="1">
        <v>45960</v>
      </c>
      <c r="R966" s="2">
        <v>-99.89</v>
      </c>
      <c r="S966">
        <v>1</v>
      </c>
      <c r="T966" t="s">
        <v>58</v>
      </c>
      <c r="U966" t="s">
        <v>359</v>
      </c>
      <c r="V966" s="4">
        <v>0.375</v>
      </c>
      <c r="W966" s="2">
        <v>0</v>
      </c>
      <c r="X966">
        <v>-1</v>
      </c>
      <c r="Y966" t="s">
        <v>60</v>
      </c>
      <c r="Z966" t="s">
        <v>360</v>
      </c>
      <c r="AA966">
        <v>0</v>
      </c>
      <c r="AB966" s="2">
        <v>0</v>
      </c>
      <c r="AC966" s="2">
        <v>0</v>
      </c>
      <c r="AD966" s="3">
        <v>0</v>
      </c>
      <c r="AE966" s="2">
        <v>0</v>
      </c>
      <c r="AF966" s="2">
        <v>0</v>
      </c>
      <c r="AG966" s="2">
        <v>0</v>
      </c>
      <c r="AH966" s="2">
        <v>0</v>
      </c>
      <c r="AI966" s="2">
        <v>0</v>
      </c>
      <c r="AJ966" s="2">
        <v>0</v>
      </c>
      <c r="AK966" s="2">
        <v>0</v>
      </c>
      <c r="AL966" s="2">
        <v>0</v>
      </c>
      <c r="AM966" s="2">
        <v>-37.46</v>
      </c>
      <c r="AN966" s="2">
        <v>-37.46</v>
      </c>
      <c r="AO966" s="2">
        <v>0</v>
      </c>
      <c r="AP966" s="2">
        <v>0</v>
      </c>
      <c r="AQ966" s="2">
        <v>0</v>
      </c>
    </row>
    <row r="967" spans="1:43" x14ac:dyDescent="0.25">
      <c r="A967" s="1">
        <v>45936</v>
      </c>
      <c r="B967" t="s">
        <v>48</v>
      </c>
      <c r="C967">
        <v>649163</v>
      </c>
      <c r="D967">
        <v>2028641305</v>
      </c>
      <c r="E967" t="s">
        <v>1107</v>
      </c>
      <c r="F967" t="s">
        <v>63</v>
      </c>
      <c r="G967" t="s">
        <v>51</v>
      </c>
      <c r="H967" t="s">
        <v>801</v>
      </c>
      <c r="I967" t="s">
        <v>243</v>
      </c>
      <c r="J967" t="s">
        <v>244</v>
      </c>
      <c r="K967">
        <v>652037</v>
      </c>
      <c r="L967" t="s">
        <v>172</v>
      </c>
      <c r="M967" t="s">
        <v>173</v>
      </c>
      <c r="N967" t="s">
        <v>57</v>
      </c>
      <c r="O967" s="1">
        <v>45778</v>
      </c>
      <c r="Q967" s="1">
        <v>45962</v>
      </c>
      <c r="R967" s="2">
        <v>85.49</v>
      </c>
      <c r="S967">
        <v>1</v>
      </c>
      <c r="T967" t="s">
        <v>58</v>
      </c>
      <c r="U967" t="s">
        <v>359</v>
      </c>
      <c r="V967" s="4">
        <v>0.375</v>
      </c>
      <c r="W967" s="2">
        <v>0</v>
      </c>
      <c r="X967">
        <v>0</v>
      </c>
      <c r="Y967" t="s">
        <v>60</v>
      </c>
      <c r="Z967" t="s">
        <v>360</v>
      </c>
      <c r="AA967">
        <v>0</v>
      </c>
      <c r="AB967" s="2">
        <v>0</v>
      </c>
      <c r="AC967" s="2">
        <v>0</v>
      </c>
      <c r="AD967" s="3">
        <v>0</v>
      </c>
      <c r="AE967" s="2">
        <v>0</v>
      </c>
      <c r="AF967" s="2">
        <v>0</v>
      </c>
      <c r="AG967" s="2">
        <v>0</v>
      </c>
      <c r="AH967" s="2">
        <v>0</v>
      </c>
      <c r="AI967" s="2">
        <v>0</v>
      </c>
      <c r="AJ967" s="2">
        <v>0</v>
      </c>
      <c r="AK967" s="2">
        <v>0</v>
      </c>
      <c r="AL967" s="2">
        <v>0</v>
      </c>
      <c r="AM967" s="2">
        <v>32.06</v>
      </c>
      <c r="AN967" s="2">
        <v>32.06</v>
      </c>
      <c r="AO967" s="2">
        <v>0</v>
      </c>
      <c r="AP967" s="2">
        <v>0</v>
      </c>
      <c r="AQ967" s="2">
        <v>0</v>
      </c>
    </row>
    <row r="968" spans="1:43" x14ac:dyDescent="0.25">
      <c r="A968" s="1">
        <v>45936</v>
      </c>
      <c r="B968" t="s">
        <v>48</v>
      </c>
      <c r="C968">
        <v>649163</v>
      </c>
      <c r="D968">
        <v>2028683414</v>
      </c>
      <c r="E968" t="s">
        <v>1031</v>
      </c>
      <c r="F968" t="s">
        <v>1031</v>
      </c>
      <c r="G968" t="s">
        <v>51</v>
      </c>
      <c r="H968" t="s">
        <v>101</v>
      </c>
      <c r="I968" t="s">
        <v>243</v>
      </c>
      <c r="J968" t="s">
        <v>244</v>
      </c>
      <c r="K968">
        <v>824076</v>
      </c>
      <c r="L968" t="s">
        <v>1032</v>
      </c>
      <c r="M968" t="s">
        <v>1033</v>
      </c>
      <c r="N968" t="s">
        <v>57</v>
      </c>
      <c r="O968" s="1">
        <v>45778</v>
      </c>
      <c r="Q968" s="1">
        <v>45962</v>
      </c>
      <c r="R968" s="2">
        <v>176.99</v>
      </c>
      <c r="S968">
        <v>1</v>
      </c>
      <c r="T968" t="s">
        <v>58</v>
      </c>
      <c r="U968" t="s">
        <v>359</v>
      </c>
      <c r="V968" s="4">
        <v>0.375</v>
      </c>
      <c r="W968" s="2">
        <v>0</v>
      </c>
      <c r="X968">
        <v>0</v>
      </c>
      <c r="Y968" t="s">
        <v>60</v>
      </c>
      <c r="Z968" t="s">
        <v>360</v>
      </c>
      <c r="AA968">
        <v>0</v>
      </c>
      <c r="AB968" s="2">
        <v>0</v>
      </c>
      <c r="AC968" s="2">
        <v>0</v>
      </c>
      <c r="AD968" s="3">
        <v>0</v>
      </c>
      <c r="AE968" s="2">
        <v>0</v>
      </c>
      <c r="AF968" s="2">
        <v>0</v>
      </c>
      <c r="AG968" s="2">
        <v>0</v>
      </c>
      <c r="AH968" s="2">
        <v>0</v>
      </c>
      <c r="AI968" s="2">
        <v>0</v>
      </c>
      <c r="AJ968" s="2">
        <v>0</v>
      </c>
      <c r="AK968" s="2">
        <v>0</v>
      </c>
      <c r="AL968" s="2">
        <v>0</v>
      </c>
      <c r="AM968" s="2">
        <v>66.37</v>
      </c>
      <c r="AN968" s="2">
        <v>66.37</v>
      </c>
      <c r="AO968" s="2">
        <v>0</v>
      </c>
      <c r="AP968" s="2">
        <v>0</v>
      </c>
      <c r="AQ968" s="2">
        <v>0</v>
      </c>
    </row>
    <row r="969" spans="1:43" x14ac:dyDescent="0.25">
      <c r="A969" s="1">
        <v>45936</v>
      </c>
      <c r="B969" t="s">
        <v>48</v>
      </c>
      <c r="C969">
        <v>649163</v>
      </c>
      <c r="D969">
        <v>2028775018</v>
      </c>
      <c r="E969" t="s">
        <v>1108</v>
      </c>
      <c r="F969" t="s">
        <v>658</v>
      </c>
      <c r="G969" t="s">
        <v>51</v>
      </c>
      <c r="H969" t="s">
        <v>101</v>
      </c>
      <c r="I969" t="s">
        <v>243</v>
      </c>
      <c r="J969" t="s">
        <v>244</v>
      </c>
      <c r="K969">
        <v>856824</v>
      </c>
      <c r="L969" t="s">
        <v>298</v>
      </c>
      <c r="M969" t="s">
        <v>299</v>
      </c>
      <c r="N969" t="s">
        <v>57</v>
      </c>
      <c r="O969" s="1">
        <v>45783</v>
      </c>
      <c r="Q969" s="1">
        <v>45967</v>
      </c>
      <c r="R969" s="2">
        <v>22.52</v>
      </c>
      <c r="S969">
        <v>1</v>
      </c>
      <c r="T969" t="s">
        <v>58</v>
      </c>
      <c r="U969" t="s">
        <v>359</v>
      </c>
      <c r="V969" s="4">
        <v>0.375</v>
      </c>
      <c r="W969" s="2">
        <v>0</v>
      </c>
      <c r="X969">
        <v>0</v>
      </c>
      <c r="Y969" t="s">
        <v>60</v>
      </c>
      <c r="Z969" t="s">
        <v>360</v>
      </c>
      <c r="AA969">
        <v>0</v>
      </c>
      <c r="AB969" s="2">
        <v>0</v>
      </c>
      <c r="AC969" s="2">
        <v>0</v>
      </c>
      <c r="AD969" s="3">
        <v>0</v>
      </c>
      <c r="AE969" s="2">
        <v>0</v>
      </c>
      <c r="AF969" s="2">
        <v>0</v>
      </c>
      <c r="AG969" s="2">
        <v>0</v>
      </c>
      <c r="AH969" s="2">
        <v>0</v>
      </c>
      <c r="AI969" s="2">
        <v>0</v>
      </c>
      <c r="AJ969" s="2">
        <v>0</v>
      </c>
      <c r="AK969" s="2">
        <v>0</v>
      </c>
      <c r="AL969" s="2">
        <v>0</v>
      </c>
      <c r="AM969" s="2">
        <v>8.44</v>
      </c>
      <c r="AN969" s="2">
        <v>8.44</v>
      </c>
      <c r="AO969" s="2">
        <v>0</v>
      </c>
      <c r="AP969" s="2">
        <v>0</v>
      </c>
      <c r="AQ969" s="2">
        <v>0</v>
      </c>
    </row>
    <row r="970" spans="1:43" x14ac:dyDescent="0.25">
      <c r="A970" s="1">
        <v>45936</v>
      </c>
      <c r="B970" t="s">
        <v>48</v>
      </c>
      <c r="C970">
        <v>649163</v>
      </c>
      <c r="D970">
        <v>2028775533</v>
      </c>
      <c r="E970" t="s">
        <v>1109</v>
      </c>
      <c r="F970" t="s">
        <v>1110</v>
      </c>
      <c r="G970" t="s">
        <v>51</v>
      </c>
      <c r="H970" t="s">
        <v>101</v>
      </c>
      <c r="I970" t="s">
        <v>243</v>
      </c>
      <c r="J970" t="s">
        <v>244</v>
      </c>
      <c r="K970">
        <v>856824</v>
      </c>
      <c r="L970" t="s">
        <v>298</v>
      </c>
      <c r="M970" t="s">
        <v>299</v>
      </c>
      <c r="N970" t="s">
        <v>57</v>
      </c>
      <c r="O970" s="1">
        <v>45783</v>
      </c>
      <c r="Q970" s="1">
        <v>45967</v>
      </c>
      <c r="R970" s="2">
        <v>22.52</v>
      </c>
      <c r="S970">
        <v>1</v>
      </c>
      <c r="T970" t="s">
        <v>58</v>
      </c>
      <c r="U970" t="s">
        <v>359</v>
      </c>
      <c r="V970" s="4">
        <v>0.375</v>
      </c>
      <c r="W970" s="2">
        <v>0</v>
      </c>
      <c r="X970">
        <v>0</v>
      </c>
      <c r="Y970" t="s">
        <v>60</v>
      </c>
      <c r="Z970" t="s">
        <v>360</v>
      </c>
      <c r="AA970">
        <v>0</v>
      </c>
      <c r="AB970" s="2">
        <v>0</v>
      </c>
      <c r="AC970" s="2">
        <v>0</v>
      </c>
      <c r="AD970" s="3">
        <v>0</v>
      </c>
      <c r="AE970" s="2">
        <v>0</v>
      </c>
      <c r="AF970" s="2">
        <v>0</v>
      </c>
      <c r="AG970" s="2">
        <v>0</v>
      </c>
      <c r="AH970" s="2">
        <v>0</v>
      </c>
      <c r="AI970" s="2">
        <v>0</v>
      </c>
      <c r="AJ970" s="2">
        <v>0</v>
      </c>
      <c r="AK970" s="2">
        <v>0</v>
      </c>
      <c r="AL970" s="2">
        <v>0</v>
      </c>
      <c r="AM970" s="2">
        <v>8.44</v>
      </c>
      <c r="AN970" s="2">
        <v>8.44</v>
      </c>
      <c r="AO970" s="2">
        <v>0</v>
      </c>
      <c r="AP970" s="2">
        <v>0</v>
      </c>
      <c r="AQ970" s="2">
        <v>0</v>
      </c>
    </row>
    <row r="971" spans="1:43" x14ac:dyDescent="0.25">
      <c r="A971" s="1">
        <v>45936</v>
      </c>
      <c r="B971" t="s">
        <v>48</v>
      </c>
      <c r="C971">
        <v>649163</v>
      </c>
      <c r="D971">
        <v>2028801870</v>
      </c>
      <c r="E971" t="s">
        <v>861</v>
      </c>
      <c r="F971" t="s">
        <v>137</v>
      </c>
      <c r="G971" t="s">
        <v>51</v>
      </c>
      <c r="H971" t="s">
        <v>101</v>
      </c>
      <c r="I971" t="s">
        <v>243</v>
      </c>
      <c r="J971" t="s">
        <v>244</v>
      </c>
      <c r="K971">
        <v>824076</v>
      </c>
      <c r="L971" t="s">
        <v>1032</v>
      </c>
      <c r="M971" t="s">
        <v>1033</v>
      </c>
      <c r="N971" t="s">
        <v>57</v>
      </c>
      <c r="O971" s="1">
        <v>45784</v>
      </c>
      <c r="Q971" s="1">
        <v>45968</v>
      </c>
      <c r="R971" s="2">
        <v>38.44</v>
      </c>
      <c r="S971">
        <v>1</v>
      </c>
      <c r="T971" t="s">
        <v>58</v>
      </c>
      <c r="U971" t="s">
        <v>359</v>
      </c>
      <c r="V971" s="4">
        <v>0.375</v>
      </c>
      <c r="W971" s="2">
        <v>0</v>
      </c>
      <c r="X971">
        <v>0</v>
      </c>
      <c r="Y971" t="s">
        <v>60</v>
      </c>
      <c r="Z971" t="s">
        <v>360</v>
      </c>
      <c r="AA971">
        <v>0</v>
      </c>
      <c r="AB971" s="2">
        <v>0</v>
      </c>
      <c r="AC971" s="2">
        <v>0</v>
      </c>
      <c r="AD971" s="3">
        <v>0</v>
      </c>
      <c r="AE971" s="2">
        <v>0</v>
      </c>
      <c r="AF971" s="2">
        <v>0</v>
      </c>
      <c r="AG971" s="2">
        <v>0</v>
      </c>
      <c r="AH971" s="2">
        <v>0</v>
      </c>
      <c r="AI971" s="2">
        <v>0</v>
      </c>
      <c r="AJ971" s="2">
        <v>0</v>
      </c>
      <c r="AK971" s="2">
        <v>0</v>
      </c>
      <c r="AL971" s="2">
        <v>0</v>
      </c>
      <c r="AM971" s="2">
        <v>14.42</v>
      </c>
      <c r="AN971" s="2">
        <v>14.42</v>
      </c>
      <c r="AO971" s="2">
        <v>0</v>
      </c>
      <c r="AP971" s="2">
        <v>0</v>
      </c>
      <c r="AQ971" s="2">
        <v>0</v>
      </c>
    </row>
    <row r="972" spans="1:43" x14ac:dyDescent="0.25">
      <c r="A972" s="1">
        <v>45936</v>
      </c>
      <c r="B972" t="s">
        <v>48</v>
      </c>
      <c r="C972">
        <v>649163</v>
      </c>
      <c r="D972">
        <v>2028803827</v>
      </c>
      <c r="E972" t="s">
        <v>831</v>
      </c>
      <c r="F972" t="s">
        <v>1041</v>
      </c>
      <c r="G972" t="s">
        <v>51</v>
      </c>
      <c r="H972" t="s">
        <v>101</v>
      </c>
      <c r="I972" t="s">
        <v>243</v>
      </c>
      <c r="J972" t="s">
        <v>244</v>
      </c>
      <c r="K972">
        <v>669316</v>
      </c>
      <c r="L972" t="s">
        <v>258</v>
      </c>
      <c r="M972" t="s">
        <v>259</v>
      </c>
      <c r="N972" t="s">
        <v>57</v>
      </c>
      <c r="O972" s="1">
        <v>45809</v>
      </c>
      <c r="Q972" s="1">
        <v>45962</v>
      </c>
      <c r="R972" s="2">
        <v>-51.86</v>
      </c>
      <c r="S972">
        <v>1</v>
      </c>
      <c r="T972" t="s">
        <v>58</v>
      </c>
      <c r="U972" t="s">
        <v>359</v>
      </c>
      <c r="V972" s="4">
        <v>0.375</v>
      </c>
      <c r="W972" s="2">
        <v>0</v>
      </c>
      <c r="X972">
        <v>-1</v>
      </c>
      <c r="Y972" t="s">
        <v>60</v>
      </c>
      <c r="Z972" t="s">
        <v>360</v>
      </c>
      <c r="AA972">
        <v>0</v>
      </c>
      <c r="AB972" s="2">
        <v>0</v>
      </c>
      <c r="AC972" s="2">
        <v>0</v>
      </c>
      <c r="AD972" s="3">
        <v>0</v>
      </c>
      <c r="AE972" s="2">
        <v>0</v>
      </c>
      <c r="AF972" s="2">
        <v>0</v>
      </c>
      <c r="AG972" s="2">
        <v>0</v>
      </c>
      <c r="AH972" s="2">
        <v>0</v>
      </c>
      <c r="AI972" s="2">
        <v>0</v>
      </c>
      <c r="AJ972" s="2">
        <v>0</v>
      </c>
      <c r="AK972" s="2">
        <v>0</v>
      </c>
      <c r="AL972" s="2">
        <v>0</v>
      </c>
      <c r="AM972" s="2">
        <v>-19.45</v>
      </c>
      <c r="AN972" s="2">
        <v>-19.45</v>
      </c>
      <c r="AO972" s="2">
        <v>0</v>
      </c>
      <c r="AP972" s="2">
        <v>0</v>
      </c>
      <c r="AQ972" s="2">
        <v>0</v>
      </c>
    </row>
    <row r="973" spans="1:43" x14ac:dyDescent="0.25">
      <c r="A973" s="1">
        <v>45936</v>
      </c>
      <c r="B973" t="s">
        <v>48</v>
      </c>
      <c r="C973">
        <v>649163</v>
      </c>
      <c r="D973">
        <v>2028819906</v>
      </c>
      <c r="E973" t="s">
        <v>417</v>
      </c>
      <c r="F973" t="s">
        <v>418</v>
      </c>
      <c r="G973" t="s">
        <v>51</v>
      </c>
      <c r="H973" t="s">
        <v>70</v>
      </c>
      <c r="I973" t="s">
        <v>243</v>
      </c>
      <c r="J973" t="s">
        <v>244</v>
      </c>
      <c r="K973">
        <v>650218</v>
      </c>
      <c r="L973" t="s">
        <v>237</v>
      </c>
      <c r="M973" t="s">
        <v>238</v>
      </c>
      <c r="N973" t="s">
        <v>57</v>
      </c>
      <c r="O973" s="1">
        <v>45785</v>
      </c>
      <c r="Q973" s="1">
        <v>45969</v>
      </c>
      <c r="R973" s="2">
        <v>32.979999999999997</v>
      </c>
      <c r="S973">
        <v>1</v>
      </c>
      <c r="T973" t="s">
        <v>58</v>
      </c>
      <c r="U973" t="s">
        <v>359</v>
      </c>
      <c r="V973" s="4">
        <v>0.375</v>
      </c>
      <c r="W973" s="2">
        <v>0</v>
      </c>
      <c r="X973">
        <v>0</v>
      </c>
      <c r="Y973" t="s">
        <v>60</v>
      </c>
      <c r="Z973" t="s">
        <v>360</v>
      </c>
      <c r="AA973">
        <v>0</v>
      </c>
      <c r="AB973" s="2">
        <v>0</v>
      </c>
      <c r="AC973" s="2">
        <v>0</v>
      </c>
      <c r="AD973" s="3">
        <v>0</v>
      </c>
      <c r="AE973" s="2">
        <v>0</v>
      </c>
      <c r="AF973" s="2">
        <v>0</v>
      </c>
      <c r="AG973" s="2">
        <v>0</v>
      </c>
      <c r="AH973" s="2">
        <v>0</v>
      </c>
      <c r="AI973" s="2">
        <v>0</v>
      </c>
      <c r="AJ973" s="2">
        <v>0</v>
      </c>
      <c r="AK973" s="2">
        <v>0</v>
      </c>
      <c r="AL973" s="2">
        <v>0</v>
      </c>
      <c r="AM973" s="2">
        <v>12.37</v>
      </c>
      <c r="AN973" s="2">
        <v>12.37</v>
      </c>
      <c r="AO973" s="2">
        <v>0</v>
      </c>
      <c r="AP973" s="2">
        <v>0</v>
      </c>
      <c r="AQ973" s="2">
        <v>0</v>
      </c>
    </row>
    <row r="974" spans="1:43" x14ac:dyDescent="0.25">
      <c r="A974" s="1">
        <v>45936</v>
      </c>
      <c r="B974" t="s">
        <v>48</v>
      </c>
      <c r="C974">
        <v>649163</v>
      </c>
      <c r="D974">
        <v>2028831848</v>
      </c>
      <c r="E974" t="s">
        <v>1111</v>
      </c>
      <c r="F974" t="s">
        <v>1112</v>
      </c>
      <c r="G974" t="s">
        <v>51</v>
      </c>
      <c r="H974" t="s">
        <v>88</v>
      </c>
      <c r="I974" t="s">
        <v>243</v>
      </c>
      <c r="J974" t="s">
        <v>244</v>
      </c>
      <c r="K974">
        <v>856824</v>
      </c>
      <c r="L974" t="s">
        <v>298</v>
      </c>
      <c r="M974" t="s">
        <v>299</v>
      </c>
      <c r="N974" t="s">
        <v>57</v>
      </c>
      <c r="O974" s="1">
        <v>45786</v>
      </c>
      <c r="Q974" s="1">
        <v>45970</v>
      </c>
      <c r="R974" s="2">
        <v>43.68</v>
      </c>
      <c r="S974">
        <v>1</v>
      </c>
      <c r="T974" t="s">
        <v>58</v>
      </c>
      <c r="U974" t="s">
        <v>359</v>
      </c>
      <c r="V974" s="4">
        <v>0.375</v>
      </c>
      <c r="W974" s="2">
        <v>0</v>
      </c>
      <c r="X974">
        <v>0</v>
      </c>
      <c r="Y974" t="s">
        <v>60</v>
      </c>
      <c r="Z974" t="s">
        <v>360</v>
      </c>
      <c r="AA974">
        <v>0</v>
      </c>
      <c r="AB974" s="2">
        <v>0</v>
      </c>
      <c r="AC974" s="2">
        <v>0</v>
      </c>
      <c r="AD974" s="3">
        <v>0</v>
      </c>
      <c r="AE974" s="2">
        <v>0</v>
      </c>
      <c r="AF974" s="2">
        <v>0</v>
      </c>
      <c r="AG974" s="2">
        <v>0</v>
      </c>
      <c r="AH974" s="2">
        <v>0</v>
      </c>
      <c r="AI974" s="2">
        <v>0</v>
      </c>
      <c r="AJ974" s="2">
        <v>0</v>
      </c>
      <c r="AK974" s="2">
        <v>0</v>
      </c>
      <c r="AL974" s="2">
        <v>0</v>
      </c>
      <c r="AM974" s="2">
        <v>16.38</v>
      </c>
      <c r="AN974" s="2">
        <v>16.38</v>
      </c>
      <c r="AO974" s="2">
        <v>0</v>
      </c>
      <c r="AP974" s="2">
        <v>0</v>
      </c>
      <c r="AQ974" s="2">
        <v>0</v>
      </c>
    </row>
    <row r="975" spans="1:43" x14ac:dyDescent="0.25">
      <c r="A975" s="1">
        <v>45936</v>
      </c>
      <c r="B975" t="s">
        <v>48</v>
      </c>
      <c r="C975">
        <v>649163</v>
      </c>
      <c r="D975">
        <v>2029242159</v>
      </c>
      <c r="E975" t="s">
        <v>781</v>
      </c>
      <c r="F975" t="s">
        <v>782</v>
      </c>
      <c r="G975" t="s">
        <v>51</v>
      </c>
      <c r="H975" t="s">
        <v>129</v>
      </c>
      <c r="I975" t="s">
        <v>243</v>
      </c>
      <c r="J975" t="s">
        <v>244</v>
      </c>
      <c r="K975">
        <v>651818</v>
      </c>
      <c r="L975" t="s">
        <v>112</v>
      </c>
      <c r="M975" t="s">
        <v>104</v>
      </c>
      <c r="N975" t="s">
        <v>57</v>
      </c>
      <c r="O975" s="1">
        <v>45845</v>
      </c>
      <c r="Q975" s="1">
        <v>45968</v>
      </c>
      <c r="R975" s="2">
        <v>48.23</v>
      </c>
      <c r="S975">
        <v>1</v>
      </c>
      <c r="T975" t="s">
        <v>58</v>
      </c>
      <c r="U975" t="s">
        <v>359</v>
      </c>
      <c r="V975" s="4">
        <v>0.375</v>
      </c>
      <c r="W975" s="2">
        <v>0</v>
      </c>
      <c r="X975">
        <v>0</v>
      </c>
      <c r="Y975" t="s">
        <v>60</v>
      </c>
      <c r="Z975" t="s">
        <v>360</v>
      </c>
      <c r="AA975">
        <v>0</v>
      </c>
      <c r="AB975" s="2">
        <v>0</v>
      </c>
      <c r="AC975" s="2">
        <v>0</v>
      </c>
      <c r="AD975" s="3">
        <v>0</v>
      </c>
      <c r="AE975" s="2">
        <v>0</v>
      </c>
      <c r="AF975" s="2">
        <v>0</v>
      </c>
      <c r="AG975" s="2">
        <v>0</v>
      </c>
      <c r="AH975" s="2">
        <v>0</v>
      </c>
      <c r="AI975" s="2">
        <v>0</v>
      </c>
      <c r="AJ975" s="2">
        <v>0</v>
      </c>
      <c r="AK975" s="2">
        <v>0</v>
      </c>
      <c r="AL975" s="2">
        <v>18.09</v>
      </c>
      <c r="AM975" s="2">
        <v>0</v>
      </c>
      <c r="AN975" s="2">
        <v>0</v>
      </c>
      <c r="AO975" s="2">
        <v>0</v>
      </c>
      <c r="AP975" s="2">
        <v>0</v>
      </c>
      <c r="AQ975" s="2">
        <v>0</v>
      </c>
    </row>
    <row r="976" spans="1:43" x14ac:dyDescent="0.25">
      <c r="A976" s="1">
        <v>45936</v>
      </c>
      <c r="B976" t="s">
        <v>48</v>
      </c>
      <c r="C976">
        <v>649163</v>
      </c>
      <c r="D976">
        <v>2029275519</v>
      </c>
      <c r="E976" t="s">
        <v>783</v>
      </c>
      <c r="F976" t="s">
        <v>145</v>
      </c>
      <c r="G976" t="s">
        <v>51</v>
      </c>
      <c r="H976" t="s">
        <v>101</v>
      </c>
      <c r="I976" t="s">
        <v>243</v>
      </c>
      <c r="J976" t="s">
        <v>244</v>
      </c>
      <c r="K976">
        <v>821015</v>
      </c>
      <c r="L976" t="s">
        <v>325</v>
      </c>
      <c r="M976" t="s">
        <v>326</v>
      </c>
      <c r="N976" t="s">
        <v>57</v>
      </c>
      <c r="O976" s="1">
        <v>45815</v>
      </c>
      <c r="Q976" s="1">
        <v>45968</v>
      </c>
      <c r="R976" s="2">
        <v>156.16</v>
      </c>
      <c r="S976">
        <v>1</v>
      </c>
      <c r="T976" t="s">
        <v>58</v>
      </c>
      <c r="U976" t="s">
        <v>359</v>
      </c>
      <c r="V976" s="4">
        <v>0.375</v>
      </c>
      <c r="W976" s="2">
        <v>0</v>
      </c>
      <c r="X976">
        <v>0</v>
      </c>
      <c r="Y976" t="s">
        <v>60</v>
      </c>
      <c r="Z976" t="s">
        <v>360</v>
      </c>
      <c r="AA976">
        <v>0</v>
      </c>
      <c r="AB976" s="2">
        <v>0</v>
      </c>
      <c r="AC976" s="2">
        <v>0</v>
      </c>
      <c r="AD976" s="3">
        <v>0</v>
      </c>
      <c r="AE976" s="2">
        <v>0</v>
      </c>
      <c r="AF976" s="2">
        <v>0</v>
      </c>
      <c r="AG976" s="2">
        <v>0</v>
      </c>
      <c r="AH976" s="2">
        <v>0</v>
      </c>
      <c r="AI976" s="2">
        <v>0</v>
      </c>
      <c r="AJ976" s="2">
        <v>0</v>
      </c>
      <c r="AK976" s="2">
        <v>0</v>
      </c>
      <c r="AL976" s="2">
        <v>58.56</v>
      </c>
      <c r="AM976" s="2">
        <v>0</v>
      </c>
      <c r="AN976" s="2">
        <v>0</v>
      </c>
      <c r="AO976" s="2">
        <v>0</v>
      </c>
      <c r="AP976" s="2">
        <v>0</v>
      </c>
      <c r="AQ976" s="2">
        <v>0</v>
      </c>
    </row>
    <row r="977" spans="1:43" x14ac:dyDescent="0.25">
      <c r="A977" s="1">
        <v>45936</v>
      </c>
      <c r="B977" t="s">
        <v>48</v>
      </c>
      <c r="C977">
        <v>649163</v>
      </c>
      <c r="D977">
        <v>2029276298</v>
      </c>
      <c r="E977" t="s">
        <v>1046</v>
      </c>
      <c r="F977" t="s">
        <v>1047</v>
      </c>
      <c r="G977" t="s">
        <v>51</v>
      </c>
      <c r="H977" t="s">
        <v>101</v>
      </c>
      <c r="I977" t="s">
        <v>243</v>
      </c>
      <c r="J977" t="s">
        <v>244</v>
      </c>
      <c r="K977">
        <v>824062</v>
      </c>
      <c r="L977" t="s">
        <v>273</v>
      </c>
      <c r="M977" t="s">
        <v>274</v>
      </c>
      <c r="N977" t="s">
        <v>57</v>
      </c>
      <c r="O977" s="1">
        <v>45812</v>
      </c>
      <c r="Q977" s="1">
        <v>45965</v>
      </c>
      <c r="R977" s="2">
        <v>41.17</v>
      </c>
      <c r="S977">
        <v>1</v>
      </c>
      <c r="T977" t="s">
        <v>58</v>
      </c>
      <c r="U977" t="s">
        <v>359</v>
      </c>
      <c r="V977" s="4">
        <v>0.375</v>
      </c>
      <c r="W977" s="2">
        <v>0</v>
      </c>
      <c r="X977">
        <v>0</v>
      </c>
      <c r="Y977" t="s">
        <v>60</v>
      </c>
      <c r="Z977" t="s">
        <v>360</v>
      </c>
      <c r="AA977">
        <v>0</v>
      </c>
      <c r="AB977" s="2">
        <v>0</v>
      </c>
      <c r="AC977" s="2">
        <v>0</v>
      </c>
      <c r="AD977" s="3">
        <v>0</v>
      </c>
      <c r="AE977" s="2">
        <v>0</v>
      </c>
      <c r="AF977" s="2">
        <v>0</v>
      </c>
      <c r="AG977" s="2">
        <v>0</v>
      </c>
      <c r="AH977" s="2">
        <v>0</v>
      </c>
      <c r="AI977" s="2">
        <v>0</v>
      </c>
      <c r="AJ977" s="2">
        <v>0</v>
      </c>
      <c r="AK977" s="2">
        <v>0</v>
      </c>
      <c r="AL977" s="2">
        <v>15.44</v>
      </c>
      <c r="AM977" s="2">
        <v>0</v>
      </c>
      <c r="AN977" s="2">
        <v>0</v>
      </c>
      <c r="AO977" s="2">
        <v>0</v>
      </c>
      <c r="AP977" s="2">
        <v>0</v>
      </c>
      <c r="AQ977" s="2">
        <v>0</v>
      </c>
    </row>
    <row r="978" spans="1:43" x14ac:dyDescent="0.25">
      <c r="A978" s="1">
        <v>45936</v>
      </c>
      <c r="B978" t="s">
        <v>48</v>
      </c>
      <c r="C978">
        <v>649163</v>
      </c>
      <c r="D978">
        <v>2029290190</v>
      </c>
      <c r="E978" t="s">
        <v>786</v>
      </c>
      <c r="F978" t="s">
        <v>787</v>
      </c>
      <c r="G978" t="s">
        <v>51</v>
      </c>
      <c r="H978" t="s">
        <v>101</v>
      </c>
      <c r="I978" t="s">
        <v>243</v>
      </c>
      <c r="J978" t="s">
        <v>244</v>
      </c>
      <c r="K978">
        <v>824062</v>
      </c>
      <c r="L978" t="s">
        <v>273</v>
      </c>
      <c r="M978" t="s">
        <v>274</v>
      </c>
      <c r="N978" t="s">
        <v>456</v>
      </c>
      <c r="O978" s="1">
        <v>45839</v>
      </c>
      <c r="P978" s="1">
        <v>45936</v>
      </c>
      <c r="Q978" s="1">
        <v>45962</v>
      </c>
      <c r="R978" s="2">
        <v>-41.91</v>
      </c>
      <c r="S978">
        <v>1</v>
      </c>
      <c r="T978" t="s">
        <v>58</v>
      </c>
      <c r="U978" t="s">
        <v>359</v>
      </c>
      <c r="V978" s="4">
        <v>0.375</v>
      </c>
      <c r="W978" s="2">
        <v>0</v>
      </c>
      <c r="X978">
        <v>-1</v>
      </c>
      <c r="Y978" t="s">
        <v>60</v>
      </c>
      <c r="Z978" t="s">
        <v>360</v>
      </c>
      <c r="AA978">
        <v>0</v>
      </c>
      <c r="AB978" s="2">
        <v>0</v>
      </c>
      <c r="AC978" s="2">
        <v>0</v>
      </c>
      <c r="AD978" s="3">
        <v>0</v>
      </c>
      <c r="AE978" s="2">
        <v>0</v>
      </c>
      <c r="AF978" s="2">
        <v>0</v>
      </c>
      <c r="AG978" s="2">
        <v>0</v>
      </c>
      <c r="AH978" s="2">
        <v>0</v>
      </c>
      <c r="AI978" s="2">
        <v>0</v>
      </c>
      <c r="AJ978" s="2">
        <v>0</v>
      </c>
      <c r="AK978" s="2">
        <v>0</v>
      </c>
      <c r="AL978" s="2">
        <v>0</v>
      </c>
      <c r="AM978" s="2">
        <v>-15.72</v>
      </c>
      <c r="AN978" s="2">
        <v>-15.72</v>
      </c>
      <c r="AO978" s="2">
        <v>0</v>
      </c>
      <c r="AP978" s="2">
        <v>0</v>
      </c>
      <c r="AQ978" s="2">
        <v>0</v>
      </c>
    </row>
    <row r="979" spans="1:43" x14ac:dyDescent="0.25">
      <c r="A979" s="1">
        <v>45936</v>
      </c>
      <c r="B979" t="s">
        <v>48</v>
      </c>
      <c r="C979">
        <v>649163</v>
      </c>
      <c r="D979">
        <v>2029299956</v>
      </c>
      <c r="E979" t="s">
        <v>419</v>
      </c>
      <c r="F979" t="s">
        <v>420</v>
      </c>
      <c r="G979" t="s">
        <v>51</v>
      </c>
      <c r="H979" t="s">
        <v>52</v>
      </c>
      <c r="I979" t="s">
        <v>243</v>
      </c>
      <c r="J979" t="s">
        <v>244</v>
      </c>
      <c r="K979">
        <v>856824</v>
      </c>
      <c r="L979" t="s">
        <v>298</v>
      </c>
      <c r="M979" t="s">
        <v>299</v>
      </c>
      <c r="N979" t="s">
        <v>57</v>
      </c>
      <c r="O979" s="1">
        <v>45813</v>
      </c>
      <c r="Q979" s="1">
        <v>45966</v>
      </c>
      <c r="R979" s="2">
        <v>19.45</v>
      </c>
      <c r="S979">
        <v>1</v>
      </c>
      <c r="T979" t="s">
        <v>58</v>
      </c>
      <c r="U979" t="s">
        <v>359</v>
      </c>
      <c r="V979" s="4">
        <v>0.375</v>
      </c>
      <c r="W979" s="2">
        <v>0</v>
      </c>
      <c r="X979">
        <v>0</v>
      </c>
      <c r="Y979" t="s">
        <v>60</v>
      </c>
      <c r="Z979" t="s">
        <v>360</v>
      </c>
      <c r="AA979">
        <v>0</v>
      </c>
      <c r="AB979" s="2">
        <v>0</v>
      </c>
      <c r="AC979" s="2">
        <v>0</v>
      </c>
      <c r="AD979" s="3">
        <v>0</v>
      </c>
      <c r="AE979" s="2">
        <v>0</v>
      </c>
      <c r="AF979" s="2">
        <v>0</v>
      </c>
      <c r="AG979" s="2">
        <v>0</v>
      </c>
      <c r="AH979" s="2">
        <v>0</v>
      </c>
      <c r="AI979" s="2">
        <v>0</v>
      </c>
      <c r="AJ979" s="2">
        <v>0</v>
      </c>
      <c r="AK979" s="2">
        <v>0</v>
      </c>
      <c r="AL979" s="2">
        <v>7.29</v>
      </c>
      <c r="AM979" s="2">
        <v>0</v>
      </c>
      <c r="AN979" s="2">
        <v>0</v>
      </c>
      <c r="AO979" s="2">
        <v>0</v>
      </c>
      <c r="AP979" s="2">
        <v>0</v>
      </c>
      <c r="AQ979" s="2">
        <v>0</v>
      </c>
    </row>
    <row r="980" spans="1:43" x14ac:dyDescent="0.25">
      <c r="A980" s="1">
        <v>45936</v>
      </c>
      <c r="B980" t="s">
        <v>48</v>
      </c>
      <c r="C980">
        <v>649163</v>
      </c>
      <c r="D980">
        <v>2029332244</v>
      </c>
      <c r="E980" t="s">
        <v>1113</v>
      </c>
      <c r="F980" t="s">
        <v>745</v>
      </c>
      <c r="G980" t="s">
        <v>51</v>
      </c>
      <c r="H980" t="s">
        <v>52</v>
      </c>
      <c r="I980" t="s">
        <v>243</v>
      </c>
      <c r="J980" t="s">
        <v>244</v>
      </c>
      <c r="K980">
        <v>767312</v>
      </c>
      <c r="L980" t="s">
        <v>283</v>
      </c>
      <c r="M980" t="s">
        <v>284</v>
      </c>
      <c r="N980" t="s">
        <v>57</v>
      </c>
      <c r="O980" s="1">
        <v>45815</v>
      </c>
      <c r="Q980" s="1">
        <v>45968</v>
      </c>
      <c r="R980" s="2">
        <v>32.880000000000003</v>
      </c>
      <c r="S980">
        <v>1</v>
      </c>
      <c r="T980" t="s">
        <v>58</v>
      </c>
      <c r="U980" t="s">
        <v>359</v>
      </c>
      <c r="V980" s="4">
        <v>0.375</v>
      </c>
      <c r="W980" s="2">
        <v>0</v>
      </c>
      <c r="X980">
        <v>0</v>
      </c>
      <c r="Y980" t="s">
        <v>60</v>
      </c>
      <c r="Z980" t="s">
        <v>360</v>
      </c>
      <c r="AA980">
        <v>0</v>
      </c>
      <c r="AB980" s="2">
        <v>0</v>
      </c>
      <c r="AC980" s="2">
        <v>0</v>
      </c>
      <c r="AD980" s="3">
        <v>0</v>
      </c>
      <c r="AE980" s="2">
        <v>0</v>
      </c>
      <c r="AF980" s="2">
        <v>0</v>
      </c>
      <c r="AG980" s="2">
        <v>0</v>
      </c>
      <c r="AH980" s="2">
        <v>0</v>
      </c>
      <c r="AI980" s="2">
        <v>0</v>
      </c>
      <c r="AJ980" s="2">
        <v>0</v>
      </c>
      <c r="AK980" s="2">
        <v>0</v>
      </c>
      <c r="AL980" s="2">
        <v>12.33</v>
      </c>
      <c r="AM980" s="2">
        <v>0</v>
      </c>
      <c r="AN980" s="2">
        <v>0</v>
      </c>
      <c r="AO980" s="2">
        <v>0</v>
      </c>
      <c r="AP980" s="2">
        <v>0</v>
      </c>
      <c r="AQ980" s="2">
        <v>0</v>
      </c>
    </row>
    <row r="981" spans="1:43" x14ac:dyDescent="0.25">
      <c r="A981" s="1">
        <v>45936</v>
      </c>
      <c r="B981" t="s">
        <v>48</v>
      </c>
      <c r="C981">
        <v>649163</v>
      </c>
      <c r="D981">
        <v>2029378240</v>
      </c>
      <c r="E981" t="s">
        <v>1055</v>
      </c>
      <c r="F981" t="s">
        <v>1056</v>
      </c>
      <c r="G981" t="s">
        <v>51</v>
      </c>
      <c r="H981" t="s">
        <v>323</v>
      </c>
      <c r="I981" t="s">
        <v>243</v>
      </c>
      <c r="J981" t="s">
        <v>244</v>
      </c>
      <c r="K981">
        <v>812656</v>
      </c>
      <c r="L981" t="s">
        <v>509</v>
      </c>
      <c r="M981" t="s">
        <v>476</v>
      </c>
      <c r="N981" t="s">
        <v>57</v>
      </c>
      <c r="O981" s="1">
        <v>45818</v>
      </c>
      <c r="Q981" s="1">
        <v>45971</v>
      </c>
      <c r="R981" s="2">
        <v>115.5</v>
      </c>
      <c r="S981">
        <v>1</v>
      </c>
      <c r="T981" t="s">
        <v>58</v>
      </c>
      <c r="U981" t="s">
        <v>359</v>
      </c>
      <c r="V981" s="4">
        <v>0.375</v>
      </c>
      <c r="W981" s="2">
        <v>0</v>
      </c>
      <c r="X981">
        <v>0</v>
      </c>
      <c r="Y981" t="s">
        <v>60</v>
      </c>
      <c r="Z981" t="s">
        <v>360</v>
      </c>
      <c r="AA981">
        <v>0</v>
      </c>
      <c r="AB981" s="2">
        <v>0</v>
      </c>
      <c r="AC981" s="2">
        <v>0</v>
      </c>
      <c r="AD981" s="3">
        <v>0</v>
      </c>
      <c r="AE981" s="2">
        <v>0</v>
      </c>
      <c r="AF981" s="2">
        <v>0</v>
      </c>
      <c r="AG981" s="2">
        <v>0</v>
      </c>
      <c r="AH981" s="2">
        <v>0</v>
      </c>
      <c r="AI981" s="2">
        <v>0</v>
      </c>
      <c r="AJ981" s="2">
        <v>0</v>
      </c>
      <c r="AK981" s="2">
        <v>0</v>
      </c>
      <c r="AL981" s="2">
        <v>43.31</v>
      </c>
      <c r="AM981" s="2">
        <v>0</v>
      </c>
      <c r="AN981" s="2">
        <v>0</v>
      </c>
      <c r="AO981" s="2">
        <v>0</v>
      </c>
      <c r="AP981" s="2">
        <v>0</v>
      </c>
      <c r="AQ981" s="2">
        <v>0</v>
      </c>
    </row>
    <row r="982" spans="1:43" x14ac:dyDescent="0.25">
      <c r="A982" s="1">
        <v>45936</v>
      </c>
      <c r="B982" t="s">
        <v>48</v>
      </c>
      <c r="C982">
        <v>649163</v>
      </c>
      <c r="D982">
        <v>2029407292</v>
      </c>
      <c r="E982" t="s">
        <v>541</v>
      </c>
      <c r="F982" t="s">
        <v>402</v>
      </c>
      <c r="G982" t="s">
        <v>51</v>
      </c>
      <c r="H982" t="s">
        <v>262</v>
      </c>
      <c r="I982" t="s">
        <v>243</v>
      </c>
      <c r="J982" t="s">
        <v>244</v>
      </c>
      <c r="K982">
        <v>651818</v>
      </c>
      <c r="L982" t="s">
        <v>112</v>
      </c>
      <c r="M982" t="s">
        <v>104</v>
      </c>
      <c r="N982" t="s">
        <v>57</v>
      </c>
      <c r="O982" s="1">
        <v>45845</v>
      </c>
      <c r="Q982" s="1">
        <v>45968</v>
      </c>
      <c r="R982" s="2">
        <v>106.85</v>
      </c>
      <c r="S982">
        <v>1</v>
      </c>
      <c r="T982" t="s">
        <v>58</v>
      </c>
      <c r="U982" t="s">
        <v>359</v>
      </c>
      <c r="V982" s="4">
        <v>0.375</v>
      </c>
      <c r="W982" s="2">
        <v>0</v>
      </c>
      <c r="X982">
        <v>0</v>
      </c>
      <c r="Y982" t="s">
        <v>60</v>
      </c>
      <c r="Z982" t="s">
        <v>360</v>
      </c>
      <c r="AA982">
        <v>0</v>
      </c>
      <c r="AB982" s="2">
        <v>0</v>
      </c>
      <c r="AC982" s="2">
        <v>0</v>
      </c>
      <c r="AD982" s="3">
        <v>0</v>
      </c>
      <c r="AE982" s="2">
        <v>0</v>
      </c>
      <c r="AF982" s="2">
        <v>0</v>
      </c>
      <c r="AG982" s="2">
        <v>0</v>
      </c>
      <c r="AH982" s="2">
        <v>0</v>
      </c>
      <c r="AI982" s="2">
        <v>0</v>
      </c>
      <c r="AJ982" s="2">
        <v>0</v>
      </c>
      <c r="AK982" s="2">
        <v>0</v>
      </c>
      <c r="AL982" s="2">
        <v>40.07</v>
      </c>
      <c r="AM982" s="2">
        <v>0</v>
      </c>
      <c r="AN982" s="2">
        <v>0</v>
      </c>
      <c r="AO982" s="2">
        <v>0</v>
      </c>
      <c r="AP982" s="2">
        <v>0</v>
      </c>
      <c r="AQ982" s="2">
        <v>0</v>
      </c>
    </row>
    <row r="983" spans="1:43" x14ac:dyDescent="0.25">
      <c r="A983" s="1">
        <v>45936</v>
      </c>
      <c r="B983" t="s">
        <v>48</v>
      </c>
      <c r="C983">
        <v>649163</v>
      </c>
      <c r="D983">
        <v>2029501868</v>
      </c>
      <c r="E983" t="s">
        <v>1057</v>
      </c>
      <c r="F983" t="s">
        <v>1058</v>
      </c>
      <c r="G983" t="s">
        <v>51</v>
      </c>
      <c r="H983" t="s">
        <v>52</v>
      </c>
      <c r="I983" t="s">
        <v>243</v>
      </c>
      <c r="J983" t="s">
        <v>244</v>
      </c>
      <c r="K983">
        <v>856824</v>
      </c>
      <c r="L983" t="s">
        <v>298</v>
      </c>
      <c r="M983" t="s">
        <v>299</v>
      </c>
      <c r="N983" t="s">
        <v>57</v>
      </c>
      <c r="O983" s="1">
        <v>45839</v>
      </c>
      <c r="Q983" s="1">
        <v>45962</v>
      </c>
      <c r="R983" s="2">
        <v>28.38</v>
      </c>
      <c r="S983">
        <v>1</v>
      </c>
      <c r="T983" t="s">
        <v>58</v>
      </c>
      <c r="U983" t="s">
        <v>359</v>
      </c>
      <c r="V983" s="4">
        <v>0.375</v>
      </c>
      <c r="W983" s="2">
        <v>0</v>
      </c>
      <c r="X983">
        <v>0</v>
      </c>
      <c r="Y983" t="s">
        <v>60</v>
      </c>
      <c r="Z983" t="s">
        <v>360</v>
      </c>
      <c r="AA983">
        <v>0</v>
      </c>
      <c r="AB983" s="2">
        <v>0</v>
      </c>
      <c r="AC983" s="2">
        <v>0</v>
      </c>
      <c r="AD983" s="3">
        <v>0</v>
      </c>
      <c r="AE983" s="2">
        <v>0</v>
      </c>
      <c r="AF983" s="2">
        <v>0</v>
      </c>
      <c r="AG983" s="2">
        <v>0</v>
      </c>
      <c r="AH983" s="2">
        <v>0</v>
      </c>
      <c r="AI983" s="2">
        <v>0</v>
      </c>
      <c r="AJ983" s="2">
        <v>0</v>
      </c>
      <c r="AK983" s="2">
        <v>0</v>
      </c>
      <c r="AL983" s="2">
        <v>10.64</v>
      </c>
      <c r="AM983" s="2">
        <v>0</v>
      </c>
      <c r="AN983" s="2">
        <v>0</v>
      </c>
      <c r="AO983" s="2">
        <v>0</v>
      </c>
      <c r="AP983" s="2">
        <v>0</v>
      </c>
      <c r="AQ983" s="2">
        <v>0</v>
      </c>
    </row>
    <row r="984" spans="1:43" x14ac:dyDescent="0.25">
      <c r="A984" s="1">
        <v>45936</v>
      </c>
      <c r="B984" t="s">
        <v>48</v>
      </c>
      <c r="C984">
        <v>649163</v>
      </c>
      <c r="D984">
        <v>2029694327</v>
      </c>
      <c r="E984" t="s">
        <v>1114</v>
      </c>
      <c r="F984" t="s">
        <v>1115</v>
      </c>
      <c r="G984" t="s">
        <v>51</v>
      </c>
      <c r="H984" t="s">
        <v>64</v>
      </c>
      <c r="I984" t="s">
        <v>243</v>
      </c>
      <c r="J984" t="s">
        <v>244</v>
      </c>
      <c r="K984">
        <v>822865</v>
      </c>
      <c r="L984" t="s">
        <v>146</v>
      </c>
      <c r="M984" t="s">
        <v>147</v>
      </c>
      <c r="N984" t="s">
        <v>57</v>
      </c>
      <c r="O984" s="1">
        <v>45837</v>
      </c>
      <c r="Q984" s="1">
        <v>45959</v>
      </c>
      <c r="R984" s="2">
        <v>27.04</v>
      </c>
      <c r="S984">
        <v>1</v>
      </c>
      <c r="T984" t="s">
        <v>58</v>
      </c>
      <c r="U984" t="s">
        <v>359</v>
      </c>
      <c r="V984" s="4">
        <v>0.375</v>
      </c>
      <c r="W984" s="2">
        <v>0</v>
      </c>
      <c r="X984">
        <v>0</v>
      </c>
      <c r="Y984" t="s">
        <v>60</v>
      </c>
      <c r="Z984" t="s">
        <v>360</v>
      </c>
      <c r="AA984">
        <v>0</v>
      </c>
      <c r="AB984" s="2">
        <v>0</v>
      </c>
      <c r="AC984" s="2">
        <v>0</v>
      </c>
      <c r="AD984" s="3">
        <v>0</v>
      </c>
      <c r="AE984" s="2">
        <v>0</v>
      </c>
      <c r="AF984" s="2">
        <v>0</v>
      </c>
      <c r="AG984" s="2">
        <v>0</v>
      </c>
      <c r="AH984" s="2">
        <v>0</v>
      </c>
      <c r="AI984" s="2">
        <v>0</v>
      </c>
      <c r="AJ984" s="2">
        <v>0</v>
      </c>
      <c r="AK984" s="2">
        <v>0</v>
      </c>
      <c r="AL984" s="2">
        <v>10.14</v>
      </c>
      <c r="AM984" s="2">
        <v>0</v>
      </c>
      <c r="AN984" s="2">
        <v>0</v>
      </c>
      <c r="AO984" s="2">
        <v>0</v>
      </c>
      <c r="AP984" s="2">
        <v>0</v>
      </c>
      <c r="AQ984" s="2">
        <v>0</v>
      </c>
    </row>
    <row r="985" spans="1:43" x14ac:dyDescent="0.25">
      <c r="A985" s="1">
        <v>45936</v>
      </c>
      <c r="B985" t="s">
        <v>48</v>
      </c>
      <c r="C985">
        <v>649163</v>
      </c>
      <c r="D985">
        <v>2029752465</v>
      </c>
      <c r="E985" t="s">
        <v>1062</v>
      </c>
      <c r="F985" t="s">
        <v>1063</v>
      </c>
      <c r="G985" t="s">
        <v>51</v>
      </c>
      <c r="H985" t="s">
        <v>88</v>
      </c>
      <c r="I985" t="s">
        <v>243</v>
      </c>
      <c r="J985" t="s">
        <v>244</v>
      </c>
      <c r="K985">
        <v>767312</v>
      </c>
      <c r="L985" t="s">
        <v>283</v>
      </c>
      <c r="M985" t="s">
        <v>284</v>
      </c>
      <c r="N985" t="s">
        <v>57</v>
      </c>
      <c r="O985" s="1">
        <v>45840</v>
      </c>
      <c r="Q985" s="1">
        <v>45993</v>
      </c>
      <c r="R985" s="2">
        <v>24.54</v>
      </c>
      <c r="S985">
        <v>1</v>
      </c>
      <c r="T985" t="s">
        <v>58</v>
      </c>
      <c r="U985" t="s">
        <v>359</v>
      </c>
      <c r="V985" s="4">
        <v>0.375</v>
      </c>
      <c r="W985" s="2">
        <v>0</v>
      </c>
      <c r="X985">
        <v>0</v>
      </c>
      <c r="Y985" t="s">
        <v>60</v>
      </c>
      <c r="Z985" t="s">
        <v>360</v>
      </c>
      <c r="AA985">
        <v>0</v>
      </c>
      <c r="AB985" s="2">
        <v>0</v>
      </c>
      <c r="AC985" s="2">
        <v>0</v>
      </c>
      <c r="AD985" s="3">
        <v>0</v>
      </c>
      <c r="AE985" s="2">
        <v>0</v>
      </c>
      <c r="AF985" s="2">
        <v>0</v>
      </c>
      <c r="AG985" s="2">
        <v>0</v>
      </c>
      <c r="AH985" s="2">
        <v>0</v>
      </c>
      <c r="AI985" s="2">
        <v>0</v>
      </c>
      <c r="AJ985" s="2">
        <v>0</v>
      </c>
      <c r="AK985" s="2">
        <v>0</v>
      </c>
      <c r="AL985" s="2">
        <v>9.1999999999999993</v>
      </c>
      <c r="AM985" s="2">
        <v>0</v>
      </c>
      <c r="AN985" s="2">
        <v>0</v>
      </c>
      <c r="AO985" s="2">
        <v>0</v>
      </c>
      <c r="AP985" s="2">
        <v>0</v>
      </c>
      <c r="AQ985" s="2">
        <v>0</v>
      </c>
    </row>
    <row r="986" spans="1:43" x14ac:dyDescent="0.25">
      <c r="A986" s="1">
        <v>45936</v>
      </c>
      <c r="B986" t="s">
        <v>48</v>
      </c>
      <c r="C986">
        <v>649163</v>
      </c>
      <c r="D986">
        <v>2029752465</v>
      </c>
      <c r="E986" t="s">
        <v>1062</v>
      </c>
      <c r="F986" t="s">
        <v>1063</v>
      </c>
      <c r="G986" t="s">
        <v>51</v>
      </c>
      <c r="H986" t="s">
        <v>88</v>
      </c>
      <c r="I986" t="s">
        <v>243</v>
      </c>
      <c r="J986" t="s">
        <v>244</v>
      </c>
      <c r="K986">
        <v>767312</v>
      </c>
      <c r="L986" t="s">
        <v>283</v>
      </c>
      <c r="M986" t="s">
        <v>284</v>
      </c>
      <c r="N986" t="s">
        <v>57</v>
      </c>
      <c r="O986" s="1">
        <v>45840</v>
      </c>
      <c r="Q986" s="1">
        <v>45993</v>
      </c>
      <c r="R986" s="2">
        <v>24.54</v>
      </c>
      <c r="S986">
        <v>1</v>
      </c>
      <c r="T986" t="s">
        <v>58</v>
      </c>
      <c r="U986" t="s">
        <v>359</v>
      </c>
      <c r="V986" s="4">
        <v>0.375</v>
      </c>
      <c r="W986" s="2">
        <v>0</v>
      </c>
      <c r="X986">
        <v>0</v>
      </c>
      <c r="Y986" t="s">
        <v>60</v>
      </c>
      <c r="Z986" t="s">
        <v>360</v>
      </c>
      <c r="AA986">
        <v>0</v>
      </c>
      <c r="AB986" s="2">
        <v>0</v>
      </c>
      <c r="AC986" s="2">
        <v>0</v>
      </c>
      <c r="AD986" s="3">
        <v>0</v>
      </c>
      <c r="AE986" s="2">
        <v>0</v>
      </c>
      <c r="AF986" s="2">
        <v>0</v>
      </c>
      <c r="AG986" s="2">
        <v>0</v>
      </c>
      <c r="AH986" s="2">
        <v>0</v>
      </c>
      <c r="AI986" s="2">
        <v>0</v>
      </c>
      <c r="AJ986" s="2">
        <v>0</v>
      </c>
      <c r="AK986" s="2">
        <v>0</v>
      </c>
      <c r="AL986" s="2">
        <v>9.1999999999999993</v>
      </c>
      <c r="AM986" s="2">
        <v>0</v>
      </c>
      <c r="AN986" s="2">
        <v>0</v>
      </c>
      <c r="AO986" s="2">
        <v>0</v>
      </c>
      <c r="AP986" s="2">
        <v>0</v>
      </c>
      <c r="AQ986" s="2">
        <v>0</v>
      </c>
    </row>
    <row r="987" spans="1:43" x14ac:dyDescent="0.25">
      <c r="A987" s="1">
        <v>45936</v>
      </c>
      <c r="B987" t="s">
        <v>48</v>
      </c>
      <c r="C987">
        <v>649163</v>
      </c>
      <c r="D987">
        <v>2029786426</v>
      </c>
      <c r="E987" t="s">
        <v>425</v>
      </c>
      <c r="F987" t="s">
        <v>426</v>
      </c>
      <c r="G987" t="s">
        <v>51</v>
      </c>
      <c r="H987" t="s">
        <v>427</v>
      </c>
      <c r="I987" t="s">
        <v>243</v>
      </c>
      <c r="J987" t="s">
        <v>244</v>
      </c>
      <c r="K987">
        <v>812994</v>
      </c>
      <c r="L987" t="s">
        <v>428</v>
      </c>
      <c r="M987" t="s">
        <v>309</v>
      </c>
      <c r="N987" t="s">
        <v>57</v>
      </c>
      <c r="O987" s="1">
        <v>45842</v>
      </c>
      <c r="Q987" s="1">
        <v>45965</v>
      </c>
      <c r="R987" s="2">
        <v>44.83</v>
      </c>
      <c r="S987">
        <v>1</v>
      </c>
      <c r="T987" t="s">
        <v>58</v>
      </c>
      <c r="U987" t="s">
        <v>359</v>
      </c>
      <c r="V987" s="4">
        <v>0.375</v>
      </c>
      <c r="W987" s="2">
        <v>0</v>
      </c>
      <c r="X987">
        <v>0</v>
      </c>
      <c r="Y987" t="s">
        <v>60</v>
      </c>
      <c r="Z987" t="s">
        <v>360</v>
      </c>
      <c r="AA987">
        <v>0</v>
      </c>
      <c r="AB987" s="2">
        <v>0</v>
      </c>
      <c r="AC987" s="2">
        <v>0</v>
      </c>
      <c r="AD987" s="3">
        <v>0</v>
      </c>
      <c r="AE987" s="2">
        <v>0</v>
      </c>
      <c r="AF987" s="2">
        <v>0</v>
      </c>
      <c r="AG987" s="2">
        <v>0</v>
      </c>
      <c r="AH987" s="2">
        <v>0</v>
      </c>
      <c r="AI987" s="2">
        <v>0</v>
      </c>
      <c r="AJ987" s="2">
        <v>0</v>
      </c>
      <c r="AK987" s="2">
        <v>0</v>
      </c>
      <c r="AL987" s="2">
        <v>16.809999999999999</v>
      </c>
      <c r="AM987" s="2">
        <v>0</v>
      </c>
      <c r="AN987" s="2">
        <v>0</v>
      </c>
      <c r="AO987" s="2">
        <v>0</v>
      </c>
      <c r="AP987" s="2">
        <v>0</v>
      </c>
      <c r="AQ987" s="2">
        <v>0</v>
      </c>
    </row>
    <row r="988" spans="1:43" x14ac:dyDescent="0.25">
      <c r="A988" s="1">
        <v>45936</v>
      </c>
      <c r="B988" t="s">
        <v>48</v>
      </c>
      <c r="C988">
        <v>649163</v>
      </c>
      <c r="D988">
        <v>2029851935</v>
      </c>
      <c r="E988" t="s">
        <v>1066</v>
      </c>
      <c r="F988" t="s">
        <v>1067</v>
      </c>
      <c r="G988" t="s">
        <v>51</v>
      </c>
      <c r="H988" t="s">
        <v>203</v>
      </c>
      <c r="I988" t="s">
        <v>243</v>
      </c>
      <c r="J988" t="s">
        <v>244</v>
      </c>
      <c r="K988">
        <v>824082</v>
      </c>
      <c r="L988" t="s">
        <v>406</v>
      </c>
      <c r="M988" t="s">
        <v>407</v>
      </c>
      <c r="N988" t="s">
        <v>57</v>
      </c>
      <c r="O988" s="1">
        <v>45847</v>
      </c>
      <c r="Q988" s="1">
        <v>45970</v>
      </c>
      <c r="R988" s="2">
        <v>101.89</v>
      </c>
      <c r="S988">
        <v>1</v>
      </c>
      <c r="T988" t="s">
        <v>58</v>
      </c>
      <c r="U988" t="s">
        <v>359</v>
      </c>
      <c r="V988" s="4">
        <v>0.375</v>
      </c>
      <c r="W988" s="2">
        <v>0</v>
      </c>
      <c r="X988">
        <v>0</v>
      </c>
      <c r="Y988" t="s">
        <v>60</v>
      </c>
      <c r="Z988" t="s">
        <v>360</v>
      </c>
      <c r="AA988">
        <v>0</v>
      </c>
      <c r="AB988" s="2">
        <v>0</v>
      </c>
      <c r="AC988" s="2">
        <v>0</v>
      </c>
      <c r="AD988" s="3">
        <v>0</v>
      </c>
      <c r="AE988" s="2">
        <v>0</v>
      </c>
      <c r="AF988" s="2">
        <v>0</v>
      </c>
      <c r="AG988" s="2">
        <v>0</v>
      </c>
      <c r="AH988" s="2">
        <v>0</v>
      </c>
      <c r="AI988" s="2">
        <v>0</v>
      </c>
      <c r="AJ988" s="2">
        <v>0</v>
      </c>
      <c r="AK988" s="2">
        <v>0</v>
      </c>
      <c r="AL988" s="2">
        <v>38.21</v>
      </c>
      <c r="AM988" s="2">
        <v>0</v>
      </c>
      <c r="AN988" s="2">
        <v>0</v>
      </c>
      <c r="AO988" s="2">
        <v>0</v>
      </c>
      <c r="AP988" s="2">
        <v>0</v>
      </c>
      <c r="AQ988" s="2">
        <v>0</v>
      </c>
    </row>
    <row r="989" spans="1:43" x14ac:dyDescent="0.25">
      <c r="A989" s="1">
        <v>45936</v>
      </c>
      <c r="B989" t="s">
        <v>48</v>
      </c>
      <c r="C989">
        <v>649163</v>
      </c>
      <c r="D989">
        <v>2029869955</v>
      </c>
      <c r="E989" t="s">
        <v>1116</v>
      </c>
      <c r="F989" t="s">
        <v>1117</v>
      </c>
      <c r="G989" t="s">
        <v>51</v>
      </c>
      <c r="H989" t="s">
        <v>328</v>
      </c>
      <c r="I989" t="s">
        <v>243</v>
      </c>
      <c r="J989" t="s">
        <v>244</v>
      </c>
      <c r="K989">
        <v>767312</v>
      </c>
      <c r="L989" t="s">
        <v>283</v>
      </c>
      <c r="M989" t="s">
        <v>284</v>
      </c>
      <c r="N989" t="s">
        <v>57</v>
      </c>
      <c r="O989" s="1">
        <v>45848</v>
      </c>
      <c r="Q989" s="1">
        <v>45971</v>
      </c>
      <c r="R989" s="2">
        <v>28.86</v>
      </c>
      <c r="S989">
        <v>1</v>
      </c>
      <c r="T989" t="s">
        <v>58</v>
      </c>
      <c r="U989" t="s">
        <v>359</v>
      </c>
      <c r="V989" s="4">
        <v>0.375</v>
      </c>
      <c r="W989" s="2">
        <v>0</v>
      </c>
      <c r="X989">
        <v>0</v>
      </c>
      <c r="Y989" t="s">
        <v>60</v>
      </c>
      <c r="Z989" t="s">
        <v>360</v>
      </c>
      <c r="AA989">
        <v>0</v>
      </c>
      <c r="AB989" s="2">
        <v>0</v>
      </c>
      <c r="AC989" s="2">
        <v>0</v>
      </c>
      <c r="AD989" s="3">
        <v>0</v>
      </c>
      <c r="AE989" s="2">
        <v>0</v>
      </c>
      <c r="AF989" s="2">
        <v>0</v>
      </c>
      <c r="AG989" s="2">
        <v>0</v>
      </c>
      <c r="AH989" s="2">
        <v>0</v>
      </c>
      <c r="AI989" s="2">
        <v>0</v>
      </c>
      <c r="AJ989" s="2">
        <v>0</v>
      </c>
      <c r="AK989" s="2">
        <v>0</v>
      </c>
      <c r="AL989" s="2">
        <v>10.82</v>
      </c>
      <c r="AM989" s="2">
        <v>0</v>
      </c>
      <c r="AN989" s="2">
        <v>0</v>
      </c>
      <c r="AO989" s="2">
        <v>0</v>
      </c>
      <c r="AP989" s="2">
        <v>0</v>
      </c>
      <c r="AQ989" s="2">
        <v>0</v>
      </c>
    </row>
    <row r="990" spans="1:43" x14ac:dyDescent="0.25">
      <c r="A990" s="1">
        <v>45936</v>
      </c>
      <c r="B990" t="s">
        <v>48</v>
      </c>
      <c r="C990">
        <v>649163</v>
      </c>
      <c r="D990">
        <v>2029877306</v>
      </c>
      <c r="E990" t="s">
        <v>1118</v>
      </c>
      <c r="F990" t="s">
        <v>1119</v>
      </c>
      <c r="G990" t="s">
        <v>51</v>
      </c>
      <c r="H990" t="s">
        <v>203</v>
      </c>
      <c r="I990" t="s">
        <v>243</v>
      </c>
      <c r="J990" t="s">
        <v>244</v>
      </c>
      <c r="K990">
        <v>824082</v>
      </c>
      <c r="L990" t="s">
        <v>406</v>
      </c>
      <c r="M990" t="s">
        <v>407</v>
      </c>
      <c r="N990" t="s">
        <v>57</v>
      </c>
      <c r="O990" s="1">
        <v>45848</v>
      </c>
      <c r="Q990" s="1">
        <v>45971</v>
      </c>
      <c r="R990" s="2">
        <v>189.23</v>
      </c>
      <c r="S990">
        <v>1</v>
      </c>
      <c r="T990" t="s">
        <v>58</v>
      </c>
      <c r="U990" t="s">
        <v>359</v>
      </c>
      <c r="V990" s="4">
        <v>0.375</v>
      </c>
      <c r="W990" s="2">
        <v>0</v>
      </c>
      <c r="X990">
        <v>0</v>
      </c>
      <c r="Y990" t="s">
        <v>60</v>
      </c>
      <c r="Z990" t="s">
        <v>360</v>
      </c>
      <c r="AA990">
        <v>0</v>
      </c>
      <c r="AB990" s="2">
        <v>0</v>
      </c>
      <c r="AC990" s="2">
        <v>0</v>
      </c>
      <c r="AD990" s="3">
        <v>0</v>
      </c>
      <c r="AE990" s="2">
        <v>0</v>
      </c>
      <c r="AF990" s="2">
        <v>0</v>
      </c>
      <c r="AG990" s="2">
        <v>0</v>
      </c>
      <c r="AH990" s="2">
        <v>0</v>
      </c>
      <c r="AI990" s="2">
        <v>0</v>
      </c>
      <c r="AJ990" s="2">
        <v>0</v>
      </c>
      <c r="AK990" s="2">
        <v>0</v>
      </c>
      <c r="AL990" s="2">
        <v>70.959999999999994</v>
      </c>
      <c r="AM990" s="2">
        <v>0</v>
      </c>
      <c r="AN990" s="2">
        <v>0</v>
      </c>
      <c r="AO990" s="2">
        <v>0</v>
      </c>
      <c r="AP990" s="2">
        <v>0</v>
      </c>
      <c r="AQ990" s="2">
        <v>0</v>
      </c>
    </row>
    <row r="991" spans="1:43" x14ac:dyDescent="0.25">
      <c r="A991" s="1">
        <v>45936</v>
      </c>
      <c r="B991" t="s">
        <v>48</v>
      </c>
      <c r="C991">
        <v>649163</v>
      </c>
      <c r="D991">
        <v>2029880669</v>
      </c>
      <c r="E991" t="s">
        <v>1070</v>
      </c>
      <c r="F991" t="s">
        <v>1071</v>
      </c>
      <c r="G991" t="s">
        <v>51</v>
      </c>
      <c r="H991" t="s">
        <v>101</v>
      </c>
      <c r="I991" t="s">
        <v>243</v>
      </c>
      <c r="J991" t="s">
        <v>244</v>
      </c>
      <c r="K991">
        <v>840313</v>
      </c>
      <c r="L991" t="s">
        <v>436</v>
      </c>
      <c r="M991" t="s">
        <v>437</v>
      </c>
      <c r="N991" t="s">
        <v>57</v>
      </c>
      <c r="O991" s="1">
        <v>45848</v>
      </c>
      <c r="Q991" s="1">
        <v>45971</v>
      </c>
      <c r="R991" s="2">
        <v>77.48</v>
      </c>
      <c r="S991">
        <v>1</v>
      </c>
      <c r="T991" t="s">
        <v>58</v>
      </c>
      <c r="U991" t="s">
        <v>359</v>
      </c>
      <c r="V991" s="4">
        <v>0.375</v>
      </c>
      <c r="W991" s="2">
        <v>0</v>
      </c>
      <c r="X991">
        <v>0</v>
      </c>
      <c r="Y991" t="s">
        <v>60</v>
      </c>
      <c r="Z991" t="s">
        <v>360</v>
      </c>
      <c r="AA991">
        <v>0</v>
      </c>
      <c r="AB991" s="2">
        <v>0</v>
      </c>
      <c r="AC991" s="2">
        <v>0</v>
      </c>
      <c r="AD991" s="3">
        <v>0</v>
      </c>
      <c r="AE991" s="2">
        <v>0</v>
      </c>
      <c r="AF991" s="2">
        <v>0</v>
      </c>
      <c r="AG991" s="2">
        <v>0</v>
      </c>
      <c r="AH991" s="2">
        <v>0</v>
      </c>
      <c r="AI991" s="2">
        <v>0</v>
      </c>
      <c r="AJ991" s="2">
        <v>0</v>
      </c>
      <c r="AK991" s="2">
        <v>0</v>
      </c>
      <c r="AL991" s="2">
        <v>29.06</v>
      </c>
      <c r="AM991" s="2">
        <v>0</v>
      </c>
      <c r="AN991" s="2">
        <v>0</v>
      </c>
      <c r="AO991" s="2">
        <v>0</v>
      </c>
      <c r="AP991" s="2">
        <v>0</v>
      </c>
      <c r="AQ991" s="2">
        <v>0</v>
      </c>
    </row>
    <row r="992" spans="1:43" x14ac:dyDescent="0.25">
      <c r="A992" s="1">
        <v>45936</v>
      </c>
      <c r="B992" t="s">
        <v>48</v>
      </c>
      <c r="C992">
        <v>649163</v>
      </c>
      <c r="D992">
        <v>2029880676</v>
      </c>
      <c r="E992" t="s">
        <v>1072</v>
      </c>
      <c r="F992" t="s">
        <v>1073</v>
      </c>
      <c r="G992" t="s">
        <v>51</v>
      </c>
      <c r="H992" t="s">
        <v>101</v>
      </c>
      <c r="I992" t="s">
        <v>243</v>
      </c>
      <c r="J992" t="s">
        <v>244</v>
      </c>
      <c r="K992">
        <v>812994</v>
      </c>
      <c r="L992" t="s">
        <v>428</v>
      </c>
      <c r="M992" t="s">
        <v>309</v>
      </c>
      <c r="N992" t="s">
        <v>57</v>
      </c>
      <c r="O992" s="1">
        <v>45848</v>
      </c>
      <c r="Q992" s="1">
        <v>45971</v>
      </c>
      <c r="R992" s="2">
        <v>77.48</v>
      </c>
      <c r="S992">
        <v>1</v>
      </c>
      <c r="T992" t="s">
        <v>58</v>
      </c>
      <c r="U992" t="s">
        <v>359</v>
      </c>
      <c r="V992" s="4">
        <v>0.375</v>
      </c>
      <c r="W992" s="2">
        <v>0</v>
      </c>
      <c r="X992">
        <v>0</v>
      </c>
      <c r="Y992" t="s">
        <v>60</v>
      </c>
      <c r="Z992" t="s">
        <v>360</v>
      </c>
      <c r="AA992">
        <v>0</v>
      </c>
      <c r="AB992" s="2">
        <v>0</v>
      </c>
      <c r="AC992" s="2">
        <v>0</v>
      </c>
      <c r="AD992" s="3">
        <v>0</v>
      </c>
      <c r="AE992" s="2">
        <v>0</v>
      </c>
      <c r="AF992" s="2">
        <v>0</v>
      </c>
      <c r="AG992" s="2">
        <v>0</v>
      </c>
      <c r="AH992" s="2">
        <v>0</v>
      </c>
      <c r="AI992" s="2">
        <v>0</v>
      </c>
      <c r="AJ992" s="2">
        <v>0</v>
      </c>
      <c r="AK992" s="2">
        <v>0</v>
      </c>
      <c r="AL992" s="2">
        <v>29.06</v>
      </c>
      <c r="AM992" s="2">
        <v>0</v>
      </c>
      <c r="AN992" s="2">
        <v>0</v>
      </c>
      <c r="AO992" s="2">
        <v>0</v>
      </c>
      <c r="AP992" s="2">
        <v>0</v>
      </c>
      <c r="AQ992" s="2">
        <v>0</v>
      </c>
    </row>
    <row r="993" spans="1:43" x14ac:dyDescent="0.25">
      <c r="A993" s="1">
        <v>45936</v>
      </c>
      <c r="B993" t="s">
        <v>48</v>
      </c>
      <c r="C993">
        <v>649163</v>
      </c>
      <c r="D993">
        <v>2029976823</v>
      </c>
      <c r="E993" t="s">
        <v>1120</v>
      </c>
      <c r="F993" t="s">
        <v>1121</v>
      </c>
      <c r="G993" t="s">
        <v>51</v>
      </c>
      <c r="H993" t="s">
        <v>70</v>
      </c>
      <c r="I993" t="s">
        <v>243</v>
      </c>
      <c r="J993" t="s">
        <v>244</v>
      </c>
      <c r="K993">
        <v>702406</v>
      </c>
      <c r="L993" t="s">
        <v>803</v>
      </c>
      <c r="M993" t="s">
        <v>746</v>
      </c>
      <c r="N993" t="s">
        <v>57</v>
      </c>
      <c r="O993" s="1">
        <v>45854</v>
      </c>
      <c r="Q993" s="1">
        <v>45946</v>
      </c>
      <c r="R993" s="2">
        <v>49.12</v>
      </c>
      <c r="S993">
        <v>1</v>
      </c>
      <c r="T993" t="s">
        <v>58</v>
      </c>
      <c r="U993" t="s">
        <v>359</v>
      </c>
      <c r="V993" s="4">
        <v>0.375</v>
      </c>
      <c r="W993" s="2">
        <v>0</v>
      </c>
      <c r="X993">
        <v>0</v>
      </c>
      <c r="Y993" t="s">
        <v>60</v>
      </c>
      <c r="Z993" t="s">
        <v>360</v>
      </c>
      <c r="AA993">
        <v>0</v>
      </c>
      <c r="AB993" s="2">
        <v>0</v>
      </c>
      <c r="AC993" s="2">
        <v>0</v>
      </c>
      <c r="AD993" s="3">
        <v>0</v>
      </c>
      <c r="AE993" s="2">
        <v>0</v>
      </c>
      <c r="AF993" s="2">
        <v>0</v>
      </c>
      <c r="AG993" s="2">
        <v>0</v>
      </c>
      <c r="AH993" s="2">
        <v>0</v>
      </c>
      <c r="AI993" s="2">
        <v>0</v>
      </c>
      <c r="AJ993" s="2">
        <v>0</v>
      </c>
      <c r="AK993" s="2">
        <v>0</v>
      </c>
      <c r="AL993" s="2">
        <v>18.420000000000002</v>
      </c>
      <c r="AM993" s="2">
        <v>0</v>
      </c>
      <c r="AN993" s="2">
        <v>0</v>
      </c>
      <c r="AO993" s="2">
        <v>0</v>
      </c>
      <c r="AP993" s="2">
        <v>0</v>
      </c>
      <c r="AQ993" s="2">
        <v>0</v>
      </c>
    </row>
    <row r="994" spans="1:43" x14ac:dyDescent="0.25">
      <c r="A994" s="1">
        <v>45936</v>
      </c>
      <c r="B994" t="s">
        <v>48</v>
      </c>
      <c r="C994">
        <v>649163</v>
      </c>
      <c r="D994">
        <v>2030189269</v>
      </c>
      <c r="E994" t="s">
        <v>911</v>
      </c>
      <c r="F994" t="s">
        <v>912</v>
      </c>
      <c r="G994" t="s">
        <v>51</v>
      </c>
      <c r="H994" t="s">
        <v>323</v>
      </c>
      <c r="I994" t="s">
        <v>243</v>
      </c>
      <c r="J994" t="s">
        <v>244</v>
      </c>
      <c r="K994">
        <v>651818</v>
      </c>
      <c r="L994" t="s">
        <v>112</v>
      </c>
      <c r="M994" t="s">
        <v>104</v>
      </c>
      <c r="N994" t="s">
        <v>57</v>
      </c>
      <c r="O994" s="1">
        <v>45876</v>
      </c>
      <c r="Q994" s="1">
        <v>45968</v>
      </c>
      <c r="R994" s="2">
        <v>47.06</v>
      </c>
      <c r="S994">
        <v>1</v>
      </c>
      <c r="T994" t="s">
        <v>58</v>
      </c>
      <c r="U994" t="s">
        <v>359</v>
      </c>
      <c r="V994" s="4">
        <v>0.375</v>
      </c>
      <c r="W994" s="2">
        <v>0</v>
      </c>
      <c r="X994">
        <v>0</v>
      </c>
      <c r="Y994" t="s">
        <v>60</v>
      </c>
      <c r="Z994" t="s">
        <v>360</v>
      </c>
      <c r="AA994">
        <v>0</v>
      </c>
      <c r="AB994" s="2">
        <v>0</v>
      </c>
      <c r="AC994" s="2">
        <v>0</v>
      </c>
      <c r="AD994" s="3">
        <v>0</v>
      </c>
      <c r="AE994" s="2">
        <v>0</v>
      </c>
      <c r="AF994" s="2">
        <v>0</v>
      </c>
      <c r="AG994" s="2">
        <v>0</v>
      </c>
      <c r="AH994" s="2">
        <v>0</v>
      </c>
      <c r="AI994" s="2">
        <v>0</v>
      </c>
      <c r="AJ994" s="2">
        <v>0</v>
      </c>
      <c r="AK994" s="2">
        <v>0</v>
      </c>
      <c r="AL994" s="2">
        <v>17.649999999999999</v>
      </c>
      <c r="AM994" s="2">
        <v>0</v>
      </c>
      <c r="AN994" s="2">
        <v>0</v>
      </c>
      <c r="AO994" s="2">
        <v>0</v>
      </c>
      <c r="AP994" s="2">
        <v>0</v>
      </c>
      <c r="AQ994" s="2">
        <v>0</v>
      </c>
    </row>
    <row r="995" spans="1:43" x14ac:dyDescent="0.25">
      <c r="A995" s="1">
        <v>45936</v>
      </c>
      <c r="B995" t="s">
        <v>48</v>
      </c>
      <c r="C995">
        <v>649163</v>
      </c>
      <c r="D995">
        <v>2030340160</v>
      </c>
      <c r="E995" t="s">
        <v>920</v>
      </c>
      <c r="F995" t="s">
        <v>921</v>
      </c>
      <c r="G995" t="s">
        <v>51</v>
      </c>
      <c r="H995" t="s">
        <v>182</v>
      </c>
      <c r="I995" t="s">
        <v>243</v>
      </c>
      <c r="J995" t="s">
        <v>244</v>
      </c>
      <c r="K995">
        <v>673059</v>
      </c>
      <c r="L995" t="s">
        <v>80</v>
      </c>
      <c r="M995" t="s">
        <v>81</v>
      </c>
      <c r="N995" t="s">
        <v>57</v>
      </c>
      <c r="O995" s="1">
        <v>45901</v>
      </c>
      <c r="Q995" s="1">
        <v>45962</v>
      </c>
      <c r="R995" s="2">
        <v>71.37</v>
      </c>
      <c r="S995">
        <v>1</v>
      </c>
      <c r="T995" t="s">
        <v>58</v>
      </c>
      <c r="U995" t="s">
        <v>359</v>
      </c>
      <c r="V995" s="4">
        <v>0.375</v>
      </c>
      <c r="W995" s="2">
        <v>0</v>
      </c>
      <c r="X995">
        <v>0</v>
      </c>
      <c r="Y995" t="s">
        <v>60</v>
      </c>
      <c r="Z995" t="s">
        <v>360</v>
      </c>
      <c r="AA995">
        <v>0</v>
      </c>
      <c r="AB995" s="2">
        <v>0</v>
      </c>
      <c r="AC995" s="2">
        <v>0</v>
      </c>
      <c r="AD995" s="3">
        <v>0</v>
      </c>
      <c r="AE995" s="2">
        <v>0</v>
      </c>
      <c r="AF995" s="2">
        <v>0</v>
      </c>
      <c r="AG995" s="2">
        <v>0</v>
      </c>
      <c r="AH995" s="2">
        <v>0</v>
      </c>
      <c r="AI995" s="2">
        <v>0</v>
      </c>
      <c r="AJ995" s="2">
        <v>0</v>
      </c>
      <c r="AK995" s="2">
        <v>0</v>
      </c>
      <c r="AL995" s="2">
        <v>26.76</v>
      </c>
      <c r="AM995" s="2">
        <v>0</v>
      </c>
      <c r="AN995" s="2">
        <v>0</v>
      </c>
      <c r="AO995" s="2">
        <v>0</v>
      </c>
      <c r="AP995" s="2">
        <v>0</v>
      </c>
      <c r="AQ995" s="2">
        <v>0</v>
      </c>
    </row>
    <row r="996" spans="1:43" x14ac:dyDescent="0.25">
      <c r="A996" s="1">
        <v>45936</v>
      </c>
      <c r="B996" t="s">
        <v>48</v>
      </c>
      <c r="C996">
        <v>649163</v>
      </c>
      <c r="D996">
        <v>2030341641</v>
      </c>
      <c r="E996" t="s">
        <v>1122</v>
      </c>
      <c r="F996" t="s">
        <v>1123</v>
      </c>
      <c r="G996" t="s">
        <v>51</v>
      </c>
      <c r="H996" t="s">
        <v>70</v>
      </c>
      <c r="I996" t="s">
        <v>243</v>
      </c>
      <c r="J996" t="s">
        <v>244</v>
      </c>
      <c r="K996">
        <v>702406</v>
      </c>
      <c r="L996" t="s">
        <v>803</v>
      </c>
      <c r="M996" t="s">
        <v>746</v>
      </c>
      <c r="N996" t="s">
        <v>57</v>
      </c>
      <c r="O996" s="1">
        <v>45875</v>
      </c>
      <c r="Q996" s="1">
        <v>45967</v>
      </c>
      <c r="R996" s="2">
        <v>30.12</v>
      </c>
      <c r="S996">
        <v>1</v>
      </c>
      <c r="T996" t="s">
        <v>58</v>
      </c>
      <c r="U996" t="s">
        <v>359</v>
      </c>
      <c r="V996" s="4">
        <v>0.375</v>
      </c>
      <c r="W996" s="2">
        <v>0</v>
      </c>
      <c r="X996">
        <v>0</v>
      </c>
      <c r="Y996" t="s">
        <v>60</v>
      </c>
      <c r="Z996" t="s">
        <v>360</v>
      </c>
      <c r="AA996">
        <v>0</v>
      </c>
      <c r="AB996" s="2">
        <v>0</v>
      </c>
      <c r="AC996" s="2">
        <v>0</v>
      </c>
      <c r="AD996" s="3">
        <v>0</v>
      </c>
      <c r="AE996" s="2">
        <v>0</v>
      </c>
      <c r="AF996" s="2">
        <v>0</v>
      </c>
      <c r="AG996" s="2">
        <v>0</v>
      </c>
      <c r="AH996" s="2">
        <v>0</v>
      </c>
      <c r="AI996" s="2">
        <v>0</v>
      </c>
      <c r="AJ996" s="2">
        <v>0</v>
      </c>
      <c r="AK996" s="2">
        <v>0</v>
      </c>
      <c r="AL996" s="2">
        <v>11.3</v>
      </c>
      <c r="AM996" s="2">
        <v>0</v>
      </c>
      <c r="AN996" s="2">
        <v>0</v>
      </c>
      <c r="AO996" s="2">
        <v>0</v>
      </c>
      <c r="AP996" s="2">
        <v>0</v>
      </c>
      <c r="AQ996" s="2">
        <v>0</v>
      </c>
    </row>
    <row r="997" spans="1:43" x14ac:dyDescent="0.25">
      <c r="A997" s="1">
        <v>45936</v>
      </c>
      <c r="B997" t="s">
        <v>48</v>
      </c>
      <c r="C997">
        <v>649163</v>
      </c>
      <c r="D997">
        <v>2030367107</v>
      </c>
      <c r="E997" t="s">
        <v>608</v>
      </c>
      <c r="F997" t="s">
        <v>1084</v>
      </c>
      <c r="G997" t="s">
        <v>51</v>
      </c>
      <c r="H997" t="s">
        <v>382</v>
      </c>
      <c r="I997" t="s">
        <v>243</v>
      </c>
      <c r="J997" t="s">
        <v>244</v>
      </c>
      <c r="K997">
        <v>650218</v>
      </c>
      <c r="L997" t="s">
        <v>237</v>
      </c>
      <c r="M997" t="s">
        <v>238</v>
      </c>
      <c r="N997" t="s">
        <v>57</v>
      </c>
      <c r="O997" s="1">
        <v>45877</v>
      </c>
      <c r="Q997" s="1">
        <v>45969</v>
      </c>
      <c r="R997" s="2">
        <v>67.63</v>
      </c>
      <c r="S997">
        <v>1</v>
      </c>
      <c r="T997" t="s">
        <v>58</v>
      </c>
      <c r="U997" t="s">
        <v>359</v>
      </c>
      <c r="V997" s="4">
        <v>0.375</v>
      </c>
      <c r="W997" s="2">
        <v>0</v>
      </c>
      <c r="X997">
        <v>0</v>
      </c>
      <c r="Y997" t="s">
        <v>60</v>
      </c>
      <c r="Z997" t="s">
        <v>360</v>
      </c>
      <c r="AA997">
        <v>0</v>
      </c>
      <c r="AB997" s="2">
        <v>0</v>
      </c>
      <c r="AC997" s="2">
        <v>0</v>
      </c>
      <c r="AD997" s="3">
        <v>0</v>
      </c>
      <c r="AE997" s="2">
        <v>0</v>
      </c>
      <c r="AF997" s="2">
        <v>0</v>
      </c>
      <c r="AG997" s="2">
        <v>0</v>
      </c>
      <c r="AH997" s="2">
        <v>0</v>
      </c>
      <c r="AI997" s="2">
        <v>0</v>
      </c>
      <c r="AJ997" s="2">
        <v>0</v>
      </c>
      <c r="AK997" s="2">
        <v>0</v>
      </c>
      <c r="AL997" s="2">
        <v>25.36</v>
      </c>
      <c r="AM997" s="2">
        <v>0</v>
      </c>
      <c r="AN997" s="2">
        <v>0</v>
      </c>
      <c r="AO997" s="2">
        <v>0</v>
      </c>
      <c r="AP997" s="2">
        <v>0</v>
      </c>
      <c r="AQ997" s="2">
        <v>0</v>
      </c>
    </row>
    <row r="998" spans="1:43" x14ac:dyDescent="0.25">
      <c r="A998" s="1">
        <v>45936</v>
      </c>
      <c r="B998" t="s">
        <v>48</v>
      </c>
      <c r="C998">
        <v>649163</v>
      </c>
      <c r="D998">
        <v>2030380470</v>
      </c>
      <c r="E998" t="s">
        <v>443</v>
      </c>
      <c r="F998" t="s">
        <v>444</v>
      </c>
      <c r="G998" t="s">
        <v>51</v>
      </c>
      <c r="H998" t="s">
        <v>70</v>
      </c>
      <c r="I998" t="s">
        <v>243</v>
      </c>
      <c r="J998" t="s">
        <v>244</v>
      </c>
      <c r="K998">
        <v>650218</v>
      </c>
      <c r="L998" t="s">
        <v>237</v>
      </c>
      <c r="M998" t="s">
        <v>238</v>
      </c>
      <c r="N998" t="s">
        <v>57</v>
      </c>
      <c r="O998" s="1">
        <v>45877</v>
      </c>
      <c r="Q998" s="1">
        <v>45969</v>
      </c>
      <c r="R998" s="2">
        <v>27.11</v>
      </c>
      <c r="S998">
        <v>1</v>
      </c>
      <c r="T998" t="s">
        <v>58</v>
      </c>
      <c r="U998" t="s">
        <v>359</v>
      </c>
      <c r="V998" s="4">
        <v>0.375</v>
      </c>
      <c r="W998" s="2">
        <v>0</v>
      </c>
      <c r="X998">
        <v>0</v>
      </c>
      <c r="Y998" t="s">
        <v>60</v>
      </c>
      <c r="Z998" t="s">
        <v>360</v>
      </c>
      <c r="AA998">
        <v>0</v>
      </c>
      <c r="AB998" s="2">
        <v>0</v>
      </c>
      <c r="AC998" s="2">
        <v>0</v>
      </c>
      <c r="AD998" s="3">
        <v>0</v>
      </c>
      <c r="AE998" s="2">
        <v>0</v>
      </c>
      <c r="AF998" s="2">
        <v>0</v>
      </c>
      <c r="AG998" s="2">
        <v>0</v>
      </c>
      <c r="AH998" s="2">
        <v>0</v>
      </c>
      <c r="AI998" s="2">
        <v>0</v>
      </c>
      <c r="AJ998" s="2">
        <v>0</v>
      </c>
      <c r="AK998" s="2">
        <v>0</v>
      </c>
      <c r="AL998" s="2">
        <v>10.17</v>
      </c>
      <c r="AM998" s="2">
        <v>0</v>
      </c>
      <c r="AN998" s="2">
        <v>0</v>
      </c>
      <c r="AO998" s="2">
        <v>0</v>
      </c>
      <c r="AP998" s="2">
        <v>0</v>
      </c>
      <c r="AQ998" s="2">
        <v>0</v>
      </c>
    </row>
    <row r="999" spans="1:43" x14ac:dyDescent="0.25">
      <c r="A999" s="1">
        <v>45936</v>
      </c>
      <c r="B999" t="s">
        <v>48</v>
      </c>
      <c r="C999">
        <v>649163</v>
      </c>
      <c r="D999">
        <v>2030404320</v>
      </c>
      <c r="E999" t="s">
        <v>1087</v>
      </c>
      <c r="F999" t="s">
        <v>1088</v>
      </c>
      <c r="G999" t="s">
        <v>51</v>
      </c>
      <c r="H999" t="s">
        <v>670</v>
      </c>
      <c r="I999" t="s">
        <v>243</v>
      </c>
      <c r="J999" t="s">
        <v>244</v>
      </c>
      <c r="K999">
        <v>822865</v>
      </c>
      <c r="L999" t="s">
        <v>146</v>
      </c>
      <c r="M999" t="s">
        <v>147</v>
      </c>
      <c r="N999" t="s">
        <v>57</v>
      </c>
      <c r="O999" s="1">
        <v>45878</v>
      </c>
      <c r="Q999" s="1">
        <v>45970</v>
      </c>
      <c r="R999" s="2">
        <v>44.56</v>
      </c>
      <c r="S999">
        <v>1</v>
      </c>
      <c r="T999" t="s">
        <v>58</v>
      </c>
      <c r="U999" t="s">
        <v>359</v>
      </c>
      <c r="V999" s="4">
        <v>0.375</v>
      </c>
      <c r="W999" s="2">
        <v>0</v>
      </c>
      <c r="X999">
        <v>0</v>
      </c>
      <c r="Y999" t="s">
        <v>60</v>
      </c>
      <c r="Z999" t="s">
        <v>360</v>
      </c>
      <c r="AA999">
        <v>0</v>
      </c>
      <c r="AB999" s="2">
        <v>0</v>
      </c>
      <c r="AC999" s="2">
        <v>0</v>
      </c>
      <c r="AD999" s="3">
        <v>0</v>
      </c>
      <c r="AE999" s="2">
        <v>0</v>
      </c>
      <c r="AF999" s="2">
        <v>0</v>
      </c>
      <c r="AG999" s="2">
        <v>0</v>
      </c>
      <c r="AH999" s="2">
        <v>0</v>
      </c>
      <c r="AI999" s="2">
        <v>0</v>
      </c>
      <c r="AJ999" s="2">
        <v>0</v>
      </c>
      <c r="AK999" s="2">
        <v>0</v>
      </c>
      <c r="AL999" s="2">
        <v>16.71</v>
      </c>
      <c r="AM999" s="2">
        <v>0</v>
      </c>
      <c r="AN999" s="2">
        <v>0</v>
      </c>
      <c r="AO999" s="2">
        <v>0</v>
      </c>
      <c r="AP999" s="2">
        <v>0</v>
      </c>
      <c r="AQ999" s="2">
        <v>0</v>
      </c>
    </row>
    <row r="1000" spans="1:43" x14ac:dyDescent="0.25">
      <c r="A1000" s="1">
        <v>45936</v>
      </c>
      <c r="B1000" t="s">
        <v>48</v>
      </c>
      <c r="C1000">
        <v>649163</v>
      </c>
      <c r="D1000">
        <v>2030406802</v>
      </c>
      <c r="E1000" t="s">
        <v>926</v>
      </c>
      <c r="F1000" t="s">
        <v>927</v>
      </c>
      <c r="G1000" t="s">
        <v>51</v>
      </c>
      <c r="H1000" t="s">
        <v>203</v>
      </c>
      <c r="I1000" t="s">
        <v>243</v>
      </c>
      <c r="J1000" t="s">
        <v>244</v>
      </c>
      <c r="K1000">
        <v>796984</v>
      </c>
      <c r="L1000" t="s">
        <v>204</v>
      </c>
      <c r="M1000" t="s">
        <v>205</v>
      </c>
      <c r="N1000" t="s">
        <v>57</v>
      </c>
      <c r="O1000" s="1">
        <v>45878</v>
      </c>
      <c r="Q1000" s="1">
        <v>45970</v>
      </c>
      <c r="R1000" s="2">
        <v>47.28</v>
      </c>
      <c r="S1000">
        <v>1</v>
      </c>
      <c r="T1000" t="s">
        <v>58</v>
      </c>
      <c r="U1000" t="s">
        <v>359</v>
      </c>
      <c r="V1000" s="4">
        <v>0.375</v>
      </c>
      <c r="W1000" s="2">
        <v>0</v>
      </c>
      <c r="X1000">
        <v>0</v>
      </c>
      <c r="Y1000" t="s">
        <v>60</v>
      </c>
      <c r="Z1000" t="s">
        <v>360</v>
      </c>
      <c r="AA1000">
        <v>0</v>
      </c>
      <c r="AB1000" s="2">
        <v>0</v>
      </c>
      <c r="AC1000" s="2">
        <v>0</v>
      </c>
      <c r="AD1000" s="3">
        <v>0</v>
      </c>
      <c r="AE1000" s="2">
        <v>0</v>
      </c>
      <c r="AF1000" s="2">
        <v>0</v>
      </c>
      <c r="AG1000" s="2">
        <v>0</v>
      </c>
      <c r="AH1000" s="2">
        <v>0</v>
      </c>
      <c r="AI1000" s="2">
        <v>0</v>
      </c>
      <c r="AJ1000" s="2">
        <v>0</v>
      </c>
      <c r="AK1000" s="2">
        <v>0</v>
      </c>
      <c r="AL1000" s="2">
        <v>17.73</v>
      </c>
      <c r="AM1000" s="2">
        <v>0</v>
      </c>
      <c r="AN1000" s="2">
        <v>0</v>
      </c>
      <c r="AO1000" s="2">
        <v>0</v>
      </c>
      <c r="AP1000" s="2">
        <v>0</v>
      </c>
      <c r="AQ1000" s="2">
        <v>0</v>
      </c>
    </row>
    <row r="1001" spans="1:43" x14ac:dyDescent="0.25">
      <c r="A1001" s="1">
        <v>45936</v>
      </c>
      <c r="B1001" t="s">
        <v>48</v>
      </c>
      <c r="C1001">
        <v>649163</v>
      </c>
      <c r="D1001">
        <v>2030431211</v>
      </c>
      <c r="E1001" t="s">
        <v>1124</v>
      </c>
      <c r="F1001" t="s">
        <v>1125</v>
      </c>
      <c r="G1001" t="s">
        <v>51</v>
      </c>
      <c r="H1001" t="s">
        <v>101</v>
      </c>
      <c r="I1001" t="s">
        <v>243</v>
      </c>
      <c r="J1001" t="s">
        <v>244</v>
      </c>
      <c r="K1001">
        <v>651818</v>
      </c>
      <c r="L1001" t="s">
        <v>112</v>
      </c>
      <c r="M1001" t="s">
        <v>104</v>
      </c>
      <c r="N1001" t="s">
        <v>57</v>
      </c>
      <c r="O1001" s="1">
        <v>45907</v>
      </c>
      <c r="Q1001" s="1">
        <v>45968</v>
      </c>
      <c r="R1001" s="2">
        <v>63.37</v>
      </c>
      <c r="S1001">
        <v>1</v>
      </c>
      <c r="T1001" t="s">
        <v>58</v>
      </c>
      <c r="U1001" t="s">
        <v>359</v>
      </c>
      <c r="V1001" s="4">
        <v>0.375</v>
      </c>
      <c r="W1001" s="2">
        <v>0</v>
      </c>
      <c r="X1001">
        <v>0</v>
      </c>
      <c r="Y1001" t="s">
        <v>60</v>
      </c>
      <c r="Z1001" t="s">
        <v>360</v>
      </c>
      <c r="AA1001">
        <v>0</v>
      </c>
      <c r="AB1001" s="2">
        <v>0</v>
      </c>
      <c r="AC1001" s="2">
        <v>0</v>
      </c>
      <c r="AD1001" s="3">
        <v>0</v>
      </c>
      <c r="AE1001" s="2">
        <v>0</v>
      </c>
      <c r="AF1001" s="2">
        <v>0</v>
      </c>
      <c r="AG1001" s="2">
        <v>0</v>
      </c>
      <c r="AH1001" s="2">
        <v>0</v>
      </c>
      <c r="AI1001" s="2">
        <v>0</v>
      </c>
      <c r="AJ1001" s="2">
        <v>0</v>
      </c>
      <c r="AK1001" s="2">
        <v>0</v>
      </c>
      <c r="AL1001" s="2">
        <v>23.76</v>
      </c>
      <c r="AM1001" s="2">
        <v>0</v>
      </c>
      <c r="AN1001" s="2">
        <v>0</v>
      </c>
      <c r="AO1001" s="2">
        <v>0</v>
      </c>
      <c r="AP1001" s="2">
        <v>0</v>
      </c>
      <c r="AQ1001" s="2">
        <v>0</v>
      </c>
    </row>
    <row r="1002" spans="1:43" x14ac:dyDescent="0.25">
      <c r="A1002" s="1">
        <v>45936</v>
      </c>
      <c r="B1002" t="s">
        <v>48</v>
      </c>
      <c r="C1002">
        <v>649163</v>
      </c>
      <c r="D1002">
        <v>2030517072</v>
      </c>
      <c r="E1002" t="s">
        <v>937</v>
      </c>
      <c r="F1002" t="s">
        <v>938</v>
      </c>
      <c r="G1002" t="s">
        <v>51</v>
      </c>
      <c r="H1002" t="s">
        <v>129</v>
      </c>
      <c r="I1002" t="s">
        <v>243</v>
      </c>
      <c r="J1002" t="s">
        <v>244</v>
      </c>
      <c r="K1002">
        <v>651818</v>
      </c>
      <c r="L1002" t="s">
        <v>112</v>
      </c>
      <c r="M1002" t="s">
        <v>104</v>
      </c>
      <c r="N1002" t="s">
        <v>57</v>
      </c>
      <c r="O1002" s="1">
        <v>45907</v>
      </c>
      <c r="Q1002" s="1">
        <v>45968</v>
      </c>
      <c r="R1002" s="2">
        <v>47.83</v>
      </c>
      <c r="S1002">
        <v>1</v>
      </c>
      <c r="T1002" t="s">
        <v>58</v>
      </c>
      <c r="U1002" t="s">
        <v>359</v>
      </c>
      <c r="V1002" s="4">
        <v>0.375</v>
      </c>
      <c r="W1002" s="2">
        <v>0</v>
      </c>
      <c r="X1002">
        <v>0</v>
      </c>
      <c r="Y1002" t="s">
        <v>60</v>
      </c>
      <c r="Z1002" t="s">
        <v>360</v>
      </c>
      <c r="AA1002">
        <v>0</v>
      </c>
      <c r="AB1002" s="2">
        <v>0</v>
      </c>
      <c r="AC1002" s="2">
        <v>0</v>
      </c>
      <c r="AD1002" s="3">
        <v>0</v>
      </c>
      <c r="AE1002" s="2">
        <v>0</v>
      </c>
      <c r="AF1002" s="2">
        <v>0</v>
      </c>
      <c r="AG1002" s="2">
        <v>0</v>
      </c>
      <c r="AH1002" s="2">
        <v>0</v>
      </c>
      <c r="AI1002" s="2">
        <v>0</v>
      </c>
      <c r="AJ1002" s="2">
        <v>0</v>
      </c>
      <c r="AK1002" s="2">
        <v>0</v>
      </c>
      <c r="AL1002" s="2">
        <v>17.940000000000001</v>
      </c>
      <c r="AM1002" s="2">
        <v>0</v>
      </c>
      <c r="AN1002" s="2">
        <v>0</v>
      </c>
      <c r="AO1002" s="2">
        <v>0</v>
      </c>
      <c r="AP1002" s="2">
        <v>0</v>
      </c>
      <c r="AQ1002" s="2">
        <v>0</v>
      </c>
    </row>
    <row r="1003" spans="1:43" x14ac:dyDescent="0.25">
      <c r="A1003" s="1">
        <v>45936</v>
      </c>
      <c r="B1003" t="s">
        <v>48</v>
      </c>
      <c r="C1003">
        <v>649163</v>
      </c>
      <c r="D1003">
        <v>2030518951</v>
      </c>
      <c r="E1003" t="s">
        <v>939</v>
      </c>
      <c r="F1003" t="s">
        <v>940</v>
      </c>
      <c r="G1003" t="s">
        <v>51</v>
      </c>
      <c r="H1003" t="s">
        <v>159</v>
      </c>
      <c r="I1003" t="s">
        <v>243</v>
      </c>
      <c r="J1003" t="s">
        <v>244</v>
      </c>
      <c r="K1003">
        <v>651818</v>
      </c>
      <c r="L1003" t="s">
        <v>112</v>
      </c>
      <c r="M1003" t="s">
        <v>104</v>
      </c>
      <c r="N1003" t="s">
        <v>57</v>
      </c>
      <c r="O1003" s="1">
        <v>45907</v>
      </c>
      <c r="Q1003" s="1">
        <v>45968</v>
      </c>
      <c r="R1003" s="2">
        <v>48.69</v>
      </c>
      <c r="S1003">
        <v>1</v>
      </c>
      <c r="T1003" t="s">
        <v>58</v>
      </c>
      <c r="U1003" t="s">
        <v>359</v>
      </c>
      <c r="V1003" s="4">
        <v>0.375</v>
      </c>
      <c r="W1003" s="2">
        <v>0</v>
      </c>
      <c r="X1003">
        <v>0</v>
      </c>
      <c r="Y1003" t="s">
        <v>60</v>
      </c>
      <c r="Z1003" t="s">
        <v>360</v>
      </c>
      <c r="AA1003">
        <v>0</v>
      </c>
      <c r="AB1003" s="2">
        <v>0</v>
      </c>
      <c r="AC1003" s="2">
        <v>0</v>
      </c>
      <c r="AD1003" s="3">
        <v>0</v>
      </c>
      <c r="AE1003" s="2">
        <v>0</v>
      </c>
      <c r="AF1003" s="2">
        <v>0</v>
      </c>
      <c r="AG1003" s="2">
        <v>0</v>
      </c>
      <c r="AH1003" s="2">
        <v>0</v>
      </c>
      <c r="AI1003" s="2">
        <v>0</v>
      </c>
      <c r="AJ1003" s="2">
        <v>0</v>
      </c>
      <c r="AK1003" s="2">
        <v>0</v>
      </c>
      <c r="AL1003" s="2">
        <v>18.260000000000002</v>
      </c>
      <c r="AM1003" s="2">
        <v>0</v>
      </c>
      <c r="AN1003" s="2">
        <v>0</v>
      </c>
      <c r="AO1003" s="2">
        <v>0</v>
      </c>
      <c r="AP1003" s="2">
        <v>0</v>
      </c>
      <c r="AQ1003" s="2">
        <v>0</v>
      </c>
    </row>
    <row r="1004" spans="1:43" x14ac:dyDescent="0.25">
      <c r="A1004" s="1">
        <v>45936</v>
      </c>
      <c r="B1004" t="s">
        <v>48</v>
      </c>
      <c r="C1004">
        <v>649163</v>
      </c>
      <c r="D1004">
        <v>2030658214</v>
      </c>
      <c r="E1004" t="s">
        <v>1095</v>
      </c>
      <c r="F1004" t="s">
        <v>1096</v>
      </c>
      <c r="G1004" t="s">
        <v>51</v>
      </c>
      <c r="H1004" t="s">
        <v>79</v>
      </c>
      <c r="I1004" t="s">
        <v>243</v>
      </c>
      <c r="J1004" t="s">
        <v>244</v>
      </c>
      <c r="K1004">
        <v>821015</v>
      </c>
      <c r="L1004" t="s">
        <v>325</v>
      </c>
      <c r="M1004" t="s">
        <v>326</v>
      </c>
      <c r="N1004" t="s">
        <v>57</v>
      </c>
      <c r="O1004" s="1">
        <v>45901</v>
      </c>
      <c r="Q1004" s="1">
        <v>45962</v>
      </c>
      <c r="R1004" s="2">
        <v>-55.96</v>
      </c>
      <c r="S1004">
        <v>1</v>
      </c>
      <c r="T1004" t="s">
        <v>58</v>
      </c>
      <c r="U1004" t="s">
        <v>359</v>
      </c>
      <c r="V1004" s="4">
        <v>0.375</v>
      </c>
      <c r="W1004" s="2">
        <v>0</v>
      </c>
      <c r="X1004">
        <v>-1</v>
      </c>
      <c r="Y1004" t="s">
        <v>60</v>
      </c>
      <c r="Z1004" t="s">
        <v>360</v>
      </c>
      <c r="AA1004">
        <v>0</v>
      </c>
      <c r="AB1004" s="2">
        <v>0</v>
      </c>
      <c r="AC1004" s="2">
        <v>0</v>
      </c>
      <c r="AD1004" s="3">
        <v>0</v>
      </c>
      <c r="AE1004" s="2">
        <v>0</v>
      </c>
      <c r="AF1004" s="2">
        <v>0</v>
      </c>
      <c r="AG1004" s="2">
        <v>0</v>
      </c>
      <c r="AH1004" s="2">
        <v>0</v>
      </c>
      <c r="AI1004" s="2">
        <v>0</v>
      </c>
      <c r="AJ1004" s="2">
        <v>0</v>
      </c>
      <c r="AK1004" s="2">
        <v>0</v>
      </c>
      <c r="AL1004" s="2">
        <v>0</v>
      </c>
      <c r="AM1004" s="2">
        <v>-20.98</v>
      </c>
      <c r="AN1004" s="2">
        <v>-20.98</v>
      </c>
      <c r="AO1004" s="2">
        <v>0</v>
      </c>
      <c r="AP1004" s="2">
        <v>0</v>
      </c>
      <c r="AQ1004" s="2">
        <v>0</v>
      </c>
    </row>
    <row r="1005" spans="1:43" x14ac:dyDescent="0.25">
      <c r="A1005" s="1">
        <v>45936</v>
      </c>
      <c r="B1005" t="s">
        <v>48</v>
      </c>
      <c r="C1005">
        <v>649163</v>
      </c>
      <c r="D1005">
        <v>2030675166</v>
      </c>
      <c r="E1005" t="s">
        <v>942</v>
      </c>
      <c r="F1005" t="s">
        <v>943</v>
      </c>
      <c r="G1005" t="s">
        <v>51</v>
      </c>
      <c r="H1005" t="s">
        <v>323</v>
      </c>
      <c r="I1005" t="s">
        <v>243</v>
      </c>
      <c r="J1005" t="s">
        <v>244</v>
      </c>
      <c r="K1005">
        <v>823350</v>
      </c>
      <c r="L1005" t="s">
        <v>66</v>
      </c>
      <c r="M1005" t="s">
        <v>67</v>
      </c>
      <c r="N1005" t="s">
        <v>57</v>
      </c>
      <c r="O1005" s="1">
        <v>45901</v>
      </c>
      <c r="Q1005" s="1">
        <v>45962</v>
      </c>
      <c r="R1005" s="2">
        <v>-64.16</v>
      </c>
      <c r="S1005">
        <v>1</v>
      </c>
      <c r="T1005" t="s">
        <v>58</v>
      </c>
      <c r="U1005" t="s">
        <v>359</v>
      </c>
      <c r="V1005" s="4">
        <v>0.375</v>
      </c>
      <c r="W1005" s="2">
        <v>0</v>
      </c>
      <c r="X1005">
        <v>-1</v>
      </c>
      <c r="Y1005" t="s">
        <v>60</v>
      </c>
      <c r="Z1005" t="s">
        <v>360</v>
      </c>
      <c r="AA1005">
        <v>0</v>
      </c>
      <c r="AB1005" s="2">
        <v>0</v>
      </c>
      <c r="AC1005" s="2">
        <v>0</v>
      </c>
      <c r="AD1005" s="3">
        <v>0</v>
      </c>
      <c r="AE1005" s="2">
        <v>0</v>
      </c>
      <c r="AF1005" s="2">
        <v>0</v>
      </c>
      <c r="AG1005" s="2">
        <v>0</v>
      </c>
      <c r="AH1005" s="2">
        <v>0</v>
      </c>
      <c r="AI1005" s="2">
        <v>0</v>
      </c>
      <c r="AJ1005" s="2">
        <v>0</v>
      </c>
      <c r="AK1005" s="2">
        <v>0</v>
      </c>
      <c r="AL1005" s="2">
        <v>0</v>
      </c>
      <c r="AM1005" s="2">
        <v>-24.06</v>
      </c>
      <c r="AN1005" s="2">
        <v>-24.06</v>
      </c>
      <c r="AO1005" s="2">
        <v>0</v>
      </c>
      <c r="AP1005" s="2">
        <v>0</v>
      </c>
      <c r="AQ1005" s="2">
        <v>0</v>
      </c>
    </row>
    <row r="1006" spans="1:43" x14ac:dyDescent="0.25">
      <c r="A1006" s="1">
        <v>45936</v>
      </c>
      <c r="B1006" t="s">
        <v>48</v>
      </c>
      <c r="C1006">
        <v>649163</v>
      </c>
      <c r="D1006">
        <v>2030703149</v>
      </c>
      <c r="E1006" t="s">
        <v>948</v>
      </c>
      <c r="F1006" t="s">
        <v>949</v>
      </c>
      <c r="G1006" t="s">
        <v>51</v>
      </c>
      <c r="H1006" t="s">
        <v>52</v>
      </c>
      <c r="I1006" t="s">
        <v>243</v>
      </c>
      <c r="J1006" t="s">
        <v>244</v>
      </c>
      <c r="K1006">
        <v>673059</v>
      </c>
      <c r="L1006" t="s">
        <v>80</v>
      </c>
      <c r="M1006" t="s">
        <v>81</v>
      </c>
      <c r="N1006" t="s">
        <v>57</v>
      </c>
      <c r="O1006" s="1">
        <v>45901</v>
      </c>
      <c r="Q1006" s="1">
        <v>45962</v>
      </c>
      <c r="R1006" s="2">
        <v>-60.3</v>
      </c>
      <c r="S1006">
        <v>1</v>
      </c>
      <c r="T1006" t="s">
        <v>58</v>
      </c>
      <c r="U1006" t="s">
        <v>359</v>
      </c>
      <c r="V1006" s="4">
        <v>0.375</v>
      </c>
      <c r="W1006" s="2">
        <v>0</v>
      </c>
      <c r="X1006">
        <v>-1</v>
      </c>
      <c r="Y1006" t="s">
        <v>60</v>
      </c>
      <c r="Z1006" t="s">
        <v>360</v>
      </c>
      <c r="AA1006">
        <v>0</v>
      </c>
      <c r="AB1006" s="2">
        <v>0</v>
      </c>
      <c r="AC1006" s="2">
        <v>0</v>
      </c>
      <c r="AD1006" s="3">
        <v>0</v>
      </c>
      <c r="AE1006" s="2">
        <v>0</v>
      </c>
      <c r="AF1006" s="2">
        <v>0</v>
      </c>
      <c r="AG1006" s="2">
        <v>0</v>
      </c>
      <c r="AH1006" s="2">
        <v>0</v>
      </c>
      <c r="AI1006" s="2">
        <v>0</v>
      </c>
      <c r="AJ1006" s="2">
        <v>0</v>
      </c>
      <c r="AK1006" s="2">
        <v>0</v>
      </c>
      <c r="AL1006" s="2">
        <v>0</v>
      </c>
      <c r="AM1006" s="2">
        <v>-22.61</v>
      </c>
      <c r="AN1006" s="2">
        <v>-22.61</v>
      </c>
      <c r="AO1006" s="2">
        <v>0</v>
      </c>
      <c r="AP1006" s="2">
        <v>0</v>
      </c>
      <c r="AQ1006" s="2">
        <v>0</v>
      </c>
    </row>
    <row r="1007" spans="1:43" x14ac:dyDescent="0.25">
      <c r="A1007" s="1">
        <v>45936</v>
      </c>
      <c r="B1007" t="s">
        <v>48</v>
      </c>
      <c r="C1007">
        <v>649163</v>
      </c>
      <c r="D1007">
        <v>2030752804</v>
      </c>
      <c r="E1007" t="s">
        <v>953</v>
      </c>
      <c r="F1007" t="s">
        <v>954</v>
      </c>
      <c r="G1007" t="s">
        <v>51</v>
      </c>
      <c r="H1007" t="s">
        <v>110</v>
      </c>
      <c r="I1007" t="s">
        <v>243</v>
      </c>
      <c r="J1007" t="s">
        <v>244</v>
      </c>
      <c r="K1007">
        <v>651818</v>
      </c>
      <c r="L1007" t="s">
        <v>112</v>
      </c>
      <c r="M1007" t="s">
        <v>104</v>
      </c>
      <c r="N1007" t="s">
        <v>57</v>
      </c>
      <c r="O1007" s="1">
        <v>45906</v>
      </c>
      <c r="Q1007" s="1">
        <v>45967</v>
      </c>
      <c r="R1007" s="2">
        <v>91.51</v>
      </c>
      <c r="S1007">
        <v>1</v>
      </c>
      <c r="T1007" t="s">
        <v>58</v>
      </c>
      <c r="U1007" t="s">
        <v>359</v>
      </c>
      <c r="V1007" s="4">
        <v>0.375</v>
      </c>
      <c r="W1007" s="2">
        <v>0</v>
      </c>
      <c r="X1007">
        <v>0</v>
      </c>
      <c r="Y1007" t="s">
        <v>60</v>
      </c>
      <c r="Z1007" t="s">
        <v>360</v>
      </c>
      <c r="AA1007">
        <v>0</v>
      </c>
      <c r="AB1007" s="2">
        <v>0</v>
      </c>
      <c r="AC1007" s="2">
        <v>0</v>
      </c>
      <c r="AD1007" s="3">
        <v>0</v>
      </c>
      <c r="AE1007" s="2">
        <v>0</v>
      </c>
      <c r="AF1007" s="2">
        <v>0</v>
      </c>
      <c r="AG1007" s="2">
        <v>0</v>
      </c>
      <c r="AH1007" s="2">
        <v>0</v>
      </c>
      <c r="AI1007" s="2">
        <v>0</v>
      </c>
      <c r="AJ1007" s="2">
        <v>0</v>
      </c>
      <c r="AK1007" s="2">
        <v>0</v>
      </c>
      <c r="AL1007" s="2">
        <v>34.32</v>
      </c>
      <c r="AM1007" s="2">
        <v>0</v>
      </c>
      <c r="AN1007" s="2">
        <v>0</v>
      </c>
      <c r="AO1007" s="2">
        <v>0</v>
      </c>
      <c r="AP1007" s="2">
        <v>0</v>
      </c>
      <c r="AQ1007" s="2">
        <v>0</v>
      </c>
    </row>
    <row r="1008" spans="1:43" x14ac:dyDescent="0.25">
      <c r="A1008" s="1">
        <v>45936</v>
      </c>
      <c r="B1008" t="s">
        <v>48</v>
      </c>
      <c r="C1008">
        <v>649163</v>
      </c>
      <c r="D1008">
        <v>2021588618</v>
      </c>
      <c r="E1008" t="s">
        <v>1126</v>
      </c>
      <c r="F1008" t="s">
        <v>1127</v>
      </c>
      <c r="G1008" t="s">
        <v>51</v>
      </c>
      <c r="H1008" t="s">
        <v>70</v>
      </c>
      <c r="I1008" t="s">
        <v>350</v>
      </c>
      <c r="J1008" t="s">
        <v>351</v>
      </c>
      <c r="K1008">
        <v>728134</v>
      </c>
      <c r="L1008" t="s">
        <v>352</v>
      </c>
      <c r="M1008" t="s">
        <v>353</v>
      </c>
      <c r="N1008" t="s">
        <v>57</v>
      </c>
      <c r="O1008" s="1">
        <v>45323</v>
      </c>
      <c r="Q1008" s="1">
        <v>45962</v>
      </c>
      <c r="R1008" s="2">
        <v>45.54</v>
      </c>
      <c r="S1008">
        <v>1</v>
      </c>
      <c r="T1008" t="s">
        <v>58</v>
      </c>
      <c r="U1008" t="s">
        <v>359</v>
      </c>
      <c r="V1008" s="4">
        <v>5.2499999999999998E-2</v>
      </c>
      <c r="W1008" s="2">
        <v>0</v>
      </c>
      <c r="X1008">
        <v>0</v>
      </c>
      <c r="Y1008" t="s">
        <v>214</v>
      </c>
      <c r="Z1008" t="s">
        <v>360</v>
      </c>
      <c r="AA1008">
        <v>0</v>
      </c>
      <c r="AB1008" s="2">
        <v>0</v>
      </c>
      <c r="AC1008" s="2">
        <v>0</v>
      </c>
      <c r="AD1008" s="3">
        <v>0</v>
      </c>
      <c r="AE1008" s="2">
        <v>0</v>
      </c>
      <c r="AF1008" s="2">
        <v>0</v>
      </c>
      <c r="AG1008" s="2">
        <v>0</v>
      </c>
      <c r="AH1008" s="2">
        <v>0</v>
      </c>
      <c r="AI1008" s="2">
        <v>0</v>
      </c>
      <c r="AJ1008" s="2">
        <v>0</v>
      </c>
      <c r="AK1008" s="2">
        <v>0</v>
      </c>
      <c r="AL1008" s="2">
        <v>0</v>
      </c>
      <c r="AM1008" s="2">
        <v>2.39</v>
      </c>
      <c r="AN1008" s="2">
        <v>2.39</v>
      </c>
      <c r="AO1008" s="2">
        <v>0</v>
      </c>
      <c r="AP1008" s="2">
        <v>0</v>
      </c>
      <c r="AQ1008" s="2">
        <v>0</v>
      </c>
    </row>
    <row r="1009" spans="1:43" x14ac:dyDescent="0.25">
      <c r="A1009" s="1">
        <v>45936</v>
      </c>
      <c r="B1009" t="s">
        <v>48</v>
      </c>
      <c r="C1009">
        <v>649163</v>
      </c>
      <c r="D1009">
        <v>2021795177</v>
      </c>
      <c r="E1009" t="s">
        <v>1128</v>
      </c>
      <c r="F1009" t="s">
        <v>238</v>
      </c>
      <c r="G1009" t="s">
        <v>51</v>
      </c>
      <c r="H1009" t="s">
        <v>70</v>
      </c>
      <c r="I1009" t="s">
        <v>350</v>
      </c>
      <c r="J1009" t="s">
        <v>351</v>
      </c>
      <c r="K1009">
        <v>728134</v>
      </c>
      <c r="L1009" t="s">
        <v>352</v>
      </c>
      <c r="M1009" t="s">
        <v>353</v>
      </c>
      <c r="N1009" t="s">
        <v>57</v>
      </c>
      <c r="O1009" s="1">
        <v>45383</v>
      </c>
      <c r="Q1009" s="1">
        <v>45962</v>
      </c>
      <c r="R1009" s="2">
        <v>43.59</v>
      </c>
      <c r="S1009">
        <v>1</v>
      </c>
      <c r="T1009" t="s">
        <v>58</v>
      </c>
      <c r="U1009" t="s">
        <v>359</v>
      </c>
      <c r="V1009" s="4">
        <v>5.2499999999999998E-2</v>
      </c>
      <c r="W1009" s="2">
        <v>0</v>
      </c>
      <c r="X1009">
        <v>0</v>
      </c>
      <c r="Y1009" t="s">
        <v>214</v>
      </c>
      <c r="Z1009" t="s">
        <v>360</v>
      </c>
      <c r="AA1009">
        <v>0</v>
      </c>
      <c r="AB1009" s="2">
        <v>0</v>
      </c>
      <c r="AC1009" s="2">
        <v>0</v>
      </c>
      <c r="AD1009" s="3">
        <v>0</v>
      </c>
      <c r="AE1009" s="2">
        <v>0</v>
      </c>
      <c r="AF1009" s="2">
        <v>0</v>
      </c>
      <c r="AG1009" s="2">
        <v>0</v>
      </c>
      <c r="AH1009" s="2">
        <v>0</v>
      </c>
      <c r="AI1009" s="2">
        <v>0</v>
      </c>
      <c r="AJ1009" s="2">
        <v>0</v>
      </c>
      <c r="AK1009" s="2">
        <v>0</v>
      </c>
      <c r="AL1009" s="2">
        <v>0</v>
      </c>
      <c r="AM1009" s="2">
        <v>2.29</v>
      </c>
      <c r="AN1009" s="2">
        <v>2.29</v>
      </c>
      <c r="AO1009" s="2">
        <v>0</v>
      </c>
      <c r="AP1009" s="2">
        <v>0</v>
      </c>
      <c r="AQ1009" s="2">
        <v>0</v>
      </c>
    </row>
    <row r="1010" spans="1:43" x14ac:dyDescent="0.25">
      <c r="A1010" s="1">
        <v>45936</v>
      </c>
      <c r="B1010" t="s">
        <v>48</v>
      </c>
      <c r="C1010">
        <v>649163</v>
      </c>
      <c r="D1010">
        <v>2022253036</v>
      </c>
      <c r="E1010" t="s">
        <v>1129</v>
      </c>
      <c r="F1010" t="s">
        <v>1130</v>
      </c>
      <c r="G1010" t="s">
        <v>51</v>
      </c>
      <c r="H1010" t="s">
        <v>70</v>
      </c>
      <c r="I1010" t="s">
        <v>350</v>
      </c>
      <c r="J1010" t="s">
        <v>351</v>
      </c>
      <c r="K1010">
        <v>728134</v>
      </c>
      <c r="L1010" t="s">
        <v>352</v>
      </c>
      <c r="M1010" t="s">
        <v>353</v>
      </c>
      <c r="N1010" t="s">
        <v>57</v>
      </c>
      <c r="O1010" s="1">
        <v>45383</v>
      </c>
      <c r="Q1010" s="1">
        <v>45962</v>
      </c>
      <c r="R1010" s="2">
        <v>43.59</v>
      </c>
      <c r="S1010">
        <v>1</v>
      </c>
      <c r="T1010" t="s">
        <v>58</v>
      </c>
      <c r="U1010" t="s">
        <v>359</v>
      </c>
      <c r="V1010" s="4">
        <v>5.2499999999999998E-2</v>
      </c>
      <c r="W1010" s="2">
        <v>0</v>
      </c>
      <c r="X1010">
        <v>0</v>
      </c>
      <c r="Y1010" t="s">
        <v>214</v>
      </c>
      <c r="Z1010" t="s">
        <v>360</v>
      </c>
      <c r="AA1010">
        <v>0</v>
      </c>
      <c r="AB1010" s="2">
        <v>0</v>
      </c>
      <c r="AC1010" s="2">
        <v>0</v>
      </c>
      <c r="AD1010" s="3">
        <v>0</v>
      </c>
      <c r="AE1010" s="2">
        <v>0</v>
      </c>
      <c r="AF1010" s="2">
        <v>0</v>
      </c>
      <c r="AG1010" s="2">
        <v>0</v>
      </c>
      <c r="AH1010" s="2">
        <v>0</v>
      </c>
      <c r="AI1010" s="2">
        <v>0</v>
      </c>
      <c r="AJ1010" s="2">
        <v>0</v>
      </c>
      <c r="AK1010" s="2">
        <v>0</v>
      </c>
      <c r="AL1010" s="2">
        <v>0</v>
      </c>
      <c r="AM1010" s="2">
        <v>2.29</v>
      </c>
      <c r="AN1010" s="2">
        <v>2.29</v>
      </c>
      <c r="AO1010" s="2">
        <v>0</v>
      </c>
      <c r="AP1010" s="2">
        <v>0</v>
      </c>
      <c r="AQ1010" s="2">
        <v>0</v>
      </c>
    </row>
    <row r="1011" spans="1:43" x14ac:dyDescent="0.25">
      <c r="A1011" s="1">
        <v>45936</v>
      </c>
      <c r="B1011" t="s">
        <v>48</v>
      </c>
      <c r="C1011">
        <v>649163</v>
      </c>
      <c r="D1011">
        <v>2022273568</v>
      </c>
      <c r="E1011" t="s">
        <v>1131</v>
      </c>
      <c r="F1011" t="s">
        <v>1132</v>
      </c>
      <c r="G1011" t="s">
        <v>51</v>
      </c>
      <c r="H1011" t="s">
        <v>70</v>
      </c>
      <c r="I1011" t="s">
        <v>350</v>
      </c>
      <c r="J1011" t="s">
        <v>351</v>
      </c>
      <c r="K1011">
        <v>649164</v>
      </c>
      <c r="L1011" t="s">
        <v>211</v>
      </c>
      <c r="M1011" t="s">
        <v>212</v>
      </c>
      <c r="N1011" t="s">
        <v>57</v>
      </c>
      <c r="O1011" s="1">
        <v>45383</v>
      </c>
      <c r="Q1011" s="1">
        <v>45962</v>
      </c>
      <c r="R1011" s="2">
        <v>51.19</v>
      </c>
      <c r="S1011">
        <v>1</v>
      </c>
      <c r="T1011" t="s">
        <v>58</v>
      </c>
      <c r="U1011" t="s">
        <v>359</v>
      </c>
      <c r="V1011" s="4">
        <v>5.2499999999999998E-2</v>
      </c>
      <c r="W1011" s="2">
        <v>0</v>
      </c>
      <c r="X1011">
        <v>0</v>
      </c>
      <c r="Y1011" t="s">
        <v>214</v>
      </c>
      <c r="Z1011" t="s">
        <v>360</v>
      </c>
      <c r="AA1011">
        <v>0</v>
      </c>
      <c r="AB1011" s="2">
        <v>0</v>
      </c>
      <c r="AC1011" s="2">
        <v>0</v>
      </c>
      <c r="AD1011" s="3">
        <v>0</v>
      </c>
      <c r="AE1011" s="2">
        <v>0</v>
      </c>
      <c r="AF1011" s="2">
        <v>0</v>
      </c>
      <c r="AG1011" s="2">
        <v>0</v>
      </c>
      <c r="AH1011" s="2">
        <v>0</v>
      </c>
      <c r="AI1011" s="2">
        <v>0</v>
      </c>
      <c r="AJ1011" s="2">
        <v>0</v>
      </c>
      <c r="AK1011" s="2">
        <v>0</v>
      </c>
      <c r="AL1011" s="2">
        <v>0</v>
      </c>
      <c r="AM1011" s="2">
        <v>2.69</v>
      </c>
      <c r="AN1011" s="2">
        <v>2.69</v>
      </c>
      <c r="AO1011" s="2">
        <v>0</v>
      </c>
      <c r="AP1011" s="2">
        <v>0</v>
      </c>
      <c r="AQ1011" s="2">
        <v>0</v>
      </c>
    </row>
    <row r="1012" spans="1:43" x14ac:dyDescent="0.25">
      <c r="A1012" s="1">
        <v>45936</v>
      </c>
      <c r="B1012" t="s">
        <v>48</v>
      </c>
      <c r="C1012">
        <v>649163</v>
      </c>
      <c r="D1012">
        <v>2022400717</v>
      </c>
      <c r="E1012" t="s">
        <v>1133</v>
      </c>
      <c r="F1012" t="s">
        <v>1134</v>
      </c>
      <c r="G1012" t="s">
        <v>51</v>
      </c>
      <c r="H1012" t="s">
        <v>70</v>
      </c>
      <c r="I1012" t="s">
        <v>350</v>
      </c>
      <c r="J1012" t="s">
        <v>351</v>
      </c>
      <c r="K1012">
        <v>728134</v>
      </c>
      <c r="L1012" t="s">
        <v>352</v>
      </c>
      <c r="M1012" t="s">
        <v>353</v>
      </c>
      <c r="N1012" t="s">
        <v>57</v>
      </c>
      <c r="O1012" s="1">
        <v>45383</v>
      </c>
      <c r="Q1012" s="1">
        <v>45962</v>
      </c>
      <c r="R1012" s="2">
        <v>43.59</v>
      </c>
      <c r="S1012">
        <v>1</v>
      </c>
      <c r="T1012" t="s">
        <v>58</v>
      </c>
      <c r="U1012" t="s">
        <v>359</v>
      </c>
      <c r="V1012" s="4">
        <v>5.2499999999999998E-2</v>
      </c>
      <c r="W1012" s="2">
        <v>0</v>
      </c>
      <c r="X1012">
        <v>0</v>
      </c>
      <c r="Y1012" t="s">
        <v>214</v>
      </c>
      <c r="Z1012" t="s">
        <v>360</v>
      </c>
      <c r="AA1012">
        <v>0</v>
      </c>
      <c r="AB1012" s="2">
        <v>0</v>
      </c>
      <c r="AC1012" s="2">
        <v>0</v>
      </c>
      <c r="AD1012" s="3">
        <v>0</v>
      </c>
      <c r="AE1012" s="2">
        <v>0</v>
      </c>
      <c r="AF1012" s="2">
        <v>0</v>
      </c>
      <c r="AG1012" s="2">
        <v>0</v>
      </c>
      <c r="AH1012" s="2">
        <v>0</v>
      </c>
      <c r="AI1012" s="2">
        <v>0</v>
      </c>
      <c r="AJ1012" s="2">
        <v>0</v>
      </c>
      <c r="AK1012" s="2">
        <v>0</v>
      </c>
      <c r="AL1012" s="2">
        <v>0</v>
      </c>
      <c r="AM1012" s="2">
        <v>2.29</v>
      </c>
      <c r="AN1012" s="2">
        <v>2.29</v>
      </c>
      <c r="AO1012" s="2">
        <v>0</v>
      </c>
      <c r="AP1012" s="2">
        <v>0</v>
      </c>
      <c r="AQ1012" s="2">
        <v>0</v>
      </c>
    </row>
    <row r="1013" spans="1:43" x14ac:dyDescent="0.25">
      <c r="A1013" s="1">
        <v>45936</v>
      </c>
      <c r="B1013" t="s">
        <v>48</v>
      </c>
      <c r="C1013">
        <v>649163</v>
      </c>
      <c r="D1013">
        <v>2022532902</v>
      </c>
      <c r="E1013" t="s">
        <v>1135</v>
      </c>
      <c r="F1013" t="s">
        <v>600</v>
      </c>
      <c r="G1013" t="s">
        <v>51</v>
      </c>
      <c r="H1013" t="s">
        <v>70</v>
      </c>
      <c r="I1013" t="s">
        <v>350</v>
      </c>
      <c r="J1013" t="s">
        <v>351</v>
      </c>
      <c r="K1013">
        <v>728134</v>
      </c>
      <c r="L1013" t="s">
        <v>352</v>
      </c>
      <c r="M1013" t="s">
        <v>353</v>
      </c>
      <c r="N1013" t="s">
        <v>57</v>
      </c>
      <c r="O1013" s="1">
        <v>45384</v>
      </c>
      <c r="Q1013" s="1">
        <v>45963</v>
      </c>
      <c r="R1013" s="2">
        <v>50.6</v>
      </c>
      <c r="S1013">
        <v>1</v>
      </c>
      <c r="T1013" t="s">
        <v>58</v>
      </c>
      <c r="U1013" t="s">
        <v>359</v>
      </c>
      <c r="V1013" s="4">
        <v>5.2499999999999998E-2</v>
      </c>
      <c r="W1013" s="2">
        <v>0</v>
      </c>
      <c r="X1013">
        <v>0</v>
      </c>
      <c r="Y1013" t="s">
        <v>214</v>
      </c>
      <c r="Z1013" t="s">
        <v>360</v>
      </c>
      <c r="AA1013">
        <v>0</v>
      </c>
      <c r="AB1013" s="2">
        <v>0</v>
      </c>
      <c r="AC1013" s="2">
        <v>0</v>
      </c>
      <c r="AD1013" s="3">
        <v>0</v>
      </c>
      <c r="AE1013" s="2">
        <v>0</v>
      </c>
      <c r="AF1013" s="2">
        <v>0</v>
      </c>
      <c r="AG1013" s="2">
        <v>0</v>
      </c>
      <c r="AH1013" s="2">
        <v>0</v>
      </c>
      <c r="AI1013" s="2">
        <v>0</v>
      </c>
      <c r="AJ1013" s="2">
        <v>0</v>
      </c>
      <c r="AK1013" s="2">
        <v>0</v>
      </c>
      <c r="AL1013" s="2">
        <v>0</v>
      </c>
      <c r="AM1013" s="2">
        <v>2.66</v>
      </c>
      <c r="AN1013" s="2">
        <v>2.66</v>
      </c>
      <c r="AO1013" s="2">
        <v>0</v>
      </c>
      <c r="AP1013" s="2">
        <v>0</v>
      </c>
      <c r="AQ1013" s="2">
        <v>0</v>
      </c>
    </row>
    <row r="1014" spans="1:43" x14ac:dyDescent="0.25">
      <c r="A1014" s="1">
        <v>45936</v>
      </c>
      <c r="B1014" t="s">
        <v>48</v>
      </c>
      <c r="C1014">
        <v>649163</v>
      </c>
      <c r="D1014">
        <v>2022548915</v>
      </c>
      <c r="E1014" t="s">
        <v>623</v>
      </c>
      <c r="F1014" t="s">
        <v>727</v>
      </c>
      <c r="G1014" t="s">
        <v>51</v>
      </c>
      <c r="H1014" t="s">
        <v>70</v>
      </c>
      <c r="I1014" t="s">
        <v>350</v>
      </c>
      <c r="J1014" t="s">
        <v>351</v>
      </c>
      <c r="K1014">
        <v>728134</v>
      </c>
      <c r="L1014" t="s">
        <v>352</v>
      </c>
      <c r="M1014" t="s">
        <v>353</v>
      </c>
      <c r="N1014" t="s">
        <v>57</v>
      </c>
      <c r="O1014" s="1">
        <v>45385</v>
      </c>
      <c r="Q1014" s="1">
        <v>45964</v>
      </c>
      <c r="R1014" s="2">
        <v>56.88</v>
      </c>
      <c r="S1014">
        <v>1</v>
      </c>
      <c r="T1014" t="s">
        <v>58</v>
      </c>
      <c r="U1014" t="s">
        <v>359</v>
      </c>
      <c r="V1014" s="4">
        <v>5.2499999999999998E-2</v>
      </c>
      <c r="W1014" s="2">
        <v>0</v>
      </c>
      <c r="X1014">
        <v>0</v>
      </c>
      <c r="Y1014" t="s">
        <v>214</v>
      </c>
      <c r="Z1014" t="s">
        <v>360</v>
      </c>
      <c r="AA1014">
        <v>0</v>
      </c>
      <c r="AB1014" s="2">
        <v>0</v>
      </c>
      <c r="AC1014" s="2">
        <v>0</v>
      </c>
      <c r="AD1014" s="3">
        <v>0</v>
      </c>
      <c r="AE1014" s="2">
        <v>0</v>
      </c>
      <c r="AF1014" s="2">
        <v>0</v>
      </c>
      <c r="AG1014" s="2">
        <v>0</v>
      </c>
      <c r="AH1014" s="2">
        <v>0</v>
      </c>
      <c r="AI1014" s="2">
        <v>0</v>
      </c>
      <c r="AJ1014" s="2">
        <v>0</v>
      </c>
      <c r="AK1014" s="2">
        <v>0</v>
      </c>
      <c r="AL1014" s="2">
        <v>0</v>
      </c>
      <c r="AM1014" s="2">
        <v>2.99</v>
      </c>
      <c r="AN1014" s="2">
        <v>2.99</v>
      </c>
      <c r="AO1014" s="2">
        <v>0</v>
      </c>
      <c r="AP1014" s="2">
        <v>0</v>
      </c>
      <c r="AQ1014" s="2">
        <v>0</v>
      </c>
    </row>
    <row r="1015" spans="1:43" x14ac:dyDescent="0.25">
      <c r="A1015" s="1">
        <v>45936</v>
      </c>
      <c r="B1015" t="s">
        <v>48</v>
      </c>
      <c r="C1015">
        <v>649163</v>
      </c>
      <c r="D1015">
        <v>2022583396</v>
      </c>
      <c r="E1015" t="s">
        <v>1136</v>
      </c>
      <c r="F1015" t="s">
        <v>1137</v>
      </c>
      <c r="G1015" t="s">
        <v>51</v>
      </c>
      <c r="H1015" t="s">
        <v>70</v>
      </c>
      <c r="I1015" t="s">
        <v>350</v>
      </c>
      <c r="J1015" t="s">
        <v>351</v>
      </c>
      <c r="K1015">
        <v>728134</v>
      </c>
      <c r="L1015" t="s">
        <v>352</v>
      </c>
      <c r="M1015" t="s">
        <v>353</v>
      </c>
      <c r="N1015" t="s">
        <v>57</v>
      </c>
      <c r="O1015" s="1">
        <v>45387</v>
      </c>
      <c r="Q1015" s="1">
        <v>45966</v>
      </c>
      <c r="R1015" s="2">
        <v>43.59</v>
      </c>
      <c r="S1015">
        <v>1</v>
      </c>
      <c r="T1015" t="s">
        <v>58</v>
      </c>
      <c r="U1015" t="s">
        <v>359</v>
      </c>
      <c r="V1015" s="4">
        <v>5.2499999999999998E-2</v>
      </c>
      <c r="W1015" s="2">
        <v>0</v>
      </c>
      <c r="X1015">
        <v>0</v>
      </c>
      <c r="Y1015" t="s">
        <v>214</v>
      </c>
      <c r="Z1015" t="s">
        <v>360</v>
      </c>
      <c r="AA1015">
        <v>0</v>
      </c>
      <c r="AB1015" s="2">
        <v>0</v>
      </c>
      <c r="AC1015" s="2">
        <v>0</v>
      </c>
      <c r="AD1015" s="3">
        <v>0</v>
      </c>
      <c r="AE1015" s="2">
        <v>0</v>
      </c>
      <c r="AF1015" s="2">
        <v>0</v>
      </c>
      <c r="AG1015" s="2">
        <v>0</v>
      </c>
      <c r="AH1015" s="2">
        <v>0</v>
      </c>
      <c r="AI1015" s="2">
        <v>0</v>
      </c>
      <c r="AJ1015" s="2">
        <v>0</v>
      </c>
      <c r="AK1015" s="2">
        <v>0</v>
      </c>
      <c r="AL1015" s="2">
        <v>0</v>
      </c>
      <c r="AM1015" s="2">
        <v>2.29</v>
      </c>
      <c r="AN1015" s="2">
        <v>2.29</v>
      </c>
      <c r="AO1015" s="2">
        <v>0</v>
      </c>
      <c r="AP1015" s="2">
        <v>0</v>
      </c>
      <c r="AQ1015" s="2">
        <v>0</v>
      </c>
    </row>
    <row r="1016" spans="1:43" x14ac:dyDescent="0.25">
      <c r="A1016" s="1">
        <v>45936</v>
      </c>
      <c r="B1016" t="s">
        <v>48</v>
      </c>
      <c r="C1016">
        <v>649163</v>
      </c>
      <c r="D1016">
        <v>2022672449</v>
      </c>
      <c r="E1016" t="s">
        <v>1138</v>
      </c>
      <c r="F1016" t="s">
        <v>991</v>
      </c>
      <c r="G1016" t="s">
        <v>51</v>
      </c>
      <c r="H1016" t="s">
        <v>70</v>
      </c>
      <c r="I1016" t="s">
        <v>350</v>
      </c>
      <c r="J1016" t="s">
        <v>351</v>
      </c>
      <c r="K1016">
        <v>728134</v>
      </c>
      <c r="L1016" t="s">
        <v>352</v>
      </c>
      <c r="M1016" t="s">
        <v>353</v>
      </c>
      <c r="N1016" t="s">
        <v>57</v>
      </c>
      <c r="O1016" s="1">
        <v>45413</v>
      </c>
      <c r="Q1016" s="1">
        <v>45962</v>
      </c>
      <c r="R1016" s="2">
        <v>43.59</v>
      </c>
      <c r="S1016">
        <v>1</v>
      </c>
      <c r="T1016" t="s">
        <v>58</v>
      </c>
      <c r="U1016" t="s">
        <v>359</v>
      </c>
      <c r="V1016" s="4">
        <v>5.2499999999999998E-2</v>
      </c>
      <c r="W1016" s="2">
        <v>0</v>
      </c>
      <c r="X1016">
        <v>0</v>
      </c>
      <c r="Y1016" t="s">
        <v>214</v>
      </c>
      <c r="Z1016" t="s">
        <v>360</v>
      </c>
      <c r="AA1016">
        <v>0</v>
      </c>
      <c r="AB1016" s="2">
        <v>0</v>
      </c>
      <c r="AC1016" s="2">
        <v>0</v>
      </c>
      <c r="AD1016" s="3">
        <v>0</v>
      </c>
      <c r="AE1016" s="2">
        <v>0</v>
      </c>
      <c r="AF1016" s="2">
        <v>0</v>
      </c>
      <c r="AG1016" s="2">
        <v>0</v>
      </c>
      <c r="AH1016" s="2">
        <v>0</v>
      </c>
      <c r="AI1016" s="2">
        <v>0</v>
      </c>
      <c r="AJ1016" s="2">
        <v>0</v>
      </c>
      <c r="AK1016" s="2">
        <v>0</v>
      </c>
      <c r="AL1016" s="2">
        <v>0</v>
      </c>
      <c r="AM1016" s="2">
        <v>2.29</v>
      </c>
      <c r="AN1016" s="2">
        <v>2.29</v>
      </c>
      <c r="AO1016" s="2">
        <v>0</v>
      </c>
      <c r="AP1016" s="2">
        <v>0</v>
      </c>
      <c r="AQ1016" s="2">
        <v>0</v>
      </c>
    </row>
    <row r="1017" spans="1:43" x14ac:dyDescent="0.25">
      <c r="A1017" s="1">
        <v>45936</v>
      </c>
      <c r="B1017" t="s">
        <v>48</v>
      </c>
      <c r="C1017">
        <v>649163</v>
      </c>
      <c r="D1017">
        <v>2022736430</v>
      </c>
      <c r="E1017" t="s">
        <v>1139</v>
      </c>
      <c r="F1017" t="s">
        <v>562</v>
      </c>
      <c r="G1017" t="s">
        <v>51</v>
      </c>
      <c r="H1017" t="s">
        <v>70</v>
      </c>
      <c r="I1017" t="s">
        <v>350</v>
      </c>
      <c r="J1017" t="s">
        <v>351</v>
      </c>
      <c r="K1017">
        <v>649164</v>
      </c>
      <c r="L1017" t="s">
        <v>211</v>
      </c>
      <c r="M1017" t="s">
        <v>212</v>
      </c>
      <c r="N1017" t="s">
        <v>57</v>
      </c>
      <c r="O1017" s="1">
        <v>45413</v>
      </c>
      <c r="Q1017" s="1">
        <v>45962</v>
      </c>
      <c r="R1017" s="2">
        <v>45.54</v>
      </c>
      <c r="S1017">
        <v>1</v>
      </c>
      <c r="T1017" t="s">
        <v>58</v>
      </c>
      <c r="U1017" t="s">
        <v>359</v>
      </c>
      <c r="V1017" s="4">
        <v>5.2499999999999998E-2</v>
      </c>
      <c r="W1017" s="2">
        <v>0</v>
      </c>
      <c r="X1017">
        <v>0</v>
      </c>
      <c r="Y1017" t="s">
        <v>214</v>
      </c>
      <c r="Z1017" t="s">
        <v>360</v>
      </c>
      <c r="AA1017">
        <v>0</v>
      </c>
      <c r="AB1017" s="2">
        <v>0</v>
      </c>
      <c r="AC1017" s="2">
        <v>0</v>
      </c>
      <c r="AD1017" s="3">
        <v>0</v>
      </c>
      <c r="AE1017" s="2">
        <v>0</v>
      </c>
      <c r="AF1017" s="2">
        <v>0</v>
      </c>
      <c r="AG1017" s="2">
        <v>0</v>
      </c>
      <c r="AH1017" s="2">
        <v>0</v>
      </c>
      <c r="AI1017" s="2">
        <v>0</v>
      </c>
      <c r="AJ1017" s="2">
        <v>0</v>
      </c>
      <c r="AK1017" s="2">
        <v>0</v>
      </c>
      <c r="AL1017" s="2">
        <v>0</v>
      </c>
      <c r="AM1017" s="2">
        <v>2.39</v>
      </c>
      <c r="AN1017" s="2">
        <v>2.39</v>
      </c>
      <c r="AO1017" s="2">
        <v>0</v>
      </c>
      <c r="AP1017" s="2">
        <v>0</v>
      </c>
      <c r="AQ1017" s="2">
        <v>0</v>
      </c>
    </row>
    <row r="1018" spans="1:43" x14ac:dyDescent="0.25">
      <c r="A1018" s="1">
        <v>45936</v>
      </c>
      <c r="B1018" t="s">
        <v>48</v>
      </c>
      <c r="C1018">
        <v>649163</v>
      </c>
      <c r="D1018">
        <v>2022802828</v>
      </c>
      <c r="E1018" t="s">
        <v>370</v>
      </c>
      <c r="F1018" t="s">
        <v>1140</v>
      </c>
      <c r="G1018" t="s">
        <v>51</v>
      </c>
      <c r="H1018" t="s">
        <v>262</v>
      </c>
      <c r="I1018" t="s">
        <v>350</v>
      </c>
      <c r="J1018" t="s">
        <v>1141</v>
      </c>
      <c r="K1018">
        <v>751867</v>
      </c>
      <c r="L1018" t="s">
        <v>71</v>
      </c>
      <c r="M1018" t="s">
        <v>72</v>
      </c>
      <c r="N1018" t="s">
        <v>57</v>
      </c>
      <c r="O1018" s="1">
        <v>45413</v>
      </c>
      <c r="Q1018" s="1">
        <v>45962</v>
      </c>
      <c r="R1018" s="2">
        <v>35.270000000000003</v>
      </c>
      <c r="S1018">
        <v>1</v>
      </c>
      <c r="T1018" t="s">
        <v>58</v>
      </c>
      <c r="U1018" t="s">
        <v>359</v>
      </c>
      <c r="V1018" s="3">
        <v>0.08</v>
      </c>
      <c r="W1018" s="2">
        <v>0</v>
      </c>
      <c r="X1018">
        <v>0</v>
      </c>
      <c r="Y1018" t="s">
        <v>214</v>
      </c>
      <c r="Z1018" t="s">
        <v>360</v>
      </c>
      <c r="AA1018">
        <v>0</v>
      </c>
      <c r="AB1018" s="2">
        <v>0</v>
      </c>
      <c r="AC1018" s="2">
        <v>0</v>
      </c>
      <c r="AD1018" s="3">
        <v>0</v>
      </c>
      <c r="AE1018" s="2">
        <v>0</v>
      </c>
      <c r="AF1018" s="2">
        <v>0</v>
      </c>
      <c r="AG1018" s="2">
        <v>0</v>
      </c>
      <c r="AH1018" s="2">
        <v>0</v>
      </c>
      <c r="AI1018" s="2">
        <v>0</v>
      </c>
      <c r="AJ1018" s="2">
        <v>0</v>
      </c>
      <c r="AK1018" s="2">
        <v>0</v>
      </c>
      <c r="AL1018" s="2">
        <v>0</v>
      </c>
      <c r="AM1018" s="2">
        <v>2.82</v>
      </c>
      <c r="AN1018" s="2">
        <v>2.82</v>
      </c>
      <c r="AO1018" s="2">
        <v>0</v>
      </c>
      <c r="AP1018" s="2">
        <v>0</v>
      </c>
      <c r="AQ1018" s="2">
        <v>0</v>
      </c>
    </row>
    <row r="1019" spans="1:43" x14ac:dyDescent="0.25">
      <c r="A1019" s="1">
        <v>45936</v>
      </c>
      <c r="B1019" t="s">
        <v>48</v>
      </c>
      <c r="C1019">
        <v>649163</v>
      </c>
      <c r="D1019">
        <v>2022802829</v>
      </c>
      <c r="E1019" t="s">
        <v>370</v>
      </c>
      <c r="F1019" t="s">
        <v>1140</v>
      </c>
      <c r="G1019" t="s">
        <v>51</v>
      </c>
      <c r="H1019" t="s">
        <v>262</v>
      </c>
      <c r="I1019" t="s">
        <v>350</v>
      </c>
      <c r="J1019" t="s">
        <v>1142</v>
      </c>
      <c r="K1019">
        <v>751867</v>
      </c>
      <c r="L1019" t="s">
        <v>71</v>
      </c>
      <c r="M1019" t="s">
        <v>72</v>
      </c>
      <c r="N1019" t="s">
        <v>57</v>
      </c>
      <c r="O1019" s="1">
        <v>45413</v>
      </c>
      <c r="Q1019" s="1">
        <v>45962</v>
      </c>
      <c r="R1019" s="2">
        <v>14.95</v>
      </c>
      <c r="S1019">
        <v>1</v>
      </c>
      <c r="T1019" t="s">
        <v>58</v>
      </c>
      <c r="U1019" t="s">
        <v>359</v>
      </c>
      <c r="V1019" s="3">
        <v>0.08</v>
      </c>
      <c r="W1019" s="2">
        <v>0</v>
      </c>
      <c r="X1019">
        <v>0</v>
      </c>
      <c r="Y1019" t="s">
        <v>214</v>
      </c>
      <c r="Z1019" t="s">
        <v>360</v>
      </c>
      <c r="AA1019">
        <v>0</v>
      </c>
      <c r="AB1019" s="2">
        <v>0</v>
      </c>
      <c r="AC1019" s="2">
        <v>0</v>
      </c>
      <c r="AD1019" s="3">
        <v>0</v>
      </c>
      <c r="AE1019" s="2">
        <v>0</v>
      </c>
      <c r="AF1019" s="2">
        <v>0</v>
      </c>
      <c r="AG1019" s="2">
        <v>0</v>
      </c>
      <c r="AH1019" s="2">
        <v>0</v>
      </c>
      <c r="AI1019" s="2">
        <v>0</v>
      </c>
      <c r="AJ1019" s="2">
        <v>0</v>
      </c>
      <c r="AK1019" s="2">
        <v>0</v>
      </c>
      <c r="AL1019" s="2">
        <v>0</v>
      </c>
      <c r="AM1019" s="2">
        <v>1.2</v>
      </c>
      <c r="AN1019" s="2">
        <v>1.2</v>
      </c>
      <c r="AO1019" s="2">
        <v>0</v>
      </c>
      <c r="AP1019" s="2">
        <v>0</v>
      </c>
      <c r="AQ1019" s="2">
        <v>0</v>
      </c>
    </row>
    <row r="1020" spans="1:43" x14ac:dyDescent="0.25">
      <c r="A1020" s="1">
        <v>45936</v>
      </c>
      <c r="B1020" t="s">
        <v>48</v>
      </c>
      <c r="C1020">
        <v>649163</v>
      </c>
      <c r="D1020">
        <v>2022853291</v>
      </c>
      <c r="E1020" t="s">
        <v>364</v>
      </c>
      <c r="F1020" t="s">
        <v>365</v>
      </c>
      <c r="G1020" t="s">
        <v>51</v>
      </c>
      <c r="H1020" t="s">
        <v>70</v>
      </c>
      <c r="I1020" t="s">
        <v>350</v>
      </c>
      <c r="J1020" t="s">
        <v>351</v>
      </c>
      <c r="K1020">
        <v>751867</v>
      </c>
      <c r="L1020" t="s">
        <v>71</v>
      </c>
      <c r="M1020" t="s">
        <v>72</v>
      </c>
      <c r="N1020" t="s">
        <v>57</v>
      </c>
      <c r="O1020" s="1">
        <v>45413</v>
      </c>
      <c r="Q1020" s="1">
        <v>45962</v>
      </c>
      <c r="R1020" s="2">
        <v>46.01</v>
      </c>
      <c r="S1020">
        <v>1</v>
      </c>
      <c r="T1020" t="s">
        <v>58</v>
      </c>
      <c r="U1020" t="s">
        <v>359</v>
      </c>
      <c r="V1020" s="4">
        <v>5.2499999999999998E-2</v>
      </c>
      <c r="W1020" s="2">
        <v>0</v>
      </c>
      <c r="X1020">
        <v>0</v>
      </c>
      <c r="Y1020" t="s">
        <v>214</v>
      </c>
      <c r="Z1020" t="s">
        <v>360</v>
      </c>
      <c r="AA1020">
        <v>0</v>
      </c>
      <c r="AB1020" s="2">
        <v>0</v>
      </c>
      <c r="AC1020" s="2">
        <v>0</v>
      </c>
      <c r="AD1020" s="3">
        <v>0</v>
      </c>
      <c r="AE1020" s="2">
        <v>0</v>
      </c>
      <c r="AF1020" s="2">
        <v>0</v>
      </c>
      <c r="AG1020" s="2">
        <v>0</v>
      </c>
      <c r="AH1020" s="2">
        <v>0</v>
      </c>
      <c r="AI1020" s="2">
        <v>0</v>
      </c>
      <c r="AJ1020" s="2">
        <v>0</v>
      </c>
      <c r="AK1020" s="2">
        <v>0</v>
      </c>
      <c r="AL1020" s="2">
        <v>0</v>
      </c>
      <c r="AM1020" s="2">
        <v>2.42</v>
      </c>
      <c r="AN1020" s="2">
        <v>2.42</v>
      </c>
      <c r="AO1020" s="2">
        <v>0</v>
      </c>
      <c r="AP1020" s="2">
        <v>0</v>
      </c>
      <c r="AQ1020" s="2">
        <v>0</v>
      </c>
    </row>
    <row r="1021" spans="1:43" x14ac:dyDescent="0.25">
      <c r="A1021" s="1">
        <v>45936</v>
      </c>
      <c r="B1021" t="s">
        <v>48</v>
      </c>
      <c r="C1021">
        <v>649163</v>
      </c>
      <c r="D1021">
        <v>2023013394</v>
      </c>
      <c r="E1021" t="s">
        <v>1143</v>
      </c>
      <c r="F1021" t="s">
        <v>886</v>
      </c>
      <c r="G1021" t="s">
        <v>51</v>
      </c>
      <c r="H1021" t="s">
        <v>70</v>
      </c>
      <c r="I1021" t="s">
        <v>350</v>
      </c>
      <c r="J1021" t="s">
        <v>351</v>
      </c>
      <c r="K1021">
        <v>728134</v>
      </c>
      <c r="L1021" t="s">
        <v>352</v>
      </c>
      <c r="M1021" t="s">
        <v>353</v>
      </c>
      <c r="N1021" t="s">
        <v>57</v>
      </c>
      <c r="O1021" s="1">
        <v>45444</v>
      </c>
      <c r="Q1021" s="1">
        <v>45962</v>
      </c>
      <c r="R1021" s="2">
        <v>33.590000000000003</v>
      </c>
      <c r="S1021">
        <v>1</v>
      </c>
      <c r="T1021" t="s">
        <v>58</v>
      </c>
      <c r="U1021" t="s">
        <v>359</v>
      </c>
      <c r="V1021" s="4">
        <v>5.2499999999999998E-2</v>
      </c>
      <c r="W1021" s="2">
        <v>0</v>
      </c>
      <c r="X1021">
        <v>0</v>
      </c>
      <c r="Y1021" t="s">
        <v>214</v>
      </c>
      <c r="Z1021" t="s">
        <v>360</v>
      </c>
      <c r="AA1021">
        <v>0</v>
      </c>
      <c r="AB1021" s="2">
        <v>0</v>
      </c>
      <c r="AC1021" s="2">
        <v>0</v>
      </c>
      <c r="AD1021" s="3">
        <v>0</v>
      </c>
      <c r="AE1021" s="2">
        <v>0</v>
      </c>
      <c r="AF1021" s="2">
        <v>0</v>
      </c>
      <c r="AG1021" s="2">
        <v>0</v>
      </c>
      <c r="AH1021" s="2">
        <v>0</v>
      </c>
      <c r="AI1021" s="2">
        <v>0</v>
      </c>
      <c r="AJ1021" s="2">
        <v>0</v>
      </c>
      <c r="AK1021" s="2">
        <v>0</v>
      </c>
      <c r="AL1021" s="2">
        <v>0</v>
      </c>
      <c r="AM1021" s="2">
        <v>1.76</v>
      </c>
      <c r="AN1021" s="2">
        <v>1.76</v>
      </c>
      <c r="AO1021" s="2">
        <v>0</v>
      </c>
      <c r="AP1021" s="2">
        <v>0</v>
      </c>
      <c r="AQ1021" s="2">
        <v>0</v>
      </c>
    </row>
    <row r="1022" spans="1:43" x14ac:dyDescent="0.25">
      <c r="A1022" s="1">
        <v>45936</v>
      </c>
      <c r="B1022" t="s">
        <v>48</v>
      </c>
      <c r="C1022">
        <v>649163</v>
      </c>
      <c r="D1022">
        <v>2023035029</v>
      </c>
      <c r="E1022" t="s">
        <v>1144</v>
      </c>
      <c r="F1022" t="s">
        <v>1145</v>
      </c>
      <c r="G1022" t="s">
        <v>51</v>
      </c>
      <c r="H1022" t="s">
        <v>70</v>
      </c>
      <c r="I1022" t="s">
        <v>350</v>
      </c>
      <c r="J1022" t="s">
        <v>351</v>
      </c>
      <c r="K1022">
        <v>728134</v>
      </c>
      <c r="L1022" t="s">
        <v>352</v>
      </c>
      <c r="M1022" t="s">
        <v>353</v>
      </c>
      <c r="N1022" t="s">
        <v>57</v>
      </c>
      <c r="O1022" s="1">
        <v>45444</v>
      </c>
      <c r="Q1022" s="1">
        <v>45962</v>
      </c>
      <c r="R1022" s="2">
        <v>33.590000000000003</v>
      </c>
      <c r="S1022">
        <v>1</v>
      </c>
      <c r="T1022" t="s">
        <v>58</v>
      </c>
      <c r="U1022" t="s">
        <v>359</v>
      </c>
      <c r="V1022" s="4">
        <v>5.2499999999999998E-2</v>
      </c>
      <c r="W1022" s="2">
        <v>0</v>
      </c>
      <c r="X1022">
        <v>0</v>
      </c>
      <c r="Y1022" t="s">
        <v>214</v>
      </c>
      <c r="Z1022" t="s">
        <v>360</v>
      </c>
      <c r="AA1022">
        <v>0</v>
      </c>
      <c r="AB1022" s="2">
        <v>0</v>
      </c>
      <c r="AC1022" s="2">
        <v>0</v>
      </c>
      <c r="AD1022" s="3">
        <v>0</v>
      </c>
      <c r="AE1022" s="2">
        <v>0</v>
      </c>
      <c r="AF1022" s="2">
        <v>0</v>
      </c>
      <c r="AG1022" s="2">
        <v>0</v>
      </c>
      <c r="AH1022" s="2">
        <v>0</v>
      </c>
      <c r="AI1022" s="2">
        <v>0</v>
      </c>
      <c r="AJ1022" s="2">
        <v>0</v>
      </c>
      <c r="AK1022" s="2">
        <v>0</v>
      </c>
      <c r="AL1022" s="2">
        <v>0</v>
      </c>
      <c r="AM1022" s="2">
        <v>1.76</v>
      </c>
      <c r="AN1022" s="2">
        <v>1.76</v>
      </c>
      <c r="AO1022" s="2">
        <v>0</v>
      </c>
      <c r="AP1022" s="2">
        <v>0</v>
      </c>
      <c r="AQ1022" s="2">
        <v>0</v>
      </c>
    </row>
    <row r="1023" spans="1:43" x14ac:dyDescent="0.25">
      <c r="A1023" s="1">
        <v>45936</v>
      </c>
      <c r="B1023" t="s">
        <v>48</v>
      </c>
      <c r="C1023">
        <v>649163</v>
      </c>
      <c r="D1023">
        <v>2023183893</v>
      </c>
      <c r="E1023" t="s">
        <v>1146</v>
      </c>
      <c r="F1023" t="s">
        <v>1147</v>
      </c>
      <c r="G1023" t="s">
        <v>51</v>
      </c>
      <c r="H1023" t="s">
        <v>70</v>
      </c>
      <c r="I1023" t="s">
        <v>350</v>
      </c>
      <c r="J1023" t="s">
        <v>351</v>
      </c>
      <c r="K1023">
        <v>650218</v>
      </c>
      <c r="L1023" t="s">
        <v>237</v>
      </c>
      <c r="M1023" t="s">
        <v>238</v>
      </c>
      <c r="N1023" t="s">
        <v>57</v>
      </c>
      <c r="O1023" s="1">
        <v>45474</v>
      </c>
      <c r="Q1023" s="1">
        <v>45962</v>
      </c>
      <c r="R1023" s="2">
        <v>142.08000000000001</v>
      </c>
      <c r="S1023">
        <v>1</v>
      </c>
      <c r="T1023" t="s">
        <v>58</v>
      </c>
      <c r="U1023" t="s">
        <v>359</v>
      </c>
      <c r="V1023" s="4">
        <v>5.2499999999999998E-2</v>
      </c>
      <c r="W1023" s="2">
        <v>0</v>
      </c>
      <c r="X1023">
        <v>0</v>
      </c>
      <c r="Y1023" t="s">
        <v>214</v>
      </c>
      <c r="Z1023" t="s">
        <v>360</v>
      </c>
      <c r="AA1023">
        <v>0</v>
      </c>
      <c r="AB1023" s="2">
        <v>0</v>
      </c>
      <c r="AC1023" s="2">
        <v>0</v>
      </c>
      <c r="AD1023" s="3">
        <v>0</v>
      </c>
      <c r="AE1023" s="2">
        <v>0</v>
      </c>
      <c r="AF1023" s="2">
        <v>0</v>
      </c>
      <c r="AG1023" s="2">
        <v>0</v>
      </c>
      <c r="AH1023" s="2">
        <v>0</v>
      </c>
      <c r="AI1023" s="2">
        <v>0</v>
      </c>
      <c r="AJ1023" s="2">
        <v>0</v>
      </c>
      <c r="AK1023" s="2">
        <v>0</v>
      </c>
      <c r="AL1023" s="2">
        <v>0</v>
      </c>
      <c r="AM1023" s="2">
        <v>7.46</v>
      </c>
      <c r="AN1023" s="2">
        <v>7.46</v>
      </c>
      <c r="AO1023" s="2">
        <v>0</v>
      </c>
      <c r="AP1023" s="2">
        <v>0</v>
      </c>
      <c r="AQ1023" s="2">
        <v>0</v>
      </c>
    </row>
    <row r="1024" spans="1:43" x14ac:dyDescent="0.25">
      <c r="A1024" s="1">
        <v>45936</v>
      </c>
      <c r="B1024" t="s">
        <v>48</v>
      </c>
      <c r="C1024">
        <v>649163</v>
      </c>
      <c r="D1024">
        <v>2023280128</v>
      </c>
      <c r="E1024" t="s">
        <v>1148</v>
      </c>
      <c r="F1024" t="s">
        <v>715</v>
      </c>
      <c r="G1024" t="s">
        <v>51</v>
      </c>
      <c r="H1024" t="s">
        <v>70</v>
      </c>
      <c r="I1024" t="s">
        <v>350</v>
      </c>
      <c r="J1024" t="s">
        <v>351</v>
      </c>
      <c r="K1024">
        <v>728134</v>
      </c>
      <c r="L1024" t="s">
        <v>352</v>
      </c>
      <c r="M1024" t="s">
        <v>353</v>
      </c>
      <c r="N1024" t="s">
        <v>57</v>
      </c>
      <c r="O1024" s="1">
        <v>45444</v>
      </c>
      <c r="Q1024" s="1">
        <v>45962</v>
      </c>
      <c r="R1024" s="2">
        <v>33.590000000000003</v>
      </c>
      <c r="S1024">
        <v>1</v>
      </c>
      <c r="T1024" t="s">
        <v>58</v>
      </c>
      <c r="U1024" t="s">
        <v>359</v>
      </c>
      <c r="V1024" s="4">
        <v>5.2499999999999998E-2</v>
      </c>
      <c r="W1024" s="2">
        <v>0</v>
      </c>
      <c r="X1024">
        <v>0</v>
      </c>
      <c r="Y1024" t="s">
        <v>214</v>
      </c>
      <c r="Z1024" t="s">
        <v>360</v>
      </c>
      <c r="AA1024">
        <v>0</v>
      </c>
      <c r="AB1024" s="2">
        <v>0</v>
      </c>
      <c r="AC1024" s="2">
        <v>0</v>
      </c>
      <c r="AD1024" s="3">
        <v>0</v>
      </c>
      <c r="AE1024" s="2">
        <v>0</v>
      </c>
      <c r="AF1024" s="2">
        <v>0</v>
      </c>
      <c r="AG1024" s="2">
        <v>0</v>
      </c>
      <c r="AH1024" s="2">
        <v>0</v>
      </c>
      <c r="AI1024" s="2">
        <v>0</v>
      </c>
      <c r="AJ1024" s="2">
        <v>0</v>
      </c>
      <c r="AK1024" s="2">
        <v>0</v>
      </c>
      <c r="AL1024" s="2">
        <v>0</v>
      </c>
      <c r="AM1024" s="2">
        <v>1.76</v>
      </c>
      <c r="AN1024" s="2">
        <v>1.76</v>
      </c>
      <c r="AO1024" s="2">
        <v>0</v>
      </c>
      <c r="AP1024" s="2">
        <v>0</v>
      </c>
      <c r="AQ1024" s="2">
        <v>0</v>
      </c>
    </row>
    <row r="1025" spans="1:43" x14ac:dyDescent="0.25">
      <c r="A1025" s="1">
        <v>45936</v>
      </c>
      <c r="B1025" t="s">
        <v>48</v>
      </c>
      <c r="C1025">
        <v>649163</v>
      </c>
      <c r="D1025">
        <v>2023457499</v>
      </c>
      <c r="E1025" t="s">
        <v>1149</v>
      </c>
      <c r="F1025" t="s">
        <v>745</v>
      </c>
      <c r="G1025" t="s">
        <v>51</v>
      </c>
      <c r="H1025" t="s">
        <v>70</v>
      </c>
      <c r="I1025" t="s">
        <v>350</v>
      </c>
      <c r="J1025" t="s">
        <v>351</v>
      </c>
      <c r="K1025">
        <v>728134</v>
      </c>
      <c r="L1025" t="s">
        <v>352</v>
      </c>
      <c r="M1025" t="s">
        <v>353</v>
      </c>
      <c r="N1025" t="s">
        <v>57</v>
      </c>
      <c r="O1025" s="1">
        <v>45474</v>
      </c>
      <c r="Q1025" s="1">
        <v>45962</v>
      </c>
      <c r="R1025" s="2">
        <v>33.590000000000003</v>
      </c>
      <c r="S1025">
        <v>1</v>
      </c>
      <c r="T1025" t="s">
        <v>58</v>
      </c>
      <c r="U1025" t="s">
        <v>359</v>
      </c>
      <c r="V1025" s="4">
        <v>5.2499999999999998E-2</v>
      </c>
      <c r="W1025" s="2">
        <v>0</v>
      </c>
      <c r="X1025">
        <v>0</v>
      </c>
      <c r="Y1025" t="s">
        <v>214</v>
      </c>
      <c r="Z1025" t="s">
        <v>360</v>
      </c>
      <c r="AA1025">
        <v>0</v>
      </c>
      <c r="AB1025" s="2">
        <v>0</v>
      </c>
      <c r="AC1025" s="2">
        <v>0</v>
      </c>
      <c r="AD1025" s="3">
        <v>0</v>
      </c>
      <c r="AE1025" s="2">
        <v>0</v>
      </c>
      <c r="AF1025" s="2">
        <v>0</v>
      </c>
      <c r="AG1025" s="2">
        <v>0</v>
      </c>
      <c r="AH1025" s="2">
        <v>0</v>
      </c>
      <c r="AI1025" s="2">
        <v>0</v>
      </c>
      <c r="AJ1025" s="2">
        <v>0</v>
      </c>
      <c r="AK1025" s="2">
        <v>0</v>
      </c>
      <c r="AL1025" s="2">
        <v>0</v>
      </c>
      <c r="AM1025" s="2">
        <v>1.76</v>
      </c>
      <c r="AN1025" s="2">
        <v>1.76</v>
      </c>
      <c r="AO1025" s="2">
        <v>0</v>
      </c>
      <c r="AP1025" s="2">
        <v>0</v>
      </c>
      <c r="AQ1025" s="2">
        <v>0</v>
      </c>
    </row>
    <row r="1026" spans="1:43" x14ac:dyDescent="0.25">
      <c r="A1026" s="1">
        <v>45936</v>
      </c>
      <c r="B1026" t="s">
        <v>48</v>
      </c>
      <c r="C1026">
        <v>649163</v>
      </c>
      <c r="D1026">
        <v>2023644771</v>
      </c>
      <c r="E1026" t="s">
        <v>1150</v>
      </c>
      <c r="F1026" t="s">
        <v>301</v>
      </c>
      <c r="G1026" t="s">
        <v>51</v>
      </c>
      <c r="H1026" t="s">
        <v>70</v>
      </c>
      <c r="I1026" t="s">
        <v>350</v>
      </c>
      <c r="J1026" t="s">
        <v>351</v>
      </c>
      <c r="K1026">
        <v>728134</v>
      </c>
      <c r="L1026" t="s">
        <v>352</v>
      </c>
      <c r="M1026" t="s">
        <v>353</v>
      </c>
      <c r="N1026" t="s">
        <v>57</v>
      </c>
      <c r="O1026" s="1">
        <v>45474</v>
      </c>
      <c r="Q1026" s="1">
        <v>45962</v>
      </c>
      <c r="R1026" s="2">
        <v>57.22</v>
      </c>
      <c r="S1026">
        <v>1</v>
      </c>
      <c r="T1026" t="s">
        <v>58</v>
      </c>
      <c r="U1026" t="s">
        <v>359</v>
      </c>
      <c r="V1026" s="4">
        <v>5.2499999999999998E-2</v>
      </c>
      <c r="W1026" s="2">
        <v>0</v>
      </c>
      <c r="X1026">
        <v>0</v>
      </c>
      <c r="Y1026" t="s">
        <v>214</v>
      </c>
      <c r="Z1026" t="s">
        <v>360</v>
      </c>
      <c r="AA1026">
        <v>0</v>
      </c>
      <c r="AB1026" s="2">
        <v>0</v>
      </c>
      <c r="AC1026" s="2">
        <v>0</v>
      </c>
      <c r="AD1026" s="3">
        <v>0</v>
      </c>
      <c r="AE1026" s="2">
        <v>0</v>
      </c>
      <c r="AF1026" s="2">
        <v>0</v>
      </c>
      <c r="AG1026" s="2">
        <v>0</v>
      </c>
      <c r="AH1026" s="2">
        <v>0</v>
      </c>
      <c r="AI1026" s="2">
        <v>0</v>
      </c>
      <c r="AJ1026" s="2">
        <v>0</v>
      </c>
      <c r="AK1026" s="2">
        <v>0</v>
      </c>
      <c r="AL1026" s="2">
        <v>0</v>
      </c>
      <c r="AM1026" s="2">
        <v>3</v>
      </c>
      <c r="AN1026" s="2">
        <v>3</v>
      </c>
      <c r="AO1026" s="2">
        <v>0</v>
      </c>
      <c r="AP1026" s="2">
        <v>0</v>
      </c>
      <c r="AQ1026" s="2">
        <v>0</v>
      </c>
    </row>
    <row r="1027" spans="1:43" x14ac:dyDescent="0.25">
      <c r="A1027" s="1">
        <v>45936</v>
      </c>
      <c r="B1027" t="s">
        <v>48</v>
      </c>
      <c r="C1027">
        <v>649163</v>
      </c>
      <c r="D1027">
        <v>2023665220</v>
      </c>
      <c r="E1027" t="s">
        <v>1151</v>
      </c>
      <c r="F1027" t="s">
        <v>924</v>
      </c>
      <c r="G1027" t="s">
        <v>51</v>
      </c>
      <c r="H1027" t="s">
        <v>70</v>
      </c>
      <c r="I1027" t="s">
        <v>350</v>
      </c>
      <c r="J1027" t="s">
        <v>351</v>
      </c>
      <c r="K1027">
        <v>728134</v>
      </c>
      <c r="L1027" t="s">
        <v>352</v>
      </c>
      <c r="M1027" t="s">
        <v>353</v>
      </c>
      <c r="N1027" t="s">
        <v>57</v>
      </c>
      <c r="O1027" s="1">
        <v>45474</v>
      </c>
      <c r="Q1027" s="1">
        <v>45962</v>
      </c>
      <c r="R1027" s="2">
        <v>102.9</v>
      </c>
      <c r="S1027">
        <v>1</v>
      </c>
      <c r="T1027" t="s">
        <v>58</v>
      </c>
      <c r="U1027" t="s">
        <v>359</v>
      </c>
      <c r="V1027" s="4">
        <v>5.2499999999999998E-2</v>
      </c>
      <c r="W1027" s="2">
        <v>0</v>
      </c>
      <c r="X1027">
        <v>0</v>
      </c>
      <c r="Y1027" t="s">
        <v>214</v>
      </c>
      <c r="Z1027" t="s">
        <v>360</v>
      </c>
      <c r="AA1027">
        <v>0</v>
      </c>
      <c r="AB1027" s="2">
        <v>0</v>
      </c>
      <c r="AC1027" s="2">
        <v>0</v>
      </c>
      <c r="AD1027" s="3">
        <v>0</v>
      </c>
      <c r="AE1027" s="2">
        <v>0</v>
      </c>
      <c r="AF1027" s="2">
        <v>0</v>
      </c>
      <c r="AG1027" s="2">
        <v>0</v>
      </c>
      <c r="AH1027" s="2">
        <v>0</v>
      </c>
      <c r="AI1027" s="2">
        <v>0</v>
      </c>
      <c r="AJ1027" s="2">
        <v>0</v>
      </c>
      <c r="AK1027" s="2">
        <v>0</v>
      </c>
      <c r="AL1027" s="2">
        <v>0</v>
      </c>
      <c r="AM1027" s="2">
        <v>5.4</v>
      </c>
      <c r="AN1027" s="2">
        <v>5.4</v>
      </c>
      <c r="AO1027" s="2">
        <v>0</v>
      </c>
      <c r="AP1027" s="2">
        <v>0</v>
      </c>
      <c r="AQ1027" s="2">
        <v>0</v>
      </c>
    </row>
    <row r="1028" spans="1:43" x14ac:dyDescent="0.25">
      <c r="A1028" s="1">
        <v>45936</v>
      </c>
      <c r="B1028" t="s">
        <v>48</v>
      </c>
      <c r="C1028">
        <v>649163</v>
      </c>
      <c r="D1028">
        <v>2023679652</v>
      </c>
      <c r="E1028" t="s">
        <v>1152</v>
      </c>
      <c r="F1028" t="s">
        <v>259</v>
      </c>
      <c r="G1028" t="s">
        <v>51</v>
      </c>
      <c r="H1028" t="s">
        <v>70</v>
      </c>
      <c r="I1028" t="s">
        <v>350</v>
      </c>
      <c r="J1028" t="s">
        <v>351</v>
      </c>
      <c r="K1028">
        <v>728134</v>
      </c>
      <c r="L1028" t="s">
        <v>352</v>
      </c>
      <c r="M1028" t="s">
        <v>353</v>
      </c>
      <c r="N1028" t="s">
        <v>57</v>
      </c>
      <c r="O1028" s="1">
        <v>45474</v>
      </c>
      <c r="Q1028" s="1">
        <v>45962</v>
      </c>
      <c r="R1028" s="2">
        <v>47.32</v>
      </c>
      <c r="S1028">
        <v>1</v>
      </c>
      <c r="T1028" t="s">
        <v>58</v>
      </c>
      <c r="U1028" t="s">
        <v>359</v>
      </c>
      <c r="V1028" s="4">
        <v>5.2499999999999998E-2</v>
      </c>
      <c r="W1028" s="2">
        <v>0</v>
      </c>
      <c r="X1028">
        <v>0</v>
      </c>
      <c r="Y1028" t="s">
        <v>214</v>
      </c>
      <c r="Z1028" t="s">
        <v>360</v>
      </c>
      <c r="AA1028">
        <v>0</v>
      </c>
      <c r="AB1028" s="2">
        <v>0</v>
      </c>
      <c r="AC1028" s="2">
        <v>0</v>
      </c>
      <c r="AD1028" s="3">
        <v>0</v>
      </c>
      <c r="AE1028" s="2">
        <v>0</v>
      </c>
      <c r="AF1028" s="2">
        <v>0</v>
      </c>
      <c r="AG1028" s="2">
        <v>0</v>
      </c>
      <c r="AH1028" s="2">
        <v>0</v>
      </c>
      <c r="AI1028" s="2">
        <v>0</v>
      </c>
      <c r="AJ1028" s="2">
        <v>0</v>
      </c>
      <c r="AK1028" s="2">
        <v>0</v>
      </c>
      <c r="AL1028" s="2">
        <v>0</v>
      </c>
      <c r="AM1028" s="2">
        <v>2.48</v>
      </c>
      <c r="AN1028" s="2">
        <v>2.48</v>
      </c>
      <c r="AO1028" s="2">
        <v>0</v>
      </c>
      <c r="AP1028" s="2">
        <v>0</v>
      </c>
      <c r="AQ1028" s="2">
        <v>0</v>
      </c>
    </row>
    <row r="1029" spans="1:43" x14ac:dyDescent="0.25">
      <c r="A1029" s="1">
        <v>45936</v>
      </c>
      <c r="B1029" t="s">
        <v>48</v>
      </c>
      <c r="C1029">
        <v>649163</v>
      </c>
      <c r="D1029">
        <v>2023688176</v>
      </c>
      <c r="E1029" t="s">
        <v>1153</v>
      </c>
      <c r="F1029" t="s">
        <v>1154</v>
      </c>
      <c r="G1029" t="s">
        <v>51</v>
      </c>
      <c r="H1029" t="s">
        <v>70</v>
      </c>
      <c r="I1029" t="s">
        <v>350</v>
      </c>
      <c r="J1029" t="s">
        <v>351</v>
      </c>
      <c r="K1029">
        <v>650218</v>
      </c>
      <c r="L1029" t="s">
        <v>237</v>
      </c>
      <c r="M1029" t="s">
        <v>238</v>
      </c>
      <c r="N1029" t="s">
        <v>57</v>
      </c>
      <c r="O1029" s="1">
        <v>45474</v>
      </c>
      <c r="Q1029" s="1">
        <v>45962</v>
      </c>
      <c r="R1029" s="2">
        <v>142.08000000000001</v>
      </c>
      <c r="S1029">
        <v>1</v>
      </c>
      <c r="T1029" t="s">
        <v>58</v>
      </c>
      <c r="U1029" t="s">
        <v>359</v>
      </c>
      <c r="V1029" s="4">
        <v>5.2499999999999998E-2</v>
      </c>
      <c r="W1029" s="2">
        <v>0</v>
      </c>
      <c r="X1029">
        <v>0</v>
      </c>
      <c r="Y1029" t="s">
        <v>214</v>
      </c>
      <c r="Z1029" t="s">
        <v>360</v>
      </c>
      <c r="AA1029">
        <v>0</v>
      </c>
      <c r="AB1029" s="2">
        <v>0</v>
      </c>
      <c r="AC1029" s="2">
        <v>0</v>
      </c>
      <c r="AD1029" s="3">
        <v>0</v>
      </c>
      <c r="AE1029" s="2">
        <v>0</v>
      </c>
      <c r="AF1029" s="2">
        <v>0</v>
      </c>
      <c r="AG1029" s="2">
        <v>0</v>
      </c>
      <c r="AH1029" s="2">
        <v>0</v>
      </c>
      <c r="AI1029" s="2">
        <v>0</v>
      </c>
      <c r="AJ1029" s="2">
        <v>0</v>
      </c>
      <c r="AK1029" s="2">
        <v>0</v>
      </c>
      <c r="AL1029" s="2">
        <v>0</v>
      </c>
      <c r="AM1029" s="2">
        <v>7.46</v>
      </c>
      <c r="AN1029" s="2">
        <v>7.46</v>
      </c>
      <c r="AO1029" s="2">
        <v>0</v>
      </c>
      <c r="AP1029" s="2">
        <v>0</v>
      </c>
      <c r="AQ1029" s="2">
        <v>0</v>
      </c>
    </row>
    <row r="1030" spans="1:43" x14ac:dyDescent="0.25">
      <c r="A1030" s="1">
        <v>45936</v>
      </c>
      <c r="B1030" t="s">
        <v>48</v>
      </c>
      <c r="C1030">
        <v>649163</v>
      </c>
      <c r="D1030">
        <v>2024244626</v>
      </c>
      <c r="E1030" t="s">
        <v>1155</v>
      </c>
      <c r="F1030" t="s">
        <v>1156</v>
      </c>
      <c r="G1030" t="s">
        <v>51</v>
      </c>
      <c r="H1030" t="s">
        <v>70</v>
      </c>
      <c r="I1030" t="s">
        <v>350</v>
      </c>
      <c r="J1030" t="s">
        <v>351</v>
      </c>
      <c r="K1030">
        <v>649247</v>
      </c>
      <c r="L1030" t="s">
        <v>75</v>
      </c>
      <c r="M1030" t="s">
        <v>76</v>
      </c>
      <c r="N1030" t="s">
        <v>57</v>
      </c>
      <c r="O1030" s="1">
        <v>45536</v>
      </c>
      <c r="Q1030" s="1">
        <v>45962</v>
      </c>
      <c r="R1030" s="2">
        <v>56.88</v>
      </c>
      <c r="S1030">
        <v>1</v>
      </c>
      <c r="T1030" t="s">
        <v>58</v>
      </c>
      <c r="U1030" t="s">
        <v>359</v>
      </c>
      <c r="V1030" s="4">
        <v>5.2499999999999998E-2</v>
      </c>
      <c r="W1030" s="2">
        <v>0</v>
      </c>
      <c r="X1030">
        <v>0</v>
      </c>
      <c r="Y1030" t="s">
        <v>214</v>
      </c>
      <c r="Z1030" t="s">
        <v>360</v>
      </c>
      <c r="AA1030">
        <v>0</v>
      </c>
      <c r="AB1030" s="2">
        <v>0</v>
      </c>
      <c r="AC1030" s="2">
        <v>0</v>
      </c>
      <c r="AD1030" s="3">
        <v>0</v>
      </c>
      <c r="AE1030" s="2">
        <v>0</v>
      </c>
      <c r="AF1030" s="2">
        <v>0</v>
      </c>
      <c r="AG1030" s="2">
        <v>0</v>
      </c>
      <c r="AH1030" s="2">
        <v>0</v>
      </c>
      <c r="AI1030" s="2">
        <v>0</v>
      </c>
      <c r="AJ1030" s="2">
        <v>0</v>
      </c>
      <c r="AK1030" s="2">
        <v>0</v>
      </c>
      <c r="AL1030" s="2">
        <v>0</v>
      </c>
      <c r="AM1030" s="2">
        <v>2.99</v>
      </c>
      <c r="AN1030" s="2">
        <v>2.99</v>
      </c>
      <c r="AO1030" s="2">
        <v>0</v>
      </c>
      <c r="AP1030" s="2">
        <v>0</v>
      </c>
      <c r="AQ1030" s="2">
        <v>0</v>
      </c>
    </row>
    <row r="1031" spans="1:43" x14ac:dyDescent="0.25">
      <c r="A1031" s="1">
        <v>45936</v>
      </c>
      <c r="B1031" t="s">
        <v>48</v>
      </c>
      <c r="C1031">
        <v>649163</v>
      </c>
      <c r="D1031">
        <v>2024578754</v>
      </c>
      <c r="E1031" t="s">
        <v>1157</v>
      </c>
      <c r="F1031" t="s">
        <v>1158</v>
      </c>
      <c r="G1031" t="s">
        <v>51</v>
      </c>
      <c r="H1031" t="s">
        <v>70</v>
      </c>
      <c r="I1031" t="s">
        <v>350</v>
      </c>
      <c r="J1031" t="s">
        <v>351</v>
      </c>
      <c r="K1031">
        <v>728134</v>
      </c>
      <c r="L1031" t="s">
        <v>352</v>
      </c>
      <c r="M1031" t="s">
        <v>353</v>
      </c>
      <c r="N1031" t="s">
        <v>57</v>
      </c>
      <c r="O1031" s="1">
        <v>45566</v>
      </c>
      <c r="Q1031" s="1">
        <v>45962</v>
      </c>
      <c r="R1031" s="2">
        <v>33.590000000000003</v>
      </c>
      <c r="S1031">
        <v>1</v>
      </c>
      <c r="T1031" t="s">
        <v>58</v>
      </c>
      <c r="U1031" t="s">
        <v>359</v>
      </c>
      <c r="V1031" s="4">
        <v>5.2499999999999998E-2</v>
      </c>
      <c r="W1031" s="2">
        <v>0</v>
      </c>
      <c r="X1031">
        <v>0</v>
      </c>
      <c r="Y1031" t="s">
        <v>214</v>
      </c>
      <c r="Z1031" t="s">
        <v>360</v>
      </c>
      <c r="AA1031">
        <v>0</v>
      </c>
      <c r="AB1031" s="2">
        <v>0</v>
      </c>
      <c r="AC1031" s="2">
        <v>0</v>
      </c>
      <c r="AD1031" s="3">
        <v>0</v>
      </c>
      <c r="AE1031" s="2">
        <v>0</v>
      </c>
      <c r="AF1031" s="2">
        <v>0</v>
      </c>
      <c r="AG1031" s="2">
        <v>0</v>
      </c>
      <c r="AH1031" s="2">
        <v>0</v>
      </c>
      <c r="AI1031" s="2">
        <v>0</v>
      </c>
      <c r="AJ1031" s="2">
        <v>0</v>
      </c>
      <c r="AK1031" s="2">
        <v>0</v>
      </c>
      <c r="AL1031" s="2">
        <v>0</v>
      </c>
      <c r="AM1031" s="2">
        <v>1.76</v>
      </c>
      <c r="AN1031" s="2">
        <v>1.76</v>
      </c>
      <c r="AO1031" s="2">
        <v>0</v>
      </c>
      <c r="AP1031" s="2">
        <v>0</v>
      </c>
      <c r="AQ1031" s="2">
        <v>0</v>
      </c>
    </row>
    <row r="1032" spans="1:43" x14ac:dyDescent="0.25">
      <c r="A1032" s="1">
        <v>45936</v>
      </c>
      <c r="B1032" t="s">
        <v>48</v>
      </c>
      <c r="C1032">
        <v>649163</v>
      </c>
      <c r="D1032">
        <v>2024984249</v>
      </c>
      <c r="E1032" t="s">
        <v>1159</v>
      </c>
      <c r="F1032" t="s">
        <v>482</v>
      </c>
      <c r="G1032" t="s">
        <v>51</v>
      </c>
      <c r="H1032" t="s">
        <v>70</v>
      </c>
      <c r="I1032" t="s">
        <v>350</v>
      </c>
      <c r="J1032" t="s">
        <v>351</v>
      </c>
      <c r="K1032">
        <v>728134</v>
      </c>
      <c r="L1032" t="s">
        <v>352</v>
      </c>
      <c r="M1032" t="s">
        <v>353</v>
      </c>
      <c r="N1032" t="s">
        <v>57</v>
      </c>
      <c r="O1032" s="1">
        <v>45597</v>
      </c>
      <c r="Q1032" s="1">
        <v>45962</v>
      </c>
      <c r="R1032" s="2">
        <v>78.83</v>
      </c>
      <c r="S1032">
        <v>1</v>
      </c>
      <c r="T1032" t="s">
        <v>58</v>
      </c>
      <c r="U1032" t="s">
        <v>359</v>
      </c>
      <c r="V1032" s="3">
        <v>0.47</v>
      </c>
      <c r="W1032" s="2">
        <v>0</v>
      </c>
      <c r="X1032">
        <v>0</v>
      </c>
      <c r="Y1032" t="s">
        <v>60</v>
      </c>
      <c r="Z1032" t="s">
        <v>360</v>
      </c>
      <c r="AA1032">
        <v>0</v>
      </c>
      <c r="AB1032" s="2">
        <v>0</v>
      </c>
      <c r="AC1032" s="2">
        <v>0</v>
      </c>
      <c r="AD1032" s="3">
        <v>0</v>
      </c>
      <c r="AE1032" s="2">
        <v>0</v>
      </c>
      <c r="AF1032" s="2">
        <v>0</v>
      </c>
      <c r="AG1032" s="2">
        <v>0</v>
      </c>
      <c r="AH1032" s="2">
        <v>0</v>
      </c>
      <c r="AI1032" s="2">
        <v>0</v>
      </c>
      <c r="AJ1032" s="2">
        <v>0</v>
      </c>
      <c r="AK1032" s="2">
        <v>0</v>
      </c>
      <c r="AL1032" s="2">
        <v>0</v>
      </c>
      <c r="AM1032" s="2">
        <v>37.049999999999997</v>
      </c>
      <c r="AN1032" s="2">
        <v>37.049999999999997</v>
      </c>
      <c r="AO1032" s="2">
        <v>0</v>
      </c>
      <c r="AP1032" s="2">
        <v>0</v>
      </c>
      <c r="AQ1032" s="2">
        <v>0</v>
      </c>
    </row>
    <row r="1033" spans="1:43" x14ac:dyDescent="0.25">
      <c r="A1033" s="1">
        <v>45936</v>
      </c>
      <c r="B1033" t="s">
        <v>48</v>
      </c>
      <c r="C1033">
        <v>649163</v>
      </c>
      <c r="D1033">
        <v>2025510689</v>
      </c>
      <c r="E1033" t="s">
        <v>567</v>
      </c>
      <c r="F1033" t="s">
        <v>1160</v>
      </c>
      <c r="G1033" t="s">
        <v>51</v>
      </c>
      <c r="H1033" t="s">
        <v>323</v>
      </c>
      <c r="I1033" t="s">
        <v>350</v>
      </c>
      <c r="J1033" t="s">
        <v>351</v>
      </c>
      <c r="K1033">
        <v>673059</v>
      </c>
      <c r="L1033" t="s">
        <v>80</v>
      </c>
      <c r="M1033" t="s">
        <v>81</v>
      </c>
      <c r="N1033" t="s">
        <v>57</v>
      </c>
      <c r="O1033" s="1">
        <v>45627</v>
      </c>
      <c r="Q1033" s="1">
        <v>45962</v>
      </c>
      <c r="R1033" s="2">
        <v>57.84</v>
      </c>
      <c r="S1033">
        <v>1</v>
      </c>
      <c r="T1033" t="s">
        <v>58</v>
      </c>
      <c r="U1033" t="s">
        <v>359</v>
      </c>
      <c r="V1033" s="3">
        <v>0.47</v>
      </c>
      <c r="W1033" s="2">
        <v>0</v>
      </c>
      <c r="X1033">
        <v>0</v>
      </c>
      <c r="Y1033" t="s">
        <v>60</v>
      </c>
      <c r="Z1033" t="s">
        <v>360</v>
      </c>
      <c r="AA1033">
        <v>0</v>
      </c>
      <c r="AB1033" s="2">
        <v>0</v>
      </c>
      <c r="AC1033" s="2">
        <v>0</v>
      </c>
      <c r="AD1033" s="3">
        <v>0</v>
      </c>
      <c r="AE1033" s="2">
        <v>0</v>
      </c>
      <c r="AF1033" s="2">
        <v>0</v>
      </c>
      <c r="AG1033" s="2">
        <v>0</v>
      </c>
      <c r="AH1033" s="2">
        <v>0</v>
      </c>
      <c r="AI1033" s="2">
        <v>0</v>
      </c>
      <c r="AJ1033" s="2">
        <v>0</v>
      </c>
      <c r="AK1033" s="2">
        <v>0</v>
      </c>
      <c r="AL1033" s="2">
        <v>0</v>
      </c>
      <c r="AM1033" s="2">
        <v>27.18</v>
      </c>
      <c r="AN1033" s="2">
        <v>27.18</v>
      </c>
      <c r="AO1033" s="2">
        <v>0</v>
      </c>
      <c r="AP1033" s="2">
        <v>0</v>
      </c>
      <c r="AQ1033" s="2">
        <v>0</v>
      </c>
    </row>
    <row r="1034" spans="1:43" x14ac:dyDescent="0.25">
      <c r="A1034" s="1">
        <v>45936</v>
      </c>
      <c r="B1034" t="s">
        <v>48</v>
      </c>
      <c r="C1034">
        <v>649163</v>
      </c>
      <c r="D1034">
        <v>2025525110</v>
      </c>
      <c r="E1034" t="s">
        <v>1161</v>
      </c>
      <c r="F1034" t="s">
        <v>268</v>
      </c>
      <c r="G1034" t="s">
        <v>51</v>
      </c>
      <c r="H1034" t="s">
        <v>70</v>
      </c>
      <c r="I1034" t="s">
        <v>350</v>
      </c>
      <c r="J1034" t="s">
        <v>351</v>
      </c>
      <c r="K1034">
        <v>649247</v>
      </c>
      <c r="L1034" t="s">
        <v>75</v>
      </c>
      <c r="M1034" t="s">
        <v>76</v>
      </c>
      <c r="N1034" t="s">
        <v>57</v>
      </c>
      <c r="O1034" s="1">
        <v>45597</v>
      </c>
      <c r="Q1034" s="1">
        <v>45962</v>
      </c>
      <c r="R1034" s="2">
        <v>104.08</v>
      </c>
      <c r="S1034">
        <v>1</v>
      </c>
      <c r="T1034" t="s">
        <v>58</v>
      </c>
      <c r="U1034" t="s">
        <v>359</v>
      </c>
      <c r="V1034" s="3">
        <v>0.47</v>
      </c>
      <c r="W1034" s="2">
        <v>0</v>
      </c>
      <c r="X1034">
        <v>0</v>
      </c>
      <c r="Y1034" t="s">
        <v>60</v>
      </c>
      <c r="Z1034" t="s">
        <v>360</v>
      </c>
      <c r="AA1034">
        <v>0</v>
      </c>
      <c r="AB1034" s="2">
        <v>0</v>
      </c>
      <c r="AC1034" s="2">
        <v>0</v>
      </c>
      <c r="AD1034" s="3">
        <v>0</v>
      </c>
      <c r="AE1034" s="2">
        <v>0</v>
      </c>
      <c r="AF1034" s="2">
        <v>0</v>
      </c>
      <c r="AG1034" s="2">
        <v>0</v>
      </c>
      <c r="AH1034" s="2">
        <v>0</v>
      </c>
      <c r="AI1034" s="2">
        <v>0</v>
      </c>
      <c r="AJ1034" s="2">
        <v>0</v>
      </c>
      <c r="AK1034" s="2">
        <v>0</v>
      </c>
      <c r="AL1034" s="2">
        <v>0</v>
      </c>
      <c r="AM1034" s="2">
        <v>48.92</v>
      </c>
      <c r="AN1034" s="2">
        <v>48.92</v>
      </c>
      <c r="AO1034" s="2">
        <v>0</v>
      </c>
      <c r="AP1034" s="2">
        <v>0</v>
      </c>
      <c r="AQ1034" s="2">
        <v>0</v>
      </c>
    </row>
    <row r="1035" spans="1:43" x14ac:dyDescent="0.25">
      <c r="A1035" s="1">
        <v>45936</v>
      </c>
      <c r="B1035" t="s">
        <v>48</v>
      </c>
      <c r="C1035">
        <v>649163</v>
      </c>
      <c r="D1035">
        <v>2025670861</v>
      </c>
      <c r="E1035" t="s">
        <v>1162</v>
      </c>
      <c r="F1035" t="s">
        <v>194</v>
      </c>
      <c r="G1035" t="s">
        <v>51</v>
      </c>
      <c r="H1035" t="s">
        <v>70</v>
      </c>
      <c r="I1035" t="s">
        <v>350</v>
      </c>
      <c r="J1035" t="s">
        <v>351</v>
      </c>
      <c r="K1035">
        <v>649247</v>
      </c>
      <c r="L1035" t="s">
        <v>75</v>
      </c>
      <c r="M1035" t="s">
        <v>76</v>
      </c>
      <c r="N1035" t="s">
        <v>57</v>
      </c>
      <c r="O1035" s="1">
        <v>45658</v>
      </c>
      <c r="Q1035" s="1">
        <v>45962</v>
      </c>
      <c r="R1035" s="2">
        <v>56.88</v>
      </c>
      <c r="S1035">
        <v>1</v>
      </c>
      <c r="T1035" t="s">
        <v>58</v>
      </c>
      <c r="U1035" t="s">
        <v>359</v>
      </c>
      <c r="V1035" s="3">
        <v>0.47</v>
      </c>
      <c r="W1035" s="2">
        <v>0</v>
      </c>
      <c r="X1035">
        <v>0</v>
      </c>
      <c r="Y1035" t="s">
        <v>60</v>
      </c>
      <c r="Z1035" t="s">
        <v>360</v>
      </c>
      <c r="AA1035">
        <v>0</v>
      </c>
      <c r="AB1035" s="2">
        <v>0</v>
      </c>
      <c r="AC1035" s="2">
        <v>0</v>
      </c>
      <c r="AD1035" s="3">
        <v>0</v>
      </c>
      <c r="AE1035" s="2">
        <v>0</v>
      </c>
      <c r="AF1035" s="2">
        <v>0</v>
      </c>
      <c r="AG1035" s="2">
        <v>0</v>
      </c>
      <c r="AH1035" s="2">
        <v>0</v>
      </c>
      <c r="AI1035" s="2">
        <v>0</v>
      </c>
      <c r="AJ1035" s="2">
        <v>0</v>
      </c>
      <c r="AK1035" s="2">
        <v>0</v>
      </c>
      <c r="AL1035" s="2">
        <v>0</v>
      </c>
      <c r="AM1035" s="2">
        <v>26.73</v>
      </c>
      <c r="AN1035" s="2">
        <v>26.73</v>
      </c>
      <c r="AO1035" s="2">
        <v>0</v>
      </c>
      <c r="AP1035" s="2">
        <v>0</v>
      </c>
      <c r="AQ1035" s="2">
        <v>0</v>
      </c>
    </row>
    <row r="1036" spans="1:43" x14ac:dyDescent="0.25">
      <c r="A1036" s="1">
        <v>45936</v>
      </c>
      <c r="B1036" t="s">
        <v>48</v>
      </c>
      <c r="C1036">
        <v>649163</v>
      </c>
      <c r="D1036">
        <v>2025735300</v>
      </c>
      <c r="E1036" t="s">
        <v>1163</v>
      </c>
      <c r="F1036" t="s">
        <v>1164</v>
      </c>
      <c r="G1036" t="s">
        <v>51</v>
      </c>
      <c r="H1036" t="s">
        <v>70</v>
      </c>
      <c r="I1036" t="s">
        <v>350</v>
      </c>
      <c r="J1036" t="s">
        <v>351</v>
      </c>
      <c r="K1036">
        <v>728134</v>
      </c>
      <c r="L1036" t="s">
        <v>352</v>
      </c>
      <c r="M1036" t="s">
        <v>353</v>
      </c>
      <c r="N1036" t="s">
        <v>57</v>
      </c>
      <c r="O1036" s="1">
        <v>45658</v>
      </c>
      <c r="Q1036" s="1">
        <v>45962</v>
      </c>
      <c r="R1036" s="2">
        <v>78.83</v>
      </c>
      <c r="S1036">
        <v>1</v>
      </c>
      <c r="T1036" t="s">
        <v>58</v>
      </c>
      <c r="U1036" t="s">
        <v>359</v>
      </c>
      <c r="V1036" s="3">
        <v>0.47</v>
      </c>
      <c r="W1036" s="2">
        <v>0</v>
      </c>
      <c r="X1036">
        <v>0</v>
      </c>
      <c r="Y1036" t="s">
        <v>60</v>
      </c>
      <c r="Z1036" t="s">
        <v>360</v>
      </c>
      <c r="AA1036">
        <v>0</v>
      </c>
      <c r="AB1036" s="2">
        <v>0</v>
      </c>
      <c r="AC1036" s="2">
        <v>0</v>
      </c>
      <c r="AD1036" s="3">
        <v>0</v>
      </c>
      <c r="AE1036" s="2">
        <v>0</v>
      </c>
      <c r="AF1036" s="2">
        <v>0</v>
      </c>
      <c r="AG1036" s="2">
        <v>0</v>
      </c>
      <c r="AH1036" s="2">
        <v>0</v>
      </c>
      <c r="AI1036" s="2">
        <v>0</v>
      </c>
      <c r="AJ1036" s="2">
        <v>0</v>
      </c>
      <c r="AK1036" s="2">
        <v>0</v>
      </c>
      <c r="AL1036" s="2">
        <v>0</v>
      </c>
      <c r="AM1036" s="2">
        <v>37.049999999999997</v>
      </c>
      <c r="AN1036" s="2">
        <v>37.049999999999997</v>
      </c>
      <c r="AO1036" s="2">
        <v>0</v>
      </c>
      <c r="AP1036" s="2">
        <v>0</v>
      </c>
      <c r="AQ1036" s="2">
        <v>0</v>
      </c>
    </row>
    <row r="1037" spans="1:43" x14ac:dyDescent="0.25">
      <c r="A1037" s="1">
        <v>45936</v>
      </c>
      <c r="B1037" t="s">
        <v>48</v>
      </c>
      <c r="C1037">
        <v>649163</v>
      </c>
      <c r="D1037">
        <v>2025937347</v>
      </c>
      <c r="E1037" t="s">
        <v>1165</v>
      </c>
      <c r="F1037" t="s">
        <v>1166</v>
      </c>
      <c r="G1037" t="s">
        <v>51</v>
      </c>
      <c r="H1037" t="s">
        <v>70</v>
      </c>
      <c r="I1037" t="s">
        <v>350</v>
      </c>
      <c r="J1037" t="s">
        <v>351</v>
      </c>
      <c r="K1037">
        <v>649247</v>
      </c>
      <c r="L1037" t="s">
        <v>75</v>
      </c>
      <c r="M1037" t="s">
        <v>76</v>
      </c>
      <c r="N1037" t="s">
        <v>57</v>
      </c>
      <c r="O1037" s="1">
        <v>45658</v>
      </c>
      <c r="Q1037" s="1">
        <v>45962</v>
      </c>
      <c r="R1037" s="2">
        <v>56.88</v>
      </c>
      <c r="S1037">
        <v>1</v>
      </c>
      <c r="T1037" t="s">
        <v>58</v>
      </c>
      <c r="U1037" t="s">
        <v>359</v>
      </c>
      <c r="V1037" s="3">
        <v>0.47</v>
      </c>
      <c r="W1037" s="2">
        <v>0</v>
      </c>
      <c r="X1037">
        <v>0</v>
      </c>
      <c r="Y1037" t="s">
        <v>60</v>
      </c>
      <c r="Z1037" t="s">
        <v>360</v>
      </c>
      <c r="AA1037">
        <v>0</v>
      </c>
      <c r="AB1037" s="2">
        <v>0</v>
      </c>
      <c r="AC1037" s="2">
        <v>0</v>
      </c>
      <c r="AD1037" s="3">
        <v>0</v>
      </c>
      <c r="AE1037" s="2">
        <v>0</v>
      </c>
      <c r="AF1037" s="2">
        <v>0</v>
      </c>
      <c r="AG1037" s="2">
        <v>0</v>
      </c>
      <c r="AH1037" s="2">
        <v>0</v>
      </c>
      <c r="AI1037" s="2">
        <v>0</v>
      </c>
      <c r="AJ1037" s="2">
        <v>0</v>
      </c>
      <c r="AK1037" s="2">
        <v>0</v>
      </c>
      <c r="AL1037" s="2">
        <v>0</v>
      </c>
      <c r="AM1037" s="2">
        <v>26.73</v>
      </c>
      <c r="AN1037" s="2">
        <v>26.73</v>
      </c>
      <c r="AO1037" s="2">
        <v>0</v>
      </c>
      <c r="AP1037" s="2">
        <v>0</v>
      </c>
      <c r="AQ1037" s="2">
        <v>0</v>
      </c>
    </row>
    <row r="1038" spans="1:43" x14ac:dyDescent="0.25">
      <c r="A1038" s="1">
        <v>45936</v>
      </c>
      <c r="B1038" t="s">
        <v>48</v>
      </c>
      <c r="C1038">
        <v>649163</v>
      </c>
      <c r="D1038">
        <v>2025952183</v>
      </c>
      <c r="E1038" t="s">
        <v>1167</v>
      </c>
      <c r="F1038" t="s">
        <v>337</v>
      </c>
      <c r="G1038" t="s">
        <v>51</v>
      </c>
      <c r="H1038" t="s">
        <v>101</v>
      </c>
      <c r="I1038" t="s">
        <v>350</v>
      </c>
      <c r="J1038" t="s">
        <v>351</v>
      </c>
      <c r="K1038">
        <v>792847</v>
      </c>
      <c r="L1038" t="s">
        <v>140</v>
      </c>
      <c r="M1038" t="s">
        <v>141</v>
      </c>
      <c r="N1038" t="s">
        <v>57</v>
      </c>
      <c r="O1038" s="1">
        <v>45627</v>
      </c>
      <c r="Q1038" s="1">
        <v>45962</v>
      </c>
      <c r="R1038" s="2">
        <v>72.010000000000005</v>
      </c>
      <c r="S1038">
        <v>1</v>
      </c>
      <c r="T1038" t="s">
        <v>58</v>
      </c>
      <c r="U1038" t="s">
        <v>359</v>
      </c>
      <c r="V1038" s="3">
        <v>0.47</v>
      </c>
      <c r="W1038" s="2">
        <v>0</v>
      </c>
      <c r="X1038">
        <v>0</v>
      </c>
      <c r="Y1038" t="s">
        <v>60</v>
      </c>
      <c r="Z1038" t="s">
        <v>360</v>
      </c>
      <c r="AA1038">
        <v>0</v>
      </c>
      <c r="AB1038" s="2">
        <v>0</v>
      </c>
      <c r="AC1038" s="2">
        <v>0</v>
      </c>
      <c r="AD1038" s="3">
        <v>0</v>
      </c>
      <c r="AE1038" s="2">
        <v>0</v>
      </c>
      <c r="AF1038" s="2">
        <v>0</v>
      </c>
      <c r="AG1038" s="2">
        <v>0</v>
      </c>
      <c r="AH1038" s="2">
        <v>0</v>
      </c>
      <c r="AI1038" s="2">
        <v>0</v>
      </c>
      <c r="AJ1038" s="2">
        <v>0</v>
      </c>
      <c r="AK1038" s="2">
        <v>0</v>
      </c>
      <c r="AL1038" s="2">
        <v>0</v>
      </c>
      <c r="AM1038" s="2">
        <v>33.840000000000003</v>
      </c>
      <c r="AN1038" s="2">
        <v>33.840000000000003</v>
      </c>
      <c r="AO1038" s="2">
        <v>0</v>
      </c>
      <c r="AP1038" s="2">
        <v>0</v>
      </c>
      <c r="AQ1038" s="2">
        <v>0</v>
      </c>
    </row>
    <row r="1039" spans="1:43" x14ac:dyDescent="0.25">
      <c r="A1039" s="1">
        <v>45936</v>
      </c>
      <c r="B1039" t="s">
        <v>48</v>
      </c>
      <c r="C1039">
        <v>649163</v>
      </c>
      <c r="D1039">
        <v>2026002594</v>
      </c>
      <c r="E1039" t="s">
        <v>1168</v>
      </c>
      <c r="F1039" t="s">
        <v>971</v>
      </c>
      <c r="G1039" t="s">
        <v>51</v>
      </c>
      <c r="H1039" t="s">
        <v>70</v>
      </c>
      <c r="I1039" t="s">
        <v>350</v>
      </c>
      <c r="J1039" t="s">
        <v>1141</v>
      </c>
      <c r="K1039">
        <v>751867</v>
      </c>
      <c r="L1039" t="s">
        <v>71</v>
      </c>
      <c r="M1039" t="s">
        <v>72</v>
      </c>
      <c r="N1039" t="s">
        <v>57</v>
      </c>
      <c r="O1039" s="1">
        <v>45629</v>
      </c>
      <c r="Q1039" s="1">
        <v>45964</v>
      </c>
      <c r="R1039" s="2">
        <v>55.2</v>
      </c>
      <c r="S1039">
        <v>1</v>
      </c>
      <c r="T1039" t="s">
        <v>58</v>
      </c>
      <c r="U1039" t="s">
        <v>359</v>
      </c>
      <c r="V1039" s="3">
        <v>0.51</v>
      </c>
      <c r="W1039" s="2">
        <v>0</v>
      </c>
      <c r="X1039">
        <v>0</v>
      </c>
      <c r="Y1039" t="s">
        <v>60</v>
      </c>
      <c r="Z1039" t="s">
        <v>360</v>
      </c>
      <c r="AA1039">
        <v>0</v>
      </c>
      <c r="AB1039" s="2">
        <v>0</v>
      </c>
      <c r="AC1039" s="2">
        <v>0</v>
      </c>
      <c r="AD1039" s="3">
        <v>0</v>
      </c>
      <c r="AE1039" s="2">
        <v>0</v>
      </c>
      <c r="AF1039" s="2">
        <v>0</v>
      </c>
      <c r="AG1039" s="2">
        <v>0</v>
      </c>
      <c r="AH1039" s="2">
        <v>0</v>
      </c>
      <c r="AI1039" s="2">
        <v>0</v>
      </c>
      <c r="AJ1039" s="2">
        <v>0</v>
      </c>
      <c r="AK1039" s="2">
        <v>0</v>
      </c>
      <c r="AL1039" s="2">
        <v>0</v>
      </c>
      <c r="AM1039" s="2">
        <v>28.15</v>
      </c>
      <c r="AN1039" s="2">
        <v>28.15</v>
      </c>
      <c r="AO1039" s="2">
        <v>0</v>
      </c>
      <c r="AP1039" s="2">
        <v>0</v>
      </c>
      <c r="AQ1039" s="2">
        <v>0</v>
      </c>
    </row>
    <row r="1040" spans="1:43" x14ac:dyDescent="0.25">
      <c r="A1040" s="1">
        <v>45936</v>
      </c>
      <c r="B1040" t="s">
        <v>48</v>
      </c>
      <c r="C1040">
        <v>649163</v>
      </c>
      <c r="D1040">
        <v>2026002595</v>
      </c>
      <c r="E1040" t="s">
        <v>1168</v>
      </c>
      <c r="F1040" t="s">
        <v>971</v>
      </c>
      <c r="G1040" t="s">
        <v>51</v>
      </c>
      <c r="H1040" t="s">
        <v>70</v>
      </c>
      <c r="I1040" t="s">
        <v>350</v>
      </c>
      <c r="J1040" t="s">
        <v>351</v>
      </c>
      <c r="K1040">
        <v>751867</v>
      </c>
      <c r="L1040" t="s">
        <v>71</v>
      </c>
      <c r="M1040" t="s">
        <v>72</v>
      </c>
      <c r="N1040" t="s">
        <v>57</v>
      </c>
      <c r="O1040" s="1">
        <v>45629</v>
      </c>
      <c r="Q1040" s="1">
        <v>45964</v>
      </c>
      <c r="R1040" s="2">
        <v>25.27</v>
      </c>
      <c r="S1040">
        <v>1</v>
      </c>
      <c r="T1040" t="s">
        <v>58</v>
      </c>
      <c r="U1040" t="s">
        <v>359</v>
      </c>
      <c r="V1040" s="3">
        <v>0.47</v>
      </c>
      <c r="W1040" s="2">
        <v>0</v>
      </c>
      <c r="X1040">
        <v>0</v>
      </c>
      <c r="Y1040" t="s">
        <v>60</v>
      </c>
      <c r="Z1040" t="s">
        <v>360</v>
      </c>
      <c r="AA1040">
        <v>0</v>
      </c>
      <c r="AB1040" s="2">
        <v>0</v>
      </c>
      <c r="AC1040" s="2">
        <v>0</v>
      </c>
      <c r="AD1040" s="3">
        <v>0</v>
      </c>
      <c r="AE1040" s="2">
        <v>0</v>
      </c>
      <c r="AF1040" s="2">
        <v>0</v>
      </c>
      <c r="AG1040" s="2">
        <v>0</v>
      </c>
      <c r="AH1040" s="2">
        <v>0</v>
      </c>
      <c r="AI1040" s="2">
        <v>0</v>
      </c>
      <c r="AJ1040" s="2">
        <v>0</v>
      </c>
      <c r="AK1040" s="2">
        <v>0</v>
      </c>
      <c r="AL1040" s="2">
        <v>0</v>
      </c>
      <c r="AM1040" s="2">
        <v>11.88</v>
      </c>
      <c r="AN1040" s="2">
        <v>11.88</v>
      </c>
      <c r="AO1040" s="2">
        <v>0</v>
      </c>
      <c r="AP1040" s="2">
        <v>0</v>
      </c>
      <c r="AQ1040" s="2">
        <v>0</v>
      </c>
    </row>
    <row r="1041" spans="1:43" x14ac:dyDescent="0.25">
      <c r="A1041" s="1">
        <v>45936</v>
      </c>
      <c r="B1041" t="s">
        <v>48</v>
      </c>
      <c r="C1041">
        <v>649163</v>
      </c>
      <c r="D1041">
        <v>2026023535</v>
      </c>
      <c r="E1041" t="s">
        <v>1169</v>
      </c>
      <c r="F1041" t="s">
        <v>1170</v>
      </c>
      <c r="G1041" t="s">
        <v>51</v>
      </c>
      <c r="H1041" t="s">
        <v>70</v>
      </c>
      <c r="I1041" t="s">
        <v>350</v>
      </c>
      <c r="J1041" t="s">
        <v>351</v>
      </c>
      <c r="K1041">
        <v>810052</v>
      </c>
      <c r="L1041" t="s">
        <v>1171</v>
      </c>
      <c r="M1041" t="s">
        <v>865</v>
      </c>
      <c r="N1041" t="s">
        <v>57</v>
      </c>
      <c r="O1041" s="1">
        <v>45630</v>
      </c>
      <c r="Q1041" s="1">
        <v>45965</v>
      </c>
      <c r="R1041" s="2">
        <v>51.19</v>
      </c>
      <c r="S1041">
        <v>1</v>
      </c>
      <c r="T1041" t="s">
        <v>58</v>
      </c>
      <c r="U1041" t="s">
        <v>359</v>
      </c>
      <c r="V1041" s="3">
        <v>0.11</v>
      </c>
      <c r="W1041" s="2">
        <v>0</v>
      </c>
      <c r="X1041">
        <v>0</v>
      </c>
      <c r="Y1041" t="s">
        <v>60</v>
      </c>
      <c r="Z1041" t="s">
        <v>360</v>
      </c>
      <c r="AA1041">
        <v>0</v>
      </c>
      <c r="AB1041" s="2">
        <v>0</v>
      </c>
      <c r="AC1041" s="2">
        <v>0</v>
      </c>
      <c r="AD1041" s="3">
        <v>0</v>
      </c>
      <c r="AE1041" s="2">
        <v>0</v>
      </c>
      <c r="AF1041" s="2">
        <v>0</v>
      </c>
      <c r="AG1041" s="2">
        <v>0</v>
      </c>
      <c r="AH1041" s="2">
        <v>0</v>
      </c>
      <c r="AI1041" s="2">
        <v>0</v>
      </c>
      <c r="AJ1041" s="2">
        <v>0</v>
      </c>
      <c r="AK1041" s="2">
        <v>0</v>
      </c>
      <c r="AL1041" s="2">
        <v>0</v>
      </c>
      <c r="AM1041" s="2">
        <v>5.63</v>
      </c>
      <c r="AN1041" s="2">
        <v>5.63</v>
      </c>
      <c r="AO1041" s="2">
        <v>0</v>
      </c>
      <c r="AP1041" s="2">
        <v>0</v>
      </c>
      <c r="AQ1041" s="2">
        <v>0</v>
      </c>
    </row>
    <row r="1042" spans="1:43" x14ac:dyDescent="0.25">
      <c r="A1042" s="1">
        <v>45936</v>
      </c>
      <c r="B1042" t="s">
        <v>48</v>
      </c>
      <c r="C1042">
        <v>649163</v>
      </c>
      <c r="D1042">
        <v>2026107902</v>
      </c>
      <c r="E1042" t="s">
        <v>1172</v>
      </c>
      <c r="F1042" t="s">
        <v>1173</v>
      </c>
      <c r="G1042" t="s">
        <v>51</v>
      </c>
      <c r="H1042" t="s">
        <v>70</v>
      </c>
      <c r="I1042" t="s">
        <v>350</v>
      </c>
      <c r="J1042" t="s">
        <v>351</v>
      </c>
      <c r="K1042">
        <v>728134</v>
      </c>
      <c r="L1042" t="s">
        <v>352</v>
      </c>
      <c r="M1042" t="s">
        <v>353</v>
      </c>
      <c r="N1042" t="s">
        <v>57</v>
      </c>
      <c r="O1042" s="1">
        <v>45658</v>
      </c>
      <c r="Q1042" s="1">
        <v>45962</v>
      </c>
      <c r="R1042" s="2">
        <v>33.590000000000003</v>
      </c>
      <c r="S1042">
        <v>1</v>
      </c>
      <c r="T1042" t="s">
        <v>58</v>
      </c>
      <c r="U1042" t="s">
        <v>359</v>
      </c>
      <c r="V1042" s="3">
        <v>0.47</v>
      </c>
      <c r="W1042" s="2">
        <v>0</v>
      </c>
      <c r="X1042">
        <v>0</v>
      </c>
      <c r="Y1042" t="s">
        <v>60</v>
      </c>
      <c r="Z1042" t="s">
        <v>360</v>
      </c>
      <c r="AA1042">
        <v>0</v>
      </c>
      <c r="AB1042" s="2">
        <v>0</v>
      </c>
      <c r="AC1042" s="2">
        <v>0</v>
      </c>
      <c r="AD1042" s="3">
        <v>0</v>
      </c>
      <c r="AE1042" s="2">
        <v>0</v>
      </c>
      <c r="AF1042" s="2">
        <v>0</v>
      </c>
      <c r="AG1042" s="2">
        <v>0</v>
      </c>
      <c r="AH1042" s="2">
        <v>0</v>
      </c>
      <c r="AI1042" s="2">
        <v>0</v>
      </c>
      <c r="AJ1042" s="2">
        <v>0</v>
      </c>
      <c r="AK1042" s="2">
        <v>0</v>
      </c>
      <c r="AL1042" s="2">
        <v>0</v>
      </c>
      <c r="AM1042" s="2">
        <v>15.79</v>
      </c>
      <c r="AN1042" s="2">
        <v>15.79</v>
      </c>
      <c r="AO1042" s="2">
        <v>0</v>
      </c>
      <c r="AP1042" s="2">
        <v>0</v>
      </c>
      <c r="AQ1042" s="2">
        <v>0</v>
      </c>
    </row>
    <row r="1043" spans="1:43" x14ac:dyDescent="0.25">
      <c r="A1043" s="1">
        <v>45936</v>
      </c>
      <c r="B1043" t="s">
        <v>48</v>
      </c>
      <c r="C1043">
        <v>649163</v>
      </c>
      <c r="D1043">
        <v>2026147450</v>
      </c>
      <c r="E1043" t="s">
        <v>1174</v>
      </c>
      <c r="F1043" t="s">
        <v>1175</v>
      </c>
      <c r="G1043" t="s">
        <v>51</v>
      </c>
      <c r="H1043" t="s">
        <v>70</v>
      </c>
      <c r="I1043" t="s">
        <v>350</v>
      </c>
      <c r="J1043" t="s">
        <v>351</v>
      </c>
      <c r="K1043">
        <v>728134</v>
      </c>
      <c r="L1043" t="s">
        <v>352</v>
      </c>
      <c r="M1043" t="s">
        <v>353</v>
      </c>
      <c r="N1043" t="s">
        <v>57</v>
      </c>
      <c r="O1043" s="1">
        <v>45658</v>
      </c>
      <c r="Q1043" s="1">
        <v>45962</v>
      </c>
      <c r="R1043" s="2">
        <v>33.590000000000003</v>
      </c>
      <c r="S1043">
        <v>1</v>
      </c>
      <c r="T1043" t="s">
        <v>58</v>
      </c>
      <c r="U1043" t="s">
        <v>359</v>
      </c>
      <c r="V1043" s="3">
        <v>0.47</v>
      </c>
      <c r="W1043" s="2">
        <v>0</v>
      </c>
      <c r="X1043">
        <v>0</v>
      </c>
      <c r="Y1043" t="s">
        <v>60</v>
      </c>
      <c r="Z1043" t="s">
        <v>360</v>
      </c>
      <c r="AA1043">
        <v>0</v>
      </c>
      <c r="AB1043" s="2">
        <v>0</v>
      </c>
      <c r="AC1043" s="2">
        <v>0</v>
      </c>
      <c r="AD1043" s="3">
        <v>0</v>
      </c>
      <c r="AE1043" s="2">
        <v>0</v>
      </c>
      <c r="AF1043" s="2">
        <v>0</v>
      </c>
      <c r="AG1043" s="2">
        <v>0</v>
      </c>
      <c r="AH1043" s="2">
        <v>0</v>
      </c>
      <c r="AI1043" s="2">
        <v>0</v>
      </c>
      <c r="AJ1043" s="2">
        <v>0</v>
      </c>
      <c r="AK1043" s="2">
        <v>0</v>
      </c>
      <c r="AL1043" s="2">
        <v>0</v>
      </c>
      <c r="AM1043" s="2">
        <v>15.79</v>
      </c>
      <c r="AN1043" s="2">
        <v>15.79</v>
      </c>
      <c r="AO1043" s="2">
        <v>0</v>
      </c>
      <c r="AP1043" s="2">
        <v>0</v>
      </c>
      <c r="AQ1043" s="2">
        <v>0</v>
      </c>
    </row>
    <row r="1044" spans="1:43" x14ac:dyDescent="0.25">
      <c r="A1044" s="1">
        <v>45936</v>
      </c>
      <c r="B1044" t="s">
        <v>48</v>
      </c>
      <c r="C1044">
        <v>649163</v>
      </c>
      <c r="D1044">
        <v>2026488078</v>
      </c>
      <c r="E1044" t="s">
        <v>1176</v>
      </c>
      <c r="F1044" t="s">
        <v>1177</v>
      </c>
      <c r="G1044" t="s">
        <v>51</v>
      </c>
      <c r="H1044" t="s">
        <v>70</v>
      </c>
      <c r="I1044" t="s">
        <v>350</v>
      </c>
      <c r="J1044" t="s">
        <v>351</v>
      </c>
      <c r="K1044">
        <v>728134</v>
      </c>
      <c r="L1044" t="s">
        <v>352</v>
      </c>
      <c r="M1044" t="s">
        <v>353</v>
      </c>
      <c r="N1044" t="s">
        <v>57</v>
      </c>
      <c r="O1044" s="1">
        <v>45689</v>
      </c>
      <c r="Q1044" s="1">
        <v>45962</v>
      </c>
      <c r="R1044" s="2">
        <v>33.590000000000003</v>
      </c>
      <c r="S1044">
        <v>1</v>
      </c>
      <c r="T1044" t="s">
        <v>58</v>
      </c>
      <c r="U1044" t="s">
        <v>359</v>
      </c>
      <c r="V1044" s="3">
        <v>0.47</v>
      </c>
      <c r="W1044" s="2">
        <v>0</v>
      </c>
      <c r="X1044">
        <v>0</v>
      </c>
      <c r="Y1044" t="s">
        <v>60</v>
      </c>
      <c r="Z1044" t="s">
        <v>360</v>
      </c>
      <c r="AA1044">
        <v>0</v>
      </c>
      <c r="AB1044" s="2">
        <v>0</v>
      </c>
      <c r="AC1044" s="2">
        <v>0</v>
      </c>
      <c r="AD1044" s="3">
        <v>0</v>
      </c>
      <c r="AE1044" s="2">
        <v>0</v>
      </c>
      <c r="AF1044" s="2">
        <v>0</v>
      </c>
      <c r="AG1044" s="2">
        <v>0</v>
      </c>
      <c r="AH1044" s="2">
        <v>0</v>
      </c>
      <c r="AI1044" s="2">
        <v>0</v>
      </c>
      <c r="AJ1044" s="2">
        <v>0</v>
      </c>
      <c r="AK1044" s="2">
        <v>0</v>
      </c>
      <c r="AL1044" s="2">
        <v>0</v>
      </c>
      <c r="AM1044" s="2">
        <v>15.79</v>
      </c>
      <c r="AN1044" s="2">
        <v>15.79</v>
      </c>
      <c r="AO1044" s="2">
        <v>0</v>
      </c>
      <c r="AP1044" s="2">
        <v>0</v>
      </c>
      <c r="AQ1044" s="2">
        <v>0</v>
      </c>
    </row>
    <row r="1045" spans="1:43" x14ac:dyDescent="0.25">
      <c r="A1045" s="1">
        <v>45936</v>
      </c>
      <c r="B1045" t="s">
        <v>48</v>
      </c>
      <c r="C1045">
        <v>649163</v>
      </c>
      <c r="D1045">
        <v>2026760350</v>
      </c>
      <c r="E1045" t="s">
        <v>863</v>
      </c>
      <c r="F1045" t="s">
        <v>1178</v>
      </c>
      <c r="G1045" t="s">
        <v>51</v>
      </c>
      <c r="H1045" t="s">
        <v>203</v>
      </c>
      <c r="I1045" t="s">
        <v>350</v>
      </c>
      <c r="J1045" t="s">
        <v>351</v>
      </c>
      <c r="K1045">
        <v>816021</v>
      </c>
      <c r="L1045" t="s">
        <v>265</v>
      </c>
      <c r="M1045" t="s">
        <v>266</v>
      </c>
      <c r="N1045" t="s">
        <v>57</v>
      </c>
      <c r="O1045" s="1">
        <v>45689</v>
      </c>
      <c r="Q1045" s="1">
        <v>45962</v>
      </c>
      <c r="R1045" s="2">
        <v>76.209999999999994</v>
      </c>
      <c r="S1045">
        <v>1</v>
      </c>
      <c r="T1045" t="s">
        <v>58</v>
      </c>
      <c r="U1045" t="s">
        <v>359</v>
      </c>
      <c r="V1045" s="3">
        <v>0.47</v>
      </c>
      <c r="W1045" s="2">
        <v>0</v>
      </c>
      <c r="X1045">
        <v>0</v>
      </c>
      <c r="Y1045" t="s">
        <v>60</v>
      </c>
      <c r="Z1045" t="s">
        <v>360</v>
      </c>
      <c r="AA1045">
        <v>0</v>
      </c>
      <c r="AB1045" s="2">
        <v>0</v>
      </c>
      <c r="AC1045" s="2">
        <v>0</v>
      </c>
      <c r="AD1045" s="3">
        <v>0</v>
      </c>
      <c r="AE1045" s="2">
        <v>0</v>
      </c>
      <c r="AF1045" s="2">
        <v>0</v>
      </c>
      <c r="AG1045" s="2">
        <v>0</v>
      </c>
      <c r="AH1045" s="2">
        <v>0</v>
      </c>
      <c r="AI1045" s="2">
        <v>0</v>
      </c>
      <c r="AJ1045" s="2">
        <v>0</v>
      </c>
      <c r="AK1045" s="2">
        <v>0</v>
      </c>
      <c r="AL1045" s="2">
        <v>0</v>
      </c>
      <c r="AM1045" s="2">
        <v>35.82</v>
      </c>
      <c r="AN1045" s="2">
        <v>35.82</v>
      </c>
      <c r="AO1045" s="2">
        <v>0</v>
      </c>
      <c r="AP1045" s="2">
        <v>0</v>
      </c>
      <c r="AQ1045" s="2">
        <v>0</v>
      </c>
    </row>
    <row r="1046" spans="1:43" x14ac:dyDescent="0.25">
      <c r="A1046" s="1">
        <v>45936</v>
      </c>
      <c r="B1046" t="s">
        <v>48</v>
      </c>
      <c r="C1046">
        <v>649163</v>
      </c>
      <c r="D1046">
        <v>2027050882</v>
      </c>
      <c r="E1046" t="s">
        <v>1179</v>
      </c>
      <c r="F1046" t="s">
        <v>1180</v>
      </c>
      <c r="G1046" t="s">
        <v>51</v>
      </c>
      <c r="H1046" t="s">
        <v>70</v>
      </c>
      <c r="I1046" t="s">
        <v>350</v>
      </c>
      <c r="J1046" t="s">
        <v>351</v>
      </c>
      <c r="K1046">
        <v>728134</v>
      </c>
      <c r="L1046" t="s">
        <v>352</v>
      </c>
      <c r="M1046" t="s">
        <v>353</v>
      </c>
      <c r="N1046" t="s">
        <v>57</v>
      </c>
      <c r="O1046" s="1">
        <v>45748</v>
      </c>
      <c r="Q1046" s="1">
        <v>45962</v>
      </c>
      <c r="R1046" s="2">
        <v>87.59</v>
      </c>
      <c r="S1046">
        <v>1</v>
      </c>
      <c r="T1046" t="s">
        <v>58</v>
      </c>
      <c r="U1046" t="s">
        <v>359</v>
      </c>
      <c r="V1046" s="3">
        <v>0.47</v>
      </c>
      <c r="W1046" s="2">
        <v>0</v>
      </c>
      <c r="X1046">
        <v>0</v>
      </c>
      <c r="Y1046" t="s">
        <v>60</v>
      </c>
      <c r="Z1046" t="s">
        <v>360</v>
      </c>
      <c r="AA1046">
        <v>0</v>
      </c>
      <c r="AB1046" s="2">
        <v>0</v>
      </c>
      <c r="AC1046" s="2">
        <v>0</v>
      </c>
      <c r="AD1046" s="3">
        <v>0</v>
      </c>
      <c r="AE1046" s="2">
        <v>0</v>
      </c>
      <c r="AF1046" s="2">
        <v>0</v>
      </c>
      <c r="AG1046" s="2">
        <v>0</v>
      </c>
      <c r="AH1046" s="2">
        <v>0</v>
      </c>
      <c r="AI1046" s="2">
        <v>0</v>
      </c>
      <c r="AJ1046" s="2">
        <v>0</v>
      </c>
      <c r="AK1046" s="2">
        <v>0</v>
      </c>
      <c r="AL1046" s="2">
        <v>0</v>
      </c>
      <c r="AM1046" s="2">
        <v>41.17</v>
      </c>
      <c r="AN1046" s="2">
        <v>41.17</v>
      </c>
      <c r="AO1046" s="2">
        <v>0</v>
      </c>
      <c r="AP1046" s="2">
        <v>0</v>
      </c>
      <c r="AQ1046" s="2">
        <v>0</v>
      </c>
    </row>
    <row r="1047" spans="1:43" x14ac:dyDescent="0.25">
      <c r="A1047" s="1">
        <v>45936</v>
      </c>
      <c r="B1047" t="s">
        <v>48</v>
      </c>
      <c r="C1047">
        <v>649163</v>
      </c>
      <c r="D1047">
        <v>2027085368</v>
      </c>
      <c r="E1047" t="s">
        <v>1181</v>
      </c>
      <c r="F1047" t="s">
        <v>901</v>
      </c>
      <c r="G1047" t="s">
        <v>51</v>
      </c>
      <c r="H1047" t="s">
        <v>101</v>
      </c>
      <c r="I1047" t="s">
        <v>350</v>
      </c>
      <c r="J1047" t="s">
        <v>1141</v>
      </c>
      <c r="K1047">
        <v>768887</v>
      </c>
      <c r="L1047" t="s">
        <v>490</v>
      </c>
      <c r="M1047" t="s">
        <v>491</v>
      </c>
      <c r="N1047" t="s">
        <v>57</v>
      </c>
      <c r="O1047" s="1">
        <v>45717</v>
      </c>
      <c r="Q1047" s="1">
        <v>45962</v>
      </c>
      <c r="R1047" s="2">
        <v>68.599999999999994</v>
      </c>
      <c r="S1047">
        <v>1</v>
      </c>
      <c r="T1047" t="s">
        <v>58</v>
      </c>
      <c r="U1047" t="s">
        <v>359</v>
      </c>
      <c r="V1047" s="3">
        <v>0.51</v>
      </c>
      <c r="W1047" s="2">
        <v>0</v>
      </c>
      <c r="X1047">
        <v>0</v>
      </c>
      <c r="Y1047" t="s">
        <v>60</v>
      </c>
      <c r="Z1047" t="s">
        <v>360</v>
      </c>
      <c r="AA1047">
        <v>0</v>
      </c>
      <c r="AB1047" s="2">
        <v>0</v>
      </c>
      <c r="AC1047" s="2">
        <v>0</v>
      </c>
      <c r="AD1047" s="3">
        <v>0</v>
      </c>
      <c r="AE1047" s="2">
        <v>0</v>
      </c>
      <c r="AF1047" s="2">
        <v>0</v>
      </c>
      <c r="AG1047" s="2">
        <v>0</v>
      </c>
      <c r="AH1047" s="2">
        <v>0</v>
      </c>
      <c r="AI1047" s="2">
        <v>0</v>
      </c>
      <c r="AJ1047" s="2">
        <v>0</v>
      </c>
      <c r="AK1047" s="2">
        <v>0</v>
      </c>
      <c r="AL1047" s="2">
        <v>0</v>
      </c>
      <c r="AM1047" s="2">
        <v>34.99</v>
      </c>
      <c r="AN1047" s="2">
        <v>34.99</v>
      </c>
      <c r="AO1047" s="2">
        <v>0</v>
      </c>
      <c r="AP1047" s="2">
        <v>0</v>
      </c>
      <c r="AQ1047" s="2">
        <v>0</v>
      </c>
    </row>
    <row r="1048" spans="1:43" x14ac:dyDescent="0.25">
      <c r="A1048" s="1">
        <v>45936</v>
      </c>
      <c r="B1048" t="s">
        <v>48</v>
      </c>
      <c r="C1048">
        <v>649163</v>
      </c>
      <c r="D1048">
        <v>2027085369</v>
      </c>
      <c r="E1048" t="s">
        <v>1181</v>
      </c>
      <c r="F1048" t="s">
        <v>901</v>
      </c>
      <c r="G1048" t="s">
        <v>51</v>
      </c>
      <c r="H1048" t="s">
        <v>101</v>
      </c>
      <c r="I1048" t="s">
        <v>350</v>
      </c>
      <c r="J1048" t="s">
        <v>1142</v>
      </c>
      <c r="K1048">
        <v>768887</v>
      </c>
      <c r="L1048" t="s">
        <v>490</v>
      </c>
      <c r="M1048" t="s">
        <v>491</v>
      </c>
      <c r="N1048" t="s">
        <v>57</v>
      </c>
      <c r="O1048" s="1">
        <v>45717</v>
      </c>
      <c r="Q1048" s="1">
        <v>45962</v>
      </c>
      <c r="R1048" s="2">
        <v>14.95</v>
      </c>
      <c r="S1048">
        <v>1</v>
      </c>
      <c r="T1048" t="s">
        <v>58</v>
      </c>
      <c r="U1048" t="s">
        <v>359</v>
      </c>
      <c r="V1048" s="3">
        <v>0.51</v>
      </c>
      <c r="W1048" s="2">
        <v>0</v>
      </c>
      <c r="X1048">
        <v>0</v>
      </c>
      <c r="Y1048" t="s">
        <v>60</v>
      </c>
      <c r="Z1048" t="s">
        <v>360</v>
      </c>
      <c r="AA1048">
        <v>0</v>
      </c>
      <c r="AB1048" s="2">
        <v>0</v>
      </c>
      <c r="AC1048" s="2">
        <v>0</v>
      </c>
      <c r="AD1048" s="3">
        <v>0</v>
      </c>
      <c r="AE1048" s="2">
        <v>0</v>
      </c>
      <c r="AF1048" s="2">
        <v>0</v>
      </c>
      <c r="AG1048" s="2">
        <v>0</v>
      </c>
      <c r="AH1048" s="2">
        <v>0</v>
      </c>
      <c r="AI1048" s="2">
        <v>0</v>
      </c>
      <c r="AJ1048" s="2">
        <v>0</v>
      </c>
      <c r="AK1048" s="2">
        <v>0</v>
      </c>
      <c r="AL1048" s="2">
        <v>0</v>
      </c>
      <c r="AM1048" s="2">
        <v>7.62</v>
      </c>
      <c r="AN1048" s="2">
        <v>7.62</v>
      </c>
      <c r="AO1048" s="2">
        <v>0</v>
      </c>
      <c r="AP1048" s="2">
        <v>0</v>
      </c>
      <c r="AQ1048" s="2">
        <v>0</v>
      </c>
    </row>
    <row r="1049" spans="1:43" x14ac:dyDescent="0.25">
      <c r="A1049" s="1">
        <v>45936</v>
      </c>
      <c r="B1049" t="s">
        <v>48</v>
      </c>
      <c r="C1049">
        <v>649163</v>
      </c>
      <c r="D1049">
        <v>2027085370</v>
      </c>
      <c r="E1049" t="s">
        <v>1181</v>
      </c>
      <c r="F1049" t="s">
        <v>901</v>
      </c>
      <c r="G1049" t="s">
        <v>51</v>
      </c>
      <c r="H1049" t="s">
        <v>101</v>
      </c>
      <c r="I1049" t="s">
        <v>350</v>
      </c>
      <c r="J1049" t="s">
        <v>351</v>
      </c>
      <c r="K1049">
        <v>768887</v>
      </c>
      <c r="L1049" t="s">
        <v>490</v>
      </c>
      <c r="M1049" t="s">
        <v>491</v>
      </c>
      <c r="N1049" t="s">
        <v>57</v>
      </c>
      <c r="O1049" s="1">
        <v>45717</v>
      </c>
      <c r="Q1049" s="1">
        <v>45962</v>
      </c>
      <c r="R1049" s="2">
        <v>49.02</v>
      </c>
      <c r="S1049">
        <v>1</v>
      </c>
      <c r="T1049" t="s">
        <v>58</v>
      </c>
      <c r="U1049" t="s">
        <v>359</v>
      </c>
      <c r="V1049" s="3">
        <v>0.47</v>
      </c>
      <c r="W1049" s="2">
        <v>0</v>
      </c>
      <c r="X1049">
        <v>0</v>
      </c>
      <c r="Y1049" t="s">
        <v>60</v>
      </c>
      <c r="Z1049" t="s">
        <v>360</v>
      </c>
      <c r="AA1049">
        <v>0</v>
      </c>
      <c r="AB1049" s="2">
        <v>0</v>
      </c>
      <c r="AC1049" s="2">
        <v>0</v>
      </c>
      <c r="AD1049" s="3">
        <v>0</v>
      </c>
      <c r="AE1049" s="2">
        <v>0</v>
      </c>
      <c r="AF1049" s="2">
        <v>0</v>
      </c>
      <c r="AG1049" s="2">
        <v>0</v>
      </c>
      <c r="AH1049" s="2">
        <v>0</v>
      </c>
      <c r="AI1049" s="2">
        <v>0</v>
      </c>
      <c r="AJ1049" s="2">
        <v>0</v>
      </c>
      <c r="AK1049" s="2">
        <v>0</v>
      </c>
      <c r="AL1049" s="2">
        <v>0</v>
      </c>
      <c r="AM1049" s="2">
        <v>23.04</v>
      </c>
      <c r="AN1049" s="2">
        <v>23.04</v>
      </c>
      <c r="AO1049" s="2">
        <v>0</v>
      </c>
      <c r="AP1049" s="2">
        <v>0</v>
      </c>
      <c r="AQ1049" s="2">
        <v>0</v>
      </c>
    </row>
    <row r="1050" spans="1:43" x14ac:dyDescent="0.25">
      <c r="A1050" s="1">
        <v>45936</v>
      </c>
      <c r="B1050" t="s">
        <v>48</v>
      </c>
      <c r="C1050">
        <v>649163</v>
      </c>
      <c r="D1050">
        <v>2027175182</v>
      </c>
      <c r="E1050" t="s">
        <v>1182</v>
      </c>
      <c r="F1050" t="s">
        <v>569</v>
      </c>
      <c r="G1050" t="s">
        <v>51</v>
      </c>
      <c r="H1050" t="s">
        <v>70</v>
      </c>
      <c r="I1050" t="s">
        <v>350</v>
      </c>
      <c r="J1050" t="s">
        <v>351</v>
      </c>
      <c r="K1050">
        <v>728134</v>
      </c>
      <c r="L1050" t="s">
        <v>352</v>
      </c>
      <c r="M1050" t="s">
        <v>353</v>
      </c>
      <c r="N1050" t="s">
        <v>57</v>
      </c>
      <c r="O1050" s="1">
        <v>45717</v>
      </c>
      <c r="Q1050" s="1">
        <v>45962</v>
      </c>
      <c r="R1050" s="2">
        <v>43.59</v>
      </c>
      <c r="S1050">
        <v>1</v>
      </c>
      <c r="T1050" t="s">
        <v>58</v>
      </c>
      <c r="U1050" t="s">
        <v>359</v>
      </c>
      <c r="V1050" s="3">
        <v>0.47</v>
      </c>
      <c r="W1050" s="2">
        <v>0</v>
      </c>
      <c r="X1050">
        <v>0</v>
      </c>
      <c r="Y1050" t="s">
        <v>60</v>
      </c>
      <c r="Z1050" t="s">
        <v>360</v>
      </c>
      <c r="AA1050">
        <v>0</v>
      </c>
      <c r="AB1050" s="2">
        <v>0</v>
      </c>
      <c r="AC1050" s="2">
        <v>0</v>
      </c>
      <c r="AD1050" s="3">
        <v>0</v>
      </c>
      <c r="AE1050" s="2">
        <v>0</v>
      </c>
      <c r="AF1050" s="2">
        <v>0</v>
      </c>
      <c r="AG1050" s="2">
        <v>0</v>
      </c>
      <c r="AH1050" s="2">
        <v>0</v>
      </c>
      <c r="AI1050" s="2">
        <v>0</v>
      </c>
      <c r="AJ1050" s="2">
        <v>0</v>
      </c>
      <c r="AK1050" s="2">
        <v>0</v>
      </c>
      <c r="AL1050" s="2">
        <v>0</v>
      </c>
      <c r="AM1050" s="2">
        <v>20.49</v>
      </c>
      <c r="AN1050" s="2">
        <v>20.49</v>
      </c>
      <c r="AO1050" s="2">
        <v>0</v>
      </c>
      <c r="AP1050" s="2">
        <v>0</v>
      </c>
      <c r="AQ1050" s="2">
        <v>0</v>
      </c>
    </row>
    <row r="1051" spans="1:43" x14ac:dyDescent="0.25">
      <c r="A1051" s="1">
        <v>45936</v>
      </c>
      <c r="B1051" t="s">
        <v>48</v>
      </c>
      <c r="C1051">
        <v>649163</v>
      </c>
      <c r="D1051">
        <v>2027202668</v>
      </c>
      <c r="E1051" t="s">
        <v>1183</v>
      </c>
      <c r="F1051" t="s">
        <v>920</v>
      </c>
      <c r="G1051" t="s">
        <v>51</v>
      </c>
      <c r="H1051" t="s">
        <v>70</v>
      </c>
      <c r="I1051" t="s">
        <v>350</v>
      </c>
      <c r="J1051" t="s">
        <v>351</v>
      </c>
      <c r="K1051">
        <v>728134</v>
      </c>
      <c r="L1051" t="s">
        <v>352</v>
      </c>
      <c r="M1051" t="s">
        <v>353</v>
      </c>
      <c r="N1051" t="s">
        <v>57</v>
      </c>
      <c r="O1051" s="1">
        <v>45778</v>
      </c>
      <c r="Q1051" s="1">
        <v>45962</v>
      </c>
      <c r="R1051" s="2">
        <v>56.88</v>
      </c>
      <c r="S1051">
        <v>1</v>
      </c>
      <c r="T1051" t="s">
        <v>58</v>
      </c>
      <c r="U1051" t="s">
        <v>359</v>
      </c>
      <c r="V1051" s="3">
        <v>0.47</v>
      </c>
      <c r="W1051" s="2">
        <v>0</v>
      </c>
      <c r="X1051">
        <v>0</v>
      </c>
      <c r="Y1051" t="s">
        <v>60</v>
      </c>
      <c r="Z1051" t="s">
        <v>360</v>
      </c>
      <c r="AA1051">
        <v>0</v>
      </c>
      <c r="AB1051" s="2">
        <v>0</v>
      </c>
      <c r="AC1051" s="2">
        <v>0</v>
      </c>
      <c r="AD1051" s="3">
        <v>0</v>
      </c>
      <c r="AE1051" s="2">
        <v>0</v>
      </c>
      <c r="AF1051" s="2">
        <v>0</v>
      </c>
      <c r="AG1051" s="2">
        <v>0</v>
      </c>
      <c r="AH1051" s="2">
        <v>0</v>
      </c>
      <c r="AI1051" s="2">
        <v>0</v>
      </c>
      <c r="AJ1051" s="2">
        <v>0</v>
      </c>
      <c r="AK1051" s="2">
        <v>0</v>
      </c>
      <c r="AL1051" s="2">
        <v>0</v>
      </c>
      <c r="AM1051" s="2">
        <v>26.73</v>
      </c>
      <c r="AN1051" s="2">
        <v>26.73</v>
      </c>
      <c r="AO1051" s="2">
        <v>0</v>
      </c>
      <c r="AP1051" s="2">
        <v>0</v>
      </c>
      <c r="AQ1051" s="2">
        <v>0</v>
      </c>
    </row>
    <row r="1052" spans="1:43" x14ac:dyDescent="0.25">
      <c r="A1052" s="1">
        <v>45936</v>
      </c>
      <c r="B1052" t="s">
        <v>48</v>
      </c>
      <c r="C1052">
        <v>649163</v>
      </c>
      <c r="D1052">
        <v>2027492023</v>
      </c>
      <c r="E1052" t="s">
        <v>1092</v>
      </c>
      <c r="F1052" t="s">
        <v>1011</v>
      </c>
      <c r="G1052" t="s">
        <v>51</v>
      </c>
      <c r="H1052" t="s">
        <v>101</v>
      </c>
      <c r="I1052" t="s">
        <v>350</v>
      </c>
      <c r="J1052" t="s">
        <v>1141</v>
      </c>
      <c r="K1052">
        <v>814033</v>
      </c>
      <c r="L1052" t="s">
        <v>256</v>
      </c>
      <c r="M1052" t="s">
        <v>165</v>
      </c>
      <c r="N1052" t="s">
        <v>57</v>
      </c>
      <c r="O1052" s="1">
        <v>45717</v>
      </c>
      <c r="Q1052" s="1">
        <v>45962</v>
      </c>
      <c r="R1052" s="2">
        <v>52.26</v>
      </c>
      <c r="S1052">
        <v>1</v>
      </c>
      <c r="T1052" t="s">
        <v>58</v>
      </c>
      <c r="U1052" t="s">
        <v>359</v>
      </c>
      <c r="V1052" s="3">
        <v>0.51</v>
      </c>
      <c r="W1052" s="2">
        <v>0</v>
      </c>
      <c r="X1052">
        <v>0</v>
      </c>
      <c r="Y1052" t="s">
        <v>60</v>
      </c>
      <c r="Z1052" t="s">
        <v>360</v>
      </c>
      <c r="AA1052">
        <v>0</v>
      </c>
      <c r="AB1052" s="2">
        <v>0</v>
      </c>
      <c r="AC1052" s="2">
        <v>0</v>
      </c>
      <c r="AD1052" s="3">
        <v>0</v>
      </c>
      <c r="AE1052" s="2">
        <v>0</v>
      </c>
      <c r="AF1052" s="2">
        <v>0</v>
      </c>
      <c r="AG1052" s="2">
        <v>0</v>
      </c>
      <c r="AH1052" s="2">
        <v>0</v>
      </c>
      <c r="AI1052" s="2">
        <v>0</v>
      </c>
      <c r="AJ1052" s="2">
        <v>0</v>
      </c>
      <c r="AK1052" s="2">
        <v>0</v>
      </c>
      <c r="AL1052" s="2">
        <v>0</v>
      </c>
      <c r="AM1052" s="2">
        <v>26.65</v>
      </c>
      <c r="AN1052" s="2">
        <v>26.65</v>
      </c>
      <c r="AO1052" s="2">
        <v>0</v>
      </c>
      <c r="AP1052" s="2">
        <v>0</v>
      </c>
      <c r="AQ1052" s="2">
        <v>0</v>
      </c>
    </row>
    <row r="1053" spans="1:43" x14ac:dyDescent="0.25">
      <c r="A1053" s="1">
        <v>45936</v>
      </c>
      <c r="B1053" t="s">
        <v>48</v>
      </c>
      <c r="C1053">
        <v>649163</v>
      </c>
      <c r="D1053">
        <v>2027492024</v>
      </c>
      <c r="E1053" t="s">
        <v>1092</v>
      </c>
      <c r="F1053" t="s">
        <v>1011</v>
      </c>
      <c r="G1053" t="s">
        <v>51</v>
      </c>
      <c r="H1053" t="s">
        <v>101</v>
      </c>
      <c r="I1053" t="s">
        <v>350</v>
      </c>
      <c r="J1053" t="s">
        <v>1142</v>
      </c>
      <c r="K1053">
        <v>814033</v>
      </c>
      <c r="L1053" t="s">
        <v>256</v>
      </c>
      <c r="M1053" t="s">
        <v>165</v>
      </c>
      <c r="N1053" t="s">
        <v>57</v>
      </c>
      <c r="O1053" s="1">
        <v>45717</v>
      </c>
      <c r="Q1053" s="1">
        <v>45962</v>
      </c>
      <c r="R1053" s="2">
        <v>14.95</v>
      </c>
      <c r="S1053">
        <v>1</v>
      </c>
      <c r="T1053" t="s">
        <v>58</v>
      </c>
      <c r="U1053" t="s">
        <v>359</v>
      </c>
      <c r="V1053" s="3">
        <v>0.51</v>
      </c>
      <c r="W1053" s="2">
        <v>0</v>
      </c>
      <c r="X1053">
        <v>0</v>
      </c>
      <c r="Y1053" t="s">
        <v>60</v>
      </c>
      <c r="Z1053" t="s">
        <v>360</v>
      </c>
      <c r="AA1053">
        <v>0</v>
      </c>
      <c r="AB1053" s="2">
        <v>0</v>
      </c>
      <c r="AC1053" s="2">
        <v>0</v>
      </c>
      <c r="AD1053" s="3">
        <v>0</v>
      </c>
      <c r="AE1053" s="2">
        <v>0</v>
      </c>
      <c r="AF1053" s="2">
        <v>0</v>
      </c>
      <c r="AG1053" s="2">
        <v>0</v>
      </c>
      <c r="AH1053" s="2">
        <v>0</v>
      </c>
      <c r="AI1053" s="2">
        <v>0</v>
      </c>
      <c r="AJ1053" s="2">
        <v>0</v>
      </c>
      <c r="AK1053" s="2">
        <v>0</v>
      </c>
      <c r="AL1053" s="2">
        <v>0</v>
      </c>
      <c r="AM1053" s="2">
        <v>7.62</v>
      </c>
      <c r="AN1053" s="2">
        <v>7.62</v>
      </c>
      <c r="AO1053" s="2">
        <v>0</v>
      </c>
      <c r="AP1053" s="2">
        <v>0</v>
      </c>
      <c r="AQ1053" s="2">
        <v>0</v>
      </c>
    </row>
    <row r="1054" spans="1:43" x14ac:dyDescent="0.25">
      <c r="A1054" s="1">
        <v>45936</v>
      </c>
      <c r="B1054" t="s">
        <v>48</v>
      </c>
      <c r="C1054">
        <v>649163</v>
      </c>
      <c r="D1054">
        <v>2027712448</v>
      </c>
      <c r="E1054" t="s">
        <v>520</v>
      </c>
      <c r="F1054" t="s">
        <v>482</v>
      </c>
      <c r="G1054" t="s">
        <v>51</v>
      </c>
      <c r="H1054" t="s">
        <v>101</v>
      </c>
      <c r="I1054" t="s">
        <v>350</v>
      </c>
      <c r="J1054" t="s">
        <v>351</v>
      </c>
      <c r="K1054">
        <v>768887</v>
      </c>
      <c r="L1054" t="s">
        <v>490</v>
      </c>
      <c r="M1054" t="s">
        <v>491</v>
      </c>
      <c r="N1054" t="s">
        <v>57</v>
      </c>
      <c r="O1054" s="1">
        <v>45748</v>
      </c>
      <c r="Q1054" s="1">
        <v>45962</v>
      </c>
      <c r="R1054" s="2">
        <v>126.91</v>
      </c>
      <c r="S1054">
        <v>1</v>
      </c>
      <c r="T1054" t="s">
        <v>58</v>
      </c>
      <c r="U1054" t="s">
        <v>359</v>
      </c>
      <c r="V1054" s="3">
        <v>0.47</v>
      </c>
      <c r="W1054" s="2">
        <v>0</v>
      </c>
      <c r="X1054">
        <v>0</v>
      </c>
      <c r="Y1054" t="s">
        <v>60</v>
      </c>
      <c r="Z1054" t="s">
        <v>360</v>
      </c>
      <c r="AA1054">
        <v>0</v>
      </c>
      <c r="AB1054" s="2">
        <v>0</v>
      </c>
      <c r="AC1054" s="2">
        <v>0</v>
      </c>
      <c r="AD1054" s="3">
        <v>0</v>
      </c>
      <c r="AE1054" s="2">
        <v>0</v>
      </c>
      <c r="AF1054" s="2">
        <v>0</v>
      </c>
      <c r="AG1054" s="2">
        <v>0</v>
      </c>
      <c r="AH1054" s="2">
        <v>0</v>
      </c>
      <c r="AI1054" s="2">
        <v>0</v>
      </c>
      <c r="AJ1054" s="2">
        <v>0</v>
      </c>
      <c r="AK1054" s="2">
        <v>0</v>
      </c>
      <c r="AL1054" s="2">
        <v>0</v>
      </c>
      <c r="AM1054" s="2">
        <v>59.65</v>
      </c>
      <c r="AN1054" s="2">
        <v>59.65</v>
      </c>
      <c r="AO1054" s="2">
        <v>0</v>
      </c>
      <c r="AP1054" s="2">
        <v>0</v>
      </c>
      <c r="AQ1054" s="2">
        <v>0</v>
      </c>
    </row>
    <row r="1055" spans="1:43" x14ac:dyDescent="0.25">
      <c r="A1055" s="1">
        <v>45936</v>
      </c>
      <c r="B1055" t="s">
        <v>48</v>
      </c>
      <c r="C1055">
        <v>649163</v>
      </c>
      <c r="D1055">
        <v>2027922861</v>
      </c>
      <c r="E1055" t="s">
        <v>523</v>
      </c>
      <c r="F1055" t="s">
        <v>220</v>
      </c>
      <c r="G1055" t="s">
        <v>51</v>
      </c>
      <c r="H1055" t="s">
        <v>101</v>
      </c>
      <c r="I1055" t="s">
        <v>350</v>
      </c>
      <c r="J1055" t="s">
        <v>351</v>
      </c>
      <c r="K1055">
        <v>768887</v>
      </c>
      <c r="L1055" t="s">
        <v>490</v>
      </c>
      <c r="M1055" t="s">
        <v>491</v>
      </c>
      <c r="N1055" t="s">
        <v>57</v>
      </c>
      <c r="O1055" s="1">
        <v>45748</v>
      </c>
      <c r="Q1055" s="1">
        <v>45962</v>
      </c>
      <c r="R1055" s="2">
        <v>112.33</v>
      </c>
      <c r="S1055">
        <v>1</v>
      </c>
      <c r="T1055" t="s">
        <v>58</v>
      </c>
      <c r="U1055" t="s">
        <v>359</v>
      </c>
      <c r="V1055" s="3">
        <v>0.47</v>
      </c>
      <c r="W1055" s="2">
        <v>0</v>
      </c>
      <c r="X1055">
        <v>0</v>
      </c>
      <c r="Y1055" t="s">
        <v>60</v>
      </c>
      <c r="Z1055" t="s">
        <v>360</v>
      </c>
      <c r="AA1055">
        <v>0</v>
      </c>
      <c r="AB1055" s="2">
        <v>0</v>
      </c>
      <c r="AC1055" s="2">
        <v>0</v>
      </c>
      <c r="AD1055" s="3">
        <v>0</v>
      </c>
      <c r="AE1055" s="2">
        <v>0</v>
      </c>
      <c r="AF1055" s="2">
        <v>0</v>
      </c>
      <c r="AG1055" s="2">
        <v>0</v>
      </c>
      <c r="AH1055" s="2">
        <v>0</v>
      </c>
      <c r="AI1055" s="2">
        <v>0</v>
      </c>
      <c r="AJ1055" s="2">
        <v>0</v>
      </c>
      <c r="AK1055" s="2">
        <v>0</v>
      </c>
      <c r="AL1055" s="2">
        <v>0</v>
      </c>
      <c r="AM1055" s="2">
        <v>52.8</v>
      </c>
      <c r="AN1055" s="2">
        <v>52.8</v>
      </c>
      <c r="AO1055" s="2">
        <v>0</v>
      </c>
      <c r="AP1055" s="2">
        <v>0</v>
      </c>
      <c r="AQ1055" s="2">
        <v>0</v>
      </c>
    </row>
    <row r="1056" spans="1:43" x14ac:dyDescent="0.25">
      <c r="A1056" s="1">
        <v>45936</v>
      </c>
      <c r="B1056" t="s">
        <v>48</v>
      </c>
      <c r="C1056">
        <v>649163</v>
      </c>
      <c r="D1056">
        <v>2028025304</v>
      </c>
      <c r="E1056" t="s">
        <v>962</v>
      </c>
      <c r="F1056" t="s">
        <v>1178</v>
      </c>
      <c r="G1056" t="s">
        <v>51</v>
      </c>
      <c r="H1056" t="s">
        <v>101</v>
      </c>
      <c r="I1056" t="s">
        <v>350</v>
      </c>
      <c r="J1056" t="s">
        <v>1141</v>
      </c>
      <c r="K1056">
        <v>814033</v>
      </c>
      <c r="L1056" t="s">
        <v>256</v>
      </c>
      <c r="M1056" t="s">
        <v>165</v>
      </c>
      <c r="N1056" t="s">
        <v>57</v>
      </c>
      <c r="O1056" s="1">
        <v>45748</v>
      </c>
      <c r="Q1056" s="1">
        <v>45962</v>
      </c>
      <c r="R1056" s="2">
        <v>104.53</v>
      </c>
      <c r="S1056">
        <v>1</v>
      </c>
      <c r="T1056" t="s">
        <v>58</v>
      </c>
      <c r="U1056" t="s">
        <v>359</v>
      </c>
      <c r="V1056" s="3">
        <v>0.51</v>
      </c>
      <c r="W1056" s="2">
        <v>0</v>
      </c>
      <c r="X1056">
        <v>0</v>
      </c>
      <c r="Y1056" t="s">
        <v>60</v>
      </c>
      <c r="Z1056" t="s">
        <v>360</v>
      </c>
      <c r="AA1056">
        <v>0</v>
      </c>
      <c r="AB1056" s="2">
        <v>0</v>
      </c>
      <c r="AC1056" s="2">
        <v>0</v>
      </c>
      <c r="AD1056" s="3">
        <v>0</v>
      </c>
      <c r="AE1056" s="2">
        <v>0</v>
      </c>
      <c r="AF1056" s="2">
        <v>0</v>
      </c>
      <c r="AG1056" s="2">
        <v>0</v>
      </c>
      <c r="AH1056" s="2">
        <v>0</v>
      </c>
      <c r="AI1056" s="2">
        <v>0</v>
      </c>
      <c r="AJ1056" s="2">
        <v>0</v>
      </c>
      <c r="AK1056" s="2">
        <v>0</v>
      </c>
      <c r="AL1056" s="2">
        <v>0</v>
      </c>
      <c r="AM1056" s="2">
        <v>53.31</v>
      </c>
      <c r="AN1056" s="2">
        <v>53.31</v>
      </c>
      <c r="AO1056" s="2">
        <v>0</v>
      </c>
      <c r="AP1056" s="2">
        <v>0</v>
      </c>
      <c r="AQ1056" s="2">
        <v>0</v>
      </c>
    </row>
    <row r="1057" spans="1:43" x14ac:dyDescent="0.25">
      <c r="A1057" s="1">
        <v>45936</v>
      </c>
      <c r="B1057" t="s">
        <v>48</v>
      </c>
      <c r="C1057">
        <v>649163</v>
      </c>
      <c r="D1057">
        <v>2028025305</v>
      </c>
      <c r="E1057" t="s">
        <v>962</v>
      </c>
      <c r="F1057" t="s">
        <v>1178</v>
      </c>
      <c r="G1057" t="s">
        <v>51</v>
      </c>
      <c r="H1057" t="s">
        <v>101</v>
      </c>
      <c r="I1057" t="s">
        <v>350</v>
      </c>
      <c r="J1057" t="s">
        <v>1142</v>
      </c>
      <c r="K1057">
        <v>814033</v>
      </c>
      <c r="L1057" t="s">
        <v>256</v>
      </c>
      <c r="M1057" t="s">
        <v>165</v>
      </c>
      <c r="N1057" t="s">
        <v>57</v>
      </c>
      <c r="O1057" s="1">
        <v>45748</v>
      </c>
      <c r="Q1057" s="1">
        <v>45962</v>
      </c>
      <c r="R1057" s="2">
        <v>14.95</v>
      </c>
      <c r="S1057">
        <v>1</v>
      </c>
      <c r="T1057" t="s">
        <v>58</v>
      </c>
      <c r="U1057" t="s">
        <v>359</v>
      </c>
      <c r="V1057" s="3">
        <v>0.51</v>
      </c>
      <c r="W1057" s="2">
        <v>0</v>
      </c>
      <c r="X1057">
        <v>0</v>
      </c>
      <c r="Y1057" t="s">
        <v>60</v>
      </c>
      <c r="Z1057" t="s">
        <v>360</v>
      </c>
      <c r="AA1057">
        <v>0</v>
      </c>
      <c r="AB1057" s="2">
        <v>0</v>
      </c>
      <c r="AC1057" s="2">
        <v>0</v>
      </c>
      <c r="AD1057" s="3">
        <v>0</v>
      </c>
      <c r="AE1057" s="2">
        <v>0</v>
      </c>
      <c r="AF1057" s="2">
        <v>0</v>
      </c>
      <c r="AG1057" s="2">
        <v>0</v>
      </c>
      <c r="AH1057" s="2">
        <v>0</v>
      </c>
      <c r="AI1057" s="2">
        <v>0</v>
      </c>
      <c r="AJ1057" s="2">
        <v>0</v>
      </c>
      <c r="AK1057" s="2">
        <v>0</v>
      </c>
      <c r="AL1057" s="2">
        <v>0</v>
      </c>
      <c r="AM1057" s="2">
        <v>7.62</v>
      </c>
      <c r="AN1057" s="2">
        <v>7.62</v>
      </c>
      <c r="AO1057" s="2">
        <v>0</v>
      </c>
      <c r="AP1057" s="2">
        <v>0</v>
      </c>
      <c r="AQ1057" s="2">
        <v>0</v>
      </c>
    </row>
    <row r="1058" spans="1:43" x14ac:dyDescent="0.25">
      <c r="A1058" s="1">
        <v>45936</v>
      </c>
      <c r="B1058" t="s">
        <v>48</v>
      </c>
      <c r="C1058">
        <v>649163</v>
      </c>
      <c r="D1058">
        <v>2028038680</v>
      </c>
      <c r="E1058" t="s">
        <v>1184</v>
      </c>
      <c r="F1058" t="s">
        <v>224</v>
      </c>
      <c r="G1058" t="s">
        <v>51</v>
      </c>
      <c r="H1058" t="s">
        <v>70</v>
      </c>
      <c r="I1058" t="s">
        <v>350</v>
      </c>
      <c r="J1058" t="s">
        <v>351</v>
      </c>
      <c r="K1058">
        <v>728134</v>
      </c>
      <c r="L1058" t="s">
        <v>352</v>
      </c>
      <c r="M1058" t="s">
        <v>353</v>
      </c>
      <c r="N1058" t="s">
        <v>57</v>
      </c>
      <c r="O1058" s="1">
        <v>45748</v>
      </c>
      <c r="Q1058" s="1">
        <v>45962</v>
      </c>
      <c r="R1058" s="2">
        <v>69.31</v>
      </c>
      <c r="S1058">
        <v>1</v>
      </c>
      <c r="T1058" t="s">
        <v>58</v>
      </c>
      <c r="U1058" t="s">
        <v>359</v>
      </c>
      <c r="V1058" s="3">
        <v>0.47</v>
      </c>
      <c r="W1058" s="2">
        <v>0</v>
      </c>
      <c r="X1058">
        <v>0</v>
      </c>
      <c r="Y1058" t="s">
        <v>60</v>
      </c>
      <c r="Z1058" t="s">
        <v>360</v>
      </c>
      <c r="AA1058">
        <v>0</v>
      </c>
      <c r="AB1058" s="2">
        <v>0</v>
      </c>
      <c r="AC1058" s="2">
        <v>0</v>
      </c>
      <c r="AD1058" s="3">
        <v>0</v>
      </c>
      <c r="AE1058" s="2">
        <v>0</v>
      </c>
      <c r="AF1058" s="2">
        <v>0</v>
      </c>
      <c r="AG1058" s="2">
        <v>0</v>
      </c>
      <c r="AH1058" s="2">
        <v>0</v>
      </c>
      <c r="AI1058" s="2">
        <v>0</v>
      </c>
      <c r="AJ1058" s="2">
        <v>0</v>
      </c>
      <c r="AK1058" s="2">
        <v>0</v>
      </c>
      <c r="AL1058" s="2">
        <v>0</v>
      </c>
      <c r="AM1058" s="2">
        <v>32.58</v>
      </c>
      <c r="AN1058" s="2">
        <v>32.58</v>
      </c>
      <c r="AO1058" s="2">
        <v>0</v>
      </c>
      <c r="AP1058" s="2">
        <v>0</v>
      </c>
      <c r="AQ1058" s="2">
        <v>0</v>
      </c>
    </row>
    <row r="1059" spans="1:43" x14ac:dyDescent="0.25">
      <c r="A1059" s="1">
        <v>45936</v>
      </c>
      <c r="B1059" t="s">
        <v>48</v>
      </c>
      <c r="C1059">
        <v>649163</v>
      </c>
      <c r="D1059">
        <v>2028067361</v>
      </c>
      <c r="E1059" t="s">
        <v>1151</v>
      </c>
      <c r="F1059" t="s">
        <v>507</v>
      </c>
      <c r="G1059" t="s">
        <v>51</v>
      </c>
      <c r="H1059" t="s">
        <v>70</v>
      </c>
      <c r="I1059" t="s">
        <v>350</v>
      </c>
      <c r="J1059" t="s">
        <v>351</v>
      </c>
      <c r="K1059">
        <v>728134</v>
      </c>
      <c r="L1059" t="s">
        <v>352</v>
      </c>
      <c r="M1059" t="s">
        <v>353</v>
      </c>
      <c r="N1059" t="s">
        <v>57</v>
      </c>
      <c r="O1059" s="1">
        <v>45748</v>
      </c>
      <c r="Q1059" s="1">
        <v>45962</v>
      </c>
      <c r="R1059" s="2">
        <v>87.59</v>
      </c>
      <c r="S1059">
        <v>1</v>
      </c>
      <c r="T1059" t="s">
        <v>58</v>
      </c>
      <c r="U1059" t="s">
        <v>359</v>
      </c>
      <c r="V1059" s="3">
        <v>0.47</v>
      </c>
      <c r="W1059" s="2">
        <v>0</v>
      </c>
      <c r="X1059">
        <v>0</v>
      </c>
      <c r="Y1059" t="s">
        <v>60</v>
      </c>
      <c r="Z1059" t="s">
        <v>360</v>
      </c>
      <c r="AA1059">
        <v>0</v>
      </c>
      <c r="AB1059" s="2">
        <v>0</v>
      </c>
      <c r="AC1059" s="2">
        <v>0</v>
      </c>
      <c r="AD1059" s="3">
        <v>0</v>
      </c>
      <c r="AE1059" s="2">
        <v>0</v>
      </c>
      <c r="AF1059" s="2">
        <v>0</v>
      </c>
      <c r="AG1059" s="2">
        <v>0</v>
      </c>
      <c r="AH1059" s="2">
        <v>0</v>
      </c>
      <c r="AI1059" s="2">
        <v>0</v>
      </c>
      <c r="AJ1059" s="2">
        <v>0</v>
      </c>
      <c r="AK1059" s="2">
        <v>0</v>
      </c>
      <c r="AL1059" s="2">
        <v>0</v>
      </c>
      <c r="AM1059" s="2">
        <v>41.17</v>
      </c>
      <c r="AN1059" s="2">
        <v>41.17</v>
      </c>
      <c r="AO1059" s="2">
        <v>0</v>
      </c>
      <c r="AP1059" s="2">
        <v>0</v>
      </c>
      <c r="AQ1059" s="2">
        <v>0</v>
      </c>
    </row>
    <row r="1060" spans="1:43" x14ac:dyDescent="0.25">
      <c r="A1060" s="1">
        <v>45936</v>
      </c>
      <c r="B1060" t="s">
        <v>48</v>
      </c>
      <c r="C1060">
        <v>649163</v>
      </c>
      <c r="D1060">
        <v>2028132283</v>
      </c>
      <c r="E1060" t="s">
        <v>1185</v>
      </c>
      <c r="F1060" t="s">
        <v>959</v>
      </c>
      <c r="G1060" t="s">
        <v>51</v>
      </c>
      <c r="H1060" t="s">
        <v>247</v>
      </c>
      <c r="I1060" t="s">
        <v>350</v>
      </c>
      <c r="J1060" t="s">
        <v>351</v>
      </c>
      <c r="K1060">
        <v>728134</v>
      </c>
      <c r="L1060" t="s">
        <v>352</v>
      </c>
      <c r="M1060" t="s">
        <v>353</v>
      </c>
      <c r="N1060" t="s">
        <v>57</v>
      </c>
      <c r="O1060" s="1">
        <v>45748</v>
      </c>
      <c r="Q1060" s="1">
        <v>45962</v>
      </c>
      <c r="R1060" s="2">
        <v>36.119999999999997</v>
      </c>
      <c r="S1060">
        <v>1</v>
      </c>
      <c r="T1060" t="s">
        <v>58</v>
      </c>
      <c r="U1060" t="s">
        <v>359</v>
      </c>
      <c r="V1060" s="3">
        <v>0.47</v>
      </c>
      <c r="W1060" s="2">
        <v>0</v>
      </c>
      <c r="X1060">
        <v>0</v>
      </c>
      <c r="Y1060" t="s">
        <v>60</v>
      </c>
      <c r="Z1060" t="s">
        <v>360</v>
      </c>
      <c r="AA1060">
        <v>0</v>
      </c>
      <c r="AB1060" s="2">
        <v>0</v>
      </c>
      <c r="AC1060" s="2">
        <v>0</v>
      </c>
      <c r="AD1060" s="3">
        <v>0</v>
      </c>
      <c r="AE1060" s="2">
        <v>0</v>
      </c>
      <c r="AF1060" s="2">
        <v>0</v>
      </c>
      <c r="AG1060" s="2">
        <v>0</v>
      </c>
      <c r="AH1060" s="2">
        <v>0</v>
      </c>
      <c r="AI1060" s="2">
        <v>0</v>
      </c>
      <c r="AJ1060" s="2">
        <v>0</v>
      </c>
      <c r="AK1060" s="2">
        <v>0</v>
      </c>
      <c r="AL1060" s="2">
        <v>0</v>
      </c>
      <c r="AM1060" s="2">
        <v>16.98</v>
      </c>
      <c r="AN1060" s="2">
        <v>16.98</v>
      </c>
      <c r="AO1060" s="2">
        <v>0</v>
      </c>
      <c r="AP1060" s="2">
        <v>0</v>
      </c>
      <c r="AQ1060" s="2">
        <v>0</v>
      </c>
    </row>
    <row r="1061" spans="1:43" x14ac:dyDescent="0.25">
      <c r="A1061" s="1">
        <v>45936</v>
      </c>
      <c r="B1061" t="s">
        <v>48</v>
      </c>
      <c r="C1061">
        <v>649163</v>
      </c>
      <c r="D1061">
        <v>2028421977</v>
      </c>
      <c r="E1061" t="s">
        <v>1186</v>
      </c>
      <c r="F1061" t="s">
        <v>600</v>
      </c>
      <c r="G1061" t="s">
        <v>51</v>
      </c>
      <c r="H1061" t="s">
        <v>101</v>
      </c>
      <c r="I1061" t="s">
        <v>350</v>
      </c>
      <c r="J1061" t="s">
        <v>351</v>
      </c>
      <c r="K1061">
        <v>824062</v>
      </c>
      <c r="L1061" t="s">
        <v>273</v>
      </c>
      <c r="M1061" t="s">
        <v>274</v>
      </c>
      <c r="N1061" t="s">
        <v>57</v>
      </c>
      <c r="O1061" s="1">
        <v>45778</v>
      </c>
      <c r="Q1061" s="1">
        <v>45962</v>
      </c>
      <c r="R1061" s="2">
        <v>73.39</v>
      </c>
      <c r="S1061">
        <v>1</v>
      </c>
      <c r="T1061" t="s">
        <v>58</v>
      </c>
      <c r="U1061" t="s">
        <v>359</v>
      </c>
      <c r="V1061" s="3">
        <v>0.47</v>
      </c>
      <c r="W1061" s="2">
        <v>0</v>
      </c>
      <c r="X1061">
        <v>0</v>
      </c>
      <c r="Y1061" t="s">
        <v>60</v>
      </c>
      <c r="Z1061" t="s">
        <v>360</v>
      </c>
      <c r="AA1061">
        <v>0</v>
      </c>
      <c r="AB1061" s="2">
        <v>0</v>
      </c>
      <c r="AC1061" s="2">
        <v>0</v>
      </c>
      <c r="AD1061" s="3">
        <v>0</v>
      </c>
      <c r="AE1061" s="2">
        <v>0</v>
      </c>
      <c r="AF1061" s="2">
        <v>0</v>
      </c>
      <c r="AG1061" s="2">
        <v>0</v>
      </c>
      <c r="AH1061" s="2">
        <v>0</v>
      </c>
      <c r="AI1061" s="2">
        <v>0</v>
      </c>
      <c r="AJ1061" s="2">
        <v>0</v>
      </c>
      <c r="AK1061" s="2">
        <v>0</v>
      </c>
      <c r="AL1061" s="2">
        <v>0</v>
      </c>
      <c r="AM1061" s="2">
        <v>34.49</v>
      </c>
      <c r="AN1061" s="2">
        <v>34.49</v>
      </c>
      <c r="AO1061" s="2">
        <v>0</v>
      </c>
      <c r="AP1061" s="2">
        <v>0</v>
      </c>
      <c r="AQ1061" s="2">
        <v>0</v>
      </c>
    </row>
    <row r="1062" spans="1:43" x14ac:dyDescent="0.25">
      <c r="A1062" s="1">
        <v>45936</v>
      </c>
      <c r="B1062" t="s">
        <v>48</v>
      </c>
      <c r="C1062">
        <v>649163</v>
      </c>
      <c r="D1062">
        <v>2028813509</v>
      </c>
      <c r="E1062" t="s">
        <v>284</v>
      </c>
      <c r="F1062" t="s">
        <v>1187</v>
      </c>
      <c r="G1062" t="s">
        <v>51</v>
      </c>
      <c r="H1062" t="s">
        <v>70</v>
      </c>
      <c r="I1062" t="s">
        <v>350</v>
      </c>
      <c r="J1062" t="s">
        <v>351</v>
      </c>
      <c r="K1062">
        <v>649247</v>
      </c>
      <c r="L1062" t="s">
        <v>75</v>
      </c>
      <c r="M1062" t="s">
        <v>76</v>
      </c>
      <c r="N1062" t="s">
        <v>57</v>
      </c>
      <c r="O1062" s="1">
        <v>45839</v>
      </c>
      <c r="Q1062" s="1">
        <v>45962</v>
      </c>
      <c r="R1062" s="2">
        <v>368.7</v>
      </c>
      <c r="S1062">
        <v>1</v>
      </c>
      <c r="T1062" t="s">
        <v>58</v>
      </c>
      <c r="U1062" t="s">
        <v>359</v>
      </c>
      <c r="V1062" s="3">
        <v>0.47</v>
      </c>
      <c r="W1062" s="2">
        <v>0</v>
      </c>
      <c r="X1062">
        <v>0</v>
      </c>
      <c r="Y1062" t="s">
        <v>60</v>
      </c>
      <c r="Z1062" t="s">
        <v>360</v>
      </c>
      <c r="AA1062">
        <v>0</v>
      </c>
      <c r="AB1062" s="2">
        <v>0</v>
      </c>
      <c r="AC1062" s="2">
        <v>0</v>
      </c>
      <c r="AD1062" s="3">
        <v>0</v>
      </c>
      <c r="AE1062" s="2">
        <v>0</v>
      </c>
      <c r="AF1062" s="2">
        <v>0</v>
      </c>
      <c r="AG1062" s="2">
        <v>0</v>
      </c>
      <c r="AH1062" s="2">
        <v>0</v>
      </c>
      <c r="AI1062" s="2">
        <v>0</v>
      </c>
      <c r="AJ1062" s="2">
        <v>0</v>
      </c>
      <c r="AK1062" s="2">
        <v>0</v>
      </c>
      <c r="AL1062" s="2">
        <v>173.29</v>
      </c>
      <c r="AM1062" s="2">
        <v>0</v>
      </c>
      <c r="AN1062" s="2">
        <v>0</v>
      </c>
      <c r="AO1062" s="2">
        <v>0</v>
      </c>
      <c r="AP1062" s="2">
        <v>0</v>
      </c>
      <c r="AQ1062" s="2">
        <v>0</v>
      </c>
    </row>
    <row r="1063" spans="1:43" x14ac:dyDescent="0.25">
      <c r="A1063" s="1">
        <v>45936</v>
      </c>
      <c r="B1063" t="s">
        <v>48</v>
      </c>
      <c r="C1063">
        <v>649163</v>
      </c>
      <c r="D1063">
        <v>2028915803</v>
      </c>
      <c r="E1063" t="s">
        <v>845</v>
      </c>
      <c r="F1063" t="s">
        <v>1188</v>
      </c>
      <c r="G1063" t="s">
        <v>51</v>
      </c>
      <c r="H1063" t="s">
        <v>70</v>
      </c>
      <c r="I1063" t="s">
        <v>350</v>
      </c>
      <c r="J1063" t="s">
        <v>351</v>
      </c>
      <c r="K1063">
        <v>728134</v>
      </c>
      <c r="L1063" t="s">
        <v>352</v>
      </c>
      <c r="M1063" t="s">
        <v>353</v>
      </c>
      <c r="N1063" t="s">
        <v>57</v>
      </c>
      <c r="O1063" s="1">
        <v>45839</v>
      </c>
      <c r="Q1063" s="1">
        <v>45962</v>
      </c>
      <c r="R1063" s="2">
        <v>77.010000000000005</v>
      </c>
      <c r="S1063">
        <v>1</v>
      </c>
      <c r="T1063" t="s">
        <v>58</v>
      </c>
      <c r="U1063" t="s">
        <v>359</v>
      </c>
      <c r="V1063" s="3">
        <v>0.47</v>
      </c>
      <c r="W1063" s="2">
        <v>0</v>
      </c>
      <c r="X1063">
        <v>0</v>
      </c>
      <c r="Y1063" t="s">
        <v>60</v>
      </c>
      <c r="Z1063" t="s">
        <v>360</v>
      </c>
      <c r="AA1063">
        <v>0</v>
      </c>
      <c r="AB1063" s="2">
        <v>0</v>
      </c>
      <c r="AC1063" s="2">
        <v>0</v>
      </c>
      <c r="AD1063" s="3">
        <v>0</v>
      </c>
      <c r="AE1063" s="2">
        <v>0</v>
      </c>
      <c r="AF1063" s="2">
        <v>0</v>
      </c>
      <c r="AG1063" s="2">
        <v>0</v>
      </c>
      <c r="AH1063" s="2">
        <v>0</v>
      </c>
      <c r="AI1063" s="2">
        <v>0</v>
      </c>
      <c r="AJ1063" s="2">
        <v>0</v>
      </c>
      <c r="AK1063" s="2">
        <v>0</v>
      </c>
      <c r="AL1063" s="2">
        <v>36.19</v>
      </c>
      <c r="AM1063" s="2">
        <v>0</v>
      </c>
      <c r="AN1063" s="2">
        <v>0</v>
      </c>
      <c r="AO1063" s="2">
        <v>0</v>
      </c>
      <c r="AP1063" s="2">
        <v>0</v>
      </c>
      <c r="AQ1063" s="2">
        <v>0</v>
      </c>
    </row>
    <row r="1064" spans="1:43" x14ac:dyDescent="0.25">
      <c r="A1064" s="1">
        <v>45936</v>
      </c>
      <c r="B1064" t="s">
        <v>48</v>
      </c>
      <c r="C1064">
        <v>649163</v>
      </c>
      <c r="D1064">
        <v>2029103669</v>
      </c>
      <c r="E1064" t="s">
        <v>1189</v>
      </c>
      <c r="F1064" t="s">
        <v>94</v>
      </c>
      <c r="G1064" t="s">
        <v>51</v>
      </c>
      <c r="H1064" t="s">
        <v>101</v>
      </c>
      <c r="I1064" t="s">
        <v>350</v>
      </c>
      <c r="J1064" t="s">
        <v>351</v>
      </c>
      <c r="K1064">
        <v>813184</v>
      </c>
      <c r="L1064" t="s">
        <v>408</v>
      </c>
      <c r="M1064" t="s">
        <v>410</v>
      </c>
      <c r="N1064" t="s">
        <v>57</v>
      </c>
      <c r="O1064" s="1">
        <v>45809</v>
      </c>
      <c r="Q1064" s="1">
        <v>45962</v>
      </c>
      <c r="R1064" s="2">
        <v>92.39</v>
      </c>
      <c r="S1064">
        <v>1</v>
      </c>
      <c r="T1064" t="s">
        <v>58</v>
      </c>
      <c r="U1064" t="s">
        <v>359</v>
      </c>
      <c r="V1064" s="3">
        <v>0.47</v>
      </c>
      <c r="W1064" s="2">
        <v>0</v>
      </c>
      <c r="X1064">
        <v>0</v>
      </c>
      <c r="Y1064" t="s">
        <v>60</v>
      </c>
      <c r="Z1064" t="s">
        <v>360</v>
      </c>
      <c r="AA1064">
        <v>0</v>
      </c>
      <c r="AB1064" s="2">
        <v>0</v>
      </c>
      <c r="AC1064" s="2">
        <v>0</v>
      </c>
      <c r="AD1064" s="3">
        <v>0</v>
      </c>
      <c r="AE1064" s="2">
        <v>0</v>
      </c>
      <c r="AF1064" s="2">
        <v>0</v>
      </c>
      <c r="AG1064" s="2">
        <v>0</v>
      </c>
      <c r="AH1064" s="2">
        <v>0</v>
      </c>
      <c r="AI1064" s="2">
        <v>0</v>
      </c>
      <c r="AJ1064" s="2">
        <v>0</v>
      </c>
      <c r="AK1064" s="2">
        <v>0</v>
      </c>
      <c r="AL1064" s="2">
        <v>43.42</v>
      </c>
      <c r="AM1064" s="2">
        <v>0</v>
      </c>
      <c r="AN1064" s="2">
        <v>0</v>
      </c>
      <c r="AO1064" s="2">
        <v>0</v>
      </c>
      <c r="AP1064" s="2">
        <v>0</v>
      </c>
      <c r="AQ1064" s="2">
        <v>0</v>
      </c>
    </row>
    <row r="1065" spans="1:43" x14ac:dyDescent="0.25">
      <c r="A1065" s="1">
        <v>45936</v>
      </c>
      <c r="B1065" t="s">
        <v>48</v>
      </c>
      <c r="C1065">
        <v>649163</v>
      </c>
      <c r="D1065">
        <v>2029284253</v>
      </c>
      <c r="E1065" t="s">
        <v>791</v>
      </c>
      <c r="F1065" t="s">
        <v>1190</v>
      </c>
      <c r="G1065" t="s">
        <v>51</v>
      </c>
      <c r="H1065" t="s">
        <v>70</v>
      </c>
      <c r="I1065" t="s">
        <v>350</v>
      </c>
      <c r="J1065" t="s">
        <v>351</v>
      </c>
      <c r="K1065">
        <v>728134</v>
      </c>
      <c r="L1065" t="s">
        <v>352</v>
      </c>
      <c r="M1065" t="s">
        <v>353</v>
      </c>
      <c r="N1065" t="s">
        <v>57</v>
      </c>
      <c r="O1065" s="1">
        <v>45813</v>
      </c>
      <c r="Q1065" s="1">
        <v>45966</v>
      </c>
      <c r="R1065" s="2">
        <v>75.88</v>
      </c>
      <c r="S1065">
        <v>1</v>
      </c>
      <c r="T1065" t="s">
        <v>58</v>
      </c>
      <c r="U1065" t="s">
        <v>359</v>
      </c>
      <c r="V1065" s="3">
        <v>0.47</v>
      </c>
      <c r="W1065" s="2">
        <v>0</v>
      </c>
      <c r="X1065">
        <v>0</v>
      </c>
      <c r="Y1065" t="s">
        <v>60</v>
      </c>
      <c r="Z1065" t="s">
        <v>360</v>
      </c>
      <c r="AA1065">
        <v>0</v>
      </c>
      <c r="AB1065" s="2">
        <v>0</v>
      </c>
      <c r="AC1065" s="2">
        <v>0</v>
      </c>
      <c r="AD1065" s="3">
        <v>0</v>
      </c>
      <c r="AE1065" s="2">
        <v>0</v>
      </c>
      <c r="AF1065" s="2">
        <v>0</v>
      </c>
      <c r="AG1065" s="2">
        <v>0</v>
      </c>
      <c r="AH1065" s="2">
        <v>0</v>
      </c>
      <c r="AI1065" s="2">
        <v>0</v>
      </c>
      <c r="AJ1065" s="2">
        <v>0</v>
      </c>
      <c r="AK1065" s="2">
        <v>0</v>
      </c>
      <c r="AL1065" s="2">
        <v>35.659999999999997</v>
      </c>
      <c r="AM1065" s="2">
        <v>0</v>
      </c>
      <c r="AN1065" s="2">
        <v>0</v>
      </c>
      <c r="AO1065" s="2">
        <v>0</v>
      </c>
      <c r="AP1065" s="2">
        <v>0</v>
      </c>
      <c r="AQ1065" s="2">
        <v>0</v>
      </c>
    </row>
    <row r="1066" spans="1:43" x14ac:dyDescent="0.25">
      <c r="A1066" s="1">
        <v>45936</v>
      </c>
      <c r="B1066" t="s">
        <v>48</v>
      </c>
      <c r="C1066">
        <v>649163</v>
      </c>
      <c r="D1066">
        <v>2030107691</v>
      </c>
      <c r="E1066" t="s">
        <v>569</v>
      </c>
      <c r="F1066" t="s">
        <v>1191</v>
      </c>
      <c r="G1066" t="s">
        <v>51</v>
      </c>
      <c r="H1066" t="s">
        <v>150</v>
      </c>
      <c r="I1066" t="s">
        <v>350</v>
      </c>
      <c r="J1066" t="s">
        <v>351</v>
      </c>
      <c r="K1066">
        <v>877790</v>
      </c>
      <c r="L1066" t="s">
        <v>151</v>
      </c>
      <c r="M1066" t="s">
        <v>152</v>
      </c>
      <c r="N1066" t="s">
        <v>57</v>
      </c>
      <c r="O1066" s="1">
        <v>45870</v>
      </c>
      <c r="Q1066" s="1">
        <v>45962</v>
      </c>
      <c r="R1066" s="2">
        <v>133.13</v>
      </c>
      <c r="S1066">
        <v>1</v>
      </c>
      <c r="T1066" t="s">
        <v>58</v>
      </c>
      <c r="U1066" t="s">
        <v>359</v>
      </c>
      <c r="V1066" s="3">
        <v>0.47</v>
      </c>
      <c r="W1066" s="2">
        <v>0</v>
      </c>
      <c r="X1066">
        <v>0</v>
      </c>
      <c r="Y1066" t="s">
        <v>60</v>
      </c>
      <c r="Z1066" t="s">
        <v>360</v>
      </c>
      <c r="AA1066">
        <v>0</v>
      </c>
      <c r="AB1066" s="2">
        <v>0</v>
      </c>
      <c r="AC1066" s="2">
        <v>0</v>
      </c>
      <c r="AD1066" s="3">
        <v>0</v>
      </c>
      <c r="AE1066" s="2">
        <v>0</v>
      </c>
      <c r="AF1066" s="2">
        <v>0</v>
      </c>
      <c r="AG1066" s="2">
        <v>0</v>
      </c>
      <c r="AH1066" s="2">
        <v>0</v>
      </c>
      <c r="AI1066" s="2">
        <v>0</v>
      </c>
      <c r="AJ1066" s="2">
        <v>0</v>
      </c>
      <c r="AK1066" s="2">
        <v>0</v>
      </c>
      <c r="AL1066" s="2">
        <v>62.57</v>
      </c>
      <c r="AM1066" s="2">
        <v>0</v>
      </c>
      <c r="AN1066" s="2">
        <v>0</v>
      </c>
      <c r="AO1066" s="2">
        <v>0</v>
      </c>
      <c r="AP1066" s="2">
        <v>0</v>
      </c>
      <c r="AQ1066" s="2">
        <v>0</v>
      </c>
    </row>
    <row r="1067" spans="1:43" x14ac:dyDescent="0.25">
      <c r="A1067" s="1">
        <v>45936</v>
      </c>
      <c r="B1067" t="s">
        <v>48</v>
      </c>
      <c r="C1067">
        <v>649163</v>
      </c>
      <c r="D1067">
        <v>2030127609</v>
      </c>
      <c r="E1067" t="s">
        <v>1192</v>
      </c>
      <c r="F1067" t="s">
        <v>1193</v>
      </c>
      <c r="G1067" t="s">
        <v>51</v>
      </c>
      <c r="H1067" t="s">
        <v>101</v>
      </c>
      <c r="I1067" t="s">
        <v>350</v>
      </c>
      <c r="J1067" t="s">
        <v>351</v>
      </c>
      <c r="K1067">
        <v>824076</v>
      </c>
      <c r="L1067" t="s">
        <v>1032</v>
      </c>
      <c r="M1067" t="s">
        <v>1033</v>
      </c>
      <c r="N1067" t="s">
        <v>57</v>
      </c>
      <c r="O1067" s="1">
        <v>45870</v>
      </c>
      <c r="Q1067" s="1">
        <v>45962</v>
      </c>
      <c r="R1067" s="2">
        <v>94.04</v>
      </c>
      <c r="S1067">
        <v>1</v>
      </c>
      <c r="T1067" t="s">
        <v>58</v>
      </c>
      <c r="U1067" t="s">
        <v>359</v>
      </c>
      <c r="V1067" s="3">
        <v>0.47</v>
      </c>
      <c r="W1067" s="2">
        <v>0</v>
      </c>
      <c r="X1067">
        <v>0</v>
      </c>
      <c r="Y1067" t="s">
        <v>60</v>
      </c>
      <c r="Z1067" t="s">
        <v>360</v>
      </c>
      <c r="AA1067">
        <v>0</v>
      </c>
      <c r="AB1067" s="2">
        <v>0</v>
      </c>
      <c r="AC1067" s="2">
        <v>0</v>
      </c>
      <c r="AD1067" s="3">
        <v>0</v>
      </c>
      <c r="AE1067" s="2">
        <v>0</v>
      </c>
      <c r="AF1067" s="2">
        <v>0</v>
      </c>
      <c r="AG1067" s="2">
        <v>0</v>
      </c>
      <c r="AH1067" s="2">
        <v>0</v>
      </c>
      <c r="AI1067" s="2">
        <v>0</v>
      </c>
      <c r="AJ1067" s="2">
        <v>0</v>
      </c>
      <c r="AK1067" s="2">
        <v>0</v>
      </c>
      <c r="AL1067" s="2">
        <v>44.2</v>
      </c>
      <c r="AM1067" s="2">
        <v>0</v>
      </c>
      <c r="AN1067" s="2">
        <v>0</v>
      </c>
      <c r="AO1067" s="2">
        <v>0</v>
      </c>
      <c r="AP1067" s="2">
        <v>0</v>
      </c>
      <c r="AQ1067" s="2">
        <v>0</v>
      </c>
    </row>
    <row r="1068" spans="1:43" x14ac:dyDescent="0.25">
      <c r="A1068" s="1">
        <v>45936</v>
      </c>
      <c r="B1068" t="s">
        <v>48</v>
      </c>
      <c r="C1068">
        <v>649163</v>
      </c>
      <c r="D1068">
        <v>2030222256</v>
      </c>
      <c r="E1068" t="s">
        <v>544</v>
      </c>
      <c r="F1068" t="s">
        <v>1194</v>
      </c>
      <c r="G1068" t="s">
        <v>51</v>
      </c>
      <c r="H1068" t="s">
        <v>70</v>
      </c>
      <c r="I1068" t="s">
        <v>350</v>
      </c>
      <c r="J1068" t="s">
        <v>351</v>
      </c>
      <c r="K1068">
        <v>885445</v>
      </c>
      <c r="L1068" t="s">
        <v>84</v>
      </c>
      <c r="M1068" t="s">
        <v>85</v>
      </c>
      <c r="N1068" t="s">
        <v>57</v>
      </c>
      <c r="O1068" s="1">
        <v>45870</v>
      </c>
      <c r="Q1068" s="1">
        <v>45962</v>
      </c>
      <c r="R1068" s="2">
        <v>48.22</v>
      </c>
      <c r="S1068">
        <v>1</v>
      </c>
      <c r="T1068" t="s">
        <v>58</v>
      </c>
      <c r="U1068" t="s">
        <v>359</v>
      </c>
      <c r="V1068" s="3">
        <v>0.47</v>
      </c>
      <c r="W1068" s="2">
        <v>0</v>
      </c>
      <c r="X1068">
        <v>0</v>
      </c>
      <c r="Y1068" t="s">
        <v>60</v>
      </c>
      <c r="Z1068" t="s">
        <v>360</v>
      </c>
      <c r="AA1068">
        <v>0</v>
      </c>
      <c r="AB1068" s="2">
        <v>0</v>
      </c>
      <c r="AC1068" s="2">
        <v>0</v>
      </c>
      <c r="AD1068" s="3">
        <v>0</v>
      </c>
      <c r="AE1068" s="2">
        <v>0</v>
      </c>
      <c r="AF1068" s="2">
        <v>0</v>
      </c>
      <c r="AG1068" s="2">
        <v>0</v>
      </c>
      <c r="AH1068" s="2">
        <v>0</v>
      </c>
      <c r="AI1068" s="2">
        <v>0</v>
      </c>
      <c r="AJ1068" s="2">
        <v>0</v>
      </c>
      <c r="AK1068" s="2">
        <v>0</v>
      </c>
      <c r="AL1068" s="2">
        <v>22.66</v>
      </c>
      <c r="AM1068" s="2">
        <v>0</v>
      </c>
      <c r="AN1068" s="2">
        <v>0</v>
      </c>
      <c r="AO1068" s="2">
        <v>0</v>
      </c>
      <c r="AP1068" s="2">
        <v>0</v>
      </c>
      <c r="AQ1068" s="2">
        <v>0</v>
      </c>
    </row>
    <row r="1069" spans="1:43" x14ac:dyDescent="0.25">
      <c r="A1069" s="1">
        <v>45936</v>
      </c>
      <c r="B1069" t="s">
        <v>48</v>
      </c>
      <c r="C1069">
        <v>649163</v>
      </c>
      <c r="D1069">
        <v>2030312965</v>
      </c>
      <c r="E1069" t="s">
        <v>1195</v>
      </c>
      <c r="F1069" t="s">
        <v>1151</v>
      </c>
      <c r="G1069" t="s">
        <v>51</v>
      </c>
      <c r="H1069" t="s">
        <v>670</v>
      </c>
      <c r="I1069" t="s">
        <v>350</v>
      </c>
      <c r="J1069" t="s">
        <v>351</v>
      </c>
      <c r="K1069">
        <v>767312</v>
      </c>
      <c r="L1069" t="s">
        <v>283</v>
      </c>
      <c r="M1069" t="s">
        <v>284</v>
      </c>
      <c r="N1069" t="s">
        <v>57</v>
      </c>
      <c r="O1069" s="1">
        <v>45874</v>
      </c>
      <c r="Q1069" s="1">
        <v>45966</v>
      </c>
      <c r="R1069" s="2">
        <v>29.97</v>
      </c>
      <c r="S1069">
        <v>1</v>
      </c>
      <c r="T1069" t="s">
        <v>58</v>
      </c>
      <c r="U1069" t="s">
        <v>359</v>
      </c>
      <c r="V1069" s="3">
        <v>0.47</v>
      </c>
      <c r="W1069" s="2">
        <v>0</v>
      </c>
      <c r="X1069">
        <v>0</v>
      </c>
      <c r="Y1069" t="s">
        <v>60</v>
      </c>
      <c r="Z1069" t="s">
        <v>360</v>
      </c>
      <c r="AA1069">
        <v>0</v>
      </c>
      <c r="AB1069" s="2">
        <v>0</v>
      </c>
      <c r="AC1069" s="2">
        <v>0</v>
      </c>
      <c r="AD1069" s="3">
        <v>0</v>
      </c>
      <c r="AE1069" s="2">
        <v>0</v>
      </c>
      <c r="AF1069" s="2">
        <v>0</v>
      </c>
      <c r="AG1069" s="2">
        <v>0</v>
      </c>
      <c r="AH1069" s="2">
        <v>0</v>
      </c>
      <c r="AI1069" s="2">
        <v>0</v>
      </c>
      <c r="AJ1069" s="2">
        <v>0</v>
      </c>
      <c r="AK1069" s="2">
        <v>0</v>
      </c>
      <c r="AL1069" s="2">
        <v>14.09</v>
      </c>
      <c r="AM1069" s="2">
        <v>0</v>
      </c>
      <c r="AN1069" s="2">
        <v>0</v>
      </c>
      <c r="AO1069" s="2">
        <v>0</v>
      </c>
      <c r="AP1069" s="2">
        <v>0</v>
      </c>
      <c r="AQ1069" s="2">
        <v>0</v>
      </c>
    </row>
    <row r="1070" spans="1:43" x14ac:dyDescent="0.25">
      <c r="A1070" s="1">
        <v>45936</v>
      </c>
      <c r="B1070" t="s">
        <v>48</v>
      </c>
      <c r="C1070">
        <v>649163</v>
      </c>
      <c r="D1070">
        <v>2030716398</v>
      </c>
      <c r="E1070" t="s">
        <v>1196</v>
      </c>
      <c r="F1070" t="s">
        <v>488</v>
      </c>
      <c r="G1070" t="s">
        <v>51</v>
      </c>
      <c r="H1070" t="s">
        <v>101</v>
      </c>
      <c r="I1070" t="s">
        <v>350</v>
      </c>
      <c r="J1070" t="s">
        <v>351</v>
      </c>
      <c r="K1070">
        <v>814033</v>
      </c>
      <c r="L1070" t="s">
        <v>256</v>
      </c>
      <c r="M1070" t="s">
        <v>165</v>
      </c>
      <c r="N1070" t="s">
        <v>57</v>
      </c>
      <c r="O1070" s="1">
        <v>45901</v>
      </c>
      <c r="Q1070" s="1">
        <v>45962</v>
      </c>
      <c r="R1070" s="2">
        <v>84.15</v>
      </c>
      <c r="S1070">
        <v>1</v>
      </c>
      <c r="T1070" t="s">
        <v>58</v>
      </c>
      <c r="U1070" t="s">
        <v>359</v>
      </c>
      <c r="V1070" s="3">
        <v>0.47</v>
      </c>
      <c r="W1070" s="2">
        <v>0</v>
      </c>
      <c r="X1070">
        <v>0</v>
      </c>
      <c r="Y1070" t="s">
        <v>60</v>
      </c>
      <c r="Z1070" t="s">
        <v>360</v>
      </c>
      <c r="AA1070">
        <v>0</v>
      </c>
      <c r="AB1070" s="2">
        <v>0</v>
      </c>
      <c r="AC1070" s="2">
        <v>0</v>
      </c>
      <c r="AD1070" s="3">
        <v>0</v>
      </c>
      <c r="AE1070" s="2">
        <v>0</v>
      </c>
      <c r="AF1070" s="2">
        <v>0</v>
      </c>
      <c r="AG1070" s="2">
        <v>0</v>
      </c>
      <c r="AH1070" s="2">
        <v>0</v>
      </c>
      <c r="AI1070" s="2">
        <v>0</v>
      </c>
      <c r="AJ1070" s="2">
        <v>0</v>
      </c>
      <c r="AK1070" s="2">
        <v>0</v>
      </c>
      <c r="AL1070" s="2">
        <v>0</v>
      </c>
      <c r="AM1070" s="2">
        <v>39.549999999999997</v>
      </c>
      <c r="AN1070" s="2">
        <v>39.549999999999997</v>
      </c>
      <c r="AO1070" s="2">
        <v>0</v>
      </c>
      <c r="AP1070" s="2">
        <v>0</v>
      </c>
      <c r="AQ1070" s="2">
        <v>0</v>
      </c>
    </row>
    <row r="1071" spans="1:43" x14ac:dyDescent="0.25">
      <c r="A1071" s="1">
        <v>45936</v>
      </c>
      <c r="B1071" t="s">
        <v>48</v>
      </c>
      <c r="C1071">
        <v>649163</v>
      </c>
      <c r="D1071">
        <v>2030775884</v>
      </c>
      <c r="E1071" t="s">
        <v>648</v>
      </c>
      <c r="F1071" t="s">
        <v>526</v>
      </c>
      <c r="G1071" t="s">
        <v>51</v>
      </c>
      <c r="H1071" t="s">
        <v>88</v>
      </c>
      <c r="I1071" t="s">
        <v>350</v>
      </c>
      <c r="J1071" t="s">
        <v>351</v>
      </c>
      <c r="K1071">
        <v>878036</v>
      </c>
      <c r="L1071" t="s">
        <v>335</v>
      </c>
      <c r="M1071" t="s">
        <v>336</v>
      </c>
      <c r="N1071" t="s">
        <v>57</v>
      </c>
      <c r="O1071" s="1">
        <v>45901</v>
      </c>
      <c r="Q1071" s="1">
        <v>45962</v>
      </c>
      <c r="R1071" s="2">
        <v>210.43</v>
      </c>
      <c r="S1071">
        <v>1</v>
      </c>
      <c r="T1071" t="s">
        <v>58</v>
      </c>
      <c r="U1071" t="s">
        <v>359</v>
      </c>
      <c r="V1071" s="3">
        <v>0.47</v>
      </c>
      <c r="W1071" s="2">
        <v>0</v>
      </c>
      <c r="X1071">
        <v>0</v>
      </c>
      <c r="Y1071" t="s">
        <v>60</v>
      </c>
      <c r="Z1071" t="s">
        <v>360</v>
      </c>
      <c r="AA1071">
        <v>0</v>
      </c>
      <c r="AB1071" s="2">
        <v>0</v>
      </c>
      <c r="AC1071" s="2">
        <v>0</v>
      </c>
      <c r="AD1071" s="3">
        <v>0</v>
      </c>
      <c r="AE1071" s="2">
        <v>0</v>
      </c>
      <c r="AF1071" s="2">
        <v>0</v>
      </c>
      <c r="AG1071" s="2">
        <v>0</v>
      </c>
      <c r="AH1071" s="2">
        <v>0</v>
      </c>
      <c r="AI1071" s="2">
        <v>0</v>
      </c>
      <c r="AJ1071" s="2">
        <v>0</v>
      </c>
      <c r="AK1071" s="2">
        <v>0</v>
      </c>
      <c r="AL1071" s="2">
        <v>98.9</v>
      </c>
      <c r="AM1071" s="2">
        <v>0</v>
      </c>
      <c r="AN1071" s="2">
        <v>0</v>
      </c>
      <c r="AO1071" s="2">
        <v>0</v>
      </c>
      <c r="AP1071" s="2">
        <v>0</v>
      </c>
      <c r="AQ1071" s="2">
        <v>0</v>
      </c>
    </row>
    <row r="1072" spans="1:43" x14ac:dyDescent="0.25">
      <c r="A1072" s="1">
        <v>45936</v>
      </c>
      <c r="B1072" t="s">
        <v>48</v>
      </c>
      <c r="C1072">
        <v>649163</v>
      </c>
      <c r="D1072">
        <v>2030806868</v>
      </c>
      <c r="E1072" t="s">
        <v>1197</v>
      </c>
      <c r="F1072" t="s">
        <v>1198</v>
      </c>
      <c r="G1072" t="s">
        <v>51</v>
      </c>
      <c r="H1072" t="s">
        <v>101</v>
      </c>
      <c r="I1072" t="s">
        <v>350</v>
      </c>
      <c r="J1072" t="s">
        <v>351</v>
      </c>
      <c r="K1072">
        <v>812994</v>
      </c>
      <c r="L1072" t="s">
        <v>428</v>
      </c>
      <c r="M1072" t="s">
        <v>309</v>
      </c>
      <c r="N1072" t="s">
        <v>57</v>
      </c>
      <c r="O1072" s="1">
        <v>45902</v>
      </c>
      <c r="Q1072" s="1">
        <v>45963</v>
      </c>
      <c r="R1072" s="2">
        <v>49.71</v>
      </c>
      <c r="S1072">
        <v>1</v>
      </c>
      <c r="T1072" t="s">
        <v>58</v>
      </c>
      <c r="U1072" t="s">
        <v>359</v>
      </c>
      <c r="V1072" s="3">
        <v>0.47</v>
      </c>
      <c r="W1072" s="2">
        <v>0</v>
      </c>
      <c r="X1072">
        <v>0</v>
      </c>
      <c r="Y1072" t="s">
        <v>60</v>
      </c>
      <c r="Z1072" t="s">
        <v>360</v>
      </c>
      <c r="AA1072">
        <v>0</v>
      </c>
      <c r="AB1072" s="2">
        <v>0</v>
      </c>
      <c r="AC1072" s="2">
        <v>0</v>
      </c>
      <c r="AD1072" s="3">
        <v>0</v>
      </c>
      <c r="AE1072" s="2">
        <v>0</v>
      </c>
      <c r="AF1072" s="2">
        <v>0</v>
      </c>
      <c r="AG1072" s="2">
        <v>0</v>
      </c>
      <c r="AH1072" s="2">
        <v>0</v>
      </c>
      <c r="AI1072" s="2">
        <v>0</v>
      </c>
      <c r="AJ1072" s="2">
        <v>0</v>
      </c>
      <c r="AK1072" s="2">
        <v>0</v>
      </c>
      <c r="AL1072" s="2">
        <v>23.36</v>
      </c>
      <c r="AM1072" s="2">
        <v>0</v>
      </c>
      <c r="AN1072" s="2">
        <v>0</v>
      </c>
      <c r="AO1072" s="2">
        <v>0</v>
      </c>
      <c r="AP1072" s="2">
        <v>0</v>
      </c>
      <c r="AQ1072" s="2">
        <v>0</v>
      </c>
    </row>
    <row r="1073" spans="1:44" x14ac:dyDescent="0.25">
      <c r="A1073" s="1">
        <v>45936</v>
      </c>
      <c r="B1073" t="s">
        <v>48</v>
      </c>
      <c r="C1073">
        <v>649163</v>
      </c>
      <c r="D1073">
        <v>2030806869</v>
      </c>
      <c r="E1073" t="s">
        <v>1197</v>
      </c>
      <c r="F1073" t="s">
        <v>1198</v>
      </c>
      <c r="G1073" t="s">
        <v>51</v>
      </c>
      <c r="H1073" t="s">
        <v>101</v>
      </c>
      <c r="I1073" t="s">
        <v>350</v>
      </c>
      <c r="J1073" t="s">
        <v>1141</v>
      </c>
      <c r="K1073">
        <v>812994</v>
      </c>
      <c r="L1073" t="s">
        <v>428</v>
      </c>
      <c r="M1073" t="s">
        <v>309</v>
      </c>
      <c r="N1073" t="s">
        <v>57</v>
      </c>
      <c r="O1073" s="1">
        <v>45902</v>
      </c>
      <c r="Q1073" s="1">
        <v>45963</v>
      </c>
      <c r="R1073" s="2">
        <v>125.02</v>
      </c>
      <c r="S1073">
        <v>1</v>
      </c>
      <c r="T1073" t="s">
        <v>58</v>
      </c>
      <c r="U1073" t="s">
        <v>359</v>
      </c>
      <c r="V1073" s="3">
        <v>0.51</v>
      </c>
      <c r="W1073" s="2">
        <v>0</v>
      </c>
      <c r="X1073">
        <v>0</v>
      </c>
      <c r="Y1073" t="s">
        <v>60</v>
      </c>
      <c r="Z1073" t="s">
        <v>360</v>
      </c>
      <c r="AA1073">
        <v>0</v>
      </c>
      <c r="AB1073" s="2">
        <v>0</v>
      </c>
      <c r="AC1073" s="2">
        <v>0</v>
      </c>
      <c r="AD1073" s="3">
        <v>0</v>
      </c>
      <c r="AE1073" s="2">
        <v>0</v>
      </c>
      <c r="AF1073" s="2">
        <v>0</v>
      </c>
      <c r="AG1073" s="2">
        <v>0</v>
      </c>
      <c r="AH1073" s="2">
        <v>0</v>
      </c>
      <c r="AI1073" s="2">
        <v>0</v>
      </c>
      <c r="AJ1073" s="2">
        <v>0</v>
      </c>
      <c r="AK1073" s="2">
        <v>0</v>
      </c>
      <c r="AL1073" s="2">
        <v>63.76</v>
      </c>
      <c r="AM1073" s="2">
        <v>0</v>
      </c>
      <c r="AN1073" s="2">
        <v>0</v>
      </c>
      <c r="AO1073" s="2">
        <v>0</v>
      </c>
      <c r="AP1073" s="2">
        <v>0</v>
      </c>
      <c r="AQ1073" s="2">
        <v>0</v>
      </c>
    </row>
    <row r="1074" spans="1:44" x14ac:dyDescent="0.25">
      <c r="A1074" s="1">
        <v>45936</v>
      </c>
      <c r="B1074" t="s">
        <v>48</v>
      </c>
      <c r="C1074">
        <v>649163</v>
      </c>
      <c r="D1074">
        <v>2030806870</v>
      </c>
      <c r="E1074" t="s">
        <v>1197</v>
      </c>
      <c r="F1074" t="s">
        <v>1198</v>
      </c>
      <c r="G1074" t="s">
        <v>51</v>
      </c>
      <c r="H1074" t="s">
        <v>101</v>
      </c>
      <c r="I1074" t="s">
        <v>350</v>
      </c>
      <c r="J1074" t="s">
        <v>1142</v>
      </c>
      <c r="K1074">
        <v>812994</v>
      </c>
      <c r="L1074" t="s">
        <v>428</v>
      </c>
      <c r="M1074" t="s">
        <v>309</v>
      </c>
      <c r="N1074" t="s">
        <v>57</v>
      </c>
      <c r="O1074" s="1">
        <v>45902</v>
      </c>
      <c r="Q1074" s="1">
        <v>45963</v>
      </c>
      <c r="R1074" s="2">
        <v>14.95</v>
      </c>
      <c r="S1074">
        <v>1</v>
      </c>
      <c r="T1074" t="s">
        <v>58</v>
      </c>
      <c r="U1074" t="s">
        <v>359</v>
      </c>
      <c r="V1074" s="3">
        <v>0.51</v>
      </c>
      <c r="W1074" s="2">
        <v>0</v>
      </c>
      <c r="X1074">
        <v>0</v>
      </c>
      <c r="Y1074" t="s">
        <v>60</v>
      </c>
      <c r="Z1074" t="s">
        <v>360</v>
      </c>
      <c r="AA1074">
        <v>0</v>
      </c>
      <c r="AB1074" s="2">
        <v>0</v>
      </c>
      <c r="AC1074" s="2">
        <v>0</v>
      </c>
      <c r="AD1074" s="3">
        <v>0</v>
      </c>
      <c r="AE1074" s="2">
        <v>0</v>
      </c>
      <c r="AF1074" s="2">
        <v>0</v>
      </c>
      <c r="AG1074" s="2">
        <v>0</v>
      </c>
      <c r="AH1074" s="2">
        <v>0</v>
      </c>
      <c r="AI1074" s="2">
        <v>0</v>
      </c>
      <c r="AJ1074" s="2">
        <v>0</v>
      </c>
      <c r="AK1074" s="2">
        <v>0</v>
      </c>
      <c r="AL1074" s="2">
        <v>7.62</v>
      </c>
      <c r="AM1074" s="2">
        <v>0</v>
      </c>
      <c r="AN1074" s="2">
        <v>0</v>
      </c>
      <c r="AO1074" s="2">
        <v>0</v>
      </c>
      <c r="AP1074" s="2">
        <v>0</v>
      </c>
      <c r="AQ1074" s="2">
        <v>0</v>
      </c>
    </row>
    <row r="1075" spans="1:44" x14ac:dyDescent="0.25">
      <c r="A1075" s="1">
        <v>45936</v>
      </c>
      <c r="B1075" t="s">
        <v>48</v>
      </c>
      <c r="C1075">
        <v>649163</v>
      </c>
      <c r="D1075">
        <v>2030807230</v>
      </c>
      <c r="E1075" t="s">
        <v>1199</v>
      </c>
      <c r="F1075" t="s">
        <v>1200</v>
      </c>
      <c r="G1075" t="s">
        <v>51</v>
      </c>
      <c r="H1075" t="s">
        <v>101</v>
      </c>
      <c r="I1075" t="s">
        <v>350</v>
      </c>
      <c r="J1075" t="s">
        <v>351</v>
      </c>
      <c r="K1075">
        <v>812994</v>
      </c>
      <c r="L1075" t="s">
        <v>428</v>
      </c>
      <c r="M1075" t="s">
        <v>309</v>
      </c>
      <c r="N1075" t="s">
        <v>57</v>
      </c>
      <c r="O1075" s="1">
        <v>45902</v>
      </c>
      <c r="Q1075" s="1">
        <v>45963</v>
      </c>
      <c r="R1075" s="2">
        <v>49.71</v>
      </c>
      <c r="S1075">
        <v>1</v>
      </c>
      <c r="T1075" t="s">
        <v>58</v>
      </c>
      <c r="U1075" t="s">
        <v>359</v>
      </c>
      <c r="V1075" s="3">
        <v>0.47</v>
      </c>
      <c r="W1075" s="2">
        <v>0</v>
      </c>
      <c r="X1075">
        <v>0</v>
      </c>
      <c r="Y1075" t="s">
        <v>60</v>
      </c>
      <c r="Z1075" t="s">
        <v>360</v>
      </c>
      <c r="AA1075">
        <v>0</v>
      </c>
      <c r="AB1075" s="2">
        <v>0</v>
      </c>
      <c r="AC1075" s="2">
        <v>0</v>
      </c>
      <c r="AD1075" s="3">
        <v>0</v>
      </c>
      <c r="AE1075" s="2">
        <v>0</v>
      </c>
      <c r="AF1075" s="2">
        <v>0</v>
      </c>
      <c r="AG1075" s="2">
        <v>0</v>
      </c>
      <c r="AH1075" s="2">
        <v>0</v>
      </c>
      <c r="AI1075" s="2">
        <v>0</v>
      </c>
      <c r="AJ1075" s="2">
        <v>0</v>
      </c>
      <c r="AK1075" s="2">
        <v>0</v>
      </c>
      <c r="AL1075" s="2">
        <v>23.36</v>
      </c>
      <c r="AM1075" s="2">
        <v>0</v>
      </c>
      <c r="AN1075" s="2">
        <v>0</v>
      </c>
      <c r="AO1075" s="2">
        <v>0</v>
      </c>
      <c r="AP1075" s="2">
        <v>0</v>
      </c>
      <c r="AQ1075" s="2">
        <v>0</v>
      </c>
    </row>
    <row r="1076" spans="1:44" x14ac:dyDescent="0.25">
      <c r="A1076" s="1">
        <v>45936</v>
      </c>
      <c r="B1076" t="s">
        <v>48</v>
      </c>
      <c r="C1076">
        <v>649163</v>
      </c>
      <c r="D1076">
        <v>2030807231</v>
      </c>
      <c r="E1076" t="s">
        <v>1199</v>
      </c>
      <c r="F1076" t="s">
        <v>1200</v>
      </c>
      <c r="G1076" t="s">
        <v>51</v>
      </c>
      <c r="H1076" t="s">
        <v>101</v>
      </c>
      <c r="I1076" t="s">
        <v>350</v>
      </c>
      <c r="J1076" t="s">
        <v>1141</v>
      </c>
      <c r="K1076">
        <v>812994</v>
      </c>
      <c r="L1076" t="s">
        <v>428</v>
      </c>
      <c r="M1076" t="s">
        <v>309</v>
      </c>
      <c r="N1076" t="s">
        <v>57</v>
      </c>
      <c r="O1076" s="1">
        <v>45902</v>
      </c>
      <c r="Q1076" s="1">
        <v>45963</v>
      </c>
      <c r="R1076" s="2">
        <v>62.51</v>
      </c>
      <c r="S1076">
        <v>1</v>
      </c>
      <c r="T1076" t="s">
        <v>58</v>
      </c>
      <c r="U1076" t="s">
        <v>359</v>
      </c>
      <c r="V1076" s="3">
        <v>0.51</v>
      </c>
      <c r="W1076" s="2">
        <v>0</v>
      </c>
      <c r="X1076">
        <v>0</v>
      </c>
      <c r="Y1076" t="s">
        <v>60</v>
      </c>
      <c r="Z1076" t="s">
        <v>360</v>
      </c>
      <c r="AA1076">
        <v>0</v>
      </c>
      <c r="AB1076" s="2">
        <v>0</v>
      </c>
      <c r="AC1076" s="2">
        <v>0</v>
      </c>
      <c r="AD1076" s="3">
        <v>0</v>
      </c>
      <c r="AE1076" s="2">
        <v>0</v>
      </c>
      <c r="AF1076" s="2">
        <v>0</v>
      </c>
      <c r="AG1076" s="2">
        <v>0</v>
      </c>
      <c r="AH1076" s="2">
        <v>0</v>
      </c>
      <c r="AI1076" s="2">
        <v>0</v>
      </c>
      <c r="AJ1076" s="2">
        <v>0</v>
      </c>
      <c r="AK1076" s="2">
        <v>0</v>
      </c>
      <c r="AL1076" s="2">
        <v>31.88</v>
      </c>
      <c r="AM1076" s="2">
        <v>0</v>
      </c>
      <c r="AN1076" s="2">
        <v>0</v>
      </c>
      <c r="AO1076" s="2">
        <v>0</v>
      </c>
      <c r="AP1076" s="2">
        <v>0</v>
      </c>
      <c r="AQ1076" s="2">
        <v>0</v>
      </c>
    </row>
    <row r="1077" spans="1:44" x14ac:dyDescent="0.25">
      <c r="A1077" s="1">
        <v>45936</v>
      </c>
      <c r="B1077" t="s">
        <v>48</v>
      </c>
      <c r="C1077">
        <v>649163</v>
      </c>
      <c r="D1077">
        <v>2030807232</v>
      </c>
      <c r="E1077" t="s">
        <v>1199</v>
      </c>
      <c r="F1077" t="s">
        <v>1200</v>
      </c>
      <c r="G1077" t="s">
        <v>51</v>
      </c>
      <c r="H1077" t="s">
        <v>101</v>
      </c>
      <c r="I1077" t="s">
        <v>350</v>
      </c>
      <c r="J1077" t="s">
        <v>1142</v>
      </c>
      <c r="K1077">
        <v>812994</v>
      </c>
      <c r="L1077" t="s">
        <v>428</v>
      </c>
      <c r="M1077" t="s">
        <v>309</v>
      </c>
      <c r="N1077" t="s">
        <v>57</v>
      </c>
      <c r="O1077" s="1">
        <v>45902</v>
      </c>
      <c r="Q1077" s="1">
        <v>45963</v>
      </c>
      <c r="R1077" s="2">
        <v>14.95</v>
      </c>
      <c r="S1077">
        <v>1</v>
      </c>
      <c r="T1077" t="s">
        <v>58</v>
      </c>
      <c r="U1077" t="s">
        <v>359</v>
      </c>
      <c r="V1077" s="3">
        <v>0.51</v>
      </c>
      <c r="W1077" s="2">
        <v>0</v>
      </c>
      <c r="X1077">
        <v>0</v>
      </c>
      <c r="Y1077" t="s">
        <v>60</v>
      </c>
      <c r="Z1077" t="s">
        <v>360</v>
      </c>
      <c r="AA1077">
        <v>0</v>
      </c>
      <c r="AB1077" s="2">
        <v>0</v>
      </c>
      <c r="AC1077" s="2">
        <v>0</v>
      </c>
      <c r="AD1077" s="3">
        <v>0</v>
      </c>
      <c r="AE1077" s="2">
        <v>0</v>
      </c>
      <c r="AF1077" s="2">
        <v>0</v>
      </c>
      <c r="AG1077" s="2">
        <v>0</v>
      </c>
      <c r="AH1077" s="2">
        <v>0</v>
      </c>
      <c r="AI1077" s="2">
        <v>0</v>
      </c>
      <c r="AJ1077" s="2">
        <v>0</v>
      </c>
      <c r="AK1077" s="2">
        <v>0</v>
      </c>
      <c r="AL1077" s="2">
        <v>7.62</v>
      </c>
      <c r="AM1077" s="2">
        <v>0</v>
      </c>
      <c r="AN1077" s="2">
        <v>0</v>
      </c>
      <c r="AO1077" s="2">
        <v>0</v>
      </c>
      <c r="AP1077" s="2">
        <v>0</v>
      </c>
      <c r="AQ1077" s="2">
        <v>0</v>
      </c>
    </row>
    <row r="1078" spans="1:44" x14ac:dyDescent="0.25">
      <c r="A1078" s="1">
        <v>45936</v>
      </c>
      <c r="B1078" t="s">
        <v>1201</v>
      </c>
      <c r="C1078">
        <v>20436896</v>
      </c>
      <c r="D1078">
        <v>2016921676</v>
      </c>
      <c r="E1078" t="s">
        <v>1202</v>
      </c>
      <c r="F1078" t="s">
        <v>441</v>
      </c>
      <c r="G1078" t="s">
        <v>51</v>
      </c>
      <c r="I1078" t="s">
        <v>292</v>
      </c>
      <c r="J1078" t="s">
        <v>536</v>
      </c>
      <c r="K1078">
        <v>20436896</v>
      </c>
      <c r="L1078" t="s">
        <v>80</v>
      </c>
      <c r="M1078" t="s">
        <v>537</v>
      </c>
      <c r="N1078" t="s">
        <v>456</v>
      </c>
      <c r="O1078" s="1">
        <v>44927</v>
      </c>
      <c r="P1078" s="1">
        <v>45936</v>
      </c>
      <c r="R1078" s="2">
        <v>0</v>
      </c>
      <c r="AB1078" s="2">
        <v>0</v>
      </c>
      <c r="AC1078" s="2">
        <v>0</v>
      </c>
      <c r="AE1078" s="2">
        <v>0</v>
      </c>
      <c r="AF1078" s="2">
        <v>0</v>
      </c>
      <c r="AG1078" s="2">
        <v>0</v>
      </c>
      <c r="AH1078" s="2">
        <v>0</v>
      </c>
      <c r="AI1078" s="2">
        <v>0</v>
      </c>
      <c r="AJ1078" s="2">
        <v>0</v>
      </c>
      <c r="AK1078" s="2">
        <v>0</v>
      </c>
      <c r="AL1078" s="2">
        <v>0</v>
      </c>
      <c r="AM1078" s="2">
        <v>0</v>
      </c>
      <c r="AN1078" s="2">
        <v>0</v>
      </c>
      <c r="AO1078" s="2">
        <v>0</v>
      </c>
      <c r="AP1078" s="2">
        <v>0</v>
      </c>
      <c r="AQ1078" s="2">
        <v>0</v>
      </c>
      <c r="AR1078" t="s">
        <v>1203</v>
      </c>
    </row>
    <row r="1079" spans="1:44" x14ac:dyDescent="0.25">
      <c r="A1079" s="1">
        <v>45936</v>
      </c>
      <c r="B1079" t="s">
        <v>1201</v>
      </c>
      <c r="C1079">
        <v>18828278</v>
      </c>
      <c r="D1079">
        <v>2025305259</v>
      </c>
      <c r="E1079" t="s">
        <v>1204</v>
      </c>
      <c r="F1079" t="s">
        <v>132</v>
      </c>
      <c r="G1079" t="s">
        <v>51</v>
      </c>
      <c r="I1079" t="s">
        <v>243</v>
      </c>
      <c r="J1079" t="s">
        <v>244</v>
      </c>
      <c r="K1079">
        <v>18828278</v>
      </c>
      <c r="L1079" t="s">
        <v>815</v>
      </c>
      <c r="M1079" t="s">
        <v>482</v>
      </c>
      <c r="N1079" t="s">
        <v>456</v>
      </c>
      <c r="O1079" s="1">
        <v>45602</v>
      </c>
      <c r="P1079" s="1">
        <v>45936</v>
      </c>
      <c r="R1079" s="2">
        <v>0</v>
      </c>
      <c r="AB1079" s="2">
        <v>0</v>
      </c>
      <c r="AC1079" s="2">
        <v>0</v>
      </c>
      <c r="AE1079" s="2">
        <v>0</v>
      </c>
      <c r="AF1079" s="2">
        <v>0</v>
      </c>
      <c r="AG1079" s="2">
        <v>0</v>
      </c>
      <c r="AH1079" s="2">
        <v>0</v>
      </c>
      <c r="AI1079" s="2">
        <v>0</v>
      </c>
      <c r="AJ1079" s="2">
        <v>0</v>
      </c>
      <c r="AK1079" s="2">
        <v>0</v>
      </c>
      <c r="AL1079" s="2">
        <v>0</v>
      </c>
      <c r="AM1079" s="2">
        <v>0</v>
      </c>
      <c r="AN1079" s="2">
        <v>0</v>
      </c>
      <c r="AO1079" s="2">
        <v>0</v>
      </c>
      <c r="AP1079" s="2">
        <v>0</v>
      </c>
      <c r="AQ1079" s="2">
        <v>0</v>
      </c>
      <c r="AR1079" t="s">
        <v>1203</v>
      </c>
    </row>
    <row r="1080" spans="1:44" x14ac:dyDescent="0.25">
      <c r="A1080" s="1">
        <v>45936</v>
      </c>
      <c r="B1080" t="s">
        <v>1201</v>
      </c>
      <c r="C1080">
        <v>371819</v>
      </c>
      <c r="D1080">
        <v>2025154617</v>
      </c>
      <c r="E1080" t="s">
        <v>1205</v>
      </c>
      <c r="F1080" t="s">
        <v>626</v>
      </c>
      <c r="G1080" t="s">
        <v>51</v>
      </c>
      <c r="I1080" t="s">
        <v>243</v>
      </c>
      <c r="J1080" t="s">
        <v>244</v>
      </c>
      <c r="K1080">
        <v>371819</v>
      </c>
      <c r="L1080" t="s">
        <v>283</v>
      </c>
      <c r="M1080" t="s">
        <v>284</v>
      </c>
      <c r="N1080" t="s">
        <v>456</v>
      </c>
      <c r="O1080" s="1">
        <v>45581</v>
      </c>
      <c r="P1080" s="1">
        <v>45936</v>
      </c>
      <c r="R1080" s="2">
        <v>0</v>
      </c>
      <c r="AB1080" s="2">
        <v>0</v>
      </c>
      <c r="AC1080" s="2">
        <v>0</v>
      </c>
      <c r="AE1080" s="2">
        <v>0</v>
      </c>
      <c r="AF1080" s="2">
        <v>0</v>
      </c>
      <c r="AG1080" s="2">
        <v>0</v>
      </c>
      <c r="AH1080" s="2">
        <v>0</v>
      </c>
      <c r="AI1080" s="2">
        <v>0</v>
      </c>
      <c r="AJ1080" s="2">
        <v>0</v>
      </c>
      <c r="AK1080" s="2">
        <v>0</v>
      </c>
      <c r="AL1080" s="2">
        <v>0</v>
      </c>
      <c r="AM1080" s="2">
        <v>0</v>
      </c>
      <c r="AN1080" s="2">
        <v>0</v>
      </c>
      <c r="AO1080" s="2">
        <v>0</v>
      </c>
      <c r="AP1080" s="2">
        <v>0</v>
      </c>
      <c r="AQ1080" s="2">
        <v>0</v>
      </c>
      <c r="AR1080" t="s">
        <v>1203</v>
      </c>
    </row>
    <row r="1081" spans="1:44" x14ac:dyDescent="0.25">
      <c r="A1081" s="1">
        <v>45936</v>
      </c>
      <c r="B1081" t="s">
        <v>1201</v>
      </c>
      <c r="C1081">
        <v>18781057</v>
      </c>
      <c r="D1081">
        <v>2023476600</v>
      </c>
      <c r="E1081" t="s">
        <v>396</v>
      </c>
      <c r="F1081" t="s">
        <v>1206</v>
      </c>
      <c r="G1081" t="s">
        <v>51</v>
      </c>
      <c r="I1081" t="s">
        <v>209</v>
      </c>
      <c r="J1081" t="s">
        <v>222</v>
      </c>
      <c r="K1081">
        <v>18781057</v>
      </c>
      <c r="L1081" t="s">
        <v>71</v>
      </c>
      <c r="M1081" t="s">
        <v>72</v>
      </c>
      <c r="N1081" t="s">
        <v>456</v>
      </c>
      <c r="O1081" s="1">
        <v>45455</v>
      </c>
      <c r="P1081" s="1">
        <v>45936</v>
      </c>
      <c r="R1081" s="2">
        <v>0</v>
      </c>
      <c r="AB1081" s="2">
        <v>0</v>
      </c>
      <c r="AC1081" s="2">
        <v>0</v>
      </c>
      <c r="AE1081" s="2">
        <v>0</v>
      </c>
      <c r="AF1081" s="2">
        <v>0</v>
      </c>
      <c r="AG1081" s="2">
        <v>0</v>
      </c>
      <c r="AH1081" s="2">
        <v>0</v>
      </c>
      <c r="AI1081" s="2">
        <v>0</v>
      </c>
      <c r="AJ1081" s="2">
        <v>0</v>
      </c>
      <c r="AK1081" s="2">
        <v>0</v>
      </c>
      <c r="AL1081" s="2">
        <v>0</v>
      </c>
      <c r="AM1081" s="2">
        <v>0</v>
      </c>
      <c r="AN1081" s="2">
        <v>0</v>
      </c>
      <c r="AO1081" s="2">
        <v>0</v>
      </c>
      <c r="AP1081" s="2">
        <v>0</v>
      </c>
      <c r="AQ1081" s="2">
        <v>0</v>
      </c>
      <c r="AR1081" t="s">
        <v>1203</v>
      </c>
    </row>
    <row r="1082" spans="1:44" x14ac:dyDescent="0.25">
      <c r="A1082" s="1">
        <v>45936</v>
      </c>
      <c r="B1082" t="s">
        <v>1201</v>
      </c>
      <c r="C1082">
        <v>649163</v>
      </c>
      <c r="D1082">
        <v>2020895975</v>
      </c>
      <c r="E1082" t="s">
        <v>97</v>
      </c>
      <c r="F1082" t="s">
        <v>482</v>
      </c>
      <c r="G1082" t="s">
        <v>51</v>
      </c>
      <c r="I1082" t="s">
        <v>209</v>
      </c>
      <c r="J1082" t="s">
        <v>960</v>
      </c>
      <c r="K1082">
        <v>649163</v>
      </c>
      <c r="L1082" t="s">
        <v>80</v>
      </c>
      <c r="M1082" t="s">
        <v>81</v>
      </c>
      <c r="N1082" t="s">
        <v>456</v>
      </c>
      <c r="O1082" s="1">
        <v>45292</v>
      </c>
      <c r="P1082" s="1">
        <v>45936</v>
      </c>
      <c r="R1082" s="2">
        <v>0</v>
      </c>
      <c r="AB1082" s="2">
        <v>0</v>
      </c>
      <c r="AC1082" s="2">
        <v>0</v>
      </c>
      <c r="AE1082" s="2">
        <v>0</v>
      </c>
      <c r="AF1082" s="2">
        <v>0</v>
      </c>
      <c r="AG1082" s="2">
        <v>0</v>
      </c>
      <c r="AH1082" s="2">
        <v>0</v>
      </c>
      <c r="AI1082" s="2">
        <v>0</v>
      </c>
      <c r="AJ1082" s="2">
        <v>0</v>
      </c>
      <c r="AK1082" s="2">
        <v>0</v>
      </c>
      <c r="AL1082" s="2">
        <v>0</v>
      </c>
      <c r="AM1082" s="2">
        <v>0</v>
      </c>
      <c r="AN1082" s="2">
        <v>0</v>
      </c>
      <c r="AO1082" s="2">
        <v>0</v>
      </c>
      <c r="AP1082" s="2">
        <v>0</v>
      </c>
      <c r="AQ1082" s="2">
        <v>0</v>
      </c>
      <c r="AR1082" t="s">
        <v>1203</v>
      </c>
    </row>
    <row r="1083" spans="1:44" x14ac:dyDescent="0.25">
      <c r="A1083" s="1">
        <v>45936</v>
      </c>
      <c r="B1083" t="s">
        <v>1201</v>
      </c>
      <c r="C1083">
        <v>19562245</v>
      </c>
      <c r="D1083">
        <v>2019584893</v>
      </c>
      <c r="E1083" t="s">
        <v>1207</v>
      </c>
      <c r="F1083" t="s">
        <v>1208</v>
      </c>
      <c r="G1083" t="s">
        <v>51</v>
      </c>
      <c r="I1083" t="s">
        <v>243</v>
      </c>
      <c r="J1083" t="s">
        <v>244</v>
      </c>
      <c r="K1083">
        <v>19562245</v>
      </c>
      <c r="L1083" t="s">
        <v>576</v>
      </c>
      <c r="M1083" t="s">
        <v>139</v>
      </c>
      <c r="N1083" t="s">
        <v>456</v>
      </c>
      <c r="O1083" s="1">
        <v>45141</v>
      </c>
      <c r="P1083" s="1">
        <v>45936</v>
      </c>
      <c r="R1083" s="2">
        <v>0</v>
      </c>
      <c r="AB1083" s="2">
        <v>0</v>
      </c>
      <c r="AC1083" s="2">
        <v>0</v>
      </c>
      <c r="AE1083" s="2">
        <v>0</v>
      </c>
      <c r="AF1083" s="2">
        <v>0</v>
      </c>
      <c r="AG1083" s="2">
        <v>0</v>
      </c>
      <c r="AH1083" s="2">
        <v>0</v>
      </c>
      <c r="AI1083" s="2">
        <v>0</v>
      </c>
      <c r="AJ1083" s="2">
        <v>0</v>
      </c>
      <c r="AK1083" s="2">
        <v>0</v>
      </c>
      <c r="AL1083" s="2">
        <v>0</v>
      </c>
      <c r="AM1083" s="2">
        <v>0</v>
      </c>
      <c r="AN1083" s="2">
        <v>0</v>
      </c>
      <c r="AO1083" s="2">
        <v>0</v>
      </c>
      <c r="AP1083" s="2">
        <v>0</v>
      </c>
      <c r="AQ1083" s="2">
        <v>0</v>
      </c>
      <c r="AR1083" t="s">
        <v>1203</v>
      </c>
    </row>
    <row r="1084" spans="1:44" x14ac:dyDescent="0.25">
      <c r="A1084" s="1">
        <v>45936</v>
      </c>
      <c r="B1084" t="s">
        <v>1201</v>
      </c>
      <c r="C1084">
        <v>8307933</v>
      </c>
      <c r="D1084">
        <v>2024666422</v>
      </c>
      <c r="E1084" t="s">
        <v>1209</v>
      </c>
      <c r="F1084" t="s">
        <v>1210</v>
      </c>
      <c r="G1084" t="s">
        <v>51</v>
      </c>
      <c r="I1084" t="s">
        <v>89</v>
      </c>
      <c r="J1084" t="s">
        <v>96</v>
      </c>
      <c r="K1084">
        <v>8307933</v>
      </c>
      <c r="L1084" t="s">
        <v>112</v>
      </c>
      <c r="M1084" t="s">
        <v>104</v>
      </c>
      <c r="N1084" t="s">
        <v>456</v>
      </c>
      <c r="O1084" s="1">
        <v>45542</v>
      </c>
      <c r="P1084" s="1">
        <v>45936</v>
      </c>
      <c r="R1084" s="2">
        <v>0</v>
      </c>
      <c r="AB1084" s="2">
        <v>0</v>
      </c>
      <c r="AC1084" s="2">
        <v>0</v>
      </c>
      <c r="AE1084" s="2">
        <v>0</v>
      </c>
      <c r="AF1084" s="2">
        <v>0</v>
      </c>
      <c r="AG1084" s="2">
        <v>0</v>
      </c>
      <c r="AH1084" s="2">
        <v>0</v>
      </c>
      <c r="AI1084" s="2">
        <v>0</v>
      </c>
      <c r="AJ1084" s="2">
        <v>0</v>
      </c>
      <c r="AK1084" s="2">
        <v>0</v>
      </c>
      <c r="AL1084" s="2">
        <v>0</v>
      </c>
      <c r="AM1084" s="2">
        <v>0</v>
      </c>
      <c r="AN1084" s="2">
        <v>0</v>
      </c>
      <c r="AO1084" s="2">
        <v>0</v>
      </c>
      <c r="AP1084" s="2">
        <v>0</v>
      </c>
      <c r="AQ1084" s="2">
        <v>0</v>
      </c>
      <c r="AR1084" t="s">
        <v>1203</v>
      </c>
    </row>
    <row r="1085" spans="1:44" x14ac:dyDescent="0.25">
      <c r="A1085" s="1">
        <v>45936</v>
      </c>
      <c r="B1085" t="s">
        <v>1201</v>
      </c>
      <c r="C1085">
        <v>371819</v>
      </c>
      <c r="D1085">
        <v>2024573703</v>
      </c>
      <c r="E1085" t="s">
        <v>1211</v>
      </c>
      <c r="F1085" t="s">
        <v>63</v>
      </c>
      <c r="G1085" t="s">
        <v>51</v>
      </c>
      <c r="I1085" t="s">
        <v>292</v>
      </c>
      <c r="J1085" t="s">
        <v>293</v>
      </c>
      <c r="K1085">
        <v>371819</v>
      </c>
      <c r="L1085" t="s">
        <v>283</v>
      </c>
      <c r="M1085" t="s">
        <v>284</v>
      </c>
      <c r="N1085" t="s">
        <v>456</v>
      </c>
      <c r="O1085" s="1">
        <v>45536</v>
      </c>
      <c r="P1085" s="1">
        <v>45936</v>
      </c>
      <c r="R1085" s="2">
        <v>0</v>
      </c>
      <c r="AB1085" s="2">
        <v>0</v>
      </c>
      <c r="AC1085" s="2">
        <v>0</v>
      </c>
      <c r="AE1085" s="2">
        <v>0</v>
      </c>
      <c r="AF1085" s="2">
        <v>0</v>
      </c>
      <c r="AG1085" s="2">
        <v>0</v>
      </c>
      <c r="AH1085" s="2">
        <v>0</v>
      </c>
      <c r="AI1085" s="2">
        <v>0</v>
      </c>
      <c r="AJ1085" s="2">
        <v>0</v>
      </c>
      <c r="AK1085" s="2">
        <v>0</v>
      </c>
      <c r="AL1085" s="2">
        <v>0</v>
      </c>
      <c r="AM1085" s="2">
        <v>0</v>
      </c>
      <c r="AN1085" s="2">
        <v>0</v>
      </c>
      <c r="AO1085" s="2">
        <v>0</v>
      </c>
      <c r="AP1085" s="2">
        <v>0</v>
      </c>
      <c r="AQ1085" s="2">
        <v>0</v>
      </c>
      <c r="AR1085" t="s">
        <v>1203</v>
      </c>
    </row>
    <row r="1086" spans="1:44" x14ac:dyDescent="0.25">
      <c r="A1086" s="1">
        <v>45936</v>
      </c>
      <c r="B1086" t="s">
        <v>1201</v>
      </c>
      <c r="C1086">
        <v>371819</v>
      </c>
      <c r="D1086">
        <v>2024573704</v>
      </c>
      <c r="E1086" t="s">
        <v>1211</v>
      </c>
      <c r="F1086" t="s">
        <v>63</v>
      </c>
      <c r="G1086" t="s">
        <v>51</v>
      </c>
      <c r="I1086" t="s">
        <v>89</v>
      </c>
      <c r="J1086" t="s">
        <v>96</v>
      </c>
      <c r="K1086">
        <v>371819</v>
      </c>
      <c r="L1086" t="s">
        <v>283</v>
      </c>
      <c r="M1086" t="s">
        <v>284</v>
      </c>
      <c r="N1086" t="s">
        <v>456</v>
      </c>
      <c r="O1086" s="1">
        <v>45536</v>
      </c>
      <c r="P1086" s="1">
        <v>45936</v>
      </c>
      <c r="R1086" s="2">
        <v>0</v>
      </c>
      <c r="AB1086" s="2">
        <v>0</v>
      </c>
      <c r="AC1086" s="2">
        <v>0</v>
      </c>
      <c r="AE1086" s="2">
        <v>0</v>
      </c>
      <c r="AF1086" s="2">
        <v>0</v>
      </c>
      <c r="AG1086" s="2">
        <v>0</v>
      </c>
      <c r="AH1086" s="2">
        <v>0</v>
      </c>
      <c r="AI1086" s="2">
        <v>0</v>
      </c>
      <c r="AJ1086" s="2">
        <v>0</v>
      </c>
      <c r="AK1086" s="2">
        <v>0</v>
      </c>
      <c r="AL1086" s="2">
        <v>0</v>
      </c>
      <c r="AM1086" s="2">
        <v>0</v>
      </c>
      <c r="AN1086" s="2">
        <v>0</v>
      </c>
      <c r="AO1086" s="2">
        <v>0</v>
      </c>
      <c r="AP1086" s="2">
        <v>0</v>
      </c>
      <c r="AQ1086" s="2">
        <v>0</v>
      </c>
      <c r="AR1086" t="s">
        <v>1203</v>
      </c>
    </row>
    <row r="1087" spans="1:44" x14ac:dyDescent="0.25">
      <c r="A1087" s="1">
        <v>45936</v>
      </c>
      <c r="B1087" t="s">
        <v>1201</v>
      </c>
      <c r="C1087">
        <v>649163</v>
      </c>
      <c r="D1087">
        <v>2016855836</v>
      </c>
      <c r="E1087" t="s">
        <v>634</v>
      </c>
      <c r="F1087" t="s">
        <v>362</v>
      </c>
      <c r="G1087" t="s">
        <v>51</v>
      </c>
      <c r="I1087" t="s">
        <v>243</v>
      </c>
      <c r="J1087" t="s">
        <v>244</v>
      </c>
      <c r="K1087">
        <v>649163</v>
      </c>
      <c r="L1087" t="s">
        <v>172</v>
      </c>
      <c r="M1087" t="s">
        <v>173</v>
      </c>
      <c r="N1087" t="s">
        <v>456</v>
      </c>
      <c r="O1087" s="1">
        <v>44896</v>
      </c>
      <c r="P1087" s="1">
        <v>45936</v>
      </c>
      <c r="R1087" s="2">
        <v>0</v>
      </c>
      <c r="AB1087" s="2">
        <v>0</v>
      </c>
      <c r="AC1087" s="2">
        <v>0</v>
      </c>
      <c r="AE1087" s="2">
        <v>0</v>
      </c>
      <c r="AF1087" s="2">
        <v>0</v>
      </c>
      <c r="AG1087" s="2">
        <v>0</v>
      </c>
      <c r="AH1087" s="2">
        <v>0</v>
      </c>
      <c r="AI1087" s="2">
        <v>0</v>
      </c>
      <c r="AJ1087" s="2">
        <v>0</v>
      </c>
      <c r="AK1087" s="2">
        <v>0</v>
      </c>
      <c r="AL1087" s="2">
        <v>0</v>
      </c>
      <c r="AM1087" s="2">
        <v>0</v>
      </c>
      <c r="AN1087" s="2">
        <v>0</v>
      </c>
      <c r="AO1087" s="2">
        <v>0</v>
      </c>
      <c r="AP1087" s="2">
        <v>0</v>
      </c>
      <c r="AQ1087" s="2">
        <v>0</v>
      </c>
      <c r="AR1087" t="s">
        <v>1203</v>
      </c>
    </row>
    <row r="1088" spans="1:44" x14ac:dyDescent="0.25">
      <c r="A1088" s="1">
        <v>45936</v>
      </c>
      <c r="B1088" t="s">
        <v>1201</v>
      </c>
      <c r="C1088">
        <v>371819</v>
      </c>
      <c r="D1088">
        <v>2025154616</v>
      </c>
      <c r="E1088" t="s">
        <v>1205</v>
      </c>
      <c r="F1088" t="s">
        <v>626</v>
      </c>
      <c r="G1088" t="s">
        <v>51</v>
      </c>
      <c r="I1088" t="s">
        <v>292</v>
      </c>
      <c r="J1088" t="s">
        <v>293</v>
      </c>
      <c r="K1088">
        <v>371819</v>
      </c>
      <c r="L1088" t="s">
        <v>283</v>
      </c>
      <c r="M1088" t="s">
        <v>284</v>
      </c>
      <c r="N1088" t="s">
        <v>456</v>
      </c>
      <c r="O1088" s="1">
        <v>45581</v>
      </c>
      <c r="P1088" s="1">
        <v>45936</v>
      </c>
      <c r="R1088" s="2">
        <v>0</v>
      </c>
      <c r="AB1088" s="2">
        <v>0</v>
      </c>
      <c r="AC1088" s="2">
        <v>0</v>
      </c>
      <c r="AE1088" s="2">
        <v>0</v>
      </c>
      <c r="AF1088" s="2">
        <v>0</v>
      </c>
      <c r="AG1088" s="2">
        <v>0</v>
      </c>
      <c r="AH1088" s="2">
        <v>0</v>
      </c>
      <c r="AI1088" s="2">
        <v>0</v>
      </c>
      <c r="AJ1088" s="2">
        <v>0</v>
      </c>
      <c r="AK1088" s="2">
        <v>0</v>
      </c>
      <c r="AL1088" s="2">
        <v>0</v>
      </c>
      <c r="AM1088" s="2">
        <v>0</v>
      </c>
      <c r="AN1088" s="2">
        <v>0</v>
      </c>
      <c r="AO1088" s="2">
        <v>0</v>
      </c>
      <c r="AP1088" s="2">
        <v>0</v>
      </c>
      <c r="AQ1088" s="2">
        <v>0</v>
      </c>
      <c r="AR1088" t="s">
        <v>1203</v>
      </c>
    </row>
    <row r="1089" spans="1:44" x14ac:dyDescent="0.25">
      <c r="A1089" s="1">
        <v>45936</v>
      </c>
      <c r="B1089" t="s">
        <v>1201</v>
      </c>
      <c r="C1089">
        <v>649163</v>
      </c>
      <c r="D1089">
        <v>2016855834</v>
      </c>
      <c r="E1089" t="s">
        <v>634</v>
      </c>
      <c r="F1089" t="s">
        <v>362</v>
      </c>
      <c r="G1089" t="s">
        <v>51</v>
      </c>
      <c r="I1089" t="s">
        <v>53</v>
      </c>
      <c r="J1089" t="s">
        <v>635</v>
      </c>
      <c r="K1089">
        <v>649163</v>
      </c>
      <c r="L1089" t="s">
        <v>172</v>
      </c>
      <c r="M1089" t="s">
        <v>173</v>
      </c>
      <c r="N1089" t="s">
        <v>456</v>
      </c>
      <c r="O1089" s="1">
        <v>44896</v>
      </c>
      <c r="P1089" s="1">
        <v>45936</v>
      </c>
      <c r="R1089" s="2">
        <v>0</v>
      </c>
      <c r="AB1089" s="2">
        <v>0</v>
      </c>
      <c r="AC1089" s="2">
        <v>0</v>
      </c>
      <c r="AE1089" s="2">
        <v>0</v>
      </c>
      <c r="AF1089" s="2">
        <v>0</v>
      </c>
      <c r="AG1089" s="2">
        <v>0</v>
      </c>
      <c r="AH1089" s="2">
        <v>0</v>
      </c>
      <c r="AI1089" s="2">
        <v>0</v>
      </c>
      <c r="AJ1089" s="2">
        <v>0</v>
      </c>
      <c r="AK1089" s="2">
        <v>0</v>
      </c>
      <c r="AL1089" s="2">
        <v>0</v>
      </c>
      <c r="AM1089" s="2">
        <v>0</v>
      </c>
      <c r="AN1089" s="2">
        <v>0</v>
      </c>
      <c r="AO1089" s="2">
        <v>0</v>
      </c>
      <c r="AP1089" s="2">
        <v>0</v>
      </c>
      <c r="AQ1089" s="2">
        <v>0</v>
      </c>
      <c r="AR1089" t="s">
        <v>1203</v>
      </c>
    </row>
    <row r="1090" spans="1:44" x14ac:dyDescent="0.25">
      <c r="A1090" s="1">
        <v>45936</v>
      </c>
      <c r="B1090" t="s">
        <v>1201</v>
      </c>
      <c r="C1090">
        <v>20436896</v>
      </c>
      <c r="D1090">
        <v>2016921674</v>
      </c>
      <c r="E1090" t="s">
        <v>1202</v>
      </c>
      <c r="F1090" t="s">
        <v>441</v>
      </c>
      <c r="G1090" t="s">
        <v>51</v>
      </c>
      <c r="I1090" t="s">
        <v>53</v>
      </c>
      <c r="J1090" t="s">
        <v>65</v>
      </c>
      <c r="K1090">
        <v>20436896</v>
      </c>
      <c r="L1090" t="s">
        <v>80</v>
      </c>
      <c r="M1090" t="s">
        <v>537</v>
      </c>
      <c r="N1090" t="s">
        <v>456</v>
      </c>
      <c r="O1090" s="1">
        <v>44927</v>
      </c>
      <c r="P1090" s="1">
        <v>45936</v>
      </c>
      <c r="R1090" s="2">
        <v>0</v>
      </c>
      <c r="AB1090" s="2">
        <v>0</v>
      </c>
      <c r="AC1090" s="2">
        <v>0</v>
      </c>
      <c r="AE1090" s="2">
        <v>0</v>
      </c>
      <c r="AF1090" s="2">
        <v>0</v>
      </c>
      <c r="AG1090" s="2">
        <v>0</v>
      </c>
      <c r="AH1090" s="2">
        <v>0</v>
      </c>
      <c r="AI1090" s="2">
        <v>0</v>
      </c>
      <c r="AJ1090" s="2">
        <v>0</v>
      </c>
      <c r="AK1090" s="2">
        <v>0</v>
      </c>
      <c r="AL1090" s="2">
        <v>0</v>
      </c>
      <c r="AM1090" s="2">
        <v>0</v>
      </c>
      <c r="AN1090" s="2">
        <v>0</v>
      </c>
      <c r="AO1090" s="2">
        <v>0</v>
      </c>
      <c r="AP1090" s="2">
        <v>0</v>
      </c>
      <c r="AQ1090" s="2">
        <v>0</v>
      </c>
      <c r="AR1090" t="s">
        <v>1203</v>
      </c>
    </row>
    <row r="1091" spans="1:44" x14ac:dyDescent="0.25">
      <c r="A1091" s="1">
        <v>45936</v>
      </c>
      <c r="B1091" t="s">
        <v>1201</v>
      </c>
      <c r="C1091">
        <v>18828278</v>
      </c>
      <c r="D1091">
        <v>2025305258</v>
      </c>
      <c r="E1091" t="s">
        <v>1204</v>
      </c>
      <c r="F1091" t="s">
        <v>132</v>
      </c>
      <c r="G1091" t="s">
        <v>51</v>
      </c>
      <c r="I1091" t="s">
        <v>292</v>
      </c>
      <c r="J1091" t="s">
        <v>293</v>
      </c>
      <c r="K1091">
        <v>18828278</v>
      </c>
      <c r="L1091" t="s">
        <v>815</v>
      </c>
      <c r="M1091" t="s">
        <v>482</v>
      </c>
      <c r="N1091" t="s">
        <v>456</v>
      </c>
      <c r="O1091" s="1">
        <v>45602</v>
      </c>
      <c r="P1091" s="1">
        <v>45936</v>
      </c>
      <c r="R1091" s="2">
        <v>0</v>
      </c>
      <c r="AB1091" s="2">
        <v>0</v>
      </c>
      <c r="AC1091" s="2">
        <v>0</v>
      </c>
      <c r="AE1091" s="2">
        <v>0</v>
      </c>
      <c r="AF1091" s="2">
        <v>0</v>
      </c>
      <c r="AG1091" s="2">
        <v>0</v>
      </c>
      <c r="AH1091" s="2">
        <v>0</v>
      </c>
      <c r="AI1091" s="2">
        <v>0</v>
      </c>
      <c r="AJ1091" s="2">
        <v>0</v>
      </c>
      <c r="AK1091" s="2">
        <v>0</v>
      </c>
      <c r="AL1091" s="2">
        <v>0</v>
      </c>
      <c r="AM1091" s="2">
        <v>0</v>
      </c>
      <c r="AN1091" s="2">
        <v>0</v>
      </c>
      <c r="AO1091" s="2">
        <v>0</v>
      </c>
      <c r="AP1091" s="2">
        <v>0</v>
      </c>
      <c r="AQ1091" s="2">
        <v>0</v>
      </c>
      <c r="AR1091" t="s">
        <v>1203</v>
      </c>
    </row>
    <row r="1092" spans="1:44" x14ac:dyDescent="0.25">
      <c r="A1092" s="1">
        <v>45936</v>
      </c>
      <c r="B1092" t="s">
        <v>1201</v>
      </c>
      <c r="C1092">
        <v>649163</v>
      </c>
      <c r="D1092">
        <v>2027082733</v>
      </c>
      <c r="E1092" t="s">
        <v>1000</v>
      </c>
      <c r="F1092" t="s">
        <v>290</v>
      </c>
      <c r="G1092" t="s">
        <v>51</v>
      </c>
      <c r="I1092" t="s">
        <v>243</v>
      </c>
      <c r="J1092" t="s">
        <v>244</v>
      </c>
      <c r="K1092">
        <v>649163</v>
      </c>
      <c r="L1092" t="s">
        <v>258</v>
      </c>
      <c r="M1092" t="s">
        <v>259</v>
      </c>
      <c r="N1092" t="s">
        <v>456</v>
      </c>
      <c r="O1092" s="1">
        <v>45701</v>
      </c>
      <c r="P1092" s="1">
        <v>45936</v>
      </c>
      <c r="R1092" s="2">
        <v>0</v>
      </c>
      <c r="AB1092" s="2">
        <v>0</v>
      </c>
      <c r="AC1092" s="2">
        <v>0</v>
      </c>
      <c r="AE1092" s="2">
        <v>0</v>
      </c>
      <c r="AF1092" s="2">
        <v>0</v>
      </c>
      <c r="AG1092" s="2">
        <v>0</v>
      </c>
      <c r="AH1092" s="2">
        <v>0</v>
      </c>
      <c r="AI1092" s="2">
        <v>0</v>
      </c>
      <c r="AJ1092" s="2">
        <v>0</v>
      </c>
      <c r="AK1092" s="2">
        <v>0</v>
      </c>
      <c r="AL1092" s="2">
        <v>0</v>
      </c>
      <c r="AM1092" s="2">
        <v>0</v>
      </c>
      <c r="AN1092" s="2">
        <v>0</v>
      </c>
      <c r="AO1092" s="2">
        <v>0</v>
      </c>
      <c r="AP1092" s="2">
        <v>0</v>
      </c>
      <c r="AQ1092" s="2">
        <v>0</v>
      </c>
      <c r="AR1092" t="s">
        <v>1203</v>
      </c>
    </row>
    <row r="1093" spans="1:44" x14ac:dyDescent="0.25">
      <c r="A1093" s="1">
        <v>45936</v>
      </c>
      <c r="B1093" t="s">
        <v>1201</v>
      </c>
      <c r="C1093">
        <v>18781057</v>
      </c>
      <c r="D1093">
        <v>2023476599</v>
      </c>
      <c r="E1093" t="s">
        <v>396</v>
      </c>
      <c r="F1093" t="s">
        <v>1206</v>
      </c>
      <c r="G1093" t="s">
        <v>51</v>
      </c>
      <c r="I1093" t="s">
        <v>287</v>
      </c>
      <c r="J1093" t="s">
        <v>288</v>
      </c>
      <c r="K1093">
        <v>18781057</v>
      </c>
      <c r="L1093" t="s">
        <v>71</v>
      </c>
      <c r="M1093" t="s">
        <v>72</v>
      </c>
      <c r="N1093" t="s">
        <v>456</v>
      </c>
      <c r="O1093" s="1">
        <v>45455</v>
      </c>
      <c r="P1093" s="1">
        <v>45936</v>
      </c>
      <c r="R1093" s="2">
        <v>0</v>
      </c>
      <c r="AB1093" s="2">
        <v>0</v>
      </c>
      <c r="AC1093" s="2">
        <v>0</v>
      </c>
      <c r="AE1093" s="2">
        <v>0</v>
      </c>
      <c r="AF1093" s="2">
        <v>0</v>
      </c>
      <c r="AG1093" s="2">
        <v>0</v>
      </c>
      <c r="AH1093" s="2">
        <v>0</v>
      </c>
      <c r="AI1093" s="2">
        <v>0</v>
      </c>
      <c r="AJ1093" s="2">
        <v>0</v>
      </c>
      <c r="AK1093" s="2">
        <v>0</v>
      </c>
      <c r="AL1093" s="2">
        <v>0</v>
      </c>
      <c r="AM1093" s="2">
        <v>0</v>
      </c>
      <c r="AN1093" s="2">
        <v>0</v>
      </c>
      <c r="AO1093" s="2">
        <v>0</v>
      </c>
      <c r="AP1093" s="2">
        <v>0</v>
      </c>
      <c r="AQ1093" s="2">
        <v>0</v>
      </c>
      <c r="AR1093" t="s">
        <v>1203</v>
      </c>
    </row>
    <row r="1094" spans="1:44" x14ac:dyDescent="0.25">
      <c r="A1094" s="1">
        <v>45936</v>
      </c>
      <c r="B1094" t="s">
        <v>1201</v>
      </c>
      <c r="C1094">
        <v>649163</v>
      </c>
      <c r="D1094">
        <v>2024095024</v>
      </c>
      <c r="E1094" t="s">
        <v>200</v>
      </c>
      <c r="F1094" t="s">
        <v>201</v>
      </c>
      <c r="G1094" t="s">
        <v>51</v>
      </c>
      <c r="I1094" t="s">
        <v>89</v>
      </c>
      <c r="J1094" t="s">
        <v>111</v>
      </c>
      <c r="K1094">
        <v>649163</v>
      </c>
      <c r="L1094" t="s">
        <v>80</v>
      </c>
      <c r="M1094" t="s">
        <v>81</v>
      </c>
      <c r="N1094" t="s">
        <v>456</v>
      </c>
      <c r="O1094" s="1">
        <v>45505</v>
      </c>
      <c r="P1094" s="1">
        <v>45936</v>
      </c>
      <c r="R1094" s="2">
        <v>0</v>
      </c>
      <c r="AB1094" s="2">
        <v>0</v>
      </c>
      <c r="AC1094" s="2">
        <v>0</v>
      </c>
      <c r="AE1094" s="2">
        <v>0</v>
      </c>
      <c r="AF1094" s="2">
        <v>0</v>
      </c>
      <c r="AG1094" s="2">
        <v>0</v>
      </c>
      <c r="AH1094" s="2">
        <v>0</v>
      </c>
      <c r="AI1094" s="2">
        <v>0</v>
      </c>
      <c r="AJ1094" s="2">
        <v>0</v>
      </c>
      <c r="AK1094" s="2">
        <v>0</v>
      </c>
      <c r="AL1094" s="2">
        <v>0</v>
      </c>
      <c r="AM1094" s="2">
        <v>0</v>
      </c>
      <c r="AN1094" s="2">
        <v>0</v>
      </c>
      <c r="AO1094" s="2">
        <v>0</v>
      </c>
      <c r="AP1094" s="2">
        <v>0</v>
      </c>
      <c r="AQ1094" s="2">
        <v>0</v>
      </c>
      <c r="AR1094" t="s">
        <v>1203</v>
      </c>
    </row>
    <row r="1095" spans="1:44" x14ac:dyDescent="0.25">
      <c r="A1095" s="1">
        <v>45936</v>
      </c>
      <c r="B1095" t="s">
        <v>1201</v>
      </c>
      <c r="C1095">
        <v>649163</v>
      </c>
      <c r="D1095">
        <v>2020895974</v>
      </c>
      <c r="E1095" t="s">
        <v>97</v>
      </c>
      <c r="F1095" t="s">
        <v>482</v>
      </c>
      <c r="G1095" t="s">
        <v>51</v>
      </c>
      <c r="I1095" t="s">
        <v>344</v>
      </c>
      <c r="J1095" t="s">
        <v>553</v>
      </c>
      <c r="K1095">
        <v>649163</v>
      </c>
      <c r="L1095" t="s">
        <v>80</v>
      </c>
      <c r="M1095" t="s">
        <v>81</v>
      </c>
      <c r="N1095" t="s">
        <v>456</v>
      </c>
      <c r="O1095" s="1">
        <v>45657</v>
      </c>
      <c r="P1095" s="1">
        <v>45936</v>
      </c>
      <c r="R1095" s="2">
        <v>0</v>
      </c>
      <c r="AB1095" s="2">
        <v>0</v>
      </c>
      <c r="AC1095" s="2">
        <v>0</v>
      </c>
      <c r="AE1095" s="2">
        <v>0</v>
      </c>
      <c r="AF1095" s="2">
        <v>0</v>
      </c>
      <c r="AG1095" s="2">
        <v>0</v>
      </c>
      <c r="AH1095" s="2">
        <v>0</v>
      </c>
      <c r="AI1095" s="2">
        <v>0</v>
      </c>
      <c r="AJ1095" s="2">
        <v>0</v>
      </c>
      <c r="AK1095" s="2">
        <v>0</v>
      </c>
      <c r="AL1095" s="2">
        <v>0</v>
      </c>
      <c r="AM1095" s="2">
        <v>0</v>
      </c>
      <c r="AN1095" s="2">
        <v>0</v>
      </c>
      <c r="AO1095" s="2">
        <v>0</v>
      </c>
      <c r="AP1095" s="2">
        <v>0</v>
      </c>
      <c r="AQ1095" s="2">
        <v>0</v>
      </c>
      <c r="AR1095" t="s">
        <v>1203</v>
      </c>
    </row>
    <row r="1096" spans="1:44" x14ac:dyDescent="0.25">
      <c r="A1096" s="1">
        <v>45936</v>
      </c>
      <c r="B1096" t="s">
        <v>1201</v>
      </c>
      <c r="C1096">
        <v>19681796</v>
      </c>
      <c r="D1096">
        <v>2026877427</v>
      </c>
      <c r="E1096" t="s">
        <v>1212</v>
      </c>
      <c r="F1096" t="s">
        <v>482</v>
      </c>
      <c r="G1096" t="s">
        <v>51</v>
      </c>
      <c r="I1096" t="s">
        <v>292</v>
      </c>
      <c r="J1096" t="s">
        <v>293</v>
      </c>
      <c r="K1096">
        <v>19681796</v>
      </c>
      <c r="L1096" t="s">
        <v>408</v>
      </c>
      <c r="M1096" t="s">
        <v>410</v>
      </c>
      <c r="N1096" t="s">
        <v>456</v>
      </c>
      <c r="O1096" s="1">
        <v>45689</v>
      </c>
      <c r="P1096" s="1">
        <v>45936</v>
      </c>
      <c r="R1096" s="2">
        <v>0</v>
      </c>
      <c r="AB1096" s="2">
        <v>0</v>
      </c>
      <c r="AC1096" s="2">
        <v>0</v>
      </c>
      <c r="AE1096" s="2">
        <v>0</v>
      </c>
      <c r="AF1096" s="2">
        <v>0</v>
      </c>
      <c r="AG1096" s="2">
        <v>0</v>
      </c>
      <c r="AH1096" s="2">
        <v>0</v>
      </c>
      <c r="AI1096" s="2">
        <v>0</v>
      </c>
      <c r="AJ1096" s="2">
        <v>0</v>
      </c>
      <c r="AK1096" s="2">
        <v>0</v>
      </c>
      <c r="AL1096" s="2">
        <v>0</v>
      </c>
      <c r="AM1096" s="2">
        <v>0</v>
      </c>
      <c r="AN1096" s="2">
        <v>0</v>
      </c>
      <c r="AO1096" s="2">
        <v>0</v>
      </c>
      <c r="AP1096" s="2">
        <v>0</v>
      </c>
      <c r="AQ1096" s="2">
        <v>0</v>
      </c>
      <c r="AR1096" t="s">
        <v>1203</v>
      </c>
    </row>
    <row r="1097" spans="1:44" x14ac:dyDescent="0.25">
      <c r="A1097" s="1">
        <v>45936</v>
      </c>
      <c r="B1097" t="s">
        <v>1201</v>
      </c>
      <c r="C1097">
        <v>371819</v>
      </c>
      <c r="D1097">
        <v>2027012191</v>
      </c>
      <c r="E1097" t="s">
        <v>1213</v>
      </c>
      <c r="F1097" t="s">
        <v>860</v>
      </c>
      <c r="G1097" t="s">
        <v>51</v>
      </c>
      <c r="I1097" t="s">
        <v>292</v>
      </c>
      <c r="J1097" t="s">
        <v>295</v>
      </c>
      <c r="K1097">
        <v>371819</v>
      </c>
      <c r="L1097" t="s">
        <v>283</v>
      </c>
      <c r="M1097" t="s">
        <v>284</v>
      </c>
      <c r="N1097" t="s">
        <v>456</v>
      </c>
      <c r="O1097" s="1">
        <v>45696</v>
      </c>
      <c r="P1097" s="1">
        <v>45936</v>
      </c>
      <c r="R1097" s="2">
        <v>0</v>
      </c>
      <c r="AB1097" s="2">
        <v>0</v>
      </c>
      <c r="AC1097" s="2">
        <v>0</v>
      </c>
      <c r="AE1097" s="2">
        <v>0</v>
      </c>
      <c r="AF1097" s="2">
        <v>0</v>
      </c>
      <c r="AG1097" s="2">
        <v>0</v>
      </c>
      <c r="AH1097" s="2">
        <v>0</v>
      </c>
      <c r="AI1097" s="2">
        <v>0</v>
      </c>
      <c r="AJ1097" s="2">
        <v>0</v>
      </c>
      <c r="AK1097" s="2">
        <v>0</v>
      </c>
      <c r="AL1097" s="2">
        <v>0</v>
      </c>
      <c r="AM1097" s="2">
        <v>0</v>
      </c>
      <c r="AN1097" s="2">
        <v>0</v>
      </c>
      <c r="AO1097" s="2">
        <v>0</v>
      </c>
      <c r="AP1097" s="2">
        <v>0</v>
      </c>
      <c r="AQ1097" s="2">
        <v>0</v>
      </c>
      <c r="AR1097" t="s">
        <v>1203</v>
      </c>
    </row>
    <row r="1098" spans="1:44" x14ac:dyDescent="0.25">
      <c r="A1098" s="1">
        <v>45936</v>
      </c>
      <c r="B1098" t="s">
        <v>1201</v>
      </c>
      <c r="C1098">
        <v>21435997</v>
      </c>
      <c r="D1098">
        <v>2028615204</v>
      </c>
      <c r="E1098" t="s">
        <v>1214</v>
      </c>
      <c r="F1098" t="s">
        <v>1215</v>
      </c>
      <c r="G1098" t="s">
        <v>51</v>
      </c>
      <c r="I1098" t="s">
        <v>292</v>
      </c>
      <c r="J1098" t="s">
        <v>293</v>
      </c>
      <c r="K1098">
        <v>21435997</v>
      </c>
      <c r="L1098" t="s">
        <v>269</v>
      </c>
      <c r="M1098" t="s">
        <v>270</v>
      </c>
      <c r="N1098" t="s">
        <v>456</v>
      </c>
      <c r="O1098" s="1">
        <v>45784</v>
      </c>
      <c r="P1098" s="1">
        <v>45936</v>
      </c>
      <c r="R1098" s="2">
        <v>0</v>
      </c>
      <c r="AB1098" s="2">
        <v>0</v>
      </c>
      <c r="AC1098" s="2">
        <v>0</v>
      </c>
      <c r="AE1098" s="2">
        <v>0</v>
      </c>
      <c r="AF1098" s="2">
        <v>0</v>
      </c>
      <c r="AG1098" s="2">
        <v>0</v>
      </c>
      <c r="AH1098" s="2">
        <v>0</v>
      </c>
      <c r="AI1098" s="2">
        <v>0</v>
      </c>
      <c r="AJ1098" s="2">
        <v>0</v>
      </c>
      <c r="AK1098" s="2">
        <v>0</v>
      </c>
      <c r="AL1098" s="2">
        <v>0</v>
      </c>
      <c r="AM1098" s="2">
        <v>0</v>
      </c>
      <c r="AN1098" s="2">
        <v>0</v>
      </c>
      <c r="AO1098" s="2">
        <v>0</v>
      </c>
      <c r="AP1098" s="2">
        <v>0</v>
      </c>
      <c r="AQ1098" s="2">
        <v>0</v>
      </c>
      <c r="AR1098" t="s">
        <v>1203</v>
      </c>
    </row>
    <row r="1099" spans="1:44" x14ac:dyDescent="0.25">
      <c r="A1099" s="1">
        <v>45936</v>
      </c>
      <c r="B1099" t="s">
        <v>1201</v>
      </c>
      <c r="C1099">
        <v>371819</v>
      </c>
      <c r="D1099">
        <v>2027012190</v>
      </c>
      <c r="E1099" t="s">
        <v>1213</v>
      </c>
      <c r="F1099" t="s">
        <v>860</v>
      </c>
      <c r="G1099" t="s">
        <v>51</v>
      </c>
      <c r="I1099" t="s">
        <v>243</v>
      </c>
      <c r="J1099" t="s">
        <v>244</v>
      </c>
      <c r="K1099">
        <v>371819</v>
      </c>
      <c r="L1099" t="s">
        <v>283</v>
      </c>
      <c r="M1099" t="s">
        <v>284</v>
      </c>
      <c r="N1099" t="s">
        <v>456</v>
      </c>
      <c r="O1099" s="1">
        <v>45696</v>
      </c>
      <c r="P1099" s="1">
        <v>45936</v>
      </c>
      <c r="R1099" s="2">
        <v>0</v>
      </c>
      <c r="AB1099" s="2">
        <v>0</v>
      </c>
      <c r="AC1099" s="2">
        <v>0</v>
      </c>
      <c r="AE1099" s="2">
        <v>0</v>
      </c>
      <c r="AF1099" s="2">
        <v>0</v>
      </c>
      <c r="AG1099" s="2">
        <v>0</v>
      </c>
      <c r="AH1099" s="2">
        <v>0</v>
      </c>
      <c r="AI1099" s="2">
        <v>0</v>
      </c>
      <c r="AJ1099" s="2">
        <v>0</v>
      </c>
      <c r="AK1099" s="2">
        <v>0</v>
      </c>
      <c r="AL1099" s="2">
        <v>0</v>
      </c>
      <c r="AM1099" s="2">
        <v>0</v>
      </c>
      <c r="AN1099" s="2">
        <v>0</v>
      </c>
      <c r="AO1099" s="2">
        <v>0</v>
      </c>
      <c r="AP1099" s="2">
        <v>0</v>
      </c>
      <c r="AQ1099" s="2">
        <v>0</v>
      </c>
      <c r="AR1099" t="s">
        <v>1203</v>
      </c>
    </row>
    <row r="1100" spans="1:44" x14ac:dyDescent="0.25">
      <c r="A1100" s="1">
        <v>45936</v>
      </c>
      <c r="B1100" t="s">
        <v>1201</v>
      </c>
      <c r="C1100">
        <v>649163</v>
      </c>
      <c r="D1100">
        <v>2026682935</v>
      </c>
      <c r="E1100" t="s">
        <v>994</v>
      </c>
      <c r="F1100" t="s">
        <v>658</v>
      </c>
      <c r="G1100" t="s">
        <v>51</v>
      </c>
      <c r="I1100" t="s">
        <v>243</v>
      </c>
      <c r="J1100" t="s">
        <v>244</v>
      </c>
      <c r="K1100">
        <v>649163</v>
      </c>
      <c r="L1100" t="s">
        <v>352</v>
      </c>
      <c r="M1100" t="s">
        <v>353</v>
      </c>
      <c r="N1100" t="s">
        <v>456</v>
      </c>
      <c r="O1100" s="1">
        <v>45678</v>
      </c>
      <c r="P1100" s="1">
        <v>45936</v>
      </c>
      <c r="R1100" s="2">
        <v>0</v>
      </c>
      <c r="AB1100" s="2">
        <v>0</v>
      </c>
      <c r="AC1100" s="2">
        <v>0</v>
      </c>
      <c r="AE1100" s="2">
        <v>0</v>
      </c>
      <c r="AF1100" s="2">
        <v>0</v>
      </c>
      <c r="AG1100" s="2">
        <v>0</v>
      </c>
      <c r="AH1100" s="2">
        <v>0</v>
      </c>
      <c r="AI1100" s="2">
        <v>0</v>
      </c>
      <c r="AJ1100" s="2">
        <v>0</v>
      </c>
      <c r="AK1100" s="2">
        <v>0</v>
      </c>
      <c r="AL1100" s="2">
        <v>0</v>
      </c>
      <c r="AM1100" s="2">
        <v>0</v>
      </c>
      <c r="AN1100" s="2">
        <v>0</v>
      </c>
      <c r="AO1100" s="2">
        <v>0</v>
      </c>
      <c r="AP1100" s="2">
        <v>0</v>
      </c>
      <c r="AQ1100" s="2">
        <v>0</v>
      </c>
      <c r="AR1100" t="s">
        <v>1203</v>
      </c>
    </row>
    <row r="1101" spans="1:44" x14ac:dyDescent="0.25">
      <c r="A1101" s="1">
        <v>45936</v>
      </c>
      <c r="B1101" t="s">
        <v>1201</v>
      </c>
      <c r="C1101">
        <v>18754354</v>
      </c>
      <c r="D1101">
        <v>2026652335</v>
      </c>
      <c r="E1101" t="s">
        <v>1216</v>
      </c>
      <c r="F1101" t="s">
        <v>235</v>
      </c>
      <c r="G1101" t="s">
        <v>51</v>
      </c>
      <c r="I1101" t="s">
        <v>243</v>
      </c>
      <c r="J1101" t="s">
        <v>244</v>
      </c>
      <c r="K1101">
        <v>18754354</v>
      </c>
      <c r="L1101" t="s">
        <v>91</v>
      </c>
      <c r="M1101" t="s">
        <v>92</v>
      </c>
      <c r="N1101" t="s">
        <v>456</v>
      </c>
      <c r="O1101" s="1">
        <v>45689</v>
      </c>
      <c r="P1101" s="1">
        <v>45936</v>
      </c>
      <c r="R1101" s="2">
        <v>0</v>
      </c>
      <c r="AB1101" s="2">
        <v>0</v>
      </c>
      <c r="AC1101" s="2">
        <v>0</v>
      </c>
      <c r="AE1101" s="2">
        <v>0</v>
      </c>
      <c r="AF1101" s="2">
        <v>0</v>
      </c>
      <c r="AG1101" s="2">
        <v>0</v>
      </c>
      <c r="AH1101" s="2">
        <v>0</v>
      </c>
      <c r="AI1101" s="2">
        <v>0</v>
      </c>
      <c r="AJ1101" s="2">
        <v>0</v>
      </c>
      <c r="AK1101" s="2">
        <v>0</v>
      </c>
      <c r="AL1101" s="2">
        <v>0</v>
      </c>
      <c r="AM1101" s="2">
        <v>0</v>
      </c>
      <c r="AN1101" s="2">
        <v>0</v>
      </c>
      <c r="AO1101" s="2">
        <v>0</v>
      </c>
      <c r="AP1101" s="2">
        <v>0</v>
      </c>
      <c r="AQ1101" s="2">
        <v>0</v>
      </c>
      <c r="AR1101" t="s">
        <v>1203</v>
      </c>
    </row>
    <row r="1102" spans="1:44" x14ac:dyDescent="0.25">
      <c r="A1102" s="1">
        <v>45936</v>
      </c>
      <c r="B1102" t="s">
        <v>1201</v>
      </c>
      <c r="C1102">
        <v>16378851</v>
      </c>
      <c r="D1102">
        <v>2028048548</v>
      </c>
      <c r="E1102" t="s">
        <v>1217</v>
      </c>
      <c r="F1102" t="s">
        <v>362</v>
      </c>
      <c r="G1102" t="s">
        <v>51</v>
      </c>
      <c r="I1102" t="s">
        <v>292</v>
      </c>
      <c r="J1102" t="s">
        <v>293</v>
      </c>
      <c r="K1102">
        <v>16378851</v>
      </c>
      <c r="L1102" t="s">
        <v>97</v>
      </c>
      <c r="M1102" t="s">
        <v>98</v>
      </c>
      <c r="N1102" t="s">
        <v>456</v>
      </c>
      <c r="O1102" s="1">
        <v>45748</v>
      </c>
      <c r="P1102" s="1">
        <v>45936</v>
      </c>
      <c r="R1102" s="2">
        <v>0</v>
      </c>
      <c r="AB1102" s="2">
        <v>0</v>
      </c>
      <c r="AC1102" s="2">
        <v>0</v>
      </c>
      <c r="AE1102" s="2">
        <v>0</v>
      </c>
      <c r="AF1102" s="2">
        <v>0</v>
      </c>
      <c r="AG1102" s="2">
        <v>0</v>
      </c>
      <c r="AH1102" s="2">
        <v>0</v>
      </c>
      <c r="AI1102" s="2">
        <v>0</v>
      </c>
      <c r="AJ1102" s="2">
        <v>0</v>
      </c>
      <c r="AK1102" s="2">
        <v>0</v>
      </c>
      <c r="AL1102" s="2">
        <v>0</v>
      </c>
      <c r="AM1102" s="2">
        <v>0</v>
      </c>
      <c r="AN1102" s="2">
        <v>0</v>
      </c>
      <c r="AO1102" s="2">
        <v>0</v>
      </c>
      <c r="AP1102" s="2">
        <v>0</v>
      </c>
      <c r="AQ1102" s="2">
        <v>0</v>
      </c>
      <c r="AR1102" t="s">
        <v>1203</v>
      </c>
    </row>
    <row r="1103" spans="1:44" x14ac:dyDescent="0.25">
      <c r="A1103" s="1">
        <v>45936</v>
      </c>
      <c r="B1103" t="s">
        <v>1201</v>
      </c>
      <c r="C1103">
        <v>18201929</v>
      </c>
      <c r="D1103">
        <v>2029292997</v>
      </c>
      <c r="E1103" t="s">
        <v>1218</v>
      </c>
      <c r="F1103" t="s">
        <v>1219</v>
      </c>
      <c r="G1103" t="s">
        <v>51</v>
      </c>
      <c r="I1103" t="s">
        <v>89</v>
      </c>
      <c r="J1103" t="s">
        <v>102</v>
      </c>
      <c r="K1103">
        <v>18201929</v>
      </c>
      <c r="L1103" t="s">
        <v>298</v>
      </c>
      <c r="M1103" t="s">
        <v>299</v>
      </c>
      <c r="N1103" t="s">
        <v>456</v>
      </c>
      <c r="O1103" s="1">
        <v>45839</v>
      </c>
      <c r="P1103" s="1">
        <v>45936</v>
      </c>
      <c r="R1103" s="2">
        <v>0</v>
      </c>
      <c r="AB1103" s="2">
        <v>252.45</v>
      </c>
      <c r="AC1103" s="2">
        <v>0</v>
      </c>
      <c r="AE1103" s="2">
        <v>0</v>
      </c>
      <c r="AF1103" s="2">
        <v>0</v>
      </c>
      <c r="AG1103" s="2">
        <v>0</v>
      </c>
      <c r="AH1103" s="2">
        <v>0</v>
      </c>
      <c r="AI1103" s="2">
        <v>0</v>
      </c>
      <c r="AJ1103" s="2">
        <v>0</v>
      </c>
      <c r="AK1103" s="2">
        <v>0</v>
      </c>
      <c r="AL1103" s="2">
        <v>0</v>
      </c>
      <c r="AM1103" s="2">
        <v>168.31</v>
      </c>
      <c r="AN1103" s="2">
        <v>-84.14</v>
      </c>
      <c r="AO1103" s="2">
        <v>-84.14</v>
      </c>
      <c r="AP1103" s="2">
        <v>0</v>
      </c>
      <c r="AQ1103" s="2">
        <v>0</v>
      </c>
      <c r="AR1103" t="s">
        <v>1203</v>
      </c>
    </row>
    <row r="1104" spans="1:44" s="5" customFormat="1" x14ac:dyDescent="0.25">
      <c r="A1104" s="6">
        <v>45936</v>
      </c>
      <c r="B1104" s="5" t="s">
        <v>1201</v>
      </c>
      <c r="C1104" s="5">
        <v>19681796</v>
      </c>
      <c r="D1104" s="5">
        <v>2029949953</v>
      </c>
      <c r="E1104" s="5" t="s">
        <v>1220</v>
      </c>
      <c r="F1104" s="5" t="s">
        <v>482</v>
      </c>
      <c r="G1104" s="5" t="s">
        <v>51</v>
      </c>
      <c r="I1104" s="5" t="s">
        <v>292</v>
      </c>
      <c r="J1104" s="5" t="s">
        <v>293</v>
      </c>
      <c r="K1104" s="5">
        <v>19681796</v>
      </c>
      <c r="L1104" s="5" t="s">
        <v>408</v>
      </c>
      <c r="M1104" s="5" t="s">
        <v>410</v>
      </c>
      <c r="N1104" s="5" t="s">
        <v>456</v>
      </c>
      <c r="O1104" s="6">
        <v>45853</v>
      </c>
      <c r="P1104" s="6">
        <v>45936</v>
      </c>
      <c r="R1104" s="7">
        <v>0</v>
      </c>
      <c r="AB1104" s="7">
        <v>130.62</v>
      </c>
      <c r="AC1104" s="7">
        <v>0</v>
      </c>
      <c r="AE1104" s="7">
        <v>0</v>
      </c>
      <c r="AF1104" s="7">
        <v>0</v>
      </c>
      <c r="AG1104" s="7">
        <v>0</v>
      </c>
      <c r="AH1104" s="7">
        <v>0</v>
      </c>
      <c r="AI1104" s="7">
        <v>0</v>
      </c>
      <c r="AJ1104" s="7">
        <v>0</v>
      </c>
      <c r="AK1104" s="7">
        <v>0</v>
      </c>
      <c r="AL1104" s="7">
        <v>0</v>
      </c>
      <c r="AM1104" s="7">
        <v>65.31</v>
      </c>
      <c r="AN1104" s="7">
        <v>-65.31</v>
      </c>
      <c r="AO1104" s="7">
        <v>-65.31</v>
      </c>
      <c r="AP1104" s="7">
        <v>0</v>
      </c>
      <c r="AQ1104" s="7">
        <v>0</v>
      </c>
      <c r="AR1104" s="5" t="s">
        <v>1203</v>
      </c>
    </row>
    <row r="1105" spans="1:44" x14ac:dyDescent="0.25">
      <c r="A1105" s="1">
        <v>45936</v>
      </c>
      <c r="B1105" t="s">
        <v>1201</v>
      </c>
      <c r="C1105">
        <v>649163</v>
      </c>
      <c r="D1105">
        <v>2027965833</v>
      </c>
      <c r="E1105" t="s">
        <v>765</v>
      </c>
      <c r="F1105" t="s">
        <v>63</v>
      </c>
      <c r="G1105" t="s">
        <v>51</v>
      </c>
      <c r="I1105" t="s">
        <v>292</v>
      </c>
      <c r="J1105" t="s">
        <v>293</v>
      </c>
      <c r="K1105">
        <v>649163</v>
      </c>
      <c r="L1105" t="s">
        <v>91</v>
      </c>
      <c r="M1105" t="s">
        <v>92</v>
      </c>
      <c r="N1105" t="s">
        <v>456</v>
      </c>
      <c r="O1105" s="1">
        <v>45738</v>
      </c>
      <c r="P1105" s="1">
        <v>45936</v>
      </c>
      <c r="R1105" s="2">
        <v>0</v>
      </c>
      <c r="AB1105" s="2">
        <v>0</v>
      </c>
      <c r="AC1105" s="2">
        <v>0</v>
      </c>
      <c r="AE1105" s="2">
        <v>0</v>
      </c>
      <c r="AF1105" s="2">
        <v>0</v>
      </c>
      <c r="AG1105" s="2">
        <v>0</v>
      </c>
      <c r="AH1105" s="2">
        <v>0</v>
      </c>
      <c r="AI1105" s="2">
        <v>0</v>
      </c>
      <c r="AJ1105" s="2">
        <v>0</v>
      </c>
      <c r="AK1105" s="2">
        <v>0</v>
      </c>
      <c r="AL1105" s="2">
        <v>0</v>
      </c>
      <c r="AM1105" s="2">
        <v>0</v>
      </c>
      <c r="AN1105" s="2">
        <v>0</v>
      </c>
      <c r="AO1105" s="2">
        <v>0</v>
      </c>
      <c r="AP1105" s="2">
        <v>0</v>
      </c>
      <c r="AQ1105" s="2">
        <v>0</v>
      </c>
      <c r="AR1105" t="s">
        <v>1203</v>
      </c>
    </row>
    <row r="1106" spans="1:44" x14ac:dyDescent="0.25">
      <c r="A1106" s="1">
        <v>45936</v>
      </c>
      <c r="B1106" t="s">
        <v>1201</v>
      </c>
      <c r="C1106">
        <v>649163</v>
      </c>
      <c r="D1106">
        <v>2029290191</v>
      </c>
      <c r="E1106" t="s">
        <v>786</v>
      </c>
      <c r="F1106" t="s">
        <v>787</v>
      </c>
      <c r="G1106" t="s">
        <v>51</v>
      </c>
      <c r="I1106" t="s">
        <v>89</v>
      </c>
      <c r="J1106" t="s">
        <v>96</v>
      </c>
      <c r="K1106">
        <v>649163</v>
      </c>
      <c r="L1106" t="s">
        <v>273</v>
      </c>
      <c r="M1106" t="s">
        <v>274</v>
      </c>
      <c r="N1106" t="s">
        <v>456</v>
      </c>
      <c r="O1106" s="1">
        <v>45839</v>
      </c>
      <c r="P1106" s="1">
        <v>45936</v>
      </c>
      <c r="R1106" s="2">
        <v>0</v>
      </c>
      <c r="AB1106" s="2">
        <v>429.35</v>
      </c>
      <c r="AC1106" s="2">
        <v>0</v>
      </c>
      <c r="AE1106" s="2">
        <v>0</v>
      </c>
      <c r="AF1106" s="2">
        <v>0</v>
      </c>
      <c r="AG1106" s="2">
        <v>0</v>
      </c>
      <c r="AH1106" s="2">
        <v>0</v>
      </c>
      <c r="AI1106" s="2">
        <v>0</v>
      </c>
      <c r="AJ1106" s="2">
        <v>0</v>
      </c>
      <c r="AK1106" s="2">
        <v>0</v>
      </c>
      <c r="AL1106" s="2">
        <v>0</v>
      </c>
      <c r="AM1106" s="2">
        <v>286.24</v>
      </c>
      <c r="AN1106" s="2">
        <v>-143.11000000000001</v>
      </c>
      <c r="AO1106" s="2">
        <v>-143.11000000000001</v>
      </c>
      <c r="AP1106" s="2">
        <v>0</v>
      </c>
      <c r="AQ1106" s="2">
        <v>0</v>
      </c>
      <c r="AR1106" t="s">
        <v>1203</v>
      </c>
    </row>
    <row r="1107" spans="1:44" x14ac:dyDescent="0.25">
      <c r="A1107" s="1">
        <v>45936</v>
      </c>
      <c r="B1107" t="s">
        <v>1201</v>
      </c>
      <c r="C1107">
        <v>649163</v>
      </c>
      <c r="D1107">
        <v>2027965834</v>
      </c>
      <c r="E1107" t="s">
        <v>765</v>
      </c>
      <c r="F1107" t="s">
        <v>63</v>
      </c>
      <c r="G1107" t="s">
        <v>51</v>
      </c>
      <c r="I1107" t="s">
        <v>89</v>
      </c>
      <c r="J1107" t="s">
        <v>90</v>
      </c>
      <c r="K1107">
        <v>649163</v>
      </c>
      <c r="L1107" t="s">
        <v>91</v>
      </c>
      <c r="M1107" t="s">
        <v>92</v>
      </c>
      <c r="N1107" t="s">
        <v>456</v>
      </c>
      <c r="O1107" s="1">
        <v>45738</v>
      </c>
      <c r="P1107" s="1">
        <v>45936</v>
      </c>
      <c r="R1107" s="2">
        <v>0</v>
      </c>
      <c r="AB1107" s="2">
        <v>0</v>
      </c>
      <c r="AC1107" s="2">
        <v>0</v>
      </c>
      <c r="AE1107" s="2">
        <v>0</v>
      </c>
      <c r="AF1107" s="2">
        <v>0</v>
      </c>
      <c r="AG1107" s="2">
        <v>0</v>
      </c>
      <c r="AH1107" s="2">
        <v>0</v>
      </c>
      <c r="AI1107" s="2">
        <v>0</v>
      </c>
      <c r="AJ1107" s="2">
        <v>0</v>
      </c>
      <c r="AK1107" s="2">
        <v>0</v>
      </c>
      <c r="AL1107" s="2">
        <v>0</v>
      </c>
      <c r="AM1107" s="2">
        <v>0</v>
      </c>
      <c r="AN1107" s="2">
        <v>0</v>
      </c>
      <c r="AO1107" s="2">
        <v>0</v>
      </c>
      <c r="AP1107" s="2">
        <v>0</v>
      </c>
      <c r="AQ1107" s="2">
        <v>0</v>
      </c>
      <c r="AR1107" t="s">
        <v>1203</v>
      </c>
    </row>
    <row r="1108" spans="1:44" x14ac:dyDescent="0.25">
      <c r="A1108" s="1">
        <v>45936</v>
      </c>
      <c r="B1108" t="s">
        <v>1201</v>
      </c>
      <c r="C1108">
        <v>649163</v>
      </c>
      <c r="D1108">
        <v>2029290190</v>
      </c>
      <c r="E1108" t="s">
        <v>786</v>
      </c>
      <c r="F1108" t="s">
        <v>787</v>
      </c>
      <c r="G1108" t="s">
        <v>51</v>
      </c>
      <c r="I1108" t="s">
        <v>243</v>
      </c>
      <c r="J1108" t="s">
        <v>244</v>
      </c>
      <c r="K1108">
        <v>649163</v>
      </c>
      <c r="L1108" t="s">
        <v>273</v>
      </c>
      <c r="M1108" t="s">
        <v>274</v>
      </c>
      <c r="N1108" t="s">
        <v>456</v>
      </c>
      <c r="O1108" s="1">
        <v>45839</v>
      </c>
      <c r="P1108" s="1">
        <v>45936</v>
      </c>
      <c r="R1108" s="2">
        <v>0</v>
      </c>
      <c r="AB1108" s="2">
        <v>94.3</v>
      </c>
      <c r="AC1108" s="2">
        <v>0</v>
      </c>
      <c r="AE1108" s="2">
        <v>0</v>
      </c>
      <c r="AF1108" s="2">
        <v>0</v>
      </c>
      <c r="AG1108" s="2">
        <v>0</v>
      </c>
      <c r="AH1108" s="2">
        <v>0</v>
      </c>
      <c r="AI1108" s="2">
        <v>0</v>
      </c>
      <c r="AJ1108" s="2">
        <v>0</v>
      </c>
      <c r="AK1108" s="2">
        <v>0</v>
      </c>
      <c r="AL1108" s="2">
        <v>0</v>
      </c>
      <c r="AM1108" s="2">
        <v>62.87</v>
      </c>
      <c r="AN1108" s="2">
        <v>-31.43</v>
      </c>
      <c r="AO1108" s="2">
        <v>-31.43</v>
      </c>
      <c r="AP1108" s="2">
        <v>0</v>
      </c>
      <c r="AQ1108" s="2">
        <v>0</v>
      </c>
      <c r="AR1108" t="s">
        <v>1203</v>
      </c>
    </row>
    <row r="1109" spans="1:44" x14ac:dyDescent="0.25">
      <c r="A1109" s="1">
        <v>45936</v>
      </c>
      <c r="B1109" t="s">
        <v>1201</v>
      </c>
      <c r="C1109">
        <v>18581063</v>
      </c>
      <c r="D1109">
        <v>2030443049</v>
      </c>
      <c r="E1109" t="s">
        <v>1221</v>
      </c>
      <c r="F1109" t="s">
        <v>1222</v>
      </c>
      <c r="G1109" t="s">
        <v>51</v>
      </c>
      <c r="I1109" t="s">
        <v>292</v>
      </c>
      <c r="J1109" t="s">
        <v>293</v>
      </c>
      <c r="K1109">
        <v>18581063</v>
      </c>
      <c r="L1109" t="s">
        <v>1223</v>
      </c>
      <c r="M1109" t="s">
        <v>1224</v>
      </c>
      <c r="N1109" t="s">
        <v>456</v>
      </c>
      <c r="O1109" s="1">
        <v>45881</v>
      </c>
      <c r="P1109" s="1">
        <v>45936</v>
      </c>
      <c r="R1109" s="2">
        <v>0</v>
      </c>
      <c r="AB1109" s="2">
        <v>643.57000000000005</v>
      </c>
      <c r="AC1109" s="2">
        <v>0</v>
      </c>
      <c r="AE1109" s="2">
        <v>0</v>
      </c>
      <c r="AF1109" s="2">
        <v>0</v>
      </c>
      <c r="AG1109" s="2">
        <v>0</v>
      </c>
      <c r="AH1109" s="2">
        <v>0</v>
      </c>
      <c r="AI1109" s="2">
        <v>0</v>
      </c>
      <c r="AJ1109" s="2">
        <v>0</v>
      </c>
      <c r="AK1109" s="2">
        <v>0</v>
      </c>
      <c r="AL1109" s="2">
        <v>0</v>
      </c>
      <c r="AM1109" s="2">
        <v>107.26</v>
      </c>
      <c r="AN1109" s="2">
        <v>-536.30999999999995</v>
      </c>
      <c r="AO1109" s="2">
        <v>-536.30999999999995</v>
      </c>
      <c r="AP1109" s="2">
        <v>0</v>
      </c>
      <c r="AQ1109" s="2">
        <v>0</v>
      </c>
      <c r="AR1109" t="s">
        <v>1203</v>
      </c>
    </row>
    <row r="1110" spans="1:44" x14ac:dyDescent="0.25">
      <c r="A1110" s="1">
        <v>45936</v>
      </c>
      <c r="B1110" t="s">
        <v>1201</v>
      </c>
      <c r="C1110">
        <v>649163</v>
      </c>
      <c r="D1110">
        <v>2030245942</v>
      </c>
      <c r="E1110" t="s">
        <v>1075</v>
      </c>
      <c r="F1110" t="s">
        <v>1076</v>
      </c>
      <c r="G1110" t="s">
        <v>51</v>
      </c>
      <c r="I1110" t="s">
        <v>292</v>
      </c>
      <c r="J1110" t="s">
        <v>293</v>
      </c>
      <c r="K1110">
        <v>649163</v>
      </c>
      <c r="L1110" t="s">
        <v>298</v>
      </c>
      <c r="M1110" t="s">
        <v>299</v>
      </c>
      <c r="N1110" t="s">
        <v>456</v>
      </c>
      <c r="O1110" s="1">
        <v>45870</v>
      </c>
      <c r="P1110" s="1">
        <v>45936</v>
      </c>
      <c r="R1110" s="2">
        <v>0</v>
      </c>
      <c r="AB1110" s="2">
        <v>234.74</v>
      </c>
      <c r="AC1110" s="2">
        <v>0</v>
      </c>
      <c r="AE1110" s="2">
        <v>0</v>
      </c>
      <c r="AF1110" s="2">
        <v>0</v>
      </c>
      <c r="AG1110" s="2">
        <v>0</v>
      </c>
      <c r="AH1110" s="2">
        <v>0</v>
      </c>
      <c r="AI1110" s="2">
        <v>0</v>
      </c>
      <c r="AJ1110" s="2">
        <v>0</v>
      </c>
      <c r="AK1110" s="2">
        <v>0</v>
      </c>
      <c r="AL1110" s="2">
        <v>0</v>
      </c>
      <c r="AM1110" s="2">
        <v>117.37</v>
      </c>
      <c r="AN1110" s="2">
        <v>-117.37</v>
      </c>
      <c r="AO1110" s="2">
        <v>-117.37</v>
      </c>
      <c r="AP1110" s="2">
        <v>0</v>
      </c>
      <c r="AQ1110" s="2">
        <v>0</v>
      </c>
      <c r="AR1110" t="s">
        <v>1203</v>
      </c>
    </row>
    <row r="1111" spans="1:44" x14ac:dyDescent="0.25">
      <c r="A1111" s="1">
        <v>45936</v>
      </c>
      <c r="B1111" t="s">
        <v>1201</v>
      </c>
      <c r="C1111">
        <v>16865615</v>
      </c>
      <c r="D1111">
        <v>2030336455</v>
      </c>
      <c r="E1111" t="s">
        <v>1225</v>
      </c>
      <c r="F1111" t="s">
        <v>1226</v>
      </c>
      <c r="G1111" t="s">
        <v>51</v>
      </c>
      <c r="I1111" t="s">
        <v>292</v>
      </c>
      <c r="J1111" t="s">
        <v>293</v>
      </c>
      <c r="K1111">
        <v>16865615</v>
      </c>
      <c r="L1111" t="s">
        <v>265</v>
      </c>
      <c r="M1111" t="s">
        <v>266</v>
      </c>
      <c r="N1111" t="s">
        <v>456</v>
      </c>
      <c r="O1111" s="1">
        <v>45875</v>
      </c>
      <c r="P1111" s="1">
        <v>45936</v>
      </c>
      <c r="R1111" s="2">
        <v>0</v>
      </c>
      <c r="AB1111" s="2">
        <v>40.74</v>
      </c>
      <c r="AC1111" s="2">
        <v>0</v>
      </c>
      <c r="AE1111" s="2">
        <v>0</v>
      </c>
      <c r="AF1111" s="2">
        <v>0</v>
      </c>
      <c r="AG1111" s="2">
        <v>0</v>
      </c>
      <c r="AH1111" s="2">
        <v>0</v>
      </c>
      <c r="AI1111" s="2">
        <v>0</v>
      </c>
      <c r="AJ1111" s="2">
        <v>0</v>
      </c>
      <c r="AK1111" s="2">
        <v>0</v>
      </c>
      <c r="AL1111" s="2">
        <v>0</v>
      </c>
      <c r="AM1111" s="2">
        <v>6.79</v>
      </c>
      <c r="AN1111" s="2">
        <v>-33.950000000000003</v>
      </c>
      <c r="AO1111" s="2">
        <v>-33.950000000000003</v>
      </c>
      <c r="AP1111" s="2">
        <v>0</v>
      </c>
      <c r="AQ1111" s="2">
        <v>0</v>
      </c>
      <c r="AR1111" t="s">
        <v>1203</v>
      </c>
    </row>
    <row r="1112" spans="1:44" x14ac:dyDescent="0.25">
      <c r="A1112" s="1">
        <v>45936</v>
      </c>
      <c r="B1112" t="s">
        <v>1201</v>
      </c>
      <c r="C1112">
        <v>17425766</v>
      </c>
      <c r="D1112">
        <v>2030372594</v>
      </c>
      <c r="E1112" t="s">
        <v>738</v>
      </c>
      <c r="F1112" t="s">
        <v>1001</v>
      </c>
      <c r="G1112" t="s">
        <v>51</v>
      </c>
      <c r="I1112" t="s">
        <v>243</v>
      </c>
      <c r="J1112" t="s">
        <v>244</v>
      </c>
      <c r="K1112">
        <v>17425766</v>
      </c>
      <c r="L1112" t="s">
        <v>237</v>
      </c>
      <c r="M1112" t="s">
        <v>238</v>
      </c>
      <c r="N1112" t="s">
        <v>456</v>
      </c>
      <c r="O1112" s="1">
        <v>45877</v>
      </c>
      <c r="P1112" s="1">
        <v>45936</v>
      </c>
      <c r="R1112" s="2">
        <v>0</v>
      </c>
      <c r="AB1112" s="2">
        <v>152.16999999999999</v>
      </c>
      <c r="AC1112" s="2">
        <v>0</v>
      </c>
      <c r="AE1112" s="2">
        <v>0</v>
      </c>
      <c r="AF1112" s="2">
        <v>0</v>
      </c>
      <c r="AG1112" s="2">
        <v>0</v>
      </c>
      <c r="AH1112" s="2">
        <v>0</v>
      </c>
      <c r="AI1112" s="2">
        <v>0</v>
      </c>
      <c r="AJ1112" s="2">
        <v>0</v>
      </c>
      <c r="AK1112" s="2">
        <v>0</v>
      </c>
      <c r="AL1112" s="2">
        <v>0</v>
      </c>
      <c r="AM1112" s="2">
        <v>25.36</v>
      </c>
      <c r="AN1112" s="2">
        <v>-126.81</v>
      </c>
      <c r="AO1112" s="2">
        <v>-126.81</v>
      </c>
      <c r="AP1112" s="2">
        <v>0</v>
      </c>
      <c r="AQ1112" s="2">
        <v>0</v>
      </c>
      <c r="AR1112" t="s">
        <v>1203</v>
      </c>
    </row>
    <row r="1113" spans="1:44" x14ac:dyDescent="0.25">
      <c r="A1113" s="1">
        <v>45936</v>
      </c>
      <c r="B1113" t="s">
        <v>1201</v>
      </c>
      <c r="C1113">
        <v>7146581</v>
      </c>
      <c r="D1113">
        <v>2030382340</v>
      </c>
      <c r="E1113" t="s">
        <v>1227</v>
      </c>
      <c r="F1113" t="s">
        <v>510</v>
      </c>
      <c r="G1113" t="s">
        <v>51</v>
      </c>
      <c r="I1113" t="s">
        <v>292</v>
      </c>
      <c r="J1113" t="s">
        <v>331</v>
      </c>
      <c r="K1113">
        <v>7146581</v>
      </c>
      <c r="L1113" t="s">
        <v>436</v>
      </c>
      <c r="M1113" t="s">
        <v>437</v>
      </c>
      <c r="N1113" t="s">
        <v>456</v>
      </c>
      <c r="O1113" s="1">
        <v>45877</v>
      </c>
      <c r="P1113" s="1">
        <v>45936</v>
      </c>
      <c r="R1113" s="2">
        <v>0</v>
      </c>
      <c r="AB1113" s="2">
        <v>257.29000000000002</v>
      </c>
      <c r="AC1113" s="2">
        <v>0</v>
      </c>
      <c r="AE1113" s="2">
        <v>0</v>
      </c>
      <c r="AF1113" s="2">
        <v>0</v>
      </c>
      <c r="AG1113" s="2">
        <v>0</v>
      </c>
      <c r="AH1113" s="2">
        <v>0</v>
      </c>
      <c r="AI1113" s="2">
        <v>0</v>
      </c>
      <c r="AJ1113" s="2">
        <v>0</v>
      </c>
      <c r="AK1113" s="2">
        <v>0</v>
      </c>
      <c r="AL1113" s="2">
        <v>0</v>
      </c>
      <c r="AM1113" s="2">
        <v>42.88</v>
      </c>
      <c r="AN1113" s="2">
        <v>-214.41</v>
      </c>
      <c r="AO1113" s="2">
        <v>-214.41</v>
      </c>
      <c r="AP1113" s="2">
        <v>0</v>
      </c>
      <c r="AQ1113" s="2">
        <v>0</v>
      </c>
      <c r="AR1113" t="s">
        <v>1203</v>
      </c>
    </row>
    <row r="1114" spans="1:44" x14ac:dyDescent="0.25">
      <c r="A1114" s="1">
        <v>45936</v>
      </c>
      <c r="B1114" t="s">
        <v>1201</v>
      </c>
      <c r="C1114">
        <v>16865615</v>
      </c>
      <c r="D1114">
        <v>2030336457</v>
      </c>
      <c r="E1114" t="s">
        <v>1225</v>
      </c>
      <c r="F1114" t="s">
        <v>1226</v>
      </c>
      <c r="G1114" t="s">
        <v>51</v>
      </c>
      <c r="I1114" t="s">
        <v>89</v>
      </c>
      <c r="J1114" t="s">
        <v>96</v>
      </c>
      <c r="K1114">
        <v>16865615</v>
      </c>
      <c r="L1114" t="s">
        <v>265</v>
      </c>
      <c r="M1114" t="s">
        <v>266</v>
      </c>
      <c r="N1114" t="s">
        <v>456</v>
      </c>
      <c r="O1114" s="1">
        <v>45875</v>
      </c>
      <c r="P1114" s="1">
        <v>45936</v>
      </c>
      <c r="R1114" s="2">
        <v>0</v>
      </c>
      <c r="AB1114" s="2">
        <v>162.27000000000001</v>
      </c>
      <c r="AC1114" s="2">
        <v>0</v>
      </c>
      <c r="AE1114" s="2">
        <v>0</v>
      </c>
      <c r="AF1114" s="2">
        <v>0</v>
      </c>
      <c r="AG1114" s="2">
        <v>0</v>
      </c>
      <c r="AH1114" s="2">
        <v>0</v>
      </c>
      <c r="AI1114" s="2">
        <v>0</v>
      </c>
      <c r="AJ1114" s="2">
        <v>0</v>
      </c>
      <c r="AK1114" s="2">
        <v>0</v>
      </c>
      <c r="AL1114" s="2">
        <v>0</v>
      </c>
      <c r="AM1114" s="2">
        <v>27.05</v>
      </c>
      <c r="AN1114" s="2">
        <v>-135.22</v>
      </c>
      <c r="AO1114" s="2">
        <v>-135.22</v>
      </c>
      <c r="AP1114" s="2">
        <v>0</v>
      </c>
      <c r="AQ1114" s="2">
        <v>0</v>
      </c>
      <c r="AR1114" t="s">
        <v>1203</v>
      </c>
    </row>
    <row r="1115" spans="1:44" x14ac:dyDescent="0.25">
      <c r="A1115" s="1">
        <v>45936</v>
      </c>
      <c r="B1115" t="s">
        <v>1201</v>
      </c>
      <c r="C1115">
        <v>18201929</v>
      </c>
      <c r="D1115">
        <v>2029292996</v>
      </c>
      <c r="E1115" t="s">
        <v>1218</v>
      </c>
      <c r="F1115" t="s">
        <v>1219</v>
      </c>
      <c r="G1115" t="s">
        <v>51</v>
      </c>
      <c r="I1115" t="s">
        <v>292</v>
      </c>
      <c r="J1115" t="s">
        <v>293</v>
      </c>
      <c r="K1115">
        <v>18201929</v>
      </c>
      <c r="L1115" t="s">
        <v>298</v>
      </c>
      <c r="M1115" t="s">
        <v>299</v>
      </c>
      <c r="N1115" t="s">
        <v>456</v>
      </c>
      <c r="O1115" s="1">
        <v>45839</v>
      </c>
      <c r="P1115" s="1">
        <v>45936</v>
      </c>
      <c r="R1115" s="2">
        <v>0</v>
      </c>
      <c r="AB1115" s="2">
        <v>348.6</v>
      </c>
      <c r="AC1115" s="2">
        <v>0</v>
      </c>
      <c r="AE1115" s="2">
        <v>0</v>
      </c>
      <c r="AF1115" s="2">
        <v>0</v>
      </c>
      <c r="AG1115" s="2">
        <v>0</v>
      </c>
      <c r="AH1115" s="2">
        <v>0</v>
      </c>
      <c r="AI1115" s="2">
        <v>0</v>
      </c>
      <c r="AJ1115" s="2">
        <v>0</v>
      </c>
      <c r="AK1115" s="2">
        <v>0</v>
      </c>
      <c r="AL1115" s="2">
        <v>0</v>
      </c>
      <c r="AM1115" s="2">
        <v>232.4</v>
      </c>
      <c r="AN1115" s="2">
        <v>-116.2</v>
      </c>
      <c r="AO1115" s="2">
        <v>-116.2</v>
      </c>
      <c r="AP1115" s="2">
        <v>0</v>
      </c>
      <c r="AQ1115" s="2">
        <v>0</v>
      </c>
      <c r="AR1115" t="s">
        <v>1203</v>
      </c>
    </row>
    <row r="1116" spans="1:44" x14ac:dyDescent="0.25">
      <c r="A1116" s="1">
        <v>45936</v>
      </c>
      <c r="B1116" t="s">
        <v>1201</v>
      </c>
      <c r="C1116">
        <v>17425766</v>
      </c>
      <c r="D1116">
        <v>2029969179</v>
      </c>
      <c r="E1116" t="s">
        <v>1137</v>
      </c>
      <c r="F1116" t="s">
        <v>1228</v>
      </c>
      <c r="G1116" t="s">
        <v>51</v>
      </c>
      <c r="I1116" t="s">
        <v>287</v>
      </c>
      <c r="J1116" t="s">
        <v>288</v>
      </c>
      <c r="K1116">
        <v>17425766</v>
      </c>
      <c r="L1116" t="s">
        <v>237</v>
      </c>
      <c r="M1116" t="s">
        <v>238</v>
      </c>
      <c r="N1116" t="s">
        <v>456</v>
      </c>
      <c r="O1116" s="1">
        <v>45870</v>
      </c>
      <c r="P1116" s="1">
        <v>45936</v>
      </c>
      <c r="R1116" s="2">
        <v>0</v>
      </c>
      <c r="AB1116" s="2">
        <v>139.97</v>
      </c>
      <c r="AC1116" s="2">
        <v>0</v>
      </c>
      <c r="AE1116" s="2">
        <v>0</v>
      </c>
      <c r="AF1116" s="2">
        <v>0</v>
      </c>
      <c r="AG1116" s="2">
        <v>0</v>
      </c>
      <c r="AH1116" s="2">
        <v>0</v>
      </c>
      <c r="AI1116" s="2">
        <v>0</v>
      </c>
      <c r="AJ1116" s="2">
        <v>0</v>
      </c>
      <c r="AK1116" s="2">
        <v>0</v>
      </c>
      <c r="AL1116" s="2">
        <v>0</v>
      </c>
      <c r="AM1116" s="2">
        <v>69.989999999999995</v>
      </c>
      <c r="AN1116" s="2">
        <v>-69.98</v>
      </c>
      <c r="AO1116" s="2">
        <v>-69.98</v>
      </c>
      <c r="AP1116" s="2">
        <v>0</v>
      </c>
      <c r="AQ1116" s="2">
        <v>0</v>
      </c>
      <c r="AR1116" t="s">
        <v>1203</v>
      </c>
    </row>
    <row r="1117" spans="1:44" x14ac:dyDescent="0.25">
      <c r="A1117" s="1">
        <v>45936</v>
      </c>
      <c r="B1117" t="s">
        <v>1201</v>
      </c>
      <c r="C1117">
        <v>17126004</v>
      </c>
      <c r="D1117">
        <v>2029189479</v>
      </c>
      <c r="E1117" t="s">
        <v>1229</v>
      </c>
      <c r="F1117" t="s">
        <v>63</v>
      </c>
      <c r="G1117" t="s">
        <v>51</v>
      </c>
      <c r="I1117" t="s">
        <v>243</v>
      </c>
      <c r="J1117" t="s">
        <v>244</v>
      </c>
      <c r="K1117">
        <v>17126004</v>
      </c>
      <c r="L1117" t="s">
        <v>277</v>
      </c>
      <c r="M1117" t="s">
        <v>278</v>
      </c>
      <c r="N1117" t="s">
        <v>456</v>
      </c>
      <c r="O1117" s="1">
        <v>45809</v>
      </c>
      <c r="P1117" s="1">
        <v>45936</v>
      </c>
      <c r="R1117" s="2">
        <v>0</v>
      </c>
      <c r="AB1117" s="2">
        <v>351.61</v>
      </c>
      <c r="AC1117" s="2">
        <v>0</v>
      </c>
      <c r="AE1117" s="2">
        <v>0</v>
      </c>
      <c r="AF1117" s="2">
        <v>0</v>
      </c>
      <c r="AG1117" s="2">
        <v>0</v>
      </c>
      <c r="AH1117" s="2">
        <v>0</v>
      </c>
      <c r="AI1117" s="2">
        <v>0</v>
      </c>
      <c r="AJ1117" s="2">
        <v>0</v>
      </c>
      <c r="AK1117" s="2">
        <v>0</v>
      </c>
      <c r="AL1117" s="2">
        <v>0</v>
      </c>
      <c r="AM1117" s="2">
        <v>234.41</v>
      </c>
      <c r="AN1117" s="2">
        <v>-117.2</v>
      </c>
      <c r="AO1117" s="2">
        <v>-117.2</v>
      </c>
      <c r="AP1117" s="2">
        <v>0</v>
      </c>
      <c r="AQ1117" s="2">
        <v>0</v>
      </c>
      <c r="AR1117" t="s">
        <v>1203</v>
      </c>
    </row>
    <row r="1118" spans="1:44" x14ac:dyDescent="0.25">
      <c r="A1118" s="1">
        <v>45936</v>
      </c>
      <c r="B1118" t="s">
        <v>1201</v>
      </c>
      <c r="C1118">
        <v>649163</v>
      </c>
      <c r="D1118">
        <v>2029668179</v>
      </c>
      <c r="E1118" t="s">
        <v>234</v>
      </c>
      <c r="F1118" t="s">
        <v>1061</v>
      </c>
      <c r="G1118" t="s">
        <v>51</v>
      </c>
      <c r="I1118" t="s">
        <v>292</v>
      </c>
      <c r="J1118" t="s">
        <v>293</v>
      </c>
      <c r="K1118">
        <v>649163</v>
      </c>
      <c r="L1118" t="s">
        <v>283</v>
      </c>
      <c r="M1118" t="s">
        <v>284</v>
      </c>
      <c r="N1118" t="s">
        <v>456</v>
      </c>
      <c r="O1118" s="1">
        <v>45835</v>
      </c>
      <c r="P1118" s="1">
        <v>45936</v>
      </c>
      <c r="R1118" s="2">
        <v>0</v>
      </c>
      <c r="AB1118" s="2">
        <v>222.68</v>
      </c>
      <c r="AC1118" s="2">
        <v>0</v>
      </c>
      <c r="AE1118" s="2">
        <v>0</v>
      </c>
      <c r="AF1118" s="2">
        <v>0</v>
      </c>
      <c r="AG1118" s="2">
        <v>0</v>
      </c>
      <c r="AH1118" s="2">
        <v>0</v>
      </c>
      <c r="AI1118" s="2">
        <v>0</v>
      </c>
      <c r="AJ1118" s="2">
        <v>0</v>
      </c>
      <c r="AK1118" s="2">
        <v>0</v>
      </c>
      <c r="AL1118" s="2">
        <v>0</v>
      </c>
      <c r="AM1118" s="2">
        <v>148.44999999999999</v>
      </c>
      <c r="AN1118" s="2">
        <v>-74.23</v>
      </c>
      <c r="AO1118" s="2">
        <v>-74.23</v>
      </c>
      <c r="AP1118" s="2">
        <v>0</v>
      </c>
      <c r="AQ1118" s="2">
        <v>0</v>
      </c>
      <c r="AR1118" t="s">
        <v>1203</v>
      </c>
    </row>
    <row r="1119" spans="1:44" x14ac:dyDescent="0.25">
      <c r="A1119" s="1">
        <v>45936</v>
      </c>
      <c r="B1119" t="s">
        <v>1201</v>
      </c>
      <c r="C1119">
        <v>20003537</v>
      </c>
      <c r="D1119">
        <v>2030218379</v>
      </c>
      <c r="E1119" t="s">
        <v>740</v>
      </c>
      <c r="F1119" t="s">
        <v>1073</v>
      </c>
      <c r="G1119" t="s">
        <v>51</v>
      </c>
      <c r="I1119" t="s">
        <v>292</v>
      </c>
      <c r="J1119" t="s">
        <v>293</v>
      </c>
      <c r="K1119">
        <v>20003537</v>
      </c>
      <c r="L1119" t="s">
        <v>66</v>
      </c>
      <c r="M1119" t="s">
        <v>156</v>
      </c>
      <c r="N1119" t="s">
        <v>456</v>
      </c>
      <c r="O1119" s="1">
        <v>45870</v>
      </c>
      <c r="P1119" s="1">
        <v>45936</v>
      </c>
      <c r="R1119" s="2">
        <v>0</v>
      </c>
      <c r="AB1119" s="2">
        <v>501.98</v>
      </c>
      <c r="AC1119" s="2">
        <v>0</v>
      </c>
      <c r="AE1119" s="2">
        <v>0</v>
      </c>
      <c r="AF1119" s="2">
        <v>0</v>
      </c>
      <c r="AG1119" s="2">
        <v>0</v>
      </c>
      <c r="AH1119" s="2">
        <v>0</v>
      </c>
      <c r="AI1119" s="2">
        <v>0</v>
      </c>
      <c r="AJ1119" s="2">
        <v>0</v>
      </c>
      <c r="AK1119" s="2">
        <v>0</v>
      </c>
      <c r="AL1119" s="2">
        <v>0</v>
      </c>
      <c r="AM1119" s="2">
        <v>167.33</v>
      </c>
      <c r="AN1119" s="2">
        <v>-334.65</v>
      </c>
      <c r="AO1119" s="2">
        <v>-334.65</v>
      </c>
      <c r="AP1119" s="2">
        <v>0</v>
      </c>
      <c r="AQ1119" s="2">
        <v>0</v>
      </c>
      <c r="AR1119" t="s">
        <v>1203</v>
      </c>
    </row>
    <row r="1120" spans="1:44" x14ac:dyDescent="0.25">
      <c r="A1120" s="1">
        <v>45936</v>
      </c>
      <c r="B1120" t="s">
        <v>1201</v>
      </c>
      <c r="C1120">
        <v>16865615</v>
      </c>
      <c r="D1120">
        <v>2030336456</v>
      </c>
      <c r="E1120" t="s">
        <v>1225</v>
      </c>
      <c r="F1120" t="s">
        <v>1226</v>
      </c>
      <c r="G1120" t="s">
        <v>51</v>
      </c>
      <c r="I1120" t="s">
        <v>287</v>
      </c>
      <c r="J1120" t="s">
        <v>288</v>
      </c>
      <c r="K1120">
        <v>16865615</v>
      </c>
      <c r="L1120" t="s">
        <v>265</v>
      </c>
      <c r="M1120" t="s">
        <v>266</v>
      </c>
      <c r="N1120" t="s">
        <v>456</v>
      </c>
      <c r="O1120" s="1">
        <v>45875</v>
      </c>
      <c r="P1120" s="1">
        <v>45936</v>
      </c>
      <c r="R1120" s="2">
        <v>0</v>
      </c>
      <c r="AB1120" s="2">
        <v>38.549999999999997</v>
      </c>
      <c r="AC1120" s="2">
        <v>0</v>
      </c>
      <c r="AE1120" s="2">
        <v>0</v>
      </c>
      <c r="AF1120" s="2">
        <v>0</v>
      </c>
      <c r="AG1120" s="2">
        <v>0</v>
      </c>
      <c r="AH1120" s="2">
        <v>0</v>
      </c>
      <c r="AI1120" s="2">
        <v>0</v>
      </c>
      <c r="AJ1120" s="2">
        <v>0</v>
      </c>
      <c r="AK1120" s="2">
        <v>0</v>
      </c>
      <c r="AL1120" s="2">
        <v>0</v>
      </c>
      <c r="AM1120" s="2">
        <v>6.43</v>
      </c>
      <c r="AN1120" s="2">
        <v>-32.119999999999997</v>
      </c>
      <c r="AO1120" s="2">
        <v>-32.119999999999997</v>
      </c>
      <c r="AP1120" s="2">
        <v>0</v>
      </c>
      <c r="AQ1120" s="2">
        <v>0</v>
      </c>
      <c r="AR1120" t="s">
        <v>1203</v>
      </c>
    </row>
    <row r="1121" spans="1:44" x14ac:dyDescent="0.25">
      <c r="A1121" s="1">
        <v>45936</v>
      </c>
      <c r="B1121" t="s">
        <v>1201</v>
      </c>
      <c r="C1121">
        <v>16378851</v>
      </c>
      <c r="D1121">
        <v>2030413756</v>
      </c>
      <c r="E1121" t="s">
        <v>1230</v>
      </c>
      <c r="F1121" t="s">
        <v>1231</v>
      </c>
      <c r="G1121" t="s">
        <v>51</v>
      </c>
      <c r="I1121" t="s">
        <v>243</v>
      </c>
      <c r="J1121" t="s">
        <v>244</v>
      </c>
      <c r="K1121">
        <v>16378851</v>
      </c>
      <c r="L1121" t="s">
        <v>97</v>
      </c>
      <c r="M1121" t="s">
        <v>98</v>
      </c>
      <c r="N1121" t="s">
        <v>456</v>
      </c>
      <c r="O1121" s="1">
        <v>45901</v>
      </c>
      <c r="P1121" s="1">
        <v>45936</v>
      </c>
      <c r="R1121" s="2">
        <v>0</v>
      </c>
      <c r="AB1121" s="2">
        <v>67.069999999999993</v>
      </c>
      <c r="AC1121" s="2">
        <v>0</v>
      </c>
      <c r="AE1121" s="2">
        <v>0</v>
      </c>
      <c r="AF1121" s="2">
        <v>0</v>
      </c>
      <c r="AG1121" s="2">
        <v>0</v>
      </c>
      <c r="AH1121" s="2">
        <v>0</v>
      </c>
      <c r="AI1121" s="2">
        <v>0</v>
      </c>
      <c r="AJ1121" s="2">
        <v>0</v>
      </c>
      <c r="AK1121" s="2">
        <v>0</v>
      </c>
      <c r="AL1121" s="2">
        <v>0</v>
      </c>
      <c r="AM1121" s="2">
        <v>22.36</v>
      </c>
      <c r="AN1121" s="2">
        <v>-44.71</v>
      </c>
      <c r="AO1121" s="2">
        <v>-44.71</v>
      </c>
      <c r="AP1121" s="2">
        <v>0</v>
      </c>
      <c r="AQ1121" s="2">
        <v>0</v>
      </c>
      <c r="AR1121" t="s">
        <v>1203</v>
      </c>
    </row>
    <row r="1122" spans="1:44" x14ac:dyDescent="0.25">
      <c r="A1122" s="1">
        <v>45936</v>
      </c>
      <c r="B1122" t="s">
        <v>1201</v>
      </c>
      <c r="C1122">
        <v>5442438</v>
      </c>
      <c r="D1122">
        <v>2031072180</v>
      </c>
      <c r="E1122" t="s">
        <v>1232</v>
      </c>
      <c r="F1122" t="s">
        <v>104</v>
      </c>
      <c r="G1122" t="s">
        <v>51</v>
      </c>
      <c r="I1122" t="s">
        <v>292</v>
      </c>
      <c r="J1122" t="s">
        <v>294</v>
      </c>
      <c r="K1122">
        <v>5442438</v>
      </c>
      <c r="L1122" t="s">
        <v>106</v>
      </c>
      <c r="M1122" t="s">
        <v>107</v>
      </c>
      <c r="N1122" t="s">
        <v>456</v>
      </c>
      <c r="O1122" s="1">
        <v>45919</v>
      </c>
      <c r="P1122" s="1">
        <v>45936</v>
      </c>
      <c r="R1122" s="2">
        <v>0</v>
      </c>
      <c r="AB1122" s="2">
        <v>103.38</v>
      </c>
      <c r="AC1122" s="2">
        <v>0</v>
      </c>
      <c r="AE1122" s="2">
        <v>0</v>
      </c>
      <c r="AF1122" s="2">
        <v>0</v>
      </c>
      <c r="AG1122" s="2">
        <v>0</v>
      </c>
      <c r="AH1122" s="2">
        <v>0</v>
      </c>
      <c r="AI1122" s="2">
        <v>0</v>
      </c>
      <c r="AJ1122" s="2">
        <v>0</v>
      </c>
      <c r="AK1122" s="2">
        <v>0</v>
      </c>
      <c r="AL1122" s="2">
        <v>0</v>
      </c>
      <c r="AM1122" s="2">
        <v>17.23</v>
      </c>
      <c r="AN1122" s="2">
        <v>-86.15</v>
      </c>
      <c r="AO1122" s="2">
        <v>-86.15</v>
      </c>
      <c r="AP1122" s="2">
        <v>0</v>
      </c>
      <c r="AQ1122" s="2">
        <v>0</v>
      </c>
      <c r="AR1122" t="s">
        <v>1203</v>
      </c>
    </row>
    <row r="1123" spans="1:44" x14ac:dyDescent="0.25">
      <c r="A1123" s="1">
        <v>45936</v>
      </c>
      <c r="B1123" t="s">
        <v>1201</v>
      </c>
      <c r="C1123">
        <v>5442438</v>
      </c>
      <c r="D1123">
        <v>2031072181</v>
      </c>
      <c r="E1123" t="s">
        <v>1232</v>
      </c>
      <c r="F1123" t="s">
        <v>104</v>
      </c>
      <c r="G1123" t="s">
        <v>51</v>
      </c>
      <c r="I1123" t="s">
        <v>89</v>
      </c>
      <c r="J1123" t="s">
        <v>96</v>
      </c>
      <c r="K1123">
        <v>5442438</v>
      </c>
      <c r="L1123" t="s">
        <v>106</v>
      </c>
      <c r="M1123" t="s">
        <v>107</v>
      </c>
      <c r="N1123" t="s">
        <v>456</v>
      </c>
      <c r="O1123" s="1">
        <v>45919</v>
      </c>
      <c r="P1123" s="1">
        <v>45936</v>
      </c>
      <c r="R1123" s="2">
        <v>0</v>
      </c>
      <c r="AB1123" s="2">
        <v>171.24</v>
      </c>
      <c r="AC1123" s="2">
        <v>0</v>
      </c>
      <c r="AE1123" s="2">
        <v>0</v>
      </c>
      <c r="AF1123" s="2">
        <v>0</v>
      </c>
      <c r="AG1123" s="2">
        <v>0</v>
      </c>
      <c r="AH1123" s="2">
        <v>0</v>
      </c>
      <c r="AI1123" s="2">
        <v>0</v>
      </c>
      <c r="AJ1123" s="2">
        <v>0</v>
      </c>
      <c r="AK1123" s="2">
        <v>0</v>
      </c>
      <c r="AL1123" s="2">
        <v>0</v>
      </c>
      <c r="AM1123" s="2">
        <v>28.54</v>
      </c>
      <c r="AN1123" s="2">
        <v>-142.69999999999999</v>
      </c>
      <c r="AO1123" s="2">
        <v>-142.69999999999999</v>
      </c>
      <c r="AP1123" s="2">
        <v>0</v>
      </c>
      <c r="AQ1123" s="2">
        <v>0</v>
      </c>
      <c r="AR1123" t="s">
        <v>1203</v>
      </c>
    </row>
    <row r="1124" spans="1:44" x14ac:dyDescent="0.25">
      <c r="A1124" s="1">
        <v>45936</v>
      </c>
      <c r="B1124" t="s">
        <v>1201</v>
      </c>
      <c r="C1124">
        <v>17437820</v>
      </c>
      <c r="D1124">
        <v>2031079835</v>
      </c>
      <c r="E1124" t="s">
        <v>108</v>
      </c>
      <c r="F1124" t="s">
        <v>1233</v>
      </c>
      <c r="G1124" t="s">
        <v>51</v>
      </c>
      <c r="I1124" t="s">
        <v>292</v>
      </c>
      <c r="J1124" t="s">
        <v>293</v>
      </c>
      <c r="K1124">
        <v>17437820</v>
      </c>
      <c r="L1124" t="s">
        <v>258</v>
      </c>
      <c r="M1124" t="s">
        <v>259</v>
      </c>
      <c r="N1124" t="s">
        <v>456</v>
      </c>
      <c r="O1124" s="1">
        <v>45916</v>
      </c>
      <c r="P1124" s="1">
        <v>45936</v>
      </c>
      <c r="R1124" s="2">
        <v>0</v>
      </c>
      <c r="AB1124" s="2">
        <v>121.38</v>
      </c>
      <c r="AC1124" s="2">
        <v>0</v>
      </c>
      <c r="AE1124" s="2">
        <v>0</v>
      </c>
      <c r="AF1124" s="2">
        <v>0</v>
      </c>
      <c r="AG1124" s="2">
        <v>0</v>
      </c>
      <c r="AH1124" s="2">
        <v>0</v>
      </c>
      <c r="AI1124" s="2">
        <v>0</v>
      </c>
      <c r="AJ1124" s="2">
        <v>0</v>
      </c>
      <c r="AK1124" s="2">
        <v>0</v>
      </c>
      <c r="AL1124" s="2">
        <v>0</v>
      </c>
      <c r="AM1124" s="2">
        <v>20.23</v>
      </c>
      <c r="AN1124" s="2">
        <v>-101.15</v>
      </c>
      <c r="AO1124" s="2">
        <v>-101.15</v>
      </c>
      <c r="AP1124" s="2">
        <v>0</v>
      </c>
      <c r="AQ1124" s="2">
        <v>0</v>
      </c>
      <c r="AR1124" t="s">
        <v>1203</v>
      </c>
    </row>
    <row r="1125" spans="1:44" x14ac:dyDescent="0.25">
      <c r="A1125" s="1">
        <v>45936</v>
      </c>
      <c r="B1125" t="s">
        <v>1201</v>
      </c>
      <c r="C1125">
        <v>8977234</v>
      </c>
      <c r="D1125">
        <v>2030873014</v>
      </c>
      <c r="E1125" t="s">
        <v>1234</v>
      </c>
      <c r="F1125" t="s">
        <v>562</v>
      </c>
      <c r="G1125" t="s">
        <v>51</v>
      </c>
      <c r="I1125" t="s">
        <v>292</v>
      </c>
      <c r="J1125" t="s">
        <v>293</v>
      </c>
      <c r="K1125">
        <v>8977234</v>
      </c>
      <c r="L1125" t="s">
        <v>80</v>
      </c>
      <c r="M1125" t="s">
        <v>81</v>
      </c>
      <c r="N1125" t="s">
        <v>456</v>
      </c>
      <c r="O1125" s="1">
        <v>45905</v>
      </c>
      <c r="P1125" s="1">
        <v>45936</v>
      </c>
      <c r="R1125" s="2">
        <v>0</v>
      </c>
      <c r="AB1125" s="2">
        <v>240.53</v>
      </c>
      <c r="AC1125" s="2">
        <v>0</v>
      </c>
      <c r="AE1125" s="2">
        <v>0</v>
      </c>
      <c r="AF1125" s="2">
        <v>0</v>
      </c>
      <c r="AG1125" s="2">
        <v>0</v>
      </c>
      <c r="AH1125" s="2">
        <v>0</v>
      </c>
      <c r="AI1125" s="2">
        <v>0</v>
      </c>
      <c r="AJ1125" s="2">
        <v>0</v>
      </c>
      <c r="AK1125" s="2">
        <v>0</v>
      </c>
      <c r="AL1125" s="2">
        <v>0</v>
      </c>
      <c r="AM1125" s="2">
        <v>40.090000000000003</v>
      </c>
      <c r="AN1125" s="2">
        <v>-200.44</v>
      </c>
      <c r="AO1125" s="2">
        <v>-200.44</v>
      </c>
      <c r="AP1125" s="2">
        <v>0</v>
      </c>
      <c r="AQ1125" s="2">
        <v>0</v>
      </c>
      <c r="AR1125" t="s">
        <v>1203</v>
      </c>
    </row>
    <row r="1126" spans="1:44" s="5" customFormat="1" x14ac:dyDescent="0.25">
      <c r="A1126" s="6">
        <v>45936</v>
      </c>
      <c r="B1126" s="5" t="s">
        <v>1201</v>
      </c>
      <c r="C1126" s="5">
        <v>649163</v>
      </c>
      <c r="D1126" s="5">
        <v>2030934309</v>
      </c>
      <c r="E1126" s="5" t="s">
        <v>556</v>
      </c>
      <c r="F1126" s="5" t="s">
        <v>557</v>
      </c>
      <c r="G1126" s="5" t="s">
        <v>51</v>
      </c>
      <c r="I1126" s="5" t="s">
        <v>344</v>
      </c>
      <c r="J1126" s="5" t="s">
        <v>346</v>
      </c>
      <c r="K1126" s="5">
        <v>649163</v>
      </c>
      <c r="L1126" s="5" t="s">
        <v>428</v>
      </c>
      <c r="M1126" s="5" t="s">
        <v>309</v>
      </c>
      <c r="N1126" s="5" t="s">
        <v>456</v>
      </c>
      <c r="O1126" s="6">
        <v>45909</v>
      </c>
      <c r="P1126" s="6">
        <v>45936</v>
      </c>
      <c r="R1126" s="7">
        <v>0</v>
      </c>
      <c r="AB1126" s="7">
        <v>1764.9</v>
      </c>
      <c r="AC1126" s="7">
        <v>0</v>
      </c>
      <c r="AE1126" s="7">
        <v>0</v>
      </c>
      <c r="AF1126" s="7">
        <v>0</v>
      </c>
      <c r="AG1126" s="7">
        <v>0</v>
      </c>
      <c r="AH1126" s="7">
        <v>0</v>
      </c>
      <c r="AI1126" s="7">
        <v>0</v>
      </c>
      <c r="AJ1126" s="7">
        <v>0</v>
      </c>
      <c r="AK1126" s="7">
        <v>0</v>
      </c>
      <c r="AL1126" s="7">
        <v>0</v>
      </c>
      <c r="AM1126" s="7">
        <v>294.14999999999998</v>
      </c>
      <c r="AN1126" s="7">
        <v>-1470.75</v>
      </c>
      <c r="AO1126" s="7">
        <v>-1470.75</v>
      </c>
      <c r="AP1126" s="7">
        <v>0</v>
      </c>
      <c r="AQ1126" s="7">
        <v>0</v>
      </c>
      <c r="AR1126" s="5" t="s">
        <v>1203</v>
      </c>
    </row>
    <row r="1127" spans="1:44" x14ac:dyDescent="0.25">
      <c r="A1127" s="1">
        <v>45936</v>
      </c>
      <c r="B1127" t="s">
        <v>1201</v>
      </c>
      <c r="C1127">
        <v>649163</v>
      </c>
      <c r="D1127">
        <v>2030934310</v>
      </c>
      <c r="E1127" t="s">
        <v>556</v>
      </c>
      <c r="F1127" t="s">
        <v>557</v>
      </c>
      <c r="G1127" t="s">
        <v>51</v>
      </c>
      <c r="I1127" t="s">
        <v>209</v>
      </c>
      <c r="J1127" t="s">
        <v>225</v>
      </c>
      <c r="K1127">
        <v>649163</v>
      </c>
      <c r="L1127" t="s">
        <v>428</v>
      </c>
      <c r="M1127" t="s">
        <v>309</v>
      </c>
      <c r="N1127" t="s">
        <v>456</v>
      </c>
      <c r="O1127" s="1">
        <v>45909</v>
      </c>
      <c r="P1127" s="1">
        <v>45936</v>
      </c>
      <c r="R1127" s="2">
        <v>0</v>
      </c>
      <c r="AB1127" s="2">
        <v>26.1</v>
      </c>
      <c r="AC1127" s="2">
        <v>0</v>
      </c>
      <c r="AE1127" s="2">
        <v>0</v>
      </c>
      <c r="AF1127" s="2">
        <v>0</v>
      </c>
      <c r="AG1127" s="2">
        <v>0</v>
      </c>
      <c r="AH1127" s="2">
        <v>0</v>
      </c>
      <c r="AI1127" s="2">
        <v>0</v>
      </c>
      <c r="AJ1127" s="2">
        <v>0</v>
      </c>
      <c r="AK1127" s="2">
        <v>0</v>
      </c>
      <c r="AL1127" s="2">
        <v>0</v>
      </c>
      <c r="AM1127" s="2">
        <v>4.3499999999999996</v>
      </c>
      <c r="AN1127" s="2">
        <v>-21.75</v>
      </c>
      <c r="AO1127" s="2">
        <v>-21.75</v>
      </c>
      <c r="AP1127" s="2">
        <v>0</v>
      </c>
      <c r="AQ1127" s="2">
        <v>0</v>
      </c>
      <c r="AR1127" t="s">
        <v>1203</v>
      </c>
    </row>
    <row r="1128" spans="1:44" x14ac:dyDescent="0.25">
      <c r="A1128" s="1">
        <v>45936</v>
      </c>
      <c r="B1128" t="s">
        <v>1201</v>
      </c>
      <c r="C1128">
        <v>649163</v>
      </c>
      <c r="D1128">
        <v>2030985508</v>
      </c>
      <c r="E1128" t="s">
        <v>423</v>
      </c>
      <c r="F1128" t="s">
        <v>259</v>
      </c>
      <c r="G1128" t="s">
        <v>51</v>
      </c>
      <c r="I1128" t="s">
        <v>287</v>
      </c>
      <c r="J1128" t="s">
        <v>291</v>
      </c>
      <c r="K1128">
        <v>649163</v>
      </c>
      <c r="L1128" t="s">
        <v>256</v>
      </c>
      <c r="M1128" t="s">
        <v>165</v>
      </c>
      <c r="N1128" t="s">
        <v>456</v>
      </c>
      <c r="O1128" s="1">
        <v>45912</v>
      </c>
      <c r="P1128" s="1">
        <v>45936</v>
      </c>
      <c r="R1128" s="2">
        <v>0</v>
      </c>
      <c r="AB1128" s="2">
        <v>846.06</v>
      </c>
      <c r="AC1128" s="2">
        <v>0</v>
      </c>
      <c r="AE1128" s="2">
        <v>0</v>
      </c>
      <c r="AF1128" s="2">
        <v>0</v>
      </c>
      <c r="AG1128" s="2">
        <v>0</v>
      </c>
      <c r="AH1128" s="2">
        <v>0</v>
      </c>
      <c r="AI1128" s="2">
        <v>0</v>
      </c>
      <c r="AJ1128" s="2">
        <v>0</v>
      </c>
      <c r="AK1128" s="2">
        <v>0</v>
      </c>
      <c r="AL1128" s="2">
        <v>0</v>
      </c>
      <c r="AM1128" s="2">
        <v>141.01</v>
      </c>
      <c r="AN1128" s="2">
        <v>-705.05</v>
      </c>
      <c r="AO1128" s="2">
        <v>-705.05</v>
      </c>
      <c r="AP1128" s="2">
        <v>0</v>
      </c>
      <c r="AQ1128" s="2">
        <v>0</v>
      </c>
      <c r="AR1128" t="s">
        <v>1203</v>
      </c>
    </row>
    <row r="1129" spans="1:44" x14ac:dyDescent="0.25">
      <c r="A1129" s="1">
        <v>45936</v>
      </c>
      <c r="B1129" t="s">
        <v>1201</v>
      </c>
      <c r="C1129">
        <v>649163</v>
      </c>
      <c r="D1129">
        <v>2030985509</v>
      </c>
      <c r="E1129" t="s">
        <v>423</v>
      </c>
      <c r="F1129" t="s">
        <v>259</v>
      </c>
      <c r="G1129" t="s">
        <v>51</v>
      </c>
      <c r="I1129" t="s">
        <v>209</v>
      </c>
      <c r="J1129" t="s">
        <v>232</v>
      </c>
      <c r="K1129">
        <v>649163</v>
      </c>
      <c r="L1129" t="s">
        <v>256</v>
      </c>
      <c r="M1129" t="s">
        <v>165</v>
      </c>
      <c r="N1129" t="s">
        <v>456</v>
      </c>
      <c r="O1129" s="1">
        <v>45912</v>
      </c>
      <c r="P1129" s="1">
        <v>45936</v>
      </c>
      <c r="R1129" s="2">
        <v>0</v>
      </c>
      <c r="AB1129" s="2">
        <v>34.200000000000003</v>
      </c>
      <c r="AC1129" s="2">
        <v>0</v>
      </c>
      <c r="AE1129" s="2">
        <v>0</v>
      </c>
      <c r="AF1129" s="2">
        <v>0</v>
      </c>
      <c r="AG1129" s="2">
        <v>0</v>
      </c>
      <c r="AH1129" s="2">
        <v>0</v>
      </c>
      <c r="AI1129" s="2">
        <v>0</v>
      </c>
      <c r="AJ1129" s="2">
        <v>0</v>
      </c>
      <c r="AK1129" s="2">
        <v>0</v>
      </c>
      <c r="AL1129" s="2">
        <v>0</v>
      </c>
      <c r="AM1129" s="2">
        <v>5.7</v>
      </c>
      <c r="AN1129" s="2">
        <v>-28.5</v>
      </c>
      <c r="AO1129" s="2">
        <v>-28.5</v>
      </c>
      <c r="AP1129" s="2">
        <v>0</v>
      </c>
      <c r="AQ1129" s="2">
        <v>0</v>
      </c>
      <c r="AR1129" t="s">
        <v>1203</v>
      </c>
    </row>
    <row r="1130" spans="1:44" x14ac:dyDescent="0.25">
      <c r="A1130" s="1">
        <v>45936</v>
      </c>
      <c r="B1130" t="s">
        <v>1201</v>
      </c>
      <c r="C1130">
        <v>16865615</v>
      </c>
      <c r="D1130">
        <v>2030336454</v>
      </c>
      <c r="E1130" t="s">
        <v>1225</v>
      </c>
      <c r="F1130" t="s">
        <v>1226</v>
      </c>
      <c r="G1130" t="s">
        <v>51</v>
      </c>
      <c r="I1130" t="s">
        <v>243</v>
      </c>
      <c r="J1130" t="s">
        <v>244</v>
      </c>
      <c r="K1130">
        <v>16865615</v>
      </c>
      <c r="L1130" t="s">
        <v>265</v>
      </c>
      <c r="M1130" t="s">
        <v>266</v>
      </c>
      <c r="N1130" t="s">
        <v>456</v>
      </c>
      <c r="O1130" s="1">
        <v>45875</v>
      </c>
      <c r="P1130" s="1">
        <v>45936</v>
      </c>
      <c r="R1130" s="2">
        <v>0</v>
      </c>
      <c r="AB1130" s="2">
        <v>67.099999999999994</v>
      </c>
      <c r="AC1130" s="2">
        <v>0</v>
      </c>
      <c r="AE1130" s="2">
        <v>0</v>
      </c>
      <c r="AF1130" s="2">
        <v>0</v>
      </c>
      <c r="AG1130" s="2">
        <v>0</v>
      </c>
      <c r="AH1130" s="2">
        <v>0</v>
      </c>
      <c r="AI1130" s="2">
        <v>0</v>
      </c>
      <c r="AJ1130" s="2">
        <v>0</v>
      </c>
      <c r="AK1130" s="2">
        <v>0</v>
      </c>
      <c r="AL1130" s="2">
        <v>0</v>
      </c>
      <c r="AM1130" s="2">
        <v>11.18</v>
      </c>
      <c r="AN1130" s="2">
        <v>-55.92</v>
      </c>
      <c r="AO1130" s="2">
        <v>-55.92</v>
      </c>
      <c r="AP1130" s="2">
        <v>0</v>
      </c>
      <c r="AQ1130" s="2">
        <v>0</v>
      </c>
      <c r="AR1130" t="s">
        <v>1203</v>
      </c>
    </row>
    <row r="1131" spans="1:44" x14ac:dyDescent="0.25">
      <c r="A1131" s="1">
        <v>45936</v>
      </c>
      <c r="B1131" t="s">
        <v>1201</v>
      </c>
      <c r="C1131">
        <v>17425766</v>
      </c>
      <c r="D1131">
        <v>2030372595</v>
      </c>
      <c r="E1131" t="s">
        <v>738</v>
      </c>
      <c r="F1131" t="s">
        <v>1001</v>
      </c>
      <c r="G1131" t="s">
        <v>51</v>
      </c>
      <c r="I1131" t="s">
        <v>292</v>
      </c>
      <c r="J1131" t="s">
        <v>293</v>
      </c>
      <c r="K1131">
        <v>17425766</v>
      </c>
      <c r="L1131" t="s">
        <v>237</v>
      </c>
      <c r="M1131" t="s">
        <v>238</v>
      </c>
      <c r="N1131" t="s">
        <v>456</v>
      </c>
      <c r="O1131" s="1">
        <v>45877</v>
      </c>
      <c r="P1131" s="1">
        <v>45936</v>
      </c>
      <c r="R1131" s="2">
        <v>0</v>
      </c>
      <c r="AB1131" s="2">
        <v>45.44</v>
      </c>
      <c r="AC1131" s="2">
        <v>0</v>
      </c>
      <c r="AE1131" s="2">
        <v>0</v>
      </c>
      <c r="AF1131" s="2">
        <v>0</v>
      </c>
      <c r="AG1131" s="2">
        <v>0</v>
      </c>
      <c r="AH1131" s="2">
        <v>0</v>
      </c>
      <c r="AI1131" s="2">
        <v>0</v>
      </c>
      <c r="AJ1131" s="2">
        <v>0</v>
      </c>
      <c r="AK1131" s="2">
        <v>0</v>
      </c>
      <c r="AL1131" s="2">
        <v>0</v>
      </c>
      <c r="AM1131" s="2">
        <v>7.57</v>
      </c>
      <c r="AN1131" s="2">
        <v>-37.869999999999997</v>
      </c>
      <c r="AO1131" s="2">
        <v>-37.869999999999997</v>
      </c>
      <c r="AP1131" s="2">
        <v>0</v>
      </c>
      <c r="AQ1131" s="2">
        <v>0</v>
      </c>
      <c r="AR1131" t="s">
        <v>1203</v>
      </c>
    </row>
    <row r="1132" spans="1:44" x14ac:dyDescent="0.25">
      <c r="A1132" s="1">
        <v>45936</v>
      </c>
      <c r="B1132" t="s">
        <v>1201</v>
      </c>
      <c r="C1132">
        <v>7146581</v>
      </c>
      <c r="D1132">
        <v>2030382339</v>
      </c>
      <c r="E1132" t="s">
        <v>1227</v>
      </c>
      <c r="F1132" t="s">
        <v>510</v>
      </c>
      <c r="G1132" t="s">
        <v>51</v>
      </c>
      <c r="I1132" t="s">
        <v>292</v>
      </c>
      <c r="J1132" t="s">
        <v>293</v>
      </c>
      <c r="K1132">
        <v>7146581</v>
      </c>
      <c r="L1132" t="s">
        <v>436</v>
      </c>
      <c r="M1132" t="s">
        <v>437</v>
      </c>
      <c r="N1132" t="s">
        <v>456</v>
      </c>
      <c r="O1132" s="1">
        <v>45877</v>
      </c>
      <c r="P1132" s="1">
        <v>45936</v>
      </c>
      <c r="R1132" s="2">
        <v>0</v>
      </c>
      <c r="AB1132" s="2">
        <v>403.28</v>
      </c>
      <c r="AC1132" s="2">
        <v>0</v>
      </c>
      <c r="AE1132" s="2">
        <v>0</v>
      </c>
      <c r="AF1132" s="2">
        <v>0</v>
      </c>
      <c r="AG1132" s="2">
        <v>0</v>
      </c>
      <c r="AH1132" s="2">
        <v>0</v>
      </c>
      <c r="AI1132" s="2">
        <v>0</v>
      </c>
      <c r="AJ1132" s="2">
        <v>0</v>
      </c>
      <c r="AK1132" s="2">
        <v>0</v>
      </c>
      <c r="AL1132" s="2">
        <v>0</v>
      </c>
      <c r="AM1132" s="2">
        <v>67.209999999999994</v>
      </c>
      <c r="AN1132" s="2">
        <v>-336.07</v>
      </c>
      <c r="AO1132" s="2">
        <v>-336.07</v>
      </c>
      <c r="AP1132" s="2">
        <v>0</v>
      </c>
      <c r="AQ1132" s="2">
        <v>0</v>
      </c>
      <c r="AR1132" t="s">
        <v>1203</v>
      </c>
    </row>
    <row r="1133" spans="1:44" x14ac:dyDescent="0.25">
      <c r="A1133" s="1">
        <v>45936</v>
      </c>
      <c r="B1133" t="s">
        <v>1201</v>
      </c>
      <c r="C1133">
        <v>16378851</v>
      </c>
      <c r="D1133">
        <v>2030413755</v>
      </c>
      <c r="E1133" t="s">
        <v>1230</v>
      </c>
      <c r="F1133" t="s">
        <v>1231</v>
      </c>
      <c r="G1133" t="s">
        <v>51</v>
      </c>
      <c r="I1133" t="s">
        <v>89</v>
      </c>
      <c r="J1133" t="s">
        <v>96</v>
      </c>
      <c r="K1133">
        <v>16378851</v>
      </c>
      <c r="L1133" t="s">
        <v>97</v>
      </c>
      <c r="M1133" t="s">
        <v>98</v>
      </c>
      <c r="N1133" t="s">
        <v>456</v>
      </c>
      <c r="O1133" s="1">
        <v>45901</v>
      </c>
      <c r="P1133" s="1">
        <v>45936</v>
      </c>
      <c r="R1133" s="2">
        <v>0</v>
      </c>
      <c r="AB1133" s="2">
        <v>367.63</v>
      </c>
      <c r="AC1133" s="2">
        <v>0</v>
      </c>
      <c r="AE1133" s="2">
        <v>0</v>
      </c>
      <c r="AF1133" s="2">
        <v>0</v>
      </c>
      <c r="AG1133" s="2">
        <v>0</v>
      </c>
      <c r="AH1133" s="2">
        <v>0</v>
      </c>
      <c r="AI1133" s="2">
        <v>0</v>
      </c>
      <c r="AJ1133" s="2">
        <v>0</v>
      </c>
      <c r="AK1133" s="2">
        <v>0</v>
      </c>
      <c r="AL1133" s="2">
        <v>0</v>
      </c>
      <c r="AM1133" s="2">
        <v>122.54</v>
      </c>
      <c r="AN1133" s="2">
        <v>-245.09</v>
      </c>
      <c r="AO1133" s="2">
        <v>-245.09</v>
      </c>
      <c r="AP1133" s="2">
        <v>0</v>
      </c>
      <c r="AQ1133" s="2">
        <v>0</v>
      </c>
      <c r="AR1133" t="s">
        <v>1203</v>
      </c>
    </row>
    <row r="1134" spans="1:44" x14ac:dyDescent="0.25">
      <c r="A1134" s="1">
        <v>45936</v>
      </c>
      <c r="B1134" t="s">
        <v>1201</v>
      </c>
      <c r="C1134">
        <v>8977234</v>
      </c>
      <c r="D1134">
        <v>2030873015</v>
      </c>
      <c r="E1134" t="s">
        <v>1234</v>
      </c>
      <c r="F1134" t="s">
        <v>562</v>
      </c>
      <c r="G1134" t="s">
        <v>51</v>
      </c>
      <c r="I1134" t="s">
        <v>292</v>
      </c>
      <c r="J1134" t="s">
        <v>536</v>
      </c>
      <c r="K1134">
        <v>8977234</v>
      </c>
      <c r="L1134" t="s">
        <v>80</v>
      </c>
      <c r="M1134" t="s">
        <v>81</v>
      </c>
      <c r="N1134" t="s">
        <v>456</v>
      </c>
      <c r="O1134" s="1">
        <v>45905</v>
      </c>
      <c r="P1134" s="1">
        <v>45936</v>
      </c>
      <c r="R1134" s="2">
        <v>0</v>
      </c>
      <c r="AB1134" s="2">
        <v>108.07</v>
      </c>
      <c r="AC1134" s="2">
        <v>0</v>
      </c>
      <c r="AE1134" s="2">
        <v>0</v>
      </c>
      <c r="AF1134" s="2">
        <v>0</v>
      </c>
      <c r="AG1134" s="2">
        <v>0</v>
      </c>
      <c r="AH1134" s="2">
        <v>0</v>
      </c>
      <c r="AI1134" s="2">
        <v>0</v>
      </c>
      <c r="AJ1134" s="2">
        <v>0</v>
      </c>
      <c r="AK1134" s="2">
        <v>0</v>
      </c>
      <c r="AL1134" s="2">
        <v>0</v>
      </c>
      <c r="AM1134" s="2">
        <v>18.010000000000002</v>
      </c>
      <c r="AN1134" s="2">
        <v>-90.06</v>
      </c>
      <c r="AO1134" s="2">
        <v>-90.06</v>
      </c>
      <c r="AP1134" s="2">
        <v>0</v>
      </c>
      <c r="AQ1134" s="2">
        <v>0</v>
      </c>
      <c r="AR1134" t="s">
        <v>1203</v>
      </c>
    </row>
    <row r="1135" spans="1:44" x14ac:dyDescent="0.25">
      <c r="A1135" s="1">
        <v>45936</v>
      </c>
      <c r="B1135" t="s">
        <v>1201</v>
      </c>
      <c r="C1135">
        <v>18201929</v>
      </c>
      <c r="D1135">
        <v>2030676913</v>
      </c>
      <c r="E1135" t="s">
        <v>1235</v>
      </c>
      <c r="F1135" t="s">
        <v>470</v>
      </c>
      <c r="G1135" t="s">
        <v>51</v>
      </c>
      <c r="I1135" t="s">
        <v>292</v>
      </c>
      <c r="J1135" t="s">
        <v>293</v>
      </c>
      <c r="K1135">
        <v>18201929</v>
      </c>
      <c r="L1135" t="s">
        <v>298</v>
      </c>
      <c r="M1135" t="s">
        <v>299</v>
      </c>
      <c r="N1135" t="s">
        <v>456</v>
      </c>
      <c r="O1135" s="1">
        <v>45931</v>
      </c>
      <c r="P1135" s="1">
        <v>45936</v>
      </c>
      <c r="R1135" s="2">
        <v>0</v>
      </c>
      <c r="AB1135" s="2">
        <v>671.16</v>
      </c>
      <c r="AC1135" s="2">
        <v>0</v>
      </c>
      <c r="AE1135" s="2">
        <v>0</v>
      </c>
      <c r="AF1135" s="2">
        <v>0</v>
      </c>
      <c r="AG1135" s="2">
        <v>0</v>
      </c>
      <c r="AH1135" s="2">
        <v>0</v>
      </c>
      <c r="AI1135" s="2">
        <v>0</v>
      </c>
      <c r="AJ1135" s="2">
        <v>0</v>
      </c>
      <c r="AK1135" s="2">
        <v>0</v>
      </c>
      <c r="AL1135" s="2">
        <v>0</v>
      </c>
      <c r="AM1135" s="2">
        <v>111.86</v>
      </c>
      <c r="AN1135" s="2">
        <v>-559.29999999999995</v>
      </c>
      <c r="AO1135" s="2">
        <v>-559.29999999999995</v>
      </c>
      <c r="AP1135" s="2">
        <v>0</v>
      </c>
      <c r="AQ1135" s="2">
        <v>0</v>
      </c>
      <c r="AR1135" t="s">
        <v>1203</v>
      </c>
    </row>
    <row r="1136" spans="1:44" x14ac:dyDescent="0.25">
      <c r="A1136" s="1">
        <v>45936</v>
      </c>
      <c r="B1136" t="s">
        <v>1201</v>
      </c>
      <c r="C1136">
        <v>18201929</v>
      </c>
      <c r="D1136">
        <v>2030676914</v>
      </c>
      <c r="E1136" t="s">
        <v>1235</v>
      </c>
      <c r="F1136" t="s">
        <v>470</v>
      </c>
      <c r="G1136" t="s">
        <v>51</v>
      </c>
      <c r="I1136" t="s">
        <v>292</v>
      </c>
      <c r="J1136" t="s">
        <v>295</v>
      </c>
      <c r="K1136">
        <v>18201929</v>
      </c>
      <c r="L1136" t="s">
        <v>298</v>
      </c>
      <c r="M1136" t="s">
        <v>299</v>
      </c>
      <c r="N1136" t="s">
        <v>456</v>
      </c>
      <c r="O1136" s="1">
        <v>45931</v>
      </c>
      <c r="P1136" s="1">
        <v>45936</v>
      </c>
      <c r="R1136" s="2">
        <v>0</v>
      </c>
      <c r="AB1136" s="2">
        <v>416.34</v>
      </c>
      <c r="AC1136" s="2">
        <v>0</v>
      </c>
      <c r="AE1136" s="2">
        <v>0</v>
      </c>
      <c r="AF1136" s="2">
        <v>0</v>
      </c>
      <c r="AG1136" s="2">
        <v>0</v>
      </c>
      <c r="AH1136" s="2">
        <v>0</v>
      </c>
      <c r="AI1136" s="2">
        <v>0</v>
      </c>
      <c r="AJ1136" s="2">
        <v>0</v>
      </c>
      <c r="AK1136" s="2">
        <v>0</v>
      </c>
      <c r="AL1136" s="2">
        <v>0</v>
      </c>
      <c r="AM1136" s="2">
        <v>69.39</v>
      </c>
      <c r="AN1136" s="2">
        <v>-346.95</v>
      </c>
      <c r="AO1136" s="2">
        <v>-346.95</v>
      </c>
      <c r="AP1136" s="2">
        <v>0</v>
      </c>
      <c r="AQ1136" s="2">
        <v>0</v>
      </c>
      <c r="AR1136" t="s">
        <v>1203</v>
      </c>
    </row>
    <row r="1137" spans="1:44" x14ac:dyDescent="0.25">
      <c r="A1137" s="1">
        <v>45936</v>
      </c>
      <c r="B1137" t="s">
        <v>1201</v>
      </c>
      <c r="C1137">
        <v>649163</v>
      </c>
      <c r="D1137">
        <v>2031250518</v>
      </c>
      <c r="E1137" t="s">
        <v>457</v>
      </c>
      <c r="F1137" t="s">
        <v>458</v>
      </c>
      <c r="G1137" t="s">
        <v>51</v>
      </c>
      <c r="I1137" t="s">
        <v>287</v>
      </c>
      <c r="J1137" t="s">
        <v>291</v>
      </c>
      <c r="K1137">
        <v>649163</v>
      </c>
      <c r="L1137" t="s">
        <v>80</v>
      </c>
      <c r="M1137" t="s">
        <v>81</v>
      </c>
      <c r="N1137" t="s">
        <v>456</v>
      </c>
      <c r="O1137" s="1">
        <v>45931</v>
      </c>
      <c r="P1137" s="1">
        <v>45936</v>
      </c>
      <c r="R1137" s="2">
        <v>0</v>
      </c>
      <c r="AB1137" s="2">
        <v>0</v>
      </c>
      <c r="AC1137" s="2">
        <v>0</v>
      </c>
      <c r="AE1137" s="2">
        <v>0</v>
      </c>
      <c r="AF1137" s="2">
        <v>0</v>
      </c>
      <c r="AG1137" s="2">
        <v>0</v>
      </c>
      <c r="AH1137" s="2">
        <v>0</v>
      </c>
      <c r="AI1137" s="2">
        <v>0</v>
      </c>
      <c r="AJ1137" s="2">
        <v>0</v>
      </c>
      <c r="AK1137" s="2">
        <v>0</v>
      </c>
      <c r="AL1137" s="2">
        <v>0</v>
      </c>
      <c r="AM1137" s="2">
        <v>0</v>
      </c>
      <c r="AN1137" s="2">
        <v>0</v>
      </c>
      <c r="AO1137" s="2">
        <v>0</v>
      </c>
      <c r="AP1137" s="2">
        <v>0</v>
      </c>
      <c r="AQ1137" s="2">
        <v>0</v>
      </c>
      <c r="AR1137" t="s">
        <v>1203</v>
      </c>
    </row>
    <row r="1138" spans="1:44" x14ac:dyDescent="0.25">
      <c r="A1138" s="1">
        <v>45936</v>
      </c>
      <c r="B1138" t="s">
        <v>1201</v>
      </c>
      <c r="C1138">
        <v>649163</v>
      </c>
      <c r="D1138">
        <v>2031250519</v>
      </c>
      <c r="E1138" t="s">
        <v>457</v>
      </c>
      <c r="F1138" t="s">
        <v>458</v>
      </c>
      <c r="G1138" t="s">
        <v>51</v>
      </c>
      <c r="I1138" t="s">
        <v>287</v>
      </c>
      <c r="J1138" t="s">
        <v>424</v>
      </c>
      <c r="K1138">
        <v>649163</v>
      </c>
      <c r="L1138" t="s">
        <v>80</v>
      </c>
      <c r="M1138" t="s">
        <v>81</v>
      </c>
      <c r="N1138" t="s">
        <v>456</v>
      </c>
      <c r="O1138" s="1">
        <v>45931</v>
      </c>
      <c r="P1138" s="1">
        <v>45936</v>
      </c>
      <c r="R1138" s="2">
        <v>0</v>
      </c>
      <c r="AB1138" s="2">
        <v>0</v>
      </c>
      <c r="AC1138" s="2">
        <v>0</v>
      </c>
      <c r="AE1138" s="2">
        <v>0</v>
      </c>
      <c r="AF1138" s="2">
        <v>0</v>
      </c>
      <c r="AG1138" s="2">
        <v>0</v>
      </c>
      <c r="AH1138" s="2">
        <v>0</v>
      </c>
      <c r="AI1138" s="2">
        <v>0</v>
      </c>
      <c r="AJ1138" s="2">
        <v>0</v>
      </c>
      <c r="AK1138" s="2">
        <v>0</v>
      </c>
      <c r="AL1138" s="2">
        <v>0</v>
      </c>
      <c r="AM1138" s="2">
        <v>0</v>
      </c>
      <c r="AN1138" s="2">
        <v>0</v>
      </c>
      <c r="AO1138" s="2">
        <v>0</v>
      </c>
      <c r="AP1138" s="2">
        <v>0</v>
      </c>
      <c r="AQ1138" s="2">
        <v>0</v>
      </c>
      <c r="AR1138" t="s">
        <v>1203</v>
      </c>
    </row>
    <row r="1139" spans="1:44" x14ac:dyDescent="0.25">
      <c r="A1139" s="1">
        <v>45936</v>
      </c>
      <c r="B1139" t="s">
        <v>1201</v>
      </c>
      <c r="C1139">
        <v>8977234</v>
      </c>
      <c r="D1139">
        <v>2030873016</v>
      </c>
      <c r="E1139" t="s">
        <v>1234</v>
      </c>
      <c r="F1139" t="s">
        <v>562</v>
      </c>
      <c r="G1139" t="s">
        <v>51</v>
      </c>
      <c r="I1139" t="s">
        <v>243</v>
      </c>
      <c r="J1139" t="s">
        <v>244</v>
      </c>
      <c r="K1139">
        <v>8977234</v>
      </c>
      <c r="L1139" t="s">
        <v>80</v>
      </c>
      <c r="M1139" t="s">
        <v>81</v>
      </c>
      <c r="N1139" t="s">
        <v>456</v>
      </c>
      <c r="O1139" s="1">
        <v>45905</v>
      </c>
      <c r="P1139" s="1">
        <v>45936</v>
      </c>
      <c r="R1139" s="2">
        <v>0</v>
      </c>
      <c r="AB1139" s="2">
        <v>164.63</v>
      </c>
      <c r="AC1139" s="2">
        <v>0</v>
      </c>
      <c r="AE1139" s="2">
        <v>0</v>
      </c>
      <c r="AF1139" s="2">
        <v>0</v>
      </c>
      <c r="AG1139" s="2">
        <v>0</v>
      </c>
      <c r="AH1139" s="2">
        <v>0</v>
      </c>
      <c r="AI1139" s="2">
        <v>0</v>
      </c>
      <c r="AJ1139" s="2">
        <v>0</v>
      </c>
      <c r="AK1139" s="2">
        <v>0</v>
      </c>
      <c r="AL1139" s="2">
        <v>0</v>
      </c>
      <c r="AM1139" s="2">
        <v>27.44</v>
      </c>
      <c r="AN1139" s="2">
        <v>-137.19</v>
      </c>
      <c r="AO1139" s="2">
        <v>-137.19</v>
      </c>
      <c r="AP1139" s="2">
        <v>0</v>
      </c>
      <c r="AQ1139" s="2">
        <v>0</v>
      </c>
      <c r="AR1139" t="s">
        <v>1203</v>
      </c>
    </row>
    <row r="1140" spans="1:44" x14ac:dyDescent="0.25">
      <c r="A1140" s="1">
        <v>45936</v>
      </c>
      <c r="B1140" t="s">
        <v>1201</v>
      </c>
      <c r="C1140">
        <v>16228684</v>
      </c>
      <c r="D1140">
        <v>2031032748</v>
      </c>
      <c r="E1140" t="s">
        <v>1236</v>
      </c>
      <c r="F1140" t="s">
        <v>1177</v>
      </c>
      <c r="G1140" t="s">
        <v>51</v>
      </c>
      <c r="I1140" t="s">
        <v>243</v>
      </c>
      <c r="J1140" t="s">
        <v>244</v>
      </c>
      <c r="K1140">
        <v>16228684</v>
      </c>
      <c r="L1140" t="s">
        <v>1237</v>
      </c>
      <c r="M1140" t="s">
        <v>1238</v>
      </c>
      <c r="N1140" t="s">
        <v>456</v>
      </c>
      <c r="O1140" s="1">
        <v>45931</v>
      </c>
      <c r="P1140" s="1">
        <v>45936</v>
      </c>
      <c r="R1140" s="2">
        <v>0</v>
      </c>
      <c r="AB1140" s="2">
        <v>174.36</v>
      </c>
      <c r="AC1140" s="2">
        <v>0</v>
      </c>
      <c r="AE1140" s="2">
        <v>0</v>
      </c>
      <c r="AF1140" s="2">
        <v>0</v>
      </c>
      <c r="AG1140" s="2">
        <v>0</v>
      </c>
      <c r="AH1140" s="2">
        <v>0</v>
      </c>
      <c r="AI1140" s="2">
        <v>0</v>
      </c>
      <c r="AJ1140" s="2">
        <v>0</v>
      </c>
      <c r="AK1140" s="2">
        <v>0</v>
      </c>
      <c r="AL1140" s="2">
        <v>0</v>
      </c>
      <c r="AM1140" s="2">
        <v>29.06</v>
      </c>
      <c r="AN1140" s="2">
        <v>-145.30000000000001</v>
      </c>
      <c r="AO1140" s="2">
        <v>-145.30000000000001</v>
      </c>
      <c r="AP1140" s="2">
        <v>0</v>
      </c>
      <c r="AQ1140" s="2">
        <v>0</v>
      </c>
      <c r="AR1140" t="s">
        <v>1203</v>
      </c>
    </row>
    <row r="1141" spans="1:44" x14ac:dyDescent="0.25">
      <c r="A1141" s="1">
        <v>45936</v>
      </c>
      <c r="B1141" t="s">
        <v>1201</v>
      </c>
      <c r="C1141">
        <v>649163</v>
      </c>
      <c r="D1141">
        <v>2030841405</v>
      </c>
      <c r="E1141" t="s">
        <v>1099</v>
      </c>
      <c r="F1141" t="s">
        <v>593</v>
      </c>
      <c r="G1141" t="s">
        <v>51</v>
      </c>
      <c r="I1141" t="s">
        <v>292</v>
      </c>
      <c r="J1141" t="s">
        <v>294</v>
      </c>
      <c r="K1141">
        <v>649163</v>
      </c>
      <c r="L1141" t="s">
        <v>80</v>
      </c>
      <c r="M1141" t="s">
        <v>81</v>
      </c>
      <c r="N1141" t="s">
        <v>456</v>
      </c>
      <c r="O1141" s="1">
        <v>45927</v>
      </c>
      <c r="P1141" s="1">
        <v>45936</v>
      </c>
      <c r="R1141" s="2">
        <v>0</v>
      </c>
      <c r="AB1141" s="2">
        <v>98.22</v>
      </c>
      <c r="AC1141" s="2">
        <v>0</v>
      </c>
      <c r="AE1141" s="2">
        <v>0</v>
      </c>
      <c r="AF1141" s="2">
        <v>0</v>
      </c>
      <c r="AG1141" s="2">
        <v>0</v>
      </c>
      <c r="AH1141" s="2">
        <v>0</v>
      </c>
      <c r="AI1141" s="2">
        <v>0</v>
      </c>
      <c r="AJ1141" s="2">
        <v>0</v>
      </c>
      <c r="AK1141" s="2">
        <v>0</v>
      </c>
      <c r="AL1141" s="2">
        <v>0</v>
      </c>
      <c r="AM1141" s="2">
        <v>16.37</v>
      </c>
      <c r="AN1141" s="2">
        <v>-81.849999999999994</v>
      </c>
      <c r="AO1141" s="2">
        <v>-81.849999999999994</v>
      </c>
      <c r="AP1141" s="2">
        <v>0</v>
      </c>
      <c r="AQ1141" s="2">
        <v>0</v>
      </c>
      <c r="AR1141" t="s">
        <v>1203</v>
      </c>
    </row>
    <row r="1142" spans="1:44" x14ac:dyDescent="0.25">
      <c r="A1142" s="1">
        <v>45936</v>
      </c>
      <c r="B1142" t="s">
        <v>1201</v>
      </c>
      <c r="C1142">
        <v>18201929</v>
      </c>
      <c r="D1142">
        <v>2030676912</v>
      </c>
      <c r="E1142" t="s">
        <v>1235</v>
      </c>
      <c r="F1142" t="s">
        <v>470</v>
      </c>
      <c r="G1142" t="s">
        <v>51</v>
      </c>
      <c r="I1142" t="s">
        <v>243</v>
      </c>
      <c r="J1142" t="s">
        <v>244</v>
      </c>
      <c r="K1142">
        <v>18201929</v>
      </c>
      <c r="L1142" t="s">
        <v>298</v>
      </c>
      <c r="M1142" t="s">
        <v>299</v>
      </c>
      <c r="N1142" t="s">
        <v>456</v>
      </c>
      <c r="O1142" s="1">
        <v>45931</v>
      </c>
      <c r="P1142" s="1">
        <v>45936</v>
      </c>
      <c r="R1142" s="2">
        <v>0</v>
      </c>
      <c r="AB1142" s="2">
        <v>131.04</v>
      </c>
      <c r="AC1142" s="2">
        <v>0</v>
      </c>
      <c r="AE1142" s="2">
        <v>0</v>
      </c>
      <c r="AF1142" s="2">
        <v>0</v>
      </c>
      <c r="AG1142" s="2">
        <v>0</v>
      </c>
      <c r="AH1142" s="2">
        <v>0</v>
      </c>
      <c r="AI1142" s="2">
        <v>0</v>
      </c>
      <c r="AJ1142" s="2">
        <v>0</v>
      </c>
      <c r="AK1142" s="2">
        <v>0</v>
      </c>
      <c r="AL1142" s="2">
        <v>0</v>
      </c>
      <c r="AM1142" s="2">
        <v>21.84</v>
      </c>
      <c r="AN1142" s="2">
        <v>-109.2</v>
      </c>
      <c r="AO1142" s="2">
        <v>-109.2</v>
      </c>
      <c r="AP1142" s="2">
        <v>0</v>
      </c>
      <c r="AQ1142" s="2">
        <v>0</v>
      </c>
      <c r="AR1142" t="s">
        <v>1203</v>
      </c>
    </row>
    <row r="1143" spans="1:44" x14ac:dyDescent="0.25">
      <c r="A1143" s="1">
        <v>45936</v>
      </c>
      <c r="B1143" t="s">
        <v>1201</v>
      </c>
      <c r="C1143">
        <v>649163</v>
      </c>
      <c r="D1143">
        <v>2030841404</v>
      </c>
      <c r="E1143" t="s">
        <v>1099</v>
      </c>
      <c r="F1143" t="s">
        <v>593</v>
      </c>
      <c r="G1143" t="s">
        <v>51</v>
      </c>
      <c r="I1143" t="s">
        <v>292</v>
      </c>
      <c r="J1143" t="s">
        <v>293</v>
      </c>
      <c r="K1143">
        <v>649163</v>
      </c>
      <c r="L1143" t="s">
        <v>80</v>
      </c>
      <c r="M1143" t="s">
        <v>81</v>
      </c>
      <c r="N1143" t="s">
        <v>456</v>
      </c>
      <c r="O1143" s="1">
        <v>45927</v>
      </c>
      <c r="P1143" s="1">
        <v>45936</v>
      </c>
      <c r="R1143" s="2">
        <v>0</v>
      </c>
      <c r="AB1143" s="2">
        <v>292.56</v>
      </c>
      <c r="AC1143" s="2">
        <v>0</v>
      </c>
      <c r="AE1143" s="2">
        <v>0</v>
      </c>
      <c r="AF1143" s="2">
        <v>0</v>
      </c>
      <c r="AG1143" s="2">
        <v>0</v>
      </c>
      <c r="AH1143" s="2">
        <v>0</v>
      </c>
      <c r="AI1143" s="2">
        <v>0</v>
      </c>
      <c r="AJ1143" s="2">
        <v>0</v>
      </c>
      <c r="AK1143" s="2">
        <v>0</v>
      </c>
      <c r="AL1143" s="2">
        <v>0</v>
      </c>
      <c r="AM1143" s="2">
        <v>48.76</v>
      </c>
      <c r="AN1143" s="2">
        <v>-243.8</v>
      </c>
      <c r="AO1143" s="2">
        <v>-243.8</v>
      </c>
      <c r="AP1143" s="2">
        <v>0</v>
      </c>
      <c r="AQ1143" s="2">
        <v>0</v>
      </c>
      <c r="AR1143" t="s">
        <v>1203</v>
      </c>
    </row>
    <row r="1144" spans="1:44" x14ac:dyDescent="0.25">
      <c r="A1144" s="1">
        <v>45936</v>
      </c>
      <c r="B1144" t="s">
        <v>1201</v>
      </c>
      <c r="C1144">
        <v>649163</v>
      </c>
      <c r="D1144">
        <v>2031250521</v>
      </c>
      <c r="E1144" t="s">
        <v>457</v>
      </c>
      <c r="F1144" t="s">
        <v>458</v>
      </c>
      <c r="G1144" t="s">
        <v>51</v>
      </c>
      <c r="I1144" t="s">
        <v>292</v>
      </c>
      <c r="J1144" t="s">
        <v>293</v>
      </c>
      <c r="K1144">
        <v>649163</v>
      </c>
      <c r="L1144" t="s">
        <v>80</v>
      </c>
      <c r="M1144" t="s">
        <v>81</v>
      </c>
      <c r="N1144" t="s">
        <v>456</v>
      </c>
      <c r="O1144" s="1">
        <v>45931</v>
      </c>
      <c r="P1144" s="1">
        <v>45936</v>
      </c>
      <c r="R1144" s="2">
        <v>0</v>
      </c>
      <c r="AB1144" s="2">
        <v>0</v>
      </c>
      <c r="AC1144" s="2">
        <v>0</v>
      </c>
      <c r="AE1144" s="2">
        <v>0</v>
      </c>
      <c r="AF1144" s="2">
        <v>0</v>
      </c>
      <c r="AG1144" s="2">
        <v>0</v>
      </c>
      <c r="AH1144" s="2">
        <v>0</v>
      </c>
      <c r="AI1144" s="2">
        <v>0</v>
      </c>
      <c r="AJ1144" s="2">
        <v>0</v>
      </c>
      <c r="AK1144" s="2">
        <v>0</v>
      </c>
      <c r="AL1144" s="2">
        <v>0</v>
      </c>
      <c r="AM1144" s="2">
        <v>0</v>
      </c>
      <c r="AN1144" s="2">
        <v>0</v>
      </c>
      <c r="AO1144" s="2">
        <v>0</v>
      </c>
      <c r="AP1144" s="2">
        <v>0</v>
      </c>
      <c r="AQ1144" s="2">
        <v>0</v>
      </c>
      <c r="AR1144" t="s">
        <v>1203</v>
      </c>
    </row>
    <row r="1145" spans="1:44" x14ac:dyDescent="0.25">
      <c r="A1145" s="1">
        <v>45936</v>
      </c>
      <c r="B1145" t="s">
        <v>1201</v>
      </c>
      <c r="C1145">
        <v>649163</v>
      </c>
      <c r="D1145">
        <v>2031250520</v>
      </c>
      <c r="E1145" t="s">
        <v>457</v>
      </c>
      <c r="F1145" t="s">
        <v>458</v>
      </c>
      <c r="G1145" t="s">
        <v>51</v>
      </c>
      <c r="I1145" t="s">
        <v>287</v>
      </c>
      <c r="J1145" t="s">
        <v>288</v>
      </c>
      <c r="K1145">
        <v>649163</v>
      </c>
      <c r="L1145" t="s">
        <v>80</v>
      </c>
      <c r="M1145" t="s">
        <v>81</v>
      </c>
      <c r="N1145" t="s">
        <v>456</v>
      </c>
      <c r="O1145" s="1">
        <v>45931</v>
      </c>
      <c r="P1145" s="1">
        <v>45936</v>
      </c>
      <c r="R1145" s="2">
        <v>0</v>
      </c>
      <c r="AB1145" s="2">
        <v>0</v>
      </c>
      <c r="AC1145" s="2">
        <v>0</v>
      </c>
      <c r="AE1145" s="2">
        <v>0</v>
      </c>
      <c r="AF1145" s="2">
        <v>0</v>
      </c>
      <c r="AG1145" s="2">
        <v>0</v>
      </c>
      <c r="AH1145" s="2">
        <v>0</v>
      </c>
      <c r="AI1145" s="2">
        <v>0</v>
      </c>
      <c r="AJ1145" s="2">
        <v>0</v>
      </c>
      <c r="AK1145" s="2">
        <v>0</v>
      </c>
      <c r="AL1145" s="2">
        <v>0</v>
      </c>
      <c r="AM1145" s="2">
        <v>0</v>
      </c>
      <c r="AN1145" s="2">
        <v>0</v>
      </c>
      <c r="AO1145" s="2">
        <v>0</v>
      </c>
      <c r="AP1145" s="2">
        <v>0</v>
      </c>
      <c r="AQ1145" s="2">
        <v>0</v>
      </c>
      <c r="AR1145" t="s">
        <v>1203</v>
      </c>
    </row>
    <row r="1146" spans="1:44" x14ac:dyDescent="0.25">
      <c r="A1146" s="1">
        <v>45936</v>
      </c>
      <c r="B1146" t="s">
        <v>1201</v>
      </c>
      <c r="C1146">
        <v>649163</v>
      </c>
      <c r="D1146">
        <v>2031250522</v>
      </c>
      <c r="E1146" t="s">
        <v>457</v>
      </c>
      <c r="F1146" t="s">
        <v>458</v>
      </c>
      <c r="G1146" t="s">
        <v>51</v>
      </c>
      <c r="I1146" t="s">
        <v>209</v>
      </c>
      <c r="J1146" t="s">
        <v>232</v>
      </c>
      <c r="K1146">
        <v>649163</v>
      </c>
      <c r="L1146" t="s">
        <v>80</v>
      </c>
      <c r="M1146" t="s">
        <v>81</v>
      </c>
      <c r="N1146" t="s">
        <v>456</v>
      </c>
      <c r="O1146" s="1">
        <v>45931</v>
      </c>
      <c r="P1146" s="1">
        <v>45936</v>
      </c>
      <c r="R1146" s="2">
        <v>0</v>
      </c>
      <c r="AB1146" s="2">
        <v>0</v>
      </c>
      <c r="AC1146" s="2">
        <v>0</v>
      </c>
      <c r="AE1146" s="2">
        <v>0</v>
      </c>
      <c r="AF1146" s="2">
        <v>0</v>
      </c>
      <c r="AG1146" s="2">
        <v>0</v>
      </c>
      <c r="AH1146" s="2">
        <v>0</v>
      </c>
      <c r="AI1146" s="2">
        <v>0</v>
      </c>
      <c r="AJ1146" s="2">
        <v>0</v>
      </c>
      <c r="AK1146" s="2">
        <v>0</v>
      </c>
      <c r="AL1146" s="2">
        <v>0</v>
      </c>
      <c r="AM1146" s="2">
        <v>0</v>
      </c>
      <c r="AN1146" s="2">
        <v>0</v>
      </c>
      <c r="AO1146" s="2">
        <v>0</v>
      </c>
      <c r="AP1146" s="2">
        <v>0</v>
      </c>
      <c r="AQ1146" s="2">
        <v>0</v>
      </c>
      <c r="AR1146" t="s">
        <v>1203</v>
      </c>
    </row>
  </sheetData>
  <autoFilter ref="A1:AV1146" xr:uid="{BC7C4C12-01BF-4F4F-820D-FAEE4B8F5A51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B0F2F-8B82-4D0B-BF29-944F737DA492}">
  <dimension ref="A1:AV170"/>
  <sheetViews>
    <sheetView topLeftCell="E1" workbookViewId="0">
      <selection sqref="A1:XFD1048576"/>
    </sheetView>
  </sheetViews>
  <sheetFormatPr defaultRowHeight="15" x14ac:dyDescent="0.25"/>
  <cols>
    <col min="1" max="1" width="27.28515625" bestFit="1" customWidth="1"/>
    <col min="2" max="2" width="5.140625" bestFit="1" customWidth="1"/>
    <col min="3" max="3" width="24.42578125" bestFit="1" customWidth="1"/>
    <col min="4" max="4" width="11" bestFit="1" customWidth="1"/>
    <col min="5" max="5" width="22.140625" bestFit="1" customWidth="1"/>
    <col min="6" max="6" width="22.42578125" bestFit="1" customWidth="1"/>
    <col min="7" max="7" width="22.85546875" bestFit="1" customWidth="1"/>
    <col min="8" max="8" width="5.28515625" bestFit="1" customWidth="1"/>
    <col min="9" max="9" width="18.140625" bestFit="1" customWidth="1"/>
    <col min="10" max="10" width="42.42578125" bestFit="1" customWidth="1"/>
    <col min="11" max="11" width="15" bestFit="1" customWidth="1"/>
    <col min="12" max="12" width="15.7109375" bestFit="1" customWidth="1"/>
    <col min="13" max="13" width="13.85546875" bestFit="1" customWidth="1"/>
    <col min="14" max="14" width="12.140625" bestFit="1" customWidth="1"/>
    <col min="15" max="15" width="12.5703125" bestFit="1" customWidth="1"/>
    <col min="16" max="16" width="9.85546875" bestFit="1" customWidth="1"/>
    <col min="17" max="17" width="12" bestFit="1" customWidth="1"/>
    <col min="18" max="18" width="15.85546875" bestFit="1" customWidth="1"/>
    <col min="19" max="19" width="7.28515625" bestFit="1" customWidth="1"/>
    <col min="20" max="20" width="12.5703125" bestFit="1" customWidth="1"/>
    <col min="21" max="21" width="9.7109375" bestFit="1" customWidth="1"/>
    <col min="22" max="22" width="11.140625" bestFit="1" customWidth="1"/>
    <col min="23" max="23" width="9.85546875" bestFit="1" customWidth="1"/>
    <col min="24" max="24" width="13.85546875" bestFit="1" customWidth="1"/>
    <col min="25" max="25" width="8.28515625" bestFit="1" customWidth="1"/>
    <col min="26" max="26" width="15" bestFit="1" customWidth="1"/>
    <col min="27" max="27" width="12.140625" bestFit="1" customWidth="1"/>
    <col min="28" max="28" width="15.85546875" bestFit="1" customWidth="1"/>
    <col min="29" max="29" width="9.7109375" bestFit="1" customWidth="1"/>
    <col min="30" max="30" width="14.5703125" bestFit="1" customWidth="1"/>
    <col min="31" max="31" width="10.140625" bestFit="1" customWidth="1"/>
    <col min="32" max="32" width="11.42578125" bestFit="1" customWidth="1"/>
    <col min="33" max="33" width="13.28515625" bestFit="1" customWidth="1"/>
    <col min="34" max="34" width="14.140625" bestFit="1" customWidth="1"/>
    <col min="35" max="35" width="15.85546875" bestFit="1" customWidth="1"/>
    <col min="36" max="36" width="13.85546875" bestFit="1" customWidth="1"/>
    <col min="37" max="37" width="16.42578125" bestFit="1" customWidth="1"/>
    <col min="38" max="38" width="12.85546875" bestFit="1" customWidth="1"/>
    <col min="39" max="39" width="19" bestFit="1" customWidth="1"/>
    <col min="40" max="40" width="20.85546875" bestFit="1" customWidth="1"/>
    <col min="41" max="41" width="15.7109375" bestFit="1" customWidth="1"/>
    <col min="42" max="42" width="20" bestFit="1" customWidth="1"/>
    <col min="43" max="43" width="22.42578125" bestFit="1" customWidth="1"/>
    <col min="44" max="44" width="14" bestFit="1" customWidth="1"/>
    <col min="45" max="45" width="22" bestFit="1" customWidth="1"/>
    <col min="46" max="46" width="21.140625" bestFit="1" customWidth="1"/>
    <col min="47" max="47" width="17.7109375" bestFit="1" customWidth="1"/>
    <col min="48" max="48" width="11.42578125" bestFit="1" customWidth="1"/>
  </cols>
  <sheetData>
    <row r="1" spans="1:4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25">
      <c r="A2" s="1">
        <v>45936</v>
      </c>
      <c r="B2" t="s">
        <v>48</v>
      </c>
      <c r="C2">
        <v>649163</v>
      </c>
      <c r="D2">
        <v>2031106900</v>
      </c>
      <c r="E2" t="s">
        <v>49</v>
      </c>
      <c r="F2" t="s">
        <v>50</v>
      </c>
      <c r="G2" t="s">
        <v>51</v>
      </c>
      <c r="H2" t="s">
        <v>52</v>
      </c>
      <c r="I2" t="s">
        <v>53</v>
      </c>
      <c r="J2" t="s">
        <v>54</v>
      </c>
      <c r="K2">
        <v>884595</v>
      </c>
      <c r="L2" t="s">
        <v>55</v>
      </c>
      <c r="M2" t="s">
        <v>56</v>
      </c>
      <c r="N2" t="s">
        <v>57</v>
      </c>
      <c r="O2" s="1">
        <v>45931</v>
      </c>
      <c r="Q2" s="1">
        <v>45962</v>
      </c>
      <c r="R2" s="2">
        <v>64.510000000000005</v>
      </c>
      <c r="S2">
        <v>1</v>
      </c>
      <c r="T2" t="s">
        <v>58</v>
      </c>
      <c r="U2" t="s">
        <v>59</v>
      </c>
      <c r="V2" s="3">
        <v>0.6</v>
      </c>
      <c r="W2" s="2">
        <v>0</v>
      </c>
      <c r="X2">
        <v>0</v>
      </c>
      <c r="Y2" t="s">
        <v>60</v>
      </c>
      <c r="Z2" t="s">
        <v>61</v>
      </c>
      <c r="AA2">
        <v>6</v>
      </c>
      <c r="AB2" s="2">
        <v>232.26</v>
      </c>
      <c r="AC2" s="2">
        <v>0</v>
      </c>
      <c r="AD2" s="3">
        <v>0</v>
      </c>
      <c r="AE2" s="2">
        <v>0</v>
      </c>
      <c r="AF2" s="2">
        <v>0</v>
      </c>
      <c r="AG2" s="2">
        <v>0</v>
      </c>
      <c r="AH2" s="2">
        <v>0</v>
      </c>
      <c r="AI2" s="2">
        <v>0</v>
      </c>
      <c r="AJ2" s="2">
        <v>0</v>
      </c>
      <c r="AK2" s="2">
        <v>0</v>
      </c>
      <c r="AL2" s="2">
        <v>38.71</v>
      </c>
      <c r="AM2" s="2">
        <v>0</v>
      </c>
      <c r="AN2" s="2">
        <v>232.26</v>
      </c>
      <c r="AO2" s="2">
        <v>0</v>
      </c>
      <c r="AP2" s="2">
        <v>0</v>
      </c>
      <c r="AQ2" s="2">
        <v>0</v>
      </c>
    </row>
    <row r="3" spans="1:48" x14ac:dyDescent="0.25">
      <c r="A3" s="1">
        <v>45936</v>
      </c>
      <c r="B3" t="s">
        <v>48</v>
      </c>
      <c r="C3">
        <v>649163</v>
      </c>
      <c r="D3">
        <v>2031327778</v>
      </c>
      <c r="E3" t="s">
        <v>62</v>
      </c>
      <c r="F3" t="s">
        <v>63</v>
      </c>
      <c r="G3" t="s">
        <v>51</v>
      </c>
      <c r="H3" t="s">
        <v>64</v>
      </c>
      <c r="I3" t="s">
        <v>53</v>
      </c>
      <c r="J3" t="s">
        <v>65</v>
      </c>
      <c r="K3">
        <v>823350</v>
      </c>
      <c r="L3" t="s">
        <v>66</v>
      </c>
      <c r="M3" t="s">
        <v>67</v>
      </c>
      <c r="N3" t="s">
        <v>57</v>
      </c>
      <c r="O3" s="1">
        <v>45931</v>
      </c>
      <c r="Q3" s="1">
        <v>45962</v>
      </c>
      <c r="R3" s="2">
        <v>69.5</v>
      </c>
      <c r="S3">
        <v>1</v>
      </c>
      <c r="T3" t="s">
        <v>58</v>
      </c>
      <c r="U3" t="s">
        <v>59</v>
      </c>
      <c r="V3" s="3">
        <v>0.6</v>
      </c>
      <c r="W3" s="2">
        <v>0</v>
      </c>
      <c r="X3">
        <v>0</v>
      </c>
      <c r="Y3" t="s">
        <v>60</v>
      </c>
      <c r="Z3" t="s">
        <v>61</v>
      </c>
      <c r="AA3">
        <v>6</v>
      </c>
      <c r="AB3" s="2">
        <v>250.2</v>
      </c>
      <c r="AC3" s="2">
        <v>0</v>
      </c>
      <c r="AD3" s="3">
        <v>0</v>
      </c>
      <c r="AE3" s="2">
        <v>0</v>
      </c>
      <c r="AF3" s="2">
        <v>0</v>
      </c>
      <c r="AG3" s="2">
        <v>0</v>
      </c>
      <c r="AH3" s="2">
        <v>0</v>
      </c>
      <c r="AI3" s="2">
        <v>0</v>
      </c>
      <c r="AJ3" s="2">
        <v>0</v>
      </c>
      <c r="AK3" s="2">
        <v>0</v>
      </c>
      <c r="AL3" s="2">
        <v>41.7</v>
      </c>
      <c r="AM3" s="2">
        <v>0</v>
      </c>
      <c r="AN3" s="2">
        <v>250.2</v>
      </c>
      <c r="AO3" s="2">
        <v>0</v>
      </c>
      <c r="AP3" s="2">
        <v>0</v>
      </c>
      <c r="AQ3" s="2">
        <v>0</v>
      </c>
    </row>
    <row r="4" spans="1:48" x14ac:dyDescent="0.25">
      <c r="A4" s="1">
        <v>45936</v>
      </c>
      <c r="B4" t="s">
        <v>48</v>
      </c>
      <c r="C4">
        <v>649163</v>
      </c>
      <c r="D4">
        <v>2031333610</v>
      </c>
      <c r="E4" t="s">
        <v>68</v>
      </c>
      <c r="F4" t="s">
        <v>69</v>
      </c>
      <c r="G4" t="s">
        <v>51</v>
      </c>
      <c r="H4" t="s">
        <v>70</v>
      </c>
      <c r="I4" t="s">
        <v>53</v>
      </c>
      <c r="J4" t="s">
        <v>65</v>
      </c>
      <c r="K4">
        <v>751867</v>
      </c>
      <c r="L4" t="s">
        <v>71</v>
      </c>
      <c r="M4" t="s">
        <v>72</v>
      </c>
      <c r="N4" t="s">
        <v>57</v>
      </c>
      <c r="O4" s="1">
        <v>45931</v>
      </c>
      <c r="Q4" s="1">
        <v>45962</v>
      </c>
      <c r="R4" s="2">
        <v>46.45</v>
      </c>
      <c r="S4">
        <v>1</v>
      </c>
      <c r="T4" t="s">
        <v>58</v>
      </c>
      <c r="U4" t="s">
        <v>59</v>
      </c>
      <c r="V4" s="3">
        <v>0.6</v>
      </c>
      <c r="W4" s="2">
        <v>0</v>
      </c>
      <c r="X4">
        <v>0</v>
      </c>
      <c r="Y4" t="s">
        <v>60</v>
      </c>
      <c r="Z4" t="s">
        <v>61</v>
      </c>
      <c r="AA4">
        <v>6</v>
      </c>
      <c r="AB4" s="2">
        <v>167.22</v>
      </c>
      <c r="AC4" s="2">
        <v>0</v>
      </c>
      <c r="AD4" s="3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27.87</v>
      </c>
      <c r="AM4" s="2">
        <v>0</v>
      </c>
      <c r="AN4" s="2">
        <v>167.22</v>
      </c>
      <c r="AO4" s="2">
        <v>0</v>
      </c>
      <c r="AP4" s="2">
        <v>0</v>
      </c>
      <c r="AQ4" s="2">
        <v>0</v>
      </c>
    </row>
    <row r="5" spans="1:48" x14ac:dyDescent="0.25">
      <c r="A5" s="1">
        <v>45936</v>
      </c>
      <c r="B5" t="s">
        <v>48</v>
      </c>
      <c r="C5">
        <v>649163</v>
      </c>
      <c r="D5">
        <v>2031354346</v>
      </c>
      <c r="E5" t="s">
        <v>73</v>
      </c>
      <c r="F5" t="s">
        <v>74</v>
      </c>
      <c r="G5" t="s">
        <v>51</v>
      </c>
      <c r="H5" t="s">
        <v>70</v>
      </c>
      <c r="I5" t="s">
        <v>53</v>
      </c>
      <c r="J5" t="s">
        <v>65</v>
      </c>
      <c r="K5">
        <v>649247</v>
      </c>
      <c r="L5" t="s">
        <v>75</v>
      </c>
      <c r="M5" t="s">
        <v>76</v>
      </c>
      <c r="N5" t="s">
        <v>57</v>
      </c>
      <c r="O5" s="1">
        <v>45931</v>
      </c>
      <c r="Q5" s="1">
        <v>45962</v>
      </c>
      <c r="R5" s="2">
        <v>52.69</v>
      </c>
      <c r="S5">
        <v>1</v>
      </c>
      <c r="T5" t="s">
        <v>58</v>
      </c>
      <c r="U5" t="s">
        <v>59</v>
      </c>
      <c r="V5" s="3">
        <v>0.6</v>
      </c>
      <c r="W5" s="2">
        <v>0</v>
      </c>
      <c r="X5">
        <v>0</v>
      </c>
      <c r="Y5" t="s">
        <v>60</v>
      </c>
      <c r="Z5" t="s">
        <v>61</v>
      </c>
      <c r="AA5">
        <v>6</v>
      </c>
      <c r="AB5" s="2">
        <v>189.66</v>
      </c>
      <c r="AC5" s="2">
        <v>0</v>
      </c>
      <c r="AD5" s="3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31.61</v>
      </c>
      <c r="AM5" s="2">
        <v>0</v>
      </c>
      <c r="AN5" s="2">
        <v>189.66</v>
      </c>
      <c r="AO5" s="2">
        <v>0</v>
      </c>
      <c r="AP5" s="2">
        <v>0</v>
      </c>
      <c r="AQ5" s="2">
        <v>0</v>
      </c>
    </row>
    <row r="6" spans="1:48" x14ac:dyDescent="0.25">
      <c r="A6" s="1">
        <v>45936</v>
      </c>
      <c r="B6" t="s">
        <v>48</v>
      </c>
      <c r="C6">
        <v>649163</v>
      </c>
      <c r="D6">
        <v>2031358599</v>
      </c>
      <c r="E6" t="s">
        <v>77</v>
      </c>
      <c r="F6" t="s">
        <v>78</v>
      </c>
      <c r="G6" t="s">
        <v>51</v>
      </c>
      <c r="H6" t="s">
        <v>79</v>
      </c>
      <c r="I6" t="s">
        <v>53</v>
      </c>
      <c r="J6" t="s">
        <v>54</v>
      </c>
      <c r="K6">
        <v>673059</v>
      </c>
      <c r="L6" t="s">
        <v>80</v>
      </c>
      <c r="M6" t="s">
        <v>81</v>
      </c>
      <c r="N6" t="s">
        <v>57</v>
      </c>
      <c r="O6" s="1">
        <v>45931</v>
      </c>
      <c r="Q6" s="1">
        <v>45962</v>
      </c>
      <c r="R6" s="2">
        <v>37.81</v>
      </c>
      <c r="S6">
        <v>1</v>
      </c>
      <c r="T6" t="s">
        <v>58</v>
      </c>
      <c r="U6" t="s">
        <v>59</v>
      </c>
      <c r="V6" s="3">
        <v>0.6</v>
      </c>
      <c r="W6" s="2">
        <v>0</v>
      </c>
      <c r="X6">
        <v>0</v>
      </c>
      <c r="Y6" t="s">
        <v>60</v>
      </c>
      <c r="Z6" t="s">
        <v>61</v>
      </c>
      <c r="AA6">
        <v>6</v>
      </c>
      <c r="AB6" s="2">
        <v>136.13999999999999</v>
      </c>
      <c r="AC6" s="2">
        <v>0</v>
      </c>
      <c r="AD6" s="3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22.69</v>
      </c>
      <c r="AM6" s="2">
        <v>0</v>
      </c>
      <c r="AN6" s="2">
        <v>136.13999999999999</v>
      </c>
      <c r="AO6" s="2">
        <v>0</v>
      </c>
      <c r="AP6" s="2">
        <v>0</v>
      </c>
      <c r="AQ6" s="2">
        <v>0</v>
      </c>
    </row>
    <row r="7" spans="1:48" x14ac:dyDescent="0.25">
      <c r="A7" s="1">
        <v>45936</v>
      </c>
      <c r="B7" t="s">
        <v>48</v>
      </c>
      <c r="C7">
        <v>649163</v>
      </c>
      <c r="D7">
        <v>2031362149</v>
      </c>
      <c r="E7" t="s">
        <v>82</v>
      </c>
      <c r="F7" t="s">
        <v>83</v>
      </c>
      <c r="G7" t="s">
        <v>51</v>
      </c>
      <c r="H7" t="s">
        <v>70</v>
      </c>
      <c r="I7" t="s">
        <v>53</v>
      </c>
      <c r="J7" t="s">
        <v>54</v>
      </c>
      <c r="K7">
        <v>885445</v>
      </c>
      <c r="L7" t="s">
        <v>84</v>
      </c>
      <c r="M7" t="s">
        <v>85</v>
      </c>
      <c r="N7" t="s">
        <v>57</v>
      </c>
      <c r="O7" s="1">
        <v>45931</v>
      </c>
      <c r="Q7" s="1">
        <v>45962</v>
      </c>
      <c r="R7" s="2">
        <v>65.81</v>
      </c>
      <c r="S7">
        <v>1</v>
      </c>
      <c r="T7" t="s">
        <v>58</v>
      </c>
      <c r="U7" t="s">
        <v>59</v>
      </c>
      <c r="V7" s="3">
        <v>0.6</v>
      </c>
      <c r="W7" s="2">
        <v>0</v>
      </c>
      <c r="X7">
        <v>0</v>
      </c>
      <c r="Y7" t="s">
        <v>60</v>
      </c>
      <c r="Z7" t="s">
        <v>61</v>
      </c>
      <c r="AA7">
        <v>6</v>
      </c>
      <c r="AB7" s="2">
        <v>236.94</v>
      </c>
      <c r="AC7" s="2">
        <v>0</v>
      </c>
      <c r="AD7" s="3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39.49</v>
      </c>
      <c r="AM7" s="2">
        <v>0</v>
      </c>
      <c r="AN7" s="2">
        <v>236.94</v>
      </c>
      <c r="AO7" s="2">
        <v>0</v>
      </c>
      <c r="AP7" s="2">
        <v>0</v>
      </c>
      <c r="AQ7" s="2">
        <v>0</v>
      </c>
    </row>
    <row r="8" spans="1:48" x14ac:dyDescent="0.25">
      <c r="A8" s="1">
        <v>45936</v>
      </c>
      <c r="B8" t="s">
        <v>48</v>
      </c>
      <c r="C8">
        <v>649163</v>
      </c>
      <c r="D8">
        <v>2030453213</v>
      </c>
      <c r="E8" t="s">
        <v>86</v>
      </c>
      <c r="F8" t="s">
        <v>87</v>
      </c>
      <c r="G8" t="s">
        <v>51</v>
      </c>
      <c r="H8" t="s">
        <v>88</v>
      </c>
      <c r="I8" t="s">
        <v>89</v>
      </c>
      <c r="J8" t="s">
        <v>90</v>
      </c>
      <c r="K8">
        <v>812782</v>
      </c>
      <c r="L8" t="s">
        <v>91</v>
      </c>
      <c r="M8" t="s">
        <v>92</v>
      </c>
      <c r="N8" t="s">
        <v>57</v>
      </c>
      <c r="O8" s="1">
        <v>45931</v>
      </c>
      <c r="Q8" s="1">
        <v>45962</v>
      </c>
      <c r="R8" s="2">
        <v>18.46</v>
      </c>
      <c r="S8">
        <v>1</v>
      </c>
      <c r="T8" t="s">
        <v>58</v>
      </c>
      <c r="U8" t="s">
        <v>59</v>
      </c>
      <c r="V8" s="3">
        <v>0.65</v>
      </c>
      <c r="W8" s="2">
        <v>0</v>
      </c>
      <c r="X8">
        <v>0</v>
      </c>
      <c r="Y8" t="s">
        <v>60</v>
      </c>
      <c r="Z8" t="s">
        <v>61</v>
      </c>
      <c r="AA8">
        <v>6</v>
      </c>
      <c r="AB8" s="2">
        <v>72</v>
      </c>
      <c r="AC8" s="2">
        <v>0</v>
      </c>
      <c r="AD8" s="3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12</v>
      </c>
      <c r="AM8" s="2">
        <v>0</v>
      </c>
      <c r="AN8" s="2">
        <v>72</v>
      </c>
      <c r="AO8" s="2">
        <v>0</v>
      </c>
      <c r="AP8" s="2">
        <v>0</v>
      </c>
      <c r="AQ8" s="2">
        <v>0</v>
      </c>
    </row>
    <row r="9" spans="1:48" x14ac:dyDescent="0.25">
      <c r="A9" s="1">
        <v>45936</v>
      </c>
      <c r="B9" t="s">
        <v>48</v>
      </c>
      <c r="C9">
        <v>649163</v>
      </c>
      <c r="D9">
        <v>2030609830</v>
      </c>
      <c r="E9" t="s">
        <v>93</v>
      </c>
      <c r="F9" t="s">
        <v>94</v>
      </c>
      <c r="G9" t="s">
        <v>51</v>
      </c>
      <c r="H9" t="s">
        <v>95</v>
      </c>
      <c r="I9" t="s">
        <v>89</v>
      </c>
      <c r="J9" t="s">
        <v>96</v>
      </c>
      <c r="K9">
        <v>753748</v>
      </c>
      <c r="L9" t="s">
        <v>97</v>
      </c>
      <c r="M9" t="s">
        <v>98</v>
      </c>
      <c r="N9" t="s">
        <v>57</v>
      </c>
      <c r="O9" s="1">
        <v>45931</v>
      </c>
      <c r="Q9" s="1">
        <v>45962</v>
      </c>
      <c r="R9" s="2">
        <v>226.44</v>
      </c>
      <c r="S9">
        <v>1</v>
      </c>
      <c r="T9" t="s">
        <v>58</v>
      </c>
      <c r="U9" t="s">
        <v>59</v>
      </c>
      <c r="V9" s="3">
        <v>0.9</v>
      </c>
      <c r="W9" s="2">
        <v>0</v>
      </c>
      <c r="X9">
        <v>0</v>
      </c>
      <c r="Y9" t="s">
        <v>60</v>
      </c>
      <c r="Z9" t="s">
        <v>61</v>
      </c>
      <c r="AA9">
        <v>6</v>
      </c>
      <c r="AB9" s="2">
        <v>1222.8</v>
      </c>
      <c r="AC9" s="2">
        <v>0</v>
      </c>
      <c r="AD9" s="3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203.8</v>
      </c>
      <c r="AM9" s="2">
        <v>0</v>
      </c>
      <c r="AN9" s="2">
        <v>1222.8</v>
      </c>
      <c r="AO9" s="2">
        <v>0</v>
      </c>
      <c r="AP9" s="2">
        <v>0</v>
      </c>
      <c r="AQ9" s="2">
        <v>0</v>
      </c>
    </row>
    <row r="10" spans="1:48" x14ac:dyDescent="0.25">
      <c r="A10" s="1">
        <v>45936</v>
      </c>
      <c r="B10" t="s">
        <v>48</v>
      </c>
      <c r="C10">
        <v>649163</v>
      </c>
      <c r="D10">
        <v>2030719605</v>
      </c>
      <c r="E10" t="s">
        <v>99</v>
      </c>
      <c r="F10" t="s">
        <v>100</v>
      </c>
      <c r="G10" t="s">
        <v>51</v>
      </c>
      <c r="H10" t="s">
        <v>101</v>
      </c>
      <c r="I10" t="s">
        <v>89</v>
      </c>
      <c r="J10" t="s">
        <v>102</v>
      </c>
      <c r="K10">
        <v>673059</v>
      </c>
      <c r="L10" t="s">
        <v>80</v>
      </c>
      <c r="M10" t="s">
        <v>81</v>
      </c>
      <c r="N10" t="s">
        <v>57</v>
      </c>
      <c r="O10" s="1">
        <v>45931</v>
      </c>
      <c r="Q10" s="1">
        <v>45962</v>
      </c>
      <c r="R10" s="2">
        <v>16.54</v>
      </c>
      <c r="S10">
        <v>1</v>
      </c>
      <c r="T10" t="s">
        <v>58</v>
      </c>
      <c r="U10" t="s">
        <v>59</v>
      </c>
      <c r="V10" s="3">
        <v>0.75</v>
      </c>
      <c r="W10" s="2">
        <v>0</v>
      </c>
      <c r="X10">
        <v>0</v>
      </c>
      <c r="Y10" t="s">
        <v>60</v>
      </c>
      <c r="Z10" t="s">
        <v>61</v>
      </c>
      <c r="AA10">
        <v>6</v>
      </c>
      <c r="AB10" s="2">
        <v>74.400000000000006</v>
      </c>
      <c r="AC10" s="2">
        <v>0</v>
      </c>
      <c r="AD10" s="3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12.4</v>
      </c>
      <c r="AM10" s="2">
        <v>0</v>
      </c>
      <c r="AN10" s="2">
        <v>74.400000000000006</v>
      </c>
      <c r="AO10" s="2">
        <v>0</v>
      </c>
      <c r="AP10" s="2">
        <v>0</v>
      </c>
      <c r="AQ10" s="2">
        <v>0</v>
      </c>
    </row>
    <row r="11" spans="1:48" x14ac:dyDescent="0.25">
      <c r="A11" s="1">
        <v>45936</v>
      </c>
      <c r="B11" t="s">
        <v>48</v>
      </c>
      <c r="C11">
        <v>649163</v>
      </c>
      <c r="D11">
        <v>2030804311</v>
      </c>
      <c r="E11" t="s">
        <v>103</v>
      </c>
      <c r="F11" t="s">
        <v>104</v>
      </c>
      <c r="G11" t="s">
        <v>51</v>
      </c>
      <c r="H11" t="s">
        <v>105</v>
      </c>
      <c r="I11" t="s">
        <v>89</v>
      </c>
      <c r="J11" t="s">
        <v>96</v>
      </c>
      <c r="K11">
        <v>823068</v>
      </c>
      <c r="L11" t="s">
        <v>106</v>
      </c>
      <c r="M11" t="s">
        <v>107</v>
      </c>
      <c r="N11" t="s">
        <v>57</v>
      </c>
      <c r="O11" s="1">
        <v>45931</v>
      </c>
      <c r="Q11" s="1">
        <v>45962</v>
      </c>
      <c r="R11" s="2">
        <v>76.75</v>
      </c>
      <c r="S11">
        <v>1</v>
      </c>
      <c r="T11" t="s">
        <v>58</v>
      </c>
      <c r="U11" t="s">
        <v>59</v>
      </c>
      <c r="V11" s="3">
        <v>0.9</v>
      </c>
      <c r="W11" s="2">
        <v>0</v>
      </c>
      <c r="X11">
        <v>0</v>
      </c>
      <c r="Y11" t="s">
        <v>60</v>
      </c>
      <c r="Z11" t="s">
        <v>61</v>
      </c>
      <c r="AA11">
        <v>6</v>
      </c>
      <c r="AB11" s="2">
        <v>414.48</v>
      </c>
      <c r="AC11" s="2">
        <v>0</v>
      </c>
      <c r="AD11" s="3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69.08</v>
      </c>
      <c r="AM11" s="2">
        <v>0</v>
      </c>
      <c r="AN11" s="2">
        <v>414.48</v>
      </c>
      <c r="AO11" s="2">
        <v>0</v>
      </c>
      <c r="AP11" s="2">
        <v>0</v>
      </c>
      <c r="AQ11" s="2">
        <v>0</v>
      </c>
    </row>
    <row r="12" spans="1:48" x14ac:dyDescent="0.25">
      <c r="A12" s="1">
        <v>45936</v>
      </c>
      <c r="B12" t="s">
        <v>48</v>
      </c>
      <c r="C12">
        <v>649163</v>
      </c>
      <c r="D12">
        <v>2030806602</v>
      </c>
      <c r="E12" t="s">
        <v>108</v>
      </c>
      <c r="F12" t="s">
        <v>109</v>
      </c>
      <c r="G12" t="s">
        <v>51</v>
      </c>
      <c r="H12" t="s">
        <v>110</v>
      </c>
      <c r="I12" t="s">
        <v>89</v>
      </c>
      <c r="J12" t="s">
        <v>111</v>
      </c>
      <c r="K12">
        <v>651818</v>
      </c>
      <c r="L12" t="s">
        <v>112</v>
      </c>
      <c r="M12" t="s">
        <v>104</v>
      </c>
      <c r="N12" t="s">
        <v>57</v>
      </c>
      <c r="O12" s="1">
        <v>45936</v>
      </c>
      <c r="Q12" s="1">
        <v>45967</v>
      </c>
      <c r="R12" s="2">
        <v>26.73</v>
      </c>
      <c r="S12">
        <v>1</v>
      </c>
      <c r="T12" t="s">
        <v>58</v>
      </c>
      <c r="U12" t="s">
        <v>59</v>
      </c>
      <c r="V12" s="3">
        <v>0.75</v>
      </c>
      <c r="W12" s="2">
        <v>0</v>
      </c>
      <c r="X12">
        <v>0</v>
      </c>
      <c r="Y12" t="s">
        <v>60</v>
      </c>
      <c r="Z12" t="s">
        <v>61</v>
      </c>
      <c r="AA12">
        <v>6</v>
      </c>
      <c r="AB12" s="2">
        <v>120.3</v>
      </c>
      <c r="AC12" s="2">
        <v>0</v>
      </c>
      <c r="AD12" s="3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20.05</v>
      </c>
      <c r="AM12" s="2">
        <v>0</v>
      </c>
      <c r="AN12" s="2">
        <v>120.3</v>
      </c>
      <c r="AO12" s="2">
        <v>0</v>
      </c>
      <c r="AP12" s="2">
        <v>0</v>
      </c>
      <c r="AQ12" s="2">
        <v>0</v>
      </c>
    </row>
    <row r="13" spans="1:48" x14ac:dyDescent="0.25">
      <c r="A13" s="1">
        <v>45936</v>
      </c>
      <c r="B13" t="s">
        <v>48</v>
      </c>
      <c r="C13">
        <v>649163</v>
      </c>
      <c r="D13">
        <v>2030807438</v>
      </c>
      <c r="E13" t="s">
        <v>113</v>
      </c>
      <c r="F13" t="s">
        <v>114</v>
      </c>
      <c r="G13" t="s">
        <v>51</v>
      </c>
      <c r="H13" t="s">
        <v>115</v>
      </c>
      <c r="I13" t="s">
        <v>89</v>
      </c>
      <c r="J13" t="s">
        <v>116</v>
      </c>
      <c r="K13">
        <v>753748</v>
      </c>
      <c r="L13" t="s">
        <v>97</v>
      </c>
      <c r="M13" t="s">
        <v>98</v>
      </c>
      <c r="N13" t="s">
        <v>57</v>
      </c>
      <c r="O13" s="1">
        <v>45931</v>
      </c>
      <c r="Q13" s="1">
        <v>45962</v>
      </c>
      <c r="R13" s="2">
        <v>63.18</v>
      </c>
      <c r="S13">
        <v>1</v>
      </c>
      <c r="T13" t="s">
        <v>58</v>
      </c>
      <c r="U13" t="s">
        <v>59</v>
      </c>
      <c r="V13" s="3">
        <v>0.75</v>
      </c>
      <c r="W13" s="2">
        <v>0</v>
      </c>
      <c r="X13">
        <v>0</v>
      </c>
      <c r="Y13" t="s">
        <v>60</v>
      </c>
      <c r="Z13" t="s">
        <v>61</v>
      </c>
      <c r="AA13">
        <v>6</v>
      </c>
      <c r="AB13" s="2">
        <v>284.27999999999997</v>
      </c>
      <c r="AC13" s="2">
        <v>0</v>
      </c>
      <c r="AD13" s="3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47.38</v>
      </c>
      <c r="AM13" s="2">
        <v>0</v>
      </c>
      <c r="AN13" s="2">
        <v>284.27999999999997</v>
      </c>
      <c r="AO13" s="2">
        <v>0</v>
      </c>
      <c r="AP13" s="2">
        <v>0</v>
      </c>
      <c r="AQ13" s="2">
        <v>0</v>
      </c>
    </row>
    <row r="14" spans="1:48" x14ac:dyDescent="0.25">
      <c r="A14" s="1">
        <v>45936</v>
      </c>
      <c r="B14" t="s">
        <v>48</v>
      </c>
      <c r="C14">
        <v>649163</v>
      </c>
      <c r="D14">
        <v>2030816919</v>
      </c>
      <c r="E14" t="s">
        <v>117</v>
      </c>
      <c r="F14" t="s">
        <v>118</v>
      </c>
      <c r="G14" t="s">
        <v>51</v>
      </c>
      <c r="H14" t="s">
        <v>119</v>
      </c>
      <c r="I14" t="s">
        <v>89</v>
      </c>
      <c r="J14" t="s">
        <v>111</v>
      </c>
      <c r="K14">
        <v>651818</v>
      </c>
      <c r="L14" t="s">
        <v>112</v>
      </c>
      <c r="M14" t="s">
        <v>104</v>
      </c>
      <c r="N14" t="s">
        <v>57</v>
      </c>
      <c r="O14" s="1">
        <v>45936</v>
      </c>
      <c r="Q14" s="1">
        <v>45967</v>
      </c>
      <c r="R14" s="2">
        <v>43.75</v>
      </c>
      <c r="S14">
        <v>1</v>
      </c>
      <c r="T14" t="s">
        <v>58</v>
      </c>
      <c r="U14" t="s">
        <v>59</v>
      </c>
      <c r="V14" s="3">
        <v>0.75</v>
      </c>
      <c r="W14" s="2">
        <v>0</v>
      </c>
      <c r="X14">
        <v>0</v>
      </c>
      <c r="Y14" t="s">
        <v>60</v>
      </c>
      <c r="Z14" t="s">
        <v>61</v>
      </c>
      <c r="AA14">
        <v>6</v>
      </c>
      <c r="AB14" s="2">
        <v>196.86</v>
      </c>
      <c r="AC14" s="2">
        <v>0</v>
      </c>
      <c r="AD14" s="3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2">
        <v>32.81</v>
      </c>
      <c r="AM14" s="2">
        <v>0</v>
      </c>
      <c r="AN14" s="2">
        <v>196.86</v>
      </c>
      <c r="AO14" s="2">
        <v>0</v>
      </c>
      <c r="AP14" s="2">
        <v>0</v>
      </c>
      <c r="AQ14" s="2">
        <v>0</v>
      </c>
    </row>
    <row r="15" spans="1:48" x14ac:dyDescent="0.25">
      <c r="A15" s="1">
        <v>45936</v>
      </c>
      <c r="B15" t="s">
        <v>48</v>
      </c>
      <c r="C15">
        <v>649163</v>
      </c>
      <c r="D15">
        <v>2030820713</v>
      </c>
      <c r="E15" t="s">
        <v>120</v>
      </c>
      <c r="F15" t="s">
        <v>121</v>
      </c>
      <c r="G15" t="s">
        <v>51</v>
      </c>
      <c r="H15" t="s">
        <v>122</v>
      </c>
      <c r="I15" t="s">
        <v>89</v>
      </c>
      <c r="J15" t="s">
        <v>96</v>
      </c>
      <c r="K15">
        <v>651818</v>
      </c>
      <c r="L15" t="s">
        <v>112</v>
      </c>
      <c r="M15" t="s">
        <v>104</v>
      </c>
      <c r="N15" t="s">
        <v>57</v>
      </c>
      <c r="O15" s="1">
        <v>45936</v>
      </c>
      <c r="Q15" s="1">
        <v>45967</v>
      </c>
      <c r="R15" s="2">
        <v>61.25</v>
      </c>
      <c r="S15">
        <v>1</v>
      </c>
      <c r="T15" t="s">
        <v>58</v>
      </c>
      <c r="U15" t="s">
        <v>59</v>
      </c>
      <c r="V15" s="3">
        <v>0.9</v>
      </c>
      <c r="W15" s="2">
        <v>0</v>
      </c>
      <c r="X15">
        <v>0</v>
      </c>
      <c r="Y15" t="s">
        <v>60</v>
      </c>
      <c r="Z15" t="s">
        <v>61</v>
      </c>
      <c r="AA15">
        <v>6</v>
      </c>
      <c r="AB15" s="2">
        <v>330.72</v>
      </c>
      <c r="AC15" s="2">
        <v>0</v>
      </c>
      <c r="AD15" s="3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2">
        <v>55.12</v>
      </c>
      <c r="AM15" s="2">
        <v>0</v>
      </c>
      <c r="AN15" s="2">
        <v>330.72</v>
      </c>
      <c r="AO15" s="2">
        <v>0</v>
      </c>
      <c r="AP15" s="2">
        <v>0</v>
      </c>
      <c r="AQ15" s="2">
        <v>0</v>
      </c>
    </row>
    <row r="16" spans="1:48" x14ac:dyDescent="0.25">
      <c r="A16" s="1">
        <v>45936</v>
      </c>
      <c r="B16" t="s">
        <v>48</v>
      </c>
      <c r="C16">
        <v>649163</v>
      </c>
      <c r="D16">
        <v>2030880778</v>
      </c>
      <c r="E16" t="s">
        <v>123</v>
      </c>
      <c r="F16" t="s">
        <v>124</v>
      </c>
      <c r="G16" t="s">
        <v>51</v>
      </c>
      <c r="H16" t="s">
        <v>122</v>
      </c>
      <c r="I16" t="s">
        <v>89</v>
      </c>
      <c r="J16" t="s">
        <v>111</v>
      </c>
      <c r="K16">
        <v>753748</v>
      </c>
      <c r="L16" t="s">
        <v>97</v>
      </c>
      <c r="M16" t="s">
        <v>98</v>
      </c>
      <c r="N16" t="s">
        <v>57</v>
      </c>
      <c r="O16" s="1">
        <v>45931</v>
      </c>
      <c r="Q16" s="1">
        <v>45962</v>
      </c>
      <c r="R16" s="2">
        <v>27.93</v>
      </c>
      <c r="S16">
        <v>1</v>
      </c>
      <c r="T16" t="s">
        <v>58</v>
      </c>
      <c r="U16" t="s">
        <v>59</v>
      </c>
      <c r="V16" s="3">
        <v>0.75</v>
      </c>
      <c r="W16" s="2">
        <v>0</v>
      </c>
      <c r="X16">
        <v>0</v>
      </c>
      <c r="Y16" t="s">
        <v>60</v>
      </c>
      <c r="Z16" t="s">
        <v>61</v>
      </c>
      <c r="AA16">
        <v>6</v>
      </c>
      <c r="AB16" s="2">
        <v>125.7</v>
      </c>
      <c r="AC16" s="2">
        <v>0</v>
      </c>
      <c r="AD16" s="3">
        <v>0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 s="2">
        <v>0</v>
      </c>
      <c r="AL16" s="2">
        <v>20.95</v>
      </c>
      <c r="AM16" s="2">
        <v>0</v>
      </c>
      <c r="AN16" s="2">
        <v>125.7</v>
      </c>
      <c r="AO16" s="2">
        <v>0</v>
      </c>
      <c r="AP16" s="2">
        <v>0</v>
      </c>
      <c r="AQ16" s="2">
        <v>0</v>
      </c>
    </row>
    <row r="17" spans="1:43" x14ac:dyDescent="0.25">
      <c r="A17" s="1">
        <v>45936</v>
      </c>
      <c r="B17" t="s">
        <v>48</v>
      </c>
      <c r="C17">
        <v>649163</v>
      </c>
      <c r="D17">
        <v>2030903469</v>
      </c>
      <c r="E17" t="s">
        <v>125</v>
      </c>
      <c r="F17" t="s">
        <v>126</v>
      </c>
      <c r="G17" t="s">
        <v>51</v>
      </c>
      <c r="H17" t="s">
        <v>52</v>
      </c>
      <c r="I17" t="s">
        <v>89</v>
      </c>
      <c r="J17" t="s">
        <v>96</v>
      </c>
      <c r="K17">
        <v>753748</v>
      </c>
      <c r="L17" t="s">
        <v>97</v>
      </c>
      <c r="M17" t="s">
        <v>98</v>
      </c>
      <c r="N17" t="s">
        <v>57</v>
      </c>
      <c r="O17" s="1">
        <v>45931</v>
      </c>
      <c r="Q17" s="1">
        <v>45962</v>
      </c>
      <c r="R17" s="2">
        <v>110.38</v>
      </c>
      <c r="S17">
        <v>1</v>
      </c>
      <c r="T17" t="s">
        <v>58</v>
      </c>
      <c r="U17" t="s">
        <v>59</v>
      </c>
      <c r="V17" s="3">
        <v>0.9</v>
      </c>
      <c r="W17" s="2">
        <v>0</v>
      </c>
      <c r="X17">
        <v>0</v>
      </c>
      <c r="Y17" t="s">
        <v>60</v>
      </c>
      <c r="Z17" t="s">
        <v>61</v>
      </c>
      <c r="AA17">
        <v>6</v>
      </c>
      <c r="AB17" s="2">
        <v>596.04</v>
      </c>
      <c r="AC17" s="2">
        <v>0</v>
      </c>
      <c r="AD17" s="3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99.34</v>
      </c>
      <c r="AM17" s="2">
        <v>0</v>
      </c>
      <c r="AN17" s="2">
        <v>596.04</v>
      </c>
      <c r="AO17" s="2">
        <v>0</v>
      </c>
      <c r="AP17" s="2">
        <v>0</v>
      </c>
      <c r="AQ17" s="2">
        <v>0</v>
      </c>
    </row>
    <row r="18" spans="1:43" x14ac:dyDescent="0.25">
      <c r="A18" s="1">
        <v>45936</v>
      </c>
      <c r="B18" t="s">
        <v>48</v>
      </c>
      <c r="C18">
        <v>649163</v>
      </c>
      <c r="D18">
        <v>2030912029</v>
      </c>
      <c r="E18" t="s">
        <v>127</v>
      </c>
      <c r="F18" t="s">
        <v>128</v>
      </c>
      <c r="G18" t="s">
        <v>51</v>
      </c>
      <c r="H18" t="s">
        <v>129</v>
      </c>
      <c r="I18" t="s">
        <v>89</v>
      </c>
      <c r="J18" t="s">
        <v>96</v>
      </c>
      <c r="K18">
        <v>753748</v>
      </c>
      <c r="L18" t="s">
        <v>97</v>
      </c>
      <c r="M18" t="s">
        <v>98</v>
      </c>
      <c r="N18" t="s">
        <v>57</v>
      </c>
      <c r="O18" s="1">
        <v>45931</v>
      </c>
      <c r="Q18" s="1">
        <v>45962</v>
      </c>
      <c r="R18" s="2">
        <v>162.08000000000001</v>
      </c>
      <c r="S18">
        <v>1</v>
      </c>
      <c r="T18" t="s">
        <v>58</v>
      </c>
      <c r="U18" t="s">
        <v>59</v>
      </c>
      <c r="V18" s="3">
        <v>0.9</v>
      </c>
      <c r="W18" s="2">
        <v>0</v>
      </c>
      <c r="X18">
        <v>0</v>
      </c>
      <c r="Y18" t="s">
        <v>60</v>
      </c>
      <c r="Z18" t="s">
        <v>61</v>
      </c>
      <c r="AA18">
        <v>6</v>
      </c>
      <c r="AB18" s="2">
        <v>875.22</v>
      </c>
      <c r="AC18" s="2">
        <v>0</v>
      </c>
      <c r="AD18" s="3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145.87</v>
      </c>
      <c r="AM18" s="2">
        <v>0</v>
      </c>
      <c r="AN18" s="2">
        <v>875.22</v>
      </c>
      <c r="AO18" s="2">
        <v>0</v>
      </c>
      <c r="AP18" s="2">
        <v>0</v>
      </c>
      <c r="AQ18" s="2">
        <v>0</v>
      </c>
    </row>
    <row r="19" spans="1:43" x14ac:dyDescent="0.25">
      <c r="A19" s="1">
        <v>45936</v>
      </c>
      <c r="B19" t="s">
        <v>48</v>
      </c>
      <c r="C19">
        <v>649163</v>
      </c>
      <c r="D19">
        <v>2030948466</v>
      </c>
      <c r="E19" t="s">
        <v>130</v>
      </c>
      <c r="F19" t="s">
        <v>131</v>
      </c>
      <c r="G19" t="s">
        <v>51</v>
      </c>
      <c r="H19" t="s">
        <v>52</v>
      </c>
      <c r="I19" t="s">
        <v>89</v>
      </c>
      <c r="J19" t="s">
        <v>96</v>
      </c>
      <c r="K19">
        <v>651818</v>
      </c>
      <c r="L19" t="s">
        <v>112</v>
      </c>
      <c r="M19" t="s">
        <v>104</v>
      </c>
      <c r="N19" t="s">
        <v>57</v>
      </c>
      <c r="O19" s="1">
        <v>45936</v>
      </c>
      <c r="Q19" s="1">
        <v>45967</v>
      </c>
      <c r="R19" s="2">
        <v>180.92</v>
      </c>
      <c r="S19">
        <v>1</v>
      </c>
      <c r="T19" t="s">
        <v>58</v>
      </c>
      <c r="U19" t="s">
        <v>59</v>
      </c>
      <c r="V19" s="3">
        <v>0.9</v>
      </c>
      <c r="W19" s="2">
        <v>0</v>
      </c>
      <c r="X19">
        <v>0</v>
      </c>
      <c r="Y19" t="s">
        <v>60</v>
      </c>
      <c r="Z19" t="s">
        <v>61</v>
      </c>
      <c r="AA19">
        <v>6</v>
      </c>
      <c r="AB19" s="2">
        <v>976.98</v>
      </c>
      <c r="AC19" s="2">
        <v>0</v>
      </c>
      <c r="AD19" s="3">
        <v>0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162.83000000000001</v>
      </c>
      <c r="AM19" s="2">
        <v>0</v>
      </c>
      <c r="AN19" s="2">
        <v>976.98</v>
      </c>
      <c r="AO19" s="2">
        <v>0</v>
      </c>
      <c r="AP19" s="2">
        <v>0</v>
      </c>
      <c r="AQ19" s="2">
        <v>0</v>
      </c>
    </row>
    <row r="20" spans="1:43" x14ac:dyDescent="0.25">
      <c r="A20" s="1">
        <v>45936</v>
      </c>
      <c r="B20" t="s">
        <v>48</v>
      </c>
      <c r="C20">
        <v>649163</v>
      </c>
      <c r="D20">
        <v>2030969460</v>
      </c>
      <c r="E20" t="s">
        <v>132</v>
      </c>
      <c r="F20" t="s">
        <v>133</v>
      </c>
      <c r="G20" t="s">
        <v>51</v>
      </c>
      <c r="H20" t="s">
        <v>101</v>
      </c>
      <c r="I20" t="s">
        <v>89</v>
      </c>
      <c r="J20" t="s">
        <v>96</v>
      </c>
      <c r="K20">
        <v>820873</v>
      </c>
      <c r="L20" t="s">
        <v>134</v>
      </c>
      <c r="M20" t="s">
        <v>135</v>
      </c>
      <c r="N20" t="s">
        <v>57</v>
      </c>
      <c r="O20" s="1">
        <v>45935</v>
      </c>
      <c r="Q20" s="1">
        <v>45966</v>
      </c>
      <c r="R20" s="2">
        <v>14.71</v>
      </c>
      <c r="S20">
        <v>1</v>
      </c>
      <c r="T20" t="s">
        <v>58</v>
      </c>
      <c r="U20" t="s">
        <v>59</v>
      </c>
      <c r="V20" s="3">
        <v>0.9</v>
      </c>
      <c r="W20" s="2">
        <v>0</v>
      </c>
      <c r="X20">
        <v>0</v>
      </c>
      <c r="Y20" t="s">
        <v>60</v>
      </c>
      <c r="Z20" t="s">
        <v>61</v>
      </c>
      <c r="AA20">
        <v>6</v>
      </c>
      <c r="AB20" s="2">
        <v>79.44</v>
      </c>
      <c r="AC20" s="2">
        <v>0</v>
      </c>
      <c r="AD20" s="3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13.24</v>
      </c>
      <c r="AM20" s="2">
        <v>0</v>
      </c>
      <c r="AN20" s="2">
        <v>79.44</v>
      </c>
      <c r="AO20" s="2">
        <v>0</v>
      </c>
      <c r="AP20" s="2">
        <v>0</v>
      </c>
      <c r="AQ20" s="2">
        <v>0</v>
      </c>
    </row>
    <row r="21" spans="1:43" x14ac:dyDescent="0.25">
      <c r="A21" s="1">
        <v>45936</v>
      </c>
      <c r="B21" t="s">
        <v>48</v>
      </c>
      <c r="C21">
        <v>649163</v>
      </c>
      <c r="D21">
        <v>2030990681</v>
      </c>
      <c r="E21" t="s">
        <v>136</v>
      </c>
      <c r="F21" t="s">
        <v>137</v>
      </c>
      <c r="G21" t="s">
        <v>51</v>
      </c>
      <c r="H21" t="s">
        <v>52</v>
      </c>
      <c r="I21" t="s">
        <v>89</v>
      </c>
      <c r="J21" t="s">
        <v>111</v>
      </c>
      <c r="K21">
        <v>753748</v>
      </c>
      <c r="L21" t="s">
        <v>97</v>
      </c>
      <c r="M21" t="s">
        <v>98</v>
      </c>
      <c r="N21" t="s">
        <v>57</v>
      </c>
      <c r="O21" s="1">
        <v>45931</v>
      </c>
      <c r="Q21" s="1">
        <v>45962</v>
      </c>
      <c r="R21" s="2">
        <v>121.38</v>
      </c>
      <c r="S21">
        <v>1</v>
      </c>
      <c r="T21" t="s">
        <v>58</v>
      </c>
      <c r="U21" t="s">
        <v>59</v>
      </c>
      <c r="V21" s="3">
        <v>0.75</v>
      </c>
      <c r="W21" s="2">
        <v>0</v>
      </c>
      <c r="X21">
        <v>0</v>
      </c>
      <c r="Y21" t="s">
        <v>60</v>
      </c>
      <c r="Z21" t="s">
        <v>61</v>
      </c>
      <c r="AA21">
        <v>6</v>
      </c>
      <c r="AB21" s="2">
        <v>546.24</v>
      </c>
      <c r="AC21" s="2">
        <v>0</v>
      </c>
      <c r="AD21" s="3">
        <v>0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J21" s="2">
        <v>0</v>
      </c>
      <c r="AK21" s="2">
        <v>0</v>
      </c>
      <c r="AL21" s="2">
        <v>91.04</v>
      </c>
      <c r="AM21" s="2">
        <v>0</v>
      </c>
      <c r="AN21" s="2">
        <v>546.24</v>
      </c>
      <c r="AO21" s="2">
        <v>0</v>
      </c>
      <c r="AP21" s="2">
        <v>0</v>
      </c>
      <c r="AQ21" s="2">
        <v>0</v>
      </c>
    </row>
    <row r="22" spans="1:43" x14ac:dyDescent="0.25">
      <c r="A22" s="1">
        <v>45936</v>
      </c>
      <c r="B22" t="s">
        <v>48</v>
      </c>
      <c r="C22">
        <v>649163</v>
      </c>
      <c r="D22">
        <v>2031002562</v>
      </c>
      <c r="E22" t="s">
        <v>138</v>
      </c>
      <c r="F22" t="s">
        <v>139</v>
      </c>
      <c r="G22" t="s">
        <v>51</v>
      </c>
      <c r="H22" t="s">
        <v>101</v>
      </c>
      <c r="I22" t="s">
        <v>89</v>
      </c>
      <c r="J22" t="s">
        <v>102</v>
      </c>
      <c r="K22">
        <v>792847</v>
      </c>
      <c r="L22" t="s">
        <v>140</v>
      </c>
      <c r="M22" t="s">
        <v>141</v>
      </c>
      <c r="N22" t="s">
        <v>57</v>
      </c>
      <c r="O22" s="1">
        <v>45931</v>
      </c>
      <c r="Q22" s="1">
        <v>45962</v>
      </c>
      <c r="R22" s="2">
        <v>90.76</v>
      </c>
      <c r="S22">
        <v>1</v>
      </c>
      <c r="T22" t="s">
        <v>58</v>
      </c>
      <c r="U22" t="s">
        <v>59</v>
      </c>
      <c r="V22" s="3">
        <v>0.75</v>
      </c>
      <c r="W22" s="2">
        <v>0</v>
      </c>
      <c r="X22">
        <v>0</v>
      </c>
      <c r="Y22" t="s">
        <v>60</v>
      </c>
      <c r="Z22" t="s">
        <v>61</v>
      </c>
      <c r="AA22">
        <v>6</v>
      </c>
      <c r="AB22" s="2">
        <v>408.42</v>
      </c>
      <c r="AC22" s="2">
        <v>0</v>
      </c>
      <c r="AD22" s="3">
        <v>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2">
        <v>0</v>
      </c>
      <c r="AL22" s="2">
        <v>68.069999999999993</v>
      </c>
      <c r="AM22" s="2">
        <v>0</v>
      </c>
      <c r="AN22" s="2">
        <v>408.42</v>
      </c>
      <c r="AO22" s="2">
        <v>0</v>
      </c>
      <c r="AP22" s="2">
        <v>0</v>
      </c>
      <c r="AQ22" s="2">
        <v>0</v>
      </c>
    </row>
    <row r="23" spans="1:43" x14ac:dyDescent="0.25">
      <c r="A23" s="1">
        <v>45936</v>
      </c>
      <c r="B23" t="s">
        <v>48</v>
      </c>
      <c r="C23">
        <v>649163</v>
      </c>
      <c r="D23">
        <v>2031014066</v>
      </c>
      <c r="E23" t="s">
        <v>142</v>
      </c>
      <c r="F23" t="s">
        <v>143</v>
      </c>
      <c r="G23" t="s">
        <v>51</v>
      </c>
      <c r="H23" t="s">
        <v>110</v>
      </c>
      <c r="I23" t="s">
        <v>89</v>
      </c>
      <c r="J23" t="s">
        <v>111</v>
      </c>
      <c r="K23">
        <v>651818</v>
      </c>
      <c r="L23" t="s">
        <v>112</v>
      </c>
      <c r="M23" t="s">
        <v>104</v>
      </c>
      <c r="N23" t="s">
        <v>57</v>
      </c>
      <c r="O23" s="1">
        <v>45936</v>
      </c>
      <c r="Q23" s="1">
        <v>45967</v>
      </c>
      <c r="R23" s="2">
        <v>118.83</v>
      </c>
      <c r="S23">
        <v>1</v>
      </c>
      <c r="T23" t="s">
        <v>58</v>
      </c>
      <c r="U23" t="s">
        <v>59</v>
      </c>
      <c r="V23" s="3">
        <v>0.75</v>
      </c>
      <c r="W23" s="2">
        <v>0</v>
      </c>
      <c r="X23">
        <v>0</v>
      </c>
      <c r="Y23" t="s">
        <v>60</v>
      </c>
      <c r="Z23" t="s">
        <v>61</v>
      </c>
      <c r="AA23">
        <v>6</v>
      </c>
      <c r="AB23" s="2">
        <v>534.72</v>
      </c>
      <c r="AC23" s="2">
        <v>0</v>
      </c>
      <c r="AD23" s="3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0</v>
      </c>
      <c r="AL23" s="2">
        <v>89.12</v>
      </c>
      <c r="AM23" s="2">
        <v>0</v>
      </c>
      <c r="AN23" s="2">
        <v>534.72</v>
      </c>
      <c r="AO23" s="2">
        <v>0</v>
      </c>
      <c r="AP23" s="2">
        <v>0</v>
      </c>
      <c r="AQ23" s="2">
        <v>0</v>
      </c>
    </row>
    <row r="24" spans="1:43" x14ac:dyDescent="0.25">
      <c r="A24" s="1">
        <v>45936</v>
      </c>
      <c r="B24" t="s">
        <v>48</v>
      </c>
      <c r="C24">
        <v>649163</v>
      </c>
      <c r="D24">
        <v>2031081022</v>
      </c>
      <c r="E24" t="s">
        <v>144</v>
      </c>
      <c r="F24" t="s">
        <v>145</v>
      </c>
      <c r="G24" t="s">
        <v>51</v>
      </c>
      <c r="H24" t="s">
        <v>64</v>
      </c>
      <c r="I24" t="s">
        <v>89</v>
      </c>
      <c r="J24" t="s">
        <v>96</v>
      </c>
      <c r="K24">
        <v>822865</v>
      </c>
      <c r="L24" t="s">
        <v>146</v>
      </c>
      <c r="M24" t="s">
        <v>147</v>
      </c>
      <c r="N24" t="s">
        <v>57</v>
      </c>
      <c r="O24" s="1">
        <v>45932</v>
      </c>
      <c r="Q24" s="1">
        <v>45963</v>
      </c>
      <c r="R24" s="2">
        <v>51.21</v>
      </c>
      <c r="S24">
        <v>1</v>
      </c>
      <c r="T24" t="s">
        <v>58</v>
      </c>
      <c r="U24" t="s">
        <v>59</v>
      </c>
      <c r="V24" s="3">
        <v>0.9</v>
      </c>
      <c r="W24" s="2">
        <v>0</v>
      </c>
      <c r="X24">
        <v>0</v>
      </c>
      <c r="Y24" t="s">
        <v>60</v>
      </c>
      <c r="Z24" t="s">
        <v>61</v>
      </c>
      <c r="AA24">
        <v>6</v>
      </c>
      <c r="AB24" s="2">
        <v>276.54000000000002</v>
      </c>
      <c r="AC24" s="2">
        <v>0</v>
      </c>
      <c r="AD24" s="3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46.09</v>
      </c>
      <c r="AM24" s="2">
        <v>0</v>
      </c>
      <c r="AN24" s="2">
        <v>276.54000000000002</v>
      </c>
      <c r="AO24" s="2">
        <v>0</v>
      </c>
      <c r="AP24" s="2">
        <v>0</v>
      </c>
      <c r="AQ24" s="2">
        <v>0</v>
      </c>
    </row>
    <row r="25" spans="1:43" x14ac:dyDescent="0.25">
      <c r="A25" s="1">
        <v>45936</v>
      </c>
      <c r="B25" t="s">
        <v>48</v>
      </c>
      <c r="C25">
        <v>649163</v>
      </c>
      <c r="D25">
        <v>2031091279</v>
      </c>
      <c r="E25" t="s">
        <v>148</v>
      </c>
      <c r="F25" t="s">
        <v>149</v>
      </c>
      <c r="G25" t="s">
        <v>51</v>
      </c>
      <c r="H25" t="s">
        <v>150</v>
      </c>
      <c r="I25" t="s">
        <v>89</v>
      </c>
      <c r="J25" t="s">
        <v>111</v>
      </c>
      <c r="K25">
        <v>877790</v>
      </c>
      <c r="L25" t="s">
        <v>151</v>
      </c>
      <c r="M25" t="s">
        <v>152</v>
      </c>
      <c r="N25" t="s">
        <v>57</v>
      </c>
      <c r="O25" s="1">
        <v>45931</v>
      </c>
      <c r="Q25" s="1">
        <v>45962</v>
      </c>
      <c r="R25" s="2">
        <v>48.55</v>
      </c>
      <c r="S25">
        <v>1</v>
      </c>
      <c r="T25" t="s">
        <v>58</v>
      </c>
      <c r="U25" t="s">
        <v>59</v>
      </c>
      <c r="V25" s="3">
        <v>0.75</v>
      </c>
      <c r="W25" s="2">
        <v>0</v>
      </c>
      <c r="X25">
        <v>0</v>
      </c>
      <c r="Y25" t="s">
        <v>60</v>
      </c>
      <c r="Z25" t="s">
        <v>61</v>
      </c>
      <c r="AA25">
        <v>6</v>
      </c>
      <c r="AB25" s="2">
        <v>218.46</v>
      </c>
      <c r="AC25" s="2">
        <v>0</v>
      </c>
      <c r="AD25" s="3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36.409999999999997</v>
      </c>
      <c r="AM25" s="2">
        <v>0</v>
      </c>
      <c r="AN25" s="2">
        <v>218.46</v>
      </c>
      <c r="AO25" s="2">
        <v>0</v>
      </c>
      <c r="AP25" s="2">
        <v>0</v>
      </c>
      <c r="AQ25" s="2">
        <v>0</v>
      </c>
    </row>
    <row r="26" spans="1:43" x14ac:dyDescent="0.25">
      <c r="A26" s="1">
        <v>45936</v>
      </c>
      <c r="B26" t="s">
        <v>48</v>
      </c>
      <c r="C26">
        <v>649163</v>
      </c>
      <c r="D26">
        <v>2031179747</v>
      </c>
      <c r="E26" t="s">
        <v>153</v>
      </c>
      <c r="F26" t="s">
        <v>154</v>
      </c>
      <c r="G26" t="s">
        <v>51</v>
      </c>
      <c r="H26" t="s">
        <v>155</v>
      </c>
      <c r="I26" t="s">
        <v>89</v>
      </c>
      <c r="J26" t="s">
        <v>102</v>
      </c>
      <c r="K26">
        <v>856163</v>
      </c>
      <c r="L26" t="s">
        <v>66</v>
      </c>
      <c r="M26" t="s">
        <v>156</v>
      </c>
      <c r="N26" t="s">
        <v>57</v>
      </c>
      <c r="O26" s="1">
        <v>45931</v>
      </c>
      <c r="Q26" s="1">
        <v>45962</v>
      </c>
      <c r="R26" s="2">
        <v>160.87</v>
      </c>
      <c r="S26">
        <v>1</v>
      </c>
      <c r="T26" t="s">
        <v>58</v>
      </c>
      <c r="U26" t="s">
        <v>59</v>
      </c>
      <c r="V26" s="3">
        <v>0.75</v>
      </c>
      <c r="W26" s="2">
        <v>0</v>
      </c>
      <c r="X26">
        <v>0</v>
      </c>
      <c r="Y26" t="s">
        <v>60</v>
      </c>
      <c r="Z26" t="s">
        <v>61</v>
      </c>
      <c r="AA26">
        <v>6</v>
      </c>
      <c r="AB26" s="2">
        <v>723.9</v>
      </c>
      <c r="AC26" s="2">
        <v>0</v>
      </c>
      <c r="AD26" s="3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120.65</v>
      </c>
      <c r="AM26" s="2">
        <v>0</v>
      </c>
      <c r="AN26" s="2">
        <v>723.9</v>
      </c>
      <c r="AO26" s="2">
        <v>0</v>
      </c>
      <c r="AP26" s="2">
        <v>0</v>
      </c>
      <c r="AQ26" s="2">
        <v>0</v>
      </c>
    </row>
    <row r="27" spans="1:43" x14ac:dyDescent="0.25">
      <c r="A27" s="1">
        <v>45936</v>
      </c>
      <c r="B27" t="s">
        <v>48</v>
      </c>
      <c r="C27">
        <v>649163</v>
      </c>
      <c r="D27">
        <v>2031192062</v>
      </c>
      <c r="E27" t="s">
        <v>157</v>
      </c>
      <c r="F27" t="s">
        <v>158</v>
      </c>
      <c r="G27" t="s">
        <v>51</v>
      </c>
      <c r="H27" t="s">
        <v>159</v>
      </c>
      <c r="I27" t="s">
        <v>89</v>
      </c>
      <c r="J27" t="s">
        <v>96</v>
      </c>
      <c r="K27">
        <v>651818</v>
      </c>
      <c r="L27" t="s">
        <v>112</v>
      </c>
      <c r="M27" t="s">
        <v>104</v>
      </c>
      <c r="N27" t="s">
        <v>57</v>
      </c>
      <c r="O27" s="1">
        <v>45936</v>
      </c>
      <c r="Q27" s="1">
        <v>45967</v>
      </c>
      <c r="R27" s="2">
        <v>240.76</v>
      </c>
      <c r="S27">
        <v>1</v>
      </c>
      <c r="T27" t="s">
        <v>58</v>
      </c>
      <c r="U27" t="s">
        <v>59</v>
      </c>
      <c r="V27" s="3">
        <v>0.9</v>
      </c>
      <c r="W27" s="2">
        <v>0</v>
      </c>
      <c r="X27">
        <v>0</v>
      </c>
      <c r="Y27" t="s">
        <v>60</v>
      </c>
      <c r="Z27" t="s">
        <v>61</v>
      </c>
      <c r="AA27">
        <v>6</v>
      </c>
      <c r="AB27" s="2">
        <v>1300.08</v>
      </c>
      <c r="AC27" s="2">
        <v>0</v>
      </c>
      <c r="AD27" s="3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216.68</v>
      </c>
      <c r="AM27" s="2">
        <v>0</v>
      </c>
      <c r="AN27" s="2">
        <v>1300.08</v>
      </c>
      <c r="AO27" s="2">
        <v>0</v>
      </c>
      <c r="AP27" s="2">
        <v>0</v>
      </c>
      <c r="AQ27" s="2">
        <v>0</v>
      </c>
    </row>
    <row r="28" spans="1:43" x14ac:dyDescent="0.25">
      <c r="A28" s="1">
        <v>45936</v>
      </c>
      <c r="B28" t="s">
        <v>48</v>
      </c>
      <c r="C28">
        <v>649163</v>
      </c>
      <c r="D28">
        <v>2031223341</v>
      </c>
      <c r="E28" t="s">
        <v>160</v>
      </c>
      <c r="F28" t="s">
        <v>161</v>
      </c>
      <c r="G28" t="s">
        <v>51</v>
      </c>
      <c r="H28" t="s">
        <v>150</v>
      </c>
      <c r="I28" t="s">
        <v>89</v>
      </c>
      <c r="J28" t="s">
        <v>96</v>
      </c>
      <c r="K28">
        <v>877790</v>
      </c>
      <c r="L28" t="s">
        <v>151</v>
      </c>
      <c r="M28" t="s">
        <v>152</v>
      </c>
      <c r="N28" t="s">
        <v>57</v>
      </c>
      <c r="O28" s="1">
        <v>45931</v>
      </c>
      <c r="Q28" s="1">
        <v>45962</v>
      </c>
      <c r="R28" s="2">
        <v>101.93</v>
      </c>
      <c r="S28">
        <v>1</v>
      </c>
      <c r="T28" t="s">
        <v>58</v>
      </c>
      <c r="U28" t="s">
        <v>59</v>
      </c>
      <c r="V28" s="3">
        <v>0.9</v>
      </c>
      <c r="W28" s="2">
        <v>0</v>
      </c>
      <c r="X28">
        <v>0</v>
      </c>
      <c r="Y28" t="s">
        <v>60</v>
      </c>
      <c r="Z28" t="s">
        <v>61</v>
      </c>
      <c r="AA28">
        <v>6</v>
      </c>
      <c r="AB28" s="2">
        <v>550.44000000000005</v>
      </c>
      <c r="AC28" s="2">
        <v>0</v>
      </c>
      <c r="AD28" s="3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91.74</v>
      </c>
      <c r="AM28" s="2">
        <v>0</v>
      </c>
      <c r="AN28" s="2">
        <v>550.44000000000005</v>
      </c>
      <c r="AO28" s="2">
        <v>0</v>
      </c>
      <c r="AP28" s="2">
        <v>0</v>
      </c>
      <c r="AQ28" s="2">
        <v>0</v>
      </c>
    </row>
    <row r="29" spans="1:43" x14ac:dyDescent="0.25">
      <c r="A29" s="1">
        <v>45936</v>
      </c>
      <c r="B29" t="s">
        <v>48</v>
      </c>
      <c r="C29">
        <v>649163</v>
      </c>
      <c r="D29">
        <v>2031246838</v>
      </c>
      <c r="E29" t="s">
        <v>162</v>
      </c>
      <c r="F29" t="s">
        <v>163</v>
      </c>
      <c r="G29" t="s">
        <v>51</v>
      </c>
      <c r="H29" t="s">
        <v>159</v>
      </c>
      <c r="I29" t="s">
        <v>89</v>
      </c>
      <c r="J29" t="s">
        <v>96</v>
      </c>
      <c r="K29">
        <v>651818</v>
      </c>
      <c r="L29" t="s">
        <v>112</v>
      </c>
      <c r="M29" t="s">
        <v>104</v>
      </c>
      <c r="N29" t="s">
        <v>57</v>
      </c>
      <c r="O29" s="1">
        <v>45936</v>
      </c>
      <c r="Q29" s="1">
        <v>45967</v>
      </c>
      <c r="R29" s="2">
        <v>121.41</v>
      </c>
      <c r="S29">
        <v>1</v>
      </c>
      <c r="T29" t="s">
        <v>58</v>
      </c>
      <c r="U29" t="s">
        <v>59</v>
      </c>
      <c r="V29" s="3">
        <v>0.9</v>
      </c>
      <c r="W29" s="2">
        <v>0</v>
      </c>
      <c r="X29">
        <v>0</v>
      </c>
      <c r="Y29" t="s">
        <v>60</v>
      </c>
      <c r="Z29" t="s">
        <v>61</v>
      </c>
      <c r="AA29">
        <v>6</v>
      </c>
      <c r="AB29" s="2">
        <v>655.62</v>
      </c>
      <c r="AC29" s="2">
        <v>0</v>
      </c>
      <c r="AD29" s="3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109.27</v>
      </c>
      <c r="AM29" s="2">
        <v>0</v>
      </c>
      <c r="AN29" s="2">
        <v>655.62</v>
      </c>
      <c r="AO29" s="2">
        <v>0</v>
      </c>
      <c r="AP29" s="2">
        <v>0</v>
      </c>
      <c r="AQ29" s="2">
        <v>0</v>
      </c>
    </row>
    <row r="30" spans="1:43" x14ac:dyDescent="0.25">
      <c r="A30" s="1">
        <v>45936</v>
      </c>
      <c r="B30" t="s">
        <v>48</v>
      </c>
      <c r="C30">
        <v>649163</v>
      </c>
      <c r="D30">
        <v>2031247582</v>
      </c>
      <c r="E30" t="s">
        <v>164</v>
      </c>
      <c r="F30" t="s">
        <v>165</v>
      </c>
      <c r="G30" t="s">
        <v>51</v>
      </c>
      <c r="H30" t="s">
        <v>101</v>
      </c>
      <c r="I30" t="s">
        <v>89</v>
      </c>
      <c r="J30" t="s">
        <v>96</v>
      </c>
      <c r="K30">
        <v>651818</v>
      </c>
      <c r="L30" t="s">
        <v>112</v>
      </c>
      <c r="M30" t="s">
        <v>104</v>
      </c>
      <c r="N30" t="s">
        <v>57</v>
      </c>
      <c r="O30" s="1">
        <v>45936</v>
      </c>
      <c r="Q30" s="1">
        <v>45967</v>
      </c>
      <c r="R30" s="2">
        <v>135.33000000000001</v>
      </c>
      <c r="S30">
        <v>1</v>
      </c>
      <c r="T30" t="s">
        <v>58</v>
      </c>
      <c r="U30" t="s">
        <v>59</v>
      </c>
      <c r="V30" s="3">
        <v>0.9</v>
      </c>
      <c r="W30" s="2">
        <v>0</v>
      </c>
      <c r="X30">
        <v>0</v>
      </c>
      <c r="Y30" t="s">
        <v>60</v>
      </c>
      <c r="Z30" t="s">
        <v>61</v>
      </c>
      <c r="AA30">
        <v>6</v>
      </c>
      <c r="AB30" s="2">
        <v>730.8</v>
      </c>
      <c r="AC30" s="2">
        <v>0</v>
      </c>
      <c r="AD30" s="3">
        <v>0</v>
      </c>
      <c r="AE30" s="2">
        <v>0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121.8</v>
      </c>
      <c r="AM30" s="2">
        <v>0</v>
      </c>
      <c r="AN30" s="2">
        <v>730.8</v>
      </c>
      <c r="AO30" s="2">
        <v>0</v>
      </c>
      <c r="AP30" s="2">
        <v>0</v>
      </c>
      <c r="AQ30" s="2">
        <v>0</v>
      </c>
    </row>
    <row r="31" spans="1:43" x14ac:dyDescent="0.25">
      <c r="A31" s="1">
        <v>45936</v>
      </c>
      <c r="B31" t="s">
        <v>48</v>
      </c>
      <c r="C31">
        <v>649163</v>
      </c>
      <c r="D31">
        <v>2031263014</v>
      </c>
      <c r="E31" t="s">
        <v>166</v>
      </c>
      <c r="F31" t="s">
        <v>167</v>
      </c>
      <c r="G31" t="s">
        <v>51</v>
      </c>
      <c r="H31" t="s">
        <v>129</v>
      </c>
      <c r="I31" t="s">
        <v>89</v>
      </c>
      <c r="J31" t="s">
        <v>102</v>
      </c>
      <c r="K31">
        <v>753748</v>
      </c>
      <c r="L31" t="s">
        <v>97</v>
      </c>
      <c r="M31" t="s">
        <v>98</v>
      </c>
      <c r="N31" t="s">
        <v>57</v>
      </c>
      <c r="O31" s="1">
        <v>45931</v>
      </c>
      <c r="Q31" s="1">
        <v>45962</v>
      </c>
      <c r="R31" s="2">
        <v>77.2</v>
      </c>
      <c r="S31">
        <v>1</v>
      </c>
      <c r="T31" t="s">
        <v>58</v>
      </c>
      <c r="U31" t="s">
        <v>59</v>
      </c>
      <c r="V31" s="3">
        <v>0.75</v>
      </c>
      <c r="W31" s="2">
        <v>0</v>
      </c>
      <c r="X31">
        <v>0</v>
      </c>
      <c r="Y31" t="s">
        <v>60</v>
      </c>
      <c r="Z31" t="s">
        <v>61</v>
      </c>
      <c r="AA31">
        <v>6</v>
      </c>
      <c r="AB31" s="2">
        <v>347.4</v>
      </c>
      <c r="AC31" s="2">
        <v>0</v>
      </c>
      <c r="AD31" s="3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57.9</v>
      </c>
      <c r="AM31" s="2">
        <v>0</v>
      </c>
      <c r="AN31" s="2">
        <v>347.4</v>
      </c>
      <c r="AO31" s="2">
        <v>0</v>
      </c>
      <c r="AP31" s="2">
        <v>0</v>
      </c>
      <c r="AQ31" s="2">
        <v>0</v>
      </c>
    </row>
    <row r="32" spans="1:43" x14ac:dyDescent="0.25">
      <c r="A32" s="1">
        <v>45936</v>
      </c>
      <c r="B32" t="s">
        <v>48</v>
      </c>
      <c r="C32">
        <v>649163</v>
      </c>
      <c r="D32">
        <v>2031270408</v>
      </c>
      <c r="E32" t="s">
        <v>168</v>
      </c>
      <c r="F32" t="s">
        <v>169</v>
      </c>
      <c r="G32" t="s">
        <v>51</v>
      </c>
      <c r="H32" t="s">
        <v>119</v>
      </c>
      <c r="I32" t="s">
        <v>89</v>
      </c>
      <c r="J32" t="s">
        <v>102</v>
      </c>
      <c r="K32">
        <v>651818</v>
      </c>
      <c r="L32" t="s">
        <v>112</v>
      </c>
      <c r="M32" t="s">
        <v>104</v>
      </c>
      <c r="N32" t="s">
        <v>57</v>
      </c>
      <c r="O32" s="1">
        <v>45941</v>
      </c>
      <c r="Q32" s="1">
        <v>45972</v>
      </c>
      <c r="R32" s="2">
        <v>85.15</v>
      </c>
      <c r="S32">
        <v>1</v>
      </c>
      <c r="T32" t="s">
        <v>58</v>
      </c>
      <c r="U32" t="s">
        <v>59</v>
      </c>
      <c r="V32" s="3">
        <v>0.75</v>
      </c>
      <c r="W32" s="2">
        <v>0</v>
      </c>
      <c r="X32">
        <v>0</v>
      </c>
      <c r="Y32" t="s">
        <v>60</v>
      </c>
      <c r="Z32" t="s">
        <v>61</v>
      </c>
      <c r="AA32">
        <v>6</v>
      </c>
      <c r="AB32" s="2">
        <v>383.16</v>
      </c>
      <c r="AC32" s="2">
        <v>0</v>
      </c>
      <c r="AD32" s="3">
        <v>0</v>
      </c>
      <c r="AE32" s="2">
        <v>0</v>
      </c>
      <c r="AF32" s="2">
        <v>0</v>
      </c>
      <c r="AG32" s="2">
        <v>0</v>
      </c>
      <c r="AH32" s="2">
        <v>0</v>
      </c>
      <c r="AI32" s="2">
        <v>0</v>
      </c>
      <c r="AJ32" s="2">
        <v>0</v>
      </c>
      <c r="AK32" s="2">
        <v>0</v>
      </c>
      <c r="AL32" s="2">
        <v>63.86</v>
      </c>
      <c r="AM32" s="2">
        <v>0</v>
      </c>
      <c r="AN32" s="2">
        <v>383.16</v>
      </c>
      <c r="AO32" s="2">
        <v>0</v>
      </c>
      <c r="AP32" s="2">
        <v>0</v>
      </c>
      <c r="AQ32" s="2">
        <v>0</v>
      </c>
    </row>
    <row r="33" spans="1:43" x14ac:dyDescent="0.25">
      <c r="A33" s="1">
        <v>45936</v>
      </c>
      <c r="B33" t="s">
        <v>48</v>
      </c>
      <c r="C33">
        <v>649163</v>
      </c>
      <c r="D33">
        <v>2031288234</v>
      </c>
      <c r="E33" t="s">
        <v>170</v>
      </c>
      <c r="F33" t="s">
        <v>171</v>
      </c>
      <c r="G33" t="s">
        <v>51</v>
      </c>
      <c r="H33" t="s">
        <v>105</v>
      </c>
      <c r="I33" t="s">
        <v>89</v>
      </c>
      <c r="J33" t="s">
        <v>96</v>
      </c>
      <c r="K33">
        <v>652037</v>
      </c>
      <c r="L33" t="s">
        <v>172</v>
      </c>
      <c r="M33" t="s">
        <v>173</v>
      </c>
      <c r="N33" t="s">
        <v>57</v>
      </c>
      <c r="O33" s="1">
        <v>45931</v>
      </c>
      <c r="Q33" s="1">
        <v>45962</v>
      </c>
      <c r="R33" s="2">
        <v>77.540000000000006</v>
      </c>
      <c r="S33">
        <v>1</v>
      </c>
      <c r="T33" t="s">
        <v>58</v>
      </c>
      <c r="U33" t="s">
        <v>59</v>
      </c>
      <c r="V33" s="3">
        <v>0.9</v>
      </c>
      <c r="W33" s="2">
        <v>0</v>
      </c>
      <c r="X33">
        <v>0</v>
      </c>
      <c r="Y33" t="s">
        <v>60</v>
      </c>
      <c r="Z33" t="s">
        <v>61</v>
      </c>
      <c r="AA33">
        <v>6</v>
      </c>
      <c r="AB33" s="2">
        <v>418.74</v>
      </c>
      <c r="AC33" s="2">
        <v>0</v>
      </c>
      <c r="AD33" s="3">
        <v>0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0</v>
      </c>
      <c r="AL33" s="2">
        <v>69.790000000000006</v>
      </c>
      <c r="AM33" s="2">
        <v>0</v>
      </c>
      <c r="AN33" s="2">
        <v>418.74</v>
      </c>
      <c r="AO33" s="2">
        <v>0</v>
      </c>
      <c r="AP33" s="2">
        <v>0</v>
      </c>
      <c r="AQ33" s="2">
        <v>0</v>
      </c>
    </row>
    <row r="34" spans="1:43" x14ac:dyDescent="0.25">
      <c r="A34" s="1">
        <v>45936</v>
      </c>
      <c r="B34" t="s">
        <v>48</v>
      </c>
      <c r="C34">
        <v>649163</v>
      </c>
      <c r="D34">
        <v>2031290289</v>
      </c>
      <c r="E34" t="s">
        <v>174</v>
      </c>
      <c r="F34" t="s">
        <v>175</v>
      </c>
      <c r="G34" t="s">
        <v>51</v>
      </c>
      <c r="H34" t="s">
        <v>101</v>
      </c>
      <c r="I34" t="s">
        <v>89</v>
      </c>
      <c r="J34" t="s">
        <v>96</v>
      </c>
      <c r="K34">
        <v>651818</v>
      </c>
      <c r="L34" t="s">
        <v>112</v>
      </c>
      <c r="M34" t="s">
        <v>104</v>
      </c>
      <c r="N34" t="s">
        <v>57</v>
      </c>
      <c r="O34" s="1">
        <v>45936</v>
      </c>
      <c r="Q34" s="1">
        <v>45967</v>
      </c>
      <c r="R34" s="2">
        <v>260.01</v>
      </c>
      <c r="S34">
        <v>1</v>
      </c>
      <c r="T34" t="s">
        <v>58</v>
      </c>
      <c r="U34" t="s">
        <v>59</v>
      </c>
      <c r="V34" s="3">
        <v>0.9</v>
      </c>
      <c r="W34" s="2">
        <v>0</v>
      </c>
      <c r="X34">
        <v>0</v>
      </c>
      <c r="Y34" t="s">
        <v>60</v>
      </c>
      <c r="Z34" t="s">
        <v>61</v>
      </c>
      <c r="AA34">
        <v>6</v>
      </c>
      <c r="AB34" s="2">
        <v>1404.06</v>
      </c>
      <c r="AC34" s="2">
        <v>0</v>
      </c>
      <c r="AD34" s="3">
        <v>0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2">
        <v>0</v>
      </c>
      <c r="AK34" s="2">
        <v>0</v>
      </c>
      <c r="AL34" s="2">
        <v>234.01</v>
      </c>
      <c r="AM34" s="2">
        <v>0</v>
      </c>
      <c r="AN34" s="2">
        <v>1404.06</v>
      </c>
      <c r="AO34" s="2">
        <v>0</v>
      </c>
      <c r="AP34" s="2">
        <v>0</v>
      </c>
      <c r="AQ34" s="2">
        <v>0</v>
      </c>
    </row>
    <row r="35" spans="1:43" x14ac:dyDescent="0.25">
      <c r="A35" s="1">
        <v>45936</v>
      </c>
      <c r="B35" t="s">
        <v>48</v>
      </c>
      <c r="C35">
        <v>649163</v>
      </c>
      <c r="D35">
        <v>2031319398</v>
      </c>
      <c r="E35" t="s">
        <v>176</v>
      </c>
      <c r="F35" t="s">
        <v>177</v>
      </c>
      <c r="G35" t="s">
        <v>51</v>
      </c>
      <c r="H35" t="s">
        <v>105</v>
      </c>
      <c r="I35" t="s">
        <v>89</v>
      </c>
      <c r="J35" t="s">
        <v>96</v>
      </c>
      <c r="K35">
        <v>652037</v>
      </c>
      <c r="L35" t="s">
        <v>172</v>
      </c>
      <c r="M35" t="s">
        <v>173</v>
      </c>
      <c r="N35" t="s">
        <v>57</v>
      </c>
      <c r="O35" s="1">
        <v>45931</v>
      </c>
      <c r="Q35" s="1">
        <v>45962</v>
      </c>
      <c r="R35" s="2">
        <v>73</v>
      </c>
      <c r="S35">
        <v>1</v>
      </c>
      <c r="T35" t="s">
        <v>58</v>
      </c>
      <c r="U35" t="s">
        <v>59</v>
      </c>
      <c r="V35" s="3">
        <v>0.9</v>
      </c>
      <c r="W35" s="2">
        <v>0</v>
      </c>
      <c r="X35">
        <v>0</v>
      </c>
      <c r="Y35" t="s">
        <v>60</v>
      </c>
      <c r="Z35" t="s">
        <v>61</v>
      </c>
      <c r="AA35">
        <v>6</v>
      </c>
      <c r="AB35" s="2">
        <v>394.2</v>
      </c>
      <c r="AC35" s="2">
        <v>0</v>
      </c>
      <c r="AD35" s="3">
        <v>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65.7</v>
      </c>
      <c r="AM35" s="2">
        <v>0</v>
      </c>
      <c r="AN35" s="2">
        <v>394.2</v>
      </c>
      <c r="AO35" s="2">
        <v>0</v>
      </c>
      <c r="AP35" s="2">
        <v>0</v>
      </c>
      <c r="AQ35" s="2">
        <v>0</v>
      </c>
    </row>
    <row r="36" spans="1:43" x14ac:dyDescent="0.25">
      <c r="A36" s="1">
        <v>45936</v>
      </c>
      <c r="B36" t="s">
        <v>48</v>
      </c>
      <c r="C36">
        <v>649163</v>
      </c>
      <c r="D36">
        <v>2031320896</v>
      </c>
      <c r="E36" t="s">
        <v>178</v>
      </c>
      <c r="F36" t="s">
        <v>179</v>
      </c>
      <c r="G36" t="s">
        <v>51</v>
      </c>
      <c r="H36" t="s">
        <v>119</v>
      </c>
      <c r="I36" t="s">
        <v>89</v>
      </c>
      <c r="J36" t="s">
        <v>111</v>
      </c>
      <c r="K36">
        <v>651818</v>
      </c>
      <c r="L36" t="s">
        <v>112</v>
      </c>
      <c r="M36" t="s">
        <v>104</v>
      </c>
      <c r="N36" t="s">
        <v>57</v>
      </c>
      <c r="O36" s="1">
        <v>45936</v>
      </c>
      <c r="Q36" s="1">
        <v>45967</v>
      </c>
      <c r="R36" s="2">
        <v>125.45</v>
      </c>
      <c r="S36">
        <v>1</v>
      </c>
      <c r="T36" t="s">
        <v>58</v>
      </c>
      <c r="U36" t="s">
        <v>59</v>
      </c>
      <c r="V36" s="3">
        <v>0.75</v>
      </c>
      <c r="W36" s="2">
        <v>0</v>
      </c>
      <c r="X36">
        <v>0</v>
      </c>
      <c r="Y36" t="s">
        <v>60</v>
      </c>
      <c r="Z36" t="s">
        <v>61</v>
      </c>
      <c r="AA36">
        <v>6</v>
      </c>
      <c r="AB36" s="2">
        <v>564.54</v>
      </c>
      <c r="AC36" s="2">
        <v>0</v>
      </c>
      <c r="AD36" s="3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0</v>
      </c>
      <c r="AL36" s="2">
        <v>94.09</v>
      </c>
      <c r="AM36" s="2">
        <v>0</v>
      </c>
      <c r="AN36" s="2">
        <v>564.54</v>
      </c>
      <c r="AO36" s="2">
        <v>0</v>
      </c>
      <c r="AP36" s="2">
        <v>0</v>
      </c>
      <c r="AQ36" s="2">
        <v>0</v>
      </c>
    </row>
    <row r="37" spans="1:43" x14ac:dyDescent="0.25">
      <c r="A37" s="1">
        <v>45936</v>
      </c>
      <c r="B37" t="s">
        <v>48</v>
      </c>
      <c r="C37">
        <v>649163</v>
      </c>
      <c r="D37">
        <v>2031327779</v>
      </c>
      <c r="E37" t="s">
        <v>62</v>
      </c>
      <c r="F37" t="s">
        <v>63</v>
      </c>
      <c r="G37" t="s">
        <v>51</v>
      </c>
      <c r="H37" t="s">
        <v>64</v>
      </c>
      <c r="I37" t="s">
        <v>89</v>
      </c>
      <c r="J37" t="s">
        <v>102</v>
      </c>
      <c r="K37">
        <v>823350</v>
      </c>
      <c r="L37" t="s">
        <v>66</v>
      </c>
      <c r="M37" t="s">
        <v>67</v>
      </c>
      <c r="N37" t="s">
        <v>57</v>
      </c>
      <c r="O37" s="1">
        <v>45931</v>
      </c>
      <c r="Q37" s="1">
        <v>45962</v>
      </c>
      <c r="R37" s="2">
        <v>31.87</v>
      </c>
      <c r="S37">
        <v>1</v>
      </c>
      <c r="T37" t="s">
        <v>58</v>
      </c>
      <c r="U37" t="s">
        <v>59</v>
      </c>
      <c r="V37" s="3">
        <v>0.75</v>
      </c>
      <c r="W37" s="2">
        <v>0</v>
      </c>
      <c r="X37">
        <v>0</v>
      </c>
      <c r="Y37" t="s">
        <v>60</v>
      </c>
      <c r="Z37" t="s">
        <v>61</v>
      </c>
      <c r="AA37">
        <v>6</v>
      </c>
      <c r="AB37" s="2">
        <v>143.4</v>
      </c>
      <c r="AC37" s="2">
        <v>0</v>
      </c>
      <c r="AD37" s="3">
        <v>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0</v>
      </c>
      <c r="AL37" s="2">
        <v>23.9</v>
      </c>
      <c r="AM37" s="2">
        <v>0</v>
      </c>
      <c r="AN37" s="2">
        <v>143.4</v>
      </c>
      <c r="AO37" s="2">
        <v>0</v>
      </c>
      <c r="AP37" s="2">
        <v>0</v>
      </c>
      <c r="AQ37" s="2">
        <v>0</v>
      </c>
    </row>
    <row r="38" spans="1:43" x14ac:dyDescent="0.25">
      <c r="A38" s="1">
        <v>45936</v>
      </c>
      <c r="B38" t="s">
        <v>48</v>
      </c>
      <c r="C38">
        <v>649163</v>
      </c>
      <c r="D38">
        <v>2031328268</v>
      </c>
      <c r="E38" t="s">
        <v>180</v>
      </c>
      <c r="F38" t="s">
        <v>181</v>
      </c>
      <c r="G38" t="s">
        <v>51</v>
      </c>
      <c r="H38" t="s">
        <v>182</v>
      </c>
      <c r="I38" t="s">
        <v>89</v>
      </c>
      <c r="J38" t="s">
        <v>111</v>
      </c>
      <c r="K38">
        <v>673059</v>
      </c>
      <c r="L38" t="s">
        <v>80</v>
      </c>
      <c r="M38" t="s">
        <v>81</v>
      </c>
      <c r="N38" t="s">
        <v>57</v>
      </c>
      <c r="O38" s="1">
        <v>45931</v>
      </c>
      <c r="Q38" s="1">
        <v>45962</v>
      </c>
      <c r="R38" s="2">
        <v>98.73</v>
      </c>
      <c r="S38">
        <v>1</v>
      </c>
      <c r="T38" t="s">
        <v>58</v>
      </c>
      <c r="U38" t="s">
        <v>59</v>
      </c>
      <c r="V38" s="3">
        <v>0.75</v>
      </c>
      <c r="W38" s="2">
        <v>0</v>
      </c>
      <c r="X38">
        <v>0</v>
      </c>
      <c r="Y38" t="s">
        <v>60</v>
      </c>
      <c r="Z38" t="s">
        <v>61</v>
      </c>
      <c r="AA38">
        <v>6</v>
      </c>
      <c r="AB38" s="2">
        <v>444.3</v>
      </c>
      <c r="AC38" s="2">
        <v>0</v>
      </c>
      <c r="AD38" s="3">
        <v>0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0</v>
      </c>
      <c r="AL38" s="2">
        <v>74.05</v>
      </c>
      <c r="AM38" s="2">
        <v>0</v>
      </c>
      <c r="AN38" s="2">
        <v>444.3</v>
      </c>
      <c r="AO38" s="2">
        <v>0</v>
      </c>
      <c r="AP38" s="2">
        <v>0</v>
      </c>
      <c r="AQ38" s="2">
        <v>0</v>
      </c>
    </row>
    <row r="39" spans="1:43" x14ac:dyDescent="0.25">
      <c r="A39" s="1">
        <v>45936</v>
      </c>
      <c r="B39" t="s">
        <v>48</v>
      </c>
      <c r="C39">
        <v>649163</v>
      </c>
      <c r="D39">
        <v>2031338961</v>
      </c>
      <c r="E39" t="s">
        <v>183</v>
      </c>
      <c r="F39" t="s">
        <v>163</v>
      </c>
      <c r="G39" t="s">
        <v>51</v>
      </c>
      <c r="H39" t="s">
        <v>101</v>
      </c>
      <c r="I39" t="s">
        <v>89</v>
      </c>
      <c r="J39" t="s">
        <v>102</v>
      </c>
      <c r="K39">
        <v>823350</v>
      </c>
      <c r="L39" t="s">
        <v>66</v>
      </c>
      <c r="M39" t="s">
        <v>67</v>
      </c>
      <c r="N39" t="s">
        <v>57</v>
      </c>
      <c r="O39" s="1">
        <v>45931</v>
      </c>
      <c r="Q39" s="1">
        <v>45962</v>
      </c>
      <c r="R39" s="2">
        <v>41.68</v>
      </c>
      <c r="S39">
        <v>1</v>
      </c>
      <c r="T39" t="s">
        <v>58</v>
      </c>
      <c r="U39" t="s">
        <v>59</v>
      </c>
      <c r="V39" s="3">
        <v>0.75</v>
      </c>
      <c r="W39" s="2">
        <v>0</v>
      </c>
      <c r="X39">
        <v>0</v>
      </c>
      <c r="Y39" t="s">
        <v>60</v>
      </c>
      <c r="Z39" t="s">
        <v>61</v>
      </c>
      <c r="AA39">
        <v>6</v>
      </c>
      <c r="AB39" s="2">
        <v>187.56</v>
      </c>
      <c r="AC39" s="2">
        <v>0</v>
      </c>
      <c r="AD39" s="3">
        <v>0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0</v>
      </c>
      <c r="AL39" s="2">
        <v>31.26</v>
      </c>
      <c r="AM39" s="2">
        <v>0</v>
      </c>
      <c r="AN39" s="2">
        <v>187.56</v>
      </c>
      <c r="AO39" s="2">
        <v>0</v>
      </c>
      <c r="AP39" s="2">
        <v>0</v>
      </c>
      <c r="AQ39" s="2">
        <v>0</v>
      </c>
    </row>
    <row r="40" spans="1:43" x14ac:dyDescent="0.25">
      <c r="A40" s="1">
        <v>45936</v>
      </c>
      <c r="B40" t="s">
        <v>48</v>
      </c>
      <c r="C40">
        <v>649163</v>
      </c>
      <c r="D40">
        <v>2031346769</v>
      </c>
      <c r="E40" t="s">
        <v>184</v>
      </c>
      <c r="F40" t="s">
        <v>185</v>
      </c>
      <c r="G40" t="s">
        <v>51</v>
      </c>
      <c r="H40" t="s">
        <v>105</v>
      </c>
      <c r="I40" t="s">
        <v>89</v>
      </c>
      <c r="J40" t="s">
        <v>96</v>
      </c>
      <c r="K40">
        <v>823068</v>
      </c>
      <c r="L40" t="s">
        <v>106</v>
      </c>
      <c r="M40" t="s">
        <v>107</v>
      </c>
      <c r="N40" t="s">
        <v>57</v>
      </c>
      <c r="O40" s="1">
        <v>45931</v>
      </c>
      <c r="Q40" s="1">
        <v>45962</v>
      </c>
      <c r="R40" s="2">
        <v>28.88</v>
      </c>
      <c r="S40">
        <v>1</v>
      </c>
      <c r="T40" t="s">
        <v>58</v>
      </c>
      <c r="U40" t="s">
        <v>59</v>
      </c>
      <c r="V40" s="3">
        <v>0.9</v>
      </c>
      <c r="W40" s="2">
        <v>0</v>
      </c>
      <c r="X40">
        <v>0</v>
      </c>
      <c r="Y40" t="s">
        <v>60</v>
      </c>
      <c r="Z40" t="s">
        <v>61</v>
      </c>
      <c r="AA40">
        <v>6</v>
      </c>
      <c r="AB40" s="2">
        <v>155.94</v>
      </c>
      <c r="AC40" s="2">
        <v>0</v>
      </c>
      <c r="AD40" s="3">
        <v>0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0</v>
      </c>
      <c r="AL40" s="2">
        <v>25.99</v>
      </c>
      <c r="AM40" s="2">
        <v>0</v>
      </c>
      <c r="AN40" s="2">
        <v>155.94</v>
      </c>
      <c r="AO40" s="2">
        <v>0</v>
      </c>
      <c r="AP40" s="2">
        <v>0</v>
      </c>
      <c r="AQ40" s="2">
        <v>0</v>
      </c>
    </row>
    <row r="41" spans="1:43" x14ac:dyDescent="0.25">
      <c r="A41" s="1">
        <v>45936</v>
      </c>
      <c r="B41" t="s">
        <v>48</v>
      </c>
      <c r="C41">
        <v>649163</v>
      </c>
      <c r="D41">
        <v>2031358598</v>
      </c>
      <c r="E41" t="s">
        <v>77</v>
      </c>
      <c r="F41" t="s">
        <v>78</v>
      </c>
      <c r="G41" t="s">
        <v>51</v>
      </c>
      <c r="H41" t="s">
        <v>79</v>
      </c>
      <c r="I41" t="s">
        <v>89</v>
      </c>
      <c r="J41" t="s">
        <v>111</v>
      </c>
      <c r="K41">
        <v>673059</v>
      </c>
      <c r="L41" t="s">
        <v>80</v>
      </c>
      <c r="M41" t="s">
        <v>81</v>
      </c>
      <c r="N41" t="s">
        <v>57</v>
      </c>
      <c r="O41" s="1">
        <v>45931</v>
      </c>
      <c r="Q41" s="1">
        <v>45962</v>
      </c>
      <c r="R41" s="2">
        <v>27.1</v>
      </c>
      <c r="S41">
        <v>1</v>
      </c>
      <c r="T41" t="s">
        <v>58</v>
      </c>
      <c r="U41" t="s">
        <v>59</v>
      </c>
      <c r="V41" s="3">
        <v>0.75</v>
      </c>
      <c r="W41" s="2">
        <v>0</v>
      </c>
      <c r="X41">
        <v>0</v>
      </c>
      <c r="Y41" t="s">
        <v>60</v>
      </c>
      <c r="Z41" t="s">
        <v>61</v>
      </c>
      <c r="AA41">
        <v>6</v>
      </c>
      <c r="AB41" s="2">
        <v>121.92</v>
      </c>
      <c r="AC41" s="2">
        <v>0</v>
      </c>
      <c r="AD41" s="3">
        <v>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0</v>
      </c>
      <c r="AK41" s="2">
        <v>0</v>
      </c>
      <c r="AL41" s="2">
        <v>20.32</v>
      </c>
      <c r="AM41" s="2">
        <v>0</v>
      </c>
      <c r="AN41" s="2">
        <v>121.92</v>
      </c>
      <c r="AO41" s="2">
        <v>0</v>
      </c>
      <c r="AP41" s="2">
        <v>0</v>
      </c>
      <c r="AQ41" s="2">
        <v>0</v>
      </c>
    </row>
    <row r="42" spans="1:43" x14ac:dyDescent="0.25">
      <c r="A42" s="1">
        <v>45936</v>
      </c>
      <c r="B42" t="s">
        <v>48</v>
      </c>
      <c r="C42">
        <v>649163</v>
      </c>
      <c r="D42">
        <v>2031361915</v>
      </c>
      <c r="E42" t="s">
        <v>186</v>
      </c>
      <c r="F42" t="s">
        <v>187</v>
      </c>
      <c r="G42" t="s">
        <v>51</v>
      </c>
      <c r="H42" t="s">
        <v>79</v>
      </c>
      <c r="I42" t="s">
        <v>89</v>
      </c>
      <c r="J42" t="s">
        <v>102</v>
      </c>
      <c r="K42">
        <v>673059</v>
      </c>
      <c r="L42" t="s">
        <v>80</v>
      </c>
      <c r="M42" t="s">
        <v>81</v>
      </c>
      <c r="N42" t="s">
        <v>57</v>
      </c>
      <c r="O42" s="1">
        <v>45931</v>
      </c>
      <c r="Q42" s="1">
        <v>45962</v>
      </c>
      <c r="R42" s="2">
        <v>143.76</v>
      </c>
      <c r="S42">
        <v>1</v>
      </c>
      <c r="T42" t="s">
        <v>58</v>
      </c>
      <c r="U42" t="s">
        <v>59</v>
      </c>
      <c r="V42" s="3">
        <v>0.75</v>
      </c>
      <c r="W42" s="2">
        <v>0</v>
      </c>
      <c r="X42">
        <v>0</v>
      </c>
      <c r="Y42" t="s">
        <v>60</v>
      </c>
      <c r="Z42" t="s">
        <v>61</v>
      </c>
      <c r="AA42">
        <v>6</v>
      </c>
      <c r="AB42" s="2">
        <v>646.91999999999996</v>
      </c>
      <c r="AC42" s="2">
        <v>0</v>
      </c>
      <c r="AD42" s="3">
        <v>0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>
        <v>0</v>
      </c>
      <c r="AK42" s="2">
        <v>0</v>
      </c>
      <c r="AL42" s="2">
        <v>107.82</v>
      </c>
      <c r="AM42" s="2">
        <v>0</v>
      </c>
      <c r="AN42" s="2">
        <v>646.91999999999996</v>
      </c>
      <c r="AO42" s="2">
        <v>0</v>
      </c>
      <c r="AP42" s="2">
        <v>0</v>
      </c>
      <c r="AQ42" s="2">
        <v>0</v>
      </c>
    </row>
    <row r="43" spans="1:43" x14ac:dyDescent="0.25">
      <c r="A43" s="1">
        <v>45936</v>
      </c>
      <c r="B43" t="s">
        <v>48</v>
      </c>
      <c r="C43">
        <v>649163</v>
      </c>
      <c r="D43">
        <v>2031365635</v>
      </c>
      <c r="E43" t="s">
        <v>188</v>
      </c>
      <c r="F43" t="s">
        <v>189</v>
      </c>
      <c r="G43" t="s">
        <v>51</v>
      </c>
      <c r="H43" t="s">
        <v>101</v>
      </c>
      <c r="I43" t="s">
        <v>89</v>
      </c>
      <c r="J43" t="s">
        <v>111</v>
      </c>
      <c r="K43">
        <v>812782</v>
      </c>
      <c r="L43" t="s">
        <v>91</v>
      </c>
      <c r="M43" t="s">
        <v>92</v>
      </c>
      <c r="N43" t="s">
        <v>57</v>
      </c>
      <c r="O43" s="1">
        <v>45962</v>
      </c>
      <c r="Q43" s="1">
        <v>45992</v>
      </c>
      <c r="R43" s="2">
        <v>36.700000000000003</v>
      </c>
      <c r="S43">
        <v>1</v>
      </c>
      <c r="T43" t="s">
        <v>58</v>
      </c>
      <c r="U43" t="s">
        <v>59</v>
      </c>
      <c r="V43" s="3">
        <v>0.75</v>
      </c>
      <c r="W43" s="2">
        <v>0</v>
      </c>
      <c r="X43">
        <v>0</v>
      </c>
      <c r="Y43" t="s">
        <v>60</v>
      </c>
      <c r="Z43" t="s">
        <v>61</v>
      </c>
      <c r="AA43">
        <v>6</v>
      </c>
      <c r="AB43" s="2">
        <v>165.12</v>
      </c>
      <c r="AC43" s="2">
        <v>0</v>
      </c>
      <c r="AD43" s="3">
        <v>0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2">
        <v>0</v>
      </c>
      <c r="AK43" s="2">
        <v>0</v>
      </c>
      <c r="AL43" s="2">
        <v>27.52</v>
      </c>
      <c r="AM43" s="2">
        <v>0</v>
      </c>
      <c r="AN43" s="2">
        <v>165.12</v>
      </c>
      <c r="AO43" s="2">
        <v>0</v>
      </c>
      <c r="AP43" s="2">
        <v>0</v>
      </c>
      <c r="AQ43" s="2">
        <v>0</v>
      </c>
    </row>
    <row r="44" spans="1:43" x14ac:dyDescent="0.25">
      <c r="A44" s="1">
        <v>45936</v>
      </c>
      <c r="B44" t="s">
        <v>48</v>
      </c>
      <c r="C44">
        <v>649163</v>
      </c>
      <c r="D44">
        <v>2031366727</v>
      </c>
      <c r="E44" t="s">
        <v>190</v>
      </c>
      <c r="F44" t="s">
        <v>191</v>
      </c>
      <c r="G44" t="s">
        <v>51</v>
      </c>
      <c r="H44" t="s">
        <v>122</v>
      </c>
      <c r="I44" t="s">
        <v>89</v>
      </c>
      <c r="J44" t="s">
        <v>111</v>
      </c>
      <c r="K44">
        <v>753748</v>
      </c>
      <c r="L44" t="s">
        <v>97</v>
      </c>
      <c r="M44" t="s">
        <v>98</v>
      </c>
      <c r="N44" t="s">
        <v>57</v>
      </c>
      <c r="O44" s="1">
        <v>45931</v>
      </c>
      <c r="Q44" s="1">
        <v>45962</v>
      </c>
      <c r="R44" s="2">
        <v>303.85000000000002</v>
      </c>
      <c r="S44">
        <v>1</v>
      </c>
      <c r="T44" t="s">
        <v>58</v>
      </c>
      <c r="U44" t="s">
        <v>59</v>
      </c>
      <c r="V44" s="3">
        <v>0.75</v>
      </c>
      <c r="W44" s="2">
        <v>0</v>
      </c>
      <c r="X44">
        <v>0</v>
      </c>
      <c r="Y44" t="s">
        <v>60</v>
      </c>
      <c r="Z44" t="s">
        <v>61</v>
      </c>
      <c r="AA44">
        <v>6</v>
      </c>
      <c r="AB44" s="2">
        <v>1367.34</v>
      </c>
      <c r="AC44" s="2">
        <v>0</v>
      </c>
      <c r="AD44" s="3">
        <v>0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0</v>
      </c>
      <c r="AL44" s="2">
        <v>227.89</v>
      </c>
      <c r="AM44" s="2">
        <v>0</v>
      </c>
      <c r="AN44" s="2">
        <v>1367.34</v>
      </c>
      <c r="AO44" s="2">
        <v>0</v>
      </c>
      <c r="AP44" s="2">
        <v>0</v>
      </c>
      <c r="AQ44" s="2">
        <v>0</v>
      </c>
    </row>
    <row r="45" spans="1:43" x14ac:dyDescent="0.25">
      <c r="A45" s="1">
        <v>45936</v>
      </c>
      <c r="B45" t="s">
        <v>48</v>
      </c>
      <c r="C45">
        <v>649163</v>
      </c>
      <c r="D45">
        <v>2031398946</v>
      </c>
      <c r="E45" t="s">
        <v>192</v>
      </c>
      <c r="F45" t="s">
        <v>193</v>
      </c>
      <c r="G45" t="s">
        <v>51</v>
      </c>
      <c r="H45" t="s">
        <v>105</v>
      </c>
      <c r="I45" t="s">
        <v>89</v>
      </c>
      <c r="J45" t="s">
        <v>96</v>
      </c>
      <c r="K45">
        <v>823068</v>
      </c>
      <c r="L45" t="s">
        <v>106</v>
      </c>
      <c r="M45" t="s">
        <v>107</v>
      </c>
      <c r="N45" t="s">
        <v>57</v>
      </c>
      <c r="O45" s="1">
        <v>45933</v>
      </c>
      <c r="Q45" s="1">
        <v>45964</v>
      </c>
      <c r="R45" s="2">
        <v>342.12</v>
      </c>
      <c r="S45">
        <v>1</v>
      </c>
      <c r="T45" t="s">
        <v>58</v>
      </c>
      <c r="U45" t="s">
        <v>59</v>
      </c>
      <c r="V45" s="3">
        <v>0.9</v>
      </c>
      <c r="W45" s="2">
        <v>0</v>
      </c>
      <c r="X45">
        <v>0</v>
      </c>
      <c r="Y45" t="s">
        <v>60</v>
      </c>
      <c r="Z45" t="s">
        <v>61</v>
      </c>
      <c r="AA45">
        <v>6</v>
      </c>
      <c r="AB45" s="2">
        <v>1847.46</v>
      </c>
      <c r="AC45" s="2">
        <v>0</v>
      </c>
      <c r="AD45" s="3">
        <v>0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307.91000000000003</v>
      </c>
      <c r="AM45" s="2">
        <v>0</v>
      </c>
      <c r="AN45" s="2">
        <v>1847.46</v>
      </c>
      <c r="AO45" s="2">
        <v>0</v>
      </c>
      <c r="AP45" s="2">
        <v>0</v>
      </c>
      <c r="AQ45" s="2">
        <v>0</v>
      </c>
    </row>
    <row r="46" spans="1:43" x14ac:dyDescent="0.25">
      <c r="A46" s="1">
        <v>45936</v>
      </c>
      <c r="B46" t="s">
        <v>48</v>
      </c>
      <c r="C46">
        <v>649163</v>
      </c>
      <c r="D46">
        <v>2031399067</v>
      </c>
      <c r="E46" t="s">
        <v>148</v>
      </c>
      <c r="F46" t="s">
        <v>194</v>
      </c>
      <c r="G46" t="s">
        <v>51</v>
      </c>
      <c r="H46" t="s">
        <v>129</v>
      </c>
      <c r="I46" t="s">
        <v>89</v>
      </c>
      <c r="J46" t="s">
        <v>102</v>
      </c>
      <c r="K46">
        <v>651818</v>
      </c>
      <c r="L46" t="s">
        <v>112</v>
      </c>
      <c r="M46" t="s">
        <v>104</v>
      </c>
      <c r="N46" t="s">
        <v>57</v>
      </c>
      <c r="O46" s="1">
        <v>45935</v>
      </c>
      <c r="Q46" s="1">
        <v>45966</v>
      </c>
      <c r="R46" s="2">
        <v>33.28</v>
      </c>
      <c r="S46">
        <v>1</v>
      </c>
      <c r="T46" t="s">
        <v>58</v>
      </c>
      <c r="U46" t="s">
        <v>59</v>
      </c>
      <c r="V46" s="3">
        <v>0.75</v>
      </c>
      <c r="W46" s="2">
        <v>0</v>
      </c>
      <c r="X46">
        <v>0</v>
      </c>
      <c r="Y46" t="s">
        <v>60</v>
      </c>
      <c r="Z46" t="s">
        <v>61</v>
      </c>
      <c r="AA46">
        <v>6</v>
      </c>
      <c r="AB46" s="2">
        <v>149.76</v>
      </c>
      <c r="AC46" s="2">
        <v>0</v>
      </c>
      <c r="AD46" s="3">
        <v>0</v>
      </c>
      <c r="AE46" s="2">
        <v>0</v>
      </c>
      <c r="AF46" s="2">
        <v>0</v>
      </c>
      <c r="AG46" s="2">
        <v>0</v>
      </c>
      <c r="AH46" s="2">
        <v>0</v>
      </c>
      <c r="AI46" s="2">
        <v>0</v>
      </c>
      <c r="AJ46" s="2">
        <v>0</v>
      </c>
      <c r="AK46" s="2">
        <v>0</v>
      </c>
      <c r="AL46" s="2">
        <v>24.96</v>
      </c>
      <c r="AM46" s="2">
        <v>0</v>
      </c>
      <c r="AN46" s="2">
        <v>149.76</v>
      </c>
      <c r="AO46" s="2">
        <v>0</v>
      </c>
      <c r="AP46" s="2">
        <v>0</v>
      </c>
      <c r="AQ46" s="2">
        <v>0</v>
      </c>
    </row>
    <row r="47" spans="1:43" x14ac:dyDescent="0.25">
      <c r="A47" s="1">
        <v>45936</v>
      </c>
      <c r="B47" t="s">
        <v>48</v>
      </c>
      <c r="C47">
        <v>649163</v>
      </c>
      <c r="D47">
        <v>2031404260</v>
      </c>
      <c r="E47" t="s">
        <v>195</v>
      </c>
      <c r="F47" t="s">
        <v>196</v>
      </c>
      <c r="G47" t="s">
        <v>51</v>
      </c>
      <c r="H47" t="s">
        <v>105</v>
      </c>
      <c r="I47" t="s">
        <v>89</v>
      </c>
      <c r="J47" t="s">
        <v>96</v>
      </c>
      <c r="K47">
        <v>652037</v>
      </c>
      <c r="L47" t="s">
        <v>172</v>
      </c>
      <c r="M47" t="s">
        <v>173</v>
      </c>
      <c r="N47" t="s">
        <v>57</v>
      </c>
      <c r="O47" s="1">
        <v>45933</v>
      </c>
      <c r="Q47" s="1">
        <v>45964</v>
      </c>
      <c r="R47" s="2">
        <v>27.5</v>
      </c>
      <c r="S47">
        <v>1</v>
      </c>
      <c r="T47" t="s">
        <v>58</v>
      </c>
      <c r="U47" t="s">
        <v>59</v>
      </c>
      <c r="V47" s="3">
        <v>0.9</v>
      </c>
      <c r="W47" s="2">
        <v>0</v>
      </c>
      <c r="X47">
        <v>0</v>
      </c>
      <c r="Y47" t="s">
        <v>60</v>
      </c>
      <c r="Z47" t="s">
        <v>61</v>
      </c>
      <c r="AA47">
        <v>6</v>
      </c>
      <c r="AB47" s="2">
        <v>148.5</v>
      </c>
      <c r="AC47" s="2">
        <v>0</v>
      </c>
      <c r="AD47" s="3">
        <v>0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0</v>
      </c>
      <c r="AL47" s="2">
        <v>24.75</v>
      </c>
      <c r="AM47" s="2">
        <v>0</v>
      </c>
      <c r="AN47" s="2">
        <v>148.5</v>
      </c>
      <c r="AO47" s="2">
        <v>0</v>
      </c>
      <c r="AP47" s="2">
        <v>0</v>
      </c>
      <c r="AQ47" s="2">
        <v>0</v>
      </c>
    </row>
    <row r="48" spans="1:43" x14ac:dyDescent="0.25">
      <c r="A48" s="1">
        <v>45936</v>
      </c>
      <c r="B48" t="s">
        <v>48</v>
      </c>
      <c r="C48">
        <v>649163</v>
      </c>
      <c r="D48">
        <v>2031408822</v>
      </c>
      <c r="E48" t="s">
        <v>197</v>
      </c>
      <c r="F48" t="s">
        <v>72</v>
      </c>
      <c r="G48" t="s">
        <v>51</v>
      </c>
      <c r="H48" t="s">
        <v>101</v>
      </c>
      <c r="I48" t="s">
        <v>89</v>
      </c>
      <c r="J48" t="s">
        <v>111</v>
      </c>
      <c r="K48">
        <v>893408</v>
      </c>
      <c r="L48" t="s">
        <v>198</v>
      </c>
      <c r="M48" t="s">
        <v>199</v>
      </c>
      <c r="N48" t="s">
        <v>57</v>
      </c>
      <c r="O48" s="1">
        <v>45933</v>
      </c>
      <c r="Q48" s="1">
        <v>45964</v>
      </c>
      <c r="R48" s="2">
        <v>138.93</v>
      </c>
      <c r="S48">
        <v>1</v>
      </c>
      <c r="T48" t="s">
        <v>58</v>
      </c>
      <c r="U48" t="s">
        <v>59</v>
      </c>
      <c r="V48" s="3">
        <v>0.75</v>
      </c>
      <c r="W48" s="2">
        <v>0</v>
      </c>
      <c r="X48">
        <v>0</v>
      </c>
      <c r="Y48" t="s">
        <v>60</v>
      </c>
      <c r="Z48" t="s">
        <v>61</v>
      </c>
      <c r="AA48">
        <v>6</v>
      </c>
      <c r="AB48" s="2">
        <v>625.20000000000005</v>
      </c>
      <c r="AC48" s="2">
        <v>0</v>
      </c>
      <c r="AD48" s="3">
        <v>0</v>
      </c>
      <c r="AE48" s="2">
        <v>0</v>
      </c>
      <c r="AF48" s="2">
        <v>0</v>
      </c>
      <c r="AG48" s="2">
        <v>0</v>
      </c>
      <c r="AH48" s="2">
        <v>0</v>
      </c>
      <c r="AI48" s="2">
        <v>0</v>
      </c>
      <c r="AJ48" s="2">
        <v>0</v>
      </c>
      <c r="AK48" s="2">
        <v>0</v>
      </c>
      <c r="AL48" s="2">
        <v>104.2</v>
      </c>
      <c r="AM48" s="2">
        <v>0</v>
      </c>
      <c r="AN48" s="2">
        <v>625.20000000000005</v>
      </c>
      <c r="AO48" s="2">
        <v>0</v>
      </c>
      <c r="AP48" s="2">
        <v>0</v>
      </c>
      <c r="AQ48" s="2">
        <v>0</v>
      </c>
    </row>
    <row r="49" spans="1:43" x14ac:dyDescent="0.25">
      <c r="A49" s="1">
        <v>45936</v>
      </c>
      <c r="B49" t="s">
        <v>48</v>
      </c>
      <c r="C49">
        <v>649163</v>
      </c>
      <c r="D49">
        <v>2031409376</v>
      </c>
      <c r="E49" t="s">
        <v>200</v>
      </c>
      <c r="F49" t="s">
        <v>201</v>
      </c>
      <c r="G49" t="s">
        <v>51</v>
      </c>
      <c r="H49" t="s">
        <v>79</v>
      </c>
      <c r="I49" t="s">
        <v>89</v>
      </c>
      <c r="J49" t="s">
        <v>102</v>
      </c>
      <c r="K49">
        <v>673059</v>
      </c>
      <c r="L49" t="s">
        <v>80</v>
      </c>
      <c r="M49" t="s">
        <v>81</v>
      </c>
      <c r="N49" t="s">
        <v>57</v>
      </c>
      <c r="O49" s="1">
        <v>45933</v>
      </c>
      <c r="Q49" s="1">
        <v>45964</v>
      </c>
      <c r="R49" s="2">
        <v>62.03</v>
      </c>
      <c r="S49">
        <v>1</v>
      </c>
      <c r="T49" t="s">
        <v>58</v>
      </c>
      <c r="U49" t="s">
        <v>59</v>
      </c>
      <c r="V49" s="3">
        <v>0.75</v>
      </c>
      <c r="W49" s="2">
        <v>0</v>
      </c>
      <c r="X49">
        <v>0</v>
      </c>
      <c r="Y49" t="s">
        <v>60</v>
      </c>
      <c r="Z49" t="s">
        <v>61</v>
      </c>
      <c r="AA49">
        <v>6</v>
      </c>
      <c r="AB49" s="2">
        <v>279.12</v>
      </c>
      <c r="AC49" s="2">
        <v>0</v>
      </c>
      <c r="AD49" s="3">
        <v>0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  <c r="AJ49" s="2">
        <v>0</v>
      </c>
      <c r="AK49" s="2">
        <v>0</v>
      </c>
      <c r="AL49" s="2">
        <v>46.52</v>
      </c>
      <c r="AM49" s="2">
        <v>0</v>
      </c>
      <c r="AN49" s="2">
        <v>279.12</v>
      </c>
      <c r="AO49" s="2">
        <v>0</v>
      </c>
      <c r="AP49" s="2">
        <v>0</v>
      </c>
      <c r="AQ49" s="2">
        <v>0</v>
      </c>
    </row>
    <row r="50" spans="1:43" x14ac:dyDescent="0.25">
      <c r="A50" s="1">
        <v>45936</v>
      </c>
      <c r="B50" t="s">
        <v>48</v>
      </c>
      <c r="C50">
        <v>649163</v>
      </c>
      <c r="D50">
        <v>2031411447</v>
      </c>
      <c r="E50" t="s">
        <v>202</v>
      </c>
      <c r="F50" t="s">
        <v>145</v>
      </c>
      <c r="G50" t="s">
        <v>51</v>
      </c>
      <c r="H50" t="s">
        <v>203</v>
      </c>
      <c r="I50" t="s">
        <v>89</v>
      </c>
      <c r="J50" t="s">
        <v>90</v>
      </c>
      <c r="K50">
        <v>796984</v>
      </c>
      <c r="L50" t="s">
        <v>204</v>
      </c>
      <c r="M50" t="s">
        <v>205</v>
      </c>
      <c r="N50" t="s">
        <v>57</v>
      </c>
      <c r="O50" s="1">
        <v>45933</v>
      </c>
      <c r="Q50" s="1">
        <v>45964</v>
      </c>
      <c r="R50" s="2">
        <v>34.43</v>
      </c>
      <c r="S50">
        <v>1</v>
      </c>
      <c r="T50" t="s">
        <v>58</v>
      </c>
      <c r="U50" t="s">
        <v>59</v>
      </c>
      <c r="V50" s="3">
        <v>0.65</v>
      </c>
      <c r="W50" s="2">
        <v>0</v>
      </c>
      <c r="X50">
        <v>0</v>
      </c>
      <c r="Y50" t="s">
        <v>60</v>
      </c>
      <c r="Z50" t="s">
        <v>61</v>
      </c>
      <c r="AA50">
        <v>6</v>
      </c>
      <c r="AB50" s="2">
        <v>134.28</v>
      </c>
      <c r="AC50" s="2">
        <v>0</v>
      </c>
      <c r="AD50" s="3">
        <v>0</v>
      </c>
      <c r="AE50" s="2">
        <v>0</v>
      </c>
      <c r="AF50" s="2">
        <v>0</v>
      </c>
      <c r="AG50" s="2">
        <v>0</v>
      </c>
      <c r="AH50" s="2">
        <v>0</v>
      </c>
      <c r="AI50" s="2">
        <v>0</v>
      </c>
      <c r="AJ50" s="2">
        <v>0</v>
      </c>
      <c r="AK50" s="2">
        <v>0</v>
      </c>
      <c r="AL50" s="2">
        <v>22.38</v>
      </c>
      <c r="AM50" s="2">
        <v>0</v>
      </c>
      <c r="AN50" s="2">
        <v>134.28</v>
      </c>
      <c r="AO50" s="2">
        <v>0</v>
      </c>
      <c r="AP50" s="2">
        <v>0</v>
      </c>
      <c r="AQ50" s="2">
        <v>0</v>
      </c>
    </row>
    <row r="51" spans="1:43" x14ac:dyDescent="0.25">
      <c r="A51" s="1">
        <v>45936</v>
      </c>
      <c r="B51" t="s">
        <v>48</v>
      </c>
      <c r="C51">
        <v>649163</v>
      </c>
      <c r="D51">
        <v>2031412054</v>
      </c>
      <c r="E51" t="s">
        <v>206</v>
      </c>
      <c r="F51" t="s">
        <v>207</v>
      </c>
      <c r="G51" t="s">
        <v>51</v>
      </c>
      <c r="H51" t="s">
        <v>88</v>
      </c>
      <c r="I51" t="s">
        <v>89</v>
      </c>
      <c r="J51" t="s">
        <v>90</v>
      </c>
      <c r="K51">
        <v>673059</v>
      </c>
      <c r="L51" t="s">
        <v>80</v>
      </c>
      <c r="M51" t="s">
        <v>81</v>
      </c>
      <c r="N51" t="s">
        <v>57</v>
      </c>
      <c r="O51" s="1">
        <v>45935</v>
      </c>
      <c r="Q51" s="1">
        <v>45966</v>
      </c>
      <c r="R51" s="2">
        <v>204.99</v>
      </c>
      <c r="S51">
        <v>1</v>
      </c>
      <c r="T51" t="s">
        <v>58</v>
      </c>
      <c r="U51" t="s">
        <v>59</v>
      </c>
      <c r="V51" s="3">
        <v>0.65</v>
      </c>
      <c r="W51" s="2">
        <v>0</v>
      </c>
      <c r="X51">
        <v>0</v>
      </c>
      <c r="Y51" t="s">
        <v>60</v>
      </c>
      <c r="Z51" t="s">
        <v>61</v>
      </c>
      <c r="AA51">
        <v>6</v>
      </c>
      <c r="AB51" s="2">
        <v>799.44</v>
      </c>
      <c r="AC51" s="2">
        <v>0</v>
      </c>
      <c r="AD51" s="3">
        <v>0</v>
      </c>
      <c r="AE51" s="2">
        <v>0</v>
      </c>
      <c r="AF51" s="2">
        <v>0</v>
      </c>
      <c r="AG51" s="2">
        <v>0</v>
      </c>
      <c r="AH51" s="2">
        <v>0</v>
      </c>
      <c r="AI51" s="2">
        <v>0</v>
      </c>
      <c r="AJ51" s="2">
        <v>0</v>
      </c>
      <c r="AK51" s="2">
        <v>0</v>
      </c>
      <c r="AL51" s="2">
        <v>133.24</v>
      </c>
      <c r="AM51" s="2">
        <v>0</v>
      </c>
      <c r="AN51" s="2">
        <v>799.44</v>
      </c>
      <c r="AO51" s="2">
        <v>0</v>
      </c>
      <c r="AP51" s="2">
        <v>0</v>
      </c>
      <c r="AQ51" s="2">
        <v>0</v>
      </c>
    </row>
    <row r="52" spans="1:43" x14ac:dyDescent="0.25">
      <c r="A52" s="1">
        <v>45936</v>
      </c>
      <c r="B52" t="s">
        <v>48</v>
      </c>
      <c r="C52">
        <v>649163</v>
      </c>
      <c r="D52">
        <v>2020488530</v>
      </c>
      <c r="E52" t="s">
        <v>208</v>
      </c>
      <c r="F52" t="s">
        <v>207</v>
      </c>
      <c r="G52" t="s">
        <v>51</v>
      </c>
      <c r="H52" t="s">
        <v>70</v>
      </c>
      <c r="I52" t="s">
        <v>209</v>
      </c>
      <c r="J52" t="s">
        <v>210</v>
      </c>
      <c r="K52">
        <v>649164</v>
      </c>
      <c r="L52" t="s">
        <v>211</v>
      </c>
      <c r="M52" t="s">
        <v>212</v>
      </c>
      <c r="N52" t="s">
        <v>57</v>
      </c>
      <c r="O52" s="1">
        <v>45231</v>
      </c>
      <c r="Q52" s="1">
        <v>45962</v>
      </c>
      <c r="R52" s="2">
        <v>0</v>
      </c>
      <c r="S52">
        <v>1</v>
      </c>
      <c r="T52" t="s">
        <v>58</v>
      </c>
      <c r="U52" t="s">
        <v>213</v>
      </c>
      <c r="V52" s="4">
        <v>6.5000000000000002E-2</v>
      </c>
      <c r="W52" s="2">
        <v>0</v>
      </c>
      <c r="X52">
        <v>0</v>
      </c>
      <c r="Y52" t="s">
        <v>214</v>
      </c>
      <c r="Z52" t="s">
        <v>61</v>
      </c>
      <c r="AA52">
        <v>0</v>
      </c>
      <c r="AB52" s="2">
        <v>0</v>
      </c>
      <c r="AC52" s="2">
        <v>0</v>
      </c>
      <c r="AD52" s="3">
        <v>0</v>
      </c>
      <c r="AE52" s="2">
        <v>0</v>
      </c>
      <c r="AF52" s="2">
        <v>0</v>
      </c>
      <c r="AG52" s="2">
        <v>0</v>
      </c>
      <c r="AH52" s="2">
        <v>0</v>
      </c>
      <c r="AI52" s="2">
        <v>0</v>
      </c>
      <c r="AJ52" s="2">
        <v>0</v>
      </c>
      <c r="AK52" s="2">
        <v>0</v>
      </c>
      <c r="AL52" s="2">
        <v>0</v>
      </c>
      <c r="AM52" s="2">
        <v>0</v>
      </c>
      <c r="AN52" s="2">
        <v>0</v>
      </c>
      <c r="AO52" s="2">
        <v>0</v>
      </c>
      <c r="AP52" s="2">
        <v>0</v>
      </c>
      <c r="AQ52" s="2">
        <v>0</v>
      </c>
    </row>
    <row r="53" spans="1:43" x14ac:dyDescent="0.25">
      <c r="A53" s="1">
        <v>45936</v>
      </c>
      <c r="B53" t="s">
        <v>48</v>
      </c>
      <c r="C53">
        <v>649163</v>
      </c>
      <c r="D53">
        <v>2030706584</v>
      </c>
      <c r="E53" t="s">
        <v>215</v>
      </c>
      <c r="F53" t="s">
        <v>216</v>
      </c>
      <c r="G53" t="s">
        <v>51</v>
      </c>
      <c r="H53" t="s">
        <v>150</v>
      </c>
      <c r="I53" t="s">
        <v>209</v>
      </c>
      <c r="J53" t="s">
        <v>217</v>
      </c>
      <c r="K53">
        <v>877790</v>
      </c>
      <c r="L53" t="s">
        <v>151</v>
      </c>
      <c r="M53" t="s">
        <v>152</v>
      </c>
      <c r="N53" t="s">
        <v>57</v>
      </c>
      <c r="O53" s="1">
        <v>45932</v>
      </c>
      <c r="Q53" s="1">
        <v>45963</v>
      </c>
      <c r="R53" s="2">
        <v>15</v>
      </c>
      <c r="S53">
        <v>1</v>
      </c>
      <c r="T53" t="s">
        <v>58</v>
      </c>
      <c r="U53" t="s">
        <v>218</v>
      </c>
      <c r="V53" s="3">
        <v>0.19</v>
      </c>
      <c r="W53" s="2">
        <v>0</v>
      </c>
      <c r="X53">
        <v>0</v>
      </c>
      <c r="Y53" t="s">
        <v>60</v>
      </c>
      <c r="Z53" t="s">
        <v>61</v>
      </c>
      <c r="AA53">
        <v>0</v>
      </c>
      <c r="AB53" s="2">
        <v>0</v>
      </c>
      <c r="AC53" s="2">
        <v>0</v>
      </c>
      <c r="AD53" s="3">
        <v>0</v>
      </c>
      <c r="AE53" s="2">
        <v>0</v>
      </c>
      <c r="AF53" s="2">
        <v>0</v>
      </c>
      <c r="AG53" s="2">
        <v>0</v>
      </c>
      <c r="AH53" s="2">
        <v>0</v>
      </c>
      <c r="AI53" s="2">
        <v>0</v>
      </c>
      <c r="AJ53" s="2">
        <v>0</v>
      </c>
      <c r="AK53" s="2">
        <v>0</v>
      </c>
      <c r="AL53" s="2">
        <v>0</v>
      </c>
      <c r="AM53" s="2">
        <v>2.85</v>
      </c>
      <c r="AN53" s="2">
        <v>2.85</v>
      </c>
      <c r="AO53" s="2">
        <v>0</v>
      </c>
      <c r="AP53" s="2">
        <v>0</v>
      </c>
      <c r="AQ53" s="2">
        <v>0</v>
      </c>
    </row>
    <row r="54" spans="1:43" x14ac:dyDescent="0.25">
      <c r="A54" s="1">
        <v>45936</v>
      </c>
      <c r="B54" t="s">
        <v>48</v>
      </c>
      <c r="C54">
        <v>649163</v>
      </c>
      <c r="D54">
        <v>2030949434</v>
      </c>
      <c r="E54" t="s">
        <v>219</v>
      </c>
      <c r="F54" t="s">
        <v>220</v>
      </c>
      <c r="G54" t="s">
        <v>51</v>
      </c>
      <c r="H54" t="s">
        <v>150</v>
      </c>
      <c r="I54" t="s">
        <v>209</v>
      </c>
      <c r="J54" t="s">
        <v>217</v>
      </c>
      <c r="K54">
        <v>877790</v>
      </c>
      <c r="L54" t="s">
        <v>151</v>
      </c>
      <c r="M54" t="s">
        <v>152</v>
      </c>
      <c r="N54" t="s">
        <v>57</v>
      </c>
      <c r="O54" s="1">
        <v>45931</v>
      </c>
      <c r="Q54" s="1">
        <v>45962</v>
      </c>
      <c r="R54" s="2">
        <v>15</v>
      </c>
      <c r="S54">
        <v>1</v>
      </c>
      <c r="T54" t="s">
        <v>58</v>
      </c>
      <c r="U54" t="s">
        <v>221</v>
      </c>
      <c r="V54" s="3">
        <v>0.19</v>
      </c>
      <c r="W54" s="2">
        <v>0</v>
      </c>
      <c r="X54">
        <v>0</v>
      </c>
      <c r="Y54" t="s">
        <v>60</v>
      </c>
      <c r="Z54" t="s">
        <v>61</v>
      </c>
      <c r="AA54">
        <v>6</v>
      </c>
      <c r="AB54" s="2">
        <v>17.100000000000001</v>
      </c>
      <c r="AC54" s="2">
        <v>0</v>
      </c>
      <c r="AD54" s="3">
        <v>0</v>
      </c>
      <c r="AE54" s="2">
        <v>0</v>
      </c>
      <c r="AF54" s="2">
        <v>0</v>
      </c>
      <c r="AG54" s="2">
        <v>0</v>
      </c>
      <c r="AH54" s="2">
        <v>0</v>
      </c>
      <c r="AI54" s="2">
        <v>0</v>
      </c>
      <c r="AJ54" s="2">
        <v>0</v>
      </c>
      <c r="AK54" s="2">
        <v>0</v>
      </c>
      <c r="AL54" s="2">
        <v>2.85</v>
      </c>
      <c r="AM54" s="2">
        <v>0</v>
      </c>
      <c r="AN54" s="2">
        <v>17.100000000000001</v>
      </c>
      <c r="AO54" s="2">
        <v>0</v>
      </c>
      <c r="AP54" s="2">
        <v>0</v>
      </c>
      <c r="AQ54" s="2">
        <v>0</v>
      </c>
    </row>
    <row r="55" spans="1:43" x14ac:dyDescent="0.25">
      <c r="A55" s="1">
        <v>45936</v>
      </c>
      <c r="B55" t="s">
        <v>48</v>
      </c>
      <c r="C55">
        <v>649163</v>
      </c>
      <c r="D55">
        <v>2030969461</v>
      </c>
      <c r="E55" t="s">
        <v>132</v>
      </c>
      <c r="F55" t="s">
        <v>133</v>
      </c>
      <c r="G55" t="s">
        <v>51</v>
      </c>
      <c r="H55" t="s">
        <v>101</v>
      </c>
      <c r="I55" t="s">
        <v>209</v>
      </c>
      <c r="J55" t="s">
        <v>222</v>
      </c>
      <c r="K55">
        <v>820873</v>
      </c>
      <c r="L55" t="s">
        <v>134</v>
      </c>
      <c r="M55" t="s">
        <v>135</v>
      </c>
      <c r="N55" t="s">
        <v>57</v>
      </c>
      <c r="O55" s="1">
        <v>45935</v>
      </c>
      <c r="Q55" s="1">
        <v>45966</v>
      </c>
      <c r="R55" s="2">
        <v>15</v>
      </c>
      <c r="S55">
        <v>1</v>
      </c>
      <c r="T55" t="s">
        <v>58</v>
      </c>
      <c r="U55" t="s">
        <v>59</v>
      </c>
      <c r="V55" s="3">
        <v>0.38</v>
      </c>
      <c r="W55" s="2">
        <v>0</v>
      </c>
      <c r="X55">
        <v>0</v>
      </c>
      <c r="Y55" t="s">
        <v>60</v>
      </c>
      <c r="Z55" t="s">
        <v>61</v>
      </c>
      <c r="AA55">
        <v>6</v>
      </c>
      <c r="AB55" s="2">
        <v>34.200000000000003</v>
      </c>
      <c r="AC55" s="2">
        <v>0</v>
      </c>
      <c r="AD55" s="3">
        <v>0</v>
      </c>
      <c r="AE55" s="2">
        <v>0</v>
      </c>
      <c r="AF55" s="2">
        <v>0</v>
      </c>
      <c r="AG55" s="2">
        <v>0</v>
      </c>
      <c r="AH55" s="2">
        <v>0</v>
      </c>
      <c r="AI55" s="2">
        <v>0</v>
      </c>
      <c r="AJ55" s="2">
        <v>0</v>
      </c>
      <c r="AK55" s="2">
        <v>0</v>
      </c>
      <c r="AL55" s="2">
        <v>5.7</v>
      </c>
      <c r="AM55" s="2">
        <v>0</v>
      </c>
      <c r="AN55" s="2">
        <v>34.200000000000003</v>
      </c>
      <c r="AO55" s="2">
        <v>0</v>
      </c>
      <c r="AP55" s="2">
        <v>0</v>
      </c>
      <c r="AQ55" s="2">
        <v>0</v>
      </c>
    </row>
    <row r="56" spans="1:43" x14ac:dyDescent="0.25">
      <c r="A56" s="1">
        <v>45936</v>
      </c>
      <c r="B56" t="s">
        <v>48</v>
      </c>
      <c r="C56">
        <v>649163</v>
      </c>
      <c r="D56">
        <v>2031317029</v>
      </c>
      <c r="E56" t="s">
        <v>223</v>
      </c>
      <c r="F56" t="s">
        <v>224</v>
      </c>
      <c r="G56" t="s">
        <v>51</v>
      </c>
      <c r="H56" t="s">
        <v>79</v>
      </c>
      <c r="I56" t="s">
        <v>209</v>
      </c>
      <c r="J56" t="s">
        <v>225</v>
      </c>
      <c r="K56">
        <v>673059</v>
      </c>
      <c r="L56" t="s">
        <v>80</v>
      </c>
      <c r="M56" t="s">
        <v>81</v>
      </c>
      <c r="N56" t="s">
        <v>57</v>
      </c>
      <c r="O56" s="1">
        <v>45931</v>
      </c>
      <c r="Q56" s="1">
        <v>45962</v>
      </c>
      <c r="R56" s="2">
        <v>15</v>
      </c>
      <c r="S56">
        <v>1</v>
      </c>
      <c r="T56" t="s">
        <v>58</v>
      </c>
      <c r="U56" t="s">
        <v>226</v>
      </c>
      <c r="V56" s="3">
        <v>0.28999999999999998</v>
      </c>
      <c r="W56" s="2">
        <v>0</v>
      </c>
      <c r="X56">
        <v>0</v>
      </c>
      <c r="Y56" t="s">
        <v>60</v>
      </c>
      <c r="Z56" t="s">
        <v>61</v>
      </c>
      <c r="AA56">
        <v>3</v>
      </c>
      <c r="AB56" s="2">
        <v>13.05</v>
      </c>
      <c r="AC56" s="2">
        <v>0</v>
      </c>
      <c r="AD56" s="3">
        <v>0</v>
      </c>
      <c r="AE56" s="2">
        <v>0</v>
      </c>
      <c r="AF56" s="2">
        <v>0</v>
      </c>
      <c r="AG56" s="2">
        <v>0</v>
      </c>
      <c r="AH56" s="2">
        <v>0</v>
      </c>
      <c r="AI56" s="2">
        <v>0</v>
      </c>
      <c r="AJ56" s="2">
        <v>0</v>
      </c>
      <c r="AK56" s="2">
        <v>0</v>
      </c>
      <c r="AL56" s="2">
        <v>4.3499999999999996</v>
      </c>
      <c r="AM56" s="2">
        <v>0</v>
      </c>
      <c r="AN56" s="2">
        <v>13.05</v>
      </c>
      <c r="AO56" s="2">
        <v>0</v>
      </c>
      <c r="AP56" s="2">
        <v>0</v>
      </c>
      <c r="AQ56" s="2">
        <v>0</v>
      </c>
    </row>
    <row r="57" spans="1:43" x14ac:dyDescent="0.25">
      <c r="A57" s="1">
        <v>45936</v>
      </c>
      <c r="B57" t="s">
        <v>48</v>
      </c>
      <c r="C57">
        <v>649163</v>
      </c>
      <c r="D57">
        <v>2031351791</v>
      </c>
      <c r="E57" t="s">
        <v>174</v>
      </c>
      <c r="F57" t="s">
        <v>227</v>
      </c>
      <c r="G57" t="s">
        <v>51</v>
      </c>
      <c r="H57" t="s">
        <v>228</v>
      </c>
      <c r="I57" t="s">
        <v>209</v>
      </c>
      <c r="J57" t="s">
        <v>229</v>
      </c>
      <c r="K57">
        <v>753748</v>
      </c>
      <c r="L57" t="s">
        <v>97</v>
      </c>
      <c r="M57" t="s">
        <v>98</v>
      </c>
      <c r="N57" t="s">
        <v>57</v>
      </c>
      <c r="O57" s="1">
        <v>45931</v>
      </c>
      <c r="Q57" s="1">
        <v>45962</v>
      </c>
      <c r="R57" s="2">
        <v>15</v>
      </c>
      <c r="S57">
        <v>1</v>
      </c>
      <c r="T57" t="s">
        <v>58</v>
      </c>
      <c r="U57" t="s">
        <v>226</v>
      </c>
      <c r="V57" s="3">
        <v>0.24</v>
      </c>
      <c r="W57" s="2">
        <v>35</v>
      </c>
      <c r="X57">
        <v>0</v>
      </c>
      <c r="Y57" t="s">
        <v>60</v>
      </c>
      <c r="Z57" t="s">
        <v>61</v>
      </c>
      <c r="AA57">
        <v>3</v>
      </c>
      <c r="AB57" s="2">
        <v>10.8</v>
      </c>
      <c r="AC57" s="2">
        <v>35</v>
      </c>
      <c r="AD57" s="3">
        <v>0</v>
      </c>
      <c r="AE57" s="2">
        <v>0</v>
      </c>
      <c r="AF57" s="2">
        <v>0</v>
      </c>
      <c r="AG57" s="2">
        <v>0</v>
      </c>
      <c r="AH57" s="2">
        <v>0</v>
      </c>
      <c r="AI57" s="2">
        <v>0</v>
      </c>
      <c r="AJ57" s="2">
        <v>0</v>
      </c>
      <c r="AK57" s="2">
        <v>0</v>
      </c>
      <c r="AL57" s="2">
        <v>38.6</v>
      </c>
      <c r="AM57" s="2">
        <v>0</v>
      </c>
      <c r="AN57" s="2">
        <v>45.8</v>
      </c>
      <c r="AO57" s="2">
        <v>0</v>
      </c>
      <c r="AP57" s="2">
        <v>0</v>
      </c>
      <c r="AQ57" s="2">
        <v>0</v>
      </c>
    </row>
    <row r="58" spans="1:43" x14ac:dyDescent="0.25">
      <c r="A58" s="1">
        <v>45936</v>
      </c>
      <c r="B58" t="s">
        <v>48</v>
      </c>
      <c r="C58">
        <v>649163</v>
      </c>
      <c r="D58">
        <v>2031420006</v>
      </c>
      <c r="E58" t="s">
        <v>230</v>
      </c>
      <c r="F58" t="s">
        <v>231</v>
      </c>
      <c r="G58" t="s">
        <v>51</v>
      </c>
      <c r="H58" t="s">
        <v>101</v>
      </c>
      <c r="I58" t="s">
        <v>209</v>
      </c>
      <c r="J58" t="s">
        <v>232</v>
      </c>
      <c r="K58">
        <v>756803</v>
      </c>
      <c r="L58" t="s">
        <v>233</v>
      </c>
      <c r="M58" t="s">
        <v>234</v>
      </c>
      <c r="N58" t="s">
        <v>57</v>
      </c>
      <c r="O58" s="1">
        <v>45933</v>
      </c>
      <c r="Q58" s="1">
        <v>45964</v>
      </c>
      <c r="R58" s="2">
        <v>15</v>
      </c>
      <c r="S58">
        <v>1</v>
      </c>
      <c r="T58" t="s">
        <v>58</v>
      </c>
      <c r="U58" t="s">
        <v>221</v>
      </c>
      <c r="V58" s="3">
        <v>0.38</v>
      </c>
      <c r="W58" s="2">
        <v>0</v>
      </c>
      <c r="X58">
        <v>0</v>
      </c>
      <c r="Y58" t="s">
        <v>60</v>
      </c>
      <c r="Z58" t="s">
        <v>61</v>
      </c>
      <c r="AA58">
        <v>6</v>
      </c>
      <c r="AB58" s="2">
        <v>34.200000000000003</v>
      </c>
      <c r="AC58" s="2">
        <v>0</v>
      </c>
      <c r="AD58" s="3">
        <v>0</v>
      </c>
      <c r="AE58" s="2">
        <v>0</v>
      </c>
      <c r="AF58" s="2">
        <v>0</v>
      </c>
      <c r="AG58" s="2">
        <v>0</v>
      </c>
      <c r="AH58" s="2">
        <v>0</v>
      </c>
      <c r="AI58" s="2">
        <v>0</v>
      </c>
      <c r="AJ58" s="2">
        <v>0</v>
      </c>
      <c r="AK58" s="2">
        <v>0</v>
      </c>
      <c r="AL58" s="2">
        <v>5.7</v>
      </c>
      <c r="AM58" s="2">
        <v>0</v>
      </c>
      <c r="AN58" s="2">
        <v>34.200000000000003</v>
      </c>
      <c r="AO58" s="2">
        <v>0</v>
      </c>
      <c r="AP58" s="2">
        <v>0</v>
      </c>
      <c r="AQ58" s="2">
        <v>0</v>
      </c>
    </row>
    <row r="59" spans="1:43" x14ac:dyDescent="0.25">
      <c r="A59" s="1">
        <v>45936</v>
      </c>
      <c r="B59" t="s">
        <v>48</v>
      </c>
      <c r="C59">
        <v>649163</v>
      </c>
      <c r="D59">
        <v>2031461152</v>
      </c>
      <c r="E59" t="s">
        <v>235</v>
      </c>
      <c r="F59" t="s">
        <v>236</v>
      </c>
      <c r="G59" t="s">
        <v>51</v>
      </c>
      <c r="H59" t="s">
        <v>88</v>
      </c>
      <c r="I59" t="s">
        <v>209</v>
      </c>
      <c r="J59" t="s">
        <v>222</v>
      </c>
      <c r="K59">
        <v>650218</v>
      </c>
      <c r="L59" t="s">
        <v>237</v>
      </c>
      <c r="M59" t="s">
        <v>238</v>
      </c>
      <c r="N59" t="s">
        <v>57</v>
      </c>
      <c r="O59" s="1">
        <v>45962</v>
      </c>
      <c r="Q59" s="1">
        <v>45992</v>
      </c>
      <c r="R59" s="2">
        <v>15</v>
      </c>
      <c r="S59">
        <v>1</v>
      </c>
      <c r="T59" t="s">
        <v>58</v>
      </c>
      <c r="U59" t="s">
        <v>59</v>
      </c>
      <c r="V59" s="3">
        <v>0.38</v>
      </c>
      <c r="W59" s="2">
        <v>0</v>
      </c>
      <c r="X59">
        <v>0</v>
      </c>
      <c r="Y59" t="s">
        <v>60</v>
      </c>
      <c r="Z59" t="s">
        <v>61</v>
      </c>
      <c r="AA59">
        <v>6</v>
      </c>
      <c r="AB59" s="2">
        <v>34.200000000000003</v>
      </c>
      <c r="AC59" s="2">
        <v>0</v>
      </c>
      <c r="AD59" s="3">
        <v>0</v>
      </c>
      <c r="AE59" s="2">
        <v>0</v>
      </c>
      <c r="AF59" s="2">
        <v>0</v>
      </c>
      <c r="AG59" s="2">
        <v>0</v>
      </c>
      <c r="AH59" s="2">
        <v>0</v>
      </c>
      <c r="AI59" s="2">
        <v>0</v>
      </c>
      <c r="AJ59" s="2">
        <v>0</v>
      </c>
      <c r="AK59" s="2">
        <v>0</v>
      </c>
      <c r="AL59" s="2">
        <v>5.7</v>
      </c>
      <c r="AM59" s="2">
        <v>0</v>
      </c>
      <c r="AN59" s="2">
        <v>34.200000000000003</v>
      </c>
      <c r="AO59" s="2">
        <v>0</v>
      </c>
      <c r="AP59" s="2">
        <v>0</v>
      </c>
      <c r="AQ59" s="2">
        <v>0</v>
      </c>
    </row>
    <row r="60" spans="1:43" x14ac:dyDescent="0.25">
      <c r="A60" s="1">
        <v>45936</v>
      </c>
      <c r="B60" t="s">
        <v>48</v>
      </c>
      <c r="C60">
        <v>649163</v>
      </c>
      <c r="D60">
        <v>2031462400</v>
      </c>
      <c r="E60" t="s">
        <v>239</v>
      </c>
      <c r="F60" t="s">
        <v>240</v>
      </c>
      <c r="G60" t="s">
        <v>51</v>
      </c>
      <c r="H60" t="s">
        <v>101</v>
      </c>
      <c r="I60" t="s">
        <v>209</v>
      </c>
      <c r="J60" t="s">
        <v>222</v>
      </c>
      <c r="K60">
        <v>884943</v>
      </c>
      <c r="L60" t="s">
        <v>241</v>
      </c>
      <c r="M60" t="s">
        <v>242</v>
      </c>
      <c r="N60" t="s">
        <v>57</v>
      </c>
      <c r="O60" s="1">
        <v>45936</v>
      </c>
      <c r="Q60" s="1">
        <v>45967</v>
      </c>
      <c r="R60" s="2">
        <v>15</v>
      </c>
      <c r="S60">
        <v>1</v>
      </c>
      <c r="T60" t="s">
        <v>58</v>
      </c>
      <c r="U60" t="s">
        <v>59</v>
      </c>
      <c r="V60" s="3">
        <v>0.38</v>
      </c>
      <c r="W60" s="2">
        <v>0</v>
      </c>
      <c r="X60">
        <v>0</v>
      </c>
      <c r="Y60" t="s">
        <v>60</v>
      </c>
      <c r="Z60" t="s">
        <v>61</v>
      </c>
      <c r="AA60">
        <v>6</v>
      </c>
      <c r="AB60" s="2">
        <v>34.200000000000003</v>
      </c>
      <c r="AC60" s="2">
        <v>0</v>
      </c>
      <c r="AD60" s="3">
        <v>0</v>
      </c>
      <c r="AE60" s="2">
        <v>0</v>
      </c>
      <c r="AF60" s="2">
        <v>0</v>
      </c>
      <c r="AG60" s="2">
        <v>0</v>
      </c>
      <c r="AH60" s="2">
        <v>0</v>
      </c>
      <c r="AI60" s="2">
        <v>0</v>
      </c>
      <c r="AJ60" s="2">
        <v>0</v>
      </c>
      <c r="AK60" s="2">
        <v>0</v>
      </c>
      <c r="AL60" s="2">
        <v>5.7</v>
      </c>
      <c r="AM60" s="2">
        <v>0</v>
      </c>
      <c r="AN60" s="2">
        <v>34.200000000000003</v>
      </c>
      <c r="AO60" s="2">
        <v>0</v>
      </c>
      <c r="AP60" s="2">
        <v>0</v>
      </c>
      <c r="AQ60" s="2">
        <v>0</v>
      </c>
    </row>
    <row r="61" spans="1:43" x14ac:dyDescent="0.25">
      <c r="A61" s="1">
        <v>45936</v>
      </c>
      <c r="B61" t="s">
        <v>48</v>
      </c>
      <c r="C61">
        <v>649163</v>
      </c>
      <c r="D61">
        <v>2030453211</v>
      </c>
      <c r="E61" t="s">
        <v>86</v>
      </c>
      <c r="F61" t="s">
        <v>87</v>
      </c>
      <c r="G61" t="s">
        <v>51</v>
      </c>
      <c r="H61" t="s">
        <v>88</v>
      </c>
      <c r="I61" t="s">
        <v>243</v>
      </c>
      <c r="J61" t="s">
        <v>244</v>
      </c>
      <c r="K61">
        <v>812782</v>
      </c>
      <c r="L61" t="s">
        <v>91</v>
      </c>
      <c r="M61" t="s">
        <v>92</v>
      </c>
      <c r="N61" t="s">
        <v>57</v>
      </c>
      <c r="O61" s="1">
        <v>45931</v>
      </c>
      <c r="Q61" s="1">
        <v>45962</v>
      </c>
      <c r="R61" s="2">
        <v>37.130000000000003</v>
      </c>
      <c r="S61">
        <v>1</v>
      </c>
      <c r="T61" t="s">
        <v>58</v>
      </c>
      <c r="U61" t="s">
        <v>59</v>
      </c>
      <c r="V61" s="4">
        <v>0.375</v>
      </c>
      <c r="W61" s="2">
        <v>0</v>
      </c>
      <c r="X61">
        <v>0</v>
      </c>
      <c r="Y61" t="s">
        <v>60</v>
      </c>
      <c r="Z61" t="s">
        <v>61</v>
      </c>
      <c r="AA61">
        <v>6</v>
      </c>
      <c r="AB61" s="2">
        <v>83.52</v>
      </c>
      <c r="AC61" s="2">
        <v>0</v>
      </c>
      <c r="AD61" s="3">
        <v>0</v>
      </c>
      <c r="AE61" s="2">
        <v>0</v>
      </c>
      <c r="AF61" s="2">
        <v>0</v>
      </c>
      <c r="AG61" s="2">
        <v>0</v>
      </c>
      <c r="AH61" s="2">
        <v>0</v>
      </c>
      <c r="AI61" s="2">
        <v>0</v>
      </c>
      <c r="AJ61" s="2">
        <v>0</v>
      </c>
      <c r="AK61" s="2">
        <v>0</v>
      </c>
      <c r="AL61" s="2">
        <v>13.92</v>
      </c>
      <c r="AM61" s="2">
        <v>0</v>
      </c>
      <c r="AN61" s="2">
        <v>83.52</v>
      </c>
      <c r="AO61" s="2">
        <v>0</v>
      </c>
      <c r="AP61" s="2">
        <v>0</v>
      </c>
      <c r="AQ61" s="2">
        <v>0</v>
      </c>
    </row>
    <row r="62" spans="1:43" x14ac:dyDescent="0.25">
      <c r="A62" s="1">
        <v>45936</v>
      </c>
      <c r="B62" t="s">
        <v>48</v>
      </c>
      <c r="C62">
        <v>649163</v>
      </c>
      <c r="D62">
        <v>2030723169</v>
      </c>
      <c r="E62" t="s">
        <v>245</v>
      </c>
      <c r="F62" t="s">
        <v>246</v>
      </c>
      <c r="G62" t="s">
        <v>51</v>
      </c>
      <c r="H62" t="s">
        <v>247</v>
      </c>
      <c r="I62" t="s">
        <v>243</v>
      </c>
      <c r="J62" t="s">
        <v>244</v>
      </c>
      <c r="K62">
        <v>673059</v>
      </c>
      <c r="L62" t="s">
        <v>80</v>
      </c>
      <c r="M62" t="s">
        <v>81</v>
      </c>
      <c r="N62" t="s">
        <v>57</v>
      </c>
      <c r="O62" s="1">
        <v>45931</v>
      </c>
      <c r="Q62" s="1">
        <v>45962</v>
      </c>
      <c r="R62" s="2">
        <v>49.55</v>
      </c>
      <c r="S62">
        <v>1</v>
      </c>
      <c r="T62" t="s">
        <v>58</v>
      </c>
      <c r="U62" t="s">
        <v>59</v>
      </c>
      <c r="V62" s="4">
        <v>0.375</v>
      </c>
      <c r="W62" s="2">
        <v>0</v>
      </c>
      <c r="X62">
        <v>0</v>
      </c>
      <c r="Y62" t="s">
        <v>60</v>
      </c>
      <c r="Z62" t="s">
        <v>61</v>
      </c>
      <c r="AA62">
        <v>6</v>
      </c>
      <c r="AB62" s="2">
        <v>111.48</v>
      </c>
      <c r="AC62" s="2">
        <v>0</v>
      </c>
      <c r="AD62" s="3">
        <v>0</v>
      </c>
      <c r="AE62" s="2">
        <v>0</v>
      </c>
      <c r="AF62" s="2">
        <v>0</v>
      </c>
      <c r="AG62" s="2">
        <v>0</v>
      </c>
      <c r="AH62" s="2">
        <v>0</v>
      </c>
      <c r="AI62" s="2">
        <v>0</v>
      </c>
      <c r="AJ62" s="2">
        <v>0</v>
      </c>
      <c r="AK62" s="2">
        <v>0</v>
      </c>
      <c r="AL62" s="2">
        <v>18.579999999999998</v>
      </c>
      <c r="AM62" s="2">
        <v>0</v>
      </c>
      <c r="AN62" s="2">
        <v>111.48</v>
      </c>
      <c r="AO62" s="2">
        <v>0</v>
      </c>
      <c r="AP62" s="2">
        <v>0</v>
      </c>
      <c r="AQ62" s="2">
        <v>0</v>
      </c>
    </row>
    <row r="63" spans="1:43" x14ac:dyDescent="0.25">
      <c r="A63" s="1">
        <v>45936</v>
      </c>
      <c r="B63" t="s">
        <v>48</v>
      </c>
      <c r="C63">
        <v>649163</v>
      </c>
      <c r="D63">
        <v>2030807439</v>
      </c>
      <c r="E63" t="s">
        <v>113</v>
      </c>
      <c r="F63" t="s">
        <v>114</v>
      </c>
      <c r="G63" t="s">
        <v>51</v>
      </c>
      <c r="H63" t="s">
        <v>115</v>
      </c>
      <c r="I63" t="s">
        <v>243</v>
      </c>
      <c r="J63" t="s">
        <v>244</v>
      </c>
      <c r="K63">
        <v>753748</v>
      </c>
      <c r="L63" t="s">
        <v>97</v>
      </c>
      <c r="M63" t="s">
        <v>98</v>
      </c>
      <c r="N63" t="s">
        <v>57</v>
      </c>
      <c r="O63" s="1">
        <v>45931</v>
      </c>
      <c r="Q63" s="1">
        <v>45962</v>
      </c>
      <c r="R63" s="2">
        <v>49.02</v>
      </c>
      <c r="S63">
        <v>1</v>
      </c>
      <c r="T63" t="s">
        <v>58</v>
      </c>
      <c r="U63" t="s">
        <v>59</v>
      </c>
      <c r="V63" s="4">
        <v>0.375</v>
      </c>
      <c r="W63" s="2">
        <v>0</v>
      </c>
      <c r="X63">
        <v>0</v>
      </c>
      <c r="Y63" t="s">
        <v>60</v>
      </c>
      <c r="Z63" t="s">
        <v>61</v>
      </c>
      <c r="AA63">
        <v>6</v>
      </c>
      <c r="AB63" s="2">
        <v>110.28</v>
      </c>
      <c r="AC63" s="2">
        <v>0</v>
      </c>
      <c r="AD63" s="3">
        <v>0</v>
      </c>
      <c r="AE63" s="2">
        <v>0</v>
      </c>
      <c r="AF63" s="2">
        <v>0</v>
      </c>
      <c r="AG63" s="2">
        <v>0</v>
      </c>
      <c r="AH63" s="2">
        <v>0</v>
      </c>
      <c r="AI63" s="2">
        <v>0</v>
      </c>
      <c r="AJ63" s="2">
        <v>0</v>
      </c>
      <c r="AK63" s="2">
        <v>0</v>
      </c>
      <c r="AL63" s="2">
        <v>18.38</v>
      </c>
      <c r="AM63" s="2">
        <v>0</v>
      </c>
      <c r="AN63" s="2">
        <v>110.28</v>
      </c>
      <c r="AO63" s="2">
        <v>0</v>
      </c>
      <c r="AP63" s="2">
        <v>0</v>
      </c>
      <c r="AQ63" s="2">
        <v>0</v>
      </c>
    </row>
    <row r="64" spans="1:43" x14ac:dyDescent="0.25">
      <c r="A64" s="1">
        <v>45936</v>
      </c>
      <c r="B64" t="s">
        <v>48</v>
      </c>
      <c r="C64">
        <v>649163</v>
      </c>
      <c r="D64">
        <v>2030975446</v>
      </c>
      <c r="E64" t="s">
        <v>248</v>
      </c>
      <c r="F64" t="s">
        <v>249</v>
      </c>
      <c r="G64" t="s">
        <v>51</v>
      </c>
      <c r="H64" t="s">
        <v>182</v>
      </c>
      <c r="I64" t="s">
        <v>243</v>
      </c>
      <c r="J64" t="s">
        <v>244</v>
      </c>
      <c r="K64">
        <v>673059</v>
      </c>
      <c r="L64" t="s">
        <v>80</v>
      </c>
      <c r="M64" t="s">
        <v>81</v>
      </c>
      <c r="N64" t="s">
        <v>57</v>
      </c>
      <c r="O64" s="1">
        <v>45931</v>
      </c>
      <c r="Q64" s="1">
        <v>45962</v>
      </c>
      <c r="R64" s="2">
        <v>80.540000000000006</v>
      </c>
      <c r="S64">
        <v>1</v>
      </c>
      <c r="T64" t="s">
        <v>58</v>
      </c>
      <c r="U64" t="s">
        <v>59</v>
      </c>
      <c r="V64" s="4">
        <v>0.375</v>
      </c>
      <c r="W64" s="2">
        <v>0</v>
      </c>
      <c r="X64">
        <v>0</v>
      </c>
      <c r="Y64" t="s">
        <v>60</v>
      </c>
      <c r="Z64" t="s">
        <v>61</v>
      </c>
      <c r="AA64">
        <v>6</v>
      </c>
      <c r="AB64" s="2">
        <v>181.2</v>
      </c>
      <c r="AC64" s="2">
        <v>0</v>
      </c>
      <c r="AD64" s="3">
        <v>0</v>
      </c>
      <c r="AE64" s="2">
        <v>0</v>
      </c>
      <c r="AF64" s="2">
        <v>0</v>
      </c>
      <c r="AG64" s="2">
        <v>0</v>
      </c>
      <c r="AH64" s="2">
        <v>0</v>
      </c>
      <c r="AI64" s="2">
        <v>0</v>
      </c>
      <c r="AJ64" s="2">
        <v>0</v>
      </c>
      <c r="AK64" s="2">
        <v>0</v>
      </c>
      <c r="AL64" s="2">
        <v>30.2</v>
      </c>
      <c r="AM64" s="2">
        <v>0</v>
      </c>
      <c r="AN64" s="2">
        <v>181.2</v>
      </c>
      <c r="AO64" s="2">
        <v>0</v>
      </c>
      <c r="AP64" s="2">
        <v>0</v>
      </c>
      <c r="AQ64" s="2">
        <v>0</v>
      </c>
    </row>
    <row r="65" spans="1:43" x14ac:dyDescent="0.25">
      <c r="A65" s="1">
        <v>45936</v>
      </c>
      <c r="B65" t="s">
        <v>48</v>
      </c>
      <c r="C65">
        <v>649163</v>
      </c>
      <c r="D65">
        <v>2030984376</v>
      </c>
      <c r="E65" t="s">
        <v>250</v>
      </c>
      <c r="F65" t="s">
        <v>251</v>
      </c>
      <c r="G65" t="s">
        <v>51</v>
      </c>
      <c r="H65" t="s">
        <v>88</v>
      </c>
      <c r="I65" t="s">
        <v>243</v>
      </c>
      <c r="J65" t="s">
        <v>244</v>
      </c>
      <c r="K65">
        <v>673059</v>
      </c>
      <c r="L65" t="s">
        <v>80</v>
      </c>
      <c r="M65" t="s">
        <v>81</v>
      </c>
      <c r="N65" t="s">
        <v>57</v>
      </c>
      <c r="O65" s="1">
        <v>45931</v>
      </c>
      <c r="Q65" s="1">
        <v>45962</v>
      </c>
      <c r="R65" s="2">
        <v>54.95</v>
      </c>
      <c r="S65">
        <v>1</v>
      </c>
      <c r="T65" t="s">
        <v>58</v>
      </c>
      <c r="U65" t="s">
        <v>59</v>
      </c>
      <c r="V65" s="4">
        <v>0.375</v>
      </c>
      <c r="W65" s="2">
        <v>0</v>
      </c>
      <c r="X65">
        <v>0</v>
      </c>
      <c r="Y65" t="s">
        <v>60</v>
      </c>
      <c r="Z65" t="s">
        <v>61</v>
      </c>
      <c r="AA65">
        <v>6</v>
      </c>
      <c r="AB65" s="2">
        <v>123.66</v>
      </c>
      <c r="AC65" s="2">
        <v>0</v>
      </c>
      <c r="AD65" s="3">
        <v>0</v>
      </c>
      <c r="AE65" s="2">
        <v>0</v>
      </c>
      <c r="AF65" s="2">
        <v>0</v>
      </c>
      <c r="AG65" s="2">
        <v>0</v>
      </c>
      <c r="AH65" s="2">
        <v>0</v>
      </c>
      <c r="AI65" s="2">
        <v>0</v>
      </c>
      <c r="AJ65" s="2">
        <v>0</v>
      </c>
      <c r="AK65" s="2">
        <v>0</v>
      </c>
      <c r="AL65" s="2">
        <v>20.61</v>
      </c>
      <c r="AM65" s="2">
        <v>0</v>
      </c>
      <c r="AN65" s="2">
        <v>123.66</v>
      </c>
      <c r="AO65" s="2">
        <v>0</v>
      </c>
      <c r="AP65" s="2">
        <v>0</v>
      </c>
      <c r="AQ65" s="2">
        <v>0</v>
      </c>
    </row>
    <row r="66" spans="1:43" x14ac:dyDescent="0.25">
      <c r="A66" s="1">
        <v>45936</v>
      </c>
      <c r="B66" t="s">
        <v>48</v>
      </c>
      <c r="C66">
        <v>649163</v>
      </c>
      <c r="D66">
        <v>2031014067</v>
      </c>
      <c r="E66" t="s">
        <v>142</v>
      </c>
      <c r="F66" t="s">
        <v>143</v>
      </c>
      <c r="G66" t="s">
        <v>51</v>
      </c>
      <c r="H66" t="s">
        <v>110</v>
      </c>
      <c r="I66" t="s">
        <v>243</v>
      </c>
      <c r="J66" t="s">
        <v>244</v>
      </c>
      <c r="K66">
        <v>651818</v>
      </c>
      <c r="L66" t="s">
        <v>112</v>
      </c>
      <c r="M66" t="s">
        <v>104</v>
      </c>
      <c r="N66" t="s">
        <v>57</v>
      </c>
      <c r="O66" s="1">
        <v>45936</v>
      </c>
      <c r="Q66" s="1">
        <v>45967</v>
      </c>
      <c r="R66" s="2">
        <v>99.05</v>
      </c>
      <c r="S66">
        <v>1</v>
      </c>
      <c r="T66" t="s">
        <v>58</v>
      </c>
      <c r="U66" t="s">
        <v>59</v>
      </c>
      <c r="V66" s="4">
        <v>0.375</v>
      </c>
      <c r="W66" s="2">
        <v>0</v>
      </c>
      <c r="X66">
        <v>0</v>
      </c>
      <c r="Y66" t="s">
        <v>60</v>
      </c>
      <c r="Z66" t="s">
        <v>61</v>
      </c>
      <c r="AA66">
        <v>6</v>
      </c>
      <c r="AB66" s="2">
        <v>222.84</v>
      </c>
      <c r="AC66" s="2">
        <v>0</v>
      </c>
      <c r="AD66" s="3">
        <v>0</v>
      </c>
      <c r="AE66" s="2">
        <v>0</v>
      </c>
      <c r="AF66" s="2">
        <v>0</v>
      </c>
      <c r="AG66" s="2">
        <v>0</v>
      </c>
      <c r="AH66" s="2">
        <v>0</v>
      </c>
      <c r="AI66" s="2">
        <v>0</v>
      </c>
      <c r="AJ66" s="2">
        <v>0</v>
      </c>
      <c r="AK66" s="2">
        <v>0</v>
      </c>
      <c r="AL66" s="2">
        <v>37.14</v>
      </c>
      <c r="AM66" s="2">
        <v>0</v>
      </c>
      <c r="AN66" s="2">
        <v>222.84</v>
      </c>
      <c r="AO66" s="2">
        <v>0</v>
      </c>
      <c r="AP66" s="2">
        <v>0</v>
      </c>
      <c r="AQ66" s="2">
        <v>0</v>
      </c>
    </row>
    <row r="67" spans="1:43" x14ac:dyDescent="0.25">
      <c r="A67" s="1">
        <v>45936</v>
      </c>
      <c r="B67" t="s">
        <v>48</v>
      </c>
      <c r="C67">
        <v>649163</v>
      </c>
      <c r="D67">
        <v>2031081020</v>
      </c>
      <c r="E67" t="s">
        <v>144</v>
      </c>
      <c r="F67" t="s">
        <v>145</v>
      </c>
      <c r="G67" t="s">
        <v>51</v>
      </c>
      <c r="H67" t="s">
        <v>64</v>
      </c>
      <c r="I67" t="s">
        <v>243</v>
      </c>
      <c r="J67" t="s">
        <v>244</v>
      </c>
      <c r="K67">
        <v>822865</v>
      </c>
      <c r="L67" t="s">
        <v>146</v>
      </c>
      <c r="M67" t="s">
        <v>147</v>
      </c>
      <c r="N67" t="s">
        <v>57</v>
      </c>
      <c r="O67" s="1">
        <v>45932</v>
      </c>
      <c r="Q67" s="1">
        <v>45963</v>
      </c>
      <c r="R67" s="2">
        <v>15.33</v>
      </c>
      <c r="S67">
        <v>1</v>
      </c>
      <c r="T67" t="s">
        <v>58</v>
      </c>
      <c r="U67" t="s">
        <v>59</v>
      </c>
      <c r="V67" s="4">
        <v>0.375</v>
      </c>
      <c r="W67" s="2">
        <v>0</v>
      </c>
      <c r="X67">
        <v>0</v>
      </c>
      <c r="Y67" t="s">
        <v>60</v>
      </c>
      <c r="Z67" t="s">
        <v>61</v>
      </c>
      <c r="AA67">
        <v>6</v>
      </c>
      <c r="AB67" s="2">
        <v>34.5</v>
      </c>
      <c r="AC67" s="2">
        <v>0</v>
      </c>
      <c r="AD67" s="3">
        <v>0</v>
      </c>
      <c r="AE67" s="2">
        <v>0</v>
      </c>
      <c r="AF67" s="2">
        <v>0</v>
      </c>
      <c r="AG67" s="2">
        <v>0</v>
      </c>
      <c r="AH67" s="2">
        <v>0</v>
      </c>
      <c r="AI67" s="2">
        <v>0</v>
      </c>
      <c r="AJ67" s="2">
        <v>0</v>
      </c>
      <c r="AK67" s="2">
        <v>0</v>
      </c>
      <c r="AL67" s="2">
        <v>5.75</v>
      </c>
      <c r="AM67" s="2">
        <v>0</v>
      </c>
      <c r="AN67" s="2">
        <v>34.5</v>
      </c>
      <c r="AO67" s="2">
        <v>0</v>
      </c>
      <c r="AP67" s="2">
        <v>0</v>
      </c>
      <c r="AQ67" s="2">
        <v>0</v>
      </c>
    </row>
    <row r="68" spans="1:43" x14ac:dyDescent="0.25">
      <c r="A68" s="1">
        <v>45936</v>
      </c>
      <c r="B68" t="s">
        <v>48</v>
      </c>
      <c r="C68">
        <v>649163</v>
      </c>
      <c r="D68">
        <v>2031091278</v>
      </c>
      <c r="E68" t="s">
        <v>148</v>
      </c>
      <c r="F68" t="s">
        <v>149</v>
      </c>
      <c r="G68" t="s">
        <v>51</v>
      </c>
      <c r="H68" t="s">
        <v>150</v>
      </c>
      <c r="I68" t="s">
        <v>243</v>
      </c>
      <c r="J68" t="s">
        <v>244</v>
      </c>
      <c r="K68">
        <v>877790</v>
      </c>
      <c r="L68" t="s">
        <v>151</v>
      </c>
      <c r="M68" t="s">
        <v>152</v>
      </c>
      <c r="N68" t="s">
        <v>57</v>
      </c>
      <c r="O68" s="1">
        <v>45931</v>
      </c>
      <c r="Q68" s="1">
        <v>45962</v>
      </c>
      <c r="R68" s="2">
        <v>58.15</v>
      </c>
      <c r="S68">
        <v>1</v>
      </c>
      <c r="T68" t="s">
        <v>58</v>
      </c>
      <c r="U68" t="s">
        <v>59</v>
      </c>
      <c r="V68" s="4">
        <v>0.375</v>
      </c>
      <c r="W68" s="2">
        <v>0</v>
      </c>
      <c r="X68">
        <v>0</v>
      </c>
      <c r="Y68" t="s">
        <v>60</v>
      </c>
      <c r="Z68" t="s">
        <v>61</v>
      </c>
      <c r="AA68">
        <v>6</v>
      </c>
      <c r="AB68" s="2">
        <v>130.86000000000001</v>
      </c>
      <c r="AC68" s="2">
        <v>0</v>
      </c>
      <c r="AD68" s="3">
        <v>0</v>
      </c>
      <c r="AE68" s="2">
        <v>0</v>
      </c>
      <c r="AF68" s="2">
        <v>0</v>
      </c>
      <c r="AG68" s="2">
        <v>0</v>
      </c>
      <c r="AH68" s="2">
        <v>0</v>
      </c>
      <c r="AI68" s="2">
        <v>0</v>
      </c>
      <c r="AJ68" s="2">
        <v>0</v>
      </c>
      <c r="AK68" s="2">
        <v>0</v>
      </c>
      <c r="AL68" s="2">
        <v>21.81</v>
      </c>
      <c r="AM68" s="2">
        <v>0</v>
      </c>
      <c r="AN68" s="2">
        <v>130.86000000000001</v>
      </c>
      <c r="AO68" s="2">
        <v>0</v>
      </c>
      <c r="AP68" s="2">
        <v>0</v>
      </c>
      <c r="AQ68" s="2">
        <v>0</v>
      </c>
    </row>
    <row r="69" spans="1:43" x14ac:dyDescent="0.25">
      <c r="A69" s="1">
        <v>45936</v>
      </c>
      <c r="B69" t="s">
        <v>48</v>
      </c>
      <c r="C69">
        <v>649163</v>
      </c>
      <c r="D69">
        <v>2031106354</v>
      </c>
      <c r="E69" t="s">
        <v>252</v>
      </c>
      <c r="F69" t="s">
        <v>253</v>
      </c>
      <c r="G69" t="s">
        <v>51</v>
      </c>
      <c r="H69" t="s">
        <v>52</v>
      </c>
      <c r="I69" t="s">
        <v>243</v>
      </c>
      <c r="J69" t="s">
        <v>244</v>
      </c>
      <c r="K69">
        <v>822865</v>
      </c>
      <c r="L69" t="s">
        <v>146</v>
      </c>
      <c r="M69" t="s">
        <v>147</v>
      </c>
      <c r="N69" t="s">
        <v>57</v>
      </c>
      <c r="O69" s="1">
        <v>45932</v>
      </c>
      <c r="Q69" s="1">
        <v>45963</v>
      </c>
      <c r="R69" s="2">
        <v>33.39</v>
      </c>
      <c r="S69">
        <v>1</v>
      </c>
      <c r="T69" t="s">
        <v>58</v>
      </c>
      <c r="U69" t="s">
        <v>59</v>
      </c>
      <c r="V69" s="4">
        <v>0.375</v>
      </c>
      <c r="W69" s="2">
        <v>0</v>
      </c>
      <c r="X69">
        <v>0</v>
      </c>
      <c r="Y69" t="s">
        <v>60</v>
      </c>
      <c r="Z69" t="s">
        <v>61</v>
      </c>
      <c r="AA69">
        <v>6</v>
      </c>
      <c r="AB69" s="2">
        <v>75.12</v>
      </c>
      <c r="AC69" s="2">
        <v>0</v>
      </c>
      <c r="AD69" s="3">
        <v>0</v>
      </c>
      <c r="AE69" s="2">
        <v>0</v>
      </c>
      <c r="AF69" s="2">
        <v>0</v>
      </c>
      <c r="AG69" s="2">
        <v>0</v>
      </c>
      <c r="AH69" s="2">
        <v>0</v>
      </c>
      <c r="AI69" s="2">
        <v>0</v>
      </c>
      <c r="AJ69" s="2">
        <v>0</v>
      </c>
      <c r="AK69" s="2">
        <v>0</v>
      </c>
      <c r="AL69" s="2">
        <v>12.52</v>
      </c>
      <c r="AM69" s="2">
        <v>0</v>
      </c>
      <c r="AN69" s="2">
        <v>75.12</v>
      </c>
      <c r="AO69" s="2">
        <v>0</v>
      </c>
      <c r="AP69" s="2">
        <v>0</v>
      </c>
      <c r="AQ69" s="2">
        <v>0</v>
      </c>
    </row>
    <row r="70" spans="1:43" x14ac:dyDescent="0.25">
      <c r="A70" s="1">
        <v>45936</v>
      </c>
      <c r="B70" t="s">
        <v>48</v>
      </c>
      <c r="C70">
        <v>649163</v>
      </c>
      <c r="D70">
        <v>2031106899</v>
      </c>
      <c r="E70" t="s">
        <v>49</v>
      </c>
      <c r="F70" t="s">
        <v>50</v>
      </c>
      <c r="G70" t="s">
        <v>51</v>
      </c>
      <c r="H70" t="s">
        <v>52</v>
      </c>
      <c r="I70" t="s">
        <v>243</v>
      </c>
      <c r="J70" t="s">
        <v>244</v>
      </c>
      <c r="K70">
        <v>884595</v>
      </c>
      <c r="L70" t="s">
        <v>55</v>
      </c>
      <c r="M70" t="s">
        <v>56</v>
      </c>
      <c r="N70" t="s">
        <v>57</v>
      </c>
      <c r="O70" s="1">
        <v>45931</v>
      </c>
      <c r="Q70" s="1">
        <v>45962</v>
      </c>
      <c r="R70" s="2">
        <v>28.38</v>
      </c>
      <c r="S70">
        <v>1</v>
      </c>
      <c r="T70" t="s">
        <v>58</v>
      </c>
      <c r="U70" t="s">
        <v>59</v>
      </c>
      <c r="V70" s="4">
        <v>0.375</v>
      </c>
      <c r="W70" s="2">
        <v>0</v>
      </c>
      <c r="X70">
        <v>0</v>
      </c>
      <c r="Y70" t="s">
        <v>60</v>
      </c>
      <c r="Z70" t="s">
        <v>61</v>
      </c>
      <c r="AA70">
        <v>6</v>
      </c>
      <c r="AB70" s="2">
        <v>63.84</v>
      </c>
      <c r="AC70" s="2">
        <v>0</v>
      </c>
      <c r="AD70" s="3">
        <v>0</v>
      </c>
      <c r="AE70" s="2">
        <v>0</v>
      </c>
      <c r="AF70" s="2">
        <v>0</v>
      </c>
      <c r="AG70" s="2">
        <v>0</v>
      </c>
      <c r="AH70" s="2">
        <v>0</v>
      </c>
      <c r="AI70" s="2">
        <v>0</v>
      </c>
      <c r="AJ70" s="2">
        <v>0</v>
      </c>
      <c r="AK70" s="2">
        <v>0</v>
      </c>
      <c r="AL70" s="2">
        <v>10.64</v>
      </c>
      <c r="AM70" s="2">
        <v>0</v>
      </c>
      <c r="AN70" s="2">
        <v>63.84</v>
      </c>
      <c r="AO70" s="2">
        <v>0</v>
      </c>
      <c r="AP70" s="2">
        <v>0</v>
      </c>
      <c r="AQ70" s="2">
        <v>0</v>
      </c>
    </row>
    <row r="71" spans="1:43" x14ac:dyDescent="0.25">
      <c r="A71" s="1">
        <v>45936</v>
      </c>
      <c r="B71" t="s">
        <v>48</v>
      </c>
      <c r="C71">
        <v>649163</v>
      </c>
      <c r="D71">
        <v>2031225658</v>
      </c>
      <c r="E71" t="s">
        <v>254</v>
      </c>
      <c r="F71" t="s">
        <v>255</v>
      </c>
      <c r="G71" t="s">
        <v>51</v>
      </c>
      <c r="H71" t="s">
        <v>155</v>
      </c>
      <c r="I71" t="s">
        <v>243</v>
      </c>
      <c r="J71" t="s">
        <v>244</v>
      </c>
      <c r="K71">
        <v>814033</v>
      </c>
      <c r="L71" t="s">
        <v>256</v>
      </c>
      <c r="M71" t="s">
        <v>165</v>
      </c>
      <c r="N71" t="s">
        <v>57</v>
      </c>
      <c r="O71" s="1">
        <v>45931</v>
      </c>
      <c r="Q71" s="1">
        <v>45962</v>
      </c>
      <c r="R71" s="2">
        <v>27.56</v>
      </c>
      <c r="S71">
        <v>1</v>
      </c>
      <c r="T71" t="s">
        <v>58</v>
      </c>
      <c r="U71" t="s">
        <v>59</v>
      </c>
      <c r="V71" s="4">
        <v>0.375</v>
      </c>
      <c r="W71" s="2">
        <v>0</v>
      </c>
      <c r="X71">
        <v>0</v>
      </c>
      <c r="Y71" t="s">
        <v>60</v>
      </c>
      <c r="Z71" t="s">
        <v>61</v>
      </c>
      <c r="AA71">
        <v>6</v>
      </c>
      <c r="AB71" s="2">
        <v>62.04</v>
      </c>
      <c r="AC71" s="2">
        <v>0</v>
      </c>
      <c r="AD71" s="3">
        <v>0</v>
      </c>
      <c r="AE71" s="2">
        <v>0</v>
      </c>
      <c r="AF71" s="2">
        <v>0</v>
      </c>
      <c r="AG71" s="2">
        <v>0</v>
      </c>
      <c r="AH71" s="2">
        <v>0</v>
      </c>
      <c r="AI71" s="2">
        <v>0</v>
      </c>
      <c r="AJ71" s="2">
        <v>0</v>
      </c>
      <c r="AK71" s="2">
        <v>0</v>
      </c>
      <c r="AL71" s="2">
        <v>10.34</v>
      </c>
      <c r="AM71" s="2">
        <v>0</v>
      </c>
      <c r="AN71" s="2">
        <v>62.04</v>
      </c>
      <c r="AO71" s="2">
        <v>0</v>
      </c>
      <c r="AP71" s="2">
        <v>0</v>
      </c>
      <c r="AQ71" s="2">
        <v>0</v>
      </c>
    </row>
    <row r="72" spans="1:43" x14ac:dyDescent="0.25">
      <c r="A72" s="1">
        <v>45936</v>
      </c>
      <c r="B72" t="s">
        <v>48</v>
      </c>
      <c r="C72">
        <v>649163</v>
      </c>
      <c r="D72">
        <v>2031246839</v>
      </c>
      <c r="E72" t="s">
        <v>162</v>
      </c>
      <c r="F72" t="s">
        <v>163</v>
      </c>
      <c r="G72" t="s">
        <v>51</v>
      </c>
      <c r="H72" t="s">
        <v>159</v>
      </c>
      <c r="I72" t="s">
        <v>243</v>
      </c>
      <c r="J72" t="s">
        <v>244</v>
      </c>
      <c r="K72">
        <v>651818</v>
      </c>
      <c r="L72" t="s">
        <v>112</v>
      </c>
      <c r="M72" t="s">
        <v>104</v>
      </c>
      <c r="N72" t="s">
        <v>57</v>
      </c>
      <c r="O72" s="1">
        <v>45936</v>
      </c>
      <c r="Q72" s="1">
        <v>45967</v>
      </c>
      <c r="R72" s="2">
        <v>84.44</v>
      </c>
      <c r="S72">
        <v>1</v>
      </c>
      <c r="T72" t="s">
        <v>58</v>
      </c>
      <c r="U72" t="s">
        <v>59</v>
      </c>
      <c r="V72" s="4">
        <v>0.375</v>
      </c>
      <c r="W72" s="2">
        <v>0</v>
      </c>
      <c r="X72">
        <v>0</v>
      </c>
      <c r="Y72" t="s">
        <v>60</v>
      </c>
      <c r="Z72" t="s">
        <v>61</v>
      </c>
      <c r="AA72">
        <v>6</v>
      </c>
      <c r="AB72" s="2">
        <v>189.96</v>
      </c>
      <c r="AC72" s="2">
        <v>0</v>
      </c>
      <c r="AD72" s="3">
        <v>0</v>
      </c>
      <c r="AE72" s="2">
        <v>0</v>
      </c>
      <c r="AF72" s="2">
        <v>0</v>
      </c>
      <c r="AG72" s="2">
        <v>0</v>
      </c>
      <c r="AH72" s="2">
        <v>0</v>
      </c>
      <c r="AI72" s="2">
        <v>0</v>
      </c>
      <c r="AJ72" s="2">
        <v>0</v>
      </c>
      <c r="AK72" s="2">
        <v>0</v>
      </c>
      <c r="AL72" s="2">
        <v>31.66</v>
      </c>
      <c r="AM72" s="2">
        <v>0</v>
      </c>
      <c r="AN72" s="2">
        <v>189.96</v>
      </c>
      <c r="AO72" s="2">
        <v>0</v>
      </c>
      <c r="AP72" s="2">
        <v>0</v>
      </c>
      <c r="AQ72" s="2">
        <v>0</v>
      </c>
    </row>
    <row r="73" spans="1:43" x14ac:dyDescent="0.25">
      <c r="A73" s="1">
        <v>45936</v>
      </c>
      <c r="B73" t="s">
        <v>48</v>
      </c>
      <c r="C73">
        <v>649163</v>
      </c>
      <c r="D73">
        <v>2031247583</v>
      </c>
      <c r="E73" t="s">
        <v>164</v>
      </c>
      <c r="F73" t="s">
        <v>165</v>
      </c>
      <c r="G73" t="s">
        <v>51</v>
      </c>
      <c r="H73" t="s">
        <v>101</v>
      </c>
      <c r="I73" t="s">
        <v>243</v>
      </c>
      <c r="J73" t="s">
        <v>244</v>
      </c>
      <c r="K73">
        <v>651818</v>
      </c>
      <c r="L73" t="s">
        <v>112</v>
      </c>
      <c r="M73" t="s">
        <v>104</v>
      </c>
      <c r="N73" t="s">
        <v>57</v>
      </c>
      <c r="O73" s="1">
        <v>45936</v>
      </c>
      <c r="Q73" s="1">
        <v>45967</v>
      </c>
      <c r="R73" s="2">
        <v>149.87</v>
      </c>
      <c r="S73">
        <v>1</v>
      </c>
      <c r="T73" t="s">
        <v>58</v>
      </c>
      <c r="U73" t="s">
        <v>59</v>
      </c>
      <c r="V73" s="4">
        <v>0.375</v>
      </c>
      <c r="W73" s="2">
        <v>0</v>
      </c>
      <c r="X73">
        <v>0</v>
      </c>
      <c r="Y73" t="s">
        <v>60</v>
      </c>
      <c r="Z73" t="s">
        <v>61</v>
      </c>
      <c r="AA73">
        <v>6</v>
      </c>
      <c r="AB73" s="2">
        <v>337.2</v>
      </c>
      <c r="AC73" s="2">
        <v>0</v>
      </c>
      <c r="AD73" s="3">
        <v>0</v>
      </c>
      <c r="AE73" s="2">
        <v>0</v>
      </c>
      <c r="AF73" s="2">
        <v>0</v>
      </c>
      <c r="AG73" s="2">
        <v>0</v>
      </c>
      <c r="AH73" s="2">
        <v>0</v>
      </c>
      <c r="AI73" s="2">
        <v>0</v>
      </c>
      <c r="AJ73" s="2">
        <v>0</v>
      </c>
      <c r="AK73" s="2">
        <v>0</v>
      </c>
      <c r="AL73" s="2">
        <v>56.2</v>
      </c>
      <c r="AM73" s="2">
        <v>0</v>
      </c>
      <c r="AN73" s="2">
        <v>337.2</v>
      </c>
      <c r="AO73" s="2">
        <v>0</v>
      </c>
      <c r="AP73" s="2">
        <v>0</v>
      </c>
      <c r="AQ73" s="2">
        <v>0</v>
      </c>
    </row>
    <row r="74" spans="1:43" x14ac:dyDescent="0.25">
      <c r="A74" s="1">
        <v>45936</v>
      </c>
      <c r="B74" t="s">
        <v>48</v>
      </c>
      <c r="C74">
        <v>649163</v>
      </c>
      <c r="D74">
        <v>2031251422</v>
      </c>
      <c r="E74" t="s">
        <v>257</v>
      </c>
      <c r="F74" t="s">
        <v>137</v>
      </c>
      <c r="G74" t="s">
        <v>51</v>
      </c>
      <c r="H74" t="s">
        <v>52</v>
      </c>
      <c r="I74" t="s">
        <v>243</v>
      </c>
      <c r="J74" t="s">
        <v>244</v>
      </c>
      <c r="K74">
        <v>669316</v>
      </c>
      <c r="L74" t="s">
        <v>258</v>
      </c>
      <c r="M74" t="s">
        <v>259</v>
      </c>
      <c r="N74" t="s">
        <v>57</v>
      </c>
      <c r="O74" s="1">
        <v>45931</v>
      </c>
      <c r="Q74" s="1">
        <v>45962</v>
      </c>
      <c r="R74" s="2">
        <v>93.91</v>
      </c>
      <c r="S74">
        <v>1</v>
      </c>
      <c r="T74" t="s">
        <v>58</v>
      </c>
      <c r="U74" t="s">
        <v>59</v>
      </c>
      <c r="V74" s="4">
        <v>0.375</v>
      </c>
      <c r="W74" s="2">
        <v>0</v>
      </c>
      <c r="X74">
        <v>0</v>
      </c>
      <c r="Y74" t="s">
        <v>60</v>
      </c>
      <c r="Z74" t="s">
        <v>61</v>
      </c>
      <c r="AA74">
        <v>6</v>
      </c>
      <c r="AB74" s="2">
        <v>211.32</v>
      </c>
      <c r="AC74" s="2">
        <v>0</v>
      </c>
      <c r="AD74" s="3">
        <v>0</v>
      </c>
      <c r="AE74" s="2">
        <v>0</v>
      </c>
      <c r="AF74" s="2">
        <v>0</v>
      </c>
      <c r="AG74" s="2">
        <v>0</v>
      </c>
      <c r="AH74" s="2">
        <v>0</v>
      </c>
      <c r="AI74" s="2">
        <v>0</v>
      </c>
      <c r="AJ74" s="2">
        <v>0</v>
      </c>
      <c r="AK74" s="2">
        <v>0</v>
      </c>
      <c r="AL74" s="2">
        <v>35.22</v>
      </c>
      <c r="AM74" s="2">
        <v>0</v>
      </c>
      <c r="AN74" s="2">
        <v>211.32</v>
      </c>
      <c r="AO74" s="2">
        <v>0</v>
      </c>
      <c r="AP74" s="2">
        <v>0</v>
      </c>
      <c r="AQ74" s="2">
        <v>0</v>
      </c>
    </row>
    <row r="75" spans="1:43" x14ac:dyDescent="0.25">
      <c r="A75" s="1">
        <v>45936</v>
      </c>
      <c r="B75" t="s">
        <v>48</v>
      </c>
      <c r="C75">
        <v>649163</v>
      </c>
      <c r="D75">
        <v>2031271770</v>
      </c>
      <c r="E75" t="s">
        <v>260</v>
      </c>
      <c r="F75" t="s">
        <v>261</v>
      </c>
      <c r="G75" t="s">
        <v>51</v>
      </c>
      <c r="H75" t="s">
        <v>262</v>
      </c>
      <c r="I75" t="s">
        <v>243</v>
      </c>
      <c r="J75" t="s">
        <v>244</v>
      </c>
      <c r="K75">
        <v>812782</v>
      </c>
      <c r="L75" t="s">
        <v>91</v>
      </c>
      <c r="M75" t="s">
        <v>92</v>
      </c>
      <c r="N75" t="s">
        <v>57</v>
      </c>
      <c r="O75" s="1">
        <v>45931</v>
      </c>
      <c r="Q75" s="1">
        <v>45962</v>
      </c>
      <c r="R75" s="2">
        <v>37.53</v>
      </c>
      <c r="S75">
        <v>1</v>
      </c>
      <c r="T75" t="s">
        <v>58</v>
      </c>
      <c r="U75" t="s">
        <v>59</v>
      </c>
      <c r="V75" s="4">
        <v>0.375</v>
      </c>
      <c r="W75" s="2">
        <v>0</v>
      </c>
      <c r="X75">
        <v>0</v>
      </c>
      <c r="Y75" t="s">
        <v>60</v>
      </c>
      <c r="Z75" t="s">
        <v>61</v>
      </c>
      <c r="AA75">
        <v>6</v>
      </c>
      <c r="AB75" s="2">
        <v>84.42</v>
      </c>
      <c r="AC75" s="2">
        <v>0</v>
      </c>
      <c r="AD75" s="3">
        <v>0</v>
      </c>
      <c r="AE75" s="2">
        <v>0</v>
      </c>
      <c r="AF75" s="2">
        <v>0</v>
      </c>
      <c r="AG75" s="2">
        <v>0</v>
      </c>
      <c r="AH75" s="2">
        <v>0</v>
      </c>
      <c r="AI75" s="2">
        <v>0</v>
      </c>
      <c r="AJ75" s="2">
        <v>0</v>
      </c>
      <c r="AK75" s="2">
        <v>0</v>
      </c>
      <c r="AL75" s="2">
        <v>14.07</v>
      </c>
      <c r="AM75" s="2">
        <v>0</v>
      </c>
      <c r="AN75" s="2">
        <v>84.42</v>
      </c>
      <c r="AO75" s="2">
        <v>0</v>
      </c>
      <c r="AP75" s="2">
        <v>0</v>
      </c>
      <c r="AQ75" s="2">
        <v>0</v>
      </c>
    </row>
    <row r="76" spans="1:43" x14ac:dyDescent="0.25">
      <c r="A76" s="1">
        <v>45936</v>
      </c>
      <c r="B76" t="s">
        <v>48</v>
      </c>
      <c r="C76">
        <v>649163</v>
      </c>
      <c r="D76">
        <v>2031328269</v>
      </c>
      <c r="E76" t="s">
        <v>180</v>
      </c>
      <c r="F76" t="s">
        <v>181</v>
      </c>
      <c r="G76" t="s">
        <v>51</v>
      </c>
      <c r="H76" t="s">
        <v>182</v>
      </c>
      <c r="I76" t="s">
        <v>243</v>
      </c>
      <c r="J76" t="s">
        <v>244</v>
      </c>
      <c r="K76">
        <v>673059</v>
      </c>
      <c r="L76" t="s">
        <v>80</v>
      </c>
      <c r="M76" t="s">
        <v>81</v>
      </c>
      <c r="N76" t="s">
        <v>57</v>
      </c>
      <c r="O76" s="1">
        <v>45931</v>
      </c>
      <c r="Q76" s="1">
        <v>45962</v>
      </c>
      <c r="R76" s="2">
        <v>60.67</v>
      </c>
      <c r="S76">
        <v>1</v>
      </c>
      <c r="T76" t="s">
        <v>58</v>
      </c>
      <c r="U76" t="s">
        <v>59</v>
      </c>
      <c r="V76" s="4">
        <v>0.375</v>
      </c>
      <c r="W76" s="2">
        <v>0</v>
      </c>
      <c r="X76">
        <v>0</v>
      </c>
      <c r="Y76" t="s">
        <v>60</v>
      </c>
      <c r="Z76" t="s">
        <v>61</v>
      </c>
      <c r="AA76">
        <v>6</v>
      </c>
      <c r="AB76" s="2">
        <v>136.5</v>
      </c>
      <c r="AC76" s="2">
        <v>0</v>
      </c>
      <c r="AD76" s="3">
        <v>0</v>
      </c>
      <c r="AE76" s="2">
        <v>0</v>
      </c>
      <c r="AF76" s="2">
        <v>0</v>
      </c>
      <c r="AG76" s="2">
        <v>0</v>
      </c>
      <c r="AH76" s="2">
        <v>0</v>
      </c>
      <c r="AI76" s="2">
        <v>0</v>
      </c>
      <c r="AJ76" s="2">
        <v>0</v>
      </c>
      <c r="AK76" s="2">
        <v>0</v>
      </c>
      <c r="AL76" s="2">
        <v>22.75</v>
      </c>
      <c r="AM76" s="2">
        <v>0</v>
      </c>
      <c r="AN76" s="2">
        <v>136.5</v>
      </c>
      <c r="AO76" s="2">
        <v>0</v>
      </c>
      <c r="AP76" s="2">
        <v>0</v>
      </c>
      <c r="AQ76" s="2">
        <v>0</v>
      </c>
    </row>
    <row r="77" spans="1:43" x14ac:dyDescent="0.25">
      <c r="A77" s="1">
        <v>45936</v>
      </c>
      <c r="B77" t="s">
        <v>48</v>
      </c>
      <c r="C77">
        <v>649163</v>
      </c>
      <c r="D77">
        <v>2031337969</v>
      </c>
      <c r="E77" t="s">
        <v>263</v>
      </c>
      <c r="F77" t="s">
        <v>264</v>
      </c>
      <c r="G77" t="s">
        <v>51</v>
      </c>
      <c r="H77" t="s">
        <v>203</v>
      </c>
      <c r="I77" t="s">
        <v>243</v>
      </c>
      <c r="J77" t="s">
        <v>244</v>
      </c>
      <c r="K77">
        <v>816021</v>
      </c>
      <c r="L77" t="s">
        <v>265</v>
      </c>
      <c r="M77" t="s">
        <v>266</v>
      </c>
      <c r="N77" t="s">
        <v>57</v>
      </c>
      <c r="O77" s="1">
        <v>45931</v>
      </c>
      <c r="Q77" s="1">
        <v>45962</v>
      </c>
      <c r="R77" s="2">
        <v>71.760000000000005</v>
      </c>
      <c r="S77">
        <v>1</v>
      </c>
      <c r="T77" t="s">
        <v>58</v>
      </c>
      <c r="U77" t="s">
        <v>59</v>
      </c>
      <c r="V77" s="4">
        <v>0.375</v>
      </c>
      <c r="W77" s="2">
        <v>0</v>
      </c>
      <c r="X77">
        <v>0</v>
      </c>
      <c r="Y77" t="s">
        <v>60</v>
      </c>
      <c r="Z77" t="s">
        <v>61</v>
      </c>
      <c r="AA77">
        <v>6</v>
      </c>
      <c r="AB77" s="2">
        <v>161.46</v>
      </c>
      <c r="AC77" s="2">
        <v>0</v>
      </c>
      <c r="AD77" s="3">
        <v>0</v>
      </c>
      <c r="AE77" s="2">
        <v>0</v>
      </c>
      <c r="AF77" s="2">
        <v>0</v>
      </c>
      <c r="AG77" s="2">
        <v>0</v>
      </c>
      <c r="AH77" s="2">
        <v>0</v>
      </c>
      <c r="AI77" s="2">
        <v>0</v>
      </c>
      <c r="AJ77" s="2">
        <v>0</v>
      </c>
      <c r="AK77" s="2">
        <v>0</v>
      </c>
      <c r="AL77" s="2">
        <v>26.91</v>
      </c>
      <c r="AM77" s="2">
        <v>0</v>
      </c>
      <c r="AN77" s="2">
        <v>161.46</v>
      </c>
      <c r="AO77" s="2">
        <v>0</v>
      </c>
      <c r="AP77" s="2">
        <v>0</v>
      </c>
      <c r="AQ77" s="2">
        <v>0</v>
      </c>
    </row>
    <row r="78" spans="1:43" x14ac:dyDescent="0.25">
      <c r="A78" s="1">
        <v>45936</v>
      </c>
      <c r="B78" t="s">
        <v>48</v>
      </c>
      <c r="C78">
        <v>649163</v>
      </c>
      <c r="D78">
        <v>2031343658</v>
      </c>
      <c r="E78" t="s">
        <v>267</v>
      </c>
      <c r="F78" t="s">
        <v>268</v>
      </c>
      <c r="G78" t="s">
        <v>51</v>
      </c>
      <c r="H78" t="s">
        <v>52</v>
      </c>
      <c r="I78" t="s">
        <v>243</v>
      </c>
      <c r="J78" t="s">
        <v>244</v>
      </c>
      <c r="K78">
        <v>822733</v>
      </c>
      <c r="L78" t="s">
        <v>269</v>
      </c>
      <c r="M78" t="s">
        <v>270</v>
      </c>
      <c r="N78" t="s">
        <v>57</v>
      </c>
      <c r="O78" s="1">
        <v>45931</v>
      </c>
      <c r="Q78" s="1">
        <v>45962</v>
      </c>
      <c r="R78" s="2">
        <v>69.3</v>
      </c>
      <c r="S78">
        <v>1</v>
      </c>
      <c r="T78" t="s">
        <v>58</v>
      </c>
      <c r="U78" t="s">
        <v>59</v>
      </c>
      <c r="V78" s="4">
        <v>0.375</v>
      </c>
      <c r="W78" s="2">
        <v>0</v>
      </c>
      <c r="X78">
        <v>0</v>
      </c>
      <c r="Y78" t="s">
        <v>60</v>
      </c>
      <c r="Z78" t="s">
        <v>61</v>
      </c>
      <c r="AA78">
        <v>6</v>
      </c>
      <c r="AB78" s="2">
        <v>155.94</v>
      </c>
      <c r="AC78" s="2">
        <v>0</v>
      </c>
      <c r="AD78" s="3">
        <v>0</v>
      </c>
      <c r="AE78" s="2">
        <v>0</v>
      </c>
      <c r="AF78" s="2">
        <v>0</v>
      </c>
      <c r="AG78" s="2">
        <v>0</v>
      </c>
      <c r="AH78" s="2">
        <v>0</v>
      </c>
      <c r="AI78" s="2">
        <v>0</v>
      </c>
      <c r="AJ78" s="2">
        <v>0</v>
      </c>
      <c r="AK78" s="2">
        <v>0</v>
      </c>
      <c r="AL78" s="2">
        <v>25.99</v>
      </c>
      <c r="AM78" s="2">
        <v>0</v>
      </c>
      <c r="AN78" s="2">
        <v>155.94</v>
      </c>
      <c r="AO78" s="2">
        <v>0</v>
      </c>
      <c r="AP78" s="2">
        <v>0</v>
      </c>
      <c r="AQ78" s="2">
        <v>0</v>
      </c>
    </row>
    <row r="79" spans="1:43" x14ac:dyDescent="0.25">
      <c r="A79" s="1">
        <v>45936</v>
      </c>
      <c r="B79" t="s">
        <v>48</v>
      </c>
      <c r="C79">
        <v>649163</v>
      </c>
      <c r="D79">
        <v>2031343797</v>
      </c>
      <c r="E79" t="s">
        <v>271</v>
      </c>
      <c r="F79" t="s">
        <v>272</v>
      </c>
      <c r="G79" t="s">
        <v>51</v>
      </c>
      <c r="H79" t="s">
        <v>101</v>
      </c>
      <c r="I79" t="s">
        <v>243</v>
      </c>
      <c r="J79" t="s">
        <v>244</v>
      </c>
      <c r="K79">
        <v>824062</v>
      </c>
      <c r="L79" t="s">
        <v>273</v>
      </c>
      <c r="M79" t="s">
        <v>274</v>
      </c>
      <c r="N79" t="s">
        <v>57</v>
      </c>
      <c r="O79" s="1">
        <v>45931</v>
      </c>
      <c r="Q79" s="1">
        <v>45962</v>
      </c>
      <c r="R79" s="2">
        <v>61.64</v>
      </c>
      <c r="S79">
        <v>1</v>
      </c>
      <c r="T79" t="s">
        <v>58</v>
      </c>
      <c r="U79" t="s">
        <v>59</v>
      </c>
      <c r="V79" s="4">
        <v>0.375</v>
      </c>
      <c r="W79" s="2">
        <v>0</v>
      </c>
      <c r="X79">
        <v>0</v>
      </c>
      <c r="Y79" t="s">
        <v>60</v>
      </c>
      <c r="Z79" t="s">
        <v>61</v>
      </c>
      <c r="AA79">
        <v>6</v>
      </c>
      <c r="AB79" s="2">
        <v>138.72</v>
      </c>
      <c r="AC79" s="2">
        <v>0</v>
      </c>
      <c r="AD79" s="3">
        <v>0</v>
      </c>
      <c r="AE79" s="2">
        <v>0</v>
      </c>
      <c r="AF79" s="2">
        <v>0</v>
      </c>
      <c r="AG79" s="2">
        <v>0</v>
      </c>
      <c r="AH79" s="2">
        <v>0</v>
      </c>
      <c r="AI79" s="2">
        <v>0</v>
      </c>
      <c r="AJ79" s="2">
        <v>0</v>
      </c>
      <c r="AK79" s="2">
        <v>0</v>
      </c>
      <c r="AL79" s="2">
        <v>23.12</v>
      </c>
      <c r="AM79" s="2">
        <v>0</v>
      </c>
      <c r="AN79" s="2">
        <v>138.72</v>
      </c>
      <c r="AO79" s="2">
        <v>0</v>
      </c>
      <c r="AP79" s="2">
        <v>0</v>
      </c>
      <c r="AQ79" s="2">
        <v>0</v>
      </c>
    </row>
    <row r="80" spans="1:43" x14ac:dyDescent="0.25">
      <c r="A80" s="1">
        <v>45936</v>
      </c>
      <c r="B80" t="s">
        <v>48</v>
      </c>
      <c r="C80">
        <v>649163</v>
      </c>
      <c r="D80">
        <v>2031354345</v>
      </c>
      <c r="E80" t="s">
        <v>73</v>
      </c>
      <c r="F80" t="s">
        <v>74</v>
      </c>
      <c r="G80" t="s">
        <v>51</v>
      </c>
      <c r="H80" t="s">
        <v>70</v>
      </c>
      <c r="I80" t="s">
        <v>243</v>
      </c>
      <c r="J80" t="s">
        <v>244</v>
      </c>
      <c r="K80">
        <v>649247</v>
      </c>
      <c r="L80" t="s">
        <v>75</v>
      </c>
      <c r="M80" t="s">
        <v>76</v>
      </c>
      <c r="N80" t="s">
        <v>57</v>
      </c>
      <c r="O80" s="1">
        <v>45931</v>
      </c>
      <c r="Q80" s="1">
        <v>45962</v>
      </c>
      <c r="R80" s="2">
        <v>44.98</v>
      </c>
      <c r="S80">
        <v>1</v>
      </c>
      <c r="T80" t="s">
        <v>58</v>
      </c>
      <c r="U80" t="s">
        <v>59</v>
      </c>
      <c r="V80" s="4">
        <v>0.375</v>
      </c>
      <c r="W80" s="2">
        <v>0</v>
      </c>
      <c r="X80">
        <v>0</v>
      </c>
      <c r="Y80" t="s">
        <v>60</v>
      </c>
      <c r="Z80" t="s">
        <v>61</v>
      </c>
      <c r="AA80">
        <v>6</v>
      </c>
      <c r="AB80" s="2">
        <v>101.22</v>
      </c>
      <c r="AC80" s="2">
        <v>0</v>
      </c>
      <c r="AD80" s="3">
        <v>0</v>
      </c>
      <c r="AE80" s="2">
        <v>0</v>
      </c>
      <c r="AF80" s="2">
        <v>0</v>
      </c>
      <c r="AG80" s="2">
        <v>0</v>
      </c>
      <c r="AH80" s="2">
        <v>0</v>
      </c>
      <c r="AI80" s="2">
        <v>0</v>
      </c>
      <c r="AJ80" s="2">
        <v>0</v>
      </c>
      <c r="AK80" s="2">
        <v>0</v>
      </c>
      <c r="AL80" s="2">
        <v>16.87</v>
      </c>
      <c r="AM80" s="2">
        <v>0</v>
      </c>
      <c r="AN80" s="2">
        <v>101.22</v>
      </c>
      <c r="AO80" s="2">
        <v>0</v>
      </c>
      <c r="AP80" s="2">
        <v>0</v>
      </c>
      <c r="AQ80" s="2">
        <v>0</v>
      </c>
    </row>
    <row r="81" spans="1:43" x14ac:dyDescent="0.25">
      <c r="A81" s="1">
        <v>45936</v>
      </c>
      <c r="B81" t="s">
        <v>48</v>
      </c>
      <c r="C81">
        <v>649163</v>
      </c>
      <c r="D81">
        <v>2031361276</v>
      </c>
      <c r="E81" t="s">
        <v>275</v>
      </c>
      <c r="F81" t="s">
        <v>276</v>
      </c>
      <c r="G81" t="s">
        <v>51</v>
      </c>
      <c r="H81" t="s">
        <v>101</v>
      </c>
      <c r="I81" t="s">
        <v>243</v>
      </c>
      <c r="J81" t="s">
        <v>244</v>
      </c>
      <c r="K81">
        <v>824081</v>
      </c>
      <c r="L81" t="s">
        <v>277</v>
      </c>
      <c r="M81" t="s">
        <v>278</v>
      </c>
      <c r="N81" t="s">
        <v>57</v>
      </c>
      <c r="O81" s="1">
        <v>45931</v>
      </c>
      <c r="Q81" s="1">
        <v>45962</v>
      </c>
      <c r="R81" s="2">
        <v>53.87</v>
      </c>
      <c r="S81">
        <v>1</v>
      </c>
      <c r="T81" t="s">
        <v>58</v>
      </c>
      <c r="U81" t="s">
        <v>59</v>
      </c>
      <c r="V81" s="4">
        <v>0.375</v>
      </c>
      <c r="W81" s="2">
        <v>0</v>
      </c>
      <c r="X81">
        <v>0</v>
      </c>
      <c r="Y81" t="s">
        <v>60</v>
      </c>
      <c r="Z81" t="s">
        <v>61</v>
      </c>
      <c r="AA81">
        <v>6</v>
      </c>
      <c r="AB81" s="2">
        <v>121.2</v>
      </c>
      <c r="AC81" s="2">
        <v>0</v>
      </c>
      <c r="AD81" s="3">
        <v>0</v>
      </c>
      <c r="AE81" s="2">
        <v>0</v>
      </c>
      <c r="AF81" s="2">
        <v>0</v>
      </c>
      <c r="AG81" s="2">
        <v>0</v>
      </c>
      <c r="AH81" s="2">
        <v>0</v>
      </c>
      <c r="AI81" s="2">
        <v>0</v>
      </c>
      <c r="AJ81" s="2">
        <v>0</v>
      </c>
      <c r="AK81" s="2">
        <v>0</v>
      </c>
      <c r="AL81" s="2">
        <v>20.2</v>
      </c>
      <c r="AM81" s="2">
        <v>0</v>
      </c>
      <c r="AN81" s="2">
        <v>121.2</v>
      </c>
      <c r="AO81" s="2">
        <v>0</v>
      </c>
      <c r="AP81" s="2">
        <v>0</v>
      </c>
      <c r="AQ81" s="2">
        <v>0</v>
      </c>
    </row>
    <row r="82" spans="1:43" x14ac:dyDescent="0.25">
      <c r="A82" s="1">
        <v>45936</v>
      </c>
      <c r="B82" t="s">
        <v>48</v>
      </c>
      <c r="C82">
        <v>649163</v>
      </c>
      <c r="D82">
        <v>2031361485</v>
      </c>
      <c r="E82" t="s">
        <v>279</v>
      </c>
      <c r="F82" t="s">
        <v>280</v>
      </c>
      <c r="G82" t="s">
        <v>51</v>
      </c>
      <c r="H82" t="s">
        <v>150</v>
      </c>
      <c r="I82" t="s">
        <v>243</v>
      </c>
      <c r="J82" t="s">
        <v>244</v>
      </c>
      <c r="K82">
        <v>877790</v>
      </c>
      <c r="L82" t="s">
        <v>151</v>
      </c>
      <c r="M82" t="s">
        <v>152</v>
      </c>
      <c r="N82" t="s">
        <v>57</v>
      </c>
      <c r="O82" s="1">
        <v>45931</v>
      </c>
      <c r="Q82" s="1">
        <v>45962</v>
      </c>
      <c r="R82" s="2">
        <v>58.15</v>
      </c>
      <c r="S82">
        <v>1</v>
      </c>
      <c r="T82" t="s">
        <v>58</v>
      </c>
      <c r="U82" t="s">
        <v>59</v>
      </c>
      <c r="V82" s="4">
        <v>0.375</v>
      </c>
      <c r="W82" s="2">
        <v>0</v>
      </c>
      <c r="X82">
        <v>0</v>
      </c>
      <c r="Y82" t="s">
        <v>60</v>
      </c>
      <c r="Z82" t="s">
        <v>61</v>
      </c>
      <c r="AA82">
        <v>6</v>
      </c>
      <c r="AB82" s="2">
        <v>130.86000000000001</v>
      </c>
      <c r="AC82" s="2">
        <v>0</v>
      </c>
      <c r="AD82" s="3">
        <v>0</v>
      </c>
      <c r="AE82" s="2">
        <v>0</v>
      </c>
      <c r="AF82" s="2">
        <v>0</v>
      </c>
      <c r="AG82" s="2">
        <v>0</v>
      </c>
      <c r="AH82" s="2">
        <v>0</v>
      </c>
      <c r="AI82" s="2">
        <v>0</v>
      </c>
      <c r="AJ82" s="2">
        <v>0</v>
      </c>
      <c r="AK82" s="2">
        <v>0</v>
      </c>
      <c r="AL82" s="2">
        <v>21.81</v>
      </c>
      <c r="AM82" s="2">
        <v>0</v>
      </c>
      <c r="AN82" s="2">
        <v>130.86000000000001</v>
      </c>
      <c r="AO82" s="2">
        <v>0</v>
      </c>
      <c r="AP82" s="2">
        <v>0</v>
      </c>
      <c r="AQ82" s="2">
        <v>0</v>
      </c>
    </row>
    <row r="83" spans="1:43" x14ac:dyDescent="0.25">
      <c r="A83" s="1">
        <v>45936</v>
      </c>
      <c r="B83" t="s">
        <v>48</v>
      </c>
      <c r="C83">
        <v>649163</v>
      </c>
      <c r="D83">
        <v>2031361917</v>
      </c>
      <c r="E83" t="s">
        <v>186</v>
      </c>
      <c r="F83" t="s">
        <v>187</v>
      </c>
      <c r="G83" t="s">
        <v>51</v>
      </c>
      <c r="H83" t="s">
        <v>79</v>
      </c>
      <c r="I83" t="s">
        <v>243</v>
      </c>
      <c r="J83" t="s">
        <v>244</v>
      </c>
      <c r="K83">
        <v>673059</v>
      </c>
      <c r="L83" t="s">
        <v>80</v>
      </c>
      <c r="M83" t="s">
        <v>81</v>
      </c>
      <c r="N83" t="s">
        <v>57</v>
      </c>
      <c r="O83" s="1">
        <v>45931</v>
      </c>
      <c r="Q83" s="1">
        <v>45962</v>
      </c>
      <c r="R83" s="2">
        <v>40.409999999999997</v>
      </c>
      <c r="S83">
        <v>1</v>
      </c>
      <c r="T83" t="s">
        <v>58</v>
      </c>
      <c r="U83" t="s">
        <v>59</v>
      </c>
      <c r="V83" s="4">
        <v>0.375</v>
      </c>
      <c r="W83" s="2">
        <v>0</v>
      </c>
      <c r="X83">
        <v>0</v>
      </c>
      <c r="Y83" t="s">
        <v>60</v>
      </c>
      <c r="Z83" t="s">
        <v>61</v>
      </c>
      <c r="AA83">
        <v>6</v>
      </c>
      <c r="AB83" s="2">
        <v>90.9</v>
      </c>
      <c r="AC83" s="2">
        <v>0</v>
      </c>
      <c r="AD83" s="3">
        <v>0</v>
      </c>
      <c r="AE83" s="2">
        <v>0</v>
      </c>
      <c r="AF83" s="2">
        <v>0</v>
      </c>
      <c r="AG83" s="2">
        <v>0</v>
      </c>
      <c r="AH83" s="2">
        <v>0</v>
      </c>
      <c r="AI83" s="2">
        <v>0</v>
      </c>
      <c r="AJ83" s="2">
        <v>0</v>
      </c>
      <c r="AK83" s="2">
        <v>0</v>
      </c>
      <c r="AL83" s="2">
        <v>15.15</v>
      </c>
      <c r="AM83" s="2">
        <v>0</v>
      </c>
      <c r="AN83" s="2">
        <v>90.9</v>
      </c>
      <c r="AO83" s="2">
        <v>0</v>
      </c>
      <c r="AP83" s="2">
        <v>0</v>
      </c>
      <c r="AQ83" s="2">
        <v>0</v>
      </c>
    </row>
    <row r="84" spans="1:43" x14ac:dyDescent="0.25">
      <c r="A84" s="1">
        <v>45936</v>
      </c>
      <c r="B84" t="s">
        <v>48</v>
      </c>
      <c r="C84">
        <v>649163</v>
      </c>
      <c r="D84">
        <v>2031364306</v>
      </c>
      <c r="E84" t="s">
        <v>281</v>
      </c>
      <c r="F84" t="s">
        <v>282</v>
      </c>
      <c r="G84" t="s">
        <v>51</v>
      </c>
      <c r="H84" t="s">
        <v>52</v>
      </c>
      <c r="I84" t="s">
        <v>243</v>
      </c>
      <c r="J84" t="s">
        <v>244</v>
      </c>
      <c r="K84">
        <v>767312</v>
      </c>
      <c r="L84" t="s">
        <v>283</v>
      </c>
      <c r="M84" t="s">
        <v>284</v>
      </c>
      <c r="N84" t="s">
        <v>57</v>
      </c>
      <c r="O84" s="1">
        <v>45931</v>
      </c>
      <c r="Q84" s="1">
        <v>45962</v>
      </c>
      <c r="R84" s="2">
        <v>33.39</v>
      </c>
      <c r="S84">
        <v>1</v>
      </c>
      <c r="T84" t="s">
        <v>58</v>
      </c>
      <c r="U84" t="s">
        <v>59</v>
      </c>
      <c r="V84" s="4">
        <v>0.375</v>
      </c>
      <c r="W84" s="2">
        <v>0</v>
      </c>
      <c r="X84">
        <v>0</v>
      </c>
      <c r="Y84" t="s">
        <v>60</v>
      </c>
      <c r="Z84" t="s">
        <v>61</v>
      </c>
      <c r="AA84">
        <v>6</v>
      </c>
      <c r="AB84" s="2">
        <v>75.12</v>
      </c>
      <c r="AC84" s="2">
        <v>0</v>
      </c>
      <c r="AD84" s="3">
        <v>0</v>
      </c>
      <c r="AE84" s="2">
        <v>0</v>
      </c>
      <c r="AF84" s="2">
        <v>0</v>
      </c>
      <c r="AG84" s="2">
        <v>0</v>
      </c>
      <c r="AH84" s="2">
        <v>0</v>
      </c>
      <c r="AI84" s="2">
        <v>0</v>
      </c>
      <c r="AJ84" s="2">
        <v>0</v>
      </c>
      <c r="AK84" s="2">
        <v>0</v>
      </c>
      <c r="AL84" s="2">
        <v>12.52</v>
      </c>
      <c r="AM84" s="2">
        <v>0</v>
      </c>
      <c r="AN84" s="2">
        <v>75.12</v>
      </c>
      <c r="AO84" s="2">
        <v>0</v>
      </c>
      <c r="AP84" s="2">
        <v>0</v>
      </c>
      <c r="AQ84" s="2">
        <v>0</v>
      </c>
    </row>
    <row r="85" spans="1:43" x14ac:dyDescent="0.25">
      <c r="A85" s="1">
        <v>45936</v>
      </c>
      <c r="B85" t="s">
        <v>48</v>
      </c>
      <c r="C85">
        <v>649163</v>
      </c>
      <c r="D85">
        <v>2031383866</v>
      </c>
      <c r="E85" t="s">
        <v>285</v>
      </c>
      <c r="F85" t="s">
        <v>286</v>
      </c>
      <c r="G85" t="s">
        <v>51</v>
      </c>
      <c r="H85" t="s">
        <v>52</v>
      </c>
      <c r="I85" t="s">
        <v>243</v>
      </c>
      <c r="J85" t="s">
        <v>244</v>
      </c>
      <c r="K85">
        <v>673059</v>
      </c>
      <c r="L85" t="s">
        <v>80</v>
      </c>
      <c r="M85" t="s">
        <v>81</v>
      </c>
      <c r="N85" t="s">
        <v>57</v>
      </c>
      <c r="O85" s="1">
        <v>45932</v>
      </c>
      <c r="Q85" s="1">
        <v>45963</v>
      </c>
      <c r="R85" s="2">
        <v>96.21</v>
      </c>
      <c r="S85">
        <v>1</v>
      </c>
      <c r="T85" t="s">
        <v>58</v>
      </c>
      <c r="U85" t="s">
        <v>59</v>
      </c>
      <c r="V85" s="4">
        <v>0.375</v>
      </c>
      <c r="W85" s="2">
        <v>0</v>
      </c>
      <c r="X85">
        <v>0</v>
      </c>
      <c r="Y85" t="s">
        <v>60</v>
      </c>
      <c r="Z85" t="s">
        <v>61</v>
      </c>
      <c r="AA85">
        <v>6</v>
      </c>
      <c r="AB85" s="2">
        <v>216.48</v>
      </c>
      <c r="AC85" s="2">
        <v>0</v>
      </c>
      <c r="AD85" s="3">
        <v>0</v>
      </c>
      <c r="AE85" s="2">
        <v>0</v>
      </c>
      <c r="AF85" s="2">
        <v>0</v>
      </c>
      <c r="AG85" s="2">
        <v>0</v>
      </c>
      <c r="AH85" s="2">
        <v>0</v>
      </c>
      <c r="AI85" s="2">
        <v>0</v>
      </c>
      <c r="AJ85" s="2">
        <v>0</v>
      </c>
      <c r="AK85" s="2">
        <v>0</v>
      </c>
      <c r="AL85" s="2">
        <v>36.08</v>
      </c>
      <c r="AM85" s="2">
        <v>0</v>
      </c>
      <c r="AN85" s="2">
        <v>216.48</v>
      </c>
      <c r="AO85" s="2">
        <v>0</v>
      </c>
      <c r="AP85" s="2">
        <v>0</v>
      </c>
      <c r="AQ85" s="2">
        <v>0</v>
      </c>
    </row>
    <row r="86" spans="1:43" x14ac:dyDescent="0.25">
      <c r="A86" s="1">
        <v>45936</v>
      </c>
      <c r="B86" t="s">
        <v>48</v>
      </c>
      <c r="C86">
        <v>649163</v>
      </c>
      <c r="D86">
        <v>2031411444</v>
      </c>
      <c r="E86" t="s">
        <v>202</v>
      </c>
      <c r="F86" t="s">
        <v>145</v>
      </c>
      <c r="G86" t="s">
        <v>51</v>
      </c>
      <c r="H86" t="s">
        <v>203</v>
      </c>
      <c r="I86" t="s">
        <v>243</v>
      </c>
      <c r="J86" t="s">
        <v>244</v>
      </c>
      <c r="K86">
        <v>796984</v>
      </c>
      <c r="L86" t="s">
        <v>204</v>
      </c>
      <c r="M86" t="s">
        <v>205</v>
      </c>
      <c r="N86" t="s">
        <v>57</v>
      </c>
      <c r="O86" s="1">
        <v>45933</v>
      </c>
      <c r="Q86" s="1">
        <v>45964</v>
      </c>
      <c r="R86" s="2">
        <v>47.28</v>
      </c>
      <c r="S86">
        <v>1</v>
      </c>
      <c r="T86" t="s">
        <v>58</v>
      </c>
      <c r="U86" t="s">
        <v>59</v>
      </c>
      <c r="V86" s="4">
        <v>0.375</v>
      </c>
      <c r="W86" s="2">
        <v>0</v>
      </c>
      <c r="X86">
        <v>0</v>
      </c>
      <c r="Y86" t="s">
        <v>60</v>
      </c>
      <c r="Z86" t="s">
        <v>61</v>
      </c>
      <c r="AA86">
        <v>6</v>
      </c>
      <c r="AB86" s="2">
        <v>106.38</v>
      </c>
      <c r="AC86" s="2">
        <v>0</v>
      </c>
      <c r="AD86" s="3">
        <v>0</v>
      </c>
      <c r="AE86" s="2">
        <v>0</v>
      </c>
      <c r="AF86" s="2">
        <v>0</v>
      </c>
      <c r="AG86" s="2">
        <v>0</v>
      </c>
      <c r="AH86" s="2">
        <v>0</v>
      </c>
      <c r="AI86" s="2">
        <v>0</v>
      </c>
      <c r="AJ86" s="2">
        <v>0</v>
      </c>
      <c r="AK86" s="2">
        <v>0</v>
      </c>
      <c r="AL86" s="2">
        <v>17.73</v>
      </c>
      <c r="AM86" s="2">
        <v>0</v>
      </c>
      <c r="AN86" s="2">
        <v>106.38</v>
      </c>
      <c r="AO86" s="2">
        <v>0</v>
      </c>
      <c r="AP86" s="2">
        <v>0</v>
      </c>
      <c r="AQ86" s="2">
        <v>0</v>
      </c>
    </row>
    <row r="87" spans="1:43" x14ac:dyDescent="0.25">
      <c r="A87" s="1">
        <v>45936</v>
      </c>
      <c r="B87" t="s">
        <v>48</v>
      </c>
      <c r="C87">
        <v>649163</v>
      </c>
      <c r="D87">
        <v>2031462398</v>
      </c>
      <c r="E87" t="s">
        <v>239</v>
      </c>
      <c r="F87" t="s">
        <v>240</v>
      </c>
      <c r="G87" t="s">
        <v>51</v>
      </c>
      <c r="H87" t="s">
        <v>101</v>
      </c>
      <c r="I87" t="s">
        <v>243</v>
      </c>
      <c r="J87" t="s">
        <v>244</v>
      </c>
      <c r="K87">
        <v>884943</v>
      </c>
      <c r="L87" t="s">
        <v>241</v>
      </c>
      <c r="M87" t="s">
        <v>242</v>
      </c>
      <c r="N87" t="s">
        <v>57</v>
      </c>
      <c r="O87" s="1">
        <v>45936</v>
      </c>
      <c r="Q87" s="1">
        <v>45967</v>
      </c>
      <c r="R87" s="2">
        <v>77.48</v>
      </c>
      <c r="S87">
        <v>1</v>
      </c>
      <c r="T87" t="s">
        <v>58</v>
      </c>
      <c r="U87" t="s">
        <v>59</v>
      </c>
      <c r="V87" s="4">
        <v>0.375</v>
      </c>
      <c r="W87" s="2">
        <v>0</v>
      </c>
      <c r="X87">
        <v>0</v>
      </c>
      <c r="Y87" t="s">
        <v>60</v>
      </c>
      <c r="Z87" t="s">
        <v>61</v>
      </c>
      <c r="AA87">
        <v>6</v>
      </c>
      <c r="AB87" s="2">
        <v>174.36</v>
      </c>
      <c r="AC87" s="2">
        <v>0</v>
      </c>
      <c r="AD87" s="3">
        <v>0</v>
      </c>
      <c r="AE87" s="2">
        <v>0</v>
      </c>
      <c r="AF87" s="2">
        <v>0</v>
      </c>
      <c r="AG87" s="2">
        <v>0</v>
      </c>
      <c r="AH87" s="2">
        <v>0</v>
      </c>
      <c r="AI87" s="2">
        <v>0</v>
      </c>
      <c r="AJ87" s="2">
        <v>0</v>
      </c>
      <c r="AK87" s="2">
        <v>0</v>
      </c>
      <c r="AL87" s="2">
        <v>29.06</v>
      </c>
      <c r="AM87" s="2">
        <v>0</v>
      </c>
      <c r="AN87" s="2">
        <v>174.36</v>
      </c>
      <c r="AO87" s="2">
        <v>0</v>
      </c>
      <c r="AP87" s="2">
        <v>0</v>
      </c>
      <c r="AQ87" s="2">
        <v>0</v>
      </c>
    </row>
    <row r="88" spans="1:43" x14ac:dyDescent="0.25">
      <c r="A88" s="1">
        <v>45936</v>
      </c>
      <c r="B88" t="s">
        <v>48</v>
      </c>
      <c r="C88">
        <v>649163</v>
      </c>
      <c r="D88">
        <v>2030969459</v>
      </c>
      <c r="E88" t="s">
        <v>132</v>
      </c>
      <c r="F88" t="s">
        <v>133</v>
      </c>
      <c r="G88" t="s">
        <v>51</v>
      </c>
      <c r="H88" t="s">
        <v>101</v>
      </c>
      <c r="I88" t="s">
        <v>287</v>
      </c>
      <c r="J88" t="s">
        <v>288</v>
      </c>
      <c r="K88">
        <v>820873</v>
      </c>
      <c r="L88" t="s">
        <v>134</v>
      </c>
      <c r="M88" t="s">
        <v>135</v>
      </c>
      <c r="N88" t="s">
        <v>57</v>
      </c>
      <c r="O88" s="1">
        <v>45935</v>
      </c>
      <c r="Q88" s="1">
        <v>45966</v>
      </c>
      <c r="R88" s="2">
        <v>10.33</v>
      </c>
      <c r="S88">
        <v>1</v>
      </c>
      <c r="T88" t="s">
        <v>58</v>
      </c>
      <c r="U88" t="s">
        <v>59</v>
      </c>
      <c r="V88" s="3">
        <v>0.38</v>
      </c>
      <c r="W88" s="2">
        <v>0</v>
      </c>
      <c r="X88">
        <v>0</v>
      </c>
      <c r="Y88" t="s">
        <v>60</v>
      </c>
      <c r="Z88" t="s">
        <v>61</v>
      </c>
      <c r="AA88">
        <v>6</v>
      </c>
      <c r="AB88" s="2">
        <v>23.58</v>
      </c>
      <c r="AC88" s="2">
        <v>0</v>
      </c>
      <c r="AD88" s="3">
        <v>0</v>
      </c>
      <c r="AE88" s="2">
        <v>0</v>
      </c>
      <c r="AF88" s="2">
        <v>0</v>
      </c>
      <c r="AG88" s="2">
        <v>0</v>
      </c>
      <c r="AH88" s="2">
        <v>0</v>
      </c>
      <c r="AI88" s="2">
        <v>0</v>
      </c>
      <c r="AJ88" s="2">
        <v>0</v>
      </c>
      <c r="AK88" s="2">
        <v>0</v>
      </c>
      <c r="AL88" s="2">
        <v>3.93</v>
      </c>
      <c r="AM88" s="2">
        <v>0</v>
      </c>
      <c r="AN88" s="2">
        <v>23.58</v>
      </c>
      <c r="AO88" s="2">
        <v>0</v>
      </c>
      <c r="AP88" s="2">
        <v>0</v>
      </c>
      <c r="AQ88" s="2">
        <v>0</v>
      </c>
    </row>
    <row r="89" spans="1:43" x14ac:dyDescent="0.25">
      <c r="A89" s="1">
        <v>45936</v>
      </c>
      <c r="B89" t="s">
        <v>48</v>
      </c>
      <c r="C89">
        <v>649163</v>
      </c>
      <c r="D89">
        <v>2031333609</v>
      </c>
      <c r="E89" t="s">
        <v>68</v>
      </c>
      <c r="F89" t="s">
        <v>69</v>
      </c>
      <c r="G89" t="s">
        <v>51</v>
      </c>
      <c r="H89" t="s">
        <v>70</v>
      </c>
      <c r="I89" t="s">
        <v>287</v>
      </c>
      <c r="J89" t="s">
        <v>288</v>
      </c>
      <c r="K89">
        <v>751867</v>
      </c>
      <c r="L89" t="s">
        <v>71</v>
      </c>
      <c r="M89" t="s">
        <v>72</v>
      </c>
      <c r="N89" t="s">
        <v>57</v>
      </c>
      <c r="O89" s="1">
        <v>45931</v>
      </c>
      <c r="Q89" s="1">
        <v>45962</v>
      </c>
      <c r="R89" s="2">
        <v>55.16</v>
      </c>
      <c r="S89">
        <v>1</v>
      </c>
      <c r="T89" t="s">
        <v>58</v>
      </c>
      <c r="U89" t="s">
        <v>59</v>
      </c>
      <c r="V89" s="3">
        <v>0.38</v>
      </c>
      <c r="W89" s="2">
        <v>0</v>
      </c>
      <c r="X89">
        <v>0</v>
      </c>
      <c r="Y89" t="s">
        <v>60</v>
      </c>
      <c r="Z89" t="s">
        <v>61</v>
      </c>
      <c r="AA89">
        <v>6</v>
      </c>
      <c r="AB89" s="2">
        <v>125.76</v>
      </c>
      <c r="AC89" s="2">
        <v>0</v>
      </c>
      <c r="AD89" s="3">
        <v>0</v>
      </c>
      <c r="AE89" s="2">
        <v>0</v>
      </c>
      <c r="AF89" s="2">
        <v>0</v>
      </c>
      <c r="AG89" s="2">
        <v>0</v>
      </c>
      <c r="AH89" s="2">
        <v>0</v>
      </c>
      <c r="AI89" s="2">
        <v>0</v>
      </c>
      <c r="AJ89" s="2">
        <v>0</v>
      </c>
      <c r="AK89" s="2">
        <v>0</v>
      </c>
      <c r="AL89" s="2">
        <v>20.96</v>
      </c>
      <c r="AM89" s="2">
        <v>0</v>
      </c>
      <c r="AN89" s="2">
        <v>125.76</v>
      </c>
      <c r="AO89" s="2">
        <v>0</v>
      </c>
      <c r="AP89" s="2">
        <v>0</v>
      </c>
      <c r="AQ89" s="2">
        <v>0</v>
      </c>
    </row>
    <row r="90" spans="1:43" x14ac:dyDescent="0.25">
      <c r="A90" s="1">
        <v>45936</v>
      </c>
      <c r="B90" t="s">
        <v>48</v>
      </c>
      <c r="C90">
        <v>649163</v>
      </c>
      <c r="D90">
        <v>2031342784</v>
      </c>
      <c r="E90" t="s">
        <v>289</v>
      </c>
      <c r="F90" t="s">
        <v>290</v>
      </c>
      <c r="G90" t="s">
        <v>51</v>
      </c>
      <c r="H90" t="s">
        <v>155</v>
      </c>
      <c r="I90" t="s">
        <v>287</v>
      </c>
      <c r="J90" t="s">
        <v>291</v>
      </c>
      <c r="K90">
        <v>856163</v>
      </c>
      <c r="L90" t="s">
        <v>66</v>
      </c>
      <c r="M90" t="s">
        <v>156</v>
      </c>
      <c r="N90" t="s">
        <v>57</v>
      </c>
      <c r="O90" s="1">
        <v>45930</v>
      </c>
      <c r="Q90" s="1">
        <v>45960</v>
      </c>
      <c r="R90" s="2">
        <v>181.4</v>
      </c>
      <c r="S90">
        <v>1</v>
      </c>
      <c r="T90" t="s">
        <v>58</v>
      </c>
      <c r="U90" t="s">
        <v>59</v>
      </c>
      <c r="V90" s="3">
        <v>0.38</v>
      </c>
      <c r="W90" s="2">
        <v>0</v>
      </c>
      <c r="X90">
        <v>0</v>
      </c>
      <c r="Y90" t="s">
        <v>60</v>
      </c>
      <c r="Z90" t="s">
        <v>61</v>
      </c>
      <c r="AA90">
        <v>6</v>
      </c>
      <c r="AB90" s="2">
        <v>413.58</v>
      </c>
      <c r="AC90" s="2">
        <v>0</v>
      </c>
      <c r="AD90" s="3">
        <v>0</v>
      </c>
      <c r="AE90" s="2">
        <v>0</v>
      </c>
      <c r="AF90" s="2">
        <v>0</v>
      </c>
      <c r="AG90" s="2">
        <v>0</v>
      </c>
      <c r="AH90" s="2">
        <v>0</v>
      </c>
      <c r="AI90" s="2">
        <v>0</v>
      </c>
      <c r="AJ90" s="2">
        <v>0</v>
      </c>
      <c r="AK90" s="2">
        <v>0</v>
      </c>
      <c r="AL90" s="2">
        <v>68.930000000000007</v>
      </c>
      <c r="AM90" s="2">
        <v>0</v>
      </c>
      <c r="AN90" s="2">
        <v>413.58</v>
      </c>
      <c r="AO90" s="2">
        <v>0</v>
      </c>
      <c r="AP90" s="2">
        <v>0</v>
      </c>
      <c r="AQ90" s="2">
        <v>0</v>
      </c>
    </row>
    <row r="91" spans="1:43" x14ac:dyDescent="0.25">
      <c r="A91" s="1">
        <v>45936</v>
      </c>
      <c r="B91" t="s">
        <v>48</v>
      </c>
      <c r="C91">
        <v>649163</v>
      </c>
      <c r="D91">
        <v>2031362148</v>
      </c>
      <c r="E91" t="s">
        <v>82</v>
      </c>
      <c r="F91" t="s">
        <v>83</v>
      </c>
      <c r="G91" t="s">
        <v>51</v>
      </c>
      <c r="H91" t="s">
        <v>70</v>
      </c>
      <c r="I91" t="s">
        <v>287</v>
      </c>
      <c r="J91" t="s">
        <v>288</v>
      </c>
      <c r="K91">
        <v>885445</v>
      </c>
      <c r="L91" t="s">
        <v>84</v>
      </c>
      <c r="M91" t="s">
        <v>85</v>
      </c>
      <c r="N91" t="s">
        <v>57</v>
      </c>
      <c r="O91" s="1">
        <v>45931</v>
      </c>
      <c r="Q91" s="1">
        <v>45962</v>
      </c>
      <c r="R91" s="2">
        <v>46.13</v>
      </c>
      <c r="S91">
        <v>1</v>
      </c>
      <c r="T91" t="s">
        <v>58</v>
      </c>
      <c r="U91" t="s">
        <v>59</v>
      </c>
      <c r="V91" s="3">
        <v>0.38</v>
      </c>
      <c r="W91" s="2">
        <v>0</v>
      </c>
      <c r="X91">
        <v>0</v>
      </c>
      <c r="Y91" t="s">
        <v>60</v>
      </c>
      <c r="Z91" t="s">
        <v>61</v>
      </c>
      <c r="AA91">
        <v>6</v>
      </c>
      <c r="AB91" s="2">
        <v>105.18</v>
      </c>
      <c r="AC91" s="2">
        <v>0</v>
      </c>
      <c r="AD91" s="3">
        <v>0</v>
      </c>
      <c r="AE91" s="2">
        <v>0</v>
      </c>
      <c r="AF91" s="2">
        <v>0</v>
      </c>
      <c r="AG91" s="2">
        <v>0</v>
      </c>
      <c r="AH91" s="2">
        <v>0</v>
      </c>
      <c r="AI91" s="2">
        <v>0</v>
      </c>
      <c r="AJ91" s="2">
        <v>0</v>
      </c>
      <c r="AK91" s="2">
        <v>0</v>
      </c>
      <c r="AL91" s="2">
        <v>17.53</v>
      </c>
      <c r="AM91" s="2">
        <v>0</v>
      </c>
      <c r="AN91" s="2">
        <v>105.18</v>
      </c>
      <c r="AO91" s="2">
        <v>0</v>
      </c>
      <c r="AP91" s="2">
        <v>0</v>
      </c>
      <c r="AQ91" s="2">
        <v>0</v>
      </c>
    </row>
    <row r="92" spans="1:43" x14ac:dyDescent="0.25">
      <c r="A92" s="1">
        <v>45936</v>
      </c>
      <c r="B92" t="s">
        <v>48</v>
      </c>
      <c r="C92">
        <v>649163</v>
      </c>
      <c r="D92">
        <v>2031411445</v>
      </c>
      <c r="E92" t="s">
        <v>202</v>
      </c>
      <c r="F92" t="s">
        <v>145</v>
      </c>
      <c r="G92" t="s">
        <v>51</v>
      </c>
      <c r="H92" t="s">
        <v>203</v>
      </c>
      <c r="I92" t="s">
        <v>287</v>
      </c>
      <c r="J92" t="s">
        <v>291</v>
      </c>
      <c r="K92">
        <v>796984</v>
      </c>
      <c r="L92" t="s">
        <v>204</v>
      </c>
      <c r="M92" t="s">
        <v>205</v>
      </c>
      <c r="N92" t="s">
        <v>57</v>
      </c>
      <c r="O92" s="1">
        <v>45933</v>
      </c>
      <c r="Q92" s="1">
        <v>45964</v>
      </c>
      <c r="R92" s="2">
        <v>216.88</v>
      </c>
      <c r="S92">
        <v>1</v>
      </c>
      <c r="T92" t="s">
        <v>58</v>
      </c>
      <c r="U92" t="s">
        <v>59</v>
      </c>
      <c r="V92" s="3">
        <v>0.38</v>
      </c>
      <c r="W92" s="2">
        <v>0</v>
      </c>
      <c r="X92">
        <v>0</v>
      </c>
      <c r="Y92" t="s">
        <v>60</v>
      </c>
      <c r="Z92" t="s">
        <v>61</v>
      </c>
      <c r="AA92">
        <v>6</v>
      </c>
      <c r="AB92" s="2">
        <v>494.46</v>
      </c>
      <c r="AC92" s="2">
        <v>0</v>
      </c>
      <c r="AD92" s="3">
        <v>0</v>
      </c>
      <c r="AE92" s="2">
        <v>0</v>
      </c>
      <c r="AF92" s="2">
        <v>0</v>
      </c>
      <c r="AG92" s="2">
        <v>0</v>
      </c>
      <c r="AH92" s="2">
        <v>0</v>
      </c>
      <c r="AI92" s="2">
        <v>0</v>
      </c>
      <c r="AJ92" s="2">
        <v>0</v>
      </c>
      <c r="AK92" s="2">
        <v>0</v>
      </c>
      <c r="AL92" s="2">
        <v>82.41</v>
      </c>
      <c r="AM92" s="2">
        <v>0</v>
      </c>
      <c r="AN92" s="2">
        <v>494.46</v>
      </c>
      <c r="AO92" s="2">
        <v>0</v>
      </c>
      <c r="AP92" s="2">
        <v>0</v>
      </c>
      <c r="AQ92" s="2">
        <v>0</v>
      </c>
    </row>
    <row r="93" spans="1:43" x14ac:dyDescent="0.25">
      <c r="A93" s="1">
        <v>45936</v>
      </c>
      <c r="B93" t="s">
        <v>48</v>
      </c>
      <c r="C93">
        <v>649163</v>
      </c>
      <c r="D93">
        <v>2031420005</v>
      </c>
      <c r="E93" t="s">
        <v>230</v>
      </c>
      <c r="F93" t="s">
        <v>231</v>
      </c>
      <c r="G93" t="s">
        <v>51</v>
      </c>
      <c r="H93" t="s">
        <v>101</v>
      </c>
      <c r="I93" t="s">
        <v>287</v>
      </c>
      <c r="J93" t="s">
        <v>291</v>
      </c>
      <c r="K93">
        <v>756803</v>
      </c>
      <c r="L93" t="s">
        <v>233</v>
      </c>
      <c r="M93" t="s">
        <v>234</v>
      </c>
      <c r="N93" t="s">
        <v>57</v>
      </c>
      <c r="O93" s="1">
        <v>45933</v>
      </c>
      <c r="Q93" s="1">
        <v>45964</v>
      </c>
      <c r="R93" s="2">
        <v>168.95</v>
      </c>
      <c r="S93">
        <v>1</v>
      </c>
      <c r="T93" t="s">
        <v>58</v>
      </c>
      <c r="U93" t="s">
        <v>59</v>
      </c>
      <c r="V93" s="3">
        <v>0.38</v>
      </c>
      <c r="W93" s="2">
        <v>0</v>
      </c>
      <c r="X93">
        <v>0</v>
      </c>
      <c r="Y93" t="s">
        <v>60</v>
      </c>
      <c r="Z93" t="s">
        <v>61</v>
      </c>
      <c r="AA93">
        <v>6</v>
      </c>
      <c r="AB93" s="2">
        <v>385.2</v>
      </c>
      <c r="AC93" s="2">
        <v>0</v>
      </c>
      <c r="AD93" s="3">
        <v>0</v>
      </c>
      <c r="AE93" s="2">
        <v>0</v>
      </c>
      <c r="AF93" s="2">
        <v>0</v>
      </c>
      <c r="AG93" s="2">
        <v>0</v>
      </c>
      <c r="AH93" s="2">
        <v>0</v>
      </c>
      <c r="AI93" s="2">
        <v>0</v>
      </c>
      <c r="AJ93" s="2">
        <v>0</v>
      </c>
      <c r="AK93" s="2">
        <v>0</v>
      </c>
      <c r="AL93" s="2">
        <v>64.2</v>
      </c>
      <c r="AM93" s="2">
        <v>0</v>
      </c>
      <c r="AN93" s="2">
        <v>385.2</v>
      </c>
      <c r="AO93" s="2">
        <v>0</v>
      </c>
      <c r="AP93" s="2">
        <v>0</v>
      </c>
      <c r="AQ93" s="2">
        <v>0</v>
      </c>
    </row>
    <row r="94" spans="1:43" x14ac:dyDescent="0.25">
      <c r="A94" s="1">
        <v>45936</v>
      </c>
      <c r="B94" t="s">
        <v>48</v>
      </c>
      <c r="C94">
        <v>649163</v>
      </c>
      <c r="D94">
        <v>2031461151</v>
      </c>
      <c r="E94" t="s">
        <v>235</v>
      </c>
      <c r="F94" t="s">
        <v>236</v>
      </c>
      <c r="G94" t="s">
        <v>51</v>
      </c>
      <c r="H94" t="s">
        <v>88</v>
      </c>
      <c r="I94" t="s">
        <v>287</v>
      </c>
      <c r="J94" t="s">
        <v>288</v>
      </c>
      <c r="K94">
        <v>650218</v>
      </c>
      <c r="L94" t="s">
        <v>237</v>
      </c>
      <c r="M94" t="s">
        <v>238</v>
      </c>
      <c r="N94" t="s">
        <v>57</v>
      </c>
      <c r="O94" s="1">
        <v>45962</v>
      </c>
      <c r="Q94" s="1">
        <v>45992</v>
      </c>
      <c r="R94" s="2">
        <v>46.78</v>
      </c>
      <c r="S94">
        <v>1</v>
      </c>
      <c r="T94" t="s">
        <v>58</v>
      </c>
      <c r="U94" t="s">
        <v>59</v>
      </c>
      <c r="V94" s="3">
        <v>0.38</v>
      </c>
      <c r="W94" s="2">
        <v>0</v>
      </c>
      <c r="X94">
        <v>0</v>
      </c>
      <c r="Y94" t="s">
        <v>60</v>
      </c>
      <c r="Z94" t="s">
        <v>61</v>
      </c>
      <c r="AA94">
        <v>6</v>
      </c>
      <c r="AB94" s="2">
        <v>106.68</v>
      </c>
      <c r="AC94" s="2">
        <v>0</v>
      </c>
      <c r="AD94" s="3">
        <v>0</v>
      </c>
      <c r="AE94" s="2">
        <v>0</v>
      </c>
      <c r="AF94" s="2">
        <v>0</v>
      </c>
      <c r="AG94" s="2">
        <v>0</v>
      </c>
      <c r="AH94" s="2">
        <v>0</v>
      </c>
      <c r="AI94" s="2">
        <v>0</v>
      </c>
      <c r="AJ94" s="2">
        <v>0</v>
      </c>
      <c r="AK94" s="2">
        <v>0</v>
      </c>
      <c r="AL94" s="2">
        <v>17.78</v>
      </c>
      <c r="AM94" s="2">
        <v>0</v>
      </c>
      <c r="AN94" s="2">
        <v>106.68</v>
      </c>
      <c r="AO94" s="2">
        <v>0</v>
      </c>
      <c r="AP94" s="2">
        <v>0</v>
      </c>
      <c r="AQ94" s="2">
        <v>0</v>
      </c>
    </row>
    <row r="95" spans="1:43" x14ac:dyDescent="0.25">
      <c r="A95" s="1">
        <v>45936</v>
      </c>
      <c r="B95" t="s">
        <v>48</v>
      </c>
      <c r="C95">
        <v>649163</v>
      </c>
      <c r="D95">
        <v>2031462399</v>
      </c>
      <c r="E95" t="s">
        <v>239</v>
      </c>
      <c r="F95" t="s">
        <v>240</v>
      </c>
      <c r="G95" t="s">
        <v>51</v>
      </c>
      <c r="H95" t="s">
        <v>101</v>
      </c>
      <c r="I95" t="s">
        <v>287</v>
      </c>
      <c r="J95" t="s">
        <v>288</v>
      </c>
      <c r="K95">
        <v>884943</v>
      </c>
      <c r="L95" t="s">
        <v>241</v>
      </c>
      <c r="M95" t="s">
        <v>242</v>
      </c>
      <c r="N95" t="s">
        <v>57</v>
      </c>
      <c r="O95" s="1">
        <v>45936</v>
      </c>
      <c r="Q95" s="1">
        <v>45967</v>
      </c>
      <c r="R95" s="2">
        <v>10.75</v>
      </c>
      <c r="S95">
        <v>1</v>
      </c>
      <c r="T95" t="s">
        <v>58</v>
      </c>
      <c r="U95" t="s">
        <v>59</v>
      </c>
      <c r="V95" s="3">
        <v>0.38</v>
      </c>
      <c r="W95" s="2">
        <v>0</v>
      </c>
      <c r="X95">
        <v>0</v>
      </c>
      <c r="Y95" t="s">
        <v>60</v>
      </c>
      <c r="Z95" t="s">
        <v>61</v>
      </c>
      <c r="AA95">
        <v>6</v>
      </c>
      <c r="AB95" s="2">
        <v>24.48</v>
      </c>
      <c r="AC95" s="2">
        <v>0</v>
      </c>
      <c r="AD95" s="3">
        <v>0</v>
      </c>
      <c r="AE95" s="2">
        <v>0</v>
      </c>
      <c r="AF95" s="2">
        <v>0</v>
      </c>
      <c r="AG95" s="2">
        <v>0</v>
      </c>
      <c r="AH95" s="2">
        <v>0</v>
      </c>
      <c r="AI95" s="2">
        <v>0</v>
      </c>
      <c r="AJ95" s="2">
        <v>0</v>
      </c>
      <c r="AK95" s="2">
        <v>0</v>
      </c>
      <c r="AL95" s="2">
        <v>4.08</v>
      </c>
      <c r="AM95" s="2">
        <v>0</v>
      </c>
      <c r="AN95" s="2">
        <v>24.48</v>
      </c>
      <c r="AO95" s="2">
        <v>0</v>
      </c>
      <c r="AP95" s="2">
        <v>0</v>
      </c>
      <c r="AQ95" s="2">
        <v>0</v>
      </c>
    </row>
    <row r="96" spans="1:43" x14ac:dyDescent="0.25">
      <c r="A96" s="1">
        <v>45936</v>
      </c>
      <c r="B96" t="s">
        <v>48</v>
      </c>
      <c r="C96">
        <v>649163</v>
      </c>
      <c r="D96">
        <v>2030453212</v>
      </c>
      <c r="E96" t="s">
        <v>86</v>
      </c>
      <c r="F96" t="s">
        <v>87</v>
      </c>
      <c r="G96" t="s">
        <v>51</v>
      </c>
      <c r="H96" t="s">
        <v>88</v>
      </c>
      <c r="I96" t="s">
        <v>292</v>
      </c>
      <c r="J96" t="s">
        <v>293</v>
      </c>
      <c r="K96">
        <v>812782</v>
      </c>
      <c r="L96" t="s">
        <v>91</v>
      </c>
      <c r="M96" t="s">
        <v>92</v>
      </c>
      <c r="N96" t="s">
        <v>57</v>
      </c>
      <c r="O96" s="1">
        <v>45931</v>
      </c>
      <c r="Q96" s="1">
        <v>45962</v>
      </c>
      <c r="R96" s="2">
        <v>18.350000000000001</v>
      </c>
      <c r="S96">
        <v>1</v>
      </c>
      <c r="T96" t="s">
        <v>58</v>
      </c>
      <c r="U96" t="s">
        <v>59</v>
      </c>
      <c r="V96" s="3">
        <v>0.7</v>
      </c>
      <c r="W96" s="2">
        <v>0</v>
      </c>
      <c r="X96">
        <v>0</v>
      </c>
      <c r="Y96" t="s">
        <v>60</v>
      </c>
      <c r="Z96" t="s">
        <v>61</v>
      </c>
      <c r="AA96">
        <v>6</v>
      </c>
      <c r="AB96" s="2">
        <v>77.040000000000006</v>
      </c>
      <c r="AC96" s="2">
        <v>0</v>
      </c>
      <c r="AD96" s="3">
        <v>0</v>
      </c>
      <c r="AE96" s="2">
        <v>0</v>
      </c>
      <c r="AF96" s="2">
        <v>0</v>
      </c>
      <c r="AG96" s="2">
        <v>0</v>
      </c>
      <c r="AH96" s="2">
        <v>0</v>
      </c>
      <c r="AI96" s="2">
        <v>0</v>
      </c>
      <c r="AJ96" s="2">
        <v>0</v>
      </c>
      <c r="AK96" s="2">
        <v>0</v>
      </c>
      <c r="AL96" s="2">
        <v>12.84</v>
      </c>
      <c r="AM96" s="2">
        <v>0</v>
      </c>
      <c r="AN96" s="2">
        <v>77.040000000000006</v>
      </c>
      <c r="AO96" s="2">
        <v>0</v>
      </c>
      <c r="AP96" s="2">
        <v>0</v>
      </c>
      <c r="AQ96" s="2">
        <v>0</v>
      </c>
    </row>
    <row r="97" spans="1:43" x14ac:dyDescent="0.25">
      <c r="A97" s="1">
        <v>45936</v>
      </c>
      <c r="B97" t="s">
        <v>48</v>
      </c>
      <c r="C97">
        <v>649163</v>
      </c>
      <c r="D97">
        <v>2030804310</v>
      </c>
      <c r="E97" t="s">
        <v>103</v>
      </c>
      <c r="F97" t="s">
        <v>104</v>
      </c>
      <c r="G97" t="s">
        <v>51</v>
      </c>
      <c r="H97" t="s">
        <v>105</v>
      </c>
      <c r="I97" t="s">
        <v>292</v>
      </c>
      <c r="J97" t="s">
        <v>294</v>
      </c>
      <c r="K97">
        <v>823068</v>
      </c>
      <c r="L97" t="s">
        <v>106</v>
      </c>
      <c r="M97" t="s">
        <v>107</v>
      </c>
      <c r="N97" t="s">
        <v>57</v>
      </c>
      <c r="O97" s="1">
        <v>45931</v>
      </c>
      <c r="Q97" s="1">
        <v>45962</v>
      </c>
      <c r="R97" s="2">
        <v>24.61</v>
      </c>
      <c r="S97">
        <v>1</v>
      </c>
      <c r="T97" t="s">
        <v>58</v>
      </c>
      <c r="U97" t="s">
        <v>59</v>
      </c>
      <c r="V97" s="3">
        <v>0.7</v>
      </c>
      <c r="W97" s="2">
        <v>0</v>
      </c>
      <c r="X97">
        <v>0</v>
      </c>
      <c r="Y97" t="s">
        <v>60</v>
      </c>
      <c r="Z97" t="s">
        <v>61</v>
      </c>
      <c r="AA97">
        <v>6</v>
      </c>
      <c r="AB97" s="2">
        <v>103.38</v>
      </c>
      <c r="AC97" s="2">
        <v>0</v>
      </c>
      <c r="AD97" s="3">
        <v>0</v>
      </c>
      <c r="AE97" s="2">
        <v>0</v>
      </c>
      <c r="AF97" s="2">
        <v>0</v>
      </c>
      <c r="AG97" s="2">
        <v>0</v>
      </c>
      <c r="AH97" s="2">
        <v>0</v>
      </c>
      <c r="AI97" s="2">
        <v>0</v>
      </c>
      <c r="AJ97" s="2">
        <v>0</v>
      </c>
      <c r="AK97" s="2">
        <v>0</v>
      </c>
      <c r="AL97" s="2">
        <v>17.23</v>
      </c>
      <c r="AM97" s="2">
        <v>0</v>
      </c>
      <c r="AN97" s="2">
        <v>103.38</v>
      </c>
      <c r="AO97" s="2">
        <v>0</v>
      </c>
      <c r="AP97" s="2">
        <v>0</v>
      </c>
      <c r="AQ97" s="2">
        <v>0</v>
      </c>
    </row>
    <row r="98" spans="1:43" x14ac:dyDescent="0.25">
      <c r="A98" s="1">
        <v>45936</v>
      </c>
      <c r="B98" t="s">
        <v>48</v>
      </c>
      <c r="C98">
        <v>649163</v>
      </c>
      <c r="D98">
        <v>2030806601</v>
      </c>
      <c r="E98" t="s">
        <v>108</v>
      </c>
      <c r="F98" t="s">
        <v>109</v>
      </c>
      <c r="G98" t="s">
        <v>51</v>
      </c>
      <c r="H98" t="s">
        <v>110</v>
      </c>
      <c r="I98" t="s">
        <v>292</v>
      </c>
      <c r="J98" t="s">
        <v>293</v>
      </c>
      <c r="K98">
        <v>651818</v>
      </c>
      <c r="L98" t="s">
        <v>112</v>
      </c>
      <c r="M98" t="s">
        <v>104</v>
      </c>
      <c r="N98" t="s">
        <v>57</v>
      </c>
      <c r="O98" s="1">
        <v>45936</v>
      </c>
      <c r="Q98" s="1">
        <v>45967</v>
      </c>
      <c r="R98" s="2">
        <v>49.46</v>
      </c>
      <c r="S98">
        <v>1</v>
      </c>
      <c r="T98" t="s">
        <v>58</v>
      </c>
      <c r="U98" t="s">
        <v>59</v>
      </c>
      <c r="V98" s="3">
        <v>0.7</v>
      </c>
      <c r="W98" s="2">
        <v>0</v>
      </c>
      <c r="X98">
        <v>0</v>
      </c>
      <c r="Y98" t="s">
        <v>60</v>
      </c>
      <c r="Z98" t="s">
        <v>61</v>
      </c>
      <c r="AA98">
        <v>6</v>
      </c>
      <c r="AB98" s="2">
        <v>207.72</v>
      </c>
      <c r="AC98" s="2">
        <v>0</v>
      </c>
      <c r="AD98" s="3">
        <v>0</v>
      </c>
      <c r="AE98" s="2">
        <v>0</v>
      </c>
      <c r="AF98" s="2">
        <v>0</v>
      </c>
      <c r="AG98" s="2">
        <v>0</v>
      </c>
      <c r="AH98" s="2">
        <v>0</v>
      </c>
      <c r="AI98" s="2">
        <v>0</v>
      </c>
      <c r="AJ98" s="2">
        <v>0</v>
      </c>
      <c r="AK98" s="2">
        <v>0</v>
      </c>
      <c r="AL98" s="2">
        <v>34.619999999999997</v>
      </c>
      <c r="AM98" s="2">
        <v>0</v>
      </c>
      <c r="AN98" s="2">
        <v>207.72</v>
      </c>
      <c r="AO98" s="2">
        <v>0</v>
      </c>
      <c r="AP98" s="2">
        <v>0</v>
      </c>
      <c r="AQ98" s="2">
        <v>0</v>
      </c>
    </row>
    <row r="99" spans="1:43" x14ac:dyDescent="0.25">
      <c r="A99" s="1">
        <v>45936</v>
      </c>
      <c r="B99" t="s">
        <v>48</v>
      </c>
      <c r="C99">
        <v>649163</v>
      </c>
      <c r="D99">
        <v>2030807437</v>
      </c>
      <c r="E99" t="s">
        <v>113</v>
      </c>
      <c r="F99" t="s">
        <v>114</v>
      </c>
      <c r="G99" t="s">
        <v>51</v>
      </c>
      <c r="H99" t="s">
        <v>115</v>
      </c>
      <c r="I99" t="s">
        <v>292</v>
      </c>
      <c r="J99" t="s">
        <v>295</v>
      </c>
      <c r="K99">
        <v>753748</v>
      </c>
      <c r="L99" t="s">
        <v>97</v>
      </c>
      <c r="M99" t="s">
        <v>98</v>
      </c>
      <c r="N99" t="s">
        <v>57</v>
      </c>
      <c r="O99" s="1">
        <v>45931</v>
      </c>
      <c r="Q99" s="1">
        <v>45962</v>
      </c>
      <c r="R99" s="2">
        <v>37.5</v>
      </c>
      <c r="S99">
        <v>1</v>
      </c>
      <c r="T99" t="s">
        <v>58</v>
      </c>
      <c r="U99" t="s">
        <v>59</v>
      </c>
      <c r="V99" s="3">
        <v>0.9</v>
      </c>
      <c r="W99" s="2">
        <v>0</v>
      </c>
      <c r="X99">
        <v>0</v>
      </c>
      <c r="Y99" t="s">
        <v>60</v>
      </c>
      <c r="Z99" t="s">
        <v>61</v>
      </c>
      <c r="AA99">
        <v>6</v>
      </c>
      <c r="AB99" s="2">
        <v>202.5</v>
      </c>
      <c r="AC99" s="2">
        <v>0</v>
      </c>
      <c r="AD99" s="3">
        <v>0</v>
      </c>
      <c r="AE99" s="2">
        <v>0</v>
      </c>
      <c r="AF99" s="2">
        <v>0</v>
      </c>
      <c r="AG99" s="2">
        <v>0</v>
      </c>
      <c r="AH99" s="2">
        <v>0</v>
      </c>
      <c r="AI99" s="2">
        <v>0</v>
      </c>
      <c r="AJ99" s="2">
        <v>0</v>
      </c>
      <c r="AK99" s="2">
        <v>0</v>
      </c>
      <c r="AL99" s="2">
        <v>33.75</v>
      </c>
      <c r="AM99" s="2">
        <v>0</v>
      </c>
      <c r="AN99" s="2">
        <v>202.5</v>
      </c>
      <c r="AO99" s="2">
        <v>0</v>
      </c>
      <c r="AP99" s="2">
        <v>0</v>
      </c>
      <c r="AQ99" s="2">
        <v>0</v>
      </c>
    </row>
    <row r="100" spans="1:43" x14ac:dyDescent="0.25">
      <c r="A100" s="1">
        <v>45936</v>
      </c>
      <c r="B100" t="s">
        <v>48</v>
      </c>
      <c r="C100">
        <v>649163</v>
      </c>
      <c r="D100">
        <v>2030816918</v>
      </c>
      <c r="E100" t="s">
        <v>117</v>
      </c>
      <c r="F100" t="s">
        <v>118</v>
      </c>
      <c r="G100" t="s">
        <v>51</v>
      </c>
      <c r="H100" t="s">
        <v>119</v>
      </c>
      <c r="I100" t="s">
        <v>292</v>
      </c>
      <c r="J100" t="s">
        <v>293</v>
      </c>
      <c r="K100">
        <v>651818</v>
      </c>
      <c r="L100" t="s">
        <v>112</v>
      </c>
      <c r="M100" t="s">
        <v>104</v>
      </c>
      <c r="N100" t="s">
        <v>57</v>
      </c>
      <c r="O100" s="1">
        <v>45936</v>
      </c>
      <c r="Q100" s="1">
        <v>45967</v>
      </c>
      <c r="R100" s="2">
        <v>34</v>
      </c>
      <c r="S100">
        <v>1</v>
      </c>
      <c r="T100" t="s">
        <v>58</v>
      </c>
      <c r="U100" t="s">
        <v>59</v>
      </c>
      <c r="V100" s="3">
        <v>0.7</v>
      </c>
      <c r="W100" s="2">
        <v>0</v>
      </c>
      <c r="X100">
        <v>0</v>
      </c>
      <c r="Y100" t="s">
        <v>60</v>
      </c>
      <c r="Z100" t="s">
        <v>61</v>
      </c>
      <c r="AA100">
        <v>6</v>
      </c>
      <c r="AB100" s="2">
        <v>142.80000000000001</v>
      </c>
      <c r="AC100" s="2">
        <v>0</v>
      </c>
      <c r="AD100" s="3">
        <v>0</v>
      </c>
      <c r="AE100" s="2">
        <v>0</v>
      </c>
      <c r="AF100" s="2">
        <v>0</v>
      </c>
      <c r="AG100" s="2">
        <v>0</v>
      </c>
      <c r="AH100" s="2">
        <v>0</v>
      </c>
      <c r="AI100" s="2">
        <v>0</v>
      </c>
      <c r="AJ100" s="2">
        <v>0</v>
      </c>
      <c r="AK100" s="2">
        <v>0</v>
      </c>
      <c r="AL100" s="2">
        <v>23.8</v>
      </c>
      <c r="AM100" s="2">
        <v>0</v>
      </c>
      <c r="AN100" s="2">
        <v>142.80000000000001</v>
      </c>
      <c r="AO100" s="2">
        <v>0</v>
      </c>
      <c r="AP100" s="2">
        <v>0</v>
      </c>
      <c r="AQ100" s="2">
        <v>0</v>
      </c>
    </row>
    <row r="101" spans="1:43" x14ac:dyDescent="0.25">
      <c r="A101" s="1">
        <v>45936</v>
      </c>
      <c r="B101" t="s">
        <v>48</v>
      </c>
      <c r="C101">
        <v>649163</v>
      </c>
      <c r="D101">
        <v>2030816920</v>
      </c>
      <c r="E101" t="s">
        <v>117</v>
      </c>
      <c r="F101" t="s">
        <v>118</v>
      </c>
      <c r="G101" t="s">
        <v>51</v>
      </c>
      <c r="H101" t="s">
        <v>119</v>
      </c>
      <c r="I101" t="s">
        <v>292</v>
      </c>
      <c r="J101" t="s">
        <v>295</v>
      </c>
      <c r="K101">
        <v>651818</v>
      </c>
      <c r="L101" t="s">
        <v>112</v>
      </c>
      <c r="M101" t="s">
        <v>104</v>
      </c>
      <c r="N101" t="s">
        <v>57</v>
      </c>
      <c r="O101" s="1">
        <v>45936</v>
      </c>
      <c r="Q101" s="1">
        <v>45967</v>
      </c>
      <c r="R101" s="2">
        <v>15.83</v>
      </c>
      <c r="S101">
        <v>1</v>
      </c>
      <c r="T101" t="s">
        <v>58</v>
      </c>
      <c r="U101" t="s">
        <v>59</v>
      </c>
      <c r="V101" s="3">
        <v>0.9</v>
      </c>
      <c r="W101" s="2">
        <v>0</v>
      </c>
      <c r="X101">
        <v>0</v>
      </c>
      <c r="Y101" t="s">
        <v>60</v>
      </c>
      <c r="Z101" t="s">
        <v>61</v>
      </c>
      <c r="AA101">
        <v>6</v>
      </c>
      <c r="AB101" s="2">
        <v>85.5</v>
      </c>
      <c r="AC101" s="2">
        <v>0</v>
      </c>
      <c r="AD101" s="3">
        <v>0</v>
      </c>
      <c r="AE101" s="2">
        <v>0</v>
      </c>
      <c r="AF101" s="2">
        <v>0</v>
      </c>
      <c r="AG101" s="2">
        <v>0</v>
      </c>
      <c r="AH101" s="2">
        <v>0</v>
      </c>
      <c r="AI101" s="2">
        <v>0</v>
      </c>
      <c r="AJ101" s="2">
        <v>0</v>
      </c>
      <c r="AK101" s="2">
        <v>0</v>
      </c>
      <c r="AL101" s="2">
        <v>14.25</v>
      </c>
      <c r="AM101" s="2">
        <v>0</v>
      </c>
      <c r="AN101" s="2">
        <v>85.5</v>
      </c>
      <c r="AO101" s="2">
        <v>0</v>
      </c>
      <c r="AP101" s="2">
        <v>0</v>
      </c>
      <c r="AQ101" s="2">
        <v>0</v>
      </c>
    </row>
    <row r="102" spans="1:43" x14ac:dyDescent="0.25">
      <c r="A102" s="1">
        <v>45936</v>
      </c>
      <c r="B102" t="s">
        <v>48</v>
      </c>
      <c r="C102">
        <v>649163</v>
      </c>
      <c r="D102">
        <v>2030820712</v>
      </c>
      <c r="E102" t="s">
        <v>120</v>
      </c>
      <c r="F102" t="s">
        <v>121</v>
      </c>
      <c r="G102" t="s">
        <v>51</v>
      </c>
      <c r="H102" t="s">
        <v>122</v>
      </c>
      <c r="I102" t="s">
        <v>292</v>
      </c>
      <c r="J102" t="s">
        <v>293</v>
      </c>
      <c r="K102">
        <v>651818</v>
      </c>
      <c r="L102" t="s">
        <v>112</v>
      </c>
      <c r="M102" t="s">
        <v>104</v>
      </c>
      <c r="N102" t="s">
        <v>57</v>
      </c>
      <c r="O102" s="1">
        <v>45936</v>
      </c>
      <c r="Q102" s="1">
        <v>45967</v>
      </c>
      <c r="R102" s="2">
        <v>31.28</v>
      </c>
      <c r="S102">
        <v>1</v>
      </c>
      <c r="T102" t="s">
        <v>58</v>
      </c>
      <c r="U102" t="s">
        <v>59</v>
      </c>
      <c r="V102" s="3">
        <v>0.7</v>
      </c>
      <c r="W102" s="2">
        <v>0</v>
      </c>
      <c r="X102">
        <v>0</v>
      </c>
      <c r="Y102" t="s">
        <v>60</v>
      </c>
      <c r="Z102" t="s">
        <v>61</v>
      </c>
      <c r="AA102">
        <v>6</v>
      </c>
      <c r="AB102" s="2">
        <v>131.4</v>
      </c>
      <c r="AC102" s="2">
        <v>0</v>
      </c>
      <c r="AD102" s="3">
        <v>0</v>
      </c>
      <c r="AE102" s="2">
        <v>0</v>
      </c>
      <c r="AF102" s="2">
        <v>0</v>
      </c>
      <c r="AG102" s="2">
        <v>0</v>
      </c>
      <c r="AH102" s="2">
        <v>0</v>
      </c>
      <c r="AI102" s="2">
        <v>0</v>
      </c>
      <c r="AJ102" s="2">
        <v>0</v>
      </c>
      <c r="AK102" s="2">
        <v>0</v>
      </c>
      <c r="AL102" s="2">
        <v>21.9</v>
      </c>
      <c r="AM102" s="2">
        <v>0</v>
      </c>
      <c r="AN102" s="2">
        <v>131.4</v>
      </c>
      <c r="AO102" s="2">
        <v>0</v>
      </c>
      <c r="AP102" s="2">
        <v>0</v>
      </c>
      <c r="AQ102" s="2">
        <v>0</v>
      </c>
    </row>
    <row r="103" spans="1:43" x14ac:dyDescent="0.25">
      <c r="A103" s="1">
        <v>45936</v>
      </c>
      <c r="B103" t="s">
        <v>48</v>
      </c>
      <c r="C103">
        <v>649163</v>
      </c>
      <c r="D103">
        <v>2030821620</v>
      </c>
      <c r="E103" t="s">
        <v>296</v>
      </c>
      <c r="F103" t="s">
        <v>297</v>
      </c>
      <c r="G103" t="s">
        <v>51</v>
      </c>
      <c r="H103" t="s">
        <v>101</v>
      </c>
      <c r="I103" t="s">
        <v>292</v>
      </c>
      <c r="J103" t="s">
        <v>293</v>
      </c>
      <c r="K103">
        <v>856824</v>
      </c>
      <c r="L103" t="s">
        <v>298</v>
      </c>
      <c r="M103" t="s">
        <v>299</v>
      </c>
      <c r="N103" t="s">
        <v>57</v>
      </c>
      <c r="O103" s="1">
        <v>45931</v>
      </c>
      <c r="Q103" s="1">
        <v>45962</v>
      </c>
      <c r="R103" s="2">
        <v>124.81</v>
      </c>
      <c r="S103">
        <v>1</v>
      </c>
      <c r="T103" t="s">
        <v>58</v>
      </c>
      <c r="U103" t="s">
        <v>59</v>
      </c>
      <c r="V103" s="3">
        <v>0.7</v>
      </c>
      <c r="W103" s="2">
        <v>0</v>
      </c>
      <c r="X103">
        <v>0</v>
      </c>
      <c r="Y103" t="s">
        <v>60</v>
      </c>
      <c r="Z103" t="s">
        <v>61</v>
      </c>
      <c r="AA103">
        <v>6</v>
      </c>
      <c r="AB103" s="2">
        <v>524.22</v>
      </c>
      <c r="AC103" s="2">
        <v>0</v>
      </c>
      <c r="AD103" s="3">
        <v>0</v>
      </c>
      <c r="AE103" s="2">
        <v>0</v>
      </c>
      <c r="AF103" s="2">
        <v>0</v>
      </c>
      <c r="AG103" s="2">
        <v>0</v>
      </c>
      <c r="AH103" s="2">
        <v>0</v>
      </c>
      <c r="AI103" s="2">
        <v>0</v>
      </c>
      <c r="AJ103" s="2">
        <v>0</v>
      </c>
      <c r="AK103" s="2">
        <v>0</v>
      </c>
      <c r="AL103" s="2">
        <v>87.37</v>
      </c>
      <c r="AM103" s="2">
        <v>0</v>
      </c>
      <c r="AN103" s="2">
        <v>524.22</v>
      </c>
      <c r="AO103" s="2">
        <v>0</v>
      </c>
      <c r="AP103" s="2">
        <v>0</v>
      </c>
      <c r="AQ103" s="2">
        <v>0</v>
      </c>
    </row>
    <row r="104" spans="1:43" x14ac:dyDescent="0.25">
      <c r="A104" s="1">
        <v>45936</v>
      </c>
      <c r="B104" t="s">
        <v>48</v>
      </c>
      <c r="C104">
        <v>649163</v>
      </c>
      <c r="D104">
        <v>2030822622</v>
      </c>
      <c r="E104" t="s">
        <v>300</v>
      </c>
      <c r="F104" t="s">
        <v>301</v>
      </c>
      <c r="G104" t="s">
        <v>51</v>
      </c>
      <c r="H104" t="s">
        <v>122</v>
      </c>
      <c r="I104" t="s">
        <v>292</v>
      </c>
      <c r="J104" t="s">
        <v>295</v>
      </c>
      <c r="K104">
        <v>651818</v>
      </c>
      <c r="L104" t="s">
        <v>112</v>
      </c>
      <c r="M104" t="s">
        <v>104</v>
      </c>
      <c r="N104" t="s">
        <v>57</v>
      </c>
      <c r="O104" s="1">
        <v>45936</v>
      </c>
      <c r="Q104" s="1">
        <v>45967</v>
      </c>
      <c r="R104" s="2">
        <v>83.63</v>
      </c>
      <c r="S104">
        <v>1</v>
      </c>
      <c r="T104" t="s">
        <v>58</v>
      </c>
      <c r="U104" t="s">
        <v>59</v>
      </c>
      <c r="V104" s="3">
        <v>0.9</v>
      </c>
      <c r="W104" s="2">
        <v>0</v>
      </c>
      <c r="X104">
        <v>0</v>
      </c>
      <c r="Y104" t="s">
        <v>60</v>
      </c>
      <c r="Z104" t="s">
        <v>61</v>
      </c>
      <c r="AA104">
        <v>6</v>
      </c>
      <c r="AB104" s="2">
        <v>451.62</v>
      </c>
      <c r="AC104" s="2">
        <v>0</v>
      </c>
      <c r="AD104" s="3">
        <v>0</v>
      </c>
      <c r="AE104" s="2">
        <v>0</v>
      </c>
      <c r="AF104" s="2">
        <v>0</v>
      </c>
      <c r="AG104" s="2">
        <v>0</v>
      </c>
      <c r="AH104" s="2">
        <v>0</v>
      </c>
      <c r="AI104" s="2">
        <v>0</v>
      </c>
      <c r="AJ104" s="2">
        <v>0</v>
      </c>
      <c r="AK104" s="2">
        <v>0</v>
      </c>
      <c r="AL104" s="2">
        <v>75.27</v>
      </c>
      <c r="AM104" s="2">
        <v>0</v>
      </c>
      <c r="AN104" s="2">
        <v>451.62</v>
      </c>
      <c r="AO104" s="2">
        <v>0</v>
      </c>
      <c r="AP104" s="2">
        <v>0</v>
      </c>
      <c r="AQ104" s="2">
        <v>0</v>
      </c>
    </row>
    <row r="105" spans="1:43" x14ac:dyDescent="0.25">
      <c r="A105" s="1">
        <v>45936</v>
      </c>
      <c r="B105" t="s">
        <v>48</v>
      </c>
      <c r="C105">
        <v>649163</v>
      </c>
      <c r="D105">
        <v>2030870979</v>
      </c>
      <c r="E105" t="s">
        <v>302</v>
      </c>
      <c r="F105" t="s">
        <v>303</v>
      </c>
      <c r="G105" t="s">
        <v>51</v>
      </c>
      <c r="H105" t="s">
        <v>101</v>
      </c>
      <c r="I105" t="s">
        <v>292</v>
      </c>
      <c r="J105" t="s">
        <v>293</v>
      </c>
      <c r="K105">
        <v>814033</v>
      </c>
      <c r="L105" t="s">
        <v>256</v>
      </c>
      <c r="M105" t="s">
        <v>165</v>
      </c>
      <c r="N105" t="s">
        <v>57</v>
      </c>
      <c r="O105" s="1">
        <v>45931</v>
      </c>
      <c r="Q105" s="1">
        <v>45962</v>
      </c>
      <c r="R105" s="2">
        <v>159.24</v>
      </c>
      <c r="S105">
        <v>1</v>
      </c>
      <c r="T105" t="s">
        <v>58</v>
      </c>
      <c r="U105" t="s">
        <v>59</v>
      </c>
      <c r="V105" s="3">
        <v>0.7</v>
      </c>
      <c r="W105" s="2">
        <v>0</v>
      </c>
      <c r="X105">
        <v>0</v>
      </c>
      <c r="Y105" t="s">
        <v>60</v>
      </c>
      <c r="Z105" t="s">
        <v>61</v>
      </c>
      <c r="AA105">
        <v>6</v>
      </c>
      <c r="AB105" s="2">
        <v>668.82</v>
      </c>
      <c r="AC105" s="2">
        <v>0</v>
      </c>
      <c r="AD105" s="3">
        <v>0</v>
      </c>
      <c r="AE105" s="2">
        <v>0</v>
      </c>
      <c r="AF105" s="2">
        <v>0</v>
      </c>
      <c r="AG105" s="2">
        <v>0</v>
      </c>
      <c r="AH105" s="2">
        <v>0</v>
      </c>
      <c r="AI105" s="2">
        <v>0</v>
      </c>
      <c r="AJ105" s="2">
        <v>0</v>
      </c>
      <c r="AK105" s="2">
        <v>0</v>
      </c>
      <c r="AL105" s="2">
        <v>111.47</v>
      </c>
      <c r="AM105" s="2">
        <v>0</v>
      </c>
      <c r="AN105" s="2">
        <v>668.82</v>
      </c>
      <c r="AO105" s="2">
        <v>0</v>
      </c>
      <c r="AP105" s="2">
        <v>0</v>
      </c>
      <c r="AQ105" s="2">
        <v>0</v>
      </c>
    </row>
    <row r="106" spans="1:43" x14ac:dyDescent="0.25">
      <c r="A106" s="1">
        <v>45936</v>
      </c>
      <c r="B106" t="s">
        <v>48</v>
      </c>
      <c r="C106">
        <v>649163</v>
      </c>
      <c r="D106">
        <v>2030878188</v>
      </c>
      <c r="E106" t="s">
        <v>304</v>
      </c>
      <c r="F106" t="s">
        <v>305</v>
      </c>
      <c r="G106" t="s">
        <v>51</v>
      </c>
      <c r="H106" t="s">
        <v>95</v>
      </c>
      <c r="I106" t="s">
        <v>292</v>
      </c>
      <c r="J106" t="s">
        <v>293</v>
      </c>
      <c r="K106">
        <v>856824</v>
      </c>
      <c r="L106" t="s">
        <v>298</v>
      </c>
      <c r="M106" t="s">
        <v>299</v>
      </c>
      <c r="N106" t="s">
        <v>57</v>
      </c>
      <c r="O106" s="1">
        <v>45931</v>
      </c>
      <c r="Q106" s="1">
        <v>45962</v>
      </c>
      <c r="R106" s="2">
        <v>122.12</v>
      </c>
      <c r="S106">
        <v>1</v>
      </c>
      <c r="T106" t="s">
        <v>58</v>
      </c>
      <c r="U106" t="s">
        <v>59</v>
      </c>
      <c r="V106" s="3">
        <v>0.7</v>
      </c>
      <c r="W106" s="2">
        <v>0</v>
      </c>
      <c r="X106">
        <v>0</v>
      </c>
      <c r="Y106" t="s">
        <v>60</v>
      </c>
      <c r="Z106" t="s">
        <v>61</v>
      </c>
      <c r="AA106">
        <v>6</v>
      </c>
      <c r="AB106" s="2">
        <v>512.88</v>
      </c>
      <c r="AC106" s="2">
        <v>0</v>
      </c>
      <c r="AD106" s="3">
        <v>0</v>
      </c>
      <c r="AE106" s="2">
        <v>0</v>
      </c>
      <c r="AF106" s="2">
        <v>0</v>
      </c>
      <c r="AG106" s="2">
        <v>0</v>
      </c>
      <c r="AH106" s="2">
        <v>0</v>
      </c>
      <c r="AI106" s="2">
        <v>0</v>
      </c>
      <c r="AJ106" s="2">
        <v>0</v>
      </c>
      <c r="AK106" s="2">
        <v>0</v>
      </c>
      <c r="AL106" s="2">
        <v>85.48</v>
      </c>
      <c r="AM106" s="2">
        <v>0</v>
      </c>
      <c r="AN106" s="2">
        <v>512.88</v>
      </c>
      <c r="AO106" s="2">
        <v>0</v>
      </c>
      <c r="AP106" s="2">
        <v>0</v>
      </c>
      <c r="AQ106" s="2">
        <v>0</v>
      </c>
    </row>
    <row r="107" spans="1:43" x14ac:dyDescent="0.25">
      <c r="A107" s="1">
        <v>45936</v>
      </c>
      <c r="B107" t="s">
        <v>48</v>
      </c>
      <c r="C107">
        <v>649163</v>
      </c>
      <c r="D107">
        <v>2030903470</v>
      </c>
      <c r="E107" t="s">
        <v>125</v>
      </c>
      <c r="F107" t="s">
        <v>126</v>
      </c>
      <c r="G107" t="s">
        <v>51</v>
      </c>
      <c r="H107" t="s">
        <v>52</v>
      </c>
      <c r="I107" t="s">
        <v>292</v>
      </c>
      <c r="J107" t="s">
        <v>293</v>
      </c>
      <c r="K107">
        <v>753748</v>
      </c>
      <c r="L107" t="s">
        <v>97</v>
      </c>
      <c r="M107" t="s">
        <v>98</v>
      </c>
      <c r="N107" t="s">
        <v>57</v>
      </c>
      <c r="O107" s="1">
        <v>45931</v>
      </c>
      <c r="Q107" s="1">
        <v>45962</v>
      </c>
      <c r="R107" s="2">
        <v>28.38</v>
      </c>
      <c r="S107">
        <v>1</v>
      </c>
      <c r="T107" t="s">
        <v>58</v>
      </c>
      <c r="U107" t="s">
        <v>59</v>
      </c>
      <c r="V107" s="3">
        <v>0.7</v>
      </c>
      <c r="W107" s="2">
        <v>0</v>
      </c>
      <c r="X107">
        <v>0</v>
      </c>
      <c r="Y107" t="s">
        <v>60</v>
      </c>
      <c r="Z107" t="s">
        <v>61</v>
      </c>
      <c r="AA107">
        <v>6</v>
      </c>
      <c r="AB107" s="2">
        <v>119.22</v>
      </c>
      <c r="AC107" s="2">
        <v>0</v>
      </c>
      <c r="AD107" s="3">
        <v>0</v>
      </c>
      <c r="AE107" s="2">
        <v>0</v>
      </c>
      <c r="AF107" s="2">
        <v>0</v>
      </c>
      <c r="AG107" s="2">
        <v>0</v>
      </c>
      <c r="AH107" s="2">
        <v>0</v>
      </c>
      <c r="AI107" s="2">
        <v>0</v>
      </c>
      <c r="AJ107" s="2">
        <v>0</v>
      </c>
      <c r="AK107" s="2">
        <v>0</v>
      </c>
      <c r="AL107" s="2">
        <v>19.87</v>
      </c>
      <c r="AM107" s="2">
        <v>0</v>
      </c>
      <c r="AN107" s="2">
        <v>119.22</v>
      </c>
      <c r="AO107" s="2">
        <v>0</v>
      </c>
      <c r="AP107" s="2">
        <v>0</v>
      </c>
      <c r="AQ107" s="2">
        <v>0</v>
      </c>
    </row>
    <row r="108" spans="1:43" x14ac:dyDescent="0.25">
      <c r="A108" s="1">
        <v>45936</v>
      </c>
      <c r="B108" t="s">
        <v>48</v>
      </c>
      <c r="C108">
        <v>649163</v>
      </c>
      <c r="D108">
        <v>2030948467</v>
      </c>
      <c r="E108" t="s">
        <v>130</v>
      </c>
      <c r="F108" t="s">
        <v>131</v>
      </c>
      <c r="G108" t="s">
        <v>51</v>
      </c>
      <c r="H108" t="s">
        <v>52</v>
      </c>
      <c r="I108" t="s">
        <v>292</v>
      </c>
      <c r="J108" t="s">
        <v>295</v>
      </c>
      <c r="K108">
        <v>651818</v>
      </c>
      <c r="L108" t="s">
        <v>112</v>
      </c>
      <c r="M108" t="s">
        <v>104</v>
      </c>
      <c r="N108" t="s">
        <v>57</v>
      </c>
      <c r="O108" s="1">
        <v>45936</v>
      </c>
      <c r="Q108" s="1">
        <v>45967</v>
      </c>
      <c r="R108" s="2">
        <v>31.08</v>
      </c>
      <c r="S108">
        <v>1</v>
      </c>
      <c r="T108" t="s">
        <v>58</v>
      </c>
      <c r="U108" t="s">
        <v>59</v>
      </c>
      <c r="V108" s="3">
        <v>0.9</v>
      </c>
      <c r="W108" s="2">
        <v>0</v>
      </c>
      <c r="X108">
        <v>0</v>
      </c>
      <c r="Y108" t="s">
        <v>60</v>
      </c>
      <c r="Z108" t="s">
        <v>61</v>
      </c>
      <c r="AA108">
        <v>6</v>
      </c>
      <c r="AB108" s="2">
        <v>167.82</v>
      </c>
      <c r="AC108" s="2">
        <v>0</v>
      </c>
      <c r="AD108" s="3">
        <v>0</v>
      </c>
      <c r="AE108" s="2">
        <v>0</v>
      </c>
      <c r="AF108" s="2">
        <v>0</v>
      </c>
      <c r="AG108" s="2">
        <v>0</v>
      </c>
      <c r="AH108" s="2">
        <v>0</v>
      </c>
      <c r="AI108" s="2">
        <v>0</v>
      </c>
      <c r="AJ108" s="2">
        <v>0</v>
      </c>
      <c r="AK108" s="2">
        <v>0</v>
      </c>
      <c r="AL108" s="2">
        <v>27.97</v>
      </c>
      <c r="AM108" s="2">
        <v>0</v>
      </c>
      <c r="AN108" s="2">
        <v>167.82</v>
      </c>
      <c r="AO108" s="2">
        <v>0</v>
      </c>
      <c r="AP108" s="2">
        <v>0</v>
      </c>
      <c r="AQ108" s="2">
        <v>0</v>
      </c>
    </row>
    <row r="109" spans="1:43" x14ac:dyDescent="0.25">
      <c r="A109" s="1">
        <v>45936</v>
      </c>
      <c r="B109" t="s">
        <v>48</v>
      </c>
      <c r="C109">
        <v>649163</v>
      </c>
      <c r="D109">
        <v>2030957593</v>
      </c>
      <c r="E109" t="s">
        <v>306</v>
      </c>
      <c r="F109" t="s">
        <v>307</v>
      </c>
      <c r="G109" t="s">
        <v>51</v>
      </c>
      <c r="H109" t="s">
        <v>101</v>
      </c>
      <c r="I109" t="s">
        <v>292</v>
      </c>
      <c r="J109" t="s">
        <v>293</v>
      </c>
      <c r="K109">
        <v>812782</v>
      </c>
      <c r="L109" t="s">
        <v>91</v>
      </c>
      <c r="M109" t="s">
        <v>92</v>
      </c>
      <c r="N109" t="s">
        <v>57</v>
      </c>
      <c r="O109" s="1">
        <v>45931</v>
      </c>
      <c r="Q109" s="1">
        <v>45962</v>
      </c>
      <c r="R109" s="2">
        <v>39.35</v>
      </c>
      <c r="S109">
        <v>1</v>
      </c>
      <c r="T109" t="s">
        <v>58</v>
      </c>
      <c r="U109" t="s">
        <v>59</v>
      </c>
      <c r="V109" s="3">
        <v>0.7</v>
      </c>
      <c r="W109" s="2">
        <v>0</v>
      </c>
      <c r="X109">
        <v>0</v>
      </c>
      <c r="Y109" t="s">
        <v>60</v>
      </c>
      <c r="Z109" t="s">
        <v>61</v>
      </c>
      <c r="AA109">
        <v>6</v>
      </c>
      <c r="AB109" s="2">
        <v>165.24</v>
      </c>
      <c r="AC109" s="2">
        <v>0</v>
      </c>
      <c r="AD109" s="3">
        <v>0</v>
      </c>
      <c r="AE109" s="2">
        <v>0</v>
      </c>
      <c r="AF109" s="2">
        <v>0</v>
      </c>
      <c r="AG109" s="2">
        <v>0</v>
      </c>
      <c r="AH109" s="2">
        <v>0</v>
      </c>
      <c r="AI109" s="2">
        <v>0</v>
      </c>
      <c r="AJ109" s="2">
        <v>0</v>
      </c>
      <c r="AK109" s="2">
        <v>0</v>
      </c>
      <c r="AL109" s="2">
        <v>27.54</v>
      </c>
      <c r="AM109" s="2">
        <v>0</v>
      </c>
      <c r="AN109" s="2">
        <v>165.24</v>
      </c>
      <c r="AO109" s="2">
        <v>0</v>
      </c>
      <c r="AP109" s="2">
        <v>0</v>
      </c>
      <c r="AQ109" s="2">
        <v>0</v>
      </c>
    </row>
    <row r="110" spans="1:43" x14ac:dyDescent="0.25">
      <c r="A110" s="1">
        <v>45936</v>
      </c>
      <c r="B110" t="s">
        <v>48</v>
      </c>
      <c r="C110">
        <v>649163</v>
      </c>
      <c r="D110">
        <v>2030977481</v>
      </c>
      <c r="E110" t="s">
        <v>308</v>
      </c>
      <c r="F110" t="s">
        <v>309</v>
      </c>
      <c r="G110" t="s">
        <v>51</v>
      </c>
      <c r="H110" t="s">
        <v>310</v>
      </c>
      <c r="I110" t="s">
        <v>292</v>
      </c>
      <c r="J110" t="s">
        <v>293</v>
      </c>
      <c r="K110">
        <v>651818</v>
      </c>
      <c r="L110" t="s">
        <v>112</v>
      </c>
      <c r="M110" t="s">
        <v>104</v>
      </c>
      <c r="N110" t="s">
        <v>57</v>
      </c>
      <c r="O110" s="1">
        <v>45936</v>
      </c>
      <c r="Q110" s="1">
        <v>45967</v>
      </c>
      <c r="R110" s="2">
        <v>228.99</v>
      </c>
      <c r="S110">
        <v>1</v>
      </c>
      <c r="T110" t="s">
        <v>58</v>
      </c>
      <c r="U110" t="s">
        <v>59</v>
      </c>
      <c r="V110" s="3">
        <v>0.7</v>
      </c>
      <c r="W110" s="2">
        <v>0</v>
      </c>
      <c r="X110">
        <v>0</v>
      </c>
      <c r="Y110" t="s">
        <v>60</v>
      </c>
      <c r="Z110" t="s">
        <v>61</v>
      </c>
      <c r="AA110">
        <v>6</v>
      </c>
      <c r="AB110" s="2">
        <v>961.74</v>
      </c>
      <c r="AC110" s="2">
        <v>0</v>
      </c>
      <c r="AD110" s="3">
        <v>0</v>
      </c>
      <c r="AE110" s="2">
        <v>0</v>
      </c>
      <c r="AF110" s="2">
        <v>0</v>
      </c>
      <c r="AG110" s="2">
        <v>0</v>
      </c>
      <c r="AH110" s="2">
        <v>0</v>
      </c>
      <c r="AI110" s="2">
        <v>0</v>
      </c>
      <c r="AJ110" s="2">
        <v>0</v>
      </c>
      <c r="AK110" s="2">
        <v>0</v>
      </c>
      <c r="AL110" s="2">
        <v>160.29</v>
      </c>
      <c r="AM110" s="2">
        <v>0</v>
      </c>
      <c r="AN110" s="2">
        <v>961.74</v>
      </c>
      <c r="AO110" s="2">
        <v>0</v>
      </c>
      <c r="AP110" s="2">
        <v>0</v>
      </c>
      <c r="AQ110" s="2">
        <v>0</v>
      </c>
    </row>
    <row r="111" spans="1:43" x14ac:dyDescent="0.25">
      <c r="A111" s="1">
        <v>45936</v>
      </c>
      <c r="B111" t="s">
        <v>48</v>
      </c>
      <c r="C111">
        <v>649163</v>
      </c>
      <c r="D111">
        <v>2030984375</v>
      </c>
      <c r="E111" t="s">
        <v>250</v>
      </c>
      <c r="F111" t="s">
        <v>251</v>
      </c>
      <c r="G111" t="s">
        <v>51</v>
      </c>
      <c r="H111" t="s">
        <v>88</v>
      </c>
      <c r="I111" t="s">
        <v>292</v>
      </c>
      <c r="J111" t="s">
        <v>293</v>
      </c>
      <c r="K111">
        <v>673059</v>
      </c>
      <c r="L111" t="s">
        <v>80</v>
      </c>
      <c r="M111" t="s">
        <v>81</v>
      </c>
      <c r="N111" t="s">
        <v>57</v>
      </c>
      <c r="O111" s="1">
        <v>45931</v>
      </c>
      <c r="Q111" s="1">
        <v>45962</v>
      </c>
      <c r="R111" s="2">
        <v>59.57</v>
      </c>
      <c r="S111">
        <v>1</v>
      </c>
      <c r="T111" t="s">
        <v>58</v>
      </c>
      <c r="U111" t="s">
        <v>59</v>
      </c>
      <c r="V111" s="3">
        <v>0.7</v>
      </c>
      <c r="W111" s="2">
        <v>0</v>
      </c>
      <c r="X111">
        <v>0</v>
      </c>
      <c r="Y111" t="s">
        <v>60</v>
      </c>
      <c r="Z111" t="s">
        <v>61</v>
      </c>
      <c r="AA111">
        <v>6</v>
      </c>
      <c r="AB111" s="2">
        <v>250.2</v>
      </c>
      <c r="AC111" s="2">
        <v>0</v>
      </c>
      <c r="AD111" s="3">
        <v>0</v>
      </c>
      <c r="AE111" s="2">
        <v>0</v>
      </c>
      <c r="AF111" s="2">
        <v>0</v>
      </c>
      <c r="AG111" s="2">
        <v>0</v>
      </c>
      <c r="AH111" s="2">
        <v>0</v>
      </c>
      <c r="AI111" s="2">
        <v>0</v>
      </c>
      <c r="AJ111" s="2">
        <v>0</v>
      </c>
      <c r="AK111" s="2">
        <v>0</v>
      </c>
      <c r="AL111" s="2">
        <v>41.7</v>
      </c>
      <c r="AM111" s="2">
        <v>0</v>
      </c>
      <c r="AN111" s="2">
        <v>250.2</v>
      </c>
      <c r="AO111" s="2">
        <v>0</v>
      </c>
      <c r="AP111" s="2">
        <v>0</v>
      </c>
      <c r="AQ111" s="2">
        <v>0</v>
      </c>
    </row>
    <row r="112" spans="1:43" x14ac:dyDescent="0.25">
      <c r="A112" s="1">
        <v>45936</v>
      </c>
      <c r="B112" t="s">
        <v>48</v>
      </c>
      <c r="C112">
        <v>649163</v>
      </c>
      <c r="D112">
        <v>2030990682</v>
      </c>
      <c r="E112" t="s">
        <v>136</v>
      </c>
      <c r="F112" t="s">
        <v>137</v>
      </c>
      <c r="G112" t="s">
        <v>51</v>
      </c>
      <c r="H112" t="s">
        <v>52</v>
      </c>
      <c r="I112" t="s">
        <v>292</v>
      </c>
      <c r="J112" t="s">
        <v>293</v>
      </c>
      <c r="K112">
        <v>753748</v>
      </c>
      <c r="L112" t="s">
        <v>97</v>
      </c>
      <c r="M112" t="s">
        <v>98</v>
      </c>
      <c r="N112" t="s">
        <v>57</v>
      </c>
      <c r="O112" s="1">
        <v>45931</v>
      </c>
      <c r="Q112" s="1">
        <v>45962</v>
      </c>
      <c r="R112" s="2">
        <v>134.71</v>
      </c>
      <c r="S112">
        <v>1</v>
      </c>
      <c r="T112" t="s">
        <v>58</v>
      </c>
      <c r="U112" t="s">
        <v>59</v>
      </c>
      <c r="V112" s="3">
        <v>0.7</v>
      </c>
      <c r="W112" s="2">
        <v>0</v>
      </c>
      <c r="X112">
        <v>0</v>
      </c>
      <c r="Y112" t="s">
        <v>60</v>
      </c>
      <c r="Z112" t="s">
        <v>61</v>
      </c>
      <c r="AA112">
        <v>6</v>
      </c>
      <c r="AB112" s="2">
        <v>565.79999999999995</v>
      </c>
      <c r="AC112" s="2">
        <v>0</v>
      </c>
      <c r="AD112" s="3">
        <v>0</v>
      </c>
      <c r="AE112" s="2">
        <v>0</v>
      </c>
      <c r="AF112" s="2">
        <v>0</v>
      </c>
      <c r="AG112" s="2">
        <v>0</v>
      </c>
      <c r="AH112" s="2">
        <v>0</v>
      </c>
      <c r="AI112" s="2">
        <v>0</v>
      </c>
      <c r="AJ112" s="2">
        <v>0</v>
      </c>
      <c r="AK112" s="2">
        <v>0</v>
      </c>
      <c r="AL112" s="2">
        <v>94.3</v>
      </c>
      <c r="AM112" s="2">
        <v>0</v>
      </c>
      <c r="AN112" s="2">
        <v>565.79999999999995</v>
      </c>
      <c r="AO112" s="2">
        <v>0</v>
      </c>
      <c r="AP112" s="2">
        <v>0</v>
      </c>
      <c r="AQ112" s="2">
        <v>0</v>
      </c>
    </row>
    <row r="113" spans="1:43" x14ac:dyDescent="0.25">
      <c r="A113" s="1">
        <v>45936</v>
      </c>
      <c r="B113" t="s">
        <v>48</v>
      </c>
      <c r="C113">
        <v>649163</v>
      </c>
      <c r="D113">
        <v>2031002561</v>
      </c>
      <c r="E113" t="s">
        <v>138</v>
      </c>
      <c r="F113" t="s">
        <v>139</v>
      </c>
      <c r="G113" t="s">
        <v>51</v>
      </c>
      <c r="H113" t="s">
        <v>101</v>
      </c>
      <c r="I113" t="s">
        <v>292</v>
      </c>
      <c r="J113" t="s">
        <v>293</v>
      </c>
      <c r="K113">
        <v>792847</v>
      </c>
      <c r="L113" t="s">
        <v>140</v>
      </c>
      <c r="M113" t="s">
        <v>141</v>
      </c>
      <c r="N113" t="s">
        <v>57</v>
      </c>
      <c r="O113" s="1">
        <v>45931</v>
      </c>
      <c r="Q113" s="1">
        <v>45962</v>
      </c>
      <c r="R113" s="2">
        <v>212.26</v>
      </c>
      <c r="S113">
        <v>1</v>
      </c>
      <c r="T113" t="s">
        <v>58</v>
      </c>
      <c r="U113" t="s">
        <v>59</v>
      </c>
      <c r="V113" s="3">
        <v>0.7</v>
      </c>
      <c r="W113" s="2">
        <v>0</v>
      </c>
      <c r="X113">
        <v>0</v>
      </c>
      <c r="Y113" t="s">
        <v>60</v>
      </c>
      <c r="Z113" t="s">
        <v>61</v>
      </c>
      <c r="AA113">
        <v>6</v>
      </c>
      <c r="AB113" s="2">
        <v>891.48</v>
      </c>
      <c r="AC113" s="2">
        <v>0</v>
      </c>
      <c r="AD113" s="3">
        <v>0</v>
      </c>
      <c r="AE113" s="2">
        <v>0</v>
      </c>
      <c r="AF113" s="2">
        <v>0</v>
      </c>
      <c r="AG113" s="2">
        <v>0</v>
      </c>
      <c r="AH113" s="2">
        <v>0</v>
      </c>
      <c r="AI113" s="2">
        <v>0</v>
      </c>
      <c r="AJ113" s="2">
        <v>0</v>
      </c>
      <c r="AK113" s="2">
        <v>0</v>
      </c>
      <c r="AL113" s="2">
        <v>148.58000000000001</v>
      </c>
      <c r="AM113" s="2">
        <v>0</v>
      </c>
      <c r="AN113" s="2">
        <v>891.48</v>
      </c>
      <c r="AO113" s="2">
        <v>0</v>
      </c>
      <c r="AP113" s="2">
        <v>0</v>
      </c>
      <c r="AQ113" s="2">
        <v>0</v>
      </c>
    </row>
    <row r="114" spans="1:43" x14ac:dyDescent="0.25">
      <c r="A114" s="1">
        <v>45936</v>
      </c>
      <c r="B114" t="s">
        <v>48</v>
      </c>
      <c r="C114">
        <v>649163</v>
      </c>
      <c r="D114">
        <v>2031002910</v>
      </c>
      <c r="E114" t="s">
        <v>311</v>
      </c>
      <c r="F114" t="s">
        <v>312</v>
      </c>
      <c r="G114" t="s">
        <v>51</v>
      </c>
      <c r="H114" t="s">
        <v>101</v>
      </c>
      <c r="I114" t="s">
        <v>292</v>
      </c>
      <c r="J114" t="s">
        <v>293</v>
      </c>
      <c r="K114">
        <v>792847</v>
      </c>
      <c r="L114" t="s">
        <v>140</v>
      </c>
      <c r="M114" t="s">
        <v>141</v>
      </c>
      <c r="N114" t="s">
        <v>57</v>
      </c>
      <c r="O114" s="1">
        <v>45931</v>
      </c>
      <c r="Q114" s="1">
        <v>45962</v>
      </c>
      <c r="R114" s="2">
        <v>83.22</v>
      </c>
      <c r="S114">
        <v>1</v>
      </c>
      <c r="T114" t="s">
        <v>58</v>
      </c>
      <c r="U114" t="s">
        <v>59</v>
      </c>
      <c r="V114" s="3">
        <v>0.7</v>
      </c>
      <c r="W114" s="2">
        <v>0</v>
      </c>
      <c r="X114">
        <v>0</v>
      </c>
      <c r="Y114" t="s">
        <v>60</v>
      </c>
      <c r="Z114" t="s">
        <v>61</v>
      </c>
      <c r="AA114">
        <v>6</v>
      </c>
      <c r="AB114" s="2">
        <v>349.5</v>
      </c>
      <c r="AC114" s="2">
        <v>0</v>
      </c>
      <c r="AD114" s="3">
        <v>0</v>
      </c>
      <c r="AE114" s="2">
        <v>0</v>
      </c>
      <c r="AF114" s="2">
        <v>0</v>
      </c>
      <c r="AG114" s="2">
        <v>0</v>
      </c>
      <c r="AH114" s="2">
        <v>0</v>
      </c>
      <c r="AI114" s="2">
        <v>0</v>
      </c>
      <c r="AJ114" s="2">
        <v>0</v>
      </c>
      <c r="AK114" s="2">
        <v>0</v>
      </c>
      <c r="AL114" s="2">
        <v>58.25</v>
      </c>
      <c r="AM114" s="2">
        <v>0</v>
      </c>
      <c r="AN114" s="2">
        <v>349.5</v>
      </c>
      <c r="AO114" s="2">
        <v>0</v>
      </c>
      <c r="AP114" s="2">
        <v>0</v>
      </c>
      <c r="AQ114" s="2">
        <v>0</v>
      </c>
    </row>
    <row r="115" spans="1:43" x14ac:dyDescent="0.25">
      <c r="A115" s="1">
        <v>45936</v>
      </c>
      <c r="B115" t="s">
        <v>48</v>
      </c>
      <c r="C115">
        <v>649163</v>
      </c>
      <c r="D115">
        <v>2031014065</v>
      </c>
      <c r="E115" t="s">
        <v>142</v>
      </c>
      <c r="F115" t="s">
        <v>143</v>
      </c>
      <c r="G115" t="s">
        <v>51</v>
      </c>
      <c r="H115" t="s">
        <v>110</v>
      </c>
      <c r="I115" t="s">
        <v>292</v>
      </c>
      <c r="J115" t="s">
        <v>293</v>
      </c>
      <c r="K115">
        <v>651818</v>
      </c>
      <c r="L115" t="s">
        <v>112</v>
      </c>
      <c r="M115" t="s">
        <v>104</v>
      </c>
      <c r="N115" t="s">
        <v>57</v>
      </c>
      <c r="O115" s="1">
        <v>45936</v>
      </c>
      <c r="Q115" s="1">
        <v>45967</v>
      </c>
      <c r="R115" s="2">
        <v>29.6</v>
      </c>
      <c r="S115">
        <v>1</v>
      </c>
      <c r="T115" t="s">
        <v>58</v>
      </c>
      <c r="U115" t="s">
        <v>59</v>
      </c>
      <c r="V115" s="3">
        <v>0.7</v>
      </c>
      <c r="W115" s="2">
        <v>0</v>
      </c>
      <c r="X115">
        <v>0</v>
      </c>
      <c r="Y115" t="s">
        <v>60</v>
      </c>
      <c r="Z115" t="s">
        <v>61</v>
      </c>
      <c r="AA115">
        <v>6</v>
      </c>
      <c r="AB115" s="2">
        <v>124.32</v>
      </c>
      <c r="AC115" s="2">
        <v>0</v>
      </c>
      <c r="AD115" s="3">
        <v>0</v>
      </c>
      <c r="AE115" s="2">
        <v>0</v>
      </c>
      <c r="AF115" s="2">
        <v>0</v>
      </c>
      <c r="AG115" s="2">
        <v>0</v>
      </c>
      <c r="AH115" s="2">
        <v>0</v>
      </c>
      <c r="AI115" s="2">
        <v>0</v>
      </c>
      <c r="AJ115" s="2">
        <v>0</v>
      </c>
      <c r="AK115" s="2">
        <v>0</v>
      </c>
      <c r="AL115" s="2">
        <v>20.72</v>
      </c>
      <c r="AM115" s="2">
        <v>0</v>
      </c>
      <c r="AN115" s="2">
        <v>124.32</v>
      </c>
      <c r="AO115" s="2">
        <v>0</v>
      </c>
      <c r="AP115" s="2">
        <v>0</v>
      </c>
      <c r="AQ115" s="2">
        <v>0</v>
      </c>
    </row>
    <row r="116" spans="1:43" x14ac:dyDescent="0.25">
      <c r="A116" s="1">
        <v>45936</v>
      </c>
      <c r="B116" t="s">
        <v>48</v>
      </c>
      <c r="C116">
        <v>649163</v>
      </c>
      <c r="D116">
        <v>2031031361</v>
      </c>
      <c r="E116" t="s">
        <v>313</v>
      </c>
      <c r="F116" t="s">
        <v>314</v>
      </c>
      <c r="G116" t="s">
        <v>51</v>
      </c>
      <c r="H116" t="s">
        <v>247</v>
      </c>
      <c r="I116" t="s">
        <v>292</v>
      </c>
      <c r="J116" t="s">
        <v>293</v>
      </c>
      <c r="K116">
        <v>888536</v>
      </c>
      <c r="L116" t="s">
        <v>315</v>
      </c>
      <c r="M116" t="s">
        <v>316</v>
      </c>
      <c r="N116" t="s">
        <v>57</v>
      </c>
      <c r="O116" s="1">
        <v>45931</v>
      </c>
      <c r="Q116" s="1">
        <v>45962</v>
      </c>
      <c r="R116" s="2">
        <v>270.72000000000003</v>
      </c>
      <c r="S116">
        <v>1</v>
      </c>
      <c r="T116" t="s">
        <v>58</v>
      </c>
      <c r="U116" t="s">
        <v>59</v>
      </c>
      <c r="V116" s="3">
        <v>0.7</v>
      </c>
      <c r="W116" s="2">
        <v>0</v>
      </c>
      <c r="X116">
        <v>0</v>
      </c>
      <c r="Y116" t="s">
        <v>60</v>
      </c>
      <c r="Z116" t="s">
        <v>61</v>
      </c>
      <c r="AA116">
        <v>6</v>
      </c>
      <c r="AB116" s="2">
        <v>1137</v>
      </c>
      <c r="AC116" s="2">
        <v>0</v>
      </c>
      <c r="AD116" s="3">
        <v>0</v>
      </c>
      <c r="AE116" s="2">
        <v>0</v>
      </c>
      <c r="AF116" s="2">
        <v>0</v>
      </c>
      <c r="AG116" s="2">
        <v>0</v>
      </c>
      <c r="AH116" s="2">
        <v>0</v>
      </c>
      <c r="AI116" s="2">
        <v>0</v>
      </c>
      <c r="AJ116" s="2">
        <v>0</v>
      </c>
      <c r="AK116" s="2">
        <v>0</v>
      </c>
      <c r="AL116" s="2">
        <v>189.5</v>
      </c>
      <c r="AM116" s="2">
        <v>0</v>
      </c>
      <c r="AN116" s="2">
        <v>1137</v>
      </c>
      <c r="AO116" s="2">
        <v>0</v>
      </c>
      <c r="AP116" s="2">
        <v>0</v>
      </c>
      <c r="AQ116" s="2">
        <v>0</v>
      </c>
    </row>
    <row r="117" spans="1:43" x14ac:dyDescent="0.25">
      <c r="A117" s="1">
        <v>45936</v>
      </c>
      <c r="B117" t="s">
        <v>48</v>
      </c>
      <c r="C117">
        <v>649163</v>
      </c>
      <c r="D117">
        <v>2031081021</v>
      </c>
      <c r="E117" t="s">
        <v>144</v>
      </c>
      <c r="F117" t="s">
        <v>145</v>
      </c>
      <c r="G117" t="s">
        <v>51</v>
      </c>
      <c r="H117" t="s">
        <v>64</v>
      </c>
      <c r="I117" t="s">
        <v>292</v>
      </c>
      <c r="J117" t="s">
        <v>293</v>
      </c>
      <c r="K117">
        <v>822865</v>
      </c>
      <c r="L117" t="s">
        <v>146</v>
      </c>
      <c r="M117" t="s">
        <v>147</v>
      </c>
      <c r="N117" t="s">
        <v>57</v>
      </c>
      <c r="O117" s="1">
        <v>45932</v>
      </c>
      <c r="Q117" s="1">
        <v>45963</v>
      </c>
      <c r="R117" s="2">
        <v>20.21</v>
      </c>
      <c r="S117">
        <v>1</v>
      </c>
      <c r="T117" t="s">
        <v>58</v>
      </c>
      <c r="U117" t="s">
        <v>59</v>
      </c>
      <c r="V117" s="3">
        <v>0.7</v>
      </c>
      <c r="W117" s="2">
        <v>0</v>
      </c>
      <c r="X117">
        <v>0</v>
      </c>
      <c r="Y117" t="s">
        <v>60</v>
      </c>
      <c r="Z117" t="s">
        <v>61</v>
      </c>
      <c r="AA117">
        <v>6</v>
      </c>
      <c r="AB117" s="2">
        <v>84.9</v>
      </c>
      <c r="AC117" s="2">
        <v>0</v>
      </c>
      <c r="AD117" s="3">
        <v>0</v>
      </c>
      <c r="AE117" s="2">
        <v>0</v>
      </c>
      <c r="AF117" s="2">
        <v>0</v>
      </c>
      <c r="AG117" s="2">
        <v>0</v>
      </c>
      <c r="AH117" s="2">
        <v>0</v>
      </c>
      <c r="AI117" s="2">
        <v>0</v>
      </c>
      <c r="AJ117" s="2">
        <v>0</v>
      </c>
      <c r="AK117" s="2">
        <v>0</v>
      </c>
      <c r="AL117" s="2">
        <v>14.15</v>
      </c>
      <c r="AM117" s="2">
        <v>0</v>
      </c>
      <c r="AN117" s="2">
        <v>84.9</v>
      </c>
      <c r="AO117" s="2">
        <v>0</v>
      </c>
      <c r="AP117" s="2">
        <v>0</v>
      </c>
      <c r="AQ117" s="2">
        <v>0</v>
      </c>
    </row>
    <row r="118" spans="1:43" x14ac:dyDescent="0.25">
      <c r="A118" s="1">
        <v>45936</v>
      </c>
      <c r="B118" t="s">
        <v>48</v>
      </c>
      <c r="C118">
        <v>649163</v>
      </c>
      <c r="D118">
        <v>2031146403</v>
      </c>
      <c r="E118" t="s">
        <v>317</v>
      </c>
      <c r="F118" t="s">
        <v>318</v>
      </c>
      <c r="G118" t="s">
        <v>51</v>
      </c>
      <c r="H118" t="s">
        <v>101</v>
      </c>
      <c r="I118" t="s">
        <v>292</v>
      </c>
      <c r="J118" t="s">
        <v>293</v>
      </c>
      <c r="K118">
        <v>789909</v>
      </c>
      <c r="L118" t="s">
        <v>317</v>
      </c>
      <c r="M118" t="s">
        <v>318</v>
      </c>
      <c r="N118" t="s">
        <v>57</v>
      </c>
      <c r="O118" s="1">
        <v>45931</v>
      </c>
      <c r="Q118" s="1">
        <v>45962</v>
      </c>
      <c r="R118" s="2">
        <v>26.5</v>
      </c>
      <c r="S118">
        <v>1</v>
      </c>
      <c r="T118" t="s">
        <v>58</v>
      </c>
      <c r="U118" t="s">
        <v>59</v>
      </c>
      <c r="V118" s="3">
        <v>0.7</v>
      </c>
      <c r="W118" s="2">
        <v>0</v>
      </c>
      <c r="X118">
        <v>0</v>
      </c>
      <c r="Y118" t="s">
        <v>60</v>
      </c>
      <c r="Z118" t="s">
        <v>61</v>
      </c>
      <c r="AA118">
        <v>6</v>
      </c>
      <c r="AB118" s="2">
        <v>111.3</v>
      </c>
      <c r="AC118" s="2">
        <v>0</v>
      </c>
      <c r="AD118" s="3">
        <v>0</v>
      </c>
      <c r="AE118" s="2">
        <v>0</v>
      </c>
      <c r="AF118" s="2">
        <v>0</v>
      </c>
      <c r="AG118" s="2">
        <v>0</v>
      </c>
      <c r="AH118" s="2">
        <v>0</v>
      </c>
      <c r="AI118" s="2">
        <v>0</v>
      </c>
      <c r="AJ118" s="2">
        <v>0</v>
      </c>
      <c r="AK118" s="2">
        <v>0</v>
      </c>
      <c r="AL118" s="2">
        <v>18.55</v>
      </c>
      <c r="AM118" s="2">
        <v>0</v>
      </c>
      <c r="AN118" s="2">
        <v>111.3</v>
      </c>
      <c r="AO118" s="2">
        <v>0</v>
      </c>
      <c r="AP118" s="2">
        <v>0</v>
      </c>
      <c r="AQ118" s="2">
        <v>0</v>
      </c>
    </row>
    <row r="119" spans="1:43" x14ac:dyDescent="0.25">
      <c r="A119" s="1">
        <v>45936</v>
      </c>
      <c r="B119" t="s">
        <v>48</v>
      </c>
      <c r="C119">
        <v>649163</v>
      </c>
      <c r="D119">
        <v>2031160015</v>
      </c>
      <c r="E119" t="s">
        <v>319</v>
      </c>
      <c r="F119" t="s">
        <v>320</v>
      </c>
      <c r="G119" t="s">
        <v>51</v>
      </c>
      <c r="H119" t="s">
        <v>159</v>
      </c>
      <c r="I119" t="s">
        <v>292</v>
      </c>
      <c r="J119" t="s">
        <v>295</v>
      </c>
      <c r="K119">
        <v>651818</v>
      </c>
      <c r="L119" t="s">
        <v>112</v>
      </c>
      <c r="M119" t="s">
        <v>104</v>
      </c>
      <c r="N119" t="s">
        <v>57</v>
      </c>
      <c r="O119" s="1">
        <v>45936</v>
      </c>
      <c r="Q119" s="1">
        <v>45967</v>
      </c>
      <c r="R119" s="2">
        <v>95.38</v>
      </c>
      <c r="S119">
        <v>1</v>
      </c>
      <c r="T119" t="s">
        <v>58</v>
      </c>
      <c r="U119" t="s">
        <v>59</v>
      </c>
      <c r="V119" s="3">
        <v>0.9</v>
      </c>
      <c r="W119" s="2">
        <v>0</v>
      </c>
      <c r="X119">
        <v>0</v>
      </c>
      <c r="Y119" t="s">
        <v>60</v>
      </c>
      <c r="Z119" t="s">
        <v>61</v>
      </c>
      <c r="AA119">
        <v>6</v>
      </c>
      <c r="AB119" s="2">
        <v>515.04</v>
      </c>
      <c r="AC119" s="2">
        <v>0</v>
      </c>
      <c r="AD119" s="3">
        <v>0</v>
      </c>
      <c r="AE119" s="2">
        <v>0</v>
      </c>
      <c r="AF119" s="2">
        <v>0</v>
      </c>
      <c r="AG119" s="2">
        <v>0</v>
      </c>
      <c r="AH119" s="2">
        <v>0</v>
      </c>
      <c r="AI119" s="2">
        <v>0</v>
      </c>
      <c r="AJ119" s="2">
        <v>0</v>
      </c>
      <c r="AK119" s="2">
        <v>0</v>
      </c>
      <c r="AL119" s="2">
        <v>85.84</v>
      </c>
      <c r="AM119" s="2">
        <v>0</v>
      </c>
      <c r="AN119" s="2">
        <v>515.04</v>
      </c>
      <c r="AO119" s="2">
        <v>0</v>
      </c>
      <c r="AP119" s="2">
        <v>0</v>
      </c>
      <c r="AQ119" s="2">
        <v>0</v>
      </c>
    </row>
    <row r="120" spans="1:43" x14ac:dyDescent="0.25">
      <c r="A120" s="1">
        <v>45936</v>
      </c>
      <c r="B120" t="s">
        <v>48</v>
      </c>
      <c r="C120">
        <v>649163</v>
      </c>
      <c r="D120">
        <v>2031179746</v>
      </c>
      <c r="E120" t="s">
        <v>153</v>
      </c>
      <c r="F120" t="s">
        <v>154</v>
      </c>
      <c r="G120" t="s">
        <v>51</v>
      </c>
      <c r="H120" t="s">
        <v>155</v>
      </c>
      <c r="I120" t="s">
        <v>292</v>
      </c>
      <c r="J120" t="s">
        <v>293</v>
      </c>
      <c r="K120">
        <v>856163</v>
      </c>
      <c r="L120" t="s">
        <v>66</v>
      </c>
      <c r="M120" t="s">
        <v>156</v>
      </c>
      <c r="N120" t="s">
        <v>57</v>
      </c>
      <c r="O120" s="1">
        <v>45931</v>
      </c>
      <c r="Q120" s="1">
        <v>45962</v>
      </c>
      <c r="R120" s="2">
        <v>47.24</v>
      </c>
      <c r="S120">
        <v>1</v>
      </c>
      <c r="T120" t="s">
        <v>58</v>
      </c>
      <c r="U120" t="s">
        <v>59</v>
      </c>
      <c r="V120" s="3">
        <v>0.7</v>
      </c>
      <c r="W120" s="2">
        <v>0</v>
      </c>
      <c r="X120">
        <v>0</v>
      </c>
      <c r="Y120" t="s">
        <v>60</v>
      </c>
      <c r="Z120" t="s">
        <v>61</v>
      </c>
      <c r="AA120">
        <v>6</v>
      </c>
      <c r="AB120" s="2">
        <v>198.42</v>
      </c>
      <c r="AC120" s="2">
        <v>0</v>
      </c>
      <c r="AD120" s="3">
        <v>0</v>
      </c>
      <c r="AE120" s="2">
        <v>0</v>
      </c>
      <c r="AF120" s="2">
        <v>0</v>
      </c>
      <c r="AG120" s="2">
        <v>0</v>
      </c>
      <c r="AH120" s="2">
        <v>0</v>
      </c>
      <c r="AI120" s="2">
        <v>0</v>
      </c>
      <c r="AJ120" s="2">
        <v>0</v>
      </c>
      <c r="AK120" s="2">
        <v>0</v>
      </c>
      <c r="AL120" s="2">
        <v>33.07</v>
      </c>
      <c r="AM120" s="2">
        <v>0</v>
      </c>
      <c r="AN120" s="2">
        <v>198.42</v>
      </c>
      <c r="AO120" s="2">
        <v>0</v>
      </c>
      <c r="AP120" s="2">
        <v>0</v>
      </c>
      <c r="AQ120" s="2">
        <v>0</v>
      </c>
    </row>
    <row r="121" spans="1:43" x14ac:dyDescent="0.25">
      <c r="A121" s="1">
        <v>45936</v>
      </c>
      <c r="B121" t="s">
        <v>48</v>
      </c>
      <c r="C121">
        <v>649163</v>
      </c>
      <c r="D121">
        <v>2031210728</v>
      </c>
      <c r="E121" t="s">
        <v>321</v>
      </c>
      <c r="F121" t="s">
        <v>322</v>
      </c>
      <c r="G121" t="s">
        <v>51</v>
      </c>
      <c r="H121" t="s">
        <v>323</v>
      </c>
      <c r="I121" t="s">
        <v>292</v>
      </c>
      <c r="J121" t="s">
        <v>293</v>
      </c>
      <c r="K121">
        <v>856163</v>
      </c>
      <c r="L121" t="s">
        <v>66</v>
      </c>
      <c r="M121" t="s">
        <v>156</v>
      </c>
      <c r="N121" t="s">
        <v>57</v>
      </c>
      <c r="O121" s="1">
        <v>45931</v>
      </c>
      <c r="Q121" s="1">
        <v>45962</v>
      </c>
      <c r="R121" s="2">
        <v>17.32</v>
      </c>
      <c r="S121">
        <v>1</v>
      </c>
      <c r="T121" t="s">
        <v>58</v>
      </c>
      <c r="U121" t="s">
        <v>59</v>
      </c>
      <c r="V121" s="3">
        <v>0.7</v>
      </c>
      <c r="W121" s="2">
        <v>0</v>
      </c>
      <c r="X121">
        <v>0</v>
      </c>
      <c r="Y121" t="s">
        <v>60</v>
      </c>
      <c r="Z121" t="s">
        <v>61</v>
      </c>
      <c r="AA121">
        <v>6</v>
      </c>
      <c r="AB121" s="2">
        <v>72.72</v>
      </c>
      <c r="AC121" s="2">
        <v>0</v>
      </c>
      <c r="AD121" s="3">
        <v>0</v>
      </c>
      <c r="AE121" s="2">
        <v>0</v>
      </c>
      <c r="AF121" s="2">
        <v>0</v>
      </c>
      <c r="AG121" s="2">
        <v>0</v>
      </c>
      <c r="AH121" s="2">
        <v>0</v>
      </c>
      <c r="AI121" s="2">
        <v>0</v>
      </c>
      <c r="AJ121" s="2">
        <v>0</v>
      </c>
      <c r="AK121" s="2">
        <v>0</v>
      </c>
      <c r="AL121" s="2">
        <v>12.12</v>
      </c>
      <c r="AM121" s="2">
        <v>0</v>
      </c>
      <c r="AN121" s="2">
        <v>72.72</v>
      </c>
      <c r="AO121" s="2">
        <v>0</v>
      </c>
      <c r="AP121" s="2">
        <v>0</v>
      </c>
      <c r="AQ121" s="2">
        <v>0</v>
      </c>
    </row>
    <row r="122" spans="1:43" x14ac:dyDescent="0.25">
      <c r="A122" s="1">
        <v>45936</v>
      </c>
      <c r="B122" t="s">
        <v>48</v>
      </c>
      <c r="C122">
        <v>649163</v>
      </c>
      <c r="D122">
        <v>2031223342</v>
      </c>
      <c r="E122" t="s">
        <v>160</v>
      </c>
      <c r="F122" t="s">
        <v>161</v>
      </c>
      <c r="G122" t="s">
        <v>51</v>
      </c>
      <c r="H122" t="s">
        <v>150</v>
      </c>
      <c r="I122" t="s">
        <v>292</v>
      </c>
      <c r="J122" t="s">
        <v>293</v>
      </c>
      <c r="K122">
        <v>877790</v>
      </c>
      <c r="L122" t="s">
        <v>151</v>
      </c>
      <c r="M122" t="s">
        <v>152</v>
      </c>
      <c r="N122" t="s">
        <v>57</v>
      </c>
      <c r="O122" s="1">
        <v>45931</v>
      </c>
      <c r="Q122" s="1">
        <v>45962</v>
      </c>
      <c r="R122" s="2">
        <v>36.76</v>
      </c>
      <c r="S122">
        <v>1</v>
      </c>
      <c r="T122" t="s">
        <v>58</v>
      </c>
      <c r="U122" t="s">
        <v>59</v>
      </c>
      <c r="V122" s="3">
        <v>0.7</v>
      </c>
      <c r="W122" s="2">
        <v>0</v>
      </c>
      <c r="X122">
        <v>0</v>
      </c>
      <c r="Y122" t="s">
        <v>60</v>
      </c>
      <c r="Z122" t="s">
        <v>61</v>
      </c>
      <c r="AA122">
        <v>6</v>
      </c>
      <c r="AB122" s="2">
        <v>154.38</v>
      </c>
      <c r="AC122" s="2">
        <v>0</v>
      </c>
      <c r="AD122" s="3">
        <v>0</v>
      </c>
      <c r="AE122" s="2">
        <v>0</v>
      </c>
      <c r="AF122" s="2">
        <v>0</v>
      </c>
      <c r="AG122" s="2">
        <v>0</v>
      </c>
      <c r="AH122" s="2">
        <v>0</v>
      </c>
      <c r="AI122" s="2">
        <v>0</v>
      </c>
      <c r="AJ122" s="2">
        <v>0</v>
      </c>
      <c r="AK122" s="2">
        <v>0</v>
      </c>
      <c r="AL122" s="2">
        <v>25.73</v>
      </c>
      <c r="AM122" s="2">
        <v>0</v>
      </c>
      <c r="AN122" s="2">
        <v>154.38</v>
      </c>
      <c r="AO122" s="2">
        <v>0</v>
      </c>
      <c r="AP122" s="2">
        <v>0</v>
      </c>
      <c r="AQ122" s="2">
        <v>0</v>
      </c>
    </row>
    <row r="123" spans="1:43" x14ac:dyDescent="0.25">
      <c r="A123" s="1">
        <v>45936</v>
      </c>
      <c r="B123" t="s">
        <v>48</v>
      </c>
      <c r="C123">
        <v>649163</v>
      </c>
      <c r="D123">
        <v>2031225657</v>
      </c>
      <c r="E123" t="s">
        <v>254</v>
      </c>
      <c r="F123" t="s">
        <v>255</v>
      </c>
      <c r="G123" t="s">
        <v>51</v>
      </c>
      <c r="H123" t="s">
        <v>155</v>
      </c>
      <c r="I123" t="s">
        <v>292</v>
      </c>
      <c r="J123" t="s">
        <v>293</v>
      </c>
      <c r="K123">
        <v>814033</v>
      </c>
      <c r="L123" t="s">
        <v>256</v>
      </c>
      <c r="M123" t="s">
        <v>165</v>
      </c>
      <c r="N123" t="s">
        <v>57</v>
      </c>
      <c r="O123" s="1">
        <v>45931</v>
      </c>
      <c r="Q123" s="1">
        <v>45962</v>
      </c>
      <c r="R123" s="2">
        <v>18.37</v>
      </c>
      <c r="S123">
        <v>1</v>
      </c>
      <c r="T123" t="s">
        <v>58</v>
      </c>
      <c r="U123" t="s">
        <v>59</v>
      </c>
      <c r="V123" s="3">
        <v>0.7</v>
      </c>
      <c r="W123" s="2">
        <v>0</v>
      </c>
      <c r="X123">
        <v>0</v>
      </c>
      <c r="Y123" t="s">
        <v>60</v>
      </c>
      <c r="Z123" t="s">
        <v>61</v>
      </c>
      <c r="AA123">
        <v>6</v>
      </c>
      <c r="AB123" s="2">
        <v>77.16</v>
      </c>
      <c r="AC123" s="2">
        <v>0</v>
      </c>
      <c r="AD123" s="3">
        <v>0</v>
      </c>
      <c r="AE123" s="2">
        <v>0</v>
      </c>
      <c r="AF123" s="2">
        <v>0</v>
      </c>
      <c r="AG123" s="2">
        <v>0</v>
      </c>
      <c r="AH123" s="2">
        <v>0</v>
      </c>
      <c r="AI123" s="2">
        <v>0</v>
      </c>
      <c r="AJ123" s="2">
        <v>0</v>
      </c>
      <c r="AK123" s="2">
        <v>0</v>
      </c>
      <c r="AL123" s="2">
        <v>12.86</v>
      </c>
      <c r="AM123" s="2">
        <v>0</v>
      </c>
      <c r="AN123" s="2">
        <v>77.16</v>
      </c>
      <c r="AO123" s="2">
        <v>0</v>
      </c>
      <c r="AP123" s="2">
        <v>0</v>
      </c>
      <c r="AQ123" s="2">
        <v>0</v>
      </c>
    </row>
    <row r="124" spans="1:43" x14ac:dyDescent="0.25">
      <c r="A124" s="1">
        <v>45936</v>
      </c>
      <c r="B124" t="s">
        <v>48</v>
      </c>
      <c r="C124">
        <v>649163</v>
      </c>
      <c r="D124">
        <v>2031247581</v>
      </c>
      <c r="E124" t="s">
        <v>164</v>
      </c>
      <c r="F124" t="s">
        <v>165</v>
      </c>
      <c r="G124" t="s">
        <v>51</v>
      </c>
      <c r="H124" t="s">
        <v>101</v>
      </c>
      <c r="I124" t="s">
        <v>292</v>
      </c>
      <c r="J124" t="s">
        <v>293</v>
      </c>
      <c r="K124">
        <v>651818</v>
      </c>
      <c r="L124" t="s">
        <v>112</v>
      </c>
      <c r="M124" t="s">
        <v>104</v>
      </c>
      <c r="N124" t="s">
        <v>57</v>
      </c>
      <c r="O124" s="1">
        <v>45936</v>
      </c>
      <c r="Q124" s="1">
        <v>45967</v>
      </c>
      <c r="R124" s="2">
        <v>105.02</v>
      </c>
      <c r="S124">
        <v>1</v>
      </c>
      <c r="T124" t="s">
        <v>58</v>
      </c>
      <c r="U124" t="s">
        <v>59</v>
      </c>
      <c r="V124" s="3">
        <v>0.7</v>
      </c>
      <c r="W124" s="2">
        <v>0</v>
      </c>
      <c r="X124">
        <v>0</v>
      </c>
      <c r="Y124" t="s">
        <v>60</v>
      </c>
      <c r="Z124" t="s">
        <v>61</v>
      </c>
      <c r="AA124">
        <v>6</v>
      </c>
      <c r="AB124" s="2">
        <v>441.06</v>
      </c>
      <c r="AC124" s="2">
        <v>0</v>
      </c>
      <c r="AD124" s="3">
        <v>0</v>
      </c>
      <c r="AE124" s="2">
        <v>0</v>
      </c>
      <c r="AF124" s="2">
        <v>0</v>
      </c>
      <c r="AG124" s="2">
        <v>0</v>
      </c>
      <c r="AH124" s="2">
        <v>0</v>
      </c>
      <c r="AI124" s="2">
        <v>0</v>
      </c>
      <c r="AJ124" s="2">
        <v>0</v>
      </c>
      <c r="AK124" s="2">
        <v>0</v>
      </c>
      <c r="AL124" s="2">
        <v>73.510000000000005</v>
      </c>
      <c r="AM124" s="2">
        <v>0</v>
      </c>
      <c r="AN124" s="2">
        <v>441.06</v>
      </c>
      <c r="AO124" s="2">
        <v>0</v>
      </c>
      <c r="AP124" s="2">
        <v>0</v>
      </c>
      <c r="AQ124" s="2">
        <v>0</v>
      </c>
    </row>
    <row r="125" spans="1:43" x14ac:dyDescent="0.25">
      <c r="A125" s="1">
        <v>45936</v>
      </c>
      <c r="B125" t="s">
        <v>48</v>
      </c>
      <c r="C125">
        <v>649163</v>
      </c>
      <c r="D125">
        <v>2031251423</v>
      </c>
      <c r="E125" t="s">
        <v>257</v>
      </c>
      <c r="F125" t="s">
        <v>137</v>
      </c>
      <c r="G125" t="s">
        <v>51</v>
      </c>
      <c r="H125" t="s">
        <v>52</v>
      </c>
      <c r="I125" t="s">
        <v>292</v>
      </c>
      <c r="J125" t="s">
        <v>293</v>
      </c>
      <c r="K125">
        <v>669316</v>
      </c>
      <c r="L125" t="s">
        <v>258</v>
      </c>
      <c r="M125" t="s">
        <v>259</v>
      </c>
      <c r="N125" t="s">
        <v>57</v>
      </c>
      <c r="O125" s="1">
        <v>45931</v>
      </c>
      <c r="Q125" s="1">
        <v>45962</v>
      </c>
      <c r="R125" s="2">
        <v>18.100000000000001</v>
      </c>
      <c r="S125">
        <v>1</v>
      </c>
      <c r="T125" t="s">
        <v>58</v>
      </c>
      <c r="U125" t="s">
        <v>59</v>
      </c>
      <c r="V125" s="3">
        <v>0.7</v>
      </c>
      <c r="W125" s="2">
        <v>0</v>
      </c>
      <c r="X125">
        <v>0</v>
      </c>
      <c r="Y125" t="s">
        <v>60</v>
      </c>
      <c r="Z125" t="s">
        <v>61</v>
      </c>
      <c r="AA125">
        <v>6</v>
      </c>
      <c r="AB125" s="2">
        <v>76.02</v>
      </c>
      <c r="AC125" s="2">
        <v>0</v>
      </c>
      <c r="AD125" s="3">
        <v>0</v>
      </c>
      <c r="AE125" s="2">
        <v>0</v>
      </c>
      <c r="AF125" s="2">
        <v>0</v>
      </c>
      <c r="AG125" s="2">
        <v>0</v>
      </c>
      <c r="AH125" s="2">
        <v>0</v>
      </c>
      <c r="AI125" s="2">
        <v>0</v>
      </c>
      <c r="AJ125" s="2">
        <v>0</v>
      </c>
      <c r="AK125" s="2">
        <v>0</v>
      </c>
      <c r="AL125" s="2">
        <v>12.67</v>
      </c>
      <c r="AM125" s="2">
        <v>0</v>
      </c>
      <c r="AN125" s="2">
        <v>76.02</v>
      </c>
      <c r="AO125" s="2">
        <v>0</v>
      </c>
      <c r="AP125" s="2">
        <v>0</v>
      </c>
      <c r="AQ125" s="2">
        <v>0</v>
      </c>
    </row>
    <row r="126" spans="1:43" x14ac:dyDescent="0.25">
      <c r="A126" s="1">
        <v>45936</v>
      </c>
      <c r="B126" t="s">
        <v>48</v>
      </c>
      <c r="C126">
        <v>649163</v>
      </c>
      <c r="D126">
        <v>2031263015</v>
      </c>
      <c r="E126" t="s">
        <v>166</v>
      </c>
      <c r="F126" t="s">
        <v>167</v>
      </c>
      <c r="G126" t="s">
        <v>51</v>
      </c>
      <c r="H126" t="s">
        <v>129</v>
      </c>
      <c r="I126" t="s">
        <v>292</v>
      </c>
      <c r="J126" t="s">
        <v>293</v>
      </c>
      <c r="K126">
        <v>753748</v>
      </c>
      <c r="L126" t="s">
        <v>97</v>
      </c>
      <c r="M126" t="s">
        <v>98</v>
      </c>
      <c r="N126" t="s">
        <v>57</v>
      </c>
      <c r="O126" s="1">
        <v>45931</v>
      </c>
      <c r="Q126" s="1">
        <v>45962</v>
      </c>
      <c r="R126" s="2">
        <v>76.59</v>
      </c>
      <c r="S126">
        <v>1</v>
      </c>
      <c r="T126" t="s">
        <v>58</v>
      </c>
      <c r="U126" t="s">
        <v>59</v>
      </c>
      <c r="V126" s="3">
        <v>0.7</v>
      </c>
      <c r="W126" s="2">
        <v>0</v>
      </c>
      <c r="X126">
        <v>0</v>
      </c>
      <c r="Y126" t="s">
        <v>60</v>
      </c>
      <c r="Z126" t="s">
        <v>61</v>
      </c>
      <c r="AA126">
        <v>6</v>
      </c>
      <c r="AB126" s="2">
        <v>321.66000000000003</v>
      </c>
      <c r="AC126" s="2">
        <v>0</v>
      </c>
      <c r="AD126" s="3">
        <v>0</v>
      </c>
      <c r="AE126" s="2">
        <v>0</v>
      </c>
      <c r="AF126" s="2">
        <v>0</v>
      </c>
      <c r="AG126" s="2">
        <v>0</v>
      </c>
      <c r="AH126" s="2">
        <v>0</v>
      </c>
      <c r="AI126" s="2">
        <v>0</v>
      </c>
      <c r="AJ126" s="2">
        <v>0</v>
      </c>
      <c r="AK126" s="2">
        <v>0</v>
      </c>
      <c r="AL126" s="2">
        <v>53.61</v>
      </c>
      <c r="AM126" s="2">
        <v>0</v>
      </c>
      <c r="AN126" s="2">
        <v>321.66000000000003</v>
      </c>
      <c r="AO126" s="2">
        <v>0</v>
      </c>
      <c r="AP126" s="2">
        <v>0</v>
      </c>
      <c r="AQ126" s="2">
        <v>0</v>
      </c>
    </row>
    <row r="127" spans="1:43" x14ac:dyDescent="0.25">
      <c r="A127" s="1">
        <v>45936</v>
      </c>
      <c r="B127" t="s">
        <v>48</v>
      </c>
      <c r="C127">
        <v>649163</v>
      </c>
      <c r="D127">
        <v>2031270409</v>
      </c>
      <c r="E127" t="s">
        <v>168</v>
      </c>
      <c r="F127" t="s">
        <v>169</v>
      </c>
      <c r="G127" t="s">
        <v>51</v>
      </c>
      <c r="H127" t="s">
        <v>119</v>
      </c>
      <c r="I127" t="s">
        <v>292</v>
      </c>
      <c r="J127" t="s">
        <v>295</v>
      </c>
      <c r="K127">
        <v>651818</v>
      </c>
      <c r="L127" t="s">
        <v>112</v>
      </c>
      <c r="M127" t="s">
        <v>104</v>
      </c>
      <c r="N127" t="s">
        <v>57</v>
      </c>
      <c r="O127" s="1">
        <v>45941</v>
      </c>
      <c r="Q127" s="1">
        <v>45972</v>
      </c>
      <c r="R127" s="2">
        <v>37.42</v>
      </c>
      <c r="S127">
        <v>1</v>
      </c>
      <c r="T127" t="s">
        <v>58</v>
      </c>
      <c r="U127" t="s">
        <v>59</v>
      </c>
      <c r="V127" s="3">
        <v>0.9</v>
      </c>
      <c r="W127" s="2">
        <v>0</v>
      </c>
      <c r="X127">
        <v>0</v>
      </c>
      <c r="Y127" t="s">
        <v>60</v>
      </c>
      <c r="Z127" t="s">
        <v>61</v>
      </c>
      <c r="AA127">
        <v>6</v>
      </c>
      <c r="AB127" s="2">
        <v>202.08</v>
      </c>
      <c r="AC127" s="2">
        <v>0</v>
      </c>
      <c r="AD127" s="3">
        <v>0</v>
      </c>
      <c r="AE127" s="2">
        <v>0</v>
      </c>
      <c r="AF127" s="2">
        <v>0</v>
      </c>
      <c r="AG127" s="2">
        <v>0</v>
      </c>
      <c r="AH127" s="2">
        <v>0</v>
      </c>
      <c r="AI127" s="2">
        <v>0</v>
      </c>
      <c r="AJ127" s="2">
        <v>0</v>
      </c>
      <c r="AK127" s="2">
        <v>0</v>
      </c>
      <c r="AL127" s="2">
        <v>33.68</v>
      </c>
      <c r="AM127" s="2">
        <v>0</v>
      </c>
      <c r="AN127" s="2">
        <v>202.08</v>
      </c>
      <c r="AO127" s="2">
        <v>0</v>
      </c>
      <c r="AP127" s="2">
        <v>0</v>
      </c>
      <c r="AQ127" s="2">
        <v>0</v>
      </c>
    </row>
    <row r="128" spans="1:43" x14ac:dyDescent="0.25">
      <c r="A128" s="1">
        <v>45936</v>
      </c>
      <c r="B128" t="s">
        <v>48</v>
      </c>
      <c r="C128">
        <v>649163</v>
      </c>
      <c r="D128">
        <v>2031271771</v>
      </c>
      <c r="E128" t="s">
        <v>260</v>
      </c>
      <c r="F128" t="s">
        <v>261</v>
      </c>
      <c r="G128" t="s">
        <v>51</v>
      </c>
      <c r="H128" t="s">
        <v>262</v>
      </c>
      <c r="I128" t="s">
        <v>292</v>
      </c>
      <c r="J128" t="s">
        <v>293</v>
      </c>
      <c r="K128">
        <v>812782</v>
      </c>
      <c r="L128" t="s">
        <v>91</v>
      </c>
      <c r="M128" t="s">
        <v>92</v>
      </c>
      <c r="N128" t="s">
        <v>57</v>
      </c>
      <c r="O128" s="1">
        <v>45931</v>
      </c>
      <c r="Q128" s="1">
        <v>45962</v>
      </c>
      <c r="R128" s="2">
        <v>26.32</v>
      </c>
      <c r="S128">
        <v>1</v>
      </c>
      <c r="T128" t="s">
        <v>58</v>
      </c>
      <c r="U128" t="s">
        <v>59</v>
      </c>
      <c r="V128" s="3">
        <v>0.7</v>
      </c>
      <c r="W128" s="2">
        <v>0</v>
      </c>
      <c r="X128">
        <v>0</v>
      </c>
      <c r="Y128" t="s">
        <v>60</v>
      </c>
      <c r="Z128" t="s">
        <v>61</v>
      </c>
      <c r="AA128">
        <v>6</v>
      </c>
      <c r="AB128" s="2">
        <v>110.52</v>
      </c>
      <c r="AC128" s="2">
        <v>0</v>
      </c>
      <c r="AD128" s="3">
        <v>0</v>
      </c>
      <c r="AE128" s="2">
        <v>0</v>
      </c>
      <c r="AF128" s="2">
        <v>0</v>
      </c>
      <c r="AG128" s="2">
        <v>0</v>
      </c>
      <c r="AH128" s="2">
        <v>0</v>
      </c>
      <c r="AI128" s="2">
        <v>0</v>
      </c>
      <c r="AJ128" s="2">
        <v>0</v>
      </c>
      <c r="AK128" s="2">
        <v>0</v>
      </c>
      <c r="AL128" s="2">
        <v>18.420000000000002</v>
      </c>
      <c r="AM128" s="2">
        <v>0</v>
      </c>
      <c r="AN128" s="2">
        <v>110.52</v>
      </c>
      <c r="AO128" s="2">
        <v>0</v>
      </c>
      <c r="AP128" s="2">
        <v>0</v>
      </c>
      <c r="AQ128" s="2">
        <v>0</v>
      </c>
    </row>
    <row r="129" spans="1:43" x14ac:dyDescent="0.25">
      <c r="A129" s="1">
        <v>45936</v>
      </c>
      <c r="B129" t="s">
        <v>48</v>
      </c>
      <c r="C129">
        <v>649163</v>
      </c>
      <c r="D129">
        <v>2031271772</v>
      </c>
      <c r="E129" t="s">
        <v>260</v>
      </c>
      <c r="F129" t="s">
        <v>261</v>
      </c>
      <c r="G129" t="s">
        <v>51</v>
      </c>
      <c r="H129" t="s">
        <v>262</v>
      </c>
      <c r="I129" t="s">
        <v>292</v>
      </c>
      <c r="J129" t="s">
        <v>295</v>
      </c>
      <c r="K129">
        <v>812782</v>
      </c>
      <c r="L129" t="s">
        <v>91</v>
      </c>
      <c r="M129" t="s">
        <v>92</v>
      </c>
      <c r="N129" t="s">
        <v>57</v>
      </c>
      <c r="O129" s="1">
        <v>45931</v>
      </c>
      <c r="Q129" s="1">
        <v>45962</v>
      </c>
      <c r="R129" s="2">
        <v>33</v>
      </c>
      <c r="S129">
        <v>1</v>
      </c>
      <c r="T129" t="s">
        <v>58</v>
      </c>
      <c r="U129" t="s">
        <v>59</v>
      </c>
      <c r="V129" s="3">
        <v>0.9</v>
      </c>
      <c r="W129" s="2">
        <v>0</v>
      </c>
      <c r="X129">
        <v>0</v>
      </c>
      <c r="Y129" t="s">
        <v>60</v>
      </c>
      <c r="Z129" t="s">
        <v>61</v>
      </c>
      <c r="AA129">
        <v>6</v>
      </c>
      <c r="AB129" s="2">
        <v>178.2</v>
      </c>
      <c r="AC129" s="2">
        <v>0</v>
      </c>
      <c r="AD129" s="3">
        <v>0</v>
      </c>
      <c r="AE129" s="2">
        <v>0</v>
      </c>
      <c r="AF129" s="2">
        <v>0</v>
      </c>
      <c r="AG129" s="2">
        <v>0</v>
      </c>
      <c r="AH129" s="2">
        <v>0</v>
      </c>
      <c r="AI129" s="2">
        <v>0</v>
      </c>
      <c r="AJ129" s="2">
        <v>0</v>
      </c>
      <c r="AK129" s="2">
        <v>0</v>
      </c>
      <c r="AL129" s="2">
        <v>29.7</v>
      </c>
      <c r="AM129" s="2">
        <v>0</v>
      </c>
      <c r="AN129" s="2">
        <v>178.2</v>
      </c>
      <c r="AO129" s="2">
        <v>0</v>
      </c>
      <c r="AP129" s="2">
        <v>0</v>
      </c>
      <c r="AQ129" s="2">
        <v>0</v>
      </c>
    </row>
    <row r="130" spans="1:43" x14ac:dyDescent="0.25">
      <c r="A130" s="1">
        <v>45936</v>
      </c>
      <c r="B130" t="s">
        <v>48</v>
      </c>
      <c r="C130">
        <v>649163</v>
      </c>
      <c r="D130">
        <v>2031290288</v>
      </c>
      <c r="E130" t="s">
        <v>174</v>
      </c>
      <c r="F130" t="s">
        <v>175</v>
      </c>
      <c r="G130" t="s">
        <v>51</v>
      </c>
      <c r="H130" t="s">
        <v>101</v>
      </c>
      <c r="I130" t="s">
        <v>292</v>
      </c>
      <c r="J130" t="s">
        <v>295</v>
      </c>
      <c r="K130">
        <v>651818</v>
      </c>
      <c r="L130" t="s">
        <v>112</v>
      </c>
      <c r="M130" t="s">
        <v>104</v>
      </c>
      <c r="N130" t="s">
        <v>57</v>
      </c>
      <c r="O130" s="1">
        <v>45936</v>
      </c>
      <c r="Q130" s="1">
        <v>45967</v>
      </c>
      <c r="R130" s="2">
        <v>163.25</v>
      </c>
      <c r="S130">
        <v>1</v>
      </c>
      <c r="T130" t="s">
        <v>58</v>
      </c>
      <c r="U130" t="s">
        <v>59</v>
      </c>
      <c r="V130" s="3">
        <v>0.9</v>
      </c>
      <c r="W130" s="2">
        <v>0</v>
      </c>
      <c r="X130">
        <v>0</v>
      </c>
      <c r="Y130" t="s">
        <v>60</v>
      </c>
      <c r="Z130" t="s">
        <v>61</v>
      </c>
      <c r="AA130">
        <v>6</v>
      </c>
      <c r="AB130" s="2">
        <v>881.52</v>
      </c>
      <c r="AC130" s="2">
        <v>0</v>
      </c>
      <c r="AD130" s="3">
        <v>0</v>
      </c>
      <c r="AE130" s="2">
        <v>0</v>
      </c>
      <c r="AF130" s="2">
        <v>0</v>
      </c>
      <c r="AG130" s="2">
        <v>0</v>
      </c>
      <c r="AH130" s="2">
        <v>0</v>
      </c>
      <c r="AI130" s="2">
        <v>0</v>
      </c>
      <c r="AJ130" s="2">
        <v>0</v>
      </c>
      <c r="AK130" s="2">
        <v>0</v>
      </c>
      <c r="AL130" s="2">
        <v>146.91999999999999</v>
      </c>
      <c r="AM130" s="2">
        <v>0</v>
      </c>
      <c r="AN130" s="2">
        <v>881.52</v>
      </c>
      <c r="AO130" s="2">
        <v>0</v>
      </c>
      <c r="AP130" s="2">
        <v>0</v>
      </c>
      <c r="AQ130" s="2">
        <v>0</v>
      </c>
    </row>
    <row r="131" spans="1:43" x14ac:dyDescent="0.25">
      <c r="A131" s="1">
        <v>45936</v>
      </c>
      <c r="B131" t="s">
        <v>48</v>
      </c>
      <c r="C131">
        <v>649163</v>
      </c>
      <c r="D131">
        <v>2031320895</v>
      </c>
      <c r="E131" t="s">
        <v>178</v>
      </c>
      <c r="F131" t="s">
        <v>179</v>
      </c>
      <c r="G131" t="s">
        <v>51</v>
      </c>
      <c r="H131" t="s">
        <v>119</v>
      </c>
      <c r="I131" t="s">
        <v>292</v>
      </c>
      <c r="J131" t="s">
        <v>293</v>
      </c>
      <c r="K131">
        <v>651818</v>
      </c>
      <c r="L131" t="s">
        <v>112</v>
      </c>
      <c r="M131" t="s">
        <v>104</v>
      </c>
      <c r="N131" t="s">
        <v>57</v>
      </c>
      <c r="O131" s="1">
        <v>45936</v>
      </c>
      <c r="Q131" s="1">
        <v>45967</v>
      </c>
      <c r="R131" s="2">
        <v>11.5</v>
      </c>
      <c r="S131">
        <v>1</v>
      </c>
      <c r="T131" t="s">
        <v>58</v>
      </c>
      <c r="U131" t="s">
        <v>59</v>
      </c>
      <c r="V131" s="3">
        <v>0.7</v>
      </c>
      <c r="W131" s="2">
        <v>0</v>
      </c>
      <c r="X131">
        <v>0</v>
      </c>
      <c r="Y131" t="s">
        <v>60</v>
      </c>
      <c r="Z131" t="s">
        <v>61</v>
      </c>
      <c r="AA131">
        <v>6</v>
      </c>
      <c r="AB131" s="2">
        <v>48.3</v>
      </c>
      <c r="AC131" s="2">
        <v>0</v>
      </c>
      <c r="AD131" s="3">
        <v>0</v>
      </c>
      <c r="AE131" s="2">
        <v>0</v>
      </c>
      <c r="AF131" s="2">
        <v>0</v>
      </c>
      <c r="AG131" s="2">
        <v>0</v>
      </c>
      <c r="AH131" s="2">
        <v>0</v>
      </c>
      <c r="AI131" s="2">
        <v>0</v>
      </c>
      <c r="AJ131" s="2">
        <v>0</v>
      </c>
      <c r="AK131" s="2">
        <v>0</v>
      </c>
      <c r="AL131" s="2">
        <v>8.0500000000000007</v>
      </c>
      <c r="AM131" s="2">
        <v>0</v>
      </c>
      <c r="AN131" s="2">
        <v>48.3</v>
      </c>
      <c r="AO131" s="2">
        <v>0</v>
      </c>
      <c r="AP131" s="2">
        <v>0</v>
      </c>
      <c r="AQ131" s="2">
        <v>0</v>
      </c>
    </row>
    <row r="132" spans="1:43" x14ac:dyDescent="0.25">
      <c r="A132" s="1">
        <v>45936</v>
      </c>
      <c r="B132" t="s">
        <v>48</v>
      </c>
      <c r="C132">
        <v>649163</v>
      </c>
      <c r="D132">
        <v>2031327777</v>
      </c>
      <c r="E132" t="s">
        <v>62</v>
      </c>
      <c r="F132" t="s">
        <v>63</v>
      </c>
      <c r="G132" t="s">
        <v>51</v>
      </c>
      <c r="H132" t="s">
        <v>64</v>
      </c>
      <c r="I132" t="s">
        <v>292</v>
      </c>
      <c r="J132" t="s">
        <v>293</v>
      </c>
      <c r="K132">
        <v>823350</v>
      </c>
      <c r="L132" t="s">
        <v>66</v>
      </c>
      <c r="M132" t="s">
        <v>67</v>
      </c>
      <c r="N132" t="s">
        <v>57</v>
      </c>
      <c r="O132" s="1">
        <v>45931</v>
      </c>
      <c r="Q132" s="1">
        <v>45962</v>
      </c>
      <c r="R132" s="2">
        <v>46.38</v>
      </c>
      <c r="S132">
        <v>1</v>
      </c>
      <c r="T132" t="s">
        <v>58</v>
      </c>
      <c r="U132" t="s">
        <v>59</v>
      </c>
      <c r="V132" s="3">
        <v>0.7</v>
      </c>
      <c r="W132" s="2">
        <v>0</v>
      </c>
      <c r="X132">
        <v>0</v>
      </c>
      <c r="Y132" t="s">
        <v>60</v>
      </c>
      <c r="Z132" t="s">
        <v>61</v>
      </c>
      <c r="AA132">
        <v>6</v>
      </c>
      <c r="AB132" s="2">
        <v>194.82</v>
      </c>
      <c r="AC132" s="2">
        <v>0</v>
      </c>
      <c r="AD132" s="3">
        <v>0</v>
      </c>
      <c r="AE132" s="2">
        <v>0</v>
      </c>
      <c r="AF132" s="2">
        <v>0</v>
      </c>
      <c r="AG132" s="2">
        <v>0</v>
      </c>
      <c r="AH132" s="2">
        <v>0</v>
      </c>
      <c r="AI132" s="2">
        <v>0</v>
      </c>
      <c r="AJ132" s="2">
        <v>0</v>
      </c>
      <c r="AK132" s="2">
        <v>0</v>
      </c>
      <c r="AL132" s="2">
        <v>32.47</v>
      </c>
      <c r="AM132" s="2">
        <v>0</v>
      </c>
      <c r="AN132" s="2">
        <v>194.82</v>
      </c>
      <c r="AO132" s="2">
        <v>0</v>
      </c>
      <c r="AP132" s="2">
        <v>0</v>
      </c>
      <c r="AQ132" s="2">
        <v>0</v>
      </c>
    </row>
    <row r="133" spans="1:43" x14ac:dyDescent="0.25">
      <c r="A133" s="1">
        <v>45936</v>
      </c>
      <c r="B133" t="s">
        <v>48</v>
      </c>
      <c r="C133">
        <v>649163</v>
      </c>
      <c r="D133">
        <v>2031327780</v>
      </c>
      <c r="E133" t="s">
        <v>62</v>
      </c>
      <c r="F133" t="s">
        <v>63</v>
      </c>
      <c r="G133" t="s">
        <v>51</v>
      </c>
      <c r="H133" t="s">
        <v>64</v>
      </c>
      <c r="I133" t="s">
        <v>292</v>
      </c>
      <c r="J133" t="s">
        <v>295</v>
      </c>
      <c r="K133">
        <v>823350</v>
      </c>
      <c r="L133" t="s">
        <v>66</v>
      </c>
      <c r="M133" t="s">
        <v>67</v>
      </c>
      <c r="N133" t="s">
        <v>57</v>
      </c>
      <c r="O133" s="1">
        <v>45931</v>
      </c>
      <c r="Q133" s="1">
        <v>45962</v>
      </c>
      <c r="R133" s="2">
        <v>56.63</v>
      </c>
      <c r="S133">
        <v>1</v>
      </c>
      <c r="T133" t="s">
        <v>58</v>
      </c>
      <c r="U133" t="s">
        <v>59</v>
      </c>
      <c r="V133" s="3">
        <v>0.9</v>
      </c>
      <c r="W133" s="2">
        <v>0</v>
      </c>
      <c r="X133">
        <v>0</v>
      </c>
      <c r="Y133" t="s">
        <v>60</v>
      </c>
      <c r="Z133" t="s">
        <v>61</v>
      </c>
      <c r="AA133">
        <v>6</v>
      </c>
      <c r="AB133" s="2">
        <v>305.82</v>
      </c>
      <c r="AC133" s="2">
        <v>0</v>
      </c>
      <c r="AD133" s="3">
        <v>0</v>
      </c>
      <c r="AE133" s="2">
        <v>0</v>
      </c>
      <c r="AF133" s="2">
        <v>0</v>
      </c>
      <c r="AG133" s="2">
        <v>0</v>
      </c>
      <c r="AH133" s="2">
        <v>0</v>
      </c>
      <c r="AI133" s="2">
        <v>0</v>
      </c>
      <c r="AJ133" s="2">
        <v>0</v>
      </c>
      <c r="AK133" s="2">
        <v>0</v>
      </c>
      <c r="AL133" s="2">
        <v>50.97</v>
      </c>
      <c r="AM133" s="2">
        <v>0</v>
      </c>
      <c r="AN133" s="2">
        <v>305.82</v>
      </c>
      <c r="AO133" s="2">
        <v>0</v>
      </c>
      <c r="AP133" s="2">
        <v>0</v>
      </c>
      <c r="AQ133" s="2">
        <v>0</v>
      </c>
    </row>
    <row r="134" spans="1:43" x14ac:dyDescent="0.25">
      <c r="A134" s="1">
        <v>45936</v>
      </c>
      <c r="B134" t="s">
        <v>48</v>
      </c>
      <c r="C134">
        <v>649163</v>
      </c>
      <c r="D134">
        <v>2031328270</v>
      </c>
      <c r="E134" t="s">
        <v>180</v>
      </c>
      <c r="F134" t="s">
        <v>181</v>
      </c>
      <c r="G134" t="s">
        <v>51</v>
      </c>
      <c r="H134" t="s">
        <v>182</v>
      </c>
      <c r="I134" t="s">
        <v>292</v>
      </c>
      <c r="J134" t="s">
        <v>293</v>
      </c>
      <c r="K134">
        <v>673059</v>
      </c>
      <c r="L134" t="s">
        <v>80</v>
      </c>
      <c r="M134" t="s">
        <v>81</v>
      </c>
      <c r="N134" t="s">
        <v>57</v>
      </c>
      <c r="O134" s="1">
        <v>45931</v>
      </c>
      <c r="Q134" s="1">
        <v>45962</v>
      </c>
      <c r="R134" s="2">
        <v>62.6</v>
      </c>
      <c r="S134">
        <v>1</v>
      </c>
      <c r="T134" t="s">
        <v>58</v>
      </c>
      <c r="U134" t="s">
        <v>59</v>
      </c>
      <c r="V134" s="3">
        <v>0.7</v>
      </c>
      <c r="W134" s="2">
        <v>0</v>
      </c>
      <c r="X134">
        <v>0</v>
      </c>
      <c r="Y134" t="s">
        <v>60</v>
      </c>
      <c r="Z134" t="s">
        <v>61</v>
      </c>
      <c r="AA134">
        <v>6</v>
      </c>
      <c r="AB134" s="2">
        <v>262.92</v>
      </c>
      <c r="AC134" s="2">
        <v>0</v>
      </c>
      <c r="AD134" s="3">
        <v>0</v>
      </c>
      <c r="AE134" s="2">
        <v>0</v>
      </c>
      <c r="AF134" s="2">
        <v>0</v>
      </c>
      <c r="AG134" s="2">
        <v>0</v>
      </c>
      <c r="AH134" s="2">
        <v>0</v>
      </c>
      <c r="AI134" s="2">
        <v>0</v>
      </c>
      <c r="AJ134" s="2">
        <v>0</v>
      </c>
      <c r="AK134" s="2">
        <v>0</v>
      </c>
      <c r="AL134" s="2">
        <v>43.82</v>
      </c>
      <c r="AM134" s="2">
        <v>0</v>
      </c>
      <c r="AN134" s="2">
        <v>262.92</v>
      </c>
      <c r="AO134" s="2">
        <v>0</v>
      </c>
      <c r="AP134" s="2">
        <v>0</v>
      </c>
      <c r="AQ134" s="2">
        <v>0</v>
      </c>
    </row>
    <row r="135" spans="1:43" x14ac:dyDescent="0.25">
      <c r="A135" s="1">
        <v>45936</v>
      </c>
      <c r="B135" t="s">
        <v>48</v>
      </c>
      <c r="C135">
        <v>649163</v>
      </c>
      <c r="D135">
        <v>2031328823</v>
      </c>
      <c r="E135" t="s">
        <v>324</v>
      </c>
      <c r="F135" t="s">
        <v>207</v>
      </c>
      <c r="G135" t="s">
        <v>51</v>
      </c>
      <c r="H135" t="s">
        <v>101</v>
      </c>
      <c r="I135" t="s">
        <v>292</v>
      </c>
      <c r="J135" t="s">
        <v>293</v>
      </c>
      <c r="K135">
        <v>821015</v>
      </c>
      <c r="L135" t="s">
        <v>325</v>
      </c>
      <c r="M135" t="s">
        <v>326</v>
      </c>
      <c r="N135" t="s">
        <v>57</v>
      </c>
      <c r="O135" s="1">
        <v>45936</v>
      </c>
      <c r="Q135" s="1">
        <v>45967</v>
      </c>
      <c r="R135" s="2">
        <v>212.26</v>
      </c>
      <c r="S135">
        <v>1</v>
      </c>
      <c r="T135" t="s">
        <v>58</v>
      </c>
      <c r="U135" t="s">
        <v>59</v>
      </c>
      <c r="V135" s="3">
        <v>0.7</v>
      </c>
      <c r="W135" s="2">
        <v>0</v>
      </c>
      <c r="X135">
        <v>0</v>
      </c>
      <c r="Y135" t="s">
        <v>60</v>
      </c>
      <c r="Z135" t="s">
        <v>61</v>
      </c>
      <c r="AA135">
        <v>6</v>
      </c>
      <c r="AB135" s="2">
        <v>891.48</v>
      </c>
      <c r="AC135" s="2">
        <v>0</v>
      </c>
      <c r="AD135" s="3">
        <v>0</v>
      </c>
      <c r="AE135" s="2">
        <v>0</v>
      </c>
      <c r="AF135" s="2">
        <v>0</v>
      </c>
      <c r="AG135" s="2">
        <v>0</v>
      </c>
      <c r="AH135" s="2">
        <v>0</v>
      </c>
      <c r="AI135" s="2">
        <v>0</v>
      </c>
      <c r="AJ135" s="2">
        <v>0</v>
      </c>
      <c r="AK135" s="2">
        <v>0</v>
      </c>
      <c r="AL135" s="2">
        <v>148.58000000000001</v>
      </c>
      <c r="AM135" s="2">
        <v>0</v>
      </c>
      <c r="AN135" s="2">
        <v>891.48</v>
      </c>
      <c r="AO135" s="2">
        <v>0</v>
      </c>
      <c r="AP135" s="2">
        <v>0</v>
      </c>
      <c r="AQ135" s="2">
        <v>0</v>
      </c>
    </row>
    <row r="136" spans="1:43" x14ac:dyDescent="0.25">
      <c r="A136" s="1">
        <v>45936</v>
      </c>
      <c r="B136" t="s">
        <v>48</v>
      </c>
      <c r="C136">
        <v>649163</v>
      </c>
      <c r="D136">
        <v>2031334121</v>
      </c>
      <c r="E136" t="s">
        <v>327</v>
      </c>
      <c r="F136" t="s">
        <v>161</v>
      </c>
      <c r="G136" t="s">
        <v>51</v>
      </c>
      <c r="H136" t="s">
        <v>328</v>
      </c>
      <c r="I136" t="s">
        <v>292</v>
      </c>
      <c r="J136" t="s">
        <v>293</v>
      </c>
      <c r="K136">
        <v>673059</v>
      </c>
      <c r="L136" t="s">
        <v>80</v>
      </c>
      <c r="M136" t="s">
        <v>81</v>
      </c>
      <c r="N136" t="s">
        <v>57</v>
      </c>
      <c r="O136" s="1">
        <v>45931</v>
      </c>
      <c r="Q136" s="1">
        <v>45962</v>
      </c>
      <c r="R136" s="2">
        <v>69.3</v>
      </c>
      <c r="S136">
        <v>1</v>
      </c>
      <c r="T136" t="s">
        <v>58</v>
      </c>
      <c r="U136" t="s">
        <v>59</v>
      </c>
      <c r="V136" s="3">
        <v>0.7</v>
      </c>
      <c r="W136" s="2">
        <v>0</v>
      </c>
      <c r="X136">
        <v>0</v>
      </c>
      <c r="Y136" t="s">
        <v>60</v>
      </c>
      <c r="Z136" t="s">
        <v>61</v>
      </c>
      <c r="AA136">
        <v>6</v>
      </c>
      <c r="AB136" s="2">
        <v>291.06</v>
      </c>
      <c r="AC136" s="2">
        <v>0</v>
      </c>
      <c r="AD136" s="3">
        <v>0</v>
      </c>
      <c r="AE136" s="2">
        <v>0</v>
      </c>
      <c r="AF136" s="2">
        <v>0</v>
      </c>
      <c r="AG136" s="2">
        <v>0</v>
      </c>
      <c r="AH136" s="2">
        <v>0</v>
      </c>
      <c r="AI136" s="2">
        <v>0</v>
      </c>
      <c r="AJ136" s="2">
        <v>0</v>
      </c>
      <c r="AK136" s="2">
        <v>0</v>
      </c>
      <c r="AL136" s="2">
        <v>48.51</v>
      </c>
      <c r="AM136" s="2">
        <v>0</v>
      </c>
      <c r="AN136" s="2">
        <v>291.06</v>
      </c>
      <c r="AO136" s="2">
        <v>0</v>
      </c>
      <c r="AP136" s="2">
        <v>0</v>
      </c>
      <c r="AQ136" s="2">
        <v>0</v>
      </c>
    </row>
    <row r="137" spans="1:43" x14ac:dyDescent="0.25">
      <c r="A137" s="1">
        <v>45936</v>
      </c>
      <c r="B137" t="s">
        <v>48</v>
      </c>
      <c r="C137">
        <v>649163</v>
      </c>
      <c r="D137">
        <v>2031337038</v>
      </c>
      <c r="E137" t="s">
        <v>329</v>
      </c>
      <c r="F137" t="s">
        <v>330</v>
      </c>
      <c r="G137" t="s">
        <v>51</v>
      </c>
      <c r="H137" t="s">
        <v>101</v>
      </c>
      <c r="I137" t="s">
        <v>292</v>
      </c>
      <c r="J137" t="s">
        <v>293</v>
      </c>
      <c r="K137">
        <v>821015</v>
      </c>
      <c r="L137" t="s">
        <v>325</v>
      </c>
      <c r="M137" t="s">
        <v>326</v>
      </c>
      <c r="N137" t="s">
        <v>57</v>
      </c>
      <c r="O137" s="1">
        <v>45932</v>
      </c>
      <c r="Q137" s="1">
        <v>45963</v>
      </c>
      <c r="R137" s="2">
        <v>145.41999999999999</v>
      </c>
      <c r="S137">
        <v>1</v>
      </c>
      <c r="T137" t="s">
        <v>58</v>
      </c>
      <c r="U137" t="s">
        <v>59</v>
      </c>
      <c r="V137" s="3">
        <v>0.7</v>
      </c>
      <c r="W137" s="2">
        <v>0</v>
      </c>
      <c r="X137">
        <v>0</v>
      </c>
      <c r="Y137" t="s">
        <v>60</v>
      </c>
      <c r="Z137" t="s">
        <v>61</v>
      </c>
      <c r="AA137">
        <v>6</v>
      </c>
      <c r="AB137" s="2">
        <v>610.74</v>
      </c>
      <c r="AC137" s="2">
        <v>0</v>
      </c>
      <c r="AD137" s="3">
        <v>0</v>
      </c>
      <c r="AE137" s="2">
        <v>0</v>
      </c>
      <c r="AF137" s="2">
        <v>0</v>
      </c>
      <c r="AG137" s="2">
        <v>0</v>
      </c>
      <c r="AH137" s="2">
        <v>0</v>
      </c>
      <c r="AI137" s="2">
        <v>0</v>
      </c>
      <c r="AJ137" s="2">
        <v>0</v>
      </c>
      <c r="AK137" s="2">
        <v>0</v>
      </c>
      <c r="AL137" s="2">
        <v>101.79</v>
      </c>
      <c r="AM137" s="2">
        <v>0</v>
      </c>
      <c r="AN137" s="2">
        <v>610.74</v>
      </c>
      <c r="AO137" s="2">
        <v>0</v>
      </c>
      <c r="AP137" s="2">
        <v>0</v>
      </c>
      <c r="AQ137" s="2">
        <v>0</v>
      </c>
    </row>
    <row r="138" spans="1:43" x14ac:dyDescent="0.25">
      <c r="A138" s="1">
        <v>45936</v>
      </c>
      <c r="B138" t="s">
        <v>48</v>
      </c>
      <c r="C138">
        <v>649163</v>
      </c>
      <c r="D138">
        <v>2031337970</v>
      </c>
      <c r="E138" t="s">
        <v>263</v>
      </c>
      <c r="F138" t="s">
        <v>264</v>
      </c>
      <c r="G138" t="s">
        <v>51</v>
      </c>
      <c r="H138" t="s">
        <v>203</v>
      </c>
      <c r="I138" t="s">
        <v>292</v>
      </c>
      <c r="J138" t="s">
        <v>293</v>
      </c>
      <c r="K138">
        <v>816021</v>
      </c>
      <c r="L138" t="s">
        <v>265</v>
      </c>
      <c r="M138" t="s">
        <v>266</v>
      </c>
      <c r="N138" t="s">
        <v>57</v>
      </c>
      <c r="O138" s="1">
        <v>45931</v>
      </c>
      <c r="Q138" s="1">
        <v>45962</v>
      </c>
      <c r="R138" s="2">
        <v>9.1</v>
      </c>
      <c r="S138">
        <v>1</v>
      </c>
      <c r="T138" t="s">
        <v>58</v>
      </c>
      <c r="U138" t="s">
        <v>59</v>
      </c>
      <c r="V138" s="3">
        <v>0.7</v>
      </c>
      <c r="W138" s="2">
        <v>0</v>
      </c>
      <c r="X138">
        <v>0</v>
      </c>
      <c r="Y138" t="s">
        <v>60</v>
      </c>
      <c r="Z138" t="s">
        <v>61</v>
      </c>
      <c r="AA138">
        <v>6</v>
      </c>
      <c r="AB138" s="2">
        <v>38.22</v>
      </c>
      <c r="AC138" s="2">
        <v>0</v>
      </c>
      <c r="AD138" s="3">
        <v>0</v>
      </c>
      <c r="AE138" s="2">
        <v>0</v>
      </c>
      <c r="AF138" s="2">
        <v>0</v>
      </c>
      <c r="AG138" s="2">
        <v>0</v>
      </c>
      <c r="AH138" s="2">
        <v>0</v>
      </c>
      <c r="AI138" s="2">
        <v>0</v>
      </c>
      <c r="AJ138" s="2">
        <v>0</v>
      </c>
      <c r="AK138" s="2">
        <v>0</v>
      </c>
      <c r="AL138" s="2">
        <v>6.37</v>
      </c>
      <c r="AM138" s="2">
        <v>0</v>
      </c>
      <c r="AN138" s="2">
        <v>38.22</v>
      </c>
      <c r="AO138" s="2">
        <v>0</v>
      </c>
      <c r="AP138" s="2">
        <v>0</v>
      </c>
      <c r="AQ138" s="2">
        <v>0</v>
      </c>
    </row>
    <row r="139" spans="1:43" x14ac:dyDescent="0.25">
      <c r="A139" s="1">
        <v>45936</v>
      </c>
      <c r="B139" t="s">
        <v>48</v>
      </c>
      <c r="C139">
        <v>649163</v>
      </c>
      <c r="D139">
        <v>2031338960</v>
      </c>
      <c r="E139" t="s">
        <v>183</v>
      </c>
      <c r="F139" t="s">
        <v>163</v>
      </c>
      <c r="G139" t="s">
        <v>51</v>
      </c>
      <c r="H139" t="s">
        <v>101</v>
      </c>
      <c r="I139" t="s">
        <v>292</v>
      </c>
      <c r="J139" t="s">
        <v>293</v>
      </c>
      <c r="K139">
        <v>823350</v>
      </c>
      <c r="L139" t="s">
        <v>66</v>
      </c>
      <c r="M139" t="s">
        <v>67</v>
      </c>
      <c r="N139" t="s">
        <v>57</v>
      </c>
      <c r="O139" s="1">
        <v>45931</v>
      </c>
      <c r="Q139" s="1">
        <v>45962</v>
      </c>
      <c r="R139" s="2">
        <v>79.34</v>
      </c>
      <c r="S139">
        <v>1</v>
      </c>
      <c r="T139" t="s">
        <v>58</v>
      </c>
      <c r="U139" t="s">
        <v>59</v>
      </c>
      <c r="V139" s="3">
        <v>0.7</v>
      </c>
      <c r="W139" s="2">
        <v>0</v>
      </c>
      <c r="X139">
        <v>0</v>
      </c>
      <c r="Y139" t="s">
        <v>60</v>
      </c>
      <c r="Z139" t="s">
        <v>61</v>
      </c>
      <c r="AA139">
        <v>6</v>
      </c>
      <c r="AB139" s="2">
        <v>333.24</v>
      </c>
      <c r="AC139" s="2">
        <v>0</v>
      </c>
      <c r="AD139" s="3">
        <v>0</v>
      </c>
      <c r="AE139" s="2">
        <v>0</v>
      </c>
      <c r="AF139" s="2">
        <v>0</v>
      </c>
      <c r="AG139" s="2">
        <v>0</v>
      </c>
      <c r="AH139" s="2">
        <v>0</v>
      </c>
      <c r="AI139" s="2">
        <v>0</v>
      </c>
      <c r="AJ139" s="2">
        <v>0</v>
      </c>
      <c r="AK139" s="2">
        <v>0</v>
      </c>
      <c r="AL139" s="2">
        <v>55.54</v>
      </c>
      <c r="AM139" s="2">
        <v>0</v>
      </c>
      <c r="AN139" s="2">
        <v>333.24</v>
      </c>
      <c r="AO139" s="2">
        <v>0</v>
      </c>
      <c r="AP139" s="2">
        <v>0</v>
      </c>
      <c r="AQ139" s="2">
        <v>0</v>
      </c>
    </row>
    <row r="140" spans="1:43" x14ac:dyDescent="0.25">
      <c r="A140" s="1">
        <v>45936</v>
      </c>
      <c r="B140" t="s">
        <v>48</v>
      </c>
      <c r="C140">
        <v>649163</v>
      </c>
      <c r="D140">
        <v>2031343659</v>
      </c>
      <c r="E140" t="s">
        <v>267</v>
      </c>
      <c r="F140" t="s">
        <v>268</v>
      </c>
      <c r="G140" t="s">
        <v>51</v>
      </c>
      <c r="H140" t="s">
        <v>52</v>
      </c>
      <c r="I140" t="s">
        <v>292</v>
      </c>
      <c r="J140" t="s">
        <v>293</v>
      </c>
      <c r="K140">
        <v>822733</v>
      </c>
      <c r="L140" t="s">
        <v>269</v>
      </c>
      <c r="M140" t="s">
        <v>270</v>
      </c>
      <c r="N140" t="s">
        <v>57</v>
      </c>
      <c r="O140" s="1">
        <v>45931</v>
      </c>
      <c r="Q140" s="1">
        <v>45962</v>
      </c>
      <c r="R140" s="2">
        <v>13</v>
      </c>
      <c r="S140">
        <v>1</v>
      </c>
      <c r="T140" t="s">
        <v>58</v>
      </c>
      <c r="U140" t="s">
        <v>59</v>
      </c>
      <c r="V140" s="3">
        <v>0.7</v>
      </c>
      <c r="W140" s="2">
        <v>0</v>
      </c>
      <c r="X140">
        <v>0</v>
      </c>
      <c r="Y140" t="s">
        <v>60</v>
      </c>
      <c r="Z140" t="s">
        <v>61</v>
      </c>
      <c r="AA140">
        <v>6</v>
      </c>
      <c r="AB140" s="2">
        <v>54.6</v>
      </c>
      <c r="AC140" s="2">
        <v>0</v>
      </c>
      <c r="AD140" s="3">
        <v>0</v>
      </c>
      <c r="AE140" s="2">
        <v>0</v>
      </c>
      <c r="AF140" s="2">
        <v>0</v>
      </c>
      <c r="AG140" s="2">
        <v>0</v>
      </c>
      <c r="AH140" s="2">
        <v>0</v>
      </c>
      <c r="AI140" s="2">
        <v>0</v>
      </c>
      <c r="AJ140" s="2">
        <v>0</v>
      </c>
      <c r="AK140" s="2">
        <v>0</v>
      </c>
      <c r="AL140" s="2">
        <v>9.1</v>
      </c>
      <c r="AM140" s="2">
        <v>0</v>
      </c>
      <c r="AN140" s="2">
        <v>54.6</v>
      </c>
      <c r="AO140" s="2">
        <v>0</v>
      </c>
      <c r="AP140" s="2">
        <v>0</v>
      </c>
      <c r="AQ140" s="2">
        <v>0</v>
      </c>
    </row>
    <row r="141" spans="1:43" x14ac:dyDescent="0.25">
      <c r="A141" s="1">
        <v>45936</v>
      </c>
      <c r="B141" t="s">
        <v>48</v>
      </c>
      <c r="C141">
        <v>649163</v>
      </c>
      <c r="D141">
        <v>2031343798</v>
      </c>
      <c r="E141" t="s">
        <v>271</v>
      </c>
      <c r="F141" t="s">
        <v>272</v>
      </c>
      <c r="G141" t="s">
        <v>51</v>
      </c>
      <c r="H141" t="s">
        <v>101</v>
      </c>
      <c r="I141" t="s">
        <v>292</v>
      </c>
      <c r="J141" t="s">
        <v>295</v>
      </c>
      <c r="K141">
        <v>824062</v>
      </c>
      <c r="L141" t="s">
        <v>273</v>
      </c>
      <c r="M141" t="s">
        <v>274</v>
      </c>
      <c r="N141" t="s">
        <v>57</v>
      </c>
      <c r="O141" s="1">
        <v>45931</v>
      </c>
      <c r="Q141" s="1">
        <v>45962</v>
      </c>
      <c r="R141" s="2">
        <v>23.05</v>
      </c>
      <c r="S141">
        <v>1</v>
      </c>
      <c r="T141" t="s">
        <v>58</v>
      </c>
      <c r="U141" t="s">
        <v>59</v>
      </c>
      <c r="V141" s="3">
        <v>0.9</v>
      </c>
      <c r="W141" s="2">
        <v>0</v>
      </c>
      <c r="X141">
        <v>0</v>
      </c>
      <c r="Y141" t="s">
        <v>60</v>
      </c>
      <c r="Z141" t="s">
        <v>61</v>
      </c>
      <c r="AA141">
        <v>6</v>
      </c>
      <c r="AB141" s="2">
        <v>124.44</v>
      </c>
      <c r="AC141" s="2">
        <v>0</v>
      </c>
      <c r="AD141" s="3">
        <v>0</v>
      </c>
      <c r="AE141" s="2">
        <v>0</v>
      </c>
      <c r="AF141" s="2">
        <v>0</v>
      </c>
      <c r="AG141" s="2">
        <v>0</v>
      </c>
      <c r="AH141" s="2">
        <v>0</v>
      </c>
      <c r="AI141" s="2">
        <v>0</v>
      </c>
      <c r="AJ141" s="2">
        <v>0</v>
      </c>
      <c r="AK141" s="2">
        <v>0</v>
      </c>
      <c r="AL141" s="2">
        <v>20.74</v>
      </c>
      <c r="AM141" s="2">
        <v>0</v>
      </c>
      <c r="AN141" s="2">
        <v>124.44</v>
      </c>
      <c r="AO141" s="2">
        <v>0</v>
      </c>
      <c r="AP141" s="2">
        <v>0</v>
      </c>
      <c r="AQ141" s="2">
        <v>0</v>
      </c>
    </row>
    <row r="142" spans="1:43" x14ac:dyDescent="0.25">
      <c r="A142" s="1">
        <v>45936</v>
      </c>
      <c r="B142" t="s">
        <v>48</v>
      </c>
      <c r="C142">
        <v>649163</v>
      </c>
      <c r="D142">
        <v>2031346768</v>
      </c>
      <c r="E142" t="s">
        <v>184</v>
      </c>
      <c r="F142" t="s">
        <v>185</v>
      </c>
      <c r="G142" t="s">
        <v>51</v>
      </c>
      <c r="H142" t="s">
        <v>105</v>
      </c>
      <c r="I142" t="s">
        <v>292</v>
      </c>
      <c r="J142" t="s">
        <v>294</v>
      </c>
      <c r="K142">
        <v>823068</v>
      </c>
      <c r="L142" t="s">
        <v>106</v>
      </c>
      <c r="M142" t="s">
        <v>107</v>
      </c>
      <c r="N142" t="s">
        <v>57</v>
      </c>
      <c r="O142" s="1">
        <v>45931</v>
      </c>
      <c r="Q142" s="1">
        <v>45962</v>
      </c>
      <c r="R142" s="2">
        <v>24.61</v>
      </c>
      <c r="S142">
        <v>1</v>
      </c>
      <c r="T142" t="s">
        <v>58</v>
      </c>
      <c r="U142" t="s">
        <v>59</v>
      </c>
      <c r="V142" s="3">
        <v>0.7</v>
      </c>
      <c r="W142" s="2">
        <v>0</v>
      </c>
      <c r="X142">
        <v>0</v>
      </c>
      <c r="Y142" t="s">
        <v>60</v>
      </c>
      <c r="Z142" t="s">
        <v>61</v>
      </c>
      <c r="AA142">
        <v>6</v>
      </c>
      <c r="AB142" s="2">
        <v>103.38</v>
      </c>
      <c r="AC142" s="2">
        <v>0</v>
      </c>
      <c r="AD142" s="3">
        <v>0</v>
      </c>
      <c r="AE142" s="2">
        <v>0</v>
      </c>
      <c r="AF142" s="2">
        <v>0</v>
      </c>
      <c r="AG142" s="2">
        <v>0</v>
      </c>
      <c r="AH142" s="2">
        <v>0</v>
      </c>
      <c r="AI142" s="2">
        <v>0</v>
      </c>
      <c r="AJ142" s="2">
        <v>0</v>
      </c>
      <c r="AK142" s="2">
        <v>0</v>
      </c>
      <c r="AL142" s="2">
        <v>17.23</v>
      </c>
      <c r="AM142" s="2">
        <v>0</v>
      </c>
      <c r="AN142" s="2">
        <v>103.38</v>
      </c>
      <c r="AO142" s="2">
        <v>0</v>
      </c>
      <c r="AP142" s="2">
        <v>0</v>
      </c>
      <c r="AQ142" s="2">
        <v>0</v>
      </c>
    </row>
    <row r="143" spans="1:43" x14ac:dyDescent="0.25">
      <c r="A143" s="1">
        <v>45936</v>
      </c>
      <c r="B143" t="s">
        <v>48</v>
      </c>
      <c r="C143">
        <v>649163</v>
      </c>
      <c r="D143">
        <v>2031346770</v>
      </c>
      <c r="E143" t="s">
        <v>184</v>
      </c>
      <c r="F143" t="s">
        <v>185</v>
      </c>
      <c r="G143" t="s">
        <v>51</v>
      </c>
      <c r="H143" t="s">
        <v>105</v>
      </c>
      <c r="I143" t="s">
        <v>292</v>
      </c>
      <c r="J143" t="s">
        <v>331</v>
      </c>
      <c r="K143">
        <v>823068</v>
      </c>
      <c r="L143" t="s">
        <v>106</v>
      </c>
      <c r="M143" t="s">
        <v>107</v>
      </c>
      <c r="N143" t="s">
        <v>57</v>
      </c>
      <c r="O143" s="1">
        <v>45931</v>
      </c>
      <c r="Q143" s="1">
        <v>45962</v>
      </c>
      <c r="R143" s="2">
        <v>27.8</v>
      </c>
      <c r="S143">
        <v>1</v>
      </c>
      <c r="T143" t="s">
        <v>58</v>
      </c>
      <c r="U143" t="s">
        <v>59</v>
      </c>
      <c r="V143" s="3">
        <v>0.42</v>
      </c>
      <c r="W143" s="2">
        <v>0</v>
      </c>
      <c r="X143">
        <v>0</v>
      </c>
      <c r="Y143" t="s">
        <v>60</v>
      </c>
      <c r="Z143" t="s">
        <v>61</v>
      </c>
      <c r="AA143">
        <v>6</v>
      </c>
      <c r="AB143" s="2">
        <v>70.08</v>
      </c>
      <c r="AC143" s="2">
        <v>0</v>
      </c>
      <c r="AD143" s="3">
        <v>0</v>
      </c>
      <c r="AE143" s="2">
        <v>0</v>
      </c>
      <c r="AF143" s="2">
        <v>0</v>
      </c>
      <c r="AG143" s="2">
        <v>0</v>
      </c>
      <c r="AH143" s="2">
        <v>0</v>
      </c>
      <c r="AI143" s="2">
        <v>0</v>
      </c>
      <c r="AJ143" s="2">
        <v>0</v>
      </c>
      <c r="AK143" s="2">
        <v>0</v>
      </c>
      <c r="AL143" s="2">
        <v>11.68</v>
      </c>
      <c r="AM143" s="2">
        <v>0</v>
      </c>
      <c r="AN143" s="2">
        <v>70.08</v>
      </c>
      <c r="AO143" s="2">
        <v>0</v>
      </c>
      <c r="AP143" s="2">
        <v>0</v>
      </c>
      <c r="AQ143" s="2">
        <v>0</v>
      </c>
    </row>
    <row r="144" spans="1:43" x14ac:dyDescent="0.25">
      <c r="A144" s="1">
        <v>45936</v>
      </c>
      <c r="B144" t="s">
        <v>48</v>
      </c>
      <c r="C144">
        <v>649163</v>
      </c>
      <c r="D144">
        <v>2031358597</v>
      </c>
      <c r="E144" t="s">
        <v>77</v>
      </c>
      <c r="F144" t="s">
        <v>78</v>
      </c>
      <c r="G144" t="s">
        <v>51</v>
      </c>
      <c r="H144" t="s">
        <v>79</v>
      </c>
      <c r="I144" t="s">
        <v>292</v>
      </c>
      <c r="J144" t="s">
        <v>294</v>
      </c>
      <c r="K144">
        <v>673059</v>
      </c>
      <c r="L144" t="s">
        <v>80</v>
      </c>
      <c r="M144" t="s">
        <v>81</v>
      </c>
      <c r="N144" t="s">
        <v>57</v>
      </c>
      <c r="O144" s="1">
        <v>45931</v>
      </c>
      <c r="Q144" s="1">
        <v>45962</v>
      </c>
      <c r="R144" s="2">
        <v>25.73</v>
      </c>
      <c r="S144">
        <v>1</v>
      </c>
      <c r="T144" t="s">
        <v>58</v>
      </c>
      <c r="U144" t="s">
        <v>59</v>
      </c>
      <c r="V144" s="3">
        <v>0.7</v>
      </c>
      <c r="W144" s="2">
        <v>0</v>
      </c>
      <c r="X144">
        <v>0</v>
      </c>
      <c r="Y144" t="s">
        <v>60</v>
      </c>
      <c r="Z144" t="s">
        <v>61</v>
      </c>
      <c r="AA144">
        <v>6</v>
      </c>
      <c r="AB144" s="2">
        <v>108.06</v>
      </c>
      <c r="AC144" s="2">
        <v>0</v>
      </c>
      <c r="AD144" s="3">
        <v>0</v>
      </c>
      <c r="AE144" s="2">
        <v>0</v>
      </c>
      <c r="AF144" s="2">
        <v>0</v>
      </c>
      <c r="AG144" s="2">
        <v>0</v>
      </c>
      <c r="AH144" s="2">
        <v>0</v>
      </c>
      <c r="AI144" s="2">
        <v>0</v>
      </c>
      <c r="AJ144" s="2">
        <v>0</v>
      </c>
      <c r="AK144" s="2">
        <v>0</v>
      </c>
      <c r="AL144" s="2">
        <v>18.010000000000002</v>
      </c>
      <c r="AM144" s="2">
        <v>0</v>
      </c>
      <c r="AN144" s="2">
        <v>108.06</v>
      </c>
      <c r="AO144" s="2">
        <v>0</v>
      </c>
      <c r="AP144" s="2">
        <v>0</v>
      </c>
      <c r="AQ144" s="2">
        <v>0</v>
      </c>
    </row>
    <row r="145" spans="1:43" x14ac:dyDescent="0.25">
      <c r="A145" s="1">
        <v>45936</v>
      </c>
      <c r="B145" t="s">
        <v>48</v>
      </c>
      <c r="C145">
        <v>649163</v>
      </c>
      <c r="D145">
        <v>2031358600</v>
      </c>
      <c r="E145" t="s">
        <v>77</v>
      </c>
      <c r="F145" t="s">
        <v>78</v>
      </c>
      <c r="G145" t="s">
        <v>51</v>
      </c>
      <c r="H145" t="s">
        <v>79</v>
      </c>
      <c r="I145" t="s">
        <v>292</v>
      </c>
      <c r="J145" t="s">
        <v>293</v>
      </c>
      <c r="K145">
        <v>673059</v>
      </c>
      <c r="L145" t="s">
        <v>80</v>
      </c>
      <c r="M145" t="s">
        <v>81</v>
      </c>
      <c r="N145" t="s">
        <v>57</v>
      </c>
      <c r="O145" s="1">
        <v>45931</v>
      </c>
      <c r="Q145" s="1">
        <v>45962</v>
      </c>
      <c r="R145" s="2">
        <v>72.06</v>
      </c>
      <c r="S145">
        <v>1</v>
      </c>
      <c r="T145" t="s">
        <v>58</v>
      </c>
      <c r="U145" t="s">
        <v>59</v>
      </c>
      <c r="V145" s="3">
        <v>0.7</v>
      </c>
      <c r="W145" s="2">
        <v>0</v>
      </c>
      <c r="X145">
        <v>0</v>
      </c>
      <c r="Y145" t="s">
        <v>60</v>
      </c>
      <c r="Z145" t="s">
        <v>61</v>
      </c>
      <c r="AA145">
        <v>6</v>
      </c>
      <c r="AB145" s="2">
        <v>302.64</v>
      </c>
      <c r="AC145" s="2">
        <v>0</v>
      </c>
      <c r="AD145" s="3">
        <v>0</v>
      </c>
      <c r="AE145" s="2">
        <v>0</v>
      </c>
      <c r="AF145" s="2">
        <v>0</v>
      </c>
      <c r="AG145" s="2">
        <v>0</v>
      </c>
      <c r="AH145" s="2">
        <v>0</v>
      </c>
      <c r="AI145" s="2">
        <v>0</v>
      </c>
      <c r="AJ145" s="2">
        <v>0</v>
      </c>
      <c r="AK145" s="2">
        <v>0</v>
      </c>
      <c r="AL145" s="2">
        <v>50.44</v>
      </c>
      <c r="AM145" s="2">
        <v>0</v>
      </c>
      <c r="AN145" s="2">
        <v>302.64</v>
      </c>
      <c r="AO145" s="2">
        <v>0</v>
      </c>
      <c r="AP145" s="2">
        <v>0</v>
      </c>
      <c r="AQ145" s="2">
        <v>0</v>
      </c>
    </row>
    <row r="146" spans="1:43" x14ac:dyDescent="0.25">
      <c r="A146" s="1">
        <v>45936</v>
      </c>
      <c r="B146" t="s">
        <v>48</v>
      </c>
      <c r="C146">
        <v>649163</v>
      </c>
      <c r="D146">
        <v>2031361019</v>
      </c>
      <c r="E146" t="s">
        <v>332</v>
      </c>
      <c r="F146" t="s">
        <v>333</v>
      </c>
      <c r="G146" t="s">
        <v>51</v>
      </c>
      <c r="H146" t="s">
        <v>101</v>
      </c>
      <c r="I146" t="s">
        <v>292</v>
      </c>
      <c r="J146" t="s">
        <v>293</v>
      </c>
      <c r="K146">
        <v>651818</v>
      </c>
      <c r="L146" t="s">
        <v>112</v>
      </c>
      <c r="M146" t="s">
        <v>104</v>
      </c>
      <c r="N146" t="s">
        <v>57</v>
      </c>
      <c r="O146" s="1">
        <v>45937</v>
      </c>
      <c r="Q146" s="1">
        <v>45968</v>
      </c>
      <c r="R146" s="2">
        <v>45.68</v>
      </c>
      <c r="S146">
        <v>1</v>
      </c>
      <c r="T146" t="s">
        <v>58</v>
      </c>
      <c r="U146" t="s">
        <v>59</v>
      </c>
      <c r="V146" s="3">
        <v>0.7</v>
      </c>
      <c r="W146" s="2">
        <v>0</v>
      </c>
      <c r="X146">
        <v>0</v>
      </c>
      <c r="Y146" t="s">
        <v>60</v>
      </c>
      <c r="Z146" t="s">
        <v>61</v>
      </c>
      <c r="AA146">
        <v>6</v>
      </c>
      <c r="AB146" s="2">
        <v>191.88</v>
      </c>
      <c r="AC146" s="2">
        <v>0</v>
      </c>
      <c r="AD146" s="3">
        <v>0</v>
      </c>
      <c r="AE146" s="2">
        <v>0</v>
      </c>
      <c r="AF146" s="2">
        <v>0</v>
      </c>
      <c r="AG146" s="2">
        <v>0</v>
      </c>
      <c r="AH146" s="2">
        <v>0</v>
      </c>
      <c r="AI146" s="2">
        <v>0</v>
      </c>
      <c r="AJ146" s="2">
        <v>0</v>
      </c>
      <c r="AK146" s="2">
        <v>0</v>
      </c>
      <c r="AL146" s="2">
        <v>31.98</v>
      </c>
      <c r="AM146" s="2">
        <v>0</v>
      </c>
      <c r="AN146" s="2">
        <v>191.88</v>
      </c>
      <c r="AO146" s="2">
        <v>0</v>
      </c>
      <c r="AP146" s="2">
        <v>0</v>
      </c>
      <c r="AQ146" s="2">
        <v>0</v>
      </c>
    </row>
    <row r="147" spans="1:43" x14ac:dyDescent="0.25">
      <c r="A147" s="1">
        <v>45936</v>
      </c>
      <c r="B147" t="s">
        <v>48</v>
      </c>
      <c r="C147">
        <v>649163</v>
      </c>
      <c r="D147">
        <v>2031361277</v>
      </c>
      <c r="E147" t="s">
        <v>275</v>
      </c>
      <c r="F147" t="s">
        <v>276</v>
      </c>
      <c r="G147" t="s">
        <v>51</v>
      </c>
      <c r="H147" t="s">
        <v>101</v>
      </c>
      <c r="I147" t="s">
        <v>292</v>
      </c>
      <c r="J147" t="s">
        <v>293</v>
      </c>
      <c r="K147">
        <v>824081</v>
      </c>
      <c r="L147" t="s">
        <v>277</v>
      </c>
      <c r="M147" t="s">
        <v>278</v>
      </c>
      <c r="N147" t="s">
        <v>57</v>
      </c>
      <c r="O147" s="1">
        <v>45931</v>
      </c>
      <c r="Q147" s="1">
        <v>45962</v>
      </c>
      <c r="R147" s="2">
        <v>88.96</v>
      </c>
      <c r="S147">
        <v>1</v>
      </c>
      <c r="T147" t="s">
        <v>58</v>
      </c>
      <c r="U147" t="s">
        <v>59</v>
      </c>
      <c r="V147" s="3">
        <v>0.7</v>
      </c>
      <c r="W147" s="2">
        <v>0</v>
      </c>
      <c r="X147">
        <v>0</v>
      </c>
      <c r="Y147" t="s">
        <v>60</v>
      </c>
      <c r="Z147" t="s">
        <v>61</v>
      </c>
      <c r="AA147">
        <v>6</v>
      </c>
      <c r="AB147" s="2">
        <v>373.62</v>
      </c>
      <c r="AC147" s="2">
        <v>0</v>
      </c>
      <c r="AD147" s="3">
        <v>0</v>
      </c>
      <c r="AE147" s="2">
        <v>0</v>
      </c>
      <c r="AF147" s="2">
        <v>0</v>
      </c>
      <c r="AG147" s="2">
        <v>0</v>
      </c>
      <c r="AH147" s="2">
        <v>0</v>
      </c>
      <c r="AI147" s="2">
        <v>0</v>
      </c>
      <c r="AJ147" s="2">
        <v>0</v>
      </c>
      <c r="AK147" s="2">
        <v>0</v>
      </c>
      <c r="AL147" s="2">
        <v>62.27</v>
      </c>
      <c r="AM147" s="2">
        <v>0</v>
      </c>
      <c r="AN147" s="2">
        <v>373.62</v>
      </c>
      <c r="AO147" s="2">
        <v>0</v>
      </c>
      <c r="AP147" s="2">
        <v>0</v>
      </c>
      <c r="AQ147" s="2">
        <v>0</v>
      </c>
    </row>
    <row r="148" spans="1:43" x14ac:dyDescent="0.25">
      <c r="A148" s="1">
        <v>45936</v>
      </c>
      <c r="B148" t="s">
        <v>48</v>
      </c>
      <c r="C148">
        <v>649163</v>
      </c>
      <c r="D148">
        <v>2031361486</v>
      </c>
      <c r="E148" t="s">
        <v>279</v>
      </c>
      <c r="F148" t="s">
        <v>280</v>
      </c>
      <c r="G148" t="s">
        <v>51</v>
      </c>
      <c r="H148" t="s">
        <v>150</v>
      </c>
      <c r="I148" t="s">
        <v>292</v>
      </c>
      <c r="J148" t="s">
        <v>293</v>
      </c>
      <c r="K148">
        <v>877790</v>
      </c>
      <c r="L148" t="s">
        <v>151</v>
      </c>
      <c r="M148" t="s">
        <v>152</v>
      </c>
      <c r="N148" t="s">
        <v>57</v>
      </c>
      <c r="O148" s="1">
        <v>45931</v>
      </c>
      <c r="Q148" s="1">
        <v>45962</v>
      </c>
      <c r="R148" s="2">
        <v>3.52</v>
      </c>
      <c r="S148">
        <v>1</v>
      </c>
      <c r="T148" t="s">
        <v>58</v>
      </c>
      <c r="U148" t="s">
        <v>59</v>
      </c>
      <c r="V148" s="3">
        <v>0.7</v>
      </c>
      <c r="W148" s="2">
        <v>0</v>
      </c>
      <c r="X148">
        <v>0</v>
      </c>
      <c r="Y148" t="s">
        <v>60</v>
      </c>
      <c r="Z148" t="s">
        <v>61</v>
      </c>
      <c r="AA148">
        <v>6</v>
      </c>
      <c r="AB148" s="2">
        <v>14.76</v>
      </c>
      <c r="AC148" s="2">
        <v>0</v>
      </c>
      <c r="AD148" s="3">
        <v>0</v>
      </c>
      <c r="AE148" s="2">
        <v>0</v>
      </c>
      <c r="AF148" s="2">
        <v>0</v>
      </c>
      <c r="AG148" s="2">
        <v>0</v>
      </c>
      <c r="AH148" s="2">
        <v>0</v>
      </c>
      <c r="AI148" s="2">
        <v>0</v>
      </c>
      <c r="AJ148" s="2">
        <v>0</v>
      </c>
      <c r="AK148" s="2">
        <v>0</v>
      </c>
      <c r="AL148" s="2">
        <v>2.46</v>
      </c>
      <c r="AM148" s="2">
        <v>0</v>
      </c>
      <c r="AN148" s="2">
        <v>14.76</v>
      </c>
      <c r="AO148" s="2">
        <v>0</v>
      </c>
      <c r="AP148" s="2">
        <v>0</v>
      </c>
      <c r="AQ148" s="2">
        <v>0</v>
      </c>
    </row>
    <row r="149" spans="1:43" x14ac:dyDescent="0.25">
      <c r="A149" s="1">
        <v>45936</v>
      </c>
      <c r="B149" t="s">
        <v>48</v>
      </c>
      <c r="C149">
        <v>649163</v>
      </c>
      <c r="D149">
        <v>2031361916</v>
      </c>
      <c r="E149" t="s">
        <v>186</v>
      </c>
      <c r="F149" t="s">
        <v>187</v>
      </c>
      <c r="G149" t="s">
        <v>51</v>
      </c>
      <c r="H149" t="s">
        <v>79</v>
      </c>
      <c r="I149" t="s">
        <v>292</v>
      </c>
      <c r="J149" t="s">
        <v>293</v>
      </c>
      <c r="K149">
        <v>673059</v>
      </c>
      <c r="L149" t="s">
        <v>80</v>
      </c>
      <c r="M149" t="s">
        <v>81</v>
      </c>
      <c r="N149" t="s">
        <v>57</v>
      </c>
      <c r="O149" s="1">
        <v>45931</v>
      </c>
      <c r="Q149" s="1">
        <v>45962</v>
      </c>
      <c r="R149" s="2">
        <v>53.13</v>
      </c>
      <c r="S149">
        <v>1</v>
      </c>
      <c r="T149" t="s">
        <v>58</v>
      </c>
      <c r="U149" t="s">
        <v>59</v>
      </c>
      <c r="V149" s="3">
        <v>0.7</v>
      </c>
      <c r="W149" s="2">
        <v>0</v>
      </c>
      <c r="X149">
        <v>0</v>
      </c>
      <c r="Y149" t="s">
        <v>60</v>
      </c>
      <c r="Z149" t="s">
        <v>61</v>
      </c>
      <c r="AA149">
        <v>6</v>
      </c>
      <c r="AB149" s="2">
        <v>223.14</v>
      </c>
      <c r="AC149" s="2">
        <v>0</v>
      </c>
      <c r="AD149" s="3">
        <v>0</v>
      </c>
      <c r="AE149" s="2">
        <v>0</v>
      </c>
      <c r="AF149" s="2">
        <v>0</v>
      </c>
      <c r="AG149" s="2">
        <v>0</v>
      </c>
      <c r="AH149" s="2">
        <v>0</v>
      </c>
      <c r="AI149" s="2">
        <v>0</v>
      </c>
      <c r="AJ149" s="2">
        <v>0</v>
      </c>
      <c r="AK149" s="2">
        <v>0</v>
      </c>
      <c r="AL149" s="2">
        <v>37.19</v>
      </c>
      <c r="AM149" s="2">
        <v>0</v>
      </c>
      <c r="AN149" s="2">
        <v>223.14</v>
      </c>
      <c r="AO149" s="2">
        <v>0</v>
      </c>
      <c r="AP149" s="2">
        <v>0</v>
      </c>
      <c r="AQ149" s="2">
        <v>0</v>
      </c>
    </row>
    <row r="150" spans="1:43" x14ac:dyDescent="0.25">
      <c r="A150" s="1">
        <v>45936</v>
      </c>
      <c r="B150" t="s">
        <v>48</v>
      </c>
      <c r="C150">
        <v>649163</v>
      </c>
      <c r="D150">
        <v>2031365634</v>
      </c>
      <c r="E150" t="s">
        <v>188</v>
      </c>
      <c r="F150" t="s">
        <v>189</v>
      </c>
      <c r="G150" t="s">
        <v>51</v>
      </c>
      <c r="H150" t="s">
        <v>101</v>
      </c>
      <c r="I150" t="s">
        <v>292</v>
      </c>
      <c r="J150" t="s">
        <v>293</v>
      </c>
      <c r="K150">
        <v>812782</v>
      </c>
      <c r="L150" t="s">
        <v>91</v>
      </c>
      <c r="M150" t="s">
        <v>92</v>
      </c>
      <c r="N150" t="s">
        <v>57</v>
      </c>
      <c r="O150" s="1">
        <v>45962</v>
      </c>
      <c r="Q150" s="1">
        <v>45992</v>
      </c>
      <c r="R150" s="2">
        <v>29.49</v>
      </c>
      <c r="S150">
        <v>1</v>
      </c>
      <c r="T150" t="s">
        <v>58</v>
      </c>
      <c r="U150" t="s">
        <v>59</v>
      </c>
      <c r="V150" s="3">
        <v>0.7</v>
      </c>
      <c r="W150" s="2">
        <v>0</v>
      </c>
      <c r="X150">
        <v>0</v>
      </c>
      <c r="Y150" t="s">
        <v>60</v>
      </c>
      <c r="Z150" t="s">
        <v>61</v>
      </c>
      <c r="AA150">
        <v>6</v>
      </c>
      <c r="AB150" s="2">
        <v>123.84</v>
      </c>
      <c r="AC150" s="2">
        <v>0</v>
      </c>
      <c r="AD150" s="3">
        <v>0</v>
      </c>
      <c r="AE150" s="2">
        <v>0</v>
      </c>
      <c r="AF150" s="2">
        <v>0</v>
      </c>
      <c r="AG150" s="2">
        <v>0</v>
      </c>
      <c r="AH150" s="2">
        <v>0</v>
      </c>
      <c r="AI150" s="2">
        <v>0</v>
      </c>
      <c r="AJ150" s="2">
        <v>0</v>
      </c>
      <c r="AK150" s="2">
        <v>0</v>
      </c>
      <c r="AL150" s="2">
        <v>20.64</v>
      </c>
      <c r="AM150" s="2">
        <v>0</v>
      </c>
      <c r="AN150" s="2">
        <v>123.84</v>
      </c>
      <c r="AO150" s="2">
        <v>0</v>
      </c>
      <c r="AP150" s="2">
        <v>0</v>
      </c>
      <c r="AQ150" s="2">
        <v>0</v>
      </c>
    </row>
    <row r="151" spans="1:43" x14ac:dyDescent="0.25">
      <c r="A151" s="1">
        <v>45936</v>
      </c>
      <c r="B151" t="s">
        <v>48</v>
      </c>
      <c r="C151">
        <v>649163</v>
      </c>
      <c r="D151">
        <v>2031365756</v>
      </c>
      <c r="E151" t="s">
        <v>334</v>
      </c>
      <c r="F151" t="s">
        <v>98</v>
      </c>
      <c r="G151" t="s">
        <v>51</v>
      </c>
      <c r="H151" t="s">
        <v>88</v>
      </c>
      <c r="I151" t="s">
        <v>292</v>
      </c>
      <c r="J151" t="s">
        <v>293</v>
      </c>
      <c r="K151">
        <v>878036</v>
      </c>
      <c r="L151" t="s">
        <v>335</v>
      </c>
      <c r="M151" t="s">
        <v>336</v>
      </c>
      <c r="N151" t="s">
        <v>57</v>
      </c>
      <c r="O151" s="1">
        <v>45931</v>
      </c>
      <c r="Q151" s="1">
        <v>45962</v>
      </c>
      <c r="R151" s="2">
        <v>29.79</v>
      </c>
      <c r="S151">
        <v>1</v>
      </c>
      <c r="T151" t="s">
        <v>58</v>
      </c>
      <c r="U151" t="s">
        <v>59</v>
      </c>
      <c r="V151" s="3">
        <v>0.7</v>
      </c>
      <c r="W151" s="2">
        <v>0</v>
      </c>
      <c r="X151">
        <v>0</v>
      </c>
      <c r="Y151" t="s">
        <v>60</v>
      </c>
      <c r="Z151" t="s">
        <v>61</v>
      </c>
      <c r="AA151">
        <v>6</v>
      </c>
      <c r="AB151" s="2">
        <v>125.1</v>
      </c>
      <c r="AC151" s="2">
        <v>0</v>
      </c>
      <c r="AD151" s="3">
        <v>0</v>
      </c>
      <c r="AE151" s="2">
        <v>0</v>
      </c>
      <c r="AF151" s="2">
        <v>0</v>
      </c>
      <c r="AG151" s="2">
        <v>0</v>
      </c>
      <c r="AH151" s="2">
        <v>0</v>
      </c>
      <c r="AI151" s="2">
        <v>0</v>
      </c>
      <c r="AJ151" s="2">
        <v>0</v>
      </c>
      <c r="AK151" s="2">
        <v>0</v>
      </c>
      <c r="AL151" s="2">
        <v>20.85</v>
      </c>
      <c r="AM151" s="2">
        <v>0</v>
      </c>
      <c r="AN151" s="2">
        <v>125.1</v>
      </c>
      <c r="AO151" s="2">
        <v>0</v>
      </c>
      <c r="AP151" s="2">
        <v>0</v>
      </c>
      <c r="AQ151" s="2">
        <v>0</v>
      </c>
    </row>
    <row r="152" spans="1:43" x14ac:dyDescent="0.25">
      <c r="A152" s="1">
        <v>45936</v>
      </c>
      <c r="B152" t="s">
        <v>48</v>
      </c>
      <c r="C152">
        <v>649163</v>
      </c>
      <c r="D152">
        <v>2031366726</v>
      </c>
      <c r="E152" t="s">
        <v>190</v>
      </c>
      <c r="F152" t="s">
        <v>191</v>
      </c>
      <c r="G152" t="s">
        <v>51</v>
      </c>
      <c r="H152" t="s">
        <v>122</v>
      </c>
      <c r="I152" t="s">
        <v>292</v>
      </c>
      <c r="J152" t="s">
        <v>293</v>
      </c>
      <c r="K152">
        <v>753748</v>
      </c>
      <c r="L152" t="s">
        <v>97</v>
      </c>
      <c r="M152" t="s">
        <v>98</v>
      </c>
      <c r="N152" t="s">
        <v>57</v>
      </c>
      <c r="O152" s="1">
        <v>45931</v>
      </c>
      <c r="Q152" s="1">
        <v>45962</v>
      </c>
      <c r="R152" s="2">
        <v>29.1</v>
      </c>
      <c r="S152">
        <v>1</v>
      </c>
      <c r="T152" t="s">
        <v>58</v>
      </c>
      <c r="U152" t="s">
        <v>59</v>
      </c>
      <c r="V152" s="3">
        <v>0.7</v>
      </c>
      <c r="W152" s="2">
        <v>0</v>
      </c>
      <c r="X152">
        <v>0</v>
      </c>
      <c r="Y152" t="s">
        <v>60</v>
      </c>
      <c r="Z152" t="s">
        <v>61</v>
      </c>
      <c r="AA152">
        <v>6</v>
      </c>
      <c r="AB152" s="2">
        <v>122.22</v>
      </c>
      <c r="AC152" s="2">
        <v>0</v>
      </c>
      <c r="AD152" s="3">
        <v>0</v>
      </c>
      <c r="AE152" s="2">
        <v>0</v>
      </c>
      <c r="AF152" s="2">
        <v>0</v>
      </c>
      <c r="AG152" s="2">
        <v>0</v>
      </c>
      <c r="AH152" s="2">
        <v>0</v>
      </c>
      <c r="AI152" s="2">
        <v>0</v>
      </c>
      <c r="AJ152" s="2">
        <v>0</v>
      </c>
      <c r="AK152" s="2">
        <v>0</v>
      </c>
      <c r="AL152" s="2">
        <v>20.37</v>
      </c>
      <c r="AM152" s="2">
        <v>0</v>
      </c>
      <c r="AN152" s="2">
        <v>122.22</v>
      </c>
      <c r="AO152" s="2">
        <v>0</v>
      </c>
      <c r="AP152" s="2">
        <v>0</v>
      </c>
      <c r="AQ152" s="2">
        <v>0</v>
      </c>
    </row>
    <row r="153" spans="1:43" x14ac:dyDescent="0.25">
      <c r="A153" s="1">
        <v>45936</v>
      </c>
      <c r="B153" t="s">
        <v>48</v>
      </c>
      <c r="C153">
        <v>649163</v>
      </c>
      <c r="D153">
        <v>2031379960</v>
      </c>
      <c r="E153" t="s">
        <v>284</v>
      </c>
      <c r="F153" t="s">
        <v>337</v>
      </c>
      <c r="G153" t="s">
        <v>51</v>
      </c>
      <c r="H153" t="s">
        <v>105</v>
      </c>
      <c r="I153" t="s">
        <v>292</v>
      </c>
      <c r="J153" t="s">
        <v>295</v>
      </c>
      <c r="K153">
        <v>823068</v>
      </c>
      <c r="L153" t="s">
        <v>106</v>
      </c>
      <c r="M153" t="s">
        <v>107</v>
      </c>
      <c r="N153" t="s">
        <v>57</v>
      </c>
      <c r="O153" s="1">
        <v>45962</v>
      </c>
      <c r="Q153" s="1">
        <v>45992</v>
      </c>
      <c r="R153" s="2">
        <v>163.25</v>
      </c>
      <c r="S153">
        <v>1</v>
      </c>
      <c r="T153" t="s">
        <v>58</v>
      </c>
      <c r="U153" t="s">
        <v>59</v>
      </c>
      <c r="V153" s="3">
        <v>0.9</v>
      </c>
      <c r="W153" s="2">
        <v>0</v>
      </c>
      <c r="X153">
        <v>0</v>
      </c>
      <c r="Y153" t="s">
        <v>60</v>
      </c>
      <c r="Z153" t="s">
        <v>61</v>
      </c>
      <c r="AA153">
        <v>6</v>
      </c>
      <c r="AB153" s="2">
        <v>881.52</v>
      </c>
      <c r="AC153" s="2">
        <v>0</v>
      </c>
      <c r="AD153" s="3">
        <v>0</v>
      </c>
      <c r="AE153" s="2">
        <v>0</v>
      </c>
      <c r="AF153" s="2">
        <v>0</v>
      </c>
      <c r="AG153" s="2">
        <v>0</v>
      </c>
      <c r="AH153" s="2">
        <v>0</v>
      </c>
      <c r="AI153" s="2">
        <v>0</v>
      </c>
      <c r="AJ153" s="2">
        <v>0</v>
      </c>
      <c r="AK153" s="2">
        <v>0</v>
      </c>
      <c r="AL153" s="2">
        <v>146.91999999999999</v>
      </c>
      <c r="AM153" s="2">
        <v>0</v>
      </c>
      <c r="AN153" s="2">
        <v>881.52</v>
      </c>
      <c r="AO153" s="2">
        <v>0</v>
      </c>
      <c r="AP153" s="2">
        <v>0</v>
      </c>
      <c r="AQ153" s="2">
        <v>0</v>
      </c>
    </row>
    <row r="154" spans="1:43" x14ac:dyDescent="0.25">
      <c r="A154" s="1">
        <v>45936</v>
      </c>
      <c r="B154" t="s">
        <v>48</v>
      </c>
      <c r="C154">
        <v>649163</v>
      </c>
      <c r="D154">
        <v>2031381897</v>
      </c>
      <c r="E154" t="s">
        <v>338</v>
      </c>
      <c r="F154" t="s">
        <v>339</v>
      </c>
      <c r="G154" t="s">
        <v>51</v>
      </c>
      <c r="H154" t="s">
        <v>101</v>
      </c>
      <c r="I154" t="s">
        <v>292</v>
      </c>
      <c r="J154" t="s">
        <v>293</v>
      </c>
      <c r="K154">
        <v>807212</v>
      </c>
      <c r="L154" t="s">
        <v>340</v>
      </c>
      <c r="M154" t="s">
        <v>341</v>
      </c>
      <c r="N154" t="s">
        <v>57</v>
      </c>
      <c r="O154" s="1">
        <v>45932</v>
      </c>
      <c r="Q154" s="1">
        <v>45963</v>
      </c>
      <c r="R154" s="2">
        <v>117.94</v>
      </c>
      <c r="S154">
        <v>1</v>
      </c>
      <c r="T154" t="s">
        <v>58</v>
      </c>
      <c r="U154" t="s">
        <v>59</v>
      </c>
      <c r="V154" s="3">
        <v>0.7</v>
      </c>
      <c r="W154" s="2">
        <v>0</v>
      </c>
      <c r="X154">
        <v>0</v>
      </c>
      <c r="Y154" t="s">
        <v>60</v>
      </c>
      <c r="Z154" t="s">
        <v>61</v>
      </c>
      <c r="AA154">
        <v>6</v>
      </c>
      <c r="AB154" s="2">
        <v>495.36</v>
      </c>
      <c r="AC154" s="2">
        <v>0</v>
      </c>
      <c r="AD154" s="3">
        <v>0</v>
      </c>
      <c r="AE154" s="2">
        <v>0</v>
      </c>
      <c r="AF154" s="2">
        <v>0</v>
      </c>
      <c r="AG154" s="2">
        <v>0</v>
      </c>
      <c r="AH154" s="2">
        <v>0</v>
      </c>
      <c r="AI154" s="2">
        <v>0</v>
      </c>
      <c r="AJ154" s="2">
        <v>0</v>
      </c>
      <c r="AK154" s="2">
        <v>0</v>
      </c>
      <c r="AL154" s="2">
        <v>82.56</v>
      </c>
      <c r="AM154" s="2">
        <v>0</v>
      </c>
      <c r="AN154" s="2">
        <v>495.36</v>
      </c>
      <c r="AO154" s="2">
        <v>0</v>
      </c>
      <c r="AP154" s="2">
        <v>0</v>
      </c>
      <c r="AQ154" s="2">
        <v>0</v>
      </c>
    </row>
    <row r="155" spans="1:43" x14ac:dyDescent="0.25">
      <c r="A155" s="1">
        <v>45936</v>
      </c>
      <c r="B155" t="s">
        <v>48</v>
      </c>
      <c r="C155">
        <v>649163</v>
      </c>
      <c r="D155">
        <v>2031383867</v>
      </c>
      <c r="E155" t="s">
        <v>285</v>
      </c>
      <c r="F155" t="s">
        <v>286</v>
      </c>
      <c r="G155" t="s">
        <v>51</v>
      </c>
      <c r="H155" t="s">
        <v>52</v>
      </c>
      <c r="I155" t="s">
        <v>292</v>
      </c>
      <c r="J155" t="s">
        <v>293</v>
      </c>
      <c r="K155">
        <v>673059</v>
      </c>
      <c r="L155" t="s">
        <v>80</v>
      </c>
      <c r="M155" t="s">
        <v>81</v>
      </c>
      <c r="N155" t="s">
        <v>57</v>
      </c>
      <c r="O155" s="1">
        <v>45932</v>
      </c>
      <c r="Q155" s="1">
        <v>45963</v>
      </c>
      <c r="R155" s="2">
        <v>18.100000000000001</v>
      </c>
      <c r="S155">
        <v>1</v>
      </c>
      <c r="T155" t="s">
        <v>58</v>
      </c>
      <c r="U155" t="s">
        <v>59</v>
      </c>
      <c r="V155" s="3">
        <v>0.7</v>
      </c>
      <c r="W155" s="2">
        <v>0</v>
      </c>
      <c r="X155">
        <v>0</v>
      </c>
      <c r="Y155" t="s">
        <v>60</v>
      </c>
      <c r="Z155" t="s">
        <v>61</v>
      </c>
      <c r="AA155">
        <v>6</v>
      </c>
      <c r="AB155" s="2">
        <v>76.02</v>
      </c>
      <c r="AC155" s="2">
        <v>0</v>
      </c>
      <c r="AD155" s="3">
        <v>0</v>
      </c>
      <c r="AE155" s="2">
        <v>0</v>
      </c>
      <c r="AF155" s="2">
        <v>0</v>
      </c>
      <c r="AG155" s="2">
        <v>0</v>
      </c>
      <c r="AH155" s="2">
        <v>0</v>
      </c>
      <c r="AI155" s="2">
        <v>0</v>
      </c>
      <c r="AJ155" s="2">
        <v>0</v>
      </c>
      <c r="AK155" s="2">
        <v>0</v>
      </c>
      <c r="AL155" s="2">
        <v>12.67</v>
      </c>
      <c r="AM155" s="2">
        <v>0</v>
      </c>
      <c r="AN155" s="2">
        <v>76.02</v>
      </c>
      <c r="AO155" s="2">
        <v>0</v>
      </c>
      <c r="AP155" s="2">
        <v>0</v>
      </c>
      <c r="AQ155" s="2">
        <v>0</v>
      </c>
    </row>
    <row r="156" spans="1:43" x14ac:dyDescent="0.25">
      <c r="A156" s="1">
        <v>45936</v>
      </c>
      <c r="B156" t="s">
        <v>48</v>
      </c>
      <c r="C156">
        <v>649163</v>
      </c>
      <c r="D156">
        <v>2031398945</v>
      </c>
      <c r="E156" t="s">
        <v>192</v>
      </c>
      <c r="F156" t="s">
        <v>193</v>
      </c>
      <c r="G156" t="s">
        <v>51</v>
      </c>
      <c r="H156" t="s">
        <v>105</v>
      </c>
      <c r="I156" t="s">
        <v>292</v>
      </c>
      <c r="J156" t="s">
        <v>294</v>
      </c>
      <c r="K156">
        <v>823068</v>
      </c>
      <c r="L156" t="s">
        <v>106</v>
      </c>
      <c r="M156" t="s">
        <v>107</v>
      </c>
      <c r="N156" t="s">
        <v>57</v>
      </c>
      <c r="O156" s="1">
        <v>45933</v>
      </c>
      <c r="Q156" s="1">
        <v>45964</v>
      </c>
      <c r="R156" s="2">
        <v>24.61</v>
      </c>
      <c r="S156">
        <v>1</v>
      </c>
      <c r="T156" t="s">
        <v>58</v>
      </c>
      <c r="U156" t="s">
        <v>59</v>
      </c>
      <c r="V156" s="3">
        <v>0.7</v>
      </c>
      <c r="W156" s="2">
        <v>0</v>
      </c>
      <c r="X156">
        <v>0</v>
      </c>
      <c r="Y156" t="s">
        <v>60</v>
      </c>
      <c r="Z156" t="s">
        <v>61</v>
      </c>
      <c r="AA156">
        <v>6</v>
      </c>
      <c r="AB156" s="2">
        <v>103.38</v>
      </c>
      <c r="AC156" s="2">
        <v>0</v>
      </c>
      <c r="AD156" s="3">
        <v>0</v>
      </c>
      <c r="AE156" s="2">
        <v>0</v>
      </c>
      <c r="AF156" s="2">
        <v>0</v>
      </c>
      <c r="AG156" s="2">
        <v>0</v>
      </c>
      <c r="AH156" s="2">
        <v>0</v>
      </c>
      <c r="AI156" s="2">
        <v>0</v>
      </c>
      <c r="AJ156" s="2">
        <v>0</v>
      </c>
      <c r="AK156" s="2">
        <v>0</v>
      </c>
      <c r="AL156" s="2">
        <v>17.23</v>
      </c>
      <c r="AM156" s="2">
        <v>0</v>
      </c>
      <c r="AN156" s="2">
        <v>103.38</v>
      </c>
      <c r="AO156" s="2">
        <v>0</v>
      </c>
      <c r="AP156" s="2">
        <v>0</v>
      </c>
      <c r="AQ156" s="2">
        <v>0</v>
      </c>
    </row>
    <row r="157" spans="1:43" x14ac:dyDescent="0.25">
      <c r="A157" s="1">
        <v>45936</v>
      </c>
      <c r="B157" t="s">
        <v>48</v>
      </c>
      <c r="C157">
        <v>649163</v>
      </c>
      <c r="D157">
        <v>2031399068</v>
      </c>
      <c r="E157" t="s">
        <v>148</v>
      </c>
      <c r="F157" t="s">
        <v>194</v>
      </c>
      <c r="G157" t="s">
        <v>51</v>
      </c>
      <c r="H157" t="s">
        <v>129</v>
      </c>
      <c r="I157" t="s">
        <v>292</v>
      </c>
      <c r="J157" t="s">
        <v>293</v>
      </c>
      <c r="K157">
        <v>651818</v>
      </c>
      <c r="L157" t="s">
        <v>112</v>
      </c>
      <c r="M157" t="s">
        <v>104</v>
      </c>
      <c r="N157" t="s">
        <v>57</v>
      </c>
      <c r="O157" s="1">
        <v>45935</v>
      </c>
      <c r="Q157" s="1">
        <v>45966</v>
      </c>
      <c r="R157" s="2">
        <v>116</v>
      </c>
      <c r="S157">
        <v>1</v>
      </c>
      <c r="T157" t="s">
        <v>58</v>
      </c>
      <c r="U157" t="s">
        <v>59</v>
      </c>
      <c r="V157" s="3">
        <v>0.7</v>
      </c>
      <c r="W157" s="2">
        <v>0</v>
      </c>
      <c r="X157">
        <v>0</v>
      </c>
      <c r="Y157" t="s">
        <v>60</v>
      </c>
      <c r="Z157" t="s">
        <v>61</v>
      </c>
      <c r="AA157">
        <v>6</v>
      </c>
      <c r="AB157" s="2">
        <v>487.2</v>
      </c>
      <c r="AC157" s="2">
        <v>0</v>
      </c>
      <c r="AD157" s="3">
        <v>0</v>
      </c>
      <c r="AE157" s="2">
        <v>0</v>
      </c>
      <c r="AF157" s="2">
        <v>0</v>
      </c>
      <c r="AG157" s="2">
        <v>0</v>
      </c>
      <c r="AH157" s="2">
        <v>0</v>
      </c>
      <c r="AI157" s="2">
        <v>0</v>
      </c>
      <c r="AJ157" s="2">
        <v>0</v>
      </c>
      <c r="AK157" s="2">
        <v>0</v>
      </c>
      <c r="AL157" s="2">
        <v>81.2</v>
      </c>
      <c r="AM157" s="2">
        <v>0</v>
      </c>
      <c r="AN157" s="2">
        <v>487.2</v>
      </c>
      <c r="AO157" s="2">
        <v>0</v>
      </c>
      <c r="AP157" s="2">
        <v>0</v>
      </c>
      <c r="AQ157" s="2">
        <v>0</v>
      </c>
    </row>
    <row r="158" spans="1:43" x14ac:dyDescent="0.25">
      <c r="A158" s="1">
        <v>45936</v>
      </c>
      <c r="B158" t="s">
        <v>48</v>
      </c>
      <c r="C158">
        <v>649163</v>
      </c>
      <c r="D158">
        <v>2031408821</v>
      </c>
      <c r="E158" t="s">
        <v>197</v>
      </c>
      <c r="F158" t="s">
        <v>72</v>
      </c>
      <c r="G158" t="s">
        <v>51</v>
      </c>
      <c r="H158" t="s">
        <v>101</v>
      </c>
      <c r="I158" t="s">
        <v>292</v>
      </c>
      <c r="J158" t="s">
        <v>293</v>
      </c>
      <c r="K158">
        <v>893408</v>
      </c>
      <c r="L158" t="s">
        <v>198</v>
      </c>
      <c r="M158" t="s">
        <v>199</v>
      </c>
      <c r="N158" t="s">
        <v>57</v>
      </c>
      <c r="O158" s="1">
        <v>45933</v>
      </c>
      <c r="Q158" s="1">
        <v>45964</v>
      </c>
      <c r="R158" s="2">
        <v>56.5</v>
      </c>
      <c r="S158">
        <v>1</v>
      </c>
      <c r="T158" t="s">
        <v>58</v>
      </c>
      <c r="U158" t="s">
        <v>59</v>
      </c>
      <c r="V158" s="3">
        <v>0.7</v>
      </c>
      <c r="W158" s="2">
        <v>0</v>
      </c>
      <c r="X158">
        <v>0</v>
      </c>
      <c r="Y158" t="s">
        <v>60</v>
      </c>
      <c r="Z158" t="s">
        <v>61</v>
      </c>
      <c r="AA158">
        <v>6</v>
      </c>
      <c r="AB158" s="2">
        <v>237.3</v>
      </c>
      <c r="AC158" s="2">
        <v>0</v>
      </c>
      <c r="AD158" s="3">
        <v>0</v>
      </c>
      <c r="AE158" s="2">
        <v>0</v>
      </c>
      <c r="AF158" s="2">
        <v>0</v>
      </c>
      <c r="AG158" s="2">
        <v>0</v>
      </c>
      <c r="AH158" s="2">
        <v>0</v>
      </c>
      <c r="AI158" s="2">
        <v>0</v>
      </c>
      <c r="AJ158" s="2">
        <v>0</v>
      </c>
      <c r="AK158" s="2">
        <v>0</v>
      </c>
      <c r="AL158" s="2">
        <v>39.549999999999997</v>
      </c>
      <c r="AM158" s="2">
        <v>0</v>
      </c>
      <c r="AN158" s="2">
        <v>237.3</v>
      </c>
      <c r="AO158" s="2">
        <v>0</v>
      </c>
      <c r="AP158" s="2">
        <v>0</v>
      </c>
      <c r="AQ158" s="2">
        <v>0</v>
      </c>
    </row>
    <row r="159" spans="1:43" x14ac:dyDescent="0.25">
      <c r="A159" s="1">
        <v>45936</v>
      </c>
      <c r="B159" t="s">
        <v>48</v>
      </c>
      <c r="C159">
        <v>649163</v>
      </c>
      <c r="D159">
        <v>2031411446</v>
      </c>
      <c r="E159" t="s">
        <v>202</v>
      </c>
      <c r="F159" t="s">
        <v>145</v>
      </c>
      <c r="G159" t="s">
        <v>51</v>
      </c>
      <c r="H159" t="s">
        <v>203</v>
      </c>
      <c r="I159" t="s">
        <v>292</v>
      </c>
      <c r="J159" t="s">
        <v>293</v>
      </c>
      <c r="K159">
        <v>796984</v>
      </c>
      <c r="L159" t="s">
        <v>204</v>
      </c>
      <c r="M159" t="s">
        <v>205</v>
      </c>
      <c r="N159" t="s">
        <v>57</v>
      </c>
      <c r="O159" s="1">
        <v>45933</v>
      </c>
      <c r="Q159" s="1">
        <v>45964</v>
      </c>
      <c r="R159" s="2">
        <v>9.1</v>
      </c>
      <c r="S159">
        <v>1</v>
      </c>
      <c r="T159" t="s">
        <v>58</v>
      </c>
      <c r="U159" t="s">
        <v>59</v>
      </c>
      <c r="V159" s="3">
        <v>0.7</v>
      </c>
      <c r="W159" s="2">
        <v>0</v>
      </c>
      <c r="X159">
        <v>0</v>
      </c>
      <c r="Y159" t="s">
        <v>60</v>
      </c>
      <c r="Z159" t="s">
        <v>61</v>
      </c>
      <c r="AA159">
        <v>6</v>
      </c>
      <c r="AB159" s="2">
        <v>38.22</v>
      </c>
      <c r="AC159" s="2">
        <v>0</v>
      </c>
      <c r="AD159" s="3">
        <v>0</v>
      </c>
      <c r="AE159" s="2">
        <v>0</v>
      </c>
      <c r="AF159" s="2">
        <v>0</v>
      </c>
      <c r="AG159" s="2">
        <v>0</v>
      </c>
      <c r="AH159" s="2">
        <v>0</v>
      </c>
      <c r="AI159" s="2">
        <v>0</v>
      </c>
      <c r="AJ159" s="2">
        <v>0</v>
      </c>
      <c r="AK159" s="2">
        <v>0</v>
      </c>
      <c r="AL159" s="2">
        <v>6.37</v>
      </c>
      <c r="AM159" s="2">
        <v>0</v>
      </c>
      <c r="AN159" s="2">
        <v>38.22</v>
      </c>
      <c r="AO159" s="2">
        <v>0</v>
      </c>
      <c r="AP159" s="2">
        <v>0</v>
      </c>
      <c r="AQ159" s="2">
        <v>0</v>
      </c>
    </row>
    <row r="160" spans="1:43" x14ac:dyDescent="0.25">
      <c r="A160" s="1">
        <v>45936</v>
      </c>
      <c r="B160" t="s">
        <v>48</v>
      </c>
      <c r="C160">
        <v>649163</v>
      </c>
      <c r="D160">
        <v>2031412052</v>
      </c>
      <c r="E160" t="s">
        <v>206</v>
      </c>
      <c r="F160" t="s">
        <v>207</v>
      </c>
      <c r="G160" t="s">
        <v>51</v>
      </c>
      <c r="H160" t="s">
        <v>88</v>
      </c>
      <c r="I160" t="s">
        <v>292</v>
      </c>
      <c r="J160" t="s">
        <v>293</v>
      </c>
      <c r="K160">
        <v>673059</v>
      </c>
      <c r="L160" t="s">
        <v>80</v>
      </c>
      <c r="M160" t="s">
        <v>81</v>
      </c>
      <c r="N160" t="s">
        <v>57</v>
      </c>
      <c r="O160" s="1">
        <v>45935</v>
      </c>
      <c r="Q160" s="1">
        <v>45966</v>
      </c>
      <c r="R160" s="2">
        <v>57.27</v>
      </c>
      <c r="S160">
        <v>1</v>
      </c>
      <c r="T160" t="s">
        <v>58</v>
      </c>
      <c r="U160" t="s">
        <v>59</v>
      </c>
      <c r="V160" s="3">
        <v>0.7</v>
      </c>
      <c r="W160" s="2">
        <v>0</v>
      </c>
      <c r="X160">
        <v>0</v>
      </c>
      <c r="Y160" t="s">
        <v>60</v>
      </c>
      <c r="Z160" t="s">
        <v>61</v>
      </c>
      <c r="AA160">
        <v>6</v>
      </c>
      <c r="AB160" s="2">
        <v>240.54</v>
      </c>
      <c r="AC160" s="2">
        <v>0</v>
      </c>
      <c r="AD160" s="3">
        <v>0</v>
      </c>
      <c r="AE160" s="2">
        <v>0</v>
      </c>
      <c r="AF160" s="2">
        <v>0</v>
      </c>
      <c r="AG160" s="2">
        <v>0</v>
      </c>
      <c r="AH160" s="2">
        <v>0</v>
      </c>
      <c r="AI160" s="2">
        <v>0</v>
      </c>
      <c r="AJ160" s="2">
        <v>0</v>
      </c>
      <c r="AK160" s="2">
        <v>0</v>
      </c>
      <c r="AL160" s="2">
        <v>40.090000000000003</v>
      </c>
      <c r="AM160" s="2">
        <v>0</v>
      </c>
      <c r="AN160" s="2">
        <v>240.54</v>
      </c>
      <c r="AO160" s="2">
        <v>0</v>
      </c>
      <c r="AP160" s="2">
        <v>0</v>
      </c>
      <c r="AQ160" s="2">
        <v>0</v>
      </c>
    </row>
    <row r="161" spans="1:43" x14ac:dyDescent="0.25">
      <c r="A161" s="1">
        <v>45936</v>
      </c>
      <c r="B161" t="s">
        <v>48</v>
      </c>
      <c r="C161">
        <v>649163</v>
      </c>
      <c r="D161">
        <v>2031412053</v>
      </c>
      <c r="E161" t="s">
        <v>206</v>
      </c>
      <c r="F161" t="s">
        <v>207</v>
      </c>
      <c r="G161" t="s">
        <v>51</v>
      </c>
      <c r="H161" t="s">
        <v>88</v>
      </c>
      <c r="I161" t="s">
        <v>292</v>
      </c>
      <c r="J161" t="s">
        <v>294</v>
      </c>
      <c r="K161">
        <v>673059</v>
      </c>
      <c r="L161" t="s">
        <v>80</v>
      </c>
      <c r="M161" t="s">
        <v>81</v>
      </c>
      <c r="N161" t="s">
        <v>57</v>
      </c>
      <c r="O161" s="1">
        <v>45935</v>
      </c>
      <c r="Q161" s="1">
        <v>45966</v>
      </c>
      <c r="R161" s="2">
        <v>25.73</v>
      </c>
      <c r="S161">
        <v>1</v>
      </c>
      <c r="T161" t="s">
        <v>58</v>
      </c>
      <c r="U161" t="s">
        <v>59</v>
      </c>
      <c r="V161" s="3">
        <v>0.7</v>
      </c>
      <c r="W161" s="2">
        <v>0</v>
      </c>
      <c r="X161">
        <v>0</v>
      </c>
      <c r="Y161" t="s">
        <v>60</v>
      </c>
      <c r="Z161" t="s">
        <v>61</v>
      </c>
      <c r="AA161">
        <v>6</v>
      </c>
      <c r="AB161" s="2">
        <v>108.06</v>
      </c>
      <c r="AC161" s="2">
        <v>0</v>
      </c>
      <c r="AD161" s="3">
        <v>0</v>
      </c>
      <c r="AE161" s="2">
        <v>0</v>
      </c>
      <c r="AF161" s="2">
        <v>0</v>
      </c>
      <c r="AG161" s="2">
        <v>0</v>
      </c>
      <c r="AH161" s="2">
        <v>0</v>
      </c>
      <c r="AI161" s="2">
        <v>0</v>
      </c>
      <c r="AJ161" s="2">
        <v>0</v>
      </c>
      <c r="AK161" s="2">
        <v>0</v>
      </c>
      <c r="AL161" s="2">
        <v>18.010000000000002</v>
      </c>
      <c r="AM161" s="2">
        <v>0</v>
      </c>
      <c r="AN161" s="2">
        <v>108.06</v>
      </c>
      <c r="AO161" s="2">
        <v>0</v>
      </c>
      <c r="AP161" s="2">
        <v>0</v>
      </c>
      <c r="AQ161" s="2">
        <v>0</v>
      </c>
    </row>
    <row r="162" spans="1:43" x14ac:dyDescent="0.25">
      <c r="A162" s="1">
        <v>45936</v>
      </c>
      <c r="B162" t="s">
        <v>48</v>
      </c>
      <c r="C162">
        <v>649163</v>
      </c>
      <c r="D162">
        <v>2031451696</v>
      </c>
      <c r="E162" t="s">
        <v>342</v>
      </c>
      <c r="F162" t="s">
        <v>343</v>
      </c>
      <c r="G162" t="s">
        <v>51</v>
      </c>
      <c r="H162" t="s">
        <v>101</v>
      </c>
      <c r="I162" t="s">
        <v>292</v>
      </c>
      <c r="J162" t="s">
        <v>293</v>
      </c>
      <c r="K162">
        <v>807212</v>
      </c>
      <c r="L162" t="s">
        <v>340</v>
      </c>
      <c r="M162" t="s">
        <v>341</v>
      </c>
      <c r="N162" t="s">
        <v>57</v>
      </c>
      <c r="O162" s="1">
        <v>45935</v>
      </c>
      <c r="Q162" s="1">
        <v>45966</v>
      </c>
      <c r="R162" s="2">
        <v>32.26</v>
      </c>
      <c r="S162">
        <v>1</v>
      </c>
      <c r="T162" t="s">
        <v>58</v>
      </c>
      <c r="U162" t="s">
        <v>59</v>
      </c>
      <c r="V162" s="3">
        <v>0.7</v>
      </c>
      <c r="W162" s="2">
        <v>0</v>
      </c>
      <c r="X162">
        <v>0</v>
      </c>
      <c r="Y162" t="s">
        <v>60</v>
      </c>
      <c r="Z162" t="s">
        <v>61</v>
      </c>
      <c r="AA162">
        <v>6</v>
      </c>
      <c r="AB162" s="2">
        <v>135.47999999999999</v>
      </c>
      <c r="AC162" s="2">
        <v>0</v>
      </c>
      <c r="AD162" s="3">
        <v>0</v>
      </c>
      <c r="AE162" s="2">
        <v>0</v>
      </c>
      <c r="AF162" s="2">
        <v>0</v>
      </c>
      <c r="AG162" s="2">
        <v>0</v>
      </c>
      <c r="AH162" s="2">
        <v>0</v>
      </c>
      <c r="AI162" s="2">
        <v>0</v>
      </c>
      <c r="AJ162" s="2">
        <v>0</v>
      </c>
      <c r="AK162" s="2">
        <v>0</v>
      </c>
      <c r="AL162" s="2">
        <v>22.58</v>
      </c>
      <c r="AM162" s="2">
        <v>0</v>
      </c>
      <c r="AN162" s="2">
        <v>135.47999999999999</v>
      </c>
      <c r="AO162" s="2">
        <v>0</v>
      </c>
      <c r="AP162" s="2">
        <v>0</v>
      </c>
      <c r="AQ162" s="2">
        <v>0</v>
      </c>
    </row>
    <row r="163" spans="1:43" x14ac:dyDescent="0.25">
      <c r="A163" s="1">
        <v>45936</v>
      </c>
      <c r="B163" t="s">
        <v>48</v>
      </c>
      <c r="C163">
        <v>649163</v>
      </c>
      <c r="D163">
        <v>2030706583</v>
      </c>
      <c r="E163" t="s">
        <v>215</v>
      </c>
      <c r="F163" t="s">
        <v>216</v>
      </c>
      <c r="G163" t="s">
        <v>51</v>
      </c>
      <c r="H163" t="s">
        <v>150</v>
      </c>
      <c r="I163" t="s">
        <v>344</v>
      </c>
      <c r="J163" t="s">
        <v>345</v>
      </c>
      <c r="K163">
        <v>877790</v>
      </c>
      <c r="L163" t="s">
        <v>151</v>
      </c>
      <c r="M163" t="s">
        <v>152</v>
      </c>
      <c r="N163" t="s">
        <v>57</v>
      </c>
      <c r="O163" s="1">
        <v>45932</v>
      </c>
      <c r="Q163" s="1">
        <v>45963</v>
      </c>
      <c r="R163" s="2">
        <v>144.97</v>
      </c>
      <c r="S163">
        <v>1</v>
      </c>
      <c r="T163" t="s">
        <v>58</v>
      </c>
      <c r="U163" t="s">
        <v>218</v>
      </c>
      <c r="V163" s="3">
        <v>0.19</v>
      </c>
      <c r="W163" s="2">
        <v>0</v>
      </c>
      <c r="X163">
        <v>0</v>
      </c>
      <c r="Y163" t="s">
        <v>60</v>
      </c>
      <c r="Z163" t="s">
        <v>61</v>
      </c>
      <c r="AA163">
        <v>0</v>
      </c>
      <c r="AB163" s="2">
        <v>0</v>
      </c>
      <c r="AC163" s="2">
        <v>0</v>
      </c>
      <c r="AD163" s="3">
        <v>0</v>
      </c>
      <c r="AE163" s="2">
        <v>0</v>
      </c>
      <c r="AF163" s="2">
        <v>0</v>
      </c>
      <c r="AG163" s="2">
        <v>0</v>
      </c>
      <c r="AH163" s="2">
        <v>0</v>
      </c>
      <c r="AI163" s="2">
        <v>0</v>
      </c>
      <c r="AJ163" s="2">
        <v>0</v>
      </c>
      <c r="AK163" s="2">
        <v>0</v>
      </c>
      <c r="AL163" s="2">
        <v>0</v>
      </c>
      <c r="AM163" s="2">
        <v>27.54</v>
      </c>
      <c r="AN163" s="2">
        <v>27.54</v>
      </c>
      <c r="AO163" s="2">
        <v>0</v>
      </c>
      <c r="AP163" s="2">
        <v>0</v>
      </c>
      <c r="AQ163" s="2">
        <v>0</v>
      </c>
    </row>
    <row r="164" spans="1:43" x14ac:dyDescent="0.25">
      <c r="A164" s="1">
        <v>45936</v>
      </c>
      <c r="B164" t="s">
        <v>48</v>
      </c>
      <c r="C164">
        <v>649163</v>
      </c>
      <c r="D164">
        <v>2030949433</v>
      </c>
      <c r="E164" t="s">
        <v>219</v>
      </c>
      <c r="F164" t="s">
        <v>220</v>
      </c>
      <c r="G164" t="s">
        <v>51</v>
      </c>
      <c r="H164" t="s">
        <v>150</v>
      </c>
      <c r="I164" t="s">
        <v>344</v>
      </c>
      <c r="J164" t="s">
        <v>345</v>
      </c>
      <c r="K164">
        <v>877790</v>
      </c>
      <c r="L164" t="s">
        <v>151</v>
      </c>
      <c r="M164" t="s">
        <v>152</v>
      </c>
      <c r="N164" t="s">
        <v>57</v>
      </c>
      <c r="O164" s="1">
        <v>45931</v>
      </c>
      <c r="Q164" s="1">
        <v>45962</v>
      </c>
      <c r="R164" s="2">
        <v>525.4</v>
      </c>
      <c r="S164">
        <v>1</v>
      </c>
      <c r="T164" t="s">
        <v>58</v>
      </c>
      <c r="U164" t="s">
        <v>221</v>
      </c>
      <c r="V164" s="3">
        <v>0.19</v>
      </c>
      <c r="W164" s="2">
        <v>0</v>
      </c>
      <c r="X164">
        <v>0</v>
      </c>
      <c r="Y164" t="s">
        <v>60</v>
      </c>
      <c r="Z164" t="s">
        <v>61</v>
      </c>
      <c r="AA164">
        <v>6</v>
      </c>
      <c r="AB164" s="2">
        <v>598.98</v>
      </c>
      <c r="AC164" s="2">
        <v>0</v>
      </c>
      <c r="AD164" s="3">
        <v>0</v>
      </c>
      <c r="AE164" s="2">
        <v>0</v>
      </c>
      <c r="AF164" s="2">
        <v>0</v>
      </c>
      <c r="AG164" s="2">
        <v>0</v>
      </c>
      <c r="AH164" s="2">
        <v>0</v>
      </c>
      <c r="AI164" s="2">
        <v>0</v>
      </c>
      <c r="AJ164" s="2">
        <v>0</v>
      </c>
      <c r="AK164" s="2">
        <v>0</v>
      </c>
      <c r="AL164" s="2">
        <v>99.83</v>
      </c>
      <c r="AM164" s="2">
        <v>0</v>
      </c>
      <c r="AN164" s="2">
        <v>598.98</v>
      </c>
      <c r="AO164" s="2">
        <v>0</v>
      </c>
      <c r="AP164" s="2">
        <v>0</v>
      </c>
      <c r="AQ164" s="2">
        <v>0</v>
      </c>
    </row>
    <row r="165" spans="1:43" x14ac:dyDescent="0.25">
      <c r="A165" s="1">
        <v>45936</v>
      </c>
      <c r="B165" t="s">
        <v>48</v>
      </c>
      <c r="C165">
        <v>649163</v>
      </c>
      <c r="D165">
        <v>2031317028</v>
      </c>
      <c r="E165" t="s">
        <v>223</v>
      </c>
      <c r="F165" t="s">
        <v>224</v>
      </c>
      <c r="G165" t="s">
        <v>51</v>
      </c>
      <c r="H165" t="s">
        <v>79</v>
      </c>
      <c r="I165" t="s">
        <v>344</v>
      </c>
      <c r="J165" t="s">
        <v>346</v>
      </c>
      <c r="K165">
        <v>673059</v>
      </c>
      <c r="L165" t="s">
        <v>80</v>
      </c>
      <c r="M165" t="s">
        <v>81</v>
      </c>
      <c r="N165" t="s">
        <v>57</v>
      </c>
      <c r="O165" s="1">
        <v>45931</v>
      </c>
      <c r="Q165" s="1">
        <v>45962</v>
      </c>
      <c r="R165" s="2">
        <v>643.99</v>
      </c>
      <c r="S165">
        <v>1</v>
      </c>
      <c r="T165" t="s">
        <v>58</v>
      </c>
      <c r="U165" t="s">
        <v>226</v>
      </c>
      <c r="V165" s="3">
        <v>0.28999999999999998</v>
      </c>
      <c r="W165" s="2">
        <v>0</v>
      </c>
      <c r="X165">
        <v>0</v>
      </c>
      <c r="Y165" t="s">
        <v>60</v>
      </c>
      <c r="Z165" t="s">
        <v>61</v>
      </c>
      <c r="AA165">
        <v>3</v>
      </c>
      <c r="AB165" s="2">
        <v>560.28</v>
      </c>
      <c r="AC165" s="2">
        <v>0</v>
      </c>
      <c r="AD165" s="3">
        <v>0</v>
      </c>
      <c r="AE165" s="2">
        <v>0</v>
      </c>
      <c r="AF165" s="2">
        <v>0</v>
      </c>
      <c r="AG165" s="2">
        <v>0</v>
      </c>
      <c r="AH165" s="2">
        <v>0</v>
      </c>
      <c r="AI165" s="2">
        <v>0</v>
      </c>
      <c r="AJ165" s="2">
        <v>0</v>
      </c>
      <c r="AK165" s="2">
        <v>0</v>
      </c>
      <c r="AL165" s="2">
        <v>186.76</v>
      </c>
      <c r="AM165" s="2">
        <v>0</v>
      </c>
      <c r="AN165" s="2">
        <v>560.28</v>
      </c>
      <c r="AO165" s="2">
        <v>0</v>
      </c>
      <c r="AP165" s="2">
        <v>0</v>
      </c>
      <c r="AQ165" s="2">
        <v>0</v>
      </c>
    </row>
    <row r="166" spans="1:43" x14ac:dyDescent="0.25">
      <c r="A166" s="1">
        <v>45936</v>
      </c>
      <c r="B166" t="s">
        <v>48</v>
      </c>
      <c r="C166">
        <v>649163</v>
      </c>
      <c r="D166">
        <v>2031334122</v>
      </c>
      <c r="E166" t="s">
        <v>327</v>
      </c>
      <c r="F166" t="s">
        <v>161</v>
      </c>
      <c r="G166" t="s">
        <v>51</v>
      </c>
      <c r="H166" t="s">
        <v>328</v>
      </c>
      <c r="I166" t="s">
        <v>344</v>
      </c>
      <c r="J166" t="s">
        <v>347</v>
      </c>
      <c r="K166">
        <v>673059</v>
      </c>
      <c r="L166" t="s">
        <v>80</v>
      </c>
      <c r="M166" t="s">
        <v>81</v>
      </c>
      <c r="N166" t="s">
        <v>57</v>
      </c>
      <c r="O166" s="1">
        <v>45931</v>
      </c>
      <c r="Q166" s="1">
        <v>45962</v>
      </c>
      <c r="R166" s="2">
        <v>299.02999999999997</v>
      </c>
      <c r="S166">
        <v>1</v>
      </c>
      <c r="T166" t="s">
        <v>58</v>
      </c>
      <c r="U166" t="s">
        <v>226</v>
      </c>
      <c r="V166" s="3">
        <v>0.24</v>
      </c>
      <c r="W166" s="2">
        <v>0</v>
      </c>
      <c r="X166">
        <v>0</v>
      </c>
      <c r="Y166" t="s">
        <v>60</v>
      </c>
      <c r="Z166" t="s">
        <v>61</v>
      </c>
      <c r="AA166">
        <v>3</v>
      </c>
      <c r="AB166" s="2">
        <v>215.31</v>
      </c>
      <c r="AC166" s="2">
        <v>0</v>
      </c>
      <c r="AD166" s="3">
        <v>0</v>
      </c>
      <c r="AE166" s="2">
        <v>0</v>
      </c>
      <c r="AF166" s="2">
        <v>0</v>
      </c>
      <c r="AG166" s="2">
        <v>0</v>
      </c>
      <c r="AH166" s="2">
        <v>0</v>
      </c>
      <c r="AI166" s="2">
        <v>0</v>
      </c>
      <c r="AJ166" s="2">
        <v>0</v>
      </c>
      <c r="AK166" s="2">
        <v>0</v>
      </c>
      <c r="AL166" s="2">
        <v>71.77</v>
      </c>
      <c r="AM166" s="2">
        <v>0</v>
      </c>
      <c r="AN166" s="2">
        <v>215.31</v>
      </c>
      <c r="AO166" s="2">
        <v>0</v>
      </c>
      <c r="AP166" s="2">
        <v>0</v>
      </c>
      <c r="AQ166" s="2">
        <v>0</v>
      </c>
    </row>
    <row r="167" spans="1:43" x14ac:dyDescent="0.25">
      <c r="A167" s="1">
        <v>45936</v>
      </c>
      <c r="B167" t="s">
        <v>48</v>
      </c>
      <c r="C167">
        <v>649163</v>
      </c>
      <c r="D167">
        <v>2031351790</v>
      </c>
      <c r="E167" t="s">
        <v>174</v>
      </c>
      <c r="F167" t="s">
        <v>227</v>
      </c>
      <c r="G167" t="s">
        <v>51</v>
      </c>
      <c r="H167" t="s">
        <v>228</v>
      </c>
      <c r="I167" t="s">
        <v>344</v>
      </c>
      <c r="J167" t="s">
        <v>348</v>
      </c>
      <c r="K167">
        <v>753748</v>
      </c>
      <c r="L167" t="s">
        <v>97</v>
      </c>
      <c r="M167" t="s">
        <v>98</v>
      </c>
      <c r="N167" t="s">
        <v>57</v>
      </c>
      <c r="O167" s="1">
        <v>45931</v>
      </c>
      <c r="Q167" s="1">
        <v>45962</v>
      </c>
      <c r="R167" s="2">
        <v>316.19</v>
      </c>
      <c r="S167">
        <v>1</v>
      </c>
      <c r="T167" t="s">
        <v>58</v>
      </c>
      <c r="U167" t="s">
        <v>226</v>
      </c>
      <c r="V167" s="3">
        <v>0.24</v>
      </c>
      <c r="W167" s="2">
        <v>0</v>
      </c>
      <c r="X167">
        <v>0</v>
      </c>
      <c r="Y167" t="s">
        <v>60</v>
      </c>
      <c r="Z167" t="s">
        <v>61</v>
      </c>
      <c r="AA167">
        <v>3</v>
      </c>
      <c r="AB167" s="2">
        <v>227.67</v>
      </c>
      <c r="AC167" s="2">
        <v>0</v>
      </c>
      <c r="AD167" s="3">
        <v>0</v>
      </c>
      <c r="AE167" s="2">
        <v>0</v>
      </c>
      <c r="AF167" s="2">
        <v>0</v>
      </c>
      <c r="AG167" s="2">
        <v>0</v>
      </c>
      <c r="AH167" s="2">
        <v>0</v>
      </c>
      <c r="AI167" s="2">
        <v>0</v>
      </c>
      <c r="AJ167" s="2">
        <v>0</v>
      </c>
      <c r="AK167" s="2">
        <v>0</v>
      </c>
      <c r="AL167" s="2">
        <v>75.89</v>
      </c>
      <c r="AM167" s="2">
        <v>0</v>
      </c>
      <c r="AN167" s="2">
        <v>227.67</v>
      </c>
      <c r="AO167" s="2">
        <v>0</v>
      </c>
      <c r="AP167" s="2">
        <v>0</v>
      </c>
      <c r="AQ167" s="2">
        <v>0</v>
      </c>
    </row>
    <row r="168" spans="1:43" x14ac:dyDescent="0.25">
      <c r="A168" s="1">
        <v>45936</v>
      </c>
      <c r="B168" t="s">
        <v>48</v>
      </c>
      <c r="C168">
        <v>649163</v>
      </c>
      <c r="D168">
        <v>2030820657</v>
      </c>
      <c r="E168" t="s">
        <v>349</v>
      </c>
      <c r="F168" t="s">
        <v>72</v>
      </c>
      <c r="G168" t="s">
        <v>51</v>
      </c>
      <c r="H168" t="s">
        <v>70</v>
      </c>
      <c r="I168" t="s">
        <v>350</v>
      </c>
      <c r="J168" t="s">
        <v>351</v>
      </c>
      <c r="K168">
        <v>728134</v>
      </c>
      <c r="L168" t="s">
        <v>352</v>
      </c>
      <c r="M168" t="s">
        <v>353</v>
      </c>
      <c r="N168" t="s">
        <v>57</v>
      </c>
      <c r="O168" s="1">
        <v>45931</v>
      </c>
      <c r="Q168" s="1">
        <v>45962</v>
      </c>
      <c r="R168" s="2">
        <v>33.590000000000003</v>
      </c>
      <c r="S168">
        <v>1</v>
      </c>
      <c r="T168" t="s">
        <v>58</v>
      </c>
      <c r="U168" t="s">
        <v>59</v>
      </c>
      <c r="V168" s="3">
        <v>0.47</v>
      </c>
      <c r="W168" s="2">
        <v>0</v>
      </c>
      <c r="X168">
        <v>0</v>
      </c>
      <c r="Y168" t="s">
        <v>60</v>
      </c>
      <c r="Z168" t="s">
        <v>61</v>
      </c>
      <c r="AA168">
        <v>6</v>
      </c>
      <c r="AB168" s="2">
        <v>94.74</v>
      </c>
      <c r="AC168" s="2">
        <v>0</v>
      </c>
      <c r="AD168" s="3">
        <v>0</v>
      </c>
      <c r="AE168" s="2">
        <v>0</v>
      </c>
      <c r="AF168" s="2">
        <v>0</v>
      </c>
      <c r="AG168" s="2">
        <v>0</v>
      </c>
      <c r="AH168" s="2">
        <v>0</v>
      </c>
      <c r="AI168" s="2">
        <v>0</v>
      </c>
      <c r="AJ168" s="2">
        <v>0</v>
      </c>
      <c r="AK168" s="2">
        <v>0</v>
      </c>
      <c r="AL168" s="2">
        <v>15.79</v>
      </c>
      <c r="AM168" s="2">
        <v>0</v>
      </c>
      <c r="AN168" s="2">
        <v>94.74</v>
      </c>
      <c r="AO168" s="2">
        <v>0</v>
      </c>
      <c r="AP168" s="2">
        <v>0</v>
      </c>
      <c r="AQ168" s="2">
        <v>0</v>
      </c>
    </row>
    <row r="169" spans="1:43" x14ac:dyDescent="0.25">
      <c r="A169" s="1">
        <v>45936</v>
      </c>
      <c r="B169" t="s">
        <v>48</v>
      </c>
      <c r="C169">
        <v>649163</v>
      </c>
      <c r="D169">
        <v>2030983565</v>
      </c>
      <c r="E169" t="s">
        <v>354</v>
      </c>
      <c r="F169" t="s">
        <v>355</v>
      </c>
      <c r="G169" t="s">
        <v>51</v>
      </c>
      <c r="H169" t="s">
        <v>247</v>
      </c>
      <c r="I169" t="s">
        <v>350</v>
      </c>
      <c r="J169" t="s">
        <v>351</v>
      </c>
      <c r="K169">
        <v>888536</v>
      </c>
      <c r="L169" t="s">
        <v>315</v>
      </c>
      <c r="M169" t="s">
        <v>316</v>
      </c>
      <c r="N169" t="s">
        <v>57</v>
      </c>
      <c r="O169" s="1">
        <v>45931</v>
      </c>
      <c r="Q169" s="1">
        <v>45962</v>
      </c>
      <c r="R169" s="2">
        <v>65.680000000000007</v>
      </c>
      <c r="S169">
        <v>1</v>
      </c>
      <c r="T169" t="s">
        <v>58</v>
      </c>
      <c r="U169" t="s">
        <v>59</v>
      </c>
      <c r="V169" s="3">
        <v>0.47</v>
      </c>
      <c r="W169" s="2">
        <v>0</v>
      </c>
      <c r="X169">
        <v>0</v>
      </c>
      <c r="Y169" t="s">
        <v>60</v>
      </c>
      <c r="Z169" t="s">
        <v>61</v>
      </c>
      <c r="AA169">
        <v>6</v>
      </c>
      <c r="AB169" s="2">
        <v>185.22</v>
      </c>
      <c r="AC169" s="2">
        <v>0</v>
      </c>
      <c r="AD169" s="3">
        <v>0</v>
      </c>
      <c r="AE169" s="2">
        <v>0</v>
      </c>
      <c r="AF169" s="2">
        <v>0</v>
      </c>
      <c r="AG169" s="2">
        <v>0</v>
      </c>
      <c r="AH169" s="2">
        <v>0</v>
      </c>
      <c r="AI169" s="2">
        <v>0</v>
      </c>
      <c r="AJ169" s="2">
        <v>0</v>
      </c>
      <c r="AK169" s="2">
        <v>0</v>
      </c>
      <c r="AL169" s="2">
        <v>30.87</v>
      </c>
      <c r="AM169" s="2">
        <v>0</v>
      </c>
      <c r="AN169" s="2">
        <v>185.22</v>
      </c>
      <c r="AO169" s="2">
        <v>0</v>
      </c>
      <c r="AP169" s="2">
        <v>0</v>
      </c>
      <c r="AQ169" s="2">
        <v>0</v>
      </c>
    </row>
    <row r="170" spans="1:43" x14ac:dyDescent="0.25">
      <c r="A170" s="1">
        <v>45936</v>
      </c>
      <c r="B170" t="s">
        <v>48</v>
      </c>
      <c r="C170">
        <v>649163</v>
      </c>
      <c r="D170">
        <v>2031410719</v>
      </c>
      <c r="E170" t="s">
        <v>356</v>
      </c>
      <c r="F170" t="s">
        <v>98</v>
      </c>
      <c r="G170" t="s">
        <v>51</v>
      </c>
      <c r="H170" t="s">
        <v>150</v>
      </c>
      <c r="I170" t="s">
        <v>350</v>
      </c>
      <c r="J170" t="s">
        <v>351</v>
      </c>
      <c r="K170">
        <v>877790</v>
      </c>
      <c r="L170" t="s">
        <v>151</v>
      </c>
      <c r="M170" t="s">
        <v>152</v>
      </c>
      <c r="N170" t="s">
        <v>57</v>
      </c>
      <c r="O170" s="1">
        <v>45933</v>
      </c>
      <c r="Q170" s="1">
        <v>45964</v>
      </c>
      <c r="R170" s="2">
        <v>59.02</v>
      </c>
      <c r="S170">
        <v>1</v>
      </c>
      <c r="T170" t="s">
        <v>58</v>
      </c>
      <c r="U170" t="s">
        <v>59</v>
      </c>
      <c r="V170" s="3">
        <v>0.47</v>
      </c>
      <c r="W170" s="2">
        <v>0</v>
      </c>
      <c r="X170">
        <v>0</v>
      </c>
      <c r="Y170" t="s">
        <v>60</v>
      </c>
      <c r="Z170" t="s">
        <v>61</v>
      </c>
      <c r="AA170">
        <v>6</v>
      </c>
      <c r="AB170" s="2">
        <v>166.44</v>
      </c>
      <c r="AC170" s="2">
        <v>0</v>
      </c>
      <c r="AD170" s="3">
        <v>0</v>
      </c>
      <c r="AE170" s="2">
        <v>0</v>
      </c>
      <c r="AF170" s="2">
        <v>0</v>
      </c>
      <c r="AG170" s="2">
        <v>0</v>
      </c>
      <c r="AH170" s="2">
        <v>0</v>
      </c>
      <c r="AI170" s="2">
        <v>0</v>
      </c>
      <c r="AJ170" s="2">
        <v>0</v>
      </c>
      <c r="AK170" s="2">
        <v>0</v>
      </c>
      <c r="AL170" s="2">
        <v>27.74</v>
      </c>
      <c r="AM170" s="2">
        <v>0</v>
      </c>
      <c r="AN170" s="2">
        <v>166.44</v>
      </c>
      <c r="AO170" s="2">
        <v>0</v>
      </c>
      <c r="AP170" s="2">
        <v>0</v>
      </c>
      <c r="AQ170" s="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C78FF-B7B1-4407-9AB7-33888471F08C}">
  <dimension ref="A1:T170"/>
  <sheetViews>
    <sheetView workbookViewId="0">
      <selection activeCell="E2" sqref="E1:E2"/>
    </sheetView>
  </sheetViews>
  <sheetFormatPr defaultRowHeight="15" x14ac:dyDescent="0.25"/>
  <cols>
    <col min="1" max="1" width="11" bestFit="1" customWidth="1"/>
    <col min="2" max="2" width="13.140625" customWidth="1"/>
    <col min="3" max="3" width="12.140625" customWidth="1"/>
    <col min="4" max="4" width="17.85546875" customWidth="1"/>
    <col min="5" max="5" width="5.28515625" bestFit="1" customWidth="1"/>
    <col min="6" max="6" width="11.42578125" customWidth="1"/>
    <col min="7" max="7" width="43.28515625" customWidth="1"/>
    <col min="8" max="8" width="15" bestFit="1" customWidth="1"/>
    <col min="9" max="9" width="15.7109375" bestFit="1" customWidth="1"/>
    <col min="10" max="10" width="13.85546875" bestFit="1" customWidth="1"/>
    <col min="11" max="11" width="13.85546875" customWidth="1"/>
    <col min="12" max="12" width="12.5703125" bestFit="1" customWidth="1"/>
    <col min="13" max="13" width="12" bestFit="1" customWidth="1"/>
    <col min="14" max="14" width="15.85546875" bestFit="1" customWidth="1"/>
    <col min="15" max="15" width="11.140625" bestFit="1" customWidth="1"/>
    <col min="16" max="17" width="7" customWidth="1"/>
    <col min="18" max="18" width="15.85546875" bestFit="1" customWidth="1"/>
    <col min="19" max="19" width="12.85546875" bestFit="1" customWidth="1"/>
  </cols>
  <sheetData>
    <row r="1" spans="1:20" x14ac:dyDescent="0.25">
      <c r="A1" t="s">
        <v>3</v>
      </c>
      <c r="B1" t="s">
        <v>4</v>
      </c>
      <c r="C1" t="s">
        <v>5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1275</v>
      </c>
      <c r="L1" t="s">
        <v>14</v>
      </c>
      <c r="M1" t="s">
        <v>16</v>
      </c>
      <c r="N1" t="s">
        <v>17</v>
      </c>
      <c r="O1" t="s">
        <v>21</v>
      </c>
      <c r="P1" t="s">
        <v>24</v>
      </c>
      <c r="Q1" t="s">
        <v>25</v>
      </c>
      <c r="R1" t="s">
        <v>27</v>
      </c>
      <c r="S1" t="s">
        <v>37</v>
      </c>
    </row>
    <row r="2" spans="1:20" x14ac:dyDescent="0.25">
      <c r="A2">
        <v>2030804310</v>
      </c>
      <c r="B2" t="s">
        <v>103</v>
      </c>
      <c r="C2" t="s">
        <v>104</v>
      </c>
      <c r="D2" t="str">
        <f t="shared" ref="D2:D33" si="0">CONCATENATE(C2, " ",B2)</f>
        <v>GREGORY HARRIS</v>
      </c>
      <c r="E2" t="s">
        <v>105</v>
      </c>
      <c r="F2" t="s">
        <v>292</v>
      </c>
      <c r="G2" t="s">
        <v>294</v>
      </c>
      <c r="H2">
        <v>5442438</v>
      </c>
      <c r="I2" t="s">
        <v>106</v>
      </c>
      <c r="J2" t="s">
        <v>107</v>
      </c>
      <c r="K2" t="str">
        <f t="shared" ref="K2:K33" si="1">CONCATENATE(J2, " ",I2)</f>
        <v>Ronald Max</v>
      </c>
      <c r="L2" s="1">
        <v>45931</v>
      </c>
      <c r="M2" s="1">
        <v>45962</v>
      </c>
      <c r="N2" s="2">
        <v>24.61</v>
      </c>
      <c r="O2" s="3">
        <v>0.7</v>
      </c>
      <c r="P2" t="s">
        <v>60</v>
      </c>
      <c r="Q2" t="s">
        <v>61</v>
      </c>
      <c r="R2" s="2">
        <v>103.38</v>
      </c>
      <c r="S2" s="2">
        <v>17.23</v>
      </c>
      <c r="T2" t="s">
        <v>536</v>
      </c>
    </row>
    <row r="3" spans="1:20" x14ac:dyDescent="0.25">
      <c r="A3">
        <v>2031346768</v>
      </c>
      <c r="B3" t="s">
        <v>184</v>
      </c>
      <c r="C3" t="s">
        <v>185</v>
      </c>
      <c r="D3" t="str">
        <f t="shared" si="0"/>
        <v>KAITLIN CULBERTSON</v>
      </c>
      <c r="E3" t="s">
        <v>105</v>
      </c>
      <c r="F3" t="s">
        <v>292</v>
      </c>
      <c r="G3" t="s">
        <v>294</v>
      </c>
      <c r="H3">
        <v>5442438</v>
      </c>
      <c r="I3" t="s">
        <v>106</v>
      </c>
      <c r="J3" t="s">
        <v>107</v>
      </c>
      <c r="K3" t="str">
        <f t="shared" si="1"/>
        <v>Ronald Max</v>
      </c>
      <c r="L3" s="1">
        <v>45931</v>
      </c>
      <c r="M3" s="1">
        <v>45962</v>
      </c>
      <c r="N3" s="2">
        <v>24.61</v>
      </c>
      <c r="O3" s="3">
        <v>0.7</v>
      </c>
      <c r="P3" t="s">
        <v>60</v>
      </c>
      <c r="Q3" t="s">
        <v>61</v>
      </c>
      <c r="R3" s="2">
        <v>103.38</v>
      </c>
      <c r="S3" s="2">
        <v>17.23</v>
      </c>
      <c r="T3" t="s">
        <v>536</v>
      </c>
    </row>
    <row r="4" spans="1:20" x14ac:dyDescent="0.25">
      <c r="A4">
        <v>2031398945</v>
      </c>
      <c r="B4" t="s">
        <v>192</v>
      </c>
      <c r="C4" t="s">
        <v>193</v>
      </c>
      <c r="D4" t="str">
        <f t="shared" si="0"/>
        <v>KEITH BEAUDET</v>
      </c>
      <c r="E4" t="s">
        <v>105</v>
      </c>
      <c r="F4" t="s">
        <v>292</v>
      </c>
      <c r="G4" t="s">
        <v>294</v>
      </c>
      <c r="H4">
        <v>5442438</v>
      </c>
      <c r="I4" t="s">
        <v>106</v>
      </c>
      <c r="J4" t="s">
        <v>107</v>
      </c>
      <c r="K4" t="str">
        <f t="shared" si="1"/>
        <v>Ronald Max</v>
      </c>
      <c r="L4" s="1">
        <v>45933</v>
      </c>
      <c r="M4" s="1">
        <v>45964</v>
      </c>
      <c r="N4" s="2">
        <v>24.61</v>
      </c>
      <c r="O4" s="3">
        <v>0.7</v>
      </c>
      <c r="P4" t="s">
        <v>60</v>
      </c>
      <c r="Q4" t="s">
        <v>61</v>
      </c>
      <c r="R4" s="2">
        <v>103.38</v>
      </c>
      <c r="S4" s="2">
        <v>17.23</v>
      </c>
      <c r="T4" t="s">
        <v>536</v>
      </c>
    </row>
    <row r="5" spans="1:20" x14ac:dyDescent="0.25">
      <c r="A5">
        <v>2031358597</v>
      </c>
      <c r="B5" t="s">
        <v>77</v>
      </c>
      <c r="C5" t="s">
        <v>78</v>
      </c>
      <c r="D5" t="str">
        <f t="shared" si="0"/>
        <v>HANNAH HIGGINS</v>
      </c>
      <c r="E5" t="s">
        <v>79</v>
      </c>
      <c r="F5" t="s">
        <v>292</v>
      </c>
      <c r="G5" t="s">
        <v>294</v>
      </c>
      <c r="H5">
        <v>8977234</v>
      </c>
      <c r="I5" t="s">
        <v>80</v>
      </c>
      <c r="J5" t="s">
        <v>81</v>
      </c>
      <c r="K5" t="str">
        <f t="shared" si="1"/>
        <v>RYAN CALTAGIRONE</v>
      </c>
      <c r="L5" s="1">
        <v>45931</v>
      </c>
      <c r="M5" s="1">
        <v>45962</v>
      </c>
      <c r="N5" s="2">
        <v>25.73</v>
      </c>
      <c r="O5" s="3">
        <v>0.7</v>
      </c>
      <c r="P5" t="s">
        <v>60</v>
      </c>
      <c r="Q5" t="s">
        <v>61</v>
      </c>
      <c r="R5" s="2">
        <v>108.06</v>
      </c>
      <c r="S5" s="2">
        <v>18.010000000000002</v>
      </c>
      <c r="T5" t="s">
        <v>536</v>
      </c>
    </row>
    <row r="6" spans="1:20" x14ac:dyDescent="0.25">
      <c r="A6">
        <v>2031412053</v>
      </c>
      <c r="B6" t="s">
        <v>206</v>
      </c>
      <c r="C6" t="s">
        <v>207</v>
      </c>
      <c r="D6" t="str">
        <f t="shared" si="0"/>
        <v>RICHARD HINTON</v>
      </c>
      <c r="E6" t="s">
        <v>88</v>
      </c>
      <c r="F6" t="s">
        <v>292</v>
      </c>
      <c r="G6" t="s">
        <v>294</v>
      </c>
      <c r="H6">
        <v>8977234</v>
      </c>
      <c r="I6" t="s">
        <v>80</v>
      </c>
      <c r="J6" t="s">
        <v>81</v>
      </c>
      <c r="K6" t="str">
        <f t="shared" si="1"/>
        <v>RYAN CALTAGIRONE</v>
      </c>
      <c r="L6" s="1">
        <v>45935</v>
      </c>
      <c r="M6" s="1">
        <v>45966</v>
      </c>
      <c r="N6" s="2">
        <v>25.73</v>
      </c>
      <c r="O6" s="3">
        <v>0.7</v>
      </c>
      <c r="P6" t="s">
        <v>60</v>
      </c>
      <c r="Q6" t="s">
        <v>61</v>
      </c>
      <c r="R6" s="2">
        <v>108.06</v>
      </c>
      <c r="S6" s="2">
        <v>18.010000000000002</v>
      </c>
      <c r="T6" t="s">
        <v>536</v>
      </c>
    </row>
    <row r="7" spans="1:20" x14ac:dyDescent="0.25">
      <c r="A7">
        <v>2031342784</v>
      </c>
      <c r="B7" t="s">
        <v>289</v>
      </c>
      <c r="C7" t="s">
        <v>290</v>
      </c>
      <c r="D7" t="str">
        <f t="shared" si="0"/>
        <v>MEGAN MCVEY</v>
      </c>
      <c r="E7" t="s">
        <v>155</v>
      </c>
      <c r="F7" t="s">
        <v>287</v>
      </c>
      <c r="G7" t="s">
        <v>291</v>
      </c>
      <c r="H7" t="s">
        <v>1276</v>
      </c>
      <c r="I7" t="s">
        <v>66</v>
      </c>
      <c r="J7" t="s">
        <v>156</v>
      </c>
      <c r="K7" t="str">
        <f t="shared" si="1"/>
        <v>Chad Yale</v>
      </c>
      <c r="L7" s="1">
        <v>45930</v>
      </c>
      <c r="M7" s="1">
        <v>45960</v>
      </c>
      <c r="N7" s="2">
        <v>181.4</v>
      </c>
      <c r="O7" s="3">
        <v>0.38</v>
      </c>
      <c r="P7" t="s">
        <v>60</v>
      </c>
      <c r="Q7" t="s">
        <v>61</v>
      </c>
      <c r="R7" s="2">
        <v>413.58</v>
      </c>
      <c r="S7" s="2">
        <v>68.930000000000007</v>
      </c>
      <c r="T7" t="s">
        <v>291</v>
      </c>
    </row>
    <row r="8" spans="1:20" x14ac:dyDescent="0.25">
      <c r="A8">
        <v>2030807438</v>
      </c>
      <c r="B8" t="s">
        <v>113</v>
      </c>
      <c r="C8" t="s">
        <v>114</v>
      </c>
      <c r="D8" t="str">
        <f t="shared" si="0"/>
        <v>MELINDA VOELLER</v>
      </c>
      <c r="E8" t="s">
        <v>115</v>
      </c>
      <c r="F8" t="s">
        <v>89</v>
      </c>
      <c r="G8" t="s">
        <v>116</v>
      </c>
      <c r="H8">
        <v>1706194</v>
      </c>
      <c r="I8" t="s">
        <v>97</v>
      </c>
      <c r="J8" t="s">
        <v>98</v>
      </c>
      <c r="K8" t="str">
        <f t="shared" si="1"/>
        <v>MATTHEW DAUGHERTY</v>
      </c>
      <c r="L8" s="1">
        <v>45931</v>
      </c>
      <c r="M8" s="1">
        <v>45962</v>
      </c>
      <c r="N8" s="2">
        <v>63.18</v>
      </c>
      <c r="O8" s="3">
        <v>0.75</v>
      </c>
      <c r="P8" t="s">
        <v>60</v>
      </c>
      <c r="Q8" t="s">
        <v>61</v>
      </c>
      <c r="R8" s="2">
        <v>284.27999999999997</v>
      </c>
      <c r="S8" s="2">
        <v>47.38</v>
      </c>
      <c r="T8" t="s">
        <v>1257</v>
      </c>
    </row>
    <row r="9" spans="1:20" x14ac:dyDescent="0.25">
      <c r="A9">
        <v>2030806602</v>
      </c>
      <c r="B9" t="s">
        <v>108</v>
      </c>
      <c r="C9" t="s">
        <v>109</v>
      </c>
      <c r="D9" t="str">
        <f t="shared" si="0"/>
        <v>HEATHER MARTIN</v>
      </c>
      <c r="E9" t="s">
        <v>110</v>
      </c>
      <c r="F9" t="s">
        <v>89</v>
      </c>
      <c r="G9" t="s">
        <v>111</v>
      </c>
      <c r="H9">
        <v>8307933</v>
      </c>
      <c r="I9" t="s">
        <v>112</v>
      </c>
      <c r="J9" t="s">
        <v>104</v>
      </c>
      <c r="K9" t="str">
        <f t="shared" si="1"/>
        <v>GREGORY TEIPEL</v>
      </c>
      <c r="L9" s="1">
        <v>45936</v>
      </c>
      <c r="M9" s="1">
        <v>45967</v>
      </c>
      <c r="N9" s="2">
        <v>26.73</v>
      </c>
      <c r="O9" s="3">
        <v>0.75</v>
      </c>
      <c r="P9" t="s">
        <v>60</v>
      </c>
      <c r="Q9" t="s">
        <v>61</v>
      </c>
      <c r="R9" s="2">
        <v>120.3</v>
      </c>
      <c r="S9" s="2">
        <v>20.05</v>
      </c>
      <c r="T9" t="s">
        <v>1257</v>
      </c>
    </row>
    <row r="10" spans="1:20" x14ac:dyDescent="0.25">
      <c r="A10">
        <v>2030816919</v>
      </c>
      <c r="B10" t="s">
        <v>117</v>
      </c>
      <c r="C10" t="s">
        <v>118</v>
      </c>
      <c r="D10" t="str">
        <f t="shared" si="0"/>
        <v>GRACE NISWANGER</v>
      </c>
      <c r="E10" t="s">
        <v>119</v>
      </c>
      <c r="F10" t="s">
        <v>89</v>
      </c>
      <c r="G10" t="s">
        <v>111</v>
      </c>
      <c r="H10">
        <v>8307933</v>
      </c>
      <c r="I10" t="s">
        <v>112</v>
      </c>
      <c r="J10" t="s">
        <v>104</v>
      </c>
      <c r="K10" t="str">
        <f t="shared" si="1"/>
        <v>GREGORY TEIPEL</v>
      </c>
      <c r="L10" s="1">
        <v>45936</v>
      </c>
      <c r="M10" s="1">
        <v>45967</v>
      </c>
      <c r="N10" s="2">
        <v>43.75</v>
      </c>
      <c r="O10" s="3">
        <v>0.75</v>
      </c>
      <c r="P10" t="s">
        <v>60</v>
      </c>
      <c r="Q10" t="s">
        <v>61</v>
      </c>
      <c r="R10" s="2">
        <v>196.86</v>
      </c>
      <c r="S10" s="2">
        <v>32.81</v>
      </c>
      <c r="T10" t="s">
        <v>1257</v>
      </c>
    </row>
    <row r="11" spans="1:20" x14ac:dyDescent="0.25">
      <c r="A11">
        <v>2031014066</v>
      </c>
      <c r="B11" t="s">
        <v>142</v>
      </c>
      <c r="C11" t="s">
        <v>143</v>
      </c>
      <c r="D11" t="str">
        <f t="shared" si="0"/>
        <v>ANNE BOYLE</v>
      </c>
      <c r="E11" t="s">
        <v>110</v>
      </c>
      <c r="F11" t="s">
        <v>89</v>
      </c>
      <c r="G11" t="s">
        <v>111</v>
      </c>
      <c r="H11">
        <v>8307933</v>
      </c>
      <c r="I11" t="s">
        <v>112</v>
      </c>
      <c r="J11" t="s">
        <v>104</v>
      </c>
      <c r="K11" t="str">
        <f t="shared" si="1"/>
        <v>GREGORY TEIPEL</v>
      </c>
      <c r="L11" s="1">
        <v>45936</v>
      </c>
      <c r="M11" s="1">
        <v>45967</v>
      </c>
      <c r="N11" s="2">
        <v>118.83</v>
      </c>
      <c r="O11" s="3">
        <v>0.75</v>
      </c>
      <c r="P11" t="s">
        <v>60</v>
      </c>
      <c r="Q11" t="s">
        <v>61</v>
      </c>
      <c r="R11" s="2">
        <v>534.72</v>
      </c>
      <c r="S11" s="2">
        <v>89.12</v>
      </c>
      <c r="T11" t="s">
        <v>1257</v>
      </c>
    </row>
    <row r="12" spans="1:20" x14ac:dyDescent="0.25">
      <c r="A12">
        <v>2031320896</v>
      </c>
      <c r="B12" t="s">
        <v>178</v>
      </c>
      <c r="C12" t="s">
        <v>179</v>
      </c>
      <c r="D12" t="str">
        <f t="shared" si="0"/>
        <v>MICHELLE SONTERRE</v>
      </c>
      <c r="E12" t="s">
        <v>119</v>
      </c>
      <c r="F12" t="s">
        <v>89</v>
      </c>
      <c r="G12" t="s">
        <v>111</v>
      </c>
      <c r="H12">
        <v>8307933</v>
      </c>
      <c r="I12" t="s">
        <v>112</v>
      </c>
      <c r="J12" t="s">
        <v>104</v>
      </c>
      <c r="K12" t="str">
        <f t="shared" si="1"/>
        <v>GREGORY TEIPEL</v>
      </c>
      <c r="L12" s="1">
        <v>45936</v>
      </c>
      <c r="M12" s="1">
        <v>45967</v>
      </c>
      <c r="N12" s="2">
        <v>125.45</v>
      </c>
      <c r="O12" s="3">
        <v>0.75</v>
      </c>
      <c r="P12" t="s">
        <v>60</v>
      </c>
      <c r="Q12" t="s">
        <v>61</v>
      </c>
      <c r="R12" s="2">
        <v>564.54</v>
      </c>
      <c r="S12" s="2">
        <v>94.09</v>
      </c>
      <c r="T12" t="s">
        <v>1257</v>
      </c>
    </row>
    <row r="13" spans="1:20" x14ac:dyDescent="0.25">
      <c r="A13">
        <v>2031365635</v>
      </c>
      <c r="B13" t="s">
        <v>188</v>
      </c>
      <c r="C13" t="s">
        <v>189</v>
      </c>
      <c r="D13" t="str">
        <f t="shared" si="0"/>
        <v>REX LEE</v>
      </c>
      <c r="E13" t="s">
        <v>101</v>
      </c>
      <c r="F13" t="s">
        <v>89</v>
      </c>
      <c r="G13" t="s">
        <v>111</v>
      </c>
      <c r="H13">
        <v>18754354</v>
      </c>
      <c r="I13" t="s">
        <v>91</v>
      </c>
      <c r="J13" t="s">
        <v>92</v>
      </c>
      <c r="K13" t="str">
        <f t="shared" si="1"/>
        <v>JACOB YALE</v>
      </c>
      <c r="L13" s="1">
        <v>45962</v>
      </c>
      <c r="M13" s="1">
        <v>45992</v>
      </c>
      <c r="N13" s="2">
        <v>36.700000000000003</v>
      </c>
      <c r="O13" s="3">
        <v>0.75</v>
      </c>
      <c r="P13" t="s">
        <v>60</v>
      </c>
      <c r="Q13" t="s">
        <v>61</v>
      </c>
      <c r="R13" s="2">
        <v>165.12</v>
      </c>
      <c r="S13" s="2">
        <v>27.52</v>
      </c>
      <c r="T13" t="s">
        <v>1257</v>
      </c>
    </row>
    <row r="14" spans="1:20" x14ac:dyDescent="0.25">
      <c r="A14">
        <v>2030880778</v>
      </c>
      <c r="B14" t="s">
        <v>123</v>
      </c>
      <c r="C14" t="s">
        <v>124</v>
      </c>
      <c r="D14" t="str">
        <f t="shared" si="0"/>
        <v>ZACHARY ELLIOTT</v>
      </c>
      <c r="E14" t="s">
        <v>122</v>
      </c>
      <c r="F14" t="s">
        <v>89</v>
      </c>
      <c r="G14" t="s">
        <v>111</v>
      </c>
      <c r="H14">
        <v>1706194</v>
      </c>
      <c r="I14" t="s">
        <v>97</v>
      </c>
      <c r="J14" t="s">
        <v>98</v>
      </c>
      <c r="K14" t="str">
        <f t="shared" si="1"/>
        <v>MATTHEW DAUGHERTY</v>
      </c>
      <c r="L14" s="1">
        <v>45931</v>
      </c>
      <c r="M14" s="1">
        <v>45962</v>
      </c>
      <c r="N14" s="2">
        <v>27.93</v>
      </c>
      <c r="O14" s="3">
        <v>0.75</v>
      </c>
      <c r="P14" t="s">
        <v>60</v>
      </c>
      <c r="Q14" t="s">
        <v>61</v>
      </c>
      <c r="R14" s="2">
        <v>125.7</v>
      </c>
      <c r="S14" s="2">
        <v>20.95</v>
      </c>
      <c r="T14" t="s">
        <v>1257</v>
      </c>
    </row>
    <row r="15" spans="1:20" x14ac:dyDescent="0.25">
      <c r="A15">
        <v>2030990681</v>
      </c>
      <c r="B15" t="s">
        <v>136</v>
      </c>
      <c r="C15" t="s">
        <v>137</v>
      </c>
      <c r="D15" t="str">
        <f t="shared" si="0"/>
        <v>JUSTIN REDMON</v>
      </c>
      <c r="E15" t="s">
        <v>52</v>
      </c>
      <c r="F15" t="s">
        <v>89</v>
      </c>
      <c r="G15" t="s">
        <v>111</v>
      </c>
      <c r="H15">
        <v>1706194</v>
      </c>
      <c r="I15" t="s">
        <v>97</v>
      </c>
      <c r="J15" t="s">
        <v>98</v>
      </c>
      <c r="K15" t="str">
        <f t="shared" si="1"/>
        <v>MATTHEW DAUGHERTY</v>
      </c>
      <c r="L15" s="1">
        <v>45931</v>
      </c>
      <c r="M15" s="1">
        <v>45962</v>
      </c>
      <c r="N15" s="2">
        <v>121.38</v>
      </c>
      <c r="O15" s="3">
        <v>0.75</v>
      </c>
      <c r="P15" t="s">
        <v>60</v>
      </c>
      <c r="Q15" t="s">
        <v>61</v>
      </c>
      <c r="R15" s="2">
        <v>546.24</v>
      </c>
      <c r="S15" s="2">
        <v>91.04</v>
      </c>
      <c r="T15" t="s">
        <v>1257</v>
      </c>
    </row>
    <row r="16" spans="1:20" x14ac:dyDescent="0.25">
      <c r="A16">
        <v>2031366727</v>
      </c>
      <c r="B16" t="s">
        <v>190</v>
      </c>
      <c r="C16" t="s">
        <v>191</v>
      </c>
      <c r="D16" t="str">
        <f t="shared" si="0"/>
        <v>ROGER MAUCHER</v>
      </c>
      <c r="E16" t="s">
        <v>122</v>
      </c>
      <c r="F16" t="s">
        <v>89</v>
      </c>
      <c r="G16" t="s">
        <v>111</v>
      </c>
      <c r="H16">
        <v>1706194</v>
      </c>
      <c r="I16" t="s">
        <v>97</v>
      </c>
      <c r="J16" t="s">
        <v>98</v>
      </c>
      <c r="K16" t="str">
        <f t="shared" si="1"/>
        <v>MATTHEW DAUGHERTY</v>
      </c>
      <c r="L16" s="1">
        <v>45931</v>
      </c>
      <c r="M16" s="1">
        <v>45962</v>
      </c>
      <c r="N16" s="2">
        <v>303.85000000000002</v>
      </c>
      <c r="O16" s="3">
        <v>0.75</v>
      </c>
      <c r="P16" t="s">
        <v>60</v>
      </c>
      <c r="Q16" t="s">
        <v>61</v>
      </c>
      <c r="R16" s="2">
        <v>1367.34</v>
      </c>
      <c r="S16" s="2">
        <v>227.89</v>
      </c>
      <c r="T16" t="s">
        <v>1257</v>
      </c>
    </row>
    <row r="17" spans="1:20" x14ac:dyDescent="0.25">
      <c r="A17">
        <v>2031328268</v>
      </c>
      <c r="B17" t="s">
        <v>180</v>
      </c>
      <c r="C17" t="s">
        <v>181</v>
      </c>
      <c r="D17" t="str">
        <f t="shared" si="0"/>
        <v>MELISSA KELLER</v>
      </c>
      <c r="E17" t="s">
        <v>182</v>
      </c>
      <c r="F17" t="s">
        <v>89</v>
      </c>
      <c r="G17" t="s">
        <v>111</v>
      </c>
      <c r="H17">
        <v>8977234</v>
      </c>
      <c r="I17" t="s">
        <v>80</v>
      </c>
      <c r="J17" t="s">
        <v>81</v>
      </c>
      <c r="K17" t="str">
        <f t="shared" si="1"/>
        <v>RYAN CALTAGIRONE</v>
      </c>
      <c r="L17" s="1">
        <v>45931</v>
      </c>
      <c r="M17" s="1">
        <v>45962</v>
      </c>
      <c r="N17" s="2">
        <v>98.73</v>
      </c>
      <c r="O17" s="3">
        <v>0.75</v>
      </c>
      <c r="P17" t="s">
        <v>60</v>
      </c>
      <c r="Q17" t="s">
        <v>61</v>
      </c>
      <c r="R17" s="2">
        <v>444.3</v>
      </c>
      <c r="S17" s="2">
        <v>74.05</v>
      </c>
      <c r="T17" t="s">
        <v>1257</v>
      </c>
    </row>
    <row r="18" spans="1:20" x14ac:dyDescent="0.25">
      <c r="A18">
        <v>2031358598</v>
      </c>
      <c r="B18" t="s">
        <v>77</v>
      </c>
      <c r="C18" t="s">
        <v>78</v>
      </c>
      <c r="D18" t="str">
        <f t="shared" si="0"/>
        <v>HANNAH HIGGINS</v>
      </c>
      <c r="E18" t="s">
        <v>79</v>
      </c>
      <c r="F18" t="s">
        <v>89</v>
      </c>
      <c r="G18" t="s">
        <v>111</v>
      </c>
      <c r="H18">
        <v>8977234</v>
      </c>
      <c r="I18" t="s">
        <v>80</v>
      </c>
      <c r="J18" t="s">
        <v>81</v>
      </c>
      <c r="K18" t="str">
        <f t="shared" si="1"/>
        <v>RYAN CALTAGIRONE</v>
      </c>
      <c r="L18" s="1">
        <v>45931</v>
      </c>
      <c r="M18" s="1">
        <v>45962</v>
      </c>
      <c r="N18" s="2">
        <v>27.1</v>
      </c>
      <c r="O18" s="3">
        <v>0.75</v>
      </c>
      <c r="P18" t="s">
        <v>60</v>
      </c>
      <c r="Q18" t="s">
        <v>61</v>
      </c>
      <c r="R18" s="2">
        <v>121.92</v>
      </c>
      <c r="S18" s="2">
        <v>20.32</v>
      </c>
      <c r="T18" t="s">
        <v>1257</v>
      </c>
    </row>
    <row r="19" spans="1:20" x14ac:dyDescent="0.25">
      <c r="A19">
        <v>2030453213</v>
      </c>
      <c r="B19" t="s">
        <v>86</v>
      </c>
      <c r="C19" t="s">
        <v>87</v>
      </c>
      <c r="D19" t="str">
        <f t="shared" si="0"/>
        <v>BELLA CEFOLA</v>
      </c>
      <c r="E19" t="s">
        <v>88</v>
      </c>
      <c r="F19" t="s">
        <v>89</v>
      </c>
      <c r="G19" t="s">
        <v>90</v>
      </c>
      <c r="H19">
        <v>18754354</v>
      </c>
      <c r="I19" t="s">
        <v>91</v>
      </c>
      <c r="J19" t="s">
        <v>92</v>
      </c>
      <c r="K19" t="str">
        <f t="shared" si="1"/>
        <v>JACOB YALE</v>
      </c>
      <c r="L19" s="1">
        <v>45931</v>
      </c>
      <c r="M19" s="1">
        <v>45962</v>
      </c>
      <c r="N19" s="2">
        <v>18.46</v>
      </c>
      <c r="O19" s="3">
        <v>0.65</v>
      </c>
      <c r="P19" t="s">
        <v>60</v>
      </c>
      <c r="Q19" t="s">
        <v>61</v>
      </c>
      <c r="R19" s="2">
        <v>72</v>
      </c>
      <c r="S19" s="2">
        <v>12</v>
      </c>
      <c r="T19" t="s">
        <v>1258</v>
      </c>
    </row>
    <row r="20" spans="1:20" x14ac:dyDescent="0.25">
      <c r="A20">
        <v>2031412054</v>
      </c>
      <c r="B20" t="s">
        <v>206</v>
      </c>
      <c r="C20" t="s">
        <v>207</v>
      </c>
      <c r="D20" t="str">
        <f t="shared" si="0"/>
        <v>RICHARD HINTON</v>
      </c>
      <c r="E20" t="s">
        <v>88</v>
      </c>
      <c r="F20" t="s">
        <v>89</v>
      </c>
      <c r="G20" t="s">
        <v>90</v>
      </c>
      <c r="H20">
        <v>8977234</v>
      </c>
      <c r="I20" t="s">
        <v>80</v>
      </c>
      <c r="J20" t="s">
        <v>81</v>
      </c>
      <c r="K20" t="str">
        <f t="shared" si="1"/>
        <v>RYAN CALTAGIRONE</v>
      </c>
      <c r="L20" s="1">
        <v>45935</v>
      </c>
      <c r="M20" s="1">
        <v>45966</v>
      </c>
      <c r="N20" s="2">
        <v>204.99</v>
      </c>
      <c r="O20" s="3">
        <v>0.65</v>
      </c>
      <c r="P20" t="s">
        <v>60</v>
      </c>
      <c r="Q20" t="s">
        <v>61</v>
      </c>
      <c r="R20" s="2">
        <v>799.44</v>
      </c>
      <c r="S20" s="2">
        <v>133.24</v>
      </c>
      <c r="T20" t="s">
        <v>1258</v>
      </c>
    </row>
    <row r="21" spans="1:20" x14ac:dyDescent="0.25">
      <c r="A21">
        <v>2031179747</v>
      </c>
      <c r="B21" t="s">
        <v>153</v>
      </c>
      <c r="C21" t="s">
        <v>154</v>
      </c>
      <c r="D21" t="str">
        <f t="shared" si="0"/>
        <v>ALLEN JOAS</v>
      </c>
      <c r="E21" t="s">
        <v>155</v>
      </c>
      <c r="F21" t="s">
        <v>89</v>
      </c>
      <c r="G21" t="s">
        <v>102</v>
      </c>
      <c r="H21" t="s">
        <v>1276</v>
      </c>
      <c r="I21" t="s">
        <v>66</v>
      </c>
      <c r="J21" t="s">
        <v>156</v>
      </c>
      <c r="K21" t="str">
        <f t="shared" si="1"/>
        <v>Chad Yale</v>
      </c>
      <c r="L21" s="1">
        <v>45931</v>
      </c>
      <c r="M21" s="1">
        <v>45962</v>
      </c>
      <c r="N21" s="2">
        <v>160.87</v>
      </c>
      <c r="O21" s="3">
        <v>0.75</v>
      </c>
      <c r="P21" t="s">
        <v>60</v>
      </c>
      <c r="Q21" t="s">
        <v>61</v>
      </c>
      <c r="R21" s="2">
        <v>723.9</v>
      </c>
      <c r="S21" s="2">
        <v>120.65</v>
      </c>
      <c r="T21" t="s">
        <v>1257</v>
      </c>
    </row>
    <row r="22" spans="1:20" x14ac:dyDescent="0.25">
      <c r="A22">
        <v>2031270408</v>
      </c>
      <c r="B22" t="s">
        <v>168</v>
      </c>
      <c r="C22" t="s">
        <v>169</v>
      </c>
      <c r="D22" t="str">
        <f t="shared" si="0"/>
        <v>SHEILA REUTER</v>
      </c>
      <c r="E22" t="s">
        <v>119</v>
      </c>
      <c r="F22" t="s">
        <v>89</v>
      </c>
      <c r="G22" t="s">
        <v>102</v>
      </c>
      <c r="H22">
        <v>8307933</v>
      </c>
      <c r="I22" t="s">
        <v>112</v>
      </c>
      <c r="J22" t="s">
        <v>104</v>
      </c>
      <c r="K22" t="str">
        <f t="shared" si="1"/>
        <v>GREGORY TEIPEL</v>
      </c>
      <c r="L22" s="1">
        <v>45941</v>
      </c>
      <c r="M22" s="1">
        <v>45972</v>
      </c>
      <c r="N22" s="2">
        <v>85.15</v>
      </c>
      <c r="O22" s="3">
        <v>0.75</v>
      </c>
      <c r="P22" t="s">
        <v>60</v>
      </c>
      <c r="Q22" t="s">
        <v>61</v>
      </c>
      <c r="R22" s="2">
        <v>383.16</v>
      </c>
      <c r="S22" s="2">
        <v>63.86</v>
      </c>
      <c r="T22" t="s">
        <v>1257</v>
      </c>
    </row>
    <row r="23" spans="1:20" x14ac:dyDescent="0.25">
      <c r="A23">
        <v>2031399067</v>
      </c>
      <c r="B23" t="s">
        <v>148</v>
      </c>
      <c r="C23" t="s">
        <v>194</v>
      </c>
      <c r="D23" t="str">
        <f t="shared" si="0"/>
        <v>KAREN SMITH</v>
      </c>
      <c r="E23" t="s">
        <v>129</v>
      </c>
      <c r="F23" t="s">
        <v>89</v>
      </c>
      <c r="G23" t="s">
        <v>102</v>
      </c>
      <c r="H23">
        <v>8307933</v>
      </c>
      <c r="I23" t="s">
        <v>112</v>
      </c>
      <c r="J23" t="s">
        <v>104</v>
      </c>
      <c r="K23" t="str">
        <f t="shared" si="1"/>
        <v>GREGORY TEIPEL</v>
      </c>
      <c r="L23" s="1">
        <v>45935</v>
      </c>
      <c r="M23" s="1">
        <v>45966</v>
      </c>
      <c r="N23" s="2">
        <v>33.28</v>
      </c>
      <c r="O23" s="3">
        <v>0.75</v>
      </c>
      <c r="P23" t="s">
        <v>60</v>
      </c>
      <c r="Q23" t="s">
        <v>61</v>
      </c>
      <c r="R23" s="2">
        <v>149.76</v>
      </c>
      <c r="S23" s="2">
        <v>24.96</v>
      </c>
      <c r="T23" t="s">
        <v>1257</v>
      </c>
    </row>
    <row r="24" spans="1:20" x14ac:dyDescent="0.25">
      <c r="A24">
        <v>2031263014</v>
      </c>
      <c r="B24" t="s">
        <v>166</v>
      </c>
      <c r="C24" t="s">
        <v>167</v>
      </c>
      <c r="D24" t="str">
        <f t="shared" si="0"/>
        <v>ALISON BUCKNER</v>
      </c>
      <c r="E24" t="s">
        <v>129</v>
      </c>
      <c r="F24" t="s">
        <v>89</v>
      </c>
      <c r="G24" t="s">
        <v>102</v>
      </c>
      <c r="H24">
        <v>1706194</v>
      </c>
      <c r="I24" t="s">
        <v>97</v>
      </c>
      <c r="J24" t="s">
        <v>98</v>
      </c>
      <c r="K24" t="str">
        <f t="shared" si="1"/>
        <v>MATTHEW DAUGHERTY</v>
      </c>
      <c r="L24" s="1">
        <v>45931</v>
      </c>
      <c r="M24" s="1">
        <v>45962</v>
      </c>
      <c r="N24" s="2">
        <v>77.2</v>
      </c>
      <c r="O24" s="3">
        <v>0.75</v>
      </c>
      <c r="P24" t="s">
        <v>60</v>
      </c>
      <c r="Q24" t="s">
        <v>61</v>
      </c>
      <c r="R24" s="2">
        <v>347.4</v>
      </c>
      <c r="S24" s="2">
        <v>57.9</v>
      </c>
      <c r="T24" t="s">
        <v>1257</v>
      </c>
    </row>
    <row r="25" spans="1:20" x14ac:dyDescent="0.25">
      <c r="A25">
        <v>2030719605</v>
      </c>
      <c r="B25" t="s">
        <v>99</v>
      </c>
      <c r="C25" t="s">
        <v>100</v>
      </c>
      <c r="D25" t="str">
        <f t="shared" si="0"/>
        <v>AMANDA COPPLE</v>
      </c>
      <c r="E25" t="s">
        <v>101</v>
      </c>
      <c r="F25" t="s">
        <v>89</v>
      </c>
      <c r="G25" t="s">
        <v>102</v>
      </c>
      <c r="H25">
        <v>8977234</v>
      </c>
      <c r="I25" t="s">
        <v>80</v>
      </c>
      <c r="J25" t="s">
        <v>81</v>
      </c>
      <c r="K25" t="str">
        <f t="shared" si="1"/>
        <v>RYAN CALTAGIRONE</v>
      </c>
      <c r="L25" s="1">
        <v>45931</v>
      </c>
      <c r="M25" s="1">
        <v>45962</v>
      </c>
      <c r="N25" s="2">
        <v>16.54</v>
      </c>
      <c r="O25" s="3">
        <v>0.75</v>
      </c>
      <c r="P25" t="s">
        <v>60</v>
      </c>
      <c r="Q25" t="s">
        <v>61</v>
      </c>
      <c r="R25" s="2">
        <v>74.400000000000006</v>
      </c>
      <c r="S25" s="2">
        <v>12.4</v>
      </c>
      <c r="T25" t="s">
        <v>1257</v>
      </c>
    </row>
    <row r="26" spans="1:20" x14ac:dyDescent="0.25">
      <c r="A26">
        <v>2031361915</v>
      </c>
      <c r="B26" t="s">
        <v>186</v>
      </c>
      <c r="C26" t="s">
        <v>187</v>
      </c>
      <c r="D26" t="str">
        <f t="shared" si="0"/>
        <v>BONNIE PIRTZ</v>
      </c>
      <c r="E26" t="s">
        <v>79</v>
      </c>
      <c r="F26" t="s">
        <v>89</v>
      </c>
      <c r="G26" t="s">
        <v>102</v>
      </c>
      <c r="H26">
        <v>8977234</v>
      </c>
      <c r="I26" t="s">
        <v>80</v>
      </c>
      <c r="J26" t="s">
        <v>81</v>
      </c>
      <c r="K26" t="str">
        <f t="shared" si="1"/>
        <v>RYAN CALTAGIRONE</v>
      </c>
      <c r="L26" s="1">
        <v>45931</v>
      </c>
      <c r="M26" s="1">
        <v>45962</v>
      </c>
      <c r="N26" s="2">
        <v>143.76</v>
      </c>
      <c r="O26" s="3">
        <v>0.75</v>
      </c>
      <c r="P26" t="s">
        <v>60</v>
      </c>
      <c r="Q26" t="s">
        <v>61</v>
      </c>
      <c r="R26" s="2">
        <v>646.91999999999996</v>
      </c>
      <c r="S26" s="2">
        <v>107.82</v>
      </c>
      <c r="T26" t="s">
        <v>1257</v>
      </c>
    </row>
    <row r="27" spans="1:20" x14ac:dyDescent="0.25">
      <c r="A27">
        <v>2031409376</v>
      </c>
      <c r="B27" t="s">
        <v>200</v>
      </c>
      <c r="C27" t="s">
        <v>201</v>
      </c>
      <c r="D27" t="str">
        <f t="shared" si="0"/>
        <v>RONDA BERKEY</v>
      </c>
      <c r="E27" t="s">
        <v>79</v>
      </c>
      <c r="F27" t="s">
        <v>89</v>
      </c>
      <c r="G27" t="s">
        <v>102</v>
      </c>
      <c r="H27">
        <v>8977234</v>
      </c>
      <c r="I27" t="s">
        <v>80</v>
      </c>
      <c r="J27" t="s">
        <v>81</v>
      </c>
      <c r="K27" t="str">
        <f t="shared" si="1"/>
        <v>RYAN CALTAGIRONE</v>
      </c>
      <c r="L27" s="1">
        <v>45933</v>
      </c>
      <c r="M27" s="1">
        <v>45964</v>
      </c>
      <c r="N27" s="2">
        <v>62.03</v>
      </c>
      <c r="O27" s="3">
        <v>0.75</v>
      </c>
      <c r="P27" t="s">
        <v>60</v>
      </c>
      <c r="Q27" t="s">
        <v>61</v>
      </c>
      <c r="R27" s="2">
        <v>279.12</v>
      </c>
      <c r="S27" s="2">
        <v>46.52</v>
      </c>
      <c r="T27" t="s">
        <v>1257</v>
      </c>
    </row>
    <row r="28" spans="1:20" x14ac:dyDescent="0.25">
      <c r="A28">
        <v>2031288234</v>
      </c>
      <c r="B28" t="s">
        <v>170</v>
      </c>
      <c r="C28" t="s">
        <v>171</v>
      </c>
      <c r="D28" t="str">
        <f t="shared" si="0"/>
        <v>JUDITH GOLDMAN</v>
      </c>
      <c r="E28" t="s">
        <v>105</v>
      </c>
      <c r="F28" t="s">
        <v>89</v>
      </c>
      <c r="G28" t="s">
        <v>96</v>
      </c>
      <c r="H28">
        <v>9079571</v>
      </c>
      <c r="I28" t="s">
        <v>172</v>
      </c>
      <c r="J28" t="s">
        <v>173</v>
      </c>
      <c r="K28" t="str">
        <f t="shared" si="1"/>
        <v>ADAM RICHTER</v>
      </c>
      <c r="L28" s="1">
        <v>45931</v>
      </c>
      <c r="M28" s="1">
        <v>45962</v>
      </c>
      <c r="N28" s="2">
        <v>77.540000000000006</v>
      </c>
      <c r="O28" s="3">
        <v>0.9</v>
      </c>
      <c r="P28" t="s">
        <v>60</v>
      </c>
      <c r="Q28" t="s">
        <v>61</v>
      </c>
      <c r="R28" s="2">
        <v>418.74</v>
      </c>
      <c r="S28" s="2">
        <v>69.790000000000006</v>
      </c>
      <c r="T28" t="s">
        <v>1257</v>
      </c>
    </row>
    <row r="29" spans="1:20" x14ac:dyDescent="0.25">
      <c r="A29">
        <v>2031319398</v>
      </c>
      <c r="B29" t="s">
        <v>176</v>
      </c>
      <c r="C29" t="s">
        <v>177</v>
      </c>
      <c r="D29" t="str">
        <f t="shared" si="0"/>
        <v>DANIELLE BISHOP</v>
      </c>
      <c r="E29" t="s">
        <v>105</v>
      </c>
      <c r="F29" t="s">
        <v>89</v>
      </c>
      <c r="G29" t="s">
        <v>96</v>
      </c>
      <c r="H29">
        <v>9079571</v>
      </c>
      <c r="I29" t="s">
        <v>172</v>
      </c>
      <c r="J29" t="s">
        <v>173</v>
      </c>
      <c r="K29" t="str">
        <f t="shared" si="1"/>
        <v>ADAM RICHTER</v>
      </c>
      <c r="L29" s="1">
        <v>45931</v>
      </c>
      <c r="M29" s="1">
        <v>45962</v>
      </c>
      <c r="N29" s="2">
        <v>73</v>
      </c>
      <c r="O29" s="3">
        <v>0.9</v>
      </c>
      <c r="P29" t="s">
        <v>60</v>
      </c>
      <c r="Q29" t="s">
        <v>61</v>
      </c>
      <c r="R29" s="2">
        <v>394.2</v>
      </c>
      <c r="S29" s="2">
        <v>65.7</v>
      </c>
      <c r="T29" t="s">
        <v>1257</v>
      </c>
    </row>
    <row r="30" spans="1:20" x14ac:dyDescent="0.25">
      <c r="A30">
        <v>2031404260</v>
      </c>
      <c r="B30" t="s">
        <v>195</v>
      </c>
      <c r="C30" t="s">
        <v>196</v>
      </c>
      <c r="D30" t="str">
        <f t="shared" si="0"/>
        <v>MEG FERRONE</v>
      </c>
      <c r="E30" t="s">
        <v>105</v>
      </c>
      <c r="F30" t="s">
        <v>89</v>
      </c>
      <c r="G30" t="s">
        <v>96</v>
      </c>
      <c r="H30">
        <v>9079571</v>
      </c>
      <c r="I30" t="s">
        <v>172</v>
      </c>
      <c r="J30" t="s">
        <v>173</v>
      </c>
      <c r="K30" t="str">
        <f t="shared" si="1"/>
        <v>ADAM RICHTER</v>
      </c>
      <c r="L30" s="1">
        <v>45933</v>
      </c>
      <c r="M30" s="1">
        <v>45964</v>
      </c>
      <c r="N30" s="2">
        <v>27.5</v>
      </c>
      <c r="O30" s="3">
        <v>0.9</v>
      </c>
      <c r="P30" t="s">
        <v>60</v>
      </c>
      <c r="Q30" t="s">
        <v>61</v>
      </c>
      <c r="R30" s="2">
        <v>148.5</v>
      </c>
      <c r="S30" s="2">
        <v>24.75</v>
      </c>
      <c r="T30" t="s">
        <v>1257</v>
      </c>
    </row>
    <row r="31" spans="1:20" x14ac:dyDescent="0.25">
      <c r="A31">
        <v>2030820713</v>
      </c>
      <c r="B31" t="s">
        <v>120</v>
      </c>
      <c r="C31" t="s">
        <v>121</v>
      </c>
      <c r="D31" t="str">
        <f t="shared" si="0"/>
        <v>KYLER GABBARD</v>
      </c>
      <c r="E31" t="s">
        <v>122</v>
      </c>
      <c r="F31" t="s">
        <v>89</v>
      </c>
      <c r="G31" t="s">
        <v>96</v>
      </c>
      <c r="H31">
        <v>8307933</v>
      </c>
      <c r="I31" t="s">
        <v>112</v>
      </c>
      <c r="J31" t="s">
        <v>104</v>
      </c>
      <c r="K31" t="str">
        <f t="shared" si="1"/>
        <v>GREGORY TEIPEL</v>
      </c>
      <c r="L31" s="1">
        <v>45936</v>
      </c>
      <c r="M31" s="1">
        <v>45967</v>
      </c>
      <c r="N31" s="2">
        <v>61.25</v>
      </c>
      <c r="O31" s="3">
        <v>0.9</v>
      </c>
      <c r="P31" t="s">
        <v>60</v>
      </c>
      <c r="Q31" t="s">
        <v>61</v>
      </c>
      <c r="R31" s="2">
        <v>330.72</v>
      </c>
      <c r="S31" s="2">
        <v>55.12</v>
      </c>
      <c r="T31" t="s">
        <v>1257</v>
      </c>
    </row>
    <row r="32" spans="1:20" x14ac:dyDescent="0.25">
      <c r="A32">
        <v>2030948466</v>
      </c>
      <c r="B32" t="s">
        <v>130</v>
      </c>
      <c r="C32" t="s">
        <v>131</v>
      </c>
      <c r="D32" t="str">
        <f t="shared" si="0"/>
        <v>TINA BURKS</v>
      </c>
      <c r="E32" t="s">
        <v>52</v>
      </c>
      <c r="F32" t="s">
        <v>89</v>
      </c>
      <c r="G32" t="s">
        <v>96</v>
      </c>
      <c r="H32">
        <v>8307933</v>
      </c>
      <c r="I32" t="s">
        <v>112</v>
      </c>
      <c r="J32" t="s">
        <v>104</v>
      </c>
      <c r="K32" t="str">
        <f t="shared" si="1"/>
        <v>GREGORY TEIPEL</v>
      </c>
      <c r="L32" s="1">
        <v>45936</v>
      </c>
      <c r="M32" s="1">
        <v>45967</v>
      </c>
      <c r="N32" s="2">
        <v>180.92</v>
      </c>
      <c r="O32" s="3">
        <v>0.9</v>
      </c>
      <c r="P32" t="s">
        <v>60</v>
      </c>
      <c r="Q32" t="s">
        <v>61</v>
      </c>
      <c r="R32" s="2">
        <v>976.98</v>
      </c>
      <c r="S32" s="2">
        <v>162.83000000000001</v>
      </c>
      <c r="T32" t="s">
        <v>1257</v>
      </c>
    </row>
    <row r="33" spans="1:20" x14ac:dyDescent="0.25">
      <c r="A33">
        <v>2031192062</v>
      </c>
      <c r="B33" t="s">
        <v>157</v>
      </c>
      <c r="C33" t="s">
        <v>158</v>
      </c>
      <c r="D33" t="str">
        <f t="shared" si="0"/>
        <v>TAMMY WOODFIN</v>
      </c>
      <c r="E33" t="s">
        <v>159</v>
      </c>
      <c r="F33" t="s">
        <v>89</v>
      </c>
      <c r="G33" t="s">
        <v>96</v>
      </c>
      <c r="H33">
        <v>8307933</v>
      </c>
      <c r="I33" t="s">
        <v>112</v>
      </c>
      <c r="J33" t="s">
        <v>104</v>
      </c>
      <c r="K33" t="str">
        <f t="shared" si="1"/>
        <v>GREGORY TEIPEL</v>
      </c>
      <c r="L33" s="1">
        <v>45936</v>
      </c>
      <c r="M33" s="1">
        <v>45967</v>
      </c>
      <c r="N33" s="2">
        <v>240.76</v>
      </c>
      <c r="O33" s="3">
        <v>0.9</v>
      </c>
      <c r="P33" t="s">
        <v>60</v>
      </c>
      <c r="Q33" t="s">
        <v>61</v>
      </c>
      <c r="R33" s="2">
        <v>1300.08</v>
      </c>
      <c r="S33" s="2">
        <v>216.68</v>
      </c>
      <c r="T33" t="s">
        <v>1257</v>
      </c>
    </row>
    <row r="34" spans="1:20" x14ac:dyDescent="0.25">
      <c r="A34">
        <v>2031246838</v>
      </c>
      <c r="B34" t="s">
        <v>162</v>
      </c>
      <c r="C34" t="s">
        <v>163</v>
      </c>
      <c r="D34" t="str">
        <f t="shared" ref="D34:D65" si="2">CONCATENATE(C34, " ",B34)</f>
        <v>SUZANNE HACKLEMAN</v>
      </c>
      <c r="E34" t="s">
        <v>159</v>
      </c>
      <c r="F34" t="s">
        <v>89</v>
      </c>
      <c r="G34" t="s">
        <v>96</v>
      </c>
      <c r="H34">
        <v>8307933</v>
      </c>
      <c r="I34" t="s">
        <v>112</v>
      </c>
      <c r="J34" t="s">
        <v>104</v>
      </c>
      <c r="K34" t="str">
        <f t="shared" ref="K34:K65" si="3">CONCATENATE(J34, " ",I34)</f>
        <v>GREGORY TEIPEL</v>
      </c>
      <c r="L34" s="1">
        <v>45936</v>
      </c>
      <c r="M34" s="1">
        <v>45967</v>
      </c>
      <c r="N34" s="2">
        <v>121.41</v>
      </c>
      <c r="O34" s="3">
        <v>0.9</v>
      </c>
      <c r="P34" t="s">
        <v>60</v>
      </c>
      <c r="Q34" t="s">
        <v>61</v>
      </c>
      <c r="R34" s="2">
        <v>655.62</v>
      </c>
      <c r="S34" s="2">
        <v>109.27</v>
      </c>
      <c r="T34" t="s">
        <v>1257</v>
      </c>
    </row>
    <row r="35" spans="1:20" x14ac:dyDescent="0.25">
      <c r="A35">
        <v>2031247582</v>
      </c>
      <c r="B35" t="s">
        <v>164</v>
      </c>
      <c r="C35" t="s">
        <v>165</v>
      </c>
      <c r="D35" t="str">
        <f t="shared" si="2"/>
        <v>FRANK CARIOTI</v>
      </c>
      <c r="E35" t="s">
        <v>101</v>
      </c>
      <c r="F35" t="s">
        <v>89</v>
      </c>
      <c r="G35" t="s">
        <v>96</v>
      </c>
      <c r="H35">
        <v>8307933</v>
      </c>
      <c r="I35" t="s">
        <v>112</v>
      </c>
      <c r="J35" t="s">
        <v>104</v>
      </c>
      <c r="K35" t="str">
        <f t="shared" si="3"/>
        <v>GREGORY TEIPEL</v>
      </c>
      <c r="L35" s="1">
        <v>45936</v>
      </c>
      <c r="M35" s="1">
        <v>45967</v>
      </c>
      <c r="N35" s="2">
        <v>135.33000000000001</v>
      </c>
      <c r="O35" s="3">
        <v>0.9</v>
      </c>
      <c r="P35" t="s">
        <v>60</v>
      </c>
      <c r="Q35" t="s">
        <v>61</v>
      </c>
      <c r="R35" s="2">
        <v>730.8</v>
      </c>
      <c r="S35" s="2">
        <v>121.8</v>
      </c>
      <c r="T35" t="s">
        <v>1257</v>
      </c>
    </row>
    <row r="36" spans="1:20" x14ac:dyDescent="0.25">
      <c r="A36">
        <v>2031290289</v>
      </c>
      <c r="B36" t="s">
        <v>174</v>
      </c>
      <c r="C36" t="s">
        <v>175</v>
      </c>
      <c r="D36" t="str">
        <f t="shared" si="2"/>
        <v>RODGER MORRIS</v>
      </c>
      <c r="E36" t="s">
        <v>101</v>
      </c>
      <c r="F36" t="s">
        <v>89</v>
      </c>
      <c r="G36" t="s">
        <v>96</v>
      </c>
      <c r="H36">
        <v>8307933</v>
      </c>
      <c r="I36" t="s">
        <v>112</v>
      </c>
      <c r="J36" t="s">
        <v>104</v>
      </c>
      <c r="K36" t="str">
        <f t="shared" si="3"/>
        <v>GREGORY TEIPEL</v>
      </c>
      <c r="L36" s="1">
        <v>45936</v>
      </c>
      <c r="M36" s="1">
        <v>45967</v>
      </c>
      <c r="N36" s="2">
        <v>260.01</v>
      </c>
      <c r="O36" s="3">
        <v>0.9</v>
      </c>
      <c r="P36" t="s">
        <v>60</v>
      </c>
      <c r="Q36" t="s">
        <v>61</v>
      </c>
      <c r="R36" s="2">
        <v>1404.06</v>
      </c>
      <c r="S36" s="2">
        <v>234.01</v>
      </c>
      <c r="T36" t="s">
        <v>1257</v>
      </c>
    </row>
    <row r="37" spans="1:20" x14ac:dyDescent="0.25">
      <c r="A37">
        <v>2030609830</v>
      </c>
      <c r="B37" t="s">
        <v>93</v>
      </c>
      <c r="C37" t="s">
        <v>94</v>
      </c>
      <c r="D37" t="str">
        <f t="shared" si="2"/>
        <v>ERIC FUCHS</v>
      </c>
      <c r="E37" t="s">
        <v>95</v>
      </c>
      <c r="F37" t="s">
        <v>89</v>
      </c>
      <c r="G37" t="s">
        <v>96</v>
      </c>
      <c r="H37">
        <v>1706194</v>
      </c>
      <c r="I37" t="s">
        <v>97</v>
      </c>
      <c r="J37" t="s">
        <v>98</v>
      </c>
      <c r="K37" t="str">
        <f t="shared" si="3"/>
        <v>MATTHEW DAUGHERTY</v>
      </c>
      <c r="L37" s="1">
        <v>45931</v>
      </c>
      <c r="M37" s="1">
        <v>45962</v>
      </c>
      <c r="N37" s="2">
        <v>226.44</v>
      </c>
      <c r="O37" s="3">
        <v>0.9</v>
      </c>
      <c r="P37" t="s">
        <v>60</v>
      </c>
      <c r="Q37" t="s">
        <v>61</v>
      </c>
      <c r="R37" s="2">
        <v>1222.8</v>
      </c>
      <c r="S37" s="2">
        <v>203.8</v>
      </c>
      <c r="T37" t="s">
        <v>1257</v>
      </c>
    </row>
    <row r="38" spans="1:20" x14ac:dyDescent="0.25">
      <c r="A38">
        <v>2030903469</v>
      </c>
      <c r="B38" t="s">
        <v>125</v>
      </c>
      <c r="C38" t="s">
        <v>126</v>
      </c>
      <c r="D38" t="str">
        <f t="shared" si="2"/>
        <v>ALEXANDER ANDERSEN</v>
      </c>
      <c r="E38" t="s">
        <v>52</v>
      </c>
      <c r="F38" t="s">
        <v>89</v>
      </c>
      <c r="G38" t="s">
        <v>96</v>
      </c>
      <c r="H38">
        <v>1706194</v>
      </c>
      <c r="I38" t="s">
        <v>97</v>
      </c>
      <c r="J38" t="s">
        <v>98</v>
      </c>
      <c r="K38" t="str">
        <f t="shared" si="3"/>
        <v>MATTHEW DAUGHERTY</v>
      </c>
      <c r="L38" s="1">
        <v>45931</v>
      </c>
      <c r="M38" s="1">
        <v>45962</v>
      </c>
      <c r="N38" s="2">
        <v>110.38</v>
      </c>
      <c r="O38" s="3">
        <v>0.9</v>
      </c>
      <c r="P38" t="s">
        <v>60</v>
      </c>
      <c r="Q38" t="s">
        <v>61</v>
      </c>
      <c r="R38" s="2">
        <v>596.04</v>
      </c>
      <c r="S38" s="2">
        <v>99.34</v>
      </c>
      <c r="T38" t="s">
        <v>1257</v>
      </c>
    </row>
    <row r="39" spans="1:20" x14ac:dyDescent="0.25">
      <c r="A39">
        <v>2030912029</v>
      </c>
      <c r="B39" t="s">
        <v>127</v>
      </c>
      <c r="C39" t="s">
        <v>128</v>
      </c>
      <c r="D39" t="str">
        <f t="shared" si="2"/>
        <v>DOMINIQUE COLSTON</v>
      </c>
      <c r="E39" t="s">
        <v>129</v>
      </c>
      <c r="F39" t="s">
        <v>89</v>
      </c>
      <c r="G39" t="s">
        <v>96</v>
      </c>
      <c r="H39">
        <v>1706194</v>
      </c>
      <c r="I39" t="s">
        <v>97</v>
      </c>
      <c r="J39" t="s">
        <v>98</v>
      </c>
      <c r="K39" t="str">
        <f t="shared" si="3"/>
        <v>MATTHEW DAUGHERTY</v>
      </c>
      <c r="L39" s="1">
        <v>45931</v>
      </c>
      <c r="M39" s="1">
        <v>45962</v>
      </c>
      <c r="N39" s="2">
        <v>162.08000000000001</v>
      </c>
      <c r="O39" s="3">
        <v>0.9</v>
      </c>
      <c r="P39" t="s">
        <v>60</v>
      </c>
      <c r="Q39" t="s">
        <v>61</v>
      </c>
      <c r="R39" s="2">
        <v>875.22</v>
      </c>
      <c r="S39" s="2">
        <v>145.87</v>
      </c>
      <c r="T39" t="s">
        <v>1257</v>
      </c>
    </row>
    <row r="40" spans="1:20" x14ac:dyDescent="0.25">
      <c r="A40">
        <v>2030804311</v>
      </c>
      <c r="B40" t="s">
        <v>103</v>
      </c>
      <c r="C40" t="s">
        <v>104</v>
      </c>
      <c r="D40" t="str">
        <f t="shared" si="2"/>
        <v>GREGORY HARRIS</v>
      </c>
      <c r="E40" t="s">
        <v>105</v>
      </c>
      <c r="F40" t="s">
        <v>89</v>
      </c>
      <c r="G40" t="s">
        <v>96</v>
      </c>
      <c r="H40">
        <v>5442438</v>
      </c>
      <c r="I40" t="s">
        <v>106</v>
      </c>
      <c r="J40" t="s">
        <v>107</v>
      </c>
      <c r="K40" t="str">
        <f t="shared" si="3"/>
        <v>Ronald Max</v>
      </c>
      <c r="L40" s="1">
        <v>45931</v>
      </c>
      <c r="M40" s="1">
        <v>45962</v>
      </c>
      <c r="N40" s="2">
        <v>76.75</v>
      </c>
      <c r="O40" s="3">
        <v>0.9</v>
      </c>
      <c r="P40" t="s">
        <v>60</v>
      </c>
      <c r="Q40" t="s">
        <v>61</v>
      </c>
      <c r="R40" s="2">
        <v>414.48</v>
      </c>
      <c r="S40" s="2">
        <v>69.08</v>
      </c>
      <c r="T40" t="s">
        <v>1257</v>
      </c>
    </row>
    <row r="41" spans="1:20" x14ac:dyDescent="0.25">
      <c r="A41">
        <v>2031346769</v>
      </c>
      <c r="B41" t="s">
        <v>184</v>
      </c>
      <c r="C41" t="s">
        <v>185</v>
      </c>
      <c r="D41" t="str">
        <f t="shared" si="2"/>
        <v>KAITLIN CULBERTSON</v>
      </c>
      <c r="E41" t="s">
        <v>105</v>
      </c>
      <c r="F41" t="s">
        <v>89</v>
      </c>
      <c r="G41" t="s">
        <v>96</v>
      </c>
      <c r="H41">
        <v>5442438</v>
      </c>
      <c r="I41" t="s">
        <v>106</v>
      </c>
      <c r="J41" t="s">
        <v>107</v>
      </c>
      <c r="K41" t="str">
        <f t="shared" si="3"/>
        <v>Ronald Max</v>
      </c>
      <c r="L41" s="1">
        <v>45931</v>
      </c>
      <c r="M41" s="1">
        <v>45962</v>
      </c>
      <c r="N41" s="2">
        <v>28.88</v>
      </c>
      <c r="O41" s="3">
        <v>0.9</v>
      </c>
      <c r="P41" t="s">
        <v>60</v>
      </c>
      <c r="Q41" t="s">
        <v>61</v>
      </c>
      <c r="R41" s="2">
        <v>155.94</v>
      </c>
      <c r="S41" s="2">
        <v>25.99</v>
      </c>
      <c r="T41" t="s">
        <v>1257</v>
      </c>
    </row>
    <row r="42" spans="1:20" x14ac:dyDescent="0.25">
      <c r="A42">
        <v>2031398946</v>
      </c>
      <c r="B42" t="s">
        <v>192</v>
      </c>
      <c r="C42" t="s">
        <v>193</v>
      </c>
      <c r="D42" t="str">
        <f t="shared" si="2"/>
        <v>KEITH BEAUDET</v>
      </c>
      <c r="E42" t="s">
        <v>105</v>
      </c>
      <c r="F42" t="s">
        <v>89</v>
      </c>
      <c r="G42" t="s">
        <v>96</v>
      </c>
      <c r="H42">
        <v>5442438</v>
      </c>
      <c r="I42" t="s">
        <v>106</v>
      </c>
      <c r="J42" t="s">
        <v>107</v>
      </c>
      <c r="K42" t="str">
        <f t="shared" si="3"/>
        <v>Ronald Max</v>
      </c>
      <c r="L42" s="1">
        <v>45933</v>
      </c>
      <c r="M42" s="1">
        <v>45964</v>
      </c>
      <c r="N42" s="2">
        <v>342.12</v>
      </c>
      <c r="O42" s="3">
        <v>0.9</v>
      </c>
      <c r="P42" t="s">
        <v>60</v>
      </c>
      <c r="Q42" t="s">
        <v>61</v>
      </c>
      <c r="R42" s="2">
        <v>1847.46</v>
      </c>
      <c r="S42" s="2">
        <v>307.91000000000003</v>
      </c>
      <c r="T42" t="s">
        <v>1257</v>
      </c>
    </row>
    <row r="43" spans="1:20" x14ac:dyDescent="0.25">
      <c r="A43">
        <v>2031346770</v>
      </c>
      <c r="B43" t="s">
        <v>184</v>
      </c>
      <c r="C43" t="s">
        <v>185</v>
      </c>
      <c r="D43" t="str">
        <f t="shared" si="2"/>
        <v>KAITLIN CULBERTSON</v>
      </c>
      <c r="E43" t="s">
        <v>105</v>
      </c>
      <c r="F43" t="s">
        <v>292</v>
      </c>
      <c r="G43" t="s">
        <v>331</v>
      </c>
      <c r="H43">
        <v>5442438</v>
      </c>
      <c r="I43" t="s">
        <v>106</v>
      </c>
      <c r="J43" t="s">
        <v>107</v>
      </c>
      <c r="K43" t="str">
        <f t="shared" si="3"/>
        <v>Ronald Max</v>
      </c>
      <c r="L43" s="1">
        <v>45931</v>
      </c>
      <c r="M43" s="1">
        <v>45962</v>
      </c>
      <c r="N43" s="2">
        <v>27.8</v>
      </c>
      <c r="O43" s="3">
        <v>0.42</v>
      </c>
      <c r="P43" t="s">
        <v>60</v>
      </c>
      <c r="Q43" t="s">
        <v>61</v>
      </c>
      <c r="R43" s="2">
        <v>70.08</v>
      </c>
      <c r="S43" s="2">
        <v>11.68</v>
      </c>
      <c r="T43" t="s">
        <v>331</v>
      </c>
    </row>
    <row r="44" spans="1:20" x14ac:dyDescent="0.25">
      <c r="A44">
        <v>2031351791</v>
      </c>
      <c r="B44" t="s">
        <v>174</v>
      </c>
      <c r="C44" t="s">
        <v>227</v>
      </c>
      <c r="D44" t="str">
        <f t="shared" si="2"/>
        <v>JOSEPH MORRIS</v>
      </c>
      <c r="E44" t="s">
        <v>228</v>
      </c>
      <c r="F44" t="s">
        <v>209</v>
      </c>
      <c r="G44" t="s">
        <v>229</v>
      </c>
      <c r="H44">
        <v>1706194</v>
      </c>
      <c r="I44" t="s">
        <v>97</v>
      </c>
      <c r="J44" t="s">
        <v>98</v>
      </c>
      <c r="K44" t="str">
        <f t="shared" si="3"/>
        <v>MATTHEW DAUGHERTY</v>
      </c>
      <c r="L44" s="1">
        <v>45931</v>
      </c>
      <c r="M44" s="1">
        <v>45962</v>
      </c>
      <c r="N44" s="2">
        <v>15</v>
      </c>
      <c r="O44" s="3">
        <v>0.24</v>
      </c>
      <c r="P44" t="s">
        <v>60</v>
      </c>
      <c r="Q44" t="s">
        <v>61</v>
      </c>
      <c r="R44" s="2">
        <v>10.8</v>
      </c>
      <c r="S44" s="2">
        <v>38.6</v>
      </c>
      <c r="T44" t="s">
        <v>1270</v>
      </c>
    </row>
    <row r="45" spans="1:20" x14ac:dyDescent="0.25">
      <c r="A45">
        <v>2031462400</v>
      </c>
      <c r="B45" t="s">
        <v>239</v>
      </c>
      <c r="C45" t="s">
        <v>240</v>
      </c>
      <c r="D45" t="str">
        <f t="shared" si="2"/>
        <v>DOUGLAS QUINTANILLA</v>
      </c>
      <c r="E45" t="s">
        <v>101</v>
      </c>
      <c r="F45" t="s">
        <v>209</v>
      </c>
      <c r="G45" t="s">
        <v>222</v>
      </c>
      <c r="H45">
        <v>21646325</v>
      </c>
      <c r="I45" t="s">
        <v>241</v>
      </c>
      <c r="J45" t="s">
        <v>242</v>
      </c>
      <c r="K45" t="str">
        <f t="shared" si="3"/>
        <v>Antonia Nevarez</v>
      </c>
      <c r="L45" s="1">
        <v>45936</v>
      </c>
      <c r="M45" s="1">
        <v>45967</v>
      </c>
      <c r="N45" s="2">
        <v>15</v>
      </c>
      <c r="O45" s="3">
        <v>0.38</v>
      </c>
      <c r="P45" t="s">
        <v>60</v>
      </c>
      <c r="Q45" t="s">
        <v>61</v>
      </c>
      <c r="R45" s="2">
        <v>34.200000000000003</v>
      </c>
      <c r="S45" s="2">
        <v>5.7</v>
      </c>
      <c r="T45" t="s">
        <v>222</v>
      </c>
    </row>
    <row r="46" spans="1:20" x14ac:dyDescent="0.25">
      <c r="A46">
        <v>2031461152</v>
      </c>
      <c r="B46" t="s">
        <v>235</v>
      </c>
      <c r="C46" t="s">
        <v>236</v>
      </c>
      <c r="D46" t="str">
        <f t="shared" si="2"/>
        <v>BRENDA REED</v>
      </c>
      <c r="E46" t="s">
        <v>88</v>
      </c>
      <c r="F46" t="s">
        <v>209</v>
      </c>
      <c r="G46" t="s">
        <v>222</v>
      </c>
      <c r="H46">
        <v>17425766</v>
      </c>
      <c r="I46" t="s">
        <v>237</v>
      </c>
      <c r="J46" t="s">
        <v>238</v>
      </c>
      <c r="K46" t="str">
        <f t="shared" si="3"/>
        <v>CAROL FOLEY</v>
      </c>
      <c r="L46" s="1">
        <v>45962</v>
      </c>
      <c r="M46" s="1">
        <v>45992</v>
      </c>
      <c r="N46" s="2">
        <v>15</v>
      </c>
      <c r="O46" s="3">
        <v>0.38</v>
      </c>
      <c r="P46" t="s">
        <v>60</v>
      </c>
      <c r="Q46" t="s">
        <v>61</v>
      </c>
      <c r="R46" s="2">
        <v>34.200000000000003</v>
      </c>
      <c r="S46" s="2">
        <v>5.7</v>
      </c>
      <c r="T46" t="s">
        <v>222</v>
      </c>
    </row>
    <row r="47" spans="1:20" x14ac:dyDescent="0.25">
      <c r="A47">
        <v>2031317029</v>
      </c>
      <c r="B47" t="s">
        <v>223</v>
      </c>
      <c r="C47" t="s">
        <v>224</v>
      </c>
      <c r="D47" t="str">
        <f t="shared" si="2"/>
        <v>JAMES MIENE</v>
      </c>
      <c r="E47" t="s">
        <v>79</v>
      </c>
      <c r="F47" t="s">
        <v>209</v>
      </c>
      <c r="G47" t="s">
        <v>225</v>
      </c>
      <c r="H47">
        <v>8977234</v>
      </c>
      <c r="I47" t="s">
        <v>80</v>
      </c>
      <c r="J47" t="s">
        <v>81</v>
      </c>
      <c r="K47" t="str">
        <f t="shared" si="3"/>
        <v>RYAN CALTAGIRONE</v>
      </c>
      <c r="L47" s="1">
        <v>45931</v>
      </c>
      <c r="M47" s="1">
        <v>45962</v>
      </c>
      <c r="N47" s="2">
        <v>15</v>
      </c>
      <c r="O47" s="3">
        <v>0.28999999999999998</v>
      </c>
      <c r="P47" t="s">
        <v>60</v>
      </c>
      <c r="Q47" t="s">
        <v>61</v>
      </c>
      <c r="R47" s="2">
        <v>13.05</v>
      </c>
      <c r="S47" s="2">
        <v>4.3499999999999996</v>
      </c>
      <c r="T47" t="s">
        <v>346</v>
      </c>
    </row>
    <row r="48" spans="1:20" x14ac:dyDescent="0.25">
      <c r="A48">
        <v>2030820657</v>
      </c>
      <c r="B48" t="s">
        <v>349</v>
      </c>
      <c r="C48" t="s">
        <v>72</v>
      </c>
      <c r="D48" t="str">
        <f t="shared" si="2"/>
        <v>JOHN MCADOO</v>
      </c>
      <c r="E48" t="s">
        <v>70</v>
      </c>
      <c r="F48" t="s">
        <v>350</v>
      </c>
      <c r="G48" t="s">
        <v>351</v>
      </c>
      <c r="H48">
        <v>17528908</v>
      </c>
      <c r="I48" t="s">
        <v>352</v>
      </c>
      <c r="J48" t="s">
        <v>353</v>
      </c>
      <c r="K48" t="str">
        <f t="shared" si="3"/>
        <v>DEBORAH INSKIPT</v>
      </c>
      <c r="L48" s="1">
        <v>45931</v>
      </c>
      <c r="M48" s="1">
        <v>45962</v>
      </c>
      <c r="N48" s="2">
        <v>33.590000000000003</v>
      </c>
      <c r="O48" s="3">
        <v>0.47</v>
      </c>
      <c r="P48" t="s">
        <v>60</v>
      </c>
      <c r="Q48" t="s">
        <v>61</v>
      </c>
      <c r="R48" s="2">
        <v>94.74</v>
      </c>
      <c r="S48" s="2">
        <v>15.79</v>
      </c>
      <c r="T48" t="s">
        <v>351</v>
      </c>
    </row>
    <row r="49" spans="1:20" x14ac:dyDescent="0.25">
      <c r="A49">
        <v>2030983565</v>
      </c>
      <c r="B49" t="s">
        <v>354</v>
      </c>
      <c r="C49" t="s">
        <v>355</v>
      </c>
      <c r="D49" t="str">
        <f t="shared" si="2"/>
        <v>PEGGY MATHENY</v>
      </c>
      <c r="E49" t="s">
        <v>247</v>
      </c>
      <c r="F49" t="s">
        <v>350</v>
      </c>
      <c r="G49" t="s">
        <v>351</v>
      </c>
      <c r="H49">
        <v>18142208</v>
      </c>
      <c r="I49" t="s">
        <v>315</v>
      </c>
      <c r="J49" t="s">
        <v>316</v>
      </c>
      <c r="K49" t="str">
        <f t="shared" si="3"/>
        <v>Jill Shepard</v>
      </c>
      <c r="L49" s="1">
        <v>45931</v>
      </c>
      <c r="M49" s="1">
        <v>45962</v>
      </c>
      <c r="N49" s="2">
        <v>65.680000000000007</v>
      </c>
      <c r="O49" s="3">
        <v>0.47</v>
      </c>
      <c r="P49" t="s">
        <v>60</v>
      </c>
      <c r="Q49" t="s">
        <v>61</v>
      </c>
      <c r="R49" s="2">
        <v>185.22</v>
      </c>
      <c r="S49" s="2">
        <v>30.87</v>
      </c>
      <c r="T49" t="s">
        <v>351</v>
      </c>
    </row>
    <row r="50" spans="1:20" x14ac:dyDescent="0.25">
      <c r="A50">
        <v>2031462399</v>
      </c>
      <c r="B50" t="s">
        <v>239</v>
      </c>
      <c r="C50" t="s">
        <v>240</v>
      </c>
      <c r="D50" t="str">
        <f t="shared" si="2"/>
        <v>DOUGLAS QUINTANILLA</v>
      </c>
      <c r="E50" t="s">
        <v>101</v>
      </c>
      <c r="F50" t="s">
        <v>287</v>
      </c>
      <c r="G50" t="s">
        <v>288</v>
      </c>
      <c r="H50">
        <v>21646325</v>
      </c>
      <c r="I50" t="s">
        <v>241</v>
      </c>
      <c r="J50" t="s">
        <v>242</v>
      </c>
      <c r="K50" t="str">
        <f t="shared" si="3"/>
        <v>Antonia Nevarez</v>
      </c>
      <c r="L50" s="1">
        <v>45936</v>
      </c>
      <c r="M50" s="1">
        <v>45967</v>
      </c>
      <c r="N50" s="2">
        <v>10.75</v>
      </c>
      <c r="O50" s="3">
        <v>0.38</v>
      </c>
      <c r="P50" t="s">
        <v>60</v>
      </c>
      <c r="Q50" t="s">
        <v>61</v>
      </c>
      <c r="R50" s="2">
        <v>24.48</v>
      </c>
      <c r="S50" s="2">
        <v>4.08</v>
      </c>
      <c r="T50" t="s">
        <v>288</v>
      </c>
    </row>
    <row r="51" spans="1:20" x14ac:dyDescent="0.25">
      <c r="A51">
        <v>2031461151</v>
      </c>
      <c r="B51" t="s">
        <v>235</v>
      </c>
      <c r="C51" t="s">
        <v>236</v>
      </c>
      <c r="D51" t="str">
        <f t="shared" si="2"/>
        <v>BRENDA REED</v>
      </c>
      <c r="E51" t="s">
        <v>88</v>
      </c>
      <c r="F51" t="s">
        <v>287</v>
      </c>
      <c r="G51" t="s">
        <v>288</v>
      </c>
      <c r="H51">
        <v>17425766</v>
      </c>
      <c r="I51" t="s">
        <v>237</v>
      </c>
      <c r="J51" t="s">
        <v>238</v>
      </c>
      <c r="K51" t="str">
        <f t="shared" si="3"/>
        <v>CAROL FOLEY</v>
      </c>
      <c r="L51" s="1">
        <v>45962</v>
      </c>
      <c r="M51" s="1">
        <v>45992</v>
      </c>
      <c r="N51" s="2">
        <v>46.78</v>
      </c>
      <c r="O51" s="3">
        <v>0.38</v>
      </c>
      <c r="P51" t="s">
        <v>60</v>
      </c>
      <c r="Q51" t="s">
        <v>61</v>
      </c>
      <c r="R51" s="2">
        <v>106.68</v>
      </c>
      <c r="S51" s="2">
        <v>17.78</v>
      </c>
      <c r="T51" t="s">
        <v>288</v>
      </c>
    </row>
    <row r="52" spans="1:20" x14ac:dyDescent="0.25">
      <c r="A52">
        <v>2031333609</v>
      </c>
      <c r="B52" t="s">
        <v>68</v>
      </c>
      <c r="C52" t="s">
        <v>69</v>
      </c>
      <c r="D52" t="str">
        <f t="shared" si="2"/>
        <v>GERARD BALL</v>
      </c>
      <c r="E52" t="s">
        <v>70</v>
      </c>
      <c r="F52" t="s">
        <v>287</v>
      </c>
      <c r="G52" t="s">
        <v>288</v>
      </c>
      <c r="H52">
        <v>18781057</v>
      </c>
      <c r="I52" t="s">
        <v>71</v>
      </c>
      <c r="J52" t="s">
        <v>72</v>
      </c>
      <c r="K52" t="str">
        <f t="shared" si="3"/>
        <v>JOHN ROKEN</v>
      </c>
      <c r="L52" s="1">
        <v>45931</v>
      </c>
      <c r="M52" s="1">
        <v>45962</v>
      </c>
      <c r="N52" s="2">
        <v>55.16</v>
      </c>
      <c r="O52" s="3">
        <v>0.38</v>
      </c>
      <c r="P52" t="s">
        <v>60</v>
      </c>
      <c r="Q52" t="s">
        <v>61</v>
      </c>
      <c r="R52" s="2">
        <v>125.76</v>
      </c>
      <c r="S52" s="2">
        <v>20.96</v>
      </c>
      <c r="T52" t="s">
        <v>288</v>
      </c>
    </row>
    <row r="53" spans="1:20" x14ac:dyDescent="0.25">
      <c r="A53">
        <v>2031362148</v>
      </c>
      <c r="B53" t="s">
        <v>82</v>
      </c>
      <c r="C53" t="s">
        <v>83</v>
      </c>
      <c r="D53" t="str">
        <f t="shared" si="2"/>
        <v>JANYNE ACKERMAN</v>
      </c>
      <c r="E53" t="s">
        <v>70</v>
      </c>
      <c r="F53" t="s">
        <v>287</v>
      </c>
      <c r="G53" t="s">
        <v>288</v>
      </c>
      <c r="H53">
        <v>15950276</v>
      </c>
      <c r="I53" t="s">
        <v>84</v>
      </c>
      <c r="J53" t="s">
        <v>85</v>
      </c>
      <c r="K53" t="str">
        <f t="shared" si="3"/>
        <v>Ryan Stocker</v>
      </c>
      <c r="L53" s="1">
        <v>45931</v>
      </c>
      <c r="M53" s="1">
        <v>45962</v>
      </c>
      <c r="N53" s="2">
        <v>46.13</v>
      </c>
      <c r="O53" s="3">
        <v>0.38</v>
      </c>
      <c r="P53" t="s">
        <v>60</v>
      </c>
      <c r="Q53" t="s">
        <v>61</v>
      </c>
      <c r="R53" s="2">
        <v>105.18</v>
      </c>
      <c r="S53" s="2">
        <v>17.53</v>
      </c>
      <c r="T53" t="s">
        <v>288</v>
      </c>
    </row>
    <row r="54" spans="1:20" x14ac:dyDescent="0.25">
      <c r="A54">
        <v>2031317028</v>
      </c>
      <c r="B54" t="s">
        <v>223</v>
      </c>
      <c r="C54" t="s">
        <v>224</v>
      </c>
      <c r="D54" t="str">
        <f t="shared" si="2"/>
        <v>JAMES MIENE</v>
      </c>
      <c r="E54" t="s">
        <v>79</v>
      </c>
      <c r="F54" t="s">
        <v>344</v>
      </c>
      <c r="G54" t="s">
        <v>346</v>
      </c>
      <c r="H54">
        <v>8977234</v>
      </c>
      <c r="I54" t="s">
        <v>80</v>
      </c>
      <c r="J54" t="s">
        <v>81</v>
      </c>
      <c r="K54" t="str">
        <f t="shared" si="3"/>
        <v>RYAN CALTAGIRONE</v>
      </c>
      <c r="L54" s="1">
        <v>45931</v>
      </c>
      <c r="M54" s="1">
        <v>45962</v>
      </c>
      <c r="N54" s="2">
        <v>643.99</v>
      </c>
      <c r="O54" s="3">
        <v>0.28999999999999998</v>
      </c>
      <c r="P54" t="s">
        <v>60</v>
      </c>
      <c r="Q54" t="s">
        <v>61</v>
      </c>
      <c r="R54" s="2">
        <v>560.28</v>
      </c>
      <c r="S54" s="2">
        <v>186.76</v>
      </c>
      <c r="T54" t="s">
        <v>346</v>
      </c>
    </row>
    <row r="55" spans="1:20" x14ac:dyDescent="0.25">
      <c r="A55">
        <v>2031334122</v>
      </c>
      <c r="B55" t="s">
        <v>327</v>
      </c>
      <c r="C55" t="s">
        <v>161</v>
      </c>
      <c r="D55" t="str">
        <f t="shared" si="2"/>
        <v>NANCY ZVOLENSKY</v>
      </c>
      <c r="E55" t="s">
        <v>328</v>
      </c>
      <c r="F55" t="s">
        <v>344</v>
      </c>
      <c r="G55" t="s">
        <v>347</v>
      </c>
      <c r="H55">
        <v>8977234</v>
      </c>
      <c r="I55" t="s">
        <v>80</v>
      </c>
      <c r="J55" t="s">
        <v>81</v>
      </c>
      <c r="K55" t="str">
        <f t="shared" si="3"/>
        <v>RYAN CALTAGIRONE</v>
      </c>
      <c r="L55" s="1">
        <v>45931</v>
      </c>
      <c r="M55" s="1">
        <v>45962</v>
      </c>
      <c r="N55" s="2">
        <v>299.02999999999997</v>
      </c>
      <c r="O55" s="3">
        <v>0.24</v>
      </c>
      <c r="P55" t="s">
        <v>60</v>
      </c>
      <c r="Q55" t="s">
        <v>61</v>
      </c>
      <c r="R55" s="2">
        <v>215.31</v>
      </c>
      <c r="S55" s="2">
        <v>71.77</v>
      </c>
      <c r="T55" t="s">
        <v>1270</v>
      </c>
    </row>
    <row r="56" spans="1:20" x14ac:dyDescent="0.25">
      <c r="A56">
        <v>2031351790</v>
      </c>
      <c r="B56" t="s">
        <v>174</v>
      </c>
      <c r="C56" t="s">
        <v>227</v>
      </c>
      <c r="D56" t="str">
        <f t="shared" si="2"/>
        <v>JOSEPH MORRIS</v>
      </c>
      <c r="E56" t="s">
        <v>228</v>
      </c>
      <c r="F56" t="s">
        <v>344</v>
      </c>
      <c r="G56" t="s">
        <v>348</v>
      </c>
      <c r="H56">
        <v>1706194</v>
      </c>
      <c r="I56" t="s">
        <v>97</v>
      </c>
      <c r="J56" t="s">
        <v>98</v>
      </c>
      <c r="K56" t="str">
        <f t="shared" si="3"/>
        <v>MATTHEW DAUGHERTY</v>
      </c>
      <c r="L56" s="1">
        <v>45931</v>
      </c>
      <c r="M56" s="1">
        <v>45962</v>
      </c>
      <c r="N56" s="2">
        <v>316.19</v>
      </c>
      <c r="O56" s="3">
        <v>0.24</v>
      </c>
      <c r="P56" t="s">
        <v>60</v>
      </c>
      <c r="Q56" t="s">
        <v>61</v>
      </c>
      <c r="R56" s="2">
        <v>227.67</v>
      </c>
      <c r="S56" s="2">
        <v>75.89</v>
      </c>
      <c r="T56" t="s">
        <v>1270</v>
      </c>
    </row>
    <row r="57" spans="1:20" x14ac:dyDescent="0.25">
      <c r="A57">
        <v>2031179746</v>
      </c>
      <c r="B57" t="s">
        <v>153</v>
      </c>
      <c r="C57" t="s">
        <v>154</v>
      </c>
      <c r="D57" t="str">
        <f t="shared" si="2"/>
        <v>ALLEN JOAS</v>
      </c>
      <c r="E57" t="s">
        <v>155</v>
      </c>
      <c r="F57" t="s">
        <v>292</v>
      </c>
      <c r="G57" t="s">
        <v>293</v>
      </c>
      <c r="H57" t="s">
        <v>1276</v>
      </c>
      <c r="I57" t="s">
        <v>66</v>
      </c>
      <c r="J57" t="s">
        <v>156</v>
      </c>
      <c r="K57" t="str">
        <f t="shared" si="3"/>
        <v>Chad Yale</v>
      </c>
      <c r="L57" s="1">
        <v>45931</v>
      </c>
      <c r="M57" s="1">
        <v>45962</v>
      </c>
      <c r="N57" s="2">
        <v>47.24</v>
      </c>
      <c r="O57" s="3">
        <v>0.7</v>
      </c>
      <c r="P57" t="s">
        <v>60</v>
      </c>
      <c r="Q57" t="s">
        <v>61</v>
      </c>
      <c r="R57" s="2">
        <v>198.42</v>
      </c>
      <c r="S57" s="2">
        <v>33.07</v>
      </c>
      <c r="T57" t="s">
        <v>293</v>
      </c>
    </row>
    <row r="58" spans="1:20" x14ac:dyDescent="0.25">
      <c r="A58">
        <v>2031210728</v>
      </c>
      <c r="B58" t="s">
        <v>321</v>
      </c>
      <c r="C58" t="s">
        <v>322</v>
      </c>
      <c r="D58" t="str">
        <f t="shared" si="2"/>
        <v>AARON THOLE</v>
      </c>
      <c r="E58" t="s">
        <v>323</v>
      </c>
      <c r="F58" t="s">
        <v>292</v>
      </c>
      <c r="G58" t="s">
        <v>293</v>
      </c>
      <c r="H58" t="s">
        <v>1276</v>
      </c>
      <c r="I58" t="s">
        <v>66</v>
      </c>
      <c r="J58" t="s">
        <v>156</v>
      </c>
      <c r="K58" t="str">
        <f t="shared" si="3"/>
        <v>Chad Yale</v>
      </c>
      <c r="L58" s="1">
        <v>45931</v>
      </c>
      <c r="M58" s="1">
        <v>45962</v>
      </c>
      <c r="N58" s="2">
        <v>17.32</v>
      </c>
      <c r="O58" s="3">
        <v>0.7</v>
      </c>
      <c r="P58" t="s">
        <v>60</v>
      </c>
      <c r="Q58" t="s">
        <v>61</v>
      </c>
      <c r="R58" s="2">
        <v>72.72</v>
      </c>
      <c r="S58" s="2">
        <v>12.12</v>
      </c>
      <c r="T58" t="s">
        <v>293</v>
      </c>
    </row>
    <row r="59" spans="1:20" x14ac:dyDescent="0.25">
      <c r="A59">
        <v>2031343659</v>
      </c>
      <c r="B59" t="s">
        <v>267</v>
      </c>
      <c r="C59" t="s">
        <v>268</v>
      </c>
      <c r="D59" t="str">
        <f t="shared" si="2"/>
        <v>GERALD METUIWE</v>
      </c>
      <c r="E59" t="s">
        <v>52</v>
      </c>
      <c r="F59" t="s">
        <v>292</v>
      </c>
      <c r="G59" t="s">
        <v>293</v>
      </c>
      <c r="H59">
        <v>21435997</v>
      </c>
      <c r="I59" t="s">
        <v>269</v>
      </c>
      <c r="J59" t="s">
        <v>270</v>
      </c>
      <c r="K59" t="str">
        <f t="shared" si="3"/>
        <v>Christopher Brousseau</v>
      </c>
      <c r="L59" s="1">
        <v>45931</v>
      </c>
      <c r="M59" s="1">
        <v>45962</v>
      </c>
      <c r="N59" s="2">
        <v>13</v>
      </c>
      <c r="O59" s="3">
        <v>0.7</v>
      </c>
      <c r="P59" t="s">
        <v>60</v>
      </c>
      <c r="Q59" t="s">
        <v>61</v>
      </c>
      <c r="R59" s="2">
        <v>54.6</v>
      </c>
      <c r="S59" s="2">
        <v>9.1</v>
      </c>
      <c r="T59" t="s">
        <v>293</v>
      </c>
    </row>
    <row r="60" spans="1:20" x14ac:dyDescent="0.25">
      <c r="A60">
        <v>2031251423</v>
      </c>
      <c r="B60" t="s">
        <v>257</v>
      </c>
      <c r="C60" t="s">
        <v>137</v>
      </c>
      <c r="D60" t="str">
        <f t="shared" si="2"/>
        <v>JUSTIN ARTHUR</v>
      </c>
      <c r="E60" t="s">
        <v>52</v>
      </c>
      <c r="F60" t="s">
        <v>292</v>
      </c>
      <c r="G60" t="s">
        <v>293</v>
      </c>
      <c r="H60">
        <v>17437820</v>
      </c>
      <c r="I60" t="s">
        <v>258</v>
      </c>
      <c r="J60" t="s">
        <v>259</v>
      </c>
      <c r="K60" t="str">
        <f t="shared" si="3"/>
        <v>COLLEEN FINNIGAN</v>
      </c>
      <c r="L60" s="1">
        <v>45931</v>
      </c>
      <c r="M60" s="1">
        <v>45962</v>
      </c>
      <c r="N60" s="2">
        <v>18.100000000000001</v>
      </c>
      <c r="O60" s="3">
        <v>0.7</v>
      </c>
      <c r="P60" t="s">
        <v>60</v>
      </c>
      <c r="Q60" t="s">
        <v>61</v>
      </c>
      <c r="R60" s="2">
        <v>76.02</v>
      </c>
      <c r="S60" s="2">
        <v>12.67</v>
      </c>
      <c r="T60" t="s">
        <v>293</v>
      </c>
    </row>
    <row r="61" spans="1:20" x14ac:dyDescent="0.25">
      <c r="A61">
        <v>2030806601</v>
      </c>
      <c r="B61" t="s">
        <v>108</v>
      </c>
      <c r="C61" t="s">
        <v>109</v>
      </c>
      <c r="D61" t="str">
        <f t="shared" si="2"/>
        <v>HEATHER MARTIN</v>
      </c>
      <c r="E61" t="s">
        <v>110</v>
      </c>
      <c r="F61" t="s">
        <v>292</v>
      </c>
      <c r="G61" t="s">
        <v>293</v>
      </c>
      <c r="H61">
        <v>8307933</v>
      </c>
      <c r="I61" t="s">
        <v>112</v>
      </c>
      <c r="J61" t="s">
        <v>104</v>
      </c>
      <c r="K61" t="str">
        <f t="shared" si="3"/>
        <v>GREGORY TEIPEL</v>
      </c>
      <c r="L61" s="1">
        <v>45936</v>
      </c>
      <c r="M61" s="1">
        <v>45967</v>
      </c>
      <c r="N61" s="2">
        <v>49.46</v>
      </c>
      <c r="O61" s="3">
        <v>0.7</v>
      </c>
      <c r="P61" t="s">
        <v>60</v>
      </c>
      <c r="Q61" t="s">
        <v>61</v>
      </c>
      <c r="R61" s="2">
        <v>207.72</v>
      </c>
      <c r="S61" s="2">
        <v>34.619999999999997</v>
      </c>
      <c r="T61" t="s">
        <v>293</v>
      </c>
    </row>
    <row r="62" spans="1:20" x14ac:dyDescent="0.25">
      <c r="A62">
        <v>2030816918</v>
      </c>
      <c r="B62" t="s">
        <v>117</v>
      </c>
      <c r="C62" t="s">
        <v>118</v>
      </c>
      <c r="D62" t="str">
        <f t="shared" si="2"/>
        <v>GRACE NISWANGER</v>
      </c>
      <c r="E62" t="s">
        <v>119</v>
      </c>
      <c r="F62" t="s">
        <v>292</v>
      </c>
      <c r="G62" t="s">
        <v>293</v>
      </c>
      <c r="H62">
        <v>8307933</v>
      </c>
      <c r="I62" t="s">
        <v>112</v>
      </c>
      <c r="J62" t="s">
        <v>104</v>
      </c>
      <c r="K62" t="str">
        <f t="shared" si="3"/>
        <v>GREGORY TEIPEL</v>
      </c>
      <c r="L62" s="1">
        <v>45936</v>
      </c>
      <c r="M62" s="1">
        <v>45967</v>
      </c>
      <c r="N62" s="2">
        <v>34</v>
      </c>
      <c r="O62" s="3">
        <v>0.7</v>
      </c>
      <c r="P62" t="s">
        <v>60</v>
      </c>
      <c r="Q62" t="s">
        <v>61</v>
      </c>
      <c r="R62" s="2">
        <v>142.80000000000001</v>
      </c>
      <c r="S62" s="2">
        <v>23.8</v>
      </c>
      <c r="T62" t="s">
        <v>293</v>
      </c>
    </row>
    <row r="63" spans="1:20" x14ac:dyDescent="0.25">
      <c r="A63">
        <v>2030820712</v>
      </c>
      <c r="B63" t="s">
        <v>120</v>
      </c>
      <c r="C63" t="s">
        <v>121</v>
      </c>
      <c r="D63" t="str">
        <f t="shared" si="2"/>
        <v>KYLER GABBARD</v>
      </c>
      <c r="E63" t="s">
        <v>122</v>
      </c>
      <c r="F63" t="s">
        <v>292</v>
      </c>
      <c r="G63" t="s">
        <v>293</v>
      </c>
      <c r="H63">
        <v>8307933</v>
      </c>
      <c r="I63" t="s">
        <v>112</v>
      </c>
      <c r="J63" t="s">
        <v>104</v>
      </c>
      <c r="K63" t="str">
        <f t="shared" si="3"/>
        <v>GREGORY TEIPEL</v>
      </c>
      <c r="L63" s="1">
        <v>45936</v>
      </c>
      <c r="M63" s="1">
        <v>45967</v>
      </c>
      <c r="N63" s="2">
        <v>31.28</v>
      </c>
      <c r="O63" s="3">
        <v>0.7</v>
      </c>
      <c r="P63" t="s">
        <v>60</v>
      </c>
      <c r="Q63" t="s">
        <v>61</v>
      </c>
      <c r="R63" s="2">
        <v>131.4</v>
      </c>
      <c r="S63" s="2">
        <v>21.9</v>
      </c>
      <c r="T63" t="s">
        <v>293</v>
      </c>
    </row>
    <row r="64" spans="1:20" x14ac:dyDescent="0.25">
      <c r="A64">
        <v>2030977481</v>
      </c>
      <c r="B64" t="s">
        <v>308</v>
      </c>
      <c r="C64" t="s">
        <v>309</v>
      </c>
      <c r="D64" t="str">
        <f t="shared" si="2"/>
        <v>RICARDO ORTIZ</v>
      </c>
      <c r="E64" t="s">
        <v>310</v>
      </c>
      <c r="F64" t="s">
        <v>292</v>
      </c>
      <c r="G64" t="s">
        <v>293</v>
      </c>
      <c r="H64">
        <v>8307933</v>
      </c>
      <c r="I64" t="s">
        <v>112</v>
      </c>
      <c r="J64" t="s">
        <v>104</v>
      </c>
      <c r="K64" t="str">
        <f t="shared" si="3"/>
        <v>GREGORY TEIPEL</v>
      </c>
      <c r="L64" s="1">
        <v>45936</v>
      </c>
      <c r="M64" s="1">
        <v>45967</v>
      </c>
      <c r="N64" s="2">
        <v>228.99</v>
      </c>
      <c r="O64" s="3">
        <v>0.7</v>
      </c>
      <c r="P64" t="s">
        <v>60</v>
      </c>
      <c r="Q64" t="s">
        <v>61</v>
      </c>
      <c r="R64" s="2">
        <v>961.74</v>
      </c>
      <c r="S64" s="2">
        <v>160.29</v>
      </c>
      <c r="T64" t="s">
        <v>293</v>
      </c>
    </row>
    <row r="65" spans="1:20" x14ac:dyDescent="0.25">
      <c r="A65">
        <v>2031014065</v>
      </c>
      <c r="B65" t="s">
        <v>142</v>
      </c>
      <c r="C65" t="s">
        <v>143</v>
      </c>
      <c r="D65" t="str">
        <f t="shared" si="2"/>
        <v>ANNE BOYLE</v>
      </c>
      <c r="E65" t="s">
        <v>110</v>
      </c>
      <c r="F65" t="s">
        <v>292</v>
      </c>
      <c r="G65" t="s">
        <v>293</v>
      </c>
      <c r="H65">
        <v>8307933</v>
      </c>
      <c r="I65" t="s">
        <v>112</v>
      </c>
      <c r="J65" t="s">
        <v>104</v>
      </c>
      <c r="K65" t="str">
        <f t="shared" si="3"/>
        <v>GREGORY TEIPEL</v>
      </c>
      <c r="L65" s="1">
        <v>45936</v>
      </c>
      <c r="M65" s="1">
        <v>45967</v>
      </c>
      <c r="N65" s="2">
        <v>29.6</v>
      </c>
      <c r="O65" s="3">
        <v>0.7</v>
      </c>
      <c r="P65" t="s">
        <v>60</v>
      </c>
      <c r="Q65" t="s">
        <v>61</v>
      </c>
      <c r="R65" s="2">
        <v>124.32</v>
      </c>
      <c r="S65" s="2">
        <v>20.72</v>
      </c>
      <c r="T65" t="s">
        <v>293</v>
      </c>
    </row>
    <row r="66" spans="1:20" x14ac:dyDescent="0.25">
      <c r="A66">
        <v>2031247581</v>
      </c>
      <c r="B66" t="s">
        <v>164</v>
      </c>
      <c r="C66" t="s">
        <v>165</v>
      </c>
      <c r="D66" t="str">
        <f t="shared" ref="D66:D97" si="4">CONCATENATE(C66, " ",B66)</f>
        <v>FRANK CARIOTI</v>
      </c>
      <c r="E66" t="s">
        <v>101</v>
      </c>
      <c r="F66" t="s">
        <v>292</v>
      </c>
      <c r="G66" t="s">
        <v>293</v>
      </c>
      <c r="H66">
        <v>8307933</v>
      </c>
      <c r="I66" t="s">
        <v>112</v>
      </c>
      <c r="J66" t="s">
        <v>104</v>
      </c>
      <c r="K66" t="str">
        <f t="shared" ref="K66:K97" si="5">CONCATENATE(J66, " ",I66)</f>
        <v>GREGORY TEIPEL</v>
      </c>
      <c r="L66" s="1">
        <v>45936</v>
      </c>
      <c r="M66" s="1">
        <v>45967</v>
      </c>
      <c r="N66" s="2">
        <v>105.02</v>
      </c>
      <c r="O66" s="3">
        <v>0.7</v>
      </c>
      <c r="P66" t="s">
        <v>60</v>
      </c>
      <c r="Q66" t="s">
        <v>61</v>
      </c>
      <c r="R66" s="2">
        <v>441.06</v>
      </c>
      <c r="S66" s="2">
        <v>73.510000000000005</v>
      </c>
      <c r="T66" t="s">
        <v>293</v>
      </c>
    </row>
    <row r="67" spans="1:20" x14ac:dyDescent="0.25">
      <c r="A67">
        <v>2031320895</v>
      </c>
      <c r="B67" t="s">
        <v>178</v>
      </c>
      <c r="C67" t="s">
        <v>179</v>
      </c>
      <c r="D67" t="str">
        <f t="shared" si="4"/>
        <v>MICHELLE SONTERRE</v>
      </c>
      <c r="E67" t="s">
        <v>119</v>
      </c>
      <c r="F67" t="s">
        <v>292</v>
      </c>
      <c r="G67" t="s">
        <v>293</v>
      </c>
      <c r="H67">
        <v>8307933</v>
      </c>
      <c r="I67" t="s">
        <v>112</v>
      </c>
      <c r="J67" t="s">
        <v>104</v>
      </c>
      <c r="K67" t="str">
        <f t="shared" si="5"/>
        <v>GREGORY TEIPEL</v>
      </c>
      <c r="L67" s="1">
        <v>45936</v>
      </c>
      <c r="M67" s="1">
        <v>45967</v>
      </c>
      <c r="N67" s="2">
        <v>11.5</v>
      </c>
      <c r="O67" s="3">
        <v>0.7</v>
      </c>
      <c r="P67" t="s">
        <v>60</v>
      </c>
      <c r="Q67" t="s">
        <v>61</v>
      </c>
      <c r="R67" s="2">
        <v>48.3</v>
      </c>
      <c r="S67" s="2">
        <v>8.0500000000000007</v>
      </c>
      <c r="T67" t="s">
        <v>293</v>
      </c>
    </row>
    <row r="68" spans="1:20" x14ac:dyDescent="0.25">
      <c r="A68">
        <v>2031361019</v>
      </c>
      <c r="B68" t="s">
        <v>332</v>
      </c>
      <c r="C68" t="s">
        <v>333</v>
      </c>
      <c r="D68" t="str">
        <f t="shared" si="4"/>
        <v>CODY GOKAN</v>
      </c>
      <c r="E68" t="s">
        <v>101</v>
      </c>
      <c r="F68" t="s">
        <v>292</v>
      </c>
      <c r="G68" t="s">
        <v>293</v>
      </c>
      <c r="H68">
        <v>8307933</v>
      </c>
      <c r="I68" t="s">
        <v>112</v>
      </c>
      <c r="J68" t="s">
        <v>104</v>
      </c>
      <c r="K68" t="str">
        <f t="shared" si="5"/>
        <v>GREGORY TEIPEL</v>
      </c>
      <c r="L68" s="1">
        <v>45937</v>
      </c>
      <c r="M68" s="1">
        <v>45968</v>
      </c>
      <c r="N68" s="2">
        <v>45.68</v>
      </c>
      <c r="O68" s="3">
        <v>0.7</v>
      </c>
      <c r="P68" t="s">
        <v>60</v>
      </c>
      <c r="Q68" t="s">
        <v>61</v>
      </c>
      <c r="R68" s="2">
        <v>191.88</v>
      </c>
      <c r="S68" s="2">
        <v>31.98</v>
      </c>
      <c r="T68" t="s">
        <v>293</v>
      </c>
    </row>
    <row r="69" spans="1:20" x14ac:dyDescent="0.25">
      <c r="A69">
        <v>2031399068</v>
      </c>
      <c r="B69" t="s">
        <v>148</v>
      </c>
      <c r="C69" t="s">
        <v>194</v>
      </c>
      <c r="D69" t="str">
        <f t="shared" si="4"/>
        <v>KAREN SMITH</v>
      </c>
      <c r="E69" t="s">
        <v>129</v>
      </c>
      <c r="F69" t="s">
        <v>292</v>
      </c>
      <c r="G69" t="s">
        <v>293</v>
      </c>
      <c r="H69">
        <v>8307933</v>
      </c>
      <c r="I69" t="s">
        <v>112</v>
      </c>
      <c r="J69" t="s">
        <v>104</v>
      </c>
      <c r="K69" t="str">
        <f t="shared" si="5"/>
        <v>GREGORY TEIPEL</v>
      </c>
      <c r="L69" s="1">
        <v>45935</v>
      </c>
      <c r="M69" s="1">
        <v>45966</v>
      </c>
      <c r="N69" s="2">
        <v>116</v>
      </c>
      <c r="O69" s="3">
        <v>0.7</v>
      </c>
      <c r="P69" t="s">
        <v>60</v>
      </c>
      <c r="Q69" t="s">
        <v>61</v>
      </c>
      <c r="R69" s="2">
        <v>487.2</v>
      </c>
      <c r="S69" s="2">
        <v>81.2</v>
      </c>
      <c r="T69" t="s">
        <v>293</v>
      </c>
    </row>
    <row r="70" spans="1:20" x14ac:dyDescent="0.25">
      <c r="A70">
        <v>2030453212</v>
      </c>
      <c r="B70" t="s">
        <v>86</v>
      </c>
      <c r="C70" t="s">
        <v>87</v>
      </c>
      <c r="D70" t="str">
        <f t="shared" si="4"/>
        <v>BELLA CEFOLA</v>
      </c>
      <c r="E70" t="s">
        <v>88</v>
      </c>
      <c r="F70" t="s">
        <v>292</v>
      </c>
      <c r="G70" t="s">
        <v>293</v>
      </c>
      <c r="H70">
        <v>18754354</v>
      </c>
      <c r="I70" t="s">
        <v>91</v>
      </c>
      <c r="J70" t="s">
        <v>92</v>
      </c>
      <c r="K70" t="str">
        <f t="shared" si="5"/>
        <v>JACOB YALE</v>
      </c>
      <c r="L70" s="1">
        <v>45931</v>
      </c>
      <c r="M70" s="1">
        <v>45962</v>
      </c>
      <c r="N70" s="2">
        <v>18.350000000000001</v>
      </c>
      <c r="O70" s="3">
        <v>0.7</v>
      </c>
      <c r="P70" t="s">
        <v>60</v>
      </c>
      <c r="Q70" t="s">
        <v>61</v>
      </c>
      <c r="R70" s="2">
        <v>77.040000000000006</v>
      </c>
      <c r="S70" s="2">
        <v>12.84</v>
      </c>
      <c r="T70" t="s">
        <v>293</v>
      </c>
    </row>
    <row r="71" spans="1:20" x14ac:dyDescent="0.25">
      <c r="A71">
        <v>2030957593</v>
      </c>
      <c r="B71" t="s">
        <v>306</v>
      </c>
      <c r="C71" t="s">
        <v>307</v>
      </c>
      <c r="D71" t="str">
        <f t="shared" si="4"/>
        <v>OLIVIA LUDWIG</v>
      </c>
      <c r="E71" t="s">
        <v>101</v>
      </c>
      <c r="F71" t="s">
        <v>292</v>
      </c>
      <c r="G71" t="s">
        <v>293</v>
      </c>
      <c r="H71">
        <v>18754354</v>
      </c>
      <c r="I71" t="s">
        <v>91</v>
      </c>
      <c r="J71" t="s">
        <v>92</v>
      </c>
      <c r="K71" t="str">
        <f t="shared" si="5"/>
        <v>JACOB YALE</v>
      </c>
      <c r="L71" s="1">
        <v>45931</v>
      </c>
      <c r="M71" s="1">
        <v>45962</v>
      </c>
      <c r="N71" s="2">
        <v>39.35</v>
      </c>
      <c r="O71" s="3">
        <v>0.7</v>
      </c>
      <c r="P71" t="s">
        <v>60</v>
      </c>
      <c r="Q71" t="s">
        <v>61</v>
      </c>
      <c r="R71" s="2">
        <v>165.24</v>
      </c>
      <c r="S71" s="2">
        <v>27.54</v>
      </c>
      <c r="T71" t="s">
        <v>293</v>
      </c>
    </row>
    <row r="72" spans="1:20" x14ac:dyDescent="0.25">
      <c r="A72">
        <v>2031271771</v>
      </c>
      <c r="B72" t="s">
        <v>260</v>
      </c>
      <c r="C72" t="s">
        <v>261</v>
      </c>
      <c r="D72" t="str">
        <f t="shared" si="4"/>
        <v>ANGELICA WALKER</v>
      </c>
      <c r="E72" t="s">
        <v>262</v>
      </c>
      <c r="F72" t="s">
        <v>292</v>
      </c>
      <c r="G72" t="s">
        <v>293</v>
      </c>
      <c r="H72">
        <v>18754354</v>
      </c>
      <c r="I72" t="s">
        <v>91</v>
      </c>
      <c r="J72" t="s">
        <v>92</v>
      </c>
      <c r="K72" t="str">
        <f t="shared" si="5"/>
        <v>JACOB YALE</v>
      </c>
      <c r="L72" s="1">
        <v>45931</v>
      </c>
      <c r="M72" s="1">
        <v>45962</v>
      </c>
      <c r="N72" s="2">
        <v>26.32</v>
      </c>
      <c r="O72" s="3">
        <v>0.7</v>
      </c>
      <c r="P72" t="s">
        <v>60</v>
      </c>
      <c r="Q72" t="s">
        <v>61</v>
      </c>
      <c r="R72" s="2">
        <v>110.52</v>
      </c>
      <c r="S72" s="2">
        <v>18.420000000000002</v>
      </c>
      <c r="T72" t="s">
        <v>293</v>
      </c>
    </row>
    <row r="73" spans="1:20" x14ac:dyDescent="0.25">
      <c r="A73">
        <v>2031365634</v>
      </c>
      <c r="B73" t="s">
        <v>188</v>
      </c>
      <c r="C73" t="s">
        <v>189</v>
      </c>
      <c r="D73" t="str">
        <f t="shared" si="4"/>
        <v>REX LEE</v>
      </c>
      <c r="E73" t="s">
        <v>101</v>
      </c>
      <c r="F73" t="s">
        <v>292</v>
      </c>
      <c r="G73" t="s">
        <v>293</v>
      </c>
      <c r="H73">
        <v>18754354</v>
      </c>
      <c r="I73" t="s">
        <v>91</v>
      </c>
      <c r="J73" t="s">
        <v>92</v>
      </c>
      <c r="K73" t="str">
        <f t="shared" si="5"/>
        <v>JACOB YALE</v>
      </c>
      <c r="L73" s="1">
        <v>45962</v>
      </c>
      <c r="M73" s="1">
        <v>45992</v>
      </c>
      <c r="N73" s="2">
        <v>29.49</v>
      </c>
      <c r="O73" s="3">
        <v>0.7</v>
      </c>
      <c r="P73" t="s">
        <v>60</v>
      </c>
      <c r="Q73" t="s">
        <v>61</v>
      </c>
      <c r="R73" s="2">
        <v>123.84</v>
      </c>
      <c r="S73" s="2">
        <v>20.64</v>
      </c>
      <c r="T73" t="s">
        <v>293</v>
      </c>
    </row>
    <row r="74" spans="1:20" x14ac:dyDescent="0.25">
      <c r="A74">
        <v>2031031361</v>
      </c>
      <c r="B74" t="s">
        <v>313</v>
      </c>
      <c r="C74" t="s">
        <v>314</v>
      </c>
      <c r="D74" t="str">
        <f t="shared" si="4"/>
        <v>CORY LANGENBECK</v>
      </c>
      <c r="E74" t="s">
        <v>247</v>
      </c>
      <c r="F74" t="s">
        <v>292</v>
      </c>
      <c r="G74" t="s">
        <v>293</v>
      </c>
      <c r="H74">
        <v>18142208</v>
      </c>
      <c r="I74" t="s">
        <v>315</v>
      </c>
      <c r="J74" t="s">
        <v>316</v>
      </c>
      <c r="K74" t="str">
        <f t="shared" si="5"/>
        <v>Jill Shepard</v>
      </c>
      <c r="L74" s="1">
        <v>45931</v>
      </c>
      <c r="M74" s="1">
        <v>45962</v>
      </c>
      <c r="N74" s="2">
        <v>270.72000000000003</v>
      </c>
      <c r="O74" s="3">
        <v>0.7</v>
      </c>
      <c r="P74" t="s">
        <v>60</v>
      </c>
      <c r="Q74" t="s">
        <v>61</v>
      </c>
      <c r="R74" s="2">
        <v>1137</v>
      </c>
      <c r="S74" s="2">
        <v>189.5</v>
      </c>
      <c r="T74" t="s">
        <v>293</v>
      </c>
    </row>
    <row r="75" spans="1:20" x14ac:dyDescent="0.25">
      <c r="A75">
        <v>2030903470</v>
      </c>
      <c r="B75" t="s">
        <v>125</v>
      </c>
      <c r="C75" t="s">
        <v>126</v>
      </c>
      <c r="D75" t="str">
        <f t="shared" si="4"/>
        <v>ALEXANDER ANDERSEN</v>
      </c>
      <c r="E75" t="s">
        <v>52</v>
      </c>
      <c r="F75" t="s">
        <v>292</v>
      </c>
      <c r="G75" t="s">
        <v>293</v>
      </c>
      <c r="H75">
        <v>1706194</v>
      </c>
      <c r="I75" t="s">
        <v>97</v>
      </c>
      <c r="J75" t="s">
        <v>98</v>
      </c>
      <c r="K75" t="str">
        <f t="shared" si="5"/>
        <v>MATTHEW DAUGHERTY</v>
      </c>
      <c r="L75" s="1">
        <v>45931</v>
      </c>
      <c r="M75" s="1">
        <v>45962</v>
      </c>
      <c r="N75" s="2">
        <v>28.38</v>
      </c>
      <c r="O75" s="3">
        <v>0.7</v>
      </c>
      <c r="P75" t="s">
        <v>60</v>
      </c>
      <c r="Q75" t="s">
        <v>61</v>
      </c>
      <c r="R75" s="2">
        <v>119.22</v>
      </c>
      <c r="S75" s="2">
        <v>19.87</v>
      </c>
      <c r="T75" t="s">
        <v>293</v>
      </c>
    </row>
    <row r="76" spans="1:20" x14ac:dyDescent="0.25">
      <c r="A76">
        <v>2030990682</v>
      </c>
      <c r="B76" t="s">
        <v>136</v>
      </c>
      <c r="C76" t="s">
        <v>137</v>
      </c>
      <c r="D76" t="str">
        <f t="shared" si="4"/>
        <v>JUSTIN REDMON</v>
      </c>
      <c r="E76" t="s">
        <v>52</v>
      </c>
      <c r="F76" t="s">
        <v>292</v>
      </c>
      <c r="G76" t="s">
        <v>293</v>
      </c>
      <c r="H76">
        <v>1706194</v>
      </c>
      <c r="I76" t="s">
        <v>97</v>
      </c>
      <c r="J76" t="s">
        <v>98</v>
      </c>
      <c r="K76" t="str">
        <f t="shared" si="5"/>
        <v>MATTHEW DAUGHERTY</v>
      </c>
      <c r="L76" s="1">
        <v>45931</v>
      </c>
      <c r="M76" s="1">
        <v>45962</v>
      </c>
      <c r="N76" s="2">
        <v>134.71</v>
      </c>
      <c r="O76" s="3">
        <v>0.7</v>
      </c>
      <c r="P76" t="s">
        <v>60</v>
      </c>
      <c r="Q76" t="s">
        <v>61</v>
      </c>
      <c r="R76" s="2">
        <v>565.79999999999995</v>
      </c>
      <c r="S76" s="2">
        <v>94.3</v>
      </c>
      <c r="T76" t="s">
        <v>293</v>
      </c>
    </row>
    <row r="77" spans="1:20" x14ac:dyDescent="0.25">
      <c r="A77">
        <v>2031263015</v>
      </c>
      <c r="B77" t="s">
        <v>166</v>
      </c>
      <c r="C77" t="s">
        <v>167</v>
      </c>
      <c r="D77" t="str">
        <f t="shared" si="4"/>
        <v>ALISON BUCKNER</v>
      </c>
      <c r="E77" t="s">
        <v>129</v>
      </c>
      <c r="F77" t="s">
        <v>292</v>
      </c>
      <c r="G77" t="s">
        <v>293</v>
      </c>
      <c r="H77">
        <v>1706194</v>
      </c>
      <c r="I77" t="s">
        <v>97</v>
      </c>
      <c r="J77" t="s">
        <v>98</v>
      </c>
      <c r="K77" t="str">
        <f t="shared" si="5"/>
        <v>MATTHEW DAUGHERTY</v>
      </c>
      <c r="L77" s="1">
        <v>45931</v>
      </c>
      <c r="M77" s="1">
        <v>45962</v>
      </c>
      <c r="N77" s="2">
        <v>76.59</v>
      </c>
      <c r="O77" s="3">
        <v>0.7</v>
      </c>
      <c r="P77" t="s">
        <v>60</v>
      </c>
      <c r="Q77" t="s">
        <v>61</v>
      </c>
      <c r="R77" s="2">
        <v>321.66000000000003</v>
      </c>
      <c r="S77" s="2">
        <v>53.61</v>
      </c>
      <c r="T77" t="s">
        <v>293</v>
      </c>
    </row>
    <row r="78" spans="1:20" x14ac:dyDescent="0.25">
      <c r="A78">
        <v>2031366726</v>
      </c>
      <c r="B78" t="s">
        <v>190</v>
      </c>
      <c r="C78" t="s">
        <v>191</v>
      </c>
      <c r="D78" t="str">
        <f t="shared" si="4"/>
        <v>ROGER MAUCHER</v>
      </c>
      <c r="E78" t="s">
        <v>122</v>
      </c>
      <c r="F78" t="s">
        <v>292</v>
      </c>
      <c r="G78" t="s">
        <v>293</v>
      </c>
      <c r="H78">
        <v>1706194</v>
      </c>
      <c r="I78" t="s">
        <v>97</v>
      </c>
      <c r="J78" t="s">
        <v>98</v>
      </c>
      <c r="K78" t="str">
        <f t="shared" si="5"/>
        <v>MATTHEW DAUGHERTY</v>
      </c>
      <c r="L78" s="1">
        <v>45931</v>
      </c>
      <c r="M78" s="1">
        <v>45962</v>
      </c>
      <c r="N78" s="2">
        <v>29.1</v>
      </c>
      <c r="O78" s="3">
        <v>0.7</v>
      </c>
      <c r="P78" t="s">
        <v>60</v>
      </c>
      <c r="Q78" t="s">
        <v>61</v>
      </c>
      <c r="R78" s="2">
        <v>122.22</v>
      </c>
      <c r="S78" s="2">
        <v>20.37</v>
      </c>
      <c r="T78" t="s">
        <v>293</v>
      </c>
    </row>
    <row r="79" spans="1:20" x14ac:dyDescent="0.25">
      <c r="A79">
        <v>2030984375</v>
      </c>
      <c r="B79" t="s">
        <v>250</v>
      </c>
      <c r="C79" t="s">
        <v>251</v>
      </c>
      <c r="D79" t="str">
        <f t="shared" si="4"/>
        <v>VALERIE BRITT</v>
      </c>
      <c r="E79" t="s">
        <v>88</v>
      </c>
      <c r="F79" t="s">
        <v>292</v>
      </c>
      <c r="G79" t="s">
        <v>293</v>
      </c>
      <c r="H79">
        <v>8977234</v>
      </c>
      <c r="I79" t="s">
        <v>80</v>
      </c>
      <c r="J79" t="s">
        <v>81</v>
      </c>
      <c r="K79" t="str">
        <f t="shared" si="5"/>
        <v>RYAN CALTAGIRONE</v>
      </c>
      <c r="L79" s="1">
        <v>45931</v>
      </c>
      <c r="M79" s="1">
        <v>45962</v>
      </c>
      <c r="N79" s="2">
        <v>59.57</v>
      </c>
      <c r="O79" s="3">
        <v>0.7</v>
      </c>
      <c r="P79" t="s">
        <v>60</v>
      </c>
      <c r="Q79" t="s">
        <v>61</v>
      </c>
      <c r="R79" s="2">
        <v>250.2</v>
      </c>
      <c r="S79" s="2">
        <v>41.7</v>
      </c>
      <c r="T79" t="s">
        <v>293</v>
      </c>
    </row>
    <row r="80" spans="1:20" x14ac:dyDescent="0.25">
      <c r="A80">
        <v>2031328270</v>
      </c>
      <c r="B80" t="s">
        <v>180</v>
      </c>
      <c r="C80" t="s">
        <v>181</v>
      </c>
      <c r="D80" t="str">
        <f t="shared" si="4"/>
        <v>MELISSA KELLER</v>
      </c>
      <c r="E80" t="s">
        <v>182</v>
      </c>
      <c r="F80" t="s">
        <v>292</v>
      </c>
      <c r="G80" t="s">
        <v>293</v>
      </c>
      <c r="H80">
        <v>8977234</v>
      </c>
      <c r="I80" t="s">
        <v>80</v>
      </c>
      <c r="J80" t="s">
        <v>81</v>
      </c>
      <c r="K80" t="str">
        <f t="shared" si="5"/>
        <v>RYAN CALTAGIRONE</v>
      </c>
      <c r="L80" s="1">
        <v>45931</v>
      </c>
      <c r="M80" s="1">
        <v>45962</v>
      </c>
      <c r="N80" s="2">
        <v>62.6</v>
      </c>
      <c r="O80" s="3">
        <v>0.7</v>
      </c>
      <c r="P80" t="s">
        <v>60</v>
      </c>
      <c r="Q80" t="s">
        <v>61</v>
      </c>
      <c r="R80" s="2">
        <v>262.92</v>
      </c>
      <c r="S80" s="2">
        <v>43.82</v>
      </c>
      <c r="T80" t="s">
        <v>293</v>
      </c>
    </row>
    <row r="81" spans="1:20" x14ac:dyDescent="0.25">
      <c r="A81">
        <v>2031334121</v>
      </c>
      <c r="B81" t="s">
        <v>327</v>
      </c>
      <c r="C81" t="s">
        <v>161</v>
      </c>
      <c r="D81" t="str">
        <f t="shared" si="4"/>
        <v>NANCY ZVOLENSKY</v>
      </c>
      <c r="E81" t="s">
        <v>328</v>
      </c>
      <c r="F81" t="s">
        <v>292</v>
      </c>
      <c r="G81" t="s">
        <v>293</v>
      </c>
      <c r="H81">
        <v>8977234</v>
      </c>
      <c r="I81" t="s">
        <v>80</v>
      </c>
      <c r="J81" t="s">
        <v>81</v>
      </c>
      <c r="K81" t="str">
        <f t="shared" si="5"/>
        <v>RYAN CALTAGIRONE</v>
      </c>
      <c r="L81" s="1">
        <v>45931</v>
      </c>
      <c r="M81" s="1">
        <v>45962</v>
      </c>
      <c r="N81" s="2">
        <v>69.3</v>
      </c>
      <c r="O81" s="3">
        <v>0.7</v>
      </c>
      <c r="P81" t="s">
        <v>60</v>
      </c>
      <c r="Q81" t="s">
        <v>61</v>
      </c>
      <c r="R81" s="2">
        <v>291.06</v>
      </c>
      <c r="S81" s="2">
        <v>48.51</v>
      </c>
      <c r="T81" t="s">
        <v>293</v>
      </c>
    </row>
    <row r="82" spans="1:20" x14ac:dyDescent="0.25">
      <c r="A82">
        <v>2031358600</v>
      </c>
      <c r="B82" t="s">
        <v>77</v>
      </c>
      <c r="C82" t="s">
        <v>78</v>
      </c>
      <c r="D82" t="str">
        <f t="shared" si="4"/>
        <v>HANNAH HIGGINS</v>
      </c>
      <c r="E82" t="s">
        <v>79</v>
      </c>
      <c r="F82" t="s">
        <v>292</v>
      </c>
      <c r="G82" t="s">
        <v>293</v>
      </c>
      <c r="H82">
        <v>8977234</v>
      </c>
      <c r="I82" t="s">
        <v>80</v>
      </c>
      <c r="J82" t="s">
        <v>81</v>
      </c>
      <c r="K82" t="str">
        <f t="shared" si="5"/>
        <v>RYAN CALTAGIRONE</v>
      </c>
      <c r="L82" s="1">
        <v>45931</v>
      </c>
      <c r="M82" s="1">
        <v>45962</v>
      </c>
      <c r="N82" s="2">
        <v>72.06</v>
      </c>
      <c r="O82" s="3">
        <v>0.7</v>
      </c>
      <c r="P82" t="s">
        <v>60</v>
      </c>
      <c r="Q82" t="s">
        <v>61</v>
      </c>
      <c r="R82" s="2">
        <v>302.64</v>
      </c>
      <c r="S82" s="2">
        <v>50.44</v>
      </c>
      <c r="T82" t="s">
        <v>293</v>
      </c>
    </row>
    <row r="83" spans="1:20" x14ac:dyDescent="0.25">
      <c r="A83">
        <v>2031361916</v>
      </c>
      <c r="B83" t="s">
        <v>186</v>
      </c>
      <c r="C83" t="s">
        <v>187</v>
      </c>
      <c r="D83" t="str">
        <f t="shared" si="4"/>
        <v>BONNIE PIRTZ</v>
      </c>
      <c r="E83" t="s">
        <v>79</v>
      </c>
      <c r="F83" t="s">
        <v>292</v>
      </c>
      <c r="G83" t="s">
        <v>293</v>
      </c>
      <c r="H83">
        <v>8977234</v>
      </c>
      <c r="I83" t="s">
        <v>80</v>
      </c>
      <c r="J83" t="s">
        <v>81</v>
      </c>
      <c r="K83" t="str">
        <f t="shared" si="5"/>
        <v>RYAN CALTAGIRONE</v>
      </c>
      <c r="L83" s="1">
        <v>45931</v>
      </c>
      <c r="M83" s="1">
        <v>45962</v>
      </c>
      <c r="N83" s="2">
        <v>53.13</v>
      </c>
      <c r="O83" s="3">
        <v>0.7</v>
      </c>
      <c r="P83" t="s">
        <v>60</v>
      </c>
      <c r="Q83" t="s">
        <v>61</v>
      </c>
      <c r="R83" s="2">
        <v>223.14</v>
      </c>
      <c r="S83" s="2">
        <v>37.19</v>
      </c>
      <c r="T83" t="s">
        <v>293</v>
      </c>
    </row>
    <row r="84" spans="1:20" x14ac:dyDescent="0.25">
      <c r="A84">
        <v>2031383867</v>
      </c>
      <c r="B84" t="s">
        <v>285</v>
      </c>
      <c r="C84" t="s">
        <v>286</v>
      </c>
      <c r="D84" t="str">
        <f t="shared" si="4"/>
        <v>ADRIENNE WILKE</v>
      </c>
      <c r="E84" t="s">
        <v>52</v>
      </c>
      <c r="F84" t="s">
        <v>292</v>
      </c>
      <c r="G84" t="s">
        <v>293</v>
      </c>
      <c r="H84">
        <v>8977234</v>
      </c>
      <c r="I84" t="s">
        <v>80</v>
      </c>
      <c r="J84" t="s">
        <v>81</v>
      </c>
      <c r="K84" t="str">
        <f t="shared" si="5"/>
        <v>RYAN CALTAGIRONE</v>
      </c>
      <c r="L84" s="1">
        <v>45932</v>
      </c>
      <c r="M84" s="1">
        <v>45963</v>
      </c>
      <c r="N84" s="2">
        <v>18.100000000000001</v>
      </c>
      <c r="O84" s="3">
        <v>0.7</v>
      </c>
      <c r="P84" t="s">
        <v>60</v>
      </c>
      <c r="Q84" t="s">
        <v>61</v>
      </c>
      <c r="R84" s="2">
        <v>76.02</v>
      </c>
      <c r="S84" s="2">
        <v>12.67</v>
      </c>
      <c r="T84" t="s">
        <v>293</v>
      </c>
    </row>
    <row r="85" spans="1:20" x14ac:dyDescent="0.25">
      <c r="A85">
        <v>2031412052</v>
      </c>
      <c r="B85" t="s">
        <v>206</v>
      </c>
      <c r="C85" t="s">
        <v>207</v>
      </c>
      <c r="D85" t="str">
        <f t="shared" si="4"/>
        <v>RICHARD HINTON</v>
      </c>
      <c r="E85" t="s">
        <v>88</v>
      </c>
      <c r="F85" t="s">
        <v>292</v>
      </c>
      <c r="G85" t="s">
        <v>293</v>
      </c>
      <c r="H85">
        <v>8977234</v>
      </c>
      <c r="I85" t="s">
        <v>80</v>
      </c>
      <c r="J85" t="s">
        <v>81</v>
      </c>
      <c r="K85" t="str">
        <f t="shared" si="5"/>
        <v>RYAN CALTAGIRONE</v>
      </c>
      <c r="L85" s="1">
        <v>45935</v>
      </c>
      <c r="M85" s="1">
        <v>45966</v>
      </c>
      <c r="N85" s="2">
        <v>57.27</v>
      </c>
      <c r="O85" s="3">
        <v>0.7</v>
      </c>
      <c r="P85" t="s">
        <v>60</v>
      </c>
      <c r="Q85" t="s">
        <v>61</v>
      </c>
      <c r="R85" s="2">
        <v>240.54</v>
      </c>
      <c r="S85" s="2">
        <v>40.090000000000003</v>
      </c>
      <c r="T85" t="s">
        <v>293</v>
      </c>
    </row>
    <row r="86" spans="1:20" x14ac:dyDescent="0.25">
      <c r="A86">
        <v>2031354345</v>
      </c>
      <c r="B86" t="s">
        <v>73</v>
      </c>
      <c r="C86" t="s">
        <v>74</v>
      </c>
      <c r="D86" t="str">
        <f t="shared" si="4"/>
        <v>DYLAN FRITZINGER</v>
      </c>
      <c r="E86" t="s">
        <v>70</v>
      </c>
      <c r="F86" t="s">
        <v>243</v>
      </c>
      <c r="G86" t="s">
        <v>244</v>
      </c>
      <c r="H86">
        <v>19278370</v>
      </c>
      <c r="I86" t="s">
        <v>75</v>
      </c>
      <c r="J86" t="s">
        <v>76</v>
      </c>
      <c r="K86" t="str">
        <f t="shared" si="5"/>
        <v>ANNE MARIE KOZACHECK</v>
      </c>
      <c r="L86" s="1">
        <v>45931</v>
      </c>
      <c r="M86" s="1">
        <v>45962</v>
      </c>
      <c r="N86" s="2">
        <v>44.98</v>
      </c>
      <c r="O86" s="4">
        <v>0.375</v>
      </c>
      <c r="P86" t="s">
        <v>60</v>
      </c>
      <c r="Q86" t="s">
        <v>61</v>
      </c>
      <c r="R86" s="2">
        <v>101.22</v>
      </c>
      <c r="S86" s="2">
        <v>16.87</v>
      </c>
      <c r="T86" t="s">
        <v>244</v>
      </c>
    </row>
    <row r="87" spans="1:20" x14ac:dyDescent="0.25">
      <c r="A87">
        <v>2031462398</v>
      </c>
      <c r="B87" t="s">
        <v>239</v>
      </c>
      <c r="C87" t="s">
        <v>240</v>
      </c>
      <c r="D87" t="str">
        <f t="shared" si="4"/>
        <v>DOUGLAS QUINTANILLA</v>
      </c>
      <c r="E87" t="s">
        <v>101</v>
      </c>
      <c r="F87" t="s">
        <v>243</v>
      </c>
      <c r="G87" t="s">
        <v>244</v>
      </c>
      <c r="H87">
        <v>21646325</v>
      </c>
      <c r="I87" t="s">
        <v>241</v>
      </c>
      <c r="J87" t="s">
        <v>242</v>
      </c>
      <c r="K87" t="str">
        <f t="shared" si="5"/>
        <v>Antonia Nevarez</v>
      </c>
      <c r="L87" s="1">
        <v>45936</v>
      </c>
      <c r="M87" s="1">
        <v>45967</v>
      </c>
      <c r="N87" s="2">
        <v>77.48</v>
      </c>
      <c r="O87" s="4">
        <v>0.375</v>
      </c>
      <c r="P87" t="s">
        <v>60</v>
      </c>
      <c r="Q87" t="s">
        <v>61</v>
      </c>
      <c r="R87" s="2">
        <v>174.36</v>
      </c>
      <c r="S87" s="2">
        <v>29.06</v>
      </c>
      <c r="T87" t="s">
        <v>244</v>
      </c>
    </row>
    <row r="88" spans="1:20" x14ac:dyDescent="0.25">
      <c r="A88">
        <v>2031343658</v>
      </c>
      <c r="B88" t="s">
        <v>267</v>
      </c>
      <c r="C88" t="s">
        <v>268</v>
      </c>
      <c r="D88" t="str">
        <f t="shared" si="4"/>
        <v>GERALD METUIWE</v>
      </c>
      <c r="E88" t="s">
        <v>52</v>
      </c>
      <c r="F88" t="s">
        <v>243</v>
      </c>
      <c r="G88" t="s">
        <v>244</v>
      </c>
      <c r="H88">
        <v>21435997</v>
      </c>
      <c r="I88" t="s">
        <v>269</v>
      </c>
      <c r="J88" t="s">
        <v>270</v>
      </c>
      <c r="K88" t="str">
        <f t="shared" si="5"/>
        <v>Christopher Brousseau</v>
      </c>
      <c r="L88" s="1">
        <v>45931</v>
      </c>
      <c r="M88" s="1">
        <v>45962</v>
      </c>
      <c r="N88" s="2">
        <v>69.3</v>
      </c>
      <c r="O88" s="4">
        <v>0.375</v>
      </c>
      <c r="P88" t="s">
        <v>60</v>
      </c>
      <c r="Q88" t="s">
        <v>61</v>
      </c>
      <c r="R88" s="2">
        <v>155.94</v>
      </c>
      <c r="S88" s="2">
        <v>25.99</v>
      </c>
      <c r="T88" t="s">
        <v>244</v>
      </c>
    </row>
    <row r="89" spans="1:20" x14ac:dyDescent="0.25">
      <c r="A89">
        <v>2031251422</v>
      </c>
      <c r="B89" t="s">
        <v>257</v>
      </c>
      <c r="C89" t="s">
        <v>137</v>
      </c>
      <c r="D89" t="str">
        <f t="shared" si="4"/>
        <v>JUSTIN ARTHUR</v>
      </c>
      <c r="E89" t="s">
        <v>52</v>
      </c>
      <c r="F89" t="s">
        <v>243</v>
      </c>
      <c r="G89" t="s">
        <v>244</v>
      </c>
      <c r="H89">
        <v>17437820</v>
      </c>
      <c r="I89" t="s">
        <v>258</v>
      </c>
      <c r="J89" t="s">
        <v>259</v>
      </c>
      <c r="K89" t="str">
        <f t="shared" si="5"/>
        <v>COLLEEN FINNIGAN</v>
      </c>
      <c r="L89" s="1">
        <v>45931</v>
      </c>
      <c r="M89" s="1">
        <v>45962</v>
      </c>
      <c r="N89" s="2">
        <v>93.91</v>
      </c>
      <c r="O89" s="4">
        <v>0.375</v>
      </c>
      <c r="P89" t="s">
        <v>60</v>
      </c>
      <c r="Q89" t="s">
        <v>61</v>
      </c>
      <c r="R89" s="2">
        <v>211.32</v>
      </c>
      <c r="S89" s="2">
        <v>35.22</v>
      </c>
      <c r="T89" t="s">
        <v>244</v>
      </c>
    </row>
    <row r="90" spans="1:20" x14ac:dyDescent="0.25">
      <c r="A90">
        <v>2031014067</v>
      </c>
      <c r="B90" t="s">
        <v>142</v>
      </c>
      <c r="C90" t="s">
        <v>143</v>
      </c>
      <c r="D90" t="str">
        <f t="shared" si="4"/>
        <v>ANNE BOYLE</v>
      </c>
      <c r="E90" t="s">
        <v>110</v>
      </c>
      <c r="F90" t="s">
        <v>243</v>
      </c>
      <c r="G90" t="s">
        <v>244</v>
      </c>
      <c r="H90">
        <v>8307933</v>
      </c>
      <c r="I90" t="s">
        <v>112</v>
      </c>
      <c r="J90" t="s">
        <v>104</v>
      </c>
      <c r="K90" t="str">
        <f t="shared" si="5"/>
        <v>GREGORY TEIPEL</v>
      </c>
      <c r="L90" s="1">
        <v>45936</v>
      </c>
      <c r="M90" s="1">
        <v>45967</v>
      </c>
      <c r="N90" s="2">
        <v>99.05</v>
      </c>
      <c r="O90" s="4">
        <v>0.375</v>
      </c>
      <c r="P90" t="s">
        <v>60</v>
      </c>
      <c r="Q90" t="s">
        <v>61</v>
      </c>
      <c r="R90" s="2">
        <v>222.84</v>
      </c>
      <c r="S90" s="2">
        <v>37.14</v>
      </c>
      <c r="T90" t="s">
        <v>244</v>
      </c>
    </row>
    <row r="91" spans="1:20" x14ac:dyDescent="0.25">
      <c r="A91">
        <v>2031246839</v>
      </c>
      <c r="B91" t="s">
        <v>162</v>
      </c>
      <c r="C91" t="s">
        <v>163</v>
      </c>
      <c r="D91" t="str">
        <f t="shared" si="4"/>
        <v>SUZANNE HACKLEMAN</v>
      </c>
      <c r="E91" t="s">
        <v>159</v>
      </c>
      <c r="F91" t="s">
        <v>243</v>
      </c>
      <c r="G91" t="s">
        <v>244</v>
      </c>
      <c r="H91">
        <v>8307933</v>
      </c>
      <c r="I91" t="s">
        <v>112</v>
      </c>
      <c r="J91" t="s">
        <v>104</v>
      </c>
      <c r="K91" t="str">
        <f t="shared" si="5"/>
        <v>GREGORY TEIPEL</v>
      </c>
      <c r="L91" s="1">
        <v>45936</v>
      </c>
      <c r="M91" s="1">
        <v>45967</v>
      </c>
      <c r="N91" s="2">
        <v>84.44</v>
      </c>
      <c r="O91" s="4">
        <v>0.375</v>
      </c>
      <c r="P91" t="s">
        <v>60</v>
      </c>
      <c r="Q91" t="s">
        <v>61</v>
      </c>
      <c r="R91" s="2">
        <v>189.96</v>
      </c>
      <c r="S91" s="2">
        <v>31.66</v>
      </c>
      <c r="T91" t="s">
        <v>244</v>
      </c>
    </row>
    <row r="92" spans="1:20" x14ac:dyDescent="0.25">
      <c r="A92">
        <v>2031247583</v>
      </c>
      <c r="B92" t="s">
        <v>164</v>
      </c>
      <c r="C92" t="s">
        <v>165</v>
      </c>
      <c r="D92" t="str">
        <f t="shared" si="4"/>
        <v>FRANK CARIOTI</v>
      </c>
      <c r="E92" t="s">
        <v>101</v>
      </c>
      <c r="F92" t="s">
        <v>243</v>
      </c>
      <c r="G92" t="s">
        <v>244</v>
      </c>
      <c r="H92">
        <v>8307933</v>
      </c>
      <c r="I92" t="s">
        <v>112</v>
      </c>
      <c r="J92" t="s">
        <v>104</v>
      </c>
      <c r="K92" t="str">
        <f t="shared" si="5"/>
        <v>GREGORY TEIPEL</v>
      </c>
      <c r="L92" s="1">
        <v>45936</v>
      </c>
      <c r="M92" s="1">
        <v>45967</v>
      </c>
      <c r="N92" s="2">
        <v>149.87</v>
      </c>
      <c r="O92" s="4">
        <v>0.375</v>
      </c>
      <c r="P92" t="s">
        <v>60</v>
      </c>
      <c r="Q92" t="s">
        <v>61</v>
      </c>
      <c r="R92" s="2">
        <v>337.2</v>
      </c>
      <c r="S92" s="2">
        <v>56.2</v>
      </c>
      <c r="T92" t="s">
        <v>244</v>
      </c>
    </row>
    <row r="93" spans="1:20" x14ac:dyDescent="0.25">
      <c r="A93">
        <v>2030453211</v>
      </c>
      <c r="B93" t="s">
        <v>86</v>
      </c>
      <c r="C93" t="s">
        <v>87</v>
      </c>
      <c r="D93" t="str">
        <f t="shared" si="4"/>
        <v>BELLA CEFOLA</v>
      </c>
      <c r="E93" t="s">
        <v>88</v>
      </c>
      <c r="F93" t="s">
        <v>243</v>
      </c>
      <c r="G93" t="s">
        <v>244</v>
      </c>
      <c r="H93">
        <v>18754354</v>
      </c>
      <c r="I93" t="s">
        <v>91</v>
      </c>
      <c r="J93" t="s">
        <v>92</v>
      </c>
      <c r="K93" t="str">
        <f t="shared" si="5"/>
        <v>JACOB YALE</v>
      </c>
      <c r="L93" s="1">
        <v>45931</v>
      </c>
      <c r="M93" s="1">
        <v>45962</v>
      </c>
      <c r="N93" s="2">
        <v>37.130000000000003</v>
      </c>
      <c r="O93" s="4">
        <v>0.375</v>
      </c>
      <c r="P93" t="s">
        <v>60</v>
      </c>
      <c r="Q93" t="s">
        <v>61</v>
      </c>
      <c r="R93" s="2">
        <v>83.52</v>
      </c>
      <c r="S93" s="2">
        <v>13.92</v>
      </c>
      <c r="T93" t="s">
        <v>244</v>
      </c>
    </row>
    <row r="94" spans="1:20" x14ac:dyDescent="0.25">
      <c r="A94">
        <v>2031271770</v>
      </c>
      <c r="B94" t="s">
        <v>260</v>
      </c>
      <c r="C94" t="s">
        <v>261</v>
      </c>
      <c r="D94" t="str">
        <f t="shared" si="4"/>
        <v>ANGELICA WALKER</v>
      </c>
      <c r="E94" t="s">
        <v>262</v>
      </c>
      <c r="F94" t="s">
        <v>243</v>
      </c>
      <c r="G94" t="s">
        <v>244</v>
      </c>
      <c r="H94">
        <v>18754354</v>
      </c>
      <c r="I94" t="s">
        <v>91</v>
      </c>
      <c r="J94" t="s">
        <v>92</v>
      </c>
      <c r="K94" t="str">
        <f t="shared" si="5"/>
        <v>JACOB YALE</v>
      </c>
      <c r="L94" s="1">
        <v>45931</v>
      </c>
      <c r="M94" s="1">
        <v>45962</v>
      </c>
      <c r="N94" s="2">
        <v>37.53</v>
      </c>
      <c r="O94" s="4">
        <v>0.375</v>
      </c>
      <c r="P94" t="s">
        <v>60</v>
      </c>
      <c r="Q94" t="s">
        <v>61</v>
      </c>
      <c r="R94" s="2">
        <v>84.42</v>
      </c>
      <c r="S94" s="2">
        <v>14.07</v>
      </c>
      <c r="T94" t="s">
        <v>244</v>
      </c>
    </row>
    <row r="95" spans="1:20" x14ac:dyDescent="0.25">
      <c r="A95">
        <v>2030807439</v>
      </c>
      <c r="B95" t="s">
        <v>113</v>
      </c>
      <c r="C95" t="s">
        <v>114</v>
      </c>
      <c r="D95" t="str">
        <f t="shared" si="4"/>
        <v>MELINDA VOELLER</v>
      </c>
      <c r="E95" t="s">
        <v>115</v>
      </c>
      <c r="F95" t="s">
        <v>243</v>
      </c>
      <c r="G95" t="s">
        <v>244</v>
      </c>
      <c r="H95">
        <v>1706194</v>
      </c>
      <c r="I95" t="s">
        <v>97</v>
      </c>
      <c r="J95" t="s">
        <v>98</v>
      </c>
      <c r="K95" t="str">
        <f t="shared" si="5"/>
        <v>MATTHEW DAUGHERTY</v>
      </c>
      <c r="L95" s="1">
        <v>45931</v>
      </c>
      <c r="M95" s="1">
        <v>45962</v>
      </c>
      <c r="N95" s="2">
        <v>49.02</v>
      </c>
      <c r="O95" s="4">
        <v>0.375</v>
      </c>
      <c r="P95" t="s">
        <v>60</v>
      </c>
      <c r="Q95" t="s">
        <v>61</v>
      </c>
      <c r="R95" s="2">
        <v>110.28</v>
      </c>
      <c r="S95" s="2">
        <v>18.38</v>
      </c>
      <c r="T95" t="s">
        <v>244</v>
      </c>
    </row>
    <row r="96" spans="1:20" x14ac:dyDescent="0.25">
      <c r="A96">
        <v>2031106899</v>
      </c>
      <c r="B96" t="s">
        <v>49</v>
      </c>
      <c r="C96" t="s">
        <v>50</v>
      </c>
      <c r="D96" t="str">
        <f t="shared" si="4"/>
        <v>HOLLY MOREN</v>
      </c>
      <c r="E96" t="s">
        <v>52</v>
      </c>
      <c r="F96" t="s">
        <v>243</v>
      </c>
      <c r="G96" t="s">
        <v>244</v>
      </c>
      <c r="H96">
        <v>21222981</v>
      </c>
      <c r="I96" t="s">
        <v>55</v>
      </c>
      <c r="J96" t="s">
        <v>56</v>
      </c>
      <c r="K96" t="str">
        <f t="shared" si="5"/>
        <v>Michael Garnett</v>
      </c>
      <c r="L96" s="1">
        <v>45931</v>
      </c>
      <c r="M96" s="1">
        <v>45962</v>
      </c>
      <c r="N96" s="2">
        <v>28.38</v>
      </c>
      <c r="O96" s="4">
        <v>0.375</v>
      </c>
      <c r="P96" t="s">
        <v>60</v>
      </c>
      <c r="Q96" t="s">
        <v>61</v>
      </c>
      <c r="R96" s="2">
        <v>63.84</v>
      </c>
      <c r="S96" s="2">
        <v>10.64</v>
      </c>
      <c r="T96" t="s">
        <v>244</v>
      </c>
    </row>
    <row r="97" spans="1:20" x14ac:dyDescent="0.25">
      <c r="A97">
        <v>2030723169</v>
      </c>
      <c r="B97" t="s">
        <v>245</v>
      </c>
      <c r="C97" t="s">
        <v>246</v>
      </c>
      <c r="D97" t="str">
        <f t="shared" si="4"/>
        <v>CONNIE BINNS</v>
      </c>
      <c r="E97" t="s">
        <v>247</v>
      </c>
      <c r="F97" t="s">
        <v>243</v>
      </c>
      <c r="G97" t="s">
        <v>244</v>
      </c>
      <c r="H97">
        <v>8977234</v>
      </c>
      <c r="I97" t="s">
        <v>80</v>
      </c>
      <c r="J97" t="s">
        <v>81</v>
      </c>
      <c r="K97" t="str">
        <f t="shared" si="5"/>
        <v>RYAN CALTAGIRONE</v>
      </c>
      <c r="L97" s="1">
        <v>45931</v>
      </c>
      <c r="M97" s="1">
        <v>45962</v>
      </c>
      <c r="N97" s="2">
        <v>49.55</v>
      </c>
      <c r="O97" s="4">
        <v>0.375</v>
      </c>
      <c r="P97" t="s">
        <v>60</v>
      </c>
      <c r="Q97" t="s">
        <v>61</v>
      </c>
      <c r="R97" s="2">
        <v>111.48</v>
      </c>
      <c r="S97" s="2">
        <v>18.579999999999998</v>
      </c>
      <c r="T97" t="s">
        <v>244</v>
      </c>
    </row>
    <row r="98" spans="1:20" x14ac:dyDescent="0.25">
      <c r="A98">
        <v>2030975446</v>
      </c>
      <c r="B98" t="s">
        <v>248</v>
      </c>
      <c r="C98" t="s">
        <v>249</v>
      </c>
      <c r="D98" t="str">
        <f t="shared" ref="D98:D129" si="6">CONCATENATE(C98, " ",B98)</f>
        <v>MELINDY MERCADO</v>
      </c>
      <c r="E98" t="s">
        <v>182</v>
      </c>
      <c r="F98" t="s">
        <v>243</v>
      </c>
      <c r="G98" t="s">
        <v>244</v>
      </c>
      <c r="H98">
        <v>8977234</v>
      </c>
      <c r="I98" t="s">
        <v>80</v>
      </c>
      <c r="J98" t="s">
        <v>81</v>
      </c>
      <c r="K98" t="str">
        <f t="shared" ref="K98:K129" si="7">CONCATENATE(J98, " ",I98)</f>
        <v>RYAN CALTAGIRONE</v>
      </c>
      <c r="L98" s="1">
        <v>45931</v>
      </c>
      <c r="M98" s="1">
        <v>45962</v>
      </c>
      <c r="N98" s="2">
        <v>80.540000000000006</v>
      </c>
      <c r="O98" s="4">
        <v>0.375</v>
      </c>
      <c r="P98" t="s">
        <v>60</v>
      </c>
      <c r="Q98" t="s">
        <v>61</v>
      </c>
      <c r="R98" s="2">
        <v>181.2</v>
      </c>
      <c r="S98" s="2">
        <v>30.2</v>
      </c>
      <c r="T98" t="s">
        <v>244</v>
      </c>
    </row>
    <row r="99" spans="1:20" x14ac:dyDescent="0.25">
      <c r="A99">
        <v>2030984376</v>
      </c>
      <c r="B99" t="s">
        <v>250</v>
      </c>
      <c r="C99" t="s">
        <v>251</v>
      </c>
      <c r="D99" t="str">
        <f t="shared" si="6"/>
        <v>VALERIE BRITT</v>
      </c>
      <c r="E99" t="s">
        <v>88</v>
      </c>
      <c r="F99" t="s">
        <v>243</v>
      </c>
      <c r="G99" t="s">
        <v>244</v>
      </c>
      <c r="H99">
        <v>8977234</v>
      </c>
      <c r="I99" t="s">
        <v>80</v>
      </c>
      <c r="J99" t="s">
        <v>81</v>
      </c>
      <c r="K99" t="str">
        <f t="shared" si="7"/>
        <v>RYAN CALTAGIRONE</v>
      </c>
      <c r="L99" s="1">
        <v>45931</v>
      </c>
      <c r="M99" s="1">
        <v>45962</v>
      </c>
      <c r="N99" s="2">
        <v>54.95</v>
      </c>
      <c r="O99" s="4">
        <v>0.375</v>
      </c>
      <c r="P99" t="s">
        <v>60</v>
      </c>
      <c r="Q99" t="s">
        <v>61</v>
      </c>
      <c r="R99" s="2">
        <v>123.66</v>
      </c>
      <c r="S99" s="2">
        <v>20.61</v>
      </c>
      <c r="T99" t="s">
        <v>244</v>
      </c>
    </row>
    <row r="100" spans="1:20" x14ac:dyDescent="0.25">
      <c r="A100">
        <v>2031328269</v>
      </c>
      <c r="B100" t="s">
        <v>180</v>
      </c>
      <c r="C100" t="s">
        <v>181</v>
      </c>
      <c r="D100" t="str">
        <f t="shared" si="6"/>
        <v>MELISSA KELLER</v>
      </c>
      <c r="E100" t="s">
        <v>182</v>
      </c>
      <c r="F100" t="s">
        <v>243</v>
      </c>
      <c r="G100" t="s">
        <v>244</v>
      </c>
      <c r="H100">
        <v>8977234</v>
      </c>
      <c r="I100" t="s">
        <v>80</v>
      </c>
      <c r="J100" t="s">
        <v>81</v>
      </c>
      <c r="K100" t="str">
        <f t="shared" si="7"/>
        <v>RYAN CALTAGIRONE</v>
      </c>
      <c r="L100" s="1">
        <v>45931</v>
      </c>
      <c r="M100" s="1">
        <v>45962</v>
      </c>
      <c r="N100" s="2">
        <v>60.67</v>
      </c>
      <c r="O100" s="4">
        <v>0.375</v>
      </c>
      <c r="P100" t="s">
        <v>60</v>
      </c>
      <c r="Q100" t="s">
        <v>61</v>
      </c>
      <c r="R100" s="2">
        <v>136.5</v>
      </c>
      <c r="S100" s="2">
        <v>22.75</v>
      </c>
      <c r="T100" t="s">
        <v>244</v>
      </c>
    </row>
    <row r="101" spans="1:20" x14ac:dyDescent="0.25">
      <c r="A101">
        <v>2031361917</v>
      </c>
      <c r="B101" t="s">
        <v>186</v>
      </c>
      <c r="C101" t="s">
        <v>187</v>
      </c>
      <c r="D101" t="str">
        <f t="shared" si="6"/>
        <v>BONNIE PIRTZ</v>
      </c>
      <c r="E101" t="s">
        <v>79</v>
      </c>
      <c r="F101" t="s">
        <v>243</v>
      </c>
      <c r="G101" t="s">
        <v>244</v>
      </c>
      <c r="H101">
        <v>8977234</v>
      </c>
      <c r="I101" t="s">
        <v>80</v>
      </c>
      <c r="J101" t="s">
        <v>81</v>
      </c>
      <c r="K101" t="str">
        <f t="shared" si="7"/>
        <v>RYAN CALTAGIRONE</v>
      </c>
      <c r="L101" s="1">
        <v>45931</v>
      </c>
      <c r="M101" s="1">
        <v>45962</v>
      </c>
      <c r="N101" s="2">
        <v>40.409999999999997</v>
      </c>
      <c r="O101" s="4">
        <v>0.375</v>
      </c>
      <c r="P101" t="s">
        <v>60</v>
      </c>
      <c r="Q101" t="s">
        <v>61</v>
      </c>
      <c r="R101" s="2">
        <v>90.9</v>
      </c>
      <c r="S101" s="2">
        <v>15.15</v>
      </c>
      <c r="T101" t="s">
        <v>244</v>
      </c>
    </row>
    <row r="102" spans="1:20" x14ac:dyDescent="0.25">
      <c r="A102">
        <v>2031383866</v>
      </c>
      <c r="B102" t="s">
        <v>285</v>
      </c>
      <c r="C102" t="s">
        <v>286</v>
      </c>
      <c r="D102" t="str">
        <f t="shared" si="6"/>
        <v>ADRIENNE WILKE</v>
      </c>
      <c r="E102" t="s">
        <v>52</v>
      </c>
      <c r="F102" t="s">
        <v>243</v>
      </c>
      <c r="G102" t="s">
        <v>244</v>
      </c>
      <c r="H102">
        <v>8977234</v>
      </c>
      <c r="I102" t="s">
        <v>80</v>
      </c>
      <c r="J102" t="s">
        <v>81</v>
      </c>
      <c r="K102" t="str">
        <f t="shared" si="7"/>
        <v>RYAN CALTAGIRONE</v>
      </c>
      <c r="L102" s="1">
        <v>45932</v>
      </c>
      <c r="M102" s="1">
        <v>45963</v>
      </c>
      <c r="N102" s="2">
        <v>96.21</v>
      </c>
      <c r="O102" s="4">
        <v>0.375</v>
      </c>
      <c r="P102" t="s">
        <v>60</v>
      </c>
      <c r="Q102" t="s">
        <v>61</v>
      </c>
      <c r="R102" s="2">
        <v>216.48</v>
      </c>
      <c r="S102" s="2">
        <v>36.08</v>
      </c>
      <c r="T102" t="s">
        <v>244</v>
      </c>
    </row>
    <row r="103" spans="1:20" x14ac:dyDescent="0.25">
      <c r="A103">
        <v>2030816920</v>
      </c>
      <c r="B103" t="s">
        <v>117</v>
      </c>
      <c r="C103" t="s">
        <v>118</v>
      </c>
      <c r="D103" t="str">
        <f t="shared" si="6"/>
        <v>GRACE NISWANGER</v>
      </c>
      <c r="E103" t="s">
        <v>119</v>
      </c>
      <c r="F103" t="s">
        <v>292</v>
      </c>
      <c r="G103" t="s">
        <v>295</v>
      </c>
      <c r="H103">
        <v>8307933</v>
      </c>
      <c r="I103" t="s">
        <v>112</v>
      </c>
      <c r="J103" t="s">
        <v>104</v>
      </c>
      <c r="K103" t="str">
        <f t="shared" si="7"/>
        <v>GREGORY TEIPEL</v>
      </c>
      <c r="L103" s="1">
        <v>45936</v>
      </c>
      <c r="M103" s="1">
        <v>45967</v>
      </c>
      <c r="N103" s="2">
        <v>15.83</v>
      </c>
      <c r="O103" s="3">
        <v>0.9</v>
      </c>
      <c r="P103" t="s">
        <v>60</v>
      </c>
      <c r="Q103" t="s">
        <v>61</v>
      </c>
      <c r="R103" s="2">
        <v>85.5</v>
      </c>
      <c r="S103" s="2">
        <v>14.25</v>
      </c>
      <c r="T103" t="s">
        <v>295</v>
      </c>
    </row>
    <row r="104" spans="1:20" x14ac:dyDescent="0.25">
      <c r="A104">
        <v>2030822622</v>
      </c>
      <c r="B104" t="s">
        <v>300</v>
      </c>
      <c r="C104" t="s">
        <v>301</v>
      </c>
      <c r="D104" t="str">
        <f t="shared" si="6"/>
        <v>DAVID KEMPKER</v>
      </c>
      <c r="E104" t="s">
        <v>122</v>
      </c>
      <c r="F104" t="s">
        <v>292</v>
      </c>
      <c r="G104" t="s">
        <v>295</v>
      </c>
      <c r="H104">
        <v>8307933</v>
      </c>
      <c r="I104" t="s">
        <v>112</v>
      </c>
      <c r="J104" t="s">
        <v>104</v>
      </c>
      <c r="K104" t="str">
        <f t="shared" si="7"/>
        <v>GREGORY TEIPEL</v>
      </c>
      <c r="L104" s="1">
        <v>45936</v>
      </c>
      <c r="M104" s="1">
        <v>45967</v>
      </c>
      <c r="N104" s="2">
        <v>83.63</v>
      </c>
      <c r="O104" s="3">
        <v>0.9</v>
      </c>
      <c r="P104" t="s">
        <v>60</v>
      </c>
      <c r="Q104" t="s">
        <v>61</v>
      </c>
      <c r="R104" s="2">
        <v>451.62</v>
      </c>
      <c r="S104" s="2">
        <v>75.27</v>
      </c>
      <c r="T104" t="s">
        <v>295</v>
      </c>
    </row>
    <row r="105" spans="1:20" x14ac:dyDescent="0.25">
      <c r="A105">
        <v>2030948467</v>
      </c>
      <c r="B105" t="s">
        <v>130</v>
      </c>
      <c r="C105" t="s">
        <v>131</v>
      </c>
      <c r="D105" t="str">
        <f t="shared" si="6"/>
        <v>TINA BURKS</v>
      </c>
      <c r="E105" t="s">
        <v>52</v>
      </c>
      <c r="F105" t="s">
        <v>292</v>
      </c>
      <c r="G105" t="s">
        <v>295</v>
      </c>
      <c r="H105">
        <v>8307933</v>
      </c>
      <c r="I105" t="s">
        <v>112</v>
      </c>
      <c r="J105" t="s">
        <v>104</v>
      </c>
      <c r="K105" t="str">
        <f t="shared" si="7"/>
        <v>GREGORY TEIPEL</v>
      </c>
      <c r="L105" s="1">
        <v>45936</v>
      </c>
      <c r="M105" s="1">
        <v>45967</v>
      </c>
      <c r="N105" s="2">
        <v>31.08</v>
      </c>
      <c r="O105" s="3">
        <v>0.9</v>
      </c>
      <c r="P105" t="s">
        <v>60</v>
      </c>
      <c r="Q105" t="s">
        <v>61</v>
      </c>
      <c r="R105" s="2">
        <v>167.82</v>
      </c>
      <c r="S105" s="2">
        <v>27.97</v>
      </c>
      <c r="T105" t="s">
        <v>295</v>
      </c>
    </row>
    <row r="106" spans="1:20" x14ac:dyDescent="0.25">
      <c r="A106">
        <v>2031160015</v>
      </c>
      <c r="B106" t="s">
        <v>319</v>
      </c>
      <c r="C106" t="s">
        <v>320</v>
      </c>
      <c r="D106" t="str">
        <f t="shared" si="6"/>
        <v>TONY VILHAUER</v>
      </c>
      <c r="E106" t="s">
        <v>159</v>
      </c>
      <c r="F106" t="s">
        <v>292</v>
      </c>
      <c r="G106" t="s">
        <v>295</v>
      </c>
      <c r="H106">
        <v>8307933</v>
      </c>
      <c r="I106" t="s">
        <v>112</v>
      </c>
      <c r="J106" t="s">
        <v>104</v>
      </c>
      <c r="K106" t="str">
        <f t="shared" si="7"/>
        <v>GREGORY TEIPEL</v>
      </c>
      <c r="L106" s="1">
        <v>45936</v>
      </c>
      <c r="M106" s="1">
        <v>45967</v>
      </c>
      <c r="N106" s="2">
        <v>95.38</v>
      </c>
      <c r="O106" s="3">
        <v>0.9</v>
      </c>
      <c r="P106" t="s">
        <v>60</v>
      </c>
      <c r="Q106" t="s">
        <v>61</v>
      </c>
      <c r="R106" s="2">
        <v>515.04</v>
      </c>
      <c r="S106" s="2">
        <v>85.84</v>
      </c>
      <c r="T106" t="s">
        <v>295</v>
      </c>
    </row>
    <row r="107" spans="1:20" x14ac:dyDescent="0.25">
      <c r="A107">
        <v>2031270409</v>
      </c>
      <c r="B107" t="s">
        <v>168</v>
      </c>
      <c r="C107" t="s">
        <v>169</v>
      </c>
      <c r="D107" t="str">
        <f t="shared" si="6"/>
        <v>SHEILA REUTER</v>
      </c>
      <c r="E107" t="s">
        <v>119</v>
      </c>
      <c r="F107" t="s">
        <v>292</v>
      </c>
      <c r="G107" t="s">
        <v>295</v>
      </c>
      <c r="H107">
        <v>8307933</v>
      </c>
      <c r="I107" t="s">
        <v>112</v>
      </c>
      <c r="J107" t="s">
        <v>104</v>
      </c>
      <c r="K107" t="str">
        <f t="shared" si="7"/>
        <v>GREGORY TEIPEL</v>
      </c>
      <c r="L107" s="1">
        <v>45941</v>
      </c>
      <c r="M107" s="1">
        <v>45972</v>
      </c>
      <c r="N107" s="2">
        <v>37.42</v>
      </c>
      <c r="O107" s="3">
        <v>0.9</v>
      </c>
      <c r="P107" t="s">
        <v>60</v>
      </c>
      <c r="Q107" t="s">
        <v>61</v>
      </c>
      <c r="R107" s="2">
        <v>202.08</v>
      </c>
      <c r="S107" s="2">
        <v>33.68</v>
      </c>
      <c r="T107" t="s">
        <v>295</v>
      </c>
    </row>
    <row r="108" spans="1:20" x14ac:dyDescent="0.25">
      <c r="A108">
        <v>2031290288</v>
      </c>
      <c r="B108" t="s">
        <v>174</v>
      </c>
      <c r="C108" t="s">
        <v>175</v>
      </c>
      <c r="D108" t="str">
        <f t="shared" si="6"/>
        <v>RODGER MORRIS</v>
      </c>
      <c r="E108" t="s">
        <v>101</v>
      </c>
      <c r="F108" t="s">
        <v>292</v>
      </c>
      <c r="G108" t="s">
        <v>295</v>
      </c>
      <c r="H108">
        <v>8307933</v>
      </c>
      <c r="I108" t="s">
        <v>112</v>
      </c>
      <c r="J108" t="s">
        <v>104</v>
      </c>
      <c r="K108" t="str">
        <f t="shared" si="7"/>
        <v>GREGORY TEIPEL</v>
      </c>
      <c r="L108" s="1">
        <v>45936</v>
      </c>
      <c r="M108" s="1">
        <v>45967</v>
      </c>
      <c r="N108" s="2">
        <v>163.25</v>
      </c>
      <c r="O108" s="3">
        <v>0.9</v>
      </c>
      <c r="P108" t="s">
        <v>60</v>
      </c>
      <c r="Q108" t="s">
        <v>61</v>
      </c>
      <c r="R108" s="2">
        <v>881.52</v>
      </c>
      <c r="S108" s="2">
        <v>146.91999999999999</v>
      </c>
      <c r="T108" t="s">
        <v>295</v>
      </c>
    </row>
    <row r="109" spans="1:20" x14ac:dyDescent="0.25">
      <c r="A109">
        <v>2031271772</v>
      </c>
      <c r="B109" t="s">
        <v>260</v>
      </c>
      <c r="C109" t="s">
        <v>261</v>
      </c>
      <c r="D109" t="str">
        <f t="shared" si="6"/>
        <v>ANGELICA WALKER</v>
      </c>
      <c r="E109" t="s">
        <v>262</v>
      </c>
      <c r="F109" t="s">
        <v>292</v>
      </c>
      <c r="G109" t="s">
        <v>295</v>
      </c>
      <c r="H109">
        <v>18754354</v>
      </c>
      <c r="I109" t="s">
        <v>91</v>
      </c>
      <c r="J109" t="s">
        <v>92</v>
      </c>
      <c r="K109" t="str">
        <f t="shared" si="7"/>
        <v>JACOB YALE</v>
      </c>
      <c r="L109" s="1">
        <v>45931</v>
      </c>
      <c r="M109" s="1">
        <v>45962</v>
      </c>
      <c r="N109" s="2">
        <v>33</v>
      </c>
      <c r="O109" s="3">
        <v>0.9</v>
      </c>
      <c r="P109" t="s">
        <v>60</v>
      </c>
      <c r="Q109" t="s">
        <v>61</v>
      </c>
      <c r="R109" s="2">
        <v>178.2</v>
      </c>
      <c r="S109" s="2">
        <v>29.7</v>
      </c>
      <c r="T109" t="s">
        <v>295</v>
      </c>
    </row>
    <row r="110" spans="1:20" x14ac:dyDescent="0.25">
      <c r="A110">
        <v>2030807437</v>
      </c>
      <c r="B110" t="s">
        <v>113</v>
      </c>
      <c r="C110" t="s">
        <v>114</v>
      </c>
      <c r="D110" t="str">
        <f t="shared" si="6"/>
        <v>MELINDA VOELLER</v>
      </c>
      <c r="E110" t="s">
        <v>115</v>
      </c>
      <c r="F110" t="s">
        <v>292</v>
      </c>
      <c r="G110" t="s">
        <v>295</v>
      </c>
      <c r="H110">
        <v>1706194</v>
      </c>
      <c r="I110" t="s">
        <v>97</v>
      </c>
      <c r="J110" t="s">
        <v>98</v>
      </c>
      <c r="K110" t="str">
        <f t="shared" si="7"/>
        <v>MATTHEW DAUGHERTY</v>
      </c>
      <c r="L110" s="1">
        <v>45931</v>
      </c>
      <c r="M110" s="1">
        <v>45962</v>
      </c>
      <c r="N110" s="2">
        <v>37.5</v>
      </c>
      <c r="O110" s="3">
        <v>0.9</v>
      </c>
      <c r="P110" t="s">
        <v>60</v>
      </c>
      <c r="Q110" t="s">
        <v>61</v>
      </c>
      <c r="R110" s="2">
        <v>202.5</v>
      </c>
      <c r="S110" s="2">
        <v>33.75</v>
      </c>
      <c r="T110" t="s">
        <v>295</v>
      </c>
    </row>
    <row r="111" spans="1:20" x14ac:dyDescent="0.25">
      <c r="A111">
        <v>2031379960</v>
      </c>
      <c r="B111" t="s">
        <v>284</v>
      </c>
      <c r="C111" t="s">
        <v>337</v>
      </c>
      <c r="D111" t="str">
        <f t="shared" si="6"/>
        <v>ROBERT THOMAS</v>
      </c>
      <c r="E111" t="s">
        <v>105</v>
      </c>
      <c r="F111" t="s">
        <v>292</v>
      </c>
      <c r="G111" t="s">
        <v>295</v>
      </c>
      <c r="H111">
        <v>5442438</v>
      </c>
      <c r="I111" t="s">
        <v>106</v>
      </c>
      <c r="J111" t="s">
        <v>107</v>
      </c>
      <c r="K111" t="str">
        <f t="shared" si="7"/>
        <v>Ronald Max</v>
      </c>
      <c r="L111" s="1">
        <v>45962</v>
      </c>
      <c r="M111" s="1">
        <v>45992</v>
      </c>
      <c r="N111" s="2">
        <v>163.25</v>
      </c>
      <c r="O111" s="3">
        <v>0.9</v>
      </c>
      <c r="P111" t="s">
        <v>60</v>
      </c>
      <c r="Q111" t="s">
        <v>61</v>
      </c>
      <c r="R111" s="2">
        <v>881.52</v>
      </c>
      <c r="S111" s="2">
        <v>146.91999999999999</v>
      </c>
      <c r="T111" t="s">
        <v>295</v>
      </c>
    </row>
    <row r="112" spans="1:20" x14ac:dyDescent="0.25">
      <c r="A112">
        <v>2031106900</v>
      </c>
      <c r="B112" t="s">
        <v>49</v>
      </c>
      <c r="C112" t="s">
        <v>50</v>
      </c>
      <c r="D112" t="str">
        <f t="shared" si="6"/>
        <v>HOLLY MOREN</v>
      </c>
      <c r="E112" t="s">
        <v>52</v>
      </c>
      <c r="F112" t="s">
        <v>53</v>
      </c>
      <c r="G112" t="s">
        <v>54</v>
      </c>
      <c r="H112">
        <v>21222981</v>
      </c>
      <c r="I112" t="s">
        <v>55</v>
      </c>
      <c r="J112" t="s">
        <v>56</v>
      </c>
      <c r="K112" t="str">
        <f t="shared" si="7"/>
        <v>Michael Garnett</v>
      </c>
      <c r="L112" s="1">
        <v>45931</v>
      </c>
      <c r="M112" s="1">
        <v>45962</v>
      </c>
      <c r="N112" s="2">
        <v>64.510000000000005</v>
      </c>
      <c r="O112" s="3">
        <v>0.6</v>
      </c>
      <c r="P112" t="s">
        <v>60</v>
      </c>
      <c r="Q112" t="s">
        <v>61</v>
      </c>
      <c r="R112" s="2">
        <v>232.26</v>
      </c>
      <c r="S112" s="2">
        <v>38.71</v>
      </c>
      <c r="T112" t="s">
        <v>54</v>
      </c>
    </row>
    <row r="113" spans="1:20" x14ac:dyDescent="0.25">
      <c r="A113">
        <v>2031358599</v>
      </c>
      <c r="B113" t="s">
        <v>77</v>
      </c>
      <c r="C113" t="s">
        <v>78</v>
      </c>
      <c r="D113" t="str">
        <f t="shared" si="6"/>
        <v>HANNAH HIGGINS</v>
      </c>
      <c r="E113" t="s">
        <v>79</v>
      </c>
      <c r="F113" t="s">
        <v>53</v>
      </c>
      <c r="G113" t="s">
        <v>54</v>
      </c>
      <c r="H113">
        <v>8977234</v>
      </c>
      <c r="I113" t="s">
        <v>80</v>
      </c>
      <c r="J113" t="s">
        <v>81</v>
      </c>
      <c r="K113" t="str">
        <f t="shared" si="7"/>
        <v>RYAN CALTAGIRONE</v>
      </c>
      <c r="L113" s="1">
        <v>45931</v>
      </c>
      <c r="M113" s="1">
        <v>45962</v>
      </c>
      <c r="N113" s="2">
        <v>37.81</v>
      </c>
      <c r="O113" s="3">
        <v>0.6</v>
      </c>
      <c r="P113" t="s">
        <v>60</v>
      </c>
      <c r="Q113" t="s">
        <v>61</v>
      </c>
      <c r="R113" s="2">
        <v>136.13999999999999</v>
      </c>
      <c r="S113" s="2">
        <v>22.69</v>
      </c>
      <c r="T113" t="s">
        <v>54</v>
      </c>
    </row>
    <row r="114" spans="1:20" x14ac:dyDescent="0.25">
      <c r="A114">
        <v>2031362149</v>
      </c>
      <c r="B114" t="s">
        <v>82</v>
      </c>
      <c r="C114" t="s">
        <v>83</v>
      </c>
      <c r="D114" t="str">
        <f t="shared" si="6"/>
        <v>JANYNE ACKERMAN</v>
      </c>
      <c r="E114" t="s">
        <v>70</v>
      </c>
      <c r="F114" t="s">
        <v>53</v>
      </c>
      <c r="G114" t="s">
        <v>54</v>
      </c>
      <c r="H114">
        <v>15950276</v>
      </c>
      <c r="I114" t="s">
        <v>84</v>
      </c>
      <c r="J114" t="s">
        <v>85</v>
      </c>
      <c r="K114" t="str">
        <f t="shared" si="7"/>
        <v>Ryan Stocker</v>
      </c>
      <c r="L114" s="1">
        <v>45931</v>
      </c>
      <c r="M114" s="1">
        <v>45962</v>
      </c>
      <c r="N114" s="2">
        <v>65.81</v>
      </c>
      <c r="O114" s="3">
        <v>0.6</v>
      </c>
      <c r="P114" t="s">
        <v>60</v>
      </c>
      <c r="Q114" t="s">
        <v>61</v>
      </c>
      <c r="R114" s="2">
        <v>236.94</v>
      </c>
      <c r="S114" s="2">
        <v>39.49</v>
      </c>
      <c r="T114" t="s">
        <v>54</v>
      </c>
    </row>
    <row r="115" spans="1:20" x14ac:dyDescent="0.25">
      <c r="A115">
        <v>2031354346</v>
      </c>
      <c r="B115" t="s">
        <v>73</v>
      </c>
      <c r="C115" t="s">
        <v>74</v>
      </c>
      <c r="D115" t="str">
        <f t="shared" si="6"/>
        <v>DYLAN FRITZINGER</v>
      </c>
      <c r="E115" t="s">
        <v>70</v>
      </c>
      <c r="F115" t="s">
        <v>53</v>
      </c>
      <c r="G115" t="s">
        <v>65</v>
      </c>
      <c r="H115">
        <v>19278370</v>
      </c>
      <c r="I115" t="s">
        <v>75</v>
      </c>
      <c r="J115" t="s">
        <v>76</v>
      </c>
      <c r="K115" t="str">
        <f t="shared" si="7"/>
        <v>ANNE MARIE KOZACHECK</v>
      </c>
      <c r="L115" s="1">
        <v>45931</v>
      </c>
      <c r="M115" s="1">
        <v>45962</v>
      </c>
      <c r="N115" s="2">
        <v>52.69</v>
      </c>
      <c r="O115" s="3">
        <v>0.6</v>
      </c>
      <c r="P115" t="s">
        <v>60</v>
      </c>
      <c r="Q115" t="s">
        <v>61</v>
      </c>
      <c r="R115" s="2">
        <v>189.66</v>
      </c>
      <c r="S115" s="2">
        <v>31.61</v>
      </c>
      <c r="T115" t="s">
        <v>65</v>
      </c>
    </row>
    <row r="116" spans="1:20" x14ac:dyDescent="0.25">
      <c r="A116">
        <v>2031333610</v>
      </c>
      <c r="B116" t="s">
        <v>68</v>
      </c>
      <c r="C116" t="s">
        <v>69</v>
      </c>
      <c r="D116" t="str">
        <f t="shared" si="6"/>
        <v>GERARD BALL</v>
      </c>
      <c r="E116" t="s">
        <v>70</v>
      </c>
      <c r="F116" t="s">
        <v>53</v>
      </c>
      <c r="G116" t="s">
        <v>65</v>
      </c>
      <c r="H116">
        <v>18781057</v>
      </c>
      <c r="I116" t="s">
        <v>71</v>
      </c>
      <c r="J116" t="s">
        <v>72</v>
      </c>
      <c r="K116" t="str">
        <f t="shared" si="7"/>
        <v>JOHN ROKEN</v>
      </c>
      <c r="L116" s="1">
        <v>45931</v>
      </c>
      <c r="M116" s="1">
        <v>45962</v>
      </c>
      <c r="N116" s="2">
        <v>46.45</v>
      </c>
      <c r="O116" s="3">
        <v>0.6</v>
      </c>
      <c r="P116" t="s">
        <v>60</v>
      </c>
      <c r="Q116" t="s">
        <v>61</v>
      </c>
      <c r="R116" s="2">
        <v>167.22</v>
      </c>
      <c r="S116" s="2">
        <v>27.87</v>
      </c>
      <c r="T116" t="s">
        <v>65</v>
      </c>
    </row>
    <row r="117" spans="1:20" x14ac:dyDescent="0.25">
      <c r="L117" s="1"/>
      <c r="M117" s="1"/>
      <c r="N117" s="2"/>
      <c r="O117" s="3"/>
      <c r="R117" s="2"/>
      <c r="S117" s="2"/>
    </row>
    <row r="118" spans="1:20" s="5" customFormat="1" x14ac:dyDescent="0.25">
      <c r="A118" s="5">
        <v>2031343797</v>
      </c>
      <c r="B118" s="5" t="s">
        <v>271</v>
      </c>
      <c r="C118" s="5" t="s">
        <v>272</v>
      </c>
      <c r="D118" s="5" t="str">
        <f t="shared" ref="D118:D149" si="8">CONCATENATE(C118, " ",B118)</f>
        <v>MOON YIM</v>
      </c>
      <c r="E118" s="5" t="s">
        <v>101</v>
      </c>
      <c r="F118" s="5" t="s">
        <v>243</v>
      </c>
      <c r="G118" s="5" t="s">
        <v>244</v>
      </c>
      <c r="I118" s="5" t="s">
        <v>273</v>
      </c>
      <c r="J118" s="5" t="s">
        <v>274</v>
      </c>
      <c r="K118" s="5" t="str">
        <f t="shared" ref="K118:K149" si="9">CONCATENATE(J118, " ",I118)</f>
        <v>Andrew Choi</v>
      </c>
      <c r="L118" s="6">
        <v>45931</v>
      </c>
      <c r="M118" s="6">
        <v>45962</v>
      </c>
      <c r="N118" s="7">
        <v>61.64</v>
      </c>
      <c r="O118" s="8">
        <v>0.375</v>
      </c>
      <c r="P118" s="5" t="s">
        <v>60</v>
      </c>
      <c r="Q118" s="5" t="s">
        <v>61</v>
      </c>
      <c r="R118" s="7">
        <v>138.72</v>
      </c>
      <c r="S118" s="7">
        <v>23.12</v>
      </c>
    </row>
    <row r="119" spans="1:20" s="5" customFormat="1" x14ac:dyDescent="0.25">
      <c r="A119" s="5">
        <v>2031343798</v>
      </c>
      <c r="B119" s="5" t="s">
        <v>271</v>
      </c>
      <c r="C119" s="5" t="s">
        <v>272</v>
      </c>
      <c r="D119" s="5" t="str">
        <f t="shared" si="8"/>
        <v>MOON YIM</v>
      </c>
      <c r="E119" s="5" t="s">
        <v>101</v>
      </c>
      <c r="F119" s="5" t="s">
        <v>292</v>
      </c>
      <c r="G119" s="5" t="s">
        <v>295</v>
      </c>
      <c r="I119" s="5" t="s">
        <v>273</v>
      </c>
      <c r="J119" s="5" t="s">
        <v>274</v>
      </c>
      <c r="K119" s="5" t="str">
        <f t="shared" si="9"/>
        <v>Andrew Choi</v>
      </c>
      <c r="L119" s="6">
        <v>45931</v>
      </c>
      <c r="M119" s="6">
        <v>45962</v>
      </c>
      <c r="N119" s="7">
        <v>23.05</v>
      </c>
      <c r="O119" s="9">
        <v>0.9</v>
      </c>
      <c r="P119" s="5" t="s">
        <v>60</v>
      </c>
      <c r="Q119" s="5" t="s">
        <v>61</v>
      </c>
      <c r="R119" s="7">
        <v>124.44</v>
      </c>
      <c r="S119" s="7">
        <v>20.74</v>
      </c>
    </row>
    <row r="120" spans="1:20" s="5" customFormat="1" x14ac:dyDescent="0.25">
      <c r="A120" s="5">
        <v>2031328823</v>
      </c>
      <c r="B120" s="5" t="s">
        <v>324</v>
      </c>
      <c r="C120" s="5" t="s">
        <v>207</v>
      </c>
      <c r="D120" s="5" t="str">
        <f t="shared" si="8"/>
        <v>RICHARD BRUNNER</v>
      </c>
      <c r="E120" s="5" t="s">
        <v>101</v>
      </c>
      <c r="F120" s="5" t="s">
        <v>292</v>
      </c>
      <c r="G120" s="5" t="s">
        <v>293</v>
      </c>
      <c r="I120" s="5" t="s">
        <v>325</v>
      </c>
      <c r="J120" s="5" t="s">
        <v>326</v>
      </c>
      <c r="K120" s="5" t="str">
        <f t="shared" si="9"/>
        <v>Barry Schumann</v>
      </c>
      <c r="L120" s="6">
        <v>45936</v>
      </c>
      <c r="M120" s="6">
        <v>45967</v>
      </c>
      <c r="N120" s="7">
        <v>212.26</v>
      </c>
      <c r="O120" s="9">
        <v>0.7</v>
      </c>
      <c r="P120" s="5" t="s">
        <v>60</v>
      </c>
      <c r="Q120" s="5" t="s">
        <v>61</v>
      </c>
      <c r="R120" s="7">
        <v>891.48</v>
      </c>
      <c r="S120" s="7">
        <v>148.58000000000001</v>
      </c>
    </row>
    <row r="121" spans="1:20" s="5" customFormat="1" x14ac:dyDescent="0.25">
      <c r="A121" s="5">
        <v>2031337038</v>
      </c>
      <c r="B121" s="5" t="s">
        <v>329</v>
      </c>
      <c r="C121" s="5" t="s">
        <v>330</v>
      </c>
      <c r="D121" s="5" t="str">
        <f t="shared" si="8"/>
        <v>GUADALUPE SANCHEZ</v>
      </c>
      <c r="E121" s="5" t="s">
        <v>101</v>
      </c>
      <c r="F121" s="5" t="s">
        <v>292</v>
      </c>
      <c r="G121" s="5" t="s">
        <v>293</v>
      </c>
      <c r="I121" s="5" t="s">
        <v>325</v>
      </c>
      <c r="J121" s="5" t="s">
        <v>326</v>
      </c>
      <c r="K121" s="5" t="str">
        <f t="shared" si="9"/>
        <v>Barry Schumann</v>
      </c>
      <c r="L121" s="6">
        <v>45932</v>
      </c>
      <c r="M121" s="6">
        <v>45963</v>
      </c>
      <c r="N121" s="7">
        <v>145.41999999999999</v>
      </c>
      <c r="O121" s="9">
        <v>0.7</v>
      </c>
      <c r="P121" s="5" t="s">
        <v>60</v>
      </c>
      <c r="Q121" s="5" t="s">
        <v>61</v>
      </c>
      <c r="R121" s="7">
        <v>610.74</v>
      </c>
      <c r="S121" s="7">
        <v>101.79</v>
      </c>
    </row>
    <row r="122" spans="1:20" s="5" customFormat="1" x14ac:dyDescent="0.25">
      <c r="A122" s="5">
        <v>2030969460</v>
      </c>
      <c r="B122" s="5" t="s">
        <v>132</v>
      </c>
      <c r="C122" s="5" t="s">
        <v>133</v>
      </c>
      <c r="D122" s="5" t="str">
        <f t="shared" si="8"/>
        <v>ALANA CHRISTOPHER</v>
      </c>
      <c r="E122" s="5" t="s">
        <v>101</v>
      </c>
      <c r="F122" s="5" t="s">
        <v>89</v>
      </c>
      <c r="G122" s="5" t="s">
        <v>96</v>
      </c>
      <c r="I122" s="5" t="s">
        <v>134</v>
      </c>
      <c r="J122" s="5" t="s">
        <v>135</v>
      </c>
      <c r="K122" s="5" t="str">
        <f t="shared" si="9"/>
        <v>Dale Walenga</v>
      </c>
      <c r="L122" s="6">
        <v>45935</v>
      </c>
      <c r="M122" s="6">
        <v>45966</v>
      </c>
      <c r="N122" s="7">
        <v>14.71</v>
      </c>
      <c r="O122" s="9">
        <v>0.9</v>
      </c>
      <c r="P122" s="5" t="s">
        <v>60</v>
      </c>
      <c r="Q122" s="5" t="s">
        <v>61</v>
      </c>
      <c r="R122" s="7">
        <v>79.44</v>
      </c>
      <c r="S122" s="7">
        <v>13.24</v>
      </c>
    </row>
    <row r="123" spans="1:20" s="5" customFormat="1" x14ac:dyDescent="0.25">
      <c r="A123" s="5">
        <v>2030969461</v>
      </c>
      <c r="B123" s="5" t="s">
        <v>132</v>
      </c>
      <c r="C123" s="5" t="s">
        <v>133</v>
      </c>
      <c r="D123" s="5" t="str">
        <f t="shared" si="8"/>
        <v>ALANA CHRISTOPHER</v>
      </c>
      <c r="E123" s="5" t="s">
        <v>101</v>
      </c>
      <c r="F123" s="5" t="s">
        <v>209</v>
      </c>
      <c r="G123" s="5" t="s">
        <v>222</v>
      </c>
      <c r="I123" s="5" t="s">
        <v>134</v>
      </c>
      <c r="J123" s="5" t="s">
        <v>135</v>
      </c>
      <c r="K123" s="5" t="str">
        <f t="shared" si="9"/>
        <v>Dale Walenga</v>
      </c>
      <c r="L123" s="6">
        <v>45935</v>
      </c>
      <c r="M123" s="6">
        <v>45966</v>
      </c>
      <c r="N123" s="7">
        <v>15</v>
      </c>
      <c r="O123" s="9">
        <v>0.38</v>
      </c>
      <c r="P123" s="5" t="s">
        <v>60</v>
      </c>
      <c r="Q123" s="5" t="s">
        <v>61</v>
      </c>
      <c r="R123" s="7">
        <v>34.200000000000003</v>
      </c>
      <c r="S123" s="7">
        <v>5.7</v>
      </c>
    </row>
    <row r="124" spans="1:20" s="5" customFormat="1" x14ac:dyDescent="0.25">
      <c r="A124" s="5">
        <v>2030969459</v>
      </c>
      <c r="B124" s="5" t="s">
        <v>132</v>
      </c>
      <c r="C124" s="5" t="s">
        <v>133</v>
      </c>
      <c r="D124" s="5" t="str">
        <f t="shared" si="8"/>
        <v>ALANA CHRISTOPHER</v>
      </c>
      <c r="E124" s="5" t="s">
        <v>101</v>
      </c>
      <c r="F124" s="5" t="s">
        <v>287</v>
      </c>
      <c r="G124" s="5" t="s">
        <v>288</v>
      </c>
      <c r="I124" s="5" t="s">
        <v>134</v>
      </c>
      <c r="J124" s="5" t="s">
        <v>135</v>
      </c>
      <c r="K124" s="5" t="str">
        <f t="shared" si="9"/>
        <v>Dale Walenga</v>
      </c>
      <c r="L124" s="6">
        <v>45935</v>
      </c>
      <c r="M124" s="6">
        <v>45966</v>
      </c>
      <c r="N124" s="7">
        <v>10.33</v>
      </c>
      <c r="O124" s="9">
        <v>0.38</v>
      </c>
      <c r="P124" s="5" t="s">
        <v>60</v>
      </c>
      <c r="Q124" s="5" t="s">
        <v>61</v>
      </c>
      <c r="R124" s="7">
        <v>23.58</v>
      </c>
      <c r="S124" s="7">
        <v>3.93</v>
      </c>
    </row>
    <row r="125" spans="1:20" s="5" customFormat="1" x14ac:dyDescent="0.25">
      <c r="A125" s="5">
        <v>2031225658</v>
      </c>
      <c r="B125" s="5" t="s">
        <v>254</v>
      </c>
      <c r="C125" s="5" t="s">
        <v>255</v>
      </c>
      <c r="D125" s="5" t="str">
        <f t="shared" si="8"/>
        <v>ISABELLA FIDUCCIA</v>
      </c>
      <c r="E125" s="5" t="s">
        <v>155</v>
      </c>
      <c r="F125" s="5" t="s">
        <v>243</v>
      </c>
      <c r="G125" s="5" t="s">
        <v>244</v>
      </c>
      <c r="I125" s="5" t="s">
        <v>256</v>
      </c>
      <c r="J125" s="5" t="s">
        <v>165</v>
      </c>
      <c r="K125" s="5" t="str">
        <f t="shared" si="9"/>
        <v>FRANK LISKOVEC</v>
      </c>
      <c r="L125" s="6">
        <v>45931</v>
      </c>
      <c r="M125" s="6">
        <v>45962</v>
      </c>
      <c r="N125" s="7">
        <v>27.56</v>
      </c>
      <c r="O125" s="8">
        <v>0.375</v>
      </c>
      <c r="P125" s="5" t="s">
        <v>60</v>
      </c>
      <c r="Q125" s="5" t="s">
        <v>61</v>
      </c>
      <c r="R125" s="7">
        <v>62.04</v>
      </c>
      <c r="S125" s="7">
        <v>10.34</v>
      </c>
    </row>
    <row r="126" spans="1:20" x14ac:dyDescent="0.25">
      <c r="A126" s="5">
        <v>2030870979</v>
      </c>
      <c r="B126" s="5" t="s">
        <v>302</v>
      </c>
      <c r="C126" s="5" t="s">
        <v>303</v>
      </c>
      <c r="D126" s="5" t="str">
        <f t="shared" si="8"/>
        <v>ANN RONAN</v>
      </c>
      <c r="E126" s="5" t="s">
        <v>101</v>
      </c>
      <c r="F126" s="5" t="s">
        <v>292</v>
      </c>
      <c r="G126" s="5" t="s">
        <v>293</v>
      </c>
      <c r="H126" s="5"/>
      <c r="I126" s="5" t="s">
        <v>256</v>
      </c>
      <c r="J126" s="5" t="s">
        <v>165</v>
      </c>
      <c r="K126" s="5" t="str">
        <f t="shared" si="9"/>
        <v>FRANK LISKOVEC</v>
      </c>
      <c r="L126" s="6">
        <v>45931</v>
      </c>
      <c r="M126" s="6">
        <v>45962</v>
      </c>
      <c r="N126" s="7">
        <v>159.24</v>
      </c>
      <c r="O126" s="9">
        <v>0.7</v>
      </c>
      <c r="P126" s="5" t="s">
        <v>60</v>
      </c>
      <c r="Q126" s="5" t="s">
        <v>61</v>
      </c>
      <c r="R126" s="7">
        <v>668.82</v>
      </c>
      <c r="S126" s="7">
        <v>111.47</v>
      </c>
    </row>
    <row r="127" spans="1:20" x14ac:dyDescent="0.25">
      <c r="A127" s="5">
        <v>2031225657</v>
      </c>
      <c r="B127" s="5" t="s">
        <v>254</v>
      </c>
      <c r="C127" s="5" t="s">
        <v>255</v>
      </c>
      <c r="D127" s="5" t="str">
        <f t="shared" si="8"/>
        <v>ISABELLA FIDUCCIA</v>
      </c>
      <c r="E127" s="5" t="s">
        <v>155</v>
      </c>
      <c r="F127" s="5" t="s">
        <v>292</v>
      </c>
      <c r="G127" s="5" t="s">
        <v>293</v>
      </c>
      <c r="H127" s="5"/>
      <c r="I127" s="5" t="s">
        <v>256</v>
      </c>
      <c r="J127" s="5" t="s">
        <v>165</v>
      </c>
      <c r="K127" s="5" t="str">
        <f t="shared" si="9"/>
        <v>FRANK LISKOVEC</v>
      </c>
      <c r="L127" s="6">
        <v>45931</v>
      </c>
      <c r="M127" s="6">
        <v>45962</v>
      </c>
      <c r="N127" s="7">
        <v>18.37</v>
      </c>
      <c r="O127" s="9">
        <v>0.7</v>
      </c>
      <c r="P127" s="5" t="s">
        <v>60</v>
      </c>
      <c r="Q127" s="5" t="s">
        <v>61</v>
      </c>
      <c r="R127" s="7">
        <v>77.16</v>
      </c>
      <c r="S127" s="7">
        <v>12.86</v>
      </c>
    </row>
    <row r="128" spans="1:20" x14ac:dyDescent="0.25">
      <c r="A128" s="5">
        <v>2031337969</v>
      </c>
      <c r="B128" s="5" t="s">
        <v>263</v>
      </c>
      <c r="C128" s="5" t="s">
        <v>264</v>
      </c>
      <c r="D128" s="5" t="str">
        <f t="shared" si="8"/>
        <v>DESIREE LUNDVALL</v>
      </c>
      <c r="E128" s="5" t="s">
        <v>203</v>
      </c>
      <c r="F128" s="5" t="s">
        <v>243</v>
      </c>
      <c r="G128" s="5" t="s">
        <v>244</v>
      </c>
      <c r="H128" s="5"/>
      <c r="I128" s="5" t="s">
        <v>265</v>
      </c>
      <c r="J128" s="5" t="s">
        <v>266</v>
      </c>
      <c r="K128" s="5" t="str">
        <f t="shared" si="9"/>
        <v>Heather Geske</v>
      </c>
      <c r="L128" s="6">
        <v>45931</v>
      </c>
      <c r="M128" s="6">
        <v>45962</v>
      </c>
      <c r="N128" s="7">
        <v>71.760000000000005</v>
      </c>
      <c r="O128" s="8">
        <v>0.375</v>
      </c>
      <c r="P128" s="5" t="s">
        <v>60</v>
      </c>
      <c r="Q128" s="5" t="s">
        <v>61</v>
      </c>
      <c r="R128" s="7">
        <v>161.46</v>
      </c>
      <c r="S128" s="7">
        <v>26.91</v>
      </c>
    </row>
    <row r="129" spans="1:19" x14ac:dyDescent="0.25">
      <c r="A129" s="5">
        <v>2031337970</v>
      </c>
      <c r="B129" s="5" t="s">
        <v>263</v>
      </c>
      <c r="C129" s="5" t="s">
        <v>264</v>
      </c>
      <c r="D129" s="5" t="str">
        <f t="shared" si="8"/>
        <v>DESIREE LUNDVALL</v>
      </c>
      <c r="E129" s="5" t="s">
        <v>203</v>
      </c>
      <c r="F129" s="5" t="s">
        <v>292</v>
      </c>
      <c r="G129" s="5" t="s">
        <v>293</v>
      </c>
      <c r="H129" s="5"/>
      <c r="I129" s="5" t="s">
        <v>265</v>
      </c>
      <c r="J129" s="5" t="s">
        <v>266</v>
      </c>
      <c r="K129" s="5" t="str">
        <f t="shared" si="9"/>
        <v>Heather Geske</v>
      </c>
      <c r="L129" s="6">
        <v>45931</v>
      </c>
      <c r="M129" s="6">
        <v>45962</v>
      </c>
      <c r="N129" s="7">
        <v>9.1</v>
      </c>
      <c r="O129" s="9">
        <v>0.7</v>
      </c>
      <c r="P129" s="5" t="s">
        <v>60</v>
      </c>
      <c r="Q129" s="5" t="s">
        <v>61</v>
      </c>
      <c r="R129" s="7">
        <v>38.22</v>
      </c>
      <c r="S129" s="7">
        <v>6.37</v>
      </c>
    </row>
    <row r="130" spans="1:19" x14ac:dyDescent="0.25">
      <c r="A130" s="5">
        <v>2031365756</v>
      </c>
      <c r="B130" s="5" t="s">
        <v>334</v>
      </c>
      <c r="C130" s="5" t="s">
        <v>98</v>
      </c>
      <c r="D130" s="5" t="str">
        <f t="shared" si="8"/>
        <v>MATTHEW D'AURIA</v>
      </c>
      <c r="E130" s="5" t="s">
        <v>88</v>
      </c>
      <c r="F130" s="5" t="s">
        <v>292</v>
      </c>
      <c r="G130" s="5" t="s">
        <v>293</v>
      </c>
      <c r="H130" s="5"/>
      <c r="I130" s="5" t="s">
        <v>335</v>
      </c>
      <c r="J130" s="5" t="s">
        <v>336</v>
      </c>
      <c r="K130" s="5" t="str">
        <f t="shared" si="9"/>
        <v>Ines Berg</v>
      </c>
      <c r="L130" s="6">
        <v>45931</v>
      </c>
      <c r="M130" s="6">
        <v>45962</v>
      </c>
      <c r="N130" s="7">
        <v>29.79</v>
      </c>
      <c r="O130" s="9">
        <v>0.7</v>
      </c>
      <c r="P130" s="5" t="s">
        <v>60</v>
      </c>
      <c r="Q130" s="5" t="s">
        <v>61</v>
      </c>
      <c r="R130" s="7">
        <v>125.1</v>
      </c>
      <c r="S130" s="7">
        <v>20.85</v>
      </c>
    </row>
    <row r="131" spans="1:19" x14ac:dyDescent="0.25">
      <c r="A131" s="5">
        <v>2030821620</v>
      </c>
      <c r="B131" s="5" t="s">
        <v>296</v>
      </c>
      <c r="C131" s="5" t="s">
        <v>297</v>
      </c>
      <c r="D131" s="5" t="str">
        <f t="shared" si="8"/>
        <v>REBEKAH HOUSMAN</v>
      </c>
      <c r="E131" s="5" t="s">
        <v>101</v>
      </c>
      <c r="F131" s="5" t="s">
        <v>292</v>
      </c>
      <c r="G131" s="5" t="s">
        <v>293</v>
      </c>
      <c r="H131" s="5"/>
      <c r="I131" s="5" t="s">
        <v>298</v>
      </c>
      <c r="J131" s="5" t="s">
        <v>299</v>
      </c>
      <c r="K131" s="5" t="str">
        <f t="shared" si="9"/>
        <v>Jake Shulman</v>
      </c>
      <c r="L131" s="6">
        <v>45931</v>
      </c>
      <c r="M131" s="6">
        <v>45962</v>
      </c>
      <c r="N131" s="7">
        <v>124.81</v>
      </c>
      <c r="O131" s="9">
        <v>0.7</v>
      </c>
      <c r="P131" s="5" t="s">
        <v>60</v>
      </c>
      <c r="Q131" s="5" t="s">
        <v>61</v>
      </c>
      <c r="R131" s="7">
        <v>524.22</v>
      </c>
      <c r="S131" s="7">
        <v>87.37</v>
      </c>
    </row>
    <row r="132" spans="1:19" x14ac:dyDescent="0.25">
      <c r="A132" s="5">
        <v>2030878188</v>
      </c>
      <c r="B132" s="5" t="s">
        <v>304</v>
      </c>
      <c r="C132" s="5" t="s">
        <v>305</v>
      </c>
      <c r="D132" s="5" t="str">
        <f t="shared" si="8"/>
        <v>SIMON JUSTICE</v>
      </c>
      <c r="E132" s="5" t="s">
        <v>95</v>
      </c>
      <c r="F132" s="5" t="s">
        <v>292</v>
      </c>
      <c r="G132" s="5" t="s">
        <v>293</v>
      </c>
      <c r="H132" s="5"/>
      <c r="I132" s="5" t="s">
        <v>298</v>
      </c>
      <c r="J132" s="5" t="s">
        <v>299</v>
      </c>
      <c r="K132" s="5" t="str">
        <f t="shared" si="9"/>
        <v>Jake Shulman</v>
      </c>
      <c r="L132" s="6">
        <v>45931</v>
      </c>
      <c r="M132" s="6">
        <v>45962</v>
      </c>
      <c r="N132" s="7">
        <v>122.12</v>
      </c>
      <c r="O132" s="9">
        <v>0.7</v>
      </c>
      <c r="P132" s="5" t="s">
        <v>60</v>
      </c>
      <c r="Q132" s="5" t="s">
        <v>61</v>
      </c>
      <c r="R132" s="7">
        <v>512.88</v>
      </c>
      <c r="S132" s="7">
        <v>85.48</v>
      </c>
    </row>
    <row r="133" spans="1:19" x14ac:dyDescent="0.25">
      <c r="A133" s="5">
        <v>2031420006</v>
      </c>
      <c r="B133" s="5" t="s">
        <v>230</v>
      </c>
      <c r="C133" s="5" t="s">
        <v>231</v>
      </c>
      <c r="D133" s="5" t="str">
        <f t="shared" si="8"/>
        <v>LUZ PEREZ</v>
      </c>
      <c r="E133" s="5" t="s">
        <v>101</v>
      </c>
      <c r="F133" s="5" t="s">
        <v>209</v>
      </c>
      <c r="G133" s="5" t="s">
        <v>232</v>
      </c>
      <c r="H133" s="5"/>
      <c r="I133" s="5" t="s">
        <v>233</v>
      </c>
      <c r="J133" s="5" t="s">
        <v>234</v>
      </c>
      <c r="K133" s="5" t="str">
        <f t="shared" si="9"/>
        <v>JOSE TORRES</v>
      </c>
      <c r="L133" s="6">
        <v>45933</v>
      </c>
      <c r="M133" s="6">
        <v>45964</v>
      </c>
      <c r="N133" s="7">
        <v>15</v>
      </c>
      <c r="O133" s="9">
        <v>0.38</v>
      </c>
      <c r="P133" s="5" t="s">
        <v>60</v>
      </c>
      <c r="Q133" s="5" t="s">
        <v>61</v>
      </c>
      <c r="R133" s="7">
        <v>34.200000000000003</v>
      </c>
      <c r="S133" s="7">
        <v>5.7</v>
      </c>
    </row>
    <row r="134" spans="1:19" x14ac:dyDescent="0.25">
      <c r="A134" s="5">
        <v>2031420005</v>
      </c>
      <c r="B134" s="5" t="s">
        <v>230</v>
      </c>
      <c r="C134" s="5" t="s">
        <v>231</v>
      </c>
      <c r="D134" s="5" t="str">
        <f t="shared" si="8"/>
        <v>LUZ PEREZ</v>
      </c>
      <c r="E134" s="5" t="s">
        <v>101</v>
      </c>
      <c r="F134" s="5" t="s">
        <v>287</v>
      </c>
      <c r="G134" s="5" t="s">
        <v>291</v>
      </c>
      <c r="H134" s="5"/>
      <c r="I134" s="5" t="s">
        <v>233</v>
      </c>
      <c r="J134" s="5" t="s">
        <v>234</v>
      </c>
      <c r="K134" s="5" t="str">
        <f t="shared" si="9"/>
        <v>JOSE TORRES</v>
      </c>
      <c r="L134" s="6">
        <v>45933</v>
      </c>
      <c r="M134" s="6">
        <v>45964</v>
      </c>
      <c r="N134" s="7">
        <v>168.95</v>
      </c>
      <c r="O134" s="9">
        <v>0.38</v>
      </c>
      <c r="P134" s="5" t="s">
        <v>60</v>
      </c>
      <c r="Q134" s="5" t="s">
        <v>61</v>
      </c>
      <c r="R134" s="7">
        <v>385.2</v>
      </c>
      <c r="S134" s="7">
        <v>64.2</v>
      </c>
    </row>
    <row r="135" spans="1:19" x14ac:dyDescent="0.25">
      <c r="A135" s="5">
        <v>2031081022</v>
      </c>
      <c r="B135" s="5" t="s">
        <v>144</v>
      </c>
      <c r="C135" s="5" t="s">
        <v>145</v>
      </c>
      <c r="D135" s="5" t="str">
        <f t="shared" si="8"/>
        <v>JENNIFER GENTRY</v>
      </c>
      <c r="E135" s="5" t="s">
        <v>64</v>
      </c>
      <c r="F135" s="5" t="s">
        <v>89</v>
      </c>
      <c r="G135" s="5" t="s">
        <v>96</v>
      </c>
      <c r="H135" s="5"/>
      <c r="I135" s="5" t="s">
        <v>146</v>
      </c>
      <c r="J135" s="5" t="s">
        <v>147</v>
      </c>
      <c r="K135" s="5" t="str">
        <f t="shared" si="9"/>
        <v>Kirk Tigue</v>
      </c>
      <c r="L135" s="6">
        <v>45932</v>
      </c>
      <c r="M135" s="6">
        <v>45963</v>
      </c>
      <c r="N135" s="7">
        <v>51.21</v>
      </c>
      <c r="O135" s="9">
        <v>0.9</v>
      </c>
      <c r="P135" s="5" t="s">
        <v>60</v>
      </c>
      <c r="Q135" s="5" t="s">
        <v>61</v>
      </c>
      <c r="R135" s="7">
        <v>276.54000000000002</v>
      </c>
      <c r="S135" s="7">
        <v>46.09</v>
      </c>
    </row>
    <row r="136" spans="1:19" x14ac:dyDescent="0.25">
      <c r="A136" s="5">
        <v>2031081020</v>
      </c>
      <c r="B136" s="5" t="s">
        <v>144</v>
      </c>
      <c r="C136" s="5" t="s">
        <v>145</v>
      </c>
      <c r="D136" s="5" t="str">
        <f t="shared" si="8"/>
        <v>JENNIFER GENTRY</v>
      </c>
      <c r="E136" s="5" t="s">
        <v>64</v>
      </c>
      <c r="F136" s="5" t="s">
        <v>243</v>
      </c>
      <c r="G136" s="5" t="s">
        <v>244</v>
      </c>
      <c r="H136" s="5"/>
      <c r="I136" s="5" t="s">
        <v>146</v>
      </c>
      <c r="J136" s="5" t="s">
        <v>147</v>
      </c>
      <c r="K136" s="5" t="str">
        <f t="shared" si="9"/>
        <v>Kirk Tigue</v>
      </c>
      <c r="L136" s="6">
        <v>45932</v>
      </c>
      <c r="M136" s="6">
        <v>45963</v>
      </c>
      <c r="N136" s="7">
        <v>15.33</v>
      </c>
      <c r="O136" s="8">
        <v>0.375</v>
      </c>
      <c r="P136" s="5" t="s">
        <v>60</v>
      </c>
      <c r="Q136" s="5" t="s">
        <v>61</v>
      </c>
      <c r="R136" s="7">
        <v>34.5</v>
      </c>
      <c r="S136" s="7">
        <v>5.75</v>
      </c>
    </row>
    <row r="137" spans="1:19" x14ac:dyDescent="0.25">
      <c r="A137" s="5">
        <v>2031106354</v>
      </c>
      <c r="B137" s="5" t="s">
        <v>252</v>
      </c>
      <c r="C137" s="5" t="s">
        <v>253</v>
      </c>
      <c r="D137" s="5" t="str">
        <f t="shared" si="8"/>
        <v>DORCAS MATTHEW-GEORGE</v>
      </c>
      <c r="E137" s="5" t="s">
        <v>52</v>
      </c>
      <c r="F137" s="5" t="s">
        <v>243</v>
      </c>
      <c r="G137" s="5" t="s">
        <v>244</v>
      </c>
      <c r="H137" s="5"/>
      <c r="I137" s="5" t="s">
        <v>146</v>
      </c>
      <c r="J137" s="5" t="s">
        <v>147</v>
      </c>
      <c r="K137" s="5" t="str">
        <f t="shared" si="9"/>
        <v>Kirk Tigue</v>
      </c>
      <c r="L137" s="6">
        <v>45932</v>
      </c>
      <c r="M137" s="6">
        <v>45963</v>
      </c>
      <c r="N137" s="7">
        <v>33.39</v>
      </c>
      <c r="O137" s="8">
        <v>0.375</v>
      </c>
      <c r="P137" s="5" t="s">
        <v>60</v>
      </c>
      <c r="Q137" s="5" t="s">
        <v>61</v>
      </c>
      <c r="R137" s="7">
        <v>75.12</v>
      </c>
      <c r="S137" s="7">
        <v>12.52</v>
      </c>
    </row>
    <row r="138" spans="1:19" x14ac:dyDescent="0.25">
      <c r="A138" s="5">
        <v>2031081021</v>
      </c>
      <c r="B138" s="5" t="s">
        <v>144</v>
      </c>
      <c r="C138" s="5" t="s">
        <v>145</v>
      </c>
      <c r="D138" s="5" t="str">
        <f t="shared" si="8"/>
        <v>JENNIFER GENTRY</v>
      </c>
      <c r="E138" s="5" t="s">
        <v>64</v>
      </c>
      <c r="F138" s="5" t="s">
        <v>292</v>
      </c>
      <c r="G138" s="5" t="s">
        <v>293</v>
      </c>
      <c r="H138" s="5"/>
      <c r="I138" s="5" t="s">
        <v>146</v>
      </c>
      <c r="J138" s="5" t="s">
        <v>147</v>
      </c>
      <c r="K138" s="5" t="str">
        <f t="shared" si="9"/>
        <v>Kirk Tigue</v>
      </c>
      <c r="L138" s="6">
        <v>45932</v>
      </c>
      <c r="M138" s="6">
        <v>45963</v>
      </c>
      <c r="N138" s="7">
        <v>20.21</v>
      </c>
      <c r="O138" s="9">
        <v>0.7</v>
      </c>
      <c r="P138" s="5" t="s">
        <v>60</v>
      </c>
      <c r="Q138" s="5" t="s">
        <v>61</v>
      </c>
      <c r="R138" s="7">
        <v>84.9</v>
      </c>
      <c r="S138" s="7">
        <v>14.15</v>
      </c>
    </row>
    <row r="139" spans="1:19" x14ac:dyDescent="0.25">
      <c r="A139" s="5">
        <v>2031091279</v>
      </c>
      <c r="B139" s="5" t="s">
        <v>148</v>
      </c>
      <c r="C139" s="5" t="s">
        <v>149</v>
      </c>
      <c r="D139" s="5" t="str">
        <f t="shared" si="8"/>
        <v>BEVERLY SMITH</v>
      </c>
      <c r="E139" s="5" t="s">
        <v>150</v>
      </c>
      <c r="F139" s="5" t="s">
        <v>89</v>
      </c>
      <c r="G139" s="5" t="s">
        <v>111</v>
      </c>
      <c r="H139" s="5"/>
      <c r="I139" s="5" t="s">
        <v>151</v>
      </c>
      <c r="J139" s="5" t="s">
        <v>152</v>
      </c>
      <c r="K139" s="5" t="str">
        <f t="shared" si="9"/>
        <v>Marsha Sanderock</v>
      </c>
      <c r="L139" s="6">
        <v>45931</v>
      </c>
      <c r="M139" s="6">
        <v>45962</v>
      </c>
      <c r="N139" s="7">
        <v>48.55</v>
      </c>
      <c r="O139" s="9">
        <v>0.75</v>
      </c>
      <c r="P139" s="5" t="s">
        <v>60</v>
      </c>
      <c r="Q139" s="5" t="s">
        <v>61</v>
      </c>
      <c r="R139" s="7">
        <v>218.46</v>
      </c>
      <c r="S139" s="7">
        <v>36.409999999999997</v>
      </c>
    </row>
    <row r="140" spans="1:19" x14ac:dyDescent="0.25">
      <c r="A140" s="5">
        <v>2031223341</v>
      </c>
      <c r="B140" s="5" t="s">
        <v>160</v>
      </c>
      <c r="C140" s="5" t="s">
        <v>161</v>
      </c>
      <c r="D140" s="5" t="str">
        <f t="shared" si="8"/>
        <v>NANCY WOODCOCK</v>
      </c>
      <c r="E140" s="5" t="s">
        <v>150</v>
      </c>
      <c r="F140" s="5" t="s">
        <v>89</v>
      </c>
      <c r="G140" s="5" t="s">
        <v>96</v>
      </c>
      <c r="H140" s="5"/>
      <c r="I140" s="5" t="s">
        <v>151</v>
      </c>
      <c r="J140" s="5" t="s">
        <v>152</v>
      </c>
      <c r="K140" s="5" t="str">
        <f t="shared" si="9"/>
        <v>Marsha Sanderock</v>
      </c>
      <c r="L140" s="6">
        <v>45931</v>
      </c>
      <c r="M140" s="6">
        <v>45962</v>
      </c>
      <c r="N140" s="7">
        <v>101.93</v>
      </c>
      <c r="O140" s="9">
        <v>0.9</v>
      </c>
      <c r="P140" s="5" t="s">
        <v>60</v>
      </c>
      <c r="Q140" s="5" t="s">
        <v>61</v>
      </c>
      <c r="R140" s="7">
        <v>550.44000000000005</v>
      </c>
      <c r="S140" s="7">
        <v>91.74</v>
      </c>
    </row>
    <row r="141" spans="1:19" x14ac:dyDescent="0.25">
      <c r="A141" s="5">
        <v>2030706584</v>
      </c>
      <c r="B141" s="5" t="s">
        <v>215</v>
      </c>
      <c r="C141" s="5" t="s">
        <v>216</v>
      </c>
      <c r="D141" s="5" t="str">
        <f t="shared" si="8"/>
        <v>LOGAN RATTS</v>
      </c>
      <c r="E141" s="5" t="s">
        <v>150</v>
      </c>
      <c r="F141" s="5" t="s">
        <v>209</v>
      </c>
      <c r="G141" s="5" t="s">
        <v>217</v>
      </c>
      <c r="H141" s="5"/>
      <c r="I141" s="5" t="s">
        <v>151</v>
      </c>
      <c r="J141" s="5" t="s">
        <v>152</v>
      </c>
      <c r="K141" s="5" t="str">
        <f t="shared" si="9"/>
        <v>Marsha Sanderock</v>
      </c>
      <c r="L141" s="6">
        <v>45932</v>
      </c>
      <c r="M141" s="6">
        <v>45963</v>
      </c>
      <c r="N141" s="7">
        <v>15</v>
      </c>
      <c r="O141" s="9">
        <v>0.19</v>
      </c>
      <c r="P141" s="5" t="s">
        <v>60</v>
      </c>
      <c r="Q141" s="5" t="s">
        <v>61</v>
      </c>
      <c r="R141" s="7">
        <v>0</v>
      </c>
      <c r="S141" s="7">
        <v>0</v>
      </c>
    </row>
    <row r="142" spans="1:19" x14ac:dyDescent="0.25">
      <c r="A142" s="5">
        <v>2030949434</v>
      </c>
      <c r="B142" s="5" t="s">
        <v>219</v>
      </c>
      <c r="C142" s="5" t="s">
        <v>220</v>
      </c>
      <c r="D142" s="5" t="str">
        <f t="shared" si="8"/>
        <v>BRIAN LEWIS</v>
      </c>
      <c r="E142" s="5" t="s">
        <v>150</v>
      </c>
      <c r="F142" s="5" t="s">
        <v>209</v>
      </c>
      <c r="G142" s="5" t="s">
        <v>217</v>
      </c>
      <c r="H142" s="5"/>
      <c r="I142" s="5" t="s">
        <v>151</v>
      </c>
      <c r="J142" s="5" t="s">
        <v>152</v>
      </c>
      <c r="K142" s="5" t="str">
        <f t="shared" si="9"/>
        <v>Marsha Sanderock</v>
      </c>
      <c r="L142" s="6">
        <v>45931</v>
      </c>
      <c r="M142" s="6">
        <v>45962</v>
      </c>
      <c r="N142" s="7">
        <v>15</v>
      </c>
      <c r="O142" s="9">
        <v>0.19</v>
      </c>
      <c r="P142" s="5" t="s">
        <v>60</v>
      </c>
      <c r="Q142" s="5" t="s">
        <v>61</v>
      </c>
      <c r="R142" s="7">
        <v>17.100000000000001</v>
      </c>
      <c r="S142" s="7">
        <v>2.85</v>
      </c>
    </row>
    <row r="143" spans="1:19" x14ac:dyDescent="0.25">
      <c r="A143" s="5">
        <v>2031091278</v>
      </c>
      <c r="B143" s="5" t="s">
        <v>148</v>
      </c>
      <c r="C143" s="5" t="s">
        <v>149</v>
      </c>
      <c r="D143" s="5" t="str">
        <f t="shared" si="8"/>
        <v>BEVERLY SMITH</v>
      </c>
      <c r="E143" s="5" t="s">
        <v>150</v>
      </c>
      <c r="F143" s="5" t="s">
        <v>243</v>
      </c>
      <c r="G143" s="5" t="s">
        <v>244</v>
      </c>
      <c r="H143" s="5"/>
      <c r="I143" s="5" t="s">
        <v>151</v>
      </c>
      <c r="J143" s="5" t="s">
        <v>152</v>
      </c>
      <c r="K143" s="5" t="str">
        <f t="shared" si="9"/>
        <v>Marsha Sanderock</v>
      </c>
      <c r="L143" s="6">
        <v>45931</v>
      </c>
      <c r="M143" s="6">
        <v>45962</v>
      </c>
      <c r="N143" s="7">
        <v>58.15</v>
      </c>
      <c r="O143" s="8">
        <v>0.375</v>
      </c>
      <c r="P143" s="5" t="s">
        <v>60</v>
      </c>
      <c r="Q143" s="5" t="s">
        <v>61</v>
      </c>
      <c r="R143" s="7">
        <v>130.86000000000001</v>
      </c>
      <c r="S143" s="7">
        <v>21.81</v>
      </c>
    </row>
    <row r="144" spans="1:19" x14ac:dyDescent="0.25">
      <c r="A144" s="5">
        <v>2031361485</v>
      </c>
      <c r="B144" s="5" t="s">
        <v>279</v>
      </c>
      <c r="C144" s="5" t="s">
        <v>280</v>
      </c>
      <c r="D144" s="5" t="str">
        <f t="shared" si="8"/>
        <v>CASSIE ROBY</v>
      </c>
      <c r="E144" s="5" t="s">
        <v>150</v>
      </c>
      <c r="F144" s="5" t="s">
        <v>243</v>
      </c>
      <c r="G144" s="5" t="s">
        <v>244</v>
      </c>
      <c r="H144" s="5"/>
      <c r="I144" s="5" t="s">
        <v>151</v>
      </c>
      <c r="J144" s="5" t="s">
        <v>152</v>
      </c>
      <c r="K144" s="5" t="str">
        <f t="shared" si="9"/>
        <v>Marsha Sanderock</v>
      </c>
      <c r="L144" s="6">
        <v>45931</v>
      </c>
      <c r="M144" s="6">
        <v>45962</v>
      </c>
      <c r="N144" s="7">
        <v>58.15</v>
      </c>
      <c r="O144" s="8">
        <v>0.375</v>
      </c>
      <c r="P144" s="5" t="s">
        <v>60</v>
      </c>
      <c r="Q144" s="5" t="s">
        <v>61</v>
      </c>
      <c r="R144" s="7">
        <v>130.86000000000001</v>
      </c>
      <c r="S144" s="7">
        <v>21.81</v>
      </c>
    </row>
    <row r="145" spans="1:19" x14ac:dyDescent="0.25">
      <c r="A145" s="5">
        <v>2031223342</v>
      </c>
      <c r="B145" s="5" t="s">
        <v>160</v>
      </c>
      <c r="C145" s="5" t="s">
        <v>161</v>
      </c>
      <c r="D145" s="5" t="str">
        <f t="shared" si="8"/>
        <v>NANCY WOODCOCK</v>
      </c>
      <c r="E145" s="5" t="s">
        <v>150</v>
      </c>
      <c r="F145" s="5" t="s">
        <v>292</v>
      </c>
      <c r="G145" s="5" t="s">
        <v>293</v>
      </c>
      <c r="H145" s="5"/>
      <c r="I145" s="5" t="s">
        <v>151</v>
      </c>
      <c r="J145" s="5" t="s">
        <v>152</v>
      </c>
      <c r="K145" s="5" t="str">
        <f t="shared" si="9"/>
        <v>Marsha Sanderock</v>
      </c>
      <c r="L145" s="6">
        <v>45931</v>
      </c>
      <c r="M145" s="6">
        <v>45962</v>
      </c>
      <c r="N145" s="7">
        <v>36.76</v>
      </c>
      <c r="O145" s="9">
        <v>0.7</v>
      </c>
      <c r="P145" s="5" t="s">
        <v>60</v>
      </c>
      <c r="Q145" s="5" t="s">
        <v>61</v>
      </c>
      <c r="R145" s="7">
        <v>154.38</v>
      </c>
      <c r="S145" s="7">
        <v>25.73</v>
      </c>
    </row>
    <row r="146" spans="1:19" x14ac:dyDescent="0.25">
      <c r="A146" s="5">
        <v>2031361486</v>
      </c>
      <c r="B146" s="5" t="s">
        <v>279</v>
      </c>
      <c r="C146" s="5" t="s">
        <v>280</v>
      </c>
      <c r="D146" s="5" t="str">
        <f t="shared" si="8"/>
        <v>CASSIE ROBY</v>
      </c>
      <c r="E146" s="5" t="s">
        <v>150</v>
      </c>
      <c r="F146" s="5" t="s">
        <v>292</v>
      </c>
      <c r="G146" s="5" t="s">
        <v>293</v>
      </c>
      <c r="H146" s="5"/>
      <c r="I146" s="5" t="s">
        <v>151</v>
      </c>
      <c r="J146" s="5" t="s">
        <v>152</v>
      </c>
      <c r="K146" s="5" t="str">
        <f t="shared" si="9"/>
        <v>Marsha Sanderock</v>
      </c>
      <c r="L146" s="6">
        <v>45931</v>
      </c>
      <c r="M146" s="6">
        <v>45962</v>
      </c>
      <c r="N146" s="7">
        <v>3.52</v>
      </c>
      <c r="O146" s="9">
        <v>0.7</v>
      </c>
      <c r="P146" s="5" t="s">
        <v>60</v>
      </c>
      <c r="Q146" s="5" t="s">
        <v>61</v>
      </c>
      <c r="R146" s="7">
        <v>14.76</v>
      </c>
      <c r="S146" s="7">
        <v>2.46</v>
      </c>
    </row>
    <row r="147" spans="1:19" x14ac:dyDescent="0.25">
      <c r="A147" s="5">
        <v>2030706583</v>
      </c>
      <c r="B147" s="5" t="s">
        <v>215</v>
      </c>
      <c r="C147" s="5" t="s">
        <v>216</v>
      </c>
      <c r="D147" s="5" t="str">
        <f t="shared" si="8"/>
        <v>LOGAN RATTS</v>
      </c>
      <c r="E147" s="5" t="s">
        <v>150</v>
      </c>
      <c r="F147" s="5" t="s">
        <v>344</v>
      </c>
      <c r="G147" s="5" t="s">
        <v>345</v>
      </c>
      <c r="H147" s="5"/>
      <c r="I147" s="5" t="s">
        <v>151</v>
      </c>
      <c r="J147" s="5" t="s">
        <v>152</v>
      </c>
      <c r="K147" s="5" t="str">
        <f t="shared" si="9"/>
        <v>Marsha Sanderock</v>
      </c>
      <c r="L147" s="6">
        <v>45932</v>
      </c>
      <c r="M147" s="6">
        <v>45963</v>
      </c>
      <c r="N147" s="7">
        <v>144.97</v>
      </c>
      <c r="O147" s="9">
        <v>0.19</v>
      </c>
      <c r="P147" s="5" t="s">
        <v>60</v>
      </c>
      <c r="Q147" s="5" t="s">
        <v>61</v>
      </c>
      <c r="R147" s="7">
        <v>0</v>
      </c>
      <c r="S147" s="7">
        <v>0</v>
      </c>
    </row>
    <row r="148" spans="1:19" x14ac:dyDescent="0.25">
      <c r="A148" s="5">
        <v>2030949433</v>
      </c>
      <c r="B148" s="5" t="s">
        <v>219</v>
      </c>
      <c r="C148" s="5" t="s">
        <v>220</v>
      </c>
      <c r="D148" s="5" t="str">
        <f t="shared" si="8"/>
        <v>BRIAN LEWIS</v>
      </c>
      <c r="E148" s="5" t="s">
        <v>150</v>
      </c>
      <c r="F148" s="5" t="s">
        <v>344</v>
      </c>
      <c r="G148" s="5" t="s">
        <v>345</v>
      </c>
      <c r="H148" s="5"/>
      <c r="I148" s="5" t="s">
        <v>151</v>
      </c>
      <c r="J148" s="5" t="s">
        <v>152</v>
      </c>
      <c r="K148" s="5" t="str">
        <f t="shared" si="9"/>
        <v>Marsha Sanderock</v>
      </c>
      <c r="L148" s="6">
        <v>45931</v>
      </c>
      <c r="M148" s="6">
        <v>45962</v>
      </c>
      <c r="N148" s="7">
        <v>525.4</v>
      </c>
      <c r="O148" s="9">
        <v>0.19</v>
      </c>
      <c r="P148" s="5" t="s">
        <v>60</v>
      </c>
      <c r="Q148" s="5" t="s">
        <v>61</v>
      </c>
      <c r="R148" s="7">
        <v>598.98</v>
      </c>
      <c r="S148" s="7">
        <v>99.83</v>
      </c>
    </row>
    <row r="149" spans="1:19" x14ac:dyDescent="0.25">
      <c r="A149" s="5">
        <v>2031410719</v>
      </c>
      <c r="B149" s="5" t="s">
        <v>356</v>
      </c>
      <c r="C149" s="5" t="s">
        <v>98</v>
      </c>
      <c r="D149" s="5" t="str">
        <f t="shared" si="8"/>
        <v>MATTHEW GOOTEE</v>
      </c>
      <c r="E149" s="5" t="s">
        <v>150</v>
      </c>
      <c r="F149" s="5" t="s">
        <v>350</v>
      </c>
      <c r="G149" s="5" t="s">
        <v>351</v>
      </c>
      <c r="H149" s="5"/>
      <c r="I149" s="5" t="s">
        <v>151</v>
      </c>
      <c r="J149" s="5" t="s">
        <v>152</v>
      </c>
      <c r="K149" s="5" t="str">
        <f t="shared" si="9"/>
        <v>Marsha Sanderock</v>
      </c>
      <c r="L149" s="6">
        <v>45933</v>
      </c>
      <c r="M149" s="6">
        <v>45964</v>
      </c>
      <c r="N149" s="7">
        <v>59.02</v>
      </c>
      <c r="O149" s="9">
        <v>0.47</v>
      </c>
      <c r="P149" s="5" t="s">
        <v>60</v>
      </c>
      <c r="Q149" s="5" t="s">
        <v>61</v>
      </c>
      <c r="R149" s="7">
        <v>166.44</v>
      </c>
      <c r="S149" s="7">
        <v>27.74</v>
      </c>
    </row>
    <row r="150" spans="1:19" x14ac:dyDescent="0.25">
      <c r="A150" s="5">
        <v>2031381897</v>
      </c>
      <c r="B150" s="5" t="s">
        <v>338</v>
      </c>
      <c r="C150" s="5" t="s">
        <v>339</v>
      </c>
      <c r="D150" s="5" t="str">
        <f t="shared" ref="D150:D181" si="10">CONCATENATE(C150, " ",B150)</f>
        <v>BAYARTSETSEG BATJARGAL</v>
      </c>
      <c r="E150" s="5" t="s">
        <v>101</v>
      </c>
      <c r="F150" s="5" t="s">
        <v>292</v>
      </c>
      <c r="G150" s="5" t="s">
        <v>293</v>
      </c>
      <c r="H150" s="5"/>
      <c r="I150" s="5" t="s">
        <v>340</v>
      </c>
      <c r="J150" s="5" t="s">
        <v>341</v>
      </c>
      <c r="K150" s="5" t="str">
        <f t="shared" ref="K150:K181" si="11">CONCATENATE(J150, " ",I150)</f>
        <v>NASANDELGER ZANA</v>
      </c>
      <c r="L150" s="6">
        <v>45932</v>
      </c>
      <c r="M150" s="6">
        <v>45963</v>
      </c>
      <c r="N150" s="7">
        <v>117.94</v>
      </c>
      <c r="O150" s="9">
        <v>0.7</v>
      </c>
      <c r="P150" s="5" t="s">
        <v>60</v>
      </c>
      <c r="Q150" s="5" t="s">
        <v>61</v>
      </c>
      <c r="R150" s="7">
        <v>495.36</v>
      </c>
      <c r="S150" s="7">
        <v>82.56</v>
      </c>
    </row>
    <row r="151" spans="1:19" x14ac:dyDescent="0.25">
      <c r="A151" s="5">
        <v>2031451696</v>
      </c>
      <c r="B151" s="5" t="s">
        <v>342</v>
      </c>
      <c r="C151" s="5" t="s">
        <v>343</v>
      </c>
      <c r="D151" s="5" t="str">
        <f t="shared" si="10"/>
        <v>DULGUUN ENKHSAIKHAN</v>
      </c>
      <c r="E151" s="5" t="s">
        <v>101</v>
      </c>
      <c r="F151" s="5" t="s">
        <v>292</v>
      </c>
      <c r="G151" s="5" t="s">
        <v>293</v>
      </c>
      <c r="H151" s="5"/>
      <c r="I151" s="5" t="s">
        <v>340</v>
      </c>
      <c r="J151" s="5" t="s">
        <v>341</v>
      </c>
      <c r="K151" s="5" t="str">
        <f t="shared" si="11"/>
        <v>NASANDELGER ZANA</v>
      </c>
      <c r="L151" s="6">
        <v>45935</v>
      </c>
      <c r="M151" s="6">
        <v>45966</v>
      </c>
      <c r="N151" s="7">
        <v>32.26</v>
      </c>
      <c r="O151" s="9">
        <v>0.7</v>
      </c>
      <c r="P151" s="5" t="s">
        <v>60</v>
      </c>
      <c r="Q151" s="5" t="s">
        <v>61</v>
      </c>
      <c r="R151" s="7">
        <v>135.47999999999999</v>
      </c>
      <c r="S151" s="7">
        <v>22.58</v>
      </c>
    </row>
    <row r="152" spans="1:19" x14ac:dyDescent="0.25">
      <c r="A152" s="5">
        <v>2031146403</v>
      </c>
      <c r="B152" s="5" t="s">
        <v>317</v>
      </c>
      <c r="C152" s="5" t="s">
        <v>318</v>
      </c>
      <c r="D152" s="5" t="str">
        <f t="shared" si="10"/>
        <v>PATSAMON THANADABOUTH</v>
      </c>
      <c r="E152" s="5" t="s">
        <v>101</v>
      </c>
      <c r="F152" s="5" t="s">
        <v>292</v>
      </c>
      <c r="G152" s="5" t="s">
        <v>293</v>
      </c>
      <c r="H152" s="5"/>
      <c r="I152" s="5" t="s">
        <v>317</v>
      </c>
      <c r="J152" s="5" t="s">
        <v>318</v>
      </c>
      <c r="K152" s="5" t="str">
        <f t="shared" si="11"/>
        <v>PATSAMON THANADABOUTH</v>
      </c>
      <c r="L152" s="6">
        <v>45931</v>
      </c>
      <c r="M152" s="6">
        <v>45962</v>
      </c>
      <c r="N152" s="7">
        <v>26.5</v>
      </c>
      <c r="O152" s="9">
        <v>0.7</v>
      </c>
      <c r="P152" s="5" t="s">
        <v>60</v>
      </c>
      <c r="Q152" s="5" t="s">
        <v>61</v>
      </c>
      <c r="R152" s="7">
        <v>111.3</v>
      </c>
      <c r="S152" s="7">
        <v>18.55</v>
      </c>
    </row>
    <row r="153" spans="1:19" x14ac:dyDescent="0.25">
      <c r="A153" s="5">
        <v>2031408822</v>
      </c>
      <c r="B153" s="5" t="s">
        <v>197</v>
      </c>
      <c r="C153" s="5" t="s">
        <v>72</v>
      </c>
      <c r="D153" s="5" t="str">
        <f t="shared" si="10"/>
        <v>JOHN LIM</v>
      </c>
      <c r="E153" s="5" t="s">
        <v>101</v>
      </c>
      <c r="F153" s="5" t="s">
        <v>89</v>
      </c>
      <c r="G153" s="5" t="s">
        <v>111</v>
      </c>
      <c r="H153" s="5"/>
      <c r="I153" s="5" t="s">
        <v>198</v>
      </c>
      <c r="J153" s="5" t="s">
        <v>199</v>
      </c>
      <c r="K153" s="5" t="str">
        <f t="shared" si="11"/>
        <v>Raluca Cheregi</v>
      </c>
      <c r="L153" s="6">
        <v>45933</v>
      </c>
      <c r="M153" s="6">
        <v>45964</v>
      </c>
      <c r="N153" s="7">
        <v>138.93</v>
      </c>
      <c r="O153" s="9">
        <v>0.75</v>
      </c>
      <c r="P153" s="5" t="s">
        <v>60</v>
      </c>
      <c r="Q153" s="5" t="s">
        <v>61</v>
      </c>
      <c r="R153" s="7">
        <v>625.20000000000005</v>
      </c>
      <c r="S153" s="7">
        <v>104.2</v>
      </c>
    </row>
    <row r="154" spans="1:19" x14ac:dyDescent="0.25">
      <c r="A154" s="5">
        <v>2031408821</v>
      </c>
      <c r="B154" s="5" t="s">
        <v>197</v>
      </c>
      <c r="C154" s="5" t="s">
        <v>72</v>
      </c>
      <c r="D154" s="5" t="str">
        <f t="shared" si="10"/>
        <v>JOHN LIM</v>
      </c>
      <c r="E154" s="5" t="s">
        <v>101</v>
      </c>
      <c r="F154" s="5" t="s">
        <v>292</v>
      </c>
      <c r="G154" s="5" t="s">
        <v>293</v>
      </c>
      <c r="H154" s="5"/>
      <c r="I154" s="5" t="s">
        <v>198</v>
      </c>
      <c r="J154" s="5" t="s">
        <v>199</v>
      </c>
      <c r="K154" s="5" t="str">
        <f t="shared" si="11"/>
        <v>Raluca Cheregi</v>
      </c>
      <c r="L154" s="6">
        <v>45933</v>
      </c>
      <c r="M154" s="6">
        <v>45964</v>
      </c>
      <c r="N154" s="7">
        <v>56.5</v>
      </c>
      <c r="O154" s="9">
        <v>0.7</v>
      </c>
      <c r="P154" s="5" t="s">
        <v>60</v>
      </c>
      <c r="Q154" s="5" t="s">
        <v>61</v>
      </c>
      <c r="R154" s="7">
        <v>237.3</v>
      </c>
      <c r="S154" s="7">
        <v>39.549999999999997</v>
      </c>
    </row>
    <row r="155" spans="1:19" x14ac:dyDescent="0.25">
      <c r="A155" s="5">
        <v>2031327778</v>
      </c>
      <c r="B155" s="5" t="s">
        <v>62</v>
      </c>
      <c r="C155" s="5" t="s">
        <v>63</v>
      </c>
      <c r="D155" s="5" t="str">
        <f t="shared" si="10"/>
        <v>ANTHONY CALLAGHAN</v>
      </c>
      <c r="E155" s="5" t="s">
        <v>64</v>
      </c>
      <c r="F155" s="5" t="s">
        <v>53</v>
      </c>
      <c r="G155" s="5" t="s">
        <v>65</v>
      </c>
      <c r="H155" s="5"/>
      <c r="I155" s="5" t="s">
        <v>66</v>
      </c>
      <c r="J155" s="5" t="s">
        <v>67</v>
      </c>
      <c r="K155" s="5" t="str">
        <f t="shared" si="11"/>
        <v>Richard Yale</v>
      </c>
      <c r="L155" s="6">
        <v>45931</v>
      </c>
      <c r="M155" s="6">
        <v>45962</v>
      </c>
      <c r="N155" s="7">
        <v>69.5</v>
      </c>
      <c r="O155" s="9">
        <v>0.6</v>
      </c>
      <c r="P155" s="5" t="s">
        <v>60</v>
      </c>
      <c r="Q155" s="5" t="s">
        <v>61</v>
      </c>
      <c r="R155" s="7">
        <v>250.2</v>
      </c>
      <c r="S155" s="7">
        <v>41.7</v>
      </c>
    </row>
    <row r="156" spans="1:19" x14ac:dyDescent="0.25">
      <c r="A156" s="5">
        <v>2031327779</v>
      </c>
      <c r="B156" s="5" t="s">
        <v>62</v>
      </c>
      <c r="C156" s="5" t="s">
        <v>63</v>
      </c>
      <c r="D156" s="5" t="str">
        <f t="shared" si="10"/>
        <v>ANTHONY CALLAGHAN</v>
      </c>
      <c r="E156" s="5" t="s">
        <v>64</v>
      </c>
      <c r="F156" s="5" t="s">
        <v>89</v>
      </c>
      <c r="G156" s="5" t="s">
        <v>102</v>
      </c>
      <c r="H156" s="5"/>
      <c r="I156" s="5" t="s">
        <v>66</v>
      </c>
      <c r="J156" s="5" t="s">
        <v>67</v>
      </c>
      <c r="K156" s="5" t="str">
        <f t="shared" si="11"/>
        <v>Richard Yale</v>
      </c>
      <c r="L156" s="6">
        <v>45931</v>
      </c>
      <c r="M156" s="6">
        <v>45962</v>
      </c>
      <c r="N156" s="7">
        <v>31.87</v>
      </c>
      <c r="O156" s="9">
        <v>0.75</v>
      </c>
      <c r="P156" s="5" t="s">
        <v>60</v>
      </c>
      <c r="Q156" s="5" t="s">
        <v>61</v>
      </c>
      <c r="R156" s="7">
        <v>143.4</v>
      </c>
      <c r="S156" s="7">
        <v>23.9</v>
      </c>
    </row>
    <row r="157" spans="1:19" x14ac:dyDescent="0.25">
      <c r="A157" s="5">
        <v>2031338961</v>
      </c>
      <c r="B157" s="5" t="s">
        <v>183</v>
      </c>
      <c r="C157" s="5" t="s">
        <v>163</v>
      </c>
      <c r="D157" s="5" t="str">
        <f t="shared" si="10"/>
        <v>SUZANNE MEYERS</v>
      </c>
      <c r="E157" s="5" t="s">
        <v>101</v>
      </c>
      <c r="F157" s="5" t="s">
        <v>89</v>
      </c>
      <c r="G157" s="5" t="s">
        <v>102</v>
      </c>
      <c r="H157" s="5"/>
      <c r="I157" s="5" t="s">
        <v>66</v>
      </c>
      <c r="J157" s="5" t="s">
        <v>67</v>
      </c>
      <c r="K157" s="5" t="str">
        <f t="shared" si="11"/>
        <v>Richard Yale</v>
      </c>
      <c r="L157" s="6">
        <v>45931</v>
      </c>
      <c r="M157" s="6">
        <v>45962</v>
      </c>
      <c r="N157" s="7">
        <v>41.68</v>
      </c>
      <c r="O157" s="9">
        <v>0.75</v>
      </c>
      <c r="P157" s="5" t="s">
        <v>60</v>
      </c>
      <c r="Q157" s="5" t="s">
        <v>61</v>
      </c>
      <c r="R157" s="7">
        <v>187.56</v>
      </c>
      <c r="S157" s="7">
        <v>31.26</v>
      </c>
    </row>
    <row r="158" spans="1:19" x14ac:dyDescent="0.25">
      <c r="A158" s="5">
        <v>2031327777</v>
      </c>
      <c r="B158" s="5" t="s">
        <v>62</v>
      </c>
      <c r="C158" s="5" t="s">
        <v>63</v>
      </c>
      <c r="D158" s="5" t="str">
        <f t="shared" si="10"/>
        <v>ANTHONY CALLAGHAN</v>
      </c>
      <c r="E158" s="5" t="s">
        <v>64</v>
      </c>
      <c r="F158" s="5" t="s">
        <v>292</v>
      </c>
      <c r="G158" s="5" t="s">
        <v>293</v>
      </c>
      <c r="H158" s="5"/>
      <c r="I158" s="5" t="s">
        <v>66</v>
      </c>
      <c r="J158" s="5" t="s">
        <v>67</v>
      </c>
      <c r="K158" s="5" t="str">
        <f t="shared" si="11"/>
        <v>Richard Yale</v>
      </c>
      <c r="L158" s="6">
        <v>45931</v>
      </c>
      <c r="M158" s="6">
        <v>45962</v>
      </c>
      <c r="N158" s="7">
        <v>46.38</v>
      </c>
      <c r="O158" s="9">
        <v>0.7</v>
      </c>
      <c r="P158" s="5" t="s">
        <v>60</v>
      </c>
      <c r="Q158" s="5" t="s">
        <v>61</v>
      </c>
      <c r="R158" s="7">
        <v>194.82</v>
      </c>
      <c r="S158" s="7">
        <v>32.47</v>
      </c>
    </row>
    <row r="159" spans="1:19" x14ac:dyDescent="0.25">
      <c r="A159" s="5">
        <v>2031327780</v>
      </c>
      <c r="B159" s="5" t="s">
        <v>62</v>
      </c>
      <c r="C159" s="5" t="s">
        <v>63</v>
      </c>
      <c r="D159" s="5" t="str">
        <f t="shared" si="10"/>
        <v>ANTHONY CALLAGHAN</v>
      </c>
      <c r="E159" s="5" t="s">
        <v>64</v>
      </c>
      <c r="F159" s="5" t="s">
        <v>292</v>
      </c>
      <c r="G159" s="5" t="s">
        <v>295</v>
      </c>
      <c r="H159" s="5"/>
      <c r="I159" s="5" t="s">
        <v>66</v>
      </c>
      <c r="J159" s="5" t="s">
        <v>67</v>
      </c>
      <c r="K159" s="5" t="str">
        <f t="shared" si="11"/>
        <v>Richard Yale</v>
      </c>
      <c r="L159" s="6">
        <v>45931</v>
      </c>
      <c r="M159" s="6">
        <v>45962</v>
      </c>
      <c r="N159" s="7">
        <v>56.63</v>
      </c>
      <c r="O159" s="9">
        <v>0.9</v>
      </c>
      <c r="P159" s="5" t="s">
        <v>60</v>
      </c>
      <c r="Q159" s="5" t="s">
        <v>61</v>
      </c>
      <c r="R159" s="7">
        <v>305.82</v>
      </c>
      <c r="S159" s="7">
        <v>50.97</v>
      </c>
    </row>
    <row r="160" spans="1:19" x14ac:dyDescent="0.25">
      <c r="A160" s="5">
        <v>2031338960</v>
      </c>
      <c r="B160" s="5" t="s">
        <v>183</v>
      </c>
      <c r="C160" s="5" t="s">
        <v>163</v>
      </c>
      <c r="D160" s="5" t="str">
        <f t="shared" si="10"/>
        <v>SUZANNE MEYERS</v>
      </c>
      <c r="E160" s="5" t="s">
        <v>101</v>
      </c>
      <c r="F160" s="5" t="s">
        <v>292</v>
      </c>
      <c r="G160" s="5" t="s">
        <v>293</v>
      </c>
      <c r="H160" s="5"/>
      <c r="I160" s="5" t="s">
        <v>66</v>
      </c>
      <c r="J160" s="5" t="s">
        <v>67</v>
      </c>
      <c r="K160" s="5" t="str">
        <f t="shared" si="11"/>
        <v>Richard Yale</v>
      </c>
      <c r="L160" s="6">
        <v>45931</v>
      </c>
      <c r="M160" s="6">
        <v>45962</v>
      </c>
      <c r="N160" s="7">
        <v>79.34</v>
      </c>
      <c r="O160" s="9">
        <v>0.7</v>
      </c>
      <c r="P160" s="5" t="s">
        <v>60</v>
      </c>
      <c r="Q160" s="5" t="s">
        <v>61</v>
      </c>
      <c r="R160" s="7">
        <v>333.24</v>
      </c>
      <c r="S160" s="7">
        <v>55.54</v>
      </c>
    </row>
    <row r="161" spans="1:19" s="5" customFormat="1" x14ac:dyDescent="0.25">
      <c r="A161" s="5">
        <v>2031361276</v>
      </c>
      <c r="B161" s="5" t="s">
        <v>275</v>
      </c>
      <c r="C161" s="5" t="s">
        <v>276</v>
      </c>
      <c r="D161" s="5" t="str">
        <f t="shared" si="10"/>
        <v>JULIE SOMMESE</v>
      </c>
      <c r="E161" s="5" t="s">
        <v>101</v>
      </c>
      <c r="F161" s="5" t="s">
        <v>243</v>
      </c>
      <c r="G161" s="5" t="s">
        <v>244</v>
      </c>
      <c r="I161" s="5" t="s">
        <v>277</v>
      </c>
      <c r="J161" s="5" t="s">
        <v>278</v>
      </c>
      <c r="K161" s="5" t="str">
        <f t="shared" si="11"/>
        <v>Stephanie Drapac</v>
      </c>
      <c r="L161" s="6">
        <v>45931</v>
      </c>
      <c r="M161" s="6">
        <v>45962</v>
      </c>
      <c r="N161" s="7">
        <v>53.87</v>
      </c>
      <c r="O161" s="8">
        <v>0.375</v>
      </c>
      <c r="P161" s="5" t="s">
        <v>60</v>
      </c>
      <c r="Q161" s="5" t="s">
        <v>61</v>
      </c>
      <c r="R161" s="7">
        <v>121.2</v>
      </c>
      <c r="S161" s="7">
        <v>20.2</v>
      </c>
    </row>
    <row r="162" spans="1:19" s="5" customFormat="1" x14ac:dyDescent="0.25">
      <c r="A162" s="5">
        <v>2031361277</v>
      </c>
      <c r="B162" s="5" t="s">
        <v>275</v>
      </c>
      <c r="C162" s="5" t="s">
        <v>276</v>
      </c>
      <c r="D162" s="5" t="str">
        <f t="shared" si="10"/>
        <v>JULIE SOMMESE</v>
      </c>
      <c r="E162" s="5" t="s">
        <v>101</v>
      </c>
      <c r="F162" s="5" t="s">
        <v>292</v>
      </c>
      <c r="G162" s="5" t="s">
        <v>293</v>
      </c>
      <c r="I162" s="5" t="s">
        <v>277</v>
      </c>
      <c r="J162" s="5" t="s">
        <v>278</v>
      </c>
      <c r="K162" s="5" t="str">
        <f t="shared" si="11"/>
        <v>Stephanie Drapac</v>
      </c>
      <c r="L162" s="6">
        <v>45931</v>
      </c>
      <c r="M162" s="6">
        <v>45962</v>
      </c>
      <c r="N162" s="7">
        <v>88.96</v>
      </c>
      <c r="O162" s="9">
        <v>0.7</v>
      </c>
      <c r="P162" s="5" t="s">
        <v>60</v>
      </c>
      <c r="Q162" s="5" t="s">
        <v>61</v>
      </c>
      <c r="R162" s="7">
        <v>373.62</v>
      </c>
      <c r="S162" s="7">
        <v>62.27</v>
      </c>
    </row>
    <row r="163" spans="1:19" s="5" customFormat="1" x14ac:dyDescent="0.25">
      <c r="A163" s="5">
        <v>2031364306</v>
      </c>
      <c r="B163" s="5" t="s">
        <v>281</v>
      </c>
      <c r="C163" s="5" t="s">
        <v>282</v>
      </c>
      <c r="D163" s="5" t="str">
        <f t="shared" si="10"/>
        <v>CASSANDRA KING</v>
      </c>
      <c r="E163" s="5" t="s">
        <v>52</v>
      </c>
      <c r="F163" s="5" t="s">
        <v>243</v>
      </c>
      <c r="G163" s="5" t="s">
        <v>244</v>
      </c>
      <c r="I163" s="5" t="s">
        <v>283</v>
      </c>
      <c r="J163" s="5" t="s">
        <v>284</v>
      </c>
      <c r="K163" s="5" t="str">
        <f t="shared" si="11"/>
        <v>THOMAS PARDUE</v>
      </c>
      <c r="L163" s="6">
        <v>45931</v>
      </c>
      <c r="M163" s="6">
        <v>45962</v>
      </c>
      <c r="N163" s="7">
        <v>33.39</v>
      </c>
      <c r="O163" s="8">
        <v>0.375</v>
      </c>
      <c r="P163" s="5" t="s">
        <v>60</v>
      </c>
      <c r="Q163" s="5" t="s">
        <v>61</v>
      </c>
      <c r="R163" s="7">
        <v>75.12</v>
      </c>
      <c r="S163" s="7">
        <v>12.52</v>
      </c>
    </row>
    <row r="164" spans="1:19" s="5" customFormat="1" x14ac:dyDescent="0.25">
      <c r="A164" s="5">
        <v>2031002562</v>
      </c>
      <c r="B164" s="5" t="s">
        <v>138</v>
      </c>
      <c r="C164" s="5" t="s">
        <v>139</v>
      </c>
      <c r="D164" s="5" t="str">
        <f t="shared" si="10"/>
        <v>KELLY PETERS</v>
      </c>
      <c r="E164" s="5" t="s">
        <v>101</v>
      </c>
      <c r="F164" s="5" t="s">
        <v>89</v>
      </c>
      <c r="G164" s="5" t="s">
        <v>102</v>
      </c>
      <c r="I164" s="5" t="s">
        <v>140</v>
      </c>
      <c r="J164" s="5" t="s">
        <v>141</v>
      </c>
      <c r="K164" s="5" t="str">
        <f t="shared" si="11"/>
        <v>VICTOR FUENTES</v>
      </c>
      <c r="L164" s="6">
        <v>45931</v>
      </c>
      <c r="M164" s="6">
        <v>45962</v>
      </c>
      <c r="N164" s="7">
        <v>90.76</v>
      </c>
      <c r="O164" s="9">
        <v>0.75</v>
      </c>
      <c r="P164" s="5" t="s">
        <v>60</v>
      </c>
      <c r="Q164" s="5" t="s">
        <v>61</v>
      </c>
      <c r="R164" s="7">
        <v>408.42</v>
      </c>
      <c r="S164" s="7">
        <v>68.069999999999993</v>
      </c>
    </row>
    <row r="165" spans="1:19" s="5" customFormat="1" x14ac:dyDescent="0.25">
      <c r="A165" s="5">
        <v>2031002561</v>
      </c>
      <c r="B165" s="5" t="s">
        <v>138</v>
      </c>
      <c r="C165" s="5" t="s">
        <v>139</v>
      </c>
      <c r="D165" s="5" t="str">
        <f t="shared" si="10"/>
        <v>KELLY PETERS</v>
      </c>
      <c r="E165" s="5" t="s">
        <v>101</v>
      </c>
      <c r="F165" s="5" t="s">
        <v>292</v>
      </c>
      <c r="G165" s="5" t="s">
        <v>293</v>
      </c>
      <c r="I165" s="5" t="s">
        <v>140</v>
      </c>
      <c r="J165" s="5" t="s">
        <v>141</v>
      </c>
      <c r="K165" s="5" t="str">
        <f t="shared" si="11"/>
        <v>VICTOR FUENTES</v>
      </c>
      <c r="L165" s="6">
        <v>45931</v>
      </c>
      <c r="M165" s="6">
        <v>45962</v>
      </c>
      <c r="N165" s="7">
        <v>212.26</v>
      </c>
      <c r="O165" s="9">
        <v>0.7</v>
      </c>
      <c r="P165" s="5" t="s">
        <v>60</v>
      </c>
      <c r="Q165" s="5" t="s">
        <v>61</v>
      </c>
      <c r="R165" s="7">
        <v>891.48</v>
      </c>
      <c r="S165" s="7">
        <v>148.58000000000001</v>
      </c>
    </row>
    <row r="166" spans="1:19" s="5" customFormat="1" x14ac:dyDescent="0.25">
      <c r="A166" s="5">
        <v>2031002910</v>
      </c>
      <c r="B166" s="5" t="s">
        <v>311</v>
      </c>
      <c r="C166" s="5" t="s">
        <v>312</v>
      </c>
      <c r="D166" s="5" t="str">
        <f t="shared" si="10"/>
        <v>BENJAMIN SITT</v>
      </c>
      <c r="E166" s="5" t="s">
        <v>101</v>
      </c>
      <c r="F166" s="5" t="s">
        <v>292</v>
      </c>
      <c r="G166" s="5" t="s">
        <v>293</v>
      </c>
      <c r="I166" s="5" t="s">
        <v>140</v>
      </c>
      <c r="J166" s="5" t="s">
        <v>141</v>
      </c>
      <c r="K166" s="5" t="str">
        <f t="shared" si="11"/>
        <v>VICTOR FUENTES</v>
      </c>
      <c r="L166" s="6">
        <v>45931</v>
      </c>
      <c r="M166" s="6">
        <v>45962</v>
      </c>
      <c r="N166" s="7">
        <v>83.22</v>
      </c>
      <c r="O166" s="9">
        <v>0.7</v>
      </c>
      <c r="P166" s="5" t="s">
        <v>60</v>
      </c>
      <c r="Q166" s="5" t="s">
        <v>61</v>
      </c>
      <c r="R166" s="7">
        <v>349.5</v>
      </c>
      <c r="S166" s="7">
        <v>58.25</v>
      </c>
    </row>
    <row r="167" spans="1:19" s="5" customFormat="1" x14ac:dyDescent="0.25">
      <c r="A167" s="5">
        <v>2031411447</v>
      </c>
      <c r="B167" s="5" t="s">
        <v>202</v>
      </c>
      <c r="C167" s="5" t="s">
        <v>145</v>
      </c>
      <c r="D167" s="5" t="str">
        <f t="shared" si="10"/>
        <v>JENNIFER THAKKAR</v>
      </c>
      <c r="E167" s="5" t="s">
        <v>203</v>
      </c>
      <c r="F167" s="5" t="s">
        <v>89</v>
      </c>
      <c r="G167" s="5" t="s">
        <v>90</v>
      </c>
      <c r="I167" s="5" t="s">
        <v>204</v>
      </c>
      <c r="J167" s="5" t="s">
        <v>205</v>
      </c>
      <c r="K167" s="5" t="str">
        <f t="shared" si="11"/>
        <v>WILLIAM GESKE</v>
      </c>
      <c r="L167" s="6">
        <v>45933</v>
      </c>
      <c r="M167" s="6">
        <v>45964</v>
      </c>
      <c r="N167" s="7">
        <v>34.43</v>
      </c>
      <c r="O167" s="9">
        <v>0.65</v>
      </c>
      <c r="P167" s="5" t="s">
        <v>60</v>
      </c>
      <c r="Q167" s="5" t="s">
        <v>61</v>
      </c>
      <c r="R167" s="7">
        <v>134.28</v>
      </c>
      <c r="S167" s="7">
        <v>22.38</v>
      </c>
    </row>
    <row r="168" spans="1:19" s="5" customFormat="1" x14ac:dyDescent="0.25">
      <c r="A168" s="5">
        <v>2031411444</v>
      </c>
      <c r="B168" s="5" t="s">
        <v>202</v>
      </c>
      <c r="C168" s="5" t="s">
        <v>145</v>
      </c>
      <c r="D168" s="5" t="str">
        <f t="shared" si="10"/>
        <v>JENNIFER THAKKAR</v>
      </c>
      <c r="E168" s="5" t="s">
        <v>203</v>
      </c>
      <c r="F168" s="5" t="s">
        <v>243</v>
      </c>
      <c r="G168" s="5" t="s">
        <v>244</v>
      </c>
      <c r="I168" s="5" t="s">
        <v>204</v>
      </c>
      <c r="J168" s="5" t="s">
        <v>205</v>
      </c>
      <c r="K168" s="5" t="str">
        <f t="shared" si="11"/>
        <v>WILLIAM GESKE</v>
      </c>
      <c r="L168" s="6">
        <v>45933</v>
      </c>
      <c r="M168" s="6">
        <v>45964</v>
      </c>
      <c r="N168" s="7">
        <v>47.28</v>
      </c>
      <c r="O168" s="8">
        <v>0.375</v>
      </c>
      <c r="P168" s="5" t="s">
        <v>60</v>
      </c>
      <c r="Q168" s="5" t="s">
        <v>61</v>
      </c>
      <c r="R168" s="7">
        <v>106.38</v>
      </c>
      <c r="S168" s="7">
        <v>17.73</v>
      </c>
    </row>
    <row r="169" spans="1:19" s="5" customFormat="1" x14ac:dyDescent="0.25">
      <c r="A169" s="5">
        <v>2031411445</v>
      </c>
      <c r="B169" s="5" t="s">
        <v>202</v>
      </c>
      <c r="C169" s="5" t="s">
        <v>145</v>
      </c>
      <c r="D169" s="5" t="str">
        <f t="shared" si="10"/>
        <v>JENNIFER THAKKAR</v>
      </c>
      <c r="E169" s="5" t="s">
        <v>203</v>
      </c>
      <c r="F169" s="5" t="s">
        <v>287</v>
      </c>
      <c r="G169" s="5" t="s">
        <v>291</v>
      </c>
      <c r="I169" s="5" t="s">
        <v>204</v>
      </c>
      <c r="J169" s="5" t="s">
        <v>205</v>
      </c>
      <c r="K169" s="5" t="str">
        <f t="shared" si="11"/>
        <v>WILLIAM GESKE</v>
      </c>
      <c r="L169" s="6">
        <v>45933</v>
      </c>
      <c r="M169" s="6">
        <v>45964</v>
      </c>
      <c r="N169" s="7">
        <v>216.88</v>
      </c>
      <c r="O169" s="9">
        <v>0.38</v>
      </c>
      <c r="P169" s="5" t="s">
        <v>60</v>
      </c>
      <c r="Q169" s="5" t="s">
        <v>61</v>
      </c>
      <c r="R169" s="7">
        <v>494.46</v>
      </c>
      <c r="S169" s="7">
        <v>82.41</v>
      </c>
    </row>
    <row r="170" spans="1:19" s="5" customFormat="1" x14ac:dyDescent="0.25">
      <c r="A170" s="5">
        <v>2031411446</v>
      </c>
      <c r="B170" s="5" t="s">
        <v>202</v>
      </c>
      <c r="C170" s="5" t="s">
        <v>145</v>
      </c>
      <c r="D170" s="5" t="str">
        <f t="shared" si="10"/>
        <v>JENNIFER THAKKAR</v>
      </c>
      <c r="E170" s="5" t="s">
        <v>203</v>
      </c>
      <c r="F170" s="5" t="s">
        <v>292</v>
      </c>
      <c r="G170" s="5" t="s">
        <v>293</v>
      </c>
      <c r="I170" s="5" t="s">
        <v>204</v>
      </c>
      <c r="J170" s="5" t="s">
        <v>205</v>
      </c>
      <c r="K170" s="5" t="str">
        <f t="shared" si="11"/>
        <v>WILLIAM GESKE</v>
      </c>
      <c r="L170" s="6">
        <v>45933</v>
      </c>
      <c r="M170" s="6">
        <v>45964</v>
      </c>
      <c r="N170" s="7">
        <v>9.1</v>
      </c>
      <c r="O170" s="9">
        <v>0.7</v>
      </c>
      <c r="P170" s="5" t="s">
        <v>60</v>
      </c>
      <c r="Q170" s="5" t="s">
        <v>61</v>
      </c>
      <c r="R170" s="7">
        <v>38.22</v>
      </c>
      <c r="S170" s="7">
        <v>6.37</v>
      </c>
    </row>
  </sheetData>
  <sortState xmlns:xlrd2="http://schemas.microsoft.com/office/spreadsheetml/2017/richdata2" ref="A2:AX116">
    <sortCondition ref="G2:G116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BB254-BC83-484B-9ECA-5B1EB887E486}">
  <dimension ref="A1:AX54"/>
  <sheetViews>
    <sheetView topLeftCell="C19" workbookViewId="0">
      <selection activeCell="S2" sqref="S2:S54"/>
    </sheetView>
  </sheetViews>
  <sheetFormatPr defaultRowHeight="15" x14ac:dyDescent="0.25"/>
  <cols>
    <col min="1" max="1" width="11" bestFit="1" customWidth="1"/>
    <col min="2" max="2" width="22.140625" bestFit="1" customWidth="1"/>
    <col min="3" max="3" width="22.42578125" bestFit="1" customWidth="1"/>
    <col min="4" max="4" width="22.42578125" customWidth="1"/>
    <col min="5" max="5" width="5.28515625" bestFit="1" customWidth="1"/>
    <col min="6" max="6" width="10.85546875" customWidth="1"/>
    <col min="7" max="7" width="41.140625" customWidth="1"/>
    <col min="8" max="8" width="15" bestFit="1" customWidth="1"/>
    <col min="9" max="9" width="10.85546875" customWidth="1"/>
    <col min="10" max="10" width="11.7109375" customWidth="1"/>
    <col min="11" max="11" width="15" bestFit="1" customWidth="1"/>
    <col min="12" max="12" width="12.5703125" bestFit="1" customWidth="1"/>
    <col min="13" max="13" width="12" bestFit="1" customWidth="1"/>
    <col min="14" max="14" width="10" customWidth="1"/>
    <col min="15" max="15" width="6" customWidth="1"/>
    <col min="16" max="16" width="7.42578125" customWidth="1"/>
    <col min="17" max="17" width="6.85546875" customWidth="1"/>
    <col min="18" max="19" width="9.42578125" customWidth="1"/>
  </cols>
  <sheetData>
    <row r="1" spans="1:50" x14ac:dyDescent="0.25">
      <c r="A1" t="s">
        <v>3</v>
      </c>
      <c r="B1" t="s">
        <v>4</v>
      </c>
      <c r="C1" t="s">
        <v>5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L1" t="s">
        <v>14</v>
      </c>
      <c r="M1" t="s">
        <v>16</v>
      </c>
      <c r="N1" t="s">
        <v>17</v>
      </c>
      <c r="O1" t="s">
        <v>18</v>
      </c>
      <c r="P1" t="s">
        <v>21</v>
      </c>
      <c r="Q1" t="s">
        <v>26</v>
      </c>
      <c r="R1" t="s">
        <v>37</v>
      </c>
    </row>
    <row r="2" spans="1:50" x14ac:dyDescent="0.25">
      <c r="A2" s="5">
        <v>2031420005</v>
      </c>
      <c r="B2" s="5" t="s">
        <v>230</v>
      </c>
      <c r="C2" s="5" t="s">
        <v>231</v>
      </c>
      <c r="D2" s="5" t="str">
        <f t="shared" ref="D2:D33" si="0">CONCATENATE(C2, " ",B2)</f>
        <v>LUZ PEREZ</v>
      </c>
      <c r="E2" s="5" t="s">
        <v>101</v>
      </c>
      <c r="F2" s="5" t="s">
        <v>287</v>
      </c>
      <c r="G2" s="5" t="s">
        <v>291</v>
      </c>
      <c r="H2" s="5" t="s">
        <v>1246</v>
      </c>
      <c r="I2" s="5" t="s">
        <v>233</v>
      </c>
      <c r="J2" s="5" t="s">
        <v>234</v>
      </c>
      <c r="K2" s="5" t="str">
        <f t="shared" ref="K2:K33" si="1">CONCATENATE(J2, " ",I2)</f>
        <v>JOSE TORRES</v>
      </c>
      <c r="L2" s="6">
        <v>45933</v>
      </c>
      <c r="M2" s="6">
        <v>45964</v>
      </c>
      <c r="N2" s="7">
        <v>168.95</v>
      </c>
      <c r="O2" s="5">
        <v>1</v>
      </c>
      <c r="P2" s="9">
        <v>0.38</v>
      </c>
      <c r="Q2" s="5">
        <v>6</v>
      </c>
      <c r="R2" s="7">
        <v>64.2</v>
      </c>
      <c r="S2" s="7">
        <f>R2/6</f>
        <v>10.700000000000001</v>
      </c>
      <c r="T2" s="5" t="s">
        <v>291</v>
      </c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</row>
    <row r="3" spans="1:50" x14ac:dyDescent="0.25">
      <c r="A3" s="5">
        <v>2031411445</v>
      </c>
      <c r="B3" s="5" t="s">
        <v>202</v>
      </c>
      <c r="C3" s="5" t="s">
        <v>145</v>
      </c>
      <c r="D3" s="5" t="str">
        <f t="shared" si="0"/>
        <v>JENNIFER THAKKAR</v>
      </c>
      <c r="E3" s="5" t="s">
        <v>203</v>
      </c>
      <c r="F3" s="5" t="s">
        <v>287</v>
      </c>
      <c r="G3" s="5" t="s">
        <v>291</v>
      </c>
      <c r="H3" s="5" t="s">
        <v>1256</v>
      </c>
      <c r="I3" s="5" t="s">
        <v>204</v>
      </c>
      <c r="J3" s="5" t="s">
        <v>205</v>
      </c>
      <c r="K3" s="5" t="str">
        <f t="shared" si="1"/>
        <v>WILLIAM GESKE</v>
      </c>
      <c r="L3" s="6">
        <v>45933</v>
      </c>
      <c r="M3" s="6">
        <v>45964</v>
      </c>
      <c r="N3" s="7">
        <v>216.88</v>
      </c>
      <c r="O3" s="5">
        <v>1</v>
      </c>
      <c r="P3" s="9">
        <v>0.38</v>
      </c>
      <c r="Q3" s="5">
        <v>6</v>
      </c>
      <c r="R3" s="7">
        <v>82.41</v>
      </c>
      <c r="S3" s="7">
        <f t="shared" ref="S3:S54" si="2">R3/6</f>
        <v>13.734999999999999</v>
      </c>
      <c r="T3" s="5" t="s">
        <v>291</v>
      </c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</row>
    <row r="4" spans="1:50" x14ac:dyDescent="0.25">
      <c r="A4" s="5">
        <v>2031091279</v>
      </c>
      <c r="B4" s="5" t="s">
        <v>148</v>
      </c>
      <c r="C4" s="5" t="s">
        <v>149</v>
      </c>
      <c r="D4" s="5" t="str">
        <f t="shared" si="0"/>
        <v>BEVERLY SMITH</v>
      </c>
      <c r="E4" s="5" t="s">
        <v>150</v>
      </c>
      <c r="F4" s="5" t="s">
        <v>89</v>
      </c>
      <c r="G4" s="5" t="s">
        <v>111</v>
      </c>
      <c r="H4" s="5" t="s">
        <v>1248</v>
      </c>
      <c r="I4" s="5" t="s">
        <v>151</v>
      </c>
      <c r="J4" s="5" t="s">
        <v>152</v>
      </c>
      <c r="K4" s="5" t="str">
        <f t="shared" si="1"/>
        <v>Marsha Sanderock</v>
      </c>
      <c r="L4" s="6">
        <v>45931</v>
      </c>
      <c r="M4" s="6">
        <v>45962</v>
      </c>
      <c r="N4" s="7">
        <v>48.55</v>
      </c>
      <c r="O4" s="5">
        <v>1</v>
      </c>
      <c r="P4" s="9">
        <v>0.75</v>
      </c>
      <c r="Q4" s="5">
        <v>6</v>
      </c>
      <c r="R4" s="7">
        <v>36.409999999999997</v>
      </c>
      <c r="S4" s="7">
        <f t="shared" si="2"/>
        <v>6.0683333333333325</v>
      </c>
      <c r="T4" s="5" t="s">
        <v>1257</v>
      </c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</row>
    <row r="5" spans="1:50" s="5" customFormat="1" x14ac:dyDescent="0.25">
      <c r="A5" s="5">
        <v>2031408822</v>
      </c>
      <c r="B5" s="5" t="s">
        <v>197</v>
      </c>
      <c r="C5" s="5" t="s">
        <v>72</v>
      </c>
      <c r="D5" s="5" t="str">
        <f t="shared" si="0"/>
        <v>JOHN LIM</v>
      </c>
      <c r="E5" s="5" t="s">
        <v>101</v>
      </c>
      <c r="F5" s="5" t="s">
        <v>89</v>
      </c>
      <c r="G5" s="5" t="s">
        <v>111</v>
      </c>
      <c r="H5" s="5" t="s">
        <v>1251</v>
      </c>
      <c r="I5" s="5" t="s">
        <v>198</v>
      </c>
      <c r="J5" s="5" t="s">
        <v>199</v>
      </c>
      <c r="K5" s="5" t="str">
        <f t="shared" si="1"/>
        <v>Raluca Cheregi</v>
      </c>
      <c r="L5" s="6">
        <v>45933</v>
      </c>
      <c r="M5" s="6">
        <v>45964</v>
      </c>
      <c r="N5" s="7">
        <v>138.93</v>
      </c>
      <c r="O5" s="5">
        <v>1</v>
      </c>
      <c r="P5" s="9">
        <v>0.75</v>
      </c>
      <c r="Q5" s="5">
        <v>6</v>
      </c>
      <c r="R5" s="7">
        <v>104.2</v>
      </c>
      <c r="S5" s="7">
        <f t="shared" si="2"/>
        <v>17.366666666666667</v>
      </c>
      <c r="T5" s="5" t="s">
        <v>1257</v>
      </c>
    </row>
    <row r="6" spans="1:50" s="5" customFormat="1" x14ac:dyDescent="0.25">
      <c r="A6" s="5">
        <v>2031411447</v>
      </c>
      <c r="B6" s="5" t="s">
        <v>202</v>
      </c>
      <c r="C6" s="5" t="s">
        <v>145</v>
      </c>
      <c r="D6" s="5" t="str">
        <f t="shared" si="0"/>
        <v>JENNIFER THAKKAR</v>
      </c>
      <c r="E6" s="5" t="s">
        <v>203</v>
      </c>
      <c r="F6" s="5" t="s">
        <v>89</v>
      </c>
      <c r="G6" s="5" t="s">
        <v>90</v>
      </c>
      <c r="H6" s="5" t="s">
        <v>1256</v>
      </c>
      <c r="I6" s="5" t="s">
        <v>204</v>
      </c>
      <c r="J6" s="5" t="s">
        <v>205</v>
      </c>
      <c r="K6" s="5" t="str">
        <f t="shared" si="1"/>
        <v>WILLIAM GESKE</v>
      </c>
      <c r="L6" s="6">
        <v>45933</v>
      </c>
      <c r="M6" s="6">
        <v>45964</v>
      </c>
      <c r="N6" s="7">
        <v>34.43</v>
      </c>
      <c r="O6" s="5">
        <v>1</v>
      </c>
      <c r="P6" s="9">
        <v>0.65</v>
      </c>
      <c r="Q6" s="5">
        <v>6</v>
      </c>
      <c r="R6" s="7">
        <v>22.38</v>
      </c>
      <c r="S6" s="7">
        <f t="shared" si="2"/>
        <v>3.73</v>
      </c>
      <c r="T6" s="5" t="s">
        <v>1258</v>
      </c>
    </row>
    <row r="7" spans="1:50" x14ac:dyDescent="0.25">
      <c r="A7" s="5">
        <v>2031327779</v>
      </c>
      <c r="B7" s="5" t="s">
        <v>62</v>
      </c>
      <c r="C7" s="5" t="s">
        <v>63</v>
      </c>
      <c r="D7" s="5" t="str">
        <f t="shared" si="0"/>
        <v>ANTHONY CALLAGHAN</v>
      </c>
      <c r="E7" s="5" t="s">
        <v>64</v>
      </c>
      <c r="F7" s="5" t="s">
        <v>89</v>
      </c>
      <c r="G7" s="5" t="s">
        <v>102</v>
      </c>
      <c r="H7" s="5" t="s">
        <v>1252</v>
      </c>
      <c r="I7" s="5" t="s">
        <v>66</v>
      </c>
      <c r="J7" s="5" t="s">
        <v>67</v>
      </c>
      <c r="K7" s="5" t="str">
        <f t="shared" si="1"/>
        <v>Richard Yale</v>
      </c>
      <c r="L7" s="6">
        <v>45931</v>
      </c>
      <c r="M7" s="6">
        <v>45962</v>
      </c>
      <c r="N7" s="7">
        <v>31.87</v>
      </c>
      <c r="O7" s="5">
        <v>1</v>
      </c>
      <c r="P7" s="9">
        <v>0.75</v>
      </c>
      <c r="Q7" s="5">
        <v>6</v>
      </c>
      <c r="R7" s="7">
        <v>23.9</v>
      </c>
      <c r="S7" s="7">
        <f t="shared" si="2"/>
        <v>3.9833333333333329</v>
      </c>
      <c r="T7" s="5" t="s">
        <v>1257</v>
      </c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</row>
    <row r="8" spans="1:50" x14ac:dyDescent="0.25">
      <c r="A8" s="5">
        <v>2031338961</v>
      </c>
      <c r="B8" s="5" t="s">
        <v>183</v>
      </c>
      <c r="C8" s="5" t="s">
        <v>163</v>
      </c>
      <c r="D8" s="5" t="str">
        <f t="shared" si="0"/>
        <v>SUZANNE MEYERS</v>
      </c>
      <c r="E8" s="5" t="s">
        <v>101</v>
      </c>
      <c r="F8" s="5" t="s">
        <v>89</v>
      </c>
      <c r="G8" s="5" t="s">
        <v>102</v>
      </c>
      <c r="H8" s="5" t="s">
        <v>1252</v>
      </c>
      <c r="I8" s="5" t="s">
        <v>66</v>
      </c>
      <c r="J8" s="5" t="s">
        <v>67</v>
      </c>
      <c r="K8" s="5" t="str">
        <f t="shared" si="1"/>
        <v>Richard Yale</v>
      </c>
      <c r="L8" s="6">
        <v>45931</v>
      </c>
      <c r="M8" s="6">
        <v>45962</v>
      </c>
      <c r="N8" s="7">
        <v>41.68</v>
      </c>
      <c r="O8" s="5">
        <v>1</v>
      </c>
      <c r="P8" s="9">
        <v>0.75</v>
      </c>
      <c r="Q8" s="5">
        <v>6</v>
      </c>
      <c r="R8" s="7">
        <v>31.26</v>
      </c>
      <c r="S8" s="7">
        <f t="shared" si="2"/>
        <v>5.21</v>
      </c>
      <c r="T8" s="5" t="s">
        <v>1257</v>
      </c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</row>
    <row r="9" spans="1:50" x14ac:dyDescent="0.25">
      <c r="A9" s="5">
        <v>2031002562</v>
      </c>
      <c r="B9" s="5" t="s">
        <v>138</v>
      </c>
      <c r="C9" s="5" t="s">
        <v>139</v>
      </c>
      <c r="D9" s="5" t="str">
        <f t="shared" si="0"/>
        <v>KELLY PETERS</v>
      </c>
      <c r="E9" s="5" t="s">
        <v>101</v>
      </c>
      <c r="F9" s="5" t="s">
        <v>89</v>
      </c>
      <c r="G9" s="5" t="s">
        <v>102</v>
      </c>
      <c r="H9" s="5" t="s">
        <v>1255</v>
      </c>
      <c r="I9" s="5" t="s">
        <v>140</v>
      </c>
      <c r="J9" s="5" t="s">
        <v>141</v>
      </c>
      <c r="K9" s="5" t="str">
        <f t="shared" si="1"/>
        <v>VICTOR FUENTES</v>
      </c>
      <c r="L9" s="6">
        <v>45931</v>
      </c>
      <c r="M9" s="6">
        <v>45962</v>
      </c>
      <c r="N9" s="7">
        <v>90.76</v>
      </c>
      <c r="O9" s="5">
        <v>1</v>
      </c>
      <c r="P9" s="9">
        <v>0.75</v>
      </c>
      <c r="Q9" s="5">
        <v>6</v>
      </c>
      <c r="R9" s="7">
        <v>68.069999999999993</v>
      </c>
      <c r="S9" s="7">
        <f t="shared" si="2"/>
        <v>11.344999999999999</v>
      </c>
      <c r="T9" s="5" t="s">
        <v>1257</v>
      </c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</row>
    <row r="10" spans="1:50" x14ac:dyDescent="0.25">
      <c r="A10" s="5">
        <v>2030969460</v>
      </c>
      <c r="B10" s="5" t="s">
        <v>132</v>
      </c>
      <c r="C10" s="5" t="s">
        <v>133</v>
      </c>
      <c r="D10" s="5" t="str">
        <f t="shared" si="0"/>
        <v>ALANA CHRISTOPHER</v>
      </c>
      <c r="E10" s="5" t="s">
        <v>101</v>
      </c>
      <c r="F10" s="5" t="s">
        <v>89</v>
      </c>
      <c r="G10" s="5" t="s">
        <v>96</v>
      </c>
      <c r="H10" s="5" t="s">
        <v>1241</v>
      </c>
      <c r="I10" s="5" t="s">
        <v>134</v>
      </c>
      <c r="J10" s="5" t="s">
        <v>135</v>
      </c>
      <c r="K10" s="5" t="str">
        <f t="shared" si="1"/>
        <v>Dale Walenga</v>
      </c>
      <c r="L10" s="6">
        <v>45935</v>
      </c>
      <c r="M10" s="6">
        <v>45966</v>
      </c>
      <c r="N10" s="7">
        <v>14.71</v>
      </c>
      <c r="O10" s="5">
        <v>1</v>
      </c>
      <c r="P10" s="9">
        <v>0.9</v>
      </c>
      <c r="Q10" s="5">
        <v>6</v>
      </c>
      <c r="R10" s="7">
        <v>13.24</v>
      </c>
      <c r="S10" s="7">
        <f t="shared" si="2"/>
        <v>2.2066666666666666</v>
      </c>
      <c r="T10" s="5" t="s">
        <v>1259</v>
      </c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</row>
    <row r="11" spans="1:50" x14ac:dyDescent="0.25">
      <c r="A11" s="5">
        <v>2031081022</v>
      </c>
      <c r="B11" s="5" t="s">
        <v>144</v>
      </c>
      <c r="C11" s="5" t="s">
        <v>145</v>
      </c>
      <c r="D11" s="5" t="str">
        <f t="shared" si="0"/>
        <v>JENNIFER GENTRY</v>
      </c>
      <c r="E11" s="5" t="s">
        <v>64</v>
      </c>
      <c r="F11" s="5" t="s">
        <v>89</v>
      </c>
      <c r="G11" s="5" t="s">
        <v>96</v>
      </c>
      <c r="H11" s="5" t="s">
        <v>1247</v>
      </c>
      <c r="I11" s="5" t="s">
        <v>146</v>
      </c>
      <c r="J11" s="5" t="s">
        <v>147</v>
      </c>
      <c r="K11" s="5" t="str">
        <f t="shared" si="1"/>
        <v>Kirk Tigue</v>
      </c>
      <c r="L11" s="6">
        <v>45932</v>
      </c>
      <c r="M11" s="6">
        <v>45963</v>
      </c>
      <c r="N11" s="7">
        <v>51.21</v>
      </c>
      <c r="O11" s="5">
        <v>1</v>
      </c>
      <c r="P11" s="9">
        <v>0.9</v>
      </c>
      <c r="Q11" s="5">
        <v>6</v>
      </c>
      <c r="R11" s="7">
        <v>46.09</v>
      </c>
      <c r="S11" s="7">
        <f t="shared" si="2"/>
        <v>7.6816666666666675</v>
      </c>
      <c r="T11" s="5" t="s">
        <v>1259</v>
      </c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</row>
    <row r="12" spans="1:50" s="5" customFormat="1" x14ac:dyDescent="0.25">
      <c r="A12" s="5">
        <v>2031223341</v>
      </c>
      <c r="B12" s="5" t="s">
        <v>160</v>
      </c>
      <c r="C12" s="5" t="s">
        <v>161</v>
      </c>
      <c r="D12" s="5" t="str">
        <f t="shared" si="0"/>
        <v>NANCY WOODCOCK</v>
      </c>
      <c r="E12" s="5" t="s">
        <v>150</v>
      </c>
      <c r="F12" s="5" t="s">
        <v>89</v>
      </c>
      <c r="G12" s="5" t="s">
        <v>96</v>
      </c>
      <c r="H12" s="5" t="s">
        <v>1248</v>
      </c>
      <c r="I12" s="5" t="s">
        <v>151</v>
      </c>
      <c r="J12" s="5" t="s">
        <v>152</v>
      </c>
      <c r="K12" s="5" t="str">
        <f t="shared" si="1"/>
        <v>Marsha Sanderock</v>
      </c>
      <c r="L12" s="6">
        <v>45931</v>
      </c>
      <c r="M12" s="6">
        <v>45962</v>
      </c>
      <c r="N12" s="7">
        <v>101.93</v>
      </c>
      <c r="O12" s="5">
        <v>1</v>
      </c>
      <c r="P12" s="9">
        <v>0.9</v>
      </c>
      <c r="Q12" s="5">
        <v>6</v>
      </c>
      <c r="R12" s="7">
        <v>91.74</v>
      </c>
      <c r="S12" s="7">
        <f t="shared" si="2"/>
        <v>15.29</v>
      </c>
      <c r="T12" s="5" t="s">
        <v>1259</v>
      </c>
    </row>
    <row r="13" spans="1:50" s="5" customFormat="1" x14ac:dyDescent="0.25">
      <c r="A13" s="5">
        <v>2031420006</v>
      </c>
      <c r="B13" s="5" t="s">
        <v>230</v>
      </c>
      <c r="C13" s="5" t="s">
        <v>231</v>
      </c>
      <c r="D13" s="5" t="str">
        <f t="shared" si="0"/>
        <v>LUZ PEREZ</v>
      </c>
      <c r="E13" s="5" t="s">
        <v>101</v>
      </c>
      <c r="F13" s="5" t="s">
        <v>209</v>
      </c>
      <c r="G13" s="5" t="s">
        <v>232</v>
      </c>
      <c r="H13" s="5" t="s">
        <v>1246</v>
      </c>
      <c r="I13" s="5" t="s">
        <v>233</v>
      </c>
      <c r="J13" s="5" t="s">
        <v>234</v>
      </c>
      <c r="K13" s="5" t="str">
        <f t="shared" si="1"/>
        <v>JOSE TORRES</v>
      </c>
      <c r="L13" s="6">
        <v>45933</v>
      </c>
      <c r="M13" s="6">
        <v>45964</v>
      </c>
      <c r="N13" s="7">
        <v>15</v>
      </c>
      <c r="O13" s="5">
        <v>1</v>
      </c>
      <c r="P13" s="9">
        <v>0.38</v>
      </c>
      <c r="Q13" s="5">
        <v>6</v>
      </c>
      <c r="R13" s="7">
        <v>5.7</v>
      </c>
      <c r="S13" s="7">
        <f t="shared" si="2"/>
        <v>0.95000000000000007</v>
      </c>
      <c r="T13" s="5" t="s">
        <v>232</v>
      </c>
    </row>
    <row r="14" spans="1:50" x14ac:dyDescent="0.25">
      <c r="A14" s="5">
        <v>2030706584</v>
      </c>
      <c r="B14" s="5" t="s">
        <v>215</v>
      </c>
      <c r="C14" s="5" t="s">
        <v>216</v>
      </c>
      <c r="D14" s="5" t="str">
        <f t="shared" si="0"/>
        <v>LOGAN RATTS</v>
      </c>
      <c r="E14" s="5" t="s">
        <v>150</v>
      </c>
      <c r="F14" s="5" t="s">
        <v>209</v>
      </c>
      <c r="G14" s="5" t="s">
        <v>217</v>
      </c>
      <c r="H14" s="5" t="s">
        <v>1248</v>
      </c>
      <c r="I14" s="5" t="s">
        <v>151</v>
      </c>
      <c r="J14" s="5" t="s">
        <v>152</v>
      </c>
      <c r="K14" s="5" t="str">
        <f t="shared" si="1"/>
        <v>Marsha Sanderock</v>
      </c>
      <c r="L14" s="6">
        <v>45932</v>
      </c>
      <c r="M14" s="6">
        <v>45963</v>
      </c>
      <c r="N14" s="7">
        <v>15</v>
      </c>
      <c r="O14" s="5">
        <v>1</v>
      </c>
      <c r="P14" s="9">
        <v>0.19</v>
      </c>
      <c r="Q14" s="5">
        <v>0</v>
      </c>
      <c r="R14" s="7">
        <v>2.85</v>
      </c>
      <c r="S14" s="7">
        <f t="shared" si="2"/>
        <v>0.47500000000000003</v>
      </c>
      <c r="T14" s="5" t="s">
        <v>217</v>
      </c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</row>
    <row r="15" spans="1:50" x14ac:dyDescent="0.25">
      <c r="A15" s="5">
        <v>2030949434</v>
      </c>
      <c r="B15" s="5" t="s">
        <v>219</v>
      </c>
      <c r="C15" s="5" t="s">
        <v>220</v>
      </c>
      <c r="D15" s="5" t="str">
        <f t="shared" si="0"/>
        <v>BRIAN LEWIS</v>
      </c>
      <c r="E15" s="5" t="s">
        <v>150</v>
      </c>
      <c r="F15" s="5" t="s">
        <v>209</v>
      </c>
      <c r="G15" s="5" t="s">
        <v>217</v>
      </c>
      <c r="H15" s="5" t="s">
        <v>1248</v>
      </c>
      <c r="I15" s="5" t="s">
        <v>151</v>
      </c>
      <c r="J15" s="5" t="s">
        <v>152</v>
      </c>
      <c r="K15" s="5" t="str">
        <f t="shared" si="1"/>
        <v>Marsha Sanderock</v>
      </c>
      <c r="L15" s="6">
        <v>45931</v>
      </c>
      <c r="M15" s="6">
        <v>45962</v>
      </c>
      <c r="N15" s="7">
        <v>15</v>
      </c>
      <c r="O15" s="5">
        <v>1</v>
      </c>
      <c r="P15" s="9">
        <v>0.19</v>
      </c>
      <c r="Q15" s="5">
        <v>6</v>
      </c>
      <c r="R15" s="7">
        <v>2.85</v>
      </c>
      <c r="S15" s="7">
        <f t="shared" si="2"/>
        <v>0.47500000000000003</v>
      </c>
      <c r="T15" s="5" t="s">
        <v>217</v>
      </c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</row>
    <row r="16" spans="1:50" x14ac:dyDescent="0.25">
      <c r="A16" s="5">
        <v>2030969461</v>
      </c>
      <c r="B16" s="5" t="s">
        <v>132</v>
      </c>
      <c r="C16" s="5" t="s">
        <v>133</v>
      </c>
      <c r="D16" s="5" t="str">
        <f t="shared" si="0"/>
        <v>ALANA CHRISTOPHER</v>
      </c>
      <c r="E16" s="5" t="s">
        <v>101</v>
      </c>
      <c r="F16" s="5" t="s">
        <v>209</v>
      </c>
      <c r="G16" s="5" t="s">
        <v>222</v>
      </c>
      <c r="H16" s="5" t="s">
        <v>1241</v>
      </c>
      <c r="I16" s="5" t="s">
        <v>134</v>
      </c>
      <c r="J16" s="5" t="s">
        <v>135</v>
      </c>
      <c r="K16" s="5" t="str">
        <f t="shared" si="1"/>
        <v>Dale Walenga</v>
      </c>
      <c r="L16" s="6">
        <v>45935</v>
      </c>
      <c r="M16" s="6">
        <v>45966</v>
      </c>
      <c r="N16" s="7">
        <v>15</v>
      </c>
      <c r="O16" s="5">
        <v>1</v>
      </c>
      <c r="P16" s="9">
        <v>0.38</v>
      </c>
      <c r="Q16" s="5">
        <v>6</v>
      </c>
      <c r="R16" s="7">
        <v>5.7</v>
      </c>
      <c r="S16" s="7">
        <f t="shared" si="2"/>
        <v>0.95000000000000007</v>
      </c>
      <c r="T16" s="5" t="s">
        <v>222</v>
      </c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</row>
    <row r="17" spans="1:50" x14ac:dyDescent="0.25">
      <c r="A17" s="5">
        <v>2031410719</v>
      </c>
      <c r="B17" s="5" t="s">
        <v>356</v>
      </c>
      <c r="C17" s="5" t="s">
        <v>98</v>
      </c>
      <c r="D17" s="5" t="str">
        <f t="shared" si="0"/>
        <v>MATTHEW GOOTEE</v>
      </c>
      <c r="E17" s="5" t="s">
        <v>150</v>
      </c>
      <c r="F17" s="5" t="s">
        <v>350</v>
      </c>
      <c r="G17" s="5" t="s">
        <v>351</v>
      </c>
      <c r="H17" s="5" t="s">
        <v>1248</v>
      </c>
      <c r="I17" s="5" t="s">
        <v>151</v>
      </c>
      <c r="J17" s="5" t="s">
        <v>152</v>
      </c>
      <c r="K17" s="5" t="str">
        <f t="shared" si="1"/>
        <v>Marsha Sanderock</v>
      </c>
      <c r="L17" s="6">
        <v>45933</v>
      </c>
      <c r="M17" s="6">
        <v>45964</v>
      </c>
      <c r="N17" s="7">
        <v>59.02</v>
      </c>
      <c r="O17" s="5">
        <v>1</v>
      </c>
      <c r="P17" s="9">
        <v>0.47</v>
      </c>
      <c r="Q17" s="5">
        <v>6</v>
      </c>
      <c r="R17" s="7">
        <v>27.74</v>
      </c>
      <c r="S17" s="7">
        <f t="shared" si="2"/>
        <v>4.6233333333333331</v>
      </c>
      <c r="T17" s="5" t="s">
        <v>351</v>
      </c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</row>
    <row r="18" spans="1:50" x14ac:dyDescent="0.25">
      <c r="A18" s="5">
        <v>2030969459</v>
      </c>
      <c r="B18" s="5" t="s">
        <v>132</v>
      </c>
      <c r="C18" s="5" t="s">
        <v>133</v>
      </c>
      <c r="D18" s="5" t="str">
        <f t="shared" si="0"/>
        <v>ALANA CHRISTOPHER</v>
      </c>
      <c r="E18" s="5" t="s">
        <v>101</v>
      </c>
      <c r="F18" s="5" t="s">
        <v>287</v>
      </c>
      <c r="G18" s="5" t="s">
        <v>288</v>
      </c>
      <c r="H18" s="5" t="s">
        <v>1241</v>
      </c>
      <c r="I18" s="5" t="s">
        <v>134</v>
      </c>
      <c r="J18" s="5" t="s">
        <v>135</v>
      </c>
      <c r="K18" s="5" t="str">
        <f t="shared" si="1"/>
        <v>Dale Walenga</v>
      </c>
      <c r="L18" s="6">
        <v>45935</v>
      </c>
      <c r="M18" s="6">
        <v>45966</v>
      </c>
      <c r="N18" s="7">
        <v>10.33</v>
      </c>
      <c r="O18" s="5">
        <v>1</v>
      </c>
      <c r="P18" s="9">
        <v>0.38</v>
      </c>
      <c r="Q18" s="5">
        <v>6</v>
      </c>
      <c r="R18" s="7">
        <v>3.93</v>
      </c>
      <c r="S18" s="7">
        <f t="shared" si="2"/>
        <v>0.65500000000000003</v>
      </c>
      <c r="T18" s="5" t="s">
        <v>288</v>
      </c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</row>
    <row r="19" spans="1:50" x14ac:dyDescent="0.25">
      <c r="A19" s="5">
        <v>2030706583</v>
      </c>
      <c r="B19" s="5" t="s">
        <v>215</v>
      </c>
      <c r="C19" s="5" t="s">
        <v>216</v>
      </c>
      <c r="D19" s="5" t="str">
        <f t="shared" si="0"/>
        <v>LOGAN RATTS</v>
      </c>
      <c r="E19" s="5" t="s">
        <v>150</v>
      </c>
      <c r="F19" s="5" t="s">
        <v>344</v>
      </c>
      <c r="G19" s="5" t="s">
        <v>345</v>
      </c>
      <c r="H19" s="5" t="s">
        <v>1248</v>
      </c>
      <c r="I19" s="5" t="s">
        <v>151</v>
      </c>
      <c r="J19" s="5" t="s">
        <v>152</v>
      </c>
      <c r="K19" s="5" t="str">
        <f t="shared" si="1"/>
        <v>Marsha Sanderock</v>
      </c>
      <c r="L19" s="6">
        <v>45932</v>
      </c>
      <c r="M19" s="6">
        <v>45963</v>
      </c>
      <c r="N19" s="7">
        <v>144.97</v>
      </c>
      <c r="O19" s="5">
        <v>1</v>
      </c>
      <c r="P19" s="9">
        <v>0.19</v>
      </c>
      <c r="Q19" s="5">
        <v>0</v>
      </c>
      <c r="R19" s="7">
        <v>27.54</v>
      </c>
      <c r="S19" s="7">
        <f t="shared" si="2"/>
        <v>4.59</v>
      </c>
      <c r="T19" s="5" t="s">
        <v>345</v>
      </c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</row>
    <row r="20" spans="1:50" x14ac:dyDescent="0.25">
      <c r="A20" s="5">
        <v>2030949433</v>
      </c>
      <c r="B20" s="5" t="s">
        <v>219</v>
      </c>
      <c r="C20" s="5" t="s">
        <v>220</v>
      </c>
      <c r="D20" s="5" t="str">
        <f t="shared" si="0"/>
        <v>BRIAN LEWIS</v>
      </c>
      <c r="E20" s="5" t="s">
        <v>150</v>
      </c>
      <c r="F20" s="5" t="s">
        <v>344</v>
      </c>
      <c r="G20" s="5" t="s">
        <v>345</v>
      </c>
      <c r="H20" s="5" t="s">
        <v>1248</v>
      </c>
      <c r="I20" s="5" t="s">
        <v>151</v>
      </c>
      <c r="J20" s="5" t="s">
        <v>152</v>
      </c>
      <c r="K20" s="5" t="str">
        <f t="shared" si="1"/>
        <v>Marsha Sanderock</v>
      </c>
      <c r="L20" s="6">
        <v>45931</v>
      </c>
      <c r="M20" s="6">
        <v>45962</v>
      </c>
      <c r="N20" s="7">
        <v>525.4</v>
      </c>
      <c r="O20" s="5">
        <v>1</v>
      </c>
      <c r="P20" s="9">
        <v>0.19</v>
      </c>
      <c r="Q20" s="5">
        <v>6</v>
      </c>
      <c r="R20" s="7">
        <v>99.83</v>
      </c>
      <c r="S20" s="7">
        <f t="shared" si="2"/>
        <v>16.638333333333332</v>
      </c>
      <c r="T20" s="5" t="s">
        <v>345</v>
      </c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</row>
    <row r="21" spans="1:50" x14ac:dyDescent="0.25">
      <c r="A21" s="5">
        <v>2031328823</v>
      </c>
      <c r="B21" s="5" t="s">
        <v>324</v>
      </c>
      <c r="C21" s="5" t="s">
        <v>207</v>
      </c>
      <c r="D21" s="5" t="str">
        <f t="shared" si="0"/>
        <v>RICHARD BRUNNER</v>
      </c>
      <c r="E21" s="5" t="s">
        <v>101</v>
      </c>
      <c r="F21" s="5" t="s">
        <v>292</v>
      </c>
      <c r="G21" s="5" t="s">
        <v>293</v>
      </c>
      <c r="H21" s="5" t="s">
        <v>1240</v>
      </c>
      <c r="I21" s="5" t="s">
        <v>325</v>
      </c>
      <c r="J21" s="5" t="s">
        <v>326</v>
      </c>
      <c r="K21" s="5" t="str">
        <f t="shared" si="1"/>
        <v>Barry Schumann</v>
      </c>
      <c r="L21" s="6">
        <v>45936</v>
      </c>
      <c r="M21" s="6">
        <v>45967</v>
      </c>
      <c r="N21" s="7">
        <v>212.26</v>
      </c>
      <c r="O21" s="5">
        <v>1</v>
      </c>
      <c r="P21" s="9">
        <v>0.7</v>
      </c>
      <c r="Q21" s="5">
        <v>6</v>
      </c>
      <c r="R21" s="7">
        <v>148.58000000000001</v>
      </c>
      <c r="S21" s="7">
        <f t="shared" si="2"/>
        <v>24.763333333333335</v>
      </c>
      <c r="T21" s="5" t="s">
        <v>293</v>
      </c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</row>
    <row r="22" spans="1:50" x14ac:dyDescent="0.25">
      <c r="A22" s="5">
        <v>2031337038</v>
      </c>
      <c r="B22" s="5" t="s">
        <v>329</v>
      </c>
      <c r="C22" s="5" t="s">
        <v>330</v>
      </c>
      <c r="D22" s="5" t="str">
        <f t="shared" si="0"/>
        <v>GUADALUPE SANCHEZ</v>
      </c>
      <c r="E22" s="5" t="s">
        <v>101</v>
      </c>
      <c r="F22" s="5" t="s">
        <v>292</v>
      </c>
      <c r="G22" s="5" t="s">
        <v>293</v>
      </c>
      <c r="H22" s="5" t="s">
        <v>1240</v>
      </c>
      <c r="I22" s="5" t="s">
        <v>325</v>
      </c>
      <c r="J22" s="5" t="s">
        <v>326</v>
      </c>
      <c r="K22" s="5" t="str">
        <f t="shared" si="1"/>
        <v>Barry Schumann</v>
      </c>
      <c r="L22" s="6">
        <v>45932</v>
      </c>
      <c r="M22" s="6">
        <v>45963</v>
      </c>
      <c r="N22" s="7">
        <v>145.41999999999999</v>
      </c>
      <c r="O22" s="5">
        <v>1</v>
      </c>
      <c r="P22" s="9">
        <v>0.7</v>
      </c>
      <c r="Q22" s="5">
        <v>6</v>
      </c>
      <c r="R22" s="7">
        <v>101.79</v>
      </c>
      <c r="S22" s="7">
        <f t="shared" si="2"/>
        <v>16.965</v>
      </c>
      <c r="T22" s="5" t="s">
        <v>293</v>
      </c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</row>
    <row r="23" spans="1:50" x14ac:dyDescent="0.25">
      <c r="A23" s="5">
        <v>2030870979</v>
      </c>
      <c r="B23" s="5" t="s">
        <v>302</v>
      </c>
      <c r="C23" s="5" t="s">
        <v>303</v>
      </c>
      <c r="D23" s="5" t="str">
        <f t="shared" si="0"/>
        <v>ANN RONAN</v>
      </c>
      <c r="E23" s="5" t="s">
        <v>101</v>
      </c>
      <c r="F23" s="5" t="s">
        <v>292</v>
      </c>
      <c r="G23" s="5" t="s">
        <v>293</v>
      </c>
      <c r="H23" s="5" t="s">
        <v>1242</v>
      </c>
      <c r="I23" s="5" t="s">
        <v>256</v>
      </c>
      <c r="J23" s="5" t="s">
        <v>165</v>
      </c>
      <c r="K23" s="5" t="str">
        <f t="shared" si="1"/>
        <v>FRANK LISKOVEC</v>
      </c>
      <c r="L23" s="6">
        <v>45931</v>
      </c>
      <c r="M23" s="6">
        <v>45962</v>
      </c>
      <c r="N23" s="7">
        <v>159.24</v>
      </c>
      <c r="O23" s="5">
        <v>1</v>
      </c>
      <c r="P23" s="9">
        <v>0.7</v>
      </c>
      <c r="Q23" s="5">
        <v>6</v>
      </c>
      <c r="R23" s="7">
        <v>111.47</v>
      </c>
      <c r="S23" s="7">
        <f t="shared" si="2"/>
        <v>18.578333333333333</v>
      </c>
      <c r="T23" s="5" t="s">
        <v>293</v>
      </c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</row>
    <row r="24" spans="1:50" s="5" customFormat="1" x14ac:dyDescent="0.25">
      <c r="A24" s="5">
        <v>2031225657</v>
      </c>
      <c r="B24" s="5" t="s">
        <v>254</v>
      </c>
      <c r="C24" s="5" t="s">
        <v>255</v>
      </c>
      <c r="D24" s="5" t="str">
        <f t="shared" si="0"/>
        <v>ISABELLA FIDUCCIA</v>
      </c>
      <c r="E24" s="5" t="s">
        <v>155</v>
      </c>
      <c r="F24" s="5" t="s">
        <v>292</v>
      </c>
      <c r="G24" s="5" t="s">
        <v>293</v>
      </c>
      <c r="H24" s="5" t="s">
        <v>1242</v>
      </c>
      <c r="I24" s="5" t="s">
        <v>256</v>
      </c>
      <c r="J24" s="5" t="s">
        <v>165</v>
      </c>
      <c r="K24" s="5" t="str">
        <f t="shared" si="1"/>
        <v>FRANK LISKOVEC</v>
      </c>
      <c r="L24" s="6">
        <v>45931</v>
      </c>
      <c r="M24" s="6">
        <v>45962</v>
      </c>
      <c r="N24" s="7">
        <v>18.37</v>
      </c>
      <c r="O24" s="5">
        <v>1</v>
      </c>
      <c r="P24" s="9">
        <v>0.7</v>
      </c>
      <c r="Q24" s="5">
        <v>6</v>
      </c>
      <c r="R24" s="7">
        <v>12.86</v>
      </c>
      <c r="S24" s="7">
        <f t="shared" si="2"/>
        <v>2.1433333333333331</v>
      </c>
      <c r="T24" s="5" t="s">
        <v>293</v>
      </c>
    </row>
    <row r="25" spans="1:50" s="5" customFormat="1" x14ac:dyDescent="0.25">
      <c r="A25" s="5">
        <v>2031337970</v>
      </c>
      <c r="B25" s="5" t="s">
        <v>263</v>
      </c>
      <c r="C25" s="5" t="s">
        <v>264</v>
      </c>
      <c r="D25" s="5" t="str">
        <f t="shared" si="0"/>
        <v>DESIREE LUNDVALL</v>
      </c>
      <c r="E25" s="5" t="s">
        <v>203</v>
      </c>
      <c r="F25" s="5" t="s">
        <v>292</v>
      </c>
      <c r="G25" s="5" t="s">
        <v>293</v>
      </c>
      <c r="H25" s="5" t="s">
        <v>1243</v>
      </c>
      <c r="I25" s="5" t="s">
        <v>265</v>
      </c>
      <c r="J25" s="5" t="s">
        <v>266</v>
      </c>
      <c r="K25" s="5" t="str">
        <f t="shared" si="1"/>
        <v>Heather Geske</v>
      </c>
      <c r="L25" s="6">
        <v>45931</v>
      </c>
      <c r="M25" s="6">
        <v>45962</v>
      </c>
      <c r="N25" s="7">
        <v>9.1</v>
      </c>
      <c r="O25" s="5">
        <v>1</v>
      </c>
      <c r="P25" s="9">
        <v>0.7</v>
      </c>
      <c r="Q25" s="5">
        <v>6</v>
      </c>
      <c r="R25" s="7">
        <v>6.37</v>
      </c>
      <c r="S25" s="7">
        <f t="shared" si="2"/>
        <v>1.0616666666666668</v>
      </c>
      <c r="T25" s="5" t="s">
        <v>293</v>
      </c>
    </row>
    <row r="26" spans="1:50" s="5" customFormat="1" x14ac:dyDescent="0.25">
      <c r="A26" s="5">
        <v>2031365756</v>
      </c>
      <c r="B26" s="5" t="s">
        <v>334</v>
      </c>
      <c r="C26" s="5" t="s">
        <v>98</v>
      </c>
      <c r="D26" s="5" t="str">
        <f t="shared" si="0"/>
        <v>MATTHEW D'AURIA</v>
      </c>
      <c r="E26" s="5" t="s">
        <v>88</v>
      </c>
      <c r="F26" s="5" t="s">
        <v>292</v>
      </c>
      <c r="G26" s="5" t="s">
        <v>293</v>
      </c>
      <c r="H26" s="5" t="s">
        <v>1244</v>
      </c>
      <c r="I26" s="5" t="s">
        <v>335</v>
      </c>
      <c r="J26" s="5" t="s">
        <v>336</v>
      </c>
      <c r="K26" s="5" t="str">
        <f t="shared" si="1"/>
        <v>Ines Berg</v>
      </c>
      <c r="L26" s="6">
        <v>45931</v>
      </c>
      <c r="M26" s="6">
        <v>45962</v>
      </c>
      <c r="N26" s="7">
        <v>29.79</v>
      </c>
      <c r="O26" s="5">
        <v>1</v>
      </c>
      <c r="P26" s="9">
        <v>0.7</v>
      </c>
      <c r="Q26" s="5">
        <v>6</v>
      </c>
      <c r="R26" s="7">
        <v>20.85</v>
      </c>
      <c r="S26" s="7">
        <f t="shared" si="2"/>
        <v>3.4750000000000001</v>
      </c>
      <c r="T26" s="5" t="s">
        <v>293</v>
      </c>
    </row>
    <row r="27" spans="1:50" x14ac:dyDescent="0.25">
      <c r="A27" s="5">
        <v>2030821620</v>
      </c>
      <c r="B27" s="5" t="s">
        <v>296</v>
      </c>
      <c r="C27" s="5" t="s">
        <v>297</v>
      </c>
      <c r="D27" s="5" t="str">
        <f t="shared" si="0"/>
        <v>REBEKAH HOUSMAN</v>
      </c>
      <c r="E27" s="5" t="s">
        <v>101</v>
      </c>
      <c r="F27" s="5" t="s">
        <v>292</v>
      </c>
      <c r="G27" s="5" t="s">
        <v>293</v>
      </c>
      <c r="H27" s="5" t="s">
        <v>1245</v>
      </c>
      <c r="I27" s="5" t="s">
        <v>298</v>
      </c>
      <c r="J27" s="5" t="s">
        <v>299</v>
      </c>
      <c r="K27" s="5" t="str">
        <f t="shared" si="1"/>
        <v>Jake Shulman</v>
      </c>
      <c r="L27" s="6">
        <v>45931</v>
      </c>
      <c r="M27" s="6">
        <v>45962</v>
      </c>
      <c r="N27" s="7">
        <v>124.81</v>
      </c>
      <c r="O27" s="5">
        <v>1</v>
      </c>
      <c r="P27" s="9">
        <v>0.7</v>
      </c>
      <c r="Q27" s="5">
        <v>6</v>
      </c>
      <c r="R27" s="7">
        <v>87.37</v>
      </c>
      <c r="S27" s="7">
        <f t="shared" si="2"/>
        <v>14.561666666666667</v>
      </c>
      <c r="T27" s="5" t="s">
        <v>293</v>
      </c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</row>
    <row r="28" spans="1:50" s="5" customFormat="1" x14ac:dyDescent="0.25">
      <c r="A28" s="5">
        <v>2030878188</v>
      </c>
      <c r="B28" s="5" t="s">
        <v>304</v>
      </c>
      <c r="C28" s="5" t="s">
        <v>305</v>
      </c>
      <c r="D28" s="5" t="str">
        <f t="shared" si="0"/>
        <v>SIMON JUSTICE</v>
      </c>
      <c r="E28" s="5" t="s">
        <v>95</v>
      </c>
      <c r="F28" s="5" t="s">
        <v>292</v>
      </c>
      <c r="G28" s="5" t="s">
        <v>293</v>
      </c>
      <c r="H28" s="5" t="s">
        <v>1245</v>
      </c>
      <c r="I28" s="5" t="s">
        <v>298</v>
      </c>
      <c r="J28" s="5" t="s">
        <v>299</v>
      </c>
      <c r="K28" s="5" t="str">
        <f t="shared" si="1"/>
        <v>Jake Shulman</v>
      </c>
      <c r="L28" s="6">
        <v>45931</v>
      </c>
      <c r="M28" s="6">
        <v>45962</v>
      </c>
      <c r="N28" s="7">
        <v>122.12</v>
      </c>
      <c r="O28" s="5">
        <v>1</v>
      </c>
      <c r="P28" s="9">
        <v>0.7</v>
      </c>
      <c r="Q28" s="5">
        <v>6</v>
      </c>
      <c r="R28" s="7">
        <v>85.48</v>
      </c>
      <c r="S28" s="7">
        <f t="shared" si="2"/>
        <v>14.246666666666668</v>
      </c>
      <c r="T28" s="5" t="s">
        <v>293</v>
      </c>
    </row>
    <row r="29" spans="1:50" s="5" customFormat="1" x14ac:dyDescent="0.25">
      <c r="A29" s="5">
        <v>2031081021</v>
      </c>
      <c r="B29" s="5" t="s">
        <v>144</v>
      </c>
      <c r="C29" s="5" t="s">
        <v>145</v>
      </c>
      <c r="D29" s="5" t="str">
        <f t="shared" si="0"/>
        <v>JENNIFER GENTRY</v>
      </c>
      <c r="E29" s="5" t="s">
        <v>64</v>
      </c>
      <c r="F29" s="5" t="s">
        <v>292</v>
      </c>
      <c r="G29" s="5" t="s">
        <v>293</v>
      </c>
      <c r="H29" s="5" t="s">
        <v>1247</v>
      </c>
      <c r="I29" s="5" t="s">
        <v>146</v>
      </c>
      <c r="J29" s="5" t="s">
        <v>147</v>
      </c>
      <c r="K29" s="5" t="str">
        <f t="shared" si="1"/>
        <v>Kirk Tigue</v>
      </c>
      <c r="L29" s="6">
        <v>45932</v>
      </c>
      <c r="M29" s="6">
        <v>45963</v>
      </c>
      <c r="N29" s="7">
        <v>20.21</v>
      </c>
      <c r="O29" s="5">
        <v>1</v>
      </c>
      <c r="P29" s="9">
        <v>0.7</v>
      </c>
      <c r="Q29" s="5">
        <v>6</v>
      </c>
      <c r="R29" s="7">
        <v>14.15</v>
      </c>
      <c r="S29" s="7">
        <f t="shared" si="2"/>
        <v>2.3583333333333334</v>
      </c>
      <c r="T29" s="5" t="s">
        <v>293</v>
      </c>
    </row>
    <row r="30" spans="1:50" s="5" customFormat="1" x14ac:dyDescent="0.25">
      <c r="A30" s="5">
        <v>2031223342</v>
      </c>
      <c r="B30" s="5" t="s">
        <v>160</v>
      </c>
      <c r="C30" s="5" t="s">
        <v>161</v>
      </c>
      <c r="D30" s="5" t="str">
        <f t="shared" si="0"/>
        <v>NANCY WOODCOCK</v>
      </c>
      <c r="E30" s="5" t="s">
        <v>150</v>
      </c>
      <c r="F30" s="5" t="s">
        <v>292</v>
      </c>
      <c r="G30" s="5" t="s">
        <v>293</v>
      </c>
      <c r="H30" s="5" t="s">
        <v>1248</v>
      </c>
      <c r="I30" s="5" t="s">
        <v>151</v>
      </c>
      <c r="J30" s="5" t="s">
        <v>152</v>
      </c>
      <c r="K30" s="5" t="str">
        <f t="shared" si="1"/>
        <v>Marsha Sanderock</v>
      </c>
      <c r="L30" s="6">
        <v>45931</v>
      </c>
      <c r="M30" s="6">
        <v>45962</v>
      </c>
      <c r="N30" s="7">
        <v>36.76</v>
      </c>
      <c r="O30" s="5">
        <v>1</v>
      </c>
      <c r="P30" s="9">
        <v>0.7</v>
      </c>
      <c r="Q30" s="5">
        <v>6</v>
      </c>
      <c r="R30" s="7">
        <v>25.73</v>
      </c>
      <c r="S30" s="7">
        <f t="shared" si="2"/>
        <v>4.2883333333333331</v>
      </c>
      <c r="T30" s="5" t="s">
        <v>293</v>
      </c>
    </row>
    <row r="31" spans="1:50" x14ac:dyDescent="0.25">
      <c r="A31" s="5">
        <v>2031361486</v>
      </c>
      <c r="B31" s="5" t="s">
        <v>279</v>
      </c>
      <c r="C31" s="5" t="s">
        <v>280</v>
      </c>
      <c r="D31" s="5" t="str">
        <f t="shared" si="0"/>
        <v>CASSIE ROBY</v>
      </c>
      <c r="E31" s="5" t="s">
        <v>150</v>
      </c>
      <c r="F31" s="5" t="s">
        <v>292</v>
      </c>
      <c r="G31" s="5" t="s">
        <v>293</v>
      </c>
      <c r="H31" s="5" t="s">
        <v>1248</v>
      </c>
      <c r="I31" s="5" t="s">
        <v>151</v>
      </c>
      <c r="J31" s="5" t="s">
        <v>152</v>
      </c>
      <c r="K31" s="5" t="str">
        <f t="shared" si="1"/>
        <v>Marsha Sanderock</v>
      </c>
      <c r="L31" s="6">
        <v>45931</v>
      </c>
      <c r="M31" s="6">
        <v>45962</v>
      </c>
      <c r="N31" s="7">
        <v>3.52</v>
      </c>
      <c r="O31" s="5">
        <v>1</v>
      </c>
      <c r="P31" s="9">
        <v>0.7</v>
      </c>
      <c r="Q31" s="5">
        <v>6</v>
      </c>
      <c r="R31" s="7">
        <v>2.46</v>
      </c>
      <c r="S31" s="7">
        <f t="shared" si="2"/>
        <v>0.41</v>
      </c>
      <c r="T31" s="5" t="s">
        <v>293</v>
      </c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</row>
    <row r="32" spans="1:50" x14ac:dyDescent="0.25">
      <c r="A32" s="5">
        <v>2031381897</v>
      </c>
      <c r="B32" s="5" t="s">
        <v>338</v>
      </c>
      <c r="C32" s="5" t="s">
        <v>339</v>
      </c>
      <c r="D32" s="5" t="str">
        <f t="shared" si="0"/>
        <v>BAYARTSETSEG BATJARGAL</v>
      </c>
      <c r="E32" s="5" t="s">
        <v>101</v>
      </c>
      <c r="F32" s="5" t="s">
        <v>292</v>
      </c>
      <c r="G32" s="5" t="s">
        <v>293</v>
      </c>
      <c r="H32" s="5" t="s">
        <v>1249</v>
      </c>
      <c r="I32" s="5" t="s">
        <v>340</v>
      </c>
      <c r="J32" s="5" t="s">
        <v>341</v>
      </c>
      <c r="K32" s="5" t="str">
        <f t="shared" si="1"/>
        <v>NASANDELGER ZANA</v>
      </c>
      <c r="L32" s="6">
        <v>45932</v>
      </c>
      <c r="M32" s="6">
        <v>45963</v>
      </c>
      <c r="N32" s="7">
        <v>117.94</v>
      </c>
      <c r="O32" s="5">
        <v>1</v>
      </c>
      <c r="P32" s="9">
        <v>0.7</v>
      </c>
      <c r="Q32" s="5">
        <v>6</v>
      </c>
      <c r="R32" s="7">
        <v>82.56</v>
      </c>
      <c r="S32" s="7">
        <f t="shared" si="2"/>
        <v>13.76</v>
      </c>
      <c r="T32" s="5" t="s">
        <v>293</v>
      </c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</row>
    <row r="33" spans="1:50" x14ac:dyDescent="0.25">
      <c r="A33" s="5">
        <v>2031451696</v>
      </c>
      <c r="B33" s="5" t="s">
        <v>342</v>
      </c>
      <c r="C33" s="5" t="s">
        <v>343</v>
      </c>
      <c r="D33" s="5" t="str">
        <f t="shared" si="0"/>
        <v>DULGUUN ENKHSAIKHAN</v>
      </c>
      <c r="E33" s="5" t="s">
        <v>101</v>
      </c>
      <c r="F33" s="5" t="s">
        <v>292</v>
      </c>
      <c r="G33" s="5" t="s">
        <v>293</v>
      </c>
      <c r="H33" s="5" t="s">
        <v>1249</v>
      </c>
      <c r="I33" s="5" t="s">
        <v>340</v>
      </c>
      <c r="J33" s="5" t="s">
        <v>341</v>
      </c>
      <c r="K33" s="5" t="str">
        <f t="shared" si="1"/>
        <v>NASANDELGER ZANA</v>
      </c>
      <c r="L33" s="6">
        <v>45935</v>
      </c>
      <c r="M33" s="6">
        <v>45966</v>
      </c>
      <c r="N33" s="7">
        <v>32.26</v>
      </c>
      <c r="O33" s="5">
        <v>1</v>
      </c>
      <c r="P33" s="9">
        <v>0.7</v>
      </c>
      <c r="Q33" s="5">
        <v>6</v>
      </c>
      <c r="R33" s="7">
        <v>22.58</v>
      </c>
      <c r="S33" s="7">
        <f t="shared" si="2"/>
        <v>3.7633333333333332</v>
      </c>
      <c r="T33" s="5" t="s">
        <v>293</v>
      </c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</row>
    <row r="34" spans="1:50" x14ac:dyDescent="0.25">
      <c r="A34" s="5">
        <v>2031146403</v>
      </c>
      <c r="B34" s="5" t="s">
        <v>317</v>
      </c>
      <c r="C34" s="5" t="s">
        <v>318</v>
      </c>
      <c r="D34" s="5" t="str">
        <f t="shared" ref="D34:D54" si="3">CONCATENATE(C34, " ",B34)</f>
        <v>PATSAMON THANADABOUTH</v>
      </c>
      <c r="E34" s="5" t="s">
        <v>101</v>
      </c>
      <c r="F34" s="5" t="s">
        <v>292</v>
      </c>
      <c r="G34" s="5" t="s">
        <v>293</v>
      </c>
      <c r="H34" s="5" t="s">
        <v>1250</v>
      </c>
      <c r="I34" s="5" t="s">
        <v>317</v>
      </c>
      <c r="J34" s="5" t="s">
        <v>318</v>
      </c>
      <c r="K34" s="5" t="str">
        <f t="shared" ref="K34:K54" si="4">CONCATENATE(J34, " ",I34)</f>
        <v>PATSAMON THANADABOUTH</v>
      </c>
      <c r="L34" s="6">
        <v>45931</v>
      </c>
      <c r="M34" s="6">
        <v>45962</v>
      </c>
      <c r="N34" s="7">
        <v>26.5</v>
      </c>
      <c r="O34" s="5">
        <v>1</v>
      </c>
      <c r="P34" s="9">
        <v>0.7</v>
      </c>
      <c r="Q34" s="5">
        <v>6</v>
      </c>
      <c r="R34" s="7">
        <v>18.55</v>
      </c>
      <c r="S34" s="7">
        <f t="shared" si="2"/>
        <v>3.0916666666666668</v>
      </c>
      <c r="T34" s="5" t="s">
        <v>293</v>
      </c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</row>
    <row r="35" spans="1:50" x14ac:dyDescent="0.25">
      <c r="A35" s="5">
        <v>2031408821</v>
      </c>
      <c r="B35" s="5" t="s">
        <v>197</v>
      </c>
      <c r="C35" s="5" t="s">
        <v>72</v>
      </c>
      <c r="D35" s="5" t="str">
        <f t="shared" si="3"/>
        <v>JOHN LIM</v>
      </c>
      <c r="E35" s="5" t="s">
        <v>101</v>
      </c>
      <c r="F35" s="5" t="s">
        <v>292</v>
      </c>
      <c r="G35" s="5" t="s">
        <v>293</v>
      </c>
      <c r="H35" s="5" t="s">
        <v>1251</v>
      </c>
      <c r="I35" s="5" t="s">
        <v>198</v>
      </c>
      <c r="J35" s="5" t="s">
        <v>199</v>
      </c>
      <c r="K35" s="5" t="str">
        <f t="shared" si="4"/>
        <v>Raluca Cheregi</v>
      </c>
      <c r="L35" s="6">
        <v>45933</v>
      </c>
      <c r="M35" s="6">
        <v>45964</v>
      </c>
      <c r="N35" s="7">
        <v>56.5</v>
      </c>
      <c r="O35" s="5">
        <v>1</v>
      </c>
      <c r="P35" s="9">
        <v>0.7</v>
      </c>
      <c r="Q35" s="5">
        <v>6</v>
      </c>
      <c r="R35" s="7">
        <v>39.549999999999997</v>
      </c>
      <c r="S35" s="7">
        <f t="shared" si="2"/>
        <v>6.5916666666666659</v>
      </c>
      <c r="T35" s="5" t="s">
        <v>293</v>
      </c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</row>
    <row r="36" spans="1:50" x14ac:dyDescent="0.25">
      <c r="A36" s="5">
        <v>2031327777</v>
      </c>
      <c r="B36" s="5" t="s">
        <v>62</v>
      </c>
      <c r="C36" s="5" t="s">
        <v>63</v>
      </c>
      <c r="D36" s="5" t="str">
        <f t="shared" si="3"/>
        <v>ANTHONY CALLAGHAN</v>
      </c>
      <c r="E36" s="5" t="s">
        <v>64</v>
      </c>
      <c r="F36" s="5" t="s">
        <v>292</v>
      </c>
      <c r="G36" s="5" t="s">
        <v>293</v>
      </c>
      <c r="H36" s="5" t="s">
        <v>1252</v>
      </c>
      <c r="I36" s="5" t="s">
        <v>66</v>
      </c>
      <c r="J36" s="5" t="s">
        <v>67</v>
      </c>
      <c r="K36" s="5" t="str">
        <f t="shared" si="4"/>
        <v>Richard Yale</v>
      </c>
      <c r="L36" s="6">
        <v>45931</v>
      </c>
      <c r="M36" s="6">
        <v>45962</v>
      </c>
      <c r="N36" s="7">
        <v>46.38</v>
      </c>
      <c r="O36" s="5">
        <v>1</v>
      </c>
      <c r="P36" s="9">
        <v>0.7</v>
      </c>
      <c r="Q36" s="5">
        <v>6</v>
      </c>
      <c r="R36" s="7">
        <v>32.47</v>
      </c>
      <c r="S36" s="7">
        <f t="shared" si="2"/>
        <v>5.4116666666666662</v>
      </c>
      <c r="T36" s="5" t="s">
        <v>293</v>
      </c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</row>
    <row r="37" spans="1:50" x14ac:dyDescent="0.25">
      <c r="A37" s="5">
        <v>2031338960</v>
      </c>
      <c r="B37" s="5" t="s">
        <v>183</v>
      </c>
      <c r="C37" s="5" t="s">
        <v>163</v>
      </c>
      <c r="D37" s="5" t="str">
        <f t="shared" si="3"/>
        <v>SUZANNE MEYERS</v>
      </c>
      <c r="E37" s="5" t="s">
        <v>101</v>
      </c>
      <c r="F37" s="5" t="s">
        <v>292</v>
      </c>
      <c r="G37" s="5" t="s">
        <v>293</v>
      </c>
      <c r="H37" s="5" t="s">
        <v>1252</v>
      </c>
      <c r="I37" s="5" t="s">
        <v>66</v>
      </c>
      <c r="J37" s="5" t="s">
        <v>67</v>
      </c>
      <c r="K37" s="5" t="str">
        <f t="shared" si="4"/>
        <v>Richard Yale</v>
      </c>
      <c r="L37" s="6">
        <v>45931</v>
      </c>
      <c r="M37" s="6">
        <v>45962</v>
      </c>
      <c r="N37" s="7">
        <v>79.34</v>
      </c>
      <c r="O37" s="5">
        <v>1</v>
      </c>
      <c r="P37" s="9">
        <v>0.7</v>
      </c>
      <c r="Q37" s="5">
        <v>6</v>
      </c>
      <c r="R37" s="7">
        <v>55.54</v>
      </c>
      <c r="S37" s="7">
        <f t="shared" si="2"/>
        <v>9.2566666666666659</v>
      </c>
      <c r="T37" s="5" t="s">
        <v>293</v>
      </c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</row>
    <row r="38" spans="1:50" x14ac:dyDescent="0.25">
      <c r="A38" s="5">
        <v>2031361277</v>
      </c>
      <c r="B38" s="5" t="s">
        <v>275</v>
      </c>
      <c r="C38" s="5" t="s">
        <v>276</v>
      </c>
      <c r="D38" s="5" t="str">
        <f t="shared" si="3"/>
        <v>JULIE SOMMESE</v>
      </c>
      <c r="E38" s="5" t="s">
        <v>101</v>
      </c>
      <c r="F38" s="5" t="s">
        <v>292</v>
      </c>
      <c r="G38" s="5" t="s">
        <v>293</v>
      </c>
      <c r="H38" s="5" t="s">
        <v>1253</v>
      </c>
      <c r="I38" s="5" t="s">
        <v>277</v>
      </c>
      <c r="J38" s="5" t="s">
        <v>278</v>
      </c>
      <c r="K38" s="5" t="str">
        <f t="shared" si="4"/>
        <v>Stephanie Drapac</v>
      </c>
      <c r="L38" s="6">
        <v>45931</v>
      </c>
      <c r="M38" s="6">
        <v>45962</v>
      </c>
      <c r="N38" s="7">
        <v>88.96</v>
      </c>
      <c r="O38" s="5">
        <v>1</v>
      </c>
      <c r="P38" s="9">
        <v>0.7</v>
      </c>
      <c r="Q38" s="5">
        <v>6</v>
      </c>
      <c r="R38" s="7">
        <v>62.27</v>
      </c>
      <c r="S38" s="7">
        <f t="shared" si="2"/>
        <v>10.378333333333334</v>
      </c>
      <c r="T38" s="5" t="s">
        <v>293</v>
      </c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</row>
    <row r="39" spans="1:50" x14ac:dyDescent="0.25">
      <c r="A39" s="5">
        <v>2031002561</v>
      </c>
      <c r="B39" s="5" t="s">
        <v>138</v>
      </c>
      <c r="C39" s="5" t="s">
        <v>139</v>
      </c>
      <c r="D39" s="5" t="str">
        <f t="shared" si="3"/>
        <v>KELLY PETERS</v>
      </c>
      <c r="E39" s="5" t="s">
        <v>101</v>
      </c>
      <c r="F39" s="5" t="s">
        <v>292</v>
      </c>
      <c r="G39" s="5" t="s">
        <v>293</v>
      </c>
      <c r="H39" s="5" t="s">
        <v>1255</v>
      </c>
      <c r="I39" s="5" t="s">
        <v>140</v>
      </c>
      <c r="J39" s="5" t="s">
        <v>141</v>
      </c>
      <c r="K39" s="5" t="str">
        <f t="shared" si="4"/>
        <v>VICTOR FUENTES</v>
      </c>
      <c r="L39" s="6">
        <v>45931</v>
      </c>
      <c r="M39" s="6">
        <v>45962</v>
      </c>
      <c r="N39" s="7">
        <v>212.26</v>
      </c>
      <c r="O39" s="5">
        <v>1</v>
      </c>
      <c r="P39" s="9">
        <v>0.7</v>
      </c>
      <c r="Q39" s="5">
        <v>6</v>
      </c>
      <c r="R39" s="7">
        <v>148.58000000000001</v>
      </c>
      <c r="S39" s="7">
        <f t="shared" si="2"/>
        <v>24.763333333333335</v>
      </c>
      <c r="T39" s="5" t="s">
        <v>293</v>
      </c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</row>
    <row r="40" spans="1:50" x14ac:dyDescent="0.25">
      <c r="A40" s="5">
        <v>2031002910</v>
      </c>
      <c r="B40" s="5" t="s">
        <v>311</v>
      </c>
      <c r="C40" s="5" t="s">
        <v>312</v>
      </c>
      <c r="D40" s="5" t="str">
        <f t="shared" si="3"/>
        <v>BENJAMIN SITT</v>
      </c>
      <c r="E40" s="5" t="s">
        <v>101</v>
      </c>
      <c r="F40" s="5" t="s">
        <v>292</v>
      </c>
      <c r="G40" s="5" t="s">
        <v>293</v>
      </c>
      <c r="H40" s="5" t="s">
        <v>1255</v>
      </c>
      <c r="I40" s="5" t="s">
        <v>140</v>
      </c>
      <c r="J40" s="5" t="s">
        <v>141</v>
      </c>
      <c r="K40" s="5" t="str">
        <f t="shared" si="4"/>
        <v>VICTOR FUENTES</v>
      </c>
      <c r="L40" s="6">
        <v>45931</v>
      </c>
      <c r="M40" s="6">
        <v>45962</v>
      </c>
      <c r="N40" s="7">
        <v>83.22</v>
      </c>
      <c r="O40" s="5">
        <v>1</v>
      </c>
      <c r="P40" s="9">
        <v>0.7</v>
      </c>
      <c r="Q40" s="5">
        <v>6</v>
      </c>
      <c r="R40" s="7">
        <v>58.25</v>
      </c>
      <c r="S40" s="7">
        <f t="shared" si="2"/>
        <v>9.7083333333333339</v>
      </c>
      <c r="T40" s="5" t="s">
        <v>293</v>
      </c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</row>
    <row r="41" spans="1:50" x14ac:dyDescent="0.25">
      <c r="A41" s="5">
        <v>2031411446</v>
      </c>
      <c r="B41" s="5" t="s">
        <v>202</v>
      </c>
      <c r="C41" s="5" t="s">
        <v>145</v>
      </c>
      <c r="D41" s="5" t="str">
        <f t="shared" si="3"/>
        <v>JENNIFER THAKKAR</v>
      </c>
      <c r="E41" s="5" t="s">
        <v>203</v>
      </c>
      <c r="F41" s="5" t="s">
        <v>292</v>
      </c>
      <c r="G41" s="5" t="s">
        <v>293</v>
      </c>
      <c r="H41" s="5" t="s">
        <v>1256</v>
      </c>
      <c r="I41" s="5" t="s">
        <v>204</v>
      </c>
      <c r="J41" s="5" t="s">
        <v>205</v>
      </c>
      <c r="K41" s="5" t="str">
        <f t="shared" si="4"/>
        <v>WILLIAM GESKE</v>
      </c>
      <c r="L41" s="6">
        <v>45933</v>
      </c>
      <c r="M41" s="6">
        <v>45964</v>
      </c>
      <c r="N41" s="7">
        <v>9.1</v>
      </c>
      <c r="O41" s="5">
        <v>1</v>
      </c>
      <c r="P41" s="9">
        <v>0.7</v>
      </c>
      <c r="Q41" s="5">
        <v>6</v>
      </c>
      <c r="R41" s="7">
        <v>6.37</v>
      </c>
      <c r="S41" s="7">
        <f t="shared" si="2"/>
        <v>1.0616666666666668</v>
      </c>
      <c r="T41" s="5" t="s">
        <v>293</v>
      </c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</row>
    <row r="42" spans="1:50" x14ac:dyDescent="0.25">
      <c r="A42" s="5">
        <v>2031343797</v>
      </c>
      <c r="B42" s="5" t="s">
        <v>271</v>
      </c>
      <c r="C42" s="5" t="s">
        <v>272</v>
      </c>
      <c r="D42" s="5" t="str">
        <f t="shared" si="3"/>
        <v>MOON YIM</v>
      </c>
      <c r="E42" s="5" t="s">
        <v>101</v>
      </c>
      <c r="F42" s="5" t="s">
        <v>243</v>
      </c>
      <c r="G42" s="5" t="s">
        <v>244</v>
      </c>
      <c r="H42" s="5" t="s">
        <v>1239</v>
      </c>
      <c r="I42" s="5" t="s">
        <v>273</v>
      </c>
      <c r="J42" s="5" t="s">
        <v>274</v>
      </c>
      <c r="K42" s="5" t="str">
        <f t="shared" si="4"/>
        <v>Andrew Choi</v>
      </c>
      <c r="L42" s="6">
        <v>45931</v>
      </c>
      <c r="M42" s="6">
        <v>45962</v>
      </c>
      <c r="N42" s="7">
        <v>61.64</v>
      </c>
      <c r="O42" s="5">
        <v>1</v>
      </c>
      <c r="P42" s="8">
        <v>0.375</v>
      </c>
      <c r="Q42" s="5">
        <v>6</v>
      </c>
      <c r="R42" s="7">
        <v>23.12</v>
      </c>
      <c r="S42" s="7">
        <f t="shared" si="2"/>
        <v>3.8533333333333335</v>
      </c>
      <c r="T42" s="5" t="s">
        <v>244</v>
      </c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</row>
    <row r="43" spans="1:50" x14ac:dyDescent="0.25">
      <c r="A43" s="5">
        <v>2031225658</v>
      </c>
      <c r="B43" s="5" t="s">
        <v>254</v>
      </c>
      <c r="C43" s="5" t="s">
        <v>255</v>
      </c>
      <c r="D43" s="5" t="str">
        <f t="shared" si="3"/>
        <v>ISABELLA FIDUCCIA</v>
      </c>
      <c r="E43" s="5" t="s">
        <v>155</v>
      </c>
      <c r="F43" s="5" t="s">
        <v>243</v>
      </c>
      <c r="G43" s="5" t="s">
        <v>244</v>
      </c>
      <c r="H43" s="5" t="s">
        <v>1242</v>
      </c>
      <c r="I43" s="5" t="s">
        <v>256</v>
      </c>
      <c r="J43" s="5" t="s">
        <v>165</v>
      </c>
      <c r="K43" s="5" t="str">
        <f t="shared" si="4"/>
        <v>FRANK LISKOVEC</v>
      </c>
      <c r="L43" s="6">
        <v>45931</v>
      </c>
      <c r="M43" s="6">
        <v>45962</v>
      </c>
      <c r="N43" s="7">
        <v>27.56</v>
      </c>
      <c r="O43" s="5">
        <v>1</v>
      </c>
      <c r="P43" s="8">
        <v>0.375</v>
      </c>
      <c r="Q43" s="5">
        <v>6</v>
      </c>
      <c r="R43" s="7">
        <v>10.34</v>
      </c>
      <c r="S43" s="7">
        <f t="shared" si="2"/>
        <v>1.7233333333333334</v>
      </c>
      <c r="T43" s="5" t="s">
        <v>244</v>
      </c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</row>
    <row r="44" spans="1:50" x14ac:dyDescent="0.25">
      <c r="A44" s="5">
        <v>2031337969</v>
      </c>
      <c r="B44" s="5" t="s">
        <v>263</v>
      </c>
      <c r="C44" s="5" t="s">
        <v>264</v>
      </c>
      <c r="D44" s="5" t="str">
        <f t="shared" si="3"/>
        <v>DESIREE LUNDVALL</v>
      </c>
      <c r="E44" s="5" t="s">
        <v>203</v>
      </c>
      <c r="F44" s="5" t="s">
        <v>243</v>
      </c>
      <c r="G44" s="5" t="s">
        <v>244</v>
      </c>
      <c r="H44" s="5" t="s">
        <v>1243</v>
      </c>
      <c r="I44" s="5" t="s">
        <v>265</v>
      </c>
      <c r="J44" s="5" t="s">
        <v>266</v>
      </c>
      <c r="K44" s="5" t="str">
        <f t="shared" si="4"/>
        <v>Heather Geske</v>
      </c>
      <c r="L44" s="6">
        <v>45931</v>
      </c>
      <c r="M44" s="6">
        <v>45962</v>
      </c>
      <c r="N44" s="7">
        <v>71.760000000000005</v>
      </c>
      <c r="O44" s="5">
        <v>1</v>
      </c>
      <c r="P44" s="8">
        <v>0.375</v>
      </c>
      <c r="Q44" s="5">
        <v>6</v>
      </c>
      <c r="R44" s="7">
        <v>26.91</v>
      </c>
      <c r="S44" s="7">
        <f t="shared" si="2"/>
        <v>4.4850000000000003</v>
      </c>
      <c r="T44" s="5" t="s">
        <v>244</v>
      </c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</row>
    <row r="45" spans="1:50" x14ac:dyDescent="0.25">
      <c r="A45" s="5">
        <v>2031081020</v>
      </c>
      <c r="B45" s="5" t="s">
        <v>144</v>
      </c>
      <c r="C45" s="5" t="s">
        <v>145</v>
      </c>
      <c r="D45" s="5" t="str">
        <f t="shared" si="3"/>
        <v>JENNIFER GENTRY</v>
      </c>
      <c r="E45" s="5" t="s">
        <v>64</v>
      </c>
      <c r="F45" s="5" t="s">
        <v>243</v>
      </c>
      <c r="G45" s="5" t="s">
        <v>244</v>
      </c>
      <c r="H45" s="5" t="s">
        <v>1247</v>
      </c>
      <c r="I45" s="5" t="s">
        <v>146</v>
      </c>
      <c r="J45" s="5" t="s">
        <v>147</v>
      </c>
      <c r="K45" s="5" t="str">
        <f t="shared" si="4"/>
        <v>Kirk Tigue</v>
      </c>
      <c r="L45" s="6">
        <v>45932</v>
      </c>
      <c r="M45" s="6">
        <v>45963</v>
      </c>
      <c r="N45" s="7">
        <v>15.33</v>
      </c>
      <c r="O45" s="5">
        <v>1</v>
      </c>
      <c r="P45" s="8">
        <v>0.375</v>
      </c>
      <c r="Q45" s="5">
        <v>6</v>
      </c>
      <c r="R45" s="7">
        <v>5.75</v>
      </c>
      <c r="S45" s="7">
        <f t="shared" si="2"/>
        <v>0.95833333333333337</v>
      </c>
      <c r="T45" s="5" t="s">
        <v>244</v>
      </c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</row>
    <row r="46" spans="1:50" x14ac:dyDescent="0.25">
      <c r="A46" s="5">
        <v>2031106354</v>
      </c>
      <c r="B46" s="5" t="s">
        <v>252</v>
      </c>
      <c r="C46" s="5" t="s">
        <v>253</v>
      </c>
      <c r="D46" s="5" t="str">
        <f t="shared" si="3"/>
        <v>DORCAS MATTHEW-GEORGE</v>
      </c>
      <c r="E46" s="5" t="s">
        <v>52</v>
      </c>
      <c r="F46" s="5" t="s">
        <v>243</v>
      </c>
      <c r="G46" s="5" t="s">
        <v>244</v>
      </c>
      <c r="H46" s="5" t="s">
        <v>1247</v>
      </c>
      <c r="I46" s="5" t="s">
        <v>146</v>
      </c>
      <c r="J46" s="5" t="s">
        <v>147</v>
      </c>
      <c r="K46" s="5" t="str">
        <f t="shared" si="4"/>
        <v>Kirk Tigue</v>
      </c>
      <c r="L46" s="6">
        <v>45932</v>
      </c>
      <c r="M46" s="6">
        <v>45963</v>
      </c>
      <c r="N46" s="7">
        <v>33.39</v>
      </c>
      <c r="O46" s="5">
        <v>1</v>
      </c>
      <c r="P46" s="8">
        <v>0.375</v>
      </c>
      <c r="Q46" s="5">
        <v>6</v>
      </c>
      <c r="R46" s="7">
        <v>12.52</v>
      </c>
      <c r="S46" s="7">
        <f t="shared" si="2"/>
        <v>2.0866666666666664</v>
      </c>
      <c r="T46" s="5" t="s">
        <v>244</v>
      </c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</row>
    <row r="47" spans="1:50" x14ac:dyDescent="0.25">
      <c r="A47" s="5">
        <v>2031091278</v>
      </c>
      <c r="B47" s="5" t="s">
        <v>148</v>
      </c>
      <c r="C47" s="5" t="s">
        <v>149</v>
      </c>
      <c r="D47" s="5" t="str">
        <f t="shared" si="3"/>
        <v>BEVERLY SMITH</v>
      </c>
      <c r="E47" s="5" t="s">
        <v>150</v>
      </c>
      <c r="F47" s="5" t="s">
        <v>243</v>
      </c>
      <c r="G47" s="5" t="s">
        <v>244</v>
      </c>
      <c r="H47" s="5" t="s">
        <v>1248</v>
      </c>
      <c r="I47" s="5" t="s">
        <v>151</v>
      </c>
      <c r="J47" s="5" t="s">
        <v>152</v>
      </c>
      <c r="K47" s="5" t="str">
        <f t="shared" si="4"/>
        <v>Marsha Sanderock</v>
      </c>
      <c r="L47" s="6">
        <v>45931</v>
      </c>
      <c r="M47" s="6">
        <v>45962</v>
      </c>
      <c r="N47" s="7">
        <v>58.15</v>
      </c>
      <c r="O47" s="5">
        <v>1</v>
      </c>
      <c r="P47" s="8">
        <v>0.375</v>
      </c>
      <c r="Q47" s="5">
        <v>6</v>
      </c>
      <c r="R47" s="7">
        <v>21.81</v>
      </c>
      <c r="S47" s="7">
        <f t="shared" si="2"/>
        <v>3.6349999999999998</v>
      </c>
      <c r="T47" s="5" t="s">
        <v>244</v>
      </c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</row>
    <row r="48" spans="1:50" x14ac:dyDescent="0.25">
      <c r="A48" s="5">
        <v>2031361485</v>
      </c>
      <c r="B48" s="5" t="s">
        <v>279</v>
      </c>
      <c r="C48" s="5" t="s">
        <v>280</v>
      </c>
      <c r="D48" s="5" t="str">
        <f t="shared" si="3"/>
        <v>CASSIE ROBY</v>
      </c>
      <c r="E48" s="5" t="s">
        <v>150</v>
      </c>
      <c r="F48" s="5" t="s">
        <v>243</v>
      </c>
      <c r="G48" s="5" t="s">
        <v>244</v>
      </c>
      <c r="H48" s="5" t="s">
        <v>1248</v>
      </c>
      <c r="I48" s="5" t="s">
        <v>151</v>
      </c>
      <c r="J48" s="5" t="s">
        <v>152</v>
      </c>
      <c r="K48" s="5" t="str">
        <f t="shared" si="4"/>
        <v>Marsha Sanderock</v>
      </c>
      <c r="L48" s="6">
        <v>45931</v>
      </c>
      <c r="M48" s="6">
        <v>45962</v>
      </c>
      <c r="N48" s="7">
        <v>58.15</v>
      </c>
      <c r="O48" s="5">
        <v>1</v>
      </c>
      <c r="P48" s="8">
        <v>0.375</v>
      </c>
      <c r="Q48" s="5">
        <v>6</v>
      </c>
      <c r="R48" s="7">
        <v>21.81</v>
      </c>
      <c r="S48" s="7">
        <f t="shared" si="2"/>
        <v>3.6349999999999998</v>
      </c>
      <c r="T48" s="5" t="s">
        <v>244</v>
      </c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</row>
    <row r="49" spans="1:50" x14ac:dyDescent="0.25">
      <c r="A49" s="5">
        <v>2031361276</v>
      </c>
      <c r="B49" s="5" t="s">
        <v>275</v>
      </c>
      <c r="C49" s="5" t="s">
        <v>276</v>
      </c>
      <c r="D49" s="5" t="str">
        <f t="shared" si="3"/>
        <v>JULIE SOMMESE</v>
      </c>
      <c r="E49" s="5" t="s">
        <v>101</v>
      </c>
      <c r="F49" s="5" t="s">
        <v>243</v>
      </c>
      <c r="G49" s="5" t="s">
        <v>244</v>
      </c>
      <c r="H49" s="5" t="s">
        <v>1253</v>
      </c>
      <c r="I49" s="5" t="s">
        <v>277</v>
      </c>
      <c r="J49" s="5" t="s">
        <v>278</v>
      </c>
      <c r="K49" s="5" t="str">
        <f t="shared" si="4"/>
        <v>Stephanie Drapac</v>
      </c>
      <c r="L49" s="6">
        <v>45931</v>
      </c>
      <c r="M49" s="6">
        <v>45962</v>
      </c>
      <c r="N49" s="7">
        <v>53.87</v>
      </c>
      <c r="O49" s="5">
        <v>1</v>
      </c>
      <c r="P49" s="8">
        <v>0.375</v>
      </c>
      <c r="Q49" s="5">
        <v>6</v>
      </c>
      <c r="R49" s="7">
        <v>20.2</v>
      </c>
      <c r="S49" s="7">
        <f t="shared" si="2"/>
        <v>3.3666666666666667</v>
      </c>
      <c r="T49" s="5" t="s">
        <v>244</v>
      </c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</row>
    <row r="50" spans="1:50" x14ac:dyDescent="0.25">
      <c r="A50" s="5">
        <v>2031364306</v>
      </c>
      <c r="B50" s="5" t="s">
        <v>281</v>
      </c>
      <c r="C50" s="5" t="s">
        <v>282</v>
      </c>
      <c r="D50" s="5" t="str">
        <f t="shared" si="3"/>
        <v>CASSANDRA KING</v>
      </c>
      <c r="E50" s="5" t="s">
        <v>52</v>
      </c>
      <c r="F50" s="5" t="s">
        <v>243</v>
      </c>
      <c r="G50" s="5" t="s">
        <v>244</v>
      </c>
      <c r="H50" s="5" t="s">
        <v>1254</v>
      </c>
      <c r="I50" s="5" t="s">
        <v>283</v>
      </c>
      <c r="J50" s="5" t="s">
        <v>284</v>
      </c>
      <c r="K50" s="5" t="str">
        <f t="shared" si="4"/>
        <v>THOMAS PARDUE</v>
      </c>
      <c r="L50" s="6">
        <v>45931</v>
      </c>
      <c r="M50" s="6">
        <v>45962</v>
      </c>
      <c r="N50" s="7">
        <v>33.39</v>
      </c>
      <c r="O50" s="5">
        <v>1</v>
      </c>
      <c r="P50" s="8">
        <v>0.375</v>
      </c>
      <c r="Q50" s="5">
        <v>6</v>
      </c>
      <c r="R50" s="7">
        <v>12.52</v>
      </c>
      <c r="S50" s="7">
        <f t="shared" si="2"/>
        <v>2.0866666666666664</v>
      </c>
      <c r="T50" s="5" t="s">
        <v>244</v>
      </c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</row>
    <row r="51" spans="1:50" x14ac:dyDescent="0.25">
      <c r="A51" s="5">
        <v>2031411444</v>
      </c>
      <c r="B51" s="5" t="s">
        <v>202</v>
      </c>
      <c r="C51" s="5" t="s">
        <v>145</v>
      </c>
      <c r="D51" s="5" t="str">
        <f t="shared" si="3"/>
        <v>JENNIFER THAKKAR</v>
      </c>
      <c r="E51" s="5" t="s">
        <v>203</v>
      </c>
      <c r="F51" s="5" t="s">
        <v>243</v>
      </c>
      <c r="G51" s="5" t="s">
        <v>244</v>
      </c>
      <c r="H51" s="5" t="s">
        <v>1256</v>
      </c>
      <c r="I51" s="5" t="s">
        <v>204</v>
      </c>
      <c r="J51" s="5" t="s">
        <v>205</v>
      </c>
      <c r="K51" s="5" t="str">
        <f t="shared" si="4"/>
        <v>WILLIAM GESKE</v>
      </c>
      <c r="L51" s="6">
        <v>45933</v>
      </c>
      <c r="M51" s="6">
        <v>45964</v>
      </c>
      <c r="N51" s="7">
        <v>47.28</v>
      </c>
      <c r="O51" s="5">
        <v>1</v>
      </c>
      <c r="P51" s="8">
        <v>0.375</v>
      </c>
      <c r="Q51" s="5">
        <v>6</v>
      </c>
      <c r="R51" s="7">
        <v>17.73</v>
      </c>
      <c r="S51" s="7">
        <f t="shared" si="2"/>
        <v>2.9550000000000001</v>
      </c>
      <c r="T51" s="5" t="s">
        <v>244</v>
      </c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</row>
    <row r="52" spans="1:50" x14ac:dyDescent="0.25">
      <c r="A52" s="5">
        <v>2031343798</v>
      </c>
      <c r="B52" s="5" t="s">
        <v>271</v>
      </c>
      <c r="C52" s="5" t="s">
        <v>272</v>
      </c>
      <c r="D52" s="5" t="str">
        <f t="shared" si="3"/>
        <v>MOON YIM</v>
      </c>
      <c r="E52" s="5" t="s">
        <v>101</v>
      </c>
      <c r="F52" s="5" t="s">
        <v>292</v>
      </c>
      <c r="G52" s="5" t="s">
        <v>295</v>
      </c>
      <c r="H52" s="5" t="s">
        <v>1239</v>
      </c>
      <c r="I52" s="5" t="s">
        <v>273</v>
      </c>
      <c r="J52" s="5" t="s">
        <v>274</v>
      </c>
      <c r="K52" s="5" t="str">
        <f t="shared" si="4"/>
        <v>Andrew Choi</v>
      </c>
      <c r="L52" s="6">
        <v>45931</v>
      </c>
      <c r="M52" s="6">
        <v>45962</v>
      </c>
      <c r="N52" s="7">
        <v>23.05</v>
      </c>
      <c r="O52" s="5">
        <v>1</v>
      </c>
      <c r="P52" s="9">
        <v>0.9</v>
      </c>
      <c r="Q52" s="5">
        <v>6</v>
      </c>
      <c r="R52" s="7">
        <v>20.74</v>
      </c>
      <c r="S52" s="7">
        <f t="shared" si="2"/>
        <v>3.4566666666666666</v>
      </c>
      <c r="T52" s="5" t="s">
        <v>295</v>
      </c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</row>
    <row r="53" spans="1:50" x14ac:dyDescent="0.25">
      <c r="A53" s="5">
        <v>2031327780</v>
      </c>
      <c r="B53" s="5" t="s">
        <v>62</v>
      </c>
      <c r="C53" s="5" t="s">
        <v>63</v>
      </c>
      <c r="D53" s="5" t="str">
        <f t="shared" si="3"/>
        <v>ANTHONY CALLAGHAN</v>
      </c>
      <c r="E53" s="5" t="s">
        <v>64</v>
      </c>
      <c r="F53" s="5" t="s">
        <v>292</v>
      </c>
      <c r="G53" s="5" t="s">
        <v>295</v>
      </c>
      <c r="H53" s="5" t="s">
        <v>1252</v>
      </c>
      <c r="I53" s="5" t="s">
        <v>66</v>
      </c>
      <c r="J53" s="5" t="s">
        <v>67</v>
      </c>
      <c r="K53" s="5" t="str">
        <f t="shared" si="4"/>
        <v>Richard Yale</v>
      </c>
      <c r="L53" s="6">
        <v>45931</v>
      </c>
      <c r="M53" s="6">
        <v>45962</v>
      </c>
      <c r="N53" s="7">
        <v>56.63</v>
      </c>
      <c r="O53" s="5">
        <v>1</v>
      </c>
      <c r="P53" s="9">
        <v>0.9</v>
      </c>
      <c r="Q53" s="5">
        <v>6</v>
      </c>
      <c r="R53" s="7">
        <v>50.97</v>
      </c>
      <c r="S53" s="7">
        <f t="shared" si="2"/>
        <v>8.4949999999999992</v>
      </c>
      <c r="T53" s="5" t="s">
        <v>295</v>
      </c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</row>
    <row r="54" spans="1:50" x14ac:dyDescent="0.25">
      <c r="A54" s="5">
        <v>2031327778</v>
      </c>
      <c r="B54" s="5" t="s">
        <v>62</v>
      </c>
      <c r="C54" s="5" t="s">
        <v>63</v>
      </c>
      <c r="D54" s="5" t="str">
        <f t="shared" si="3"/>
        <v>ANTHONY CALLAGHAN</v>
      </c>
      <c r="E54" s="5" t="s">
        <v>64</v>
      </c>
      <c r="F54" s="5" t="s">
        <v>53</v>
      </c>
      <c r="G54" s="5" t="s">
        <v>65</v>
      </c>
      <c r="H54" s="5" t="s">
        <v>1252</v>
      </c>
      <c r="I54" s="5" t="s">
        <v>66</v>
      </c>
      <c r="J54" s="5" t="s">
        <v>67</v>
      </c>
      <c r="K54" s="5" t="str">
        <f t="shared" si="4"/>
        <v>Richard Yale</v>
      </c>
      <c r="L54" s="6">
        <v>45931</v>
      </c>
      <c r="M54" s="6">
        <v>45962</v>
      </c>
      <c r="N54" s="7">
        <v>69.5</v>
      </c>
      <c r="O54" s="5">
        <v>1</v>
      </c>
      <c r="P54" s="9">
        <v>0.6</v>
      </c>
      <c r="Q54" s="5">
        <v>6</v>
      </c>
      <c r="R54" s="7">
        <v>41.7</v>
      </c>
      <c r="S54" s="7">
        <f t="shared" si="2"/>
        <v>6.95</v>
      </c>
      <c r="T54" s="5" t="s">
        <v>65</v>
      </c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</row>
  </sheetData>
  <sortState xmlns:xlrd2="http://schemas.microsoft.com/office/spreadsheetml/2017/richdata2" ref="A2:AX54">
    <sortCondition ref="G2:G54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CD55A-8033-4157-BE23-2B0B7B762DFD}">
  <dimension ref="A1:AV977"/>
  <sheetViews>
    <sheetView topLeftCell="A913" workbookViewId="0">
      <selection activeCell="T934" sqref="A934:XFD934"/>
    </sheetView>
  </sheetViews>
  <sheetFormatPr defaultRowHeight="15" x14ac:dyDescent="0.25"/>
  <cols>
    <col min="1" max="1" width="27.28515625" bestFit="1" customWidth="1"/>
    <col min="2" max="2" width="5.140625" bestFit="1" customWidth="1"/>
    <col min="3" max="3" width="24.42578125" bestFit="1" customWidth="1"/>
    <col min="4" max="4" width="11" bestFit="1" customWidth="1"/>
    <col min="5" max="5" width="22.140625" bestFit="1" customWidth="1"/>
    <col min="6" max="6" width="22.42578125" bestFit="1" customWidth="1"/>
    <col min="7" max="7" width="22.85546875" bestFit="1" customWidth="1"/>
    <col min="8" max="8" width="5.28515625" bestFit="1" customWidth="1"/>
    <col min="9" max="9" width="20.28515625" bestFit="1" customWidth="1"/>
    <col min="10" max="10" width="42.42578125" bestFit="1" customWidth="1"/>
    <col min="11" max="11" width="15" bestFit="1" customWidth="1"/>
    <col min="12" max="12" width="16.28515625" bestFit="1" customWidth="1"/>
    <col min="13" max="13" width="13.85546875" bestFit="1" customWidth="1"/>
    <col min="14" max="14" width="12.140625" bestFit="1" customWidth="1"/>
    <col min="15" max="15" width="12.5703125" bestFit="1" customWidth="1"/>
    <col min="16" max="16" width="9.85546875" bestFit="1" customWidth="1"/>
    <col min="17" max="17" width="12" bestFit="1" customWidth="1"/>
    <col min="18" max="18" width="15.85546875" bestFit="1" customWidth="1"/>
    <col min="19" max="19" width="7.28515625" bestFit="1" customWidth="1"/>
    <col min="20" max="20" width="12.5703125" bestFit="1" customWidth="1"/>
    <col min="21" max="21" width="9.7109375" bestFit="1" customWidth="1"/>
    <col min="22" max="22" width="11.140625" bestFit="1" customWidth="1"/>
    <col min="23" max="23" width="9.85546875" bestFit="1" customWidth="1"/>
    <col min="24" max="24" width="13.85546875" bestFit="1" customWidth="1"/>
    <col min="25" max="25" width="8.28515625" bestFit="1" customWidth="1"/>
    <col min="26" max="26" width="15" bestFit="1" customWidth="1"/>
    <col min="27" max="27" width="12.140625" bestFit="1" customWidth="1"/>
    <col min="28" max="28" width="15.85546875" bestFit="1" customWidth="1"/>
    <col min="29" max="29" width="9.7109375" bestFit="1" customWidth="1"/>
    <col min="30" max="30" width="14.5703125" bestFit="1" customWidth="1"/>
    <col min="31" max="31" width="10.140625" bestFit="1" customWidth="1"/>
    <col min="32" max="32" width="11.42578125" bestFit="1" customWidth="1"/>
    <col min="33" max="33" width="13.28515625" bestFit="1" customWidth="1"/>
    <col min="34" max="34" width="14.140625" bestFit="1" customWidth="1"/>
    <col min="35" max="35" width="15.85546875" bestFit="1" customWidth="1"/>
    <col min="36" max="36" width="13.85546875" bestFit="1" customWidth="1"/>
    <col min="37" max="37" width="16.42578125" bestFit="1" customWidth="1"/>
    <col min="38" max="38" width="12.85546875" bestFit="1" customWidth="1"/>
    <col min="39" max="39" width="19" bestFit="1" customWidth="1"/>
    <col min="40" max="40" width="20.85546875" bestFit="1" customWidth="1"/>
    <col min="41" max="41" width="15.7109375" bestFit="1" customWidth="1"/>
    <col min="42" max="42" width="20" bestFit="1" customWidth="1"/>
    <col min="43" max="43" width="22.42578125" bestFit="1" customWidth="1"/>
    <col min="44" max="44" width="31.28515625" bestFit="1" customWidth="1"/>
    <col min="45" max="45" width="22" bestFit="1" customWidth="1"/>
    <col min="46" max="46" width="21.140625" bestFit="1" customWidth="1"/>
    <col min="47" max="47" width="17.7109375" bestFit="1" customWidth="1"/>
    <col min="48" max="48" width="11.42578125" bestFit="1" customWidth="1"/>
  </cols>
  <sheetData>
    <row r="1" spans="1:4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25">
      <c r="A2" s="1">
        <v>45936</v>
      </c>
      <c r="B2" t="s">
        <v>48</v>
      </c>
      <c r="C2">
        <v>649163</v>
      </c>
      <c r="D2">
        <v>2016750308</v>
      </c>
      <c r="E2" t="s">
        <v>357</v>
      </c>
      <c r="F2" t="s">
        <v>358</v>
      </c>
      <c r="G2" t="s">
        <v>51</v>
      </c>
      <c r="H2" t="s">
        <v>88</v>
      </c>
      <c r="I2" t="s">
        <v>53</v>
      </c>
      <c r="J2" t="s">
        <v>65</v>
      </c>
      <c r="K2">
        <v>652037</v>
      </c>
      <c r="L2" t="s">
        <v>172</v>
      </c>
      <c r="M2" t="s">
        <v>173</v>
      </c>
      <c r="N2" t="s">
        <v>57</v>
      </c>
      <c r="O2" s="1">
        <v>44873</v>
      </c>
      <c r="Q2" s="1">
        <v>45969</v>
      </c>
      <c r="R2" s="2">
        <v>36.159999999999997</v>
      </c>
      <c r="S2">
        <v>1</v>
      </c>
      <c r="T2" t="s">
        <v>58</v>
      </c>
      <c r="U2" t="s">
        <v>359</v>
      </c>
      <c r="V2" s="4">
        <v>6.5000000000000002E-2</v>
      </c>
      <c r="W2" s="2">
        <v>0</v>
      </c>
      <c r="X2">
        <v>0</v>
      </c>
      <c r="Y2" t="s">
        <v>214</v>
      </c>
      <c r="Z2" t="s">
        <v>360</v>
      </c>
      <c r="AA2">
        <v>0</v>
      </c>
      <c r="AB2" s="2">
        <v>0</v>
      </c>
      <c r="AC2" s="2">
        <v>0</v>
      </c>
      <c r="AD2" s="3">
        <v>0</v>
      </c>
      <c r="AE2" s="2">
        <v>0</v>
      </c>
      <c r="AF2" s="2">
        <v>0</v>
      </c>
      <c r="AG2" s="2">
        <v>0</v>
      </c>
      <c r="AH2" s="2">
        <v>0</v>
      </c>
      <c r="AI2" s="2">
        <v>0</v>
      </c>
      <c r="AJ2" s="2">
        <v>0</v>
      </c>
      <c r="AK2" s="2">
        <v>0</v>
      </c>
      <c r="AL2" s="2">
        <v>0</v>
      </c>
      <c r="AM2" s="2">
        <v>2.35</v>
      </c>
      <c r="AN2" s="2">
        <v>2.35</v>
      </c>
      <c r="AO2" s="2">
        <v>0</v>
      </c>
      <c r="AP2" s="2">
        <v>0</v>
      </c>
      <c r="AQ2" s="2">
        <v>0</v>
      </c>
    </row>
    <row r="3" spans="1:48" x14ac:dyDescent="0.25">
      <c r="A3" s="1">
        <v>45936</v>
      </c>
      <c r="B3" t="s">
        <v>48</v>
      </c>
      <c r="C3">
        <v>649163</v>
      </c>
      <c r="D3">
        <v>2030966817</v>
      </c>
      <c r="E3" t="s">
        <v>361</v>
      </c>
      <c r="F3" t="s">
        <v>362</v>
      </c>
      <c r="G3" t="s">
        <v>51</v>
      </c>
      <c r="H3" t="s">
        <v>323</v>
      </c>
      <c r="I3" t="s">
        <v>243</v>
      </c>
      <c r="J3" t="s">
        <v>244</v>
      </c>
      <c r="K3">
        <v>823350</v>
      </c>
      <c r="L3" t="s">
        <v>66</v>
      </c>
      <c r="M3" t="s">
        <v>67</v>
      </c>
      <c r="N3" t="s">
        <v>57</v>
      </c>
      <c r="O3" s="1">
        <v>45910</v>
      </c>
      <c r="Q3" s="1">
        <v>45971</v>
      </c>
      <c r="R3" s="2">
        <v>61.74</v>
      </c>
      <c r="S3">
        <v>1</v>
      </c>
      <c r="T3" t="s">
        <v>58</v>
      </c>
      <c r="U3" t="s">
        <v>59</v>
      </c>
      <c r="V3" s="4">
        <v>0.375</v>
      </c>
      <c r="W3" s="2">
        <v>0</v>
      </c>
      <c r="X3">
        <v>0</v>
      </c>
      <c r="Y3" t="s">
        <v>60</v>
      </c>
      <c r="Z3" t="s">
        <v>360</v>
      </c>
      <c r="AA3">
        <v>0</v>
      </c>
      <c r="AB3" s="2">
        <v>0</v>
      </c>
      <c r="AC3" s="2">
        <v>0</v>
      </c>
      <c r="AD3" s="3">
        <v>0</v>
      </c>
      <c r="AE3" s="2">
        <v>0</v>
      </c>
      <c r="AF3" s="2">
        <v>0</v>
      </c>
      <c r="AG3" s="2">
        <v>0</v>
      </c>
      <c r="AH3" s="2">
        <v>0</v>
      </c>
      <c r="AI3" s="2">
        <v>0</v>
      </c>
      <c r="AJ3" s="2">
        <v>0</v>
      </c>
      <c r="AK3" s="2">
        <v>0</v>
      </c>
      <c r="AL3" s="2">
        <v>23.15</v>
      </c>
      <c r="AM3" s="2">
        <v>0</v>
      </c>
      <c r="AN3" s="2">
        <v>0</v>
      </c>
      <c r="AO3" s="2">
        <v>0</v>
      </c>
      <c r="AP3" s="2">
        <v>0</v>
      </c>
      <c r="AQ3" s="2">
        <v>0</v>
      </c>
    </row>
    <row r="4" spans="1:48" x14ac:dyDescent="0.25">
      <c r="A4" s="1">
        <v>45936</v>
      </c>
      <c r="B4" t="s">
        <v>48</v>
      </c>
      <c r="C4">
        <v>649163</v>
      </c>
      <c r="D4">
        <v>2020435110</v>
      </c>
      <c r="E4" t="s">
        <v>148</v>
      </c>
      <c r="F4" t="s">
        <v>194</v>
      </c>
      <c r="G4" t="s">
        <v>51</v>
      </c>
      <c r="H4" t="s">
        <v>129</v>
      </c>
      <c r="I4" t="s">
        <v>287</v>
      </c>
      <c r="J4" t="s">
        <v>363</v>
      </c>
      <c r="K4">
        <v>651818</v>
      </c>
      <c r="L4" t="s">
        <v>112</v>
      </c>
      <c r="M4" t="s">
        <v>104</v>
      </c>
      <c r="N4" t="s">
        <v>57</v>
      </c>
      <c r="O4" s="1">
        <v>45231</v>
      </c>
      <c r="Q4" s="1">
        <v>45962</v>
      </c>
      <c r="R4" s="2">
        <v>-132.06</v>
      </c>
      <c r="S4">
        <v>1</v>
      </c>
      <c r="T4" t="s">
        <v>58</v>
      </c>
      <c r="U4" t="s">
        <v>359</v>
      </c>
      <c r="V4" s="3">
        <v>0.05</v>
      </c>
      <c r="W4" s="2">
        <v>0</v>
      </c>
      <c r="X4">
        <v>-1</v>
      </c>
      <c r="Y4" t="s">
        <v>214</v>
      </c>
      <c r="Z4" t="s">
        <v>360</v>
      </c>
      <c r="AA4">
        <v>0</v>
      </c>
      <c r="AB4" s="2">
        <v>0</v>
      </c>
      <c r="AC4" s="2">
        <v>0</v>
      </c>
      <c r="AD4" s="3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0</v>
      </c>
      <c r="AM4" s="2">
        <v>-6.6</v>
      </c>
      <c r="AN4" s="2">
        <v>-6.6</v>
      </c>
      <c r="AO4" s="2">
        <v>0</v>
      </c>
      <c r="AP4" s="2">
        <v>0</v>
      </c>
      <c r="AQ4" s="2">
        <v>0</v>
      </c>
    </row>
    <row r="5" spans="1:48" x14ac:dyDescent="0.25">
      <c r="A5" s="1">
        <v>45936</v>
      </c>
      <c r="B5" t="s">
        <v>48</v>
      </c>
      <c r="C5">
        <v>649163</v>
      </c>
      <c r="D5">
        <v>2022853292</v>
      </c>
      <c r="E5" t="s">
        <v>364</v>
      </c>
      <c r="F5" t="s">
        <v>365</v>
      </c>
      <c r="G5" t="s">
        <v>51</v>
      </c>
      <c r="H5" t="s">
        <v>70</v>
      </c>
      <c r="I5" t="s">
        <v>287</v>
      </c>
      <c r="J5" t="s">
        <v>288</v>
      </c>
      <c r="K5">
        <v>751867</v>
      </c>
      <c r="L5" t="s">
        <v>71</v>
      </c>
      <c r="M5" t="s">
        <v>72</v>
      </c>
      <c r="N5" t="s">
        <v>57</v>
      </c>
      <c r="O5" s="1">
        <v>45413</v>
      </c>
      <c r="Q5" s="1">
        <v>45962</v>
      </c>
      <c r="R5" s="2">
        <v>116.64</v>
      </c>
      <c r="S5">
        <v>1</v>
      </c>
      <c r="T5" t="s">
        <v>58</v>
      </c>
      <c r="U5" t="s">
        <v>359</v>
      </c>
      <c r="V5" s="3">
        <v>0.1</v>
      </c>
      <c r="W5" s="2">
        <v>0</v>
      </c>
      <c r="X5">
        <v>0</v>
      </c>
      <c r="Y5" t="s">
        <v>214</v>
      </c>
      <c r="Z5" t="s">
        <v>360</v>
      </c>
      <c r="AA5">
        <v>0</v>
      </c>
      <c r="AB5" s="2">
        <v>0</v>
      </c>
      <c r="AC5" s="2">
        <v>0</v>
      </c>
      <c r="AD5" s="3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0</v>
      </c>
      <c r="AM5" s="2">
        <v>11.66</v>
      </c>
      <c r="AN5" s="2">
        <v>11.66</v>
      </c>
      <c r="AO5" s="2">
        <v>0</v>
      </c>
      <c r="AP5" s="2">
        <v>0</v>
      </c>
      <c r="AQ5" s="2">
        <v>0</v>
      </c>
    </row>
    <row r="6" spans="1:48" x14ac:dyDescent="0.25">
      <c r="A6" s="1">
        <v>45936</v>
      </c>
      <c r="B6" t="s">
        <v>48</v>
      </c>
      <c r="C6">
        <v>649163</v>
      </c>
      <c r="D6">
        <v>2022874966</v>
      </c>
      <c r="E6" t="s">
        <v>366</v>
      </c>
      <c r="F6" t="s">
        <v>367</v>
      </c>
      <c r="G6" t="s">
        <v>51</v>
      </c>
      <c r="H6" t="s">
        <v>70</v>
      </c>
      <c r="I6" t="s">
        <v>287</v>
      </c>
      <c r="J6" t="s">
        <v>288</v>
      </c>
      <c r="K6">
        <v>751867</v>
      </c>
      <c r="L6" t="s">
        <v>71</v>
      </c>
      <c r="M6" t="s">
        <v>72</v>
      </c>
      <c r="N6" t="s">
        <v>57</v>
      </c>
      <c r="O6" s="1">
        <v>45413</v>
      </c>
      <c r="Q6" s="1">
        <v>45962</v>
      </c>
      <c r="R6" s="2">
        <v>69.63</v>
      </c>
      <c r="S6">
        <v>1</v>
      </c>
      <c r="T6" t="s">
        <v>58</v>
      </c>
      <c r="U6" t="s">
        <v>359</v>
      </c>
      <c r="V6" s="3">
        <v>0.1</v>
      </c>
      <c r="W6" s="2">
        <v>0</v>
      </c>
      <c r="X6">
        <v>0</v>
      </c>
      <c r="Y6" t="s">
        <v>214</v>
      </c>
      <c r="Z6" t="s">
        <v>360</v>
      </c>
      <c r="AA6">
        <v>0</v>
      </c>
      <c r="AB6" s="2">
        <v>0</v>
      </c>
      <c r="AC6" s="2">
        <v>0</v>
      </c>
      <c r="AD6" s="3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0</v>
      </c>
      <c r="AM6" s="2">
        <v>6.96</v>
      </c>
      <c r="AN6" s="2">
        <v>6.96</v>
      </c>
      <c r="AO6" s="2">
        <v>0</v>
      </c>
      <c r="AP6" s="2">
        <v>0</v>
      </c>
      <c r="AQ6" s="2">
        <v>0</v>
      </c>
    </row>
    <row r="7" spans="1:48" x14ac:dyDescent="0.25">
      <c r="A7" s="1">
        <v>45936</v>
      </c>
      <c r="B7" t="s">
        <v>48</v>
      </c>
      <c r="C7">
        <v>649163</v>
      </c>
      <c r="D7">
        <v>2023010064</v>
      </c>
      <c r="E7" t="s">
        <v>368</v>
      </c>
      <c r="F7" t="s">
        <v>369</v>
      </c>
      <c r="G7" t="s">
        <v>51</v>
      </c>
      <c r="H7" t="s">
        <v>262</v>
      </c>
      <c r="I7" t="s">
        <v>287</v>
      </c>
      <c r="J7" t="s">
        <v>288</v>
      </c>
      <c r="K7">
        <v>751867</v>
      </c>
      <c r="L7" t="s">
        <v>71</v>
      </c>
      <c r="M7" t="s">
        <v>72</v>
      </c>
      <c r="N7" t="s">
        <v>57</v>
      </c>
      <c r="O7" s="1">
        <v>45419</v>
      </c>
      <c r="Q7" s="1">
        <v>45968</v>
      </c>
      <c r="R7" s="2">
        <v>17.34</v>
      </c>
      <c r="S7">
        <v>1</v>
      </c>
      <c r="T7" t="s">
        <v>58</v>
      </c>
      <c r="U7" t="s">
        <v>359</v>
      </c>
      <c r="V7" s="3">
        <v>0.1</v>
      </c>
      <c r="W7" s="2">
        <v>0</v>
      </c>
      <c r="X7">
        <v>0</v>
      </c>
      <c r="Y7" t="s">
        <v>214</v>
      </c>
      <c r="Z7" t="s">
        <v>360</v>
      </c>
      <c r="AA7">
        <v>0</v>
      </c>
      <c r="AB7" s="2">
        <v>0</v>
      </c>
      <c r="AC7" s="2">
        <v>0</v>
      </c>
      <c r="AD7" s="3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2">
        <v>1.73</v>
      </c>
      <c r="AN7" s="2">
        <v>1.73</v>
      </c>
      <c r="AO7" s="2">
        <v>0</v>
      </c>
      <c r="AP7" s="2">
        <v>0</v>
      </c>
      <c r="AQ7" s="2">
        <v>0</v>
      </c>
    </row>
    <row r="8" spans="1:48" x14ac:dyDescent="0.25">
      <c r="A8" s="1">
        <v>45936</v>
      </c>
      <c r="B8" t="s">
        <v>48</v>
      </c>
      <c r="C8">
        <v>649163</v>
      </c>
      <c r="D8">
        <v>2023048531</v>
      </c>
      <c r="E8" t="s">
        <v>370</v>
      </c>
      <c r="F8" t="s">
        <v>371</v>
      </c>
      <c r="G8" t="s">
        <v>51</v>
      </c>
      <c r="H8" t="s">
        <v>262</v>
      </c>
      <c r="I8" t="s">
        <v>287</v>
      </c>
      <c r="J8" t="s">
        <v>288</v>
      </c>
      <c r="K8">
        <v>751867</v>
      </c>
      <c r="L8" t="s">
        <v>71</v>
      </c>
      <c r="M8" t="s">
        <v>72</v>
      </c>
      <c r="N8" t="s">
        <v>57</v>
      </c>
      <c r="O8" s="1">
        <v>45422</v>
      </c>
      <c r="Q8" s="1">
        <v>45971</v>
      </c>
      <c r="R8" s="2">
        <v>55.07</v>
      </c>
      <c r="S8">
        <v>1</v>
      </c>
      <c r="T8" t="s">
        <v>58</v>
      </c>
      <c r="U8" t="s">
        <v>359</v>
      </c>
      <c r="V8" s="3">
        <v>0.1</v>
      </c>
      <c r="W8" s="2">
        <v>0</v>
      </c>
      <c r="X8">
        <v>0</v>
      </c>
      <c r="Y8" t="s">
        <v>214</v>
      </c>
      <c r="Z8" t="s">
        <v>360</v>
      </c>
      <c r="AA8">
        <v>0</v>
      </c>
      <c r="AB8" s="2">
        <v>0</v>
      </c>
      <c r="AC8" s="2">
        <v>0</v>
      </c>
      <c r="AD8" s="3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0</v>
      </c>
      <c r="AM8" s="2">
        <v>5.51</v>
      </c>
      <c r="AN8" s="2">
        <v>5.51</v>
      </c>
      <c r="AO8" s="2">
        <v>0</v>
      </c>
      <c r="AP8" s="2">
        <v>0</v>
      </c>
      <c r="AQ8" s="2">
        <v>0</v>
      </c>
    </row>
    <row r="9" spans="1:48" x14ac:dyDescent="0.25">
      <c r="A9" s="1">
        <v>45936</v>
      </c>
      <c r="B9" t="s">
        <v>48</v>
      </c>
      <c r="C9">
        <v>649163</v>
      </c>
      <c r="D9">
        <v>2023245976</v>
      </c>
      <c r="E9" t="s">
        <v>372</v>
      </c>
      <c r="F9" t="s">
        <v>373</v>
      </c>
      <c r="G9" t="s">
        <v>51</v>
      </c>
      <c r="H9" t="s">
        <v>70</v>
      </c>
      <c r="I9" t="s">
        <v>287</v>
      </c>
      <c r="J9" t="s">
        <v>288</v>
      </c>
      <c r="K9">
        <v>650218</v>
      </c>
      <c r="L9" t="s">
        <v>237</v>
      </c>
      <c r="M9" t="s">
        <v>238</v>
      </c>
      <c r="N9" t="s">
        <v>57</v>
      </c>
      <c r="O9" s="1">
        <v>45444</v>
      </c>
      <c r="Q9" s="1">
        <v>45962</v>
      </c>
      <c r="R9" s="2">
        <v>22.77</v>
      </c>
      <c r="S9">
        <v>1</v>
      </c>
      <c r="T9" t="s">
        <v>58</v>
      </c>
      <c r="U9" t="s">
        <v>359</v>
      </c>
      <c r="V9" s="3">
        <v>0.1</v>
      </c>
      <c r="W9" s="2">
        <v>0</v>
      </c>
      <c r="X9">
        <v>0</v>
      </c>
      <c r="Y9" t="s">
        <v>214</v>
      </c>
      <c r="Z9" t="s">
        <v>360</v>
      </c>
      <c r="AA9">
        <v>0</v>
      </c>
      <c r="AB9" s="2">
        <v>0</v>
      </c>
      <c r="AC9" s="2">
        <v>0</v>
      </c>
      <c r="AD9" s="3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0</v>
      </c>
      <c r="AM9" s="2">
        <v>2.2799999999999998</v>
      </c>
      <c r="AN9" s="2">
        <v>2.2799999999999998</v>
      </c>
      <c r="AO9" s="2">
        <v>0</v>
      </c>
      <c r="AP9" s="2">
        <v>0</v>
      </c>
      <c r="AQ9" s="2">
        <v>0</v>
      </c>
    </row>
    <row r="10" spans="1:48" x14ac:dyDescent="0.25">
      <c r="A10" s="1">
        <v>45936</v>
      </c>
      <c r="B10" t="s">
        <v>48</v>
      </c>
      <c r="C10">
        <v>649163</v>
      </c>
      <c r="D10">
        <v>2023372598</v>
      </c>
      <c r="E10" t="s">
        <v>374</v>
      </c>
      <c r="F10" t="s">
        <v>375</v>
      </c>
      <c r="G10" t="s">
        <v>51</v>
      </c>
      <c r="H10" t="s">
        <v>376</v>
      </c>
      <c r="I10" t="s">
        <v>287</v>
      </c>
      <c r="J10" t="s">
        <v>288</v>
      </c>
      <c r="K10">
        <v>650218</v>
      </c>
      <c r="L10" t="s">
        <v>237</v>
      </c>
      <c r="M10" t="s">
        <v>238</v>
      </c>
      <c r="N10" t="s">
        <v>57</v>
      </c>
      <c r="O10" s="1">
        <v>45447</v>
      </c>
      <c r="Q10" s="1">
        <v>45965</v>
      </c>
      <c r="R10" s="2">
        <v>30.89</v>
      </c>
      <c r="S10">
        <v>1</v>
      </c>
      <c r="T10" t="s">
        <v>58</v>
      </c>
      <c r="U10" t="s">
        <v>359</v>
      </c>
      <c r="V10" s="3">
        <v>0.1</v>
      </c>
      <c r="W10" s="2">
        <v>0</v>
      </c>
      <c r="X10">
        <v>0</v>
      </c>
      <c r="Y10" t="s">
        <v>214</v>
      </c>
      <c r="Z10" t="s">
        <v>360</v>
      </c>
      <c r="AA10">
        <v>0</v>
      </c>
      <c r="AB10" s="2">
        <v>0</v>
      </c>
      <c r="AC10" s="2">
        <v>0</v>
      </c>
      <c r="AD10" s="3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0</v>
      </c>
      <c r="AM10" s="2">
        <v>3.09</v>
      </c>
      <c r="AN10" s="2">
        <v>3.09</v>
      </c>
      <c r="AO10" s="2">
        <v>0</v>
      </c>
      <c r="AP10" s="2">
        <v>0</v>
      </c>
      <c r="AQ10" s="2">
        <v>0</v>
      </c>
    </row>
    <row r="11" spans="1:48" x14ac:dyDescent="0.25">
      <c r="A11" s="1">
        <v>45936</v>
      </c>
      <c r="B11" t="s">
        <v>48</v>
      </c>
      <c r="C11">
        <v>649163</v>
      </c>
      <c r="D11">
        <v>2023402087</v>
      </c>
      <c r="E11" t="s">
        <v>377</v>
      </c>
      <c r="F11" t="s">
        <v>378</v>
      </c>
      <c r="G11" t="s">
        <v>51</v>
      </c>
      <c r="H11" t="s">
        <v>323</v>
      </c>
      <c r="I11" t="s">
        <v>287</v>
      </c>
      <c r="J11" t="s">
        <v>288</v>
      </c>
      <c r="K11">
        <v>673059</v>
      </c>
      <c r="L11" t="s">
        <v>80</v>
      </c>
      <c r="M11" t="s">
        <v>81</v>
      </c>
      <c r="N11" t="s">
        <v>57</v>
      </c>
      <c r="O11" s="1">
        <v>45449</v>
      </c>
      <c r="Q11" s="1">
        <v>45967</v>
      </c>
      <c r="R11" s="2">
        <v>15.77</v>
      </c>
      <c r="S11">
        <v>1</v>
      </c>
      <c r="T11" t="s">
        <v>58</v>
      </c>
      <c r="U11" t="s">
        <v>359</v>
      </c>
      <c r="V11" s="3">
        <v>0.1</v>
      </c>
      <c r="W11" s="2">
        <v>0</v>
      </c>
      <c r="X11">
        <v>0</v>
      </c>
      <c r="Y11" t="s">
        <v>214</v>
      </c>
      <c r="Z11" t="s">
        <v>360</v>
      </c>
      <c r="AA11">
        <v>0</v>
      </c>
      <c r="AB11" s="2">
        <v>0</v>
      </c>
      <c r="AC11" s="2">
        <v>0</v>
      </c>
      <c r="AD11" s="3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0</v>
      </c>
      <c r="AM11" s="2">
        <v>1.58</v>
      </c>
      <c r="AN11" s="2">
        <v>1.58</v>
      </c>
      <c r="AO11" s="2">
        <v>0</v>
      </c>
      <c r="AP11" s="2">
        <v>0</v>
      </c>
      <c r="AQ11" s="2">
        <v>0</v>
      </c>
    </row>
    <row r="12" spans="1:48" x14ac:dyDescent="0.25">
      <c r="A12" s="1">
        <v>45936</v>
      </c>
      <c r="B12" t="s">
        <v>48</v>
      </c>
      <c r="C12">
        <v>649163</v>
      </c>
      <c r="D12">
        <v>2024320118</v>
      </c>
      <c r="E12" t="s">
        <v>379</v>
      </c>
      <c r="F12" t="s">
        <v>224</v>
      </c>
      <c r="G12" t="s">
        <v>51</v>
      </c>
      <c r="H12" t="s">
        <v>70</v>
      </c>
      <c r="I12" t="s">
        <v>287</v>
      </c>
      <c r="J12" t="s">
        <v>288</v>
      </c>
      <c r="K12">
        <v>650218</v>
      </c>
      <c r="L12" t="s">
        <v>237</v>
      </c>
      <c r="M12" t="s">
        <v>238</v>
      </c>
      <c r="N12" t="s">
        <v>57</v>
      </c>
      <c r="O12" s="1">
        <v>45514</v>
      </c>
      <c r="Q12" s="1">
        <v>45971</v>
      </c>
      <c r="R12" s="2">
        <v>19.309999999999999</v>
      </c>
      <c r="S12">
        <v>1</v>
      </c>
      <c r="T12" t="s">
        <v>58</v>
      </c>
      <c r="U12" t="s">
        <v>359</v>
      </c>
      <c r="V12" s="3">
        <v>0.1</v>
      </c>
      <c r="W12" s="2">
        <v>0</v>
      </c>
      <c r="X12">
        <v>0</v>
      </c>
      <c r="Y12" t="s">
        <v>214</v>
      </c>
      <c r="Z12" t="s">
        <v>360</v>
      </c>
      <c r="AA12">
        <v>0</v>
      </c>
      <c r="AB12" s="2">
        <v>0</v>
      </c>
      <c r="AC12" s="2">
        <v>0</v>
      </c>
      <c r="AD12" s="3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0</v>
      </c>
      <c r="AM12" s="2">
        <v>1.93</v>
      </c>
      <c r="AN12" s="2">
        <v>1.93</v>
      </c>
      <c r="AO12" s="2">
        <v>0</v>
      </c>
      <c r="AP12" s="2">
        <v>0</v>
      </c>
      <c r="AQ12" s="2">
        <v>0</v>
      </c>
    </row>
    <row r="13" spans="1:48" x14ac:dyDescent="0.25">
      <c r="A13" s="1">
        <v>45936</v>
      </c>
      <c r="B13" t="s">
        <v>48</v>
      </c>
      <c r="C13">
        <v>649163</v>
      </c>
      <c r="D13">
        <v>2024324039</v>
      </c>
      <c r="E13" t="s">
        <v>380</v>
      </c>
      <c r="F13" t="s">
        <v>381</v>
      </c>
      <c r="G13" t="s">
        <v>51</v>
      </c>
      <c r="H13" t="s">
        <v>382</v>
      </c>
      <c r="I13" t="s">
        <v>287</v>
      </c>
      <c r="J13" t="s">
        <v>288</v>
      </c>
      <c r="K13">
        <v>650218</v>
      </c>
      <c r="L13" t="s">
        <v>237</v>
      </c>
      <c r="M13" t="s">
        <v>238</v>
      </c>
      <c r="N13" t="s">
        <v>57</v>
      </c>
      <c r="O13" s="1">
        <v>45514</v>
      </c>
      <c r="Q13" s="1">
        <v>45971</v>
      </c>
      <c r="R13" s="2">
        <v>11.03</v>
      </c>
      <c r="S13">
        <v>1</v>
      </c>
      <c r="T13" t="s">
        <v>58</v>
      </c>
      <c r="U13" t="s">
        <v>359</v>
      </c>
      <c r="V13" s="3">
        <v>0.1</v>
      </c>
      <c r="W13" s="2">
        <v>0</v>
      </c>
      <c r="X13">
        <v>0</v>
      </c>
      <c r="Y13" t="s">
        <v>214</v>
      </c>
      <c r="Z13" t="s">
        <v>360</v>
      </c>
      <c r="AA13">
        <v>0</v>
      </c>
      <c r="AB13" s="2">
        <v>0</v>
      </c>
      <c r="AC13" s="2">
        <v>0</v>
      </c>
      <c r="AD13" s="3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0</v>
      </c>
      <c r="AM13" s="2">
        <v>1.1000000000000001</v>
      </c>
      <c r="AN13" s="2">
        <v>1.1000000000000001</v>
      </c>
      <c r="AO13" s="2">
        <v>0</v>
      </c>
      <c r="AP13" s="2">
        <v>0</v>
      </c>
      <c r="AQ13" s="2">
        <v>0</v>
      </c>
    </row>
    <row r="14" spans="1:48" x14ac:dyDescent="0.25">
      <c r="A14" s="1">
        <v>45936</v>
      </c>
      <c r="B14" t="s">
        <v>48</v>
      </c>
      <c r="C14">
        <v>649163</v>
      </c>
      <c r="D14">
        <v>2024737147</v>
      </c>
      <c r="E14" t="s">
        <v>383</v>
      </c>
      <c r="F14" t="s">
        <v>384</v>
      </c>
      <c r="G14" t="s">
        <v>51</v>
      </c>
      <c r="H14" t="s">
        <v>385</v>
      </c>
      <c r="I14" t="s">
        <v>287</v>
      </c>
      <c r="J14" t="s">
        <v>288</v>
      </c>
      <c r="K14">
        <v>751867</v>
      </c>
      <c r="L14" t="s">
        <v>71</v>
      </c>
      <c r="M14" t="s">
        <v>72</v>
      </c>
      <c r="N14" t="s">
        <v>57</v>
      </c>
      <c r="O14" s="1">
        <v>45541</v>
      </c>
      <c r="Q14" s="1">
        <v>45967</v>
      </c>
      <c r="R14" s="2">
        <v>43.39</v>
      </c>
      <c r="S14">
        <v>1</v>
      </c>
      <c r="T14" t="s">
        <v>58</v>
      </c>
      <c r="U14" t="s">
        <v>359</v>
      </c>
      <c r="V14" s="3">
        <v>0.1</v>
      </c>
      <c r="W14" s="2">
        <v>0</v>
      </c>
      <c r="X14">
        <v>0</v>
      </c>
      <c r="Y14" t="s">
        <v>214</v>
      </c>
      <c r="Z14" t="s">
        <v>360</v>
      </c>
      <c r="AA14">
        <v>0</v>
      </c>
      <c r="AB14" s="2">
        <v>0</v>
      </c>
      <c r="AC14" s="2">
        <v>0</v>
      </c>
      <c r="AD14" s="3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2">
        <v>0</v>
      </c>
      <c r="AM14" s="2">
        <v>4.34</v>
      </c>
      <c r="AN14" s="2">
        <v>4.34</v>
      </c>
      <c r="AO14" s="2">
        <v>0</v>
      </c>
      <c r="AP14" s="2">
        <v>0</v>
      </c>
      <c r="AQ14" s="2">
        <v>0</v>
      </c>
    </row>
    <row r="15" spans="1:48" x14ac:dyDescent="0.25">
      <c r="A15" s="1">
        <v>45936</v>
      </c>
      <c r="B15" t="s">
        <v>48</v>
      </c>
      <c r="C15">
        <v>649163</v>
      </c>
      <c r="D15">
        <v>2024752409</v>
      </c>
      <c r="E15" t="s">
        <v>386</v>
      </c>
      <c r="F15" t="s">
        <v>387</v>
      </c>
      <c r="G15" t="s">
        <v>51</v>
      </c>
      <c r="H15" t="s">
        <v>385</v>
      </c>
      <c r="I15" t="s">
        <v>287</v>
      </c>
      <c r="J15" t="s">
        <v>288</v>
      </c>
      <c r="K15">
        <v>751867</v>
      </c>
      <c r="L15" t="s">
        <v>71</v>
      </c>
      <c r="M15" t="s">
        <v>72</v>
      </c>
      <c r="N15" t="s">
        <v>57</v>
      </c>
      <c r="O15" s="1">
        <v>45544</v>
      </c>
      <c r="Q15" s="1">
        <v>45970</v>
      </c>
      <c r="R15" s="2">
        <v>20.76</v>
      </c>
      <c r="S15">
        <v>1</v>
      </c>
      <c r="T15" t="s">
        <v>58</v>
      </c>
      <c r="U15" t="s">
        <v>359</v>
      </c>
      <c r="V15" s="3">
        <v>0.1</v>
      </c>
      <c r="W15" s="2">
        <v>0</v>
      </c>
      <c r="X15">
        <v>0</v>
      </c>
      <c r="Y15" t="s">
        <v>214</v>
      </c>
      <c r="Z15" t="s">
        <v>360</v>
      </c>
      <c r="AA15">
        <v>0</v>
      </c>
      <c r="AB15" s="2">
        <v>0</v>
      </c>
      <c r="AC15" s="2">
        <v>0</v>
      </c>
      <c r="AD15" s="3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2">
        <v>0</v>
      </c>
      <c r="AM15" s="2">
        <v>2.08</v>
      </c>
      <c r="AN15" s="2">
        <v>2.08</v>
      </c>
      <c r="AO15" s="2">
        <v>0</v>
      </c>
      <c r="AP15" s="2">
        <v>0</v>
      </c>
      <c r="AQ15" s="2">
        <v>0</v>
      </c>
    </row>
    <row r="16" spans="1:48" x14ac:dyDescent="0.25">
      <c r="A16" s="1">
        <v>45936</v>
      </c>
      <c r="B16" t="s">
        <v>48</v>
      </c>
      <c r="C16">
        <v>649163</v>
      </c>
      <c r="D16">
        <v>2025222896</v>
      </c>
      <c r="E16" t="s">
        <v>388</v>
      </c>
      <c r="F16" t="s">
        <v>389</v>
      </c>
      <c r="G16" t="s">
        <v>51</v>
      </c>
      <c r="H16" t="s">
        <v>390</v>
      </c>
      <c r="I16" t="s">
        <v>287</v>
      </c>
      <c r="J16" t="s">
        <v>288</v>
      </c>
      <c r="K16">
        <v>751867</v>
      </c>
      <c r="L16" t="s">
        <v>71</v>
      </c>
      <c r="M16" t="s">
        <v>72</v>
      </c>
      <c r="N16" t="s">
        <v>57</v>
      </c>
      <c r="O16" s="1">
        <v>45574</v>
      </c>
      <c r="Q16" s="1">
        <v>45970</v>
      </c>
      <c r="R16" s="2">
        <v>31.64</v>
      </c>
      <c r="S16">
        <v>1</v>
      </c>
      <c r="T16" t="s">
        <v>58</v>
      </c>
      <c r="U16" t="s">
        <v>359</v>
      </c>
      <c r="V16" s="3">
        <v>0.1</v>
      </c>
      <c r="W16" s="2">
        <v>0</v>
      </c>
      <c r="X16">
        <v>0</v>
      </c>
      <c r="Y16" t="s">
        <v>214</v>
      </c>
      <c r="Z16" t="s">
        <v>360</v>
      </c>
      <c r="AA16">
        <v>0</v>
      </c>
      <c r="AB16" s="2">
        <v>0</v>
      </c>
      <c r="AC16" s="2">
        <v>0</v>
      </c>
      <c r="AD16" s="3">
        <v>0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 s="2">
        <v>0</v>
      </c>
      <c r="AL16" s="2">
        <v>0</v>
      </c>
      <c r="AM16" s="2">
        <v>3.16</v>
      </c>
      <c r="AN16" s="2">
        <v>3.16</v>
      </c>
      <c r="AO16" s="2">
        <v>0</v>
      </c>
      <c r="AP16" s="2">
        <v>0</v>
      </c>
      <c r="AQ16" s="2">
        <v>0</v>
      </c>
    </row>
    <row r="17" spans="1:43" x14ac:dyDescent="0.25">
      <c r="A17" s="1">
        <v>45936</v>
      </c>
      <c r="B17" t="s">
        <v>48</v>
      </c>
      <c r="C17">
        <v>649163</v>
      </c>
      <c r="D17">
        <v>2025655643</v>
      </c>
      <c r="E17" t="s">
        <v>391</v>
      </c>
      <c r="F17" t="s">
        <v>392</v>
      </c>
      <c r="G17" t="s">
        <v>51</v>
      </c>
      <c r="H17" t="s">
        <v>70</v>
      </c>
      <c r="I17" t="s">
        <v>287</v>
      </c>
      <c r="J17" t="s">
        <v>288</v>
      </c>
      <c r="K17">
        <v>650218</v>
      </c>
      <c r="L17" t="s">
        <v>237</v>
      </c>
      <c r="M17" t="s">
        <v>238</v>
      </c>
      <c r="N17" t="s">
        <v>57</v>
      </c>
      <c r="O17" s="1">
        <v>45603</v>
      </c>
      <c r="Q17" s="1">
        <v>45968</v>
      </c>
      <c r="R17" s="2">
        <v>55.16</v>
      </c>
      <c r="S17">
        <v>1</v>
      </c>
      <c r="T17" t="s">
        <v>58</v>
      </c>
      <c r="U17" t="s">
        <v>359</v>
      </c>
      <c r="V17" s="3">
        <v>0.38</v>
      </c>
      <c r="W17" s="2">
        <v>0</v>
      </c>
      <c r="X17">
        <v>0</v>
      </c>
      <c r="Y17" t="s">
        <v>60</v>
      </c>
      <c r="Z17" t="s">
        <v>360</v>
      </c>
      <c r="AA17">
        <v>0</v>
      </c>
      <c r="AB17" s="2">
        <v>0</v>
      </c>
      <c r="AC17" s="2">
        <v>0</v>
      </c>
      <c r="AD17" s="3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0</v>
      </c>
      <c r="AM17" s="2">
        <v>20.96</v>
      </c>
      <c r="AN17" s="2">
        <v>20.96</v>
      </c>
      <c r="AO17" s="2">
        <v>0</v>
      </c>
      <c r="AP17" s="2">
        <v>0</v>
      </c>
      <c r="AQ17" s="2">
        <v>0</v>
      </c>
    </row>
    <row r="18" spans="1:43" x14ac:dyDescent="0.25">
      <c r="A18" s="1">
        <v>45936</v>
      </c>
      <c r="B18" t="s">
        <v>48</v>
      </c>
      <c r="C18">
        <v>649163</v>
      </c>
      <c r="D18">
        <v>2025698056</v>
      </c>
      <c r="E18" t="s">
        <v>139</v>
      </c>
      <c r="F18" t="s">
        <v>393</v>
      </c>
      <c r="G18" t="s">
        <v>51</v>
      </c>
      <c r="H18" t="s">
        <v>88</v>
      </c>
      <c r="I18" t="s">
        <v>287</v>
      </c>
      <c r="J18" t="s">
        <v>288</v>
      </c>
      <c r="K18">
        <v>650218</v>
      </c>
      <c r="L18" t="s">
        <v>237</v>
      </c>
      <c r="M18" t="s">
        <v>238</v>
      </c>
      <c r="N18" t="s">
        <v>57</v>
      </c>
      <c r="O18" s="1">
        <v>45605</v>
      </c>
      <c r="Q18" s="1">
        <v>45970</v>
      </c>
      <c r="R18" s="2">
        <v>26.12</v>
      </c>
      <c r="S18">
        <v>1</v>
      </c>
      <c r="T18" t="s">
        <v>58</v>
      </c>
      <c r="U18" t="s">
        <v>359</v>
      </c>
      <c r="V18" s="3">
        <v>0.38</v>
      </c>
      <c r="W18" s="2">
        <v>0</v>
      </c>
      <c r="X18">
        <v>0</v>
      </c>
      <c r="Y18" t="s">
        <v>60</v>
      </c>
      <c r="Z18" t="s">
        <v>360</v>
      </c>
      <c r="AA18">
        <v>0</v>
      </c>
      <c r="AB18" s="2">
        <v>0</v>
      </c>
      <c r="AC18" s="2">
        <v>0</v>
      </c>
      <c r="AD18" s="3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0</v>
      </c>
      <c r="AM18" s="2">
        <v>9.93</v>
      </c>
      <c r="AN18" s="2">
        <v>9.93</v>
      </c>
      <c r="AO18" s="2">
        <v>0</v>
      </c>
      <c r="AP18" s="2">
        <v>0</v>
      </c>
      <c r="AQ18" s="2">
        <v>0</v>
      </c>
    </row>
    <row r="19" spans="1:43" x14ac:dyDescent="0.25">
      <c r="A19" s="1">
        <v>45936</v>
      </c>
      <c r="B19" t="s">
        <v>48</v>
      </c>
      <c r="C19">
        <v>649163</v>
      </c>
      <c r="D19">
        <v>2026456392</v>
      </c>
      <c r="E19" t="s">
        <v>394</v>
      </c>
      <c r="F19" t="s">
        <v>395</v>
      </c>
      <c r="G19" t="s">
        <v>51</v>
      </c>
      <c r="H19" t="s">
        <v>203</v>
      </c>
      <c r="I19" t="s">
        <v>287</v>
      </c>
      <c r="J19" t="s">
        <v>288</v>
      </c>
      <c r="K19">
        <v>816021</v>
      </c>
      <c r="L19" t="s">
        <v>265</v>
      </c>
      <c r="M19" t="s">
        <v>266</v>
      </c>
      <c r="N19" t="s">
        <v>57</v>
      </c>
      <c r="O19" s="1">
        <v>45662</v>
      </c>
      <c r="Q19" s="1">
        <v>45966</v>
      </c>
      <c r="R19" s="2">
        <v>66.91</v>
      </c>
      <c r="S19">
        <v>1</v>
      </c>
      <c r="T19" t="s">
        <v>58</v>
      </c>
      <c r="U19" t="s">
        <v>359</v>
      </c>
      <c r="V19" s="3">
        <v>0.38</v>
      </c>
      <c r="W19" s="2">
        <v>0</v>
      </c>
      <c r="X19">
        <v>0</v>
      </c>
      <c r="Y19" t="s">
        <v>60</v>
      </c>
      <c r="Z19" t="s">
        <v>360</v>
      </c>
      <c r="AA19">
        <v>0</v>
      </c>
      <c r="AB19" s="2">
        <v>0</v>
      </c>
      <c r="AC19" s="2">
        <v>0</v>
      </c>
      <c r="AD19" s="3">
        <v>0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0</v>
      </c>
      <c r="AM19" s="2">
        <v>25.43</v>
      </c>
      <c r="AN19" s="2">
        <v>25.43</v>
      </c>
      <c r="AO19" s="2">
        <v>0</v>
      </c>
      <c r="AP19" s="2">
        <v>0</v>
      </c>
      <c r="AQ19" s="2">
        <v>0</v>
      </c>
    </row>
    <row r="20" spans="1:43" x14ac:dyDescent="0.25">
      <c r="A20" s="1">
        <v>45936</v>
      </c>
      <c r="B20" t="s">
        <v>48</v>
      </c>
      <c r="C20">
        <v>649163</v>
      </c>
      <c r="D20">
        <v>2026485483</v>
      </c>
      <c r="E20" t="s">
        <v>396</v>
      </c>
      <c r="F20" t="s">
        <v>397</v>
      </c>
      <c r="G20" t="s">
        <v>51</v>
      </c>
      <c r="H20" t="s">
        <v>129</v>
      </c>
      <c r="I20" t="s">
        <v>287</v>
      </c>
      <c r="J20" t="s">
        <v>288</v>
      </c>
      <c r="K20">
        <v>650218</v>
      </c>
      <c r="L20" t="s">
        <v>237</v>
      </c>
      <c r="M20" t="s">
        <v>238</v>
      </c>
      <c r="N20" t="s">
        <v>57</v>
      </c>
      <c r="O20" s="1">
        <v>45665</v>
      </c>
      <c r="Q20" s="1">
        <v>45969</v>
      </c>
      <c r="R20" s="2">
        <v>39.28</v>
      </c>
      <c r="S20">
        <v>1</v>
      </c>
      <c r="T20" t="s">
        <v>58</v>
      </c>
      <c r="U20" t="s">
        <v>359</v>
      </c>
      <c r="V20" s="3">
        <v>0.38</v>
      </c>
      <c r="W20" s="2">
        <v>0</v>
      </c>
      <c r="X20">
        <v>0</v>
      </c>
      <c r="Y20" t="s">
        <v>60</v>
      </c>
      <c r="Z20" t="s">
        <v>360</v>
      </c>
      <c r="AA20">
        <v>0</v>
      </c>
      <c r="AB20" s="2">
        <v>0</v>
      </c>
      <c r="AC20" s="2">
        <v>0</v>
      </c>
      <c r="AD20" s="3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2">
        <v>14.93</v>
      </c>
      <c r="AN20" s="2">
        <v>14.93</v>
      </c>
      <c r="AO20" s="2">
        <v>0</v>
      </c>
      <c r="AP20" s="2">
        <v>0</v>
      </c>
      <c r="AQ20" s="2">
        <v>0</v>
      </c>
    </row>
    <row r="21" spans="1:43" x14ac:dyDescent="0.25">
      <c r="A21" s="1">
        <v>45936</v>
      </c>
      <c r="B21" t="s">
        <v>48</v>
      </c>
      <c r="C21">
        <v>649163</v>
      </c>
      <c r="D21">
        <v>2026698497</v>
      </c>
      <c r="E21" t="s">
        <v>398</v>
      </c>
      <c r="F21" t="s">
        <v>399</v>
      </c>
      <c r="G21" t="s">
        <v>51</v>
      </c>
      <c r="H21" t="s">
        <v>122</v>
      </c>
      <c r="I21" t="s">
        <v>287</v>
      </c>
      <c r="J21" t="s">
        <v>291</v>
      </c>
      <c r="K21">
        <v>651818</v>
      </c>
      <c r="L21" t="s">
        <v>112</v>
      </c>
      <c r="M21" t="s">
        <v>104</v>
      </c>
      <c r="N21" t="s">
        <v>57</v>
      </c>
      <c r="O21" s="1">
        <v>45695</v>
      </c>
      <c r="Q21" s="1">
        <v>45968</v>
      </c>
      <c r="R21" s="2">
        <v>79.13</v>
      </c>
      <c r="S21">
        <v>1</v>
      </c>
      <c r="T21" t="s">
        <v>58</v>
      </c>
      <c r="U21" t="s">
        <v>359</v>
      </c>
      <c r="V21" s="3">
        <v>0.38</v>
      </c>
      <c r="W21" s="2">
        <v>0</v>
      </c>
      <c r="X21">
        <v>0</v>
      </c>
      <c r="Y21" t="s">
        <v>60</v>
      </c>
      <c r="Z21" t="s">
        <v>360</v>
      </c>
      <c r="AA21">
        <v>0</v>
      </c>
      <c r="AB21" s="2">
        <v>0</v>
      </c>
      <c r="AC21" s="2">
        <v>0</v>
      </c>
      <c r="AD21" s="3">
        <v>0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J21" s="2">
        <v>0</v>
      </c>
      <c r="AK21" s="2">
        <v>0</v>
      </c>
      <c r="AL21" s="2">
        <v>0</v>
      </c>
      <c r="AM21" s="2">
        <v>30.07</v>
      </c>
      <c r="AN21" s="2">
        <v>30.07</v>
      </c>
      <c r="AO21" s="2">
        <v>0</v>
      </c>
      <c r="AP21" s="2">
        <v>0</v>
      </c>
      <c r="AQ21" s="2">
        <v>0</v>
      </c>
    </row>
    <row r="22" spans="1:43" x14ac:dyDescent="0.25">
      <c r="A22" s="1">
        <v>45936</v>
      </c>
      <c r="B22" t="s">
        <v>48</v>
      </c>
      <c r="C22">
        <v>649163</v>
      </c>
      <c r="D22">
        <v>2027003553</v>
      </c>
      <c r="E22" t="s">
        <v>400</v>
      </c>
      <c r="F22" t="s">
        <v>401</v>
      </c>
      <c r="G22" t="s">
        <v>51</v>
      </c>
      <c r="H22" t="s">
        <v>203</v>
      </c>
      <c r="I22" t="s">
        <v>287</v>
      </c>
      <c r="J22" t="s">
        <v>288</v>
      </c>
      <c r="K22">
        <v>816021</v>
      </c>
      <c r="L22" t="s">
        <v>265</v>
      </c>
      <c r="M22" t="s">
        <v>266</v>
      </c>
      <c r="N22" t="s">
        <v>57</v>
      </c>
      <c r="O22" s="1">
        <v>45698</v>
      </c>
      <c r="Q22" s="1">
        <v>45971</v>
      </c>
      <c r="R22" s="2">
        <v>60.5</v>
      </c>
      <c r="S22">
        <v>1</v>
      </c>
      <c r="T22" t="s">
        <v>58</v>
      </c>
      <c r="U22" t="s">
        <v>359</v>
      </c>
      <c r="V22" s="3">
        <v>0.38</v>
      </c>
      <c r="W22" s="2">
        <v>0</v>
      </c>
      <c r="X22">
        <v>0</v>
      </c>
      <c r="Y22" t="s">
        <v>60</v>
      </c>
      <c r="Z22" t="s">
        <v>360</v>
      </c>
      <c r="AA22">
        <v>0</v>
      </c>
      <c r="AB22" s="2">
        <v>0</v>
      </c>
      <c r="AC22" s="2">
        <v>0</v>
      </c>
      <c r="AD22" s="3">
        <v>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2">
        <v>0</v>
      </c>
      <c r="AL22" s="2">
        <v>0</v>
      </c>
      <c r="AM22" s="2">
        <v>22.99</v>
      </c>
      <c r="AN22" s="2">
        <v>22.99</v>
      </c>
      <c r="AO22" s="2">
        <v>0</v>
      </c>
      <c r="AP22" s="2">
        <v>0</v>
      </c>
      <c r="AQ22" s="2">
        <v>0</v>
      </c>
    </row>
    <row r="23" spans="1:43" x14ac:dyDescent="0.25">
      <c r="A23" s="1">
        <v>45936</v>
      </c>
      <c r="B23" t="s">
        <v>48</v>
      </c>
      <c r="C23">
        <v>649163</v>
      </c>
      <c r="D23">
        <v>2027010990</v>
      </c>
      <c r="E23" t="s">
        <v>402</v>
      </c>
      <c r="F23" t="s">
        <v>403</v>
      </c>
      <c r="G23" t="s">
        <v>51</v>
      </c>
      <c r="H23" t="s">
        <v>203</v>
      </c>
      <c r="I23" t="s">
        <v>287</v>
      </c>
      <c r="J23" t="s">
        <v>288</v>
      </c>
      <c r="K23">
        <v>816021</v>
      </c>
      <c r="L23" t="s">
        <v>265</v>
      </c>
      <c r="M23" t="s">
        <v>266</v>
      </c>
      <c r="N23" t="s">
        <v>57</v>
      </c>
      <c r="O23" s="1">
        <v>45697</v>
      </c>
      <c r="Q23" s="1">
        <v>45970</v>
      </c>
      <c r="R23" s="2">
        <v>29.31</v>
      </c>
      <c r="S23">
        <v>1</v>
      </c>
      <c r="T23" t="s">
        <v>58</v>
      </c>
      <c r="U23" t="s">
        <v>359</v>
      </c>
      <c r="V23" s="3">
        <v>0.38</v>
      </c>
      <c r="W23" s="2">
        <v>0</v>
      </c>
      <c r="X23">
        <v>0</v>
      </c>
      <c r="Y23" t="s">
        <v>60</v>
      </c>
      <c r="Z23" t="s">
        <v>360</v>
      </c>
      <c r="AA23">
        <v>0</v>
      </c>
      <c r="AB23" s="2">
        <v>0</v>
      </c>
      <c r="AC23" s="2">
        <v>0</v>
      </c>
      <c r="AD23" s="3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0</v>
      </c>
      <c r="AL23" s="2">
        <v>0</v>
      </c>
      <c r="AM23" s="2">
        <v>11.14</v>
      </c>
      <c r="AN23" s="2">
        <v>11.14</v>
      </c>
      <c r="AO23" s="2">
        <v>0</v>
      </c>
      <c r="AP23" s="2">
        <v>0</v>
      </c>
      <c r="AQ23" s="2">
        <v>0</v>
      </c>
    </row>
    <row r="24" spans="1:43" x14ac:dyDescent="0.25">
      <c r="A24" s="1">
        <v>45936</v>
      </c>
      <c r="B24" t="s">
        <v>48</v>
      </c>
      <c r="C24">
        <v>649163</v>
      </c>
      <c r="D24">
        <v>2027025173</v>
      </c>
      <c r="E24" t="s">
        <v>404</v>
      </c>
      <c r="F24" t="s">
        <v>405</v>
      </c>
      <c r="G24" t="s">
        <v>51</v>
      </c>
      <c r="H24" t="s">
        <v>203</v>
      </c>
      <c r="I24" t="s">
        <v>287</v>
      </c>
      <c r="J24" t="s">
        <v>288</v>
      </c>
      <c r="K24">
        <v>824082</v>
      </c>
      <c r="L24" t="s">
        <v>406</v>
      </c>
      <c r="M24" t="s">
        <v>407</v>
      </c>
      <c r="N24" t="s">
        <v>57</v>
      </c>
      <c r="O24" s="1">
        <v>45697</v>
      </c>
      <c r="Q24" s="1">
        <v>45970</v>
      </c>
      <c r="R24" s="2">
        <v>70.599999999999994</v>
      </c>
      <c r="S24">
        <v>1</v>
      </c>
      <c r="T24" t="s">
        <v>58</v>
      </c>
      <c r="U24" t="s">
        <v>359</v>
      </c>
      <c r="V24" s="3">
        <v>0.38</v>
      </c>
      <c r="W24" s="2">
        <v>0</v>
      </c>
      <c r="X24">
        <v>0</v>
      </c>
      <c r="Y24" t="s">
        <v>60</v>
      </c>
      <c r="Z24" t="s">
        <v>360</v>
      </c>
      <c r="AA24">
        <v>0</v>
      </c>
      <c r="AB24" s="2">
        <v>0</v>
      </c>
      <c r="AC24" s="2">
        <v>0</v>
      </c>
      <c r="AD24" s="3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>
        <v>26.83</v>
      </c>
      <c r="AN24" s="2">
        <v>26.83</v>
      </c>
      <c r="AO24" s="2">
        <v>0</v>
      </c>
      <c r="AP24" s="2">
        <v>0</v>
      </c>
      <c r="AQ24" s="2">
        <v>0</v>
      </c>
    </row>
    <row r="25" spans="1:43" x14ac:dyDescent="0.25">
      <c r="A25" s="1">
        <v>45936</v>
      </c>
      <c r="B25" t="s">
        <v>48</v>
      </c>
      <c r="C25">
        <v>649163</v>
      </c>
      <c r="D25">
        <v>2027035340</v>
      </c>
      <c r="E25" t="s">
        <v>408</v>
      </c>
      <c r="F25" t="s">
        <v>409</v>
      </c>
      <c r="G25" t="s">
        <v>51</v>
      </c>
      <c r="H25" t="s">
        <v>155</v>
      </c>
      <c r="I25" t="s">
        <v>287</v>
      </c>
      <c r="J25" t="s">
        <v>288</v>
      </c>
      <c r="K25">
        <v>813184</v>
      </c>
      <c r="L25" t="s">
        <v>408</v>
      </c>
      <c r="M25" t="s">
        <v>410</v>
      </c>
      <c r="N25" t="s">
        <v>57</v>
      </c>
      <c r="O25" s="1">
        <v>45698</v>
      </c>
      <c r="Q25" s="1">
        <v>45971</v>
      </c>
      <c r="R25" s="2">
        <v>60.11</v>
      </c>
      <c r="S25">
        <v>1</v>
      </c>
      <c r="T25" t="s">
        <v>58</v>
      </c>
      <c r="U25" t="s">
        <v>359</v>
      </c>
      <c r="V25" s="3">
        <v>0.38</v>
      </c>
      <c r="W25" s="2">
        <v>0</v>
      </c>
      <c r="X25">
        <v>0</v>
      </c>
      <c r="Y25" t="s">
        <v>60</v>
      </c>
      <c r="Z25" t="s">
        <v>360</v>
      </c>
      <c r="AA25">
        <v>0</v>
      </c>
      <c r="AB25" s="2">
        <v>0</v>
      </c>
      <c r="AC25" s="2">
        <v>0</v>
      </c>
      <c r="AD25" s="3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0</v>
      </c>
      <c r="AM25" s="2">
        <v>22.84</v>
      </c>
      <c r="AN25" s="2">
        <v>22.84</v>
      </c>
      <c r="AO25" s="2">
        <v>0</v>
      </c>
      <c r="AP25" s="2">
        <v>0</v>
      </c>
      <c r="AQ25" s="2">
        <v>0</v>
      </c>
    </row>
    <row r="26" spans="1:43" x14ac:dyDescent="0.25">
      <c r="A26" s="1">
        <v>45936</v>
      </c>
      <c r="B26" t="s">
        <v>48</v>
      </c>
      <c r="C26">
        <v>649163</v>
      </c>
      <c r="D26">
        <v>2027642347</v>
      </c>
      <c r="E26" t="s">
        <v>411</v>
      </c>
      <c r="F26" t="s">
        <v>412</v>
      </c>
      <c r="G26" t="s">
        <v>51</v>
      </c>
      <c r="H26" t="s">
        <v>159</v>
      </c>
      <c r="I26" t="s">
        <v>287</v>
      </c>
      <c r="J26" t="s">
        <v>288</v>
      </c>
      <c r="K26">
        <v>651818</v>
      </c>
      <c r="L26" t="s">
        <v>112</v>
      </c>
      <c r="M26" t="s">
        <v>104</v>
      </c>
      <c r="N26" t="s">
        <v>57</v>
      </c>
      <c r="O26" s="1">
        <v>45754</v>
      </c>
      <c r="Q26" s="1">
        <v>45968</v>
      </c>
      <c r="R26" s="2">
        <v>21.53</v>
      </c>
      <c r="S26">
        <v>1</v>
      </c>
      <c r="T26" t="s">
        <v>58</v>
      </c>
      <c r="U26" t="s">
        <v>359</v>
      </c>
      <c r="V26" s="3">
        <v>0.38</v>
      </c>
      <c r="W26" s="2">
        <v>0</v>
      </c>
      <c r="X26">
        <v>0</v>
      </c>
      <c r="Y26" t="s">
        <v>60</v>
      </c>
      <c r="Z26" t="s">
        <v>360</v>
      </c>
      <c r="AA26">
        <v>0</v>
      </c>
      <c r="AB26" s="2">
        <v>0</v>
      </c>
      <c r="AC26" s="2">
        <v>0</v>
      </c>
      <c r="AD26" s="3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0</v>
      </c>
      <c r="AM26" s="2">
        <v>8.18</v>
      </c>
      <c r="AN26" s="2">
        <v>8.18</v>
      </c>
      <c r="AO26" s="2">
        <v>0</v>
      </c>
      <c r="AP26" s="2">
        <v>0</v>
      </c>
      <c r="AQ26" s="2">
        <v>0</v>
      </c>
    </row>
    <row r="27" spans="1:43" x14ac:dyDescent="0.25">
      <c r="A27" s="1">
        <v>45936</v>
      </c>
      <c r="B27" t="s">
        <v>48</v>
      </c>
      <c r="C27">
        <v>649163</v>
      </c>
      <c r="D27">
        <v>2027763444</v>
      </c>
      <c r="E27" t="s">
        <v>413</v>
      </c>
      <c r="F27" t="s">
        <v>100</v>
      </c>
      <c r="G27" t="s">
        <v>51</v>
      </c>
      <c r="H27" t="s">
        <v>70</v>
      </c>
      <c r="I27" t="s">
        <v>287</v>
      </c>
      <c r="J27" t="s">
        <v>288</v>
      </c>
      <c r="K27">
        <v>650218</v>
      </c>
      <c r="L27" t="s">
        <v>237</v>
      </c>
      <c r="M27" t="s">
        <v>238</v>
      </c>
      <c r="N27" t="s">
        <v>57</v>
      </c>
      <c r="O27" s="1">
        <v>45748</v>
      </c>
      <c r="Q27" s="1">
        <v>45962</v>
      </c>
      <c r="R27" s="2">
        <v>51.55</v>
      </c>
      <c r="S27">
        <v>1</v>
      </c>
      <c r="T27" t="s">
        <v>58</v>
      </c>
      <c r="U27" t="s">
        <v>359</v>
      </c>
      <c r="V27" s="3">
        <v>0.38</v>
      </c>
      <c r="W27" s="2">
        <v>0</v>
      </c>
      <c r="X27">
        <v>0</v>
      </c>
      <c r="Y27" t="s">
        <v>60</v>
      </c>
      <c r="Z27" t="s">
        <v>360</v>
      </c>
      <c r="AA27">
        <v>0</v>
      </c>
      <c r="AB27" s="2">
        <v>0</v>
      </c>
      <c r="AC27" s="2">
        <v>0</v>
      </c>
      <c r="AD27" s="3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19.59</v>
      </c>
      <c r="AN27" s="2">
        <v>19.59</v>
      </c>
      <c r="AO27" s="2">
        <v>0</v>
      </c>
      <c r="AP27" s="2">
        <v>0</v>
      </c>
      <c r="AQ27" s="2">
        <v>0</v>
      </c>
    </row>
    <row r="28" spans="1:43" x14ac:dyDescent="0.25">
      <c r="A28" s="1">
        <v>45936</v>
      </c>
      <c r="B28" t="s">
        <v>48</v>
      </c>
      <c r="C28">
        <v>649163</v>
      </c>
      <c r="D28">
        <v>2028313186</v>
      </c>
      <c r="E28" t="s">
        <v>281</v>
      </c>
      <c r="F28" t="s">
        <v>414</v>
      </c>
      <c r="G28" t="s">
        <v>51</v>
      </c>
      <c r="H28" t="s">
        <v>70</v>
      </c>
      <c r="I28" t="s">
        <v>287</v>
      </c>
      <c r="J28" t="s">
        <v>291</v>
      </c>
      <c r="K28">
        <v>677095</v>
      </c>
      <c r="L28" t="s">
        <v>415</v>
      </c>
      <c r="M28" t="s">
        <v>401</v>
      </c>
      <c r="N28" t="s">
        <v>57</v>
      </c>
      <c r="O28" s="1">
        <v>45757</v>
      </c>
      <c r="Q28" s="1">
        <v>45971</v>
      </c>
      <c r="R28" s="2">
        <v>486.09</v>
      </c>
      <c r="S28">
        <v>1</v>
      </c>
      <c r="T28" t="s">
        <v>58</v>
      </c>
      <c r="U28" t="s">
        <v>359</v>
      </c>
      <c r="V28" s="3">
        <v>0.12</v>
      </c>
      <c r="W28" s="2">
        <v>0</v>
      </c>
      <c r="X28">
        <v>0</v>
      </c>
      <c r="Y28" t="s">
        <v>60</v>
      </c>
      <c r="Z28" t="s">
        <v>360</v>
      </c>
      <c r="AA28">
        <v>0</v>
      </c>
      <c r="AB28" s="2">
        <v>0</v>
      </c>
      <c r="AC28" s="2">
        <v>0</v>
      </c>
      <c r="AD28" s="3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0</v>
      </c>
      <c r="AM28" s="2">
        <v>58.33</v>
      </c>
      <c r="AN28" s="2">
        <v>58.33</v>
      </c>
      <c r="AO28" s="2">
        <v>0</v>
      </c>
      <c r="AP28" s="2">
        <v>0</v>
      </c>
      <c r="AQ28" s="2">
        <v>0</v>
      </c>
    </row>
    <row r="29" spans="1:43" x14ac:dyDescent="0.25">
      <c r="A29" s="1">
        <v>45936</v>
      </c>
      <c r="B29" t="s">
        <v>48</v>
      </c>
      <c r="C29">
        <v>649163</v>
      </c>
      <c r="D29">
        <v>2028565356</v>
      </c>
      <c r="E29" t="s">
        <v>139</v>
      </c>
      <c r="F29" t="s">
        <v>416</v>
      </c>
      <c r="G29" t="s">
        <v>51</v>
      </c>
      <c r="H29" t="s">
        <v>88</v>
      </c>
      <c r="I29" t="s">
        <v>287</v>
      </c>
      <c r="J29" t="s">
        <v>288</v>
      </c>
      <c r="K29">
        <v>650218</v>
      </c>
      <c r="L29" t="s">
        <v>237</v>
      </c>
      <c r="M29" t="s">
        <v>238</v>
      </c>
      <c r="N29" t="s">
        <v>57</v>
      </c>
      <c r="O29" s="1">
        <v>45777</v>
      </c>
      <c r="Q29" s="1">
        <v>45960</v>
      </c>
      <c r="R29" s="2">
        <v>-39.340000000000003</v>
      </c>
      <c r="S29">
        <v>1</v>
      </c>
      <c r="T29" t="s">
        <v>58</v>
      </c>
      <c r="U29" t="s">
        <v>359</v>
      </c>
      <c r="V29" s="3">
        <v>0.38</v>
      </c>
      <c r="W29" s="2">
        <v>0</v>
      </c>
      <c r="X29">
        <v>-1</v>
      </c>
      <c r="Y29" t="s">
        <v>60</v>
      </c>
      <c r="Z29" t="s">
        <v>360</v>
      </c>
      <c r="AA29">
        <v>0</v>
      </c>
      <c r="AB29" s="2">
        <v>0</v>
      </c>
      <c r="AC29" s="2">
        <v>0</v>
      </c>
      <c r="AD29" s="3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0</v>
      </c>
      <c r="AM29" s="2">
        <v>-14.95</v>
      </c>
      <c r="AN29" s="2">
        <v>-14.95</v>
      </c>
      <c r="AO29" s="2">
        <v>0</v>
      </c>
      <c r="AP29" s="2">
        <v>0</v>
      </c>
      <c r="AQ29" s="2">
        <v>0</v>
      </c>
    </row>
    <row r="30" spans="1:43" x14ac:dyDescent="0.25">
      <c r="A30" s="1">
        <v>45936</v>
      </c>
      <c r="B30" t="s">
        <v>48</v>
      </c>
      <c r="C30">
        <v>649163</v>
      </c>
      <c r="D30">
        <v>2028819907</v>
      </c>
      <c r="E30" t="s">
        <v>417</v>
      </c>
      <c r="F30" t="s">
        <v>418</v>
      </c>
      <c r="G30" t="s">
        <v>51</v>
      </c>
      <c r="H30" t="s">
        <v>70</v>
      </c>
      <c r="I30" t="s">
        <v>287</v>
      </c>
      <c r="J30" t="s">
        <v>288</v>
      </c>
      <c r="K30">
        <v>650218</v>
      </c>
      <c r="L30" t="s">
        <v>237</v>
      </c>
      <c r="M30" t="s">
        <v>238</v>
      </c>
      <c r="N30" t="s">
        <v>57</v>
      </c>
      <c r="O30" s="1">
        <v>45785</v>
      </c>
      <c r="Q30" s="1">
        <v>45969</v>
      </c>
      <c r="R30" s="2">
        <v>21.97</v>
      </c>
      <c r="S30">
        <v>1</v>
      </c>
      <c r="T30" t="s">
        <v>58</v>
      </c>
      <c r="U30" t="s">
        <v>359</v>
      </c>
      <c r="V30" s="3">
        <v>0.38</v>
      </c>
      <c r="W30" s="2">
        <v>0</v>
      </c>
      <c r="X30">
        <v>0</v>
      </c>
      <c r="Y30" t="s">
        <v>60</v>
      </c>
      <c r="Z30" t="s">
        <v>360</v>
      </c>
      <c r="AA30">
        <v>0</v>
      </c>
      <c r="AB30" s="2">
        <v>0</v>
      </c>
      <c r="AC30" s="2">
        <v>0</v>
      </c>
      <c r="AD30" s="3">
        <v>0</v>
      </c>
      <c r="AE30" s="2">
        <v>0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0</v>
      </c>
      <c r="AM30" s="2">
        <v>8.35</v>
      </c>
      <c r="AN30" s="2">
        <v>8.35</v>
      </c>
      <c r="AO30" s="2">
        <v>0</v>
      </c>
      <c r="AP30" s="2">
        <v>0</v>
      </c>
      <c r="AQ30" s="2">
        <v>0</v>
      </c>
    </row>
    <row r="31" spans="1:43" x14ac:dyDescent="0.25">
      <c r="A31" s="1">
        <v>45936</v>
      </c>
      <c r="B31" t="s">
        <v>48</v>
      </c>
      <c r="C31">
        <v>649163</v>
      </c>
      <c r="D31">
        <v>2029299955</v>
      </c>
      <c r="E31" t="s">
        <v>419</v>
      </c>
      <c r="F31" t="s">
        <v>420</v>
      </c>
      <c r="G31" t="s">
        <v>51</v>
      </c>
      <c r="H31" t="s">
        <v>52</v>
      </c>
      <c r="I31" t="s">
        <v>287</v>
      </c>
      <c r="J31" t="s">
        <v>288</v>
      </c>
      <c r="K31">
        <v>856824</v>
      </c>
      <c r="L31" t="s">
        <v>298</v>
      </c>
      <c r="M31" t="s">
        <v>299</v>
      </c>
      <c r="N31" t="s">
        <v>57</v>
      </c>
      <c r="O31" s="1">
        <v>45813</v>
      </c>
      <c r="Q31" s="1">
        <v>45966</v>
      </c>
      <c r="R31" s="2">
        <v>13.66</v>
      </c>
      <c r="S31">
        <v>1</v>
      </c>
      <c r="T31" t="s">
        <v>58</v>
      </c>
      <c r="U31" t="s">
        <v>359</v>
      </c>
      <c r="V31" s="3">
        <v>0.38</v>
      </c>
      <c r="W31" s="2">
        <v>0</v>
      </c>
      <c r="X31">
        <v>0</v>
      </c>
      <c r="Y31" t="s">
        <v>60</v>
      </c>
      <c r="Z31" t="s">
        <v>360</v>
      </c>
      <c r="AA31">
        <v>0</v>
      </c>
      <c r="AB31" s="2">
        <v>0</v>
      </c>
      <c r="AC31" s="2">
        <v>0</v>
      </c>
      <c r="AD31" s="3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5.19</v>
      </c>
      <c r="AM31" s="2">
        <v>0</v>
      </c>
      <c r="AN31" s="2">
        <v>0</v>
      </c>
      <c r="AO31" s="2">
        <v>0</v>
      </c>
      <c r="AP31" s="2">
        <v>0</v>
      </c>
      <c r="AQ31" s="2">
        <v>0</v>
      </c>
    </row>
    <row r="32" spans="1:43" x14ac:dyDescent="0.25">
      <c r="A32" s="1">
        <v>45936</v>
      </c>
      <c r="B32" t="s">
        <v>48</v>
      </c>
      <c r="C32">
        <v>649163</v>
      </c>
      <c r="D32">
        <v>2029335782</v>
      </c>
      <c r="E32" t="s">
        <v>421</v>
      </c>
      <c r="F32" t="s">
        <v>98</v>
      </c>
      <c r="G32" t="s">
        <v>51</v>
      </c>
      <c r="H32" t="s">
        <v>101</v>
      </c>
      <c r="I32" t="s">
        <v>287</v>
      </c>
      <c r="J32" t="s">
        <v>291</v>
      </c>
      <c r="K32">
        <v>824062</v>
      </c>
      <c r="L32" t="s">
        <v>273</v>
      </c>
      <c r="M32" t="s">
        <v>274</v>
      </c>
      <c r="N32" t="s">
        <v>57</v>
      </c>
      <c r="O32" s="1">
        <v>45815</v>
      </c>
      <c r="Q32" s="1">
        <v>45968</v>
      </c>
      <c r="R32" s="2">
        <v>131.32</v>
      </c>
      <c r="S32">
        <v>1</v>
      </c>
      <c r="T32" t="s">
        <v>58</v>
      </c>
      <c r="U32" t="s">
        <v>359</v>
      </c>
      <c r="V32" s="3">
        <v>0.38</v>
      </c>
      <c r="W32" s="2">
        <v>0</v>
      </c>
      <c r="X32">
        <v>0</v>
      </c>
      <c r="Y32" t="s">
        <v>60</v>
      </c>
      <c r="Z32" t="s">
        <v>360</v>
      </c>
      <c r="AA32">
        <v>0</v>
      </c>
      <c r="AB32" s="2">
        <v>0</v>
      </c>
      <c r="AC32" s="2">
        <v>0</v>
      </c>
      <c r="AD32" s="3">
        <v>0</v>
      </c>
      <c r="AE32" s="2">
        <v>0</v>
      </c>
      <c r="AF32" s="2">
        <v>0</v>
      </c>
      <c r="AG32" s="2">
        <v>0</v>
      </c>
      <c r="AH32" s="2">
        <v>0</v>
      </c>
      <c r="AI32" s="2">
        <v>0</v>
      </c>
      <c r="AJ32" s="2">
        <v>0</v>
      </c>
      <c r="AK32" s="2">
        <v>0</v>
      </c>
      <c r="AL32" s="2">
        <v>49.9</v>
      </c>
      <c r="AM32" s="2">
        <v>0</v>
      </c>
      <c r="AN32" s="2">
        <v>0</v>
      </c>
      <c r="AO32" s="2">
        <v>0</v>
      </c>
      <c r="AP32" s="2">
        <v>0</v>
      </c>
      <c r="AQ32" s="2">
        <v>0</v>
      </c>
    </row>
    <row r="33" spans="1:43" x14ac:dyDescent="0.25">
      <c r="A33" s="1">
        <v>45936</v>
      </c>
      <c r="B33" t="s">
        <v>48</v>
      </c>
      <c r="C33">
        <v>649163</v>
      </c>
      <c r="D33">
        <v>2029738918</v>
      </c>
      <c r="E33" t="s">
        <v>422</v>
      </c>
      <c r="F33" t="s">
        <v>423</v>
      </c>
      <c r="G33" t="s">
        <v>51</v>
      </c>
      <c r="H33" t="s">
        <v>79</v>
      </c>
      <c r="I33" t="s">
        <v>287</v>
      </c>
      <c r="J33" t="s">
        <v>291</v>
      </c>
      <c r="K33">
        <v>673059</v>
      </c>
      <c r="L33" t="s">
        <v>80</v>
      </c>
      <c r="M33" t="s">
        <v>81</v>
      </c>
      <c r="N33" t="s">
        <v>57</v>
      </c>
      <c r="O33" s="1">
        <v>45846</v>
      </c>
      <c r="Q33" s="1">
        <v>45969</v>
      </c>
      <c r="R33" s="2">
        <v>192.49</v>
      </c>
      <c r="S33">
        <v>1</v>
      </c>
      <c r="T33" t="s">
        <v>58</v>
      </c>
      <c r="U33" t="s">
        <v>359</v>
      </c>
      <c r="V33" s="3">
        <v>0.38</v>
      </c>
      <c r="W33" s="2">
        <v>0</v>
      </c>
      <c r="X33">
        <v>0</v>
      </c>
      <c r="Y33" t="s">
        <v>60</v>
      </c>
      <c r="Z33" t="s">
        <v>360</v>
      </c>
      <c r="AA33">
        <v>0</v>
      </c>
      <c r="AB33" s="2">
        <v>0</v>
      </c>
      <c r="AC33" s="2">
        <v>0</v>
      </c>
      <c r="AD33" s="3">
        <v>0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0</v>
      </c>
      <c r="AL33" s="2">
        <v>73.150000000000006</v>
      </c>
      <c r="AM33" s="2">
        <v>0</v>
      </c>
      <c r="AN33" s="2">
        <v>0</v>
      </c>
      <c r="AO33" s="2">
        <v>0</v>
      </c>
      <c r="AP33" s="2">
        <v>0</v>
      </c>
      <c r="AQ33" s="2">
        <v>0</v>
      </c>
    </row>
    <row r="34" spans="1:43" x14ac:dyDescent="0.25">
      <c r="A34" s="1">
        <v>45936</v>
      </c>
      <c r="B34" t="s">
        <v>48</v>
      </c>
      <c r="C34">
        <v>649163</v>
      </c>
      <c r="D34">
        <v>2029738919</v>
      </c>
      <c r="E34" t="s">
        <v>422</v>
      </c>
      <c r="F34" t="s">
        <v>423</v>
      </c>
      <c r="G34" t="s">
        <v>51</v>
      </c>
      <c r="H34" t="s">
        <v>79</v>
      </c>
      <c r="I34" t="s">
        <v>287</v>
      </c>
      <c r="J34" t="s">
        <v>424</v>
      </c>
      <c r="K34">
        <v>673059</v>
      </c>
      <c r="L34" t="s">
        <v>80</v>
      </c>
      <c r="M34" t="s">
        <v>81</v>
      </c>
      <c r="N34" t="s">
        <v>57</v>
      </c>
      <c r="O34" s="1">
        <v>45846</v>
      </c>
      <c r="Q34" s="1">
        <v>45969</v>
      </c>
      <c r="R34" s="2">
        <v>7.09</v>
      </c>
      <c r="S34">
        <v>1</v>
      </c>
      <c r="T34" t="s">
        <v>58</v>
      </c>
      <c r="U34" t="s">
        <v>359</v>
      </c>
      <c r="V34" s="3">
        <v>0.38</v>
      </c>
      <c r="W34" s="2">
        <v>0</v>
      </c>
      <c r="X34">
        <v>0</v>
      </c>
      <c r="Y34" t="s">
        <v>60</v>
      </c>
      <c r="Z34" t="s">
        <v>360</v>
      </c>
      <c r="AA34">
        <v>0</v>
      </c>
      <c r="AB34" s="2">
        <v>0</v>
      </c>
      <c r="AC34" s="2">
        <v>0</v>
      </c>
      <c r="AD34" s="3">
        <v>0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2">
        <v>0</v>
      </c>
      <c r="AK34" s="2">
        <v>0</v>
      </c>
      <c r="AL34" s="2">
        <v>2.69</v>
      </c>
      <c r="AM34" s="2">
        <v>0</v>
      </c>
      <c r="AN34" s="2">
        <v>0</v>
      </c>
      <c r="AO34" s="2">
        <v>0</v>
      </c>
      <c r="AP34" s="2">
        <v>0</v>
      </c>
      <c r="AQ34" s="2">
        <v>0</v>
      </c>
    </row>
    <row r="35" spans="1:43" x14ac:dyDescent="0.25">
      <c r="A35" s="1">
        <v>45936</v>
      </c>
      <c r="B35" t="s">
        <v>48</v>
      </c>
      <c r="C35">
        <v>649163</v>
      </c>
      <c r="D35">
        <v>2029786425</v>
      </c>
      <c r="E35" t="s">
        <v>425</v>
      </c>
      <c r="F35" t="s">
        <v>426</v>
      </c>
      <c r="G35" t="s">
        <v>51</v>
      </c>
      <c r="H35" t="s">
        <v>427</v>
      </c>
      <c r="I35" t="s">
        <v>287</v>
      </c>
      <c r="J35" t="s">
        <v>291</v>
      </c>
      <c r="K35">
        <v>812994</v>
      </c>
      <c r="L35" t="s">
        <v>428</v>
      </c>
      <c r="M35" t="s">
        <v>309</v>
      </c>
      <c r="N35" t="s">
        <v>57</v>
      </c>
      <c r="O35" s="1">
        <v>45842</v>
      </c>
      <c r="Q35" s="1">
        <v>45965</v>
      </c>
      <c r="R35" s="2">
        <v>172.55</v>
      </c>
      <c r="S35">
        <v>1</v>
      </c>
      <c r="T35" t="s">
        <v>58</v>
      </c>
      <c r="U35" t="s">
        <v>359</v>
      </c>
      <c r="V35" s="3">
        <v>0.38</v>
      </c>
      <c r="W35" s="2">
        <v>0</v>
      </c>
      <c r="X35">
        <v>0</v>
      </c>
      <c r="Y35" t="s">
        <v>60</v>
      </c>
      <c r="Z35" t="s">
        <v>360</v>
      </c>
      <c r="AA35">
        <v>0</v>
      </c>
      <c r="AB35" s="2">
        <v>0</v>
      </c>
      <c r="AC35" s="2">
        <v>0</v>
      </c>
      <c r="AD35" s="3">
        <v>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65.569999999999993</v>
      </c>
      <c r="AM35" s="2">
        <v>0</v>
      </c>
      <c r="AN35" s="2">
        <v>0</v>
      </c>
      <c r="AO35" s="2">
        <v>0</v>
      </c>
      <c r="AP35" s="2">
        <v>0</v>
      </c>
      <c r="AQ35" s="2">
        <v>0</v>
      </c>
    </row>
    <row r="36" spans="1:43" x14ac:dyDescent="0.25">
      <c r="A36" s="1">
        <v>45936</v>
      </c>
      <c r="B36" t="s">
        <v>48</v>
      </c>
      <c r="C36">
        <v>649163</v>
      </c>
      <c r="D36">
        <v>2029786427</v>
      </c>
      <c r="E36" t="s">
        <v>425</v>
      </c>
      <c r="F36" t="s">
        <v>426</v>
      </c>
      <c r="G36" t="s">
        <v>51</v>
      </c>
      <c r="H36" t="s">
        <v>427</v>
      </c>
      <c r="I36" t="s">
        <v>287</v>
      </c>
      <c r="J36" t="s">
        <v>424</v>
      </c>
      <c r="K36">
        <v>812994</v>
      </c>
      <c r="L36" t="s">
        <v>428</v>
      </c>
      <c r="M36" t="s">
        <v>309</v>
      </c>
      <c r="N36" t="s">
        <v>57</v>
      </c>
      <c r="O36" s="1">
        <v>45842</v>
      </c>
      <c r="Q36" s="1">
        <v>45965</v>
      </c>
      <c r="R36" s="2">
        <v>7.09</v>
      </c>
      <c r="S36">
        <v>1</v>
      </c>
      <c r="T36" t="s">
        <v>58</v>
      </c>
      <c r="U36" t="s">
        <v>359</v>
      </c>
      <c r="V36" s="3">
        <v>0.38</v>
      </c>
      <c r="W36" s="2">
        <v>0</v>
      </c>
      <c r="X36">
        <v>0</v>
      </c>
      <c r="Y36" t="s">
        <v>60</v>
      </c>
      <c r="Z36" t="s">
        <v>360</v>
      </c>
      <c r="AA36">
        <v>0</v>
      </c>
      <c r="AB36" s="2">
        <v>0</v>
      </c>
      <c r="AC36" s="2">
        <v>0</v>
      </c>
      <c r="AD36" s="3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0</v>
      </c>
      <c r="AL36" s="2">
        <v>2.69</v>
      </c>
      <c r="AM36" s="2">
        <v>0</v>
      </c>
      <c r="AN36" s="2">
        <v>0</v>
      </c>
      <c r="AO36" s="2">
        <v>0</v>
      </c>
      <c r="AP36" s="2">
        <v>0</v>
      </c>
      <c r="AQ36" s="2">
        <v>0</v>
      </c>
    </row>
    <row r="37" spans="1:43" x14ac:dyDescent="0.25">
      <c r="A37" s="1">
        <v>45936</v>
      </c>
      <c r="B37" t="s">
        <v>48</v>
      </c>
      <c r="C37">
        <v>649163</v>
      </c>
      <c r="D37">
        <v>2029786838</v>
      </c>
      <c r="E37" t="s">
        <v>429</v>
      </c>
      <c r="F37" t="s">
        <v>430</v>
      </c>
      <c r="G37" t="s">
        <v>51</v>
      </c>
      <c r="H37" t="s">
        <v>431</v>
      </c>
      <c r="I37" t="s">
        <v>287</v>
      </c>
      <c r="J37" t="s">
        <v>288</v>
      </c>
      <c r="K37">
        <v>751867</v>
      </c>
      <c r="L37" t="s">
        <v>71</v>
      </c>
      <c r="M37" t="s">
        <v>72</v>
      </c>
      <c r="N37" t="s">
        <v>57</v>
      </c>
      <c r="O37" s="1">
        <v>45842</v>
      </c>
      <c r="Q37" s="1">
        <v>45965</v>
      </c>
      <c r="R37" s="2">
        <v>25.53</v>
      </c>
      <c r="S37">
        <v>1</v>
      </c>
      <c r="T37" t="s">
        <v>58</v>
      </c>
      <c r="U37" t="s">
        <v>359</v>
      </c>
      <c r="V37" s="3">
        <v>0.38</v>
      </c>
      <c r="W37" s="2">
        <v>0</v>
      </c>
      <c r="X37">
        <v>0</v>
      </c>
      <c r="Y37" t="s">
        <v>60</v>
      </c>
      <c r="Z37" t="s">
        <v>360</v>
      </c>
      <c r="AA37">
        <v>0</v>
      </c>
      <c r="AB37" s="2">
        <v>0</v>
      </c>
      <c r="AC37" s="2">
        <v>0</v>
      </c>
      <c r="AD37" s="3">
        <v>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0</v>
      </c>
      <c r="AL37" s="2">
        <v>9.6999999999999993</v>
      </c>
      <c r="AM37" s="2">
        <v>0</v>
      </c>
      <c r="AN37" s="2">
        <v>0</v>
      </c>
      <c r="AO37" s="2">
        <v>0</v>
      </c>
      <c r="AP37" s="2">
        <v>0</v>
      </c>
      <c r="AQ37" s="2">
        <v>0</v>
      </c>
    </row>
    <row r="38" spans="1:43" x14ac:dyDescent="0.25">
      <c r="A38" s="1">
        <v>45936</v>
      </c>
      <c r="B38" t="s">
        <v>48</v>
      </c>
      <c r="C38">
        <v>649163</v>
      </c>
      <c r="D38">
        <v>2029829958</v>
      </c>
      <c r="E38" t="s">
        <v>432</v>
      </c>
      <c r="F38" t="s">
        <v>433</v>
      </c>
      <c r="G38" t="s">
        <v>51</v>
      </c>
      <c r="H38" t="s">
        <v>70</v>
      </c>
      <c r="I38" t="s">
        <v>287</v>
      </c>
      <c r="J38" t="s">
        <v>288</v>
      </c>
      <c r="K38">
        <v>751867</v>
      </c>
      <c r="L38" t="s">
        <v>71</v>
      </c>
      <c r="M38" t="s">
        <v>72</v>
      </c>
      <c r="N38" t="s">
        <v>57</v>
      </c>
      <c r="O38" s="1">
        <v>45870</v>
      </c>
      <c r="Q38" s="1">
        <v>45962</v>
      </c>
      <c r="R38" s="2">
        <v>43.5</v>
      </c>
      <c r="S38">
        <v>1</v>
      </c>
      <c r="T38" t="s">
        <v>58</v>
      </c>
      <c r="U38" t="s">
        <v>359</v>
      </c>
      <c r="V38" s="3">
        <v>0.38</v>
      </c>
      <c r="W38" s="2">
        <v>0</v>
      </c>
      <c r="X38">
        <v>0</v>
      </c>
      <c r="Y38" t="s">
        <v>60</v>
      </c>
      <c r="Z38" t="s">
        <v>360</v>
      </c>
      <c r="AA38">
        <v>0</v>
      </c>
      <c r="AB38" s="2">
        <v>0</v>
      </c>
      <c r="AC38" s="2">
        <v>0</v>
      </c>
      <c r="AD38" s="3">
        <v>0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0</v>
      </c>
      <c r="AL38" s="2">
        <v>16.53</v>
      </c>
      <c r="AM38" s="2">
        <v>0</v>
      </c>
      <c r="AN38" s="2">
        <v>0</v>
      </c>
      <c r="AO38" s="2">
        <v>0</v>
      </c>
      <c r="AP38" s="2">
        <v>0</v>
      </c>
      <c r="AQ38" s="2">
        <v>0</v>
      </c>
    </row>
    <row r="39" spans="1:43" x14ac:dyDescent="0.25">
      <c r="A39" s="1">
        <v>45936</v>
      </c>
      <c r="B39" t="s">
        <v>48</v>
      </c>
      <c r="C39">
        <v>649163</v>
      </c>
      <c r="D39">
        <v>2029838335</v>
      </c>
      <c r="E39" t="s">
        <v>434</v>
      </c>
      <c r="F39" t="s">
        <v>435</v>
      </c>
      <c r="G39" t="s">
        <v>51</v>
      </c>
      <c r="H39" t="s">
        <v>101</v>
      </c>
      <c r="I39" t="s">
        <v>287</v>
      </c>
      <c r="J39" t="s">
        <v>291</v>
      </c>
      <c r="K39">
        <v>840313</v>
      </c>
      <c r="L39" t="s">
        <v>436</v>
      </c>
      <c r="M39" t="s">
        <v>437</v>
      </c>
      <c r="N39" t="s">
        <v>57</v>
      </c>
      <c r="O39" s="1">
        <v>45846</v>
      </c>
      <c r="Q39" s="1">
        <v>45969</v>
      </c>
      <c r="R39" s="2">
        <v>181.4</v>
      </c>
      <c r="S39">
        <v>1</v>
      </c>
      <c r="T39" t="s">
        <v>58</v>
      </c>
      <c r="U39" t="s">
        <v>359</v>
      </c>
      <c r="V39" s="3">
        <v>0.38</v>
      </c>
      <c r="W39" s="2">
        <v>0</v>
      </c>
      <c r="X39">
        <v>0</v>
      </c>
      <c r="Y39" t="s">
        <v>60</v>
      </c>
      <c r="Z39" t="s">
        <v>360</v>
      </c>
      <c r="AA39">
        <v>0</v>
      </c>
      <c r="AB39" s="2">
        <v>0</v>
      </c>
      <c r="AC39" s="2">
        <v>0</v>
      </c>
      <c r="AD39" s="3">
        <v>0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0</v>
      </c>
      <c r="AL39" s="2">
        <v>68.930000000000007</v>
      </c>
      <c r="AM39" s="2">
        <v>0</v>
      </c>
      <c r="AN39" s="2">
        <v>0</v>
      </c>
      <c r="AO39" s="2">
        <v>0</v>
      </c>
      <c r="AP39" s="2">
        <v>0</v>
      </c>
      <c r="AQ39" s="2">
        <v>0</v>
      </c>
    </row>
    <row r="40" spans="1:43" x14ac:dyDescent="0.25">
      <c r="A40" s="1">
        <v>45936</v>
      </c>
      <c r="B40" t="s">
        <v>48</v>
      </c>
      <c r="C40">
        <v>649163</v>
      </c>
      <c r="D40">
        <v>2030247772</v>
      </c>
      <c r="E40" t="s">
        <v>438</v>
      </c>
      <c r="F40" t="s">
        <v>410</v>
      </c>
      <c r="G40" t="s">
        <v>51</v>
      </c>
      <c r="H40" t="s">
        <v>70</v>
      </c>
      <c r="I40" t="s">
        <v>287</v>
      </c>
      <c r="J40" t="s">
        <v>288</v>
      </c>
      <c r="K40">
        <v>751867</v>
      </c>
      <c r="L40" t="s">
        <v>71</v>
      </c>
      <c r="M40" t="s">
        <v>72</v>
      </c>
      <c r="N40" t="s">
        <v>57</v>
      </c>
      <c r="O40" s="1">
        <v>45870</v>
      </c>
      <c r="Q40" s="1">
        <v>45962</v>
      </c>
      <c r="R40" s="2">
        <v>-27.15</v>
      </c>
      <c r="S40">
        <v>1</v>
      </c>
      <c r="T40" t="s">
        <v>58</v>
      </c>
      <c r="U40" t="s">
        <v>359</v>
      </c>
      <c r="V40" s="3">
        <v>0.38</v>
      </c>
      <c r="W40" s="2">
        <v>0</v>
      </c>
      <c r="X40">
        <v>-1</v>
      </c>
      <c r="Y40" t="s">
        <v>60</v>
      </c>
      <c r="Z40" t="s">
        <v>360</v>
      </c>
      <c r="AA40">
        <v>0</v>
      </c>
      <c r="AB40" s="2">
        <v>0</v>
      </c>
      <c r="AC40" s="2">
        <v>0</v>
      </c>
      <c r="AD40" s="3">
        <v>0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0</v>
      </c>
      <c r="AL40" s="2">
        <v>0</v>
      </c>
      <c r="AM40" s="2">
        <v>-10.32</v>
      </c>
      <c r="AN40" s="2">
        <v>-10.32</v>
      </c>
      <c r="AO40" s="2">
        <v>0</v>
      </c>
      <c r="AP40" s="2">
        <v>0</v>
      </c>
      <c r="AQ40" s="2">
        <v>0</v>
      </c>
    </row>
    <row r="41" spans="1:43" x14ac:dyDescent="0.25">
      <c r="A41" s="1">
        <v>45936</v>
      </c>
      <c r="B41" t="s">
        <v>48</v>
      </c>
      <c r="C41">
        <v>649163</v>
      </c>
      <c r="D41">
        <v>2030277545</v>
      </c>
      <c r="E41" t="s">
        <v>439</v>
      </c>
      <c r="F41" t="s">
        <v>440</v>
      </c>
      <c r="G41" t="s">
        <v>51</v>
      </c>
      <c r="H41" t="s">
        <v>247</v>
      </c>
      <c r="I41" t="s">
        <v>287</v>
      </c>
      <c r="J41" t="s">
        <v>363</v>
      </c>
      <c r="K41">
        <v>673059</v>
      </c>
      <c r="L41" t="s">
        <v>80</v>
      </c>
      <c r="M41" t="s">
        <v>81</v>
      </c>
      <c r="N41" t="s">
        <v>57</v>
      </c>
      <c r="O41" s="1">
        <v>45878</v>
      </c>
      <c r="Q41" s="1">
        <v>45970</v>
      </c>
      <c r="R41" s="2">
        <v>118.65</v>
      </c>
      <c r="S41">
        <v>1</v>
      </c>
      <c r="T41" t="s">
        <v>58</v>
      </c>
      <c r="U41" t="s">
        <v>359</v>
      </c>
      <c r="V41" s="3">
        <v>0.19</v>
      </c>
      <c r="W41" s="2">
        <v>0</v>
      </c>
      <c r="X41">
        <v>0</v>
      </c>
      <c r="Y41" t="s">
        <v>60</v>
      </c>
      <c r="Z41" t="s">
        <v>360</v>
      </c>
      <c r="AA41">
        <v>0</v>
      </c>
      <c r="AB41" s="2">
        <v>0</v>
      </c>
      <c r="AC41" s="2">
        <v>0</v>
      </c>
      <c r="AD41" s="3">
        <v>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0</v>
      </c>
      <c r="AK41" s="2">
        <v>0</v>
      </c>
      <c r="AL41" s="2">
        <v>22.54</v>
      </c>
      <c r="AM41" s="2">
        <v>0</v>
      </c>
      <c r="AN41" s="2">
        <v>0</v>
      </c>
      <c r="AO41" s="2">
        <v>0</v>
      </c>
      <c r="AP41" s="2">
        <v>0</v>
      </c>
      <c r="AQ41" s="2">
        <v>0</v>
      </c>
    </row>
    <row r="42" spans="1:43" x14ac:dyDescent="0.25">
      <c r="A42" s="1">
        <v>45936</v>
      </c>
      <c r="B42" t="s">
        <v>48</v>
      </c>
      <c r="C42">
        <v>649163</v>
      </c>
      <c r="D42">
        <v>2030277546</v>
      </c>
      <c r="E42" t="s">
        <v>439</v>
      </c>
      <c r="F42" t="s">
        <v>440</v>
      </c>
      <c r="G42" t="s">
        <v>51</v>
      </c>
      <c r="H42" t="s">
        <v>247</v>
      </c>
      <c r="I42" t="s">
        <v>287</v>
      </c>
      <c r="J42" t="s">
        <v>424</v>
      </c>
      <c r="K42">
        <v>673059</v>
      </c>
      <c r="L42" t="s">
        <v>80</v>
      </c>
      <c r="M42" t="s">
        <v>81</v>
      </c>
      <c r="N42" t="s">
        <v>57</v>
      </c>
      <c r="O42" s="1">
        <v>45878</v>
      </c>
      <c r="Q42" s="1">
        <v>45970</v>
      </c>
      <c r="R42" s="2">
        <v>7.09</v>
      </c>
      <c r="S42">
        <v>1</v>
      </c>
      <c r="T42" t="s">
        <v>58</v>
      </c>
      <c r="U42" t="s">
        <v>359</v>
      </c>
      <c r="V42" s="3">
        <v>0.38</v>
      </c>
      <c r="W42" s="2">
        <v>0</v>
      </c>
      <c r="X42">
        <v>0</v>
      </c>
      <c r="Y42" t="s">
        <v>60</v>
      </c>
      <c r="Z42" t="s">
        <v>360</v>
      </c>
      <c r="AA42">
        <v>0</v>
      </c>
      <c r="AB42" s="2">
        <v>0</v>
      </c>
      <c r="AC42" s="2">
        <v>0</v>
      </c>
      <c r="AD42" s="3">
        <v>0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>
        <v>0</v>
      </c>
      <c r="AK42" s="2">
        <v>0</v>
      </c>
      <c r="AL42" s="2">
        <v>2.69</v>
      </c>
      <c r="AM42" s="2">
        <v>0</v>
      </c>
      <c r="AN42" s="2">
        <v>0</v>
      </c>
      <c r="AO42" s="2">
        <v>0</v>
      </c>
      <c r="AP42" s="2">
        <v>0</v>
      </c>
      <c r="AQ42" s="2">
        <v>0</v>
      </c>
    </row>
    <row r="43" spans="1:43" x14ac:dyDescent="0.25">
      <c r="A43" s="1">
        <v>45936</v>
      </c>
      <c r="B43" t="s">
        <v>48</v>
      </c>
      <c r="C43">
        <v>649163</v>
      </c>
      <c r="D43">
        <v>2030290666</v>
      </c>
      <c r="E43" t="s">
        <v>441</v>
      </c>
      <c r="F43" t="s">
        <v>442</v>
      </c>
      <c r="G43" t="s">
        <v>51</v>
      </c>
      <c r="H43" t="s">
        <v>390</v>
      </c>
      <c r="I43" t="s">
        <v>287</v>
      </c>
      <c r="J43" t="s">
        <v>288</v>
      </c>
      <c r="K43">
        <v>650218</v>
      </c>
      <c r="L43" t="s">
        <v>237</v>
      </c>
      <c r="M43" t="s">
        <v>238</v>
      </c>
      <c r="N43" t="s">
        <v>57</v>
      </c>
      <c r="O43" s="1">
        <v>45872</v>
      </c>
      <c r="Q43" s="1">
        <v>45964</v>
      </c>
      <c r="R43" s="2">
        <v>31.43</v>
      </c>
      <c r="S43">
        <v>1</v>
      </c>
      <c r="T43" t="s">
        <v>58</v>
      </c>
      <c r="U43" t="s">
        <v>359</v>
      </c>
      <c r="V43" s="3">
        <v>0.38</v>
      </c>
      <c r="W43" s="2">
        <v>0</v>
      </c>
      <c r="X43">
        <v>0</v>
      </c>
      <c r="Y43" t="s">
        <v>60</v>
      </c>
      <c r="Z43" t="s">
        <v>360</v>
      </c>
      <c r="AA43">
        <v>0</v>
      </c>
      <c r="AB43" s="2">
        <v>0</v>
      </c>
      <c r="AC43" s="2">
        <v>0</v>
      </c>
      <c r="AD43" s="3">
        <v>0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2">
        <v>0</v>
      </c>
      <c r="AK43" s="2">
        <v>0</v>
      </c>
      <c r="AL43" s="2">
        <v>11.94</v>
      </c>
      <c r="AM43" s="2">
        <v>0</v>
      </c>
      <c r="AN43" s="2">
        <v>0</v>
      </c>
      <c r="AO43" s="2">
        <v>0</v>
      </c>
      <c r="AP43" s="2">
        <v>0</v>
      </c>
      <c r="AQ43" s="2">
        <v>0</v>
      </c>
    </row>
    <row r="44" spans="1:43" x14ac:dyDescent="0.25">
      <c r="A44" s="1">
        <v>45936</v>
      </c>
      <c r="B44" t="s">
        <v>48</v>
      </c>
      <c r="C44">
        <v>649163</v>
      </c>
      <c r="D44">
        <v>2030380471</v>
      </c>
      <c r="E44" t="s">
        <v>443</v>
      </c>
      <c r="F44" t="s">
        <v>444</v>
      </c>
      <c r="G44" t="s">
        <v>51</v>
      </c>
      <c r="H44" t="s">
        <v>70</v>
      </c>
      <c r="I44" t="s">
        <v>287</v>
      </c>
      <c r="J44" t="s">
        <v>288</v>
      </c>
      <c r="K44">
        <v>650218</v>
      </c>
      <c r="L44" t="s">
        <v>237</v>
      </c>
      <c r="M44" t="s">
        <v>238</v>
      </c>
      <c r="N44" t="s">
        <v>57</v>
      </c>
      <c r="O44" s="1">
        <v>45877</v>
      </c>
      <c r="Q44" s="1">
        <v>45969</v>
      </c>
      <c r="R44" s="2">
        <v>47.17</v>
      </c>
      <c r="S44">
        <v>1</v>
      </c>
      <c r="T44" t="s">
        <v>58</v>
      </c>
      <c r="U44" t="s">
        <v>359</v>
      </c>
      <c r="V44" s="3">
        <v>0.38</v>
      </c>
      <c r="W44" s="2">
        <v>0</v>
      </c>
      <c r="X44">
        <v>0</v>
      </c>
      <c r="Y44" t="s">
        <v>60</v>
      </c>
      <c r="Z44" t="s">
        <v>360</v>
      </c>
      <c r="AA44">
        <v>0</v>
      </c>
      <c r="AB44" s="2">
        <v>0</v>
      </c>
      <c r="AC44" s="2">
        <v>0</v>
      </c>
      <c r="AD44" s="3">
        <v>0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0</v>
      </c>
      <c r="AL44" s="2">
        <v>17.920000000000002</v>
      </c>
      <c r="AM44" s="2">
        <v>0</v>
      </c>
      <c r="AN44" s="2">
        <v>0</v>
      </c>
      <c r="AO44" s="2">
        <v>0</v>
      </c>
      <c r="AP44" s="2">
        <v>0</v>
      </c>
      <c r="AQ44" s="2">
        <v>0</v>
      </c>
    </row>
    <row r="45" spans="1:43" x14ac:dyDescent="0.25">
      <c r="A45" s="1">
        <v>45936</v>
      </c>
      <c r="B45" t="s">
        <v>48</v>
      </c>
      <c r="C45">
        <v>649163</v>
      </c>
      <c r="D45">
        <v>2030395014</v>
      </c>
      <c r="E45" t="s">
        <v>445</v>
      </c>
      <c r="F45" t="s">
        <v>446</v>
      </c>
      <c r="G45" t="s">
        <v>51</v>
      </c>
      <c r="H45" t="s">
        <v>203</v>
      </c>
      <c r="I45" t="s">
        <v>287</v>
      </c>
      <c r="J45" t="s">
        <v>288</v>
      </c>
      <c r="K45">
        <v>796984</v>
      </c>
      <c r="L45" t="s">
        <v>204</v>
      </c>
      <c r="M45" t="s">
        <v>205</v>
      </c>
      <c r="N45" t="s">
        <v>57</v>
      </c>
      <c r="O45" s="1">
        <v>45878</v>
      </c>
      <c r="Q45" s="1">
        <v>45970</v>
      </c>
      <c r="R45" s="2">
        <v>23.69</v>
      </c>
      <c r="S45">
        <v>1</v>
      </c>
      <c r="T45" t="s">
        <v>58</v>
      </c>
      <c r="U45" t="s">
        <v>359</v>
      </c>
      <c r="V45" s="3">
        <v>0.38</v>
      </c>
      <c r="W45" s="2">
        <v>0</v>
      </c>
      <c r="X45">
        <v>0</v>
      </c>
      <c r="Y45" t="s">
        <v>60</v>
      </c>
      <c r="Z45" t="s">
        <v>360</v>
      </c>
      <c r="AA45">
        <v>0</v>
      </c>
      <c r="AB45" s="2">
        <v>0</v>
      </c>
      <c r="AC45" s="2">
        <v>0</v>
      </c>
      <c r="AD45" s="3">
        <v>0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9</v>
      </c>
      <c r="AM45" s="2">
        <v>0</v>
      </c>
      <c r="AN45" s="2">
        <v>0</v>
      </c>
      <c r="AO45" s="2">
        <v>0</v>
      </c>
      <c r="AP45" s="2">
        <v>0</v>
      </c>
      <c r="AQ45" s="2">
        <v>0</v>
      </c>
    </row>
    <row r="46" spans="1:43" x14ac:dyDescent="0.25">
      <c r="A46" s="1">
        <v>45936</v>
      </c>
      <c r="B46" t="s">
        <v>48</v>
      </c>
      <c r="C46">
        <v>649163</v>
      </c>
      <c r="D46">
        <v>2030399994</v>
      </c>
      <c r="E46" t="s">
        <v>447</v>
      </c>
      <c r="F46" t="s">
        <v>139</v>
      </c>
      <c r="G46" t="s">
        <v>51</v>
      </c>
      <c r="H46" t="s">
        <v>101</v>
      </c>
      <c r="I46" t="s">
        <v>287</v>
      </c>
      <c r="J46" t="s">
        <v>291</v>
      </c>
      <c r="K46">
        <v>824062</v>
      </c>
      <c r="L46" t="s">
        <v>273</v>
      </c>
      <c r="M46" t="s">
        <v>274</v>
      </c>
      <c r="N46" t="s">
        <v>57</v>
      </c>
      <c r="O46" s="1">
        <v>45878</v>
      </c>
      <c r="Q46" s="1">
        <v>45970</v>
      </c>
      <c r="R46" s="2">
        <v>758.34</v>
      </c>
      <c r="S46">
        <v>1</v>
      </c>
      <c r="T46" t="s">
        <v>58</v>
      </c>
      <c r="U46" t="s">
        <v>359</v>
      </c>
      <c r="V46" s="3">
        <v>0.38</v>
      </c>
      <c r="W46" s="2">
        <v>0</v>
      </c>
      <c r="X46">
        <v>0</v>
      </c>
      <c r="Y46" t="s">
        <v>60</v>
      </c>
      <c r="Z46" t="s">
        <v>360</v>
      </c>
      <c r="AA46">
        <v>0</v>
      </c>
      <c r="AB46" s="2">
        <v>0</v>
      </c>
      <c r="AC46" s="2">
        <v>0</v>
      </c>
      <c r="AD46" s="3">
        <v>0</v>
      </c>
      <c r="AE46" s="2">
        <v>0</v>
      </c>
      <c r="AF46" s="2">
        <v>0</v>
      </c>
      <c r="AG46" s="2">
        <v>0</v>
      </c>
      <c r="AH46" s="2">
        <v>0</v>
      </c>
      <c r="AI46" s="2">
        <v>0</v>
      </c>
      <c r="AJ46" s="2">
        <v>0</v>
      </c>
      <c r="AK46" s="2">
        <v>0</v>
      </c>
      <c r="AL46" s="2">
        <v>288.17</v>
      </c>
      <c r="AM46" s="2">
        <v>0</v>
      </c>
      <c r="AN46" s="2">
        <v>0</v>
      </c>
      <c r="AO46" s="2">
        <v>0</v>
      </c>
      <c r="AP46" s="2">
        <v>0</v>
      </c>
      <c r="AQ46" s="2">
        <v>0</v>
      </c>
    </row>
    <row r="47" spans="1:43" x14ac:dyDescent="0.25">
      <c r="A47" s="1">
        <v>45936</v>
      </c>
      <c r="B47" t="s">
        <v>48</v>
      </c>
      <c r="C47">
        <v>649163</v>
      </c>
      <c r="D47">
        <v>2030399997</v>
      </c>
      <c r="E47" t="s">
        <v>447</v>
      </c>
      <c r="F47" t="s">
        <v>139</v>
      </c>
      <c r="G47" t="s">
        <v>51</v>
      </c>
      <c r="H47" t="s">
        <v>101</v>
      </c>
      <c r="I47" t="s">
        <v>287</v>
      </c>
      <c r="J47" t="s">
        <v>424</v>
      </c>
      <c r="K47">
        <v>824062</v>
      </c>
      <c r="L47" t="s">
        <v>273</v>
      </c>
      <c r="M47" t="s">
        <v>274</v>
      </c>
      <c r="N47" t="s">
        <v>57</v>
      </c>
      <c r="O47" s="1">
        <v>45878</v>
      </c>
      <c r="Q47" s="1">
        <v>45970</v>
      </c>
      <c r="R47" s="2">
        <v>7.09</v>
      </c>
      <c r="S47">
        <v>1</v>
      </c>
      <c r="T47" t="s">
        <v>58</v>
      </c>
      <c r="U47" t="s">
        <v>359</v>
      </c>
      <c r="V47" s="3">
        <v>0.38</v>
      </c>
      <c r="W47" s="2">
        <v>0</v>
      </c>
      <c r="X47">
        <v>0</v>
      </c>
      <c r="Y47" t="s">
        <v>60</v>
      </c>
      <c r="Z47" t="s">
        <v>360</v>
      </c>
      <c r="AA47">
        <v>0</v>
      </c>
      <c r="AB47" s="2">
        <v>0</v>
      </c>
      <c r="AC47" s="2">
        <v>0</v>
      </c>
      <c r="AD47" s="3">
        <v>0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0</v>
      </c>
      <c r="AL47" s="2">
        <v>2.69</v>
      </c>
      <c r="AM47" s="2">
        <v>0</v>
      </c>
      <c r="AN47" s="2">
        <v>0</v>
      </c>
      <c r="AO47" s="2">
        <v>0</v>
      </c>
      <c r="AP47" s="2">
        <v>0</v>
      </c>
      <c r="AQ47" s="2">
        <v>0</v>
      </c>
    </row>
    <row r="48" spans="1:43" x14ac:dyDescent="0.25">
      <c r="A48" s="1">
        <v>45936</v>
      </c>
      <c r="B48" t="s">
        <v>48</v>
      </c>
      <c r="C48">
        <v>649163</v>
      </c>
      <c r="D48">
        <v>2030896174</v>
      </c>
      <c r="E48" t="s">
        <v>448</v>
      </c>
      <c r="F48" t="s">
        <v>449</v>
      </c>
      <c r="G48" t="s">
        <v>51</v>
      </c>
      <c r="H48" t="s">
        <v>101</v>
      </c>
      <c r="I48" t="s">
        <v>287</v>
      </c>
      <c r="J48" t="s">
        <v>291</v>
      </c>
      <c r="K48">
        <v>820873</v>
      </c>
      <c r="L48" t="s">
        <v>134</v>
      </c>
      <c r="M48" t="s">
        <v>135</v>
      </c>
      <c r="N48" t="s">
        <v>57</v>
      </c>
      <c r="O48" s="1">
        <v>45906</v>
      </c>
      <c r="Q48" s="1">
        <v>45967</v>
      </c>
      <c r="R48" s="2">
        <v>139</v>
      </c>
      <c r="S48">
        <v>1</v>
      </c>
      <c r="T48" t="s">
        <v>58</v>
      </c>
      <c r="U48" t="s">
        <v>359</v>
      </c>
      <c r="V48" s="3">
        <v>0.38</v>
      </c>
      <c r="W48" s="2">
        <v>0</v>
      </c>
      <c r="X48">
        <v>0</v>
      </c>
      <c r="Y48" t="s">
        <v>60</v>
      </c>
      <c r="Z48" t="s">
        <v>360</v>
      </c>
      <c r="AA48">
        <v>0</v>
      </c>
      <c r="AB48" s="2">
        <v>0</v>
      </c>
      <c r="AC48" s="2">
        <v>0</v>
      </c>
      <c r="AD48" s="3">
        <v>0</v>
      </c>
      <c r="AE48" s="2">
        <v>0</v>
      </c>
      <c r="AF48" s="2">
        <v>0</v>
      </c>
      <c r="AG48" s="2">
        <v>0</v>
      </c>
      <c r="AH48" s="2">
        <v>0</v>
      </c>
      <c r="AI48" s="2">
        <v>0</v>
      </c>
      <c r="AJ48" s="2">
        <v>0</v>
      </c>
      <c r="AK48" s="2">
        <v>0</v>
      </c>
      <c r="AL48" s="2">
        <v>52.82</v>
      </c>
      <c r="AM48" s="2">
        <v>0</v>
      </c>
      <c r="AN48" s="2">
        <v>0</v>
      </c>
      <c r="AO48" s="2">
        <v>0</v>
      </c>
      <c r="AP48" s="2">
        <v>0</v>
      </c>
      <c r="AQ48" s="2">
        <v>0</v>
      </c>
    </row>
    <row r="49" spans="1:43" x14ac:dyDescent="0.25">
      <c r="A49" s="1">
        <v>45936</v>
      </c>
      <c r="B49" t="s">
        <v>48</v>
      </c>
      <c r="C49">
        <v>649163</v>
      </c>
      <c r="D49">
        <v>2030896175</v>
      </c>
      <c r="E49" t="s">
        <v>448</v>
      </c>
      <c r="F49" t="s">
        <v>449</v>
      </c>
      <c r="G49" t="s">
        <v>51</v>
      </c>
      <c r="H49" t="s">
        <v>101</v>
      </c>
      <c r="I49" t="s">
        <v>287</v>
      </c>
      <c r="J49" t="s">
        <v>424</v>
      </c>
      <c r="K49">
        <v>820873</v>
      </c>
      <c r="L49" t="s">
        <v>134</v>
      </c>
      <c r="M49" t="s">
        <v>135</v>
      </c>
      <c r="N49" t="s">
        <v>57</v>
      </c>
      <c r="O49" s="1">
        <v>45906</v>
      </c>
      <c r="Q49" s="1">
        <v>45967</v>
      </c>
      <c r="R49" s="2">
        <v>7.09</v>
      </c>
      <c r="S49">
        <v>1</v>
      </c>
      <c r="T49" t="s">
        <v>58</v>
      </c>
      <c r="U49" t="s">
        <v>359</v>
      </c>
      <c r="V49" s="3">
        <v>0.38</v>
      </c>
      <c r="W49" s="2">
        <v>0</v>
      </c>
      <c r="X49">
        <v>0</v>
      </c>
      <c r="Y49" t="s">
        <v>60</v>
      </c>
      <c r="Z49" t="s">
        <v>360</v>
      </c>
      <c r="AA49">
        <v>0</v>
      </c>
      <c r="AB49" s="2">
        <v>0</v>
      </c>
      <c r="AC49" s="2">
        <v>0</v>
      </c>
      <c r="AD49" s="3">
        <v>0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  <c r="AJ49" s="2">
        <v>0</v>
      </c>
      <c r="AK49" s="2">
        <v>0</v>
      </c>
      <c r="AL49" s="2">
        <v>2.69</v>
      </c>
      <c r="AM49" s="2">
        <v>0</v>
      </c>
      <c r="AN49" s="2">
        <v>0</v>
      </c>
      <c r="AO49" s="2">
        <v>0</v>
      </c>
      <c r="AP49" s="2">
        <v>0</v>
      </c>
      <c r="AQ49" s="2">
        <v>0</v>
      </c>
    </row>
    <row r="50" spans="1:43" x14ac:dyDescent="0.25">
      <c r="A50" s="1">
        <v>45936</v>
      </c>
      <c r="B50" t="s">
        <v>48</v>
      </c>
      <c r="C50">
        <v>649163</v>
      </c>
      <c r="D50">
        <v>2030937252</v>
      </c>
      <c r="E50" t="s">
        <v>450</v>
      </c>
      <c r="F50" t="s">
        <v>412</v>
      </c>
      <c r="G50" t="s">
        <v>51</v>
      </c>
      <c r="H50" t="s">
        <v>70</v>
      </c>
      <c r="I50" t="s">
        <v>287</v>
      </c>
      <c r="J50" t="s">
        <v>288</v>
      </c>
      <c r="K50">
        <v>751867</v>
      </c>
      <c r="L50" t="s">
        <v>71</v>
      </c>
      <c r="M50" t="s">
        <v>72</v>
      </c>
      <c r="N50" t="s">
        <v>57</v>
      </c>
      <c r="O50" s="1">
        <v>45909</v>
      </c>
      <c r="Q50" s="1">
        <v>45970</v>
      </c>
      <c r="R50" s="2">
        <v>19.309999999999999</v>
      </c>
      <c r="S50">
        <v>1</v>
      </c>
      <c r="T50" t="s">
        <v>58</v>
      </c>
      <c r="U50" t="s">
        <v>59</v>
      </c>
      <c r="V50" s="3">
        <v>0.38</v>
      </c>
      <c r="W50" s="2">
        <v>0</v>
      </c>
      <c r="X50">
        <v>0</v>
      </c>
      <c r="Y50" t="s">
        <v>60</v>
      </c>
      <c r="Z50" t="s">
        <v>360</v>
      </c>
      <c r="AA50">
        <v>0</v>
      </c>
      <c r="AB50" s="2">
        <v>0</v>
      </c>
      <c r="AC50" s="2">
        <v>0</v>
      </c>
      <c r="AD50" s="3">
        <v>0</v>
      </c>
      <c r="AE50" s="2">
        <v>0</v>
      </c>
      <c r="AF50" s="2">
        <v>0</v>
      </c>
      <c r="AG50" s="2">
        <v>0</v>
      </c>
      <c r="AH50" s="2">
        <v>0</v>
      </c>
      <c r="AI50" s="2">
        <v>0</v>
      </c>
      <c r="AJ50" s="2">
        <v>0</v>
      </c>
      <c r="AK50" s="2">
        <v>0</v>
      </c>
      <c r="AL50" s="2">
        <v>7.34</v>
      </c>
      <c r="AM50" s="2">
        <v>0</v>
      </c>
      <c r="AN50" s="2">
        <v>0</v>
      </c>
      <c r="AO50" s="2">
        <v>0</v>
      </c>
      <c r="AP50" s="2">
        <v>0</v>
      </c>
      <c r="AQ50" s="2">
        <v>0</v>
      </c>
    </row>
    <row r="51" spans="1:43" x14ac:dyDescent="0.25">
      <c r="A51" s="1">
        <v>45936</v>
      </c>
      <c r="B51" t="s">
        <v>48</v>
      </c>
      <c r="C51">
        <v>649163</v>
      </c>
      <c r="D51">
        <v>2030941927</v>
      </c>
      <c r="E51" t="s">
        <v>451</v>
      </c>
      <c r="F51" t="s">
        <v>452</v>
      </c>
      <c r="G51" t="s">
        <v>51</v>
      </c>
      <c r="H51" t="s">
        <v>129</v>
      </c>
      <c r="I51" t="s">
        <v>287</v>
      </c>
      <c r="J51" t="s">
        <v>288</v>
      </c>
      <c r="K51">
        <v>751867</v>
      </c>
      <c r="L51" t="s">
        <v>71</v>
      </c>
      <c r="M51" t="s">
        <v>72</v>
      </c>
      <c r="N51" t="s">
        <v>57</v>
      </c>
      <c r="O51" s="1">
        <v>45909</v>
      </c>
      <c r="Q51" s="1">
        <v>45970</v>
      </c>
      <c r="R51" s="2">
        <v>15.06</v>
      </c>
      <c r="S51">
        <v>1</v>
      </c>
      <c r="T51" t="s">
        <v>58</v>
      </c>
      <c r="U51" t="s">
        <v>59</v>
      </c>
      <c r="V51" s="3">
        <v>0.38</v>
      </c>
      <c r="W51" s="2">
        <v>0</v>
      </c>
      <c r="X51">
        <v>0</v>
      </c>
      <c r="Y51" t="s">
        <v>60</v>
      </c>
      <c r="Z51" t="s">
        <v>360</v>
      </c>
      <c r="AA51">
        <v>0</v>
      </c>
      <c r="AB51" s="2">
        <v>0</v>
      </c>
      <c r="AC51" s="2">
        <v>0</v>
      </c>
      <c r="AD51" s="3">
        <v>0</v>
      </c>
      <c r="AE51" s="2">
        <v>0</v>
      </c>
      <c r="AF51" s="2">
        <v>0</v>
      </c>
      <c r="AG51" s="2">
        <v>0</v>
      </c>
      <c r="AH51" s="2">
        <v>0</v>
      </c>
      <c r="AI51" s="2">
        <v>0</v>
      </c>
      <c r="AJ51" s="2">
        <v>0</v>
      </c>
      <c r="AK51" s="2">
        <v>0</v>
      </c>
      <c r="AL51" s="2">
        <v>5.72</v>
      </c>
      <c r="AM51" s="2">
        <v>0</v>
      </c>
      <c r="AN51" s="2">
        <v>0</v>
      </c>
      <c r="AO51" s="2">
        <v>0</v>
      </c>
      <c r="AP51" s="2">
        <v>0</v>
      </c>
      <c r="AQ51" s="2">
        <v>0</v>
      </c>
    </row>
    <row r="52" spans="1:43" x14ac:dyDescent="0.25">
      <c r="A52" s="1">
        <v>45936</v>
      </c>
      <c r="B52" t="s">
        <v>48</v>
      </c>
      <c r="C52">
        <v>649163</v>
      </c>
      <c r="D52">
        <v>2030945122</v>
      </c>
      <c r="E52" t="s">
        <v>388</v>
      </c>
      <c r="F52" t="s">
        <v>453</v>
      </c>
      <c r="G52" t="s">
        <v>51</v>
      </c>
      <c r="H52" t="s">
        <v>101</v>
      </c>
      <c r="I52" t="s">
        <v>287</v>
      </c>
      <c r="J52" t="s">
        <v>288</v>
      </c>
      <c r="K52">
        <v>820873</v>
      </c>
      <c r="L52" t="s">
        <v>134</v>
      </c>
      <c r="M52" t="s">
        <v>135</v>
      </c>
      <c r="N52" t="s">
        <v>57</v>
      </c>
      <c r="O52" s="1">
        <v>45909</v>
      </c>
      <c r="Q52" s="1">
        <v>45970</v>
      </c>
      <c r="R52" s="2">
        <v>19.48</v>
      </c>
      <c r="S52">
        <v>1</v>
      </c>
      <c r="T52" t="s">
        <v>58</v>
      </c>
      <c r="U52" t="s">
        <v>59</v>
      </c>
      <c r="V52" s="3">
        <v>0.38</v>
      </c>
      <c r="W52" s="2">
        <v>0</v>
      </c>
      <c r="X52">
        <v>0</v>
      </c>
      <c r="Y52" t="s">
        <v>60</v>
      </c>
      <c r="Z52" t="s">
        <v>360</v>
      </c>
      <c r="AA52">
        <v>0</v>
      </c>
      <c r="AB52" s="2">
        <v>0</v>
      </c>
      <c r="AC52" s="2">
        <v>0</v>
      </c>
      <c r="AD52" s="3">
        <v>0</v>
      </c>
      <c r="AE52" s="2">
        <v>0</v>
      </c>
      <c r="AF52" s="2">
        <v>0</v>
      </c>
      <c r="AG52" s="2">
        <v>0</v>
      </c>
      <c r="AH52" s="2">
        <v>0</v>
      </c>
      <c r="AI52" s="2">
        <v>0</v>
      </c>
      <c r="AJ52" s="2">
        <v>0</v>
      </c>
      <c r="AK52" s="2">
        <v>0</v>
      </c>
      <c r="AL52" s="2">
        <v>7.4</v>
      </c>
      <c r="AM52" s="2">
        <v>0</v>
      </c>
      <c r="AN52" s="2">
        <v>0</v>
      </c>
      <c r="AO52" s="2">
        <v>0</v>
      </c>
      <c r="AP52" s="2">
        <v>0</v>
      </c>
      <c r="AQ52" s="2">
        <v>0</v>
      </c>
    </row>
    <row r="53" spans="1:43" x14ac:dyDescent="0.25">
      <c r="A53" s="1">
        <v>45936</v>
      </c>
      <c r="B53" t="s">
        <v>48</v>
      </c>
      <c r="C53">
        <v>649163</v>
      </c>
      <c r="D53">
        <v>2030954480</v>
      </c>
      <c r="E53" t="s">
        <v>454</v>
      </c>
      <c r="F53" t="s">
        <v>455</v>
      </c>
      <c r="G53" t="s">
        <v>51</v>
      </c>
      <c r="H53" t="s">
        <v>101</v>
      </c>
      <c r="I53" t="s">
        <v>287</v>
      </c>
      <c r="J53" t="s">
        <v>291</v>
      </c>
      <c r="K53">
        <v>856824</v>
      </c>
      <c r="L53" t="s">
        <v>298</v>
      </c>
      <c r="M53" t="s">
        <v>299</v>
      </c>
      <c r="N53" t="s">
        <v>57</v>
      </c>
      <c r="O53" s="1">
        <v>45910</v>
      </c>
      <c r="Q53" s="1">
        <v>45971</v>
      </c>
      <c r="R53" s="2">
        <v>172.55</v>
      </c>
      <c r="S53">
        <v>1</v>
      </c>
      <c r="T53" t="s">
        <v>58</v>
      </c>
      <c r="U53" t="s">
        <v>59</v>
      </c>
      <c r="V53" s="3">
        <v>0.38</v>
      </c>
      <c r="W53" s="2">
        <v>0</v>
      </c>
      <c r="X53">
        <v>0</v>
      </c>
      <c r="Y53" t="s">
        <v>60</v>
      </c>
      <c r="Z53" t="s">
        <v>360</v>
      </c>
      <c r="AA53">
        <v>0</v>
      </c>
      <c r="AB53" s="2">
        <v>0</v>
      </c>
      <c r="AC53" s="2">
        <v>0</v>
      </c>
      <c r="AD53" s="3">
        <v>0</v>
      </c>
      <c r="AE53" s="2">
        <v>0</v>
      </c>
      <c r="AF53" s="2">
        <v>0</v>
      </c>
      <c r="AG53" s="2">
        <v>0</v>
      </c>
      <c r="AH53" s="2">
        <v>0</v>
      </c>
      <c r="AI53" s="2">
        <v>0</v>
      </c>
      <c r="AJ53" s="2">
        <v>0</v>
      </c>
      <c r="AK53" s="2">
        <v>0</v>
      </c>
      <c r="AL53" s="2">
        <v>65.569999999999993</v>
      </c>
      <c r="AM53" s="2">
        <v>0</v>
      </c>
      <c r="AN53" s="2">
        <v>0</v>
      </c>
      <c r="AO53" s="2">
        <v>0</v>
      </c>
      <c r="AP53" s="2">
        <v>0</v>
      </c>
      <c r="AQ53" s="2">
        <v>0</v>
      </c>
    </row>
    <row r="54" spans="1:43" x14ac:dyDescent="0.25">
      <c r="A54" s="1">
        <v>45936</v>
      </c>
      <c r="B54" t="s">
        <v>48</v>
      </c>
      <c r="C54">
        <v>649163</v>
      </c>
      <c r="D54">
        <v>2030954481</v>
      </c>
      <c r="E54" t="s">
        <v>454</v>
      </c>
      <c r="F54" t="s">
        <v>455</v>
      </c>
      <c r="G54" t="s">
        <v>51</v>
      </c>
      <c r="H54" t="s">
        <v>101</v>
      </c>
      <c r="I54" t="s">
        <v>287</v>
      </c>
      <c r="J54" t="s">
        <v>424</v>
      </c>
      <c r="K54">
        <v>856824</v>
      </c>
      <c r="L54" t="s">
        <v>298</v>
      </c>
      <c r="M54" t="s">
        <v>299</v>
      </c>
      <c r="N54" t="s">
        <v>57</v>
      </c>
      <c r="O54" s="1">
        <v>45910</v>
      </c>
      <c r="Q54" s="1">
        <v>45971</v>
      </c>
      <c r="R54" s="2">
        <v>7.09</v>
      </c>
      <c r="S54">
        <v>1</v>
      </c>
      <c r="T54" t="s">
        <v>58</v>
      </c>
      <c r="U54" t="s">
        <v>59</v>
      </c>
      <c r="V54" s="3">
        <v>0.38</v>
      </c>
      <c r="W54" s="2">
        <v>0</v>
      </c>
      <c r="X54">
        <v>0</v>
      </c>
      <c r="Y54" t="s">
        <v>60</v>
      </c>
      <c r="Z54" t="s">
        <v>360</v>
      </c>
      <c r="AA54">
        <v>0</v>
      </c>
      <c r="AB54" s="2">
        <v>0</v>
      </c>
      <c r="AC54" s="2">
        <v>0</v>
      </c>
      <c r="AD54" s="3">
        <v>0</v>
      </c>
      <c r="AE54" s="2">
        <v>0</v>
      </c>
      <c r="AF54" s="2">
        <v>0</v>
      </c>
      <c r="AG54" s="2">
        <v>0</v>
      </c>
      <c r="AH54" s="2">
        <v>0</v>
      </c>
      <c r="AI54" s="2">
        <v>0</v>
      </c>
      <c r="AJ54" s="2">
        <v>0</v>
      </c>
      <c r="AK54" s="2">
        <v>0</v>
      </c>
      <c r="AL54" s="2">
        <v>2.69</v>
      </c>
      <c r="AM54" s="2">
        <v>0</v>
      </c>
      <c r="AN54" s="2">
        <v>0</v>
      </c>
      <c r="AO54" s="2">
        <v>0</v>
      </c>
      <c r="AP54" s="2">
        <v>0</v>
      </c>
      <c r="AQ54" s="2">
        <v>0</v>
      </c>
    </row>
    <row r="55" spans="1:43" x14ac:dyDescent="0.25">
      <c r="A55" s="1">
        <v>45936</v>
      </c>
      <c r="B55" t="s">
        <v>48</v>
      </c>
      <c r="C55">
        <v>649163</v>
      </c>
      <c r="D55">
        <v>2030985508</v>
      </c>
      <c r="E55" t="s">
        <v>423</v>
      </c>
      <c r="F55" t="s">
        <v>259</v>
      </c>
      <c r="G55" t="s">
        <v>51</v>
      </c>
      <c r="H55" t="s">
        <v>101</v>
      </c>
      <c r="I55" t="s">
        <v>287</v>
      </c>
      <c r="J55" t="s">
        <v>291</v>
      </c>
      <c r="K55">
        <v>814033</v>
      </c>
      <c r="L55" t="s">
        <v>256</v>
      </c>
      <c r="M55" t="s">
        <v>165</v>
      </c>
      <c r="N55" t="s">
        <v>456</v>
      </c>
      <c r="O55" s="1">
        <v>45912</v>
      </c>
      <c r="P55" s="1">
        <v>45936</v>
      </c>
      <c r="Q55" s="1">
        <v>45942</v>
      </c>
      <c r="R55" s="2">
        <v>-123.69</v>
      </c>
      <c r="S55">
        <v>1</v>
      </c>
      <c r="T55" t="s">
        <v>58</v>
      </c>
      <c r="U55" t="s">
        <v>59</v>
      </c>
      <c r="V55" s="3">
        <v>0.38</v>
      </c>
      <c r="W55" s="2">
        <v>0</v>
      </c>
      <c r="X55">
        <v>-1</v>
      </c>
      <c r="Y55" t="s">
        <v>60</v>
      </c>
      <c r="Z55" t="s">
        <v>360</v>
      </c>
      <c r="AA55">
        <v>0</v>
      </c>
      <c r="AB55" s="2">
        <v>0</v>
      </c>
      <c r="AC55" s="2">
        <v>0</v>
      </c>
      <c r="AD55" s="3">
        <v>0</v>
      </c>
      <c r="AE55" s="2">
        <v>0</v>
      </c>
      <c r="AF55" s="2">
        <v>0</v>
      </c>
      <c r="AG55" s="2">
        <v>0</v>
      </c>
      <c r="AH55" s="2">
        <v>0</v>
      </c>
      <c r="AI55" s="2">
        <v>0</v>
      </c>
      <c r="AJ55" s="2">
        <v>0</v>
      </c>
      <c r="AK55" s="2">
        <v>0</v>
      </c>
      <c r="AL55" s="2">
        <v>0</v>
      </c>
      <c r="AM55" s="2">
        <v>-47</v>
      </c>
      <c r="AN55" s="2">
        <v>-47</v>
      </c>
      <c r="AO55" s="2">
        <v>0</v>
      </c>
      <c r="AP55" s="2">
        <v>0</v>
      </c>
      <c r="AQ55" s="2">
        <v>0</v>
      </c>
    </row>
    <row r="56" spans="1:43" x14ac:dyDescent="0.25">
      <c r="A56" s="1">
        <v>45936</v>
      </c>
      <c r="B56" t="s">
        <v>48</v>
      </c>
      <c r="C56">
        <v>649163</v>
      </c>
      <c r="D56">
        <v>2031250518</v>
      </c>
      <c r="E56" t="s">
        <v>457</v>
      </c>
      <c r="F56" t="s">
        <v>458</v>
      </c>
      <c r="G56" t="s">
        <v>51</v>
      </c>
      <c r="H56" t="s">
        <v>101</v>
      </c>
      <c r="I56" t="s">
        <v>287</v>
      </c>
      <c r="J56" t="s">
        <v>291</v>
      </c>
      <c r="K56">
        <v>673059</v>
      </c>
      <c r="L56" t="s">
        <v>80</v>
      </c>
      <c r="M56" t="s">
        <v>81</v>
      </c>
      <c r="N56" t="s">
        <v>456</v>
      </c>
      <c r="O56" s="1">
        <v>45931</v>
      </c>
      <c r="P56" s="1">
        <v>45936</v>
      </c>
      <c r="Q56" s="1">
        <v>45962</v>
      </c>
      <c r="R56" s="2">
        <v>-412.3</v>
      </c>
      <c r="S56">
        <v>1</v>
      </c>
      <c r="T56" t="s">
        <v>58</v>
      </c>
      <c r="U56" t="s">
        <v>213</v>
      </c>
      <c r="V56" s="3">
        <v>0.38</v>
      </c>
      <c r="W56" s="2">
        <v>0</v>
      </c>
      <c r="X56">
        <v>-1</v>
      </c>
      <c r="Y56" t="s">
        <v>60</v>
      </c>
      <c r="Z56" t="s">
        <v>360</v>
      </c>
      <c r="AA56">
        <v>0</v>
      </c>
      <c r="AB56" s="2">
        <v>0</v>
      </c>
      <c r="AC56" s="2">
        <v>0</v>
      </c>
      <c r="AD56" s="3">
        <v>0</v>
      </c>
      <c r="AE56" s="2">
        <v>0</v>
      </c>
      <c r="AF56" s="2">
        <v>0</v>
      </c>
      <c r="AG56" s="2">
        <v>0</v>
      </c>
      <c r="AH56" s="2">
        <v>0</v>
      </c>
      <c r="AI56" s="2">
        <v>0</v>
      </c>
      <c r="AJ56" s="2">
        <v>0</v>
      </c>
      <c r="AK56" s="2">
        <v>0</v>
      </c>
      <c r="AL56" s="2">
        <v>0</v>
      </c>
      <c r="AM56" s="2">
        <v>-156.66999999999999</v>
      </c>
      <c r="AN56" s="2">
        <v>-156.66999999999999</v>
      </c>
      <c r="AO56" s="2">
        <v>0</v>
      </c>
      <c r="AP56" s="2">
        <v>0</v>
      </c>
      <c r="AQ56" s="2">
        <v>0</v>
      </c>
    </row>
    <row r="57" spans="1:43" x14ac:dyDescent="0.25">
      <c r="A57" s="1">
        <v>45936</v>
      </c>
      <c r="B57" t="s">
        <v>48</v>
      </c>
      <c r="C57">
        <v>649163</v>
      </c>
      <c r="D57">
        <v>2031250519</v>
      </c>
      <c r="E57" t="s">
        <v>457</v>
      </c>
      <c r="F57" t="s">
        <v>458</v>
      </c>
      <c r="G57" t="s">
        <v>51</v>
      </c>
      <c r="H57" t="s">
        <v>101</v>
      </c>
      <c r="I57" t="s">
        <v>287</v>
      </c>
      <c r="J57" t="s">
        <v>424</v>
      </c>
      <c r="K57">
        <v>673059</v>
      </c>
      <c r="L57" t="s">
        <v>80</v>
      </c>
      <c r="M57" t="s">
        <v>81</v>
      </c>
      <c r="N57" t="s">
        <v>456</v>
      </c>
      <c r="O57" s="1">
        <v>45931</v>
      </c>
      <c r="P57" s="1">
        <v>45936</v>
      </c>
      <c r="Q57" s="1">
        <v>45962</v>
      </c>
      <c r="R57" s="2">
        <v>-7.09</v>
      </c>
      <c r="S57">
        <v>1</v>
      </c>
      <c r="T57" t="s">
        <v>58</v>
      </c>
      <c r="U57" t="s">
        <v>213</v>
      </c>
      <c r="V57" s="3">
        <v>0.38</v>
      </c>
      <c r="W57" s="2">
        <v>0</v>
      </c>
      <c r="X57">
        <v>-1</v>
      </c>
      <c r="Y57" t="s">
        <v>60</v>
      </c>
      <c r="Z57" t="s">
        <v>360</v>
      </c>
      <c r="AA57">
        <v>0</v>
      </c>
      <c r="AB57" s="2">
        <v>0</v>
      </c>
      <c r="AC57" s="2">
        <v>0</v>
      </c>
      <c r="AD57" s="3">
        <v>0</v>
      </c>
      <c r="AE57" s="2">
        <v>0</v>
      </c>
      <c r="AF57" s="2">
        <v>0</v>
      </c>
      <c r="AG57" s="2">
        <v>0</v>
      </c>
      <c r="AH57" s="2">
        <v>0</v>
      </c>
      <c r="AI57" s="2">
        <v>0</v>
      </c>
      <c r="AJ57" s="2">
        <v>0</v>
      </c>
      <c r="AK57" s="2">
        <v>0</v>
      </c>
      <c r="AL57" s="2">
        <v>0</v>
      </c>
      <c r="AM57" s="2">
        <v>-2.69</v>
      </c>
      <c r="AN57" s="2">
        <v>-2.69</v>
      </c>
      <c r="AO57" s="2">
        <v>0</v>
      </c>
      <c r="AP57" s="2">
        <v>0</v>
      </c>
      <c r="AQ57" s="2">
        <v>0</v>
      </c>
    </row>
    <row r="58" spans="1:43" x14ac:dyDescent="0.25">
      <c r="A58" s="1">
        <v>45936</v>
      </c>
      <c r="B58" t="s">
        <v>48</v>
      </c>
      <c r="C58">
        <v>649163</v>
      </c>
      <c r="D58">
        <v>2031250520</v>
      </c>
      <c r="E58" t="s">
        <v>457</v>
      </c>
      <c r="F58" t="s">
        <v>458</v>
      </c>
      <c r="G58" t="s">
        <v>51</v>
      </c>
      <c r="H58" t="s">
        <v>101</v>
      </c>
      <c r="I58" t="s">
        <v>287</v>
      </c>
      <c r="J58" t="s">
        <v>288</v>
      </c>
      <c r="K58">
        <v>673059</v>
      </c>
      <c r="L58" t="s">
        <v>80</v>
      </c>
      <c r="M58" t="s">
        <v>81</v>
      </c>
      <c r="N58" t="s">
        <v>456</v>
      </c>
      <c r="O58" s="1">
        <v>45931</v>
      </c>
      <c r="P58" s="1">
        <v>45936</v>
      </c>
      <c r="Q58" s="1">
        <v>45962</v>
      </c>
      <c r="R58" s="2">
        <v>-19.75</v>
      </c>
      <c r="S58">
        <v>1</v>
      </c>
      <c r="T58" t="s">
        <v>58</v>
      </c>
      <c r="U58" t="s">
        <v>213</v>
      </c>
      <c r="V58" s="3">
        <v>0.38</v>
      </c>
      <c r="W58" s="2">
        <v>0</v>
      </c>
      <c r="X58">
        <v>-1</v>
      </c>
      <c r="Y58" t="s">
        <v>60</v>
      </c>
      <c r="Z58" t="s">
        <v>360</v>
      </c>
      <c r="AA58">
        <v>0</v>
      </c>
      <c r="AB58" s="2">
        <v>0</v>
      </c>
      <c r="AC58" s="2">
        <v>0</v>
      </c>
      <c r="AD58" s="3">
        <v>0</v>
      </c>
      <c r="AE58" s="2">
        <v>0</v>
      </c>
      <c r="AF58" s="2">
        <v>0</v>
      </c>
      <c r="AG58" s="2">
        <v>0</v>
      </c>
      <c r="AH58" s="2">
        <v>0</v>
      </c>
      <c r="AI58" s="2">
        <v>0</v>
      </c>
      <c r="AJ58" s="2">
        <v>0</v>
      </c>
      <c r="AK58" s="2">
        <v>0</v>
      </c>
      <c r="AL58" s="2">
        <v>0</v>
      </c>
      <c r="AM58" s="2">
        <v>-7.5</v>
      </c>
      <c r="AN58" s="2">
        <v>-7.5</v>
      </c>
      <c r="AO58" s="2">
        <v>0</v>
      </c>
      <c r="AP58" s="2">
        <v>0</v>
      </c>
      <c r="AQ58" s="2">
        <v>0</v>
      </c>
    </row>
    <row r="59" spans="1:43" x14ac:dyDescent="0.25">
      <c r="A59" s="1">
        <v>45936</v>
      </c>
      <c r="B59" t="s">
        <v>48</v>
      </c>
      <c r="C59">
        <v>649163</v>
      </c>
      <c r="D59">
        <v>2026898523</v>
      </c>
      <c r="E59" t="s">
        <v>459</v>
      </c>
      <c r="F59" t="s">
        <v>460</v>
      </c>
      <c r="G59" t="s">
        <v>51</v>
      </c>
      <c r="H59" t="s">
        <v>101</v>
      </c>
      <c r="I59" t="s">
        <v>461</v>
      </c>
      <c r="J59" t="s">
        <v>462</v>
      </c>
      <c r="K59">
        <v>789909</v>
      </c>
      <c r="L59" t="s">
        <v>317</v>
      </c>
      <c r="M59" t="s">
        <v>318</v>
      </c>
      <c r="N59" t="s">
        <v>57</v>
      </c>
      <c r="O59" s="1">
        <v>45691</v>
      </c>
      <c r="Q59" s="1">
        <v>45964</v>
      </c>
      <c r="R59" s="2">
        <v>289.33</v>
      </c>
      <c r="S59">
        <v>1</v>
      </c>
      <c r="T59" t="s">
        <v>58</v>
      </c>
      <c r="U59" t="s">
        <v>359</v>
      </c>
      <c r="V59" s="3">
        <v>0.96</v>
      </c>
      <c r="W59" s="2">
        <v>0</v>
      </c>
      <c r="X59">
        <v>0</v>
      </c>
      <c r="Y59" t="s">
        <v>60</v>
      </c>
      <c r="Z59" t="s">
        <v>360</v>
      </c>
      <c r="AA59">
        <v>0</v>
      </c>
      <c r="AB59" s="2">
        <v>0</v>
      </c>
      <c r="AC59" s="2">
        <v>0</v>
      </c>
      <c r="AD59" s="3">
        <v>0</v>
      </c>
      <c r="AE59" s="2">
        <v>0</v>
      </c>
      <c r="AF59" s="2">
        <v>0</v>
      </c>
      <c r="AG59" s="2">
        <v>0</v>
      </c>
      <c r="AH59" s="2">
        <v>0</v>
      </c>
      <c r="AI59" s="2">
        <v>0</v>
      </c>
      <c r="AJ59" s="2">
        <v>0</v>
      </c>
      <c r="AK59" s="2">
        <v>0</v>
      </c>
      <c r="AL59" s="2">
        <v>0</v>
      </c>
      <c r="AM59" s="2">
        <v>277.76</v>
      </c>
      <c r="AN59" s="2">
        <v>277.76</v>
      </c>
      <c r="AO59" s="2">
        <v>0</v>
      </c>
      <c r="AP59" s="2">
        <v>0</v>
      </c>
      <c r="AQ59" s="2">
        <v>0</v>
      </c>
    </row>
    <row r="60" spans="1:43" x14ac:dyDescent="0.25">
      <c r="A60" s="1">
        <v>45936</v>
      </c>
      <c r="B60" t="s">
        <v>48</v>
      </c>
      <c r="C60">
        <v>649163</v>
      </c>
      <c r="D60">
        <v>2028722200</v>
      </c>
      <c r="E60" t="s">
        <v>463</v>
      </c>
      <c r="F60" t="s">
        <v>464</v>
      </c>
      <c r="G60" t="s">
        <v>51</v>
      </c>
      <c r="H60" t="s">
        <v>101</v>
      </c>
      <c r="I60" t="s">
        <v>461</v>
      </c>
      <c r="J60" t="s">
        <v>465</v>
      </c>
      <c r="K60">
        <v>651818</v>
      </c>
      <c r="L60" t="s">
        <v>112</v>
      </c>
      <c r="M60" t="s">
        <v>104</v>
      </c>
      <c r="N60" t="s">
        <v>57</v>
      </c>
      <c r="O60" s="1">
        <v>45779</v>
      </c>
      <c r="Q60" s="1">
        <v>45963</v>
      </c>
      <c r="R60" s="2">
        <v>93.29</v>
      </c>
      <c r="S60">
        <v>1</v>
      </c>
      <c r="T60" t="s">
        <v>58</v>
      </c>
      <c r="U60" t="s">
        <v>359</v>
      </c>
      <c r="V60" s="3">
        <v>1.3</v>
      </c>
      <c r="W60" s="2">
        <v>0</v>
      </c>
      <c r="X60">
        <v>0</v>
      </c>
      <c r="Y60" t="s">
        <v>60</v>
      </c>
      <c r="Z60" t="s">
        <v>360</v>
      </c>
      <c r="AA60">
        <v>0</v>
      </c>
      <c r="AB60" s="2">
        <v>0</v>
      </c>
      <c r="AC60" s="2">
        <v>0</v>
      </c>
      <c r="AD60" s="3">
        <v>0</v>
      </c>
      <c r="AE60" s="2">
        <v>0</v>
      </c>
      <c r="AF60" s="2">
        <v>0</v>
      </c>
      <c r="AG60" s="2">
        <v>0</v>
      </c>
      <c r="AH60" s="2">
        <v>0</v>
      </c>
      <c r="AI60" s="2">
        <v>0</v>
      </c>
      <c r="AJ60" s="2">
        <v>0</v>
      </c>
      <c r="AK60" s="2">
        <v>0</v>
      </c>
      <c r="AL60" s="2">
        <v>0</v>
      </c>
      <c r="AM60" s="2">
        <v>121.28</v>
      </c>
      <c r="AN60" s="2">
        <v>121.28</v>
      </c>
      <c r="AO60" s="2">
        <v>0</v>
      </c>
      <c r="AP60" s="2">
        <v>0</v>
      </c>
      <c r="AQ60" s="2">
        <v>0</v>
      </c>
    </row>
    <row r="61" spans="1:43" x14ac:dyDescent="0.25">
      <c r="A61" s="1">
        <v>45936</v>
      </c>
      <c r="B61" t="s">
        <v>48</v>
      </c>
      <c r="C61">
        <v>649163</v>
      </c>
      <c r="D61">
        <v>2019173854</v>
      </c>
      <c r="E61" t="s">
        <v>281</v>
      </c>
      <c r="F61" t="s">
        <v>466</v>
      </c>
      <c r="G61" t="s">
        <v>51</v>
      </c>
      <c r="H61" t="s">
        <v>70</v>
      </c>
      <c r="I61" t="s">
        <v>467</v>
      </c>
      <c r="J61" t="s">
        <v>468</v>
      </c>
      <c r="K61">
        <v>650218</v>
      </c>
      <c r="L61" t="s">
        <v>237</v>
      </c>
      <c r="M61" t="s">
        <v>238</v>
      </c>
      <c r="N61" t="s">
        <v>57</v>
      </c>
      <c r="O61" s="1">
        <v>45139</v>
      </c>
      <c r="Q61" s="1">
        <v>45962</v>
      </c>
      <c r="R61" s="2">
        <v>175.53</v>
      </c>
      <c r="S61">
        <v>1</v>
      </c>
      <c r="T61" t="s">
        <v>58</v>
      </c>
      <c r="U61" t="s">
        <v>359</v>
      </c>
      <c r="V61" s="3">
        <v>0</v>
      </c>
      <c r="W61" s="2">
        <v>0</v>
      </c>
      <c r="X61">
        <v>0</v>
      </c>
      <c r="Y61" t="s">
        <v>214</v>
      </c>
      <c r="Z61" t="s">
        <v>360</v>
      </c>
      <c r="AA61">
        <v>0</v>
      </c>
      <c r="AB61" s="2">
        <v>0</v>
      </c>
      <c r="AC61" s="2">
        <v>0</v>
      </c>
      <c r="AD61" s="3">
        <v>0</v>
      </c>
      <c r="AE61" s="2">
        <v>0</v>
      </c>
      <c r="AF61" s="2">
        <v>0</v>
      </c>
      <c r="AG61" s="2">
        <v>0</v>
      </c>
      <c r="AH61" s="2">
        <v>0</v>
      </c>
      <c r="AI61" s="2">
        <v>0</v>
      </c>
      <c r="AJ61" s="2">
        <v>0</v>
      </c>
      <c r="AK61" s="2">
        <v>0</v>
      </c>
      <c r="AL61" s="2">
        <v>0</v>
      </c>
      <c r="AM61" s="2">
        <v>0</v>
      </c>
      <c r="AN61" s="2">
        <v>0</v>
      </c>
      <c r="AO61" s="2">
        <v>0</v>
      </c>
      <c r="AP61" s="2">
        <v>0</v>
      </c>
      <c r="AQ61" s="2">
        <v>0</v>
      </c>
    </row>
    <row r="62" spans="1:43" x14ac:dyDescent="0.25">
      <c r="A62" s="1">
        <v>45936</v>
      </c>
      <c r="B62" t="s">
        <v>48</v>
      </c>
      <c r="C62">
        <v>649163</v>
      </c>
      <c r="D62">
        <v>2020542149</v>
      </c>
      <c r="E62" t="s">
        <v>469</v>
      </c>
      <c r="F62" t="s">
        <v>470</v>
      </c>
      <c r="G62" t="s">
        <v>51</v>
      </c>
      <c r="H62" t="s">
        <v>70</v>
      </c>
      <c r="I62" t="s">
        <v>467</v>
      </c>
      <c r="J62" t="s">
        <v>471</v>
      </c>
      <c r="K62">
        <v>649247</v>
      </c>
      <c r="L62" t="s">
        <v>75</v>
      </c>
      <c r="M62" t="s">
        <v>76</v>
      </c>
      <c r="N62" t="s">
        <v>57</v>
      </c>
      <c r="O62" s="1">
        <v>45261</v>
      </c>
      <c r="Q62" s="1">
        <v>45962</v>
      </c>
      <c r="R62" s="2">
        <v>116.79</v>
      </c>
      <c r="S62">
        <v>1</v>
      </c>
      <c r="T62" t="s">
        <v>58</v>
      </c>
      <c r="U62" t="s">
        <v>359</v>
      </c>
      <c r="V62" s="3">
        <v>0.26</v>
      </c>
      <c r="W62" s="2">
        <v>0</v>
      </c>
      <c r="X62">
        <v>0</v>
      </c>
      <c r="Y62" t="s">
        <v>214</v>
      </c>
      <c r="Z62" t="s">
        <v>360</v>
      </c>
      <c r="AA62">
        <v>0</v>
      </c>
      <c r="AB62" s="2">
        <v>0</v>
      </c>
      <c r="AC62" s="2">
        <v>0</v>
      </c>
      <c r="AD62" s="3">
        <v>0</v>
      </c>
      <c r="AE62" s="2">
        <v>0</v>
      </c>
      <c r="AF62" s="2">
        <v>0</v>
      </c>
      <c r="AG62" s="2">
        <v>0</v>
      </c>
      <c r="AH62" s="2">
        <v>0</v>
      </c>
      <c r="AI62" s="2">
        <v>0</v>
      </c>
      <c r="AJ62" s="2">
        <v>0</v>
      </c>
      <c r="AK62" s="2">
        <v>0</v>
      </c>
      <c r="AL62" s="2">
        <v>0</v>
      </c>
      <c r="AM62" s="2">
        <v>30.37</v>
      </c>
      <c r="AN62" s="2">
        <v>30.37</v>
      </c>
      <c r="AO62" s="2">
        <v>0</v>
      </c>
      <c r="AP62" s="2">
        <v>0</v>
      </c>
      <c r="AQ62" s="2">
        <v>0</v>
      </c>
    </row>
    <row r="63" spans="1:43" x14ac:dyDescent="0.25">
      <c r="A63" s="1">
        <v>45936</v>
      </c>
      <c r="B63" t="s">
        <v>48</v>
      </c>
      <c r="C63">
        <v>649163</v>
      </c>
      <c r="D63">
        <v>2020622534</v>
      </c>
      <c r="E63" t="s">
        <v>472</v>
      </c>
      <c r="F63" t="s">
        <v>473</v>
      </c>
      <c r="G63" t="s">
        <v>51</v>
      </c>
      <c r="H63" t="s">
        <v>70</v>
      </c>
      <c r="I63" t="s">
        <v>467</v>
      </c>
      <c r="J63" t="s">
        <v>471</v>
      </c>
      <c r="K63">
        <v>649247</v>
      </c>
      <c r="L63" t="s">
        <v>75</v>
      </c>
      <c r="M63" t="s">
        <v>76</v>
      </c>
      <c r="N63" t="s">
        <v>57</v>
      </c>
      <c r="O63" s="1">
        <v>45231</v>
      </c>
      <c r="Q63" s="1">
        <v>45962</v>
      </c>
      <c r="R63" s="2">
        <v>125.33</v>
      </c>
      <c r="S63">
        <v>1</v>
      </c>
      <c r="T63" t="s">
        <v>58</v>
      </c>
      <c r="U63" t="s">
        <v>359</v>
      </c>
      <c r="V63" s="3">
        <v>0.26</v>
      </c>
      <c r="W63" s="2">
        <v>0</v>
      </c>
      <c r="X63">
        <v>0</v>
      </c>
      <c r="Y63" t="s">
        <v>214</v>
      </c>
      <c r="Z63" t="s">
        <v>360</v>
      </c>
      <c r="AA63">
        <v>0</v>
      </c>
      <c r="AB63" s="2">
        <v>0</v>
      </c>
      <c r="AC63" s="2">
        <v>0</v>
      </c>
      <c r="AD63" s="3">
        <v>0</v>
      </c>
      <c r="AE63" s="2">
        <v>0</v>
      </c>
      <c r="AF63" s="2">
        <v>0</v>
      </c>
      <c r="AG63" s="2">
        <v>0</v>
      </c>
      <c r="AH63" s="2">
        <v>0</v>
      </c>
      <c r="AI63" s="2">
        <v>0</v>
      </c>
      <c r="AJ63" s="2">
        <v>0</v>
      </c>
      <c r="AK63" s="2">
        <v>0</v>
      </c>
      <c r="AL63" s="2">
        <v>0</v>
      </c>
      <c r="AM63" s="2">
        <v>32.590000000000003</v>
      </c>
      <c r="AN63" s="2">
        <v>32.590000000000003</v>
      </c>
      <c r="AO63" s="2">
        <v>0</v>
      </c>
      <c r="AP63" s="2">
        <v>0</v>
      </c>
      <c r="AQ63" s="2">
        <v>0</v>
      </c>
    </row>
    <row r="64" spans="1:43" x14ac:dyDescent="0.25">
      <c r="A64" s="1">
        <v>45936</v>
      </c>
      <c r="B64" t="s">
        <v>48</v>
      </c>
      <c r="C64">
        <v>649163</v>
      </c>
      <c r="D64">
        <v>2020783044</v>
      </c>
      <c r="E64" t="s">
        <v>474</v>
      </c>
      <c r="F64" t="s">
        <v>276</v>
      </c>
      <c r="G64" t="s">
        <v>51</v>
      </c>
      <c r="H64" t="s">
        <v>70</v>
      </c>
      <c r="I64" t="s">
        <v>467</v>
      </c>
      <c r="J64" t="s">
        <v>471</v>
      </c>
      <c r="K64">
        <v>650218</v>
      </c>
      <c r="L64" t="s">
        <v>237</v>
      </c>
      <c r="M64" t="s">
        <v>238</v>
      </c>
      <c r="N64" t="s">
        <v>57</v>
      </c>
      <c r="O64" s="1">
        <v>45292</v>
      </c>
      <c r="Q64" s="1">
        <v>45962</v>
      </c>
      <c r="R64" s="2">
        <v>128.22999999999999</v>
      </c>
      <c r="S64">
        <v>1</v>
      </c>
      <c r="T64" t="s">
        <v>58</v>
      </c>
      <c r="U64" t="s">
        <v>359</v>
      </c>
      <c r="V64" s="3">
        <v>0.26</v>
      </c>
      <c r="W64" s="2">
        <v>0</v>
      </c>
      <c r="X64">
        <v>0</v>
      </c>
      <c r="Y64" t="s">
        <v>214</v>
      </c>
      <c r="Z64" t="s">
        <v>360</v>
      </c>
      <c r="AA64">
        <v>0</v>
      </c>
      <c r="AB64" s="2">
        <v>0</v>
      </c>
      <c r="AC64" s="2">
        <v>0</v>
      </c>
      <c r="AD64" s="3">
        <v>0</v>
      </c>
      <c r="AE64" s="2">
        <v>0</v>
      </c>
      <c r="AF64" s="2">
        <v>0</v>
      </c>
      <c r="AG64" s="2">
        <v>0</v>
      </c>
      <c r="AH64" s="2">
        <v>0</v>
      </c>
      <c r="AI64" s="2">
        <v>0</v>
      </c>
      <c r="AJ64" s="2">
        <v>0</v>
      </c>
      <c r="AK64" s="2">
        <v>0</v>
      </c>
      <c r="AL64" s="2">
        <v>0</v>
      </c>
      <c r="AM64" s="2">
        <v>33.340000000000003</v>
      </c>
      <c r="AN64" s="2">
        <v>33.340000000000003</v>
      </c>
      <c r="AO64" s="2">
        <v>0</v>
      </c>
      <c r="AP64" s="2">
        <v>0</v>
      </c>
      <c r="AQ64" s="2">
        <v>0</v>
      </c>
    </row>
    <row r="65" spans="1:43" x14ac:dyDescent="0.25">
      <c r="A65" s="1">
        <v>45936</v>
      </c>
      <c r="B65" t="s">
        <v>48</v>
      </c>
      <c r="C65">
        <v>649163</v>
      </c>
      <c r="D65">
        <v>2020851074</v>
      </c>
      <c r="E65" t="s">
        <v>475</v>
      </c>
      <c r="F65" t="s">
        <v>476</v>
      </c>
      <c r="G65" t="s">
        <v>51</v>
      </c>
      <c r="H65" t="s">
        <v>70</v>
      </c>
      <c r="I65" t="s">
        <v>467</v>
      </c>
      <c r="J65" t="s">
        <v>471</v>
      </c>
      <c r="K65">
        <v>728134</v>
      </c>
      <c r="L65" t="s">
        <v>352</v>
      </c>
      <c r="M65" t="s">
        <v>353</v>
      </c>
      <c r="N65" t="s">
        <v>57</v>
      </c>
      <c r="O65" s="1">
        <v>45292</v>
      </c>
      <c r="Q65" s="1">
        <v>45962</v>
      </c>
      <c r="R65" s="2">
        <v>124.29</v>
      </c>
      <c r="S65">
        <v>1</v>
      </c>
      <c r="T65" t="s">
        <v>58</v>
      </c>
      <c r="U65" t="s">
        <v>359</v>
      </c>
      <c r="V65" s="3">
        <v>0.26</v>
      </c>
      <c r="W65" s="2">
        <v>0</v>
      </c>
      <c r="X65">
        <v>0</v>
      </c>
      <c r="Y65" t="s">
        <v>214</v>
      </c>
      <c r="Z65" t="s">
        <v>360</v>
      </c>
      <c r="AA65">
        <v>0</v>
      </c>
      <c r="AB65" s="2">
        <v>0</v>
      </c>
      <c r="AC65" s="2">
        <v>0</v>
      </c>
      <c r="AD65" s="3">
        <v>0</v>
      </c>
      <c r="AE65" s="2">
        <v>0</v>
      </c>
      <c r="AF65" s="2">
        <v>0</v>
      </c>
      <c r="AG65" s="2">
        <v>0</v>
      </c>
      <c r="AH65" s="2">
        <v>0</v>
      </c>
      <c r="AI65" s="2">
        <v>0</v>
      </c>
      <c r="AJ65" s="2">
        <v>0</v>
      </c>
      <c r="AK65" s="2">
        <v>0</v>
      </c>
      <c r="AL65" s="2">
        <v>0</v>
      </c>
      <c r="AM65" s="2">
        <v>32.32</v>
      </c>
      <c r="AN65" s="2">
        <v>32.32</v>
      </c>
      <c r="AO65" s="2">
        <v>0</v>
      </c>
      <c r="AP65" s="2">
        <v>0</v>
      </c>
      <c r="AQ65" s="2">
        <v>0</v>
      </c>
    </row>
    <row r="66" spans="1:43" x14ac:dyDescent="0.25">
      <c r="A66" s="1">
        <v>45936</v>
      </c>
      <c r="B66" t="s">
        <v>48</v>
      </c>
      <c r="C66">
        <v>649163</v>
      </c>
      <c r="D66">
        <v>2022351125</v>
      </c>
      <c r="E66" t="s">
        <v>477</v>
      </c>
      <c r="F66" t="s">
        <v>478</v>
      </c>
      <c r="G66" t="s">
        <v>51</v>
      </c>
      <c r="H66" t="s">
        <v>70</v>
      </c>
      <c r="I66" t="s">
        <v>467</v>
      </c>
      <c r="J66" t="s">
        <v>471</v>
      </c>
      <c r="K66">
        <v>649285</v>
      </c>
      <c r="L66" t="s">
        <v>479</v>
      </c>
      <c r="M66" t="s">
        <v>480</v>
      </c>
      <c r="N66" t="s">
        <v>57</v>
      </c>
      <c r="O66" s="1">
        <v>45383</v>
      </c>
      <c r="Q66" s="1">
        <v>45962</v>
      </c>
      <c r="R66" s="2">
        <v>162.96</v>
      </c>
      <c r="S66">
        <v>1</v>
      </c>
      <c r="T66" t="s">
        <v>58</v>
      </c>
      <c r="U66" t="s">
        <v>359</v>
      </c>
      <c r="V66" s="3">
        <v>0.04</v>
      </c>
      <c r="W66" s="2">
        <v>0</v>
      </c>
      <c r="X66">
        <v>0</v>
      </c>
      <c r="Y66" t="s">
        <v>214</v>
      </c>
      <c r="Z66" t="s">
        <v>360</v>
      </c>
      <c r="AA66">
        <v>0</v>
      </c>
      <c r="AB66" s="2">
        <v>0</v>
      </c>
      <c r="AC66" s="2">
        <v>0</v>
      </c>
      <c r="AD66" s="3">
        <v>0</v>
      </c>
      <c r="AE66" s="2">
        <v>0</v>
      </c>
      <c r="AF66" s="2">
        <v>0</v>
      </c>
      <c r="AG66" s="2">
        <v>0</v>
      </c>
      <c r="AH66" s="2">
        <v>0</v>
      </c>
      <c r="AI66" s="2">
        <v>0</v>
      </c>
      <c r="AJ66" s="2">
        <v>0</v>
      </c>
      <c r="AK66" s="2">
        <v>0</v>
      </c>
      <c r="AL66" s="2">
        <v>0</v>
      </c>
      <c r="AM66" s="2">
        <v>6.52</v>
      </c>
      <c r="AN66" s="2">
        <v>6.52</v>
      </c>
      <c r="AO66" s="2">
        <v>0</v>
      </c>
      <c r="AP66" s="2">
        <v>0</v>
      </c>
      <c r="AQ66" s="2">
        <v>0</v>
      </c>
    </row>
    <row r="67" spans="1:43" x14ac:dyDescent="0.25">
      <c r="A67" s="1">
        <v>45936</v>
      </c>
      <c r="B67" t="s">
        <v>48</v>
      </c>
      <c r="C67">
        <v>649163</v>
      </c>
      <c r="D67">
        <v>2022351125</v>
      </c>
      <c r="E67" t="s">
        <v>477</v>
      </c>
      <c r="F67" t="s">
        <v>478</v>
      </c>
      <c r="G67" t="s">
        <v>51</v>
      </c>
      <c r="H67" t="s">
        <v>70</v>
      </c>
      <c r="I67" t="s">
        <v>467</v>
      </c>
      <c r="J67" t="s">
        <v>471</v>
      </c>
      <c r="K67">
        <v>649285</v>
      </c>
      <c r="L67" t="s">
        <v>479</v>
      </c>
      <c r="M67" t="s">
        <v>480</v>
      </c>
      <c r="N67" t="s">
        <v>57</v>
      </c>
      <c r="O67" s="1">
        <v>45383</v>
      </c>
      <c r="Q67" s="1">
        <v>45992</v>
      </c>
      <c r="R67" s="2">
        <v>162.96</v>
      </c>
      <c r="S67">
        <v>1</v>
      </c>
      <c r="T67" t="s">
        <v>58</v>
      </c>
      <c r="U67" t="s">
        <v>359</v>
      </c>
      <c r="V67" s="3">
        <v>0.04</v>
      </c>
      <c r="W67" s="2">
        <v>0</v>
      </c>
      <c r="X67">
        <v>0</v>
      </c>
      <c r="Y67" t="s">
        <v>214</v>
      </c>
      <c r="Z67" t="s">
        <v>360</v>
      </c>
      <c r="AA67">
        <v>0</v>
      </c>
      <c r="AB67" s="2">
        <v>0</v>
      </c>
      <c r="AC67" s="2">
        <v>0</v>
      </c>
      <c r="AD67" s="3">
        <v>0</v>
      </c>
      <c r="AE67" s="2">
        <v>0</v>
      </c>
      <c r="AF67" s="2">
        <v>0</v>
      </c>
      <c r="AG67" s="2">
        <v>0</v>
      </c>
      <c r="AH67" s="2">
        <v>0</v>
      </c>
      <c r="AI67" s="2">
        <v>0</v>
      </c>
      <c r="AJ67" s="2">
        <v>0</v>
      </c>
      <c r="AK67" s="2">
        <v>0</v>
      </c>
      <c r="AL67" s="2">
        <v>0</v>
      </c>
      <c r="AM67" s="2">
        <v>6.52</v>
      </c>
      <c r="AN67" s="2">
        <v>6.52</v>
      </c>
      <c r="AO67" s="2">
        <v>0</v>
      </c>
      <c r="AP67" s="2">
        <v>0</v>
      </c>
      <c r="AQ67" s="2">
        <v>0</v>
      </c>
    </row>
    <row r="68" spans="1:43" x14ac:dyDescent="0.25">
      <c r="A68" s="1">
        <v>45936</v>
      </c>
      <c r="B68" t="s">
        <v>48</v>
      </c>
      <c r="C68">
        <v>649163</v>
      </c>
      <c r="D68">
        <v>2022351125</v>
      </c>
      <c r="E68" t="s">
        <v>477</v>
      </c>
      <c r="F68" t="s">
        <v>478</v>
      </c>
      <c r="G68" t="s">
        <v>51</v>
      </c>
      <c r="H68" t="s">
        <v>70</v>
      </c>
      <c r="I68" t="s">
        <v>467</v>
      </c>
      <c r="J68" t="s">
        <v>471</v>
      </c>
      <c r="K68">
        <v>649285</v>
      </c>
      <c r="L68" t="s">
        <v>479</v>
      </c>
      <c r="M68" t="s">
        <v>480</v>
      </c>
      <c r="N68" t="s">
        <v>57</v>
      </c>
      <c r="O68" s="1">
        <v>45383</v>
      </c>
      <c r="Q68" s="1">
        <v>46023</v>
      </c>
      <c r="R68" s="2">
        <v>162.96</v>
      </c>
      <c r="S68">
        <v>1</v>
      </c>
      <c r="T68" t="s">
        <v>58</v>
      </c>
      <c r="U68" t="s">
        <v>359</v>
      </c>
      <c r="V68" s="3">
        <v>0.04</v>
      </c>
      <c r="W68" s="2">
        <v>0</v>
      </c>
      <c r="X68">
        <v>0</v>
      </c>
      <c r="Y68" t="s">
        <v>214</v>
      </c>
      <c r="Z68" t="s">
        <v>360</v>
      </c>
      <c r="AA68">
        <v>0</v>
      </c>
      <c r="AB68" s="2">
        <v>0</v>
      </c>
      <c r="AC68" s="2">
        <v>0</v>
      </c>
      <c r="AD68" s="3">
        <v>0</v>
      </c>
      <c r="AE68" s="2">
        <v>0</v>
      </c>
      <c r="AF68" s="2">
        <v>0</v>
      </c>
      <c r="AG68" s="2">
        <v>0</v>
      </c>
      <c r="AH68" s="2">
        <v>0</v>
      </c>
      <c r="AI68" s="2">
        <v>0</v>
      </c>
      <c r="AJ68" s="2">
        <v>0</v>
      </c>
      <c r="AK68" s="2">
        <v>0</v>
      </c>
      <c r="AL68" s="2">
        <v>0</v>
      </c>
      <c r="AM68" s="2">
        <v>6.52</v>
      </c>
      <c r="AN68" s="2">
        <v>6.52</v>
      </c>
      <c r="AO68" s="2">
        <v>0</v>
      </c>
      <c r="AP68" s="2">
        <v>0</v>
      </c>
      <c r="AQ68" s="2">
        <v>0</v>
      </c>
    </row>
    <row r="69" spans="1:43" x14ac:dyDescent="0.25">
      <c r="A69" s="1">
        <v>45936</v>
      </c>
      <c r="B69" t="s">
        <v>48</v>
      </c>
      <c r="C69">
        <v>649163</v>
      </c>
      <c r="D69">
        <v>2022484796</v>
      </c>
      <c r="E69" t="s">
        <v>481</v>
      </c>
      <c r="F69" t="s">
        <v>482</v>
      </c>
      <c r="G69" t="s">
        <v>51</v>
      </c>
      <c r="H69" t="s">
        <v>70</v>
      </c>
      <c r="I69" t="s">
        <v>467</v>
      </c>
      <c r="J69" t="s">
        <v>471</v>
      </c>
      <c r="K69">
        <v>650218</v>
      </c>
      <c r="L69" t="s">
        <v>237</v>
      </c>
      <c r="M69" t="s">
        <v>238</v>
      </c>
      <c r="N69" t="s">
        <v>57</v>
      </c>
      <c r="O69" s="1">
        <v>45383</v>
      </c>
      <c r="Q69" s="1">
        <v>45962</v>
      </c>
      <c r="R69" s="2">
        <v>131.93</v>
      </c>
      <c r="S69">
        <v>1</v>
      </c>
      <c r="T69" t="s">
        <v>58</v>
      </c>
      <c r="U69" t="s">
        <v>359</v>
      </c>
      <c r="V69" s="3">
        <v>0.26</v>
      </c>
      <c r="W69" s="2">
        <v>0</v>
      </c>
      <c r="X69">
        <v>0</v>
      </c>
      <c r="Y69" t="s">
        <v>214</v>
      </c>
      <c r="Z69" t="s">
        <v>360</v>
      </c>
      <c r="AA69">
        <v>0</v>
      </c>
      <c r="AB69" s="2">
        <v>0</v>
      </c>
      <c r="AC69" s="2">
        <v>0</v>
      </c>
      <c r="AD69" s="3">
        <v>0</v>
      </c>
      <c r="AE69" s="2">
        <v>0</v>
      </c>
      <c r="AF69" s="2">
        <v>0</v>
      </c>
      <c r="AG69" s="2">
        <v>0</v>
      </c>
      <c r="AH69" s="2">
        <v>0</v>
      </c>
      <c r="AI69" s="2">
        <v>0</v>
      </c>
      <c r="AJ69" s="2">
        <v>0</v>
      </c>
      <c r="AK69" s="2">
        <v>0</v>
      </c>
      <c r="AL69" s="2">
        <v>0</v>
      </c>
      <c r="AM69" s="2">
        <v>34.299999999999997</v>
      </c>
      <c r="AN69" s="2">
        <v>34.299999999999997</v>
      </c>
      <c r="AO69" s="2">
        <v>0</v>
      </c>
      <c r="AP69" s="2">
        <v>0</v>
      </c>
      <c r="AQ69" s="2">
        <v>0</v>
      </c>
    </row>
    <row r="70" spans="1:43" x14ac:dyDescent="0.25">
      <c r="A70" s="1">
        <v>45936</v>
      </c>
      <c r="B70" t="s">
        <v>48</v>
      </c>
      <c r="C70">
        <v>649163</v>
      </c>
      <c r="D70">
        <v>2022779367</v>
      </c>
      <c r="E70" t="s">
        <v>483</v>
      </c>
      <c r="F70" t="s">
        <v>401</v>
      </c>
      <c r="G70" t="s">
        <v>51</v>
      </c>
      <c r="H70" t="s">
        <v>70</v>
      </c>
      <c r="I70" t="s">
        <v>467</v>
      </c>
      <c r="J70" t="s">
        <v>484</v>
      </c>
      <c r="K70">
        <v>650218</v>
      </c>
      <c r="L70" t="s">
        <v>237</v>
      </c>
      <c r="M70" t="s">
        <v>238</v>
      </c>
      <c r="N70" t="s">
        <v>57</v>
      </c>
      <c r="O70" s="1">
        <v>45474</v>
      </c>
      <c r="Q70" s="1">
        <v>45962</v>
      </c>
      <c r="R70" s="2">
        <v>131.93</v>
      </c>
      <c r="S70">
        <v>1</v>
      </c>
      <c r="T70" t="s">
        <v>58</v>
      </c>
      <c r="U70" t="s">
        <v>359</v>
      </c>
      <c r="V70" s="4">
        <v>1.4999999999999999E-2</v>
      </c>
      <c r="W70" s="2">
        <v>0</v>
      </c>
      <c r="X70">
        <v>0</v>
      </c>
      <c r="Y70" t="s">
        <v>214</v>
      </c>
      <c r="Z70" t="s">
        <v>360</v>
      </c>
      <c r="AA70">
        <v>0</v>
      </c>
      <c r="AB70" s="2">
        <v>0</v>
      </c>
      <c r="AC70" s="2">
        <v>0</v>
      </c>
      <c r="AD70" s="3">
        <v>0</v>
      </c>
      <c r="AE70" s="2">
        <v>0</v>
      </c>
      <c r="AF70" s="2">
        <v>0</v>
      </c>
      <c r="AG70" s="2">
        <v>0</v>
      </c>
      <c r="AH70" s="2">
        <v>0</v>
      </c>
      <c r="AI70" s="2">
        <v>0</v>
      </c>
      <c r="AJ70" s="2">
        <v>0</v>
      </c>
      <c r="AK70" s="2">
        <v>0</v>
      </c>
      <c r="AL70" s="2">
        <v>0</v>
      </c>
      <c r="AM70" s="2">
        <v>1.98</v>
      </c>
      <c r="AN70" s="2">
        <v>1.98</v>
      </c>
      <c r="AO70" s="2">
        <v>0</v>
      </c>
      <c r="AP70" s="2">
        <v>0</v>
      </c>
      <c r="AQ70" s="2">
        <v>0</v>
      </c>
    </row>
    <row r="71" spans="1:43" x14ac:dyDescent="0.25">
      <c r="A71" s="1">
        <v>45936</v>
      </c>
      <c r="B71" t="s">
        <v>48</v>
      </c>
      <c r="C71">
        <v>649163</v>
      </c>
      <c r="D71">
        <v>2022892790</v>
      </c>
      <c r="E71" t="s">
        <v>485</v>
      </c>
      <c r="F71" t="s">
        <v>284</v>
      </c>
      <c r="G71" t="s">
        <v>51</v>
      </c>
      <c r="H71" t="s">
        <v>70</v>
      </c>
      <c r="I71" t="s">
        <v>467</v>
      </c>
      <c r="J71" t="s">
        <v>471</v>
      </c>
      <c r="K71">
        <v>649285</v>
      </c>
      <c r="L71" t="s">
        <v>479</v>
      </c>
      <c r="M71" t="s">
        <v>480</v>
      </c>
      <c r="N71" t="s">
        <v>57</v>
      </c>
      <c r="O71" s="1">
        <v>45413</v>
      </c>
      <c r="Q71" s="1">
        <v>45962</v>
      </c>
      <c r="R71" s="2">
        <v>127.68</v>
      </c>
      <c r="S71">
        <v>1</v>
      </c>
      <c r="T71" t="s">
        <v>58</v>
      </c>
      <c r="U71" t="s">
        <v>359</v>
      </c>
      <c r="V71" s="3">
        <v>0.04</v>
      </c>
      <c r="W71" s="2">
        <v>0</v>
      </c>
      <c r="X71">
        <v>0</v>
      </c>
      <c r="Y71" t="s">
        <v>214</v>
      </c>
      <c r="Z71" t="s">
        <v>360</v>
      </c>
      <c r="AA71">
        <v>0</v>
      </c>
      <c r="AB71" s="2">
        <v>0</v>
      </c>
      <c r="AC71" s="2">
        <v>0</v>
      </c>
      <c r="AD71" s="3">
        <v>0</v>
      </c>
      <c r="AE71" s="2">
        <v>0</v>
      </c>
      <c r="AF71" s="2">
        <v>0</v>
      </c>
      <c r="AG71" s="2">
        <v>0</v>
      </c>
      <c r="AH71" s="2">
        <v>0</v>
      </c>
      <c r="AI71" s="2">
        <v>0</v>
      </c>
      <c r="AJ71" s="2">
        <v>0</v>
      </c>
      <c r="AK71" s="2">
        <v>0</v>
      </c>
      <c r="AL71" s="2">
        <v>0</v>
      </c>
      <c r="AM71" s="2">
        <v>5.1100000000000003</v>
      </c>
      <c r="AN71" s="2">
        <v>5.1100000000000003</v>
      </c>
      <c r="AO71" s="2">
        <v>0</v>
      </c>
      <c r="AP71" s="2">
        <v>0</v>
      </c>
      <c r="AQ71" s="2">
        <v>0</v>
      </c>
    </row>
    <row r="72" spans="1:43" x14ac:dyDescent="0.25">
      <c r="A72" s="1">
        <v>45936</v>
      </c>
      <c r="B72" t="s">
        <v>48</v>
      </c>
      <c r="C72">
        <v>649163</v>
      </c>
      <c r="D72">
        <v>2022892794</v>
      </c>
      <c r="E72" t="s">
        <v>485</v>
      </c>
      <c r="F72" t="s">
        <v>486</v>
      </c>
      <c r="G72" t="s">
        <v>51</v>
      </c>
      <c r="H72" t="s">
        <v>70</v>
      </c>
      <c r="I72" t="s">
        <v>467</v>
      </c>
      <c r="J72" t="s">
        <v>471</v>
      </c>
      <c r="K72">
        <v>649285</v>
      </c>
      <c r="L72" t="s">
        <v>479</v>
      </c>
      <c r="M72" t="s">
        <v>480</v>
      </c>
      <c r="N72" t="s">
        <v>57</v>
      </c>
      <c r="O72" s="1">
        <v>45413</v>
      </c>
      <c r="Q72" s="1">
        <v>45962</v>
      </c>
      <c r="R72" s="2">
        <v>113.02</v>
      </c>
      <c r="S72">
        <v>1</v>
      </c>
      <c r="T72" t="s">
        <v>58</v>
      </c>
      <c r="U72" t="s">
        <v>359</v>
      </c>
      <c r="V72" s="3">
        <v>0.04</v>
      </c>
      <c r="W72" s="2">
        <v>0</v>
      </c>
      <c r="X72">
        <v>0</v>
      </c>
      <c r="Y72" t="s">
        <v>214</v>
      </c>
      <c r="Z72" t="s">
        <v>360</v>
      </c>
      <c r="AA72">
        <v>0</v>
      </c>
      <c r="AB72" s="2">
        <v>0</v>
      </c>
      <c r="AC72" s="2">
        <v>0</v>
      </c>
      <c r="AD72" s="3">
        <v>0</v>
      </c>
      <c r="AE72" s="2">
        <v>0</v>
      </c>
      <c r="AF72" s="2">
        <v>0</v>
      </c>
      <c r="AG72" s="2">
        <v>0</v>
      </c>
      <c r="AH72" s="2">
        <v>0</v>
      </c>
      <c r="AI72" s="2">
        <v>0</v>
      </c>
      <c r="AJ72" s="2">
        <v>0</v>
      </c>
      <c r="AK72" s="2">
        <v>0</v>
      </c>
      <c r="AL72" s="2">
        <v>0</v>
      </c>
      <c r="AM72" s="2">
        <v>4.5199999999999996</v>
      </c>
      <c r="AN72" s="2">
        <v>4.5199999999999996</v>
      </c>
      <c r="AO72" s="2">
        <v>0</v>
      </c>
      <c r="AP72" s="2">
        <v>0</v>
      </c>
      <c r="AQ72" s="2">
        <v>0</v>
      </c>
    </row>
    <row r="73" spans="1:43" x14ac:dyDescent="0.25">
      <c r="A73" s="1">
        <v>45936</v>
      </c>
      <c r="B73" t="s">
        <v>48</v>
      </c>
      <c r="C73">
        <v>649163</v>
      </c>
      <c r="D73">
        <v>2023921112</v>
      </c>
      <c r="E73" t="s">
        <v>487</v>
      </c>
      <c r="F73" t="s">
        <v>488</v>
      </c>
      <c r="G73" t="s">
        <v>51</v>
      </c>
      <c r="H73" t="s">
        <v>101</v>
      </c>
      <c r="I73" t="s">
        <v>467</v>
      </c>
      <c r="J73" t="s">
        <v>489</v>
      </c>
      <c r="K73">
        <v>768887</v>
      </c>
      <c r="L73" t="s">
        <v>490</v>
      </c>
      <c r="M73" t="s">
        <v>491</v>
      </c>
      <c r="N73" t="s">
        <v>57</v>
      </c>
      <c r="O73" s="1">
        <v>45505</v>
      </c>
      <c r="Q73" s="1">
        <v>45962</v>
      </c>
      <c r="R73" s="2">
        <v>218.74</v>
      </c>
      <c r="S73">
        <v>1</v>
      </c>
      <c r="T73" t="s">
        <v>58</v>
      </c>
      <c r="U73" t="s">
        <v>359</v>
      </c>
      <c r="V73" s="3">
        <v>0.13</v>
      </c>
      <c r="W73" s="2">
        <v>0</v>
      </c>
      <c r="X73">
        <v>0</v>
      </c>
      <c r="Y73" t="s">
        <v>214</v>
      </c>
      <c r="Z73" t="s">
        <v>360</v>
      </c>
      <c r="AA73">
        <v>0</v>
      </c>
      <c r="AB73" s="2">
        <v>0</v>
      </c>
      <c r="AC73" s="2">
        <v>0</v>
      </c>
      <c r="AD73" s="3">
        <v>0</v>
      </c>
      <c r="AE73" s="2">
        <v>0</v>
      </c>
      <c r="AF73" s="2">
        <v>0</v>
      </c>
      <c r="AG73" s="2">
        <v>0</v>
      </c>
      <c r="AH73" s="2">
        <v>0</v>
      </c>
      <c r="AI73" s="2">
        <v>0</v>
      </c>
      <c r="AJ73" s="2">
        <v>0</v>
      </c>
      <c r="AK73" s="2">
        <v>0</v>
      </c>
      <c r="AL73" s="2">
        <v>0</v>
      </c>
      <c r="AM73" s="2">
        <v>28.44</v>
      </c>
      <c r="AN73" s="2">
        <v>28.44</v>
      </c>
      <c r="AO73" s="2">
        <v>0</v>
      </c>
      <c r="AP73" s="2">
        <v>0</v>
      </c>
      <c r="AQ73" s="2">
        <v>0</v>
      </c>
    </row>
    <row r="74" spans="1:43" x14ac:dyDescent="0.25">
      <c r="A74" s="1">
        <v>45936</v>
      </c>
      <c r="B74" t="s">
        <v>48</v>
      </c>
      <c r="C74">
        <v>649163</v>
      </c>
      <c r="D74">
        <v>2023981104</v>
      </c>
      <c r="E74" t="s">
        <v>492</v>
      </c>
      <c r="F74" t="s">
        <v>238</v>
      </c>
      <c r="G74" t="s">
        <v>51</v>
      </c>
      <c r="H74" t="s">
        <v>101</v>
      </c>
      <c r="I74" t="s">
        <v>467</v>
      </c>
      <c r="J74" t="s">
        <v>493</v>
      </c>
      <c r="K74">
        <v>768887</v>
      </c>
      <c r="L74" t="s">
        <v>490</v>
      </c>
      <c r="M74" t="s">
        <v>491</v>
      </c>
      <c r="N74" t="s">
        <v>57</v>
      </c>
      <c r="O74" s="1">
        <v>45505</v>
      </c>
      <c r="Q74" s="1">
        <v>45962</v>
      </c>
      <c r="R74" s="2">
        <v>132.85</v>
      </c>
      <c r="S74">
        <v>1</v>
      </c>
      <c r="T74" t="s">
        <v>58</v>
      </c>
      <c r="U74" t="s">
        <v>359</v>
      </c>
      <c r="V74" s="3">
        <v>0.26</v>
      </c>
      <c r="W74" s="2">
        <v>0</v>
      </c>
      <c r="X74">
        <v>0</v>
      </c>
      <c r="Y74" t="s">
        <v>214</v>
      </c>
      <c r="Z74" t="s">
        <v>360</v>
      </c>
      <c r="AA74">
        <v>0</v>
      </c>
      <c r="AB74" s="2">
        <v>0</v>
      </c>
      <c r="AC74" s="2">
        <v>0</v>
      </c>
      <c r="AD74" s="3">
        <v>0</v>
      </c>
      <c r="AE74" s="2">
        <v>0</v>
      </c>
      <c r="AF74" s="2">
        <v>0</v>
      </c>
      <c r="AG74" s="2">
        <v>0</v>
      </c>
      <c r="AH74" s="2">
        <v>0</v>
      </c>
      <c r="AI74" s="2">
        <v>0</v>
      </c>
      <c r="AJ74" s="2">
        <v>0</v>
      </c>
      <c r="AK74" s="2">
        <v>0</v>
      </c>
      <c r="AL74" s="2">
        <v>0</v>
      </c>
      <c r="AM74" s="2">
        <v>34.54</v>
      </c>
      <c r="AN74" s="2">
        <v>34.54</v>
      </c>
      <c r="AO74" s="2">
        <v>0</v>
      </c>
      <c r="AP74" s="2">
        <v>0</v>
      </c>
      <c r="AQ74" s="2">
        <v>0</v>
      </c>
    </row>
    <row r="75" spans="1:43" x14ac:dyDescent="0.25">
      <c r="A75" s="1">
        <v>45936</v>
      </c>
      <c r="B75" t="s">
        <v>48</v>
      </c>
      <c r="C75">
        <v>649163</v>
      </c>
      <c r="D75">
        <v>2025118592</v>
      </c>
      <c r="E75" t="s">
        <v>494</v>
      </c>
      <c r="F75" t="s">
        <v>495</v>
      </c>
      <c r="G75" t="s">
        <v>51</v>
      </c>
      <c r="H75" t="s">
        <v>328</v>
      </c>
      <c r="I75" t="s">
        <v>467</v>
      </c>
      <c r="J75" t="s">
        <v>471</v>
      </c>
      <c r="K75">
        <v>650218</v>
      </c>
      <c r="L75" t="s">
        <v>237</v>
      </c>
      <c r="M75" t="s">
        <v>238</v>
      </c>
      <c r="N75" t="s">
        <v>57</v>
      </c>
      <c r="O75" s="1">
        <v>45597</v>
      </c>
      <c r="Q75" s="1">
        <v>45962</v>
      </c>
      <c r="R75" s="2">
        <v>102.08</v>
      </c>
      <c r="S75">
        <v>1</v>
      </c>
      <c r="T75" t="s">
        <v>58</v>
      </c>
      <c r="U75" t="s">
        <v>359</v>
      </c>
      <c r="V75" s="3">
        <v>0.26</v>
      </c>
      <c r="W75" s="2">
        <v>0</v>
      </c>
      <c r="X75">
        <v>0</v>
      </c>
      <c r="Y75" t="s">
        <v>60</v>
      </c>
      <c r="Z75" t="s">
        <v>360</v>
      </c>
      <c r="AA75">
        <v>0</v>
      </c>
      <c r="AB75" s="2">
        <v>0</v>
      </c>
      <c r="AC75" s="2">
        <v>0</v>
      </c>
      <c r="AD75" s="3">
        <v>0</v>
      </c>
      <c r="AE75" s="2">
        <v>0</v>
      </c>
      <c r="AF75" s="2">
        <v>0</v>
      </c>
      <c r="AG75" s="2">
        <v>0</v>
      </c>
      <c r="AH75" s="2">
        <v>0</v>
      </c>
      <c r="AI75" s="2">
        <v>0</v>
      </c>
      <c r="AJ75" s="2">
        <v>0</v>
      </c>
      <c r="AK75" s="2">
        <v>0</v>
      </c>
      <c r="AL75" s="2">
        <v>0</v>
      </c>
      <c r="AM75" s="2">
        <v>26.54</v>
      </c>
      <c r="AN75" s="2">
        <v>26.54</v>
      </c>
      <c r="AO75" s="2">
        <v>0</v>
      </c>
      <c r="AP75" s="2">
        <v>0</v>
      </c>
      <c r="AQ75" s="2">
        <v>0</v>
      </c>
    </row>
    <row r="76" spans="1:43" x14ac:dyDescent="0.25">
      <c r="A76" s="1">
        <v>45936</v>
      </c>
      <c r="B76" t="s">
        <v>48</v>
      </c>
      <c r="C76">
        <v>649163</v>
      </c>
      <c r="D76">
        <v>2025878148</v>
      </c>
      <c r="E76" t="s">
        <v>496</v>
      </c>
      <c r="F76" t="s">
        <v>224</v>
      </c>
      <c r="G76" t="s">
        <v>51</v>
      </c>
      <c r="H76" t="s">
        <v>70</v>
      </c>
      <c r="I76" t="s">
        <v>467</v>
      </c>
      <c r="J76" t="s">
        <v>497</v>
      </c>
      <c r="K76">
        <v>649910</v>
      </c>
      <c r="L76" t="s">
        <v>498</v>
      </c>
      <c r="M76" t="s">
        <v>499</v>
      </c>
      <c r="N76" t="s">
        <v>57</v>
      </c>
      <c r="O76" s="1">
        <v>45658</v>
      </c>
      <c r="Q76" s="1">
        <v>45962</v>
      </c>
      <c r="R76" s="2">
        <v>160.32</v>
      </c>
      <c r="S76">
        <v>1</v>
      </c>
      <c r="T76" t="s">
        <v>58</v>
      </c>
      <c r="U76" t="s">
        <v>359</v>
      </c>
      <c r="V76" s="3">
        <v>0.04</v>
      </c>
      <c r="W76" s="2">
        <v>0</v>
      </c>
      <c r="X76">
        <v>0</v>
      </c>
      <c r="Y76" t="s">
        <v>60</v>
      </c>
      <c r="Z76" t="s">
        <v>360</v>
      </c>
      <c r="AA76">
        <v>0</v>
      </c>
      <c r="AB76" s="2">
        <v>0</v>
      </c>
      <c r="AC76" s="2">
        <v>0</v>
      </c>
      <c r="AD76" s="3">
        <v>0</v>
      </c>
      <c r="AE76" s="2">
        <v>0</v>
      </c>
      <c r="AF76" s="2">
        <v>0</v>
      </c>
      <c r="AG76" s="2">
        <v>0</v>
      </c>
      <c r="AH76" s="2">
        <v>0</v>
      </c>
      <c r="AI76" s="2">
        <v>0</v>
      </c>
      <c r="AJ76" s="2">
        <v>0</v>
      </c>
      <c r="AK76" s="2">
        <v>0</v>
      </c>
      <c r="AL76" s="2">
        <v>0</v>
      </c>
      <c r="AM76" s="2">
        <v>6.41</v>
      </c>
      <c r="AN76" s="2">
        <v>6.41</v>
      </c>
      <c r="AO76" s="2">
        <v>0</v>
      </c>
      <c r="AP76" s="2">
        <v>0</v>
      </c>
      <c r="AQ76" s="2">
        <v>0</v>
      </c>
    </row>
    <row r="77" spans="1:43" x14ac:dyDescent="0.25">
      <c r="A77" s="1">
        <v>45936</v>
      </c>
      <c r="B77" t="s">
        <v>48</v>
      </c>
      <c r="C77">
        <v>649163</v>
      </c>
      <c r="D77">
        <v>2025892048</v>
      </c>
      <c r="E77" t="s">
        <v>368</v>
      </c>
      <c r="F77" t="s">
        <v>500</v>
      </c>
      <c r="G77" t="s">
        <v>51</v>
      </c>
      <c r="H77" t="s">
        <v>70</v>
      </c>
      <c r="I77" t="s">
        <v>467</v>
      </c>
      <c r="J77" t="s">
        <v>501</v>
      </c>
      <c r="K77">
        <v>650218</v>
      </c>
      <c r="L77" t="s">
        <v>237</v>
      </c>
      <c r="M77" t="s">
        <v>238</v>
      </c>
      <c r="N77" t="s">
        <v>57</v>
      </c>
      <c r="O77" s="1">
        <v>45658</v>
      </c>
      <c r="Q77" s="1">
        <v>45962</v>
      </c>
      <c r="R77" s="2">
        <v>214.75</v>
      </c>
      <c r="S77">
        <v>1</v>
      </c>
      <c r="T77" t="s">
        <v>58</v>
      </c>
      <c r="U77" t="s">
        <v>359</v>
      </c>
      <c r="V77" s="3">
        <v>0.13</v>
      </c>
      <c r="W77" s="2">
        <v>0</v>
      </c>
      <c r="X77">
        <v>0</v>
      </c>
      <c r="Y77" t="s">
        <v>60</v>
      </c>
      <c r="Z77" t="s">
        <v>360</v>
      </c>
      <c r="AA77">
        <v>0</v>
      </c>
      <c r="AB77" s="2">
        <v>0</v>
      </c>
      <c r="AC77" s="2">
        <v>0</v>
      </c>
      <c r="AD77" s="3">
        <v>0</v>
      </c>
      <c r="AE77" s="2">
        <v>0</v>
      </c>
      <c r="AF77" s="2">
        <v>0</v>
      </c>
      <c r="AG77" s="2">
        <v>0</v>
      </c>
      <c r="AH77" s="2">
        <v>0</v>
      </c>
      <c r="AI77" s="2">
        <v>0</v>
      </c>
      <c r="AJ77" s="2">
        <v>0</v>
      </c>
      <c r="AK77" s="2">
        <v>0</v>
      </c>
      <c r="AL77" s="2">
        <v>0</v>
      </c>
      <c r="AM77" s="2">
        <v>27.92</v>
      </c>
      <c r="AN77" s="2">
        <v>27.92</v>
      </c>
      <c r="AO77" s="2">
        <v>0</v>
      </c>
      <c r="AP77" s="2">
        <v>0</v>
      </c>
      <c r="AQ77" s="2">
        <v>0</v>
      </c>
    </row>
    <row r="78" spans="1:43" x14ac:dyDescent="0.25">
      <c r="A78" s="1">
        <v>45936</v>
      </c>
      <c r="B78" t="s">
        <v>48</v>
      </c>
      <c r="C78">
        <v>649163</v>
      </c>
      <c r="D78">
        <v>2026055288</v>
      </c>
      <c r="E78" t="s">
        <v>502</v>
      </c>
      <c r="F78" t="s">
        <v>165</v>
      </c>
      <c r="G78" t="s">
        <v>51</v>
      </c>
      <c r="H78" t="s">
        <v>70</v>
      </c>
      <c r="I78" t="s">
        <v>467</v>
      </c>
      <c r="J78" t="s">
        <v>497</v>
      </c>
      <c r="K78">
        <v>650218</v>
      </c>
      <c r="L78" t="s">
        <v>237</v>
      </c>
      <c r="M78" t="s">
        <v>238</v>
      </c>
      <c r="N78" t="s">
        <v>57</v>
      </c>
      <c r="O78" s="1">
        <v>45658</v>
      </c>
      <c r="Q78" s="1">
        <v>45962</v>
      </c>
      <c r="R78" s="2">
        <v>110.69</v>
      </c>
      <c r="S78">
        <v>1</v>
      </c>
      <c r="T78" t="s">
        <v>58</v>
      </c>
      <c r="U78" t="s">
        <v>359</v>
      </c>
      <c r="V78" s="3">
        <v>0.28000000000000003</v>
      </c>
      <c r="W78" s="2">
        <v>0</v>
      </c>
      <c r="X78">
        <v>0</v>
      </c>
      <c r="Y78" t="s">
        <v>60</v>
      </c>
      <c r="Z78" t="s">
        <v>360</v>
      </c>
      <c r="AA78">
        <v>0</v>
      </c>
      <c r="AB78" s="2">
        <v>0</v>
      </c>
      <c r="AC78" s="2">
        <v>0</v>
      </c>
      <c r="AD78" s="3">
        <v>0</v>
      </c>
      <c r="AE78" s="2">
        <v>0</v>
      </c>
      <c r="AF78" s="2">
        <v>0</v>
      </c>
      <c r="AG78" s="2">
        <v>0</v>
      </c>
      <c r="AH78" s="2">
        <v>0</v>
      </c>
      <c r="AI78" s="2">
        <v>0</v>
      </c>
      <c r="AJ78" s="2">
        <v>0</v>
      </c>
      <c r="AK78" s="2">
        <v>0</v>
      </c>
      <c r="AL78" s="2">
        <v>0</v>
      </c>
      <c r="AM78" s="2">
        <v>30.99</v>
      </c>
      <c r="AN78" s="2">
        <v>30.99</v>
      </c>
      <c r="AO78" s="2">
        <v>0</v>
      </c>
      <c r="AP78" s="2">
        <v>0</v>
      </c>
      <c r="AQ78" s="2">
        <v>0</v>
      </c>
    </row>
    <row r="79" spans="1:43" x14ac:dyDescent="0.25">
      <c r="A79" s="1">
        <v>45936</v>
      </c>
      <c r="B79" t="s">
        <v>48</v>
      </c>
      <c r="C79">
        <v>649163</v>
      </c>
      <c r="D79">
        <v>2026055881</v>
      </c>
      <c r="E79" t="s">
        <v>502</v>
      </c>
      <c r="F79" t="s">
        <v>503</v>
      </c>
      <c r="G79" t="s">
        <v>51</v>
      </c>
      <c r="H79" t="s">
        <v>70</v>
      </c>
      <c r="I79" t="s">
        <v>467</v>
      </c>
      <c r="J79" t="s">
        <v>471</v>
      </c>
      <c r="K79">
        <v>650218</v>
      </c>
      <c r="L79" t="s">
        <v>237</v>
      </c>
      <c r="M79" t="s">
        <v>238</v>
      </c>
      <c r="N79" t="s">
        <v>57</v>
      </c>
      <c r="O79" s="1">
        <v>45658</v>
      </c>
      <c r="Q79" s="1">
        <v>45962</v>
      </c>
      <c r="R79" s="2">
        <v>126.58</v>
      </c>
      <c r="S79">
        <v>1</v>
      </c>
      <c r="T79" t="s">
        <v>58</v>
      </c>
      <c r="U79" t="s">
        <v>359</v>
      </c>
      <c r="V79" s="3">
        <v>0.26</v>
      </c>
      <c r="W79" s="2">
        <v>0</v>
      </c>
      <c r="X79">
        <v>0</v>
      </c>
      <c r="Y79" t="s">
        <v>60</v>
      </c>
      <c r="Z79" t="s">
        <v>360</v>
      </c>
      <c r="AA79">
        <v>0</v>
      </c>
      <c r="AB79" s="2">
        <v>0</v>
      </c>
      <c r="AC79" s="2">
        <v>0</v>
      </c>
      <c r="AD79" s="3">
        <v>0</v>
      </c>
      <c r="AE79" s="2">
        <v>0</v>
      </c>
      <c r="AF79" s="2">
        <v>0</v>
      </c>
      <c r="AG79" s="2">
        <v>0</v>
      </c>
      <c r="AH79" s="2">
        <v>0</v>
      </c>
      <c r="AI79" s="2">
        <v>0</v>
      </c>
      <c r="AJ79" s="2">
        <v>0</v>
      </c>
      <c r="AK79" s="2">
        <v>0</v>
      </c>
      <c r="AL79" s="2">
        <v>0</v>
      </c>
      <c r="AM79" s="2">
        <v>32.909999999999997</v>
      </c>
      <c r="AN79" s="2">
        <v>32.909999999999997</v>
      </c>
      <c r="AO79" s="2">
        <v>0</v>
      </c>
      <c r="AP79" s="2">
        <v>0</v>
      </c>
      <c r="AQ79" s="2">
        <v>0</v>
      </c>
    </row>
    <row r="80" spans="1:43" x14ac:dyDescent="0.25">
      <c r="A80" s="1">
        <v>45936</v>
      </c>
      <c r="B80" t="s">
        <v>48</v>
      </c>
      <c r="C80">
        <v>649163</v>
      </c>
      <c r="D80">
        <v>2026080915</v>
      </c>
      <c r="E80" t="s">
        <v>504</v>
      </c>
      <c r="F80" t="s">
        <v>224</v>
      </c>
      <c r="G80" t="s">
        <v>51</v>
      </c>
      <c r="H80" t="s">
        <v>88</v>
      </c>
      <c r="I80" t="s">
        <v>467</v>
      </c>
      <c r="J80" t="s">
        <v>505</v>
      </c>
      <c r="K80">
        <v>650218</v>
      </c>
      <c r="L80" t="s">
        <v>237</v>
      </c>
      <c r="M80" t="s">
        <v>238</v>
      </c>
      <c r="N80" t="s">
        <v>57</v>
      </c>
      <c r="O80" s="1">
        <v>45658</v>
      </c>
      <c r="Q80" s="1">
        <v>45962</v>
      </c>
      <c r="R80" s="2">
        <v>322.48</v>
      </c>
      <c r="S80">
        <v>1</v>
      </c>
      <c r="T80" t="s">
        <v>58</v>
      </c>
      <c r="U80" t="s">
        <v>359</v>
      </c>
      <c r="V80" s="3">
        <v>0.24</v>
      </c>
      <c r="W80" s="2">
        <v>0</v>
      </c>
      <c r="X80">
        <v>0</v>
      </c>
      <c r="Y80" t="s">
        <v>60</v>
      </c>
      <c r="Z80" t="s">
        <v>360</v>
      </c>
      <c r="AA80">
        <v>0</v>
      </c>
      <c r="AB80" s="2">
        <v>0</v>
      </c>
      <c r="AC80" s="2">
        <v>0</v>
      </c>
      <c r="AD80" s="3">
        <v>0</v>
      </c>
      <c r="AE80" s="2">
        <v>0</v>
      </c>
      <c r="AF80" s="2">
        <v>0</v>
      </c>
      <c r="AG80" s="2">
        <v>0</v>
      </c>
      <c r="AH80" s="2">
        <v>0</v>
      </c>
      <c r="AI80" s="2">
        <v>0</v>
      </c>
      <c r="AJ80" s="2">
        <v>0</v>
      </c>
      <c r="AK80" s="2">
        <v>0</v>
      </c>
      <c r="AL80" s="2">
        <v>0</v>
      </c>
      <c r="AM80" s="2">
        <v>77.400000000000006</v>
      </c>
      <c r="AN80" s="2">
        <v>77.400000000000006</v>
      </c>
      <c r="AO80" s="2">
        <v>0</v>
      </c>
      <c r="AP80" s="2">
        <v>0</v>
      </c>
      <c r="AQ80" s="2">
        <v>0</v>
      </c>
    </row>
    <row r="81" spans="1:43" x14ac:dyDescent="0.25">
      <c r="A81" s="1">
        <v>45936</v>
      </c>
      <c r="B81" t="s">
        <v>48</v>
      </c>
      <c r="C81">
        <v>649163</v>
      </c>
      <c r="D81">
        <v>2026492383</v>
      </c>
      <c r="E81" t="s">
        <v>506</v>
      </c>
      <c r="F81" t="s">
        <v>507</v>
      </c>
      <c r="G81" t="s">
        <v>51</v>
      </c>
      <c r="H81" t="s">
        <v>150</v>
      </c>
      <c r="I81" t="s">
        <v>467</v>
      </c>
      <c r="J81" t="s">
        <v>508</v>
      </c>
      <c r="K81">
        <v>757719</v>
      </c>
      <c r="L81" t="s">
        <v>509</v>
      </c>
      <c r="M81" t="s">
        <v>510</v>
      </c>
      <c r="N81" t="s">
        <v>57</v>
      </c>
      <c r="O81" s="1">
        <v>45665</v>
      </c>
      <c r="Q81" s="1">
        <v>45969</v>
      </c>
      <c r="R81" s="2">
        <v>105.97</v>
      </c>
      <c r="S81">
        <v>1</v>
      </c>
      <c r="T81" t="s">
        <v>58</v>
      </c>
      <c r="U81" t="s">
        <v>359</v>
      </c>
      <c r="V81" s="4">
        <v>0.255</v>
      </c>
      <c r="W81" s="2">
        <v>0</v>
      </c>
      <c r="X81">
        <v>0</v>
      </c>
      <c r="Y81" t="s">
        <v>60</v>
      </c>
      <c r="Z81" t="s">
        <v>360</v>
      </c>
      <c r="AA81">
        <v>0</v>
      </c>
      <c r="AB81" s="2">
        <v>0</v>
      </c>
      <c r="AC81" s="2">
        <v>0</v>
      </c>
      <c r="AD81" s="3">
        <v>0</v>
      </c>
      <c r="AE81" s="2">
        <v>0</v>
      </c>
      <c r="AF81" s="2">
        <v>0</v>
      </c>
      <c r="AG81" s="2">
        <v>0</v>
      </c>
      <c r="AH81" s="2">
        <v>0</v>
      </c>
      <c r="AI81" s="2">
        <v>0</v>
      </c>
      <c r="AJ81" s="2">
        <v>0</v>
      </c>
      <c r="AK81" s="2">
        <v>0</v>
      </c>
      <c r="AL81" s="2">
        <v>0</v>
      </c>
      <c r="AM81" s="2">
        <v>27.02</v>
      </c>
      <c r="AN81" s="2">
        <v>27.02</v>
      </c>
      <c r="AO81" s="2">
        <v>0</v>
      </c>
      <c r="AP81" s="2">
        <v>0</v>
      </c>
      <c r="AQ81" s="2">
        <v>0</v>
      </c>
    </row>
    <row r="82" spans="1:43" x14ac:dyDescent="0.25">
      <c r="A82" s="1">
        <v>45936</v>
      </c>
      <c r="B82" t="s">
        <v>48</v>
      </c>
      <c r="C82">
        <v>649163</v>
      </c>
      <c r="D82">
        <v>2026646040</v>
      </c>
      <c r="E82" t="s">
        <v>511</v>
      </c>
      <c r="F82" t="s">
        <v>512</v>
      </c>
      <c r="G82" t="s">
        <v>51</v>
      </c>
      <c r="H82" t="s">
        <v>88</v>
      </c>
      <c r="I82" t="s">
        <v>467</v>
      </c>
      <c r="J82" t="s">
        <v>505</v>
      </c>
      <c r="K82">
        <v>649285</v>
      </c>
      <c r="L82" t="s">
        <v>479</v>
      </c>
      <c r="M82" t="s">
        <v>480</v>
      </c>
      <c r="N82" t="s">
        <v>57</v>
      </c>
      <c r="O82" s="1">
        <v>45717</v>
      </c>
      <c r="Q82" s="1">
        <v>45962</v>
      </c>
      <c r="R82" s="2">
        <v>219.87</v>
      </c>
      <c r="S82">
        <v>1</v>
      </c>
      <c r="T82" t="s">
        <v>58</v>
      </c>
      <c r="U82" t="s">
        <v>359</v>
      </c>
      <c r="V82" s="3">
        <v>0.04</v>
      </c>
      <c r="W82" s="2">
        <v>0</v>
      </c>
      <c r="X82">
        <v>0</v>
      </c>
      <c r="Y82" t="s">
        <v>60</v>
      </c>
      <c r="Z82" t="s">
        <v>360</v>
      </c>
      <c r="AA82">
        <v>0</v>
      </c>
      <c r="AB82" s="2">
        <v>0</v>
      </c>
      <c r="AC82" s="2">
        <v>0</v>
      </c>
      <c r="AD82" s="3">
        <v>0</v>
      </c>
      <c r="AE82" s="2">
        <v>0</v>
      </c>
      <c r="AF82" s="2">
        <v>0</v>
      </c>
      <c r="AG82" s="2">
        <v>0</v>
      </c>
      <c r="AH82" s="2">
        <v>0</v>
      </c>
      <c r="AI82" s="2">
        <v>0</v>
      </c>
      <c r="AJ82" s="2">
        <v>0</v>
      </c>
      <c r="AK82" s="2">
        <v>0</v>
      </c>
      <c r="AL82" s="2">
        <v>0</v>
      </c>
      <c r="AM82" s="2">
        <v>8.7899999999999991</v>
      </c>
      <c r="AN82" s="2">
        <v>8.7899999999999991</v>
      </c>
      <c r="AO82" s="2">
        <v>0</v>
      </c>
      <c r="AP82" s="2">
        <v>0</v>
      </c>
      <c r="AQ82" s="2">
        <v>0</v>
      </c>
    </row>
    <row r="83" spans="1:43" x14ac:dyDescent="0.25">
      <c r="A83" s="1">
        <v>45936</v>
      </c>
      <c r="B83" t="s">
        <v>48</v>
      </c>
      <c r="C83">
        <v>649163</v>
      </c>
      <c r="D83">
        <v>2027097219</v>
      </c>
      <c r="E83" t="s">
        <v>237</v>
      </c>
      <c r="F83" t="s">
        <v>238</v>
      </c>
      <c r="G83" t="s">
        <v>51</v>
      </c>
      <c r="H83" t="s">
        <v>70</v>
      </c>
      <c r="I83" t="s">
        <v>467</v>
      </c>
      <c r="J83" t="s">
        <v>471</v>
      </c>
      <c r="K83">
        <v>650218</v>
      </c>
      <c r="L83" t="s">
        <v>237</v>
      </c>
      <c r="M83" t="s">
        <v>238</v>
      </c>
      <c r="N83" t="s">
        <v>57</v>
      </c>
      <c r="O83" s="1">
        <v>45748</v>
      </c>
      <c r="Q83" s="1">
        <v>45962</v>
      </c>
      <c r="R83" s="2">
        <v>147.77000000000001</v>
      </c>
      <c r="S83">
        <v>1</v>
      </c>
      <c r="T83" t="s">
        <v>58</v>
      </c>
      <c r="U83" t="s">
        <v>359</v>
      </c>
      <c r="V83" s="3">
        <v>0.26</v>
      </c>
      <c r="W83" s="2">
        <v>0</v>
      </c>
      <c r="X83">
        <v>0</v>
      </c>
      <c r="Y83" t="s">
        <v>60</v>
      </c>
      <c r="Z83" t="s">
        <v>360</v>
      </c>
      <c r="AA83">
        <v>0</v>
      </c>
      <c r="AB83" s="2">
        <v>0</v>
      </c>
      <c r="AC83" s="2">
        <v>0</v>
      </c>
      <c r="AD83" s="3">
        <v>0</v>
      </c>
      <c r="AE83" s="2">
        <v>0</v>
      </c>
      <c r="AF83" s="2">
        <v>0</v>
      </c>
      <c r="AG83" s="2">
        <v>0</v>
      </c>
      <c r="AH83" s="2">
        <v>0</v>
      </c>
      <c r="AI83" s="2">
        <v>0</v>
      </c>
      <c r="AJ83" s="2">
        <v>0</v>
      </c>
      <c r="AK83" s="2">
        <v>0</v>
      </c>
      <c r="AL83" s="2">
        <v>0</v>
      </c>
      <c r="AM83" s="2">
        <v>38.42</v>
      </c>
      <c r="AN83" s="2">
        <v>38.42</v>
      </c>
      <c r="AO83" s="2">
        <v>0</v>
      </c>
      <c r="AP83" s="2">
        <v>0</v>
      </c>
      <c r="AQ83" s="2">
        <v>0</v>
      </c>
    </row>
    <row r="84" spans="1:43" x14ac:dyDescent="0.25">
      <c r="A84" s="1">
        <v>45936</v>
      </c>
      <c r="B84" t="s">
        <v>48</v>
      </c>
      <c r="C84">
        <v>649163</v>
      </c>
      <c r="D84">
        <v>2027157018</v>
      </c>
      <c r="E84" t="s">
        <v>513</v>
      </c>
      <c r="F84" t="s">
        <v>488</v>
      </c>
      <c r="G84" t="s">
        <v>51</v>
      </c>
      <c r="H84" t="s">
        <v>70</v>
      </c>
      <c r="I84" t="s">
        <v>467</v>
      </c>
      <c r="J84" t="s">
        <v>468</v>
      </c>
      <c r="K84">
        <v>775945</v>
      </c>
      <c r="L84" t="s">
        <v>514</v>
      </c>
      <c r="M84" t="s">
        <v>179</v>
      </c>
      <c r="N84" t="s">
        <v>57</v>
      </c>
      <c r="O84" s="1">
        <v>45689</v>
      </c>
      <c r="Q84" s="1">
        <v>45962</v>
      </c>
      <c r="R84" s="2">
        <v>117.07</v>
      </c>
      <c r="S84">
        <v>1</v>
      </c>
      <c r="T84" t="s">
        <v>58</v>
      </c>
      <c r="U84" t="s">
        <v>359</v>
      </c>
      <c r="V84" s="3">
        <v>0</v>
      </c>
      <c r="W84" s="2">
        <v>0</v>
      </c>
      <c r="X84">
        <v>0</v>
      </c>
      <c r="Y84" t="s">
        <v>60</v>
      </c>
      <c r="Z84" t="s">
        <v>360</v>
      </c>
      <c r="AA84">
        <v>0</v>
      </c>
      <c r="AB84" s="2">
        <v>0</v>
      </c>
      <c r="AC84" s="2">
        <v>0</v>
      </c>
      <c r="AD84" s="3">
        <v>0</v>
      </c>
      <c r="AE84" s="2">
        <v>0</v>
      </c>
      <c r="AF84" s="2">
        <v>0</v>
      </c>
      <c r="AG84" s="2">
        <v>0</v>
      </c>
      <c r="AH84" s="2">
        <v>0</v>
      </c>
      <c r="AI84" s="2">
        <v>0</v>
      </c>
      <c r="AJ84" s="2">
        <v>0</v>
      </c>
      <c r="AK84" s="2">
        <v>0</v>
      </c>
      <c r="AL84" s="2">
        <v>0</v>
      </c>
      <c r="AM84" s="2">
        <v>0</v>
      </c>
      <c r="AN84" s="2">
        <v>0</v>
      </c>
      <c r="AO84" s="2">
        <v>0</v>
      </c>
      <c r="AP84" s="2">
        <v>0</v>
      </c>
      <c r="AQ84" s="2">
        <v>0</v>
      </c>
    </row>
    <row r="85" spans="1:43" x14ac:dyDescent="0.25">
      <c r="A85" s="1">
        <v>45936</v>
      </c>
      <c r="B85" t="s">
        <v>48</v>
      </c>
      <c r="C85">
        <v>649163</v>
      </c>
      <c r="D85">
        <v>2027253361</v>
      </c>
      <c r="E85" t="s">
        <v>515</v>
      </c>
      <c r="F85" t="s">
        <v>224</v>
      </c>
      <c r="G85" t="s">
        <v>51</v>
      </c>
      <c r="H85" t="s">
        <v>203</v>
      </c>
      <c r="I85" t="s">
        <v>467</v>
      </c>
      <c r="J85" t="s">
        <v>516</v>
      </c>
      <c r="K85">
        <v>816021</v>
      </c>
      <c r="L85" t="s">
        <v>265</v>
      </c>
      <c r="M85" t="s">
        <v>266</v>
      </c>
      <c r="N85" t="s">
        <v>57</v>
      </c>
      <c r="O85" s="1">
        <v>45717</v>
      </c>
      <c r="Q85" s="1">
        <v>45962</v>
      </c>
      <c r="R85" s="2">
        <v>136.72</v>
      </c>
      <c r="S85">
        <v>1</v>
      </c>
      <c r="T85" t="s">
        <v>58</v>
      </c>
      <c r="U85" t="s">
        <v>359</v>
      </c>
      <c r="V85" s="3">
        <v>0.26</v>
      </c>
      <c r="W85" s="2">
        <v>0</v>
      </c>
      <c r="X85">
        <v>0</v>
      </c>
      <c r="Y85" t="s">
        <v>60</v>
      </c>
      <c r="Z85" t="s">
        <v>360</v>
      </c>
      <c r="AA85">
        <v>0</v>
      </c>
      <c r="AB85" s="2">
        <v>0</v>
      </c>
      <c r="AC85" s="2">
        <v>0</v>
      </c>
      <c r="AD85" s="3">
        <v>0</v>
      </c>
      <c r="AE85" s="2">
        <v>0</v>
      </c>
      <c r="AF85" s="2">
        <v>0</v>
      </c>
      <c r="AG85" s="2">
        <v>0</v>
      </c>
      <c r="AH85" s="2">
        <v>0</v>
      </c>
      <c r="AI85" s="2">
        <v>0</v>
      </c>
      <c r="AJ85" s="2">
        <v>0</v>
      </c>
      <c r="AK85" s="2">
        <v>0</v>
      </c>
      <c r="AL85" s="2">
        <v>0</v>
      </c>
      <c r="AM85" s="2">
        <v>35.549999999999997</v>
      </c>
      <c r="AN85" s="2">
        <v>35.549999999999997</v>
      </c>
      <c r="AO85" s="2">
        <v>0</v>
      </c>
      <c r="AP85" s="2">
        <v>0</v>
      </c>
      <c r="AQ85" s="2">
        <v>0</v>
      </c>
    </row>
    <row r="86" spans="1:43" x14ac:dyDescent="0.25">
      <c r="A86" s="1">
        <v>45936</v>
      </c>
      <c r="B86" t="s">
        <v>48</v>
      </c>
      <c r="C86">
        <v>649163</v>
      </c>
      <c r="D86">
        <v>2027354636</v>
      </c>
      <c r="E86" t="s">
        <v>517</v>
      </c>
      <c r="F86" t="s">
        <v>353</v>
      </c>
      <c r="G86" t="s">
        <v>51</v>
      </c>
      <c r="H86" t="s">
        <v>88</v>
      </c>
      <c r="I86" t="s">
        <v>467</v>
      </c>
      <c r="J86" t="s">
        <v>505</v>
      </c>
      <c r="K86">
        <v>649285</v>
      </c>
      <c r="L86" t="s">
        <v>479</v>
      </c>
      <c r="M86" t="s">
        <v>480</v>
      </c>
      <c r="N86" t="s">
        <v>57</v>
      </c>
      <c r="O86" s="1">
        <v>45748</v>
      </c>
      <c r="Q86" s="1">
        <v>45962</v>
      </c>
      <c r="R86" s="2">
        <v>213.04</v>
      </c>
      <c r="S86">
        <v>1</v>
      </c>
      <c r="T86" t="s">
        <v>58</v>
      </c>
      <c r="U86" t="s">
        <v>359</v>
      </c>
      <c r="V86" s="3">
        <v>0.04</v>
      </c>
      <c r="W86" s="2">
        <v>0</v>
      </c>
      <c r="X86">
        <v>0</v>
      </c>
      <c r="Y86" t="s">
        <v>60</v>
      </c>
      <c r="Z86" t="s">
        <v>360</v>
      </c>
      <c r="AA86">
        <v>0</v>
      </c>
      <c r="AB86" s="2">
        <v>0</v>
      </c>
      <c r="AC86" s="2">
        <v>0</v>
      </c>
      <c r="AD86" s="3">
        <v>0</v>
      </c>
      <c r="AE86" s="2">
        <v>0</v>
      </c>
      <c r="AF86" s="2">
        <v>0</v>
      </c>
      <c r="AG86" s="2">
        <v>0</v>
      </c>
      <c r="AH86" s="2">
        <v>0</v>
      </c>
      <c r="AI86" s="2">
        <v>0</v>
      </c>
      <c r="AJ86" s="2">
        <v>0</v>
      </c>
      <c r="AK86" s="2">
        <v>0</v>
      </c>
      <c r="AL86" s="2">
        <v>0</v>
      </c>
      <c r="AM86" s="2">
        <v>8.52</v>
      </c>
      <c r="AN86" s="2">
        <v>8.52</v>
      </c>
      <c r="AO86" s="2">
        <v>0</v>
      </c>
      <c r="AP86" s="2">
        <v>0</v>
      </c>
      <c r="AQ86" s="2">
        <v>0</v>
      </c>
    </row>
    <row r="87" spans="1:43" x14ac:dyDescent="0.25">
      <c r="A87" s="1">
        <v>45936</v>
      </c>
      <c r="B87" t="s">
        <v>48</v>
      </c>
      <c r="C87">
        <v>649163</v>
      </c>
      <c r="D87">
        <v>2027391406</v>
      </c>
      <c r="E87" t="s">
        <v>518</v>
      </c>
      <c r="F87" t="s">
        <v>171</v>
      </c>
      <c r="G87" t="s">
        <v>51</v>
      </c>
      <c r="H87" t="s">
        <v>101</v>
      </c>
      <c r="I87" t="s">
        <v>467</v>
      </c>
      <c r="J87" t="s">
        <v>493</v>
      </c>
      <c r="K87">
        <v>766422</v>
      </c>
      <c r="L87" t="s">
        <v>519</v>
      </c>
      <c r="M87" t="s">
        <v>104</v>
      </c>
      <c r="N87" t="s">
        <v>57</v>
      </c>
      <c r="O87" s="1">
        <v>45717</v>
      </c>
      <c r="Q87" s="1">
        <v>45962</v>
      </c>
      <c r="R87" s="2">
        <v>130.76</v>
      </c>
      <c r="S87">
        <v>1</v>
      </c>
      <c r="T87" t="s">
        <v>58</v>
      </c>
      <c r="U87" t="s">
        <v>359</v>
      </c>
      <c r="V87" s="3">
        <v>0.26</v>
      </c>
      <c r="W87" s="2">
        <v>0</v>
      </c>
      <c r="X87">
        <v>0</v>
      </c>
      <c r="Y87" t="s">
        <v>60</v>
      </c>
      <c r="Z87" t="s">
        <v>360</v>
      </c>
      <c r="AA87">
        <v>0</v>
      </c>
      <c r="AB87" s="2">
        <v>0</v>
      </c>
      <c r="AC87" s="2">
        <v>0</v>
      </c>
      <c r="AD87" s="3">
        <v>0</v>
      </c>
      <c r="AE87" s="2">
        <v>0</v>
      </c>
      <c r="AF87" s="2">
        <v>0</v>
      </c>
      <c r="AG87" s="2">
        <v>0</v>
      </c>
      <c r="AH87" s="2">
        <v>0</v>
      </c>
      <c r="AI87" s="2">
        <v>0</v>
      </c>
      <c r="AJ87" s="2">
        <v>0</v>
      </c>
      <c r="AK87" s="2">
        <v>0</v>
      </c>
      <c r="AL87" s="2">
        <v>0</v>
      </c>
      <c r="AM87" s="2">
        <v>34</v>
      </c>
      <c r="AN87" s="2">
        <v>34</v>
      </c>
      <c r="AO87" s="2">
        <v>0</v>
      </c>
      <c r="AP87" s="2">
        <v>0</v>
      </c>
      <c r="AQ87" s="2">
        <v>0</v>
      </c>
    </row>
    <row r="88" spans="1:43" x14ac:dyDescent="0.25">
      <c r="A88" s="1">
        <v>45936</v>
      </c>
      <c r="B88" t="s">
        <v>48</v>
      </c>
      <c r="C88">
        <v>649163</v>
      </c>
      <c r="D88">
        <v>2027712447</v>
      </c>
      <c r="E88" t="s">
        <v>520</v>
      </c>
      <c r="F88" t="s">
        <v>482</v>
      </c>
      <c r="G88" t="s">
        <v>51</v>
      </c>
      <c r="H88" t="s">
        <v>101</v>
      </c>
      <c r="I88" t="s">
        <v>467</v>
      </c>
      <c r="J88" t="s">
        <v>493</v>
      </c>
      <c r="K88">
        <v>768887</v>
      </c>
      <c r="L88" t="s">
        <v>490</v>
      </c>
      <c r="M88" t="s">
        <v>491</v>
      </c>
      <c r="N88" t="s">
        <v>57</v>
      </c>
      <c r="O88" s="1">
        <v>45748</v>
      </c>
      <c r="Q88" s="1">
        <v>45962</v>
      </c>
      <c r="R88" s="2">
        <v>132.22</v>
      </c>
      <c r="S88">
        <v>1</v>
      </c>
      <c r="T88" t="s">
        <v>58</v>
      </c>
      <c r="U88" t="s">
        <v>359</v>
      </c>
      <c r="V88" s="3">
        <v>0.26</v>
      </c>
      <c r="W88" s="2">
        <v>0</v>
      </c>
      <c r="X88">
        <v>0</v>
      </c>
      <c r="Y88" t="s">
        <v>60</v>
      </c>
      <c r="Z88" t="s">
        <v>360</v>
      </c>
      <c r="AA88">
        <v>0</v>
      </c>
      <c r="AB88" s="2">
        <v>0</v>
      </c>
      <c r="AC88" s="2">
        <v>0</v>
      </c>
      <c r="AD88" s="3">
        <v>0</v>
      </c>
      <c r="AE88" s="2">
        <v>0</v>
      </c>
      <c r="AF88" s="2">
        <v>0</v>
      </c>
      <c r="AG88" s="2">
        <v>0</v>
      </c>
      <c r="AH88" s="2">
        <v>0</v>
      </c>
      <c r="AI88" s="2">
        <v>0</v>
      </c>
      <c r="AJ88" s="2">
        <v>0</v>
      </c>
      <c r="AK88" s="2">
        <v>0</v>
      </c>
      <c r="AL88" s="2">
        <v>0</v>
      </c>
      <c r="AM88" s="2">
        <v>34.380000000000003</v>
      </c>
      <c r="AN88" s="2">
        <v>34.380000000000003</v>
      </c>
      <c r="AO88" s="2">
        <v>0</v>
      </c>
      <c r="AP88" s="2">
        <v>0</v>
      </c>
      <c r="AQ88" s="2">
        <v>0</v>
      </c>
    </row>
    <row r="89" spans="1:43" x14ac:dyDescent="0.25">
      <c r="A89" s="1">
        <v>45936</v>
      </c>
      <c r="B89" t="s">
        <v>48</v>
      </c>
      <c r="C89">
        <v>649163</v>
      </c>
      <c r="D89">
        <v>2027889499</v>
      </c>
      <c r="E89" t="s">
        <v>521</v>
      </c>
      <c r="F89" t="s">
        <v>522</v>
      </c>
      <c r="G89" t="s">
        <v>51</v>
      </c>
      <c r="H89" t="s">
        <v>101</v>
      </c>
      <c r="I89" t="s">
        <v>467</v>
      </c>
      <c r="J89" t="s">
        <v>493</v>
      </c>
      <c r="K89">
        <v>768887</v>
      </c>
      <c r="L89" t="s">
        <v>490</v>
      </c>
      <c r="M89" t="s">
        <v>491</v>
      </c>
      <c r="N89" t="s">
        <v>57</v>
      </c>
      <c r="O89" s="1">
        <v>45748</v>
      </c>
      <c r="Q89" s="1">
        <v>45962</v>
      </c>
      <c r="R89" s="2">
        <v>132.22</v>
      </c>
      <c r="S89">
        <v>1</v>
      </c>
      <c r="T89" t="s">
        <v>58</v>
      </c>
      <c r="U89" t="s">
        <v>359</v>
      </c>
      <c r="V89" s="3">
        <v>0.26</v>
      </c>
      <c r="W89" s="2">
        <v>0</v>
      </c>
      <c r="X89">
        <v>0</v>
      </c>
      <c r="Y89" t="s">
        <v>60</v>
      </c>
      <c r="Z89" t="s">
        <v>360</v>
      </c>
      <c r="AA89">
        <v>0</v>
      </c>
      <c r="AB89" s="2">
        <v>0</v>
      </c>
      <c r="AC89" s="2">
        <v>0</v>
      </c>
      <c r="AD89" s="3">
        <v>0</v>
      </c>
      <c r="AE89" s="2">
        <v>0</v>
      </c>
      <c r="AF89" s="2">
        <v>0</v>
      </c>
      <c r="AG89" s="2">
        <v>0</v>
      </c>
      <c r="AH89" s="2">
        <v>0</v>
      </c>
      <c r="AI89" s="2">
        <v>0</v>
      </c>
      <c r="AJ89" s="2">
        <v>0</v>
      </c>
      <c r="AK89" s="2">
        <v>0</v>
      </c>
      <c r="AL89" s="2">
        <v>0</v>
      </c>
      <c r="AM89" s="2">
        <v>34.380000000000003</v>
      </c>
      <c r="AN89" s="2">
        <v>34.380000000000003</v>
      </c>
      <c r="AO89" s="2">
        <v>0</v>
      </c>
      <c r="AP89" s="2">
        <v>0</v>
      </c>
      <c r="AQ89" s="2">
        <v>0</v>
      </c>
    </row>
    <row r="90" spans="1:43" x14ac:dyDescent="0.25">
      <c r="A90" s="1">
        <v>45936</v>
      </c>
      <c r="B90" t="s">
        <v>48</v>
      </c>
      <c r="C90">
        <v>649163</v>
      </c>
      <c r="D90">
        <v>2027922845</v>
      </c>
      <c r="E90" t="s">
        <v>523</v>
      </c>
      <c r="F90" t="s">
        <v>524</v>
      </c>
      <c r="G90" t="s">
        <v>51</v>
      </c>
      <c r="H90" t="s">
        <v>101</v>
      </c>
      <c r="I90" t="s">
        <v>467</v>
      </c>
      <c r="J90" t="s">
        <v>493</v>
      </c>
      <c r="K90">
        <v>768887</v>
      </c>
      <c r="L90" t="s">
        <v>490</v>
      </c>
      <c r="M90" t="s">
        <v>491</v>
      </c>
      <c r="N90" t="s">
        <v>57</v>
      </c>
      <c r="O90" s="1">
        <v>45748</v>
      </c>
      <c r="Q90" s="1">
        <v>45962</v>
      </c>
      <c r="R90" s="2">
        <v>123.21</v>
      </c>
      <c r="S90">
        <v>1</v>
      </c>
      <c r="T90" t="s">
        <v>58</v>
      </c>
      <c r="U90" t="s">
        <v>359</v>
      </c>
      <c r="V90" s="3">
        <v>0.26</v>
      </c>
      <c r="W90" s="2">
        <v>0</v>
      </c>
      <c r="X90">
        <v>0</v>
      </c>
      <c r="Y90" t="s">
        <v>60</v>
      </c>
      <c r="Z90" t="s">
        <v>360</v>
      </c>
      <c r="AA90">
        <v>0</v>
      </c>
      <c r="AB90" s="2">
        <v>0</v>
      </c>
      <c r="AC90" s="2">
        <v>0</v>
      </c>
      <c r="AD90" s="3">
        <v>0</v>
      </c>
      <c r="AE90" s="2">
        <v>0</v>
      </c>
      <c r="AF90" s="2">
        <v>0</v>
      </c>
      <c r="AG90" s="2">
        <v>0</v>
      </c>
      <c r="AH90" s="2">
        <v>0</v>
      </c>
      <c r="AI90" s="2">
        <v>0</v>
      </c>
      <c r="AJ90" s="2">
        <v>0</v>
      </c>
      <c r="AK90" s="2">
        <v>0</v>
      </c>
      <c r="AL90" s="2">
        <v>0</v>
      </c>
      <c r="AM90" s="2">
        <v>32.03</v>
      </c>
      <c r="AN90" s="2">
        <v>32.03</v>
      </c>
      <c r="AO90" s="2">
        <v>0</v>
      </c>
      <c r="AP90" s="2">
        <v>0</v>
      </c>
      <c r="AQ90" s="2">
        <v>0</v>
      </c>
    </row>
    <row r="91" spans="1:43" x14ac:dyDescent="0.25">
      <c r="A91" s="1">
        <v>45936</v>
      </c>
      <c r="B91" t="s">
        <v>48</v>
      </c>
      <c r="C91">
        <v>649163</v>
      </c>
      <c r="D91">
        <v>2027922860</v>
      </c>
      <c r="E91" t="s">
        <v>523</v>
      </c>
      <c r="F91" t="s">
        <v>220</v>
      </c>
      <c r="G91" t="s">
        <v>51</v>
      </c>
      <c r="H91" t="s">
        <v>101</v>
      </c>
      <c r="I91" t="s">
        <v>467</v>
      </c>
      <c r="J91" t="s">
        <v>493</v>
      </c>
      <c r="K91">
        <v>768887</v>
      </c>
      <c r="L91" t="s">
        <v>490</v>
      </c>
      <c r="M91" t="s">
        <v>491</v>
      </c>
      <c r="N91" t="s">
        <v>57</v>
      </c>
      <c r="O91" s="1">
        <v>45748</v>
      </c>
      <c r="Q91" s="1">
        <v>45962</v>
      </c>
      <c r="R91" s="2">
        <v>139.18</v>
      </c>
      <c r="S91">
        <v>1</v>
      </c>
      <c r="T91" t="s">
        <v>58</v>
      </c>
      <c r="U91" t="s">
        <v>359</v>
      </c>
      <c r="V91" s="3">
        <v>0.26</v>
      </c>
      <c r="W91" s="2">
        <v>0</v>
      </c>
      <c r="X91">
        <v>0</v>
      </c>
      <c r="Y91" t="s">
        <v>60</v>
      </c>
      <c r="Z91" t="s">
        <v>360</v>
      </c>
      <c r="AA91">
        <v>0</v>
      </c>
      <c r="AB91" s="2">
        <v>0</v>
      </c>
      <c r="AC91" s="2">
        <v>0</v>
      </c>
      <c r="AD91" s="3">
        <v>0</v>
      </c>
      <c r="AE91" s="2">
        <v>0</v>
      </c>
      <c r="AF91" s="2">
        <v>0</v>
      </c>
      <c r="AG91" s="2">
        <v>0</v>
      </c>
      <c r="AH91" s="2">
        <v>0</v>
      </c>
      <c r="AI91" s="2">
        <v>0</v>
      </c>
      <c r="AJ91" s="2">
        <v>0</v>
      </c>
      <c r="AK91" s="2">
        <v>0</v>
      </c>
      <c r="AL91" s="2">
        <v>0</v>
      </c>
      <c r="AM91" s="2">
        <v>36.19</v>
      </c>
      <c r="AN91" s="2">
        <v>36.19</v>
      </c>
      <c r="AO91" s="2">
        <v>0</v>
      </c>
      <c r="AP91" s="2">
        <v>0</v>
      </c>
      <c r="AQ91" s="2">
        <v>0</v>
      </c>
    </row>
    <row r="92" spans="1:43" x14ac:dyDescent="0.25">
      <c r="A92" s="1">
        <v>45936</v>
      </c>
      <c r="B92" t="s">
        <v>48</v>
      </c>
      <c r="C92">
        <v>649163</v>
      </c>
      <c r="D92">
        <v>2027922888</v>
      </c>
      <c r="E92" t="s">
        <v>521</v>
      </c>
      <c r="F92" t="s">
        <v>525</v>
      </c>
      <c r="G92" t="s">
        <v>51</v>
      </c>
      <c r="H92" t="s">
        <v>101</v>
      </c>
      <c r="I92" t="s">
        <v>467</v>
      </c>
      <c r="J92" t="s">
        <v>493</v>
      </c>
      <c r="K92">
        <v>768887</v>
      </c>
      <c r="L92" t="s">
        <v>490</v>
      </c>
      <c r="M92" t="s">
        <v>491</v>
      </c>
      <c r="N92" t="s">
        <v>57</v>
      </c>
      <c r="O92" s="1">
        <v>45748</v>
      </c>
      <c r="Q92" s="1">
        <v>45962</v>
      </c>
      <c r="R92" s="2">
        <v>117.05</v>
      </c>
      <c r="S92">
        <v>1</v>
      </c>
      <c r="T92" t="s">
        <v>58</v>
      </c>
      <c r="U92" t="s">
        <v>359</v>
      </c>
      <c r="V92" s="3">
        <v>0.26</v>
      </c>
      <c r="W92" s="2">
        <v>0</v>
      </c>
      <c r="X92">
        <v>0</v>
      </c>
      <c r="Y92" t="s">
        <v>60</v>
      </c>
      <c r="Z92" t="s">
        <v>360</v>
      </c>
      <c r="AA92">
        <v>0</v>
      </c>
      <c r="AB92" s="2">
        <v>0</v>
      </c>
      <c r="AC92" s="2">
        <v>0</v>
      </c>
      <c r="AD92" s="3">
        <v>0</v>
      </c>
      <c r="AE92" s="2">
        <v>0</v>
      </c>
      <c r="AF92" s="2">
        <v>0</v>
      </c>
      <c r="AG92" s="2">
        <v>0</v>
      </c>
      <c r="AH92" s="2">
        <v>0</v>
      </c>
      <c r="AI92" s="2">
        <v>0</v>
      </c>
      <c r="AJ92" s="2">
        <v>0</v>
      </c>
      <c r="AK92" s="2">
        <v>0</v>
      </c>
      <c r="AL92" s="2">
        <v>0</v>
      </c>
      <c r="AM92" s="2">
        <v>30.43</v>
      </c>
      <c r="AN92" s="2">
        <v>30.43</v>
      </c>
      <c r="AO92" s="2">
        <v>0</v>
      </c>
      <c r="AP92" s="2">
        <v>0</v>
      </c>
      <c r="AQ92" s="2">
        <v>0</v>
      </c>
    </row>
    <row r="93" spans="1:43" x14ac:dyDescent="0.25">
      <c r="A93" s="1">
        <v>45936</v>
      </c>
      <c r="B93" t="s">
        <v>48</v>
      </c>
      <c r="D93">
        <v>2028000460</v>
      </c>
      <c r="E93" t="s">
        <v>526</v>
      </c>
      <c r="F93" t="s">
        <v>527</v>
      </c>
      <c r="G93" t="s">
        <v>51</v>
      </c>
      <c r="H93" t="s">
        <v>101</v>
      </c>
      <c r="I93" t="s">
        <v>467</v>
      </c>
      <c r="J93" t="s">
        <v>528</v>
      </c>
      <c r="L93" t="s">
        <v>134</v>
      </c>
      <c r="M93" t="s">
        <v>135</v>
      </c>
      <c r="N93" t="s">
        <v>57</v>
      </c>
      <c r="O93" s="1">
        <v>45748</v>
      </c>
      <c r="Q93" s="1">
        <v>45962</v>
      </c>
      <c r="R93" s="2">
        <v>114.69</v>
      </c>
      <c r="S93">
        <v>1</v>
      </c>
      <c r="T93" t="s">
        <v>58</v>
      </c>
      <c r="U93" t="s">
        <v>359</v>
      </c>
      <c r="V93" s="3">
        <v>0.28000000000000003</v>
      </c>
      <c r="W93" s="2">
        <v>0</v>
      </c>
      <c r="X93">
        <v>0</v>
      </c>
      <c r="Y93" t="s">
        <v>60</v>
      </c>
      <c r="Z93" t="s">
        <v>360</v>
      </c>
      <c r="AA93">
        <v>0</v>
      </c>
      <c r="AB93" s="2">
        <v>0</v>
      </c>
      <c r="AC93" s="2">
        <v>0</v>
      </c>
      <c r="AD93" s="3">
        <v>0</v>
      </c>
      <c r="AE93" s="2">
        <v>0</v>
      </c>
      <c r="AF93" s="2">
        <v>0</v>
      </c>
      <c r="AG93" s="2">
        <v>0</v>
      </c>
      <c r="AH93" s="2">
        <v>0</v>
      </c>
      <c r="AI93" s="2">
        <v>0</v>
      </c>
      <c r="AJ93" s="2">
        <v>0</v>
      </c>
      <c r="AK93" s="2">
        <v>0</v>
      </c>
      <c r="AL93" s="2">
        <v>0</v>
      </c>
      <c r="AM93" s="2">
        <v>32.11</v>
      </c>
      <c r="AN93" s="2">
        <v>32.11</v>
      </c>
      <c r="AO93" s="2">
        <v>0</v>
      </c>
      <c r="AP93" s="2">
        <v>0</v>
      </c>
      <c r="AQ93" s="2">
        <v>0</v>
      </c>
    </row>
    <row r="94" spans="1:43" x14ac:dyDescent="0.25">
      <c r="A94" s="1">
        <v>45936</v>
      </c>
      <c r="B94" t="s">
        <v>48</v>
      </c>
      <c r="C94">
        <v>649163</v>
      </c>
      <c r="D94">
        <v>2028166815</v>
      </c>
      <c r="E94" t="s">
        <v>529</v>
      </c>
      <c r="F94" t="s">
        <v>530</v>
      </c>
      <c r="G94" t="s">
        <v>51</v>
      </c>
      <c r="H94" t="s">
        <v>101</v>
      </c>
      <c r="I94" t="s">
        <v>467</v>
      </c>
      <c r="J94" t="s">
        <v>528</v>
      </c>
      <c r="K94">
        <v>820873</v>
      </c>
      <c r="L94" t="s">
        <v>134</v>
      </c>
      <c r="M94" t="s">
        <v>135</v>
      </c>
      <c r="N94" t="s">
        <v>57</v>
      </c>
      <c r="O94" s="1">
        <v>45778</v>
      </c>
      <c r="Q94" s="1">
        <v>45962</v>
      </c>
      <c r="R94" s="2">
        <v>106.67</v>
      </c>
      <c r="S94">
        <v>1</v>
      </c>
      <c r="T94" t="s">
        <v>58</v>
      </c>
      <c r="U94" t="s">
        <v>359</v>
      </c>
      <c r="V94" s="3">
        <v>0.28000000000000003</v>
      </c>
      <c r="W94" s="2">
        <v>0</v>
      </c>
      <c r="X94">
        <v>0</v>
      </c>
      <c r="Y94" t="s">
        <v>60</v>
      </c>
      <c r="Z94" t="s">
        <v>360</v>
      </c>
      <c r="AA94">
        <v>0</v>
      </c>
      <c r="AB94" s="2">
        <v>0</v>
      </c>
      <c r="AC94" s="2">
        <v>0</v>
      </c>
      <c r="AD94" s="3">
        <v>0</v>
      </c>
      <c r="AE94" s="2">
        <v>0</v>
      </c>
      <c r="AF94" s="2">
        <v>0</v>
      </c>
      <c r="AG94" s="2">
        <v>0</v>
      </c>
      <c r="AH94" s="2">
        <v>0</v>
      </c>
      <c r="AI94" s="2">
        <v>0</v>
      </c>
      <c r="AJ94" s="2">
        <v>0</v>
      </c>
      <c r="AK94" s="2">
        <v>0</v>
      </c>
      <c r="AL94" s="2">
        <v>0</v>
      </c>
      <c r="AM94" s="2">
        <v>29.87</v>
      </c>
      <c r="AN94" s="2">
        <v>29.87</v>
      </c>
      <c r="AO94" s="2">
        <v>0</v>
      </c>
      <c r="AP94" s="2">
        <v>0</v>
      </c>
      <c r="AQ94" s="2">
        <v>0</v>
      </c>
    </row>
    <row r="95" spans="1:43" x14ac:dyDescent="0.25">
      <c r="A95" s="1">
        <v>45936</v>
      </c>
      <c r="B95" t="s">
        <v>48</v>
      </c>
      <c r="C95">
        <v>649163</v>
      </c>
      <c r="D95">
        <v>2028361729</v>
      </c>
      <c r="E95" t="s">
        <v>531</v>
      </c>
      <c r="F95" t="s">
        <v>476</v>
      </c>
      <c r="G95" t="s">
        <v>51</v>
      </c>
      <c r="H95" t="s">
        <v>101</v>
      </c>
      <c r="I95" t="s">
        <v>467</v>
      </c>
      <c r="J95" t="s">
        <v>528</v>
      </c>
      <c r="K95">
        <v>820873</v>
      </c>
      <c r="L95" t="s">
        <v>134</v>
      </c>
      <c r="M95" t="s">
        <v>135</v>
      </c>
      <c r="N95" t="s">
        <v>57</v>
      </c>
      <c r="O95" s="1">
        <v>45778</v>
      </c>
      <c r="Q95" s="1">
        <v>45962</v>
      </c>
      <c r="R95" s="2">
        <v>112.21</v>
      </c>
      <c r="S95">
        <v>1</v>
      </c>
      <c r="T95" t="s">
        <v>58</v>
      </c>
      <c r="U95" t="s">
        <v>359</v>
      </c>
      <c r="V95" s="3">
        <v>0.28000000000000003</v>
      </c>
      <c r="W95" s="2">
        <v>0</v>
      </c>
      <c r="X95">
        <v>0</v>
      </c>
      <c r="Y95" t="s">
        <v>60</v>
      </c>
      <c r="Z95" t="s">
        <v>360</v>
      </c>
      <c r="AA95">
        <v>0</v>
      </c>
      <c r="AB95" s="2">
        <v>0</v>
      </c>
      <c r="AC95" s="2">
        <v>0</v>
      </c>
      <c r="AD95" s="3">
        <v>0</v>
      </c>
      <c r="AE95" s="2">
        <v>0</v>
      </c>
      <c r="AF95" s="2">
        <v>0</v>
      </c>
      <c r="AG95" s="2">
        <v>0</v>
      </c>
      <c r="AH95" s="2">
        <v>0</v>
      </c>
      <c r="AI95" s="2">
        <v>0</v>
      </c>
      <c r="AJ95" s="2">
        <v>0</v>
      </c>
      <c r="AK95" s="2">
        <v>0</v>
      </c>
      <c r="AL95" s="2">
        <v>0</v>
      </c>
      <c r="AM95" s="2">
        <v>31.42</v>
      </c>
      <c r="AN95" s="2">
        <v>31.42</v>
      </c>
      <c r="AO95" s="2">
        <v>0</v>
      </c>
      <c r="AP95" s="2">
        <v>0</v>
      </c>
      <c r="AQ95" s="2">
        <v>0</v>
      </c>
    </row>
    <row r="96" spans="1:43" x14ac:dyDescent="0.25">
      <c r="A96" s="1">
        <v>45936</v>
      </c>
      <c r="B96" t="s">
        <v>48</v>
      </c>
      <c r="C96">
        <v>649163</v>
      </c>
      <c r="D96">
        <v>2028422101</v>
      </c>
      <c r="E96" t="s">
        <v>531</v>
      </c>
      <c r="F96" t="s">
        <v>532</v>
      </c>
      <c r="G96" t="s">
        <v>51</v>
      </c>
      <c r="H96" t="s">
        <v>101</v>
      </c>
      <c r="I96" t="s">
        <v>467</v>
      </c>
      <c r="J96" t="s">
        <v>528</v>
      </c>
      <c r="K96">
        <v>820873</v>
      </c>
      <c r="L96" t="s">
        <v>134</v>
      </c>
      <c r="M96" t="s">
        <v>135</v>
      </c>
      <c r="N96" t="s">
        <v>57</v>
      </c>
      <c r="O96" s="1">
        <v>45778</v>
      </c>
      <c r="Q96" s="1">
        <v>45962</v>
      </c>
      <c r="R96" s="2">
        <v>143.93</v>
      </c>
      <c r="S96">
        <v>1</v>
      </c>
      <c r="T96" t="s">
        <v>58</v>
      </c>
      <c r="U96" t="s">
        <v>359</v>
      </c>
      <c r="V96" s="3">
        <v>0.28000000000000003</v>
      </c>
      <c r="W96" s="2">
        <v>0</v>
      </c>
      <c r="X96">
        <v>0</v>
      </c>
      <c r="Y96" t="s">
        <v>60</v>
      </c>
      <c r="Z96" t="s">
        <v>360</v>
      </c>
      <c r="AA96">
        <v>0</v>
      </c>
      <c r="AB96" s="2">
        <v>0</v>
      </c>
      <c r="AC96" s="2">
        <v>0</v>
      </c>
      <c r="AD96" s="3">
        <v>0</v>
      </c>
      <c r="AE96" s="2">
        <v>0</v>
      </c>
      <c r="AF96" s="2">
        <v>0</v>
      </c>
      <c r="AG96" s="2">
        <v>0</v>
      </c>
      <c r="AH96" s="2">
        <v>0</v>
      </c>
      <c r="AI96" s="2">
        <v>0</v>
      </c>
      <c r="AJ96" s="2">
        <v>0</v>
      </c>
      <c r="AK96" s="2">
        <v>0</v>
      </c>
      <c r="AL96" s="2">
        <v>0</v>
      </c>
      <c r="AM96" s="2">
        <v>40.299999999999997</v>
      </c>
      <c r="AN96" s="2">
        <v>40.299999999999997</v>
      </c>
      <c r="AO96" s="2">
        <v>0</v>
      </c>
      <c r="AP96" s="2">
        <v>0</v>
      </c>
      <c r="AQ96" s="2">
        <v>0</v>
      </c>
    </row>
    <row r="97" spans="1:43" x14ac:dyDescent="0.25">
      <c r="A97" s="1">
        <v>45936</v>
      </c>
      <c r="B97" t="s">
        <v>48</v>
      </c>
      <c r="C97">
        <v>649163</v>
      </c>
      <c r="D97">
        <v>2028643639</v>
      </c>
      <c r="E97" t="s">
        <v>533</v>
      </c>
      <c r="F97" t="s">
        <v>259</v>
      </c>
      <c r="G97" t="s">
        <v>51</v>
      </c>
      <c r="H97" t="s">
        <v>70</v>
      </c>
      <c r="I97" t="s">
        <v>467</v>
      </c>
      <c r="J97" t="s">
        <v>471</v>
      </c>
      <c r="K97">
        <v>649285</v>
      </c>
      <c r="L97" t="s">
        <v>479</v>
      </c>
      <c r="M97" t="s">
        <v>480</v>
      </c>
      <c r="N97" t="s">
        <v>57</v>
      </c>
      <c r="O97" s="1">
        <v>45809</v>
      </c>
      <c r="Q97" s="1">
        <v>45962</v>
      </c>
      <c r="R97" s="2">
        <v>108.21</v>
      </c>
      <c r="S97">
        <v>1</v>
      </c>
      <c r="T97" t="s">
        <v>58</v>
      </c>
      <c r="U97" t="s">
        <v>359</v>
      </c>
      <c r="V97" s="3">
        <v>0.04</v>
      </c>
      <c r="W97" s="2">
        <v>0</v>
      </c>
      <c r="X97">
        <v>0</v>
      </c>
      <c r="Y97" t="s">
        <v>60</v>
      </c>
      <c r="Z97" t="s">
        <v>360</v>
      </c>
      <c r="AA97">
        <v>0</v>
      </c>
      <c r="AB97" s="2">
        <v>0</v>
      </c>
      <c r="AC97" s="2">
        <v>0</v>
      </c>
      <c r="AD97" s="3">
        <v>0</v>
      </c>
      <c r="AE97" s="2">
        <v>0</v>
      </c>
      <c r="AF97" s="2">
        <v>0</v>
      </c>
      <c r="AG97" s="2">
        <v>0</v>
      </c>
      <c r="AH97" s="2">
        <v>0</v>
      </c>
      <c r="AI97" s="2">
        <v>0</v>
      </c>
      <c r="AJ97" s="2">
        <v>0</v>
      </c>
      <c r="AK97" s="2">
        <v>0</v>
      </c>
      <c r="AL97" s="2">
        <v>0</v>
      </c>
      <c r="AM97" s="2">
        <v>4.33</v>
      </c>
      <c r="AN97" s="2">
        <v>4.33</v>
      </c>
      <c r="AO97" s="2">
        <v>0</v>
      </c>
      <c r="AP97" s="2">
        <v>0</v>
      </c>
      <c r="AQ97" s="2">
        <v>0</v>
      </c>
    </row>
    <row r="98" spans="1:43" x14ac:dyDescent="0.25">
      <c r="A98" s="1">
        <v>45936</v>
      </c>
      <c r="B98" t="s">
        <v>48</v>
      </c>
      <c r="C98">
        <v>649163</v>
      </c>
      <c r="D98">
        <v>2016705959</v>
      </c>
      <c r="E98" t="s">
        <v>534</v>
      </c>
      <c r="F98" t="s">
        <v>535</v>
      </c>
      <c r="G98" t="s">
        <v>51</v>
      </c>
      <c r="H98" t="s">
        <v>88</v>
      </c>
      <c r="I98" t="s">
        <v>292</v>
      </c>
      <c r="J98" t="s">
        <v>536</v>
      </c>
      <c r="K98">
        <v>649793</v>
      </c>
      <c r="L98" t="s">
        <v>80</v>
      </c>
      <c r="M98" t="s">
        <v>537</v>
      </c>
      <c r="N98" t="s">
        <v>57</v>
      </c>
      <c r="O98" s="1">
        <v>44927</v>
      </c>
      <c r="Q98" s="1">
        <v>45962</v>
      </c>
      <c r="R98" s="2">
        <v>25.73</v>
      </c>
      <c r="S98">
        <v>1</v>
      </c>
      <c r="T98" t="s">
        <v>58</v>
      </c>
      <c r="U98" t="s">
        <v>359</v>
      </c>
      <c r="V98" s="3">
        <v>0.15</v>
      </c>
      <c r="W98" s="2">
        <v>0</v>
      </c>
      <c r="X98">
        <v>0</v>
      </c>
      <c r="Y98" t="s">
        <v>214</v>
      </c>
      <c r="Z98" t="s">
        <v>360</v>
      </c>
      <c r="AA98">
        <v>0</v>
      </c>
      <c r="AB98" s="2">
        <v>0</v>
      </c>
      <c r="AC98" s="2">
        <v>0</v>
      </c>
      <c r="AD98" s="3">
        <v>0</v>
      </c>
      <c r="AE98" s="2">
        <v>0</v>
      </c>
      <c r="AF98" s="2">
        <v>0</v>
      </c>
      <c r="AG98" s="2">
        <v>0</v>
      </c>
      <c r="AH98" s="2">
        <v>0</v>
      </c>
      <c r="AI98" s="2">
        <v>0</v>
      </c>
      <c r="AJ98" s="2">
        <v>0</v>
      </c>
      <c r="AK98" s="2">
        <v>0</v>
      </c>
      <c r="AL98" s="2">
        <v>0</v>
      </c>
      <c r="AM98" s="2">
        <v>3.86</v>
      </c>
      <c r="AN98" s="2">
        <v>3.86</v>
      </c>
      <c r="AO98" s="2">
        <v>0</v>
      </c>
      <c r="AP98" s="2">
        <v>0</v>
      </c>
      <c r="AQ98" s="2">
        <v>0</v>
      </c>
    </row>
    <row r="99" spans="1:43" x14ac:dyDescent="0.25">
      <c r="A99" s="1">
        <v>45936</v>
      </c>
      <c r="B99" t="s">
        <v>48</v>
      </c>
      <c r="C99">
        <v>649163</v>
      </c>
      <c r="D99">
        <v>2016794187</v>
      </c>
      <c r="E99" t="s">
        <v>538</v>
      </c>
      <c r="F99" t="s">
        <v>539</v>
      </c>
      <c r="G99" t="s">
        <v>51</v>
      </c>
      <c r="H99" t="s">
        <v>247</v>
      </c>
      <c r="I99" t="s">
        <v>292</v>
      </c>
      <c r="J99" t="s">
        <v>536</v>
      </c>
      <c r="K99">
        <v>649793</v>
      </c>
      <c r="L99" t="s">
        <v>80</v>
      </c>
      <c r="M99" t="s">
        <v>537</v>
      </c>
      <c r="N99" t="s">
        <v>57</v>
      </c>
      <c r="O99" s="1">
        <v>44927</v>
      </c>
      <c r="Q99" s="1">
        <v>45962</v>
      </c>
      <c r="R99" s="2">
        <v>21.44</v>
      </c>
      <c r="S99">
        <v>1</v>
      </c>
      <c r="T99" t="s">
        <v>58</v>
      </c>
      <c r="U99" t="s">
        <v>359</v>
      </c>
      <c r="V99" s="3">
        <v>0.15</v>
      </c>
      <c r="W99" s="2">
        <v>0</v>
      </c>
      <c r="X99">
        <v>0</v>
      </c>
      <c r="Y99" t="s">
        <v>214</v>
      </c>
      <c r="Z99" t="s">
        <v>360</v>
      </c>
      <c r="AA99">
        <v>0</v>
      </c>
      <c r="AB99" s="2">
        <v>0</v>
      </c>
      <c r="AC99" s="2">
        <v>0</v>
      </c>
      <c r="AD99" s="3">
        <v>0</v>
      </c>
      <c r="AE99" s="2">
        <v>0</v>
      </c>
      <c r="AF99" s="2">
        <v>0</v>
      </c>
      <c r="AG99" s="2">
        <v>0</v>
      </c>
      <c r="AH99" s="2">
        <v>0</v>
      </c>
      <c r="AI99" s="2">
        <v>0</v>
      </c>
      <c r="AJ99" s="2">
        <v>0</v>
      </c>
      <c r="AK99" s="2">
        <v>0</v>
      </c>
      <c r="AL99" s="2">
        <v>0</v>
      </c>
      <c r="AM99" s="2">
        <v>3.22</v>
      </c>
      <c r="AN99" s="2">
        <v>3.22</v>
      </c>
      <c r="AO99" s="2">
        <v>0</v>
      </c>
      <c r="AP99" s="2">
        <v>0</v>
      </c>
      <c r="AQ99" s="2">
        <v>0</v>
      </c>
    </row>
    <row r="100" spans="1:43" x14ac:dyDescent="0.25">
      <c r="A100" s="1">
        <v>45936</v>
      </c>
      <c r="B100" t="s">
        <v>48</v>
      </c>
      <c r="C100">
        <v>649163</v>
      </c>
      <c r="D100">
        <v>2016814851</v>
      </c>
      <c r="E100" t="s">
        <v>540</v>
      </c>
      <c r="F100" t="s">
        <v>541</v>
      </c>
      <c r="G100" t="s">
        <v>51</v>
      </c>
      <c r="H100" t="s">
        <v>88</v>
      </c>
      <c r="I100" t="s">
        <v>292</v>
      </c>
      <c r="J100" t="s">
        <v>536</v>
      </c>
      <c r="K100">
        <v>649793</v>
      </c>
      <c r="L100" t="s">
        <v>80</v>
      </c>
      <c r="M100" t="s">
        <v>537</v>
      </c>
      <c r="N100" t="s">
        <v>57</v>
      </c>
      <c r="O100" s="1">
        <v>44927</v>
      </c>
      <c r="Q100" s="1">
        <v>45962</v>
      </c>
      <c r="R100" s="2">
        <v>25.73</v>
      </c>
      <c r="S100">
        <v>1</v>
      </c>
      <c r="T100" t="s">
        <v>58</v>
      </c>
      <c r="U100" t="s">
        <v>359</v>
      </c>
      <c r="V100" s="3">
        <v>0.15</v>
      </c>
      <c r="W100" s="2">
        <v>0</v>
      </c>
      <c r="X100">
        <v>0</v>
      </c>
      <c r="Y100" t="s">
        <v>214</v>
      </c>
      <c r="Z100" t="s">
        <v>360</v>
      </c>
      <c r="AA100">
        <v>0</v>
      </c>
      <c r="AB100" s="2">
        <v>0</v>
      </c>
      <c r="AC100" s="2">
        <v>0</v>
      </c>
      <c r="AD100" s="3">
        <v>0</v>
      </c>
      <c r="AE100" s="2">
        <v>0</v>
      </c>
      <c r="AF100" s="2">
        <v>0</v>
      </c>
      <c r="AG100" s="2">
        <v>0</v>
      </c>
      <c r="AH100" s="2">
        <v>0</v>
      </c>
      <c r="AI100" s="2">
        <v>0</v>
      </c>
      <c r="AJ100" s="2">
        <v>0</v>
      </c>
      <c r="AK100" s="2">
        <v>0</v>
      </c>
      <c r="AL100" s="2">
        <v>0</v>
      </c>
      <c r="AM100" s="2">
        <v>3.86</v>
      </c>
      <c r="AN100" s="2">
        <v>3.86</v>
      </c>
      <c r="AO100" s="2">
        <v>0</v>
      </c>
      <c r="AP100" s="2">
        <v>0</v>
      </c>
      <c r="AQ100" s="2">
        <v>0</v>
      </c>
    </row>
    <row r="101" spans="1:43" x14ac:dyDescent="0.25">
      <c r="A101" s="1">
        <v>45936</v>
      </c>
      <c r="B101" t="s">
        <v>48</v>
      </c>
      <c r="C101">
        <v>649163</v>
      </c>
      <c r="D101">
        <v>2017242800</v>
      </c>
      <c r="E101" t="s">
        <v>542</v>
      </c>
      <c r="F101" t="s">
        <v>543</v>
      </c>
      <c r="G101" t="s">
        <v>51</v>
      </c>
      <c r="H101" t="s">
        <v>88</v>
      </c>
      <c r="I101" t="s">
        <v>292</v>
      </c>
      <c r="J101" t="s">
        <v>536</v>
      </c>
      <c r="K101">
        <v>652037</v>
      </c>
      <c r="L101" t="s">
        <v>172</v>
      </c>
      <c r="M101" t="s">
        <v>173</v>
      </c>
      <c r="N101" t="s">
        <v>57</v>
      </c>
      <c r="O101" s="1">
        <v>44930</v>
      </c>
      <c r="Q101" s="1">
        <v>45965</v>
      </c>
      <c r="R101" s="2">
        <v>25.73</v>
      </c>
      <c r="S101">
        <v>1</v>
      </c>
      <c r="T101" t="s">
        <v>58</v>
      </c>
      <c r="U101" t="s">
        <v>359</v>
      </c>
      <c r="V101" s="3">
        <v>0.15</v>
      </c>
      <c r="W101" s="2">
        <v>0</v>
      </c>
      <c r="X101">
        <v>0</v>
      </c>
      <c r="Y101" t="s">
        <v>214</v>
      </c>
      <c r="Z101" t="s">
        <v>360</v>
      </c>
      <c r="AA101">
        <v>0</v>
      </c>
      <c r="AB101" s="2">
        <v>0</v>
      </c>
      <c r="AC101" s="2">
        <v>0</v>
      </c>
      <c r="AD101" s="3">
        <v>0</v>
      </c>
      <c r="AE101" s="2">
        <v>0</v>
      </c>
      <c r="AF101" s="2">
        <v>0</v>
      </c>
      <c r="AG101" s="2">
        <v>0</v>
      </c>
      <c r="AH101" s="2">
        <v>0</v>
      </c>
      <c r="AI101" s="2">
        <v>0</v>
      </c>
      <c r="AJ101" s="2">
        <v>0</v>
      </c>
      <c r="AK101" s="2">
        <v>0</v>
      </c>
      <c r="AL101" s="2">
        <v>0</v>
      </c>
      <c r="AM101" s="2">
        <v>3.86</v>
      </c>
      <c r="AN101" s="2">
        <v>3.86</v>
      </c>
      <c r="AO101" s="2">
        <v>0</v>
      </c>
      <c r="AP101" s="2">
        <v>0</v>
      </c>
      <c r="AQ101" s="2">
        <v>0</v>
      </c>
    </row>
    <row r="102" spans="1:43" x14ac:dyDescent="0.25">
      <c r="A102" s="1">
        <v>45936</v>
      </c>
      <c r="B102" t="s">
        <v>48</v>
      </c>
      <c r="C102">
        <v>649163</v>
      </c>
      <c r="D102">
        <v>2017242803</v>
      </c>
      <c r="E102" t="s">
        <v>542</v>
      </c>
      <c r="F102" t="s">
        <v>543</v>
      </c>
      <c r="G102" t="s">
        <v>51</v>
      </c>
      <c r="H102" t="s">
        <v>88</v>
      </c>
      <c r="I102" t="s">
        <v>292</v>
      </c>
      <c r="J102" t="s">
        <v>295</v>
      </c>
      <c r="K102">
        <v>652037</v>
      </c>
      <c r="L102" t="s">
        <v>172</v>
      </c>
      <c r="M102" t="s">
        <v>173</v>
      </c>
      <c r="N102" t="s">
        <v>57</v>
      </c>
      <c r="O102" s="1">
        <v>44930</v>
      </c>
      <c r="Q102" s="1">
        <v>45965</v>
      </c>
      <c r="R102" s="2">
        <v>51.63</v>
      </c>
      <c r="S102">
        <v>1</v>
      </c>
      <c r="T102" t="s">
        <v>58</v>
      </c>
      <c r="U102" t="s">
        <v>359</v>
      </c>
      <c r="V102" s="3">
        <v>0.1</v>
      </c>
      <c r="W102" s="2">
        <v>0</v>
      </c>
      <c r="X102">
        <v>0</v>
      </c>
      <c r="Y102" t="s">
        <v>214</v>
      </c>
      <c r="Z102" t="s">
        <v>360</v>
      </c>
      <c r="AA102">
        <v>0</v>
      </c>
      <c r="AB102" s="2">
        <v>0</v>
      </c>
      <c r="AC102" s="2">
        <v>0</v>
      </c>
      <c r="AD102" s="3">
        <v>0</v>
      </c>
      <c r="AE102" s="2">
        <v>0</v>
      </c>
      <c r="AF102" s="2">
        <v>0</v>
      </c>
      <c r="AG102" s="2">
        <v>0</v>
      </c>
      <c r="AH102" s="2">
        <v>0</v>
      </c>
      <c r="AI102" s="2">
        <v>0</v>
      </c>
      <c r="AJ102" s="2">
        <v>0</v>
      </c>
      <c r="AK102" s="2">
        <v>0</v>
      </c>
      <c r="AL102" s="2">
        <v>0</v>
      </c>
      <c r="AM102" s="2">
        <v>5.16</v>
      </c>
      <c r="AN102" s="2">
        <v>5.16</v>
      </c>
      <c r="AO102" s="2">
        <v>0</v>
      </c>
      <c r="AP102" s="2">
        <v>0</v>
      </c>
      <c r="AQ102" s="2">
        <v>0</v>
      </c>
    </row>
    <row r="103" spans="1:43" x14ac:dyDescent="0.25">
      <c r="A103" s="1">
        <v>45936</v>
      </c>
      <c r="B103" t="s">
        <v>48</v>
      </c>
      <c r="C103">
        <v>649163</v>
      </c>
      <c r="D103">
        <v>2017534892</v>
      </c>
      <c r="E103" t="s">
        <v>544</v>
      </c>
      <c r="F103" t="s">
        <v>371</v>
      </c>
      <c r="G103" t="s">
        <v>51</v>
      </c>
      <c r="H103" t="s">
        <v>247</v>
      </c>
      <c r="I103" t="s">
        <v>292</v>
      </c>
      <c r="J103" t="s">
        <v>536</v>
      </c>
      <c r="K103">
        <v>649793</v>
      </c>
      <c r="L103" t="s">
        <v>80</v>
      </c>
      <c r="M103" t="s">
        <v>537</v>
      </c>
      <c r="N103" t="s">
        <v>57</v>
      </c>
      <c r="O103" s="1">
        <v>44986</v>
      </c>
      <c r="Q103" s="1">
        <v>45962</v>
      </c>
      <c r="R103" s="2">
        <v>42.88</v>
      </c>
      <c r="S103">
        <v>1</v>
      </c>
      <c r="T103" t="s">
        <v>58</v>
      </c>
      <c r="U103" t="s">
        <v>359</v>
      </c>
      <c r="V103" s="3">
        <v>0.15</v>
      </c>
      <c r="W103" s="2">
        <v>0</v>
      </c>
      <c r="X103">
        <v>0</v>
      </c>
      <c r="Y103" t="s">
        <v>214</v>
      </c>
      <c r="Z103" t="s">
        <v>360</v>
      </c>
      <c r="AA103">
        <v>0</v>
      </c>
      <c r="AB103" s="2">
        <v>0</v>
      </c>
      <c r="AC103" s="2">
        <v>0</v>
      </c>
      <c r="AD103" s="3">
        <v>0</v>
      </c>
      <c r="AE103" s="2">
        <v>0</v>
      </c>
      <c r="AF103" s="2">
        <v>0</v>
      </c>
      <c r="AG103" s="2">
        <v>0</v>
      </c>
      <c r="AH103" s="2">
        <v>0</v>
      </c>
      <c r="AI103" s="2">
        <v>0</v>
      </c>
      <c r="AJ103" s="2">
        <v>0</v>
      </c>
      <c r="AK103" s="2">
        <v>0</v>
      </c>
      <c r="AL103" s="2">
        <v>0</v>
      </c>
      <c r="AM103" s="2">
        <v>6.43</v>
      </c>
      <c r="AN103" s="2">
        <v>6.43</v>
      </c>
      <c r="AO103" s="2">
        <v>0</v>
      </c>
      <c r="AP103" s="2">
        <v>0</v>
      </c>
      <c r="AQ103" s="2">
        <v>0</v>
      </c>
    </row>
    <row r="104" spans="1:43" x14ac:dyDescent="0.25">
      <c r="A104" s="1">
        <v>45936</v>
      </c>
      <c r="B104" t="s">
        <v>48</v>
      </c>
      <c r="C104">
        <v>649163</v>
      </c>
      <c r="D104">
        <v>2017585588</v>
      </c>
      <c r="E104" t="s">
        <v>545</v>
      </c>
      <c r="F104" t="s">
        <v>478</v>
      </c>
      <c r="G104" t="s">
        <v>51</v>
      </c>
      <c r="H104" t="s">
        <v>323</v>
      </c>
      <c r="I104" t="s">
        <v>292</v>
      </c>
      <c r="J104" t="s">
        <v>293</v>
      </c>
      <c r="K104">
        <v>649793</v>
      </c>
      <c r="L104" t="s">
        <v>80</v>
      </c>
      <c r="M104" t="s">
        <v>537</v>
      </c>
      <c r="N104" t="s">
        <v>57</v>
      </c>
      <c r="O104" s="1">
        <v>44986</v>
      </c>
      <c r="Q104" s="1">
        <v>45962</v>
      </c>
      <c r="R104" s="2">
        <v>26.82</v>
      </c>
      <c r="S104">
        <v>1</v>
      </c>
      <c r="T104" t="s">
        <v>58</v>
      </c>
      <c r="U104" t="s">
        <v>359</v>
      </c>
      <c r="V104" s="3">
        <v>0.15</v>
      </c>
      <c r="W104" s="2">
        <v>0</v>
      </c>
      <c r="X104">
        <v>0</v>
      </c>
      <c r="Y104" t="s">
        <v>214</v>
      </c>
      <c r="Z104" t="s">
        <v>360</v>
      </c>
      <c r="AA104">
        <v>0</v>
      </c>
      <c r="AB104" s="2">
        <v>0</v>
      </c>
      <c r="AC104" s="2">
        <v>0</v>
      </c>
      <c r="AD104" s="3">
        <v>0</v>
      </c>
      <c r="AE104" s="2">
        <v>0</v>
      </c>
      <c r="AF104" s="2">
        <v>0</v>
      </c>
      <c r="AG104" s="2">
        <v>0</v>
      </c>
      <c r="AH104" s="2">
        <v>0</v>
      </c>
      <c r="AI104" s="2">
        <v>0</v>
      </c>
      <c r="AJ104" s="2">
        <v>0</v>
      </c>
      <c r="AK104" s="2">
        <v>0</v>
      </c>
      <c r="AL104" s="2">
        <v>0</v>
      </c>
      <c r="AM104" s="2">
        <v>4.0199999999999996</v>
      </c>
      <c r="AN104" s="2">
        <v>4.0199999999999996</v>
      </c>
      <c r="AO104" s="2">
        <v>0</v>
      </c>
      <c r="AP104" s="2">
        <v>0</v>
      </c>
      <c r="AQ104" s="2">
        <v>0</v>
      </c>
    </row>
    <row r="105" spans="1:43" x14ac:dyDescent="0.25">
      <c r="A105" s="1">
        <v>45936</v>
      </c>
      <c r="B105" t="s">
        <v>48</v>
      </c>
      <c r="C105">
        <v>649163</v>
      </c>
      <c r="D105">
        <v>2017585589</v>
      </c>
      <c r="E105" t="s">
        <v>545</v>
      </c>
      <c r="F105" t="s">
        <v>478</v>
      </c>
      <c r="G105" t="s">
        <v>51</v>
      </c>
      <c r="H105" t="s">
        <v>323</v>
      </c>
      <c r="I105" t="s">
        <v>292</v>
      </c>
      <c r="J105" t="s">
        <v>536</v>
      </c>
      <c r="K105">
        <v>649793</v>
      </c>
      <c r="L105" t="s">
        <v>80</v>
      </c>
      <c r="M105" t="s">
        <v>537</v>
      </c>
      <c r="N105" t="s">
        <v>57</v>
      </c>
      <c r="O105" s="1">
        <v>44986</v>
      </c>
      <c r="Q105" s="1">
        <v>45962</v>
      </c>
      <c r="R105" s="2">
        <v>25.73</v>
      </c>
      <c r="S105">
        <v>1</v>
      </c>
      <c r="T105" t="s">
        <v>58</v>
      </c>
      <c r="U105" t="s">
        <v>359</v>
      </c>
      <c r="V105" s="3">
        <v>0.15</v>
      </c>
      <c r="W105" s="2">
        <v>0</v>
      </c>
      <c r="X105">
        <v>0</v>
      </c>
      <c r="Y105" t="s">
        <v>214</v>
      </c>
      <c r="Z105" t="s">
        <v>360</v>
      </c>
      <c r="AA105">
        <v>0</v>
      </c>
      <c r="AB105" s="2">
        <v>0</v>
      </c>
      <c r="AC105" s="2">
        <v>0</v>
      </c>
      <c r="AD105" s="3">
        <v>0</v>
      </c>
      <c r="AE105" s="2">
        <v>0</v>
      </c>
      <c r="AF105" s="2">
        <v>0</v>
      </c>
      <c r="AG105" s="2">
        <v>0</v>
      </c>
      <c r="AH105" s="2">
        <v>0</v>
      </c>
      <c r="AI105" s="2">
        <v>0</v>
      </c>
      <c r="AJ105" s="2">
        <v>0</v>
      </c>
      <c r="AK105" s="2">
        <v>0</v>
      </c>
      <c r="AL105" s="2">
        <v>0</v>
      </c>
      <c r="AM105" s="2">
        <v>3.86</v>
      </c>
      <c r="AN105" s="2">
        <v>3.86</v>
      </c>
      <c r="AO105" s="2">
        <v>0</v>
      </c>
      <c r="AP105" s="2">
        <v>0</v>
      </c>
      <c r="AQ105" s="2">
        <v>0</v>
      </c>
    </row>
    <row r="106" spans="1:43" x14ac:dyDescent="0.25">
      <c r="A106" s="1">
        <v>45936</v>
      </c>
      <c r="B106" t="s">
        <v>48</v>
      </c>
      <c r="C106">
        <v>649163</v>
      </c>
      <c r="D106">
        <v>2017629364</v>
      </c>
      <c r="E106" t="s">
        <v>546</v>
      </c>
      <c r="F106" t="s">
        <v>547</v>
      </c>
      <c r="G106" t="s">
        <v>51</v>
      </c>
      <c r="H106" t="s">
        <v>150</v>
      </c>
      <c r="I106" t="s">
        <v>292</v>
      </c>
      <c r="J106" t="s">
        <v>293</v>
      </c>
      <c r="K106">
        <v>649793</v>
      </c>
      <c r="L106" t="s">
        <v>80</v>
      </c>
      <c r="M106" t="s">
        <v>537</v>
      </c>
      <c r="N106" t="s">
        <v>57</v>
      </c>
      <c r="O106" s="1">
        <v>44994</v>
      </c>
      <c r="Q106" s="1">
        <v>45970</v>
      </c>
      <c r="R106" s="2">
        <v>58.95</v>
      </c>
      <c r="S106">
        <v>1</v>
      </c>
      <c r="T106" t="s">
        <v>58</v>
      </c>
      <c r="U106" t="s">
        <v>359</v>
      </c>
      <c r="V106" s="3">
        <v>0.15</v>
      </c>
      <c r="W106" s="2">
        <v>0</v>
      </c>
      <c r="X106">
        <v>0</v>
      </c>
      <c r="Y106" t="s">
        <v>214</v>
      </c>
      <c r="Z106" t="s">
        <v>360</v>
      </c>
      <c r="AA106">
        <v>0</v>
      </c>
      <c r="AB106" s="2">
        <v>0</v>
      </c>
      <c r="AC106" s="2">
        <v>0</v>
      </c>
      <c r="AD106" s="3">
        <v>0</v>
      </c>
      <c r="AE106" s="2">
        <v>0</v>
      </c>
      <c r="AF106" s="2">
        <v>0</v>
      </c>
      <c r="AG106" s="2">
        <v>0</v>
      </c>
      <c r="AH106" s="2">
        <v>0</v>
      </c>
      <c r="AI106" s="2">
        <v>0</v>
      </c>
      <c r="AJ106" s="2">
        <v>0</v>
      </c>
      <c r="AK106" s="2">
        <v>0</v>
      </c>
      <c r="AL106" s="2">
        <v>0</v>
      </c>
      <c r="AM106" s="2">
        <v>8.84</v>
      </c>
      <c r="AN106" s="2">
        <v>8.84</v>
      </c>
      <c r="AO106" s="2">
        <v>0</v>
      </c>
      <c r="AP106" s="2">
        <v>0</v>
      </c>
      <c r="AQ106" s="2">
        <v>0</v>
      </c>
    </row>
    <row r="107" spans="1:43" x14ac:dyDescent="0.25">
      <c r="A107" s="1">
        <v>45936</v>
      </c>
      <c r="B107" t="s">
        <v>48</v>
      </c>
      <c r="C107">
        <v>649163</v>
      </c>
      <c r="D107">
        <v>2030375983</v>
      </c>
      <c r="E107" t="s">
        <v>94</v>
      </c>
      <c r="F107" t="s">
        <v>548</v>
      </c>
      <c r="G107" t="s">
        <v>51</v>
      </c>
      <c r="H107" t="s">
        <v>150</v>
      </c>
      <c r="I107" t="s">
        <v>344</v>
      </c>
      <c r="J107" t="s">
        <v>345</v>
      </c>
      <c r="K107">
        <v>877790</v>
      </c>
      <c r="L107" t="s">
        <v>151</v>
      </c>
      <c r="M107" t="s">
        <v>152</v>
      </c>
      <c r="N107" t="s">
        <v>57</v>
      </c>
      <c r="O107" s="1">
        <v>45877</v>
      </c>
      <c r="Q107" s="1">
        <v>45969</v>
      </c>
      <c r="R107" s="2">
        <v>123.37</v>
      </c>
      <c r="S107">
        <v>1</v>
      </c>
      <c r="T107" t="s">
        <v>58</v>
      </c>
      <c r="U107" t="s">
        <v>359</v>
      </c>
      <c r="V107" s="3">
        <v>0.19</v>
      </c>
      <c r="W107" s="2">
        <v>0</v>
      </c>
      <c r="X107">
        <v>0</v>
      </c>
      <c r="Y107" t="s">
        <v>60</v>
      </c>
      <c r="Z107" t="s">
        <v>360</v>
      </c>
      <c r="AA107">
        <v>0</v>
      </c>
      <c r="AB107" s="2">
        <v>0</v>
      </c>
      <c r="AC107" s="2">
        <v>0</v>
      </c>
      <c r="AD107" s="3">
        <v>0</v>
      </c>
      <c r="AE107" s="2">
        <v>0</v>
      </c>
      <c r="AF107" s="2">
        <v>0</v>
      </c>
      <c r="AG107" s="2">
        <v>0</v>
      </c>
      <c r="AH107" s="2">
        <v>0</v>
      </c>
      <c r="AI107" s="2">
        <v>0</v>
      </c>
      <c r="AJ107" s="2">
        <v>0</v>
      </c>
      <c r="AK107" s="2">
        <v>0</v>
      </c>
      <c r="AL107" s="2">
        <v>23.44</v>
      </c>
      <c r="AM107" s="2">
        <v>0</v>
      </c>
      <c r="AN107" s="2">
        <v>0</v>
      </c>
      <c r="AO107" s="2">
        <v>0</v>
      </c>
      <c r="AP107" s="2">
        <v>0</v>
      </c>
      <c r="AQ107" s="2">
        <v>0</v>
      </c>
    </row>
    <row r="108" spans="1:43" x14ac:dyDescent="0.25">
      <c r="A108" s="1">
        <v>45936</v>
      </c>
      <c r="B108" t="s">
        <v>48</v>
      </c>
      <c r="C108">
        <v>649163</v>
      </c>
      <c r="D108">
        <v>2030905164</v>
      </c>
      <c r="E108" t="s">
        <v>549</v>
      </c>
      <c r="F108" t="s">
        <v>550</v>
      </c>
      <c r="G108" t="s">
        <v>51</v>
      </c>
      <c r="H108" t="s">
        <v>52</v>
      </c>
      <c r="I108" t="s">
        <v>344</v>
      </c>
      <c r="J108" t="s">
        <v>346</v>
      </c>
      <c r="K108">
        <v>753748</v>
      </c>
      <c r="L108" t="s">
        <v>97</v>
      </c>
      <c r="M108" t="s">
        <v>98</v>
      </c>
      <c r="N108" t="s">
        <v>57</v>
      </c>
      <c r="O108" s="1">
        <v>45906</v>
      </c>
      <c r="Q108" s="1">
        <v>45967</v>
      </c>
      <c r="R108" s="2">
        <v>256.08999999999997</v>
      </c>
      <c r="S108">
        <v>1</v>
      </c>
      <c r="T108" t="s">
        <v>58</v>
      </c>
      <c r="U108" t="s">
        <v>359</v>
      </c>
      <c r="V108" s="3">
        <v>0.28999999999999998</v>
      </c>
      <c r="W108" s="2">
        <v>0</v>
      </c>
      <c r="X108">
        <v>0</v>
      </c>
      <c r="Y108" t="s">
        <v>60</v>
      </c>
      <c r="Z108" t="s">
        <v>360</v>
      </c>
      <c r="AA108">
        <v>0</v>
      </c>
      <c r="AB108" s="2">
        <v>0</v>
      </c>
      <c r="AC108" s="2">
        <v>0</v>
      </c>
      <c r="AD108" s="3">
        <v>0</v>
      </c>
      <c r="AE108" s="2">
        <v>0</v>
      </c>
      <c r="AF108" s="2">
        <v>0</v>
      </c>
      <c r="AG108" s="2">
        <v>0</v>
      </c>
      <c r="AH108" s="2">
        <v>0</v>
      </c>
      <c r="AI108" s="2">
        <v>0</v>
      </c>
      <c r="AJ108" s="2">
        <v>0</v>
      </c>
      <c r="AK108" s="2">
        <v>0</v>
      </c>
      <c r="AL108" s="2">
        <v>74.27</v>
      </c>
      <c r="AM108" s="2">
        <v>0</v>
      </c>
      <c r="AN108" s="2">
        <v>0</v>
      </c>
      <c r="AO108" s="2">
        <v>0</v>
      </c>
      <c r="AP108" s="2">
        <v>0</v>
      </c>
      <c r="AQ108" s="2">
        <v>0</v>
      </c>
    </row>
    <row r="109" spans="1:43" x14ac:dyDescent="0.25">
      <c r="A109" s="1">
        <v>45936</v>
      </c>
      <c r="B109" t="s">
        <v>48</v>
      </c>
      <c r="C109">
        <v>649163</v>
      </c>
      <c r="D109">
        <v>2030917276</v>
      </c>
      <c r="E109" t="s">
        <v>551</v>
      </c>
      <c r="F109" t="s">
        <v>552</v>
      </c>
      <c r="G109" t="s">
        <v>51</v>
      </c>
      <c r="H109" t="s">
        <v>247</v>
      </c>
      <c r="I109" t="s">
        <v>344</v>
      </c>
      <c r="J109" t="s">
        <v>553</v>
      </c>
      <c r="K109">
        <v>874230</v>
      </c>
      <c r="L109" t="s">
        <v>554</v>
      </c>
      <c r="M109" t="s">
        <v>555</v>
      </c>
      <c r="N109" t="s">
        <v>57</v>
      </c>
      <c r="O109" s="1">
        <v>45910</v>
      </c>
      <c r="Q109" s="1">
        <v>45971</v>
      </c>
      <c r="R109" s="2">
        <v>247.54</v>
      </c>
      <c r="S109">
        <v>1</v>
      </c>
      <c r="T109" t="s">
        <v>58</v>
      </c>
      <c r="U109" t="s">
        <v>359</v>
      </c>
      <c r="V109" s="3">
        <v>0.19</v>
      </c>
      <c r="W109" s="2">
        <v>0</v>
      </c>
      <c r="X109">
        <v>0</v>
      </c>
      <c r="Y109" t="s">
        <v>60</v>
      </c>
      <c r="Z109" t="s">
        <v>360</v>
      </c>
      <c r="AA109">
        <v>0</v>
      </c>
      <c r="AB109" s="2">
        <v>0</v>
      </c>
      <c r="AC109" s="2">
        <v>0</v>
      </c>
      <c r="AD109" s="3">
        <v>0</v>
      </c>
      <c r="AE109" s="2">
        <v>0</v>
      </c>
      <c r="AF109" s="2">
        <v>0</v>
      </c>
      <c r="AG109" s="2">
        <v>0</v>
      </c>
      <c r="AH109" s="2">
        <v>0</v>
      </c>
      <c r="AI109" s="2">
        <v>0</v>
      </c>
      <c r="AJ109" s="2">
        <v>0</v>
      </c>
      <c r="AK109" s="2">
        <v>0</v>
      </c>
      <c r="AL109" s="2">
        <v>47.03</v>
      </c>
      <c r="AM109" s="2">
        <v>0</v>
      </c>
      <c r="AN109" s="2">
        <v>0</v>
      </c>
      <c r="AO109" s="2">
        <v>0</v>
      </c>
      <c r="AP109" s="2">
        <v>0</v>
      </c>
      <c r="AQ109" s="2">
        <v>0</v>
      </c>
    </row>
    <row r="110" spans="1:43" x14ac:dyDescent="0.25">
      <c r="A110" s="1">
        <v>45936</v>
      </c>
      <c r="B110" t="s">
        <v>48</v>
      </c>
      <c r="C110">
        <v>649163</v>
      </c>
      <c r="D110">
        <v>2030934309</v>
      </c>
      <c r="E110" t="s">
        <v>556</v>
      </c>
      <c r="F110" t="s">
        <v>557</v>
      </c>
      <c r="G110" t="s">
        <v>51</v>
      </c>
      <c r="H110" t="s">
        <v>427</v>
      </c>
      <c r="I110" t="s">
        <v>344</v>
      </c>
      <c r="J110" t="s">
        <v>346</v>
      </c>
      <c r="K110">
        <v>812994</v>
      </c>
      <c r="L110" t="s">
        <v>428</v>
      </c>
      <c r="M110" t="s">
        <v>309</v>
      </c>
      <c r="N110" t="s">
        <v>456</v>
      </c>
      <c r="O110" s="1">
        <v>45909</v>
      </c>
      <c r="P110" s="1">
        <v>45936</v>
      </c>
      <c r="Q110" s="1">
        <v>45939</v>
      </c>
      <c r="R110" s="2">
        <v>-169.05</v>
      </c>
      <c r="S110">
        <v>1</v>
      </c>
      <c r="T110" t="s">
        <v>58</v>
      </c>
      <c r="U110" t="s">
        <v>221</v>
      </c>
      <c r="V110" s="3">
        <v>0.28999999999999998</v>
      </c>
      <c r="W110" s="2">
        <v>0</v>
      </c>
      <c r="X110">
        <v>-1</v>
      </c>
      <c r="Y110" t="s">
        <v>60</v>
      </c>
      <c r="Z110" t="s">
        <v>360</v>
      </c>
      <c r="AA110">
        <v>0</v>
      </c>
      <c r="AB110" s="2">
        <v>0</v>
      </c>
      <c r="AC110" s="2">
        <v>0</v>
      </c>
      <c r="AD110" s="3">
        <v>0</v>
      </c>
      <c r="AE110" s="2">
        <v>0</v>
      </c>
      <c r="AF110" s="2">
        <v>0</v>
      </c>
      <c r="AG110" s="2">
        <v>0</v>
      </c>
      <c r="AH110" s="2">
        <v>0</v>
      </c>
      <c r="AI110" s="2">
        <v>0</v>
      </c>
      <c r="AJ110" s="2">
        <v>0</v>
      </c>
      <c r="AK110" s="2">
        <v>0</v>
      </c>
      <c r="AL110" s="2">
        <v>0</v>
      </c>
      <c r="AM110" s="2">
        <v>-49.02</v>
      </c>
      <c r="AN110" s="2">
        <v>-49.02</v>
      </c>
      <c r="AO110" s="2">
        <v>0</v>
      </c>
      <c r="AP110" s="2">
        <v>0</v>
      </c>
      <c r="AQ110" s="2">
        <v>0</v>
      </c>
    </row>
    <row r="111" spans="1:43" x14ac:dyDescent="0.25">
      <c r="A111" s="1">
        <v>45936</v>
      </c>
      <c r="B111" t="s">
        <v>48</v>
      </c>
      <c r="C111">
        <v>649163</v>
      </c>
      <c r="D111">
        <v>2016468518</v>
      </c>
      <c r="E111" t="s">
        <v>558</v>
      </c>
      <c r="F111" t="s">
        <v>559</v>
      </c>
      <c r="G111" t="s">
        <v>51</v>
      </c>
      <c r="H111" t="s">
        <v>70</v>
      </c>
      <c r="I111" t="s">
        <v>350</v>
      </c>
      <c r="J111" t="s">
        <v>351</v>
      </c>
      <c r="K111">
        <v>649164</v>
      </c>
      <c r="L111" t="s">
        <v>211</v>
      </c>
      <c r="M111" t="s">
        <v>212</v>
      </c>
      <c r="N111" t="s">
        <v>57</v>
      </c>
      <c r="O111" s="1">
        <v>44866</v>
      </c>
      <c r="Q111" s="1">
        <v>45962</v>
      </c>
      <c r="R111" s="2">
        <v>61.19</v>
      </c>
      <c r="S111">
        <v>1</v>
      </c>
      <c r="T111" t="s">
        <v>58</v>
      </c>
      <c r="U111" t="s">
        <v>359</v>
      </c>
      <c r="V111" s="4">
        <v>5.2499999999999998E-2</v>
      </c>
      <c r="W111" s="2">
        <v>0</v>
      </c>
      <c r="X111">
        <v>0</v>
      </c>
      <c r="Y111" t="s">
        <v>214</v>
      </c>
      <c r="Z111" t="s">
        <v>360</v>
      </c>
      <c r="AA111">
        <v>0</v>
      </c>
      <c r="AB111" s="2">
        <v>0</v>
      </c>
      <c r="AC111" s="2">
        <v>0</v>
      </c>
      <c r="AD111" s="3">
        <v>0</v>
      </c>
      <c r="AE111" s="2">
        <v>0</v>
      </c>
      <c r="AF111" s="2">
        <v>0</v>
      </c>
      <c r="AG111" s="2">
        <v>0</v>
      </c>
      <c r="AH111" s="2">
        <v>0</v>
      </c>
      <c r="AI111" s="2">
        <v>0</v>
      </c>
      <c r="AJ111" s="2">
        <v>0</v>
      </c>
      <c r="AK111" s="2">
        <v>0</v>
      </c>
      <c r="AL111" s="2">
        <v>0</v>
      </c>
      <c r="AM111" s="2">
        <v>3.21</v>
      </c>
      <c r="AN111" s="2">
        <v>3.21</v>
      </c>
      <c r="AO111" s="2">
        <v>0</v>
      </c>
      <c r="AP111" s="2">
        <v>0</v>
      </c>
      <c r="AQ111" s="2">
        <v>0</v>
      </c>
    </row>
    <row r="112" spans="1:43" x14ac:dyDescent="0.25">
      <c r="A112" s="1">
        <v>45936</v>
      </c>
      <c r="B112" t="s">
        <v>48</v>
      </c>
      <c r="C112">
        <v>649163</v>
      </c>
      <c r="D112">
        <v>2016627945</v>
      </c>
      <c r="E112" t="s">
        <v>560</v>
      </c>
      <c r="F112" t="s">
        <v>161</v>
      </c>
      <c r="G112" t="s">
        <v>51</v>
      </c>
      <c r="H112" t="s">
        <v>70</v>
      </c>
      <c r="I112" t="s">
        <v>350</v>
      </c>
      <c r="J112" t="s">
        <v>351</v>
      </c>
      <c r="K112">
        <v>649164</v>
      </c>
      <c r="L112" t="s">
        <v>211</v>
      </c>
      <c r="M112" t="s">
        <v>212</v>
      </c>
      <c r="N112" t="s">
        <v>57</v>
      </c>
      <c r="O112" s="1">
        <v>44927</v>
      </c>
      <c r="Q112" s="1">
        <v>45962</v>
      </c>
      <c r="R112" s="2">
        <v>55.54</v>
      </c>
      <c r="S112">
        <v>1</v>
      </c>
      <c r="T112" t="s">
        <v>58</v>
      </c>
      <c r="U112" t="s">
        <v>359</v>
      </c>
      <c r="V112" s="4">
        <v>5.2499999999999998E-2</v>
      </c>
      <c r="W112" s="2">
        <v>0</v>
      </c>
      <c r="X112">
        <v>0</v>
      </c>
      <c r="Y112" t="s">
        <v>214</v>
      </c>
      <c r="Z112" t="s">
        <v>360</v>
      </c>
      <c r="AA112">
        <v>0</v>
      </c>
      <c r="AB112" s="2">
        <v>0</v>
      </c>
      <c r="AC112" s="2">
        <v>0</v>
      </c>
      <c r="AD112" s="3">
        <v>0</v>
      </c>
      <c r="AE112" s="2">
        <v>0</v>
      </c>
      <c r="AF112" s="2">
        <v>0</v>
      </c>
      <c r="AG112" s="2">
        <v>0</v>
      </c>
      <c r="AH112" s="2">
        <v>0</v>
      </c>
      <c r="AI112" s="2">
        <v>0</v>
      </c>
      <c r="AJ112" s="2">
        <v>0</v>
      </c>
      <c r="AK112" s="2">
        <v>0</v>
      </c>
      <c r="AL112" s="2">
        <v>0</v>
      </c>
      <c r="AM112" s="2">
        <v>2.92</v>
      </c>
      <c r="AN112" s="2">
        <v>2.92</v>
      </c>
      <c r="AO112" s="2">
        <v>0</v>
      </c>
      <c r="AP112" s="2">
        <v>0</v>
      </c>
      <c r="AQ112" s="2">
        <v>0</v>
      </c>
    </row>
    <row r="113" spans="1:43" x14ac:dyDescent="0.25">
      <c r="A113" s="1">
        <v>45936</v>
      </c>
      <c r="B113" t="s">
        <v>48</v>
      </c>
      <c r="C113">
        <v>649163</v>
      </c>
      <c r="D113">
        <v>2016794185</v>
      </c>
      <c r="E113" t="s">
        <v>538</v>
      </c>
      <c r="F113" t="s">
        <v>539</v>
      </c>
      <c r="G113" t="s">
        <v>51</v>
      </c>
      <c r="H113" t="s">
        <v>247</v>
      </c>
      <c r="I113" t="s">
        <v>350</v>
      </c>
      <c r="J113" t="s">
        <v>351</v>
      </c>
      <c r="K113">
        <v>649793</v>
      </c>
      <c r="L113" t="s">
        <v>80</v>
      </c>
      <c r="M113" t="s">
        <v>537</v>
      </c>
      <c r="N113" t="s">
        <v>57</v>
      </c>
      <c r="O113" s="1">
        <v>44927</v>
      </c>
      <c r="Q113" s="1">
        <v>45962</v>
      </c>
      <c r="R113" s="2">
        <v>57.2</v>
      </c>
      <c r="S113">
        <v>1</v>
      </c>
      <c r="T113" t="s">
        <v>58</v>
      </c>
      <c r="U113" t="s">
        <v>359</v>
      </c>
      <c r="V113" s="4">
        <v>5.2499999999999998E-2</v>
      </c>
      <c r="W113" s="2">
        <v>0</v>
      </c>
      <c r="X113">
        <v>0</v>
      </c>
      <c r="Y113" t="s">
        <v>214</v>
      </c>
      <c r="Z113" t="s">
        <v>360</v>
      </c>
      <c r="AA113">
        <v>0</v>
      </c>
      <c r="AB113" s="2">
        <v>0</v>
      </c>
      <c r="AC113" s="2">
        <v>0</v>
      </c>
      <c r="AD113" s="3">
        <v>0</v>
      </c>
      <c r="AE113" s="2">
        <v>0</v>
      </c>
      <c r="AF113" s="2">
        <v>0</v>
      </c>
      <c r="AG113" s="2">
        <v>0</v>
      </c>
      <c r="AH113" s="2">
        <v>0</v>
      </c>
      <c r="AI113" s="2">
        <v>0</v>
      </c>
      <c r="AJ113" s="2">
        <v>0</v>
      </c>
      <c r="AK113" s="2">
        <v>0</v>
      </c>
      <c r="AL113" s="2">
        <v>0</v>
      </c>
      <c r="AM113" s="2">
        <v>3</v>
      </c>
      <c r="AN113" s="2">
        <v>3</v>
      </c>
      <c r="AO113" s="2">
        <v>0</v>
      </c>
      <c r="AP113" s="2">
        <v>0</v>
      </c>
      <c r="AQ113" s="2">
        <v>0</v>
      </c>
    </row>
    <row r="114" spans="1:43" x14ac:dyDescent="0.25">
      <c r="A114" s="1">
        <v>45936</v>
      </c>
      <c r="B114" t="s">
        <v>48</v>
      </c>
      <c r="C114">
        <v>649163</v>
      </c>
      <c r="D114">
        <v>2016815697</v>
      </c>
      <c r="E114" t="s">
        <v>561</v>
      </c>
      <c r="F114" t="s">
        <v>562</v>
      </c>
      <c r="G114" t="s">
        <v>51</v>
      </c>
      <c r="H114" t="s">
        <v>70</v>
      </c>
      <c r="I114" t="s">
        <v>350</v>
      </c>
      <c r="J114" t="s">
        <v>351</v>
      </c>
      <c r="K114">
        <v>649164</v>
      </c>
      <c r="L114" t="s">
        <v>211</v>
      </c>
      <c r="M114" t="s">
        <v>212</v>
      </c>
      <c r="N114" t="s">
        <v>57</v>
      </c>
      <c r="O114" s="1">
        <v>44896</v>
      </c>
      <c r="Q114" s="1">
        <v>45962</v>
      </c>
      <c r="R114" s="2">
        <v>49.99</v>
      </c>
      <c r="S114">
        <v>1</v>
      </c>
      <c r="T114" t="s">
        <v>58</v>
      </c>
      <c r="U114" t="s">
        <v>359</v>
      </c>
      <c r="V114" s="4">
        <v>5.2499999999999998E-2</v>
      </c>
      <c r="W114" s="2">
        <v>0</v>
      </c>
      <c r="X114">
        <v>0</v>
      </c>
      <c r="Y114" t="s">
        <v>214</v>
      </c>
      <c r="Z114" t="s">
        <v>360</v>
      </c>
      <c r="AA114">
        <v>0</v>
      </c>
      <c r="AB114" s="2">
        <v>0</v>
      </c>
      <c r="AC114" s="2">
        <v>0</v>
      </c>
      <c r="AD114" s="3">
        <v>0</v>
      </c>
      <c r="AE114" s="2">
        <v>0</v>
      </c>
      <c r="AF114" s="2">
        <v>0</v>
      </c>
      <c r="AG114" s="2">
        <v>0</v>
      </c>
      <c r="AH114" s="2">
        <v>0</v>
      </c>
      <c r="AI114" s="2">
        <v>0</v>
      </c>
      <c r="AJ114" s="2">
        <v>0</v>
      </c>
      <c r="AK114" s="2">
        <v>0</v>
      </c>
      <c r="AL114" s="2">
        <v>0</v>
      </c>
      <c r="AM114" s="2">
        <v>2.62</v>
      </c>
      <c r="AN114" s="2">
        <v>2.62</v>
      </c>
      <c r="AO114" s="2">
        <v>0</v>
      </c>
      <c r="AP114" s="2">
        <v>0</v>
      </c>
      <c r="AQ114" s="2">
        <v>0</v>
      </c>
    </row>
    <row r="115" spans="1:43" x14ac:dyDescent="0.25">
      <c r="A115" s="1">
        <v>45936</v>
      </c>
      <c r="B115" t="s">
        <v>48</v>
      </c>
      <c r="C115">
        <v>649163</v>
      </c>
      <c r="D115">
        <v>2017029017</v>
      </c>
      <c r="E115" t="s">
        <v>563</v>
      </c>
      <c r="F115" t="s">
        <v>564</v>
      </c>
      <c r="G115" t="s">
        <v>51</v>
      </c>
      <c r="H115" t="s">
        <v>70</v>
      </c>
      <c r="I115" t="s">
        <v>350</v>
      </c>
      <c r="J115" t="s">
        <v>351</v>
      </c>
      <c r="K115">
        <v>649164</v>
      </c>
      <c r="L115" t="s">
        <v>211</v>
      </c>
      <c r="M115" t="s">
        <v>212</v>
      </c>
      <c r="N115" t="s">
        <v>57</v>
      </c>
      <c r="O115" s="1">
        <v>44927</v>
      </c>
      <c r="Q115" s="1">
        <v>45962</v>
      </c>
      <c r="R115" s="2">
        <v>38.22</v>
      </c>
      <c r="S115">
        <v>1</v>
      </c>
      <c r="T115" t="s">
        <v>58</v>
      </c>
      <c r="U115" t="s">
        <v>359</v>
      </c>
      <c r="V115" s="4">
        <v>5.2499999999999998E-2</v>
      </c>
      <c r="W115" s="2">
        <v>0</v>
      </c>
      <c r="X115">
        <v>0</v>
      </c>
      <c r="Y115" t="s">
        <v>214</v>
      </c>
      <c r="Z115" t="s">
        <v>360</v>
      </c>
      <c r="AA115">
        <v>0</v>
      </c>
      <c r="AB115" s="2">
        <v>0</v>
      </c>
      <c r="AC115" s="2">
        <v>0</v>
      </c>
      <c r="AD115" s="3">
        <v>0</v>
      </c>
      <c r="AE115" s="2">
        <v>0</v>
      </c>
      <c r="AF115" s="2">
        <v>0</v>
      </c>
      <c r="AG115" s="2">
        <v>0</v>
      </c>
      <c r="AH115" s="2">
        <v>0</v>
      </c>
      <c r="AI115" s="2">
        <v>0</v>
      </c>
      <c r="AJ115" s="2">
        <v>0</v>
      </c>
      <c r="AK115" s="2">
        <v>0</v>
      </c>
      <c r="AL115" s="2">
        <v>0</v>
      </c>
      <c r="AM115" s="2">
        <v>2.0099999999999998</v>
      </c>
      <c r="AN115" s="2">
        <v>2.0099999999999998</v>
      </c>
      <c r="AO115" s="2">
        <v>0</v>
      </c>
      <c r="AP115" s="2">
        <v>0</v>
      </c>
      <c r="AQ115" s="2">
        <v>0</v>
      </c>
    </row>
    <row r="116" spans="1:43" x14ac:dyDescent="0.25">
      <c r="A116" s="1">
        <v>45936</v>
      </c>
      <c r="B116" t="s">
        <v>48</v>
      </c>
      <c r="C116">
        <v>649163</v>
      </c>
      <c r="D116">
        <v>2017064782</v>
      </c>
      <c r="E116" t="s">
        <v>565</v>
      </c>
      <c r="F116" t="s">
        <v>566</v>
      </c>
      <c r="G116" t="s">
        <v>51</v>
      </c>
      <c r="H116" t="s">
        <v>70</v>
      </c>
      <c r="I116" t="s">
        <v>350</v>
      </c>
      <c r="J116" t="s">
        <v>351</v>
      </c>
      <c r="K116">
        <v>649164</v>
      </c>
      <c r="L116" t="s">
        <v>211</v>
      </c>
      <c r="M116" t="s">
        <v>212</v>
      </c>
      <c r="N116" t="s">
        <v>57</v>
      </c>
      <c r="O116" s="1">
        <v>44927</v>
      </c>
      <c r="Q116" s="1">
        <v>45962</v>
      </c>
      <c r="R116" s="2">
        <v>117.8</v>
      </c>
      <c r="S116">
        <v>1</v>
      </c>
      <c r="T116" t="s">
        <v>58</v>
      </c>
      <c r="U116" t="s">
        <v>359</v>
      </c>
      <c r="V116" s="4">
        <v>5.2499999999999998E-2</v>
      </c>
      <c r="W116" s="2">
        <v>0</v>
      </c>
      <c r="X116">
        <v>0</v>
      </c>
      <c r="Y116" t="s">
        <v>214</v>
      </c>
      <c r="Z116" t="s">
        <v>360</v>
      </c>
      <c r="AA116">
        <v>0</v>
      </c>
      <c r="AB116" s="2">
        <v>0</v>
      </c>
      <c r="AC116" s="2">
        <v>0</v>
      </c>
      <c r="AD116" s="3">
        <v>0</v>
      </c>
      <c r="AE116" s="2">
        <v>0</v>
      </c>
      <c r="AF116" s="2">
        <v>0</v>
      </c>
      <c r="AG116" s="2">
        <v>0</v>
      </c>
      <c r="AH116" s="2">
        <v>0</v>
      </c>
      <c r="AI116" s="2">
        <v>0</v>
      </c>
      <c r="AJ116" s="2">
        <v>0</v>
      </c>
      <c r="AK116" s="2">
        <v>0</v>
      </c>
      <c r="AL116" s="2">
        <v>0</v>
      </c>
      <c r="AM116" s="2">
        <v>6.18</v>
      </c>
      <c r="AN116" s="2">
        <v>6.18</v>
      </c>
      <c r="AO116" s="2">
        <v>0</v>
      </c>
      <c r="AP116" s="2">
        <v>0</v>
      </c>
      <c r="AQ116" s="2">
        <v>0</v>
      </c>
    </row>
    <row r="117" spans="1:43" x14ac:dyDescent="0.25">
      <c r="A117" s="1">
        <v>45936</v>
      </c>
      <c r="B117" t="s">
        <v>48</v>
      </c>
      <c r="C117">
        <v>649163</v>
      </c>
      <c r="D117">
        <v>2017242798</v>
      </c>
      <c r="E117" t="s">
        <v>542</v>
      </c>
      <c r="F117" t="s">
        <v>543</v>
      </c>
      <c r="G117" t="s">
        <v>51</v>
      </c>
      <c r="H117" t="s">
        <v>88</v>
      </c>
      <c r="I117" t="s">
        <v>350</v>
      </c>
      <c r="J117" t="s">
        <v>351</v>
      </c>
      <c r="K117">
        <v>652037</v>
      </c>
      <c r="L117" t="s">
        <v>172</v>
      </c>
      <c r="M117" t="s">
        <v>173</v>
      </c>
      <c r="N117" t="s">
        <v>57</v>
      </c>
      <c r="O117" s="1">
        <v>44930</v>
      </c>
      <c r="Q117" s="1">
        <v>45965</v>
      </c>
      <c r="R117" s="2">
        <v>57.45</v>
      </c>
      <c r="S117">
        <v>1</v>
      </c>
      <c r="T117" t="s">
        <v>58</v>
      </c>
      <c r="U117" t="s">
        <v>359</v>
      </c>
      <c r="V117" s="4">
        <v>5.2499999999999998E-2</v>
      </c>
      <c r="W117" s="2">
        <v>0</v>
      </c>
      <c r="X117">
        <v>0</v>
      </c>
      <c r="Y117" t="s">
        <v>214</v>
      </c>
      <c r="Z117" t="s">
        <v>360</v>
      </c>
      <c r="AA117">
        <v>0</v>
      </c>
      <c r="AB117" s="2">
        <v>0</v>
      </c>
      <c r="AC117" s="2">
        <v>0</v>
      </c>
      <c r="AD117" s="3">
        <v>0</v>
      </c>
      <c r="AE117" s="2">
        <v>0</v>
      </c>
      <c r="AF117" s="2">
        <v>0</v>
      </c>
      <c r="AG117" s="2">
        <v>0</v>
      </c>
      <c r="AH117" s="2">
        <v>0</v>
      </c>
      <c r="AI117" s="2">
        <v>0</v>
      </c>
      <c r="AJ117" s="2">
        <v>0</v>
      </c>
      <c r="AK117" s="2">
        <v>0</v>
      </c>
      <c r="AL117" s="2">
        <v>0</v>
      </c>
      <c r="AM117" s="2">
        <v>3.02</v>
      </c>
      <c r="AN117" s="2">
        <v>3.02</v>
      </c>
      <c r="AO117" s="2">
        <v>0</v>
      </c>
      <c r="AP117" s="2">
        <v>0</v>
      </c>
      <c r="AQ117" s="2">
        <v>0</v>
      </c>
    </row>
    <row r="118" spans="1:43" x14ac:dyDescent="0.25">
      <c r="A118" s="1">
        <v>45936</v>
      </c>
      <c r="B118" t="s">
        <v>48</v>
      </c>
      <c r="C118">
        <v>649163</v>
      </c>
      <c r="D118">
        <v>2017514550</v>
      </c>
      <c r="E118" t="s">
        <v>567</v>
      </c>
      <c r="F118" t="s">
        <v>108</v>
      </c>
      <c r="G118" t="s">
        <v>51</v>
      </c>
      <c r="H118" t="s">
        <v>323</v>
      </c>
      <c r="I118" t="s">
        <v>350</v>
      </c>
      <c r="J118" t="s">
        <v>351</v>
      </c>
      <c r="K118">
        <v>649793</v>
      </c>
      <c r="L118" t="s">
        <v>80</v>
      </c>
      <c r="M118" t="s">
        <v>537</v>
      </c>
      <c r="N118" t="s">
        <v>57</v>
      </c>
      <c r="O118" s="1">
        <v>44958</v>
      </c>
      <c r="Q118" s="1">
        <v>45962</v>
      </c>
      <c r="R118" s="2">
        <v>77.39</v>
      </c>
      <c r="S118">
        <v>1</v>
      </c>
      <c r="T118" t="s">
        <v>58</v>
      </c>
      <c r="U118" t="s">
        <v>359</v>
      </c>
      <c r="V118" s="4">
        <v>5.2499999999999998E-2</v>
      </c>
      <c r="W118" s="2">
        <v>0</v>
      </c>
      <c r="X118">
        <v>0</v>
      </c>
      <c r="Y118" t="s">
        <v>214</v>
      </c>
      <c r="Z118" t="s">
        <v>360</v>
      </c>
      <c r="AA118">
        <v>0</v>
      </c>
      <c r="AB118" s="2">
        <v>0</v>
      </c>
      <c r="AC118" s="2">
        <v>0</v>
      </c>
      <c r="AD118" s="3">
        <v>0</v>
      </c>
      <c r="AE118" s="2">
        <v>0</v>
      </c>
      <c r="AF118" s="2">
        <v>0</v>
      </c>
      <c r="AG118" s="2">
        <v>0</v>
      </c>
      <c r="AH118" s="2">
        <v>0</v>
      </c>
      <c r="AI118" s="2">
        <v>0</v>
      </c>
      <c r="AJ118" s="2">
        <v>0</v>
      </c>
      <c r="AK118" s="2">
        <v>0</v>
      </c>
      <c r="AL118" s="2">
        <v>0</v>
      </c>
      <c r="AM118" s="2">
        <v>4.0599999999999996</v>
      </c>
      <c r="AN118" s="2">
        <v>4.0599999999999996</v>
      </c>
      <c r="AO118" s="2">
        <v>0</v>
      </c>
      <c r="AP118" s="2">
        <v>0</v>
      </c>
      <c r="AQ118" s="2">
        <v>0</v>
      </c>
    </row>
    <row r="119" spans="1:43" x14ac:dyDescent="0.25">
      <c r="A119" s="1">
        <v>45936</v>
      </c>
      <c r="B119" t="s">
        <v>48</v>
      </c>
      <c r="C119">
        <v>649163</v>
      </c>
      <c r="D119">
        <v>2017539416</v>
      </c>
      <c r="E119" t="s">
        <v>568</v>
      </c>
      <c r="F119" t="s">
        <v>569</v>
      </c>
      <c r="G119" t="s">
        <v>51</v>
      </c>
      <c r="H119" t="s">
        <v>427</v>
      </c>
      <c r="I119" t="s">
        <v>350</v>
      </c>
      <c r="J119" t="s">
        <v>351</v>
      </c>
      <c r="K119">
        <v>649793</v>
      </c>
      <c r="L119" t="s">
        <v>80</v>
      </c>
      <c r="M119" t="s">
        <v>537</v>
      </c>
      <c r="N119" t="s">
        <v>57</v>
      </c>
      <c r="O119" s="1">
        <v>44986</v>
      </c>
      <c r="Q119" s="1">
        <v>45962</v>
      </c>
      <c r="R119" s="2">
        <v>41.11</v>
      </c>
      <c r="S119">
        <v>1</v>
      </c>
      <c r="T119" t="s">
        <v>58</v>
      </c>
      <c r="U119" t="s">
        <v>359</v>
      </c>
      <c r="V119" s="4">
        <v>5.2499999999999998E-2</v>
      </c>
      <c r="W119" s="2">
        <v>0</v>
      </c>
      <c r="X119">
        <v>0</v>
      </c>
      <c r="Y119" t="s">
        <v>214</v>
      </c>
      <c r="Z119" t="s">
        <v>360</v>
      </c>
      <c r="AA119">
        <v>0</v>
      </c>
      <c r="AB119" s="2">
        <v>0</v>
      </c>
      <c r="AC119" s="2">
        <v>0</v>
      </c>
      <c r="AD119" s="3">
        <v>0</v>
      </c>
      <c r="AE119" s="2">
        <v>0</v>
      </c>
      <c r="AF119" s="2">
        <v>0</v>
      </c>
      <c r="AG119" s="2">
        <v>0</v>
      </c>
      <c r="AH119" s="2">
        <v>0</v>
      </c>
      <c r="AI119" s="2">
        <v>0</v>
      </c>
      <c r="AJ119" s="2">
        <v>0</v>
      </c>
      <c r="AK119" s="2">
        <v>0</v>
      </c>
      <c r="AL119" s="2">
        <v>0</v>
      </c>
      <c r="AM119" s="2">
        <v>2.16</v>
      </c>
      <c r="AN119" s="2">
        <v>2.16</v>
      </c>
      <c r="AO119" s="2">
        <v>0</v>
      </c>
      <c r="AP119" s="2">
        <v>0</v>
      </c>
      <c r="AQ119" s="2">
        <v>0</v>
      </c>
    </row>
    <row r="120" spans="1:43" x14ac:dyDescent="0.25">
      <c r="A120" s="1">
        <v>45936</v>
      </c>
      <c r="B120" t="s">
        <v>48</v>
      </c>
      <c r="C120">
        <v>649163</v>
      </c>
      <c r="D120">
        <v>2017585587</v>
      </c>
      <c r="E120" t="s">
        <v>545</v>
      </c>
      <c r="F120" t="s">
        <v>478</v>
      </c>
      <c r="G120" t="s">
        <v>51</v>
      </c>
      <c r="H120" t="s">
        <v>323</v>
      </c>
      <c r="I120" t="s">
        <v>350</v>
      </c>
      <c r="J120" t="s">
        <v>351</v>
      </c>
      <c r="K120">
        <v>649793</v>
      </c>
      <c r="L120" t="s">
        <v>80</v>
      </c>
      <c r="M120" t="s">
        <v>537</v>
      </c>
      <c r="N120" t="s">
        <v>57</v>
      </c>
      <c r="O120" s="1">
        <v>44986</v>
      </c>
      <c r="Q120" s="1">
        <v>45962</v>
      </c>
      <c r="R120" s="2">
        <v>48.61</v>
      </c>
      <c r="S120">
        <v>1</v>
      </c>
      <c r="T120" t="s">
        <v>58</v>
      </c>
      <c r="U120" t="s">
        <v>359</v>
      </c>
      <c r="V120" s="4">
        <v>5.2499999999999998E-2</v>
      </c>
      <c r="W120" s="2">
        <v>0</v>
      </c>
      <c r="X120">
        <v>0</v>
      </c>
      <c r="Y120" t="s">
        <v>214</v>
      </c>
      <c r="Z120" t="s">
        <v>360</v>
      </c>
      <c r="AA120">
        <v>0</v>
      </c>
      <c r="AB120" s="2">
        <v>0</v>
      </c>
      <c r="AC120" s="2">
        <v>0</v>
      </c>
      <c r="AD120" s="3">
        <v>0</v>
      </c>
      <c r="AE120" s="2">
        <v>0</v>
      </c>
      <c r="AF120" s="2">
        <v>0</v>
      </c>
      <c r="AG120" s="2">
        <v>0</v>
      </c>
      <c r="AH120" s="2">
        <v>0</v>
      </c>
      <c r="AI120" s="2">
        <v>0</v>
      </c>
      <c r="AJ120" s="2">
        <v>0</v>
      </c>
      <c r="AK120" s="2">
        <v>0</v>
      </c>
      <c r="AL120" s="2">
        <v>0</v>
      </c>
      <c r="AM120" s="2">
        <v>2.5499999999999998</v>
      </c>
      <c r="AN120" s="2">
        <v>2.5499999999999998</v>
      </c>
      <c r="AO120" s="2">
        <v>0</v>
      </c>
      <c r="AP120" s="2">
        <v>0</v>
      </c>
      <c r="AQ120" s="2">
        <v>0</v>
      </c>
    </row>
    <row r="121" spans="1:43" x14ac:dyDescent="0.25">
      <c r="A121" s="1">
        <v>45936</v>
      </c>
      <c r="B121" t="s">
        <v>48</v>
      </c>
      <c r="C121">
        <v>649163</v>
      </c>
      <c r="D121">
        <v>2018276908</v>
      </c>
      <c r="E121" t="s">
        <v>570</v>
      </c>
      <c r="F121" t="s">
        <v>571</v>
      </c>
      <c r="G121" t="s">
        <v>51</v>
      </c>
      <c r="H121" t="s">
        <v>79</v>
      </c>
      <c r="I121" t="s">
        <v>350</v>
      </c>
      <c r="J121" t="s">
        <v>351</v>
      </c>
      <c r="K121">
        <v>673059</v>
      </c>
      <c r="L121" t="s">
        <v>80</v>
      </c>
      <c r="M121" t="s">
        <v>81</v>
      </c>
      <c r="N121" t="s">
        <v>57</v>
      </c>
      <c r="O121" s="1">
        <v>45047</v>
      </c>
      <c r="Q121" s="1">
        <v>45962</v>
      </c>
      <c r="R121" s="2">
        <v>101.73</v>
      </c>
      <c r="S121">
        <v>1</v>
      </c>
      <c r="T121" t="s">
        <v>58</v>
      </c>
      <c r="U121" t="s">
        <v>359</v>
      </c>
      <c r="V121" s="4">
        <v>5.2499999999999998E-2</v>
      </c>
      <c r="W121" s="2">
        <v>0</v>
      </c>
      <c r="X121">
        <v>0</v>
      </c>
      <c r="Y121" t="s">
        <v>214</v>
      </c>
      <c r="Z121" t="s">
        <v>360</v>
      </c>
      <c r="AA121">
        <v>0</v>
      </c>
      <c r="AB121" s="2">
        <v>0</v>
      </c>
      <c r="AC121" s="2">
        <v>0</v>
      </c>
      <c r="AD121" s="3">
        <v>0</v>
      </c>
      <c r="AE121" s="2">
        <v>0</v>
      </c>
      <c r="AF121" s="2">
        <v>0</v>
      </c>
      <c r="AG121" s="2">
        <v>0</v>
      </c>
      <c r="AH121" s="2">
        <v>0</v>
      </c>
      <c r="AI121" s="2">
        <v>0</v>
      </c>
      <c r="AJ121" s="2">
        <v>0</v>
      </c>
      <c r="AK121" s="2">
        <v>0</v>
      </c>
      <c r="AL121" s="2">
        <v>0</v>
      </c>
      <c r="AM121" s="2">
        <v>5.34</v>
      </c>
      <c r="AN121" s="2">
        <v>5.34</v>
      </c>
      <c r="AO121" s="2">
        <v>0</v>
      </c>
      <c r="AP121" s="2">
        <v>0</v>
      </c>
      <c r="AQ121" s="2">
        <v>0</v>
      </c>
    </row>
    <row r="122" spans="1:43" x14ac:dyDescent="0.25">
      <c r="A122" s="1">
        <v>45936</v>
      </c>
      <c r="B122" t="s">
        <v>48</v>
      </c>
      <c r="C122">
        <v>649163</v>
      </c>
      <c r="D122">
        <v>2018434791</v>
      </c>
      <c r="E122" t="s">
        <v>572</v>
      </c>
      <c r="F122" t="s">
        <v>573</v>
      </c>
      <c r="G122" t="s">
        <v>51</v>
      </c>
      <c r="H122" t="s">
        <v>88</v>
      </c>
      <c r="I122" t="s">
        <v>350</v>
      </c>
      <c r="J122" t="s">
        <v>351</v>
      </c>
      <c r="K122">
        <v>673059</v>
      </c>
      <c r="L122" t="s">
        <v>80</v>
      </c>
      <c r="M122" t="s">
        <v>81</v>
      </c>
      <c r="N122" t="s">
        <v>57</v>
      </c>
      <c r="O122" s="1">
        <v>45047</v>
      </c>
      <c r="Q122" s="1">
        <v>45962</v>
      </c>
      <c r="R122" s="2">
        <v>46.65</v>
      </c>
      <c r="S122">
        <v>1</v>
      </c>
      <c r="T122" t="s">
        <v>58</v>
      </c>
      <c r="U122" t="s">
        <v>359</v>
      </c>
      <c r="V122" s="4">
        <v>5.2499999999999998E-2</v>
      </c>
      <c r="W122" s="2">
        <v>0</v>
      </c>
      <c r="X122">
        <v>0</v>
      </c>
      <c r="Y122" t="s">
        <v>214</v>
      </c>
      <c r="Z122" t="s">
        <v>360</v>
      </c>
      <c r="AA122">
        <v>0</v>
      </c>
      <c r="AB122" s="2">
        <v>0</v>
      </c>
      <c r="AC122" s="2">
        <v>0</v>
      </c>
      <c r="AD122" s="3">
        <v>0</v>
      </c>
      <c r="AE122" s="2">
        <v>0</v>
      </c>
      <c r="AF122" s="2">
        <v>0</v>
      </c>
      <c r="AG122" s="2">
        <v>0</v>
      </c>
      <c r="AH122" s="2">
        <v>0</v>
      </c>
      <c r="AI122" s="2">
        <v>0</v>
      </c>
      <c r="AJ122" s="2">
        <v>0</v>
      </c>
      <c r="AK122" s="2">
        <v>0</v>
      </c>
      <c r="AL122" s="2">
        <v>0</v>
      </c>
      <c r="AM122" s="2">
        <v>2.4500000000000002</v>
      </c>
      <c r="AN122" s="2">
        <v>2.4500000000000002</v>
      </c>
      <c r="AO122" s="2">
        <v>0</v>
      </c>
      <c r="AP122" s="2">
        <v>0</v>
      </c>
      <c r="AQ122" s="2">
        <v>0</v>
      </c>
    </row>
    <row r="123" spans="1:43" x14ac:dyDescent="0.25">
      <c r="A123" s="1">
        <v>45936</v>
      </c>
      <c r="B123" t="s">
        <v>48</v>
      </c>
      <c r="C123">
        <v>649163</v>
      </c>
      <c r="D123">
        <v>2018439351</v>
      </c>
      <c r="E123" t="s">
        <v>574</v>
      </c>
      <c r="F123" t="s">
        <v>575</v>
      </c>
      <c r="G123" t="s">
        <v>51</v>
      </c>
      <c r="H123" t="s">
        <v>70</v>
      </c>
      <c r="I123" t="s">
        <v>350</v>
      </c>
      <c r="J123" t="s">
        <v>351</v>
      </c>
      <c r="K123">
        <v>678320</v>
      </c>
      <c r="L123" t="s">
        <v>576</v>
      </c>
      <c r="M123" t="s">
        <v>139</v>
      </c>
      <c r="N123" t="s">
        <v>57</v>
      </c>
      <c r="O123" s="1">
        <v>45047</v>
      </c>
      <c r="Q123" s="1">
        <v>45962</v>
      </c>
      <c r="R123" s="2">
        <v>92.61</v>
      </c>
      <c r="S123">
        <v>1</v>
      </c>
      <c r="T123" t="s">
        <v>58</v>
      </c>
      <c r="U123" t="s">
        <v>359</v>
      </c>
      <c r="V123" s="4">
        <v>5.2499999999999998E-2</v>
      </c>
      <c r="W123" s="2">
        <v>0</v>
      </c>
      <c r="X123">
        <v>0</v>
      </c>
      <c r="Y123" t="s">
        <v>214</v>
      </c>
      <c r="Z123" t="s">
        <v>360</v>
      </c>
      <c r="AA123">
        <v>0</v>
      </c>
      <c r="AB123" s="2">
        <v>0</v>
      </c>
      <c r="AC123" s="2">
        <v>0</v>
      </c>
      <c r="AD123" s="3">
        <v>0</v>
      </c>
      <c r="AE123" s="2">
        <v>0</v>
      </c>
      <c r="AF123" s="2">
        <v>0</v>
      </c>
      <c r="AG123" s="2">
        <v>0</v>
      </c>
      <c r="AH123" s="2">
        <v>0</v>
      </c>
      <c r="AI123" s="2">
        <v>0</v>
      </c>
      <c r="AJ123" s="2">
        <v>0</v>
      </c>
      <c r="AK123" s="2">
        <v>0</v>
      </c>
      <c r="AL123" s="2">
        <v>0</v>
      </c>
      <c r="AM123" s="2">
        <v>4.8600000000000003</v>
      </c>
      <c r="AN123" s="2">
        <v>4.8600000000000003</v>
      </c>
      <c r="AO123" s="2">
        <v>0</v>
      </c>
      <c r="AP123" s="2">
        <v>0</v>
      </c>
      <c r="AQ123" s="2">
        <v>0</v>
      </c>
    </row>
    <row r="124" spans="1:43" x14ac:dyDescent="0.25">
      <c r="A124" s="1">
        <v>45936</v>
      </c>
      <c r="B124" t="s">
        <v>48</v>
      </c>
      <c r="C124">
        <v>649163</v>
      </c>
      <c r="D124">
        <v>2018472291</v>
      </c>
      <c r="E124" t="s">
        <v>577</v>
      </c>
      <c r="F124" t="s">
        <v>578</v>
      </c>
      <c r="G124" t="s">
        <v>51</v>
      </c>
      <c r="H124" t="s">
        <v>70</v>
      </c>
      <c r="I124" t="s">
        <v>350</v>
      </c>
      <c r="J124" t="s">
        <v>351</v>
      </c>
      <c r="K124">
        <v>678320</v>
      </c>
      <c r="L124" t="s">
        <v>576</v>
      </c>
      <c r="M124" t="s">
        <v>139</v>
      </c>
      <c r="N124" t="s">
        <v>57</v>
      </c>
      <c r="O124" s="1">
        <v>45047</v>
      </c>
      <c r="Q124" s="1">
        <v>45962</v>
      </c>
      <c r="R124" s="2">
        <v>87.31</v>
      </c>
      <c r="S124">
        <v>1</v>
      </c>
      <c r="T124" t="s">
        <v>58</v>
      </c>
      <c r="U124" t="s">
        <v>359</v>
      </c>
      <c r="V124" s="4">
        <v>5.2499999999999998E-2</v>
      </c>
      <c r="W124" s="2">
        <v>0</v>
      </c>
      <c r="X124">
        <v>0</v>
      </c>
      <c r="Y124" t="s">
        <v>214</v>
      </c>
      <c r="Z124" t="s">
        <v>360</v>
      </c>
      <c r="AA124">
        <v>0</v>
      </c>
      <c r="AB124" s="2">
        <v>0</v>
      </c>
      <c r="AC124" s="2">
        <v>0</v>
      </c>
      <c r="AD124" s="3">
        <v>0</v>
      </c>
      <c r="AE124" s="2">
        <v>0</v>
      </c>
      <c r="AF124" s="2">
        <v>0</v>
      </c>
      <c r="AG124" s="2">
        <v>0</v>
      </c>
      <c r="AH124" s="2">
        <v>0</v>
      </c>
      <c r="AI124" s="2">
        <v>0</v>
      </c>
      <c r="AJ124" s="2">
        <v>0</v>
      </c>
      <c r="AK124" s="2">
        <v>0</v>
      </c>
      <c r="AL124" s="2">
        <v>0</v>
      </c>
      <c r="AM124" s="2">
        <v>4.58</v>
      </c>
      <c r="AN124" s="2">
        <v>4.58</v>
      </c>
      <c r="AO124" s="2">
        <v>0</v>
      </c>
      <c r="AP124" s="2">
        <v>0</v>
      </c>
      <c r="AQ124" s="2">
        <v>0</v>
      </c>
    </row>
    <row r="125" spans="1:43" x14ac:dyDescent="0.25">
      <c r="A125" s="1">
        <v>45936</v>
      </c>
      <c r="B125" t="s">
        <v>48</v>
      </c>
      <c r="C125">
        <v>649163</v>
      </c>
      <c r="D125">
        <v>2018522516</v>
      </c>
      <c r="E125" t="s">
        <v>426</v>
      </c>
      <c r="F125" t="s">
        <v>579</v>
      </c>
      <c r="G125" t="s">
        <v>51</v>
      </c>
      <c r="H125" t="s">
        <v>70</v>
      </c>
      <c r="I125" t="s">
        <v>350</v>
      </c>
      <c r="J125" t="s">
        <v>351</v>
      </c>
      <c r="K125">
        <v>678320</v>
      </c>
      <c r="L125" t="s">
        <v>576</v>
      </c>
      <c r="M125" t="s">
        <v>139</v>
      </c>
      <c r="N125" t="s">
        <v>57</v>
      </c>
      <c r="O125" s="1">
        <v>45048</v>
      </c>
      <c r="Q125" s="1">
        <v>45963</v>
      </c>
      <c r="R125" s="2">
        <v>50.6</v>
      </c>
      <c r="S125">
        <v>1</v>
      </c>
      <c r="T125" t="s">
        <v>58</v>
      </c>
      <c r="U125" t="s">
        <v>359</v>
      </c>
      <c r="V125" s="4">
        <v>5.2499999999999998E-2</v>
      </c>
      <c r="W125" s="2">
        <v>0</v>
      </c>
      <c r="X125">
        <v>0</v>
      </c>
      <c r="Y125" t="s">
        <v>214</v>
      </c>
      <c r="Z125" t="s">
        <v>360</v>
      </c>
      <c r="AA125">
        <v>0</v>
      </c>
      <c r="AB125" s="2">
        <v>0</v>
      </c>
      <c r="AC125" s="2">
        <v>0</v>
      </c>
      <c r="AD125" s="3">
        <v>0</v>
      </c>
      <c r="AE125" s="2">
        <v>0</v>
      </c>
      <c r="AF125" s="2">
        <v>0</v>
      </c>
      <c r="AG125" s="2">
        <v>0</v>
      </c>
      <c r="AH125" s="2">
        <v>0</v>
      </c>
      <c r="AI125" s="2">
        <v>0</v>
      </c>
      <c r="AJ125" s="2">
        <v>0</v>
      </c>
      <c r="AK125" s="2">
        <v>0</v>
      </c>
      <c r="AL125" s="2">
        <v>0</v>
      </c>
      <c r="AM125" s="2">
        <v>2.66</v>
      </c>
      <c r="AN125" s="2">
        <v>2.66</v>
      </c>
      <c r="AO125" s="2">
        <v>0</v>
      </c>
      <c r="AP125" s="2">
        <v>0</v>
      </c>
      <c r="AQ125" s="2">
        <v>0</v>
      </c>
    </row>
    <row r="126" spans="1:43" x14ac:dyDescent="0.25">
      <c r="A126" s="1">
        <v>45936</v>
      </c>
      <c r="B126" t="s">
        <v>48</v>
      </c>
      <c r="C126">
        <v>649163</v>
      </c>
      <c r="D126">
        <v>2018753089</v>
      </c>
      <c r="E126" t="s">
        <v>580</v>
      </c>
      <c r="F126" t="s">
        <v>482</v>
      </c>
      <c r="G126" t="s">
        <v>51</v>
      </c>
      <c r="H126" t="s">
        <v>70</v>
      </c>
      <c r="I126" t="s">
        <v>350</v>
      </c>
      <c r="J126" t="s">
        <v>351</v>
      </c>
      <c r="K126">
        <v>649164</v>
      </c>
      <c r="L126" t="s">
        <v>211</v>
      </c>
      <c r="M126" t="s">
        <v>212</v>
      </c>
      <c r="N126" t="s">
        <v>57</v>
      </c>
      <c r="O126" s="1">
        <v>45078</v>
      </c>
      <c r="Q126" s="1">
        <v>45962</v>
      </c>
      <c r="R126" s="2">
        <v>51.19</v>
      </c>
      <c r="S126">
        <v>1</v>
      </c>
      <c r="T126" t="s">
        <v>58</v>
      </c>
      <c r="U126" t="s">
        <v>359</v>
      </c>
      <c r="V126" s="4">
        <v>5.2499999999999998E-2</v>
      </c>
      <c r="W126" s="2">
        <v>0</v>
      </c>
      <c r="X126">
        <v>0</v>
      </c>
      <c r="Y126" t="s">
        <v>214</v>
      </c>
      <c r="Z126" t="s">
        <v>360</v>
      </c>
      <c r="AA126">
        <v>0</v>
      </c>
      <c r="AB126" s="2">
        <v>0</v>
      </c>
      <c r="AC126" s="2">
        <v>0</v>
      </c>
      <c r="AD126" s="3">
        <v>0</v>
      </c>
      <c r="AE126" s="2">
        <v>0</v>
      </c>
      <c r="AF126" s="2">
        <v>0</v>
      </c>
      <c r="AG126" s="2">
        <v>0</v>
      </c>
      <c r="AH126" s="2">
        <v>0</v>
      </c>
      <c r="AI126" s="2">
        <v>0</v>
      </c>
      <c r="AJ126" s="2">
        <v>0</v>
      </c>
      <c r="AK126" s="2">
        <v>0</v>
      </c>
      <c r="AL126" s="2">
        <v>0</v>
      </c>
      <c r="AM126" s="2">
        <v>2.69</v>
      </c>
      <c r="AN126" s="2">
        <v>2.69</v>
      </c>
      <c r="AO126" s="2">
        <v>0</v>
      </c>
      <c r="AP126" s="2">
        <v>0</v>
      </c>
      <c r="AQ126" s="2">
        <v>0</v>
      </c>
    </row>
    <row r="127" spans="1:43" x14ac:dyDescent="0.25">
      <c r="A127" s="1">
        <v>45936</v>
      </c>
      <c r="B127" t="s">
        <v>48</v>
      </c>
      <c r="C127">
        <v>649163</v>
      </c>
      <c r="D127">
        <v>2018775434</v>
      </c>
      <c r="E127" t="s">
        <v>581</v>
      </c>
      <c r="F127" t="s">
        <v>132</v>
      </c>
      <c r="G127" t="s">
        <v>51</v>
      </c>
      <c r="H127" t="s">
        <v>247</v>
      </c>
      <c r="I127" t="s">
        <v>350</v>
      </c>
      <c r="J127" t="s">
        <v>351</v>
      </c>
      <c r="K127">
        <v>673059</v>
      </c>
      <c r="L127" t="s">
        <v>80</v>
      </c>
      <c r="M127" t="s">
        <v>81</v>
      </c>
      <c r="N127" t="s">
        <v>57</v>
      </c>
      <c r="O127" s="1">
        <v>45078</v>
      </c>
      <c r="Q127" s="1">
        <v>45962</v>
      </c>
      <c r="R127" s="2">
        <v>29.77</v>
      </c>
      <c r="S127">
        <v>1</v>
      </c>
      <c r="T127" t="s">
        <v>58</v>
      </c>
      <c r="U127" t="s">
        <v>359</v>
      </c>
      <c r="V127" s="4">
        <v>5.2499999999999998E-2</v>
      </c>
      <c r="W127" s="2">
        <v>0</v>
      </c>
      <c r="X127">
        <v>0</v>
      </c>
      <c r="Y127" t="s">
        <v>214</v>
      </c>
      <c r="Z127" t="s">
        <v>360</v>
      </c>
      <c r="AA127">
        <v>0</v>
      </c>
      <c r="AB127" s="2">
        <v>0</v>
      </c>
      <c r="AC127" s="2">
        <v>0</v>
      </c>
      <c r="AD127" s="3">
        <v>0</v>
      </c>
      <c r="AE127" s="2">
        <v>0</v>
      </c>
      <c r="AF127" s="2">
        <v>0</v>
      </c>
      <c r="AG127" s="2">
        <v>0</v>
      </c>
      <c r="AH127" s="2">
        <v>0</v>
      </c>
      <c r="AI127" s="2">
        <v>0</v>
      </c>
      <c r="AJ127" s="2">
        <v>0</v>
      </c>
      <c r="AK127" s="2">
        <v>0</v>
      </c>
      <c r="AL127" s="2">
        <v>0</v>
      </c>
      <c r="AM127" s="2">
        <v>1.56</v>
      </c>
      <c r="AN127" s="2">
        <v>1.56</v>
      </c>
      <c r="AO127" s="2">
        <v>0</v>
      </c>
      <c r="AP127" s="2">
        <v>0</v>
      </c>
      <c r="AQ127" s="2">
        <v>0</v>
      </c>
    </row>
    <row r="128" spans="1:43" x14ac:dyDescent="0.25">
      <c r="A128" s="1">
        <v>45936</v>
      </c>
      <c r="B128" t="s">
        <v>48</v>
      </c>
      <c r="C128">
        <v>649163</v>
      </c>
      <c r="D128">
        <v>2018854836</v>
      </c>
      <c r="E128" t="s">
        <v>582</v>
      </c>
      <c r="F128" t="s">
        <v>583</v>
      </c>
      <c r="G128" t="s">
        <v>51</v>
      </c>
      <c r="H128" t="s">
        <v>382</v>
      </c>
      <c r="I128" t="s">
        <v>350</v>
      </c>
      <c r="J128" t="s">
        <v>351</v>
      </c>
      <c r="K128">
        <v>673059</v>
      </c>
      <c r="L128" t="s">
        <v>80</v>
      </c>
      <c r="M128" t="s">
        <v>81</v>
      </c>
      <c r="N128" t="s">
        <v>57</v>
      </c>
      <c r="O128" s="1">
        <v>45078</v>
      </c>
      <c r="Q128" s="1">
        <v>45962</v>
      </c>
      <c r="R128" s="2">
        <v>38.909999999999997</v>
      </c>
      <c r="S128">
        <v>1</v>
      </c>
      <c r="T128" t="s">
        <v>58</v>
      </c>
      <c r="U128" t="s">
        <v>359</v>
      </c>
      <c r="V128" s="4">
        <v>5.2499999999999998E-2</v>
      </c>
      <c r="W128" s="2">
        <v>0</v>
      </c>
      <c r="X128">
        <v>0</v>
      </c>
      <c r="Y128" t="s">
        <v>214</v>
      </c>
      <c r="Z128" t="s">
        <v>360</v>
      </c>
      <c r="AA128">
        <v>0</v>
      </c>
      <c r="AB128" s="2">
        <v>0</v>
      </c>
      <c r="AC128" s="2">
        <v>0</v>
      </c>
      <c r="AD128" s="3">
        <v>0</v>
      </c>
      <c r="AE128" s="2">
        <v>0</v>
      </c>
      <c r="AF128" s="2">
        <v>0</v>
      </c>
      <c r="AG128" s="2">
        <v>0</v>
      </c>
      <c r="AH128" s="2">
        <v>0</v>
      </c>
      <c r="AI128" s="2">
        <v>0</v>
      </c>
      <c r="AJ128" s="2">
        <v>0</v>
      </c>
      <c r="AK128" s="2">
        <v>0</v>
      </c>
      <c r="AL128" s="2">
        <v>0</v>
      </c>
      <c r="AM128" s="2">
        <v>2.04</v>
      </c>
      <c r="AN128" s="2">
        <v>2.04</v>
      </c>
      <c r="AO128" s="2">
        <v>0</v>
      </c>
      <c r="AP128" s="2">
        <v>0</v>
      </c>
      <c r="AQ128" s="2">
        <v>0</v>
      </c>
    </row>
    <row r="129" spans="1:43" x14ac:dyDescent="0.25">
      <c r="A129" s="1">
        <v>45936</v>
      </c>
      <c r="B129" t="s">
        <v>48</v>
      </c>
      <c r="C129">
        <v>649163</v>
      </c>
      <c r="D129">
        <v>2018855162</v>
      </c>
      <c r="E129" t="s">
        <v>582</v>
      </c>
      <c r="F129" t="s">
        <v>441</v>
      </c>
      <c r="G129" t="s">
        <v>51</v>
      </c>
      <c r="H129" t="s">
        <v>382</v>
      </c>
      <c r="I129" t="s">
        <v>350</v>
      </c>
      <c r="J129" t="s">
        <v>351</v>
      </c>
      <c r="K129">
        <v>673059</v>
      </c>
      <c r="L129" t="s">
        <v>80</v>
      </c>
      <c r="M129" t="s">
        <v>81</v>
      </c>
      <c r="N129" t="s">
        <v>57</v>
      </c>
      <c r="O129" s="1">
        <v>45078</v>
      </c>
      <c r="Q129" s="1">
        <v>45962</v>
      </c>
      <c r="R129" s="2">
        <v>38.909999999999997</v>
      </c>
      <c r="S129">
        <v>1</v>
      </c>
      <c r="T129" t="s">
        <v>58</v>
      </c>
      <c r="U129" t="s">
        <v>359</v>
      </c>
      <c r="V129" s="4">
        <v>5.2499999999999998E-2</v>
      </c>
      <c r="W129" s="2">
        <v>0</v>
      </c>
      <c r="X129">
        <v>0</v>
      </c>
      <c r="Y129" t="s">
        <v>214</v>
      </c>
      <c r="Z129" t="s">
        <v>360</v>
      </c>
      <c r="AA129">
        <v>0</v>
      </c>
      <c r="AB129" s="2">
        <v>0</v>
      </c>
      <c r="AC129" s="2">
        <v>0</v>
      </c>
      <c r="AD129" s="3">
        <v>0</v>
      </c>
      <c r="AE129" s="2">
        <v>0</v>
      </c>
      <c r="AF129" s="2">
        <v>0</v>
      </c>
      <c r="AG129" s="2">
        <v>0</v>
      </c>
      <c r="AH129" s="2">
        <v>0</v>
      </c>
      <c r="AI129" s="2">
        <v>0</v>
      </c>
      <c r="AJ129" s="2">
        <v>0</v>
      </c>
      <c r="AK129" s="2">
        <v>0</v>
      </c>
      <c r="AL129" s="2">
        <v>0</v>
      </c>
      <c r="AM129" s="2">
        <v>2.04</v>
      </c>
      <c r="AN129" s="2">
        <v>2.04</v>
      </c>
      <c r="AO129" s="2">
        <v>0</v>
      </c>
      <c r="AP129" s="2">
        <v>0</v>
      </c>
      <c r="AQ129" s="2">
        <v>0</v>
      </c>
    </row>
    <row r="130" spans="1:43" x14ac:dyDescent="0.25">
      <c r="A130" s="1">
        <v>45936</v>
      </c>
      <c r="B130" t="s">
        <v>48</v>
      </c>
      <c r="C130">
        <v>649163</v>
      </c>
      <c r="D130">
        <v>2018908125</v>
      </c>
      <c r="E130" t="s">
        <v>584</v>
      </c>
      <c r="F130" t="s">
        <v>585</v>
      </c>
      <c r="G130" t="s">
        <v>51</v>
      </c>
      <c r="H130" t="s">
        <v>70</v>
      </c>
      <c r="I130" t="s">
        <v>350</v>
      </c>
      <c r="J130" t="s">
        <v>351</v>
      </c>
      <c r="K130">
        <v>678320</v>
      </c>
      <c r="L130" t="s">
        <v>576</v>
      </c>
      <c r="M130" t="s">
        <v>139</v>
      </c>
      <c r="N130" t="s">
        <v>57</v>
      </c>
      <c r="O130" s="1">
        <v>45108</v>
      </c>
      <c r="Q130" s="1">
        <v>45962</v>
      </c>
      <c r="R130" s="2">
        <v>48.22</v>
      </c>
      <c r="S130">
        <v>1</v>
      </c>
      <c r="T130" t="s">
        <v>58</v>
      </c>
      <c r="U130" t="s">
        <v>359</v>
      </c>
      <c r="V130" s="4">
        <v>5.2499999999999998E-2</v>
      </c>
      <c r="W130" s="2">
        <v>0</v>
      </c>
      <c r="X130">
        <v>0</v>
      </c>
      <c r="Y130" t="s">
        <v>214</v>
      </c>
      <c r="Z130" t="s">
        <v>360</v>
      </c>
      <c r="AA130">
        <v>0</v>
      </c>
      <c r="AB130" s="2">
        <v>0</v>
      </c>
      <c r="AC130" s="2">
        <v>0</v>
      </c>
      <c r="AD130" s="3">
        <v>0</v>
      </c>
      <c r="AE130" s="2">
        <v>0</v>
      </c>
      <c r="AF130" s="2">
        <v>0</v>
      </c>
      <c r="AG130" s="2">
        <v>0</v>
      </c>
      <c r="AH130" s="2">
        <v>0</v>
      </c>
      <c r="AI130" s="2">
        <v>0</v>
      </c>
      <c r="AJ130" s="2">
        <v>0</v>
      </c>
      <c r="AK130" s="2">
        <v>0</v>
      </c>
      <c r="AL130" s="2">
        <v>0</v>
      </c>
      <c r="AM130" s="2">
        <v>2.5299999999999998</v>
      </c>
      <c r="AN130" s="2">
        <v>2.5299999999999998</v>
      </c>
      <c r="AO130" s="2">
        <v>0</v>
      </c>
      <c r="AP130" s="2">
        <v>0</v>
      </c>
      <c r="AQ130" s="2">
        <v>0</v>
      </c>
    </row>
    <row r="131" spans="1:43" x14ac:dyDescent="0.25">
      <c r="A131" s="1">
        <v>45936</v>
      </c>
      <c r="B131" t="s">
        <v>48</v>
      </c>
      <c r="C131">
        <v>649163</v>
      </c>
      <c r="D131">
        <v>2019101129</v>
      </c>
      <c r="E131" t="s">
        <v>586</v>
      </c>
      <c r="F131" t="s">
        <v>224</v>
      </c>
      <c r="G131" t="s">
        <v>51</v>
      </c>
      <c r="H131" t="s">
        <v>70</v>
      </c>
      <c r="I131" t="s">
        <v>350</v>
      </c>
      <c r="J131" t="s">
        <v>351</v>
      </c>
      <c r="K131">
        <v>678320</v>
      </c>
      <c r="L131" t="s">
        <v>576</v>
      </c>
      <c r="M131" t="s">
        <v>139</v>
      </c>
      <c r="N131" t="s">
        <v>57</v>
      </c>
      <c r="O131" s="1">
        <v>45108</v>
      </c>
      <c r="Q131" s="1">
        <v>45962</v>
      </c>
      <c r="R131" s="2">
        <v>43.59</v>
      </c>
      <c r="S131">
        <v>1</v>
      </c>
      <c r="T131" t="s">
        <v>58</v>
      </c>
      <c r="U131" t="s">
        <v>359</v>
      </c>
      <c r="V131" s="4">
        <v>5.2499999999999998E-2</v>
      </c>
      <c r="W131" s="2">
        <v>0</v>
      </c>
      <c r="X131">
        <v>0</v>
      </c>
      <c r="Y131" t="s">
        <v>214</v>
      </c>
      <c r="Z131" t="s">
        <v>360</v>
      </c>
      <c r="AA131">
        <v>0</v>
      </c>
      <c r="AB131" s="2">
        <v>0</v>
      </c>
      <c r="AC131" s="2">
        <v>0</v>
      </c>
      <c r="AD131" s="3">
        <v>0</v>
      </c>
      <c r="AE131" s="2">
        <v>0</v>
      </c>
      <c r="AF131" s="2">
        <v>0</v>
      </c>
      <c r="AG131" s="2">
        <v>0</v>
      </c>
      <c r="AH131" s="2">
        <v>0</v>
      </c>
      <c r="AI131" s="2">
        <v>0</v>
      </c>
      <c r="AJ131" s="2">
        <v>0</v>
      </c>
      <c r="AK131" s="2">
        <v>0</v>
      </c>
      <c r="AL131" s="2">
        <v>0</v>
      </c>
      <c r="AM131" s="2">
        <v>2.29</v>
      </c>
      <c r="AN131" s="2">
        <v>2.29</v>
      </c>
      <c r="AO131" s="2">
        <v>0</v>
      </c>
      <c r="AP131" s="2">
        <v>0</v>
      </c>
      <c r="AQ131" s="2">
        <v>0</v>
      </c>
    </row>
    <row r="132" spans="1:43" x14ac:dyDescent="0.25">
      <c r="A132" s="1">
        <v>45936</v>
      </c>
      <c r="B132" t="s">
        <v>48</v>
      </c>
      <c r="C132">
        <v>649163</v>
      </c>
      <c r="D132">
        <v>2019170689</v>
      </c>
      <c r="E132" t="s">
        <v>587</v>
      </c>
      <c r="F132" t="s">
        <v>588</v>
      </c>
      <c r="G132" t="s">
        <v>51</v>
      </c>
      <c r="H132" t="s">
        <v>323</v>
      </c>
      <c r="I132" t="s">
        <v>350</v>
      </c>
      <c r="J132" t="s">
        <v>351</v>
      </c>
      <c r="K132">
        <v>673059</v>
      </c>
      <c r="L132" t="s">
        <v>80</v>
      </c>
      <c r="M132" t="s">
        <v>81</v>
      </c>
      <c r="N132" t="s">
        <v>57</v>
      </c>
      <c r="O132" s="1">
        <v>45108</v>
      </c>
      <c r="Q132" s="1">
        <v>45962</v>
      </c>
      <c r="R132" s="2">
        <v>32.770000000000003</v>
      </c>
      <c r="S132">
        <v>1</v>
      </c>
      <c r="T132" t="s">
        <v>58</v>
      </c>
      <c r="U132" t="s">
        <v>359</v>
      </c>
      <c r="V132" s="4">
        <v>5.2499999999999998E-2</v>
      </c>
      <c r="W132" s="2">
        <v>0</v>
      </c>
      <c r="X132">
        <v>0</v>
      </c>
      <c r="Y132" t="s">
        <v>214</v>
      </c>
      <c r="Z132" t="s">
        <v>360</v>
      </c>
      <c r="AA132">
        <v>0</v>
      </c>
      <c r="AB132" s="2">
        <v>0</v>
      </c>
      <c r="AC132" s="2">
        <v>0</v>
      </c>
      <c r="AD132" s="3">
        <v>0</v>
      </c>
      <c r="AE132" s="2">
        <v>0</v>
      </c>
      <c r="AF132" s="2">
        <v>0</v>
      </c>
      <c r="AG132" s="2">
        <v>0</v>
      </c>
      <c r="AH132" s="2">
        <v>0</v>
      </c>
      <c r="AI132" s="2">
        <v>0</v>
      </c>
      <c r="AJ132" s="2">
        <v>0</v>
      </c>
      <c r="AK132" s="2">
        <v>0</v>
      </c>
      <c r="AL132" s="2">
        <v>0</v>
      </c>
      <c r="AM132" s="2">
        <v>1.72</v>
      </c>
      <c r="AN132" s="2">
        <v>1.72</v>
      </c>
      <c r="AO132" s="2">
        <v>0</v>
      </c>
      <c r="AP132" s="2">
        <v>0</v>
      </c>
      <c r="AQ132" s="2">
        <v>0</v>
      </c>
    </row>
    <row r="133" spans="1:43" x14ac:dyDescent="0.25">
      <c r="A133" s="1">
        <v>45936</v>
      </c>
      <c r="B133" t="s">
        <v>48</v>
      </c>
      <c r="C133">
        <v>649163</v>
      </c>
      <c r="D133">
        <v>2019202915</v>
      </c>
      <c r="E133" t="s">
        <v>589</v>
      </c>
      <c r="F133" t="s">
        <v>238</v>
      </c>
      <c r="G133" t="s">
        <v>51</v>
      </c>
      <c r="H133" t="s">
        <v>247</v>
      </c>
      <c r="I133" t="s">
        <v>350</v>
      </c>
      <c r="J133" t="s">
        <v>351</v>
      </c>
      <c r="K133">
        <v>673059</v>
      </c>
      <c r="L133" t="s">
        <v>80</v>
      </c>
      <c r="M133" t="s">
        <v>81</v>
      </c>
      <c r="N133" t="s">
        <v>57</v>
      </c>
      <c r="O133" s="1">
        <v>45108</v>
      </c>
      <c r="Q133" s="1">
        <v>45962</v>
      </c>
      <c r="R133" s="2">
        <v>47.55</v>
      </c>
      <c r="S133">
        <v>1</v>
      </c>
      <c r="T133" t="s">
        <v>58</v>
      </c>
      <c r="U133" t="s">
        <v>359</v>
      </c>
      <c r="V133" s="4">
        <v>5.2499999999999998E-2</v>
      </c>
      <c r="W133" s="2">
        <v>0</v>
      </c>
      <c r="X133">
        <v>0</v>
      </c>
      <c r="Y133" t="s">
        <v>214</v>
      </c>
      <c r="Z133" t="s">
        <v>360</v>
      </c>
      <c r="AA133">
        <v>0</v>
      </c>
      <c r="AB133" s="2">
        <v>0</v>
      </c>
      <c r="AC133" s="2">
        <v>0</v>
      </c>
      <c r="AD133" s="3">
        <v>0</v>
      </c>
      <c r="AE133" s="2">
        <v>0</v>
      </c>
      <c r="AF133" s="2">
        <v>0</v>
      </c>
      <c r="AG133" s="2">
        <v>0</v>
      </c>
      <c r="AH133" s="2">
        <v>0</v>
      </c>
      <c r="AI133" s="2">
        <v>0</v>
      </c>
      <c r="AJ133" s="2">
        <v>0</v>
      </c>
      <c r="AK133" s="2">
        <v>0</v>
      </c>
      <c r="AL133" s="2">
        <v>0</v>
      </c>
      <c r="AM133" s="2">
        <v>2.5</v>
      </c>
      <c r="AN133" s="2">
        <v>2.5</v>
      </c>
      <c r="AO133" s="2">
        <v>0</v>
      </c>
      <c r="AP133" s="2">
        <v>0</v>
      </c>
      <c r="AQ133" s="2">
        <v>0</v>
      </c>
    </row>
    <row r="134" spans="1:43" x14ac:dyDescent="0.25">
      <c r="A134" s="1">
        <v>45936</v>
      </c>
      <c r="B134" t="s">
        <v>48</v>
      </c>
      <c r="C134">
        <v>649163</v>
      </c>
      <c r="D134">
        <v>2019324243</v>
      </c>
      <c r="E134" t="s">
        <v>590</v>
      </c>
      <c r="F134" t="s">
        <v>72</v>
      </c>
      <c r="G134" t="s">
        <v>51</v>
      </c>
      <c r="H134" t="s">
        <v>88</v>
      </c>
      <c r="I134" t="s">
        <v>350</v>
      </c>
      <c r="J134" t="s">
        <v>351</v>
      </c>
      <c r="K134">
        <v>673059</v>
      </c>
      <c r="L134" t="s">
        <v>80</v>
      </c>
      <c r="M134" t="s">
        <v>81</v>
      </c>
      <c r="N134" t="s">
        <v>57</v>
      </c>
      <c r="O134" s="1">
        <v>45139</v>
      </c>
      <c r="Q134" s="1">
        <v>45962</v>
      </c>
      <c r="R134" s="2">
        <v>14.86</v>
      </c>
      <c r="S134">
        <v>1</v>
      </c>
      <c r="T134" t="s">
        <v>58</v>
      </c>
      <c r="U134" t="s">
        <v>359</v>
      </c>
      <c r="V134" s="4">
        <v>5.2499999999999998E-2</v>
      </c>
      <c r="W134" s="2">
        <v>0</v>
      </c>
      <c r="X134">
        <v>0</v>
      </c>
      <c r="Y134" t="s">
        <v>214</v>
      </c>
      <c r="Z134" t="s">
        <v>360</v>
      </c>
      <c r="AA134">
        <v>0</v>
      </c>
      <c r="AB134" s="2">
        <v>0</v>
      </c>
      <c r="AC134" s="2">
        <v>0</v>
      </c>
      <c r="AD134" s="3">
        <v>0</v>
      </c>
      <c r="AE134" s="2">
        <v>0</v>
      </c>
      <c r="AF134" s="2">
        <v>0</v>
      </c>
      <c r="AG134" s="2">
        <v>0</v>
      </c>
      <c r="AH134" s="2">
        <v>0</v>
      </c>
      <c r="AI134" s="2">
        <v>0</v>
      </c>
      <c r="AJ134" s="2">
        <v>0</v>
      </c>
      <c r="AK134" s="2">
        <v>0</v>
      </c>
      <c r="AL134" s="2">
        <v>0</v>
      </c>
      <c r="AM134" s="2">
        <v>0.78</v>
      </c>
      <c r="AN134" s="2">
        <v>0.78</v>
      </c>
      <c r="AO134" s="2">
        <v>0</v>
      </c>
      <c r="AP134" s="2">
        <v>0</v>
      </c>
      <c r="AQ134" s="2">
        <v>0</v>
      </c>
    </row>
    <row r="135" spans="1:43" x14ac:dyDescent="0.25">
      <c r="A135" s="1">
        <v>45936</v>
      </c>
      <c r="B135" t="s">
        <v>48</v>
      </c>
      <c r="C135">
        <v>649163</v>
      </c>
      <c r="D135">
        <v>2019345387</v>
      </c>
      <c r="E135" t="s">
        <v>591</v>
      </c>
      <c r="F135" t="s">
        <v>301</v>
      </c>
      <c r="G135" t="s">
        <v>51</v>
      </c>
      <c r="H135" t="s">
        <v>70</v>
      </c>
      <c r="I135" t="s">
        <v>350</v>
      </c>
      <c r="J135" t="s">
        <v>351</v>
      </c>
      <c r="K135">
        <v>649285</v>
      </c>
      <c r="L135" t="s">
        <v>479</v>
      </c>
      <c r="M135" t="s">
        <v>480</v>
      </c>
      <c r="N135" t="s">
        <v>57</v>
      </c>
      <c r="O135" s="1">
        <v>45139</v>
      </c>
      <c r="Q135" s="1">
        <v>45962</v>
      </c>
      <c r="R135" s="2">
        <v>92.61</v>
      </c>
      <c r="S135">
        <v>1</v>
      </c>
      <c r="T135" t="s">
        <v>58</v>
      </c>
      <c r="U135" t="s">
        <v>359</v>
      </c>
      <c r="V135" s="3">
        <v>0</v>
      </c>
      <c r="W135" s="2">
        <v>0</v>
      </c>
      <c r="X135">
        <v>0</v>
      </c>
      <c r="Y135" t="s">
        <v>214</v>
      </c>
      <c r="Z135" t="s">
        <v>360</v>
      </c>
      <c r="AA135">
        <v>0</v>
      </c>
      <c r="AB135" s="2">
        <v>0</v>
      </c>
      <c r="AC135" s="2">
        <v>0</v>
      </c>
      <c r="AD135" s="3">
        <v>0</v>
      </c>
      <c r="AE135" s="2">
        <v>0</v>
      </c>
      <c r="AF135" s="2">
        <v>0</v>
      </c>
      <c r="AG135" s="2">
        <v>0</v>
      </c>
      <c r="AH135" s="2">
        <v>0</v>
      </c>
      <c r="AI135" s="2">
        <v>0</v>
      </c>
      <c r="AJ135" s="2">
        <v>0</v>
      </c>
      <c r="AK135" s="2">
        <v>0</v>
      </c>
      <c r="AL135" s="2">
        <v>0</v>
      </c>
      <c r="AM135" s="2">
        <v>0.69</v>
      </c>
      <c r="AN135" s="2">
        <v>0.69</v>
      </c>
      <c r="AO135" s="2">
        <v>0</v>
      </c>
      <c r="AP135" s="2">
        <v>0</v>
      </c>
      <c r="AQ135" s="2">
        <v>0</v>
      </c>
    </row>
    <row r="136" spans="1:43" x14ac:dyDescent="0.25">
      <c r="A136" s="1">
        <v>45936</v>
      </c>
      <c r="B136" t="s">
        <v>48</v>
      </c>
      <c r="C136">
        <v>649163</v>
      </c>
      <c r="D136">
        <v>2019422323</v>
      </c>
      <c r="E136" t="s">
        <v>592</v>
      </c>
      <c r="F136" t="s">
        <v>593</v>
      </c>
      <c r="G136" t="s">
        <v>51</v>
      </c>
      <c r="H136" t="s">
        <v>427</v>
      </c>
      <c r="I136" t="s">
        <v>350</v>
      </c>
      <c r="J136" t="s">
        <v>351</v>
      </c>
      <c r="K136">
        <v>673059</v>
      </c>
      <c r="L136" t="s">
        <v>80</v>
      </c>
      <c r="M136" t="s">
        <v>81</v>
      </c>
      <c r="N136" t="s">
        <v>57</v>
      </c>
      <c r="O136" s="1">
        <v>45139</v>
      </c>
      <c r="Q136" s="1">
        <v>45962</v>
      </c>
      <c r="R136" s="2">
        <v>42.84</v>
      </c>
      <c r="S136">
        <v>1</v>
      </c>
      <c r="T136" t="s">
        <v>58</v>
      </c>
      <c r="U136" t="s">
        <v>359</v>
      </c>
      <c r="V136" s="4">
        <v>5.2499999999999998E-2</v>
      </c>
      <c r="W136" s="2">
        <v>0</v>
      </c>
      <c r="X136">
        <v>0</v>
      </c>
      <c r="Y136" t="s">
        <v>214</v>
      </c>
      <c r="Z136" t="s">
        <v>360</v>
      </c>
      <c r="AA136">
        <v>0</v>
      </c>
      <c r="AB136" s="2">
        <v>0</v>
      </c>
      <c r="AC136" s="2">
        <v>0</v>
      </c>
      <c r="AD136" s="3">
        <v>0</v>
      </c>
      <c r="AE136" s="2">
        <v>0</v>
      </c>
      <c r="AF136" s="2">
        <v>0</v>
      </c>
      <c r="AG136" s="2">
        <v>0</v>
      </c>
      <c r="AH136" s="2">
        <v>0</v>
      </c>
      <c r="AI136" s="2">
        <v>0</v>
      </c>
      <c r="AJ136" s="2">
        <v>0</v>
      </c>
      <c r="AK136" s="2">
        <v>0</v>
      </c>
      <c r="AL136" s="2">
        <v>0</v>
      </c>
      <c r="AM136" s="2">
        <v>2.25</v>
      </c>
      <c r="AN136" s="2">
        <v>2.25</v>
      </c>
      <c r="AO136" s="2">
        <v>0</v>
      </c>
      <c r="AP136" s="2">
        <v>0</v>
      </c>
      <c r="AQ136" s="2">
        <v>0</v>
      </c>
    </row>
    <row r="137" spans="1:43" x14ac:dyDescent="0.25">
      <c r="A137" s="1">
        <v>45936</v>
      </c>
      <c r="B137" t="s">
        <v>48</v>
      </c>
      <c r="C137">
        <v>649163</v>
      </c>
      <c r="D137">
        <v>2019602458</v>
      </c>
      <c r="E137" t="s">
        <v>594</v>
      </c>
      <c r="F137" t="s">
        <v>595</v>
      </c>
      <c r="G137" t="s">
        <v>51</v>
      </c>
      <c r="H137" t="s">
        <v>70</v>
      </c>
      <c r="I137" t="s">
        <v>350</v>
      </c>
      <c r="J137" t="s">
        <v>351</v>
      </c>
      <c r="K137">
        <v>677095</v>
      </c>
      <c r="L137" t="s">
        <v>415</v>
      </c>
      <c r="M137" t="s">
        <v>401</v>
      </c>
      <c r="N137" t="s">
        <v>57</v>
      </c>
      <c r="O137" s="1">
        <v>45170</v>
      </c>
      <c r="Q137" s="1">
        <v>45962</v>
      </c>
      <c r="R137" s="2">
        <v>51.19</v>
      </c>
      <c r="S137">
        <v>1</v>
      </c>
      <c r="T137" t="s">
        <v>58</v>
      </c>
      <c r="U137" t="s">
        <v>359</v>
      </c>
      <c r="V137" s="3">
        <v>0</v>
      </c>
      <c r="W137" s="2">
        <v>0</v>
      </c>
      <c r="X137">
        <v>0</v>
      </c>
      <c r="Y137" t="s">
        <v>214</v>
      </c>
      <c r="Z137" t="s">
        <v>360</v>
      </c>
      <c r="AA137">
        <v>0</v>
      </c>
      <c r="AB137" s="2">
        <v>0</v>
      </c>
      <c r="AC137" s="2">
        <v>0</v>
      </c>
      <c r="AD137" s="3">
        <v>0</v>
      </c>
      <c r="AE137" s="2">
        <v>0</v>
      </c>
      <c r="AF137" s="2">
        <v>0</v>
      </c>
      <c r="AG137" s="2">
        <v>0</v>
      </c>
      <c r="AH137" s="2">
        <v>0</v>
      </c>
      <c r="AI137" s="2">
        <v>0</v>
      </c>
      <c r="AJ137" s="2">
        <v>0</v>
      </c>
      <c r="AK137" s="2">
        <v>0</v>
      </c>
      <c r="AL137" s="2">
        <v>0</v>
      </c>
      <c r="AM137" s="2">
        <v>0.38</v>
      </c>
      <c r="AN137" s="2">
        <v>0.38</v>
      </c>
      <c r="AO137" s="2">
        <v>0</v>
      </c>
      <c r="AP137" s="2">
        <v>0</v>
      </c>
      <c r="AQ137" s="2">
        <v>0</v>
      </c>
    </row>
    <row r="138" spans="1:43" x14ac:dyDescent="0.25">
      <c r="A138" s="1">
        <v>45936</v>
      </c>
      <c r="B138" t="s">
        <v>48</v>
      </c>
      <c r="C138">
        <v>649163</v>
      </c>
      <c r="D138">
        <v>2019741130</v>
      </c>
      <c r="E138" t="s">
        <v>596</v>
      </c>
      <c r="F138" t="s">
        <v>597</v>
      </c>
      <c r="G138" t="s">
        <v>51</v>
      </c>
      <c r="H138" t="s">
        <v>70</v>
      </c>
      <c r="I138" t="s">
        <v>350</v>
      </c>
      <c r="J138" t="s">
        <v>351</v>
      </c>
      <c r="K138">
        <v>649164</v>
      </c>
      <c r="L138" t="s">
        <v>211</v>
      </c>
      <c r="M138" t="s">
        <v>212</v>
      </c>
      <c r="N138" t="s">
        <v>57</v>
      </c>
      <c r="O138" s="1">
        <v>45170</v>
      </c>
      <c r="Q138" s="1">
        <v>45962</v>
      </c>
      <c r="R138" s="2">
        <v>64.540000000000006</v>
      </c>
      <c r="S138">
        <v>1</v>
      </c>
      <c r="T138" t="s">
        <v>58</v>
      </c>
      <c r="U138" t="s">
        <v>359</v>
      </c>
      <c r="V138" s="4">
        <v>5.2499999999999998E-2</v>
      </c>
      <c r="W138" s="2">
        <v>0</v>
      </c>
      <c r="X138">
        <v>0</v>
      </c>
      <c r="Y138" t="s">
        <v>214</v>
      </c>
      <c r="Z138" t="s">
        <v>360</v>
      </c>
      <c r="AA138">
        <v>0</v>
      </c>
      <c r="AB138" s="2">
        <v>0</v>
      </c>
      <c r="AC138" s="2">
        <v>0</v>
      </c>
      <c r="AD138" s="3">
        <v>0</v>
      </c>
      <c r="AE138" s="2">
        <v>0</v>
      </c>
      <c r="AF138" s="2">
        <v>0</v>
      </c>
      <c r="AG138" s="2">
        <v>0</v>
      </c>
      <c r="AH138" s="2">
        <v>0</v>
      </c>
      <c r="AI138" s="2">
        <v>0</v>
      </c>
      <c r="AJ138" s="2">
        <v>0</v>
      </c>
      <c r="AK138" s="2">
        <v>0</v>
      </c>
      <c r="AL138" s="2">
        <v>0</v>
      </c>
      <c r="AM138" s="2">
        <v>3.39</v>
      </c>
      <c r="AN138" s="2">
        <v>3.39</v>
      </c>
      <c r="AO138" s="2">
        <v>0</v>
      </c>
      <c r="AP138" s="2">
        <v>0</v>
      </c>
      <c r="AQ138" s="2">
        <v>0</v>
      </c>
    </row>
    <row r="139" spans="1:43" x14ac:dyDescent="0.25">
      <c r="A139" s="1">
        <v>45936</v>
      </c>
      <c r="B139" t="s">
        <v>48</v>
      </c>
      <c r="C139">
        <v>649163</v>
      </c>
      <c r="D139">
        <v>2020148911</v>
      </c>
      <c r="E139" t="s">
        <v>598</v>
      </c>
      <c r="F139" t="s">
        <v>524</v>
      </c>
      <c r="G139" t="s">
        <v>51</v>
      </c>
      <c r="H139" t="s">
        <v>70</v>
      </c>
      <c r="I139" t="s">
        <v>350</v>
      </c>
      <c r="J139" t="s">
        <v>351</v>
      </c>
      <c r="K139">
        <v>678320</v>
      </c>
      <c r="L139" t="s">
        <v>576</v>
      </c>
      <c r="M139" t="s">
        <v>139</v>
      </c>
      <c r="N139" t="s">
        <v>57</v>
      </c>
      <c r="O139" s="1">
        <v>45200</v>
      </c>
      <c r="Q139" s="1">
        <v>45962</v>
      </c>
      <c r="R139" s="2">
        <v>30.23</v>
      </c>
      <c r="S139">
        <v>1</v>
      </c>
      <c r="T139" t="s">
        <v>58</v>
      </c>
      <c r="U139" t="s">
        <v>359</v>
      </c>
      <c r="V139" s="4">
        <v>5.2499999999999998E-2</v>
      </c>
      <c r="W139" s="2">
        <v>0</v>
      </c>
      <c r="X139">
        <v>0</v>
      </c>
      <c r="Y139" t="s">
        <v>214</v>
      </c>
      <c r="Z139" t="s">
        <v>360</v>
      </c>
      <c r="AA139">
        <v>0</v>
      </c>
      <c r="AB139" s="2">
        <v>0</v>
      </c>
      <c r="AC139" s="2">
        <v>0</v>
      </c>
      <c r="AD139" s="3">
        <v>0</v>
      </c>
      <c r="AE139" s="2">
        <v>0</v>
      </c>
      <c r="AF139" s="2">
        <v>0</v>
      </c>
      <c r="AG139" s="2">
        <v>0</v>
      </c>
      <c r="AH139" s="2">
        <v>0</v>
      </c>
      <c r="AI139" s="2">
        <v>0</v>
      </c>
      <c r="AJ139" s="2">
        <v>0</v>
      </c>
      <c r="AK139" s="2">
        <v>0</v>
      </c>
      <c r="AL139" s="2">
        <v>0</v>
      </c>
      <c r="AM139" s="2">
        <v>1.59</v>
      </c>
      <c r="AN139" s="2">
        <v>1.59</v>
      </c>
      <c r="AO139" s="2">
        <v>0</v>
      </c>
      <c r="AP139" s="2">
        <v>0</v>
      </c>
      <c r="AQ139" s="2">
        <v>0</v>
      </c>
    </row>
    <row r="140" spans="1:43" x14ac:dyDescent="0.25">
      <c r="A140" s="1">
        <v>45936</v>
      </c>
      <c r="B140" t="s">
        <v>48</v>
      </c>
      <c r="C140">
        <v>649163</v>
      </c>
      <c r="D140">
        <v>2020450119</v>
      </c>
      <c r="E140" t="s">
        <v>599</v>
      </c>
      <c r="F140" t="s">
        <v>600</v>
      </c>
      <c r="G140" t="s">
        <v>51</v>
      </c>
      <c r="H140" t="s">
        <v>70</v>
      </c>
      <c r="I140" t="s">
        <v>350</v>
      </c>
      <c r="J140" t="s">
        <v>351</v>
      </c>
      <c r="K140">
        <v>649247</v>
      </c>
      <c r="L140" t="s">
        <v>75</v>
      </c>
      <c r="M140" t="s">
        <v>76</v>
      </c>
      <c r="N140" t="s">
        <v>57</v>
      </c>
      <c r="O140" s="1">
        <v>45231</v>
      </c>
      <c r="Q140" s="1">
        <v>45962</v>
      </c>
      <c r="R140" s="2">
        <v>115.64</v>
      </c>
      <c r="S140">
        <v>1</v>
      </c>
      <c r="T140" t="s">
        <v>58</v>
      </c>
      <c r="U140" t="s">
        <v>359</v>
      </c>
      <c r="V140" s="4">
        <v>5.2499999999999998E-2</v>
      </c>
      <c r="W140" s="2">
        <v>0</v>
      </c>
      <c r="X140">
        <v>0</v>
      </c>
      <c r="Y140" t="s">
        <v>214</v>
      </c>
      <c r="Z140" t="s">
        <v>360</v>
      </c>
      <c r="AA140">
        <v>0</v>
      </c>
      <c r="AB140" s="2">
        <v>0</v>
      </c>
      <c r="AC140" s="2">
        <v>0</v>
      </c>
      <c r="AD140" s="3">
        <v>0</v>
      </c>
      <c r="AE140" s="2">
        <v>0</v>
      </c>
      <c r="AF140" s="2">
        <v>0</v>
      </c>
      <c r="AG140" s="2">
        <v>0</v>
      </c>
      <c r="AH140" s="2">
        <v>0</v>
      </c>
      <c r="AI140" s="2">
        <v>0</v>
      </c>
      <c r="AJ140" s="2">
        <v>0</v>
      </c>
      <c r="AK140" s="2">
        <v>0</v>
      </c>
      <c r="AL140" s="2">
        <v>0</v>
      </c>
      <c r="AM140" s="2">
        <v>6.07</v>
      </c>
      <c r="AN140" s="2">
        <v>6.07</v>
      </c>
      <c r="AO140" s="2">
        <v>0</v>
      </c>
      <c r="AP140" s="2">
        <v>0</v>
      </c>
      <c r="AQ140" s="2">
        <v>0</v>
      </c>
    </row>
    <row r="141" spans="1:43" x14ac:dyDescent="0.25">
      <c r="A141" s="1">
        <v>45936</v>
      </c>
      <c r="B141" t="s">
        <v>48</v>
      </c>
      <c r="C141">
        <v>649163</v>
      </c>
      <c r="D141">
        <v>2020472287</v>
      </c>
      <c r="E141" t="s">
        <v>601</v>
      </c>
      <c r="F141" t="s">
        <v>488</v>
      </c>
      <c r="G141" t="s">
        <v>51</v>
      </c>
      <c r="H141" t="s">
        <v>70</v>
      </c>
      <c r="I141" t="s">
        <v>350</v>
      </c>
      <c r="J141" t="s">
        <v>351</v>
      </c>
      <c r="K141">
        <v>678320</v>
      </c>
      <c r="L141" t="s">
        <v>576</v>
      </c>
      <c r="M141" t="s">
        <v>139</v>
      </c>
      <c r="N141" t="s">
        <v>57</v>
      </c>
      <c r="O141" s="1">
        <v>45261</v>
      </c>
      <c r="Q141" s="1">
        <v>45962</v>
      </c>
      <c r="R141" s="2">
        <v>33.590000000000003</v>
      </c>
      <c r="S141">
        <v>1</v>
      </c>
      <c r="T141" t="s">
        <v>58</v>
      </c>
      <c r="U141" t="s">
        <v>359</v>
      </c>
      <c r="V141" s="4">
        <v>5.2499999999999998E-2</v>
      </c>
      <c r="W141" s="2">
        <v>0</v>
      </c>
      <c r="X141">
        <v>0</v>
      </c>
      <c r="Y141" t="s">
        <v>214</v>
      </c>
      <c r="Z141" t="s">
        <v>360</v>
      </c>
      <c r="AA141">
        <v>0</v>
      </c>
      <c r="AB141" s="2">
        <v>0</v>
      </c>
      <c r="AC141" s="2">
        <v>0</v>
      </c>
      <c r="AD141" s="3">
        <v>0</v>
      </c>
      <c r="AE141" s="2">
        <v>0</v>
      </c>
      <c r="AF141" s="2">
        <v>0</v>
      </c>
      <c r="AG141" s="2">
        <v>0</v>
      </c>
      <c r="AH141" s="2">
        <v>0</v>
      </c>
      <c r="AI141" s="2">
        <v>0</v>
      </c>
      <c r="AJ141" s="2">
        <v>0</v>
      </c>
      <c r="AK141" s="2">
        <v>0</v>
      </c>
      <c r="AL141" s="2">
        <v>0</v>
      </c>
      <c r="AM141" s="2">
        <v>1.76</v>
      </c>
      <c r="AN141" s="2">
        <v>1.76</v>
      </c>
      <c r="AO141" s="2">
        <v>0</v>
      </c>
      <c r="AP141" s="2">
        <v>0</v>
      </c>
      <c r="AQ141" s="2">
        <v>0</v>
      </c>
    </row>
    <row r="142" spans="1:43" x14ac:dyDescent="0.25">
      <c r="A142" s="1">
        <v>45936</v>
      </c>
      <c r="B142" t="s">
        <v>48</v>
      </c>
      <c r="C142">
        <v>649163</v>
      </c>
      <c r="D142">
        <v>2020478111</v>
      </c>
      <c r="E142" t="s">
        <v>602</v>
      </c>
      <c r="F142" t="s">
        <v>603</v>
      </c>
      <c r="G142" t="s">
        <v>51</v>
      </c>
      <c r="H142" t="s">
        <v>70</v>
      </c>
      <c r="I142" t="s">
        <v>350</v>
      </c>
      <c r="J142" t="s">
        <v>351</v>
      </c>
      <c r="K142">
        <v>678320</v>
      </c>
      <c r="L142" t="s">
        <v>576</v>
      </c>
      <c r="M142" t="s">
        <v>139</v>
      </c>
      <c r="N142" t="s">
        <v>57</v>
      </c>
      <c r="O142" s="1">
        <v>45231</v>
      </c>
      <c r="Q142" s="1">
        <v>45962</v>
      </c>
      <c r="R142" s="2">
        <v>43.59</v>
      </c>
      <c r="S142">
        <v>1</v>
      </c>
      <c r="T142" t="s">
        <v>58</v>
      </c>
      <c r="U142" t="s">
        <v>359</v>
      </c>
      <c r="V142" s="4">
        <v>5.2499999999999998E-2</v>
      </c>
      <c r="W142" s="2">
        <v>0</v>
      </c>
      <c r="X142">
        <v>0</v>
      </c>
      <c r="Y142" t="s">
        <v>214</v>
      </c>
      <c r="Z142" t="s">
        <v>360</v>
      </c>
      <c r="AA142">
        <v>0</v>
      </c>
      <c r="AB142" s="2">
        <v>0</v>
      </c>
      <c r="AC142" s="2">
        <v>0</v>
      </c>
      <c r="AD142" s="3">
        <v>0</v>
      </c>
      <c r="AE142" s="2">
        <v>0</v>
      </c>
      <c r="AF142" s="2">
        <v>0</v>
      </c>
      <c r="AG142" s="2">
        <v>0</v>
      </c>
      <c r="AH142" s="2">
        <v>0</v>
      </c>
      <c r="AI142" s="2">
        <v>0</v>
      </c>
      <c r="AJ142" s="2">
        <v>0</v>
      </c>
      <c r="AK142" s="2">
        <v>0</v>
      </c>
      <c r="AL142" s="2">
        <v>0</v>
      </c>
      <c r="AM142" s="2">
        <v>2.29</v>
      </c>
      <c r="AN142" s="2">
        <v>2.29</v>
      </c>
      <c r="AO142" s="2">
        <v>0</v>
      </c>
      <c r="AP142" s="2">
        <v>0</v>
      </c>
      <c r="AQ142" s="2">
        <v>0</v>
      </c>
    </row>
    <row r="143" spans="1:43" x14ac:dyDescent="0.25">
      <c r="A143" s="1">
        <v>45936</v>
      </c>
      <c r="B143" t="s">
        <v>48</v>
      </c>
      <c r="C143">
        <v>649163</v>
      </c>
      <c r="D143">
        <v>2020488528</v>
      </c>
      <c r="E143" t="s">
        <v>208</v>
      </c>
      <c r="F143" t="s">
        <v>207</v>
      </c>
      <c r="G143" t="s">
        <v>51</v>
      </c>
      <c r="H143" t="s">
        <v>70</v>
      </c>
      <c r="I143" t="s">
        <v>350</v>
      </c>
      <c r="J143" t="s">
        <v>351</v>
      </c>
      <c r="K143">
        <v>649164</v>
      </c>
      <c r="L143" t="s">
        <v>211</v>
      </c>
      <c r="M143" t="s">
        <v>212</v>
      </c>
      <c r="N143" t="s">
        <v>57</v>
      </c>
      <c r="O143" s="1">
        <v>45231</v>
      </c>
      <c r="Q143" s="1">
        <v>45962</v>
      </c>
      <c r="R143" s="2">
        <v>46.01</v>
      </c>
      <c r="S143">
        <v>1</v>
      </c>
      <c r="T143" t="s">
        <v>58</v>
      </c>
      <c r="U143" t="s">
        <v>359</v>
      </c>
      <c r="V143" s="4">
        <v>5.2499999999999998E-2</v>
      </c>
      <c r="W143" s="2">
        <v>0</v>
      </c>
      <c r="X143">
        <v>0</v>
      </c>
      <c r="Y143" t="s">
        <v>214</v>
      </c>
      <c r="Z143" t="s">
        <v>360</v>
      </c>
      <c r="AA143">
        <v>0</v>
      </c>
      <c r="AB143" s="2">
        <v>0</v>
      </c>
      <c r="AC143" s="2">
        <v>0</v>
      </c>
      <c r="AD143" s="3">
        <v>0</v>
      </c>
      <c r="AE143" s="2">
        <v>0</v>
      </c>
      <c r="AF143" s="2">
        <v>0</v>
      </c>
      <c r="AG143" s="2">
        <v>0</v>
      </c>
      <c r="AH143" s="2">
        <v>0</v>
      </c>
      <c r="AI143" s="2">
        <v>0</v>
      </c>
      <c r="AJ143" s="2">
        <v>0</v>
      </c>
      <c r="AK143" s="2">
        <v>0</v>
      </c>
      <c r="AL143" s="2">
        <v>0</v>
      </c>
      <c r="AM143" s="2">
        <v>2.42</v>
      </c>
      <c r="AN143" s="2">
        <v>2.42</v>
      </c>
      <c r="AO143" s="2">
        <v>0</v>
      </c>
      <c r="AP143" s="2">
        <v>0</v>
      </c>
      <c r="AQ143" s="2">
        <v>0</v>
      </c>
    </row>
    <row r="144" spans="1:43" x14ac:dyDescent="0.25">
      <c r="A144" s="1">
        <v>45936</v>
      </c>
      <c r="B144" t="s">
        <v>48</v>
      </c>
      <c r="C144">
        <v>649163</v>
      </c>
      <c r="D144">
        <v>2020564068</v>
      </c>
      <c r="E144" t="s">
        <v>604</v>
      </c>
      <c r="F144" t="s">
        <v>163</v>
      </c>
      <c r="G144" t="s">
        <v>51</v>
      </c>
      <c r="H144" t="s">
        <v>70</v>
      </c>
      <c r="I144" t="s">
        <v>350</v>
      </c>
      <c r="J144" t="s">
        <v>351</v>
      </c>
      <c r="K144">
        <v>649247</v>
      </c>
      <c r="L144" t="s">
        <v>75</v>
      </c>
      <c r="M144" t="s">
        <v>76</v>
      </c>
      <c r="N144" t="s">
        <v>57</v>
      </c>
      <c r="O144" s="1">
        <v>45231</v>
      </c>
      <c r="Q144" s="1">
        <v>45962</v>
      </c>
      <c r="R144" s="2">
        <v>56.88</v>
      </c>
      <c r="S144">
        <v>1</v>
      </c>
      <c r="T144" t="s">
        <v>58</v>
      </c>
      <c r="U144" t="s">
        <v>359</v>
      </c>
      <c r="V144" s="4">
        <v>5.2499999999999998E-2</v>
      </c>
      <c r="W144" s="2">
        <v>0</v>
      </c>
      <c r="X144">
        <v>0</v>
      </c>
      <c r="Y144" t="s">
        <v>214</v>
      </c>
      <c r="Z144" t="s">
        <v>360</v>
      </c>
      <c r="AA144">
        <v>0</v>
      </c>
      <c r="AB144" s="2">
        <v>0</v>
      </c>
      <c r="AC144" s="2">
        <v>0</v>
      </c>
      <c r="AD144" s="3">
        <v>0</v>
      </c>
      <c r="AE144" s="2">
        <v>0</v>
      </c>
      <c r="AF144" s="2">
        <v>0</v>
      </c>
      <c r="AG144" s="2">
        <v>0</v>
      </c>
      <c r="AH144" s="2">
        <v>0</v>
      </c>
      <c r="AI144" s="2">
        <v>0</v>
      </c>
      <c r="AJ144" s="2">
        <v>0</v>
      </c>
      <c r="AK144" s="2">
        <v>0</v>
      </c>
      <c r="AL144" s="2">
        <v>0</v>
      </c>
      <c r="AM144" s="2">
        <v>2.99</v>
      </c>
      <c r="AN144" s="2">
        <v>2.99</v>
      </c>
      <c r="AO144" s="2">
        <v>0</v>
      </c>
      <c r="AP144" s="2">
        <v>0</v>
      </c>
      <c r="AQ144" s="2">
        <v>0</v>
      </c>
    </row>
    <row r="145" spans="1:43" x14ac:dyDescent="0.25">
      <c r="A145" s="1">
        <v>45936</v>
      </c>
      <c r="B145" t="s">
        <v>48</v>
      </c>
      <c r="C145">
        <v>649163</v>
      </c>
      <c r="D145">
        <v>2020599250</v>
      </c>
      <c r="E145" t="s">
        <v>605</v>
      </c>
      <c r="F145" t="s">
        <v>606</v>
      </c>
      <c r="G145" t="s">
        <v>51</v>
      </c>
      <c r="H145" t="s">
        <v>70</v>
      </c>
      <c r="I145" t="s">
        <v>350</v>
      </c>
      <c r="J145" t="s">
        <v>351</v>
      </c>
      <c r="K145">
        <v>649164</v>
      </c>
      <c r="L145" t="s">
        <v>211</v>
      </c>
      <c r="M145" t="s">
        <v>212</v>
      </c>
      <c r="N145" t="s">
        <v>57</v>
      </c>
      <c r="O145" s="1">
        <v>45292</v>
      </c>
      <c r="Q145" s="1">
        <v>45962</v>
      </c>
      <c r="R145" s="2">
        <v>45.54</v>
      </c>
      <c r="S145">
        <v>1</v>
      </c>
      <c r="T145" t="s">
        <v>58</v>
      </c>
      <c r="U145" t="s">
        <v>359</v>
      </c>
      <c r="V145" s="4">
        <v>5.2499999999999998E-2</v>
      </c>
      <c r="W145" s="2">
        <v>0</v>
      </c>
      <c r="X145">
        <v>0</v>
      </c>
      <c r="Y145" t="s">
        <v>214</v>
      </c>
      <c r="Z145" t="s">
        <v>360</v>
      </c>
      <c r="AA145">
        <v>0</v>
      </c>
      <c r="AB145" s="2">
        <v>0</v>
      </c>
      <c r="AC145" s="2">
        <v>0</v>
      </c>
      <c r="AD145" s="3">
        <v>0</v>
      </c>
      <c r="AE145" s="2">
        <v>0</v>
      </c>
      <c r="AF145" s="2">
        <v>0</v>
      </c>
      <c r="AG145" s="2">
        <v>0</v>
      </c>
      <c r="AH145" s="2">
        <v>0</v>
      </c>
      <c r="AI145" s="2">
        <v>0</v>
      </c>
      <c r="AJ145" s="2">
        <v>0</v>
      </c>
      <c r="AK145" s="2">
        <v>0</v>
      </c>
      <c r="AL145" s="2">
        <v>0</v>
      </c>
      <c r="AM145" s="2">
        <v>2.39</v>
      </c>
      <c r="AN145" s="2">
        <v>2.39</v>
      </c>
      <c r="AO145" s="2">
        <v>0</v>
      </c>
      <c r="AP145" s="2">
        <v>0</v>
      </c>
      <c r="AQ145" s="2">
        <v>0</v>
      </c>
    </row>
    <row r="146" spans="1:43" x14ac:dyDescent="0.25">
      <c r="A146" s="1">
        <v>45936</v>
      </c>
      <c r="B146" t="s">
        <v>48</v>
      </c>
      <c r="C146">
        <v>649163</v>
      </c>
      <c r="D146">
        <v>2020623230</v>
      </c>
      <c r="E146" t="s">
        <v>607</v>
      </c>
      <c r="F146" t="s">
        <v>608</v>
      </c>
      <c r="G146" t="s">
        <v>51</v>
      </c>
      <c r="H146" t="s">
        <v>70</v>
      </c>
      <c r="I146" t="s">
        <v>350</v>
      </c>
      <c r="J146" t="s">
        <v>351</v>
      </c>
      <c r="K146">
        <v>678320</v>
      </c>
      <c r="L146" t="s">
        <v>576</v>
      </c>
      <c r="M146" t="s">
        <v>139</v>
      </c>
      <c r="N146" t="s">
        <v>57</v>
      </c>
      <c r="O146" s="1">
        <v>45292</v>
      </c>
      <c r="Q146" s="1">
        <v>45962</v>
      </c>
      <c r="R146" s="2">
        <v>43.59</v>
      </c>
      <c r="S146">
        <v>1</v>
      </c>
      <c r="T146" t="s">
        <v>58</v>
      </c>
      <c r="U146" t="s">
        <v>359</v>
      </c>
      <c r="V146" s="4">
        <v>5.2499999999999998E-2</v>
      </c>
      <c r="W146" s="2">
        <v>0</v>
      </c>
      <c r="X146">
        <v>0</v>
      </c>
      <c r="Y146" t="s">
        <v>214</v>
      </c>
      <c r="Z146" t="s">
        <v>360</v>
      </c>
      <c r="AA146">
        <v>0</v>
      </c>
      <c r="AB146" s="2">
        <v>0</v>
      </c>
      <c r="AC146" s="2">
        <v>0</v>
      </c>
      <c r="AD146" s="3">
        <v>0</v>
      </c>
      <c r="AE146" s="2">
        <v>0</v>
      </c>
      <c r="AF146" s="2">
        <v>0</v>
      </c>
      <c r="AG146" s="2">
        <v>0</v>
      </c>
      <c r="AH146" s="2">
        <v>0</v>
      </c>
      <c r="AI146" s="2">
        <v>0</v>
      </c>
      <c r="AJ146" s="2">
        <v>0</v>
      </c>
      <c r="AK146" s="2">
        <v>0</v>
      </c>
      <c r="AL146" s="2">
        <v>0</v>
      </c>
      <c r="AM146" s="2">
        <v>2.29</v>
      </c>
      <c r="AN146" s="2">
        <v>2.29</v>
      </c>
      <c r="AO146" s="2">
        <v>0</v>
      </c>
      <c r="AP146" s="2">
        <v>0</v>
      </c>
      <c r="AQ146" s="2">
        <v>0</v>
      </c>
    </row>
    <row r="147" spans="1:43" x14ac:dyDescent="0.25">
      <c r="A147" s="1">
        <v>45936</v>
      </c>
      <c r="B147" t="s">
        <v>48</v>
      </c>
      <c r="C147">
        <v>649163</v>
      </c>
      <c r="D147">
        <v>2020623869</v>
      </c>
      <c r="E147" t="s">
        <v>609</v>
      </c>
      <c r="F147" t="s">
        <v>161</v>
      </c>
      <c r="G147" t="s">
        <v>51</v>
      </c>
      <c r="H147" t="s">
        <v>70</v>
      </c>
      <c r="I147" t="s">
        <v>350</v>
      </c>
      <c r="J147" t="s">
        <v>351</v>
      </c>
      <c r="K147">
        <v>649164</v>
      </c>
      <c r="L147" t="s">
        <v>211</v>
      </c>
      <c r="M147" t="s">
        <v>212</v>
      </c>
      <c r="N147" t="s">
        <v>57</v>
      </c>
      <c r="O147" s="1">
        <v>45232</v>
      </c>
      <c r="Q147" s="1">
        <v>45963</v>
      </c>
      <c r="R147" s="2">
        <v>51.19</v>
      </c>
      <c r="S147">
        <v>1</v>
      </c>
      <c r="T147" t="s">
        <v>58</v>
      </c>
      <c r="U147" t="s">
        <v>359</v>
      </c>
      <c r="V147" s="4">
        <v>5.2499999999999998E-2</v>
      </c>
      <c r="W147" s="2">
        <v>0</v>
      </c>
      <c r="X147">
        <v>0</v>
      </c>
      <c r="Y147" t="s">
        <v>214</v>
      </c>
      <c r="Z147" t="s">
        <v>360</v>
      </c>
      <c r="AA147">
        <v>0</v>
      </c>
      <c r="AB147" s="2">
        <v>0</v>
      </c>
      <c r="AC147" s="2">
        <v>0</v>
      </c>
      <c r="AD147" s="3">
        <v>0</v>
      </c>
      <c r="AE147" s="2">
        <v>0</v>
      </c>
      <c r="AF147" s="2">
        <v>0</v>
      </c>
      <c r="AG147" s="2">
        <v>0</v>
      </c>
      <c r="AH147" s="2">
        <v>0</v>
      </c>
      <c r="AI147" s="2">
        <v>0</v>
      </c>
      <c r="AJ147" s="2">
        <v>0</v>
      </c>
      <c r="AK147" s="2">
        <v>0</v>
      </c>
      <c r="AL147" s="2">
        <v>0</v>
      </c>
      <c r="AM147" s="2">
        <v>2.69</v>
      </c>
      <c r="AN147" s="2">
        <v>2.69</v>
      </c>
      <c r="AO147" s="2">
        <v>0</v>
      </c>
      <c r="AP147" s="2">
        <v>0</v>
      </c>
      <c r="AQ147" s="2">
        <v>0</v>
      </c>
    </row>
    <row r="148" spans="1:43" x14ac:dyDescent="0.25">
      <c r="A148" s="1">
        <v>45936</v>
      </c>
      <c r="B148" t="s">
        <v>48</v>
      </c>
      <c r="C148">
        <v>649163</v>
      </c>
      <c r="D148">
        <v>2020639704</v>
      </c>
      <c r="E148" t="s">
        <v>610</v>
      </c>
      <c r="F148" t="s">
        <v>466</v>
      </c>
      <c r="G148" t="s">
        <v>51</v>
      </c>
      <c r="H148" t="s">
        <v>431</v>
      </c>
      <c r="I148" t="s">
        <v>350</v>
      </c>
      <c r="J148" t="s">
        <v>351</v>
      </c>
      <c r="K148">
        <v>673059</v>
      </c>
      <c r="L148" t="s">
        <v>80</v>
      </c>
      <c r="M148" t="s">
        <v>81</v>
      </c>
      <c r="N148" t="s">
        <v>57</v>
      </c>
      <c r="O148" s="1">
        <v>45261</v>
      </c>
      <c r="Q148" s="1">
        <v>45962</v>
      </c>
      <c r="R148" s="2">
        <v>30.04</v>
      </c>
      <c r="S148">
        <v>1</v>
      </c>
      <c r="T148" t="s">
        <v>58</v>
      </c>
      <c r="U148" t="s">
        <v>359</v>
      </c>
      <c r="V148" s="4">
        <v>5.2499999999999998E-2</v>
      </c>
      <c r="W148" s="2">
        <v>0</v>
      </c>
      <c r="X148">
        <v>0</v>
      </c>
      <c r="Y148" t="s">
        <v>214</v>
      </c>
      <c r="Z148" t="s">
        <v>360</v>
      </c>
      <c r="AA148">
        <v>0</v>
      </c>
      <c r="AB148" s="2">
        <v>0</v>
      </c>
      <c r="AC148" s="2">
        <v>0</v>
      </c>
      <c r="AD148" s="3">
        <v>0</v>
      </c>
      <c r="AE148" s="2">
        <v>0</v>
      </c>
      <c r="AF148" s="2">
        <v>0</v>
      </c>
      <c r="AG148" s="2">
        <v>0</v>
      </c>
      <c r="AH148" s="2">
        <v>0</v>
      </c>
      <c r="AI148" s="2">
        <v>0</v>
      </c>
      <c r="AJ148" s="2">
        <v>0</v>
      </c>
      <c r="AK148" s="2">
        <v>0</v>
      </c>
      <c r="AL148" s="2">
        <v>0</v>
      </c>
      <c r="AM148" s="2">
        <v>1.58</v>
      </c>
      <c r="AN148" s="2">
        <v>1.58</v>
      </c>
      <c r="AO148" s="2">
        <v>0</v>
      </c>
      <c r="AP148" s="2">
        <v>0</v>
      </c>
      <c r="AQ148" s="2">
        <v>0</v>
      </c>
    </row>
    <row r="149" spans="1:43" x14ac:dyDescent="0.25">
      <c r="A149" s="1">
        <v>45936</v>
      </c>
      <c r="B149" t="s">
        <v>48</v>
      </c>
      <c r="C149">
        <v>649163</v>
      </c>
      <c r="D149">
        <v>2020720597</v>
      </c>
      <c r="E149" t="s">
        <v>611</v>
      </c>
      <c r="F149" t="s">
        <v>63</v>
      </c>
      <c r="G149" t="s">
        <v>51</v>
      </c>
      <c r="H149" t="s">
        <v>70</v>
      </c>
      <c r="I149" t="s">
        <v>350</v>
      </c>
      <c r="J149" t="s">
        <v>351</v>
      </c>
      <c r="K149">
        <v>649164</v>
      </c>
      <c r="L149" t="s">
        <v>211</v>
      </c>
      <c r="M149" t="s">
        <v>212</v>
      </c>
      <c r="N149" t="s">
        <v>57</v>
      </c>
      <c r="O149" s="1">
        <v>45261</v>
      </c>
      <c r="Q149" s="1">
        <v>45962</v>
      </c>
      <c r="R149" s="2">
        <v>117.55</v>
      </c>
      <c r="S149">
        <v>1</v>
      </c>
      <c r="T149" t="s">
        <v>58</v>
      </c>
      <c r="U149" t="s">
        <v>359</v>
      </c>
      <c r="V149" s="4">
        <v>5.2499999999999998E-2</v>
      </c>
      <c r="W149" s="2">
        <v>0</v>
      </c>
      <c r="X149">
        <v>0</v>
      </c>
      <c r="Y149" t="s">
        <v>214</v>
      </c>
      <c r="Z149" t="s">
        <v>360</v>
      </c>
      <c r="AA149">
        <v>0</v>
      </c>
      <c r="AB149" s="2">
        <v>0</v>
      </c>
      <c r="AC149" s="2">
        <v>0</v>
      </c>
      <c r="AD149" s="3">
        <v>0</v>
      </c>
      <c r="AE149" s="2">
        <v>0</v>
      </c>
      <c r="AF149" s="2">
        <v>0</v>
      </c>
      <c r="AG149" s="2">
        <v>0</v>
      </c>
      <c r="AH149" s="2">
        <v>0</v>
      </c>
      <c r="AI149" s="2">
        <v>0</v>
      </c>
      <c r="AJ149" s="2">
        <v>0</v>
      </c>
      <c r="AK149" s="2">
        <v>0</v>
      </c>
      <c r="AL149" s="2">
        <v>0</v>
      </c>
      <c r="AM149" s="2">
        <v>6.17</v>
      </c>
      <c r="AN149" s="2">
        <v>6.17</v>
      </c>
      <c r="AO149" s="2">
        <v>0</v>
      </c>
      <c r="AP149" s="2">
        <v>0</v>
      </c>
      <c r="AQ149" s="2">
        <v>0</v>
      </c>
    </row>
    <row r="150" spans="1:43" x14ac:dyDescent="0.25">
      <c r="A150" s="1">
        <v>45936</v>
      </c>
      <c r="B150" t="s">
        <v>48</v>
      </c>
      <c r="C150">
        <v>649163</v>
      </c>
      <c r="D150">
        <v>2020736329</v>
      </c>
      <c r="E150" t="s">
        <v>611</v>
      </c>
      <c r="F150" t="s">
        <v>612</v>
      </c>
      <c r="G150" t="s">
        <v>51</v>
      </c>
      <c r="H150" t="s">
        <v>70</v>
      </c>
      <c r="I150" t="s">
        <v>350</v>
      </c>
      <c r="J150" t="s">
        <v>351</v>
      </c>
      <c r="K150">
        <v>649164</v>
      </c>
      <c r="L150" t="s">
        <v>211</v>
      </c>
      <c r="M150" t="s">
        <v>212</v>
      </c>
      <c r="N150" t="s">
        <v>57</v>
      </c>
      <c r="O150" s="1">
        <v>45261</v>
      </c>
      <c r="Q150" s="1">
        <v>45962</v>
      </c>
      <c r="R150" s="2">
        <v>58.09</v>
      </c>
      <c r="S150">
        <v>1</v>
      </c>
      <c r="T150" t="s">
        <v>58</v>
      </c>
      <c r="U150" t="s">
        <v>359</v>
      </c>
      <c r="V150" s="4">
        <v>5.2499999999999998E-2</v>
      </c>
      <c r="W150" s="2">
        <v>0</v>
      </c>
      <c r="X150">
        <v>0</v>
      </c>
      <c r="Y150" t="s">
        <v>214</v>
      </c>
      <c r="Z150" t="s">
        <v>360</v>
      </c>
      <c r="AA150">
        <v>0</v>
      </c>
      <c r="AB150" s="2">
        <v>0</v>
      </c>
      <c r="AC150" s="2">
        <v>0</v>
      </c>
      <c r="AD150" s="3">
        <v>0</v>
      </c>
      <c r="AE150" s="2">
        <v>0</v>
      </c>
      <c r="AF150" s="2">
        <v>0</v>
      </c>
      <c r="AG150" s="2">
        <v>0</v>
      </c>
      <c r="AH150" s="2">
        <v>0</v>
      </c>
      <c r="AI150" s="2">
        <v>0</v>
      </c>
      <c r="AJ150" s="2">
        <v>0</v>
      </c>
      <c r="AK150" s="2">
        <v>0</v>
      </c>
      <c r="AL150" s="2">
        <v>0</v>
      </c>
      <c r="AM150" s="2">
        <v>3.05</v>
      </c>
      <c r="AN150" s="2">
        <v>3.05</v>
      </c>
      <c r="AO150" s="2">
        <v>0</v>
      </c>
      <c r="AP150" s="2">
        <v>0</v>
      </c>
      <c r="AQ150" s="2">
        <v>0</v>
      </c>
    </row>
    <row r="151" spans="1:43" x14ac:dyDescent="0.25">
      <c r="A151" s="1">
        <v>45936</v>
      </c>
      <c r="B151" t="s">
        <v>48</v>
      </c>
      <c r="C151">
        <v>649163</v>
      </c>
      <c r="D151">
        <v>2020799011</v>
      </c>
      <c r="E151" t="s">
        <v>613</v>
      </c>
      <c r="F151" t="s">
        <v>486</v>
      </c>
      <c r="G151" t="s">
        <v>51</v>
      </c>
      <c r="H151" t="s">
        <v>70</v>
      </c>
      <c r="I151" t="s">
        <v>350</v>
      </c>
      <c r="J151" t="s">
        <v>351</v>
      </c>
      <c r="K151">
        <v>678320</v>
      </c>
      <c r="L151" t="s">
        <v>576</v>
      </c>
      <c r="M151" t="s">
        <v>139</v>
      </c>
      <c r="N151" t="s">
        <v>57</v>
      </c>
      <c r="O151" s="1">
        <v>45292</v>
      </c>
      <c r="Q151" s="1">
        <v>45962</v>
      </c>
      <c r="R151" s="2">
        <v>104.08</v>
      </c>
      <c r="S151">
        <v>1</v>
      </c>
      <c r="T151" t="s">
        <v>58</v>
      </c>
      <c r="U151" t="s">
        <v>359</v>
      </c>
      <c r="V151" s="4">
        <v>5.2499999999999998E-2</v>
      </c>
      <c r="W151" s="2">
        <v>0</v>
      </c>
      <c r="X151">
        <v>0</v>
      </c>
      <c r="Y151" t="s">
        <v>214</v>
      </c>
      <c r="Z151" t="s">
        <v>360</v>
      </c>
      <c r="AA151">
        <v>0</v>
      </c>
      <c r="AB151" s="2">
        <v>0</v>
      </c>
      <c r="AC151" s="2">
        <v>0</v>
      </c>
      <c r="AD151" s="3">
        <v>0</v>
      </c>
      <c r="AE151" s="2">
        <v>0</v>
      </c>
      <c r="AF151" s="2">
        <v>0</v>
      </c>
      <c r="AG151" s="2">
        <v>0</v>
      </c>
      <c r="AH151" s="2">
        <v>0</v>
      </c>
      <c r="AI151" s="2">
        <v>0</v>
      </c>
      <c r="AJ151" s="2">
        <v>0</v>
      </c>
      <c r="AK151" s="2">
        <v>0</v>
      </c>
      <c r="AL151" s="2">
        <v>0</v>
      </c>
      <c r="AM151" s="2">
        <v>5.46</v>
      </c>
      <c r="AN151" s="2">
        <v>5.46</v>
      </c>
      <c r="AO151" s="2">
        <v>0</v>
      </c>
      <c r="AP151" s="2">
        <v>0</v>
      </c>
      <c r="AQ151" s="2">
        <v>0</v>
      </c>
    </row>
    <row r="152" spans="1:43" x14ac:dyDescent="0.25">
      <c r="A152" s="1">
        <v>45936</v>
      </c>
      <c r="B152" t="s">
        <v>48</v>
      </c>
      <c r="C152">
        <v>649163</v>
      </c>
      <c r="D152">
        <v>2020801924</v>
      </c>
      <c r="E152" t="s">
        <v>614</v>
      </c>
      <c r="F152" t="s">
        <v>615</v>
      </c>
      <c r="G152" t="s">
        <v>51</v>
      </c>
      <c r="H152" t="s">
        <v>70</v>
      </c>
      <c r="I152" t="s">
        <v>350</v>
      </c>
      <c r="J152" t="s">
        <v>351</v>
      </c>
      <c r="K152">
        <v>649247</v>
      </c>
      <c r="L152" t="s">
        <v>75</v>
      </c>
      <c r="M152" t="s">
        <v>76</v>
      </c>
      <c r="N152" t="s">
        <v>57</v>
      </c>
      <c r="O152" s="1">
        <v>45261</v>
      </c>
      <c r="Q152" s="1">
        <v>45962</v>
      </c>
      <c r="R152" s="2">
        <v>122.9</v>
      </c>
      <c r="S152">
        <v>1</v>
      </c>
      <c r="T152" t="s">
        <v>58</v>
      </c>
      <c r="U152" t="s">
        <v>359</v>
      </c>
      <c r="V152" s="4">
        <v>5.2499999999999998E-2</v>
      </c>
      <c r="W152" s="2">
        <v>0</v>
      </c>
      <c r="X152">
        <v>0</v>
      </c>
      <c r="Y152" t="s">
        <v>214</v>
      </c>
      <c r="Z152" t="s">
        <v>360</v>
      </c>
      <c r="AA152">
        <v>0</v>
      </c>
      <c r="AB152" s="2">
        <v>0</v>
      </c>
      <c r="AC152" s="2">
        <v>0</v>
      </c>
      <c r="AD152" s="3">
        <v>0</v>
      </c>
      <c r="AE152" s="2">
        <v>0</v>
      </c>
      <c r="AF152" s="2">
        <v>0</v>
      </c>
      <c r="AG152" s="2">
        <v>0</v>
      </c>
      <c r="AH152" s="2">
        <v>0</v>
      </c>
      <c r="AI152" s="2">
        <v>0</v>
      </c>
      <c r="AJ152" s="2">
        <v>0</v>
      </c>
      <c r="AK152" s="2">
        <v>0</v>
      </c>
      <c r="AL152" s="2">
        <v>0</v>
      </c>
      <c r="AM152" s="2">
        <v>6.45</v>
      </c>
      <c r="AN152" s="2">
        <v>6.45</v>
      </c>
      <c r="AO152" s="2">
        <v>0</v>
      </c>
      <c r="AP152" s="2">
        <v>0</v>
      </c>
      <c r="AQ152" s="2">
        <v>0</v>
      </c>
    </row>
    <row r="153" spans="1:43" x14ac:dyDescent="0.25">
      <c r="A153" s="1">
        <v>45936</v>
      </c>
      <c r="B153" t="s">
        <v>48</v>
      </c>
      <c r="C153">
        <v>649163</v>
      </c>
      <c r="D153">
        <v>2020891510</v>
      </c>
      <c r="E153" t="s">
        <v>616</v>
      </c>
      <c r="F153" t="s">
        <v>486</v>
      </c>
      <c r="G153" t="s">
        <v>51</v>
      </c>
      <c r="H153" t="s">
        <v>70</v>
      </c>
      <c r="I153" t="s">
        <v>350</v>
      </c>
      <c r="J153" t="s">
        <v>351</v>
      </c>
      <c r="K153">
        <v>649164</v>
      </c>
      <c r="L153" t="s">
        <v>211</v>
      </c>
      <c r="M153" t="s">
        <v>212</v>
      </c>
      <c r="N153" t="s">
        <v>57</v>
      </c>
      <c r="O153" s="1">
        <v>45261</v>
      </c>
      <c r="Q153" s="1">
        <v>45962</v>
      </c>
      <c r="R153" s="2">
        <v>13.07</v>
      </c>
      <c r="S153">
        <v>1</v>
      </c>
      <c r="T153" t="s">
        <v>58</v>
      </c>
      <c r="U153" t="s">
        <v>359</v>
      </c>
      <c r="V153" s="4">
        <v>5.2499999999999998E-2</v>
      </c>
      <c r="W153" s="2">
        <v>0</v>
      </c>
      <c r="X153">
        <v>0</v>
      </c>
      <c r="Y153" t="s">
        <v>214</v>
      </c>
      <c r="Z153" t="s">
        <v>360</v>
      </c>
      <c r="AA153">
        <v>0</v>
      </c>
      <c r="AB153" s="2">
        <v>0</v>
      </c>
      <c r="AC153" s="2">
        <v>0</v>
      </c>
      <c r="AD153" s="3">
        <v>0</v>
      </c>
      <c r="AE153" s="2">
        <v>0</v>
      </c>
      <c r="AF153" s="2">
        <v>0</v>
      </c>
      <c r="AG153" s="2">
        <v>0</v>
      </c>
      <c r="AH153" s="2">
        <v>0</v>
      </c>
      <c r="AI153" s="2">
        <v>0</v>
      </c>
      <c r="AJ153" s="2">
        <v>0</v>
      </c>
      <c r="AK153" s="2">
        <v>0</v>
      </c>
      <c r="AL153" s="2">
        <v>0</v>
      </c>
      <c r="AM153" s="2">
        <v>0.69</v>
      </c>
      <c r="AN153" s="2">
        <v>0.69</v>
      </c>
      <c r="AO153" s="2">
        <v>0</v>
      </c>
      <c r="AP153" s="2">
        <v>0</v>
      </c>
      <c r="AQ153" s="2">
        <v>0</v>
      </c>
    </row>
    <row r="154" spans="1:43" x14ac:dyDescent="0.25">
      <c r="A154" s="1">
        <v>45936</v>
      </c>
      <c r="B154" t="s">
        <v>48</v>
      </c>
      <c r="C154">
        <v>649163</v>
      </c>
      <c r="D154">
        <v>2020902469</v>
      </c>
      <c r="E154" t="s">
        <v>617</v>
      </c>
      <c r="F154" t="s">
        <v>143</v>
      </c>
      <c r="G154" t="s">
        <v>51</v>
      </c>
      <c r="H154" t="s">
        <v>70</v>
      </c>
      <c r="I154" t="s">
        <v>350</v>
      </c>
      <c r="J154" t="s">
        <v>351</v>
      </c>
      <c r="K154">
        <v>649164</v>
      </c>
      <c r="L154" t="s">
        <v>211</v>
      </c>
      <c r="M154" t="s">
        <v>212</v>
      </c>
      <c r="N154" t="s">
        <v>57</v>
      </c>
      <c r="O154" s="1">
        <v>45261</v>
      </c>
      <c r="Q154" s="1">
        <v>45962</v>
      </c>
      <c r="R154" s="2">
        <v>61.19</v>
      </c>
      <c r="S154">
        <v>1</v>
      </c>
      <c r="T154" t="s">
        <v>58</v>
      </c>
      <c r="U154" t="s">
        <v>359</v>
      </c>
      <c r="V154" s="4">
        <v>5.2499999999999998E-2</v>
      </c>
      <c r="W154" s="2">
        <v>0</v>
      </c>
      <c r="X154">
        <v>0</v>
      </c>
      <c r="Y154" t="s">
        <v>214</v>
      </c>
      <c r="Z154" t="s">
        <v>360</v>
      </c>
      <c r="AA154">
        <v>0</v>
      </c>
      <c r="AB154" s="2">
        <v>0</v>
      </c>
      <c r="AC154" s="2">
        <v>0</v>
      </c>
      <c r="AD154" s="3">
        <v>0</v>
      </c>
      <c r="AE154" s="2">
        <v>0</v>
      </c>
      <c r="AF154" s="2">
        <v>0</v>
      </c>
      <c r="AG154" s="2">
        <v>0</v>
      </c>
      <c r="AH154" s="2">
        <v>0</v>
      </c>
      <c r="AI154" s="2">
        <v>0</v>
      </c>
      <c r="AJ154" s="2">
        <v>0</v>
      </c>
      <c r="AK154" s="2">
        <v>0</v>
      </c>
      <c r="AL154" s="2">
        <v>0</v>
      </c>
      <c r="AM154" s="2">
        <v>3.21</v>
      </c>
      <c r="AN154" s="2">
        <v>3.21</v>
      </c>
      <c r="AO154" s="2">
        <v>0</v>
      </c>
      <c r="AP154" s="2">
        <v>0</v>
      </c>
      <c r="AQ154" s="2">
        <v>0</v>
      </c>
    </row>
    <row r="155" spans="1:43" x14ac:dyDescent="0.25">
      <c r="A155" s="1">
        <v>45936</v>
      </c>
      <c r="B155" t="s">
        <v>48</v>
      </c>
      <c r="C155">
        <v>649163</v>
      </c>
      <c r="D155">
        <v>2020919882</v>
      </c>
      <c r="E155" t="s">
        <v>618</v>
      </c>
      <c r="F155" t="s">
        <v>619</v>
      </c>
      <c r="G155" t="s">
        <v>51</v>
      </c>
      <c r="H155" t="s">
        <v>70</v>
      </c>
      <c r="I155" t="s">
        <v>350</v>
      </c>
      <c r="J155" t="s">
        <v>351</v>
      </c>
      <c r="K155">
        <v>649164</v>
      </c>
      <c r="L155" t="s">
        <v>211</v>
      </c>
      <c r="M155" t="s">
        <v>212</v>
      </c>
      <c r="N155" t="s">
        <v>57</v>
      </c>
      <c r="O155" s="1">
        <v>45292</v>
      </c>
      <c r="Q155" s="1">
        <v>45962</v>
      </c>
      <c r="R155" s="2">
        <v>83.35</v>
      </c>
      <c r="S155">
        <v>1</v>
      </c>
      <c r="T155" t="s">
        <v>58</v>
      </c>
      <c r="U155" t="s">
        <v>359</v>
      </c>
      <c r="V155" s="4">
        <v>5.2499999999999998E-2</v>
      </c>
      <c r="W155" s="2">
        <v>0</v>
      </c>
      <c r="X155">
        <v>0</v>
      </c>
      <c r="Y155" t="s">
        <v>214</v>
      </c>
      <c r="Z155" t="s">
        <v>360</v>
      </c>
      <c r="AA155">
        <v>0</v>
      </c>
      <c r="AB155" s="2">
        <v>0</v>
      </c>
      <c r="AC155" s="2">
        <v>0</v>
      </c>
      <c r="AD155" s="3">
        <v>0</v>
      </c>
      <c r="AE155" s="2">
        <v>0</v>
      </c>
      <c r="AF155" s="2">
        <v>0</v>
      </c>
      <c r="AG155" s="2">
        <v>0</v>
      </c>
      <c r="AH155" s="2">
        <v>0</v>
      </c>
      <c r="AI155" s="2">
        <v>0</v>
      </c>
      <c r="AJ155" s="2">
        <v>0</v>
      </c>
      <c r="AK155" s="2">
        <v>0</v>
      </c>
      <c r="AL155" s="2">
        <v>0</v>
      </c>
      <c r="AM155" s="2">
        <v>4.38</v>
      </c>
      <c r="AN155" s="2">
        <v>4.38</v>
      </c>
      <c r="AO155" s="2">
        <v>0</v>
      </c>
      <c r="AP155" s="2">
        <v>0</v>
      </c>
      <c r="AQ155" s="2">
        <v>0</v>
      </c>
    </row>
    <row r="156" spans="1:43" x14ac:dyDescent="0.25">
      <c r="A156" s="1">
        <v>45936</v>
      </c>
      <c r="B156" t="s">
        <v>48</v>
      </c>
      <c r="C156">
        <v>649163</v>
      </c>
      <c r="D156">
        <v>2020966338</v>
      </c>
      <c r="E156" t="s">
        <v>620</v>
      </c>
      <c r="F156" t="s">
        <v>482</v>
      </c>
      <c r="G156" t="s">
        <v>51</v>
      </c>
      <c r="H156" t="s">
        <v>70</v>
      </c>
      <c r="I156" t="s">
        <v>350</v>
      </c>
      <c r="J156" t="s">
        <v>351</v>
      </c>
      <c r="K156">
        <v>728134</v>
      </c>
      <c r="L156" t="s">
        <v>352</v>
      </c>
      <c r="M156" t="s">
        <v>353</v>
      </c>
      <c r="N156" t="s">
        <v>57</v>
      </c>
      <c r="O156" s="1">
        <v>45292</v>
      </c>
      <c r="Q156" s="1">
        <v>45962</v>
      </c>
      <c r="R156" s="2">
        <v>48.22</v>
      </c>
      <c r="S156">
        <v>1</v>
      </c>
      <c r="T156" t="s">
        <v>58</v>
      </c>
      <c r="U156" t="s">
        <v>359</v>
      </c>
      <c r="V156" s="4">
        <v>5.2499999999999998E-2</v>
      </c>
      <c r="W156" s="2">
        <v>0</v>
      </c>
      <c r="X156">
        <v>0</v>
      </c>
      <c r="Y156" t="s">
        <v>214</v>
      </c>
      <c r="Z156" t="s">
        <v>360</v>
      </c>
      <c r="AA156">
        <v>0</v>
      </c>
      <c r="AB156" s="2">
        <v>0</v>
      </c>
      <c r="AC156" s="2">
        <v>0</v>
      </c>
      <c r="AD156" s="3">
        <v>0</v>
      </c>
      <c r="AE156" s="2">
        <v>0</v>
      </c>
      <c r="AF156" s="2">
        <v>0</v>
      </c>
      <c r="AG156" s="2">
        <v>0</v>
      </c>
      <c r="AH156" s="2">
        <v>0</v>
      </c>
      <c r="AI156" s="2">
        <v>0</v>
      </c>
      <c r="AJ156" s="2">
        <v>0</v>
      </c>
      <c r="AK156" s="2">
        <v>0</v>
      </c>
      <c r="AL156" s="2">
        <v>0</v>
      </c>
      <c r="AM156" s="2">
        <v>2.5299999999999998</v>
      </c>
      <c r="AN156" s="2">
        <v>2.5299999999999998</v>
      </c>
      <c r="AO156" s="2">
        <v>0</v>
      </c>
      <c r="AP156" s="2">
        <v>0</v>
      </c>
      <c r="AQ156" s="2">
        <v>0</v>
      </c>
    </row>
    <row r="157" spans="1:43" x14ac:dyDescent="0.25">
      <c r="A157" s="1">
        <v>45936</v>
      </c>
      <c r="B157" t="s">
        <v>48</v>
      </c>
      <c r="C157">
        <v>649163</v>
      </c>
      <c r="D157">
        <v>2020974703</v>
      </c>
      <c r="E157" t="s">
        <v>621</v>
      </c>
      <c r="F157" t="s">
        <v>622</v>
      </c>
      <c r="G157" t="s">
        <v>51</v>
      </c>
      <c r="H157" t="s">
        <v>70</v>
      </c>
      <c r="I157" t="s">
        <v>350</v>
      </c>
      <c r="J157" t="s">
        <v>351</v>
      </c>
      <c r="K157">
        <v>649164</v>
      </c>
      <c r="L157" t="s">
        <v>211</v>
      </c>
      <c r="M157" t="s">
        <v>212</v>
      </c>
      <c r="N157" t="s">
        <v>57</v>
      </c>
      <c r="O157" s="1">
        <v>45292</v>
      </c>
      <c r="Q157" s="1">
        <v>45962</v>
      </c>
      <c r="R157" s="2">
        <v>40.99</v>
      </c>
      <c r="S157">
        <v>1</v>
      </c>
      <c r="T157" t="s">
        <v>58</v>
      </c>
      <c r="U157" t="s">
        <v>359</v>
      </c>
      <c r="V157" s="4">
        <v>5.2499999999999998E-2</v>
      </c>
      <c r="W157" s="2">
        <v>0</v>
      </c>
      <c r="X157">
        <v>0</v>
      </c>
      <c r="Y157" t="s">
        <v>214</v>
      </c>
      <c r="Z157" t="s">
        <v>360</v>
      </c>
      <c r="AA157">
        <v>0</v>
      </c>
      <c r="AB157" s="2">
        <v>0</v>
      </c>
      <c r="AC157" s="2">
        <v>0</v>
      </c>
      <c r="AD157" s="3">
        <v>0</v>
      </c>
      <c r="AE157" s="2">
        <v>0</v>
      </c>
      <c r="AF157" s="2">
        <v>0</v>
      </c>
      <c r="AG157" s="2">
        <v>0</v>
      </c>
      <c r="AH157" s="2">
        <v>0</v>
      </c>
      <c r="AI157" s="2">
        <v>0</v>
      </c>
      <c r="AJ157" s="2">
        <v>0</v>
      </c>
      <c r="AK157" s="2">
        <v>0</v>
      </c>
      <c r="AL157" s="2">
        <v>0</v>
      </c>
      <c r="AM157" s="2">
        <v>2.15</v>
      </c>
      <c r="AN157" s="2">
        <v>2.15</v>
      </c>
      <c r="AO157" s="2">
        <v>0</v>
      </c>
      <c r="AP157" s="2">
        <v>0</v>
      </c>
      <c r="AQ157" s="2">
        <v>0</v>
      </c>
    </row>
    <row r="158" spans="1:43" x14ac:dyDescent="0.25">
      <c r="A158" s="1">
        <v>45936</v>
      </c>
      <c r="B158" t="s">
        <v>48</v>
      </c>
      <c r="C158">
        <v>649163</v>
      </c>
      <c r="D158">
        <v>2020977489</v>
      </c>
      <c r="E158" t="s">
        <v>623</v>
      </c>
      <c r="F158" t="s">
        <v>624</v>
      </c>
      <c r="G158" t="s">
        <v>51</v>
      </c>
      <c r="H158" t="s">
        <v>70</v>
      </c>
      <c r="I158" t="s">
        <v>350</v>
      </c>
      <c r="J158" t="s">
        <v>351</v>
      </c>
      <c r="K158">
        <v>649247</v>
      </c>
      <c r="L158" t="s">
        <v>75</v>
      </c>
      <c r="M158" t="s">
        <v>76</v>
      </c>
      <c r="N158" t="s">
        <v>57</v>
      </c>
      <c r="O158" s="1">
        <v>45262</v>
      </c>
      <c r="Q158" s="1">
        <v>45963</v>
      </c>
      <c r="R158" s="2">
        <v>115.64</v>
      </c>
      <c r="S158">
        <v>1</v>
      </c>
      <c r="T158" t="s">
        <v>58</v>
      </c>
      <c r="U158" t="s">
        <v>359</v>
      </c>
      <c r="V158" s="4">
        <v>5.2499999999999998E-2</v>
      </c>
      <c r="W158" s="2">
        <v>0</v>
      </c>
      <c r="X158">
        <v>0</v>
      </c>
      <c r="Y158" t="s">
        <v>214</v>
      </c>
      <c r="Z158" t="s">
        <v>360</v>
      </c>
      <c r="AA158">
        <v>0</v>
      </c>
      <c r="AB158" s="2">
        <v>0</v>
      </c>
      <c r="AC158" s="2">
        <v>0</v>
      </c>
      <c r="AD158" s="3">
        <v>0</v>
      </c>
      <c r="AE158" s="2">
        <v>0</v>
      </c>
      <c r="AF158" s="2">
        <v>0</v>
      </c>
      <c r="AG158" s="2">
        <v>0</v>
      </c>
      <c r="AH158" s="2">
        <v>0</v>
      </c>
      <c r="AI158" s="2">
        <v>0</v>
      </c>
      <c r="AJ158" s="2">
        <v>0</v>
      </c>
      <c r="AK158" s="2">
        <v>0</v>
      </c>
      <c r="AL158" s="2">
        <v>0</v>
      </c>
      <c r="AM158" s="2">
        <v>6.07</v>
      </c>
      <c r="AN158" s="2">
        <v>6.07</v>
      </c>
      <c r="AO158" s="2">
        <v>0</v>
      </c>
      <c r="AP158" s="2">
        <v>0</v>
      </c>
      <c r="AQ158" s="2">
        <v>0</v>
      </c>
    </row>
    <row r="159" spans="1:43" x14ac:dyDescent="0.25">
      <c r="A159" s="1">
        <v>45936</v>
      </c>
      <c r="B159" t="s">
        <v>48</v>
      </c>
      <c r="C159">
        <v>649163</v>
      </c>
      <c r="D159">
        <v>2021089952</v>
      </c>
      <c r="E159" t="s">
        <v>625</v>
      </c>
      <c r="F159" t="s">
        <v>626</v>
      </c>
      <c r="G159" t="s">
        <v>51</v>
      </c>
      <c r="H159" t="s">
        <v>70</v>
      </c>
      <c r="I159" t="s">
        <v>350</v>
      </c>
      <c r="J159" t="s">
        <v>351</v>
      </c>
      <c r="K159">
        <v>649164</v>
      </c>
      <c r="L159" t="s">
        <v>211</v>
      </c>
      <c r="M159" t="s">
        <v>212</v>
      </c>
      <c r="N159" t="s">
        <v>57</v>
      </c>
      <c r="O159" s="1">
        <v>45292</v>
      </c>
      <c r="Q159" s="1">
        <v>45962</v>
      </c>
      <c r="R159" s="2">
        <v>78.83</v>
      </c>
      <c r="S159">
        <v>1</v>
      </c>
      <c r="T159" t="s">
        <v>58</v>
      </c>
      <c r="U159" t="s">
        <v>359</v>
      </c>
      <c r="V159" s="4">
        <v>5.2499999999999998E-2</v>
      </c>
      <c r="W159" s="2">
        <v>0</v>
      </c>
      <c r="X159">
        <v>0</v>
      </c>
      <c r="Y159" t="s">
        <v>214</v>
      </c>
      <c r="Z159" t="s">
        <v>360</v>
      </c>
      <c r="AA159">
        <v>0</v>
      </c>
      <c r="AB159" s="2">
        <v>0</v>
      </c>
      <c r="AC159" s="2">
        <v>0</v>
      </c>
      <c r="AD159" s="3">
        <v>0</v>
      </c>
      <c r="AE159" s="2">
        <v>0</v>
      </c>
      <c r="AF159" s="2">
        <v>0</v>
      </c>
      <c r="AG159" s="2">
        <v>0</v>
      </c>
      <c r="AH159" s="2">
        <v>0</v>
      </c>
      <c r="AI159" s="2">
        <v>0</v>
      </c>
      <c r="AJ159" s="2">
        <v>0</v>
      </c>
      <c r="AK159" s="2">
        <v>0</v>
      </c>
      <c r="AL159" s="2">
        <v>0</v>
      </c>
      <c r="AM159" s="2">
        <v>4.1399999999999997</v>
      </c>
      <c r="AN159" s="2">
        <v>4.1399999999999997</v>
      </c>
      <c r="AO159" s="2">
        <v>0</v>
      </c>
      <c r="AP159" s="2">
        <v>0</v>
      </c>
      <c r="AQ159" s="2">
        <v>0</v>
      </c>
    </row>
    <row r="160" spans="1:43" x14ac:dyDescent="0.25">
      <c r="A160" s="1">
        <v>45936</v>
      </c>
      <c r="B160" t="s">
        <v>48</v>
      </c>
      <c r="C160">
        <v>649163</v>
      </c>
      <c r="D160">
        <v>2021138605</v>
      </c>
      <c r="E160" t="s">
        <v>224</v>
      </c>
      <c r="F160" t="s">
        <v>627</v>
      </c>
      <c r="G160" t="s">
        <v>51</v>
      </c>
      <c r="H160" t="s">
        <v>70</v>
      </c>
      <c r="I160" t="s">
        <v>350</v>
      </c>
      <c r="J160" t="s">
        <v>351</v>
      </c>
      <c r="K160">
        <v>649247</v>
      </c>
      <c r="L160" t="s">
        <v>75</v>
      </c>
      <c r="M160" t="s">
        <v>76</v>
      </c>
      <c r="N160" t="s">
        <v>57</v>
      </c>
      <c r="O160" s="1">
        <v>45292</v>
      </c>
      <c r="Q160" s="1">
        <v>45962</v>
      </c>
      <c r="R160" s="2">
        <v>50.6</v>
      </c>
      <c r="S160">
        <v>1</v>
      </c>
      <c r="T160" t="s">
        <v>58</v>
      </c>
      <c r="U160" t="s">
        <v>359</v>
      </c>
      <c r="V160" s="4">
        <v>5.2499999999999998E-2</v>
      </c>
      <c r="W160" s="2">
        <v>0</v>
      </c>
      <c r="X160">
        <v>0</v>
      </c>
      <c r="Y160" t="s">
        <v>214</v>
      </c>
      <c r="Z160" t="s">
        <v>360</v>
      </c>
      <c r="AA160">
        <v>0</v>
      </c>
      <c r="AB160" s="2">
        <v>0</v>
      </c>
      <c r="AC160" s="2">
        <v>0</v>
      </c>
      <c r="AD160" s="3">
        <v>0</v>
      </c>
      <c r="AE160" s="2">
        <v>0</v>
      </c>
      <c r="AF160" s="2">
        <v>0</v>
      </c>
      <c r="AG160" s="2">
        <v>0</v>
      </c>
      <c r="AH160" s="2">
        <v>0</v>
      </c>
      <c r="AI160" s="2">
        <v>0</v>
      </c>
      <c r="AJ160" s="2">
        <v>0</v>
      </c>
      <c r="AK160" s="2">
        <v>0</v>
      </c>
      <c r="AL160" s="2">
        <v>0</v>
      </c>
      <c r="AM160" s="2">
        <v>2.66</v>
      </c>
      <c r="AN160" s="2">
        <v>2.66</v>
      </c>
      <c r="AO160" s="2">
        <v>0</v>
      </c>
      <c r="AP160" s="2">
        <v>0</v>
      </c>
      <c r="AQ160" s="2">
        <v>0</v>
      </c>
    </row>
    <row r="161" spans="1:43" x14ac:dyDescent="0.25">
      <c r="A161" s="1">
        <v>45936</v>
      </c>
      <c r="B161" t="s">
        <v>48</v>
      </c>
      <c r="C161">
        <v>649163</v>
      </c>
      <c r="D161">
        <v>2021160584</v>
      </c>
      <c r="E161" t="s">
        <v>628</v>
      </c>
      <c r="F161" t="s">
        <v>569</v>
      </c>
      <c r="G161" t="s">
        <v>51</v>
      </c>
      <c r="H161" t="s">
        <v>70</v>
      </c>
      <c r="I161" t="s">
        <v>350</v>
      </c>
      <c r="J161" t="s">
        <v>351</v>
      </c>
      <c r="K161">
        <v>728134</v>
      </c>
      <c r="L161" t="s">
        <v>352</v>
      </c>
      <c r="M161" t="s">
        <v>353</v>
      </c>
      <c r="N161" t="s">
        <v>57</v>
      </c>
      <c r="O161" s="1">
        <v>45292</v>
      </c>
      <c r="Q161" s="1">
        <v>45962</v>
      </c>
      <c r="R161" s="2">
        <v>33.590000000000003</v>
      </c>
      <c r="S161">
        <v>1</v>
      </c>
      <c r="T161" t="s">
        <v>58</v>
      </c>
      <c r="U161" t="s">
        <v>359</v>
      </c>
      <c r="V161" s="4">
        <v>5.2499999999999998E-2</v>
      </c>
      <c r="W161" s="2">
        <v>0</v>
      </c>
      <c r="X161">
        <v>0</v>
      </c>
      <c r="Y161" t="s">
        <v>214</v>
      </c>
      <c r="Z161" t="s">
        <v>360</v>
      </c>
      <c r="AA161">
        <v>0</v>
      </c>
      <c r="AB161" s="2">
        <v>0</v>
      </c>
      <c r="AC161" s="2">
        <v>0</v>
      </c>
      <c r="AD161" s="3">
        <v>0</v>
      </c>
      <c r="AE161" s="2">
        <v>0</v>
      </c>
      <c r="AF161" s="2">
        <v>0</v>
      </c>
      <c r="AG161" s="2">
        <v>0</v>
      </c>
      <c r="AH161" s="2">
        <v>0</v>
      </c>
      <c r="AI161" s="2">
        <v>0</v>
      </c>
      <c r="AJ161" s="2">
        <v>0</v>
      </c>
      <c r="AK161" s="2">
        <v>0</v>
      </c>
      <c r="AL161" s="2">
        <v>0</v>
      </c>
      <c r="AM161" s="2">
        <v>1.76</v>
      </c>
      <c r="AN161" s="2">
        <v>1.76</v>
      </c>
      <c r="AO161" s="2">
        <v>0</v>
      </c>
      <c r="AP161" s="2">
        <v>0</v>
      </c>
      <c r="AQ161" s="2">
        <v>0</v>
      </c>
    </row>
    <row r="162" spans="1:43" x14ac:dyDescent="0.25">
      <c r="A162" s="1">
        <v>45936</v>
      </c>
      <c r="B162" t="s">
        <v>48</v>
      </c>
      <c r="C162">
        <v>649163</v>
      </c>
      <c r="D162">
        <v>2021180346</v>
      </c>
      <c r="E162" t="s">
        <v>629</v>
      </c>
      <c r="F162" t="s">
        <v>630</v>
      </c>
      <c r="G162" t="s">
        <v>51</v>
      </c>
      <c r="H162" t="s">
        <v>70</v>
      </c>
      <c r="I162" t="s">
        <v>350</v>
      </c>
      <c r="J162" t="s">
        <v>351</v>
      </c>
      <c r="K162">
        <v>649247</v>
      </c>
      <c r="L162" t="s">
        <v>75</v>
      </c>
      <c r="M162" t="s">
        <v>76</v>
      </c>
      <c r="N162" t="s">
        <v>57</v>
      </c>
      <c r="O162" s="1">
        <v>45292</v>
      </c>
      <c r="Q162" s="1">
        <v>45962</v>
      </c>
      <c r="R162" s="2">
        <v>104.08</v>
      </c>
      <c r="S162">
        <v>1</v>
      </c>
      <c r="T162" t="s">
        <v>58</v>
      </c>
      <c r="U162" t="s">
        <v>359</v>
      </c>
      <c r="V162" s="4">
        <v>5.2499999999999998E-2</v>
      </c>
      <c r="W162" s="2">
        <v>0</v>
      </c>
      <c r="X162">
        <v>0</v>
      </c>
      <c r="Y162" t="s">
        <v>214</v>
      </c>
      <c r="Z162" t="s">
        <v>360</v>
      </c>
      <c r="AA162">
        <v>0</v>
      </c>
      <c r="AB162" s="2">
        <v>0</v>
      </c>
      <c r="AC162" s="2">
        <v>0</v>
      </c>
      <c r="AD162" s="3">
        <v>0</v>
      </c>
      <c r="AE162" s="2">
        <v>0</v>
      </c>
      <c r="AF162" s="2">
        <v>0</v>
      </c>
      <c r="AG162" s="2">
        <v>0</v>
      </c>
      <c r="AH162" s="2">
        <v>0</v>
      </c>
      <c r="AI162" s="2">
        <v>0</v>
      </c>
      <c r="AJ162" s="2">
        <v>0</v>
      </c>
      <c r="AK162" s="2">
        <v>0</v>
      </c>
      <c r="AL162" s="2">
        <v>0</v>
      </c>
      <c r="AM162" s="2">
        <v>5.46</v>
      </c>
      <c r="AN162" s="2">
        <v>5.46</v>
      </c>
      <c r="AO162" s="2">
        <v>0</v>
      </c>
      <c r="AP162" s="2">
        <v>0</v>
      </c>
      <c r="AQ162" s="2">
        <v>0</v>
      </c>
    </row>
    <row r="163" spans="1:43" x14ac:dyDescent="0.25">
      <c r="A163" s="1">
        <v>45936</v>
      </c>
      <c r="B163" t="s">
        <v>48</v>
      </c>
      <c r="C163">
        <v>649163</v>
      </c>
      <c r="D163">
        <v>2021194025</v>
      </c>
      <c r="E163" t="s">
        <v>596</v>
      </c>
      <c r="F163" t="s">
        <v>593</v>
      </c>
      <c r="G163" t="s">
        <v>51</v>
      </c>
      <c r="H163" t="s">
        <v>70</v>
      </c>
      <c r="I163" t="s">
        <v>350</v>
      </c>
      <c r="J163" t="s">
        <v>351</v>
      </c>
      <c r="K163">
        <v>728134</v>
      </c>
      <c r="L163" t="s">
        <v>352</v>
      </c>
      <c r="M163" t="s">
        <v>353</v>
      </c>
      <c r="N163" t="s">
        <v>57</v>
      </c>
      <c r="O163" s="1">
        <v>45323</v>
      </c>
      <c r="Q163" s="1">
        <v>45962</v>
      </c>
      <c r="R163" s="2">
        <v>43.59</v>
      </c>
      <c r="S163">
        <v>1</v>
      </c>
      <c r="T163" t="s">
        <v>58</v>
      </c>
      <c r="U163" t="s">
        <v>359</v>
      </c>
      <c r="V163" s="4">
        <v>5.2499999999999998E-2</v>
      </c>
      <c r="W163" s="2">
        <v>0</v>
      </c>
      <c r="X163">
        <v>0</v>
      </c>
      <c r="Y163" t="s">
        <v>214</v>
      </c>
      <c r="Z163" t="s">
        <v>360</v>
      </c>
      <c r="AA163">
        <v>0</v>
      </c>
      <c r="AB163" s="2">
        <v>0</v>
      </c>
      <c r="AC163" s="2">
        <v>0</v>
      </c>
      <c r="AD163" s="3">
        <v>0</v>
      </c>
      <c r="AE163" s="2">
        <v>0</v>
      </c>
      <c r="AF163" s="2">
        <v>0</v>
      </c>
      <c r="AG163" s="2">
        <v>0</v>
      </c>
      <c r="AH163" s="2">
        <v>0</v>
      </c>
      <c r="AI163" s="2">
        <v>0</v>
      </c>
      <c r="AJ163" s="2">
        <v>0</v>
      </c>
      <c r="AK163" s="2">
        <v>0</v>
      </c>
      <c r="AL163" s="2">
        <v>0</v>
      </c>
      <c r="AM163" s="2">
        <v>2.29</v>
      </c>
      <c r="AN163" s="2">
        <v>2.29</v>
      </c>
      <c r="AO163" s="2">
        <v>0</v>
      </c>
      <c r="AP163" s="2">
        <v>0</v>
      </c>
      <c r="AQ163" s="2">
        <v>0</v>
      </c>
    </row>
    <row r="164" spans="1:43" x14ac:dyDescent="0.25">
      <c r="A164" s="1">
        <v>45936</v>
      </c>
      <c r="B164" t="s">
        <v>48</v>
      </c>
      <c r="C164">
        <v>649163</v>
      </c>
      <c r="D164">
        <v>2021206448</v>
      </c>
      <c r="E164" t="s">
        <v>631</v>
      </c>
      <c r="F164" t="s">
        <v>507</v>
      </c>
      <c r="G164" t="s">
        <v>51</v>
      </c>
      <c r="H164" t="s">
        <v>70</v>
      </c>
      <c r="I164" t="s">
        <v>350</v>
      </c>
      <c r="J164" t="s">
        <v>351</v>
      </c>
      <c r="K164">
        <v>649164</v>
      </c>
      <c r="L164" t="s">
        <v>211</v>
      </c>
      <c r="M164" t="s">
        <v>212</v>
      </c>
      <c r="N164" t="s">
        <v>57</v>
      </c>
      <c r="O164" s="1">
        <v>45292</v>
      </c>
      <c r="Q164" s="1">
        <v>45962</v>
      </c>
      <c r="R164" s="2">
        <v>104.08</v>
      </c>
      <c r="S164">
        <v>1</v>
      </c>
      <c r="T164" t="s">
        <v>58</v>
      </c>
      <c r="U164" t="s">
        <v>359</v>
      </c>
      <c r="V164" s="4">
        <v>5.2499999999999998E-2</v>
      </c>
      <c r="W164" s="2">
        <v>0</v>
      </c>
      <c r="X164">
        <v>0</v>
      </c>
      <c r="Y164" t="s">
        <v>214</v>
      </c>
      <c r="Z164" t="s">
        <v>360</v>
      </c>
      <c r="AA164">
        <v>0</v>
      </c>
      <c r="AB164" s="2">
        <v>0</v>
      </c>
      <c r="AC164" s="2">
        <v>0</v>
      </c>
      <c r="AD164" s="3">
        <v>0</v>
      </c>
      <c r="AE164" s="2">
        <v>0</v>
      </c>
      <c r="AF164" s="2">
        <v>0</v>
      </c>
      <c r="AG164" s="2">
        <v>0</v>
      </c>
      <c r="AH164" s="2">
        <v>0</v>
      </c>
      <c r="AI164" s="2">
        <v>0</v>
      </c>
      <c r="AJ164" s="2">
        <v>0</v>
      </c>
      <c r="AK164" s="2">
        <v>0</v>
      </c>
      <c r="AL164" s="2">
        <v>0</v>
      </c>
      <c r="AM164" s="2">
        <v>5.46</v>
      </c>
      <c r="AN164" s="2">
        <v>5.46</v>
      </c>
      <c r="AO164" s="2">
        <v>0</v>
      </c>
      <c r="AP164" s="2">
        <v>0</v>
      </c>
      <c r="AQ164" s="2">
        <v>0</v>
      </c>
    </row>
    <row r="165" spans="1:43" x14ac:dyDescent="0.25">
      <c r="A165" s="1">
        <v>45936</v>
      </c>
      <c r="B165" t="s">
        <v>48</v>
      </c>
      <c r="C165">
        <v>649163</v>
      </c>
      <c r="D165">
        <v>2021511833</v>
      </c>
      <c r="E165" t="s">
        <v>632</v>
      </c>
      <c r="F165" t="s">
        <v>633</v>
      </c>
      <c r="G165" t="s">
        <v>51</v>
      </c>
      <c r="H165" t="s">
        <v>70</v>
      </c>
      <c r="I165" t="s">
        <v>350</v>
      </c>
      <c r="J165" t="s">
        <v>351</v>
      </c>
      <c r="K165">
        <v>649247</v>
      </c>
      <c r="L165" t="s">
        <v>75</v>
      </c>
      <c r="M165" t="s">
        <v>76</v>
      </c>
      <c r="N165" t="s">
        <v>57</v>
      </c>
      <c r="O165" s="1">
        <v>45323</v>
      </c>
      <c r="Q165" s="1">
        <v>45962</v>
      </c>
      <c r="R165" s="2">
        <v>69.599999999999994</v>
      </c>
      <c r="S165">
        <v>1</v>
      </c>
      <c r="T165" t="s">
        <v>58</v>
      </c>
      <c r="U165" t="s">
        <v>359</v>
      </c>
      <c r="V165" s="4">
        <v>5.2499999999999998E-2</v>
      </c>
      <c r="W165" s="2">
        <v>0</v>
      </c>
      <c r="X165">
        <v>0</v>
      </c>
      <c r="Y165" t="s">
        <v>214</v>
      </c>
      <c r="Z165" t="s">
        <v>360</v>
      </c>
      <c r="AA165">
        <v>0</v>
      </c>
      <c r="AB165" s="2">
        <v>0</v>
      </c>
      <c r="AC165" s="2">
        <v>0</v>
      </c>
      <c r="AD165" s="3">
        <v>0</v>
      </c>
      <c r="AE165" s="2">
        <v>0</v>
      </c>
      <c r="AF165" s="2">
        <v>0</v>
      </c>
      <c r="AG165" s="2">
        <v>0</v>
      </c>
      <c r="AH165" s="2">
        <v>0</v>
      </c>
      <c r="AI165" s="2">
        <v>0</v>
      </c>
      <c r="AJ165" s="2">
        <v>0</v>
      </c>
      <c r="AK165" s="2">
        <v>0</v>
      </c>
      <c r="AL165" s="2">
        <v>0</v>
      </c>
      <c r="AM165" s="2">
        <v>3.65</v>
      </c>
      <c r="AN165" s="2">
        <v>3.65</v>
      </c>
      <c r="AO165" s="2">
        <v>0</v>
      </c>
      <c r="AP165" s="2">
        <v>0</v>
      </c>
      <c r="AQ165" s="2">
        <v>0</v>
      </c>
    </row>
    <row r="166" spans="1:43" x14ac:dyDescent="0.25">
      <c r="A166" s="1">
        <v>45936</v>
      </c>
      <c r="B166" t="s">
        <v>48</v>
      </c>
      <c r="C166">
        <v>649163</v>
      </c>
      <c r="D166">
        <v>2016855834</v>
      </c>
      <c r="E166" t="s">
        <v>634</v>
      </c>
      <c r="F166" t="s">
        <v>362</v>
      </c>
      <c r="G166" t="s">
        <v>51</v>
      </c>
      <c r="H166" t="s">
        <v>70</v>
      </c>
      <c r="I166" t="s">
        <v>53</v>
      </c>
      <c r="J166" t="s">
        <v>635</v>
      </c>
      <c r="K166">
        <v>652037</v>
      </c>
      <c r="L166" t="s">
        <v>172</v>
      </c>
      <c r="M166" t="s">
        <v>173</v>
      </c>
      <c r="N166" t="s">
        <v>456</v>
      </c>
      <c r="O166" s="1">
        <v>44896</v>
      </c>
      <c r="P166" s="1">
        <v>45936</v>
      </c>
      <c r="Q166" s="1">
        <v>45962</v>
      </c>
      <c r="R166" s="2">
        <v>-84.27</v>
      </c>
      <c r="S166">
        <v>1</v>
      </c>
      <c r="T166" t="s">
        <v>58</v>
      </c>
      <c r="U166" t="s">
        <v>359</v>
      </c>
      <c r="V166" s="4">
        <v>6.5000000000000002E-2</v>
      </c>
      <c r="W166" s="2">
        <v>0</v>
      </c>
      <c r="X166">
        <v>-1</v>
      </c>
      <c r="Y166" t="s">
        <v>214</v>
      </c>
      <c r="Z166" t="s">
        <v>360</v>
      </c>
      <c r="AA166">
        <v>0</v>
      </c>
      <c r="AB166" s="2">
        <v>0</v>
      </c>
      <c r="AC166" s="2">
        <v>0</v>
      </c>
      <c r="AD166" s="3">
        <v>0</v>
      </c>
      <c r="AE166" s="2">
        <v>0</v>
      </c>
      <c r="AF166" s="2">
        <v>0</v>
      </c>
      <c r="AG166" s="2">
        <v>0</v>
      </c>
      <c r="AH166" s="2">
        <v>0</v>
      </c>
      <c r="AI166" s="2">
        <v>0</v>
      </c>
      <c r="AJ166" s="2">
        <v>0</v>
      </c>
      <c r="AK166" s="2">
        <v>0</v>
      </c>
      <c r="AL166" s="2">
        <v>0</v>
      </c>
      <c r="AM166" s="2">
        <v>-5.48</v>
      </c>
      <c r="AN166" s="2">
        <v>-5.48</v>
      </c>
      <c r="AO166" s="2">
        <v>0</v>
      </c>
      <c r="AP166" s="2">
        <v>0</v>
      </c>
      <c r="AQ166" s="2">
        <v>0</v>
      </c>
    </row>
    <row r="167" spans="1:43" x14ac:dyDescent="0.25">
      <c r="A167" s="1">
        <v>45936</v>
      </c>
      <c r="B167" t="s">
        <v>48</v>
      </c>
      <c r="C167">
        <v>649163</v>
      </c>
      <c r="D167">
        <v>2016954034</v>
      </c>
      <c r="E167" t="s">
        <v>513</v>
      </c>
      <c r="F167" t="s">
        <v>636</v>
      </c>
      <c r="G167" t="s">
        <v>51</v>
      </c>
      <c r="H167" t="s">
        <v>70</v>
      </c>
      <c r="I167" t="s">
        <v>53</v>
      </c>
      <c r="J167" t="s">
        <v>65</v>
      </c>
      <c r="K167">
        <v>649164</v>
      </c>
      <c r="L167" t="s">
        <v>211</v>
      </c>
      <c r="M167" t="s">
        <v>212</v>
      </c>
      <c r="N167" t="s">
        <v>57</v>
      </c>
      <c r="O167" s="1">
        <v>44927</v>
      </c>
      <c r="Q167" s="1">
        <v>45962</v>
      </c>
      <c r="R167" s="2">
        <v>75.75</v>
      </c>
      <c r="S167">
        <v>1</v>
      </c>
      <c r="T167" t="s">
        <v>58</v>
      </c>
      <c r="U167" t="s">
        <v>359</v>
      </c>
      <c r="V167" s="4">
        <v>6.5000000000000002E-2</v>
      </c>
      <c r="W167" s="2">
        <v>0</v>
      </c>
      <c r="X167">
        <v>0</v>
      </c>
      <c r="Y167" t="s">
        <v>214</v>
      </c>
      <c r="Z167" t="s">
        <v>360</v>
      </c>
      <c r="AA167">
        <v>0</v>
      </c>
      <c r="AB167" s="2">
        <v>0</v>
      </c>
      <c r="AC167" s="2">
        <v>0</v>
      </c>
      <c r="AD167" s="3">
        <v>0</v>
      </c>
      <c r="AE167" s="2">
        <v>0</v>
      </c>
      <c r="AF167" s="2">
        <v>0</v>
      </c>
      <c r="AG167" s="2">
        <v>0</v>
      </c>
      <c r="AH167" s="2">
        <v>0</v>
      </c>
      <c r="AI167" s="2">
        <v>0</v>
      </c>
      <c r="AJ167" s="2">
        <v>0</v>
      </c>
      <c r="AK167" s="2">
        <v>0</v>
      </c>
      <c r="AL167" s="2">
        <v>0</v>
      </c>
      <c r="AM167" s="2">
        <v>4.92</v>
      </c>
      <c r="AN167" s="2">
        <v>4.92</v>
      </c>
      <c r="AO167" s="2">
        <v>0</v>
      </c>
      <c r="AP167" s="2">
        <v>0</v>
      </c>
      <c r="AQ167" s="2">
        <v>0</v>
      </c>
    </row>
    <row r="168" spans="1:43" x14ac:dyDescent="0.25">
      <c r="A168" s="1">
        <v>45936</v>
      </c>
      <c r="B168" t="s">
        <v>48</v>
      </c>
      <c r="C168">
        <v>649163</v>
      </c>
      <c r="D168">
        <v>2017242801</v>
      </c>
      <c r="E168" t="s">
        <v>542</v>
      </c>
      <c r="F168" t="s">
        <v>543</v>
      </c>
      <c r="G168" t="s">
        <v>51</v>
      </c>
      <c r="H168" t="s">
        <v>88</v>
      </c>
      <c r="I168" t="s">
        <v>53</v>
      </c>
      <c r="J168" t="s">
        <v>635</v>
      </c>
      <c r="K168">
        <v>652037</v>
      </c>
      <c r="L168" t="s">
        <v>172</v>
      </c>
      <c r="M168" t="s">
        <v>173</v>
      </c>
      <c r="N168" t="s">
        <v>57</v>
      </c>
      <c r="O168" s="1">
        <v>44930</v>
      </c>
      <c r="Q168" s="1">
        <v>45965</v>
      </c>
      <c r="R168" s="2">
        <v>105.84</v>
      </c>
      <c r="S168">
        <v>1</v>
      </c>
      <c r="T168" t="s">
        <v>58</v>
      </c>
      <c r="U168" t="s">
        <v>359</v>
      </c>
      <c r="V168" s="4">
        <v>6.5000000000000002E-2</v>
      </c>
      <c r="W168" s="2">
        <v>0</v>
      </c>
      <c r="X168">
        <v>0</v>
      </c>
      <c r="Y168" t="s">
        <v>214</v>
      </c>
      <c r="Z168" t="s">
        <v>360</v>
      </c>
      <c r="AA168">
        <v>0</v>
      </c>
      <c r="AB168" s="2">
        <v>0</v>
      </c>
      <c r="AC168" s="2">
        <v>0</v>
      </c>
      <c r="AD168" s="3">
        <v>0</v>
      </c>
      <c r="AE168" s="2">
        <v>0</v>
      </c>
      <c r="AF168" s="2">
        <v>0</v>
      </c>
      <c r="AG168" s="2">
        <v>0</v>
      </c>
      <c r="AH168" s="2">
        <v>0</v>
      </c>
      <c r="AI168" s="2">
        <v>0</v>
      </c>
      <c r="AJ168" s="2">
        <v>0</v>
      </c>
      <c r="AK168" s="2">
        <v>0</v>
      </c>
      <c r="AL168" s="2">
        <v>0</v>
      </c>
      <c r="AM168" s="2">
        <v>6.88</v>
      </c>
      <c r="AN168" s="2">
        <v>6.88</v>
      </c>
      <c r="AO168" s="2">
        <v>0</v>
      </c>
      <c r="AP168" s="2">
        <v>0</v>
      </c>
      <c r="AQ168" s="2">
        <v>0</v>
      </c>
    </row>
    <row r="169" spans="1:43" x14ac:dyDescent="0.25">
      <c r="A169" s="1">
        <v>45936</v>
      </c>
      <c r="B169" t="s">
        <v>48</v>
      </c>
      <c r="C169">
        <v>649163</v>
      </c>
      <c r="D169">
        <v>2017539417</v>
      </c>
      <c r="E169" t="s">
        <v>568</v>
      </c>
      <c r="F169" t="s">
        <v>569</v>
      </c>
      <c r="G169" t="s">
        <v>51</v>
      </c>
      <c r="H169" t="s">
        <v>427</v>
      </c>
      <c r="I169" t="s">
        <v>53</v>
      </c>
      <c r="J169" t="s">
        <v>65</v>
      </c>
      <c r="K169">
        <v>649793</v>
      </c>
      <c r="L169" t="s">
        <v>80</v>
      </c>
      <c r="M169" t="s">
        <v>537</v>
      </c>
      <c r="N169" t="s">
        <v>57</v>
      </c>
      <c r="O169" s="1">
        <v>44986</v>
      </c>
      <c r="Q169" s="1">
        <v>45962</v>
      </c>
      <c r="R169" s="2">
        <v>52.69</v>
      </c>
      <c r="S169">
        <v>1</v>
      </c>
      <c r="T169" t="s">
        <v>58</v>
      </c>
      <c r="U169" t="s">
        <v>359</v>
      </c>
      <c r="V169" s="4">
        <v>6.5000000000000002E-2</v>
      </c>
      <c r="W169" s="2">
        <v>0</v>
      </c>
      <c r="X169">
        <v>0</v>
      </c>
      <c r="Y169" t="s">
        <v>214</v>
      </c>
      <c r="Z169" t="s">
        <v>360</v>
      </c>
      <c r="AA169">
        <v>0</v>
      </c>
      <c r="AB169" s="2">
        <v>0</v>
      </c>
      <c r="AC169" s="2">
        <v>0</v>
      </c>
      <c r="AD169" s="3">
        <v>0</v>
      </c>
      <c r="AE169" s="2">
        <v>0</v>
      </c>
      <c r="AF169" s="2">
        <v>0</v>
      </c>
      <c r="AG169" s="2">
        <v>0</v>
      </c>
      <c r="AH169" s="2">
        <v>0</v>
      </c>
      <c r="AI169" s="2">
        <v>0</v>
      </c>
      <c r="AJ169" s="2">
        <v>0</v>
      </c>
      <c r="AK169" s="2">
        <v>0</v>
      </c>
      <c r="AL169" s="2">
        <v>0</v>
      </c>
      <c r="AM169" s="2">
        <v>3.42</v>
      </c>
      <c r="AN169" s="2">
        <v>3.42</v>
      </c>
      <c r="AO169" s="2">
        <v>0</v>
      </c>
      <c r="AP169" s="2">
        <v>0</v>
      </c>
      <c r="AQ169" s="2">
        <v>0</v>
      </c>
    </row>
    <row r="170" spans="1:43" x14ac:dyDescent="0.25">
      <c r="A170" s="1">
        <v>45936</v>
      </c>
      <c r="B170" t="s">
        <v>48</v>
      </c>
      <c r="C170">
        <v>649163</v>
      </c>
      <c r="D170">
        <v>2017624587</v>
      </c>
      <c r="E170" t="s">
        <v>637</v>
      </c>
      <c r="F170" t="s">
        <v>224</v>
      </c>
      <c r="G170" t="s">
        <v>51</v>
      </c>
      <c r="H170" t="s">
        <v>70</v>
      </c>
      <c r="I170" t="s">
        <v>53</v>
      </c>
      <c r="J170" t="s">
        <v>54</v>
      </c>
      <c r="K170">
        <v>650794</v>
      </c>
      <c r="L170" t="s">
        <v>172</v>
      </c>
      <c r="M170" t="s">
        <v>624</v>
      </c>
      <c r="N170" t="s">
        <v>57</v>
      </c>
      <c r="O170" s="1">
        <v>44967</v>
      </c>
      <c r="Q170" s="1">
        <v>45971</v>
      </c>
      <c r="R170" s="2">
        <v>61.81</v>
      </c>
      <c r="S170">
        <v>1</v>
      </c>
      <c r="T170" t="s">
        <v>58</v>
      </c>
      <c r="U170" t="s">
        <v>359</v>
      </c>
      <c r="V170" s="4">
        <v>6.5000000000000002E-2</v>
      </c>
      <c r="W170" s="2">
        <v>0</v>
      </c>
      <c r="X170">
        <v>0</v>
      </c>
      <c r="Y170" t="s">
        <v>214</v>
      </c>
      <c r="Z170" t="s">
        <v>360</v>
      </c>
      <c r="AA170">
        <v>0</v>
      </c>
      <c r="AB170" s="2">
        <v>0</v>
      </c>
      <c r="AC170" s="2">
        <v>0</v>
      </c>
      <c r="AD170" s="3">
        <v>0</v>
      </c>
      <c r="AE170" s="2">
        <v>0</v>
      </c>
      <c r="AF170" s="2">
        <v>0</v>
      </c>
      <c r="AG170" s="2">
        <v>0</v>
      </c>
      <c r="AH170" s="2">
        <v>0</v>
      </c>
      <c r="AI170" s="2">
        <v>0</v>
      </c>
      <c r="AJ170" s="2">
        <v>0</v>
      </c>
      <c r="AK170" s="2">
        <v>0</v>
      </c>
      <c r="AL170" s="2">
        <v>0</v>
      </c>
      <c r="AM170" s="2">
        <v>4.0199999999999996</v>
      </c>
      <c r="AN170" s="2">
        <v>4.0199999999999996</v>
      </c>
      <c r="AO170" s="2">
        <v>0</v>
      </c>
      <c r="AP170" s="2">
        <v>0</v>
      </c>
      <c r="AQ170" s="2">
        <v>0</v>
      </c>
    </row>
    <row r="171" spans="1:43" x14ac:dyDescent="0.25">
      <c r="A171" s="1">
        <v>45936</v>
      </c>
      <c r="B171" t="s">
        <v>48</v>
      </c>
      <c r="C171">
        <v>649163</v>
      </c>
      <c r="D171">
        <v>2018439352</v>
      </c>
      <c r="E171" t="s">
        <v>574</v>
      </c>
      <c r="F171" t="s">
        <v>575</v>
      </c>
      <c r="G171" t="s">
        <v>51</v>
      </c>
      <c r="H171" t="s">
        <v>70</v>
      </c>
      <c r="I171" t="s">
        <v>53</v>
      </c>
      <c r="J171" t="s">
        <v>65</v>
      </c>
      <c r="K171">
        <v>678320</v>
      </c>
      <c r="L171" t="s">
        <v>576</v>
      </c>
      <c r="M171" t="s">
        <v>139</v>
      </c>
      <c r="N171" t="s">
        <v>57</v>
      </c>
      <c r="O171" s="1">
        <v>45047</v>
      </c>
      <c r="Q171" s="1">
        <v>45962</v>
      </c>
      <c r="R171" s="2">
        <v>75.75</v>
      </c>
      <c r="S171">
        <v>1</v>
      </c>
      <c r="T171" t="s">
        <v>58</v>
      </c>
      <c r="U171" t="s">
        <v>359</v>
      </c>
      <c r="V171" s="4">
        <v>6.5000000000000002E-2</v>
      </c>
      <c r="W171" s="2">
        <v>0</v>
      </c>
      <c r="X171">
        <v>0</v>
      </c>
      <c r="Y171" t="s">
        <v>214</v>
      </c>
      <c r="Z171" t="s">
        <v>360</v>
      </c>
      <c r="AA171">
        <v>0</v>
      </c>
      <c r="AB171" s="2">
        <v>0</v>
      </c>
      <c r="AC171" s="2">
        <v>0</v>
      </c>
      <c r="AD171" s="3">
        <v>0</v>
      </c>
      <c r="AE171" s="2">
        <v>0</v>
      </c>
      <c r="AF171" s="2">
        <v>0</v>
      </c>
      <c r="AG171" s="2">
        <v>0</v>
      </c>
      <c r="AH171" s="2">
        <v>0</v>
      </c>
      <c r="AI171" s="2">
        <v>0</v>
      </c>
      <c r="AJ171" s="2">
        <v>0</v>
      </c>
      <c r="AK171" s="2">
        <v>0</v>
      </c>
      <c r="AL171" s="2">
        <v>0</v>
      </c>
      <c r="AM171" s="2">
        <v>4.92</v>
      </c>
      <c r="AN171" s="2">
        <v>4.92</v>
      </c>
      <c r="AO171" s="2">
        <v>0</v>
      </c>
      <c r="AP171" s="2">
        <v>0</v>
      </c>
      <c r="AQ171" s="2">
        <v>0</v>
      </c>
    </row>
    <row r="172" spans="1:43" x14ac:dyDescent="0.25">
      <c r="A172" s="1">
        <v>45936</v>
      </c>
      <c r="B172" t="s">
        <v>48</v>
      </c>
      <c r="C172">
        <v>649163</v>
      </c>
      <c r="D172">
        <v>2018472292</v>
      </c>
      <c r="E172" t="s">
        <v>577</v>
      </c>
      <c r="F172" t="s">
        <v>578</v>
      </c>
      <c r="G172" t="s">
        <v>51</v>
      </c>
      <c r="H172" t="s">
        <v>70</v>
      </c>
      <c r="I172" t="s">
        <v>53</v>
      </c>
      <c r="J172" t="s">
        <v>54</v>
      </c>
      <c r="K172">
        <v>678320</v>
      </c>
      <c r="L172" t="s">
        <v>576</v>
      </c>
      <c r="M172" t="s">
        <v>139</v>
      </c>
      <c r="N172" t="s">
        <v>57</v>
      </c>
      <c r="O172" s="1">
        <v>45047</v>
      </c>
      <c r="Q172" s="1">
        <v>45962</v>
      </c>
      <c r="R172" s="2">
        <v>97.45</v>
      </c>
      <c r="S172">
        <v>1</v>
      </c>
      <c r="T172" t="s">
        <v>58</v>
      </c>
      <c r="U172" t="s">
        <v>359</v>
      </c>
      <c r="V172" s="4">
        <v>6.5000000000000002E-2</v>
      </c>
      <c r="W172" s="2">
        <v>0</v>
      </c>
      <c r="X172">
        <v>0</v>
      </c>
      <c r="Y172" t="s">
        <v>214</v>
      </c>
      <c r="Z172" t="s">
        <v>360</v>
      </c>
      <c r="AA172">
        <v>0</v>
      </c>
      <c r="AB172" s="2">
        <v>0</v>
      </c>
      <c r="AC172" s="2">
        <v>0</v>
      </c>
      <c r="AD172" s="3">
        <v>0</v>
      </c>
      <c r="AE172" s="2">
        <v>0</v>
      </c>
      <c r="AF172" s="2">
        <v>0</v>
      </c>
      <c r="AG172" s="2">
        <v>0</v>
      </c>
      <c r="AH172" s="2">
        <v>0</v>
      </c>
      <c r="AI172" s="2">
        <v>0</v>
      </c>
      <c r="AJ172" s="2">
        <v>0</v>
      </c>
      <c r="AK172" s="2">
        <v>0</v>
      </c>
      <c r="AL172" s="2">
        <v>0</v>
      </c>
      <c r="AM172" s="2">
        <v>6.33</v>
      </c>
      <c r="AN172" s="2">
        <v>6.33</v>
      </c>
      <c r="AO172" s="2">
        <v>0</v>
      </c>
      <c r="AP172" s="2">
        <v>0</v>
      </c>
      <c r="AQ172" s="2">
        <v>0</v>
      </c>
    </row>
    <row r="173" spans="1:43" x14ac:dyDescent="0.25">
      <c r="A173" s="1">
        <v>45936</v>
      </c>
      <c r="B173" t="s">
        <v>48</v>
      </c>
      <c r="C173">
        <v>649163</v>
      </c>
      <c r="D173">
        <v>2020488529</v>
      </c>
      <c r="E173" t="s">
        <v>208</v>
      </c>
      <c r="F173" t="s">
        <v>207</v>
      </c>
      <c r="G173" t="s">
        <v>51</v>
      </c>
      <c r="H173" t="s">
        <v>70</v>
      </c>
      <c r="I173" t="s">
        <v>53</v>
      </c>
      <c r="J173" t="s">
        <v>65</v>
      </c>
      <c r="K173">
        <v>649164</v>
      </c>
      <c r="L173" t="s">
        <v>211</v>
      </c>
      <c r="M173" t="s">
        <v>212</v>
      </c>
      <c r="N173" t="s">
        <v>57</v>
      </c>
      <c r="O173" s="1">
        <v>45231</v>
      </c>
      <c r="Q173" s="1">
        <v>45962</v>
      </c>
      <c r="R173" s="2">
        <v>75.75</v>
      </c>
      <c r="S173">
        <v>1</v>
      </c>
      <c r="T173" t="s">
        <v>58</v>
      </c>
      <c r="U173" t="s">
        <v>359</v>
      </c>
      <c r="V173" s="4">
        <v>6.5000000000000002E-2</v>
      </c>
      <c r="W173" s="2">
        <v>0</v>
      </c>
      <c r="X173">
        <v>0</v>
      </c>
      <c r="Y173" t="s">
        <v>214</v>
      </c>
      <c r="Z173" t="s">
        <v>360</v>
      </c>
      <c r="AA173">
        <v>0</v>
      </c>
      <c r="AB173" s="2">
        <v>0</v>
      </c>
      <c r="AC173" s="2">
        <v>0</v>
      </c>
      <c r="AD173" s="3">
        <v>0</v>
      </c>
      <c r="AE173" s="2">
        <v>0</v>
      </c>
      <c r="AF173" s="2">
        <v>0</v>
      </c>
      <c r="AG173" s="2">
        <v>0</v>
      </c>
      <c r="AH173" s="2">
        <v>0</v>
      </c>
      <c r="AI173" s="2">
        <v>0</v>
      </c>
      <c r="AJ173" s="2">
        <v>0</v>
      </c>
      <c r="AK173" s="2">
        <v>0</v>
      </c>
      <c r="AL173" s="2">
        <v>0</v>
      </c>
      <c r="AM173" s="2">
        <v>4.92</v>
      </c>
      <c r="AN173" s="2">
        <v>4.92</v>
      </c>
      <c r="AO173" s="2">
        <v>0</v>
      </c>
      <c r="AP173" s="2">
        <v>0</v>
      </c>
      <c r="AQ173" s="2">
        <v>0</v>
      </c>
    </row>
    <row r="174" spans="1:43" x14ac:dyDescent="0.25">
      <c r="A174" s="1">
        <v>45936</v>
      </c>
      <c r="B174" t="s">
        <v>48</v>
      </c>
      <c r="C174">
        <v>649163</v>
      </c>
      <c r="D174">
        <v>2020720598</v>
      </c>
      <c r="E174" t="s">
        <v>611</v>
      </c>
      <c r="F174" t="s">
        <v>63</v>
      </c>
      <c r="G174" t="s">
        <v>51</v>
      </c>
      <c r="H174" t="s">
        <v>70</v>
      </c>
      <c r="I174" t="s">
        <v>53</v>
      </c>
      <c r="J174" t="s">
        <v>65</v>
      </c>
      <c r="K174">
        <v>649164</v>
      </c>
      <c r="L174" t="s">
        <v>211</v>
      </c>
      <c r="M174" t="s">
        <v>212</v>
      </c>
      <c r="N174" t="s">
        <v>57</v>
      </c>
      <c r="O174" s="1">
        <v>45261</v>
      </c>
      <c r="Q174" s="1">
        <v>45962</v>
      </c>
      <c r="R174" s="2">
        <v>92.55</v>
      </c>
      <c r="S174">
        <v>1</v>
      </c>
      <c r="T174" t="s">
        <v>58</v>
      </c>
      <c r="U174" t="s">
        <v>359</v>
      </c>
      <c r="V174" s="4">
        <v>6.5000000000000002E-2</v>
      </c>
      <c r="W174" s="2">
        <v>0</v>
      </c>
      <c r="X174">
        <v>0</v>
      </c>
      <c r="Y174" t="s">
        <v>214</v>
      </c>
      <c r="Z174" t="s">
        <v>360</v>
      </c>
      <c r="AA174">
        <v>0</v>
      </c>
      <c r="AB174" s="2">
        <v>0</v>
      </c>
      <c r="AC174" s="2">
        <v>0</v>
      </c>
      <c r="AD174" s="3">
        <v>0</v>
      </c>
      <c r="AE174" s="2">
        <v>0</v>
      </c>
      <c r="AF174" s="2">
        <v>0</v>
      </c>
      <c r="AG174" s="2">
        <v>0</v>
      </c>
      <c r="AH174" s="2">
        <v>0</v>
      </c>
      <c r="AI174" s="2">
        <v>0</v>
      </c>
      <c r="AJ174" s="2">
        <v>0</v>
      </c>
      <c r="AK174" s="2">
        <v>0</v>
      </c>
      <c r="AL174" s="2">
        <v>0</v>
      </c>
      <c r="AM174" s="2">
        <v>6.02</v>
      </c>
      <c r="AN174" s="2">
        <v>6.02</v>
      </c>
      <c r="AO174" s="2">
        <v>0</v>
      </c>
      <c r="AP174" s="2">
        <v>0</v>
      </c>
      <c r="AQ174" s="2">
        <v>0</v>
      </c>
    </row>
    <row r="175" spans="1:43" x14ac:dyDescent="0.25">
      <c r="A175" s="1">
        <v>45936</v>
      </c>
      <c r="B175" t="s">
        <v>48</v>
      </c>
      <c r="C175">
        <v>649163</v>
      </c>
      <c r="D175">
        <v>2020736330</v>
      </c>
      <c r="E175" t="s">
        <v>611</v>
      </c>
      <c r="F175" t="s">
        <v>612</v>
      </c>
      <c r="G175" t="s">
        <v>51</v>
      </c>
      <c r="H175" t="s">
        <v>70</v>
      </c>
      <c r="I175" t="s">
        <v>53</v>
      </c>
      <c r="J175" t="s">
        <v>635</v>
      </c>
      <c r="K175">
        <v>649164</v>
      </c>
      <c r="L175" t="s">
        <v>211</v>
      </c>
      <c r="M175" t="s">
        <v>212</v>
      </c>
      <c r="N175" t="s">
        <v>57</v>
      </c>
      <c r="O175" s="1">
        <v>45261</v>
      </c>
      <c r="Q175" s="1">
        <v>45962</v>
      </c>
      <c r="R175" s="2">
        <v>105.84</v>
      </c>
      <c r="S175">
        <v>1</v>
      </c>
      <c r="T175" t="s">
        <v>58</v>
      </c>
      <c r="U175" t="s">
        <v>359</v>
      </c>
      <c r="V175" s="4">
        <v>6.5000000000000002E-2</v>
      </c>
      <c r="W175" s="2">
        <v>0</v>
      </c>
      <c r="X175">
        <v>0</v>
      </c>
      <c r="Y175" t="s">
        <v>214</v>
      </c>
      <c r="Z175" t="s">
        <v>360</v>
      </c>
      <c r="AA175">
        <v>0</v>
      </c>
      <c r="AB175" s="2">
        <v>0</v>
      </c>
      <c r="AC175" s="2">
        <v>0</v>
      </c>
      <c r="AD175" s="3">
        <v>0</v>
      </c>
      <c r="AE175" s="2">
        <v>0</v>
      </c>
      <c r="AF175" s="2">
        <v>0</v>
      </c>
      <c r="AG175" s="2">
        <v>0</v>
      </c>
      <c r="AH175" s="2">
        <v>0</v>
      </c>
      <c r="AI175" s="2">
        <v>0</v>
      </c>
      <c r="AJ175" s="2">
        <v>0</v>
      </c>
      <c r="AK175" s="2">
        <v>0</v>
      </c>
      <c r="AL175" s="2">
        <v>0</v>
      </c>
      <c r="AM175" s="2">
        <v>6.88</v>
      </c>
      <c r="AN175" s="2">
        <v>6.88</v>
      </c>
      <c r="AO175" s="2">
        <v>0</v>
      </c>
      <c r="AP175" s="2">
        <v>0</v>
      </c>
      <c r="AQ175" s="2">
        <v>0</v>
      </c>
    </row>
    <row r="176" spans="1:43" x14ac:dyDescent="0.25">
      <c r="A176" s="1">
        <v>45936</v>
      </c>
      <c r="B176" t="s">
        <v>48</v>
      </c>
      <c r="C176">
        <v>649163</v>
      </c>
      <c r="D176">
        <v>2020891511</v>
      </c>
      <c r="E176" t="s">
        <v>616</v>
      </c>
      <c r="F176" t="s">
        <v>486</v>
      </c>
      <c r="G176" t="s">
        <v>51</v>
      </c>
      <c r="H176" t="s">
        <v>70</v>
      </c>
      <c r="I176" t="s">
        <v>53</v>
      </c>
      <c r="J176" t="s">
        <v>65</v>
      </c>
      <c r="K176">
        <v>649164</v>
      </c>
      <c r="L176" t="s">
        <v>211</v>
      </c>
      <c r="M176" t="s">
        <v>212</v>
      </c>
      <c r="N176" t="s">
        <v>57</v>
      </c>
      <c r="O176" s="1">
        <v>45261</v>
      </c>
      <c r="Q176" s="1">
        <v>45962</v>
      </c>
      <c r="R176" s="2">
        <v>52.69</v>
      </c>
      <c r="S176">
        <v>1</v>
      </c>
      <c r="T176" t="s">
        <v>58</v>
      </c>
      <c r="U176" t="s">
        <v>359</v>
      </c>
      <c r="V176" s="4">
        <v>6.5000000000000002E-2</v>
      </c>
      <c r="W176" s="2">
        <v>0</v>
      </c>
      <c r="X176">
        <v>0</v>
      </c>
      <c r="Y176" t="s">
        <v>214</v>
      </c>
      <c r="Z176" t="s">
        <v>360</v>
      </c>
      <c r="AA176">
        <v>0</v>
      </c>
      <c r="AB176" s="2">
        <v>0</v>
      </c>
      <c r="AC176" s="2">
        <v>0</v>
      </c>
      <c r="AD176" s="3">
        <v>0</v>
      </c>
      <c r="AE176" s="2">
        <v>0</v>
      </c>
      <c r="AF176" s="2">
        <v>0</v>
      </c>
      <c r="AG176" s="2">
        <v>0</v>
      </c>
      <c r="AH176" s="2">
        <v>0</v>
      </c>
      <c r="AI176" s="2">
        <v>0</v>
      </c>
      <c r="AJ176" s="2">
        <v>0</v>
      </c>
      <c r="AK176" s="2">
        <v>0</v>
      </c>
      <c r="AL176" s="2">
        <v>0</v>
      </c>
      <c r="AM176" s="2">
        <v>3.42</v>
      </c>
      <c r="AN176" s="2">
        <v>3.42</v>
      </c>
      <c r="AO176" s="2">
        <v>0</v>
      </c>
      <c r="AP176" s="2">
        <v>0</v>
      </c>
      <c r="AQ176" s="2">
        <v>0</v>
      </c>
    </row>
    <row r="177" spans="1:43" x14ac:dyDescent="0.25">
      <c r="A177" s="1">
        <v>45936</v>
      </c>
      <c r="B177" t="s">
        <v>48</v>
      </c>
      <c r="C177">
        <v>649163</v>
      </c>
      <c r="D177">
        <v>2020974702</v>
      </c>
      <c r="E177" t="s">
        <v>621</v>
      </c>
      <c r="F177" t="s">
        <v>622</v>
      </c>
      <c r="G177" t="s">
        <v>51</v>
      </c>
      <c r="H177" t="s">
        <v>70</v>
      </c>
      <c r="I177" t="s">
        <v>53</v>
      </c>
      <c r="J177" t="s">
        <v>65</v>
      </c>
      <c r="K177">
        <v>649164</v>
      </c>
      <c r="L177" t="s">
        <v>211</v>
      </c>
      <c r="M177" t="s">
        <v>212</v>
      </c>
      <c r="N177" t="s">
        <v>57</v>
      </c>
      <c r="O177" s="1">
        <v>45292</v>
      </c>
      <c r="Q177" s="1">
        <v>45962</v>
      </c>
      <c r="R177" s="2">
        <v>52.69</v>
      </c>
      <c r="S177">
        <v>1</v>
      </c>
      <c r="T177" t="s">
        <v>58</v>
      </c>
      <c r="U177" t="s">
        <v>359</v>
      </c>
      <c r="V177" s="4">
        <v>6.5000000000000002E-2</v>
      </c>
      <c r="W177" s="2">
        <v>0</v>
      </c>
      <c r="X177">
        <v>0</v>
      </c>
      <c r="Y177" t="s">
        <v>214</v>
      </c>
      <c r="Z177" t="s">
        <v>360</v>
      </c>
      <c r="AA177">
        <v>0</v>
      </c>
      <c r="AB177" s="2">
        <v>0</v>
      </c>
      <c r="AC177" s="2">
        <v>0</v>
      </c>
      <c r="AD177" s="3">
        <v>0</v>
      </c>
      <c r="AE177" s="2">
        <v>0</v>
      </c>
      <c r="AF177" s="2">
        <v>0</v>
      </c>
      <c r="AG177" s="2">
        <v>0</v>
      </c>
      <c r="AH177" s="2">
        <v>0</v>
      </c>
      <c r="AI177" s="2">
        <v>0</v>
      </c>
      <c r="AJ177" s="2">
        <v>0</v>
      </c>
      <c r="AK177" s="2">
        <v>0</v>
      </c>
      <c r="AL177" s="2">
        <v>0</v>
      </c>
      <c r="AM177" s="2">
        <v>3.42</v>
      </c>
      <c r="AN177" s="2">
        <v>3.42</v>
      </c>
      <c r="AO177" s="2">
        <v>0</v>
      </c>
      <c r="AP177" s="2">
        <v>0</v>
      </c>
      <c r="AQ177" s="2">
        <v>0</v>
      </c>
    </row>
    <row r="178" spans="1:43" x14ac:dyDescent="0.25">
      <c r="A178" s="1">
        <v>45936</v>
      </c>
      <c r="B178" t="s">
        <v>48</v>
      </c>
      <c r="C178">
        <v>649163</v>
      </c>
      <c r="D178">
        <v>2021166476</v>
      </c>
      <c r="E178" t="s">
        <v>638</v>
      </c>
      <c r="F178" t="s">
        <v>639</v>
      </c>
      <c r="G178" t="s">
        <v>51</v>
      </c>
      <c r="H178" t="s">
        <v>70</v>
      </c>
      <c r="I178" t="s">
        <v>53</v>
      </c>
      <c r="J178" t="s">
        <v>65</v>
      </c>
      <c r="K178">
        <v>649164</v>
      </c>
      <c r="L178" t="s">
        <v>211</v>
      </c>
      <c r="M178" t="s">
        <v>212</v>
      </c>
      <c r="N178" t="s">
        <v>57</v>
      </c>
      <c r="O178" s="1">
        <v>45292</v>
      </c>
      <c r="Q178" s="1">
        <v>45962</v>
      </c>
      <c r="R178" s="2">
        <v>52.69</v>
      </c>
      <c r="S178">
        <v>1</v>
      </c>
      <c r="T178" t="s">
        <v>58</v>
      </c>
      <c r="U178" t="s">
        <v>359</v>
      </c>
      <c r="V178" s="4">
        <v>6.5000000000000002E-2</v>
      </c>
      <c r="W178" s="2">
        <v>0</v>
      </c>
      <c r="X178">
        <v>0</v>
      </c>
      <c r="Y178" t="s">
        <v>214</v>
      </c>
      <c r="Z178" t="s">
        <v>360</v>
      </c>
      <c r="AA178">
        <v>0</v>
      </c>
      <c r="AB178" s="2">
        <v>0</v>
      </c>
      <c r="AC178" s="2">
        <v>0</v>
      </c>
      <c r="AD178" s="3">
        <v>0</v>
      </c>
      <c r="AE178" s="2">
        <v>0</v>
      </c>
      <c r="AF178" s="2">
        <v>0</v>
      </c>
      <c r="AG178" s="2">
        <v>0</v>
      </c>
      <c r="AH178" s="2">
        <v>0</v>
      </c>
      <c r="AI178" s="2">
        <v>0</v>
      </c>
      <c r="AJ178" s="2">
        <v>0</v>
      </c>
      <c r="AK178" s="2">
        <v>0</v>
      </c>
      <c r="AL178" s="2">
        <v>0</v>
      </c>
      <c r="AM178" s="2">
        <v>3.42</v>
      </c>
      <c r="AN178" s="2">
        <v>3.42</v>
      </c>
      <c r="AO178" s="2">
        <v>0</v>
      </c>
      <c r="AP178" s="2">
        <v>0</v>
      </c>
      <c r="AQ178" s="2">
        <v>0</v>
      </c>
    </row>
    <row r="179" spans="1:43" x14ac:dyDescent="0.25">
      <c r="A179" s="1">
        <v>45936</v>
      </c>
      <c r="B179" t="s">
        <v>48</v>
      </c>
      <c r="C179">
        <v>649163</v>
      </c>
      <c r="D179">
        <v>2022273839</v>
      </c>
      <c r="E179" t="s">
        <v>640</v>
      </c>
      <c r="F179" t="s">
        <v>641</v>
      </c>
      <c r="G179" t="s">
        <v>51</v>
      </c>
      <c r="H179" t="s">
        <v>70</v>
      </c>
      <c r="I179" t="s">
        <v>53</v>
      </c>
      <c r="J179" t="s">
        <v>65</v>
      </c>
      <c r="K179">
        <v>649164</v>
      </c>
      <c r="L179" t="s">
        <v>211</v>
      </c>
      <c r="M179" t="s">
        <v>212</v>
      </c>
      <c r="N179" t="s">
        <v>57</v>
      </c>
      <c r="O179" s="1">
        <v>45383</v>
      </c>
      <c r="Q179" s="1">
        <v>45962</v>
      </c>
      <c r="R179" s="2">
        <v>52.69</v>
      </c>
      <c r="S179">
        <v>1</v>
      </c>
      <c r="T179" t="s">
        <v>58</v>
      </c>
      <c r="U179" t="s">
        <v>359</v>
      </c>
      <c r="V179" s="4">
        <v>6.5000000000000002E-2</v>
      </c>
      <c r="W179" s="2">
        <v>0</v>
      </c>
      <c r="X179">
        <v>0</v>
      </c>
      <c r="Y179" t="s">
        <v>214</v>
      </c>
      <c r="Z179" t="s">
        <v>360</v>
      </c>
      <c r="AA179">
        <v>0</v>
      </c>
      <c r="AB179" s="2">
        <v>0</v>
      </c>
      <c r="AC179" s="2">
        <v>0</v>
      </c>
      <c r="AD179" s="3">
        <v>0</v>
      </c>
      <c r="AE179" s="2">
        <v>0</v>
      </c>
      <c r="AF179" s="2">
        <v>0</v>
      </c>
      <c r="AG179" s="2">
        <v>0</v>
      </c>
      <c r="AH179" s="2">
        <v>0</v>
      </c>
      <c r="AI179" s="2">
        <v>0</v>
      </c>
      <c r="AJ179" s="2">
        <v>0</v>
      </c>
      <c r="AK179" s="2">
        <v>0</v>
      </c>
      <c r="AL179" s="2">
        <v>0</v>
      </c>
      <c r="AM179" s="2">
        <v>3.42</v>
      </c>
      <c r="AN179" s="2">
        <v>3.42</v>
      </c>
      <c r="AO179" s="2">
        <v>0</v>
      </c>
      <c r="AP179" s="2">
        <v>0</v>
      </c>
      <c r="AQ179" s="2">
        <v>0</v>
      </c>
    </row>
    <row r="180" spans="1:43" x14ac:dyDescent="0.25">
      <c r="A180" s="1">
        <v>45936</v>
      </c>
      <c r="B180" t="s">
        <v>48</v>
      </c>
      <c r="C180">
        <v>649163</v>
      </c>
      <c r="D180">
        <v>2022853293</v>
      </c>
      <c r="E180" t="s">
        <v>364</v>
      </c>
      <c r="F180" t="s">
        <v>365</v>
      </c>
      <c r="G180" t="s">
        <v>51</v>
      </c>
      <c r="H180" t="s">
        <v>70</v>
      </c>
      <c r="I180" t="s">
        <v>53</v>
      </c>
      <c r="J180" t="s">
        <v>65</v>
      </c>
      <c r="K180">
        <v>751867</v>
      </c>
      <c r="L180" t="s">
        <v>71</v>
      </c>
      <c r="M180" t="s">
        <v>72</v>
      </c>
      <c r="N180" t="s">
        <v>57</v>
      </c>
      <c r="O180" s="1">
        <v>45413</v>
      </c>
      <c r="Q180" s="1">
        <v>45962</v>
      </c>
      <c r="R180" s="2">
        <v>79.75</v>
      </c>
      <c r="S180">
        <v>1</v>
      </c>
      <c r="T180" t="s">
        <v>58</v>
      </c>
      <c r="U180" t="s">
        <v>359</v>
      </c>
      <c r="V180" s="4">
        <v>6.5000000000000002E-2</v>
      </c>
      <c r="W180" s="2">
        <v>0</v>
      </c>
      <c r="X180">
        <v>0</v>
      </c>
      <c r="Y180" t="s">
        <v>214</v>
      </c>
      <c r="Z180" t="s">
        <v>360</v>
      </c>
      <c r="AA180">
        <v>0</v>
      </c>
      <c r="AB180" s="2">
        <v>0</v>
      </c>
      <c r="AC180" s="2">
        <v>0</v>
      </c>
      <c r="AD180" s="3">
        <v>0</v>
      </c>
      <c r="AE180" s="2">
        <v>0</v>
      </c>
      <c r="AF180" s="2">
        <v>0</v>
      </c>
      <c r="AG180" s="2">
        <v>0</v>
      </c>
      <c r="AH180" s="2">
        <v>0</v>
      </c>
      <c r="AI180" s="2">
        <v>0</v>
      </c>
      <c r="AJ180" s="2">
        <v>0</v>
      </c>
      <c r="AK180" s="2">
        <v>0</v>
      </c>
      <c r="AL180" s="2">
        <v>0</v>
      </c>
      <c r="AM180" s="2">
        <v>5.18</v>
      </c>
      <c r="AN180" s="2">
        <v>5.18</v>
      </c>
      <c r="AO180" s="2">
        <v>0</v>
      </c>
      <c r="AP180" s="2">
        <v>0</v>
      </c>
      <c r="AQ180" s="2">
        <v>0</v>
      </c>
    </row>
    <row r="181" spans="1:43" x14ac:dyDescent="0.25">
      <c r="A181" s="1">
        <v>45936</v>
      </c>
      <c r="B181" t="s">
        <v>48</v>
      </c>
      <c r="C181">
        <v>649163</v>
      </c>
      <c r="D181">
        <v>2024320119</v>
      </c>
      <c r="E181" t="s">
        <v>379</v>
      </c>
      <c r="F181" t="s">
        <v>224</v>
      </c>
      <c r="G181" t="s">
        <v>51</v>
      </c>
      <c r="H181" t="s">
        <v>70</v>
      </c>
      <c r="I181" t="s">
        <v>53</v>
      </c>
      <c r="J181" t="s">
        <v>65</v>
      </c>
      <c r="K181">
        <v>650218</v>
      </c>
      <c r="L181" t="s">
        <v>237</v>
      </c>
      <c r="M181" t="s">
        <v>238</v>
      </c>
      <c r="N181" t="s">
        <v>57</v>
      </c>
      <c r="O181" s="1">
        <v>45514</v>
      </c>
      <c r="Q181" s="1">
        <v>45971</v>
      </c>
      <c r="R181" s="2">
        <v>46.45</v>
      </c>
      <c r="S181">
        <v>1</v>
      </c>
      <c r="T181" t="s">
        <v>58</v>
      </c>
      <c r="U181" t="s">
        <v>359</v>
      </c>
      <c r="V181" s="4">
        <v>6.5000000000000002E-2</v>
      </c>
      <c r="W181" s="2">
        <v>0</v>
      </c>
      <c r="X181">
        <v>0</v>
      </c>
      <c r="Y181" t="s">
        <v>214</v>
      </c>
      <c r="Z181" t="s">
        <v>360</v>
      </c>
      <c r="AA181">
        <v>0</v>
      </c>
      <c r="AB181" s="2">
        <v>0</v>
      </c>
      <c r="AC181" s="2">
        <v>0</v>
      </c>
      <c r="AD181" s="3">
        <v>0</v>
      </c>
      <c r="AE181" s="2">
        <v>0</v>
      </c>
      <c r="AF181" s="2">
        <v>0</v>
      </c>
      <c r="AG181" s="2">
        <v>0</v>
      </c>
      <c r="AH181" s="2">
        <v>0</v>
      </c>
      <c r="AI181" s="2">
        <v>0</v>
      </c>
      <c r="AJ181" s="2">
        <v>0</v>
      </c>
      <c r="AK181" s="2">
        <v>0</v>
      </c>
      <c r="AL181" s="2">
        <v>0</v>
      </c>
      <c r="AM181" s="2">
        <v>3.02</v>
      </c>
      <c r="AN181" s="2">
        <v>3.02</v>
      </c>
      <c r="AO181" s="2">
        <v>0</v>
      </c>
      <c r="AP181" s="2">
        <v>0</v>
      </c>
      <c r="AQ181" s="2">
        <v>0</v>
      </c>
    </row>
    <row r="182" spans="1:43" x14ac:dyDescent="0.25">
      <c r="A182" s="1">
        <v>45936</v>
      </c>
      <c r="B182" t="s">
        <v>48</v>
      </c>
      <c r="C182">
        <v>649163</v>
      </c>
      <c r="D182">
        <v>2024326700</v>
      </c>
      <c r="E182" t="s">
        <v>642</v>
      </c>
      <c r="F182" t="s">
        <v>165</v>
      </c>
      <c r="G182" t="s">
        <v>51</v>
      </c>
      <c r="H182" t="s">
        <v>376</v>
      </c>
      <c r="I182" t="s">
        <v>53</v>
      </c>
      <c r="J182" t="s">
        <v>65</v>
      </c>
      <c r="K182">
        <v>650218</v>
      </c>
      <c r="L182" t="s">
        <v>237</v>
      </c>
      <c r="M182" t="s">
        <v>238</v>
      </c>
      <c r="N182" t="s">
        <v>57</v>
      </c>
      <c r="O182" s="1">
        <v>45514</v>
      </c>
      <c r="Q182" s="1">
        <v>45971</v>
      </c>
      <c r="R182" s="2">
        <v>52.69</v>
      </c>
      <c r="S182">
        <v>1</v>
      </c>
      <c r="T182" t="s">
        <v>58</v>
      </c>
      <c r="U182" t="s">
        <v>359</v>
      </c>
      <c r="V182" s="4">
        <v>6.5000000000000002E-2</v>
      </c>
      <c r="W182" s="2">
        <v>0</v>
      </c>
      <c r="X182">
        <v>0</v>
      </c>
      <c r="Y182" t="s">
        <v>214</v>
      </c>
      <c r="Z182" t="s">
        <v>360</v>
      </c>
      <c r="AA182">
        <v>0</v>
      </c>
      <c r="AB182" s="2">
        <v>0</v>
      </c>
      <c r="AC182" s="2">
        <v>0</v>
      </c>
      <c r="AD182" s="3">
        <v>0</v>
      </c>
      <c r="AE182" s="2">
        <v>0</v>
      </c>
      <c r="AF182" s="2">
        <v>0</v>
      </c>
      <c r="AG182" s="2">
        <v>0</v>
      </c>
      <c r="AH182" s="2">
        <v>0</v>
      </c>
      <c r="AI182" s="2">
        <v>0</v>
      </c>
      <c r="AJ182" s="2">
        <v>0</v>
      </c>
      <c r="AK182" s="2">
        <v>0</v>
      </c>
      <c r="AL182" s="2">
        <v>0</v>
      </c>
      <c r="AM182" s="2">
        <v>3.42</v>
      </c>
      <c r="AN182" s="2">
        <v>3.42</v>
      </c>
      <c r="AO182" s="2">
        <v>0</v>
      </c>
      <c r="AP182" s="2">
        <v>0</v>
      </c>
      <c r="AQ182" s="2">
        <v>0</v>
      </c>
    </row>
    <row r="183" spans="1:43" x14ac:dyDescent="0.25">
      <c r="A183" s="1">
        <v>45936</v>
      </c>
      <c r="B183" t="s">
        <v>48</v>
      </c>
      <c r="C183">
        <v>649163</v>
      </c>
      <c r="D183">
        <v>2024737148</v>
      </c>
      <c r="E183" t="s">
        <v>383</v>
      </c>
      <c r="F183" t="s">
        <v>384</v>
      </c>
      <c r="G183" t="s">
        <v>51</v>
      </c>
      <c r="H183" t="s">
        <v>385</v>
      </c>
      <c r="I183" t="s">
        <v>53</v>
      </c>
      <c r="J183" t="s">
        <v>65</v>
      </c>
      <c r="K183">
        <v>751867</v>
      </c>
      <c r="L183" t="s">
        <v>71</v>
      </c>
      <c r="M183" t="s">
        <v>72</v>
      </c>
      <c r="N183" t="s">
        <v>57</v>
      </c>
      <c r="O183" s="1">
        <v>45541</v>
      </c>
      <c r="Q183" s="1">
        <v>45967</v>
      </c>
      <c r="R183" s="2">
        <v>96.55</v>
      </c>
      <c r="S183">
        <v>1</v>
      </c>
      <c r="T183" t="s">
        <v>58</v>
      </c>
      <c r="U183" t="s">
        <v>359</v>
      </c>
      <c r="V183" s="4">
        <v>6.5000000000000002E-2</v>
      </c>
      <c r="W183" s="2">
        <v>0</v>
      </c>
      <c r="X183">
        <v>0</v>
      </c>
      <c r="Y183" t="s">
        <v>214</v>
      </c>
      <c r="Z183" t="s">
        <v>360</v>
      </c>
      <c r="AA183">
        <v>0</v>
      </c>
      <c r="AB183" s="2">
        <v>0</v>
      </c>
      <c r="AC183" s="2">
        <v>0</v>
      </c>
      <c r="AD183" s="3">
        <v>0</v>
      </c>
      <c r="AE183" s="2">
        <v>0</v>
      </c>
      <c r="AF183" s="2">
        <v>0</v>
      </c>
      <c r="AG183" s="2">
        <v>0</v>
      </c>
      <c r="AH183" s="2">
        <v>0</v>
      </c>
      <c r="AI183" s="2">
        <v>0</v>
      </c>
      <c r="AJ183" s="2">
        <v>0</v>
      </c>
      <c r="AK183" s="2">
        <v>0</v>
      </c>
      <c r="AL183" s="2">
        <v>0</v>
      </c>
      <c r="AM183" s="2">
        <v>6.28</v>
      </c>
      <c r="AN183" s="2">
        <v>6.28</v>
      </c>
      <c r="AO183" s="2">
        <v>0</v>
      </c>
      <c r="AP183" s="2">
        <v>0</v>
      </c>
      <c r="AQ183" s="2">
        <v>0</v>
      </c>
    </row>
    <row r="184" spans="1:43" x14ac:dyDescent="0.25">
      <c r="A184" s="1">
        <v>45936</v>
      </c>
      <c r="B184" t="s">
        <v>48</v>
      </c>
      <c r="C184">
        <v>649163</v>
      </c>
      <c r="D184">
        <v>2024752410</v>
      </c>
      <c r="E184" t="s">
        <v>386</v>
      </c>
      <c r="F184" t="s">
        <v>387</v>
      </c>
      <c r="G184" t="s">
        <v>51</v>
      </c>
      <c r="H184" t="s">
        <v>385</v>
      </c>
      <c r="I184" t="s">
        <v>53</v>
      </c>
      <c r="J184" t="s">
        <v>65</v>
      </c>
      <c r="K184">
        <v>751867</v>
      </c>
      <c r="L184" t="s">
        <v>71</v>
      </c>
      <c r="M184" t="s">
        <v>72</v>
      </c>
      <c r="N184" t="s">
        <v>57</v>
      </c>
      <c r="O184" s="1">
        <v>45544</v>
      </c>
      <c r="Q184" s="1">
        <v>45970</v>
      </c>
      <c r="R184" s="2">
        <v>40.159999999999997</v>
      </c>
      <c r="S184">
        <v>1</v>
      </c>
      <c r="T184" t="s">
        <v>58</v>
      </c>
      <c r="U184" t="s">
        <v>359</v>
      </c>
      <c r="V184" s="4">
        <v>6.5000000000000002E-2</v>
      </c>
      <c r="W184" s="2">
        <v>0</v>
      </c>
      <c r="X184">
        <v>0</v>
      </c>
      <c r="Y184" t="s">
        <v>214</v>
      </c>
      <c r="Z184" t="s">
        <v>360</v>
      </c>
      <c r="AA184">
        <v>0</v>
      </c>
      <c r="AB184" s="2">
        <v>0</v>
      </c>
      <c r="AC184" s="2">
        <v>0</v>
      </c>
      <c r="AD184" s="3">
        <v>0</v>
      </c>
      <c r="AE184" s="2">
        <v>0</v>
      </c>
      <c r="AF184" s="2">
        <v>0</v>
      </c>
      <c r="AG184" s="2">
        <v>0</v>
      </c>
      <c r="AH184" s="2">
        <v>0</v>
      </c>
      <c r="AI184" s="2">
        <v>0</v>
      </c>
      <c r="AJ184" s="2">
        <v>0</v>
      </c>
      <c r="AK184" s="2">
        <v>0</v>
      </c>
      <c r="AL184" s="2">
        <v>0</v>
      </c>
      <c r="AM184" s="2">
        <v>2.61</v>
      </c>
      <c r="AN184" s="2">
        <v>2.61</v>
      </c>
      <c r="AO184" s="2">
        <v>0</v>
      </c>
      <c r="AP184" s="2">
        <v>0</v>
      </c>
      <c r="AQ184" s="2">
        <v>0</v>
      </c>
    </row>
    <row r="185" spans="1:43" x14ac:dyDescent="0.25">
      <c r="A185" s="1">
        <v>45936</v>
      </c>
      <c r="B185" t="s">
        <v>48</v>
      </c>
      <c r="C185">
        <v>649163</v>
      </c>
      <c r="D185">
        <v>2026485484</v>
      </c>
      <c r="E185" t="s">
        <v>396</v>
      </c>
      <c r="F185" t="s">
        <v>397</v>
      </c>
      <c r="G185" t="s">
        <v>51</v>
      </c>
      <c r="H185" t="s">
        <v>129</v>
      </c>
      <c r="I185" t="s">
        <v>53</v>
      </c>
      <c r="J185" t="s">
        <v>65</v>
      </c>
      <c r="K185">
        <v>650218</v>
      </c>
      <c r="L185" t="s">
        <v>237</v>
      </c>
      <c r="M185" t="s">
        <v>238</v>
      </c>
      <c r="N185" t="s">
        <v>57</v>
      </c>
      <c r="O185" s="1">
        <v>45665</v>
      </c>
      <c r="Q185" s="1">
        <v>45969</v>
      </c>
      <c r="R185" s="2">
        <v>50.06</v>
      </c>
      <c r="S185">
        <v>1</v>
      </c>
      <c r="T185" t="s">
        <v>58</v>
      </c>
      <c r="U185" t="s">
        <v>359</v>
      </c>
      <c r="V185" s="3">
        <v>0.6</v>
      </c>
      <c r="W185" s="2">
        <v>0</v>
      </c>
      <c r="X185">
        <v>0</v>
      </c>
      <c r="Y185" t="s">
        <v>60</v>
      </c>
      <c r="Z185" t="s">
        <v>360</v>
      </c>
      <c r="AA185">
        <v>0</v>
      </c>
      <c r="AB185" s="2">
        <v>0</v>
      </c>
      <c r="AC185" s="2">
        <v>0</v>
      </c>
      <c r="AD185" s="3">
        <v>0</v>
      </c>
      <c r="AE185" s="2">
        <v>0</v>
      </c>
      <c r="AF185" s="2">
        <v>0</v>
      </c>
      <c r="AG185" s="2">
        <v>0</v>
      </c>
      <c r="AH185" s="2">
        <v>0</v>
      </c>
      <c r="AI185" s="2">
        <v>0</v>
      </c>
      <c r="AJ185" s="2">
        <v>0</v>
      </c>
      <c r="AK185" s="2">
        <v>0</v>
      </c>
      <c r="AL185" s="2">
        <v>0</v>
      </c>
      <c r="AM185" s="2">
        <v>30.04</v>
      </c>
      <c r="AN185" s="2">
        <v>30.04</v>
      </c>
      <c r="AO185" s="2">
        <v>0</v>
      </c>
      <c r="AP185" s="2">
        <v>0</v>
      </c>
      <c r="AQ185" s="2">
        <v>0</v>
      </c>
    </row>
    <row r="186" spans="1:43" x14ac:dyDescent="0.25">
      <c r="A186" s="1">
        <v>45936</v>
      </c>
      <c r="B186" t="s">
        <v>48</v>
      </c>
      <c r="C186">
        <v>649163</v>
      </c>
      <c r="D186">
        <v>2028670284</v>
      </c>
      <c r="E186" t="s">
        <v>643</v>
      </c>
      <c r="F186" t="s">
        <v>207</v>
      </c>
      <c r="G186" t="s">
        <v>51</v>
      </c>
      <c r="H186" t="s">
        <v>70</v>
      </c>
      <c r="I186" t="s">
        <v>53</v>
      </c>
      <c r="J186" t="s">
        <v>65</v>
      </c>
      <c r="K186">
        <v>677095</v>
      </c>
      <c r="L186" t="s">
        <v>415</v>
      </c>
      <c r="M186" t="s">
        <v>401</v>
      </c>
      <c r="N186" t="s">
        <v>57</v>
      </c>
      <c r="O186" s="1">
        <v>45786</v>
      </c>
      <c r="Q186" s="1">
        <v>45970</v>
      </c>
      <c r="R186" s="2">
        <v>52.69</v>
      </c>
      <c r="S186">
        <v>1</v>
      </c>
      <c r="T186" t="s">
        <v>58</v>
      </c>
      <c r="U186" t="s">
        <v>359</v>
      </c>
      <c r="V186" s="3">
        <v>0.2</v>
      </c>
      <c r="W186" s="2">
        <v>0</v>
      </c>
      <c r="X186">
        <v>0</v>
      </c>
      <c r="Y186" t="s">
        <v>60</v>
      </c>
      <c r="Z186" t="s">
        <v>360</v>
      </c>
      <c r="AA186">
        <v>0</v>
      </c>
      <c r="AB186" s="2">
        <v>0</v>
      </c>
      <c r="AC186" s="2">
        <v>0</v>
      </c>
      <c r="AD186" s="3">
        <v>0</v>
      </c>
      <c r="AE186" s="2">
        <v>0</v>
      </c>
      <c r="AF186" s="2">
        <v>0</v>
      </c>
      <c r="AG186" s="2">
        <v>0</v>
      </c>
      <c r="AH186" s="2">
        <v>0</v>
      </c>
      <c r="AI186" s="2">
        <v>0</v>
      </c>
      <c r="AJ186" s="2">
        <v>0</v>
      </c>
      <c r="AK186" s="2">
        <v>0</v>
      </c>
      <c r="AL186" s="2">
        <v>0</v>
      </c>
      <c r="AM186" s="2">
        <v>10.54</v>
      </c>
      <c r="AN186" s="2">
        <v>10.54</v>
      </c>
      <c r="AO186" s="2">
        <v>0</v>
      </c>
      <c r="AP186" s="2">
        <v>0</v>
      </c>
      <c r="AQ186" s="2">
        <v>0</v>
      </c>
    </row>
    <row r="187" spans="1:43" x14ac:dyDescent="0.25">
      <c r="A187" s="1">
        <v>45936</v>
      </c>
      <c r="B187" t="s">
        <v>48</v>
      </c>
      <c r="C187">
        <v>649163</v>
      </c>
      <c r="D187">
        <v>2029829959</v>
      </c>
      <c r="E187" t="s">
        <v>432</v>
      </c>
      <c r="F187" t="s">
        <v>433</v>
      </c>
      <c r="G187" t="s">
        <v>51</v>
      </c>
      <c r="H187" t="s">
        <v>70</v>
      </c>
      <c r="I187" t="s">
        <v>53</v>
      </c>
      <c r="J187" t="s">
        <v>65</v>
      </c>
      <c r="K187">
        <v>751867</v>
      </c>
      <c r="L187" t="s">
        <v>71</v>
      </c>
      <c r="M187" t="s">
        <v>72</v>
      </c>
      <c r="N187" t="s">
        <v>57</v>
      </c>
      <c r="O187" s="1">
        <v>45870</v>
      </c>
      <c r="Q187" s="1">
        <v>45962</v>
      </c>
      <c r="R187" s="2">
        <v>59.41</v>
      </c>
      <c r="S187">
        <v>1</v>
      </c>
      <c r="T187" t="s">
        <v>58</v>
      </c>
      <c r="U187" t="s">
        <v>359</v>
      </c>
      <c r="V187" s="3">
        <v>0.6</v>
      </c>
      <c r="W187" s="2">
        <v>0</v>
      </c>
      <c r="X187">
        <v>0</v>
      </c>
      <c r="Y187" t="s">
        <v>60</v>
      </c>
      <c r="Z187" t="s">
        <v>360</v>
      </c>
      <c r="AA187">
        <v>0</v>
      </c>
      <c r="AB187" s="2">
        <v>0</v>
      </c>
      <c r="AC187" s="2">
        <v>0</v>
      </c>
      <c r="AD187" s="3">
        <v>0</v>
      </c>
      <c r="AE187" s="2">
        <v>0</v>
      </c>
      <c r="AF187" s="2">
        <v>0</v>
      </c>
      <c r="AG187" s="2">
        <v>0</v>
      </c>
      <c r="AH187" s="2">
        <v>0</v>
      </c>
      <c r="AI187" s="2">
        <v>0</v>
      </c>
      <c r="AJ187" s="2">
        <v>0</v>
      </c>
      <c r="AK187" s="2">
        <v>0</v>
      </c>
      <c r="AL187" s="2">
        <v>35.65</v>
      </c>
      <c r="AM187" s="2">
        <v>0</v>
      </c>
      <c r="AN187" s="2">
        <v>0</v>
      </c>
      <c r="AO187" s="2">
        <v>0</v>
      </c>
      <c r="AP187" s="2">
        <v>0</v>
      </c>
      <c r="AQ187" s="2">
        <v>0</v>
      </c>
    </row>
    <row r="188" spans="1:43" x14ac:dyDescent="0.25">
      <c r="A188" s="1">
        <v>45936</v>
      </c>
      <c r="B188" t="s">
        <v>48</v>
      </c>
      <c r="C188">
        <v>649163</v>
      </c>
      <c r="D188">
        <v>2030380472</v>
      </c>
      <c r="E188" t="s">
        <v>443</v>
      </c>
      <c r="F188" t="s">
        <v>444</v>
      </c>
      <c r="G188" t="s">
        <v>51</v>
      </c>
      <c r="H188" t="s">
        <v>70</v>
      </c>
      <c r="I188" t="s">
        <v>53</v>
      </c>
      <c r="J188" t="s">
        <v>65</v>
      </c>
      <c r="K188">
        <v>650218</v>
      </c>
      <c r="L188" t="s">
        <v>237</v>
      </c>
      <c r="M188" t="s">
        <v>238</v>
      </c>
      <c r="N188" t="s">
        <v>57</v>
      </c>
      <c r="O188" s="1">
        <v>45877</v>
      </c>
      <c r="Q188" s="1">
        <v>45969</v>
      </c>
      <c r="R188" s="2">
        <v>56.69</v>
      </c>
      <c r="S188">
        <v>1</v>
      </c>
      <c r="T188" t="s">
        <v>58</v>
      </c>
      <c r="U188" t="s">
        <v>359</v>
      </c>
      <c r="V188" s="3">
        <v>0.6</v>
      </c>
      <c r="W188" s="2">
        <v>0</v>
      </c>
      <c r="X188">
        <v>0</v>
      </c>
      <c r="Y188" t="s">
        <v>60</v>
      </c>
      <c r="Z188" t="s">
        <v>360</v>
      </c>
      <c r="AA188">
        <v>0</v>
      </c>
      <c r="AB188" s="2">
        <v>0</v>
      </c>
      <c r="AC188" s="2">
        <v>0</v>
      </c>
      <c r="AD188" s="3">
        <v>0</v>
      </c>
      <c r="AE188" s="2">
        <v>0</v>
      </c>
      <c r="AF188" s="2">
        <v>0</v>
      </c>
      <c r="AG188" s="2">
        <v>0</v>
      </c>
      <c r="AH188" s="2">
        <v>0</v>
      </c>
      <c r="AI188" s="2">
        <v>0</v>
      </c>
      <c r="AJ188" s="2">
        <v>0</v>
      </c>
      <c r="AK188" s="2">
        <v>0</v>
      </c>
      <c r="AL188" s="2">
        <v>34.01</v>
      </c>
      <c r="AM188" s="2">
        <v>0</v>
      </c>
      <c r="AN188" s="2">
        <v>0</v>
      </c>
      <c r="AO188" s="2">
        <v>0</v>
      </c>
      <c r="AP188" s="2">
        <v>0</v>
      </c>
      <c r="AQ188" s="2">
        <v>0</v>
      </c>
    </row>
    <row r="189" spans="1:43" x14ac:dyDescent="0.25">
      <c r="A189" s="1">
        <v>45936</v>
      </c>
      <c r="B189" t="s">
        <v>48</v>
      </c>
      <c r="C189">
        <v>649163</v>
      </c>
      <c r="D189">
        <v>2030909014</v>
      </c>
      <c r="E189" t="s">
        <v>368</v>
      </c>
      <c r="F189" t="s">
        <v>644</v>
      </c>
      <c r="G189" t="s">
        <v>51</v>
      </c>
      <c r="H189" t="s">
        <v>70</v>
      </c>
      <c r="I189" t="s">
        <v>53</v>
      </c>
      <c r="J189" t="s">
        <v>65</v>
      </c>
      <c r="K189">
        <v>650794</v>
      </c>
      <c r="L189" t="s">
        <v>172</v>
      </c>
      <c r="M189" t="s">
        <v>624</v>
      </c>
      <c r="N189" t="s">
        <v>57</v>
      </c>
      <c r="O189" s="1">
        <v>45906</v>
      </c>
      <c r="Q189" s="1">
        <v>45967</v>
      </c>
      <c r="R189" s="2">
        <v>52.69</v>
      </c>
      <c r="S189">
        <v>1</v>
      </c>
      <c r="T189" t="s">
        <v>58</v>
      </c>
      <c r="U189" t="s">
        <v>359</v>
      </c>
      <c r="V189" s="3">
        <v>0.6</v>
      </c>
      <c r="W189" s="2">
        <v>0</v>
      </c>
      <c r="X189">
        <v>0</v>
      </c>
      <c r="Y189" t="s">
        <v>60</v>
      </c>
      <c r="Z189" t="s">
        <v>360</v>
      </c>
      <c r="AA189">
        <v>0</v>
      </c>
      <c r="AB189" s="2">
        <v>0</v>
      </c>
      <c r="AC189" s="2">
        <v>0</v>
      </c>
      <c r="AD189" s="3">
        <v>0</v>
      </c>
      <c r="AE189" s="2">
        <v>0</v>
      </c>
      <c r="AF189" s="2">
        <v>0</v>
      </c>
      <c r="AG189" s="2">
        <v>0</v>
      </c>
      <c r="AH189" s="2">
        <v>0</v>
      </c>
      <c r="AI189" s="2">
        <v>0</v>
      </c>
      <c r="AJ189" s="2">
        <v>0</v>
      </c>
      <c r="AK189" s="2">
        <v>0</v>
      </c>
      <c r="AL189" s="2">
        <v>31.61</v>
      </c>
      <c r="AM189" s="2">
        <v>0</v>
      </c>
      <c r="AN189" s="2">
        <v>0</v>
      </c>
      <c r="AO189" s="2">
        <v>0</v>
      </c>
      <c r="AP189" s="2">
        <v>0</v>
      </c>
      <c r="AQ189" s="2">
        <v>0</v>
      </c>
    </row>
    <row r="190" spans="1:43" x14ac:dyDescent="0.25">
      <c r="A190" s="1">
        <v>45936</v>
      </c>
      <c r="B190" t="s">
        <v>48</v>
      </c>
      <c r="C190">
        <v>649163</v>
      </c>
      <c r="D190">
        <v>2030937253</v>
      </c>
      <c r="E190" t="s">
        <v>450</v>
      </c>
      <c r="F190" t="s">
        <v>412</v>
      </c>
      <c r="G190" t="s">
        <v>51</v>
      </c>
      <c r="H190" t="s">
        <v>70</v>
      </c>
      <c r="I190" t="s">
        <v>53</v>
      </c>
      <c r="J190" t="s">
        <v>54</v>
      </c>
      <c r="K190">
        <v>751867</v>
      </c>
      <c r="L190" t="s">
        <v>71</v>
      </c>
      <c r="M190" t="s">
        <v>72</v>
      </c>
      <c r="N190" t="s">
        <v>57</v>
      </c>
      <c r="O190" s="1">
        <v>45909</v>
      </c>
      <c r="Q190" s="1">
        <v>45970</v>
      </c>
      <c r="R190" s="2">
        <v>41.81</v>
      </c>
      <c r="S190">
        <v>1</v>
      </c>
      <c r="T190" t="s">
        <v>58</v>
      </c>
      <c r="U190" t="s">
        <v>59</v>
      </c>
      <c r="V190" s="3">
        <v>0.6</v>
      </c>
      <c r="W190" s="2">
        <v>0</v>
      </c>
      <c r="X190">
        <v>0</v>
      </c>
      <c r="Y190" t="s">
        <v>60</v>
      </c>
      <c r="Z190" t="s">
        <v>360</v>
      </c>
      <c r="AA190">
        <v>0</v>
      </c>
      <c r="AB190" s="2">
        <v>0</v>
      </c>
      <c r="AC190" s="2">
        <v>0</v>
      </c>
      <c r="AD190" s="3">
        <v>0</v>
      </c>
      <c r="AE190" s="2">
        <v>0</v>
      </c>
      <c r="AF190" s="2">
        <v>0</v>
      </c>
      <c r="AG190" s="2">
        <v>0</v>
      </c>
      <c r="AH190" s="2">
        <v>0</v>
      </c>
      <c r="AI190" s="2">
        <v>0</v>
      </c>
      <c r="AJ190" s="2">
        <v>0</v>
      </c>
      <c r="AK190" s="2">
        <v>0</v>
      </c>
      <c r="AL190" s="2">
        <v>25.09</v>
      </c>
      <c r="AM190" s="2">
        <v>0</v>
      </c>
      <c r="AN190" s="2">
        <v>0</v>
      </c>
      <c r="AO190" s="2">
        <v>0</v>
      </c>
      <c r="AP190" s="2">
        <v>0</v>
      </c>
      <c r="AQ190" s="2">
        <v>0</v>
      </c>
    </row>
    <row r="191" spans="1:43" x14ac:dyDescent="0.25">
      <c r="A191" s="1">
        <v>45936</v>
      </c>
      <c r="B191" t="s">
        <v>48</v>
      </c>
      <c r="C191">
        <v>649163</v>
      </c>
      <c r="D191">
        <v>2030941928</v>
      </c>
      <c r="E191" t="s">
        <v>451</v>
      </c>
      <c r="F191" t="s">
        <v>452</v>
      </c>
      <c r="G191" t="s">
        <v>51</v>
      </c>
      <c r="H191" t="s">
        <v>129</v>
      </c>
      <c r="I191" t="s">
        <v>53</v>
      </c>
      <c r="J191" t="s">
        <v>65</v>
      </c>
      <c r="K191">
        <v>751867</v>
      </c>
      <c r="L191" t="s">
        <v>71</v>
      </c>
      <c r="M191" t="s">
        <v>72</v>
      </c>
      <c r="N191" t="s">
        <v>57</v>
      </c>
      <c r="O191" s="1">
        <v>45909</v>
      </c>
      <c r="Q191" s="1">
        <v>45970</v>
      </c>
      <c r="R191" s="2">
        <v>56.69</v>
      </c>
      <c r="S191">
        <v>1</v>
      </c>
      <c r="T191" t="s">
        <v>58</v>
      </c>
      <c r="U191" t="s">
        <v>59</v>
      </c>
      <c r="V191" s="3">
        <v>0.6</v>
      </c>
      <c r="W191" s="2">
        <v>0</v>
      </c>
      <c r="X191">
        <v>0</v>
      </c>
      <c r="Y191" t="s">
        <v>60</v>
      </c>
      <c r="Z191" t="s">
        <v>360</v>
      </c>
      <c r="AA191">
        <v>0</v>
      </c>
      <c r="AB191" s="2">
        <v>0</v>
      </c>
      <c r="AC191" s="2">
        <v>0</v>
      </c>
      <c r="AD191" s="3">
        <v>0</v>
      </c>
      <c r="AE191" s="2">
        <v>0</v>
      </c>
      <c r="AF191" s="2">
        <v>0</v>
      </c>
      <c r="AG191" s="2">
        <v>0</v>
      </c>
      <c r="AH191" s="2">
        <v>0</v>
      </c>
      <c r="AI191" s="2">
        <v>0</v>
      </c>
      <c r="AJ191" s="2">
        <v>0</v>
      </c>
      <c r="AK191" s="2">
        <v>0</v>
      </c>
      <c r="AL191" s="2">
        <v>34.01</v>
      </c>
      <c r="AM191" s="2">
        <v>0</v>
      </c>
      <c r="AN191" s="2">
        <v>0</v>
      </c>
      <c r="AO191" s="2">
        <v>0</v>
      </c>
      <c r="AP191" s="2">
        <v>0</v>
      </c>
      <c r="AQ191" s="2">
        <v>0</v>
      </c>
    </row>
    <row r="192" spans="1:43" x14ac:dyDescent="0.25">
      <c r="A192" s="1">
        <v>45936</v>
      </c>
      <c r="B192" t="s">
        <v>48</v>
      </c>
      <c r="C192">
        <v>649163</v>
      </c>
      <c r="D192">
        <v>2017242799</v>
      </c>
      <c r="E192" t="s">
        <v>542</v>
      </c>
      <c r="F192" t="s">
        <v>543</v>
      </c>
      <c r="G192" t="s">
        <v>51</v>
      </c>
      <c r="H192" t="s">
        <v>88</v>
      </c>
      <c r="I192" t="s">
        <v>89</v>
      </c>
      <c r="J192" t="s">
        <v>90</v>
      </c>
      <c r="K192">
        <v>652037</v>
      </c>
      <c r="L192" t="s">
        <v>172</v>
      </c>
      <c r="M192" t="s">
        <v>173</v>
      </c>
      <c r="N192" t="s">
        <v>57</v>
      </c>
      <c r="O192" s="1">
        <v>44930</v>
      </c>
      <c r="Q192" s="1">
        <v>45965</v>
      </c>
      <c r="R192" s="2">
        <v>53.56</v>
      </c>
      <c r="S192">
        <v>1</v>
      </c>
      <c r="T192" t="s">
        <v>58</v>
      </c>
      <c r="U192" t="s">
        <v>359</v>
      </c>
      <c r="V192" s="3">
        <v>0.1</v>
      </c>
      <c r="W192" s="2">
        <v>0</v>
      </c>
      <c r="X192">
        <v>0</v>
      </c>
      <c r="Y192" t="s">
        <v>214</v>
      </c>
      <c r="Z192" t="s">
        <v>360</v>
      </c>
      <c r="AA192">
        <v>0</v>
      </c>
      <c r="AB192" s="2">
        <v>0</v>
      </c>
      <c r="AC192" s="2">
        <v>0</v>
      </c>
      <c r="AD192" s="3">
        <v>0</v>
      </c>
      <c r="AE192" s="2">
        <v>0</v>
      </c>
      <c r="AF192" s="2">
        <v>0</v>
      </c>
      <c r="AG192" s="2">
        <v>0</v>
      </c>
      <c r="AH192" s="2">
        <v>0</v>
      </c>
      <c r="AI192" s="2">
        <v>0</v>
      </c>
      <c r="AJ192" s="2">
        <v>0</v>
      </c>
      <c r="AK192" s="2">
        <v>0</v>
      </c>
      <c r="AL192" s="2">
        <v>0</v>
      </c>
      <c r="AM192" s="2">
        <v>5.36</v>
      </c>
      <c r="AN192" s="2">
        <v>5.36</v>
      </c>
      <c r="AO192" s="2">
        <v>0</v>
      </c>
      <c r="AP192" s="2">
        <v>0</v>
      </c>
      <c r="AQ192" s="2">
        <v>0</v>
      </c>
    </row>
    <row r="193" spans="1:43" x14ac:dyDescent="0.25">
      <c r="A193" s="1">
        <v>45936</v>
      </c>
      <c r="B193" t="s">
        <v>48</v>
      </c>
      <c r="C193">
        <v>649163</v>
      </c>
      <c r="D193">
        <v>2018167734</v>
      </c>
      <c r="E193" t="s">
        <v>645</v>
      </c>
      <c r="F193" t="s">
        <v>179</v>
      </c>
      <c r="G193" t="s">
        <v>51</v>
      </c>
      <c r="H193" t="s">
        <v>646</v>
      </c>
      <c r="I193" t="s">
        <v>89</v>
      </c>
      <c r="J193" t="s">
        <v>111</v>
      </c>
      <c r="K193">
        <v>651818</v>
      </c>
      <c r="L193" t="s">
        <v>112</v>
      </c>
      <c r="M193" t="s">
        <v>104</v>
      </c>
      <c r="N193" t="s">
        <v>57</v>
      </c>
      <c r="O193" s="1">
        <v>45024</v>
      </c>
      <c r="Q193" s="1">
        <v>45969</v>
      </c>
      <c r="R193" s="2">
        <v>64.05</v>
      </c>
      <c r="S193">
        <v>1</v>
      </c>
      <c r="T193" t="s">
        <v>58</v>
      </c>
      <c r="U193" t="s">
        <v>359</v>
      </c>
      <c r="V193" s="3">
        <v>0.1</v>
      </c>
      <c r="W193" s="2">
        <v>0</v>
      </c>
      <c r="X193">
        <v>0</v>
      </c>
      <c r="Y193" t="s">
        <v>214</v>
      </c>
      <c r="Z193" t="s">
        <v>360</v>
      </c>
      <c r="AA193">
        <v>0</v>
      </c>
      <c r="AB193" s="2">
        <v>0</v>
      </c>
      <c r="AC193" s="2">
        <v>0</v>
      </c>
      <c r="AD193" s="3">
        <v>0</v>
      </c>
      <c r="AE193" s="2">
        <v>0</v>
      </c>
      <c r="AF193" s="2">
        <v>0</v>
      </c>
      <c r="AG193" s="2">
        <v>0</v>
      </c>
      <c r="AH193" s="2">
        <v>0</v>
      </c>
      <c r="AI193" s="2">
        <v>0</v>
      </c>
      <c r="AJ193" s="2">
        <v>0</v>
      </c>
      <c r="AK193" s="2">
        <v>0</v>
      </c>
      <c r="AL193" s="2">
        <v>0</v>
      </c>
      <c r="AM193" s="2">
        <v>6.4</v>
      </c>
      <c r="AN193" s="2">
        <v>6.4</v>
      </c>
      <c r="AO193" s="2">
        <v>0</v>
      </c>
      <c r="AP193" s="2">
        <v>0</v>
      </c>
      <c r="AQ193" s="2">
        <v>0</v>
      </c>
    </row>
    <row r="194" spans="1:43" x14ac:dyDescent="0.25">
      <c r="A194" s="1">
        <v>45936</v>
      </c>
      <c r="B194" t="s">
        <v>48</v>
      </c>
      <c r="C194">
        <v>649163</v>
      </c>
      <c r="D194">
        <v>2018365034</v>
      </c>
      <c r="E194" t="s">
        <v>647</v>
      </c>
      <c r="F194" t="s">
        <v>648</v>
      </c>
      <c r="G194" t="s">
        <v>51</v>
      </c>
      <c r="H194" t="s">
        <v>101</v>
      </c>
      <c r="I194" t="s">
        <v>89</v>
      </c>
      <c r="J194" t="s">
        <v>111</v>
      </c>
      <c r="K194">
        <v>651818</v>
      </c>
      <c r="L194" t="s">
        <v>112</v>
      </c>
      <c r="M194" t="s">
        <v>104</v>
      </c>
      <c r="N194" t="s">
        <v>57</v>
      </c>
      <c r="O194" s="1">
        <v>45054</v>
      </c>
      <c r="Q194" s="1">
        <v>45969</v>
      </c>
      <c r="R194" s="2">
        <v>171.06</v>
      </c>
      <c r="S194">
        <v>1</v>
      </c>
      <c r="T194" t="s">
        <v>58</v>
      </c>
      <c r="U194" t="s">
        <v>359</v>
      </c>
      <c r="V194" s="3">
        <v>0.1</v>
      </c>
      <c r="W194" s="2">
        <v>0</v>
      </c>
      <c r="X194">
        <v>0</v>
      </c>
      <c r="Y194" t="s">
        <v>214</v>
      </c>
      <c r="Z194" t="s">
        <v>360</v>
      </c>
      <c r="AA194">
        <v>0</v>
      </c>
      <c r="AB194" s="2">
        <v>0</v>
      </c>
      <c r="AC194" s="2">
        <v>0</v>
      </c>
      <c r="AD194" s="3">
        <v>0</v>
      </c>
      <c r="AE194" s="2">
        <v>0</v>
      </c>
      <c r="AF194" s="2">
        <v>0</v>
      </c>
      <c r="AG194" s="2">
        <v>0</v>
      </c>
      <c r="AH194" s="2">
        <v>0</v>
      </c>
      <c r="AI194" s="2">
        <v>0</v>
      </c>
      <c r="AJ194" s="2">
        <v>0</v>
      </c>
      <c r="AK194" s="2">
        <v>0</v>
      </c>
      <c r="AL194" s="2">
        <v>0</v>
      </c>
      <c r="AM194" s="2">
        <v>17.11</v>
      </c>
      <c r="AN194" s="2">
        <v>17.11</v>
      </c>
      <c r="AO194" s="2">
        <v>0</v>
      </c>
      <c r="AP194" s="2">
        <v>0</v>
      </c>
      <c r="AQ194" s="2">
        <v>0</v>
      </c>
    </row>
    <row r="195" spans="1:43" x14ac:dyDescent="0.25">
      <c r="A195" s="1">
        <v>45936</v>
      </c>
      <c r="B195" t="s">
        <v>48</v>
      </c>
      <c r="C195">
        <v>649163</v>
      </c>
      <c r="D195">
        <v>2018382555</v>
      </c>
      <c r="E195" t="s">
        <v>649</v>
      </c>
      <c r="F195" t="s">
        <v>161</v>
      </c>
      <c r="G195" t="s">
        <v>51</v>
      </c>
      <c r="H195" t="s">
        <v>376</v>
      </c>
      <c r="I195" t="s">
        <v>89</v>
      </c>
      <c r="J195" t="s">
        <v>96</v>
      </c>
      <c r="K195">
        <v>651818</v>
      </c>
      <c r="L195" t="s">
        <v>112</v>
      </c>
      <c r="M195" t="s">
        <v>104</v>
      </c>
      <c r="N195" t="s">
        <v>57</v>
      </c>
      <c r="O195" s="1">
        <v>45052</v>
      </c>
      <c r="Q195" s="1">
        <v>45967</v>
      </c>
      <c r="R195" s="2">
        <v>188.94</v>
      </c>
      <c r="S195">
        <v>1</v>
      </c>
      <c r="T195" t="s">
        <v>58</v>
      </c>
      <c r="U195" t="s">
        <v>359</v>
      </c>
      <c r="V195" s="3">
        <v>0.1</v>
      </c>
      <c r="W195" s="2">
        <v>0</v>
      </c>
      <c r="X195">
        <v>0</v>
      </c>
      <c r="Y195" t="s">
        <v>214</v>
      </c>
      <c r="Z195" t="s">
        <v>360</v>
      </c>
      <c r="AA195">
        <v>0</v>
      </c>
      <c r="AB195" s="2">
        <v>0</v>
      </c>
      <c r="AC195" s="2">
        <v>0</v>
      </c>
      <c r="AD195" s="3">
        <v>0</v>
      </c>
      <c r="AE195" s="2">
        <v>0</v>
      </c>
      <c r="AF195" s="2">
        <v>0</v>
      </c>
      <c r="AG195" s="2">
        <v>0</v>
      </c>
      <c r="AH195" s="2">
        <v>0</v>
      </c>
      <c r="AI195" s="2">
        <v>0</v>
      </c>
      <c r="AJ195" s="2">
        <v>0</v>
      </c>
      <c r="AK195" s="2">
        <v>0</v>
      </c>
      <c r="AL195" s="2">
        <v>0</v>
      </c>
      <c r="AM195" s="2">
        <v>18.89</v>
      </c>
      <c r="AN195" s="2">
        <v>18.89</v>
      </c>
      <c r="AO195" s="2">
        <v>0</v>
      </c>
      <c r="AP195" s="2">
        <v>0</v>
      </c>
      <c r="AQ195" s="2">
        <v>0</v>
      </c>
    </row>
    <row r="196" spans="1:43" x14ac:dyDescent="0.25">
      <c r="A196" s="1">
        <v>45936</v>
      </c>
      <c r="B196" t="s">
        <v>48</v>
      </c>
      <c r="C196">
        <v>649163</v>
      </c>
      <c r="D196">
        <v>2018462891</v>
      </c>
      <c r="E196" t="s">
        <v>650</v>
      </c>
      <c r="F196" t="s">
        <v>651</v>
      </c>
      <c r="G196" t="s">
        <v>51</v>
      </c>
      <c r="H196" t="s">
        <v>52</v>
      </c>
      <c r="I196" t="s">
        <v>89</v>
      </c>
      <c r="J196" t="s">
        <v>96</v>
      </c>
      <c r="K196">
        <v>651818</v>
      </c>
      <c r="L196" t="s">
        <v>112</v>
      </c>
      <c r="M196" t="s">
        <v>104</v>
      </c>
      <c r="N196" t="s">
        <v>57</v>
      </c>
      <c r="O196" s="1">
        <v>45052</v>
      </c>
      <c r="Q196" s="1">
        <v>45967</v>
      </c>
      <c r="R196" s="2">
        <v>213.41</v>
      </c>
      <c r="S196">
        <v>1</v>
      </c>
      <c r="T196" t="s">
        <v>58</v>
      </c>
      <c r="U196" t="s">
        <v>359</v>
      </c>
      <c r="V196" s="3">
        <v>0.1</v>
      </c>
      <c r="W196" s="2">
        <v>0</v>
      </c>
      <c r="X196">
        <v>0</v>
      </c>
      <c r="Y196" t="s">
        <v>214</v>
      </c>
      <c r="Z196" t="s">
        <v>360</v>
      </c>
      <c r="AA196">
        <v>0</v>
      </c>
      <c r="AB196" s="2">
        <v>0</v>
      </c>
      <c r="AC196" s="2">
        <v>0</v>
      </c>
      <c r="AD196" s="3">
        <v>0</v>
      </c>
      <c r="AE196" s="2">
        <v>0</v>
      </c>
      <c r="AF196" s="2">
        <v>0</v>
      </c>
      <c r="AG196" s="2">
        <v>0</v>
      </c>
      <c r="AH196" s="2">
        <v>0</v>
      </c>
      <c r="AI196" s="2">
        <v>0</v>
      </c>
      <c r="AJ196" s="2">
        <v>0</v>
      </c>
      <c r="AK196" s="2">
        <v>0</v>
      </c>
      <c r="AL196" s="2">
        <v>0</v>
      </c>
      <c r="AM196" s="2">
        <v>21.34</v>
      </c>
      <c r="AN196" s="2">
        <v>21.34</v>
      </c>
      <c r="AO196" s="2">
        <v>0</v>
      </c>
      <c r="AP196" s="2">
        <v>0</v>
      </c>
      <c r="AQ196" s="2">
        <v>0</v>
      </c>
    </row>
    <row r="197" spans="1:43" x14ac:dyDescent="0.25">
      <c r="A197" s="1">
        <v>45936</v>
      </c>
      <c r="B197" t="s">
        <v>48</v>
      </c>
      <c r="C197">
        <v>649163</v>
      </c>
      <c r="D197">
        <v>2018514896</v>
      </c>
      <c r="E197" t="s">
        <v>652</v>
      </c>
      <c r="F197" t="s">
        <v>653</v>
      </c>
      <c r="G197" t="s">
        <v>51</v>
      </c>
      <c r="H197" t="s">
        <v>323</v>
      </c>
      <c r="I197" t="s">
        <v>89</v>
      </c>
      <c r="J197" t="s">
        <v>90</v>
      </c>
      <c r="K197">
        <v>651818</v>
      </c>
      <c r="L197" t="s">
        <v>112</v>
      </c>
      <c r="M197" t="s">
        <v>104</v>
      </c>
      <c r="N197" t="s">
        <v>57</v>
      </c>
      <c r="O197" s="1">
        <v>45052</v>
      </c>
      <c r="Q197" s="1">
        <v>45967</v>
      </c>
      <c r="R197" s="2">
        <v>23.88</v>
      </c>
      <c r="S197">
        <v>1</v>
      </c>
      <c r="T197" t="s">
        <v>58</v>
      </c>
      <c r="U197" t="s">
        <v>359</v>
      </c>
      <c r="V197" s="3">
        <v>0.1</v>
      </c>
      <c r="W197" s="2">
        <v>0</v>
      </c>
      <c r="X197">
        <v>0</v>
      </c>
      <c r="Y197" t="s">
        <v>214</v>
      </c>
      <c r="Z197" t="s">
        <v>360</v>
      </c>
      <c r="AA197">
        <v>0</v>
      </c>
      <c r="AB197" s="2">
        <v>0</v>
      </c>
      <c r="AC197" s="2">
        <v>0</v>
      </c>
      <c r="AD197" s="3">
        <v>0</v>
      </c>
      <c r="AE197" s="2">
        <v>0</v>
      </c>
      <c r="AF197" s="2">
        <v>0</v>
      </c>
      <c r="AG197" s="2">
        <v>0</v>
      </c>
      <c r="AH197" s="2">
        <v>0</v>
      </c>
      <c r="AI197" s="2">
        <v>0</v>
      </c>
      <c r="AJ197" s="2">
        <v>0</v>
      </c>
      <c r="AK197" s="2">
        <v>0</v>
      </c>
      <c r="AL197" s="2">
        <v>0</v>
      </c>
      <c r="AM197" s="2">
        <v>2.39</v>
      </c>
      <c r="AN197" s="2">
        <v>2.39</v>
      </c>
      <c r="AO197" s="2">
        <v>0</v>
      </c>
      <c r="AP197" s="2">
        <v>0</v>
      </c>
      <c r="AQ197" s="2">
        <v>0</v>
      </c>
    </row>
    <row r="198" spans="1:43" x14ac:dyDescent="0.25">
      <c r="A198" s="1">
        <v>45936</v>
      </c>
      <c r="B198" t="s">
        <v>48</v>
      </c>
      <c r="C198">
        <v>649163</v>
      </c>
      <c r="D198">
        <v>2018855164</v>
      </c>
      <c r="E198" t="s">
        <v>582</v>
      </c>
      <c r="F198" t="s">
        <v>441</v>
      </c>
      <c r="G198" t="s">
        <v>51</v>
      </c>
      <c r="I198" t="s">
        <v>89</v>
      </c>
      <c r="J198" t="s">
        <v>96</v>
      </c>
      <c r="K198">
        <v>673059</v>
      </c>
      <c r="L198" t="s">
        <v>80</v>
      </c>
      <c r="M198" t="s">
        <v>81</v>
      </c>
      <c r="N198" t="s">
        <v>57</v>
      </c>
      <c r="O198" s="1">
        <v>45078</v>
      </c>
      <c r="Q198" s="1">
        <v>45962</v>
      </c>
      <c r="R198" s="2">
        <v>157.61000000000001</v>
      </c>
      <c r="S198">
        <v>1</v>
      </c>
      <c r="T198" t="s">
        <v>58</v>
      </c>
      <c r="U198" t="s">
        <v>359</v>
      </c>
      <c r="V198" s="3">
        <v>0.1</v>
      </c>
      <c r="W198" s="2">
        <v>0</v>
      </c>
      <c r="X198">
        <v>0</v>
      </c>
      <c r="Y198" t="s">
        <v>214</v>
      </c>
      <c r="Z198" t="s">
        <v>360</v>
      </c>
      <c r="AA198">
        <v>0</v>
      </c>
      <c r="AB198" s="2">
        <v>0</v>
      </c>
      <c r="AC198" s="2">
        <v>0</v>
      </c>
      <c r="AD198" s="3">
        <v>0</v>
      </c>
      <c r="AE198" s="2">
        <v>0</v>
      </c>
      <c r="AF198" s="2">
        <v>0</v>
      </c>
      <c r="AG198" s="2">
        <v>0</v>
      </c>
      <c r="AH198" s="2">
        <v>0</v>
      </c>
      <c r="AI198" s="2">
        <v>0</v>
      </c>
      <c r="AJ198" s="2">
        <v>0</v>
      </c>
      <c r="AK198" s="2">
        <v>0</v>
      </c>
      <c r="AL198" s="2">
        <v>0</v>
      </c>
      <c r="AM198" s="2">
        <v>15.76</v>
      </c>
      <c r="AN198" s="2">
        <v>15.76</v>
      </c>
      <c r="AO198" s="2">
        <v>0</v>
      </c>
      <c r="AP198" s="2">
        <v>0</v>
      </c>
      <c r="AQ198" s="2">
        <v>0</v>
      </c>
    </row>
    <row r="199" spans="1:43" x14ac:dyDescent="0.25">
      <c r="A199" s="1">
        <v>45936</v>
      </c>
      <c r="B199" t="s">
        <v>48</v>
      </c>
      <c r="C199">
        <v>649163</v>
      </c>
      <c r="D199">
        <v>2018920321</v>
      </c>
      <c r="E199" t="s">
        <v>654</v>
      </c>
      <c r="F199" t="s">
        <v>655</v>
      </c>
      <c r="G199" t="s">
        <v>51</v>
      </c>
      <c r="H199" t="s">
        <v>88</v>
      </c>
      <c r="I199" t="s">
        <v>89</v>
      </c>
      <c r="J199" t="s">
        <v>90</v>
      </c>
      <c r="K199">
        <v>651818</v>
      </c>
      <c r="L199" t="s">
        <v>112</v>
      </c>
      <c r="M199" t="s">
        <v>104</v>
      </c>
      <c r="N199" t="s">
        <v>57</v>
      </c>
      <c r="O199" s="1">
        <v>45112</v>
      </c>
      <c r="Q199" s="1">
        <v>45966</v>
      </c>
      <c r="R199" s="2">
        <v>65.41</v>
      </c>
      <c r="S199">
        <v>1</v>
      </c>
      <c r="T199" t="s">
        <v>58</v>
      </c>
      <c r="U199" t="s">
        <v>359</v>
      </c>
      <c r="V199" s="3">
        <v>0.1</v>
      </c>
      <c r="W199" s="2">
        <v>0</v>
      </c>
      <c r="X199">
        <v>0</v>
      </c>
      <c r="Y199" t="s">
        <v>214</v>
      </c>
      <c r="Z199" t="s">
        <v>360</v>
      </c>
      <c r="AA199">
        <v>0</v>
      </c>
      <c r="AB199" s="2">
        <v>0</v>
      </c>
      <c r="AC199" s="2">
        <v>0</v>
      </c>
      <c r="AD199" s="3">
        <v>0</v>
      </c>
      <c r="AE199" s="2">
        <v>0</v>
      </c>
      <c r="AF199" s="2">
        <v>0</v>
      </c>
      <c r="AG199" s="2">
        <v>0</v>
      </c>
      <c r="AH199" s="2">
        <v>0</v>
      </c>
      <c r="AI199" s="2">
        <v>0</v>
      </c>
      <c r="AJ199" s="2">
        <v>0</v>
      </c>
      <c r="AK199" s="2">
        <v>0</v>
      </c>
      <c r="AL199" s="2">
        <v>0</v>
      </c>
      <c r="AM199" s="2">
        <v>6.54</v>
      </c>
      <c r="AN199" s="2">
        <v>6.54</v>
      </c>
      <c r="AO199" s="2">
        <v>0</v>
      </c>
      <c r="AP199" s="2">
        <v>0</v>
      </c>
      <c r="AQ199" s="2">
        <v>0</v>
      </c>
    </row>
    <row r="200" spans="1:43" x14ac:dyDescent="0.25">
      <c r="A200" s="1">
        <v>45936</v>
      </c>
      <c r="B200" t="s">
        <v>48</v>
      </c>
      <c r="C200">
        <v>649163</v>
      </c>
      <c r="D200">
        <v>2019484024</v>
      </c>
      <c r="E200" t="s">
        <v>656</v>
      </c>
      <c r="F200" t="s">
        <v>429</v>
      </c>
      <c r="G200" t="s">
        <v>51</v>
      </c>
      <c r="H200" t="s">
        <v>129</v>
      </c>
      <c r="I200" t="s">
        <v>89</v>
      </c>
      <c r="J200" t="s">
        <v>96</v>
      </c>
      <c r="K200">
        <v>651818</v>
      </c>
      <c r="L200" t="s">
        <v>112</v>
      </c>
      <c r="M200" t="s">
        <v>104</v>
      </c>
      <c r="N200" t="s">
        <v>57</v>
      </c>
      <c r="O200" s="1">
        <v>45144</v>
      </c>
      <c r="Q200" s="1">
        <v>45967</v>
      </c>
      <c r="R200" s="2">
        <v>141.33000000000001</v>
      </c>
      <c r="S200">
        <v>1</v>
      </c>
      <c r="T200" t="s">
        <v>58</v>
      </c>
      <c r="U200" t="s">
        <v>359</v>
      </c>
      <c r="V200" s="3">
        <v>0.1</v>
      </c>
      <c r="W200" s="2">
        <v>0</v>
      </c>
      <c r="X200">
        <v>0</v>
      </c>
      <c r="Y200" t="s">
        <v>214</v>
      </c>
      <c r="Z200" t="s">
        <v>360</v>
      </c>
      <c r="AA200">
        <v>0</v>
      </c>
      <c r="AB200" s="2">
        <v>0</v>
      </c>
      <c r="AC200" s="2">
        <v>0</v>
      </c>
      <c r="AD200" s="3">
        <v>0</v>
      </c>
      <c r="AE200" s="2">
        <v>0</v>
      </c>
      <c r="AF200" s="2">
        <v>0</v>
      </c>
      <c r="AG200" s="2">
        <v>0</v>
      </c>
      <c r="AH200" s="2">
        <v>0</v>
      </c>
      <c r="AI200" s="2">
        <v>0</v>
      </c>
      <c r="AJ200" s="2">
        <v>0</v>
      </c>
      <c r="AK200" s="2">
        <v>0</v>
      </c>
      <c r="AL200" s="2">
        <v>0</v>
      </c>
      <c r="AM200" s="2">
        <v>14.13</v>
      </c>
      <c r="AN200" s="2">
        <v>14.13</v>
      </c>
      <c r="AO200" s="2">
        <v>0</v>
      </c>
      <c r="AP200" s="2">
        <v>0</v>
      </c>
      <c r="AQ200" s="2">
        <v>0</v>
      </c>
    </row>
    <row r="201" spans="1:43" x14ac:dyDescent="0.25">
      <c r="A201" s="1">
        <v>45936</v>
      </c>
      <c r="B201" t="s">
        <v>48</v>
      </c>
      <c r="C201">
        <v>649163</v>
      </c>
      <c r="D201">
        <v>2020855629</v>
      </c>
      <c r="E201" t="s">
        <v>657</v>
      </c>
      <c r="F201" t="s">
        <v>658</v>
      </c>
      <c r="G201" t="s">
        <v>51</v>
      </c>
      <c r="H201" t="s">
        <v>52</v>
      </c>
      <c r="I201" t="s">
        <v>89</v>
      </c>
      <c r="J201" t="s">
        <v>111</v>
      </c>
      <c r="K201">
        <v>651818</v>
      </c>
      <c r="L201" t="s">
        <v>112</v>
      </c>
      <c r="M201" t="s">
        <v>104</v>
      </c>
      <c r="N201" t="s">
        <v>57</v>
      </c>
      <c r="O201" s="1">
        <v>45265</v>
      </c>
      <c r="Q201" s="1">
        <v>45966</v>
      </c>
      <c r="R201" s="2">
        <v>64.599999999999994</v>
      </c>
      <c r="S201">
        <v>1</v>
      </c>
      <c r="T201" t="s">
        <v>58</v>
      </c>
      <c r="U201" t="s">
        <v>359</v>
      </c>
      <c r="V201" s="3">
        <v>0.1</v>
      </c>
      <c r="W201" s="2">
        <v>0</v>
      </c>
      <c r="X201">
        <v>0</v>
      </c>
      <c r="Y201" t="s">
        <v>214</v>
      </c>
      <c r="Z201" t="s">
        <v>360</v>
      </c>
      <c r="AA201">
        <v>0</v>
      </c>
      <c r="AB201" s="2">
        <v>0</v>
      </c>
      <c r="AC201" s="2">
        <v>0</v>
      </c>
      <c r="AD201" s="3">
        <v>0</v>
      </c>
      <c r="AE201" s="2">
        <v>0</v>
      </c>
      <c r="AF201" s="2">
        <v>0</v>
      </c>
      <c r="AG201" s="2">
        <v>0</v>
      </c>
      <c r="AH201" s="2">
        <v>0</v>
      </c>
      <c r="AI201" s="2">
        <v>0</v>
      </c>
      <c r="AJ201" s="2">
        <v>0</v>
      </c>
      <c r="AK201" s="2">
        <v>0</v>
      </c>
      <c r="AL201" s="2">
        <v>0</v>
      </c>
      <c r="AM201" s="2">
        <v>6.46</v>
      </c>
      <c r="AN201" s="2">
        <v>6.46</v>
      </c>
      <c r="AO201" s="2">
        <v>0</v>
      </c>
      <c r="AP201" s="2">
        <v>0</v>
      </c>
      <c r="AQ201" s="2">
        <v>0</v>
      </c>
    </row>
    <row r="202" spans="1:43" x14ac:dyDescent="0.25">
      <c r="A202" s="1">
        <v>45936</v>
      </c>
      <c r="B202" t="s">
        <v>48</v>
      </c>
      <c r="C202">
        <v>649163</v>
      </c>
      <c r="D202">
        <v>2021092886</v>
      </c>
      <c r="E202" t="s">
        <v>659</v>
      </c>
      <c r="F202" t="s">
        <v>660</v>
      </c>
      <c r="G202" t="s">
        <v>51</v>
      </c>
      <c r="H202" t="s">
        <v>52</v>
      </c>
      <c r="I202" t="s">
        <v>89</v>
      </c>
      <c r="J202" t="s">
        <v>96</v>
      </c>
      <c r="K202">
        <v>651818</v>
      </c>
      <c r="L202" t="s">
        <v>112</v>
      </c>
      <c r="M202" t="s">
        <v>104</v>
      </c>
      <c r="N202" t="s">
        <v>57</v>
      </c>
      <c r="O202" s="1">
        <v>45295</v>
      </c>
      <c r="Q202" s="1">
        <v>45965</v>
      </c>
      <c r="R202" s="2">
        <v>167.21</v>
      </c>
      <c r="S202">
        <v>1</v>
      </c>
      <c r="T202" t="s">
        <v>58</v>
      </c>
      <c r="U202" t="s">
        <v>359</v>
      </c>
      <c r="V202" s="3">
        <v>0.1</v>
      </c>
      <c r="W202" s="2">
        <v>0</v>
      </c>
      <c r="X202">
        <v>0</v>
      </c>
      <c r="Y202" t="s">
        <v>214</v>
      </c>
      <c r="Z202" t="s">
        <v>360</v>
      </c>
      <c r="AA202">
        <v>0</v>
      </c>
      <c r="AB202" s="2">
        <v>0</v>
      </c>
      <c r="AC202" s="2">
        <v>0</v>
      </c>
      <c r="AD202" s="3">
        <v>0</v>
      </c>
      <c r="AE202" s="2">
        <v>0</v>
      </c>
      <c r="AF202" s="2">
        <v>0</v>
      </c>
      <c r="AG202" s="2">
        <v>0</v>
      </c>
      <c r="AH202" s="2">
        <v>0</v>
      </c>
      <c r="AI202" s="2">
        <v>0</v>
      </c>
      <c r="AJ202" s="2">
        <v>0</v>
      </c>
      <c r="AK202" s="2">
        <v>0</v>
      </c>
      <c r="AL202" s="2">
        <v>0</v>
      </c>
      <c r="AM202" s="2">
        <v>16.72</v>
      </c>
      <c r="AN202" s="2">
        <v>16.72</v>
      </c>
      <c r="AO202" s="2">
        <v>0</v>
      </c>
      <c r="AP202" s="2">
        <v>0</v>
      </c>
      <c r="AQ202" s="2">
        <v>0</v>
      </c>
    </row>
    <row r="203" spans="1:43" x14ac:dyDescent="0.25">
      <c r="A203" s="1">
        <v>45936</v>
      </c>
      <c r="B203" t="s">
        <v>48</v>
      </c>
      <c r="C203">
        <v>649163</v>
      </c>
      <c r="D203">
        <v>2021281141</v>
      </c>
      <c r="E203" t="s">
        <v>661</v>
      </c>
      <c r="F203" t="s">
        <v>662</v>
      </c>
      <c r="G203" t="s">
        <v>51</v>
      </c>
      <c r="H203" t="s">
        <v>262</v>
      </c>
      <c r="I203" t="s">
        <v>89</v>
      </c>
      <c r="J203" t="s">
        <v>96</v>
      </c>
      <c r="K203">
        <v>651818</v>
      </c>
      <c r="L203" t="s">
        <v>112</v>
      </c>
      <c r="M203" t="s">
        <v>104</v>
      </c>
      <c r="N203" t="s">
        <v>57</v>
      </c>
      <c r="O203" s="1">
        <v>45323</v>
      </c>
      <c r="Q203" s="1">
        <v>45962</v>
      </c>
      <c r="R203" s="2">
        <v>78.27</v>
      </c>
      <c r="S203">
        <v>1</v>
      </c>
      <c r="T203" t="s">
        <v>58</v>
      </c>
      <c r="U203" t="s">
        <v>359</v>
      </c>
      <c r="V203" s="3">
        <v>0.1</v>
      </c>
      <c r="W203" s="2">
        <v>0</v>
      </c>
      <c r="X203">
        <v>0</v>
      </c>
      <c r="Y203" t="s">
        <v>214</v>
      </c>
      <c r="Z203" t="s">
        <v>360</v>
      </c>
      <c r="AA203">
        <v>0</v>
      </c>
      <c r="AB203" s="2">
        <v>0</v>
      </c>
      <c r="AC203" s="2">
        <v>0</v>
      </c>
      <c r="AD203" s="3">
        <v>0</v>
      </c>
      <c r="AE203" s="2">
        <v>0</v>
      </c>
      <c r="AF203" s="2">
        <v>0</v>
      </c>
      <c r="AG203" s="2">
        <v>0</v>
      </c>
      <c r="AH203" s="2">
        <v>0</v>
      </c>
      <c r="AI203" s="2">
        <v>0</v>
      </c>
      <c r="AJ203" s="2">
        <v>0</v>
      </c>
      <c r="AK203" s="2">
        <v>0</v>
      </c>
      <c r="AL203" s="2">
        <v>0</v>
      </c>
      <c r="AM203" s="2">
        <v>7.83</v>
      </c>
      <c r="AN203" s="2">
        <v>7.83</v>
      </c>
      <c r="AO203" s="2">
        <v>0</v>
      </c>
      <c r="AP203" s="2">
        <v>0</v>
      </c>
      <c r="AQ203" s="2">
        <v>0</v>
      </c>
    </row>
    <row r="204" spans="1:43" x14ac:dyDescent="0.25">
      <c r="A204" s="1">
        <v>45936</v>
      </c>
      <c r="B204" t="s">
        <v>48</v>
      </c>
      <c r="C204">
        <v>649163</v>
      </c>
      <c r="D204">
        <v>2021391380</v>
      </c>
      <c r="E204" t="s">
        <v>663</v>
      </c>
      <c r="F204" t="s">
        <v>664</v>
      </c>
      <c r="G204" t="s">
        <v>51</v>
      </c>
      <c r="H204" t="s">
        <v>88</v>
      </c>
      <c r="I204" t="s">
        <v>89</v>
      </c>
      <c r="J204" t="s">
        <v>90</v>
      </c>
      <c r="K204">
        <v>673059</v>
      </c>
      <c r="L204" t="s">
        <v>80</v>
      </c>
      <c r="M204" t="s">
        <v>81</v>
      </c>
      <c r="N204" t="s">
        <v>57</v>
      </c>
      <c r="O204" s="1">
        <v>45323</v>
      </c>
      <c r="Q204" s="1">
        <v>45962</v>
      </c>
      <c r="R204" s="2">
        <v>28.67</v>
      </c>
      <c r="S204">
        <v>1</v>
      </c>
      <c r="T204" t="s">
        <v>58</v>
      </c>
      <c r="U204" t="s">
        <v>359</v>
      </c>
      <c r="V204" s="3">
        <v>0.1</v>
      </c>
      <c r="W204" s="2">
        <v>0</v>
      </c>
      <c r="X204">
        <v>0</v>
      </c>
      <c r="Y204" t="s">
        <v>214</v>
      </c>
      <c r="Z204" t="s">
        <v>360</v>
      </c>
      <c r="AA204">
        <v>0</v>
      </c>
      <c r="AB204" s="2">
        <v>0</v>
      </c>
      <c r="AC204" s="2">
        <v>0</v>
      </c>
      <c r="AD204" s="3">
        <v>0</v>
      </c>
      <c r="AE204" s="2">
        <v>0</v>
      </c>
      <c r="AF204" s="2">
        <v>0</v>
      </c>
      <c r="AG204" s="2">
        <v>0</v>
      </c>
      <c r="AH204" s="2">
        <v>0</v>
      </c>
      <c r="AI204" s="2">
        <v>0</v>
      </c>
      <c r="AJ204" s="2">
        <v>0</v>
      </c>
      <c r="AK204" s="2">
        <v>0</v>
      </c>
      <c r="AL204" s="2">
        <v>0</v>
      </c>
      <c r="AM204" s="2">
        <v>2.87</v>
      </c>
      <c r="AN204" s="2">
        <v>2.87</v>
      </c>
      <c r="AO204" s="2">
        <v>0</v>
      </c>
      <c r="AP204" s="2">
        <v>0</v>
      </c>
      <c r="AQ204" s="2">
        <v>0</v>
      </c>
    </row>
    <row r="205" spans="1:43" x14ac:dyDescent="0.25">
      <c r="A205" s="1">
        <v>45936</v>
      </c>
      <c r="B205" t="s">
        <v>48</v>
      </c>
      <c r="C205">
        <v>649163</v>
      </c>
      <c r="D205">
        <v>2021613758</v>
      </c>
      <c r="E205" t="s">
        <v>665</v>
      </c>
      <c r="F205" t="s">
        <v>627</v>
      </c>
      <c r="G205" t="s">
        <v>51</v>
      </c>
      <c r="H205" t="s">
        <v>101</v>
      </c>
      <c r="I205" t="s">
        <v>89</v>
      </c>
      <c r="J205" t="s">
        <v>96</v>
      </c>
      <c r="K205">
        <v>651818</v>
      </c>
      <c r="L205" t="s">
        <v>112</v>
      </c>
      <c r="M205" t="s">
        <v>104</v>
      </c>
      <c r="N205" t="s">
        <v>57</v>
      </c>
      <c r="O205" s="1">
        <v>45328</v>
      </c>
      <c r="Q205" s="1">
        <v>45967</v>
      </c>
      <c r="R205" s="2">
        <v>175.46</v>
      </c>
      <c r="S205">
        <v>1</v>
      </c>
      <c r="T205" t="s">
        <v>58</v>
      </c>
      <c r="U205" t="s">
        <v>359</v>
      </c>
      <c r="V205" s="3">
        <v>0.1</v>
      </c>
      <c r="W205" s="2">
        <v>0</v>
      </c>
      <c r="X205">
        <v>0</v>
      </c>
      <c r="Y205" t="s">
        <v>214</v>
      </c>
      <c r="Z205" t="s">
        <v>360</v>
      </c>
      <c r="AA205">
        <v>0</v>
      </c>
      <c r="AB205" s="2">
        <v>0</v>
      </c>
      <c r="AC205" s="2">
        <v>0</v>
      </c>
      <c r="AD205" s="3">
        <v>0</v>
      </c>
      <c r="AE205" s="2">
        <v>0</v>
      </c>
      <c r="AF205" s="2">
        <v>0</v>
      </c>
      <c r="AG205" s="2">
        <v>0</v>
      </c>
      <c r="AH205" s="2">
        <v>0</v>
      </c>
      <c r="AI205" s="2">
        <v>0</v>
      </c>
      <c r="AJ205" s="2">
        <v>0</v>
      </c>
      <c r="AK205" s="2">
        <v>0</v>
      </c>
      <c r="AL205" s="2">
        <v>0</v>
      </c>
      <c r="AM205" s="2">
        <v>17.55</v>
      </c>
      <c r="AN205" s="2">
        <v>17.55</v>
      </c>
      <c r="AO205" s="2">
        <v>0</v>
      </c>
      <c r="AP205" s="2">
        <v>0</v>
      </c>
      <c r="AQ205" s="2">
        <v>0</v>
      </c>
    </row>
    <row r="206" spans="1:43" x14ac:dyDescent="0.25">
      <c r="A206" s="1">
        <v>45936</v>
      </c>
      <c r="B206" t="s">
        <v>48</v>
      </c>
      <c r="C206">
        <v>649163</v>
      </c>
      <c r="D206">
        <v>2021765999</v>
      </c>
      <c r="E206" t="s">
        <v>666</v>
      </c>
      <c r="F206" t="s">
        <v>667</v>
      </c>
      <c r="G206" t="s">
        <v>51</v>
      </c>
      <c r="H206" t="s">
        <v>52</v>
      </c>
      <c r="I206" t="s">
        <v>89</v>
      </c>
      <c r="J206" t="s">
        <v>96</v>
      </c>
      <c r="K206">
        <v>651818</v>
      </c>
      <c r="L206" t="s">
        <v>112</v>
      </c>
      <c r="M206" t="s">
        <v>104</v>
      </c>
      <c r="N206" t="s">
        <v>57</v>
      </c>
      <c r="O206" s="1">
        <v>45357</v>
      </c>
      <c r="Q206" s="1">
        <v>45967</v>
      </c>
      <c r="R206" s="2">
        <v>70.959999999999994</v>
      </c>
      <c r="S206">
        <v>1</v>
      </c>
      <c r="T206" t="s">
        <v>58</v>
      </c>
      <c r="U206" t="s">
        <v>359</v>
      </c>
      <c r="V206" s="3">
        <v>0.1</v>
      </c>
      <c r="W206" s="2">
        <v>0</v>
      </c>
      <c r="X206">
        <v>0</v>
      </c>
      <c r="Y206" t="s">
        <v>214</v>
      </c>
      <c r="Z206" t="s">
        <v>360</v>
      </c>
      <c r="AA206">
        <v>0</v>
      </c>
      <c r="AB206" s="2">
        <v>0</v>
      </c>
      <c r="AC206" s="2">
        <v>0</v>
      </c>
      <c r="AD206" s="3">
        <v>0</v>
      </c>
      <c r="AE206" s="2">
        <v>0</v>
      </c>
      <c r="AF206" s="2">
        <v>0</v>
      </c>
      <c r="AG206" s="2">
        <v>0</v>
      </c>
      <c r="AH206" s="2">
        <v>0</v>
      </c>
      <c r="AI206" s="2">
        <v>0</v>
      </c>
      <c r="AJ206" s="2">
        <v>0</v>
      </c>
      <c r="AK206" s="2">
        <v>0</v>
      </c>
      <c r="AL206" s="2">
        <v>0</v>
      </c>
      <c r="AM206" s="2">
        <v>7.1</v>
      </c>
      <c r="AN206" s="2">
        <v>7.1</v>
      </c>
      <c r="AO206" s="2">
        <v>0</v>
      </c>
      <c r="AP206" s="2">
        <v>0</v>
      </c>
      <c r="AQ206" s="2">
        <v>0</v>
      </c>
    </row>
    <row r="207" spans="1:43" x14ac:dyDescent="0.25">
      <c r="A207" s="1">
        <v>45936</v>
      </c>
      <c r="B207" t="s">
        <v>48</v>
      </c>
      <c r="C207">
        <v>649163</v>
      </c>
      <c r="D207">
        <v>2021802310</v>
      </c>
      <c r="E207" t="s">
        <v>668</v>
      </c>
      <c r="F207" t="s">
        <v>224</v>
      </c>
      <c r="G207" t="s">
        <v>51</v>
      </c>
      <c r="H207" t="s">
        <v>52</v>
      </c>
      <c r="I207" t="s">
        <v>89</v>
      </c>
      <c r="J207" t="s">
        <v>111</v>
      </c>
      <c r="K207">
        <v>651818</v>
      </c>
      <c r="L207" t="s">
        <v>112</v>
      </c>
      <c r="M207" t="s">
        <v>104</v>
      </c>
      <c r="N207" t="s">
        <v>57</v>
      </c>
      <c r="O207" s="1">
        <v>45357</v>
      </c>
      <c r="Q207" s="1">
        <v>45967</v>
      </c>
      <c r="R207" s="2">
        <v>113.5</v>
      </c>
      <c r="S207">
        <v>1</v>
      </c>
      <c r="T207" t="s">
        <v>58</v>
      </c>
      <c r="U207" t="s">
        <v>359</v>
      </c>
      <c r="V207" s="3">
        <v>0.1</v>
      </c>
      <c r="W207" s="2">
        <v>0</v>
      </c>
      <c r="X207">
        <v>0</v>
      </c>
      <c r="Y207" t="s">
        <v>214</v>
      </c>
      <c r="Z207" t="s">
        <v>360</v>
      </c>
      <c r="AA207">
        <v>0</v>
      </c>
      <c r="AB207" s="2">
        <v>0</v>
      </c>
      <c r="AC207" s="2">
        <v>0</v>
      </c>
      <c r="AD207" s="3">
        <v>0</v>
      </c>
      <c r="AE207" s="2">
        <v>0</v>
      </c>
      <c r="AF207" s="2">
        <v>0</v>
      </c>
      <c r="AG207" s="2">
        <v>0</v>
      </c>
      <c r="AH207" s="2">
        <v>0</v>
      </c>
      <c r="AI207" s="2">
        <v>0</v>
      </c>
      <c r="AJ207" s="2">
        <v>0</v>
      </c>
      <c r="AK207" s="2">
        <v>0</v>
      </c>
      <c r="AL207" s="2">
        <v>0</v>
      </c>
      <c r="AM207" s="2">
        <v>11.35</v>
      </c>
      <c r="AN207" s="2">
        <v>11.35</v>
      </c>
      <c r="AO207" s="2">
        <v>0</v>
      </c>
      <c r="AP207" s="2">
        <v>0</v>
      </c>
      <c r="AQ207" s="2">
        <v>0</v>
      </c>
    </row>
    <row r="208" spans="1:43" x14ac:dyDescent="0.25">
      <c r="A208" s="1">
        <v>45936</v>
      </c>
      <c r="B208" t="s">
        <v>48</v>
      </c>
      <c r="C208">
        <v>649163</v>
      </c>
      <c r="D208">
        <v>2021815679</v>
      </c>
      <c r="E208" t="s">
        <v>669</v>
      </c>
      <c r="F208" t="s">
        <v>482</v>
      </c>
      <c r="G208" t="s">
        <v>51</v>
      </c>
      <c r="H208" t="s">
        <v>670</v>
      </c>
      <c r="I208" t="s">
        <v>89</v>
      </c>
      <c r="J208" t="s">
        <v>96</v>
      </c>
      <c r="K208">
        <v>651818</v>
      </c>
      <c r="L208" t="s">
        <v>112</v>
      </c>
      <c r="M208" t="s">
        <v>104</v>
      </c>
      <c r="N208" t="s">
        <v>57</v>
      </c>
      <c r="O208" s="1">
        <v>45357</v>
      </c>
      <c r="Q208" s="1">
        <v>45967</v>
      </c>
      <c r="R208" s="2">
        <v>185.36</v>
      </c>
      <c r="S208">
        <v>1</v>
      </c>
      <c r="T208" t="s">
        <v>58</v>
      </c>
      <c r="U208" t="s">
        <v>359</v>
      </c>
      <c r="V208" s="3">
        <v>0.1</v>
      </c>
      <c r="W208" s="2">
        <v>0</v>
      </c>
      <c r="X208">
        <v>0</v>
      </c>
      <c r="Y208" t="s">
        <v>214</v>
      </c>
      <c r="Z208" t="s">
        <v>360</v>
      </c>
      <c r="AA208">
        <v>0</v>
      </c>
      <c r="AB208" s="2">
        <v>0</v>
      </c>
      <c r="AC208" s="2">
        <v>0</v>
      </c>
      <c r="AD208" s="3">
        <v>0</v>
      </c>
      <c r="AE208" s="2">
        <v>0</v>
      </c>
      <c r="AF208" s="2">
        <v>0</v>
      </c>
      <c r="AG208" s="2">
        <v>0</v>
      </c>
      <c r="AH208" s="2">
        <v>0</v>
      </c>
      <c r="AI208" s="2">
        <v>0</v>
      </c>
      <c r="AJ208" s="2">
        <v>0</v>
      </c>
      <c r="AK208" s="2">
        <v>0</v>
      </c>
      <c r="AL208" s="2">
        <v>0</v>
      </c>
      <c r="AM208" s="2">
        <v>18.54</v>
      </c>
      <c r="AN208" s="2">
        <v>18.54</v>
      </c>
      <c r="AO208" s="2">
        <v>0</v>
      </c>
      <c r="AP208" s="2">
        <v>0</v>
      </c>
      <c r="AQ208" s="2">
        <v>0</v>
      </c>
    </row>
    <row r="209" spans="1:43" x14ac:dyDescent="0.25">
      <c r="A209" s="1">
        <v>45936</v>
      </c>
      <c r="B209" t="s">
        <v>48</v>
      </c>
      <c r="C209">
        <v>649163</v>
      </c>
      <c r="D209">
        <v>2022385257</v>
      </c>
      <c r="E209" t="s">
        <v>402</v>
      </c>
      <c r="F209" t="s">
        <v>671</v>
      </c>
      <c r="G209" t="s">
        <v>51</v>
      </c>
      <c r="H209" t="s">
        <v>88</v>
      </c>
      <c r="I209" t="s">
        <v>89</v>
      </c>
      <c r="J209" t="s">
        <v>90</v>
      </c>
      <c r="K209">
        <v>651818</v>
      </c>
      <c r="L209" t="s">
        <v>112</v>
      </c>
      <c r="M209" t="s">
        <v>104</v>
      </c>
      <c r="N209" t="s">
        <v>57</v>
      </c>
      <c r="O209" s="1">
        <v>45388</v>
      </c>
      <c r="Q209" s="1">
        <v>45967</v>
      </c>
      <c r="R209" s="2">
        <v>17.86</v>
      </c>
      <c r="S209">
        <v>1</v>
      </c>
      <c r="T209" t="s">
        <v>58</v>
      </c>
      <c r="U209" t="s">
        <v>359</v>
      </c>
      <c r="V209" s="3">
        <v>0.1</v>
      </c>
      <c r="W209" s="2">
        <v>0</v>
      </c>
      <c r="X209">
        <v>0</v>
      </c>
      <c r="Y209" t="s">
        <v>214</v>
      </c>
      <c r="Z209" t="s">
        <v>360</v>
      </c>
      <c r="AA209">
        <v>0</v>
      </c>
      <c r="AB209" s="2">
        <v>0</v>
      </c>
      <c r="AC209" s="2">
        <v>0</v>
      </c>
      <c r="AD209" s="3">
        <v>0</v>
      </c>
      <c r="AE209" s="2">
        <v>0</v>
      </c>
      <c r="AF209" s="2">
        <v>0</v>
      </c>
      <c r="AG209" s="2">
        <v>0</v>
      </c>
      <c r="AH209" s="2">
        <v>0</v>
      </c>
      <c r="AI209" s="2">
        <v>0</v>
      </c>
      <c r="AJ209" s="2">
        <v>0</v>
      </c>
      <c r="AK209" s="2">
        <v>0</v>
      </c>
      <c r="AL209" s="2">
        <v>0</v>
      </c>
      <c r="AM209" s="2">
        <v>1.79</v>
      </c>
      <c r="AN209" s="2">
        <v>1.79</v>
      </c>
      <c r="AO209" s="2">
        <v>0</v>
      </c>
      <c r="AP209" s="2">
        <v>0</v>
      </c>
      <c r="AQ209" s="2">
        <v>0</v>
      </c>
    </row>
    <row r="210" spans="1:43" x14ac:dyDescent="0.25">
      <c r="A210" s="1">
        <v>45936</v>
      </c>
      <c r="B210" t="s">
        <v>48</v>
      </c>
      <c r="C210">
        <v>649163</v>
      </c>
      <c r="D210">
        <v>2022505612</v>
      </c>
      <c r="E210" t="s">
        <v>672</v>
      </c>
      <c r="F210" t="s">
        <v>673</v>
      </c>
      <c r="G210" t="s">
        <v>51</v>
      </c>
      <c r="H210" t="s">
        <v>129</v>
      </c>
      <c r="I210" t="s">
        <v>89</v>
      </c>
      <c r="J210" t="s">
        <v>96</v>
      </c>
      <c r="K210">
        <v>651818</v>
      </c>
      <c r="L210" t="s">
        <v>112</v>
      </c>
      <c r="M210" t="s">
        <v>104</v>
      </c>
      <c r="N210" t="s">
        <v>57</v>
      </c>
      <c r="O210" s="1">
        <v>45389</v>
      </c>
      <c r="Q210" s="1">
        <v>45968</v>
      </c>
      <c r="R210" s="2">
        <v>180.88</v>
      </c>
      <c r="S210">
        <v>1</v>
      </c>
      <c r="T210" t="s">
        <v>58</v>
      </c>
      <c r="U210" t="s">
        <v>359</v>
      </c>
      <c r="V210" s="3">
        <v>0.1</v>
      </c>
      <c r="W210" s="2">
        <v>0</v>
      </c>
      <c r="X210">
        <v>0</v>
      </c>
      <c r="Y210" t="s">
        <v>214</v>
      </c>
      <c r="Z210" t="s">
        <v>360</v>
      </c>
      <c r="AA210">
        <v>0</v>
      </c>
      <c r="AB210" s="2">
        <v>0</v>
      </c>
      <c r="AC210" s="2">
        <v>0</v>
      </c>
      <c r="AD210" s="3">
        <v>0</v>
      </c>
      <c r="AE210" s="2">
        <v>0</v>
      </c>
      <c r="AF210" s="2">
        <v>0</v>
      </c>
      <c r="AG210" s="2">
        <v>0</v>
      </c>
      <c r="AH210" s="2">
        <v>0</v>
      </c>
      <c r="AI210" s="2">
        <v>0</v>
      </c>
      <c r="AJ210" s="2">
        <v>0</v>
      </c>
      <c r="AK210" s="2">
        <v>0</v>
      </c>
      <c r="AL210" s="2">
        <v>0</v>
      </c>
      <c r="AM210" s="2">
        <v>18.09</v>
      </c>
      <c r="AN210" s="2">
        <v>18.09</v>
      </c>
      <c r="AO210" s="2">
        <v>0</v>
      </c>
      <c r="AP210" s="2">
        <v>0</v>
      </c>
      <c r="AQ210" s="2">
        <v>0</v>
      </c>
    </row>
    <row r="211" spans="1:43" x14ac:dyDescent="0.25">
      <c r="A211" s="1">
        <v>45936</v>
      </c>
      <c r="B211" t="s">
        <v>48</v>
      </c>
      <c r="C211">
        <v>649163</v>
      </c>
      <c r="D211">
        <v>2022657266</v>
      </c>
      <c r="E211" t="s">
        <v>674</v>
      </c>
      <c r="F211" t="s">
        <v>187</v>
      </c>
      <c r="G211" t="s">
        <v>51</v>
      </c>
      <c r="H211" t="s">
        <v>52</v>
      </c>
      <c r="I211" t="s">
        <v>89</v>
      </c>
      <c r="J211" t="s">
        <v>96</v>
      </c>
      <c r="K211">
        <v>651818</v>
      </c>
      <c r="L211" t="s">
        <v>112</v>
      </c>
      <c r="M211" t="s">
        <v>104</v>
      </c>
      <c r="N211" t="s">
        <v>57</v>
      </c>
      <c r="O211" s="1">
        <v>45418</v>
      </c>
      <c r="Q211" s="1">
        <v>45967</v>
      </c>
      <c r="R211" s="2">
        <v>139.25</v>
      </c>
      <c r="S211">
        <v>1</v>
      </c>
      <c r="T211" t="s">
        <v>58</v>
      </c>
      <c r="U211" t="s">
        <v>359</v>
      </c>
      <c r="V211" s="3">
        <v>0.1</v>
      </c>
      <c r="W211" s="2">
        <v>0</v>
      </c>
      <c r="X211">
        <v>0</v>
      </c>
      <c r="Y211" t="s">
        <v>214</v>
      </c>
      <c r="Z211" t="s">
        <v>360</v>
      </c>
      <c r="AA211">
        <v>0</v>
      </c>
      <c r="AB211" s="2">
        <v>0</v>
      </c>
      <c r="AC211" s="2">
        <v>0</v>
      </c>
      <c r="AD211" s="3">
        <v>0</v>
      </c>
      <c r="AE211" s="2">
        <v>0</v>
      </c>
      <c r="AF211" s="2">
        <v>0</v>
      </c>
      <c r="AG211" s="2">
        <v>0</v>
      </c>
      <c r="AH211" s="2">
        <v>0</v>
      </c>
      <c r="AI211" s="2">
        <v>0</v>
      </c>
      <c r="AJ211" s="2">
        <v>0</v>
      </c>
      <c r="AK211" s="2">
        <v>0</v>
      </c>
      <c r="AL211" s="2">
        <v>0</v>
      </c>
      <c r="AM211" s="2">
        <v>13.92</v>
      </c>
      <c r="AN211" s="2">
        <v>13.92</v>
      </c>
      <c r="AO211" s="2">
        <v>0</v>
      </c>
      <c r="AP211" s="2">
        <v>0</v>
      </c>
      <c r="AQ211" s="2">
        <v>0</v>
      </c>
    </row>
    <row r="212" spans="1:43" x14ac:dyDescent="0.25">
      <c r="A212" s="1">
        <v>45936</v>
      </c>
      <c r="B212" t="s">
        <v>48</v>
      </c>
      <c r="C212">
        <v>649163</v>
      </c>
      <c r="D212">
        <v>2023184015</v>
      </c>
      <c r="E212" t="s">
        <v>675</v>
      </c>
      <c r="F212" t="s">
        <v>276</v>
      </c>
      <c r="G212" t="s">
        <v>51</v>
      </c>
      <c r="H212" t="s">
        <v>115</v>
      </c>
      <c r="I212" t="s">
        <v>89</v>
      </c>
      <c r="J212" t="s">
        <v>111</v>
      </c>
      <c r="K212">
        <v>651818</v>
      </c>
      <c r="L212" t="s">
        <v>112</v>
      </c>
      <c r="M212" t="s">
        <v>104</v>
      </c>
      <c r="N212" t="s">
        <v>57</v>
      </c>
      <c r="O212" s="1">
        <v>45449</v>
      </c>
      <c r="Q212" s="1">
        <v>45967</v>
      </c>
      <c r="R212" s="2">
        <v>142.85</v>
      </c>
      <c r="S212">
        <v>1</v>
      </c>
      <c r="T212" t="s">
        <v>58</v>
      </c>
      <c r="U212" t="s">
        <v>359</v>
      </c>
      <c r="V212" s="3">
        <v>0.1</v>
      </c>
      <c r="W212" s="2">
        <v>0</v>
      </c>
      <c r="X212">
        <v>0</v>
      </c>
      <c r="Y212" t="s">
        <v>214</v>
      </c>
      <c r="Z212" t="s">
        <v>360</v>
      </c>
      <c r="AA212">
        <v>0</v>
      </c>
      <c r="AB212" s="2">
        <v>0</v>
      </c>
      <c r="AC212" s="2">
        <v>0</v>
      </c>
      <c r="AD212" s="3">
        <v>0</v>
      </c>
      <c r="AE212" s="2">
        <v>0</v>
      </c>
      <c r="AF212" s="2">
        <v>0</v>
      </c>
      <c r="AG212" s="2">
        <v>0</v>
      </c>
      <c r="AH212" s="2">
        <v>0</v>
      </c>
      <c r="AI212" s="2">
        <v>0</v>
      </c>
      <c r="AJ212" s="2">
        <v>0</v>
      </c>
      <c r="AK212" s="2">
        <v>0</v>
      </c>
      <c r="AL212" s="2">
        <v>0</v>
      </c>
      <c r="AM212" s="2">
        <v>14.28</v>
      </c>
      <c r="AN212" s="2">
        <v>14.28</v>
      </c>
      <c r="AO212" s="2">
        <v>0</v>
      </c>
      <c r="AP212" s="2">
        <v>0</v>
      </c>
      <c r="AQ212" s="2">
        <v>0</v>
      </c>
    </row>
    <row r="213" spans="1:43" x14ac:dyDescent="0.25">
      <c r="A213" s="1">
        <v>45936</v>
      </c>
      <c r="B213" t="s">
        <v>48</v>
      </c>
      <c r="C213">
        <v>649163</v>
      </c>
      <c r="D213">
        <v>2023294111</v>
      </c>
      <c r="E213" t="s">
        <v>676</v>
      </c>
      <c r="F213" t="s">
        <v>677</v>
      </c>
      <c r="G213" t="s">
        <v>51</v>
      </c>
      <c r="H213" t="s">
        <v>122</v>
      </c>
      <c r="I213" t="s">
        <v>89</v>
      </c>
      <c r="J213" t="s">
        <v>96</v>
      </c>
      <c r="K213">
        <v>651818</v>
      </c>
      <c r="L213" t="s">
        <v>112</v>
      </c>
      <c r="M213" t="s">
        <v>104</v>
      </c>
      <c r="N213" t="s">
        <v>57</v>
      </c>
      <c r="O213" s="1">
        <v>45449</v>
      </c>
      <c r="Q213" s="1">
        <v>45967</v>
      </c>
      <c r="R213" s="2">
        <v>191.17</v>
      </c>
      <c r="S213">
        <v>1</v>
      </c>
      <c r="T213" t="s">
        <v>58</v>
      </c>
      <c r="U213" t="s">
        <v>359</v>
      </c>
      <c r="V213" s="3">
        <v>0.1</v>
      </c>
      <c r="W213" s="2">
        <v>0</v>
      </c>
      <c r="X213">
        <v>0</v>
      </c>
      <c r="Y213" t="s">
        <v>214</v>
      </c>
      <c r="Z213" t="s">
        <v>360</v>
      </c>
      <c r="AA213">
        <v>0</v>
      </c>
      <c r="AB213" s="2">
        <v>0</v>
      </c>
      <c r="AC213" s="2">
        <v>0</v>
      </c>
      <c r="AD213" s="3">
        <v>0</v>
      </c>
      <c r="AE213" s="2">
        <v>0</v>
      </c>
      <c r="AF213" s="2">
        <v>0</v>
      </c>
      <c r="AG213" s="2">
        <v>0</v>
      </c>
      <c r="AH213" s="2">
        <v>0</v>
      </c>
      <c r="AI213" s="2">
        <v>0</v>
      </c>
      <c r="AJ213" s="2">
        <v>0</v>
      </c>
      <c r="AK213" s="2">
        <v>0</v>
      </c>
      <c r="AL213" s="2">
        <v>0</v>
      </c>
      <c r="AM213" s="2">
        <v>19.12</v>
      </c>
      <c r="AN213" s="2">
        <v>19.12</v>
      </c>
      <c r="AO213" s="2">
        <v>0</v>
      </c>
      <c r="AP213" s="2">
        <v>0</v>
      </c>
      <c r="AQ213" s="2">
        <v>0</v>
      </c>
    </row>
    <row r="214" spans="1:43" x14ac:dyDescent="0.25">
      <c r="A214" s="1">
        <v>45936</v>
      </c>
      <c r="B214" t="s">
        <v>48</v>
      </c>
      <c r="C214">
        <v>649163</v>
      </c>
      <c r="D214">
        <v>2023297034</v>
      </c>
      <c r="E214" t="s">
        <v>678</v>
      </c>
      <c r="F214" t="s">
        <v>679</v>
      </c>
      <c r="G214" t="s">
        <v>51</v>
      </c>
      <c r="H214" t="s">
        <v>115</v>
      </c>
      <c r="I214" t="s">
        <v>89</v>
      </c>
      <c r="J214" t="s">
        <v>111</v>
      </c>
      <c r="K214">
        <v>651818</v>
      </c>
      <c r="L214" t="s">
        <v>112</v>
      </c>
      <c r="M214" t="s">
        <v>104</v>
      </c>
      <c r="N214" t="s">
        <v>57</v>
      </c>
      <c r="O214" s="1">
        <v>45449</v>
      </c>
      <c r="Q214" s="1">
        <v>45967</v>
      </c>
      <c r="R214" s="2">
        <v>149.5</v>
      </c>
      <c r="S214">
        <v>1</v>
      </c>
      <c r="T214" t="s">
        <v>58</v>
      </c>
      <c r="U214" t="s">
        <v>359</v>
      </c>
      <c r="V214" s="3">
        <v>0.1</v>
      </c>
      <c r="W214" s="2">
        <v>0</v>
      </c>
      <c r="X214">
        <v>0</v>
      </c>
      <c r="Y214" t="s">
        <v>214</v>
      </c>
      <c r="Z214" t="s">
        <v>360</v>
      </c>
      <c r="AA214">
        <v>0</v>
      </c>
      <c r="AB214" s="2">
        <v>0</v>
      </c>
      <c r="AC214" s="2">
        <v>0</v>
      </c>
      <c r="AD214" s="3">
        <v>0</v>
      </c>
      <c r="AE214" s="2">
        <v>0</v>
      </c>
      <c r="AF214" s="2">
        <v>0</v>
      </c>
      <c r="AG214" s="2">
        <v>0</v>
      </c>
      <c r="AH214" s="2">
        <v>0</v>
      </c>
      <c r="AI214" s="2">
        <v>0</v>
      </c>
      <c r="AJ214" s="2">
        <v>0</v>
      </c>
      <c r="AK214" s="2">
        <v>0</v>
      </c>
      <c r="AL214" s="2">
        <v>0</v>
      </c>
      <c r="AM214" s="2">
        <v>14.95</v>
      </c>
      <c r="AN214" s="2">
        <v>14.95</v>
      </c>
      <c r="AO214" s="2">
        <v>0</v>
      </c>
      <c r="AP214" s="2">
        <v>0</v>
      </c>
      <c r="AQ214" s="2">
        <v>0</v>
      </c>
    </row>
    <row r="215" spans="1:43" x14ac:dyDescent="0.25">
      <c r="A215" s="1">
        <v>45936</v>
      </c>
      <c r="B215" t="s">
        <v>48</v>
      </c>
      <c r="C215">
        <v>649163</v>
      </c>
      <c r="D215">
        <v>2023849739</v>
      </c>
      <c r="E215" t="s">
        <v>623</v>
      </c>
      <c r="F215" t="s">
        <v>680</v>
      </c>
      <c r="G215" t="s">
        <v>51</v>
      </c>
      <c r="H215" t="s">
        <v>101</v>
      </c>
      <c r="I215" t="s">
        <v>89</v>
      </c>
      <c r="J215" t="s">
        <v>111</v>
      </c>
      <c r="K215">
        <v>761385</v>
      </c>
      <c r="L215" t="s">
        <v>623</v>
      </c>
      <c r="M215" t="s">
        <v>680</v>
      </c>
      <c r="N215" t="s">
        <v>57</v>
      </c>
      <c r="O215" s="1">
        <v>45482</v>
      </c>
      <c r="Q215" s="1">
        <v>45970</v>
      </c>
      <c r="R215" s="2">
        <v>99.45</v>
      </c>
      <c r="S215">
        <v>1</v>
      </c>
      <c r="T215" t="s">
        <v>58</v>
      </c>
      <c r="U215" t="s">
        <v>359</v>
      </c>
      <c r="V215" s="3">
        <v>0.1</v>
      </c>
      <c r="W215" s="2">
        <v>0</v>
      </c>
      <c r="X215">
        <v>0</v>
      </c>
      <c r="Y215" t="s">
        <v>214</v>
      </c>
      <c r="Z215" t="s">
        <v>360</v>
      </c>
      <c r="AA215">
        <v>0</v>
      </c>
      <c r="AB215" s="2">
        <v>0</v>
      </c>
      <c r="AC215" s="2">
        <v>0</v>
      </c>
      <c r="AD215" s="3">
        <v>0</v>
      </c>
      <c r="AE215" s="2">
        <v>0</v>
      </c>
      <c r="AF215" s="2">
        <v>0</v>
      </c>
      <c r="AG215" s="2">
        <v>0</v>
      </c>
      <c r="AH215" s="2">
        <v>0</v>
      </c>
      <c r="AI215" s="2">
        <v>0</v>
      </c>
      <c r="AJ215" s="2">
        <v>0</v>
      </c>
      <c r="AK215" s="2">
        <v>0</v>
      </c>
      <c r="AL215" s="2">
        <v>0</v>
      </c>
      <c r="AM215" s="2">
        <v>9.94</v>
      </c>
      <c r="AN215" s="2">
        <v>9.94</v>
      </c>
      <c r="AO215" s="2">
        <v>0</v>
      </c>
      <c r="AP215" s="2">
        <v>0</v>
      </c>
      <c r="AQ215" s="2">
        <v>0</v>
      </c>
    </row>
    <row r="216" spans="1:43" x14ac:dyDescent="0.25">
      <c r="A216" s="1">
        <v>45936</v>
      </c>
      <c r="B216" t="s">
        <v>48</v>
      </c>
      <c r="C216">
        <v>649163</v>
      </c>
      <c r="D216">
        <v>2024001564</v>
      </c>
      <c r="E216" t="s">
        <v>148</v>
      </c>
      <c r="F216" t="s">
        <v>212</v>
      </c>
      <c r="G216" t="s">
        <v>51</v>
      </c>
      <c r="H216" t="s">
        <v>119</v>
      </c>
      <c r="I216" t="s">
        <v>89</v>
      </c>
      <c r="J216" t="s">
        <v>96</v>
      </c>
      <c r="K216">
        <v>651818</v>
      </c>
      <c r="L216" t="s">
        <v>112</v>
      </c>
      <c r="M216" t="s">
        <v>104</v>
      </c>
      <c r="N216" t="s">
        <v>57</v>
      </c>
      <c r="O216" s="1">
        <v>45510</v>
      </c>
      <c r="Q216" s="1">
        <v>45967</v>
      </c>
      <c r="R216" s="2">
        <v>90.33</v>
      </c>
      <c r="S216">
        <v>1</v>
      </c>
      <c r="T216" t="s">
        <v>58</v>
      </c>
      <c r="U216" t="s">
        <v>359</v>
      </c>
      <c r="V216" s="3">
        <v>0.1</v>
      </c>
      <c r="W216" s="2">
        <v>0</v>
      </c>
      <c r="X216">
        <v>0</v>
      </c>
      <c r="Y216" t="s">
        <v>214</v>
      </c>
      <c r="Z216" t="s">
        <v>360</v>
      </c>
      <c r="AA216">
        <v>0</v>
      </c>
      <c r="AB216" s="2">
        <v>0</v>
      </c>
      <c r="AC216" s="2">
        <v>0</v>
      </c>
      <c r="AD216" s="3">
        <v>0</v>
      </c>
      <c r="AE216" s="2">
        <v>0</v>
      </c>
      <c r="AF216" s="2">
        <v>0</v>
      </c>
      <c r="AG216" s="2">
        <v>0</v>
      </c>
      <c r="AH216" s="2">
        <v>0</v>
      </c>
      <c r="AI216" s="2">
        <v>0</v>
      </c>
      <c r="AJ216" s="2">
        <v>0</v>
      </c>
      <c r="AK216" s="2">
        <v>0</v>
      </c>
      <c r="AL216" s="2">
        <v>0</v>
      </c>
      <c r="AM216" s="2">
        <v>9.0299999999999994</v>
      </c>
      <c r="AN216" s="2">
        <v>9.0299999999999994</v>
      </c>
      <c r="AO216" s="2">
        <v>0</v>
      </c>
      <c r="AP216" s="2">
        <v>0</v>
      </c>
      <c r="AQ216" s="2">
        <v>0</v>
      </c>
    </row>
    <row r="217" spans="1:43" x14ac:dyDescent="0.25">
      <c r="A217" s="1">
        <v>45936</v>
      </c>
      <c r="B217" t="s">
        <v>48</v>
      </c>
      <c r="C217">
        <v>649163</v>
      </c>
      <c r="D217">
        <v>2024095024</v>
      </c>
      <c r="E217" t="s">
        <v>200</v>
      </c>
      <c r="F217" t="s">
        <v>201</v>
      </c>
      <c r="G217" t="s">
        <v>51</v>
      </c>
      <c r="H217" t="s">
        <v>79</v>
      </c>
      <c r="I217" t="s">
        <v>89</v>
      </c>
      <c r="J217" t="s">
        <v>111</v>
      </c>
      <c r="K217">
        <v>673059</v>
      </c>
      <c r="L217" t="s">
        <v>80</v>
      </c>
      <c r="M217" t="s">
        <v>81</v>
      </c>
      <c r="N217" t="s">
        <v>456</v>
      </c>
      <c r="O217" s="1">
        <v>45505</v>
      </c>
      <c r="P217" s="1">
        <v>45936</v>
      </c>
      <c r="Q217" s="1">
        <v>45962</v>
      </c>
      <c r="R217" s="2">
        <v>-119.32</v>
      </c>
      <c r="S217">
        <v>1</v>
      </c>
      <c r="T217" t="s">
        <v>58</v>
      </c>
      <c r="U217" t="s">
        <v>359</v>
      </c>
      <c r="V217" s="3">
        <v>0.1</v>
      </c>
      <c r="W217" s="2">
        <v>0</v>
      </c>
      <c r="X217">
        <v>-1</v>
      </c>
      <c r="Y217" t="s">
        <v>214</v>
      </c>
      <c r="Z217" t="s">
        <v>360</v>
      </c>
      <c r="AA217">
        <v>0</v>
      </c>
      <c r="AB217" s="2">
        <v>0</v>
      </c>
      <c r="AC217" s="2">
        <v>0</v>
      </c>
      <c r="AD217" s="3">
        <v>0</v>
      </c>
      <c r="AE217" s="2">
        <v>0</v>
      </c>
      <c r="AF217" s="2">
        <v>0</v>
      </c>
      <c r="AG217" s="2">
        <v>0</v>
      </c>
      <c r="AH217" s="2">
        <v>0</v>
      </c>
      <c r="AI217" s="2">
        <v>0</v>
      </c>
      <c r="AJ217" s="2">
        <v>0</v>
      </c>
      <c r="AK217" s="2">
        <v>0</v>
      </c>
      <c r="AL217" s="2">
        <v>0</v>
      </c>
      <c r="AM217" s="2">
        <v>-11.93</v>
      </c>
      <c r="AN217" s="2">
        <v>-11.93</v>
      </c>
      <c r="AO217" s="2">
        <v>0</v>
      </c>
      <c r="AP217" s="2">
        <v>0</v>
      </c>
      <c r="AQ217" s="2">
        <v>0</v>
      </c>
    </row>
    <row r="218" spans="1:43" x14ac:dyDescent="0.25">
      <c r="A218" s="1">
        <v>45936</v>
      </c>
      <c r="B218" t="s">
        <v>48</v>
      </c>
      <c r="C218">
        <v>649163</v>
      </c>
      <c r="D218">
        <v>2024153178</v>
      </c>
      <c r="E218" t="s">
        <v>681</v>
      </c>
      <c r="F218" t="s">
        <v>177</v>
      </c>
      <c r="G218" t="s">
        <v>51</v>
      </c>
      <c r="H218" t="s">
        <v>52</v>
      </c>
      <c r="I218" t="s">
        <v>89</v>
      </c>
      <c r="J218" t="s">
        <v>96</v>
      </c>
      <c r="K218">
        <v>651818</v>
      </c>
      <c r="L218" t="s">
        <v>112</v>
      </c>
      <c r="M218" t="s">
        <v>104</v>
      </c>
      <c r="N218" t="s">
        <v>57</v>
      </c>
      <c r="O218" s="1">
        <v>45510</v>
      </c>
      <c r="Q218" s="1">
        <v>45967</v>
      </c>
      <c r="R218" s="2">
        <v>61.75</v>
      </c>
      <c r="S218">
        <v>1</v>
      </c>
      <c r="T218" t="s">
        <v>58</v>
      </c>
      <c r="U218" t="s">
        <v>359</v>
      </c>
      <c r="V218" s="3">
        <v>0.1</v>
      </c>
      <c r="W218" s="2">
        <v>0</v>
      </c>
      <c r="X218">
        <v>0</v>
      </c>
      <c r="Y218" t="s">
        <v>214</v>
      </c>
      <c r="Z218" t="s">
        <v>360</v>
      </c>
      <c r="AA218">
        <v>0</v>
      </c>
      <c r="AB218" s="2">
        <v>0</v>
      </c>
      <c r="AC218" s="2">
        <v>0</v>
      </c>
      <c r="AD218" s="3">
        <v>0</v>
      </c>
      <c r="AE218" s="2">
        <v>0</v>
      </c>
      <c r="AF218" s="2">
        <v>0</v>
      </c>
      <c r="AG218" s="2">
        <v>0</v>
      </c>
      <c r="AH218" s="2">
        <v>0</v>
      </c>
      <c r="AI218" s="2">
        <v>0</v>
      </c>
      <c r="AJ218" s="2">
        <v>0</v>
      </c>
      <c r="AK218" s="2">
        <v>0</v>
      </c>
      <c r="AL218" s="2">
        <v>0</v>
      </c>
      <c r="AM218" s="2">
        <v>6.18</v>
      </c>
      <c r="AN218" s="2">
        <v>6.18</v>
      </c>
      <c r="AO218" s="2">
        <v>0</v>
      </c>
      <c r="AP218" s="2">
        <v>0</v>
      </c>
      <c r="AQ218" s="2">
        <v>0</v>
      </c>
    </row>
    <row r="219" spans="1:43" x14ac:dyDescent="0.25">
      <c r="A219" s="1">
        <v>45936</v>
      </c>
      <c r="B219" t="s">
        <v>48</v>
      </c>
      <c r="C219">
        <v>649163</v>
      </c>
      <c r="D219">
        <v>2024314175</v>
      </c>
      <c r="E219" t="s">
        <v>682</v>
      </c>
      <c r="F219" t="s">
        <v>683</v>
      </c>
      <c r="G219" t="s">
        <v>51</v>
      </c>
      <c r="H219" t="s">
        <v>670</v>
      </c>
      <c r="I219" t="s">
        <v>89</v>
      </c>
      <c r="J219" t="s">
        <v>96</v>
      </c>
      <c r="K219">
        <v>767312</v>
      </c>
      <c r="L219" t="s">
        <v>283</v>
      </c>
      <c r="M219" t="s">
        <v>284</v>
      </c>
      <c r="N219" t="s">
        <v>57</v>
      </c>
      <c r="O219" s="1">
        <v>45514</v>
      </c>
      <c r="Q219" s="1">
        <v>45971</v>
      </c>
      <c r="R219" s="2">
        <v>15.23</v>
      </c>
      <c r="S219">
        <v>1</v>
      </c>
      <c r="T219" t="s">
        <v>58</v>
      </c>
      <c r="U219" t="s">
        <v>359</v>
      </c>
      <c r="V219" s="3">
        <v>0.1</v>
      </c>
      <c r="W219" s="2">
        <v>0</v>
      </c>
      <c r="X219">
        <v>0</v>
      </c>
      <c r="Y219" t="s">
        <v>214</v>
      </c>
      <c r="Z219" t="s">
        <v>360</v>
      </c>
      <c r="AA219">
        <v>0</v>
      </c>
      <c r="AB219" s="2">
        <v>0</v>
      </c>
      <c r="AC219" s="2">
        <v>0</v>
      </c>
      <c r="AD219" s="3">
        <v>0</v>
      </c>
      <c r="AE219" s="2">
        <v>0</v>
      </c>
      <c r="AF219" s="2">
        <v>0</v>
      </c>
      <c r="AG219" s="2">
        <v>0</v>
      </c>
      <c r="AH219" s="2">
        <v>0</v>
      </c>
      <c r="AI219" s="2">
        <v>0</v>
      </c>
      <c r="AJ219" s="2">
        <v>0</v>
      </c>
      <c r="AK219" s="2">
        <v>0</v>
      </c>
      <c r="AL219" s="2">
        <v>0</v>
      </c>
      <c r="AM219" s="2">
        <v>1.52</v>
      </c>
      <c r="AN219" s="2">
        <v>1.52</v>
      </c>
      <c r="AO219" s="2">
        <v>0</v>
      </c>
      <c r="AP219" s="2">
        <v>0</v>
      </c>
      <c r="AQ219" s="2">
        <v>0</v>
      </c>
    </row>
    <row r="220" spans="1:43" x14ac:dyDescent="0.25">
      <c r="A220" s="1">
        <v>45936</v>
      </c>
      <c r="B220" t="s">
        <v>48</v>
      </c>
      <c r="C220">
        <v>649163</v>
      </c>
      <c r="D220">
        <v>2024598450</v>
      </c>
      <c r="E220" t="s">
        <v>684</v>
      </c>
      <c r="F220" t="s">
        <v>685</v>
      </c>
      <c r="G220" t="s">
        <v>51</v>
      </c>
      <c r="H220" t="s">
        <v>101</v>
      </c>
      <c r="I220" t="s">
        <v>89</v>
      </c>
      <c r="J220" t="s">
        <v>111</v>
      </c>
      <c r="K220">
        <v>651818</v>
      </c>
      <c r="L220" t="s">
        <v>112</v>
      </c>
      <c r="M220" t="s">
        <v>104</v>
      </c>
      <c r="N220" t="s">
        <v>57</v>
      </c>
      <c r="O220" s="1">
        <v>45542</v>
      </c>
      <c r="Q220" s="1">
        <v>45968</v>
      </c>
      <c r="R220" s="2">
        <v>90.76</v>
      </c>
      <c r="S220">
        <v>1</v>
      </c>
      <c r="T220" t="s">
        <v>58</v>
      </c>
      <c r="U220" t="s">
        <v>359</v>
      </c>
      <c r="V220" s="3">
        <v>0.1</v>
      </c>
      <c r="W220" s="2">
        <v>0</v>
      </c>
      <c r="X220">
        <v>0</v>
      </c>
      <c r="Y220" t="s">
        <v>214</v>
      </c>
      <c r="Z220" t="s">
        <v>360</v>
      </c>
      <c r="AA220">
        <v>0</v>
      </c>
      <c r="AB220" s="2">
        <v>0</v>
      </c>
      <c r="AC220" s="2">
        <v>0</v>
      </c>
      <c r="AD220" s="3">
        <v>0</v>
      </c>
      <c r="AE220" s="2">
        <v>0</v>
      </c>
      <c r="AF220" s="2">
        <v>0</v>
      </c>
      <c r="AG220" s="2">
        <v>0</v>
      </c>
      <c r="AH220" s="2">
        <v>0</v>
      </c>
      <c r="AI220" s="2">
        <v>0</v>
      </c>
      <c r="AJ220" s="2">
        <v>0</v>
      </c>
      <c r="AK220" s="2">
        <v>0</v>
      </c>
      <c r="AL220" s="2">
        <v>0</v>
      </c>
      <c r="AM220" s="2">
        <v>9.08</v>
      </c>
      <c r="AN220" s="2">
        <v>9.08</v>
      </c>
      <c r="AO220" s="2">
        <v>0</v>
      </c>
      <c r="AP220" s="2">
        <v>0</v>
      </c>
      <c r="AQ220" s="2">
        <v>0</v>
      </c>
    </row>
    <row r="221" spans="1:43" x14ac:dyDescent="0.25">
      <c r="A221" s="1">
        <v>45936</v>
      </c>
      <c r="B221" t="s">
        <v>48</v>
      </c>
      <c r="C221">
        <v>649163</v>
      </c>
      <c r="D221">
        <v>2024789928</v>
      </c>
      <c r="E221" t="s">
        <v>686</v>
      </c>
      <c r="F221" t="s">
        <v>687</v>
      </c>
      <c r="G221" t="s">
        <v>51</v>
      </c>
      <c r="H221" t="s">
        <v>88</v>
      </c>
      <c r="I221" t="s">
        <v>89</v>
      </c>
      <c r="J221" t="s">
        <v>90</v>
      </c>
      <c r="K221">
        <v>767312</v>
      </c>
      <c r="L221" t="s">
        <v>283</v>
      </c>
      <c r="M221" t="s">
        <v>284</v>
      </c>
      <c r="N221" t="s">
        <v>57</v>
      </c>
      <c r="O221" s="1">
        <v>45545</v>
      </c>
      <c r="Q221" s="1">
        <v>45971</v>
      </c>
      <c r="R221" s="2">
        <v>27.12</v>
      </c>
      <c r="S221">
        <v>1</v>
      </c>
      <c r="T221" t="s">
        <v>58</v>
      </c>
      <c r="U221" t="s">
        <v>359</v>
      </c>
      <c r="V221" s="3">
        <v>0.1</v>
      </c>
      <c r="W221" s="2">
        <v>0</v>
      </c>
      <c r="X221">
        <v>0</v>
      </c>
      <c r="Y221" t="s">
        <v>214</v>
      </c>
      <c r="Z221" t="s">
        <v>360</v>
      </c>
      <c r="AA221">
        <v>0</v>
      </c>
      <c r="AB221" s="2">
        <v>0</v>
      </c>
      <c r="AC221" s="2">
        <v>0</v>
      </c>
      <c r="AD221" s="3">
        <v>0</v>
      </c>
      <c r="AE221" s="2">
        <v>0</v>
      </c>
      <c r="AF221" s="2">
        <v>0</v>
      </c>
      <c r="AG221" s="2">
        <v>0</v>
      </c>
      <c r="AH221" s="2">
        <v>0</v>
      </c>
      <c r="AI221" s="2">
        <v>0</v>
      </c>
      <c r="AJ221" s="2">
        <v>0</v>
      </c>
      <c r="AK221" s="2">
        <v>0</v>
      </c>
      <c r="AL221" s="2">
        <v>0</v>
      </c>
      <c r="AM221" s="2">
        <v>2.71</v>
      </c>
      <c r="AN221" s="2">
        <v>2.71</v>
      </c>
      <c r="AO221" s="2">
        <v>0</v>
      </c>
      <c r="AP221" s="2">
        <v>0</v>
      </c>
      <c r="AQ221" s="2">
        <v>0</v>
      </c>
    </row>
    <row r="222" spans="1:43" x14ac:dyDescent="0.25">
      <c r="A222" s="1">
        <v>45936</v>
      </c>
      <c r="B222" t="s">
        <v>48</v>
      </c>
      <c r="C222">
        <v>649163</v>
      </c>
      <c r="D222">
        <v>2025260278</v>
      </c>
      <c r="E222" t="s">
        <v>688</v>
      </c>
      <c r="F222" t="s">
        <v>301</v>
      </c>
      <c r="G222" t="s">
        <v>51</v>
      </c>
      <c r="H222" t="s">
        <v>122</v>
      </c>
      <c r="I222" t="s">
        <v>89</v>
      </c>
      <c r="J222" t="s">
        <v>111</v>
      </c>
      <c r="K222">
        <v>651818</v>
      </c>
      <c r="L222" t="s">
        <v>112</v>
      </c>
      <c r="M222" t="s">
        <v>104</v>
      </c>
      <c r="N222" t="s">
        <v>57</v>
      </c>
      <c r="O222" s="1">
        <v>45603</v>
      </c>
      <c r="Q222" s="1">
        <v>45968</v>
      </c>
      <c r="R222" s="2">
        <v>267.5</v>
      </c>
      <c r="S222">
        <v>1</v>
      </c>
      <c r="T222" t="s">
        <v>58</v>
      </c>
      <c r="U222" t="s">
        <v>359</v>
      </c>
      <c r="V222" s="3">
        <v>0.75</v>
      </c>
      <c r="W222" s="2">
        <v>0</v>
      </c>
      <c r="X222">
        <v>0</v>
      </c>
      <c r="Y222" t="s">
        <v>60</v>
      </c>
      <c r="Z222" t="s">
        <v>360</v>
      </c>
      <c r="AA222">
        <v>0</v>
      </c>
      <c r="AB222" s="2">
        <v>0</v>
      </c>
      <c r="AC222" s="2">
        <v>0</v>
      </c>
      <c r="AD222" s="3">
        <v>0</v>
      </c>
      <c r="AE222" s="2">
        <v>0</v>
      </c>
      <c r="AF222" s="2">
        <v>0</v>
      </c>
      <c r="AG222" s="2">
        <v>0</v>
      </c>
      <c r="AH222" s="2">
        <v>0</v>
      </c>
      <c r="AI222" s="2">
        <v>0</v>
      </c>
      <c r="AJ222" s="2">
        <v>0</v>
      </c>
      <c r="AK222" s="2">
        <v>0</v>
      </c>
      <c r="AL222" s="2">
        <v>0</v>
      </c>
      <c r="AM222" s="2">
        <v>200.62</v>
      </c>
      <c r="AN222" s="2">
        <v>200.62</v>
      </c>
      <c r="AO222" s="2">
        <v>0</v>
      </c>
      <c r="AP222" s="2">
        <v>0</v>
      </c>
      <c r="AQ222" s="2">
        <v>0</v>
      </c>
    </row>
    <row r="223" spans="1:43" x14ac:dyDescent="0.25">
      <c r="A223" s="1">
        <v>45936</v>
      </c>
      <c r="B223" t="s">
        <v>48</v>
      </c>
      <c r="C223">
        <v>649163</v>
      </c>
      <c r="D223">
        <v>2025546356</v>
      </c>
      <c r="E223" t="s">
        <v>689</v>
      </c>
      <c r="F223" t="s">
        <v>606</v>
      </c>
      <c r="G223" t="s">
        <v>51</v>
      </c>
      <c r="H223" t="s">
        <v>52</v>
      </c>
      <c r="I223" t="s">
        <v>89</v>
      </c>
      <c r="J223" t="s">
        <v>96</v>
      </c>
      <c r="K223">
        <v>651818</v>
      </c>
      <c r="L223" t="s">
        <v>112</v>
      </c>
      <c r="M223" t="s">
        <v>104</v>
      </c>
      <c r="N223" t="s">
        <v>57</v>
      </c>
      <c r="O223" s="1">
        <v>45603</v>
      </c>
      <c r="Q223" s="1">
        <v>45968</v>
      </c>
      <c r="R223" s="2">
        <v>234.5</v>
      </c>
      <c r="S223">
        <v>1</v>
      </c>
      <c r="T223" t="s">
        <v>58</v>
      </c>
      <c r="U223" t="s">
        <v>359</v>
      </c>
      <c r="V223" s="3">
        <v>0.9</v>
      </c>
      <c r="W223" s="2">
        <v>0</v>
      </c>
      <c r="X223">
        <v>0</v>
      </c>
      <c r="Y223" t="s">
        <v>60</v>
      </c>
      <c r="Z223" t="s">
        <v>360</v>
      </c>
      <c r="AA223">
        <v>0</v>
      </c>
      <c r="AB223" s="2">
        <v>0</v>
      </c>
      <c r="AC223" s="2">
        <v>0</v>
      </c>
      <c r="AD223" s="3">
        <v>0</v>
      </c>
      <c r="AE223" s="2">
        <v>0</v>
      </c>
      <c r="AF223" s="2">
        <v>0</v>
      </c>
      <c r="AG223" s="2">
        <v>0</v>
      </c>
      <c r="AH223" s="2">
        <v>0</v>
      </c>
      <c r="AI223" s="2">
        <v>0</v>
      </c>
      <c r="AJ223" s="2">
        <v>0</v>
      </c>
      <c r="AK223" s="2">
        <v>0</v>
      </c>
      <c r="AL223" s="2">
        <v>0</v>
      </c>
      <c r="AM223" s="2">
        <v>211.05</v>
      </c>
      <c r="AN223" s="2">
        <v>211.05</v>
      </c>
      <c r="AO223" s="2">
        <v>0</v>
      </c>
      <c r="AP223" s="2">
        <v>0</v>
      </c>
      <c r="AQ223" s="2">
        <v>0</v>
      </c>
    </row>
    <row r="224" spans="1:43" x14ac:dyDescent="0.25">
      <c r="A224" s="1">
        <v>45936</v>
      </c>
      <c r="B224" t="s">
        <v>48</v>
      </c>
      <c r="C224">
        <v>649163</v>
      </c>
      <c r="D224">
        <v>2025639663</v>
      </c>
      <c r="E224" t="s">
        <v>690</v>
      </c>
      <c r="F224" t="s">
        <v>224</v>
      </c>
      <c r="G224" t="s">
        <v>51</v>
      </c>
      <c r="H224" t="s">
        <v>431</v>
      </c>
      <c r="I224" t="s">
        <v>89</v>
      </c>
      <c r="J224" t="s">
        <v>111</v>
      </c>
      <c r="K224">
        <v>673059</v>
      </c>
      <c r="L224" t="s">
        <v>80</v>
      </c>
      <c r="M224" t="s">
        <v>81</v>
      </c>
      <c r="N224" t="s">
        <v>57</v>
      </c>
      <c r="O224" s="1">
        <v>45602</v>
      </c>
      <c r="Q224" s="1">
        <v>45967</v>
      </c>
      <c r="R224" s="2">
        <v>94.78</v>
      </c>
      <c r="S224">
        <v>1</v>
      </c>
      <c r="T224" t="s">
        <v>58</v>
      </c>
      <c r="U224" t="s">
        <v>359</v>
      </c>
      <c r="V224" s="3">
        <v>0.75</v>
      </c>
      <c r="W224" s="2">
        <v>0</v>
      </c>
      <c r="X224">
        <v>0</v>
      </c>
      <c r="Y224" t="s">
        <v>60</v>
      </c>
      <c r="Z224" t="s">
        <v>360</v>
      </c>
      <c r="AA224">
        <v>0</v>
      </c>
      <c r="AB224" s="2">
        <v>0</v>
      </c>
      <c r="AC224" s="2">
        <v>0</v>
      </c>
      <c r="AD224" s="3">
        <v>0</v>
      </c>
      <c r="AE224" s="2">
        <v>0</v>
      </c>
      <c r="AF224" s="2">
        <v>0</v>
      </c>
      <c r="AG224" s="2">
        <v>0</v>
      </c>
      <c r="AH224" s="2">
        <v>0</v>
      </c>
      <c r="AI224" s="2">
        <v>0</v>
      </c>
      <c r="AJ224" s="2">
        <v>0</v>
      </c>
      <c r="AK224" s="2">
        <v>0</v>
      </c>
      <c r="AL224" s="2">
        <v>0</v>
      </c>
      <c r="AM224" s="2">
        <v>71.08</v>
      </c>
      <c r="AN224" s="2">
        <v>71.08</v>
      </c>
      <c r="AO224" s="2">
        <v>0</v>
      </c>
      <c r="AP224" s="2">
        <v>0</v>
      </c>
      <c r="AQ224" s="2">
        <v>0</v>
      </c>
    </row>
    <row r="225" spans="1:43" x14ac:dyDescent="0.25">
      <c r="A225" s="1">
        <v>45936</v>
      </c>
      <c r="B225" t="s">
        <v>48</v>
      </c>
      <c r="C225">
        <v>649163</v>
      </c>
      <c r="D225">
        <v>2025655085</v>
      </c>
      <c r="E225" t="s">
        <v>691</v>
      </c>
      <c r="F225" t="s">
        <v>158</v>
      </c>
      <c r="G225" t="s">
        <v>51</v>
      </c>
      <c r="H225" t="s">
        <v>52</v>
      </c>
      <c r="I225" t="s">
        <v>89</v>
      </c>
      <c r="J225" t="s">
        <v>111</v>
      </c>
      <c r="K225">
        <v>651818</v>
      </c>
      <c r="L225" t="s">
        <v>112</v>
      </c>
      <c r="M225" t="s">
        <v>104</v>
      </c>
      <c r="N225" t="s">
        <v>57</v>
      </c>
      <c r="O225" s="1">
        <v>45604</v>
      </c>
      <c r="Q225" s="1">
        <v>45969</v>
      </c>
      <c r="R225" s="2">
        <v>68.25</v>
      </c>
      <c r="S225">
        <v>1</v>
      </c>
      <c r="T225" t="s">
        <v>58</v>
      </c>
      <c r="U225" t="s">
        <v>359</v>
      </c>
      <c r="V225" s="3">
        <v>0.75</v>
      </c>
      <c r="W225" s="2">
        <v>0</v>
      </c>
      <c r="X225">
        <v>0</v>
      </c>
      <c r="Y225" t="s">
        <v>60</v>
      </c>
      <c r="Z225" t="s">
        <v>360</v>
      </c>
      <c r="AA225">
        <v>0</v>
      </c>
      <c r="AB225" s="2">
        <v>0</v>
      </c>
      <c r="AC225" s="2">
        <v>0</v>
      </c>
      <c r="AD225" s="3">
        <v>0</v>
      </c>
      <c r="AE225" s="2">
        <v>0</v>
      </c>
      <c r="AF225" s="2">
        <v>0</v>
      </c>
      <c r="AG225" s="2">
        <v>0</v>
      </c>
      <c r="AH225" s="2">
        <v>0</v>
      </c>
      <c r="AI225" s="2">
        <v>0</v>
      </c>
      <c r="AJ225" s="2">
        <v>0</v>
      </c>
      <c r="AK225" s="2">
        <v>0</v>
      </c>
      <c r="AL225" s="2">
        <v>0</v>
      </c>
      <c r="AM225" s="2">
        <v>51.19</v>
      </c>
      <c r="AN225" s="2">
        <v>51.19</v>
      </c>
      <c r="AO225" s="2">
        <v>0</v>
      </c>
      <c r="AP225" s="2">
        <v>0</v>
      </c>
      <c r="AQ225" s="2">
        <v>0</v>
      </c>
    </row>
    <row r="226" spans="1:43" x14ac:dyDescent="0.25">
      <c r="A226" s="1">
        <v>45936</v>
      </c>
      <c r="B226" t="s">
        <v>48</v>
      </c>
      <c r="C226">
        <v>649163</v>
      </c>
      <c r="D226">
        <v>2025678173</v>
      </c>
      <c r="E226" t="s">
        <v>692</v>
      </c>
      <c r="F226" t="s">
        <v>441</v>
      </c>
      <c r="G226" t="s">
        <v>51</v>
      </c>
      <c r="H226" t="s">
        <v>105</v>
      </c>
      <c r="I226" t="s">
        <v>89</v>
      </c>
      <c r="J226" t="s">
        <v>96</v>
      </c>
      <c r="K226">
        <v>650218</v>
      </c>
      <c r="L226" t="s">
        <v>237</v>
      </c>
      <c r="M226" t="s">
        <v>238</v>
      </c>
      <c r="N226" t="s">
        <v>57</v>
      </c>
      <c r="O226" s="1">
        <v>45604</v>
      </c>
      <c r="Q226" s="1">
        <v>45969</v>
      </c>
      <c r="R226" s="2">
        <v>98.92</v>
      </c>
      <c r="S226">
        <v>1</v>
      </c>
      <c r="T226" t="s">
        <v>58</v>
      </c>
      <c r="U226" t="s">
        <v>359</v>
      </c>
      <c r="V226" s="3">
        <v>0.9</v>
      </c>
      <c r="W226" s="2">
        <v>0</v>
      </c>
      <c r="X226">
        <v>0</v>
      </c>
      <c r="Y226" t="s">
        <v>60</v>
      </c>
      <c r="Z226" t="s">
        <v>360</v>
      </c>
      <c r="AA226">
        <v>0</v>
      </c>
      <c r="AB226" s="2">
        <v>0</v>
      </c>
      <c r="AC226" s="2">
        <v>0</v>
      </c>
      <c r="AD226" s="3">
        <v>0</v>
      </c>
      <c r="AE226" s="2">
        <v>0</v>
      </c>
      <c r="AF226" s="2">
        <v>0</v>
      </c>
      <c r="AG226" s="2">
        <v>0</v>
      </c>
      <c r="AH226" s="2">
        <v>0</v>
      </c>
      <c r="AI226" s="2">
        <v>0</v>
      </c>
      <c r="AJ226" s="2">
        <v>0</v>
      </c>
      <c r="AK226" s="2">
        <v>0</v>
      </c>
      <c r="AL226" s="2">
        <v>0</v>
      </c>
      <c r="AM226" s="2">
        <v>89.03</v>
      </c>
      <c r="AN226" s="2">
        <v>89.03</v>
      </c>
      <c r="AO226" s="2">
        <v>0</v>
      </c>
      <c r="AP226" s="2">
        <v>0</v>
      </c>
      <c r="AQ226" s="2">
        <v>0</v>
      </c>
    </row>
    <row r="227" spans="1:43" x14ac:dyDescent="0.25">
      <c r="A227" s="1">
        <v>45936</v>
      </c>
      <c r="B227" t="s">
        <v>48</v>
      </c>
      <c r="C227">
        <v>649163</v>
      </c>
      <c r="D227">
        <v>2025690377</v>
      </c>
      <c r="E227" t="s">
        <v>693</v>
      </c>
      <c r="F227" t="s">
        <v>137</v>
      </c>
      <c r="G227" t="s">
        <v>51</v>
      </c>
      <c r="H227" t="s">
        <v>122</v>
      </c>
      <c r="I227" t="s">
        <v>89</v>
      </c>
      <c r="J227" t="s">
        <v>111</v>
      </c>
      <c r="K227">
        <v>651818</v>
      </c>
      <c r="L227" t="s">
        <v>112</v>
      </c>
      <c r="M227" t="s">
        <v>104</v>
      </c>
      <c r="N227" t="s">
        <v>57</v>
      </c>
      <c r="O227" s="1">
        <v>45664</v>
      </c>
      <c r="Q227" s="1">
        <v>45968</v>
      </c>
      <c r="R227" s="2">
        <v>19.63</v>
      </c>
      <c r="S227">
        <v>1</v>
      </c>
      <c r="T227" t="s">
        <v>58</v>
      </c>
      <c r="U227" t="s">
        <v>359</v>
      </c>
      <c r="V227" s="3">
        <v>0.75</v>
      </c>
      <c r="W227" s="2">
        <v>0</v>
      </c>
      <c r="X227">
        <v>0</v>
      </c>
      <c r="Y227" t="s">
        <v>60</v>
      </c>
      <c r="Z227" t="s">
        <v>360</v>
      </c>
      <c r="AA227">
        <v>0</v>
      </c>
      <c r="AB227" s="2">
        <v>0</v>
      </c>
      <c r="AC227" s="2">
        <v>0</v>
      </c>
      <c r="AD227" s="3">
        <v>0</v>
      </c>
      <c r="AE227" s="2">
        <v>0</v>
      </c>
      <c r="AF227" s="2">
        <v>0</v>
      </c>
      <c r="AG227" s="2">
        <v>0</v>
      </c>
      <c r="AH227" s="2">
        <v>0</v>
      </c>
      <c r="AI227" s="2">
        <v>0</v>
      </c>
      <c r="AJ227" s="2">
        <v>0</v>
      </c>
      <c r="AK227" s="2">
        <v>0</v>
      </c>
      <c r="AL227" s="2">
        <v>0</v>
      </c>
      <c r="AM227" s="2">
        <v>14.72</v>
      </c>
      <c r="AN227" s="2">
        <v>14.72</v>
      </c>
      <c r="AO227" s="2">
        <v>0</v>
      </c>
      <c r="AP227" s="2">
        <v>0</v>
      </c>
      <c r="AQ227" s="2">
        <v>0</v>
      </c>
    </row>
    <row r="228" spans="1:43" x14ac:dyDescent="0.25">
      <c r="A228" s="1">
        <v>45936</v>
      </c>
      <c r="B228" t="s">
        <v>48</v>
      </c>
      <c r="C228">
        <v>649163</v>
      </c>
      <c r="D228">
        <v>2025708570</v>
      </c>
      <c r="E228" t="s">
        <v>694</v>
      </c>
      <c r="F228" t="s">
        <v>179</v>
      </c>
      <c r="G228" t="s">
        <v>51</v>
      </c>
      <c r="H228" t="s">
        <v>101</v>
      </c>
      <c r="I228" t="s">
        <v>89</v>
      </c>
      <c r="J228" t="s">
        <v>111</v>
      </c>
      <c r="K228">
        <v>651818</v>
      </c>
      <c r="L228" t="s">
        <v>112</v>
      </c>
      <c r="M228" t="s">
        <v>104</v>
      </c>
      <c r="N228" t="s">
        <v>57</v>
      </c>
      <c r="O228" s="1">
        <v>45664</v>
      </c>
      <c r="Q228" s="1">
        <v>45968</v>
      </c>
      <c r="R228" s="2">
        <v>200.35</v>
      </c>
      <c r="S228">
        <v>1</v>
      </c>
      <c r="T228" t="s">
        <v>58</v>
      </c>
      <c r="U228" t="s">
        <v>359</v>
      </c>
      <c r="V228" s="3">
        <v>0.75</v>
      </c>
      <c r="W228" s="2">
        <v>0</v>
      </c>
      <c r="X228">
        <v>0</v>
      </c>
      <c r="Y228" t="s">
        <v>60</v>
      </c>
      <c r="Z228" t="s">
        <v>360</v>
      </c>
      <c r="AA228">
        <v>0</v>
      </c>
      <c r="AB228" s="2">
        <v>0</v>
      </c>
      <c r="AC228" s="2">
        <v>0</v>
      </c>
      <c r="AD228" s="3">
        <v>0</v>
      </c>
      <c r="AE228" s="2">
        <v>0</v>
      </c>
      <c r="AF228" s="2">
        <v>0</v>
      </c>
      <c r="AG228" s="2">
        <v>0</v>
      </c>
      <c r="AH228" s="2">
        <v>0</v>
      </c>
      <c r="AI228" s="2">
        <v>0</v>
      </c>
      <c r="AJ228" s="2">
        <v>0</v>
      </c>
      <c r="AK228" s="2">
        <v>0</v>
      </c>
      <c r="AL228" s="2">
        <v>0</v>
      </c>
      <c r="AM228" s="2">
        <v>150.26</v>
      </c>
      <c r="AN228" s="2">
        <v>150.26</v>
      </c>
      <c r="AO228" s="2">
        <v>0</v>
      </c>
      <c r="AP228" s="2">
        <v>0</v>
      </c>
      <c r="AQ228" s="2">
        <v>0</v>
      </c>
    </row>
    <row r="229" spans="1:43" x14ac:dyDescent="0.25">
      <c r="A229" s="1">
        <v>45936</v>
      </c>
      <c r="B229" t="s">
        <v>48</v>
      </c>
      <c r="C229">
        <v>649163</v>
      </c>
      <c r="D229">
        <v>2025732432</v>
      </c>
      <c r="E229" t="s">
        <v>695</v>
      </c>
      <c r="F229" t="s">
        <v>353</v>
      </c>
      <c r="G229" t="s">
        <v>51</v>
      </c>
      <c r="H229" t="s">
        <v>376</v>
      </c>
      <c r="I229" t="s">
        <v>89</v>
      </c>
      <c r="J229" t="s">
        <v>111</v>
      </c>
      <c r="K229">
        <v>651818</v>
      </c>
      <c r="L229" t="s">
        <v>112</v>
      </c>
      <c r="M229" t="s">
        <v>104</v>
      </c>
      <c r="N229" t="s">
        <v>57</v>
      </c>
      <c r="O229" s="1">
        <v>45664</v>
      </c>
      <c r="Q229" s="1">
        <v>45968</v>
      </c>
      <c r="R229" s="2">
        <v>93.93</v>
      </c>
      <c r="S229">
        <v>1</v>
      </c>
      <c r="T229" t="s">
        <v>58</v>
      </c>
      <c r="U229" t="s">
        <v>359</v>
      </c>
      <c r="V229" s="3">
        <v>0.75</v>
      </c>
      <c r="W229" s="2">
        <v>0</v>
      </c>
      <c r="X229">
        <v>0</v>
      </c>
      <c r="Y229" t="s">
        <v>60</v>
      </c>
      <c r="Z229" t="s">
        <v>360</v>
      </c>
      <c r="AA229">
        <v>0</v>
      </c>
      <c r="AB229" s="2">
        <v>0</v>
      </c>
      <c r="AC229" s="2">
        <v>0</v>
      </c>
      <c r="AD229" s="3">
        <v>0</v>
      </c>
      <c r="AE229" s="2">
        <v>0</v>
      </c>
      <c r="AF229" s="2">
        <v>0</v>
      </c>
      <c r="AG229" s="2">
        <v>0</v>
      </c>
      <c r="AH229" s="2">
        <v>0</v>
      </c>
      <c r="AI229" s="2">
        <v>0</v>
      </c>
      <c r="AJ229" s="2">
        <v>0</v>
      </c>
      <c r="AK229" s="2">
        <v>0</v>
      </c>
      <c r="AL229" s="2">
        <v>0</v>
      </c>
      <c r="AM229" s="2">
        <v>70.45</v>
      </c>
      <c r="AN229" s="2">
        <v>70.45</v>
      </c>
      <c r="AO229" s="2">
        <v>0</v>
      </c>
      <c r="AP229" s="2">
        <v>0</v>
      </c>
      <c r="AQ229" s="2">
        <v>0</v>
      </c>
    </row>
    <row r="230" spans="1:43" x14ac:dyDescent="0.25">
      <c r="A230" s="1">
        <v>45936</v>
      </c>
      <c r="B230" t="s">
        <v>48</v>
      </c>
      <c r="C230">
        <v>649163</v>
      </c>
      <c r="D230">
        <v>2025772485</v>
      </c>
      <c r="E230" t="s">
        <v>526</v>
      </c>
      <c r="F230" t="s">
        <v>429</v>
      </c>
      <c r="G230" t="s">
        <v>51</v>
      </c>
      <c r="H230" t="s">
        <v>52</v>
      </c>
      <c r="I230" t="s">
        <v>89</v>
      </c>
      <c r="J230" t="s">
        <v>111</v>
      </c>
      <c r="K230">
        <v>651818</v>
      </c>
      <c r="L230" t="s">
        <v>112</v>
      </c>
      <c r="M230" t="s">
        <v>104</v>
      </c>
      <c r="N230" t="s">
        <v>57</v>
      </c>
      <c r="O230" s="1">
        <v>45633</v>
      </c>
      <c r="Q230" s="1">
        <v>45968</v>
      </c>
      <c r="R230" s="2">
        <v>157.47999999999999</v>
      </c>
      <c r="S230">
        <v>1</v>
      </c>
      <c r="T230" t="s">
        <v>58</v>
      </c>
      <c r="U230" t="s">
        <v>359</v>
      </c>
      <c r="V230" s="3">
        <v>0.75</v>
      </c>
      <c r="W230" s="2">
        <v>0</v>
      </c>
      <c r="X230">
        <v>0</v>
      </c>
      <c r="Y230" t="s">
        <v>60</v>
      </c>
      <c r="Z230" t="s">
        <v>360</v>
      </c>
      <c r="AA230">
        <v>0</v>
      </c>
      <c r="AB230" s="2">
        <v>0</v>
      </c>
      <c r="AC230" s="2">
        <v>0</v>
      </c>
      <c r="AD230" s="3">
        <v>0</v>
      </c>
      <c r="AE230" s="2">
        <v>0</v>
      </c>
      <c r="AF230" s="2">
        <v>0</v>
      </c>
      <c r="AG230" s="2">
        <v>0</v>
      </c>
      <c r="AH230" s="2">
        <v>0</v>
      </c>
      <c r="AI230" s="2">
        <v>0</v>
      </c>
      <c r="AJ230" s="2">
        <v>0</v>
      </c>
      <c r="AK230" s="2">
        <v>0</v>
      </c>
      <c r="AL230" s="2">
        <v>0</v>
      </c>
      <c r="AM230" s="2">
        <v>118.11</v>
      </c>
      <c r="AN230" s="2">
        <v>118.11</v>
      </c>
      <c r="AO230" s="2">
        <v>0</v>
      </c>
      <c r="AP230" s="2">
        <v>0</v>
      </c>
      <c r="AQ230" s="2">
        <v>0</v>
      </c>
    </row>
    <row r="231" spans="1:43" x14ac:dyDescent="0.25">
      <c r="A231" s="1">
        <v>45936</v>
      </c>
      <c r="B231" t="s">
        <v>48</v>
      </c>
      <c r="C231">
        <v>649163</v>
      </c>
      <c r="D231">
        <v>2025815280</v>
      </c>
      <c r="E231" t="s">
        <v>696</v>
      </c>
      <c r="F231" t="s">
        <v>697</v>
      </c>
      <c r="G231" t="s">
        <v>51</v>
      </c>
      <c r="H231" t="s">
        <v>122</v>
      </c>
      <c r="I231" t="s">
        <v>89</v>
      </c>
      <c r="J231" t="s">
        <v>111</v>
      </c>
      <c r="K231">
        <v>651818</v>
      </c>
      <c r="L231" t="s">
        <v>112</v>
      </c>
      <c r="M231" t="s">
        <v>104</v>
      </c>
      <c r="N231" t="s">
        <v>57</v>
      </c>
      <c r="O231" s="1">
        <v>45633</v>
      </c>
      <c r="Q231" s="1">
        <v>45968</v>
      </c>
      <c r="R231" s="2">
        <v>12.1</v>
      </c>
      <c r="S231">
        <v>1</v>
      </c>
      <c r="T231" t="s">
        <v>58</v>
      </c>
      <c r="U231" t="s">
        <v>359</v>
      </c>
      <c r="V231" s="3">
        <v>0.75</v>
      </c>
      <c r="W231" s="2">
        <v>0</v>
      </c>
      <c r="X231">
        <v>0</v>
      </c>
      <c r="Y231" t="s">
        <v>60</v>
      </c>
      <c r="Z231" t="s">
        <v>360</v>
      </c>
      <c r="AA231">
        <v>0</v>
      </c>
      <c r="AB231" s="2">
        <v>0</v>
      </c>
      <c r="AC231" s="2">
        <v>0</v>
      </c>
      <c r="AD231" s="3">
        <v>0</v>
      </c>
      <c r="AE231" s="2">
        <v>0</v>
      </c>
      <c r="AF231" s="2">
        <v>0</v>
      </c>
      <c r="AG231" s="2">
        <v>0</v>
      </c>
      <c r="AH231" s="2">
        <v>0</v>
      </c>
      <c r="AI231" s="2">
        <v>0</v>
      </c>
      <c r="AJ231" s="2">
        <v>0</v>
      </c>
      <c r="AK231" s="2">
        <v>0</v>
      </c>
      <c r="AL231" s="2">
        <v>0</v>
      </c>
      <c r="AM231" s="2">
        <v>9.08</v>
      </c>
      <c r="AN231" s="2">
        <v>9.08</v>
      </c>
      <c r="AO231" s="2">
        <v>0</v>
      </c>
      <c r="AP231" s="2">
        <v>0</v>
      </c>
      <c r="AQ231" s="2">
        <v>0</v>
      </c>
    </row>
    <row r="232" spans="1:43" x14ac:dyDescent="0.25">
      <c r="A232" s="1">
        <v>45936</v>
      </c>
      <c r="B232" t="s">
        <v>48</v>
      </c>
      <c r="C232">
        <v>649163</v>
      </c>
      <c r="D232">
        <v>2025839021</v>
      </c>
      <c r="E232" t="s">
        <v>698</v>
      </c>
      <c r="F232" t="s">
        <v>139</v>
      </c>
      <c r="G232" t="s">
        <v>51</v>
      </c>
      <c r="H232" t="s">
        <v>129</v>
      </c>
      <c r="I232" t="s">
        <v>89</v>
      </c>
      <c r="J232" t="s">
        <v>96</v>
      </c>
      <c r="K232">
        <v>651818</v>
      </c>
      <c r="L232" t="s">
        <v>112</v>
      </c>
      <c r="M232" t="s">
        <v>104</v>
      </c>
      <c r="N232" t="s">
        <v>57</v>
      </c>
      <c r="O232" s="1">
        <v>45633</v>
      </c>
      <c r="Q232" s="1">
        <v>45968</v>
      </c>
      <c r="R232" s="2">
        <v>104.44</v>
      </c>
      <c r="S232">
        <v>1</v>
      </c>
      <c r="T232" t="s">
        <v>58</v>
      </c>
      <c r="U232" t="s">
        <v>359</v>
      </c>
      <c r="V232" s="3">
        <v>0.9</v>
      </c>
      <c r="W232" s="2">
        <v>0</v>
      </c>
      <c r="X232">
        <v>0</v>
      </c>
      <c r="Y232" t="s">
        <v>60</v>
      </c>
      <c r="Z232" t="s">
        <v>360</v>
      </c>
      <c r="AA232">
        <v>0</v>
      </c>
      <c r="AB232" s="2">
        <v>0</v>
      </c>
      <c r="AC232" s="2">
        <v>0</v>
      </c>
      <c r="AD232" s="3">
        <v>0</v>
      </c>
      <c r="AE232" s="2">
        <v>0</v>
      </c>
      <c r="AF232" s="2">
        <v>0</v>
      </c>
      <c r="AG232" s="2">
        <v>0</v>
      </c>
      <c r="AH232" s="2">
        <v>0</v>
      </c>
      <c r="AI232" s="2">
        <v>0</v>
      </c>
      <c r="AJ232" s="2">
        <v>0</v>
      </c>
      <c r="AK232" s="2">
        <v>0</v>
      </c>
      <c r="AL232" s="2">
        <v>0</v>
      </c>
      <c r="AM232" s="2">
        <v>94</v>
      </c>
      <c r="AN232" s="2">
        <v>94</v>
      </c>
      <c r="AO232" s="2">
        <v>0</v>
      </c>
      <c r="AP232" s="2">
        <v>0</v>
      </c>
      <c r="AQ232" s="2">
        <v>0</v>
      </c>
    </row>
    <row r="233" spans="1:43" x14ac:dyDescent="0.25">
      <c r="A233" s="1">
        <v>45936</v>
      </c>
      <c r="B233" t="s">
        <v>48</v>
      </c>
      <c r="C233">
        <v>649163</v>
      </c>
      <c r="D233">
        <v>2025863139</v>
      </c>
      <c r="E233" t="s">
        <v>699</v>
      </c>
      <c r="F233" t="s">
        <v>700</v>
      </c>
      <c r="G233" t="s">
        <v>51</v>
      </c>
      <c r="H233" t="s">
        <v>52</v>
      </c>
      <c r="I233" t="s">
        <v>89</v>
      </c>
      <c r="J233" t="s">
        <v>111</v>
      </c>
      <c r="K233">
        <v>651818</v>
      </c>
      <c r="L233" t="s">
        <v>112</v>
      </c>
      <c r="M233" t="s">
        <v>104</v>
      </c>
      <c r="N233" t="s">
        <v>57</v>
      </c>
      <c r="O233" s="1">
        <v>45633</v>
      </c>
      <c r="Q233" s="1">
        <v>45968</v>
      </c>
      <c r="R233" s="2">
        <v>107.02</v>
      </c>
      <c r="S233">
        <v>1</v>
      </c>
      <c r="T233" t="s">
        <v>58</v>
      </c>
      <c r="U233" t="s">
        <v>359</v>
      </c>
      <c r="V233" s="3">
        <v>0.75</v>
      </c>
      <c r="W233" s="2">
        <v>0</v>
      </c>
      <c r="X233">
        <v>0</v>
      </c>
      <c r="Y233" t="s">
        <v>60</v>
      </c>
      <c r="Z233" t="s">
        <v>360</v>
      </c>
      <c r="AA233">
        <v>0</v>
      </c>
      <c r="AB233" s="2">
        <v>0</v>
      </c>
      <c r="AC233" s="2">
        <v>0</v>
      </c>
      <c r="AD233" s="3">
        <v>0</v>
      </c>
      <c r="AE233" s="2">
        <v>0</v>
      </c>
      <c r="AF233" s="2">
        <v>0</v>
      </c>
      <c r="AG233" s="2">
        <v>0</v>
      </c>
      <c r="AH233" s="2">
        <v>0</v>
      </c>
      <c r="AI233" s="2">
        <v>0</v>
      </c>
      <c r="AJ233" s="2">
        <v>0</v>
      </c>
      <c r="AK233" s="2">
        <v>0</v>
      </c>
      <c r="AL233" s="2">
        <v>0</v>
      </c>
      <c r="AM233" s="2">
        <v>80.260000000000005</v>
      </c>
      <c r="AN233" s="2">
        <v>80.260000000000005</v>
      </c>
      <c r="AO233" s="2">
        <v>0</v>
      </c>
      <c r="AP233" s="2">
        <v>0</v>
      </c>
      <c r="AQ233" s="2">
        <v>0</v>
      </c>
    </row>
    <row r="234" spans="1:43" x14ac:dyDescent="0.25">
      <c r="A234" s="1">
        <v>45936</v>
      </c>
      <c r="B234" t="s">
        <v>48</v>
      </c>
      <c r="C234">
        <v>649163</v>
      </c>
      <c r="D234">
        <v>2025884355</v>
      </c>
      <c r="E234" t="s">
        <v>148</v>
      </c>
      <c r="F234" t="s">
        <v>535</v>
      </c>
      <c r="G234" t="s">
        <v>51</v>
      </c>
      <c r="H234" t="s">
        <v>52</v>
      </c>
      <c r="I234" t="s">
        <v>89</v>
      </c>
      <c r="J234" t="s">
        <v>111</v>
      </c>
      <c r="K234">
        <v>651818</v>
      </c>
      <c r="L234" t="s">
        <v>112</v>
      </c>
      <c r="M234" t="s">
        <v>104</v>
      </c>
      <c r="N234" t="s">
        <v>57</v>
      </c>
      <c r="O234" s="1">
        <v>45633</v>
      </c>
      <c r="Q234" s="1">
        <v>45968</v>
      </c>
      <c r="R234" s="2">
        <v>113.85</v>
      </c>
      <c r="S234">
        <v>1</v>
      </c>
      <c r="T234" t="s">
        <v>58</v>
      </c>
      <c r="U234" t="s">
        <v>359</v>
      </c>
      <c r="V234" s="3">
        <v>0.75</v>
      </c>
      <c r="W234" s="2">
        <v>0</v>
      </c>
      <c r="X234">
        <v>0</v>
      </c>
      <c r="Y234" t="s">
        <v>60</v>
      </c>
      <c r="Z234" t="s">
        <v>360</v>
      </c>
      <c r="AA234">
        <v>0</v>
      </c>
      <c r="AB234" s="2">
        <v>0</v>
      </c>
      <c r="AC234" s="2">
        <v>0</v>
      </c>
      <c r="AD234" s="3">
        <v>0</v>
      </c>
      <c r="AE234" s="2">
        <v>0</v>
      </c>
      <c r="AF234" s="2">
        <v>0</v>
      </c>
      <c r="AG234" s="2">
        <v>0</v>
      </c>
      <c r="AH234" s="2">
        <v>0</v>
      </c>
      <c r="AI234" s="2">
        <v>0</v>
      </c>
      <c r="AJ234" s="2">
        <v>0</v>
      </c>
      <c r="AK234" s="2">
        <v>0</v>
      </c>
      <c r="AL234" s="2">
        <v>0</v>
      </c>
      <c r="AM234" s="2">
        <v>85.39</v>
      </c>
      <c r="AN234" s="2">
        <v>85.39</v>
      </c>
      <c r="AO234" s="2">
        <v>0</v>
      </c>
      <c r="AP234" s="2">
        <v>0</v>
      </c>
      <c r="AQ234" s="2">
        <v>0</v>
      </c>
    </row>
    <row r="235" spans="1:43" x14ac:dyDescent="0.25">
      <c r="A235" s="1">
        <v>45936</v>
      </c>
      <c r="B235" t="s">
        <v>48</v>
      </c>
      <c r="C235">
        <v>649163</v>
      </c>
      <c r="D235">
        <v>2025887935</v>
      </c>
      <c r="E235" t="s">
        <v>701</v>
      </c>
      <c r="F235" t="s">
        <v>337</v>
      </c>
      <c r="G235" t="s">
        <v>51</v>
      </c>
      <c r="H235" t="s">
        <v>129</v>
      </c>
      <c r="I235" t="s">
        <v>89</v>
      </c>
      <c r="J235" t="s">
        <v>111</v>
      </c>
      <c r="K235">
        <v>651818</v>
      </c>
      <c r="L235" t="s">
        <v>112</v>
      </c>
      <c r="M235" t="s">
        <v>104</v>
      </c>
      <c r="N235" t="s">
        <v>57</v>
      </c>
      <c r="O235" s="1">
        <v>45633</v>
      </c>
      <c r="Q235" s="1">
        <v>45968</v>
      </c>
      <c r="R235" s="2">
        <v>95.25</v>
      </c>
      <c r="S235">
        <v>1</v>
      </c>
      <c r="T235" t="s">
        <v>58</v>
      </c>
      <c r="U235" t="s">
        <v>359</v>
      </c>
      <c r="V235" s="3">
        <v>0.75</v>
      </c>
      <c r="W235" s="2">
        <v>0</v>
      </c>
      <c r="X235">
        <v>0</v>
      </c>
      <c r="Y235" t="s">
        <v>60</v>
      </c>
      <c r="Z235" t="s">
        <v>360</v>
      </c>
      <c r="AA235">
        <v>0</v>
      </c>
      <c r="AB235" s="2">
        <v>0</v>
      </c>
      <c r="AC235" s="2">
        <v>0</v>
      </c>
      <c r="AD235" s="3">
        <v>0</v>
      </c>
      <c r="AE235" s="2">
        <v>0</v>
      </c>
      <c r="AF235" s="2">
        <v>0</v>
      </c>
      <c r="AG235" s="2">
        <v>0</v>
      </c>
      <c r="AH235" s="2">
        <v>0</v>
      </c>
      <c r="AI235" s="2">
        <v>0</v>
      </c>
      <c r="AJ235" s="2">
        <v>0</v>
      </c>
      <c r="AK235" s="2">
        <v>0</v>
      </c>
      <c r="AL235" s="2">
        <v>0</v>
      </c>
      <c r="AM235" s="2">
        <v>71.44</v>
      </c>
      <c r="AN235" s="2">
        <v>71.44</v>
      </c>
      <c r="AO235" s="2">
        <v>0</v>
      </c>
      <c r="AP235" s="2">
        <v>0</v>
      </c>
      <c r="AQ235" s="2">
        <v>0</v>
      </c>
    </row>
    <row r="236" spans="1:43" x14ac:dyDescent="0.25">
      <c r="A236" s="1">
        <v>45936</v>
      </c>
      <c r="B236" t="s">
        <v>48</v>
      </c>
      <c r="C236">
        <v>649163</v>
      </c>
      <c r="D236">
        <v>2025896510</v>
      </c>
      <c r="E236" t="s">
        <v>702</v>
      </c>
      <c r="F236" t="s">
        <v>227</v>
      </c>
      <c r="G236" t="s">
        <v>51</v>
      </c>
      <c r="H236" t="s">
        <v>646</v>
      </c>
      <c r="I236" t="s">
        <v>89</v>
      </c>
      <c r="J236" t="s">
        <v>111</v>
      </c>
      <c r="K236">
        <v>651818</v>
      </c>
      <c r="L236" t="s">
        <v>112</v>
      </c>
      <c r="M236" t="s">
        <v>104</v>
      </c>
      <c r="N236" t="s">
        <v>57</v>
      </c>
      <c r="O236" s="1">
        <v>45633</v>
      </c>
      <c r="Q236" s="1">
        <v>45968</v>
      </c>
      <c r="R236" s="2">
        <v>131.94999999999999</v>
      </c>
      <c r="S236">
        <v>1</v>
      </c>
      <c r="T236" t="s">
        <v>58</v>
      </c>
      <c r="U236" t="s">
        <v>359</v>
      </c>
      <c r="V236" s="3">
        <v>0.75</v>
      </c>
      <c r="W236" s="2">
        <v>0</v>
      </c>
      <c r="X236">
        <v>0</v>
      </c>
      <c r="Y236" t="s">
        <v>60</v>
      </c>
      <c r="Z236" t="s">
        <v>360</v>
      </c>
      <c r="AA236">
        <v>0</v>
      </c>
      <c r="AB236" s="2">
        <v>0</v>
      </c>
      <c r="AC236" s="2">
        <v>0</v>
      </c>
      <c r="AD236" s="3">
        <v>0</v>
      </c>
      <c r="AE236" s="2">
        <v>0</v>
      </c>
      <c r="AF236" s="2">
        <v>0</v>
      </c>
      <c r="AG236" s="2">
        <v>0</v>
      </c>
      <c r="AH236" s="2">
        <v>0</v>
      </c>
      <c r="AI236" s="2">
        <v>0</v>
      </c>
      <c r="AJ236" s="2">
        <v>0</v>
      </c>
      <c r="AK236" s="2">
        <v>0</v>
      </c>
      <c r="AL236" s="2">
        <v>0</v>
      </c>
      <c r="AM236" s="2">
        <v>98.96</v>
      </c>
      <c r="AN236" s="2">
        <v>98.96</v>
      </c>
      <c r="AO236" s="2">
        <v>0</v>
      </c>
      <c r="AP236" s="2">
        <v>0</v>
      </c>
      <c r="AQ236" s="2">
        <v>0</v>
      </c>
    </row>
    <row r="237" spans="1:43" x14ac:dyDescent="0.25">
      <c r="A237" s="1">
        <v>45936</v>
      </c>
      <c r="B237" t="s">
        <v>48</v>
      </c>
      <c r="C237">
        <v>649163</v>
      </c>
      <c r="D237">
        <v>2026036711</v>
      </c>
      <c r="E237" t="s">
        <v>703</v>
      </c>
      <c r="F237" t="s">
        <v>63</v>
      </c>
      <c r="G237" t="s">
        <v>51</v>
      </c>
      <c r="H237" t="s">
        <v>101</v>
      </c>
      <c r="I237" t="s">
        <v>89</v>
      </c>
      <c r="J237" t="s">
        <v>96</v>
      </c>
      <c r="K237">
        <v>651818</v>
      </c>
      <c r="L237" t="s">
        <v>112</v>
      </c>
      <c r="M237" t="s">
        <v>104</v>
      </c>
      <c r="N237" t="s">
        <v>57</v>
      </c>
      <c r="O237" s="1">
        <v>45664</v>
      </c>
      <c r="Q237" s="1">
        <v>45968</v>
      </c>
      <c r="R237" s="2">
        <v>152.33000000000001</v>
      </c>
      <c r="S237">
        <v>1</v>
      </c>
      <c r="T237" t="s">
        <v>58</v>
      </c>
      <c r="U237" t="s">
        <v>359</v>
      </c>
      <c r="V237" s="3">
        <v>0.9</v>
      </c>
      <c r="W237" s="2">
        <v>0</v>
      </c>
      <c r="X237">
        <v>0</v>
      </c>
      <c r="Y237" t="s">
        <v>60</v>
      </c>
      <c r="Z237" t="s">
        <v>360</v>
      </c>
      <c r="AA237">
        <v>0</v>
      </c>
      <c r="AB237" s="2">
        <v>0</v>
      </c>
      <c r="AC237" s="2">
        <v>0</v>
      </c>
      <c r="AD237" s="3">
        <v>0</v>
      </c>
      <c r="AE237" s="2">
        <v>0</v>
      </c>
      <c r="AF237" s="2">
        <v>0</v>
      </c>
      <c r="AG237" s="2">
        <v>0</v>
      </c>
      <c r="AH237" s="2">
        <v>0</v>
      </c>
      <c r="AI237" s="2">
        <v>0</v>
      </c>
      <c r="AJ237" s="2">
        <v>0</v>
      </c>
      <c r="AK237" s="2">
        <v>0</v>
      </c>
      <c r="AL237" s="2">
        <v>0</v>
      </c>
      <c r="AM237" s="2">
        <v>137.1</v>
      </c>
      <c r="AN237" s="2">
        <v>137.1</v>
      </c>
      <c r="AO237" s="2">
        <v>0</v>
      </c>
      <c r="AP237" s="2">
        <v>0</v>
      </c>
      <c r="AQ237" s="2">
        <v>0</v>
      </c>
    </row>
    <row r="238" spans="1:43" x14ac:dyDescent="0.25">
      <c r="A238" s="1">
        <v>45936</v>
      </c>
      <c r="B238" t="s">
        <v>48</v>
      </c>
      <c r="C238">
        <v>649163</v>
      </c>
      <c r="D238">
        <v>2026050471</v>
      </c>
      <c r="E238" t="s">
        <v>704</v>
      </c>
      <c r="F238" t="s">
        <v>72</v>
      </c>
      <c r="G238" t="s">
        <v>51</v>
      </c>
      <c r="H238" t="s">
        <v>203</v>
      </c>
      <c r="I238" t="s">
        <v>89</v>
      </c>
      <c r="J238" t="s">
        <v>96</v>
      </c>
      <c r="K238">
        <v>796984</v>
      </c>
      <c r="L238" t="s">
        <v>204</v>
      </c>
      <c r="M238" t="s">
        <v>205</v>
      </c>
      <c r="N238" t="s">
        <v>57</v>
      </c>
      <c r="O238" s="1">
        <v>45632</v>
      </c>
      <c r="Q238" s="1">
        <v>45967</v>
      </c>
      <c r="R238" s="2">
        <v>66.75</v>
      </c>
      <c r="S238">
        <v>1</v>
      </c>
      <c r="T238" t="s">
        <v>58</v>
      </c>
      <c r="U238" t="s">
        <v>359</v>
      </c>
      <c r="V238" s="3">
        <v>0.9</v>
      </c>
      <c r="W238" s="2">
        <v>0</v>
      </c>
      <c r="X238">
        <v>0</v>
      </c>
      <c r="Y238" t="s">
        <v>60</v>
      </c>
      <c r="Z238" t="s">
        <v>360</v>
      </c>
      <c r="AA238">
        <v>0</v>
      </c>
      <c r="AB238" s="2">
        <v>0</v>
      </c>
      <c r="AC238" s="2">
        <v>0</v>
      </c>
      <c r="AD238" s="3">
        <v>0</v>
      </c>
      <c r="AE238" s="2">
        <v>0</v>
      </c>
      <c r="AF238" s="2">
        <v>0</v>
      </c>
      <c r="AG238" s="2">
        <v>0</v>
      </c>
      <c r="AH238" s="2">
        <v>0</v>
      </c>
      <c r="AI238" s="2">
        <v>0</v>
      </c>
      <c r="AJ238" s="2">
        <v>0</v>
      </c>
      <c r="AK238" s="2">
        <v>0</v>
      </c>
      <c r="AL238" s="2">
        <v>0</v>
      </c>
      <c r="AM238" s="2">
        <v>60.08</v>
      </c>
      <c r="AN238" s="2">
        <v>60.08</v>
      </c>
      <c r="AO238" s="2">
        <v>0</v>
      </c>
      <c r="AP238" s="2">
        <v>0</v>
      </c>
      <c r="AQ238" s="2">
        <v>0</v>
      </c>
    </row>
    <row r="239" spans="1:43" x14ac:dyDescent="0.25">
      <c r="A239" s="1">
        <v>45936</v>
      </c>
      <c r="B239" t="s">
        <v>48</v>
      </c>
      <c r="C239">
        <v>649163</v>
      </c>
      <c r="D239">
        <v>2026053293</v>
      </c>
      <c r="E239" t="s">
        <v>705</v>
      </c>
      <c r="F239" t="s">
        <v>393</v>
      </c>
      <c r="G239" t="s">
        <v>51</v>
      </c>
      <c r="H239" t="s">
        <v>101</v>
      </c>
      <c r="I239" t="s">
        <v>89</v>
      </c>
      <c r="J239" t="s">
        <v>111</v>
      </c>
      <c r="K239">
        <v>651818</v>
      </c>
      <c r="L239" t="s">
        <v>112</v>
      </c>
      <c r="M239" t="s">
        <v>104</v>
      </c>
      <c r="N239" t="s">
        <v>57</v>
      </c>
      <c r="O239" s="1">
        <v>45664</v>
      </c>
      <c r="Q239" s="1">
        <v>45968</v>
      </c>
      <c r="R239" s="2">
        <v>78.430000000000007</v>
      </c>
      <c r="S239">
        <v>1</v>
      </c>
      <c r="T239" t="s">
        <v>58</v>
      </c>
      <c r="U239" t="s">
        <v>359</v>
      </c>
      <c r="V239" s="3">
        <v>0.75</v>
      </c>
      <c r="W239" s="2">
        <v>0</v>
      </c>
      <c r="X239">
        <v>0</v>
      </c>
      <c r="Y239" t="s">
        <v>60</v>
      </c>
      <c r="Z239" t="s">
        <v>360</v>
      </c>
      <c r="AA239">
        <v>0</v>
      </c>
      <c r="AB239" s="2">
        <v>0</v>
      </c>
      <c r="AC239" s="2">
        <v>0</v>
      </c>
      <c r="AD239" s="3">
        <v>0</v>
      </c>
      <c r="AE239" s="2">
        <v>0</v>
      </c>
      <c r="AF239" s="2">
        <v>0</v>
      </c>
      <c r="AG239" s="2">
        <v>0</v>
      </c>
      <c r="AH239" s="2">
        <v>0</v>
      </c>
      <c r="AI239" s="2">
        <v>0</v>
      </c>
      <c r="AJ239" s="2">
        <v>0</v>
      </c>
      <c r="AK239" s="2">
        <v>0</v>
      </c>
      <c r="AL239" s="2">
        <v>0</v>
      </c>
      <c r="AM239" s="2">
        <v>58.82</v>
      </c>
      <c r="AN239" s="2">
        <v>58.82</v>
      </c>
      <c r="AO239" s="2">
        <v>0</v>
      </c>
      <c r="AP239" s="2">
        <v>0</v>
      </c>
      <c r="AQ239" s="2">
        <v>0</v>
      </c>
    </row>
    <row r="240" spans="1:43" x14ac:dyDescent="0.25">
      <c r="A240" s="1">
        <v>45936</v>
      </c>
      <c r="B240" t="s">
        <v>48</v>
      </c>
      <c r="C240">
        <v>649163</v>
      </c>
      <c r="D240">
        <v>2026082703</v>
      </c>
      <c r="E240" t="s">
        <v>706</v>
      </c>
      <c r="F240" t="s">
        <v>194</v>
      </c>
      <c r="G240" t="s">
        <v>51</v>
      </c>
      <c r="H240" t="s">
        <v>115</v>
      </c>
      <c r="I240" t="s">
        <v>89</v>
      </c>
      <c r="J240" t="s">
        <v>111</v>
      </c>
      <c r="K240">
        <v>651818</v>
      </c>
      <c r="L240" t="s">
        <v>112</v>
      </c>
      <c r="M240" t="s">
        <v>104</v>
      </c>
      <c r="N240" t="s">
        <v>57</v>
      </c>
      <c r="O240" s="1">
        <v>45664</v>
      </c>
      <c r="Q240" s="1">
        <v>45968</v>
      </c>
      <c r="R240" s="2">
        <v>148.53</v>
      </c>
      <c r="S240">
        <v>1</v>
      </c>
      <c r="T240" t="s">
        <v>58</v>
      </c>
      <c r="U240" t="s">
        <v>359</v>
      </c>
      <c r="V240" s="3">
        <v>0.75</v>
      </c>
      <c r="W240" s="2">
        <v>0</v>
      </c>
      <c r="X240">
        <v>0</v>
      </c>
      <c r="Y240" t="s">
        <v>60</v>
      </c>
      <c r="Z240" t="s">
        <v>360</v>
      </c>
      <c r="AA240">
        <v>0</v>
      </c>
      <c r="AB240" s="2">
        <v>0</v>
      </c>
      <c r="AC240" s="2">
        <v>0</v>
      </c>
      <c r="AD240" s="3">
        <v>0</v>
      </c>
      <c r="AE240" s="2">
        <v>0</v>
      </c>
      <c r="AF240" s="2">
        <v>0</v>
      </c>
      <c r="AG240" s="2">
        <v>0</v>
      </c>
      <c r="AH240" s="2">
        <v>0</v>
      </c>
      <c r="AI240" s="2">
        <v>0</v>
      </c>
      <c r="AJ240" s="2">
        <v>0</v>
      </c>
      <c r="AK240" s="2">
        <v>0</v>
      </c>
      <c r="AL240" s="2">
        <v>0</v>
      </c>
      <c r="AM240" s="2">
        <v>111.4</v>
      </c>
      <c r="AN240" s="2">
        <v>111.4</v>
      </c>
      <c r="AO240" s="2">
        <v>0</v>
      </c>
      <c r="AP240" s="2">
        <v>0</v>
      </c>
      <c r="AQ240" s="2">
        <v>0</v>
      </c>
    </row>
    <row r="241" spans="1:43" x14ac:dyDescent="0.25">
      <c r="A241" s="1">
        <v>45936</v>
      </c>
      <c r="B241" t="s">
        <v>48</v>
      </c>
      <c r="C241">
        <v>649163</v>
      </c>
      <c r="D241">
        <v>2026099502</v>
      </c>
      <c r="E241" t="s">
        <v>707</v>
      </c>
      <c r="F241" t="s">
        <v>708</v>
      </c>
      <c r="G241" t="s">
        <v>51</v>
      </c>
      <c r="H241" t="s">
        <v>122</v>
      </c>
      <c r="I241" t="s">
        <v>89</v>
      </c>
      <c r="J241" t="s">
        <v>96</v>
      </c>
      <c r="K241">
        <v>651818</v>
      </c>
      <c r="L241" t="s">
        <v>112</v>
      </c>
      <c r="M241" t="s">
        <v>104</v>
      </c>
      <c r="N241" t="s">
        <v>57</v>
      </c>
      <c r="O241" s="1">
        <v>45664</v>
      </c>
      <c r="Q241" s="1">
        <v>45968</v>
      </c>
      <c r="R241" s="2">
        <v>234.17</v>
      </c>
      <c r="S241">
        <v>1</v>
      </c>
      <c r="T241" t="s">
        <v>58</v>
      </c>
      <c r="U241" t="s">
        <v>359</v>
      </c>
      <c r="V241" s="3">
        <v>0.9</v>
      </c>
      <c r="W241" s="2">
        <v>0</v>
      </c>
      <c r="X241">
        <v>0</v>
      </c>
      <c r="Y241" t="s">
        <v>60</v>
      </c>
      <c r="Z241" t="s">
        <v>360</v>
      </c>
      <c r="AA241">
        <v>0</v>
      </c>
      <c r="AB241" s="2">
        <v>0</v>
      </c>
      <c r="AC241" s="2">
        <v>0</v>
      </c>
      <c r="AD241" s="3">
        <v>0</v>
      </c>
      <c r="AE241" s="2">
        <v>0</v>
      </c>
      <c r="AF241" s="2">
        <v>0</v>
      </c>
      <c r="AG241" s="2">
        <v>0</v>
      </c>
      <c r="AH241" s="2">
        <v>0</v>
      </c>
      <c r="AI241" s="2">
        <v>0</v>
      </c>
      <c r="AJ241" s="2">
        <v>0</v>
      </c>
      <c r="AK241" s="2">
        <v>0</v>
      </c>
      <c r="AL241" s="2">
        <v>0</v>
      </c>
      <c r="AM241" s="2">
        <v>210.75</v>
      </c>
      <c r="AN241" s="2">
        <v>210.75</v>
      </c>
      <c r="AO241" s="2">
        <v>0</v>
      </c>
      <c r="AP241" s="2">
        <v>0</v>
      </c>
      <c r="AQ241" s="2">
        <v>0</v>
      </c>
    </row>
    <row r="242" spans="1:43" x14ac:dyDescent="0.25">
      <c r="A242" s="1">
        <v>45936</v>
      </c>
      <c r="B242" t="s">
        <v>48</v>
      </c>
      <c r="C242">
        <v>649163</v>
      </c>
      <c r="D242">
        <v>2026100108</v>
      </c>
      <c r="E242" t="s">
        <v>709</v>
      </c>
      <c r="F242" t="s">
        <v>671</v>
      </c>
      <c r="G242" t="s">
        <v>51</v>
      </c>
      <c r="H242" t="s">
        <v>122</v>
      </c>
      <c r="I242" t="s">
        <v>89</v>
      </c>
      <c r="J242" t="s">
        <v>111</v>
      </c>
      <c r="K242">
        <v>651818</v>
      </c>
      <c r="L242" t="s">
        <v>112</v>
      </c>
      <c r="M242" t="s">
        <v>104</v>
      </c>
      <c r="N242" t="s">
        <v>57</v>
      </c>
      <c r="O242" s="1">
        <v>45664</v>
      </c>
      <c r="Q242" s="1">
        <v>45968</v>
      </c>
      <c r="R242" s="2">
        <v>110</v>
      </c>
      <c r="S242">
        <v>1</v>
      </c>
      <c r="T242" t="s">
        <v>58</v>
      </c>
      <c r="U242" t="s">
        <v>359</v>
      </c>
      <c r="V242" s="3">
        <v>0.75</v>
      </c>
      <c r="W242" s="2">
        <v>0</v>
      </c>
      <c r="X242">
        <v>0</v>
      </c>
      <c r="Y242" t="s">
        <v>60</v>
      </c>
      <c r="Z242" t="s">
        <v>360</v>
      </c>
      <c r="AA242">
        <v>0</v>
      </c>
      <c r="AB242" s="2">
        <v>0</v>
      </c>
      <c r="AC242" s="2">
        <v>0</v>
      </c>
      <c r="AD242" s="3">
        <v>0</v>
      </c>
      <c r="AE242" s="2">
        <v>0</v>
      </c>
      <c r="AF242" s="2">
        <v>0</v>
      </c>
      <c r="AG242" s="2">
        <v>0</v>
      </c>
      <c r="AH242" s="2">
        <v>0</v>
      </c>
      <c r="AI242" s="2">
        <v>0</v>
      </c>
      <c r="AJ242" s="2">
        <v>0</v>
      </c>
      <c r="AK242" s="2">
        <v>0</v>
      </c>
      <c r="AL242" s="2">
        <v>0</v>
      </c>
      <c r="AM242" s="2">
        <v>82.5</v>
      </c>
      <c r="AN242" s="2">
        <v>82.5</v>
      </c>
      <c r="AO242" s="2">
        <v>0</v>
      </c>
      <c r="AP242" s="2">
        <v>0</v>
      </c>
      <c r="AQ242" s="2">
        <v>0</v>
      </c>
    </row>
    <row r="243" spans="1:43" x14ac:dyDescent="0.25">
      <c r="A243" s="1">
        <v>45936</v>
      </c>
      <c r="B243" t="s">
        <v>48</v>
      </c>
      <c r="C243">
        <v>649163</v>
      </c>
      <c r="D243">
        <v>2026102876</v>
      </c>
      <c r="E243" t="s">
        <v>710</v>
      </c>
      <c r="F243" t="s">
        <v>711</v>
      </c>
      <c r="G243" t="s">
        <v>51</v>
      </c>
      <c r="H243" t="s">
        <v>646</v>
      </c>
      <c r="I243" t="s">
        <v>89</v>
      </c>
      <c r="J243" t="s">
        <v>96</v>
      </c>
      <c r="K243">
        <v>651818</v>
      </c>
      <c r="L243" t="s">
        <v>112</v>
      </c>
      <c r="M243" t="s">
        <v>104</v>
      </c>
      <c r="N243" t="s">
        <v>57</v>
      </c>
      <c r="O243" s="1">
        <v>45664</v>
      </c>
      <c r="Q243" s="1">
        <v>45968</v>
      </c>
      <c r="R243" s="2">
        <v>180.88</v>
      </c>
      <c r="S243">
        <v>1</v>
      </c>
      <c r="T243" t="s">
        <v>58</v>
      </c>
      <c r="U243" t="s">
        <v>359</v>
      </c>
      <c r="V243" s="3">
        <v>0.9</v>
      </c>
      <c r="W243" s="2">
        <v>0</v>
      </c>
      <c r="X243">
        <v>0</v>
      </c>
      <c r="Y243" t="s">
        <v>60</v>
      </c>
      <c r="Z243" t="s">
        <v>360</v>
      </c>
      <c r="AA243">
        <v>0</v>
      </c>
      <c r="AB243" s="2">
        <v>0</v>
      </c>
      <c r="AC243" s="2">
        <v>0</v>
      </c>
      <c r="AD243" s="3">
        <v>0</v>
      </c>
      <c r="AE243" s="2">
        <v>0</v>
      </c>
      <c r="AF243" s="2">
        <v>0</v>
      </c>
      <c r="AG243" s="2">
        <v>0</v>
      </c>
      <c r="AH243" s="2">
        <v>0</v>
      </c>
      <c r="AI243" s="2">
        <v>0</v>
      </c>
      <c r="AJ243" s="2">
        <v>0</v>
      </c>
      <c r="AK243" s="2">
        <v>0</v>
      </c>
      <c r="AL243" s="2">
        <v>0</v>
      </c>
      <c r="AM243" s="2">
        <v>162.79</v>
      </c>
      <c r="AN243" s="2">
        <v>162.79</v>
      </c>
      <c r="AO243" s="2">
        <v>0</v>
      </c>
      <c r="AP243" s="2">
        <v>0</v>
      </c>
      <c r="AQ243" s="2">
        <v>0</v>
      </c>
    </row>
    <row r="244" spans="1:43" x14ac:dyDescent="0.25">
      <c r="A244" s="1">
        <v>45936</v>
      </c>
      <c r="B244" t="s">
        <v>48</v>
      </c>
      <c r="C244">
        <v>649163</v>
      </c>
      <c r="D244">
        <v>2026103479</v>
      </c>
      <c r="E244" t="s">
        <v>712</v>
      </c>
      <c r="F244" t="s">
        <v>713</v>
      </c>
      <c r="G244" t="s">
        <v>51</v>
      </c>
      <c r="H244" t="s">
        <v>122</v>
      </c>
      <c r="I244" t="s">
        <v>89</v>
      </c>
      <c r="J244" t="s">
        <v>111</v>
      </c>
      <c r="K244">
        <v>651818</v>
      </c>
      <c r="L244" t="s">
        <v>112</v>
      </c>
      <c r="M244" t="s">
        <v>104</v>
      </c>
      <c r="N244" t="s">
        <v>57</v>
      </c>
      <c r="O244" s="1">
        <v>45664</v>
      </c>
      <c r="Q244" s="1">
        <v>45968</v>
      </c>
      <c r="R244" s="2">
        <v>45.3</v>
      </c>
      <c r="S244">
        <v>1</v>
      </c>
      <c r="T244" t="s">
        <v>58</v>
      </c>
      <c r="U244" t="s">
        <v>359</v>
      </c>
      <c r="V244" s="3">
        <v>0.75</v>
      </c>
      <c r="W244" s="2">
        <v>0</v>
      </c>
      <c r="X244">
        <v>0</v>
      </c>
      <c r="Y244" t="s">
        <v>60</v>
      </c>
      <c r="Z244" t="s">
        <v>360</v>
      </c>
      <c r="AA244">
        <v>0</v>
      </c>
      <c r="AB244" s="2">
        <v>0</v>
      </c>
      <c r="AC244" s="2">
        <v>0</v>
      </c>
      <c r="AD244" s="3">
        <v>0</v>
      </c>
      <c r="AE244" s="2">
        <v>0</v>
      </c>
      <c r="AF244" s="2">
        <v>0</v>
      </c>
      <c r="AG244" s="2">
        <v>0</v>
      </c>
      <c r="AH244" s="2">
        <v>0</v>
      </c>
      <c r="AI244" s="2">
        <v>0</v>
      </c>
      <c r="AJ244" s="2">
        <v>0</v>
      </c>
      <c r="AK244" s="2">
        <v>0</v>
      </c>
      <c r="AL244" s="2">
        <v>0</v>
      </c>
      <c r="AM244" s="2">
        <v>33.979999999999997</v>
      </c>
      <c r="AN244" s="2">
        <v>33.979999999999997</v>
      </c>
      <c r="AO244" s="2">
        <v>0</v>
      </c>
      <c r="AP244" s="2">
        <v>0</v>
      </c>
      <c r="AQ244" s="2">
        <v>0</v>
      </c>
    </row>
    <row r="245" spans="1:43" x14ac:dyDescent="0.25">
      <c r="A245" s="1">
        <v>45936</v>
      </c>
      <c r="B245" t="s">
        <v>48</v>
      </c>
      <c r="C245">
        <v>649163</v>
      </c>
      <c r="D245">
        <v>2026113524</v>
      </c>
      <c r="E245" t="s">
        <v>714</v>
      </c>
      <c r="F245" t="s">
        <v>715</v>
      </c>
      <c r="G245" t="s">
        <v>51</v>
      </c>
      <c r="H245" t="s">
        <v>101</v>
      </c>
      <c r="I245" t="s">
        <v>89</v>
      </c>
      <c r="J245" t="s">
        <v>111</v>
      </c>
      <c r="K245">
        <v>651818</v>
      </c>
      <c r="L245" t="s">
        <v>112</v>
      </c>
      <c r="M245" t="s">
        <v>104</v>
      </c>
      <c r="N245" t="s">
        <v>57</v>
      </c>
      <c r="O245" s="1">
        <v>45664</v>
      </c>
      <c r="Q245" s="1">
        <v>45968</v>
      </c>
      <c r="R245" s="2">
        <v>144.18</v>
      </c>
      <c r="S245">
        <v>1</v>
      </c>
      <c r="T245" t="s">
        <v>58</v>
      </c>
      <c r="U245" t="s">
        <v>359</v>
      </c>
      <c r="V245" s="3">
        <v>0.75</v>
      </c>
      <c r="W245" s="2">
        <v>0</v>
      </c>
      <c r="X245">
        <v>0</v>
      </c>
      <c r="Y245" t="s">
        <v>60</v>
      </c>
      <c r="Z245" t="s">
        <v>360</v>
      </c>
      <c r="AA245">
        <v>0</v>
      </c>
      <c r="AB245" s="2">
        <v>0</v>
      </c>
      <c r="AC245" s="2">
        <v>0</v>
      </c>
      <c r="AD245" s="3">
        <v>0</v>
      </c>
      <c r="AE245" s="2">
        <v>0</v>
      </c>
      <c r="AF245" s="2">
        <v>0</v>
      </c>
      <c r="AG245" s="2">
        <v>0</v>
      </c>
      <c r="AH245" s="2">
        <v>0</v>
      </c>
      <c r="AI245" s="2">
        <v>0</v>
      </c>
      <c r="AJ245" s="2">
        <v>0</v>
      </c>
      <c r="AK245" s="2">
        <v>0</v>
      </c>
      <c r="AL245" s="2">
        <v>0</v>
      </c>
      <c r="AM245" s="2">
        <v>108.14</v>
      </c>
      <c r="AN245" s="2">
        <v>108.14</v>
      </c>
      <c r="AO245" s="2">
        <v>0</v>
      </c>
      <c r="AP245" s="2">
        <v>0</v>
      </c>
      <c r="AQ245" s="2">
        <v>0</v>
      </c>
    </row>
    <row r="246" spans="1:43" x14ac:dyDescent="0.25">
      <c r="A246" s="1">
        <v>45936</v>
      </c>
      <c r="B246" t="s">
        <v>48</v>
      </c>
      <c r="C246">
        <v>649163</v>
      </c>
      <c r="D246">
        <v>2026119470</v>
      </c>
      <c r="E246" t="s">
        <v>284</v>
      </c>
      <c r="F246" t="s">
        <v>716</v>
      </c>
      <c r="G246" t="s">
        <v>51</v>
      </c>
      <c r="H246" t="s">
        <v>101</v>
      </c>
      <c r="I246" t="s">
        <v>89</v>
      </c>
      <c r="J246" t="s">
        <v>111</v>
      </c>
      <c r="K246">
        <v>651818</v>
      </c>
      <c r="L246" t="s">
        <v>112</v>
      </c>
      <c r="M246" t="s">
        <v>104</v>
      </c>
      <c r="N246" t="s">
        <v>57</v>
      </c>
      <c r="O246" s="1">
        <v>45664</v>
      </c>
      <c r="Q246" s="1">
        <v>45937</v>
      </c>
      <c r="R246" s="2">
        <v>-19.89</v>
      </c>
      <c r="S246">
        <v>1</v>
      </c>
      <c r="T246" t="s">
        <v>58</v>
      </c>
      <c r="U246" t="s">
        <v>359</v>
      </c>
      <c r="V246" s="3">
        <v>0.75</v>
      </c>
      <c r="W246" s="2">
        <v>0</v>
      </c>
      <c r="X246">
        <v>-1</v>
      </c>
      <c r="Y246" t="s">
        <v>60</v>
      </c>
      <c r="Z246" t="s">
        <v>360</v>
      </c>
      <c r="AA246">
        <v>0</v>
      </c>
      <c r="AB246" s="2">
        <v>0</v>
      </c>
      <c r="AC246" s="2">
        <v>0</v>
      </c>
      <c r="AD246" s="3">
        <v>0</v>
      </c>
      <c r="AE246" s="2">
        <v>0</v>
      </c>
      <c r="AF246" s="2">
        <v>0</v>
      </c>
      <c r="AG246" s="2">
        <v>0</v>
      </c>
      <c r="AH246" s="2">
        <v>0</v>
      </c>
      <c r="AI246" s="2">
        <v>0</v>
      </c>
      <c r="AJ246" s="2">
        <v>0</v>
      </c>
      <c r="AK246" s="2">
        <v>0</v>
      </c>
      <c r="AL246" s="2">
        <v>0</v>
      </c>
      <c r="AM246" s="2">
        <v>-14.92</v>
      </c>
      <c r="AN246" s="2">
        <v>-14.92</v>
      </c>
      <c r="AO246" s="2">
        <v>0</v>
      </c>
      <c r="AP246" s="2">
        <v>0</v>
      </c>
      <c r="AQ246" s="2">
        <v>0</v>
      </c>
    </row>
    <row r="247" spans="1:43" x14ac:dyDescent="0.25">
      <c r="A247" s="1">
        <v>45936</v>
      </c>
      <c r="B247" t="s">
        <v>48</v>
      </c>
      <c r="C247">
        <v>649163</v>
      </c>
      <c r="D247">
        <v>2026126661</v>
      </c>
      <c r="E247" t="s">
        <v>696</v>
      </c>
      <c r="F247" t="s">
        <v>717</v>
      </c>
      <c r="G247" t="s">
        <v>51</v>
      </c>
      <c r="H247" t="s">
        <v>52</v>
      </c>
      <c r="I247" t="s">
        <v>89</v>
      </c>
      <c r="J247" t="s">
        <v>111</v>
      </c>
      <c r="K247">
        <v>651818</v>
      </c>
      <c r="L247" t="s">
        <v>112</v>
      </c>
      <c r="M247" t="s">
        <v>104</v>
      </c>
      <c r="N247" t="s">
        <v>57</v>
      </c>
      <c r="O247" s="1">
        <v>45664</v>
      </c>
      <c r="Q247" s="1">
        <v>45968</v>
      </c>
      <c r="R247" s="2">
        <v>107.5</v>
      </c>
      <c r="S247">
        <v>1</v>
      </c>
      <c r="T247" t="s">
        <v>58</v>
      </c>
      <c r="U247" t="s">
        <v>359</v>
      </c>
      <c r="V247" s="3">
        <v>0.75</v>
      </c>
      <c r="W247" s="2">
        <v>0</v>
      </c>
      <c r="X247">
        <v>0</v>
      </c>
      <c r="Y247" t="s">
        <v>60</v>
      </c>
      <c r="Z247" t="s">
        <v>360</v>
      </c>
      <c r="AA247">
        <v>0</v>
      </c>
      <c r="AB247" s="2">
        <v>0</v>
      </c>
      <c r="AC247" s="2">
        <v>0</v>
      </c>
      <c r="AD247" s="3">
        <v>0</v>
      </c>
      <c r="AE247" s="2">
        <v>0</v>
      </c>
      <c r="AF247" s="2">
        <v>0</v>
      </c>
      <c r="AG247" s="2">
        <v>0</v>
      </c>
      <c r="AH247" s="2">
        <v>0</v>
      </c>
      <c r="AI247" s="2">
        <v>0</v>
      </c>
      <c r="AJ247" s="2">
        <v>0</v>
      </c>
      <c r="AK247" s="2">
        <v>0</v>
      </c>
      <c r="AL247" s="2">
        <v>0</v>
      </c>
      <c r="AM247" s="2">
        <v>80.62</v>
      </c>
      <c r="AN247" s="2">
        <v>80.62</v>
      </c>
      <c r="AO247" s="2">
        <v>0</v>
      </c>
      <c r="AP247" s="2">
        <v>0</v>
      </c>
      <c r="AQ247" s="2">
        <v>0</v>
      </c>
    </row>
    <row r="248" spans="1:43" x14ac:dyDescent="0.25">
      <c r="A248" s="1">
        <v>45936</v>
      </c>
      <c r="B248" t="s">
        <v>48</v>
      </c>
      <c r="C248">
        <v>649163</v>
      </c>
      <c r="D248">
        <v>2026145113</v>
      </c>
      <c r="E248" t="s">
        <v>718</v>
      </c>
      <c r="F248" t="s">
        <v>482</v>
      </c>
      <c r="G248" t="s">
        <v>51</v>
      </c>
      <c r="H248" t="s">
        <v>376</v>
      </c>
      <c r="I248" t="s">
        <v>89</v>
      </c>
      <c r="J248" t="s">
        <v>96</v>
      </c>
      <c r="K248">
        <v>651818</v>
      </c>
      <c r="L248" t="s">
        <v>112</v>
      </c>
      <c r="M248" t="s">
        <v>104</v>
      </c>
      <c r="N248" t="s">
        <v>57</v>
      </c>
      <c r="O248" s="1">
        <v>45664</v>
      </c>
      <c r="Q248" s="1">
        <v>45968</v>
      </c>
      <c r="R248" s="2">
        <v>128.61000000000001</v>
      </c>
      <c r="S248">
        <v>1</v>
      </c>
      <c r="T248" t="s">
        <v>58</v>
      </c>
      <c r="U248" t="s">
        <v>359</v>
      </c>
      <c r="V248" s="3">
        <v>0.9</v>
      </c>
      <c r="W248" s="2">
        <v>0</v>
      </c>
      <c r="X248">
        <v>0</v>
      </c>
      <c r="Y248" t="s">
        <v>60</v>
      </c>
      <c r="Z248" t="s">
        <v>360</v>
      </c>
      <c r="AA248">
        <v>0</v>
      </c>
      <c r="AB248" s="2">
        <v>0</v>
      </c>
      <c r="AC248" s="2">
        <v>0</v>
      </c>
      <c r="AD248" s="3">
        <v>0</v>
      </c>
      <c r="AE248" s="2">
        <v>0</v>
      </c>
      <c r="AF248" s="2">
        <v>0</v>
      </c>
      <c r="AG248" s="2">
        <v>0</v>
      </c>
      <c r="AH248" s="2">
        <v>0</v>
      </c>
      <c r="AI248" s="2">
        <v>0</v>
      </c>
      <c r="AJ248" s="2">
        <v>0</v>
      </c>
      <c r="AK248" s="2">
        <v>0</v>
      </c>
      <c r="AL248" s="2">
        <v>0</v>
      </c>
      <c r="AM248" s="2">
        <v>115.75</v>
      </c>
      <c r="AN248" s="2">
        <v>115.75</v>
      </c>
      <c r="AO248" s="2">
        <v>0</v>
      </c>
      <c r="AP248" s="2">
        <v>0</v>
      </c>
      <c r="AQ248" s="2">
        <v>0</v>
      </c>
    </row>
    <row r="249" spans="1:43" x14ac:dyDescent="0.25">
      <c r="A249" s="1">
        <v>45936</v>
      </c>
      <c r="B249" t="s">
        <v>48</v>
      </c>
      <c r="C249">
        <v>649163</v>
      </c>
      <c r="D249">
        <v>2026150038</v>
      </c>
      <c r="E249" t="s">
        <v>719</v>
      </c>
      <c r="F249" t="s">
        <v>276</v>
      </c>
      <c r="G249" t="s">
        <v>51</v>
      </c>
      <c r="H249" t="s">
        <v>101</v>
      </c>
      <c r="I249" t="s">
        <v>89</v>
      </c>
      <c r="J249" t="s">
        <v>96</v>
      </c>
      <c r="K249">
        <v>651818</v>
      </c>
      <c r="L249" t="s">
        <v>112</v>
      </c>
      <c r="M249" t="s">
        <v>104</v>
      </c>
      <c r="N249" t="s">
        <v>57</v>
      </c>
      <c r="O249" s="1">
        <v>45664</v>
      </c>
      <c r="Q249" s="1">
        <v>45968</v>
      </c>
      <c r="R249" s="2">
        <v>59</v>
      </c>
      <c r="S249">
        <v>1</v>
      </c>
      <c r="T249" t="s">
        <v>58</v>
      </c>
      <c r="U249" t="s">
        <v>359</v>
      </c>
      <c r="V249" s="3">
        <v>0.9</v>
      </c>
      <c r="W249" s="2">
        <v>0</v>
      </c>
      <c r="X249">
        <v>0</v>
      </c>
      <c r="Y249" t="s">
        <v>60</v>
      </c>
      <c r="Z249" t="s">
        <v>360</v>
      </c>
      <c r="AA249">
        <v>0</v>
      </c>
      <c r="AB249" s="2">
        <v>0</v>
      </c>
      <c r="AC249" s="2">
        <v>0</v>
      </c>
      <c r="AD249" s="3">
        <v>0</v>
      </c>
      <c r="AE249" s="2">
        <v>0</v>
      </c>
      <c r="AF249" s="2">
        <v>0</v>
      </c>
      <c r="AG249" s="2">
        <v>0</v>
      </c>
      <c r="AH249" s="2">
        <v>0</v>
      </c>
      <c r="AI249" s="2">
        <v>0</v>
      </c>
      <c r="AJ249" s="2">
        <v>0</v>
      </c>
      <c r="AK249" s="2">
        <v>0</v>
      </c>
      <c r="AL249" s="2">
        <v>0</v>
      </c>
      <c r="AM249" s="2">
        <v>53.1</v>
      </c>
      <c r="AN249" s="2">
        <v>53.1</v>
      </c>
      <c r="AO249" s="2">
        <v>0</v>
      </c>
      <c r="AP249" s="2">
        <v>0</v>
      </c>
      <c r="AQ249" s="2">
        <v>0</v>
      </c>
    </row>
    <row r="250" spans="1:43" x14ac:dyDescent="0.25">
      <c r="A250" s="1">
        <v>45936</v>
      </c>
      <c r="B250" t="s">
        <v>48</v>
      </c>
      <c r="C250">
        <v>649163</v>
      </c>
      <c r="D250">
        <v>2026154681</v>
      </c>
      <c r="E250" t="s">
        <v>720</v>
      </c>
      <c r="F250" t="s">
        <v>721</v>
      </c>
      <c r="G250" t="s">
        <v>51</v>
      </c>
      <c r="H250" t="s">
        <v>122</v>
      </c>
      <c r="I250" t="s">
        <v>89</v>
      </c>
      <c r="J250" t="s">
        <v>111</v>
      </c>
      <c r="K250">
        <v>651818</v>
      </c>
      <c r="L250" t="s">
        <v>112</v>
      </c>
      <c r="M250" t="s">
        <v>104</v>
      </c>
      <c r="N250" t="s">
        <v>57</v>
      </c>
      <c r="O250" s="1">
        <v>45664</v>
      </c>
      <c r="Q250" s="1">
        <v>45968</v>
      </c>
      <c r="R250" s="2">
        <v>119.95</v>
      </c>
      <c r="S250">
        <v>1</v>
      </c>
      <c r="T250" t="s">
        <v>58</v>
      </c>
      <c r="U250" t="s">
        <v>359</v>
      </c>
      <c r="V250" s="3">
        <v>0.75</v>
      </c>
      <c r="W250" s="2">
        <v>0</v>
      </c>
      <c r="X250">
        <v>0</v>
      </c>
      <c r="Y250" t="s">
        <v>60</v>
      </c>
      <c r="Z250" t="s">
        <v>360</v>
      </c>
      <c r="AA250">
        <v>0</v>
      </c>
      <c r="AB250" s="2">
        <v>0</v>
      </c>
      <c r="AC250" s="2">
        <v>0</v>
      </c>
      <c r="AD250" s="3">
        <v>0</v>
      </c>
      <c r="AE250" s="2">
        <v>0</v>
      </c>
      <c r="AF250" s="2">
        <v>0</v>
      </c>
      <c r="AG250" s="2">
        <v>0</v>
      </c>
      <c r="AH250" s="2">
        <v>0</v>
      </c>
      <c r="AI250" s="2">
        <v>0</v>
      </c>
      <c r="AJ250" s="2">
        <v>0</v>
      </c>
      <c r="AK250" s="2">
        <v>0</v>
      </c>
      <c r="AL250" s="2">
        <v>0</v>
      </c>
      <c r="AM250" s="2">
        <v>89.96</v>
      </c>
      <c r="AN250" s="2">
        <v>89.96</v>
      </c>
      <c r="AO250" s="2">
        <v>0</v>
      </c>
      <c r="AP250" s="2">
        <v>0</v>
      </c>
      <c r="AQ250" s="2">
        <v>0</v>
      </c>
    </row>
    <row r="251" spans="1:43" x14ac:dyDescent="0.25">
      <c r="A251" s="1">
        <v>45936</v>
      </c>
      <c r="B251" t="s">
        <v>48</v>
      </c>
      <c r="C251">
        <v>649163</v>
      </c>
      <c r="D251">
        <v>2026155453</v>
      </c>
      <c r="E251" t="s">
        <v>722</v>
      </c>
      <c r="F251" t="s">
        <v>723</v>
      </c>
      <c r="G251" t="s">
        <v>51</v>
      </c>
      <c r="H251" t="s">
        <v>724</v>
      </c>
      <c r="I251" t="s">
        <v>89</v>
      </c>
      <c r="J251" t="s">
        <v>111</v>
      </c>
      <c r="K251">
        <v>651818</v>
      </c>
      <c r="L251" t="s">
        <v>112</v>
      </c>
      <c r="M251" t="s">
        <v>104</v>
      </c>
      <c r="N251" t="s">
        <v>57</v>
      </c>
      <c r="O251" s="1">
        <v>45664</v>
      </c>
      <c r="Q251" s="1">
        <v>45968</v>
      </c>
      <c r="R251" s="2">
        <v>67.3</v>
      </c>
      <c r="S251">
        <v>1</v>
      </c>
      <c r="T251" t="s">
        <v>58</v>
      </c>
      <c r="U251" t="s">
        <v>359</v>
      </c>
      <c r="V251" s="3">
        <v>0.75</v>
      </c>
      <c r="W251" s="2">
        <v>0</v>
      </c>
      <c r="X251">
        <v>0</v>
      </c>
      <c r="Y251" t="s">
        <v>60</v>
      </c>
      <c r="Z251" t="s">
        <v>360</v>
      </c>
      <c r="AA251">
        <v>0</v>
      </c>
      <c r="AB251" s="2">
        <v>0</v>
      </c>
      <c r="AC251" s="2">
        <v>0</v>
      </c>
      <c r="AD251" s="3">
        <v>0</v>
      </c>
      <c r="AE251" s="2">
        <v>0</v>
      </c>
      <c r="AF251" s="2">
        <v>0</v>
      </c>
      <c r="AG251" s="2">
        <v>0</v>
      </c>
      <c r="AH251" s="2">
        <v>0</v>
      </c>
      <c r="AI251" s="2">
        <v>0</v>
      </c>
      <c r="AJ251" s="2">
        <v>0</v>
      </c>
      <c r="AK251" s="2">
        <v>0</v>
      </c>
      <c r="AL251" s="2">
        <v>0</v>
      </c>
      <c r="AM251" s="2">
        <v>50.48</v>
      </c>
      <c r="AN251" s="2">
        <v>50.48</v>
      </c>
      <c r="AO251" s="2">
        <v>0</v>
      </c>
      <c r="AP251" s="2">
        <v>0</v>
      </c>
      <c r="AQ251" s="2">
        <v>0</v>
      </c>
    </row>
    <row r="252" spans="1:43" x14ac:dyDescent="0.25">
      <c r="A252" s="1">
        <v>45936</v>
      </c>
      <c r="B252" t="s">
        <v>48</v>
      </c>
      <c r="C252">
        <v>649163</v>
      </c>
      <c r="D252">
        <v>2026166108</v>
      </c>
      <c r="E252" t="s">
        <v>725</v>
      </c>
      <c r="F252" t="s">
        <v>527</v>
      </c>
      <c r="G252" t="s">
        <v>51</v>
      </c>
      <c r="H252" t="s">
        <v>101</v>
      </c>
      <c r="I252" t="s">
        <v>89</v>
      </c>
      <c r="J252" t="s">
        <v>111</v>
      </c>
      <c r="K252">
        <v>651818</v>
      </c>
      <c r="L252" t="s">
        <v>112</v>
      </c>
      <c r="M252" t="s">
        <v>104</v>
      </c>
      <c r="N252" t="s">
        <v>57</v>
      </c>
      <c r="O252" s="1">
        <v>45664</v>
      </c>
      <c r="Q252" s="1">
        <v>45968</v>
      </c>
      <c r="R252" s="2">
        <v>129.13</v>
      </c>
      <c r="S252">
        <v>1</v>
      </c>
      <c r="T252" t="s">
        <v>58</v>
      </c>
      <c r="U252" t="s">
        <v>359</v>
      </c>
      <c r="V252" s="3">
        <v>0.75</v>
      </c>
      <c r="W252" s="2">
        <v>0</v>
      </c>
      <c r="X252">
        <v>0</v>
      </c>
      <c r="Y252" t="s">
        <v>60</v>
      </c>
      <c r="Z252" t="s">
        <v>360</v>
      </c>
      <c r="AA252">
        <v>0</v>
      </c>
      <c r="AB252" s="2">
        <v>0</v>
      </c>
      <c r="AC252" s="2">
        <v>0</v>
      </c>
      <c r="AD252" s="3">
        <v>0</v>
      </c>
      <c r="AE252" s="2">
        <v>0</v>
      </c>
      <c r="AF252" s="2">
        <v>0</v>
      </c>
      <c r="AG252" s="2">
        <v>0</v>
      </c>
      <c r="AH252" s="2">
        <v>0</v>
      </c>
      <c r="AI252" s="2">
        <v>0</v>
      </c>
      <c r="AJ252" s="2">
        <v>0</v>
      </c>
      <c r="AK252" s="2">
        <v>0</v>
      </c>
      <c r="AL252" s="2">
        <v>0</v>
      </c>
      <c r="AM252" s="2">
        <v>96.85</v>
      </c>
      <c r="AN252" s="2">
        <v>96.85</v>
      </c>
      <c r="AO252" s="2">
        <v>0</v>
      </c>
      <c r="AP252" s="2">
        <v>0</v>
      </c>
      <c r="AQ252" s="2">
        <v>0</v>
      </c>
    </row>
    <row r="253" spans="1:43" x14ac:dyDescent="0.25">
      <c r="A253" s="1">
        <v>45936</v>
      </c>
      <c r="B253" t="s">
        <v>48</v>
      </c>
      <c r="C253">
        <v>649163</v>
      </c>
      <c r="D253">
        <v>2026175249</v>
      </c>
      <c r="E253" t="s">
        <v>726</v>
      </c>
      <c r="F253" t="s">
        <v>727</v>
      </c>
      <c r="G253" t="s">
        <v>51</v>
      </c>
      <c r="H253" t="s">
        <v>101</v>
      </c>
      <c r="I253" t="s">
        <v>89</v>
      </c>
      <c r="J253" t="s">
        <v>111</v>
      </c>
      <c r="K253">
        <v>651818</v>
      </c>
      <c r="L253" t="s">
        <v>112</v>
      </c>
      <c r="M253" t="s">
        <v>104</v>
      </c>
      <c r="N253" t="s">
        <v>57</v>
      </c>
      <c r="O253" s="1">
        <v>45664</v>
      </c>
      <c r="Q253" s="1">
        <v>45968</v>
      </c>
      <c r="R253" s="2">
        <v>61.27</v>
      </c>
      <c r="S253">
        <v>1</v>
      </c>
      <c r="T253" t="s">
        <v>58</v>
      </c>
      <c r="U253" t="s">
        <v>359</v>
      </c>
      <c r="V253" s="3">
        <v>0.75</v>
      </c>
      <c r="W253" s="2">
        <v>0</v>
      </c>
      <c r="X253">
        <v>0</v>
      </c>
      <c r="Y253" t="s">
        <v>60</v>
      </c>
      <c r="Z253" t="s">
        <v>360</v>
      </c>
      <c r="AA253">
        <v>0</v>
      </c>
      <c r="AB253" s="2">
        <v>0</v>
      </c>
      <c r="AC253" s="2">
        <v>0</v>
      </c>
      <c r="AD253" s="3">
        <v>0</v>
      </c>
      <c r="AE253" s="2">
        <v>0</v>
      </c>
      <c r="AF253" s="2">
        <v>0</v>
      </c>
      <c r="AG253" s="2">
        <v>0</v>
      </c>
      <c r="AH253" s="2">
        <v>0</v>
      </c>
      <c r="AI253" s="2">
        <v>0</v>
      </c>
      <c r="AJ253" s="2">
        <v>0</v>
      </c>
      <c r="AK253" s="2">
        <v>0</v>
      </c>
      <c r="AL253" s="2">
        <v>0</v>
      </c>
      <c r="AM253" s="2">
        <v>45.95</v>
      </c>
      <c r="AN253" s="2">
        <v>45.95</v>
      </c>
      <c r="AO253" s="2">
        <v>0</v>
      </c>
      <c r="AP253" s="2">
        <v>0</v>
      </c>
      <c r="AQ253" s="2">
        <v>0</v>
      </c>
    </row>
    <row r="254" spans="1:43" x14ac:dyDescent="0.25">
      <c r="A254" s="1">
        <v>45936</v>
      </c>
      <c r="B254" t="s">
        <v>48</v>
      </c>
      <c r="C254">
        <v>649163</v>
      </c>
      <c r="D254">
        <v>2026185573</v>
      </c>
      <c r="E254" t="s">
        <v>463</v>
      </c>
      <c r="F254" t="s">
        <v>728</v>
      </c>
      <c r="G254" t="s">
        <v>51</v>
      </c>
      <c r="H254" t="s">
        <v>101</v>
      </c>
      <c r="I254" t="s">
        <v>89</v>
      </c>
      <c r="J254" t="s">
        <v>96</v>
      </c>
      <c r="K254">
        <v>651818</v>
      </c>
      <c r="L254" t="s">
        <v>112</v>
      </c>
      <c r="M254" t="s">
        <v>104</v>
      </c>
      <c r="N254" t="s">
        <v>57</v>
      </c>
      <c r="O254" s="1">
        <v>45664</v>
      </c>
      <c r="Q254" s="1">
        <v>45968</v>
      </c>
      <c r="R254" s="2">
        <v>135.59</v>
      </c>
      <c r="S254">
        <v>1</v>
      </c>
      <c r="T254" t="s">
        <v>58</v>
      </c>
      <c r="U254" t="s">
        <v>359</v>
      </c>
      <c r="V254" s="3">
        <v>0.9</v>
      </c>
      <c r="W254" s="2">
        <v>0</v>
      </c>
      <c r="X254">
        <v>0</v>
      </c>
      <c r="Y254" t="s">
        <v>60</v>
      </c>
      <c r="Z254" t="s">
        <v>360</v>
      </c>
      <c r="AA254">
        <v>0</v>
      </c>
      <c r="AB254" s="2">
        <v>0</v>
      </c>
      <c r="AC254" s="2">
        <v>0</v>
      </c>
      <c r="AD254" s="3">
        <v>0</v>
      </c>
      <c r="AE254" s="2">
        <v>0</v>
      </c>
      <c r="AF254" s="2">
        <v>0</v>
      </c>
      <c r="AG254" s="2">
        <v>0</v>
      </c>
      <c r="AH254" s="2">
        <v>0</v>
      </c>
      <c r="AI254" s="2">
        <v>0</v>
      </c>
      <c r="AJ254" s="2">
        <v>0</v>
      </c>
      <c r="AK254" s="2">
        <v>0</v>
      </c>
      <c r="AL254" s="2">
        <v>0</v>
      </c>
      <c r="AM254" s="2">
        <v>122.03</v>
      </c>
      <c r="AN254" s="2">
        <v>122.03</v>
      </c>
      <c r="AO254" s="2">
        <v>0</v>
      </c>
      <c r="AP254" s="2">
        <v>0</v>
      </c>
      <c r="AQ254" s="2">
        <v>0</v>
      </c>
    </row>
    <row r="255" spans="1:43" x14ac:dyDescent="0.25">
      <c r="A255" s="1">
        <v>45936</v>
      </c>
      <c r="B255" t="s">
        <v>48</v>
      </c>
      <c r="C255">
        <v>649163</v>
      </c>
      <c r="D255">
        <v>2026236140</v>
      </c>
      <c r="E255" t="s">
        <v>729</v>
      </c>
      <c r="F255" t="s">
        <v>482</v>
      </c>
      <c r="G255" t="s">
        <v>51</v>
      </c>
      <c r="H255" t="s">
        <v>52</v>
      </c>
      <c r="I255" t="s">
        <v>89</v>
      </c>
      <c r="J255" t="s">
        <v>111</v>
      </c>
      <c r="K255">
        <v>651818</v>
      </c>
      <c r="L255" t="s">
        <v>112</v>
      </c>
      <c r="M255" t="s">
        <v>104</v>
      </c>
      <c r="N255" t="s">
        <v>57</v>
      </c>
      <c r="O255" s="1">
        <v>45664</v>
      </c>
      <c r="Q255" s="1">
        <v>45968</v>
      </c>
      <c r="R255" s="2">
        <v>127.21</v>
      </c>
      <c r="S255">
        <v>1</v>
      </c>
      <c r="T255" t="s">
        <v>58</v>
      </c>
      <c r="U255" t="s">
        <v>359</v>
      </c>
      <c r="V255" s="3">
        <v>0.75</v>
      </c>
      <c r="W255" s="2">
        <v>0</v>
      </c>
      <c r="X255">
        <v>0</v>
      </c>
      <c r="Y255" t="s">
        <v>60</v>
      </c>
      <c r="Z255" t="s">
        <v>360</v>
      </c>
      <c r="AA255">
        <v>0</v>
      </c>
      <c r="AB255" s="2">
        <v>0</v>
      </c>
      <c r="AC255" s="2">
        <v>0</v>
      </c>
      <c r="AD255" s="3">
        <v>0</v>
      </c>
      <c r="AE255" s="2">
        <v>0</v>
      </c>
      <c r="AF255" s="2">
        <v>0</v>
      </c>
      <c r="AG255" s="2">
        <v>0</v>
      </c>
      <c r="AH255" s="2">
        <v>0</v>
      </c>
      <c r="AI255" s="2">
        <v>0</v>
      </c>
      <c r="AJ255" s="2">
        <v>0</v>
      </c>
      <c r="AK255" s="2">
        <v>0</v>
      </c>
      <c r="AL255" s="2">
        <v>0</v>
      </c>
      <c r="AM255" s="2">
        <v>95.41</v>
      </c>
      <c r="AN255" s="2">
        <v>95.41</v>
      </c>
      <c r="AO255" s="2">
        <v>0</v>
      </c>
      <c r="AP255" s="2">
        <v>0</v>
      </c>
      <c r="AQ255" s="2">
        <v>0</v>
      </c>
    </row>
    <row r="256" spans="1:43" x14ac:dyDescent="0.25">
      <c r="A256" s="1">
        <v>45936</v>
      </c>
      <c r="B256" t="s">
        <v>48</v>
      </c>
      <c r="C256">
        <v>649163</v>
      </c>
      <c r="D256">
        <v>2026298483</v>
      </c>
      <c r="E256" t="s">
        <v>730</v>
      </c>
      <c r="F256" t="s">
        <v>220</v>
      </c>
      <c r="G256" t="s">
        <v>51</v>
      </c>
      <c r="H256" t="s">
        <v>101</v>
      </c>
      <c r="I256" t="s">
        <v>89</v>
      </c>
      <c r="J256" t="s">
        <v>111</v>
      </c>
      <c r="K256">
        <v>651818</v>
      </c>
      <c r="L256" t="s">
        <v>112</v>
      </c>
      <c r="M256" t="s">
        <v>104</v>
      </c>
      <c r="N256" t="s">
        <v>57</v>
      </c>
      <c r="O256" s="1">
        <v>45664</v>
      </c>
      <c r="Q256" s="1">
        <v>45968</v>
      </c>
      <c r="R256" s="2">
        <v>25.6</v>
      </c>
      <c r="S256">
        <v>1</v>
      </c>
      <c r="T256" t="s">
        <v>58</v>
      </c>
      <c r="U256" t="s">
        <v>359</v>
      </c>
      <c r="V256" s="3">
        <v>0.75</v>
      </c>
      <c r="W256" s="2">
        <v>0</v>
      </c>
      <c r="X256">
        <v>0</v>
      </c>
      <c r="Y256" t="s">
        <v>60</v>
      </c>
      <c r="Z256" t="s">
        <v>360</v>
      </c>
      <c r="AA256">
        <v>0</v>
      </c>
      <c r="AB256" s="2">
        <v>0</v>
      </c>
      <c r="AC256" s="2">
        <v>0</v>
      </c>
      <c r="AD256" s="3">
        <v>0</v>
      </c>
      <c r="AE256" s="2">
        <v>0</v>
      </c>
      <c r="AF256" s="2">
        <v>0</v>
      </c>
      <c r="AG256" s="2">
        <v>0</v>
      </c>
      <c r="AH256" s="2">
        <v>0</v>
      </c>
      <c r="AI256" s="2">
        <v>0</v>
      </c>
      <c r="AJ256" s="2">
        <v>0</v>
      </c>
      <c r="AK256" s="2">
        <v>0</v>
      </c>
      <c r="AL256" s="2">
        <v>0</v>
      </c>
      <c r="AM256" s="2">
        <v>19.2</v>
      </c>
      <c r="AN256" s="2">
        <v>19.2</v>
      </c>
      <c r="AO256" s="2">
        <v>0</v>
      </c>
      <c r="AP256" s="2">
        <v>0</v>
      </c>
      <c r="AQ256" s="2">
        <v>0</v>
      </c>
    </row>
    <row r="257" spans="1:43" x14ac:dyDescent="0.25">
      <c r="A257" s="1">
        <v>45936</v>
      </c>
      <c r="B257" t="s">
        <v>48</v>
      </c>
      <c r="C257">
        <v>649163</v>
      </c>
      <c r="D257">
        <v>2026443517</v>
      </c>
      <c r="E257" t="s">
        <v>731</v>
      </c>
      <c r="F257" t="s">
        <v>732</v>
      </c>
      <c r="G257" t="s">
        <v>51</v>
      </c>
      <c r="H257" t="s">
        <v>376</v>
      </c>
      <c r="I257" t="s">
        <v>89</v>
      </c>
      <c r="J257" t="s">
        <v>111</v>
      </c>
      <c r="K257">
        <v>651818</v>
      </c>
      <c r="L257" t="s">
        <v>112</v>
      </c>
      <c r="M257" t="s">
        <v>104</v>
      </c>
      <c r="N257" t="s">
        <v>57</v>
      </c>
      <c r="O257" s="1">
        <v>45661</v>
      </c>
      <c r="Q257" s="1">
        <v>45965</v>
      </c>
      <c r="R257" s="2">
        <v>36.65</v>
      </c>
      <c r="S257">
        <v>1</v>
      </c>
      <c r="T257" t="s">
        <v>58</v>
      </c>
      <c r="U257" t="s">
        <v>359</v>
      </c>
      <c r="V257" s="3">
        <v>0.75</v>
      </c>
      <c r="W257" s="2">
        <v>0</v>
      </c>
      <c r="X257">
        <v>0</v>
      </c>
      <c r="Y257" t="s">
        <v>60</v>
      </c>
      <c r="Z257" t="s">
        <v>360</v>
      </c>
      <c r="AA257">
        <v>0</v>
      </c>
      <c r="AB257" s="2">
        <v>0</v>
      </c>
      <c r="AC257" s="2">
        <v>0</v>
      </c>
      <c r="AD257" s="3">
        <v>0</v>
      </c>
      <c r="AE257" s="2">
        <v>0</v>
      </c>
      <c r="AF257" s="2">
        <v>0</v>
      </c>
      <c r="AG257" s="2">
        <v>0</v>
      </c>
      <c r="AH257" s="2">
        <v>0</v>
      </c>
      <c r="AI257" s="2">
        <v>0</v>
      </c>
      <c r="AJ257" s="2">
        <v>0</v>
      </c>
      <c r="AK257" s="2">
        <v>0</v>
      </c>
      <c r="AL257" s="2">
        <v>0</v>
      </c>
      <c r="AM257" s="2">
        <v>27.49</v>
      </c>
      <c r="AN257" s="2">
        <v>27.49</v>
      </c>
      <c r="AO257" s="2">
        <v>0</v>
      </c>
      <c r="AP257" s="2">
        <v>0</v>
      </c>
      <c r="AQ257" s="2">
        <v>0</v>
      </c>
    </row>
    <row r="258" spans="1:43" x14ac:dyDescent="0.25">
      <c r="A258" s="1">
        <v>45936</v>
      </c>
      <c r="B258" t="s">
        <v>48</v>
      </c>
      <c r="C258">
        <v>649163</v>
      </c>
      <c r="D258">
        <v>2026456395</v>
      </c>
      <c r="E258" t="s">
        <v>394</v>
      </c>
      <c r="F258" t="s">
        <v>395</v>
      </c>
      <c r="G258" t="s">
        <v>51</v>
      </c>
      <c r="H258" t="s">
        <v>203</v>
      </c>
      <c r="I258" t="s">
        <v>89</v>
      </c>
      <c r="J258" t="s">
        <v>90</v>
      </c>
      <c r="K258">
        <v>816021</v>
      </c>
      <c r="L258" t="s">
        <v>265</v>
      </c>
      <c r="M258" t="s">
        <v>266</v>
      </c>
      <c r="N258" t="s">
        <v>57</v>
      </c>
      <c r="O258" s="1">
        <v>45662</v>
      </c>
      <c r="Q258" s="1">
        <v>45966</v>
      </c>
      <c r="R258" s="2">
        <v>68.23</v>
      </c>
      <c r="S258">
        <v>1</v>
      </c>
      <c r="T258" t="s">
        <v>58</v>
      </c>
      <c r="U258" t="s">
        <v>359</v>
      </c>
      <c r="V258" s="3">
        <v>0.65</v>
      </c>
      <c r="W258" s="2">
        <v>0</v>
      </c>
      <c r="X258">
        <v>0</v>
      </c>
      <c r="Y258" t="s">
        <v>60</v>
      </c>
      <c r="Z258" t="s">
        <v>360</v>
      </c>
      <c r="AA258">
        <v>0</v>
      </c>
      <c r="AB258" s="2">
        <v>0</v>
      </c>
      <c r="AC258" s="2">
        <v>0</v>
      </c>
      <c r="AD258" s="3">
        <v>0</v>
      </c>
      <c r="AE258" s="2">
        <v>0</v>
      </c>
      <c r="AF258" s="2">
        <v>0</v>
      </c>
      <c r="AG258" s="2">
        <v>0</v>
      </c>
      <c r="AH258" s="2">
        <v>0</v>
      </c>
      <c r="AI258" s="2">
        <v>0</v>
      </c>
      <c r="AJ258" s="2">
        <v>0</v>
      </c>
      <c r="AK258" s="2">
        <v>0</v>
      </c>
      <c r="AL258" s="2">
        <v>0</v>
      </c>
      <c r="AM258" s="2">
        <v>44.35</v>
      </c>
      <c r="AN258" s="2">
        <v>44.35</v>
      </c>
      <c r="AO258" s="2">
        <v>0</v>
      </c>
      <c r="AP258" s="2">
        <v>0</v>
      </c>
      <c r="AQ258" s="2">
        <v>0</v>
      </c>
    </row>
    <row r="259" spans="1:43" x14ac:dyDescent="0.25">
      <c r="A259" s="1">
        <v>45936</v>
      </c>
      <c r="B259" t="s">
        <v>48</v>
      </c>
      <c r="C259">
        <v>649163</v>
      </c>
      <c r="D259">
        <v>2026498048</v>
      </c>
      <c r="E259" t="s">
        <v>733</v>
      </c>
      <c r="F259" t="s">
        <v>734</v>
      </c>
      <c r="G259" t="s">
        <v>51</v>
      </c>
      <c r="H259" t="s">
        <v>52</v>
      </c>
      <c r="I259" t="s">
        <v>89</v>
      </c>
      <c r="J259" t="s">
        <v>111</v>
      </c>
      <c r="K259">
        <v>651818</v>
      </c>
      <c r="L259" t="s">
        <v>112</v>
      </c>
      <c r="M259" t="s">
        <v>104</v>
      </c>
      <c r="N259" t="s">
        <v>57</v>
      </c>
      <c r="O259" s="1">
        <v>45695</v>
      </c>
      <c r="Q259" s="1">
        <v>45968</v>
      </c>
      <c r="R259" s="2">
        <v>160.30000000000001</v>
      </c>
      <c r="S259">
        <v>1</v>
      </c>
      <c r="T259" t="s">
        <v>58</v>
      </c>
      <c r="U259" t="s">
        <v>359</v>
      </c>
      <c r="V259" s="3">
        <v>0.75</v>
      </c>
      <c r="W259" s="2">
        <v>0</v>
      </c>
      <c r="X259">
        <v>0</v>
      </c>
      <c r="Y259" t="s">
        <v>60</v>
      </c>
      <c r="Z259" t="s">
        <v>360</v>
      </c>
      <c r="AA259">
        <v>0</v>
      </c>
      <c r="AB259" s="2">
        <v>0</v>
      </c>
      <c r="AC259" s="2">
        <v>0</v>
      </c>
      <c r="AD259" s="3">
        <v>0</v>
      </c>
      <c r="AE259" s="2">
        <v>0</v>
      </c>
      <c r="AF259" s="2">
        <v>0</v>
      </c>
      <c r="AG259" s="2">
        <v>0</v>
      </c>
      <c r="AH259" s="2">
        <v>0</v>
      </c>
      <c r="AI259" s="2">
        <v>0</v>
      </c>
      <c r="AJ259" s="2">
        <v>0</v>
      </c>
      <c r="AK259" s="2">
        <v>0</v>
      </c>
      <c r="AL259" s="2">
        <v>0</v>
      </c>
      <c r="AM259" s="2">
        <v>120.22</v>
      </c>
      <c r="AN259" s="2">
        <v>120.22</v>
      </c>
      <c r="AO259" s="2">
        <v>0</v>
      </c>
      <c r="AP259" s="2">
        <v>0</v>
      </c>
      <c r="AQ259" s="2">
        <v>0</v>
      </c>
    </row>
    <row r="260" spans="1:43" x14ac:dyDescent="0.25">
      <c r="A260" s="1">
        <v>45936</v>
      </c>
      <c r="B260" t="s">
        <v>48</v>
      </c>
      <c r="C260">
        <v>649163</v>
      </c>
      <c r="D260">
        <v>2026521339</v>
      </c>
      <c r="E260" t="s">
        <v>219</v>
      </c>
      <c r="F260" t="s">
        <v>100</v>
      </c>
      <c r="G260" t="s">
        <v>51</v>
      </c>
      <c r="H260" t="s">
        <v>122</v>
      </c>
      <c r="I260" t="s">
        <v>89</v>
      </c>
      <c r="J260" t="s">
        <v>96</v>
      </c>
      <c r="K260">
        <v>651818</v>
      </c>
      <c r="L260" t="s">
        <v>112</v>
      </c>
      <c r="M260" t="s">
        <v>104</v>
      </c>
      <c r="N260" t="s">
        <v>57</v>
      </c>
      <c r="O260" s="1">
        <v>45695</v>
      </c>
      <c r="Q260" s="1">
        <v>45968</v>
      </c>
      <c r="R260" s="2">
        <v>171.34</v>
      </c>
      <c r="S260">
        <v>1</v>
      </c>
      <c r="T260" t="s">
        <v>58</v>
      </c>
      <c r="U260" t="s">
        <v>359</v>
      </c>
      <c r="V260" s="3">
        <v>0.9</v>
      </c>
      <c r="W260" s="2">
        <v>0</v>
      </c>
      <c r="X260">
        <v>0</v>
      </c>
      <c r="Y260" t="s">
        <v>60</v>
      </c>
      <c r="Z260" t="s">
        <v>360</v>
      </c>
      <c r="AA260">
        <v>0</v>
      </c>
      <c r="AB260" s="2">
        <v>0</v>
      </c>
      <c r="AC260" s="2">
        <v>0</v>
      </c>
      <c r="AD260" s="3">
        <v>0</v>
      </c>
      <c r="AE260" s="2">
        <v>0</v>
      </c>
      <c r="AF260" s="2">
        <v>0</v>
      </c>
      <c r="AG260" s="2">
        <v>0</v>
      </c>
      <c r="AH260" s="2">
        <v>0</v>
      </c>
      <c r="AI260" s="2">
        <v>0</v>
      </c>
      <c r="AJ260" s="2">
        <v>0</v>
      </c>
      <c r="AK260" s="2">
        <v>0</v>
      </c>
      <c r="AL260" s="2">
        <v>0</v>
      </c>
      <c r="AM260" s="2">
        <v>154.21</v>
      </c>
      <c r="AN260" s="2">
        <v>154.21</v>
      </c>
      <c r="AO260" s="2">
        <v>0</v>
      </c>
      <c r="AP260" s="2">
        <v>0</v>
      </c>
      <c r="AQ260" s="2">
        <v>0</v>
      </c>
    </row>
    <row r="261" spans="1:43" x14ac:dyDescent="0.25">
      <c r="A261" s="1">
        <v>45936</v>
      </c>
      <c r="B261" t="s">
        <v>48</v>
      </c>
      <c r="C261">
        <v>649163</v>
      </c>
      <c r="D261">
        <v>2026544306</v>
      </c>
      <c r="E261" t="s">
        <v>735</v>
      </c>
      <c r="F261" t="s">
        <v>736</v>
      </c>
      <c r="G261" t="s">
        <v>51</v>
      </c>
      <c r="H261" t="s">
        <v>122</v>
      </c>
      <c r="I261" t="s">
        <v>89</v>
      </c>
      <c r="J261" t="s">
        <v>111</v>
      </c>
      <c r="K261">
        <v>651818</v>
      </c>
      <c r="L261" t="s">
        <v>112</v>
      </c>
      <c r="M261" t="s">
        <v>104</v>
      </c>
      <c r="N261" t="s">
        <v>57</v>
      </c>
      <c r="O261" s="1">
        <v>45695</v>
      </c>
      <c r="Q261" s="1">
        <v>45968</v>
      </c>
      <c r="R261" s="2">
        <v>189.31</v>
      </c>
      <c r="S261">
        <v>1</v>
      </c>
      <c r="T261" t="s">
        <v>58</v>
      </c>
      <c r="U261" t="s">
        <v>359</v>
      </c>
      <c r="V261" s="3">
        <v>0.75</v>
      </c>
      <c r="W261" s="2">
        <v>0</v>
      </c>
      <c r="X261">
        <v>0</v>
      </c>
      <c r="Y261" t="s">
        <v>60</v>
      </c>
      <c r="Z261" t="s">
        <v>360</v>
      </c>
      <c r="AA261">
        <v>0</v>
      </c>
      <c r="AB261" s="2">
        <v>0</v>
      </c>
      <c r="AC261" s="2">
        <v>0</v>
      </c>
      <c r="AD261" s="3">
        <v>0</v>
      </c>
      <c r="AE261" s="2">
        <v>0</v>
      </c>
      <c r="AF261" s="2">
        <v>0</v>
      </c>
      <c r="AG261" s="2">
        <v>0</v>
      </c>
      <c r="AH261" s="2">
        <v>0</v>
      </c>
      <c r="AI261" s="2">
        <v>0</v>
      </c>
      <c r="AJ261" s="2">
        <v>0</v>
      </c>
      <c r="AK261" s="2">
        <v>0</v>
      </c>
      <c r="AL261" s="2">
        <v>0</v>
      </c>
      <c r="AM261" s="2">
        <v>141.97999999999999</v>
      </c>
      <c r="AN261" s="2">
        <v>141.97999999999999</v>
      </c>
      <c r="AO261" s="2">
        <v>0</v>
      </c>
      <c r="AP261" s="2">
        <v>0</v>
      </c>
      <c r="AQ261" s="2">
        <v>0</v>
      </c>
    </row>
    <row r="262" spans="1:43" x14ac:dyDescent="0.25">
      <c r="A262" s="1">
        <v>45936</v>
      </c>
      <c r="B262" t="s">
        <v>48</v>
      </c>
      <c r="C262">
        <v>649163</v>
      </c>
      <c r="D262">
        <v>2026599464</v>
      </c>
      <c r="E262" t="s">
        <v>737</v>
      </c>
      <c r="F262" t="s">
        <v>738</v>
      </c>
      <c r="G262" t="s">
        <v>51</v>
      </c>
      <c r="H262" t="s">
        <v>390</v>
      </c>
      <c r="I262" t="s">
        <v>89</v>
      </c>
      <c r="J262" t="s">
        <v>111</v>
      </c>
      <c r="K262">
        <v>651818</v>
      </c>
      <c r="L262" t="s">
        <v>112</v>
      </c>
      <c r="M262" t="s">
        <v>104</v>
      </c>
      <c r="N262" t="s">
        <v>57</v>
      </c>
      <c r="O262" s="1">
        <v>45695</v>
      </c>
      <c r="Q262" s="1">
        <v>45968</v>
      </c>
      <c r="R262" s="2">
        <v>64.23</v>
      </c>
      <c r="S262">
        <v>1</v>
      </c>
      <c r="T262" t="s">
        <v>58</v>
      </c>
      <c r="U262" t="s">
        <v>359</v>
      </c>
      <c r="V262" s="3">
        <v>0.75</v>
      </c>
      <c r="W262" s="2">
        <v>0</v>
      </c>
      <c r="X262">
        <v>0</v>
      </c>
      <c r="Y262" t="s">
        <v>60</v>
      </c>
      <c r="Z262" t="s">
        <v>360</v>
      </c>
      <c r="AA262">
        <v>0</v>
      </c>
      <c r="AB262" s="2">
        <v>0</v>
      </c>
      <c r="AC262" s="2">
        <v>0</v>
      </c>
      <c r="AD262" s="3">
        <v>0</v>
      </c>
      <c r="AE262" s="2">
        <v>0</v>
      </c>
      <c r="AF262" s="2">
        <v>0</v>
      </c>
      <c r="AG262" s="2">
        <v>0</v>
      </c>
      <c r="AH262" s="2">
        <v>0</v>
      </c>
      <c r="AI262" s="2">
        <v>0</v>
      </c>
      <c r="AJ262" s="2">
        <v>0</v>
      </c>
      <c r="AK262" s="2">
        <v>0</v>
      </c>
      <c r="AL262" s="2">
        <v>0</v>
      </c>
      <c r="AM262" s="2">
        <v>48.17</v>
      </c>
      <c r="AN262" s="2">
        <v>48.17</v>
      </c>
      <c r="AO262" s="2">
        <v>0</v>
      </c>
      <c r="AP262" s="2">
        <v>0</v>
      </c>
      <c r="AQ262" s="2">
        <v>0</v>
      </c>
    </row>
    <row r="263" spans="1:43" x14ac:dyDescent="0.25">
      <c r="A263" s="1">
        <v>45936</v>
      </c>
      <c r="B263" t="s">
        <v>48</v>
      </c>
      <c r="C263">
        <v>649163</v>
      </c>
      <c r="D263">
        <v>2026617927</v>
      </c>
      <c r="E263" t="s">
        <v>739</v>
      </c>
      <c r="F263" t="s">
        <v>740</v>
      </c>
      <c r="G263" t="s">
        <v>51</v>
      </c>
      <c r="H263" t="s">
        <v>52</v>
      </c>
      <c r="I263" t="s">
        <v>89</v>
      </c>
      <c r="J263" t="s">
        <v>111</v>
      </c>
      <c r="K263">
        <v>651818</v>
      </c>
      <c r="L263" t="s">
        <v>112</v>
      </c>
      <c r="M263" t="s">
        <v>104</v>
      </c>
      <c r="N263" t="s">
        <v>57</v>
      </c>
      <c r="O263" s="1">
        <v>45695</v>
      </c>
      <c r="Q263" s="1">
        <v>45968</v>
      </c>
      <c r="R263" s="2">
        <v>71.63</v>
      </c>
      <c r="S263">
        <v>1</v>
      </c>
      <c r="T263" t="s">
        <v>58</v>
      </c>
      <c r="U263" t="s">
        <v>359</v>
      </c>
      <c r="V263" s="3">
        <v>0.75</v>
      </c>
      <c r="W263" s="2">
        <v>0</v>
      </c>
      <c r="X263">
        <v>0</v>
      </c>
      <c r="Y263" t="s">
        <v>60</v>
      </c>
      <c r="Z263" t="s">
        <v>360</v>
      </c>
      <c r="AA263">
        <v>0</v>
      </c>
      <c r="AB263" s="2">
        <v>0</v>
      </c>
      <c r="AC263" s="2">
        <v>0</v>
      </c>
      <c r="AD263" s="3">
        <v>0</v>
      </c>
      <c r="AE263" s="2">
        <v>0</v>
      </c>
      <c r="AF263" s="2">
        <v>0</v>
      </c>
      <c r="AG263" s="2">
        <v>0</v>
      </c>
      <c r="AH263" s="2">
        <v>0</v>
      </c>
      <c r="AI263" s="2">
        <v>0</v>
      </c>
      <c r="AJ263" s="2">
        <v>0</v>
      </c>
      <c r="AK263" s="2">
        <v>0</v>
      </c>
      <c r="AL263" s="2">
        <v>0</v>
      </c>
      <c r="AM263" s="2">
        <v>53.72</v>
      </c>
      <c r="AN263" s="2">
        <v>53.72</v>
      </c>
      <c r="AO263" s="2">
        <v>0</v>
      </c>
      <c r="AP263" s="2">
        <v>0</v>
      </c>
      <c r="AQ263" s="2">
        <v>0</v>
      </c>
    </row>
    <row r="264" spans="1:43" x14ac:dyDescent="0.25">
      <c r="A264" s="1">
        <v>45936</v>
      </c>
      <c r="B264" t="s">
        <v>48</v>
      </c>
      <c r="C264">
        <v>649163</v>
      </c>
      <c r="D264">
        <v>2026619726</v>
      </c>
      <c r="E264" t="s">
        <v>188</v>
      </c>
      <c r="F264" t="s">
        <v>337</v>
      </c>
      <c r="G264" t="s">
        <v>51</v>
      </c>
      <c r="H264" t="s">
        <v>52</v>
      </c>
      <c r="I264" t="s">
        <v>89</v>
      </c>
      <c r="J264" t="s">
        <v>96</v>
      </c>
      <c r="K264">
        <v>753748</v>
      </c>
      <c r="L264" t="s">
        <v>97</v>
      </c>
      <c r="M264" t="s">
        <v>98</v>
      </c>
      <c r="N264" t="s">
        <v>57</v>
      </c>
      <c r="O264" s="1">
        <v>45689</v>
      </c>
      <c r="Q264" s="1">
        <v>45962</v>
      </c>
      <c r="R264" s="2">
        <v>-239.84</v>
      </c>
      <c r="S264">
        <v>1</v>
      </c>
      <c r="T264" t="s">
        <v>58</v>
      </c>
      <c r="U264" t="s">
        <v>359</v>
      </c>
      <c r="V264" s="3">
        <v>0.9</v>
      </c>
      <c r="W264" s="2">
        <v>0</v>
      </c>
      <c r="X264">
        <v>-1</v>
      </c>
      <c r="Y264" t="s">
        <v>60</v>
      </c>
      <c r="Z264" t="s">
        <v>360</v>
      </c>
      <c r="AA264">
        <v>0</v>
      </c>
      <c r="AB264" s="2">
        <v>0</v>
      </c>
      <c r="AC264" s="2">
        <v>0</v>
      </c>
      <c r="AD264" s="3">
        <v>0</v>
      </c>
      <c r="AE264" s="2">
        <v>0</v>
      </c>
      <c r="AF264" s="2">
        <v>0</v>
      </c>
      <c r="AG264" s="2">
        <v>0</v>
      </c>
      <c r="AH264" s="2">
        <v>0</v>
      </c>
      <c r="AI264" s="2">
        <v>0</v>
      </c>
      <c r="AJ264" s="2">
        <v>0</v>
      </c>
      <c r="AK264" s="2">
        <v>0</v>
      </c>
      <c r="AL264" s="2">
        <v>0</v>
      </c>
      <c r="AM264" s="2">
        <v>-215.86</v>
      </c>
      <c r="AN264" s="2">
        <v>-215.86</v>
      </c>
      <c r="AO264" s="2">
        <v>0</v>
      </c>
      <c r="AP264" s="2">
        <v>0</v>
      </c>
      <c r="AQ264" s="2">
        <v>0</v>
      </c>
    </row>
    <row r="265" spans="1:43" x14ac:dyDescent="0.25">
      <c r="A265" s="1">
        <v>45936</v>
      </c>
      <c r="B265" t="s">
        <v>48</v>
      </c>
      <c r="C265">
        <v>649163</v>
      </c>
      <c r="D265">
        <v>2026628668</v>
      </c>
      <c r="E265" t="s">
        <v>741</v>
      </c>
      <c r="F265" t="s">
        <v>81</v>
      </c>
      <c r="G265" t="s">
        <v>51</v>
      </c>
      <c r="H265" t="s">
        <v>101</v>
      </c>
      <c r="I265" t="s">
        <v>89</v>
      </c>
      <c r="J265" t="s">
        <v>111</v>
      </c>
      <c r="K265">
        <v>651818</v>
      </c>
      <c r="L265" t="s">
        <v>112</v>
      </c>
      <c r="M265" t="s">
        <v>104</v>
      </c>
      <c r="N265" t="s">
        <v>57</v>
      </c>
      <c r="O265" s="1">
        <v>45695</v>
      </c>
      <c r="Q265" s="1">
        <v>45968</v>
      </c>
      <c r="R265" s="2">
        <v>39.4</v>
      </c>
      <c r="S265">
        <v>1</v>
      </c>
      <c r="T265" t="s">
        <v>58</v>
      </c>
      <c r="U265" t="s">
        <v>359</v>
      </c>
      <c r="V265" s="3">
        <v>0.75</v>
      </c>
      <c r="W265" s="2">
        <v>0</v>
      </c>
      <c r="X265">
        <v>0</v>
      </c>
      <c r="Y265" t="s">
        <v>60</v>
      </c>
      <c r="Z265" t="s">
        <v>360</v>
      </c>
      <c r="AA265">
        <v>0</v>
      </c>
      <c r="AB265" s="2">
        <v>0</v>
      </c>
      <c r="AC265" s="2">
        <v>0</v>
      </c>
      <c r="AD265" s="3">
        <v>0</v>
      </c>
      <c r="AE265" s="2">
        <v>0</v>
      </c>
      <c r="AF265" s="2">
        <v>0</v>
      </c>
      <c r="AG265" s="2">
        <v>0</v>
      </c>
      <c r="AH265" s="2">
        <v>0</v>
      </c>
      <c r="AI265" s="2">
        <v>0</v>
      </c>
      <c r="AJ265" s="2">
        <v>0</v>
      </c>
      <c r="AK265" s="2">
        <v>0</v>
      </c>
      <c r="AL265" s="2">
        <v>0</v>
      </c>
      <c r="AM265" s="2">
        <v>29.55</v>
      </c>
      <c r="AN265" s="2">
        <v>29.55</v>
      </c>
      <c r="AO265" s="2">
        <v>0</v>
      </c>
      <c r="AP265" s="2">
        <v>0</v>
      </c>
      <c r="AQ265" s="2">
        <v>0</v>
      </c>
    </row>
    <row r="266" spans="1:43" x14ac:dyDescent="0.25">
      <c r="A266" s="1">
        <v>45936</v>
      </c>
      <c r="B266" t="s">
        <v>48</v>
      </c>
      <c r="C266">
        <v>649163</v>
      </c>
      <c r="D266">
        <v>2026637122</v>
      </c>
      <c r="E266" t="s">
        <v>402</v>
      </c>
      <c r="F266" t="s">
        <v>94</v>
      </c>
      <c r="G266" t="s">
        <v>51</v>
      </c>
      <c r="H266" t="s">
        <v>376</v>
      </c>
      <c r="I266" t="s">
        <v>89</v>
      </c>
      <c r="J266" t="s">
        <v>111</v>
      </c>
      <c r="K266">
        <v>651818</v>
      </c>
      <c r="L266" t="s">
        <v>112</v>
      </c>
      <c r="M266" t="s">
        <v>104</v>
      </c>
      <c r="N266" t="s">
        <v>57</v>
      </c>
      <c r="O266" s="1">
        <v>45695</v>
      </c>
      <c r="Q266" s="1">
        <v>45968</v>
      </c>
      <c r="R266" s="2">
        <v>92.48</v>
      </c>
      <c r="S266">
        <v>1</v>
      </c>
      <c r="T266" t="s">
        <v>58</v>
      </c>
      <c r="U266" t="s">
        <v>359</v>
      </c>
      <c r="V266" s="3">
        <v>0.75</v>
      </c>
      <c r="W266" s="2">
        <v>0</v>
      </c>
      <c r="X266">
        <v>0</v>
      </c>
      <c r="Y266" t="s">
        <v>60</v>
      </c>
      <c r="Z266" t="s">
        <v>360</v>
      </c>
      <c r="AA266">
        <v>0</v>
      </c>
      <c r="AB266" s="2">
        <v>0</v>
      </c>
      <c r="AC266" s="2">
        <v>0</v>
      </c>
      <c r="AD266" s="3">
        <v>0</v>
      </c>
      <c r="AE266" s="2">
        <v>0</v>
      </c>
      <c r="AF266" s="2">
        <v>0</v>
      </c>
      <c r="AG266" s="2">
        <v>0</v>
      </c>
      <c r="AH266" s="2">
        <v>0</v>
      </c>
      <c r="AI266" s="2">
        <v>0</v>
      </c>
      <c r="AJ266" s="2">
        <v>0</v>
      </c>
      <c r="AK266" s="2">
        <v>0</v>
      </c>
      <c r="AL266" s="2">
        <v>0</v>
      </c>
      <c r="AM266" s="2">
        <v>69.36</v>
      </c>
      <c r="AN266" s="2">
        <v>69.36</v>
      </c>
      <c r="AO266" s="2">
        <v>0</v>
      </c>
      <c r="AP266" s="2">
        <v>0</v>
      </c>
      <c r="AQ266" s="2">
        <v>0</v>
      </c>
    </row>
    <row r="267" spans="1:43" x14ac:dyDescent="0.25">
      <c r="A267" s="1">
        <v>45936</v>
      </c>
      <c r="B267" t="s">
        <v>48</v>
      </c>
      <c r="C267">
        <v>649163</v>
      </c>
      <c r="D267">
        <v>2026655555</v>
      </c>
      <c r="E267" t="s">
        <v>742</v>
      </c>
      <c r="F267" t="s">
        <v>224</v>
      </c>
      <c r="G267" t="s">
        <v>51</v>
      </c>
      <c r="H267" t="s">
        <v>101</v>
      </c>
      <c r="I267" t="s">
        <v>89</v>
      </c>
      <c r="J267" t="s">
        <v>111</v>
      </c>
      <c r="K267">
        <v>651818</v>
      </c>
      <c r="L267" t="s">
        <v>112</v>
      </c>
      <c r="M267" t="s">
        <v>104</v>
      </c>
      <c r="N267" t="s">
        <v>57</v>
      </c>
      <c r="O267" s="1">
        <v>45695</v>
      </c>
      <c r="Q267" s="1">
        <v>45968</v>
      </c>
      <c r="R267" s="2">
        <v>193.9</v>
      </c>
      <c r="S267">
        <v>1</v>
      </c>
      <c r="T267" t="s">
        <v>58</v>
      </c>
      <c r="U267" t="s">
        <v>359</v>
      </c>
      <c r="V267" s="3">
        <v>0.75</v>
      </c>
      <c r="W267" s="2">
        <v>0</v>
      </c>
      <c r="X267">
        <v>0</v>
      </c>
      <c r="Y267" t="s">
        <v>60</v>
      </c>
      <c r="Z267" t="s">
        <v>360</v>
      </c>
      <c r="AA267">
        <v>0</v>
      </c>
      <c r="AB267" s="2">
        <v>0</v>
      </c>
      <c r="AC267" s="2">
        <v>0</v>
      </c>
      <c r="AD267" s="3">
        <v>0</v>
      </c>
      <c r="AE267" s="2">
        <v>0</v>
      </c>
      <c r="AF267" s="2">
        <v>0</v>
      </c>
      <c r="AG267" s="2">
        <v>0</v>
      </c>
      <c r="AH267" s="2">
        <v>0</v>
      </c>
      <c r="AI267" s="2">
        <v>0</v>
      </c>
      <c r="AJ267" s="2">
        <v>0</v>
      </c>
      <c r="AK267" s="2">
        <v>0</v>
      </c>
      <c r="AL267" s="2">
        <v>0</v>
      </c>
      <c r="AM267" s="2">
        <v>145.41999999999999</v>
      </c>
      <c r="AN267" s="2">
        <v>145.41999999999999</v>
      </c>
      <c r="AO267" s="2">
        <v>0</v>
      </c>
      <c r="AP267" s="2">
        <v>0</v>
      </c>
      <c r="AQ267" s="2">
        <v>0</v>
      </c>
    </row>
    <row r="268" spans="1:43" x14ac:dyDescent="0.25">
      <c r="A268" s="1">
        <v>45936</v>
      </c>
      <c r="B268" t="s">
        <v>48</v>
      </c>
      <c r="C268">
        <v>649163</v>
      </c>
      <c r="D268">
        <v>2026680615</v>
      </c>
      <c r="E268" t="s">
        <v>402</v>
      </c>
      <c r="F268" t="s">
        <v>743</v>
      </c>
      <c r="G268" t="s">
        <v>51</v>
      </c>
      <c r="H268" t="s">
        <v>155</v>
      </c>
      <c r="I268" t="s">
        <v>89</v>
      </c>
      <c r="J268" t="s">
        <v>111</v>
      </c>
      <c r="K268">
        <v>651818</v>
      </c>
      <c r="L268" t="s">
        <v>112</v>
      </c>
      <c r="M268" t="s">
        <v>104</v>
      </c>
      <c r="N268" t="s">
        <v>57</v>
      </c>
      <c r="O268" s="1">
        <v>45695</v>
      </c>
      <c r="Q268" s="1">
        <v>45968</v>
      </c>
      <c r="R268" s="2">
        <v>31.75</v>
      </c>
      <c r="S268">
        <v>1</v>
      </c>
      <c r="T268" t="s">
        <v>58</v>
      </c>
      <c r="U268" t="s">
        <v>359</v>
      </c>
      <c r="V268" s="3">
        <v>0.75</v>
      </c>
      <c r="W268" s="2">
        <v>0</v>
      </c>
      <c r="X268">
        <v>0</v>
      </c>
      <c r="Y268" t="s">
        <v>60</v>
      </c>
      <c r="Z268" t="s">
        <v>360</v>
      </c>
      <c r="AA268">
        <v>0</v>
      </c>
      <c r="AB268" s="2">
        <v>0</v>
      </c>
      <c r="AC268" s="2">
        <v>0</v>
      </c>
      <c r="AD268" s="3">
        <v>0</v>
      </c>
      <c r="AE268" s="2">
        <v>0</v>
      </c>
      <c r="AF268" s="2">
        <v>0</v>
      </c>
      <c r="AG268" s="2">
        <v>0</v>
      </c>
      <c r="AH268" s="2">
        <v>0</v>
      </c>
      <c r="AI268" s="2">
        <v>0</v>
      </c>
      <c r="AJ268" s="2">
        <v>0</v>
      </c>
      <c r="AK268" s="2">
        <v>0</v>
      </c>
      <c r="AL268" s="2">
        <v>0</v>
      </c>
      <c r="AM268" s="2">
        <v>23.81</v>
      </c>
      <c r="AN268" s="2">
        <v>23.81</v>
      </c>
      <c r="AO268" s="2">
        <v>0</v>
      </c>
      <c r="AP268" s="2">
        <v>0</v>
      </c>
      <c r="AQ268" s="2">
        <v>0</v>
      </c>
    </row>
    <row r="269" spans="1:43" x14ac:dyDescent="0.25">
      <c r="A269" s="1">
        <v>45936</v>
      </c>
      <c r="B269" t="s">
        <v>48</v>
      </c>
      <c r="C269">
        <v>649163</v>
      </c>
      <c r="D269">
        <v>2026682347</v>
      </c>
      <c r="E269" t="s">
        <v>744</v>
      </c>
      <c r="F269" t="s">
        <v>745</v>
      </c>
      <c r="G269" t="s">
        <v>51</v>
      </c>
      <c r="H269" t="s">
        <v>101</v>
      </c>
      <c r="I269" t="s">
        <v>89</v>
      </c>
      <c r="J269" t="s">
        <v>111</v>
      </c>
      <c r="K269">
        <v>651818</v>
      </c>
      <c r="L269" t="s">
        <v>112</v>
      </c>
      <c r="M269" t="s">
        <v>104</v>
      </c>
      <c r="N269" t="s">
        <v>57</v>
      </c>
      <c r="O269" s="1">
        <v>45695</v>
      </c>
      <c r="Q269" s="1">
        <v>45968</v>
      </c>
      <c r="R269" s="2">
        <v>21.78</v>
      </c>
      <c r="S269">
        <v>1</v>
      </c>
      <c r="T269" t="s">
        <v>58</v>
      </c>
      <c r="U269" t="s">
        <v>359</v>
      </c>
      <c r="V269" s="3">
        <v>0.75</v>
      </c>
      <c r="W269" s="2">
        <v>0</v>
      </c>
      <c r="X269">
        <v>0</v>
      </c>
      <c r="Y269" t="s">
        <v>60</v>
      </c>
      <c r="Z269" t="s">
        <v>360</v>
      </c>
      <c r="AA269">
        <v>0</v>
      </c>
      <c r="AB269" s="2">
        <v>0</v>
      </c>
      <c r="AC269" s="2">
        <v>0</v>
      </c>
      <c r="AD269" s="3">
        <v>0</v>
      </c>
      <c r="AE269" s="2">
        <v>0</v>
      </c>
      <c r="AF269" s="2">
        <v>0</v>
      </c>
      <c r="AG269" s="2">
        <v>0</v>
      </c>
      <c r="AH269" s="2">
        <v>0</v>
      </c>
      <c r="AI269" s="2">
        <v>0</v>
      </c>
      <c r="AJ269" s="2">
        <v>0</v>
      </c>
      <c r="AK269" s="2">
        <v>0</v>
      </c>
      <c r="AL269" s="2">
        <v>0</v>
      </c>
      <c r="AM269" s="2">
        <v>16.34</v>
      </c>
      <c r="AN269" s="2">
        <v>16.34</v>
      </c>
      <c r="AO269" s="2">
        <v>0</v>
      </c>
      <c r="AP269" s="2">
        <v>0</v>
      </c>
      <c r="AQ269" s="2">
        <v>0</v>
      </c>
    </row>
    <row r="270" spans="1:43" x14ac:dyDescent="0.25">
      <c r="A270" s="1">
        <v>45936</v>
      </c>
      <c r="B270" t="s">
        <v>48</v>
      </c>
      <c r="C270">
        <v>649163</v>
      </c>
      <c r="D270">
        <v>2026683722</v>
      </c>
      <c r="E270" t="s">
        <v>678</v>
      </c>
      <c r="F270" t="s">
        <v>746</v>
      </c>
      <c r="G270" t="s">
        <v>51</v>
      </c>
      <c r="H270" t="s">
        <v>122</v>
      </c>
      <c r="I270" t="s">
        <v>89</v>
      </c>
      <c r="J270" t="s">
        <v>96</v>
      </c>
      <c r="K270">
        <v>651818</v>
      </c>
      <c r="L270" t="s">
        <v>112</v>
      </c>
      <c r="M270" t="s">
        <v>104</v>
      </c>
      <c r="N270" t="s">
        <v>57</v>
      </c>
      <c r="O270" s="1">
        <v>45695</v>
      </c>
      <c r="Q270" s="1">
        <v>45968</v>
      </c>
      <c r="R270" s="2">
        <v>194.91</v>
      </c>
      <c r="S270">
        <v>1</v>
      </c>
      <c r="T270" t="s">
        <v>58</v>
      </c>
      <c r="U270" t="s">
        <v>359</v>
      </c>
      <c r="V270" s="3">
        <v>0.9</v>
      </c>
      <c r="W270" s="2">
        <v>0</v>
      </c>
      <c r="X270">
        <v>0</v>
      </c>
      <c r="Y270" t="s">
        <v>60</v>
      </c>
      <c r="Z270" t="s">
        <v>360</v>
      </c>
      <c r="AA270">
        <v>0</v>
      </c>
      <c r="AB270" s="2">
        <v>0</v>
      </c>
      <c r="AC270" s="2">
        <v>0</v>
      </c>
      <c r="AD270" s="3">
        <v>0</v>
      </c>
      <c r="AE270" s="2">
        <v>0</v>
      </c>
      <c r="AF270" s="2">
        <v>0</v>
      </c>
      <c r="AG270" s="2">
        <v>0</v>
      </c>
      <c r="AH270" s="2">
        <v>0</v>
      </c>
      <c r="AI270" s="2">
        <v>0</v>
      </c>
      <c r="AJ270" s="2">
        <v>0</v>
      </c>
      <c r="AK270" s="2">
        <v>0</v>
      </c>
      <c r="AL270" s="2">
        <v>0</v>
      </c>
      <c r="AM270" s="2">
        <v>175.42</v>
      </c>
      <c r="AN270" s="2">
        <v>175.42</v>
      </c>
      <c r="AO270" s="2">
        <v>0</v>
      </c>
      <c r="AP270" s="2">
        <v>0</v>
      </c>
      <c r="AQ270" s="2">
        <v>0</v>
      </c>
    </row>
    <row r="271" spans="1:43" x14ac:dyDescent="0.25">
      <c r="A271" s="1">
        <v>45936</v>
      </c>
      <c r="B271" t="s">
        <v>48</v>
      </c>
      <c r="C271">
        <v>649163</v>
      </c>
      <c r="D271">
        <v>2026685116</v>
      </c>
      <c r="E271" t="s">
        <v>747</v>
      </c>
      <c r="F271" t="s">
        <v>507</v>
      </c>
      <c r="G271" t="s">
        <v>51</v>
      </c>
      <c r="H271" t="s">
        <v>376</v>
      </c>
      <c r="I271" t="s">
        <v>89</v>
      </c>
      <c r="J271" t="s">
        <v>96</v>
      </c>
      <c r="K271">
        <v>651818</v>
      </c>
      <c r="L271" t="s">
        <v>112</v>
      </c>
      <c r="M271" t="s">
        <v>104</v>
      </c>
      <c r="N271" t="s">
        <v>57</v>
      </c>
      <c r="O271" s="1">
        <v>45695</v>
      </c>
      <c r="Q271" s="1">
        <v>45968</v>
      </c>
      <c r="R271" s="2">
        <v>93.13</v>
      </c>
      <c r="S271">
        <v>1</v>
      </c>
      <c r="T271" t="s">
        <v>58</v>
      </c>
      <c r="U271" t="s">
        <v>359</v>
      </c>
      <c r="V271" s="3">
        <v>0.9</v>
      </c>
      <c r="W271" s="2">
        <v>0</v>
      </c>
      <c r="X271">
        <v>0</v>
      </c>
      <c r="Y271" t="s">
        <v>60</v>
      </c>
      <c r="Z271" t="s">
        <v>360</v>
      </c>
      <c r="AA271">
        <v>0</v>
      </c>
      <c r="AB271" s="2">
        <v>0</v>
      </c>
      <c r="AC271" s="2">
        <v>0</v>
      </c>
      <c r="AD271" s="3">
        <v>0</v>
      </c>
      <c r="AE271" s="2">
        <v>0</v>
      </c>
      <c r="AF271" s="2">
        <v>0</v>
      </c>
      <c r="AG271" s="2">
        <v>0</v>
      </c>
      <c r="AH271" s="2">
        <v>0</v>
      </c>
      <c r="AI271" s="2">
        <v>0</v>
      </c>
      <c r="AJ271" s="2">
        <v>0</v>
      </c>
      <c r="AK271" s="2">
        <v>0</v>
      </c>
      <c r="AL271" s="2">
        <v>0</v>
      </c>
      <c r="AM271" s="2">
        <v>83.82</v>
      </c>
      <c r="AN271" s="2">
        <v>83.82</v>
      </c>
      <c r="AO271" s="2">
        <v>0</v>
      </c>
      <c r="AP271" s="2">
        <v>0</v>
      </c>
      <c r="AQ271" s="2">
        <v>0</v>
      </c>
    </row>
    <row r="272" spans="1:43" x14ac:dyDescent="0.25">
      <c r="A272" s="1">
        <v>45936</v>
      </c>
      <c r="B272" t="s">
        <v>48</v>
      </c>
      <c r="C272">
        <v>649163</v>
      </c>
      <c r="D272">
        <v>2026698496</v>
      </c>
      <c r="E272" t="s">
        <v>398</v>
      </c>
      <c r="F272" t="s">
        <v>399</v>
      </c>
      <c r="G272" t="s">
        <v>51</v>
      </c>
      <c r="H272" t="s">
        <v>122</v>
      </c>
      <c r="I272" t="s">
        <v>89</v>
      </c>
      <c r="J272" t="s">
        <v>111</v>
      </c>
      <c r="K272">
        <v>651818</v>
      </c>
      <c r="L272" t="s">
        <v>112</v>
      </c>
      <c r="M272" t="s">
        <v>104</v>
      </c>
      <c r="N272" t="s">
        <v>57</v>
      </c>
      <c r="O272" s="1">
        <v>45695</v>
      </c>
      <c r="Q272" s="1">
        <v>45968</v>
      </c>
      <c r="R272" s="2">
        <v>37.979999999999997</v>
      </c>
      <c r="S272">
        <v>1</v>
      </c>
      <c r="T272" t="s">
        <v>58</v>
      </c>
      <c r="U272" t="s">
        <v>359</v>
      </c>
      <c r="V272" s="3">
        <v>0.75</v>
      </c>
      <c r="W272" s="2">
        <v>0</v>
      </c>
      <c r="X272">
        <v>0</v>
      </c>
      <c r="Y272" t="s">
        <v>60</v>
      </c>
      <c r="Z272" t="s">
        <v>360</v>
      </c>
      <c r="AA272">
        <v>0</v>
      </c>
      <c r="AB272" s="2">
        <v>0</v>
      </c>
      <c r="AC272" s="2">
        <v>0</v>
      </c>
      <c r="AD272" s="3">
        <v>0</v>
      </c>
      <c r="AE272" s="2">
        <v>0</v>
      </c>
      <c r="AF272" s="2">
        <v>0</v>
      </c>
      <c r="AG272" s="2">
        <v>0</v>
      </c>
      <c r="AH272" s="2">
        <v>0</v>
      </c>
      <c r="AI272" s="2">
        <v>0</v>
      </c>
      <c r="AJ272" s="2">
        <v>0</v>
      </c>
      <c r="AK272" s="2">
        <v>0</v>
      </c>
      <c r="AL272" s="2">
        <v>0</v>
      </c>
      <c r="AM272" s="2">
        <v>28.48</v>
      </c>
      <c r="AN272" s="2">
        <v>28.48</v>
      </c>
      <c r="AO272" s="2">
        <v>0</v>
      </c>
      <c r="AP272" s="2">
        <v>0</v>
      </c>
      <c r="AQ272" s="2">
        <v>0</v>
      </c>
    </row>
    <row r="273" spans="1:43" x14ac:dyDescent="0.25">
      <c r="A273" s="1">
        <v>45936</v>
      </c>
      <c r="B273" t="s">
        <v>48</v>
      </c>
      <c r="C273">
        <v>649163</v>
      </c>
      <c r="D273">
        <v>2026832449</v>
      </c>
      <c r="E273" t="s">
        <v>97</v>
      </c>
      <c r="F273" t="s">
        <v>173</v>
      </c>
      <c r="G273" t="s">
        <v>51</v>
      </c>
      <c r="H273" t="s">
        <v>115</v>
      </c>
      <c r="I273" t="s">
        <v>89</v>
      </c>
      <c r="J273" t="s">
        <v>111</v>
      </c>
      <c r="K273">
        <v>651818</v>
      </c>
      <c r="L273" t="s">
        <v>112</v>
      </c>
      <c r="M273" t="s">
        <v>104</v>
      </c>
      <c r="N273" t="s">
        <v>57</v>
      </c>
      <c r="O273" s="1">
        <v>45695</v>
      </c>
      <c r="Q273" s="1">
        <v>45968</v>
      </c>
      <c r="R273" s="2">
        <v>33.159999999999997</v>
      </c>
      <c r="S273">
        <v>1</v>
      </c>
      <c r="T273" t="s">
        <v>58</v>
      </c>
      <c r="U273" t="s">
        <v>359</v>
      </c>
      <c r="V273" s="3">
        <v>0.75</v>
      </c>
      <c r="W273" s="2">
        <v>0</v>
      </c>
      <c r="X273">
        <v>0</v>
      </c>
      <c r="Y273" t="s">
        <v>60</v>
      </c>
      <c r="Z273" t="s">
        <v>360</v>
      </c>
      <c r="AA273">
        <v>0</v>
      </c>
      <c r="AB273" s="2">
        <v>0</v>
      </c>
      <c r="AC273" s="2">
        <v>0</v>
      </c>
      <c r="AD273" s="3">
        <v>0</v>
      </c>
      <c r="AE273" s="2">
        <v>0</v>
      </c>
      <c r="AF273" s="2">
        <v>0</v>
      </c>
      <c r="AG273" s="2">
        <v>0</v>
      </c>
      <c r="AH273" s="2">
        <v>0</v>
      </c>
      <c r="AI273" s="2">
        <v>0</v>
      </c>
      <c r="AJ273" s="2">
        <v>0</v>
      </c>
      <c r="AK273" s="2">
        <v>0</v>
      </c>
      <c r="AL273" s="2">
        <v>0</v>
      </c>
      <c r="AM273" s="2">
        <v>24.87</v>
      </c>
      <c r="AN273" s="2">
        <v>24.87</v>
      </c>
      <c r="AO273" s="2">
        <v>0</v>
      </c>
      <c r="AP273" s="2">
        <v>0</v>
      </c>
      <c r="AQ273" s="2">
        <v>0</v>
      </c>
    </row>
    <row r="274" spans="1:43" x14ac:dyDescent="0.25">
      <c r="A274" s="1">
        <v>45936</v>
      </c>
      <c r="B274" t="s">
        <v>48</v>
      </c>
      <c r="C274">
        <v>649163</v>
      </c>
      <c r="D274">
        <v>2026844912</v>
      </c>
      <c r="E274" t="s">
        <v>748</v>
      </c>
      <c r="F274" t="s">
        <v>132</v>
      </c>
      <c r="G274" t="s">
        <v>51</v>
      </c>
      <c r="H274" t="s">
        <v>101</v>
      </c>
      <c r="I274" t="s">
        <v>89</v>
      </c>
      <c r="J274" t="s">
        <v>96</v>
      </c>
      <c r="K274">
        <v>651818</v>
      </c>
      <c r="L274" t="s">
        <v>112</v>
      </c>
      <c r="M274" t="s">
        <v>104</v>
      </c>
      <c r="N274" t="s">
        <v>57</v>
      </c>
      <c r="O274" s="1">
        <v>45695</v>
      </c>
      <c r="Q274" s="1">
        <v>45968</v>
      </c>
      <c r="R274" s="2">
        <v>121.92</v>
      </c>
      <c r="S274">
        <v>1</v>
      </c>
      <c r="T274" t="s">
        <v>58</v>
      </c>
      <c r="U274" t="s">
        <v>359</v>
      </c>
      <c r="V274" s="3">
        <v>0.9</v>
      </c>
      <c r="W274" s="2">
        <v>0</v>
      </c>
      <c r="X274">
        <v>0</v>
      </c>
      <c r="Y274" t="s">
        <v>60</v>
      </c>
      <c r="Z274" t="s">
        <v>360</v>
      </c>
      <c r="AA274">
        <v>0</v>
      </c>
      <c r="AB274" s="2">
        <v>0</v>
      </c>
      <c r="AC274" s="2">
        <v>0</v>
      </c>
      <c r="AD274" s="3">
        <v>0</v>
      </c>
      <c r="AE274" s="2">
        <v>0</v>
      </c>
      <c r="AF274" s="2">
        <v>0</v>
      </c>
      <c r="AG274" s="2">
        <v>0</v>
      </c>
      <c r="AH274" s="2">
        <v>0</v>
      </c>
      <c r="AI274" s="2">
        <v>0</v>
      </c>
      <c r="AJ274" s="2">
        <v>0</v>
      </c>
      <c r="AK274" s="2">
        <v>0</v>
      </c>
      <c r="AL274" s="2">
        <v>0</v>
      </c>
      <c r="AM274" s="2">
        <v>109.73</v>
      </c>
      <c r="AN274" s="2">
        <v>109.73</v>
      </c>
      <c r="AO274" s="2">
        <v>0</v>
      </c>
      <c r="AP274" s="2">
        <v>0</v>
      </c>
      <c r="AQ274" s="2">
        <v>0</v>
      </c>
    </row>
    <row r="275" spans="1:43" x14ac:dyDescent="0.25">
      <c r="A275" s="1">
        <v>45936</v>
      </c>
      <c r="B275" t="s">
        <v>48</v>
      </c>
      <c r="C275">
        <v>649163</v>
      </c>
      <c r="D275">
        <v>2026970603</v>
      </c>
      <c r="E275" t="s">
        <v>188</v>
      </c>
      <c r="F275" t="s">
        <v>571</v>
      </c>
      <c r="G275" t="s">
        <v>51</v>
      </c>
      <c r="H275" t="s">
        <v>52</v>
      </c>
      <c r="I275" t="s">
        <v>89</v>
      </c>
      <c r="J275" t="s">
        <v>111</v>
      </c>
      <c r="K275">
        <v>651818</v>
      </c>
      <c r="L275" t="s">
        <v>112</v>
      </c>
      <c r="M275" t="s">
        <v>104</v>
      </c>
      <c r="N275" t="s">
        <v>57</v>
      </c>
      <c r="O275" s="1">
        <v>45723</v>
      </c>
      <c r="Q275" s="1">
        <v>45968</v>
      </c>
      <c r="R275" s="2">
        <v>132.5</v>
      </c>
      <c r="S275">
        <v>1</v>
      </c>
      <c r="T275" t="s">
        <v>58</v>
      </c>
      <c r="U275" t="s">
        <v>359</v>
      </c>
      <c r="V275" s="3">
        <v>0.75</v>
      </c>
      <c r="W275" s="2">
        <v>0</v>
      </c>
      <c r="X275">
        <v>0</v>
      </c>
      <c r="Y275" t="s">
        <v>60</v>
      </c>
      <c r="Z275" t="s">
        <v>360</v>
      </c>
      <c r="AA275">
        <v>0</v>
      </c>
      <c r="AB275" s="2">
        <v>0</v>
      </c>
      <c r="AC275" s="2">
        <v>0</v>
      </c>
      <c r="AD275" s="3">
        <v>0</v>
      </c>
      <c r="AE275" s="2">
        <v>0</v>
      </c>
      <c r="AF275" s="2">
        <v>0</v>
      </c>
      <c r="AG275" s="2">
        <v>0</v>
      </c>
      <c r="AH275" s="2">
        <v>0</v>
      </c>
      <c r="AI275" s="2">
        <v>0</v>
      </c>
      <c r="AJ275" s="2">
        <v>0</v>
      </c>
      <c r="AK275" s="2">
        <v>0</v>
      </c>
      <c r="AL275" s="2">
        <v>0</v>
      </c>
      <c r="AM275" s="2">
        <v>99.38</v>
      </c>
      <c r="AN275" s="2">
        <v>99.38</v>
      </c>
      <c r="AO275" s="2">
        <v>0</v>
      </c>
      <c r="AP275" s="2">
        <v>0</v>
      </c>
      <c r="AQ275" s="2">
        <v>0</v>
      </c>
    </row>
    <row r="276" spans="1:43" x14ac:dyDescent="0.25">
      <c r="A276" s="1">
        <v>45936</v>
      </c>
      <c r="B276" t="s">
        <v>48</v>
      </c>
      <c r="C276">
        <v>649163</v>
      </c>
      <c r="D276">
        <v>2027001809</v>
      </c>
      <c r="E276" t="s">
        <v>749</v>
      </c>
      <c r="F276" t="s">
        <v>585</v>
      </c>
      <c r="G276" t="s">
        <v>51</v>
      </c>
      <c r="H276" t="s">
        <v>203</v>
      </c>
      <c r="I276" t="s">
        <v>89</v>
      </c>
      <c r="J276" t="s">
        <v>96</v>
      </c>
      <c r="K276">
        <v>816021</v>
      </c>
      <c r="L276" t="s">
        <v>265</v>
      </c>
      <c r="M276" t="s">
        <v>266</v>
      </c>
      <c r="N276" t="s">
        <v>57</v>
      </c>
      <c r="O276" s="1">
        <v>45698</v>
      </c>
      <c r="Q276" s="1">
        <v>45971</v>
      </c>
      <c r="R276" s="2">
        <v>57.08</v>
      </c>
      <c r="S276">
        <v>1</v>
      </c>
      <c r="T276" t="s">
        <v>58</v>
      </c>
      <c r="U276" t="s">
        <v>359</v>
      </c>
      <c r="V276" s="3">
        <v>0.9</v>
      </c>
      <c r="W276" s="2">
        <v>0</v>
      </c>
      <c r="X276">
        <v>0</v>
      </c>
      <c r="Y276" t="s">
        <v>60</v>
      </c>
      <c r="Z276" t="s">
        <v>360</v>
      </c>
      <c r="AA276">
        <v>0</v>
      </c>
      <c r="AB276" s="2">
        <v>0</v>
      </c>
      <c r="AC276" s="2">
        <v>0</v>
      </c>
      <c r="AD276" s="3">
        <v>0</v>
      </c>
      <c r="AE276" s="2">
        <v>0</v>
      </c>
      <c r="AF276" s="2">
        <v>0</v>
      </c>
      <c r="AG276" s="2">
        <v>0</v>
      </c>
      <c r="AH276" s="2">
        <v>0</v>
      </c>
      <c r="AI276" s="2">
        <v>0</v>
      </c>
      <c r="AJ276" s="2">
        <v>0</v>
      </c>
      <c r="AK276" s="2">
        <v>0</v>
      </c>
      <c r="AL276" s="2">
        <v>0</v>
      </c>
      <c r="AM276" s="2">
        <v>51.37</v>
      </c>
      <c r="AN276" s="2">
        <v>51.37</v>
      </c>
      <c r="AO276" s="2">
        <v>0</v>
      </c>
      <c r="AP276" s="2">
        <v>0</v>
      </c>
      <c r="AQ276" s="2">
        <v>0</v>
      </c>
    </row>
    <row r="277" spans="1:43" x14ac:dyDescent="0.25">
      <c r="A277" s="1">
        <v>45936</v>
      </c>
      <c r="B277" t="s">
        <v>48</v>
      </c>
      <c r="C277">
        <v>649163</v>
      </c>
      <c r="D277">
        <v>2027003323</v>
      </c>
      <c r="E277" t="s">
        <v>750</v>
      </c>
      <c r="F277" t="s">
        <v>751</v>
      </c>
      <c r="G277" t="s">
        <v>51</v>
      </c>
      <c r="H277" t="s">
        <v>203</v>
      </c>
      <c r="I277" t="s">
        <v>89</v>
      </c>
      <c r="J277" t="s">
        <v>90</v>
      </c>
      <c r="K277">
        <v>816021</v>
      </c>
      <c r="L277" t="s">
        <v>265</v>
      </c>
      <c r="M277" t="s">
        <v>266</v>
      </c>
      <c r="N277" t="s">
        <v>57</v>
      </c>
      <c r="O277" s="1">
        <v>45696</v>
      </c>
      <c r="Q277" s="1">
        <v>45969</v>
      </c>
      <c r="R277" s="2">
        <v>133.63</v>
      </c>
      <c r="S277">
        <v>1</v>
      </c>
      <c r="T277" t="s">
        <v>58</v>
      </c>
      <c r="U277" t="s">
        <v>359</v>
      </c>
      <c r="V277" s="3">
        <v>0.65</v>
      </c>
      <c r="W277" s="2">
        <v>0</v>
      </c>
      <c r="X277">
        <v>0</v>
      </c>
      <c r="Y277" t="s">
        <v>60</v>
      </c>
      <c r="Z277" t="s">
        <v>360</v>
      </c>
      <c r="AA277">
        <v>0</v>
      </c>
      <c r="AB277" s="2">
        <v>0</v>
      </c>
      <c r="AC277" s="2">
        <v>0</v>
      </c>
      <c r="AD277" s="3">
        <v>0</v>
      </c>
      <c r="AE277" s="2">
        <v>0</v>
      </c>
      <c r="AF277" s="2">
        <v>0</v>
      </c>
      <c r="AG277" s="2">
        <v>0</v>
      </c>
      <c r="AH277" s="2">
        <v>0</v>
      </c>
      <c r="AI277" s="2">
        <v>0</v>
      </c>
      <c r="AJ277" s="2">
        <v>0</v>
      </c>
      <c r="AK277" s="2">
        <v>0</v>
      </c>
      <c r="AL277" s="2">
        <v>0</v>
      </c>
      <c r="AM277" s="2">
        <v>86.86</v>
      </c>
      <c r="AN277" s="2">
        <v>86.86</v>
      </c>
      <c r="AO277" s="2">
        <v>0</v>
      </c>
      <c r="AP277" s="2">
        <v>0</v>
      </c>
      <c r="AQ277" s="2">
        <v>0</v>
      </c>
    </row>
    <row r="278" spans="1:43" x14ac:dyDescent="0.25">
      <c r="A278" s="1">
        <v>45936</v>
      </c>
      <c r="B278" t="s">
        <v>48</v>
      </c>
      <c r="C278">
        <v>649163</v>
      </c>
      <c r="D278">
        <v>2027003554</v>
      </c>
      <c r="E278" t="s">
        <v>400</v>
      </c>
      <c r="F278" t="s">
        <v>401</v>
      </c>
      <c r="G278" t="s">
        <v>51</v>
      </c>
      <c r="H278" t="s">
        <v>203</v>
      </c>
      <c r="I278" t="s">
        <v>89</v>
      </c>
      <c r="J278" t="s">
        <v>90</v>
      </c>
      <c r="K278">
        <v>816021</v>
      </c>
      <c r="L278" t="s">
        <v>265</v>
      </c>
      <c r="M278" t="s">
        <v>266</v>
      </c>
      <c r="N278" t="s">
        <v>57</v>
      </c>
      <c r="O278" s="1">
        <v>45698</v>
      </c>
      <c r="Q278" s="1">
        <v>45971</v>
      </c>
      <c r="R278" s="2">
        <v>50.23</v>
      </c>
      <c r="S278">
        <v>1</v>
      </c>
      <c r="T278" t="s">
        <v>58</v>
      </c>
      <c r="U278" t="s">
        <v>359</v>
      </c>
      <c r="V278" s="3">
        <v>0.65</v>
      </c>
      <c r="W278" s="2">
        <v>0</v>
      </c>
      <c r="X278">
        <v>0</v>
      </c>
      <c r="Y278" t="s">
        <v>60</v>
      </c>
      <c r="Z278" t="s">
        <v>360</v>
      </c>
      <c r="AA278">
        <v>0</v>
      </c>
      <c r="AB278" s="2">
        <v>0</v>
      </c>
      <c r="AC278" s="2">
        <v>0</v>
      </c>
      <c r="AD278" s="3">
        <v>0</v>
      </c>
      <c r="AE278" s="2">
        <v>0</v>
      </c>
      <c r="AF278" s="2">
        <v>0</v>
      </c>
      <c r="AG278" s="2">
        <v>0</v>
      </c>
      <c r="AH278" s="2">
        <v>0</v>
      </c>
      <c r="AI278" s="2">
        <v>0</v>
      </c>
      <c r="AJ278" s="2">
        <v>0</v>
      </c>
      <c r="AK278" s="2">
        <v>0</v>
      </c>
      <c r="AL278" s="2">
        <v>0</v>
      </c>
      <c r="AM278" s="2">
        <v>32.65</v>
      </c>
      <c r="AN278" s="2">
        <v>32.65</v>
      </c>
      <c r="AO278" s="2">
        <v>0</v>
      </c>
      <c r="AP278" s="2">
        <v>0</v>
      </c>
      <c r="AQ278" s="2">
        <v>0</v>
      </c>
    </row>
    <row r="279" spans="1:43" x14ac:dyDescent="0.25">
      <c r="A279" s="1">
        <v>45936</v>
      </c>
      <c r="B279" t="s">
        <v>48</v>
      </c>
      <c r="C279">
        <v>649163</v>
      </c>
      <c r="D279">
        <v>2027010992</v>
      </c>
      <c r="E279" t="s">
        <v>402</v>
      </c>
      <c r="F279" t="s">
        <v>403</v>
      </c>
      <c r="G279" t="s">
        <v>51</v>
      </c>
      <c r="H279" t="s">
        <v>203</v>
      </c>
      <c r="I279" t="s">
        <v>89</v>
      </c>
      <c r="J279" t="s">
        <v>90</v>
      </c>
      <c r="K279">
        <v>816021</v>
      </c>
      <c r="L279" t="s">
        <v>265</v>
      </c>
      <c r="M279" t="s">
        <v>266</v>
      </c>
      <c r="N279" t="s">
        <v>57</v>
      </c>
      <c r="O279" s="1">
        <v>45697</v>
      </c>
      <c r="Q279" s="1">
        <v>45970</v>
      </c>
      <c r="R279" s="2">
        <v>47.01</v>
      </c>
      <c r="S279">
        <v>1</v>
      </c>
      <c r="T279" t="s">
        <v>58</v>
      </c>
      <c r="U279" t="s">
        <v>359</v>
      </c>
      <c r="V279" s="3">
        <v>0.65</v>
      </c>
      <c r="W279" s="2">
        <v>0</v>
      </c>
      <c r="X279">
        <v>0</v>
      </c>
      <c r="Y279" t="s">
        <v>60</v>
      </c>
      <c r="Z279" t="s">
        <v>360</v>
      </c>
      <c r="AA279">
        <v>0</v>
      </c>
      <c r="AB279" s="2">
        <v>0</v>
      </c>
      <c r="AC279" s="2">
        <v>0</v>
      </c>
      <c r="AD279" s="3">
        <v>0</v>
      </c>
      <c r="AE279" s="2">
        <v>0</v>
      </c>
      <c r="AF279" s="2">
        <v>0</v>
      </c>
      <c r="AG279" s="2">
        <v>0</v>
      </c>
      <c r="AH279" s="2">
        <v>0</v>
      </c>
      <c r="AI279" s="2">
        <v>0</v>
      </c>
      <c r="AJ279" s="2">
        <v>0</v>
      </c>
      <c r="AK279" s="2">
        <v>0</v>
      </c>
      <c r="AL279" s="2">
        <v>0</v>
      </c>
      <c r="AM279" s="2">
        <v>30.56</v>
      </c>
      <c r="AN279" s="2">
        <v>30.56</v>
      </c>
      <c r="AO279" s="2">
        <v>0</v>
      </c>
      <c r="AP279" s="2">
        <v>0</v>
      </c>
      <c r="AQ279" s="2">
        <v>0</v>
      </c>
    </row>
    <row r="280" spans="1:43" x14ac:dyDescent="0.25">
      <c r="A280" s="1">
        <v>45936</v>
      </c>
      <c r="B280" t="s">
        <v>48</v>
      </c>
      <c r="C280">
        <v>649163</v>
      </c>
      <c r="D280">
        <v>2027025172</v>
      </c>
      <c r="E280" t="s">
        <v>404</v>
      </c>
      <c r="F280" t="s">
        <v>405</v>
      </c>
      <c r="G280" t="s">
        <v>51</v>
      </c>
      <c r="H280" t="s">
        <v>203</v>
      </c>
      <c r="I280" t="s">
        <v>89</v>
      </c>
      <c r="J280" t="s">
        <v>90</v>
      </c>
      <c r="K280">
        <v>824082</v>
      </c>
      <c r="L280" t="s">
        <v>406</v>
      </c>
      <c r="M280" t="s">
        <v>407</v>
      </c>
      <c r="N280" t="s">
        <v>57</v>
      </c>
      <c r="O280" s="1">
        <v>45697</v>
      </c>
      <c r="Q280" s="1">
        <v>45970</v>
      </c>
      <c r="R280" s="2">
        <v>65.08</v>
      </c>
      <c r="S280">
        <v>1</v>
      </c>
      <c r="T280" t="s">
        <v>58</v>
      </c>
      <c r="U280" t="s">
        <v>359</v>
      </c>
      <c r="V280" s="3">
        <v>0.65</v>
      </c>
      <c r="W280" s="2">
        <v>0</v>
      </c>
      <c r="X280">
        <v>0</v>
      </c>
      <c r="Y280" t="s">
        <v>60</v>
      </c>
      <c r="Z280" t="s">
        <v>360</v>
      </c>
      <c r="AA280">
        <v>0</v>
      </c>
      <c r="AB280" s="2">
        <v>0</v>
      </c>
      <c r="AC280" s="2">
        <v>0</v>
      </c>
      <c r="AD280" s="3">
        <v>0</v>
      </c>
      <c r="AE280" s="2">
        <v>0</v>
      </c>
      <c r="AF280" s="2">
        <v>0</v>
      </c>
      <c r="AG280" s="2">
        <v>0</v>
      </c>
      <c r="AH280" s="2">
        <v>0</v>
      </c>
      <c r="AI280" s="2">
        <v>0</v>
      </c>
      <c r="AJ280" s="2">
        <v>0</v>
      </c>
      <c r="AK280" s="2">
        <v>0</v>
      </c>
      <c r="AL280" s="2">
        <v>0</v>
      </c>
      <c r="AM280" s="2">
        <v>42.3</v>
      </c>
      <c r="AN280" s="2">
        <v>42.3</v>
      </c>
      <c r="AO280" s="2">
        <v>0</v>
      </c>
      <c r="AP280" s="2">
        <v>0</v>
      </c>
      <c r="AQ280" s="2">
        <v>0</v>
      </c>
    </row>
    <row r="281" spans="1:43" x14ac:dyDescent="0.25">
      <c r="A281" s="1">
        <v>45936</v>
      </c>
      <c r="B281" t="s">
        <v>48</v>
      </c>
      <c r="C281">
        <v>649163</v>
      </c>
      <c r="D281">
        <v>2027235546</v>
      </c>
      <c r="E281" t="s">
        <v>752</v>
      </c>
      <c r="F281" t="s">
        <v>753</v>
      </c>
      <c r="G281" t="s">
        <v>51</v>
      </c>
      <c r="H281" t="s">
        <v>376</v>
      </c>
      <c r="I281" t="s">
        <v>89</v>
      </c>
      <c r="J281" t="s">
        <v>111</v>
      </c>
      <c r="K281">
        <v>651818</v>
      </c>
      <c r="L281" t="s">
        <v>112</v>
      </c>
      <c r="M281" t="s">
        <v>104</v>
      </c>
      <c r="N281" t="s">
        <v>57</v>
      </c>
      <c r="O281" s="1">
        <v>45723</v>
      </c>
      <c r="Q281" s="1">
        <v>45968</v>
      </c>
      <c r="R281" s="2">
        <v>107.07</v>
      </c>
      <c r="S281">
        <v>1</v>
      </c>
      <c r="T281" t="s">
        <v>58</v>
      </c>
      <c r="U281" t="s">
        <v>359</v>
      </c>
      <c r="V281" s="3">
        <v>0.75</v>
      </c>
      <c r="W281" s="2">
        <v>0</v>
      </c>
      <c r="X281">
        <v>0</v>
      </c>
      <c r="Y281" t="s">
        <v>60</v>
      </c>
      <c r="Z281" t="s">
        <v>360</v>
      </c>
      <c r="AA281">
        <v>0</v>
      </c>
      <c r="AB281" s="2">
        <v>0</v>
      </c>
      <c r="AC281" s="2">
        <v>0</v>
      </c>
      <c r="AD281" s="3">
        <v>0</v>
      </c>
      <c r="AE281" s="2">
        <v>0</v>
      </c>
      <c r="AF281" s="2">
        <v>0</v>
      </c>
      <c r="AG281" s="2">
        <v>0</v>
      </c>
      <c r="AH281" s="2">
        <v>0</v>
      </c>
      <c r="AI281" s="2">
        <v>0</v>
      </c>
      <c r="AJ281" s="2">
        <v>0</v>
      </c>
      <c r="AK281" s="2">
        <v>0</v>
      </c>
      <c r="AL281" s="2">
        <v>0</v>
      </c>
      <c r="AM281" s="2">
        <v>80.3</v>
      </c>
      <c r="AN281" s="2">
        <v>80.3</v>
      </c>
      <c r="AO281" s="2">
        <v>0</v>
      </c>
      <c r="AP281" s="2">
        <v>0</v>
      </c>
      <c r="AQ281" s="2">
        <v>0</v>
      </c>
    </row>
    <row r="282" spans="1:43" x14ac:dyDescent="0.25">
      <c r="A282" s="1">
        <v>45936</v>
      </c>
      <c r="B282" t="s">
        <v>48</v>
      </c>
      <c r="C282">
        <v>649163</v>
      </c>
      <c r="D282">
        <v>2027298069</v>
      </c>
      <c r="E282" t="s">
        <v>754</v>
      </c>
      <c r="F282" t="s">
        <v>755</v>
      </c>
      <c r="G282" t="s">
        <v>51</v>
      </c>
      <c r="H282" t="s">
        <v>129</v>
      </c>
      <c r="I282" t="s">
        <v>89</v>
      </c>
      <c r="J282" t="s">
        <v>111</v>
      </c>
      <c r="K282">
        <v>651818</v>
      </c>
      <c r="L282" t="s">
        <v>112</v>
      </c>
      <c r="M282" t="s">
        <v>104</v>
      </c>
      <c r="N282" t="s">
        <v>57</v>
      </c>
      <c r="O282" s="1">
        <v>45723</v>
      </c>
      <c r="Q282" s="1">
        <v>45968</v>
      </c>
      <c r="R282" s="2">
        <v>45.28</v>
      </c>
      <c r="S282">
        <v>1</v>
      </c>
      <c r="T282" t="s">
        <v>58</v>
      </c>
      <c r="U282" t="s">
        <v>359</v>
      </c>
      <c r="V282" s="3">
        <v>0.75</v>
      </c>
      <c r="W282" s="2">
        <v>0</v>
      </c>
      <c r="X282">
        <v>0</v>
      </c>
      <c r="Y282" t="s">
        <v>60</v>
      </c>
      <c r="Z282" t="s">
        <v>360</v>
      </c>
      <c r="AA282">
        <v>0</v>
      </c>
      <c r="AB282" s="2">
        <v>0</v>
      </c>
      <c r="AC282" s="2">
        <v>0</v>
      </c>
      <c r="AD282" s="3">
        <v>0</v>
      </c>
      <c r="AE282" s="2">
        <v>0</v>
      </c>
      <c r="AF282" s="2">
        <v>0</v>
      </c>
      <c r="AG282" s="2">
        <v>0</v>
      </c>
      <c r="AH282" s="2">
        <v>0</v>
      </c>
      <c r="AI282" s="2">
        <v>0</v>
      </c>
      <c r="AJ282" s="2">
        <v>0</v>
      </c>
      <c r="AK282" s="2">
        <v>0</v>
      </c>
      <c r="AL282" s="2">
        <v>0</v>
      </c>
      <c r="AM282" s="2">
        <v>33.96</v>
      </c>
      <c r="AN282" s="2">
        <v>33.96</v>
      </c>
      <c r="AO282" s="2">
        <v>0</v>
      </c>
      <c r="AP282" s="2">
        <v>0</v>
      </c>
      <c r="AQ282" s="2">
        <v>0</v>
      </c>
    </row>
    <row r="283" spans="1:43" x14ac:dyDescent="0.25">
      <c r="A283" s="1">
        <v>45936</v>
      </c>
      <c r="B283" t="s">
        <v>48</v>
      </c>
      <c r="C283">
        <v>649163</v>
      </c>
      <c r="D283">
        <v>2027361177</v>
      </c>
      <c r="E283" t="s">
        <v>756</v>
      </c>
      <c r="F283" t="s">
        <v>480</v>
      </c>
      <c r="G283" t="s">
        <v>51</v>
      </c>
      <c r="H283" t="s">
        <v>122</v>
      </c>
      <c r="I283" t="s">
        <v>89</v>
      </c>
      <c r="J283" t="s">
        <v>111</v>
      </c>
      <c r="K283">
        <v>651818</v>
      </c>
      <c r="L283" t="s">
        <v>112</v>
      </c>
      <c r="M283" t="s">
        <v>104</v>
      </c>
      <c r="N283" t="s">
        <v>57</v>
      </c>
      <c r="O283" s="1">
        <v>45754</v>
      </c>
      <c r="Q283" s="1">
        <v>45968</v>
      </c>
      <c r="R283" s="2">
        <v>202.87</v>
      </c>
      <c r="S283">
        <v>1</v>
      </c>
      <c r="T283" t="s">
        <v>58</v>
      </c>
      <c r="U283" t="s">
        <v>359</v>
      </c>
      <c r="V283" s="3">
        <v>0.75</v>
      </c>
      <c r="W283" s="2">
        <v>0</v>
      </c>
      <c r="X283">
        <v>0</v>
      </c>
      <c r="Y283" t="s">
        <v>60</v>
      </c>
      <c r="Z283" t="s">
        <v>360</v>
      </c>
      <c r="AA283">
        <v>0</v>
      </c>
      <c r="AB283" s="2">
        <v>0</v>
      </c>
      <c r="AC283" s="2">
        <v>0</v>
      </c>
      <c r="AD283" s="3">
        <v>0</v>
      </c>
      <c r="AE283" s="2">
        <v>0</v>
      </c>
      <c r="AF283" s="2">
        <v>0</v>
      </c>
      <c r="AG283" s="2">
        <v>0</v>
      </c>
      <c r="AH283" s="2">
        <v>0</v>
      </c>
      <c r="AI283" s="2">
        <v>0</v>
      </c>
      <c r="AJ283" s="2">
        <v>0</v>
      </c>
      <c r="AK283" s="2">
        <v>0</v>
      </c>
      <c r="AL283" s="2">
        <v>0</v>
      </c>
      <c r="AM283" s="2">
        <v>152.15</v>
      </c>
      <c r="AN283" s="2">
        <v>152.15</v>
      </c>
      <c r="AO283" s="2">
        <v>0</v>
      </c>
      <c r="AP283" s="2">
        <v>0</v>
      </c>
      <c r="AQ283" s="2">
        <v>0</v>
      </c>
    </row>
    <row r="284" spans="1:43" x14ac:dyDescent="0.25">
      <c r="A284" s="1">
        <v>45936</v>
      </c>
      <c r="B284" t="s">
        <v>48</v>
      </c>
      <c r="C284">
        <v>649163</v>
      </c>
      <c r="D284">
        <v>2027429540</v>
      </c>
      <c r="E284" t="s">
        <v>757</v>
      </c>
      <c r="F284" t="s">
        <v>527</v>
      </c>
      <c r="G284" t="s">
        <v>51</v>
      </c>
      <c r="H284" t="s">
        <v>129</v>
      </c>
      <c r="I284" t="s">
        <v>89</v>
      </c>
      <c r="J284" t="s">
        <v>111</v>
      </c>
      <c r="K284">
        <v>651818</v>
      </c>
      <c r="L284" t="s">
        <v>112</v>
      </c>
      <c r="M284" t="s">
        <v>104</v>
      </c>
      <c r="N284" t="s">
        <v>57</v>
      </c>
      <c r="O284" s="1">
        <v>45723</v>
      </c>
      <c r="Q284" s="1">
        <v>45968</v>
      </c>
      <c r="R284" s="2">
        <v>161.83000000000001</v>
      </c>
      <c r="S284">
        <v>1</v>
      </c>
      <c r="T284" t="s">
        <v>58</v>
      </c>
      <c r="U284" t="s">
        <v>359</v>
      </c>
      <c r="V284" s="3">
        <v>0.75</v>
      </c>
      <c r="W284" s="2">
        <v>0</v>
      </c>
      <c r="X284">
        <v>0</v>
      </c>
      <c r="Y284" t="s">
        <v>60</v>
      </c>
      <c r="Z284" t="s">
        <v>360</v>
      </c>
      <c r="AA284">
        <v>0</v>
      </c>
      <c r="AB284" s="2">
        <v>0</v>
      </c>
      <c r="AC284" s="2">
        <v>0</v>
      </c>
      <c r="AD284" s="3">
        <v>0</v>
      </c>
      <c r="AE284" s="2">
        <v>0</v>
      </c>
      <c r="AF284" s="2">
        <v>0</v>
      </c>
      <c r="AG284" s="2">
        <v>0</v>
      </c>
      <c r="AH284" s="2">
        <v>0</v>
      </c>
      <c r="AI284" s="2">
        <v>0</v>
      </c>
      <c r="AJ284" s="2">
        <v>0</v>
      </c>
      <c r="AK284" s="2">
        <v>0</v>
      </c>
      <c r="AL284" s="2">
        <v>0</v>
      </c>
      <c r="AM284" s="2">
        <v>121.37</v>
      </c>
      <c r="AN284" s="2">
        <v>121.37</v>
      </c>
      <c r="AO284" s="2">
        <v>0</v>
      </c>
      <c r="AP284" s="2">
        <v>0</v>
      </c>
      <c r="AQ284" s="2">
        <v>0</v>
      </c>
    </row>
    <row r="285" spans="1:43" x14ac:dyDescent="0.25">
      <c r="A285" s="1">
        <v>45936</v>
      </c>
      <c r="B285" t="s">
        <v>48</v>
      </c>
      <c r="C285">
        <v>649163</v>
      </c>
      <c r="D285">
        <v>2027482814</v>
      </c>
      <c r="E285" t="s">
        <v>758</v>
      </c>
      <c r="F285" t="s">
        <v>224</v>
      </c>
      <c r="G285" t="s">
        <v>51</v>
      </c>
      <c r="H285" t="s">
        <v>129</v>
      </c>
      <c r="I285" t="s">
        <v>89</v>
      </c>
      <c r="J285" t="s">
        <v>111</v>
      </c>
      <c r="K285">
        <v>651818</v>
      </c>
      <c r="L285" t="s">
        <v>112</v>
      </c>
      <c r="M285" t="s">
        <v>104</v>
      </c>
      <c r="N285" t="s">
        <v>57</v>
      </c>
      <c r="O285" s="1">
        <v>45723</v>
      </c>
      <c r="Q285" s="1">
        <v>45968</v>
      </c>
      <c r="R285" s="2">
        <v>28.75</v>
      </c>
      <c r="S285">
        <v>1</v>
      </c>
      <c r="T285" t="s">
        <v>58</v>
      </c>
      <c r="U285" t="s">
        <v>359</v>
      </c>
      <c r="V285" s="3">
        <v>0.75</v>
      </c>
      <c r="W285" s="2">
        <v>0</v>
      </c>
      <c r="X285">
        <v>0</v>
      </c>
      <c r="Y285" t="s">
        <v>60</v>
      </c>
      <c r="Z285" t="s">
        <v>360</v>
      </c>
      <c r="AA285">
        <v>0</v>
      </c>
      <c r="AB285" s="2">
        <v>0</v>
      </c>
      <c r="AC285" s="2">
        <v>0</v>
      </c>
      <c r="AD285" s="3">
        <v>0</v>
      </c>
      <c r="AE285" s="2">
        <v>0</v>
      </c>
      <c r="AF285" s="2">
        <v>0</v>
      </c>
      <c r="AG285" s="2">
        <v>0</v>
      </c>
      <c r="AH285" s="2">
        <v>0</v>
      </c>
      <c r="AI285" s="2">
        <v>0</v>
      </c>
      <c r="AJ285" s="2">
        <v>0</v>
      </c>
      <c r="AK285" s="2">
        <v>0</v>
      </c>
      <c r="AL285" s="2">
        <v>0</v>
      </c>
      <c r="AM285" s="2">
        <v>21.56</v>
      </c>
      <c r="AN285" s="2">
        <v>21.56</v>
      </c>
      <c r="AO285" s="2">
        <v>0</v>
      </c>
      <c r="AP285" s="2">
        <v>0</v>
      </c>
      <c r="AQ285" s="2">
        <v>0</v>
      </c>
    </row>
    <row r="286" spans="1:43" x14ac:dyDescent="0.25">
      <c r="A286" s="1">
        <v>45936</v>
      </c>
      <c r="B286" t="s">
        <v>48</v>
      </c>
      <c r="C286">
        <v>649163</v>
      </c>
      <c r="D286">
        <v>2027642345</v>
      </c>
      <c r="E286" t="s">
        <v>411</v>
      </c>
      <c r="F286" t="s">
        <v>412</v>
      </c>
      <c r="G286" t="s">
        <v>51</v>
      </c>
      <c r="H286" t="s">
        <v>159</v>
      </c>
      <c r="I286" t="s">
        <v>89</v>
      </c>
      <c r="J286" t="s">
        <v>96</v>
      </c>
      <c r="K286">
        <v>651818</v>
      </c>
      <c r="L286" t="s">
        <v>112</v>
      </c>
      <c r="M286" t="s">
        <v>104</v>
      </c>
      <c r="N286" t="s">
        <v>57</v>
      </c>
      <c r="O286" s="1">
        <v>45754</v>
      </c>
      <c r="Q286" s="1">
        <v>45968</v>
      </c>
      <c r="R286" s="2">
        <v>119.92</v>
      </c>
      <c r="S286">
        <v>1</v>
      </c>
      <c r="T286" t="s">
        <v>58</v>
      </c>
      <c r="U286" t="s">
        <v>359</v>
      </c>
      <c r="V286" s="3">
        <v>0.9</v>
      </c>
      <c r="W286" s="2">
        <v>0</v>
      </c>
      <c r="X286">
        <v>0</v>
      </c>
      <c r="Y286" t="s">
        <v>60</v>
      </c>
      <c r="Z286" t="s">
        <v>360</v>
      </c>
      <c r="AA286">
        <v>0</v>
      </c>
      <c r="AB286" s="2">
        <v>0</v>
      </c>
      <c r="AC286" s="2">
        <v>0</v>
      </c>
      <c r="AD286" s="3">
        <v>0</v>
      </c>
      <c r="AE286" s="2">
        <v>0</v>
      </c>
      <c r="AF286" s="2">
        <v>0</v>
      </c>
      <c r="AG286" s="2">
        <v>0</v>
      </c>
      <c r="AH286" s="2">
        <v>0</v>
      </c>
      <c r="AI286" s="2">
        <v>0</v>
      </c>
      <c r="AJ286" s="2">
        <v>0</v>
      </c>
      <c r="AK286" s="2">
        <v>0</v>
      </c>
      <c r="AL286" s="2">
        <v>0</v>
      </c>
      <c r="AM286" s="2">
        <v>107.93</v>
      </c>
      <c r="AN286" s="2">
        <v>107.93</v>
      </c>
      <c r="AO286" s="2">
        <v>0</v>
      </c>
      <c r="AP286" s="2">
        <v>0</v>
      </c>
      <c r="AQ286" s="2">
        <v>0</v>
      </c>
    </row>
    <row r="287" spans="1:43" x14ac:dyDescent="0.25">
      <c r="A287" s="1">
        <v>45936</v>
      </c>
      <c r="B287" t="s">
        <v>48</v>
      </c>
      <c r="C287">
        <v>649163</v>
      </c>
      <c r="D287">
        <v>2027859845</v>
      </c>
      <c r="E287" t="s">
        <v>759</v>
      </c>
      <c r="F287" t="s">
        <v>760</v>
      </c>
      <c r="G287" t="s">
        <v>51</v>
      </c>
      <c r="H287" t="s">
        <v>119</v>
      </c>
      <c r="I287" t="s">
        <v>89</v>
      </c>
      <c r="J287" t="s">
        <v>111</v>
      </c>
      <c r="K287">
        <v>651818</v>
      </c>
      <c r="L287" t="s">
        <v>112</v>
      </c>
      <c r="M287" t="s">
        <v>104</v>
      </c>
      <c r="N287" t="s">
        <v>57</v>
      </c>
      <c r="O287" s="1">
        <v>45754</v>
      </c>
      <c r="Q287" s="1">
        <v>45968</v>
      </c>
      <c r="R287" s="2">
        <v>154.30000000000001</v>
      </c>
      <c r="S287">
        <v>1</v>
      </c>
      <c r="T287" t="s">
        <v>58</v>
      </c>
      <c r="U287" t="s">
        <v>359</v>
      </c>
      <c r="V287" s="3">
        <v>0.75</v>
      </c>
      <c r="W287" s="2">
        <v>0</v>
      </c>
      <c r="X287">
        <v>0</v>
      </c>
      <c r="Y287" t="s">
        <v>60</v>
      </c>
      <c r="Z287" t="s">
        <v>360</v>
      </c>
      <c r="AA287">
        <v>0</v>
      </c>
      <c r="AB287" s="2">
        <v>0</v>
      </c>
      <c r="AC287" s="2">
        <v>0</v>
      </c>
      <c r="AD287" s="3">
        <v>0</v>
      </c>
      <c r="AE287" s="2">
        <v>0</v>
      </c>
      <c r="AF287" s="2">
        <v>0</v>
      </c>
      <c r="AG287" s="2">
        <v>0</v>
      </c>
      <c r="AH287" s="2">
        <v>0</v>
      </c>
      <c r="AI287" s="2">
        <v>0</v>
      </c>
      <c r="AJ287" s="2">
        <v>0</v>
      </c>
      <c r="AK287" s="2">
        <v>0</v>
      </c>
      <c r="AL287" s="2">
        <v>0</v>
      </c>
      <c r="AM287" s="2">
        <v>115.72</v>
      </c>
      <c r="AN287" s="2">
        <v>115.72</v>
      </c>
      <c r="AO287" s="2">
        <v>0</v>
      </c>
      <c r="AP287" s="2">
        <v>0</v>
      </c>
      <c r="AQ287" s="2">
        <v>0</v>
      </c>
    </row>
    <row r="288" spans="1:43" x14ac:dyDescent="0.25">
      <c r="A288" s="1">
        <v>45936</v>
      </c>
      <c r="B288" t="s">
        <v>48</v>
      </c>
      <c r="C288">
        <v>649163</v>
      </c>
      <c r="D288">
        <v>2027862508</v>
      </c>
      <c r="E288" t="s">
        <v>761</v>
      </c>
      <c r="F288" t="s">
        <v>762</v>
      </c>
      <c r="G288" t="s">
        <v>51</v>
      </c>
      <c r="H288" t="s">
        <v>52</v>
      </c>
      <c r="I288" t="s">
        <v>89</v>
      </c>
      <c r="J288" t="s">
        <v>111</v>
      </c>
      <c r="K288">
        <v>651818</v>
      </c>
      <c r="L288" t="s">
        <v>112</v>
      </c>
      <c r="M288" t="s">
        <v>104</v>
      </c>
      <c r="N288" t="s">
        <v>57</v>
      </c>
      <c r="O288" s="1">
        <v>45754</v>
      </c>
      <c r="Q288" s="1">
        <v>45968</v>
      </c>
      <c r="R288" s="2">
        <v>63.28</v>
      </c>
      <c r="S288">
        <v>1</v>
      </c>
      <c r="T288" t="s">
        <v>58</v>
      </c>
      <c r="U288" t="s">
        <v>359</v>
      </c>
      <c r="V288" s="3">
        <v>0.75</v>
      </c>
      <c r="W288" s="2">
        <v>0</v>
      </c>
      <c r="X288">
        <v>0</v>
      </c>
      <c r="Y288" t="s">
        <v>60</v>
      </c>
      <c r="Z288" t="s">
        <v>360</v>
      </c>
      <c r="AA288">
        <v>0</v>
      </c>
      <c r="AB288" s="2">
        <v>0</v>
      </c>
      <c r="AC288" s="2">
        <v>0</v>
      </c>
      <c r="AD288" s="3">
        <v>0</v>
      </c>
      <c r="AE288" s="2">
        <v>0</v>
      </c>
      <c r="AF288" s="2">
        <v>0</v>
      </c>
      <c r="AG288" s="2">
        <v>0</v>
      </c>
      <c r="AH288" s="2">
        <v>0</v>
      </c>
      <c r="AI288" s="2">
        <v>0</v>
      </c>
      <c r="AJ288" s="2">
        <v>0</v>
      </c>
      <c r="AK288" s="2">
        <v>0</v>
      </c>
      <c r="AL288" s="2">
        <v>0</v>
      </c>
      <c r="AM288" s="2">
        <v>47.46</v>
      </c>
      <c r="AN288" s="2">
        <v>47.46</v>
      </c>
      <c r="AO288" s="2">
        <v>0</v>
      </c>
      <c r="AP288" s="2">
        <v>0</v>
      </c>
      <c r="AQ288" s="2">
        <v>0</v>
      </c>
    </row>
    <row r="289" spans="1:43" x14ac:dyDescent="0.25">
      <c r="A289" s="1">
        <v>45936</v>
      </c>
      <c r="B289" t="s">
        <v>48</v>
      </c>
      <c r="C289">
        <v>649163</v>
      </c>
      <c r="D289">
        <v>2027863478</v>
      </c>
      <c r="E289" t="s">
        <v>759</v>
      </c>
      <c r="F289" t="s">
        <v>763</v>
      </c>
      <c r="G289" t="s">
        <v>51</v>
      </c>
      <c r="H289" t="s">
        <v>119</v>
      </c>
      <c r="I289" t="s">
        <v>89</v>
      </c>
      <c r="J289" t="s">
        <v>111</v>
      </c>
      <c r="K289">
        <v>651818</v>
      </c>
      <c r="L289" t="s">
        <v>112</v>
      </c>
      <c r="M289" t="s">
        <v>104</v>
      </c>
      <c r="N289" t="s">
        <v>57</v>
      </c>
      <c r="O289" s="1">
        <v>45754</v>
      </c>
      <c r="Q289" s="1">
        <v>45968</v>
      </c>
      <c r="R289" s="2">
        <v>25</v>
      </c>
      <c r="S289">
        <v>1</v>
      </c>
      <c r="T289" t="s">
        <v>58</v>
      </c>
      <c r="U289" t="s">
        <v>359</v>
      </c>
      <c r="V289" s="3">
        <v>0.75</v>
      </c>
      <c r="W289" s="2">
        <v>0</v>
      </c>
      <c r="X289">
        <v>0</v>
      </c>
      <c r="Y289" t="s">
        <v>60</v>
      </c>
      <c r="Z289" t="s">
        <v>360</v>
      </c>
      <c r="AA289">
        <v>0</v>
      </c>
      <c r="AB289" s="2">
        <v>0</v>
      </c>
      <c r="AC289" s="2">
        <v>0</v>
      </c>
      <c r="AD289" s="3">
        <v>0</v>
      </c>
      <c r="AE289" s="2">
        <v>0</v>
      </c>
      <c r="AF289" s="2">
        <v>0</v>
      </c>
      <c r="AG289" s="2">
        <v>0</v>
      </c>
      <c r="AH289" s="2">
        <v>0</v>
      </c>
      <c r="AI289" s="2">
        <v>0</v>
      </c>
      <c r="AJ289" s="2">
        <v>0</v>
      </c>
      <c r="AK289" s="2">
        <v>0</v>
      </c>
      <c r="AL289" s="2">
        <v>0</v>
      </c>
      <c r="AM289" s="2">
        <v>18.75</v>
      </c>
      <c r="AN289" s="2">
        <v>18.75</v>
      </c>
      <c r="AO289" s="2">
        <v>0</v>
      </c>
      <c r="AP289" s="2">
        <v>0</v>
      </c>
      <c r="AQ289" s="2">
        <v>0</v>
      </c>
    </row>
    <row r="290" spans="1:43" x14ac:dyDescent="0.25">
      <c r="A290" s="1">
        <v>45936</v>
      </c>
      <c r="B290" t="s">
        <v>48</v>
      </c>
      <c r="C290">
        <v>649163</v>
      </c>
      <c r="D290">
        <v>2027887270</v>
      </c>
      <c r="E290" t="s">
        <v>764</v>
      </c>
      <c r="F290" t="s">
        <v>81</v>
      </c>
      <c r="G290" t="s">
        <v>51</v>
      </c>
      <c r="H290" t="s">
        <v>119</v>
      </c>
      <c r="I290" t="s">
        <v>89</v>
      </c>
      <c r="J290" t="s">
        <v>111</v>
      </c>
      <c r="K290">
        <v>651818</v>
      </c>
      <c r="L290" t="s">
        <v>112</v>
      </c>
      <c r="M290" t="s">
        <v>104</v>
      </c>
      <c r="N290" t="s">
        <v>57</v>
      </c>
      <c r="O290" s="1">
        <v>45754</v>
      </c>
      <c r="Q290" s="1">
        <v>45968</v>
      </c>
      <c r="R290" s="2">
        <v>88.8</v>
      </c>
      <c r="S290">
        <v>1</v>
      </c>
      <c r="T290" t="s">
        <v>58</v>
      </c>
      <c r="U290" t="s">
        <v>359</v>
      </c>
      <c r="V290" s="3">
        <v>0.75</v>
      </c>
      <c r="W290" s="2">
        <v>0</v>
      </c>
      <c r="X290">
        <v>0</v>
      </c>
      <c r="Y290" t="s">
        <v>60</v>
      </c>
      <c r="Z290" t="s">
        <v>360</v>
      </c>
      <c r="AA290">
        <v>0</v>
      </c>
      <c r="AB290" s="2">
        <v>0</v>
      </c>
      <c r="AC290" s="2">
        <v>0</v>
      </c>
      <c r="AD290" s="3">
        <v>0</v>
      </c>
      <c r="AE290" s="2">
        <v>0</v>
      </c>
      <c r="AF290" s="2">
        <v>0</v>
      </c>
      <c r="AG290" s="2">
        <v>0</v>
      </c>
      <c r="AH290" s="2">
        <v>0</v>
      </c>
      <c r="AI290" s="2">
        <v>0</v>
      </c>
      <c r="AJ290" s="2">
        <v>0</v>
      </c>
      <c r="AK290" s="2">
        <v>0</v>
      </c>
      <c r="AL290" s="2">
        <v>0</v>
      </c>
      <c r="AM290" s="2">
        <v>66.599999999999994</v>
      </c>
      <c r="AN290" s="2">
        <v>66.599999999999994</v>
      </c>
      <c r="AO290" s="2">
        <v>0</v>
      </c>
      <c r="AP290" s="2">
        <v>0</v>
      </c>
      <c r="AQ290" s="2">
        <v>0</v>
      </c>
    </row>
    <row r="291" spans="1:43" x14ac:dyDescent="0.25">
      <c r="A291" s="1">
        <v>45936</v>
      </c>
      <c r="B291" t="s">
        <v>48</v>
      </c>
      <c r="C291">
        <v>649163</v>
      </c>
      <c r="D291">
        <v>2027965834</v>
      </c>
      <c r="E291" t="s">
        <v>765</v>
      </c>
      <c r="F291" t="s">
        <v>63</v>
      </c>
      <c r="G291" t="s">
        <v>51</v>
      </c>
      <c r="H291" t="s">
        <v>88</v>
      </c>
      <c r="I291" t="s">
        <v>89</v>
      </c>
      <c r="J291" t="s">
        <v>90</v>
      </c>
      <c r="K291">
        <v>812782</v>
      </c>
      <c r="L291" t="s">
        <v>91</v>
      </c>
      <c r="M291" t="s">
        <v>92</v>
      </c>
      <c r="N291" t="s">
        <v>456</v>
      </c>
      <c r="O291" s="1">
        <v>45738</v>
      </c>
      <c r="P291" s="1">
        <v>45936</v>
      </c>
      <c r="Q291" s="1">
        <v>45952</v>
      </c>
      <c r="R291" s="2">
        <v>-5.76</v>
      </c>
      <c r="S291">
        <v>1</v>
      </c>
      <c r="T291" t="s">
        <v>58</v>
      </c>
      <c r="U291" t="s">
        <v>359</v>
      </c>
      <c r="V291" s="3">
        <v>0.65</v>
      </c>
      <c r="W291" s="2">
        <v>0</v>
      </c>
      <c r="X291">
        <v>-1</v>
      </c>
      <c r="Y291" t="s">
        <v>60</v>
      </c>
      <c r="Z291" t="s">
        <v>360</v>
      </c>
      <c r="AA291">
        <v>0</v>
      </c>
      <c r="AB291" s="2">
        <v>0</v>
      </c>
      <c r="AC291" s="2">
        <v>0</v>
      </c>
      <c r="AD291" s="3">
        <v>0</v>
      </c>
      <c r="AE291" s="2">
        <v>0</v>
      </c>
      <c r="AF291" s="2">
        <v>0</v>
      </c>
      <c r="AG291" s="2">
        <v>0</v>
      </c>
      <c r="AH291" s="2">
        <v>0</v>
      </c>
      <c r="AI291" s="2">
        <v>0</v>
      </c>
      <c r="AJ291" s="2">
        <v>0</v>
      </c>
      <c r="AK291" s="2">
        <v>0</v>
      </c>
      <c r="AL291" s="2">
        <v>0</v>
      </c>
      <c r="AM291" s="2">
        <v>-3.74</v>
      </c>
      <c r="AN291" s="2">
        <v>-3.74</v>
      </c>
      <c r="AO291" s="2">
        <v>0</v>
      </c>
      <c r="AP291" s="2">
        <v>0</v>
      </c>
      <c r="AQ291" s="2">
        <v>0</v>
      </c>
    </row>
    <row r="292" spans="1:43" x14ac:dyDescent="0.25">
      <c r="A292" s="1">
        <v>45936</v>
      </c>
      <c r="B292" t="s">
        <v>48</v>
      </c>
      <c r="C292">
        <v>649163</v>
      </c>
      <c r="D292">
        <v>2028108470</v>
      </c>
      <c r="E292" t="s">
        <v>766</v>
      </c>
      <c r="F292" t="s">
        <v>314</v>
      </c>
      <c r="G292" t="s">
        <v>51</v>
      </c>
      <c r="H292" t="s">
        <v>101</v>
      </c>
      <c r="I292" t="s">
        <v>89</v>
      </c>
      <c r="J292" t="s">
        <v>111</v>
      </c>
      <c r="K292">
        <v>651818</v>
      </c>
      <c r="L292" t="s">
        <v>112</v>
      </c>
      <c r="M292" t="s">
        <v>104</v>
      </c>
      <c r="N292" t="s">
        <v>57</v>
      </c>
      <c r="O292" s="1">
        <v>45754</v>
      </c>
      <c r="Q292" s="1">
        <v>45968</v>
      </c>
      <c r="R292" s="2">
        <v>104.83</v>
      </c>
      <c r="S292">
        <v>1</v>
      </c>
      <c r="T292" t="s">
        <v>58</v>
      </c>
      <c r="U292" t="s">
        <v>359</v>
      </c>
      <c r="V292" s="3">
        <v>0.75</v>
      </c>
      <c r="W292" s="2">
        <v>0</v>
      </c>
      <c r="X292">
        <v>0</v>
      </c>
      <c r="Y292" t="s">
        <v>60</v>
      </c>
      <c r="Z292" t="s">
        <v>360</v>
      </c>
      <c r="AA292">
        <v>0</v>
      </c>
      <c r="AB292" s="2">
        <v>0</v>
      </c>
      <c r="AC292" s="2">
        <v>0</v>
      </c>
      <c r="AD292" s="3">
        <v>0</v>
      </c>
      <c r="AE292" s="2">
        <v>0</v>
      </c>
      <c r="AF292" s="2">
        <v>0</v>
      </c>
      <c r="AG292" s="2">
        <v>0</v>
      </c>
      <c r="AH292" s="2">
        <v>0</v>
      </c>
      <c r="AI292" s="2">
        <v>0</v>
      </c>
      <c r="AJ292" s="2">
        <v>0</v>
      </c>
      <c r="AK292" s="2">
        <v>0</v>
      </c>
      <c r="AL292" s="2">
        <v>0</v>
      </c>
      <c r="AM292" s="2">
        <v>78.62</v>
      </c>
      <c r="AN292" s="2">
        <v>78.62</v>
      </c>
      <c r="AO292" s="2">
        <v>0</v>
      </c>
      <c r="AP292" s="2">
        <v>0</v>
      </c>
      <c r="AQ292" s="2">
        <v>0</v>
      </c>
    </row>
    <row r="293" spans="1:43" x14ac:dyDescent="0.25">
      <c r="A293" s="1">
        <v>45936</v>
      </c>
      <c r="B293" t="s">
        <v>48</v>
      </c>
      <c r="C293">
        <v>649163</v>
      </c>
      <c r="D293">
        <v>2028248980</v>
      </c>
      <c r="E293" t="s">
        <v>767</v>
      </c>
      <c r="F293" t="s">
        <v>671</v>
      </c>
      <c r="G293" t="s">
        <v>51</v>
      </c>
      <c r="H293" t="s">
        <v>182</v>
      </c>
      <c r="I293" t="s">
        <v>89</v>
      </c>
      <c r="J293" t="s">
        <v>111</v>
      </c>
      <c r="K293">
        <v>651818</v>
      </c>
      <c r="L293" t="s">
        <v>112</v>
      </c>
      <c r="M293" t="s">
        <v>104</v>
      </c>
      <c r="N293" t="s">
        <v>57</v>
      </c>
      <c r="O293" s="1">
        <v>45784</v>
      </c>
      <c r="Q293" s="1">
        <v>45968</v>
      </c>
      <c r="R293" s="2">
        <v>316.83</v>
      </c>
      <c r="S293">
        <v>1</v>
      </c>
      <c r="T293" t="s">
        <v>58</v>
      </c>
      <c r="U293" t="s">
        <v>359</v>
      </c>
      <c r="V293" s="3">
        <v>0.75</v>
      </c>
      <c r="W293" s="2">
        <v>0</v>
      </c>
      <c r="X293">
        <v>0</v>
      </c>
      <c r="Y293" t="s">
        <v>60</v>
      </c>
      <c r="Z293" t="s">
        <v>360</v>
      </c>
      <c r="AA293">
        <v>0</v>
      </c>
      <c r="AB293" s="2">
        <v>0</v>
      </c>
      <c r="AC293" s="2">
        <v>0</v>
      </c>
      <c r="AD293" s="3">
        <v>0</v>
      </c>
      <c r="AE293" s="2">
        <v>0</v>
      </c>
      <c r="AF293" s="2">
        <v>0</v>
      </c>
      <c r="AG293" s="2">
        <v>0</v>
      </c>
      <c r="AH293" s="2">
        <v>0</v>
      </c>
      <c r="AI293" s="2">
        <v>0</v>
      </c>
      <c r="AJ293" s="2">
        <v>0</v>
      </c>
      <c r="AK293" s="2">
        <v>0</v>
      </c>
      <c r="AL293" s="2">
        <v>0</v>
      </c>
      <c r="AM293" s="2">
        <v>237.62</v>
      </c>
      <c r="AN293" s="2">
        <v>237.62</v>
      </c>
      <c r="AO293" s="2">
        <v>0</v>
      </c>
      <c r="AP293" s="2">
        <v>0</v>
      </c>
      <c r="AQ293" s="2">
        <v>0</v>
      </c>
    </row>
    <row r="294" spans="1:43" x14ac:dyDescent="0.25">
      <c r="A294" s="1">
        <v>45936</v>
      </c>
      <c r="B294" t="s">
        <v>48</v>
      </c>
      <c r="C294">
        <v>649163</v>
      </c>
      <c r="D294">
        <v>2028412598</v>
      </c>
      <c r="E294" t="s">
        <v>768</v>
      </c>
      <c r="F294" t="s">
        <v>205</v>
      </c>
      <c r="G294" t="s">
        <v>51</v>
      </c>
      <c r="H294" t="s">
        <v>101</v>
      </c>
      <c r="I294" t="s">
        <v>89</v>
      </c>
      <c r="J294" t="s">
        <v>111</v>
      </c>
      <c r="K294">
        <v>651818</v>
      </c>
      <c r="L294" t="s">
        <v>112</v>
      </c>
      <c r="M294" t="s">
        <v>104</v>
      </c>
      <c r="N294" t="s">
        <v>57</v>
      </c>
      <c r="O294" s="1">
        <v>45784</v>
      </c>
      <c r="Q294" s="1">
        <v>45968</v>
      </c>
      <c r="R294" s="2">
        <v>125.83</v>
      </c>
      <c r="S294">
        <v>1</v>
      </c>
      <c r="T294" t="s">
        <v>58</v>
      </c>
      <c r="U294" t="s">
        <v>359</v>
      </c>
      <c r="V294" s="3">
        <v>0.75</v>
      </c>
      <c r="W294" s="2">
        <v>0</v>
      </c>
      <c r="X294">
        <v>0</v>
      </c>
      <c r="Y294" t="s">
        <v>60</v>
      </c>
      <c r="Z294" t="s">
        <v>360</v>
      </c>
      <c r="AA294">
        <v>0</v>
      </c>
      <c r="AB294" s="2">
        <v>0</v>
      </c>
      <c r="AC294" s="2">
        <v>0</v>
      </c>
      <c r="AD294" s="3">
        <v>0</v>
      </c>
      <c r="AE294" s="2">
        <v>0</v>
      </c>
      <c r="AF294" s="2">
        <v>0</v>
      </c>
      <c r="AG294" s="2">
        <v>0</v>
      </c>
      <c r="AH294" s="2">
        <v>0</v>
      </c>
      <c r="AI294" s="2">
        <v>0</v>
      </c>
      <c r="AJ294" s="2">
        <v>0</v>
      </c>
      <c r="AK294" s="2">
        <v>0</v>
      </c>
      <c r="AL294" s="2">
        <v>0</v>
      </c>
      <c r="AM294" s="2">
        <v>94.37</v>
      </c>
      <c r="AN294" s="2">
        <v>94.37</v>
      </c>
      <c r="AO294" s="2">
        <v>0</v>
      </c>
      <c r="AP294" s="2">
        <v>0</v>
      </c>
      <c r="AQ294" s="2">
        <v>0</v>
      </c>
    </row>
    <row r="295" spans="1:43" x14ac:dyDescent="0.25">
      <c r="A295" s="1">
        <v>45936</v>
      </c>
      <c r="B295" t="s">
        <v>48</v>
      </c>
      <c r="C295">
        <v>649163</v>
      </c>
      <c r="D295">
        <v>2028549155</v>
      </c>
      <c r="E295" t="s">
        <v>764</v>
      </c>
      <c r="F295" t="s">
        <v>769</v>
      </c>
      <c r="G295" t="s">
        <v>51</v>
      </c>
      <c r="H295" t="s">
        <v>119</v>
      </c>
      <c r="I295" t="s">
        <v>89</v>
      </c>
      <c r="J295" t="s">
        <v>111</v>
      </c>
      <c r="K295">
        <v>651818</v>
      </c>
      <c r="L295" t="s">
        <v>112</v>
      </c>
      <c r="M295" t="s">
        <v>104</v>
      </c>
      <c r="N295" t="s">
        <v>57</v>
      </c>
      <c r="O295" s="1">
        <v>45784</v>
      </c>
      <c r="Q295" s="1">
        <v>45968</v>
      </c>
      <c r="R295" s="2">
        <v>31.75</v>
      </c>
      <c r="S295">
        <v>1</v>
      </c>
      <c r="T295" t="s">
        <v>58</v>
      </c>
      <c r="U295" t="s">
        <v>359</v>
      </c>
      <c r="V295" s="3">
        <v>0.75</v>
      </c>
      <c r="W295" s="2">
        <v>0</v>
      </c>
      <c r="X295">
        <v>0</v>
      </c>
      <c r="Y295" t="s">
        <v>60</v>
      </c>
      <c r="Z295" t="s">
        <v>360</v>
      </c>
      <c r="AA295">
        <v>0</v>
      </c>
      <c r="AB295" s="2">
        <v>0</v>
      </c>
      <c r="AC295" s="2">
        <v>0</v>
      </c>
      <c r="AD295" s="3">
        <v>0</v>
      </c>
      <c r="AE295" s="2">
        <v>0</v>
      </c>
      <c r="AF295" s="2">
        <v>0</v>
      </c>
      <c r="AG295" s="2">
        <v>0</v>
      </c>
      <c r="AH295" s="2">
        <v>0</v>
      </c>
      <c r="AI295" s="2">
        <v>0</v>
      </c>
      <c r="AJ295" s="2">
        <v>0</v>
      </c>
      <c r="AK295" s="2">
        <v>0</v>
      </c>
      <c r="AL295" s="2">
        <v>0</v>
      </c>
      <c r="AM295" s="2">
        <v>23.81</v>
      </c>
      <c r="AN295" s="2">
        <v>23.81</v>
      </c>
      <c r="AO295" s="2">
        <v>0</v>
      </c>
      <c r="AP295" s="2">
        <v>0</v>
      </c>
      <c r="AQ295" s="2">
        <v>0</v>
      </c>
    </row>
    <row r="296" spans="1:43" x14ac:dyDescent="0.25">
      <c r="A296" s="1">
        <v>45936</v>
      </c>
      <c r="B296" t="s">
        <v>48</v>
      </c>
      <c r="C296">
        <v>649163</v>
      </c>
      <c r="D296">
        <v>2028605534</v>
      </c>
      <c r="E296" t="s">
        <v>770</v>
      </c>
      <c r="F296" t="s">
        <v>98</v>
      </c>
      <c r="G296" t="s">
        <v>51</v>
      </c>
      <c r="H296" t="s">
        <v>105</v>
      </c>
      <c r="I296" t="s">
        <v>89</v>
      </c>
      <c r="J296" t="s">
        <v>96</v>
      </c>
      <c r="K296">
        <v>823068</v>
      </c>
      <c r="L296" t="s">
        <v>106</v>
      </c>
      <c r="M296" t="s">
        <v>107</v>
      </c>
      <c r="N296" t="s">
        <v>57</v>
      </c>
      <c r="O296" s="1">
        <v>45778</v>
      </c>
      <c r="Q296" s="1">
        <v>45962</v>
      </c>
      <c r="R296" s="2">
        <v>109.06</v>
      </c>
      <c r="S296">
        <v>1</v>
      </c>
      <c r="T296" t="s">
        <v>58</v>
      </c>
      <c r="U296" t="s">
        <v>359</v>
      </c>
      <c r="V296" s="3">
        <v>0.9</v>
      </c>
      <c r="W296" s="2">
        <v>0</v>
      </c>
      <c r="X296">
        <v>0</v>
      </c>
      <c r="Y296" t="s">
        <v>60</v>
      </c>
      <c r="Z296" t="s">
        <v>360</v>
      </c>
      <c r="AA296">
        <v>0</v>
      </c>
      <c r="AB296" s="2">
        <v>0</v>
      </c>
      <c r="AC296" s="2">
        <v>0</v>
      </c>
      <c r="AD296" s="3">
        <v>0</v>
      </c>
      <c r="AE296" s="2">
        <v>0</v>
      </c>
      <c r="AF296" s="2">
        <v>0</v>
      </c>
      <c r="AG296" s="2">
        <v>0</v>
      </c>
      <c r="AH296" s="2">
        <v>0</v>
      </c>
      <c r="AI296" s="2">
        <v>0</v>
      </c>
      <c r="AJ296" s="2">
        <v>0</v>
      </c>
      <c r="AK296" s="2">
        <v>0</v>
      </c>
      <c r="AL296" s="2">
        <v>0</v>
      </c>
      <c r="AM296" s="2">
        <v>98.15</v>
      </c>
      <c r="AN296" s="2">
        <v>98.15</v>
      </c>
      <c r="AO296" s="2">
        <v>0</v>
      </c>
      <c r="AP296" s="2">
        <v>0</v>
      </c>
      <c r="AQ296" s="2">
        <v>0</v>
      </c>
    </row>
    <row r="297" spans="1:43" x14ac:dyDescent="0.25">
      <c r="A297" s="1">
        <v>45936</v>
      </c>
      <c r="B297" t="s">
        <v>48</v>
      </c>
      <c r="C297">
        <v>649163</v>
      </c>
      <c r="D297">
        <v>2028692689</v>
      </c>
      <c r="E297" t="s">
        <v>771</v>
      </c>
      <c r="F297" t="s">
        <v>220</v>
      </c>
      <c r="G297" t="s">
        <v>51</v>
      </c>
      <c r="H297" t="s">
        <v>119</v>
      </c>
      <c r="I297" t="s">
        <v>89</v>
      </c>
      <c r="J297" t="s">
        <v>111</v>
      </c>
      <c r="K297">
        <v>651818</v>
      </c>
      <c r="L297" t="s">
        <v>112</v>
      </c>
      <c r="M297" t="s">
        <v>104</v>
      </c>
      <c r="N297" t="s">
        <v>57</v>
      </c>
      <c r="O297" s="1">
        <v>45784</v>
      </c>
      <c r="Q297" s="1">
        <v>45968</v>
      </c>
      <c r="R297" s="2">
        <v>72.38</v>
      </c>
      <c r="S297">
        <v>1</v>
      </c>
      <c r="T297" t="s">
        <v>58</v>
      </c>
      <c r="U297" t="s">
        <v>359</v>
      </c>
      <c r="V297" s="3">
        <v>0.75</v>
      </c>
      <c r="W297" s="2">
        <v>0</v>
      </c>
      <c r="X297">
        <v>0</v>
      </c>
      <c r="Y297" t="s">
        <v>60</v>
      </c>
      <c r="Z297" t="s">
        <v>360</v>
      </c>
      <c r="AA297">
        <v>0</v>
      </c>
      <c r="AB297" s="2">
        <v>0</v>
      </c>
      <c r="AC297" s="2">
        <v>0</v>
      </c>
      <c r="AD297" s="3">
        <v>0</v>
      </c>
      <c r="AE297" s="2">
        <v>0</v>
      </c>
      <c r="AF297" s="2">
        <v>0</v>
      </c>
      <c r="AG297" s="2">
        <v>0</v>
      </c>
      <c r="AH297" s="2">
        <v>0</v>
      </c>
      <c r="AI297" s="2">
        <v>0</v>
      </c>
      <c r="AJ297" s="2">
        <v>0</v>
      </c>
      <c r="AK297" s="2">
        <v>0</v>
      </c>
      <c r="AL297" s="2">
        <v>0</v>
      </c>
      <c r="AM297" s="2">
        <v>54.28</v>
      </c>
      <c r="AN297" s="2">
        <v>54.28</v>
      </c>
      <c r="AO297" s="2">
        <v>0</v>
      </c>
      <c r="AP297" s="2">
        <v>0</v>
      </c>
      <c r="AQ297" s="2">
        <v>0</v>
      </c>
    </row>
    <row r="298" spans="1:43" x14ac:dyDescent="0.25">
      <c r="A298" s="1">
        <v>45936</v>
      </c>
      <c r="B298" t="s">
        <v>48</v>
      </c>
      <c r="C298">
        <v>649163</v>
      </c>
      <c r="D298">
        <v>2028773699</v>
      </c>
      <c r="E298" t="s">
        <v>772</v>
      </c>
      <c r="F298" t="s">
        <v>81</v>
      </c>
      <c r="G298" t="s">
        <v>51</v>
      </c>
      <c r="H298" t="s">
        <v>119</v>
      </c>
      <c r="I298" t="s">
        <v>89</v>
      </c>
      <c r="J298" t="s">
        <v>111</v>
      </c>
      <c r="K298">
        <v>651818</v>
      </c>
      <c r="L298" t="s">
        <v>112</v>
      </c>
      <c r="M298" t="s">
        <v>104</v>
      </c>
      <c r="N298" t="s">
        <v>57</v>
      </c>
      <c r="O298" s="1">
        <v>45815</v>
      </c>
      <c r="Q298" s="1">
        <v>45968</v>
      </c>
      <c r="R298" s="2">
        <v>123.55</v>
      </c>
      <c r="S298">
        <v>1</v>
      </c>
      <c r="T298" t="s">
        <v>58</v>
      </c>
      <c r="U298" t="s">
        <v>359</v>
      </c>
      <c r="V298" s="3">
        <v>0.75</v>
      </c>
      <c r="W298" s="2">
        <v>0</v>
      </c>
      <c r="X298">
        <v>0</v>
      </c>
      <c r="Y298" t="s">
        <v>60</v>
      </c>
      <c r="Z298" t="s">
        <v>360</v>
      </c>
      <c r="AA298">
        <v>0</v>
      </c>
      <c r="AB298" s="2">
        <v>0</v>
      </c>
      <c r="AC298" s="2">
        <v>0</v>
      </c>
      <c r="AD298" s="3">
        <v>0</v>
      </c>
      <c r="AE298" s="2">
        <v>0</v>
      </c>
      <c r="AF298" s="2">
        <v>0</v>
      </c>
      <c r="AG298" s="2">
        <v>0</v>
      </c>
      <c r="AH298" s="2">
        <v>0</v>
      </c>
      <c r="AI298" s="2">
        <v>0</v>
      </c>
      <c r="AJ298" s="2">
        <v>0</v>
      </c>
      <c r="AK298" s="2">
        <v>0</v>
      </c>
      <c r="AL298" s="2">
        <v>92.66</v>
      </c>
      <c r="AM298" s="2">
        <v>0</v>
      </c>
      <c r="AN298" s="2">
        <v>0</v>
      </c>
      <c r="AO298" s="2">
        <v>0</v>
      </c>
      <c r="AP298" s="2">
        <v>0</v>
      </c>
      <c r="AQ298" s="2">
        <v>0</v>
      </c>
    </row>
    <row r="299" spans="1:43" x14ac:dyDescent="0.25">
      <c r="A299" s="1">
        <v>45936</v>
      </c>
      <c r="B299" t="s">
        <v>48</v>
      </c>
      <c r="C299">
        <v>649163</v>
      </c>
      <c r="D299">
        <v>2028777168</v>
      </c>
      <c r="E299" t="s">
        <v>773</v>
      </c>
      <c r="F299" t="s">
        <v>774</v>
      </c>
      <c r="G299" t="s">
        <v>51</v>
      </c>
      <c r="H299" t="s">
        <v>203</v>
      </c>
      <c r="I299" t="s">
        <v>89</v>
      </c>
      <c r="J299" t="s">
        <v>90</v>
      </c>
      <c r="K299">
        <v>816021</v>
      </c>
      <c r="L299" t="s">
        <v>265</v>
      </c>
      <c r="M299" t="s">
        <v>266</v>
      </c>
      <c r="N299" t="s">
        <v>57</v>
      </c>
      <c r="O299" s="1">
        <v>45783</v>
      </c>
      <c r="Q299" s="1">
        <v>45967</v>
      </c>
      <c r="R299" s="2">
        <v>142.03</v>
      </c>
      <c r="S299">
        <v>1</v>
      </c>
      <c r="T299" t="s">
        <v>58</v>
      </c>
      <c r="U299" t="s">
        <v>359</v>
      </c>
      <c r="V299" s="3">
        <v>0.65</v>
      </c>
      <c r="W299" s="2">
        <v>0</v>
      </c>
      <c r="X299">
        <v>0</v>
      </c>
      <c r="Y299" t="s">
        <v>60</v>
      </c>
      <c r="Z299" t="s">
        <v>360</v>
      </c>
      <c r="AA299">
        <v>0</v>
      </c>
      <c r="AB299" s="2">
        <v>0</v>
      </c>
      <c r="AC299" s="2">
        <v>0</v>
      </c>
      <c r="AD299" s="3">
        <v>0</v>
      </c>
      <c r="AE299" s="2">
        <v>0</v>
      </c>
      <c r="AF299" s="2">
        <v>0</v>
      </c>
      <c r="AG299" s="2">
        <v>0</v>
      </c>
      <c r="AH299" s="2">
        <v>0</v>
      </c>
      <c r="AI299" s="2">
        <v>0</v>
      </c>
      <c r="AJ299" s="2">
        <v>0</v>
      </c>
      <c r="AK299" s="2">
        <v>0</v>
      </c>
      <c r="AL299" s="2">
        <v>0</v>
      </c>
      <c r="AM299" s="2">
        <v>92.32</v>
      </c>
      <c r="AN299" s="2">
        <v>92.32</v>
      </c>
      <c r="AO299" s="2">
        <v>0</v>
      </c>
      <c r="AP299" s="2">
        <v>0</v>
      </c>
      <c r="AQ299" s="2">
        <v>0</v>
      </c>
    </row>
    <row r="300" spans="1:43" x14ac:dyDescent="0.25">
      <c r="A300" s="1">
        <v>45936</v>
      </c>
      <c r="B300" t="s">
        <v>48</v>
      </c>
      <c r="C300">
        <v>649163</v>
      </c>
      <c r="D300">
        <v>2028803972</v>
      </c>
      <c r="E300" t="s">
        <v>775</v>
      </c>
      <c r="F300" t="s">
        <v>776</v>
      </c>
      <c r="G300" t="s">
        <v>51</v>
      </c>
      <c r="H300" t="s">
        <v>52</v>
      </c>
      <c r="I300" t="s">
        <v>89</v>
      </c>
      <c r="J300" t="s">
        <v>96</v>
      </c>
      <c r="K300">
        <v>767312</v>
      </c>
      <c r="L300" t="s">
        <v>283</v>
      </c>
      <c r="M300" t="s">
        <v>284</v>
      </c>
      <c r="N300" t="s">
        <v>57</v>
      </c>
      <c r="O300" s="1">
        <v>45784</v>
      </c>
      <c r="Q300" s="1">
        <v>45968</v>
      </c>
      <c r="R300" s="2">
        <v>205.42</v>
      </c>
      <c r="S300">
        <v>1</v>
      </c>
      <c r="T300" t="s">
        <v>58</v>
      </c>
      <c r="U300" t="s">
        <v>359</v>
      </c>
      <c r="V300" s="3">
        <v>0.9</v>
      </c>
      <c r="W300" s="2">
        <v>0</v>
      </c>
      <c r="X300">
        <v>0</v>
      </c>
      <c r="Y300" t="s">
        <v>60</v>
      </c>
      <c r="Z300" t="s">
        <v>360</v>
      </c>
      <c r="AA300">
        <v>0</v>
      </c>
      <c r="AB300" s="2">
        <v>0</v>
      </c>
      <c r="AC300" s="2">
        <v>0</v>
      </c>
      <c r="AD300" s="3">
        <v>0</v>
      </c>
      <c r="AE300" s="2">
        <v>0</v>
      </c>
      <c r="AF300" s="2">
        <v>0</v>
      </c>
      <c r="AG300" s="2">
        <v>0</v>
      </c>
      <c r="AH300" s="2">
        <v>0</v>
      </c>
      <c r="AI300" s="2">
        <v>0</v>
      </c>
      <c r="AJ300" s="2">
        <v>0</v>
      </c>
      <c r="AK300" s="2">
        <v>0</v>
      </c>
      <c r="AL300" s="2">
        <v>0</v>
      </c>
      <c r="AM300" s="2">
        <v>184.88</v>
      </c>
      <c r="AN300" s="2">
        <v>184.88</v>
      </c>
      <c r="AO300" s="2">
        <v>0</v>
      </c>
      <c r="AP300" s="2">
        <v>0</v>
      </c>
      <c r="AQ300" s="2">
        <v>0</v>
      </c>
    </row>
    <row r="301" spans="1:43" x14ac:dyDescent="0.25">
      <c r="A301" s="1">
        <v>45936</v>
      </c>
      <c r="B301" t="s">
        <v>48</v>
      </c>
      <c r="C301">
        <v>649163</v>
      </c>
      <c r="D301">
        <v>2028859180</v>
      </c>
      <c r="E301" t="s">
        <v>777</v>
      </c>
      <c r="F301" t="s">
        <v>94</v>
      </c>
      <c r="G301" t="s">
        <v>51</v>
      </c>
      <c r="H301" t="s">
        <v>159</v>
      </c>
      <c r="I301" t="s">
        <v>89</v>
      </c>
      <c r="J301" t="s">
        <v>96</v>
      </c>
      <c r="K301">
        <v>651818</v>
      </c>
      <c r="L301" t="s">
        <v>112</v>
      </c>
      <c r="M301" t="s">
        <v>104</v>
      </c>
      <c r="N301" t="s">
        <v>57</v>
      </c>
      <c r="O301" s="1">
        <v>45815</v>
      </c>
      <c r="Q301" s="1">
        <v>45968</v>
      </c>
      <c r="R301" s="2">
        <v>57.67</v>
      </c>
      <c r="S301">
        <v>1</v>
      </c>
      <c r="T301" t="s">
        <v>58</v>
      </c>
      <c r="U301" t="s">
        <v>359</v>
      </c>
      <c r="V301" s="3">
        <v>0.9</v>
      </c>
      <c r="W301" s="2">
        <v>0</v>
      </c>
      <c r="X301">
        <v>0</v>
      </c>
      <c r="Y301" t="s">
        <v>60</v>
      </c>
      <c r="Z301" t="s">
        <v>360</v>
      </c>
      <c r="AA301">
        <v>0</v>
      </c>
      <c r="AB301" s="2">
        <v>0</v>
      </c>
      <c r="AC301" s="2">
        <v>0</v>
      </c>
      <c r="AD301" s="3">
        <v>0</v>
      </c>
      <c r="AE301" s="2">
        <v>0</v>
      </c>
      <c r="AF301" s="2">
        <v>0</v>
      </c>
      <c r="AG301" s="2">
        <v>0</v>
      </c>
      <c r="AH301" s="2">
        <v>0</v>
      </c>
      <c r="AI301" s="2">
        <v>0</v>
      </c>
      <c r="AJ301" s="2">
        <v>0</v>
      </c>
      <c r="AK301" s="2">
        <v>0</v>
      </c>
      <c r="AL301" s="2">
        <v>51.9</v>
      </c>
      <c r="AM301" s="2">
        <v>0</v>
      </c>
      <c r="AN301" s="2">
        <v>0</v>
      </c>
      <c r="AO301" s="2">
        <v>0</v>
      </c>
      <c r="AP301" s="2">
        <v>0</v>
      </c>
      <c r="AQ301" s="2">
        <v>0</v>
      </c>
    </row>
    <row r="302" spans="1:43" x14ac:dyDescent="0.25">
      <c r="A302" s="1">
        <v>45936</v>
      </c>
      <c r="B302" t="s">
        <v>48</v>
      </c>
      <c r="C302">
        <v>649163</v>
      </c>
      <c r="D302">
        <v>2029031424</v>
      </c>
      <c r="E302" t="s">
        <v>778</v>
      </c>
      <c r="F302" t="s">
        <v>779</v>
      </c>
      <c r="G302" t="s">
        <v>51</v>
      </c>
      <c r="H302" t="s">
        <v>129</v>
      </c>
      <c r="I302" t="s">
        <v>89</v>
      </c>
      <c r="J302" t="s">
        <v>111</v>
      </c>
      <c r="K302">
        <v>651818</v>
      </c>
      <c r="L302" t="s">
        <v>112</v>
      </c>
      <c r="M302" t="s">
        <v>104</v>
      </c>
      <c r="N302" t="s">
        <v>57</v>
      </c>
      <c r="O302" s="1">
        <v>45815</v>
      </c>
      <c r="Q302" s="1">
        <v>45968</v>
      </c>
      <c r="R302" s="2">
        <v>163.80000000000001</v>
      </c>
      <c r="S302">
        <v>1</v>
      </c>
      <c r="T302" t="s">
        <v>58</v>
      </c>
      <c r="U302" t="s">
        <v>359</v>
      </c>
      <c r="V302" s="3">
        <v>0.75</v>
      </c>
      <c r="W302" s="2">
        <v>0</v>
      </c>
      <c r="X302">
        <v>0</v>
      </c>
      <c r="Y302" t="s">
        <v>60</v>
      </c>
      <c r="Z302" t="s">
        <v>360</v>
      </c>
      <c r="AA302">
        <v>0</v>
      </c>
      <c r="AB302" s="2">
        <v>0</v>
      </c>
      <c r="AC302" s="2">
        <v>0</v>
      </c>
      <c r="AD302" s="3">
        <v>0</v>
      </c>
      <c r="AE302" s="2">
        <v>0</v>
      </c>
      <c r="AF302" s="2">
        <v>0</v>
      </c>
      <c r="AG302" s="2">
        <v>0</v>
      </c>
      <c r="AH302" s="2">
        <v>0</v>
      </c>
      <c r="AI302" s="2">
        <v>0</v>
      </c>
      <c r="AJ302" s="2">
        <v>0</v>
      </c>
      <c r="AK302" s="2">
        <v>0</v>
      </c>
      <c r="AL302" s="2">
        <v>122.85</v>
      </c>
      <c r="AM302" s="2">
        <v>0</v>
      </c>
      <c r="AN302" s="2">
        <v>0</v>
      </c>
      <c r="AO302" s="2">
        <v>0</v>
      </c>
      <c r="AP302" s="2">
        <v>0</v>
      </c>
      <c r="AQ302" s="2">
        <v>0</v>
      </c>
    </row>
    <row r="303" spans="1:43" x14ac:dyDescent="0.25">
      <c r="A303" s="1">
        <v>45936</v>
      </c>
      <c r="B303" t="s">
        <v>48</v>
      </c>
      <c r="C303">
        <v>649163</v>
      </c>
      <c r="D303">
        <v>2029168180</v>
      </c>
      <c r="E303" t="s">
        <v>780</v>
      </c>
      <c r="F303" t="s">
        <v>671</v>
      </c>
      <c r="G303" t="s">
        <v>51</v>
      </c>
      <c r="H303" t="s">
        <v>52</v>
      </c>
      <c r="I303" t="s">
        <v>89</v>
      </c>
      <c r="J303" t="s">
        <v>96</v>
      </c>
      <c r="K303">
        <v>753748</v>
      </c>
      <c r="L303" t="s">
        <v>97</v>
      </c>
      <c r="M303" t="s">
        <v>98</v>
      </c>
      <c r="N303" t="s">
        <v>57</v>
      </c>
      <c r="O303" s="1">
        <v>45809</v>
      </c>
      <c r="Q303" s="1">
        <v>45962</v>
      </c>
      <c r="R303" s="2">
        <v>-192.25</v>
      </c>
      <c r="S303">
        <v>1</v>
      </c>
      <c r="T303" t="s">
        <v>58</v>
      </c>
      <c r="U303" t="s">
        <v>359</v>
      </c>
      <c r="V303" s="3">
        <v>0.9</v>
      </c>
      <c r="W303" s="2">
        <v>0</v>
      </c>
      <c r="X303">
        <v>-1</v>
      </c>
      <c r="Y303" t="s">
        <v>60</v>
      </c>
      <c r="Z303" t="s">
        <v>360</v>
      </c>
      <c r="AA303">
        <v>0</v>
      </c>
      <c r="AB303" s="2">
        <v>0</v>
      </c>
      <c r="AC303" s="2">
        <v>0</v>
      </c>
      <c r="AD303" s="3">
        <v>0</v>
      </c>
      <c r="AE303" s="2">
        <v>0</v>
      </c>
      <c r="AF303" s="2">
        <v>0</v>
      </c>
      <c r="AG303" s="2">
        <v>0</v>
      </c>
      <c r="AH303" s="2">
        <v>0</v>
      </c>
      <c r="AI303" s="2">
        <v>0</v>
      </c>
      <c r="AJ303" s="2">
        <v>0</v>
      </c>
      <c r="AK303" s="2">
        <v>0</v>
      </c>
      <c r="AL303" s="2">
        <v>0</v>
      </c>
      <c r="AM303" s="2">
        <v>-173.02</v>
      </c>
      <c r="AN303" s="2">
        <v>-173.02</v>
      </c>
      <c r="AO303" s="2">
        <v>0</v>
      </c>
      <c r="AP303" s="2">
        <v>0</v>
      </c>
      <c r="AQ303" s="2">
        <v>0</v>
      </c>
    </row>
    <row r="304" spans="1:43" x14ac:dyDescent="0.25">
      <c r="A304" s="1">
        <v>45936</v>
      </c>
      <c r="B304" t="s">
        <v>48</v>
      </c>
      <c r="C304">
        <v>649163</v>
      </c>
      <c r="D304">
        <v>2029242158</v>
      </c>
      <c r="E304" t="s">
        <v>781</v>
      </c>
      <c r="F304" t="s">
        <v>782</v>
      </c>
      <c r="G304" t="s">
        <v>51</v>
      </c>
      <c r="H304" t="s">
        <v>129</v>
      </c>
      <c r="I304" t="s">
        <v>89</v>
      </c>
      <c r="J304" t="s">
        <v>111</v>
      </c>
      <c r="K304">
        <v>651818</v>
      </c>
      <c r="L304" t="s">
        <v>112</v>
      </c>
      <c r="M304" t="s">
        <v>104</v>
      </c>
      <c r="N304" t="s">
        <v>57</v>
      </c>
      <c r="O304" s="1">
        <v>45845</v>
      </c>
      <c r="Q304" s="1">
        <v>45968</v>
      </c>
      <c r="R304" s="2">
        <v>119.7</v>
      </c>
      <c r="S304">
        <v>1</v>
      </c>
      <c r="T304" t="s">
        <v>58</v>
      </c>
      <c r="U304" t="s">
        <v>359</v>
      </c>
      <c r="V304" s="3">
        <v>0.75</v>
      </c>
      <c r="W304" s="2">
        <v>0</v>
      </c>
      <c r="X304">
        <v>0</v>
      </c>
      <c r="Y304" t="s">
        <v>60</v>
      </c>
      <c r="Z304" t="s">
        <v>360</v>
      </c>
      <c r="AA304">
        <v>0</v>
      </c>
      <c r="AB304" s="2">
        <v>0</v>
      </c>
      <c r="AC304" s="2">
        <v>0</v>
      </c>
      <c r="AD304" s="3">
        <v>0</v>
      </c>
      <c r="AE304" s="2">
        <v>0</v>
      </c>
      <c r="AF304" s="2">
        <v>0</v>
      </c>
      <c r="AG304" s="2">
        <v>0</v>
      </c>
      <c r="AH304" s="2">
        <v>0</v>
      </c>
      <c r="AI304" s="2">
        <v>0</v>
      </c>
      <c r="AJ304" s="2">
        <v>0</v>
      </c>
      <c r="AK304" s="2">
        <v>0</v>
      </c>
      <c r="AL304" s="2">
        <v>89.78</v>
      </c>
      <c r="AM304" s="2">
        <v>0</v>
      </c>
      <c r="AN304" s="2">
        <v>0</v>
      </c>
      <c r="AO304" s="2">
        <v>0</v>
      </c>
      <c r="AP304" s="2">
        <v>0</v>
      </c>
      <c r="AQ304" s="2">
        <v>0</v>
      </c>
    </row>
    <row r="305" spans="1:43" x14ac:dyDescent="0.25">
      <c r="A305" s="1">
        <v>45936</v>
      </c>
      <c r="B305" t="s">
        <v>48</v>
      </c>
      <c r="C305">
        <v>649163</v>
      </c>
      <c r="D305">
        <v>2029275522</v>
      </c>
      <c r="E305" t="s">
        <v>783</v>
      </c>
      <c r="F305" t="s">
        <v>145</v>
      </c>
      <c r="G305" t="s">
        <v>51</v>
      </c>
      <c r="H305" t="s">
        <v>101</v>
      </c>
      <c r="I305" t="s">
        <v>89</v>
      </c>
      <c r="J305" t="s">
        <v>111</v>
      </c>
      <c r="K305">
        <v>821015</v>
      </c>
      <c r="L305" t="s">
        <v>325</v>
      </c>
      <c r="M305" t="s">
        <v>326</v>
      </c>
      <c r="N305" t="s">
        <v>57</v>
      </c>
      <c r="O305" s="1">
        <v>45815</v>
      </c>
      <c r="Q305" s="1">
        <v>45968</v>
      </c>
      <c r="R305" s="2">
        <v>76.8</v>
      </c>
      <c r="S305">
        <v>1</v>
      </c>
      <c r="T305" t="s">
        <v>58</v>
      </c>
      <c r="U305" t="s">
        <v>359</v>
      </c>
      <c r="V305" s="3">
        <v>0.75</v>
      </c>
      <c r="W305" s="2">
        <v>0</v>
      </c>
      <c r="X305">
        <v>0</v>
      </c>
      <c r="Y305" t="s">
        <v>60</v>
      </c>
      <c r="Z305" t="s">
        <v>360</v>
      </c>
      <c r="AA305">
        <v>0</v>
      </c>
      <c r="AB305" s="2">
        <v>0</v>
      </c>
      <c r="AC305" s="2">
        <v>0</v>
      </c>
      <c r="AD305" s="3">
        <v>0</v>
      </c>
      <c r="AE305" s="2">
        <v>0</v>
      </c>
      <c r="AF305" s="2">
        <v>0</v>
      </c>
      <c r="AG305" s="2">
        <v>0</v>
      </c>
      <c r="AH305" s="2">
        <v>0</v>
      </c>
      <c r="AI305" s="2">
        <v>0</v>
      </c>
      <c r="AJ305" s="2">
        <v>0</v>
      </c>
      <c r="AK305" s="2">
        <v>0</v>
      </c>
      <c r="AL305" s="2">
        <v>57.6</v>
      </c>
      <c r="AM305" s="2">
        <v>0</v>
      </c>
      <c r="AN305" s="2">
        <v>0</v>
      </c>
      <c r="AO305" s="2">
        <v>0</v>
      </c>
      <c r="AP305" s="2">
        <v>0</v>
      </c>
      <c r="AQ305" s="2">
        <v>0</v>
      </c>
    </row>
    <row r="306" spans="1:43" x14ac:dyDescent="0.25">
      <c r="A306" s="1">
        <v>45936</v>
      </c>
      <c r="B306" t="s">
        <v>48</v>
      </c>
      <c r="C306">
        <v>649163</v>
      </c>
      <c r="D306">
        <v>2029283860</v>
      </c>
      <c r="E306" t="s">
        <v>784</v>
      </c>
      <c r="F306" t="s">
        <v>785</v>
      </c>
      <c r="G306" t="s">
        <v>51</v>
      </c>
      <c r="H306" t="s">
        <v>105</v>
      </c>
      <c r="I306" t="s">
        <v>89</v>
      </c>
      <c r="J306" t="s">
        <v>96</v>
      </c>
      <c r="K306">
        <v>823068</v>
      </c>
      <c r="L306" t="s">
        <v>106</v>
      </c>
      <c r="M306" t="s">
        <v>107</v>
      </c>
      <c r="N306" t="s">
        <v>57</v>
      </c>
      <c r="O306" s="1">
        <v>45818</v>
      </c>
      <c r="Q306" s="1">
        <v>45971</v>
      </c>
      <c r="R306" s="2">
        <v>69.75</v>
      </c>
      <c r="S306">
        <v>1</v>
      </c>
      <c r="T306" t="s">
        <v>58</v>
      </c>
      <c r="U306" t="s">
        <v>359</v>
      </c>
      <c r="V306" s="3">
        <v>0.9</v>
      </c>
      <c r="W306" s="2">
        <v>0</v>
      </c>
      <c r="X306">
        <v>0</v>
      </c>
      <c r="Y306" t="s">
        <v>60</v>
      </c>
      <c r="Z306" t="s">
        <v>360</v>
      </c>
      <c r="AA306">
        <v>0</v>
      </c>
      <c r="AB306" s="2">
        <v>0</v>
      </c>
      <c r="AC306" s="2">
        <v>0</v>
      </c>
      <c r="AD306" s="3">
        <v>0</v>
      </c>
      <c r="AE306" s="2">
        <v>0</v>
      </c>
      <c r="AF306" s="2">
        <v>0</v>
      </c>
      <c r="AG306" s="2">
        <v>0</v>
      </c>
      <c r="AH306" s="2">
        <v>0</v>
      </c>
      <c r="AI306" s="2">
        <v>0</v>
      </c>
      <c r="AJ306" s="2">
        <v>0</v>
      </c>
      <c r="AK306" s="2">
        <v>0</v>
      </c>
      <c r="AL306" s="2">
        <v>62.78</v>
      </c>
      <c r="AM306" s="2">
        <v>0</v>
      </c>
      <c r="AN306" s="2">
        <v>0</v>
      </c>
      <c r="AO306" s="2">
        <v>0</v>
      </c>
      <c r="AP306" s="2">
        <v>0</v>
      </c>
      <c r="AQ306" s="2">
        <v>0</v>
      </c>
    </row>
    <row r="307" spans="1:43" x14ac:dyDescent="0.25">
      <c r="A307" s="1">
        <v>45936</v>
      </c>
      <c r="B307" t="s">
        <v>48</v>
      </c>
      <c r="C307">
        <v>649163</v>
      </c>
      <c r="D307">
        <v>2029290191</v>
      </c>
      <c r="E307" t="s">
        <v>786</v>
      </c>
      <c r="F307" t="s">
        <v>787</v>
      </c>
      <c r="G307" t="s">
        <v>51</v>
      </c>
      <c r="H307" t="s">
        <v>101</v>
      </c>
      <c r="I307" t="s">
        <v>89</v>
      </c>
      <c r="J307" t="s">
        <v>96</v>
      </c>
      <c r="K307">
        <v>824062</v>
      </c>
      <c r="L307" t="s">
        <v>273</v>
      </c>
      <c r="M307" t="s">
        <v>274</v>
      </c>
      <c r="N307" t="s">
        <v>456</v>
      </c>
      <c r="O307" s="1">
        <v>45839</v>
      </c>
      <c r="P307" s="1">
        <v>45936</v>
      </c>
      <c r="Q307" s="1">
        <v>45962</v>
      </c>
      <c r="R307" s="2">
        <v>-79.510000000000005</v>
      </c>
      <c r="S307">
        <v>1</v>
      </c>
      <c r="T307" t="s">
        <v>58</v>
      </c>
      <c r="U307" t="s">
        <v>359</v>
      </c>
      <c r="V307" s="3">
        <v>0.9</v>
      </c>
      <c r="W307" s="2">
        <v>0</v>
      </c>
      <c r="X307">
        <v>-1</v>
      </c>
      <c r="Y307" t="s">
        <v>60</v>
      </c>
      <c r="Z307" t="s">
        <v>360</v>
      </c>
      <c r="AA307">
        <v>0</v>
      </c>
      <c r="AB307" s="2">
        <v>0</v>
      </c>
      <c r="AC307" s="2">
        <v>0</v>
      </c>
      <c r="AD307" s="3">
        <v>0</v>
      </c>
      <c r="AE307" s="2">
        <v>0</v>
      </c>
      <c r="AF307" s="2">
        <v>0</v>
      </c>
      <c r="AG307" s="2">
        <v>0</v>
      </c>
      <c r="AH307" s="2">
        <v>0</v>
      </c>
      <c r="AI307" s="2">
        <v>0</v>
      </c>
      <c r="AJ307" s="2">
        <v>0</v>
      </c>
      <c r="AK307" s="2">
        <v>0</v>
      </c>
      <c r="AL307" s="2">
        <v>0</v>
      </c>
      <c r="AM307" s="2">
        <v>-71.56</v>
      </c>
      <c r="AN307" s="2">
        <v>-71.56</v>
      </c>
      <c r="AO307" s="2">
        <v>0</v>
      </c>
      <c r="AP307" s="2">
        <v>0</v>
      </c>
      <c r="AQ307" s="2">
        <v>0</v>
      </c>
    </row>
    <row r="308" spans="1:43" x14ac:dyDescent="0.25">
      <c r="A308" s="1">
        <v>45936</v>
      </c>
      <c r="B308" t="s">
        <v>48</v>
      </c>
      <c r="C308">
        <v>649163</v>
      </c>
      <c r="D308">
        <v>2029335780</v>
      </c>
      <c r="E308" t="s">
        <v>421</v>
      </c>
      <c r="F308" t="s">
        <v>98</v>
      </c>
      <c r="G308" t="s">
        <v>51</v>
      </c>
      <c r="H308" t="s">
        <v>101</v>
      </c>
      <c r="I308" t="s">
        <v>89</v>
      </c>
      <c r="J308" t="s">
        <v>96</v>
      </c>
      <c r="K308">
        <v>824062</v>
      </c>
      <c r="L308" t="s">
        <v>273</v>
      </c>
      <c r="M308" t="s">
        <v>274</v>
      </c>
      <c r="N308" t="s">
        <v>57</v>
      </c>
      <c r="O308" s="1">
        <v>45815</v>
      </c>
      <c r="Q308" s="1">
        <v>45968</v>
      </c>
      <c r="R308" s="2">
        <v>82.13</v>
      </c>
      <c r="S308">
        <v>1</v>
      </c>
      <c r="T308" t="s">
        <v>58</v>
      </c>
      <c r="U308" t="s">
        <v>359</v>
      </c>
      <c r="V308" s="3">
        <v>0.9</v>
      </c>
      <c r="W308" s="2">
        <v>0</v>
      </c>
      <c r="X308">
        <v>0</v>
      </c>
      <c r="Y308" t="s">
        <v>60</v>
      </c>
      <c r="Z308" t="s">
        <v>360</v>
      </c>
      <c r="AA308">
        <v>0</v>
      </c>
      <c r="AB308" s="2">
        <v>0</v>
      </c>
      <c r="AC308" s="2">
        <v>0</v>
      </c>
      <c r="AD308" s="3">
        <v>0</v>
      </c>
      <c r="AE308" s="2">
        <v>0</v>
      </c>
      <c r="AF308" s="2">
        <v>0</v>
      </c>
      <c r="AG308" s="2">
        <v>0</v>
      </c>
      <c r="AH308" s="2">
        <v>0</v>
      </c>
      <c r="AI308" s="2">
        <v>0</v>
      </c>
      <c r="AJ308" s="2">
        <v>0</v>
      </c>
      <c r="AK308" s="2">
        <v>0</v>
      </c>
      <c r="AL308" s="2">
        <v>73.92</v>
      </c>
      <c r="AM308" s="2">
        <v>0</v>
      </c>
      <c r="AN308" s="2">
        <v>0</v>
      </c>
      <c r="AO308" s="2">
        <v>0</v>
      </c>
      <c r="AP308" s="2">
        <v>0</v>
      </c>
      <c r="AQ308" s="2">
        <v>0</v>
      </c>
    </row>
    <row r="309" spans="1:43" x14ac:dyDescent="0.25">
      <c r="A309" s="1">
        <v>45936</v>
      </c>
      <c r="B309" t="s">
        <v>48</v>
      </c>
      <c r="C309">
        <v>649163</v>
      </c>
      <c r="D309">
        <v>2029501025</v>
      </c>
      <c r="E309" t="s">
        <v>740</v>
      </c>
      <c r="F309" t="s">
        <v>788</v>
      </c>
      <c r="G309" t="s">
        <v>51</v>
      </c>
      <c r="H309" t="s">
        <v>122</v>
      </c>
      <c r="I309" t="s">
        <v>89</v>
      </c>
      <c r="J309" t="s">
        <v>111</v>
      </c>
      <c r="K309">
        <v>651818</v>
      </c>
      <c r="L309" t="s">
        <v>112</v>
      </c>
      <c r="M309" t="s">
        <v>104</v>
      </c>
      <c r="N309" t="s">
        <v>57</v>
      </c>
      <c r="O309" s="1">
        <v>45845</v>
      </c>
      <c r="Q309" s="1">
        <v>45968</v>
      </c>
      <c r="R309" s="2">
        <v>329.4</v>
      </c>
      <c r="S309">
        <v>1</v>
      </c>
      <c r="T309" t="s">
        <v>58</v>
      </c>
      <c r="U309" t="s">
        <v>359</v>
      </c>
      <c r="V309" s="3">
        <v>0.75</v>
      </c>
      <c r="W309" s="2">
        <v>0</v>
      </c>
      <c r="X309">
        <v>0</v>
      </c>
      <c r="Y309" t="s">
        <v>60</v>
      </c>
      <c r="Z309" t="s">
        <v>360</v>
      </c>
      <c r="AA309">
        <v>0</v>
      </c>
      <c r="AB309" s="2">
        <v>0</v>
      </c>
      <c r="AC309" s="2">
        <v>0</v>
      </c>
      <c r="AD309" s="3">
        <v>0</v>
      </c>
      <c r="AE309" s="2">
        <v>0</v>
      </c>
      <c r="AF309" s="2">
        <v>0</v>
      </c>
      <c r="AG309" s="2">
        <v>0</v>
      </c>
      <c r="AH309" s="2">
        <v>0</v>
      </c>
      <c r="AI309" s="2">
        <v>0</v>
      </c>
      <c r="AJ309" s="2">
        <v>0</v>
      </c>
      <c r="AK309" s="2">
        <v>0</v>
      </c>
      <c r="AL309" s="2">
        <v>247.05</v>
      </c>
      <c r="AM309" s="2">
        <v>0</v>
      </c>
      <c r="AN309" s="2">
        <v>0</v>
      </c>
      <c r="AO309" s="2">
        <v>0</v>
      </c>
      <c r="AP309" s="2">
        <v>0</v>
      </c>
      <c r="AQ309" s="2">
        <v>0</v>
      </c>
    </row>
    <row r="310" spans="1:43" x14ac:dyDescent="0.25">
      <c r="A310" s="1">
        <v>45936</v>
      </c>
      <c r="B310" t="s">
        <v>48</v>
      </c>
      <c r="C310">
        <v>649163</v>
      </c>
      <c r="D310">
        <v>2029531079</v>
      </c>
      <c r="E310" t="s">
        <v>789</v>
      </c>
      <c r="F310" t="s">
        <v>790</v>
      </c>
      <c r="G310" t="s">
        <v>51</v>
      </c>
      <c r="H310" t="s">
        <v>182</v>
      </c>
      <c r="I310" t="s">
        <v>89</v>
      </c>
      <c r="J310" t="s">
        <v>102</v>
      </c>
      <c r="K310">
        <v>673059</v>
      </c>
      <c r="L310" t="s">
        <v>80</v>
      </c>
      <c r="M310" t="s">
        <v>81</v>
      </c>
      <c r="N310" t="s">
        <v>57</v>
      </c>
      <c r="O310" s="1">
        <v>45847</v>
      </c>
      <c r="Q310" s="1">
        <v>45970</v>
      </c>
      <c r="R310" s="2">
        <v>82.36</v>
      </c>
      <c r="S310">
        <v>1</v>
      </c>
      <c r="T310" t="s">
        <v>58</v>
      </c>
      <c r="U310" t="s">
        <v>359</v>
      </c>
      <c r="V310" s="3">
        <v>0.75</v>
      </c>
      <c r="W310" s="2">
        <v>0</v>
      </c>
      <c r="X310">
        <v>0</v>
      </c>
      <c r="Y310" t="s">
        <v>60</v>
      </c>
      <c r="Z310" t="s">
        <v>360</v>
      </c>
      <c r="AA310">
        <v>0</v>
      </c>
      <c r="AB310" s="2">
        <v>0</v>
      </c>
      <c r="AC310" s="2">
        <v>0</v>
      </c>
      <c r="AD310" s="3">
        <v>0</v>
      </c>
      <c r="AE310" s="2">
        <v>0</v>
      </c>
      <c r="AF310" s="2">
        <v>0</v>
      </c>
      <c r="AG310" s="2">
        <v>0</v>
      </c>
      <c r="AH310" s="2">
        <v>0</v>
      </c>
      <c r="AI310" s="2">
        <v>0</v>
      </c>
      <c r="AJ310" s="2">
        <v>0</v>
      </c>
      <c r="AK310" s="2">
        <v>0</v>
      </c>
      <c r="AL310" s="2">
        <v>61.77</v>
      </c>
      <c r="AM310" s="2">
        <v>0</v>
      </c>
      <c r="AN310" s="2">
        <v>0</v>
      </c>
      <c r="AO310" s="2">
        <v>0</v>
      </c>
      <c r="AP310" s="2">
        <v>0</v>
      </c>
      <c r="AQ310" s="2">
        <v>0</v>
      </c>
    </row>
    <row r="311" spans="1:43" x14ac:dyDescent="0.25">
      <c r="A311" s="1">
        <v>45936</v>
      </c>
      <c r="B311" t="s">
        <v>48</v>
      </c>
      <c r="C311">
        <v>649163</v>
      </c>
      <c r="D311">
        <v>2029609655</v>
      </c>
      <c r="E311" t="s">
        <v>72</v>
      </c>
      <c r="F311" t="s">
        <v>791</v>
      </c>
      <c r="G311" t="s">
        <v>51</v>
      </c>
      <c r="H311" t="s">
        <v>52</v>
      </c>
      <c r="I311" t="s">
        <v>89</v>
      </c>
      <c r="J311" t="s">
        <v>102</v>
      </c>
      <c r="K311">
        <v>651818</v>
      </c>
      <c r="L311" t="s">
        <v>112</v>
      </c>
      <c r="M311" t="s">
        <v>104</v>
      </c>
      <c r="N311" t="s">
        <v>57</v>
      </c>
      <c r="O311" s="1">
        <v>45845</v>
      </c>
      <c r="Q311" s="1">
        <v>45968</v>
      </c>
      <c r="R311" s="2">
        <v>120.19</v>
      </c>
      <c r="S311">
        <v>1</v>
      </c>
      <c r="T311" t="s">
        <v>58</v>
      </c>
      <c r="U311" t="s">
        <v>359</v>
      </c>
      <c r="V311" s="3">
        <v>0.75</v>
      </c>
      <c r="W311" s="2">
        <v>0</v>
      </c>
      <c r="X311">
        <v>0</v>
      </c>
      <c r="Y311" t="s">
        <v>60</v>
      </c>
      <c r="Z311" t="s">
        <v>360</v>
      </c>
      <c r="AA311">
        <v>0</v>
      </c>
      <c r="AB311" s="2">
        <v>0</v>
      </c>
      <c r="AC311" s="2">
        <v>0</v>
      </c>
      <c r="AD311" s="3">
        <v>0</v>
      </c>
      <c r="AE311" s="2">
        <v>0</v>
      </c>
      <c r="AF311" s="2">
        <v>0</v>
      </c>
      <c r="AG311" s="2">
        <v>0</v>
      </c>
      <c r="AH311" s="2">
        <v>0</v>
      </c>
      <c r="AI311" s="2">
        <v>0</v>
      </c>
      <c r="AJ311" s="2">
        <v>0</v>
      </c>
      <c r="AK311" s="2">
        <v>0</v>
      </c>
      <c r="AL311" s="2">
        <v>90.14</v>
      </c>
      <c r="AM311" s="2">
        <v>0</v>
      </c>
      <c r="AN311" s="2">
        <v>0</v>
      </c>
      <c r="AO311" s="2">
        <v>0</v>
      </c>
      <c r="AP311" s="2">
        <v>0</v>
      </c>
      <c r="AQ311" s="2">
        <v>0</v>
      </c>
    </row>
    <row r="312" spans="1:43" x14ac:dyDescent="0.25">
      <c r="A312" s="1">
        <v>45936</v>
      </c>
      <c r="B312" t="s">
        <v>48</v>
      </c>
      <c r="C312">
        <v>649163</v>
      </c>
      <c r="D312">
        <v>2017629365</v>
      </c>
      <c r="E312" t="s">
        <v>546</v>
      </c>
      <c r="F312" t="s">
        <v>547</v>
      </c>
      <c r="G312" t="s">
        <v>51</v>
      </c>
      <c r="H312" t="s">
        <v>150</v>
      </c>
      <c r="I312" t="s">
        <v>292</v>
      </c>
      <c r="J312" t="s">
        <v>536</v>
      </c>
      <c r="K312">
        <v>649793</v>
      </c>
      <c r="L312" t="s">
        <v>80</v>
      </c>
      <c r="M312" t="s">
        <v>537</v>
      </c>
      <c r="N312" t="s">
        <v>57</v>
      </c>
      <c r="O312" s="1">
        <v>44994</v>
      </c>
      <c r="Q312" s="1">
        <v>45970</v>
      </c>
      <c r="R312" s="2">
        <v>8.3699999999999992</v>
      </c>
      <c r="S312">
        <v>1</v>
      </c>
      <c r="T312" t="s">
        <v>58</v>
      </c>
      <c r="U312" t="s">
        <v>359</v>
      </c>
      <c r="V312" s="3">
        <v>0.15</v>
      </c>
      <c r="W312" s="2">
        <v>0</v>
      </c>
      <c r="X312">
        <v>0</v>
      </c>
      <c r="Y312" t="s">
        <v>214</v>
      </c>
      <c r="Z312" t="s">
        <v>360</v>
      </c>
      <c r="AA312">
        <v>0</v>
      </c>
      <c r="AB312" s="2">
        <v>0</v>
      </c>
      <c r="AC312" s="2">
        <v>0</v>
      </c>
      <c r="AD312" s="3">
        <v>0</v>
      </c>
      <c r="AE312" s="2">
        <v>0</v>
      </c>
      <c r="AF312" s="2">
        <v>0</v>
      </c>
      <c r="AG312" s="2">
        <v>0</v>
      </c>
      <c r="AH312" s="2">
        <v>0</v>
      </c>
      <c r="AI312" s="2">
        <v>0</v>
      </c>
      <c r="AJ312" s="2">
        <v>0</v>
      </c>
      <c r="AK312" s="2">
        <v>0</v>
      </c>
      <c r="AL312" s="2">
        <v>0</v>
      </c>
      <c r="AM312" s="2">
        <v>1.26</v>
      </c>
      <c r="AN312" s="2">
        <v>1.26</v>
      </c>
      <c r="AO312" s="2">
        <v>0</v>
      </c>
      <c r="AP312" s="2">
        <v>0</v>
      </c>
      <c r="AQ312" s="2">
        <v>0</v>
      </c>
    </row>
    <row r="313" spans="1:43" x14ac:dyDescent="0.25">
      <c r="A313" s="1">
        <v>45936</v>
      </c>
      <c r="B313" t="s">
        <v>48</v>
      </c>
      <c r="C313">
        <v>649163</v>
      </c>
      <c r="D313">
        <v>2018091396</v>
      </c>
      <c r="E313" t="s">
        <v>792</v>
      </c>
      <c r="F313" t="s">
        <v>236</v>
      </c>
      <c r="G313" t="s">
        <v>51</v>
      </c>
      <c r="H313" t="s">
        <v>129</v>
      </c>
      <c r="I313" t="s">
        <v>292</v>
      </c>
      <c r="J313" t="s">
        <v>295</v>
      </c>
      <c r="K313">
        <v>651818</v>
      </c>
      <c r="L313" t="s">
        <v>112</v>
      </c>
      <c r="M313" t="s">
        <v>104</v>
      </c>
      <c r="N313" t="s">
        <v>57</v>
      </c>
      <c r="O313" s="1">
        <v>45022</v>
      </c>
      <c r="Q313" s="1">
        <v>45967</v>
      </c>
      <c r="R313" s="2">
        <v>164.06</v>
      </c>
      <c r="S313">
        <v>1</v>
      </c>
      <c r="T313" t="s">
        <v>58</v>
      </c>
      <c r="U313" t="s">
        <v>359</v>
      </c>
      <c r="V313" s="3">
        <v>0.1</v>
      </c>
      <c r="W313" s="2">
        <v>0</v>
      </c>
      <c r="X313">
        <v>0</v>
      </c>
      <c r="Y313" t="s">
        <v>214</v>
      </c>
      <c r="Z313" t="s">
        <v>360</v>
      </c>
      <c r="AA313">
        <v>0</v>
      </c>
      <c r="AB313" s="2">
        <v>0</v>
      </c>
      <c r="AC313" s="2">
        <v>0</v>
      </c>
      <c r="AD313" s="3">
        <v>0</v>
      </c>
      <c r="AE313" s="2">
        <v>0</v>
      </c>
      <c r="AF313" s="2">
        <v>0</v>
      </c>
      <c r="AG313" s="2">
        <v>0</v>
      </c>
      <c r="AH313" s="2">
        <v>0</v>
      </c>
      <c r="AI313" s="2">
        <v>0</v>
      </c>
      <c r="AJ313" s="2">
        <v>0</v>
      </c>
      <c r="AK313" s="2">
        <v>0</v>
      </c>
      <c r="AL313" s="2">
        <v>0</v>
      </c>
      <c r="AM313" s="2">
        <v>16.41</v>
      </c>
      <c r="AN313" s="2">
        <v>16.41</v>
      </c>
      <c r="AO313" s="2">
        <v>0</v>
      </c>
      <c r="AP313" s="2">
        <v>0</v>
      </c>
      <c r="AQ313" s="2">
        <v>0</v>
      </c>
    </row>
    <row r="314" spans="1:43" x14ac:dyDescent="0.25">
      <c r="A314" s="1">
        <v>45936</v>
      </c>
      <c r="B314" t="s">
        <v>48</v>
      </c>
      <c r="C314">
        <v>649163</v>
      </c>
      <c r="D314">
        <v>2018167735</v>
      </c>
      <c r="E314" t="s">
        <v>645</v>
      </c>
      <c r="F314" t="s">
        <v>179</v>
      </c>
      <c r="G314" t="s">
        <v>51</v>
      </c>
      <c r="H314" t="s">
        <v>646</v>
      </c>
      <c r="I314" t="s">
        <v>292</v>
      </c>
      <c r="J314" t="s">
        <v>295</v>
      </c>
      <c r="K314">
        <v>651818</v>
      </c>
      <c r="L314" t="s">
        <v>112</v>
      </c>
      <c r="M314" t="s">
        <v>104</v>
      </c>
      <c r="N314" t="s">
        <v>57</v>
      </c>
      <c r="O314" s="1">
        <v>45024</v>
      </c>
      <c r="Q314" s="1">
        <v>45969</v>
      </c>
      <c r="R314" s="2">
        <v>75.44</v>
      </c>
      <c r="S314">
        <v>1</v>
      </c>
      <c r="T314" t="s">
        <v>58</v>
      </c>
      <c r="U314" t="s">
        <v>359</v>
      </c>
      <c r="V314" s="3">
        <v>0.1</v>
      </c>
      <c r="W314" s="2">
        <v>0</v>
      </c>
      <c r="X314">
        <v>0</v>
      </c>
      <c r="Y314" t="s">
        <v>214</v>
      </c>
      <c r="Z314" t="s">
        <v>360</v>
      </c>
      <c r="AA314">
        <v>0</v>
      </c>
      <c r="AB314" s="2">
        <v>0</v>
      </c>
      <c r="AC314" s="2">
        <v>0</v>
      </c>
      <c r="AD314" s="3">
        <v>0</v>
      </c>
      <c r="AE314" s="2">
        <v>0</v>
      </c>
      <c r="AF314" s="2">
        <v>0</v>
      </c>
      <c r="AG314" s="2">
        <v>0</v>
      </c>
      <c r="AH314" s="2">
        <v>0</v>
      </c>
      <c r="AI314" s="2">
        <v>0</v>
      </c>
      <c r="AJ314" s="2">
        <v>0</v>
      </c>
      <c r="AK314" s="2">
        <v>0</v>
      </c>
      <c r="AL314" s="2">
        <v>0</v>
      </c>
      <c r="AM314" s="2">
        <v>7.54</v>
      </c>
      <c r="AN314" s="2">
        <v>7.54</v>
      </c>
      <c r="AO314" s="2">
        <v>0</v>
      </c>
      <c r="AP314" s="2">
        <v>0</v>
      </c>
      <c r="AQ314" s="2">
        <v>0</v>
      </c>
    </row>
    <row r="315" spans="1:43" x14ac:dyDescent="0.25">
      <c r="A315" s="1">
        <v>45936</v>
      </c>
      <c r="B315" t="s">
        <v>48</v>
      </c>
      <c r="C315">
        <v>649163</v>
      </c>
      <c r="D315">
        <v>2018434794</v>
      </c>
      <c r="E315" t="s">
        <v>572</v>
      </c>
      <c r="F315" t="s">
        <v>573</v>
      </c>
      <c r="G315" t="s">
        <v>51</v>
      </c>
      <c r="H315" t="s">
        <v>88</v>
      </c>
      <c r="I315" t="s">
        <v>292</v>
      </c>
      <c r="J315" t="s">
        <v>536</v>
      </c>
      <c r="K315">
        <v>673059</v>
      </c>
      <c r="L315" t="s">
        <v>80</v>
      </c>
      <c r="M315" t="s">
        <v>81</v>
      </c>
      <c r="N315" t="s">
        <v>57</v>
      </c>
      <c r="O315" s="1">
        <v>45047</v>
      </c>
      <c r="Q315" s="1">
        <v>45962</v>
      </c>
      <c r="R315" s="2">
        <v>25.73</v>
      </c>
      <c r="S315">
        <v>1</v>
      </c>
      <c r="T315" t="s">
        <v>58</v>
      </c>
      <c r="U315" t="s">
        <v>359</v>
      </c>
      <c r="V315" s="3">
        <v>0.15</v>
      </c>
      <c r="W315" s="2">
        <v>0</v>
      </c>
      <c r="X315">
        <v>0</v>
      </c>
      <c r="Y315" t="s">
        <v>214</v>
      </c>
      <c r="Z315" t="s">
        <v>360</v>
      </c>
      <c r="AA315">
        <v>0</v>
      </c>
      <c r="AB315" s="2">
        <v>0</v>
      </c>
      <c r="AC315" s="2">
        <v>0</v>
      </c>
      <c r="AD315" s="3">
        <v>0</v>
      </c>
      <c r="AE315" s="2">
        <v>0</v>
      </c>
      <c r="AF315" s="2">
        <v>0</v>
      </c>
      <c r="AG315" s="2">
        <v>0</v>
      </c>
      <c r="AH315" s="2">
        <v>0</v>
      </c>
      <c r="AI315" s="2">
        <v>0</v>
      </c>
      <c r="AJ315" s="2">
        <v>0</v>
      </c>
      <c r="AK315" s="2">
        <v>0</v>
      </c>
      <c r="AL315" s="2">
        <v>0</v>
      </c>
      <c r="AM315" s="2">
        <v>3.86</v>
      </c>
      <c r="AN315" s="2">
        <v>3.86</v>
      </c>
      <c r="AO315" s="2">
        <v>0</v>
      </c>
      <c r="AP315" s="2">
        <v>0</v>
      </c>
      <c r="AQ315" s="2">
        <v>0</v>
      </c>
    </row>
    <row r="316" spans="1:43" x14ac:dyDescent="0.25">
      <c r="A316" s="1">
        <v>45936</v>
      </c>
      <c r="B316" t="s">
        <v>48</v>
      </c>
      <c r="C316">
        <v>649163</v>
      </c>
      <c r="D316">
        <v>2018462892</v>
      </c>
      <c r="E316" t="s">
        <v>650</v>
      </c>
      <c r="F316" t="s">
        <v>651</v>
      </c>
      <c r="G316" t="s">
        <v>51</v>
      </c>
      <c r="H316" t="s">
        <v>52</v>
      </c>
      <c r="I316" t="s">
        <v>292</v>
      </c>
      <c r="J316" t="s">
        <v>536</v>
      </c>
      <c r="K316">
        <v>651818</v>
      </c>
      <c r="L316" t="s">
        <v>112</v>
      </c>
      <c r="M316" t="s">
        <v>104</v>
      </c>
      <c r="N316" t="s">
        <v>57</v>
      </c>
      <c r="O316" s="1">
        <v>45052</v>
      </c>
      <c r="Q316" s="1">
        <v>45967</v>
      </c>
      <c r="R316" s="2">
        <v>51.46</v>
      </c>
      <c r="S316">
        <v>1</v>
      </c>
      <c r="T316" t="s">
        <v>58</v>
      </c>
      <c r="U316" t="s">
        <v>359</v>
      </c>
      <c r="V316" s="3">
        <v>0.15</v>
      </c>
      <c r="W316" s="2">
        <v>0</v>
      </c>
      <c r="X316">
        <v>0</v>
      </c>
      <c r="Y316" t="s">
        <v>214</v>
      </c>
      <c r="Z316" t="s">
        <v>360</v>
      </c>
      <c r="AA316">
        <v>0</v>
      </c>
      <c r="AB316" s="2">
        <v>0</v>
      </c>
      <c r="AC316" s="2">
        <v>0</v>
      </c>
      <c r="AD316" s="3">
        <v>0</v>
      </c>
      <c r="AE316" s="2">
        <v>0</v>
      </c>
      <c r="AF316" s="2">
        <v>0</v>
      </c>
      <c r="AG316" s="2">
        <v>0</v>
      </c>
      <c r="AH316" s="2">
        <v>0</v>
      </c>
      <c r="AI316" s="2">
        <v>0</v>
      </c>
      <c r="AJ316" s="2">
        <v>0</v>
      </c>
      <c r="AK316" s="2">
        <v>0</v>
      </c>
      <c r="AL316" s="2">
        <v>0</v>
      </c>
      <c r="AM316" s="2">
        <v>7.72</v>
      </c>
      <c r="AN316" s="2">
        <v>7.72</v>
      </c>
      <c r="AO316" s="2">
        <v>0</v>
      </c>
      <c r="AP316" s="2">
        <v>0</v>
      </c>
      <c r="AQ316" s="2">
        <v>0</v>
      </c>
    </row>
    <row r="317" spans="1:43" x14ac:dyDescent="0.25">
      <c r="A317" s="1">
        <v>45936</v>
      </c>
      <c r="B317" t="s">
        <v>48</v>
      </c>
      <c r="C317">
        <v>649163</v>
      </c>
      <c r="D317">
        <v>2018514897</v>
      </c>
      <c r="E317" t="s">
        <v>652</v>
      </c>
      <c r="F317" t="s">
        <v>653</v>
      </c>
      <c r="G317" t="s">
        <v>51</v>
      </c>
      <c r="H317" t="s">
        <v>323</v>
      </c>
      <c r="I317" t="s">
        <v>292</v>
      </c>
      <c r="J317" t="s">
        <v>536</v>
      </c>
      <c r="K317">
        <v>651818</v>
      </c>
      <c r="L317" t="s">
        <v>112</v>
      </c>
      <c r="M317" t="s">
        <v>104</v>
      </c>
      <c r="N317" t="s">
        <v>57</v>
      </c>
      <c r="O317" s="1">
        <v>45052</v>
      </c>
      <c r="Q317" s="1">
        <v>45967</v>
      </c>
      <c r="R317" s="2">
        <v>25.73</v>
      </c>
      <c r="S317">
        <v>1</v>
      </c>
      <c r="T317" t="s">
        <v>58</v>
      </c>
      <c r="U317" t="s">
        <v>359</v>
      </c>
      <c r="V317" s="3">
        <v>0.15</v>
      </c>
      <c r="W317" s="2">
        <v>0</v>
      </c>
      <c r="X317">
        <v>0</v>
      </c>
      <c r="Y317" t="s">
        <v>214</v>
      </c>
      <c r="Z317" t="s">
        <v>360</v>
      </c>
      <c r="AA317">
        <v>0</v>
      </c>
      <c r="AB317" s="2">
        <v>0</v>
      </c>
      <c r="AC317" s="2">
        <v>0</v>
      </c>
      <c r="AD317" s="3">
        <v>0</v>
      </c>
      <c r="AE317" s="2">
        <v>0</v>
      </c>
      <c r="AF317" s="2">
        <v>0</v>
      </c>
      <c r="AG317" s="2">
        <v>0</v>
      </c>
      <c r="AH317" s="2">
        <v>0</v>
      </c>
      <c r="AI317" s="2">
        <v>0</v>
      </c>
      <c r="AJ317" s="2">
        <v>0</v>
      </c>
      <c r="AK317" s="2">
        <v>0</v>
      </c>
      <c r="AL317" s="2">
        <v>0</v>
      </c>
      <c r="AM317" s="2">
        <v>3.86</v>
      </c>
      <c r="AN317" s="2">
        <v>3.86</v>
      </c>
      <c r="AO317" s="2">
        <v>0</v>
      </c>
      <c r="AP317" s="2">
        <v>0</v>
      </c>
      <c r="AQ317" s="2">
        <v>0</v>
      </c>
    </row>
    <row r="318" spans="1:43" x14ac:dyDescent="0.25">
      <c r="A318" s="1">
        <v>45936</v>
      </c>
      <c r="B318" t="s">
        <v>48</v>
      </c>
      <c r="C318">
        <v>649163</v>
      </c>
      <c r="D318">
        <v>2018775436</v>
      </c>
      <c r="E318" t="s">
        <v>581</v>
      </c>
      <c r="F318" t="s">
        <v>132</v>
      </c>
      <c r="G318" t="s">
        <v>51</v>
      </c>
      <c r="H318" t="s">
        <v>247</v>
      </c>
      <c r="I318" t="s">
        <v>292</v>
      </c>
      <c r="J318" t="s">
        <v>293</v>
      </c>
      <c r="K318">
        <v>673059</v>
      </c>
      <c r="L318" t="s">
        <v>80</v>
      </c>
      <c r="M318" t="s">
        <v>81</v>
      </c>
      <c r="N318" t="s">
        <v>57</v>
      </c>
      <c r="O318" s="1">
        <v>45078</v>
      </c>
      <c r="Q318" s="1">
        <v>45962</v>
      </c>
      <c r="R318" s="2">
        <v>75.56</v>
      </c>
      <c r="S318">
        <v>1</v>
      </c>
      <c r="T318" t="s">
        <v>58</v>
      </c>
      <c r="U318" t="s">
        <v>359</v>
      </c>
      <c r="V318" s="3">
        <v>0.15</v>
      </c>
      <c r="W318" s="2">
        <v>0</v>
      </c>
      <c r="X318">
        <v>0</v>
      </c>
      <c r="Y318" t="s">
        <v>214</v>
      </c>
      <c r="Z318" t="s">
        <v>360</v>
      </c>
      <c r="AA318">
        <v>0</v>
      </c>
      <c r="AB318" s="2">
        <v>0</v>
      </c>
      <c r="AC318" s="2">
        <v>0</v>
      </c>
      <c r="AD318" s="3">
        <v>0</v>
      </c>
      <c r="AE318" s="2">
        <v>0</v>
      </c>
      <c r="AF318" s="2">
        <v>0</v>
      </c>
      <c r="AG318" s="2">
        <v>0</v>
      </c>
      <c r="AH318" s="2">
        <v>0</v>
      </c>
      <c r="AI318" s="2">
        <v>0</v>
      </c>
      <c r="AJ318" s="2">
        <v>0</v>
      </c>
      <c r="AK318" s="2">
        <v>0</v>
      </c>
      <c r="AL318" s="2">
        <v>0</v>
      </c>
      <c r="AM318" s="2">
        <v>11.33</v>
      </c>
      <c r="AN318" s="2">
        <v>11.33</v>
      </c>
      <c r="AO318" s="2">
        <v>0</v>
      </c>
      <c r="AP318" s="2">
        <v>0</v>
      </c>
      <c r="AQ318" s="2">
        <v>0</v>
      </c>
    </row>
    <row r="319" spans="1:43" x14ac:dyDescent="0.25">
      <c r="A319" s="1">
        <v>45936</v>
      </c>
      <c r="B319" t="s">
        <v>48</v>
      </c>
      <c r="C319">
        <v>649163</v>
      </c>
      <c r="D319">
        <v>2018854837</v>
      </c>
      <c r="E319" t="s">
        <v>582</v>
      </c>
      <c r="F319" t="s">
        <v>583</v>
      </c>
      <c r="G319" t="s">
        <v>51</v>
      </c>
      <c r="I319" t="s">
        <v>292</v>
      </c>
      <c r="J319" t="s">
        <v>293</v>
      </c>
      <c r="K319">
        <v>673059</v>
      </c>
      <c r="L319" t="s">
        <v>80</v>
      </c>
      <c r="M319" t="s">
        <v>81</v>
      </c>
      <c r="N319" t="s">
        <v>57</v>
      </c>
      <c r="O319" s="1">
        <v>45078</v>
      </c>
      <c r="Q319" s="1">
        <v>45962</v>
      </c>
      <c r="R319" s="2">
        <v>35.369999999999997</v>
      </c>
      <c r="S319">
        <v>1</v>
      </c>
      <c r="T319" t="s">
        <v>58</v>
      </c>
      <c r="U319" t="s">
        <v>359</v>
      </c>
      <c r="V319" s="3">
        <v>0.15</v>
      </c>
      <c r="W319" s="2">
        <v>0</v>
      </c>
      <c r="X319">
        <v>0</v>
      </c>
      <c r="Y319" t="s">
        <v>214</v>
      </c>
      <c r="Z319" t="s">
        <v>360</v>
      </c>
      <c r="AA319">
        <v>0</v>
      </c>
      <c r="AB319" s="2">
        <v>0</v>
      </c>
      <c r="AC319" s="2">
        <v>0</v>
      </c>
      <c r="AD319" s="3">
        <v>0</v>
      </c>
      <c r="AE319" s="2">
        <v>0</v>
      </c>
      <c r="AF319" s="2">
        <v>0</v>
      </c>
      <c r="AG319" s="2">
        <v>0</v>
      </c>
      <c r="AH319" s="2">
        <v>0</v>
      </c>
      <c r="AI319" s="2">
        <v>0</v>
      </c>
      <c r="AJ319" s="2">
        <v>0</v>
      </c>
      <c r="AK319" s="2">
        <v>0</v>
      </c>
      <c r="AL319" s="2">
        <v>0</v>
      </c>
      <c r="AM319" s="2">
        <v>5.31</v>
      </c>
      <c r="AN319" s="2">
        <v>5.31</v>
      </c>
      <c r="AO319" s="2">
        <v>0</v>
      </c>
      <c r="AP319" s="2">
        <v>0</v>
      </c>
      <c r="AQ319" s="2">
        <v>0</v>
      </c>
    </row>
    <row r="320" spans="1:43" x14ac:dyDescent="0.25">
      <c r="A320" s="1">
        <v>45936</v>
      </c>
      <c r="B320" t="s">
        <v>48</v>
      </c>
      <c r="C320">
        <v>649163</v>
      </c>
      <c r="D320">
        <v>2018855163</v>
      </c>
      <c r="E320" t="s">
        <v>582</v>
      </c>
      <c r="F320" t="s">
        <v>441</v>
      </c>
      <c r="G320" t="s">
        <v>51</v>
      </c>
      <c r="I320" t="s">
        <v>292</v>
      </c>
      <c r="J320" t="s">
        <v>293</v>
      </c>
      <c r="K320">
        <v>673059</v>
      </c>
      <c r="L320" t="s">
        <v>80</v>
      </c>
      <c r="M320" t="s">
        <v>81</v>
      </c>
      <c r="N320" t="s">
        <v>57</v>
      </c>
      <c r="O320" s="1">
        <v>45078</v>
      </c>
      <c r="Q320" s="1">
        <v>45962</v>
      </c>
      <c r="R320" s="2">
        <v>97.89</v>
      </c>
      <c r="S320">
        <v>1</v>
      </c>
      <c r="T320" t="s">
        <v>58</v>
      </c>
      <c r="U320" t="s">
        <v>359</v>
      </c>
      <c r="V320" s="3">
        <v>0.15</v>
      </c>
      <c r="W320" s="2">
        <v>0</v>
      </c>
      <c r="X320">
        <v>0</v>
      </c>
      <c r="Y320" t="s">
        <v>214</v>
      </c>
      <c r="Z320" t="s">
        <v>360</v>
      </c>
      <c r="AA320">
        <v>0</v>
      </c>
      <c r="AB320" s="2">
        <v>0</v>
      </c>
      <c r="AC320" s="2">
        <v>0</v>
      </c>
      <c r="AD320" s="3">
        <v>0</v>
      </c>
      <c r="AE320" s="2">
        <v>0</v>
      </c>
      <c r="AF320" s="2">
        <v>0</v>
      </c>
      <c r="AG320" s="2">
        <v>0</v>
      </c>
      <c r="AH320" s="2">
        <v>0</v>
      </c>
      <c r="AI320" s="2">
        <v>0</v>
      </c>
      <c r="AJ320" s="2">
        <v>0</v>
      </c>
      <c r="AK320" s="2">
        <v>0</v>
      </c>
      <c r="AL320" s="2">
        <v>0</v>
      </c>
      <c r="AM320" s="2">
        <v>14.68</v>
      </c>
      <c r="AN320" s="2">
        <v>14.68</v>
      </c>
      <c r="AO320" s="2">
        <v>0</v>
      </c>
      <c r="AP320" s="2">
        <v>0</v>
      </c>
      <c r="AQ320" s="2">
        <v>0</v>
      </c>
    </row>
    <row r="321" spans="1:43" x14ac:dyDescent="0.25">
      <c r="A321" s="1">
        <v>45936</v>
      </c>
      <c r="B321" t="s">
        <v>48</v>
      </c>
      <c r="C321">
        <v>649163</v>
      </c>
      <c r="D321">
        <v>2018924838</v>
      </c>
      <c r="E321" t="s">
        <v>793</v>
      </c>
      <c r="F321" t="s">
        <v>205</v>
      </c>
      <c r="G321" t="s">
        <v>51</v>
      </c>
      <c r="H321" t="s">
        <v>105</v>
      </c>
      <c r="I321" t="s">
        <v>292</v>
      </c>
      <c r="J321" t="s">
        <v>536</v>
      </c>
      <c r="K321">
        <v>652037</v>
      </c>
      <c r="L321" t="s">
        <v>172</v>
      </c>
      <c r="M321" t="s">
        <v>173</v>
      </c>
      <c r="N321" t="s">
        <v>57</v>
      </c>
      <c r="O321" s="1">
        <v>45084</v>
      </c>
      <c r="Q321" s="1">
        <v>45968</v>
      </c>
      <c r="R321" s="2">
        <v>24.61</v>
      </c>
      <c r="S321">
        <v>1</v>
      </c>
      <c r="T321" t="s">
        <v>58</v>
      </c>
      <c r="U321" t="s">
        <v>359</v>
      </c>
      <c r="V321" s="3">
        <v>0.15</v>
      </c>
      <c r="W321" s="2">
        <v>0</v>
      </c>
      <c r="X321">
        <v>0</v>
      </c>
      <c r="Y321" t="s">
        <v>214</v>
      </c>
      <c r="Z321" t="s">
        <v>360</v>
      </c>
      <c r="AA321">
        <v>0</v>
      </c>
      <c r="AB321" s="2">
        <v>0</v>
      </c>
      <c r="AC321" s="2">
        <v>0</v>
      </c>
      <c r="AD321" s="3">
        <v>0</v>
      </c>
      <c r="AE321" s="2">
        <v>0</v>
      </c>
      <c r="AF321" s="2">
        <v>0</v>
      </c>
      <c r="AG321" s="2">
        <v>0</v>
      </c>
      <c r="AH321" s="2">
        <v>0</v>
      </c>
      <c r="AI321" s="2">
        <v>0</v>
      </c>
      <c r="AJ321" s="2">
        <v>0</v>
      </c>
      <c r="AK321" s="2">
        <v>0</v>
      </c>
      <c r="AL321" s="2">
        <v>0</v>
      </c>
      <c r="AM321" s="2">
        <v>3.69</v>
      </c>
      <c r="AN321" s="2">
        <v>3.69</v>
      </c>
      <c r="AO321" s="2">
        <v>0</v>
      </c>
      <c r="AP321" s="2">
        <v>0</v>
      </c>
      <c r="AQ321" s="2">
        <v>0</v>
      </c>
    </row>
    <row r="322" spans="1:43" x14ac:dyDescent="0.25">
      <c r="A322" s="1">
        <v>45936</v>
      </c>
      <c r="B322" t="s">
        <v>48</v>
      </c>
      <c r="C322">
        <v>649163</v>
      </c>
      <c r="D322">
        <v>2018961065</v>
      </c>
      <c r="E322" t="s">
        <v>402</v>
      </c>
      <c r="F322" t="s">
        <v>794</v>
      </c>
      <c r="G322" t="s">
        <v>51</v>
      </c>
      <c r="H322" t="s">
        <v>105</v>
      </c>
      <c r="I322" t="s">
        <v>292</v>
      </c>
      <c r="J322" t="s">
        <v>536</v>
      </c>
      <c r="K322">
        <v>652037</v>
      </c>
      <c r="L322" t="s">
        <v>172</v>
      </c>
      <c r="M322" t="s">
        <v>173</v>
      </c>
      <c r="N322" t="s">
        <v>57</v>
      </c>
      <c r="O322" s="1">
        <v>45086</v>
      </c>
      <c r="Q322" s="1">
        <v>45970</v>
      </c>
      <c r="R322" s="2">
        <v>24.61</v>
      </c>
      <c r="S322">
        <v>1</v>
      </c>
      <c r="T322" t="s">
        <v>58</v>
      </c>
      <c r="U322" t="s">
        <v>359</v>
      </c>
      <c r="V322" s="3">
        <v>0.15</v>
      </c>
      <c r="W322" s="2">
        <v>0</v>
      </c>
      <c r="X322">
        <v>0</v>
      </c>
      <c r="Y322" t="s">
        <v>214</v>
      </c>
      <c r="Z322" t="s">
        <v>360</v>
      </c>
      <c r="AA322">
        <v>0</v>
      </c>
      <c r="AB322" s="2">
        <v>0</v>
      </c>
      <c r="AC322" s="2">
        <v>0</v>
      </c>
      <c r="AD322" s="3">
        <v>0</v>
      </c>
      <c r="AE322" s="2">
        <v>0</v>
      </c>
      <c r="AF322" s="2">
        <v>0</v>
      </c>
      <c r="AG322" s="2">
        <v>0</v>
      </c>
      <c r="AH322" s="2">
        <v>0</v>
      </c>
      <c r="AI322" s="2">
        <v>0</v>
      </c>
      <c r="AJ322" s="2">
        <v>0</v>
      </c>
      <c r="AK322" s="2">
        <v>0</v>
      </c>
      <c r="AL322" s="2">
        <v>0</v>
      </c>
      <c r="AM322" s="2">
        <v>3.69</v>
      </c>
      <c r="AN322" s="2">
        <v>3.69</v>
      </c>
      <c r="AO322" s="2">
        <v>0</v>
      </c>
      <c r="AP322" s="2">
        <v>0</v>
      </c>
      <c r="AQ322" s="2">
        <v>0</v>
      </c>
    </row>
    <row r="323" spans="1:43" x14ac:dyDescent="0.25">
      <c r="A323" s="1">
        <v>45936</v>
      </c>
      <c r="B323" t="s">
        <v>48</v>
      </c>
      <c r="C323">
        <v>649163</v>
      </c>
      <c r="D323">
        <v>2018966124</v>
      </c>
      <c r="E323" t="s">
        <v>795</v>
      </c>
      <c r="F323" t="s">
        <v>796</v>
      </c>
      <c r="G323" t="s">
        <v>51</v>
      </c>
      <c r="H323" t="s">
        <v>105</v>
      </c>
      <c r="I323" t="s">
        <v>292</v>
      </c>
      <c r="J323" t="s">
        <v>536</v>
      </c>
      <c r="K323">
        <v>652037</v>
      </c>
      <c r="L323" t="s">
        <v>172</v>
      </c>
      <c r="M323" t="s">
        <v>173</v>
      </c>
      <c r="N323" t="s">
        <v>57</v>
      </c>
      <c r="O323" s="1">
        <v>45087</v>
      </c>
      <c r="Q323" s="1">
        <v>45971</v>
      </c>
      <c r="R323" s="2">
        <v>24.61</v>
      </c>
      <c r="S323">
        <v>1</v>
      </c>
      <c r="T323" t="s">
        <v>58</v>
      </c>
      <c r="U323" t="s">
        <v>359</v>
      </c>
      <c r="V323" s="3">
        <v>0.15</v>
      </c>
      <c r="W323" s="2">
        <v>0</v>
      </c>
      <c r="X323">
        <v>0</v>
      </c>
      <c r="Y323" t="s">
        <v>214</v>
      </c>
      <c r="Z323" t="s">
        <v>360</v>
      </c>
      <c r="AA323">
        <v>0</v>
      </c>
      <c r="AB323" s="2">
        <v>0</v>
      </c>
      <c r="AC323" s="2">
        <v>0</v>
      </c>
      <c r="AD323" s="3">
        <v>0</v>
      </c>
      <c r="AE323" s="2">
        <v>0</v>
      </c>
      <c r="AF323" s="2">
        <v>0</v>
      </c>
      <c r="AG323" s="2">
        <v>0</v>
      </c>
      <c r="AH323" s="2">
        <v>0</v>
      </c>
      <c r="AI323" s="2">
        <v>0</v>
      </c>
      <c r="AJ323" s="2">
        <v>0</v>
      </c>
      <c r="AK323" s="2">
        <v>0</v>
      </c>
      <c r="AL323" s="2">
        <v>0</v>
      </c>
      <c r="AM323" s="2">
        <v>3.69</v>
      </c>
      <c r="AN323" s="2">
        <v>3.69</v>
      </c>
      <c r="AO323" s="2">
        <v>0</v>
      </c>
      <c r="AP323" s="2">
        <v>0</v>
      </c>
      <c r="AQ323" s="2">
        <v>0</v>
      </c>
    </row>
    <row r="324" spans="1:43" x14ac:dyDescent="0.25">
      <c r="A324" s="1">
        <v>45936</v>
      </c>
      <c r="B324" t="s">
        <v>48</v>
      </c>
      <c r="C324">
        <v>649163</v>
      </c>
      <c r="D324">
        <v>2019496534</v>
      </c>
      <c r="E324" t="s">
        <v>797</v>
      </c>
      <c r="F324" t="s">
        <v>798</v>
      </c>
      <c r="G324" t="s">
        <v>51</v>
      </c>
      <c r="H324" t="s">
        <v>101</v>
      </c>
      <c r="I324" t="s">
        <v>292</v>
      </c>
      <c r="J324" t="s">
        <v>293</v>
      </c>
      <c r="K324">
        <v>651818</v>
      </c>
      <c r="L324" t="s">
        <v>112</v>
      </c>
      <c r="M324" t="s">
        <v>104</v>
      </c>
      <c r="N324" t="s">
        <v>57</v>
      </c>
      <c r="O324" s="1">
        <v>45143</v>
      </c>
      <c r="Q324" s="1">
        <v>45966</v>
      </c>
      <c r="R324" s="2">
        <v>87.95</v>
      </c>
      <c r="S324">
        <v>1</v>
      </c>
      <c r="T324" t="s">
        <v>58</v>
      </c>
      <c r="U324" t="s">
        <v>359</v>
      </c>
      <c r="V324" s="3">
        <v>0.15</v>
      </c>
      <c r="W324" s="2">
        <v>0</v>
      </c>
      <c r="X324">
        <v>0</v>
      </c>
      <c r="Y324" t="s">
        <v>214</v>
      </c>
      <c r="Z324" t="s">
        <v>360</v>
      </c>
      <c r="AA324">
        <v>0</v>
      </c>
      <c r="AB324" s="2">
        <v>0</v>
      </c>
      <c r="AC324" s="2">
        <v>0</v>
      </c>
      <c r="AD324" s="3">
        <v>0</v>
      </c>
      <c r="AE324" s="2">
        <v>0</v>
      </c>
      <c r="AF324" s="2">
        <v>0</v>
      </c>
      <c r="AG324" s="2">
        <v>0</v>
      </c>
      <c r="AH324" s="2">
        <v>0</v>
      </c>
      <c r="AI324" s="2">
        <v>0</v>
      </c>
      <c r="AJ324" s="2">
        <v>0</v>
      </c>
      <c r="AK324" s="2">
        <v>0</v>
      </c>
      <c r="AL324" s="2">
        <v>0</v>
      </c>
      <c r="AM324" s="2">
        <v>13.19</v>
      </c>
      <c r="AN324" s="2">
        <v>13.19</v>
      </c>
      <c r="AO324" s="2">
        <v>0</v>
      </c>
      <c r="AP324" s="2">
        <v>0</v>
      </c>
      <c r="AQ324" s="2">
        <v>0</v>
      </c>
    </row>
    <row r="325" spans="1:43" x14ac:dyDescent="0.25">
      <c r="A325" s="1">
        <v>45936</v>
      </c>
      <c r="B325" t="s">
        <v>48</v>
      </c>
      <c r="C325">
        <v>649163</v>
      </c>
      <c r="D325">
        <v>2020617793</v>
      </c>
      <c r="E325" t="s">
        <v>799</v>
      </c>
      <c r="F325" t="s">
        <v>800</v>
      </c>
      <c r="G325" t="s">
        <v>51</v>
      </c>
      <c r="H325" t="s">
        <v>801</v>
      </c>
      <c r="I325" t="s">
        <v>292</v>
      </c>
      <c r="J325" t="s">
        <v>295</v>
      </c>
      <c r="K325">
        <v>652037</v>
      </c>
      <c r="L325" t="s">
        <v>172</v>
      </c>
      <c r="M325" t="s">
        <v>173</v>
      </c>
      <c r="N325" t="s">
        <v>57</v>
      </c>
      <c r="O325" s="1">
        <v>45231</v>
      </c>
      <c r="Q325" s="1">
        <v>45962</v>
      </c>
      <c r="R325" s="2">
        <v>76.17</v>
      </c>
      <c r="S325">
        <v>1</v>
      </c>
      <c r="T325" t="s">
        <v>58</v>
      </c>
      <c r="U325" t="s">
        <v>359</v>
      </c>
      <c r="V325" s="3">
        <v>0.1</v>
      </c>
      <c r="W325" s="2">
        <v>0</v>
      </c>
      <c r="X325">
        <v>0</v>
      </c>
      <c r="Y325" t="s">
        <v>214</v>
      </c>
      <c r="Z325" t="s">
        <v>360</v>
      </c>
      <c r="AA325">
        <v>0</v>
      </c>
      <c r="AB325" s="2">
        <v>0</v>
      </c>
      <c r="AC325" s="2">
        <v>0</v>
      </c>
      <c r="AD325" s="3">
        <v>0</v>
      </c>
      <c r="AE325" s="2">
        <v>0</v>
      </c>
      <c r="AF325" s="2">
        <v>0</v>
      </c>
      <c r="AG325" s="2">
        <v>0</v>
      </c>
      <c r="AH325" s="2">
        <v>0</v>
      </c>
      <c r="AI325" s="2">
        <v>0</v>
      </c>
      <c r="AJ325" s="2">
        <v>0</v>
      </c>
      <c r="AK325" s="2">
        <v>0</v>
      </c>
      <c r="AL325" s="2">
        <v>0</v>
      </c>
      <c r="AM325" s="2">
        <v>7.62</v>
      </c>
      <c r="AN325" s="2">
        <v>7.62</v>
      </c>
      <c r="AO325" s="2">
        <v>0</v>
      </c>
      <c r="AP325" s="2">
        <v>0</v>
      </c>
      <c r="AQ325" s="2">
        <v>0</v>
      </c>
    </row>
    <row r="326" spans="1:43" x14ac:dyDescent="0.25">
      <c r="A326" s="1">
        <v>45936</v>
      </c>
      <c r="B326" t="s">
        <v>48</v>
      </c>
      <c r="C326">
        <v>649163</v>
      </c>
      <c r="D326">
        <v>2020736331</v>
      </c>
      <c r="E326" t="s">
        <v>611</v>
      </c>
      <c r="F326" t="s">
        <v>612</v>
      </c>
      <c r="G326" t="s">
        <v>51</v>
      </c>
      <c r="H326" t="s">
        <v>70</v>
      </c>
      <c r="I326" t="s">
        <v>292</v>
      </c>
      <c r="J326" t="s">
        <v>536</v>
      </c>
      <c r="K326">
        <v>649164</v>
      </c>
      <c r="L326" t="s">
        <v>211</v>
      </c>
      <c r="M326" t="s">
        <v>212</v>
      </c>
      <c r="N326" t="s">
        <v>57</v>
      </c>
      <c r="O326" s="1">
        <v>45261</v>
      </c>
      <c r="Q326" s="1">
        <v>45962</v>
      </c>
      <c r="R326" s="2">
        <v>25.73</v>
      </c>
      <c r="S326">
        <v>1</v>
      </c>
      <c r="T326" t="s">
        <v>58</v>
      </c>
      <c r="U326" t="s">
        <v>359</v>
      </c>
      <c r="V326" s="3">
        <v>0.15</v>
      </c>
      <c r="W326" s="2">
        <v>0</v>
      </c>
      <c r="X326">
        <v>0</v>
      </c>
      <c r="Y326" t="s">
        <v>214</v>
      </c>
      <c r="Z326" t="s">
        <v>360</v>
      </c>
      <c r="AA326">
        <v>0</v>
      </c>
      <c r="AB326" s="2">
        <v>0</v>
      </c>
      <c r="AC326" s="2">
        <v>0</v>
      </c>
      <c r="AD326" s="3">
        <v>0</v>
      </c>
      <c r="AE326" s="2">
        <v>0</v>
      </c>
      <c r="AF326" s="2">
        <v>0</v>
      </c>
      <c r="AG326" s="2">
        <v>0</v>
      </c>
      <c r="AH326" s="2">
        <v>0</v>
      </c>
      <c r="AI326" s="2">
        <v>0</v>
      </c>
      <c r="AJ326" s="2">
        <v>0</v>
      </c>
      <c r="AK326" s="2">
        <v>0</v>
      </c>
      <c r="AL326" s="2">
        <v>0</v>
      </c>
      <c r="AM326" s="2">
        <v>3.86</v>
      </c>
      <c r="AN326" s="2">
        <v>3.86</v>
      </c>
      <c r="AO326" s="2">
        <v>0</v>
      </c>
      <c r="AP326" s="2">
        <v>0</v>
      </c>
      <c r="AQ326" s="2">
        <v>0</v>
      </c>
    </row>
    <row r="327" spans="1:43" x14ac:dyDescent="0.25">
      <c r="A327" s="1">
        <v>45936</v>
      </c>
      <c r="B327" t="s">
        <v>48</v>
      </c>
      <c r="C327">
        <v>649163</v>
      </c>
      <c r="D327">
        <v>2020737470</v>
      </c>
      <c r="E327" t="s">
        <v>802</v>
      </c>
      <c r="F327" t="s">
        <v>207</v>
      </c>
      <c r="G327" t="s">
        <v>51</v>
      </c>
      <c r="H327" t="s">
        <v>70</v>
      </c>
      <c r="I327" t="s">
        <v>292</v>
      </c>
      <c r="J327" t="s">
        <v>295</v>
      </c>
      <c r="K327">
        <v>702406</v>
      </c>
      <c r="L327" t="s">
        <v>803</v>
      </c>
      <c r="M327" t="s">
        <v>746</v>
      </c>
      <c r="N327" t="s">
        <v>57</v>
      </c>
      <c r="O327" s="1">
        <v>45240</v>
      </c>
      <c r="Q327" s="1">
        <v>45971</v>
      </c>
      <c r="R327" s="2">
        <v>123.44</v>
      </c>
      <c r="S327">
        <v>1</v>
      </c>
      <c r="T327" t="s">
        <v>58</v>
      </c>
      <c r="U327" t="s">
        <v>359</v>
      </c>
      <c r="V327" s="3">
        <v>0.1</v>
      </c>
      <c r="W327" s="2">
        <v>0</v>
      </c>
      <c r="X327">
        <v>0</v>
      </c>
      <c r="Y327" t="s">
        <v>214</v>
      </c>
      <c r="Z327" t="s">
        <v>360</v>
      </c>
      <c r="AA327">
        <v>0</v>
      </c>
      <c r="AB327" s="2">
        <v>0</v>
      </c>
      <c r="AC327" s="2">
        <v>0</v>
      </c>
      <c r="AD327" s="3">
        <v>0</v>
      </c>
      <c r="AE327" s="2">
        <v>0</v>
      </c>
      <c r="AF327" s="2">
        <v>0</v>
      </c>
      <c r="AG327" s="2">
        <v>0</v>
      </c>
      <c r="AH327" s="2">
        <v>0</v>
      </c>
      <c r="AI327" s="2">
        <v>0</v>
      </c>
      <c r="AJ327" s="2">
        <v>0</v>
      </c>
      <c r="AK327" s="2">
        <v>0</v>
      </c>
      <c r="AL327" s="2">
        <v>0</v>
      </c>
      <c r="AM327" s="2">
        <v>12.34</v>
      </c>
      <c r="AN327" s="2">
        <v>12.34</v>
      </c>
      <c r="AO327" s="2">
        <v>0</v>
      </c>
      <c r="AP327" s="2">
        <v>0</v>
      </c>
      <c r="AQ327" s="2">
        <v>0</v>
      </c>
    </row>
    <row r="328" spans="1:43" x14ac:dyDescent="0.25">
      <c r="A328" s="1">
        <v>45936</v>
      </c>
      <c r="B328" t="s">
        <v>48</v>
      </c>
      <c r="C328">
        <v>649163</v>
      </c>
      <c r="D328">
        <v>2020855630</v>
      </c>
      <c r="E328" t="s">
        <v>657</v>
      </c>
      <c r="F328" t="s">
        <v>658</v>
      </c>
      <c r="G328" t="s">
        <v>51</v>
      </c>
      <c r="H328" t="s">
        <v>52</v>
      </c>
      <c r="I328" t="s">
        <v>292</v>
      </c>
      <c r="J328" t="s">
        <v>295</v>
      </c>
      <c r="K328">
        <v>651818</v>
      </c>
      <c r="L328" t="s">
        <v>112</v>
      </c>
      <c r="M328" t="s">
        <v>104</v>
      </c>
      <c r="N328" t="s">
        <v>57</v>
      </c>
      <c r="O328" s="1">
        <v>45265</v>
      </c>
      <c r="Q328" s="1">
        <v>45966</v>
      </c>
      <c r="R328" s="2">
        <v>31.67</v>
      </c>
      <c r="S328">
        <v>1</v>
      </c>
      <c r="T328" t="s">
        <v>58</v>
      </c>
      <c r="U328" t="s">
        <v>359</v>
      </c>
      <c r="V328" s="3">
        <v>0.1</v>
      </c>
      <c r="W328" s="2">
        <v>0</v>
      </c>
      <c r="X328">
        <v>0</v>
      </c>
      <c r="Y328" t="s">
        <v>214</v>
      </c>
      <c r="Z328" t="s">
        <v>360</v>
      </c>
      <c r="AA328">
        <v>0</v>
      </c>
      <c r="AB328" s="2">
        <v>0</v>
      </c>
      <c r="AC328" s="2">
        <v>0</v>
      </c>
      <c r="AD328" s="3">
        <v>0</v>
      </c>
      <c r="AE328" s="2">
        <v>0</v>
      </c>
      <c r="AF328" s="2">
        <v>0</v>
      </c>
      <c r="AG328" s="2">
        <v>0</v>
      </c>
      <c r="AH328" s="2">
        <v>0</v>
      </c>
      <c r="AI328" s="2">
        <v>0</v>
      </c>
      <c r="AJ328" s="2">
        <v>0</v>
      </c>
      <c r="AK328" s="2">
        <v>0</v>
      </c>
      <c r="AL328" s="2">
        <v>0</v>
      </c>
      <c r="AM328" s="2">
        <v>3.17</v>
      </c>
      <c r="AN328" s="2">
        <v>3.17</v>
      </c>
      <c r="AO328" s="2">
        <v>0</v>
      </c>
      <c r="AP328" s="2">
        <v>0</v>
      </c>
      <c r="AQ328" s="2">
        <v>0</v>
      </c>
    </row>
    <row r="329" spans="1:43" x14ac:dyDescent="0.25">
      <c r="A329" s="1">
        <v>45936</v>
      </c>
      <c r="B329" t="s">
        <v>48</v>
      </c>
      <c r="C329">
        <v>649163</v>
      </c>
      <c r="D329">
        <v>2021092887</v>
      </c>
      <c r="E329" t="s">
        <v>659</v>
      </c>
      <c r="F329" t="s">
        <v>660</v>
      </c>
      <c r="G329" t="s">
        <v>51</v>
      </c>
      <c r="H329" t="s">
        <v>52</v>
      </c>
      <c r="I329" t="s">
        <v>292</v>
      </c>
      <c r="J329" t="s">
        <v>295</v>
      </c>
      <c r="K329">
        <v>651818</v>
      </c>
      <c r="L329" t="s">
        <v>112</v>
      </c>
      <c r="M329" t="s">
        <v>104</v>
      </c>
      <c r="N329" t="s">
        <v>57</v>
      </c>
      <c r="O329" s="1">
        <v>45295</v>
      </c>
      <c r="Q329" s="1">
        <v>45965</v>
      </c>
      <c r="R329" s="2">
        <v>32.58</v>
      </c>
      <c r="S329">
        <v>1</v>
      </c>
      <c r="T329" t="s">
        <v>58</v>
      </c>
      <c r="U329" t="s">
        <v>359</v>
      </c>
      <c r="V329" s="3">
        <v>0.1</v>
      </c>
      <c r="W329" s="2">
        <v>0</v>
      </c>
      <c r="X329">
        <v>0</v>
      </c>
      <c r="Y329" t="s">
        <v>214</v>
      </c>
      <c r="Z329" t="s">
        <v>360</v>
      </c>
      <c r="AA329">
        <v>0</v>
      </c>
      <c r="AB329" s="2">
        <v>0</v>
      </c>
      <c r="AC329" s="2">
        <v>0</v>
      </c>
      <c r="AD329" s="3">
        <v>0</v>
      </c>
      <c r="AE329" s="2">
        <v>0</v>
      </c>
      <c r="AF329" s="2">
        <v>0</v>
      </c>
      <c r="AG329" s="2">
        <v>0</v>
      </c>
      <c r="AH329" s="2">
        <v>0</v>
      </c>
      <c r="AI329" s="2">
        <v>0</v>
      </c>
      <c r="AJ329" s="2">
        <v>0</v>
      </c>
      <c r="AK329" s="2">
        <v>0</v>
      </c>
      <c r="AL329" s="2">
        <v>0</v>
      </c>
      <c r="AM329" s="2">
        <v>3.26</v>
      </c>
      <c r="AN329" s="2">
        <v>3.26</v>
      </c>
      <c r="AO329" s="2">
        <v>0</v>
      </c>
      <c r="AP329" s="2">
        <v>0</v>
      </c>
      <c r="AQ329" s="2">
        <v>0</v>
      </c>
    </row>
    <row r="330" spans="1:43" x14ac:dyDescent="0.25">
      <c r="A330" s="1">
        <v>45936</v>
      </c>
      <c r="B330" t="s">
        <v>48</v>
      </c>
      <c r="C330">
        <v>649163</v>
      </c>
      <c r="D330">
        <v>2021166477</v>
      </c>
      <c r="E330" t="s">
        <v>638</v>
      </c>
      <c r="F330" t="s">
        <v>639</v>
      </c>
      <c r="G330" t="s">
        <v>51</v>
      </c>
      <c r="H330" t="s">
        <v>70</v>
      </c>
      <c r="I330" t="s">
        <v>292</v>
      </c>
      <c r="J330" t="s">
        <v>536</v>
      </c>
      <c r="K330">
        <v>649164</v>
      </c>
      <c r="L330" t="s">
        <v>211</v>
      </c>
      <c r="M330" t="s">
        <v>212</v>
      </c>
      <c r="N330" t="s">
        <v>57</v>
      </c>
      <c r="O330" s="1">
        <v>45292</v>
      </c>
      <c r="Q330" s="1">
        <v>45962</v>
      </c>
      <c r="R330" s="2">
        <v>25.73</v>
      </c>
      <c r="S330">
        <v>1</v>
      </c>
      <c r="T330" t="s">
        <v>58</v>
      </c>
      <c r="U330" t="s">
        <v>359</v>
      </c>
      <c r="V330" s="3">
        <v>0.15</v>
      </c>
      <c r="W330" s="2">
        <v>0</v>
      </c>
      <c r="X330">
        <v>0</v>
      </c>
      <c r="Y330" t="s">
        <v>214</v>
      </c>
      <c r="Z330" t="s">
        <v>360</v>
      </c>
      <c r="AA330">
        <v>0</v>
      </c>
      <c r="AB330" s="2">
        <v>0</v>
      </c>
      <c r="AC330" s="2">
        <v>0</v>
      </c>
      <c r="AD330" s="3">
        <v>0</v>
      </c>
      <c r="AE330" s="2">
        <v>0</v>
      </c>
      <c r="AF330" s="2">
        <v>0</v>
      </c>
      <c r="AG330" s="2">
        <v>0</v>
      </c>
      <c r="AH330" s="2">
        <v>0</v>
      </c>
      <c r="AI330" s="2">
        <v>0</v>
      </c>
      <c r="AJ330" s="2">
        <v>0</v>
      </c>
      <c r="AK330" s="2">
        <v>0</v>
      </c>
      <c r="AL330" s="2">
        <v>0</v>
      </c>
      <c r="AM330" s="2">
        <v>3.86</v>
      </c>
      <c r="AN330" s="2">
        <v>3.86</v>
      </c>
      <c r="AO330" s="2">
        <v>0</v>
      </c>
      <c r="AP330" s="2">
        <v>0</v>
      </c>
      <c r="AQ330" s="2">
        <v>0</v>
      </c>
    </row>
    <row r="331" spans="1:43" x14ac:dyDescent="0.25">
      <c r="A331" s="1">
        <v>45936</v>
      </c>
      <c r="B331" t="s">
        <v>48</v>
      </c>
      <c r="C331">
        <v>649163</v>
      </c>
      <c r="D331">
        <v>2021391379</v>
      </c>
      <c r="E331" t="s">
        <v>663</v>
      </c>
      <c r="F331" t="s">
        <v>664</v>
      </c>
      <c r="G331" t="s">
        <v>51</v>
      </c>
      <c r="H331" t="s">
        <v>88</v>
      </c>
      <c r="I331" t="s">
        <v>292</v>
      </c>
      <c r="J331" t="s">
        <v>536</v>
      </c>
      <c r="K331">
        <v>673059</v>
      </c>
      <c r="L331" t="s">
        <v>80</v>
      </c>
      <c r="M331" t="s">
        <v>81</v>
      </c>
      <c r="N331" t="s">
        <v>57</v>
      </c>
      <c r="O331" s="1">
        <v>45323</v>
      </c>
      <c r="Q331" s="1">
        <v>45962</v>
      </c>
      <c r="R331" s="2">
        <v>85.53</v>
      </c>
      <c r="S331">
        <v>1</v>
      </c>
      <c r="T331" t="s">
        <v>58</v>
      </c>
      <c r="U331" t="s">
        <v>359</v>
      </c>
      <c r="V331" s="3">
        <v>0.15</v>
      </c>
      <c r="W331" s="2">
        <v>0</v>
      </c>
      <c r="X331">
        <v>0</v>
      </c>
      <c r="Y331" t="s">
        <v>214</v>
      </c>
      <c r="Z331" t="s">
        <v>360</v>
      </c>
      <c r="AA331">
        <v>0</v>
      </c>
      <c r="AB331" s="2">
        <v>0</v>
      </c>
      <c r="AC331" s="2">
        <v>0</v>
      </c>
      <c r="AD331" s="3">
        <v>0</v>
      </c>
      <c r="AE331" s="2">
        <v>0</v>
      </c>
      <c r="AF331" s="2">
        <v>0</v>
      </c>
      <c r="AG331" s="2">
        <v>0</v>
      </c>
      <c r="AH331" s="2">
        <v>0</v>
      </c>
      <c r="AI331" s="2">
        <v>0</v>
      </c>
      <c r="AJ331" s="2">
        <v>0</v>
      </c>
      <c r="AK331" s="2">
        <v>0</v>
      </c>
      <c r="AL331" s="2">
        <v>0</v>
      </c>
      <c r="AM331" s="2">
        <v>12.83</v>
      </c>
      <c r="AN331" s="2">
        <v>12.83</v>
      </c>
      <c r="AO331" s="2">
        <v>0</v>
      </c>
      <c r="AP331" s="2">
        <v>0</v>
      </c>
      <c r="AQ331" s="2">
        <v>0</v>
      </c>
    </row>
    <row r="332" spans="1:43" x14ac:dyDescent="0.25">
      <c r="A332" s="1">
        <v>45936</v>
      </c>
      <c r="B332" t="s">
        <v>48</v>
      </c>
      <c r="C332">
        <v>649163</v>
      </c>
      <c r="D332">
        <v>2021391381</v>
      </c>
      <c r="E332" t="s">
        <v>663</v>
      </c>
      <c r="F332" t="s">
        <v>664</v>
      </c>
      <c r="G332" t="s">
        <v>51</v>
      </c>
      <c r="H332" t="s">
        <v>88</v>
      </c>
      <c r="I332" t="s">
        <v>292</v>
      </c>
      <c r="J332" t="s">
        <v>293</v>
      </c>
      <c r="K332">
        <v>673059</v>
      </c>
      <c r="L332" t="s">
        <v>80</v>
      </c>
      <c r="M332" t="s">
        <v>81</v>
      </c>
      <c r="N332" t="s">
        <v>57</v>
      </c>
      <c r="O332" s="1">
        <v>45323</v>
      </c>
      <c r="Q332" s="1">
        <v>45962</v>
      </c>
      <c r="R332" s="2">
        <v>68.41</v>
      </c>
      <c r="S332">
        <v>1</v>
      </c>
      <c r="T332" t="s">
        <v>58</v>
      </c>
      <c r="U332" t="s">
        <v>359</v>
      </c>
      <c r="V332" s="3">
        <v>0.15</v>
      </c>
      <c r="W332" s="2">
        <v>0</v>
      </c>
      <c r="X332">
        <v>0</v>
      </c>
      <c r="Y332" t="s">
        <v>214</v>
      </c>
      <c r="Z332" t="s">
        <v>360</v>
      </c>
      <c r="AA332">
        <v>0</v>
      </c>
      <c r="AB332" s="2">
        <v>0</v>
      </c>
      <c r="AC332" s="2">
        <v>0</v>
      </c>
      <c r="AD332" s="3">
        <v>0</v>
      </c>
      <c r="AE332" s="2">
        <v>0</v>
      </c>
      <c r="AF332" s="2">
        <v>0</v>
      </c>
      <c r="AG332" s="2">
        <v>0</v>
      </c>
      <c r="AH332" s="2">
        <v>0</v>
      </c>
      <c r="AI332" s="2">
        <v>0</v>
      </c>
      <c r="AJ332" s="2">
        <v>0</v>
      </c>
      <c r="AK332" s="2">
        <v>0</v>
      </c>
      <c r="AL332" s="2">
        <v>0</v>
      </c>
      <c r="AM332" s="2">
        <v>10.26</v>
      </c>
      <c r="AN332" s="2">
        <v>10.26</v>
      </c>
      <c r="AO332" s="2">
        <v>0</v>
      </c>
      <c r="AP332" s="2">
        <v>0</v>
      </c>
      <c r="AQ332" s="2">
        <v>0</v>
      </c>
    </row>
    <row r="333" spans="1:43" x14ac:dyDescent="0.25">
      <c r="A333" s="1">
        <v>45936</v>
      </c>
      <c r="B333" t="s">
        <v>48</v>
      </c>
      <c r="C333">
        <v>649163</v>
      </c>
      <c r="D333">
        <v>2021785654</v>
      </c>
      <c r="E333" t="s">
        <v>174</v>
      </c>
      <c r="F333" t="s">
        <v>562</v>
      </c>
      <c r="G333" t="s">
        <v>51</v>
      </c>
      <c r="H333" t="s">
        <v>52</v>
      </c>
      <c r="I333" t="s">
        <v>292</v>
      </c>
      <c r="J333" t="s">
        <v>293</v>
      </c>
      <c r="K333">
        <v>651818</v>
      </c>
      <c r="L333" t="s">
        <v>112</v>
      </c>
      <c r="M333" t="s">
        <v>104</v>
      </c>
      <c r="N333" t="s">
        <v>57</v>
      </c>
      <c r="O333" s="1">
        <v>45357</v>
      </c>
      <c r="Q333" s="1">
        <v>45967</v>
      </c>
      <c r="R333" s="2">
        <v>67</v>
      </c>
      <c r="S333">
        <v>1</v>
      </c>
      <c r="T333" t="s">
        <v>58</v>
      </c>
      <c r="U333" t="s">
        <v>359</v>
      </c>
      <c r="V333" s="3">
        <v>0.15</v>
      </c>
      <c r="W333" s="2">
        <v>0</v>
      </c>
      <c r="X333">
        <v>0</v>
      </c>
      <c r="Y333" t="s">
        <v>214</v>
      </c>
      <c r="Z333" t="s">
        <v>360</v>
      </c>
      <c r="AA333">
        <v>0</v>
      </c>
      <c r="AB333" s="2">
        <v>0</v>
      </c>
      <c r="AC333" s="2">
        <v>0</v>
      </c>
      <c r="AD333" s="3">
        <v>0</v>
      </c>
      <c r="AE333" s="2">
        <v>0</v>
      </c>
      <c r="AF333" s="2">
        <v>0</v>
      </c>
      <c r="AG333" s="2">
        <v>0</v>
      </c>
      <c r="AH333" s="2">
        <v>0</v>
      </c>
      <c r="AI333" s="2">
        <v>0</v>
      </c>
      <c r="AJ333" s="2">
        <v>0</v>
      </c>
      <c r="AK333" s="2">
        <v>0</v>
      </c>
      <c r="AL333" s="2">
        <v>0</v>
      </c>
      <c r="AM333" s="2">
        <v>10.050000000000001</v>
      </c>
      <c r="AN333" s="2">
        <v>10.050000000000001</v>
      </c>
      <c r="AO333" s="2">
        <v>0</v>
      </c>
      <c r="AP333" s="2">
        <v>0</v>
      </c>
      <c r="AQ333" s="2">
        <v>0</v>
      </c>
    </row>
    <row r="334" spans="1:43" x14ac:dyDescent="0.25">
      <c r="A334" s="1">
        <v>45936</v>
      </c>
      <c r="B334" t="s">
        <v>48</v>
      </c>
      <c r="C334">
        <v>649163</v>
      </c>
      <c r="D334">
        <v>2021802311</v>
      </c>
      <c r="E334" t="s">
        <v>668</v>
      </c>
      <c r="F334" t="s">
        <v>224</v>
      </c>
      <c r="G334" t="s">
        <v>51</v>
      </c>
      <c r="H334" t="s">
        <v>52</v>
      </c>
      <c r="I334" t="s">
        <v>292</v>
      </c>
      <c r="J334" t="s">
        <v>295</v>
      </c>
      <c r="K334">
        <v>651818</v>
      </c>
      <c r="L334" t="s">
        <v>112</v>
      </c>
      <c r="M334" t="s">
        <v>104</v>
      </c>
      <c r="N334" t="s">
        <v>57</v>
      </c>
      <c r="O334" s="1">
        <v>45357</v>
      </c>
      <c r="Q334" s="1">
        <v>45967</v>
      </c>
      <c r="R334" s="2">
        <v>83.63</v>
      </c>
      <c r="S334">
        <v>1</v>
      </c>
      <c r="T334" t="s">
        <v>58</v>
      </c>
      <c r="U334" t="s">
        <v>359</v>
      </c>
      <c r="V334" s="3">
        <v>0.1</v>
      </c>
      <c r="W334" s="2">
        <v>0</v>
      </c>
      <c r="X334">
        <v>0</v>
      </c>
      <c r="Y334" t="s">
        <v>214</v>
      </c>
      <c r="Z334" t="s">
        <v>360</v>
      </c>
      <c r="AA334">
        <v>0</v>
      </c>
      <c r="AB334" s="2">
        <v>0</v>
      </c>
      <c r="AC334" s="2">
        <v>0</v>
      </c>
      <c r="AD334" s="3">
        <v>0</v>
      </c>
      <c r="AE334" s="2">
        <v>0</v>
      </c>
      <c r="AF334" s="2">
        <v>0</v>
      </c>
      <c r="AG334" s="2">
        <v>0</v>
      </c>
      <c r="AH334" s="2">
        <v>0</v>
      </c>
      <c r="AI334" s="2">
        <v>0</v>
      </c>
      <c r="AJ334" s="2">
        <v>0</v>
      </c>
      <c r="AK334" s="2">
        <v>0</v>
      </c>
      <c r="AL334" s="2">
        <v>0</v>
      </c>
      <c r="AM334" s="2">
        <v>8.36</v>
      </c>
      <c r="AN334" s="2">
        <v>8.36</v>
      </c>
      <c r="AO334" s="2">
        <v>0</v>
      </c>
      <c r="AP334" s="2">
        <v>0</v>
      </c>
      <c r="AQ334" s="2">
        <v>0</v>
      </c>
    </row>
    <row r="335" spans="1:43" x14ac:dyDescent="0.25">
      <c r="A335" s="1">
        <v>45936</v>
      </c>
      <c r="B335" t="s">
        <v>48</v>
      </c>
      <c r="C335">
        <v>649163</v>
      </c>
      <c r="D335">
        <v>2021875118</v>
      </c>
      <c r="E335" t="s">
        <v>804</v>
      </c>
      <c r="F335" t="s">
        <v>805</v>
      </c>
      <c r="G335" t="s">
        <v>51</v>
      </c>
      <c r="H335" t="s">
        <v>129</v>
      </c>
      <c r="I335" t="s">
        <v>292</v>
      </c>
      <c r="J335" t="s">
        <v>295</v>
      </c>
      <c r="K335">
        <v>651818</v>
      </c>
      <c r="L335" t="s">
        <v>112</v>
      </c>
      <c r="M335" t="s">
        <v>104</v>
      </c>
      <c r="N335" t="s">
        <v>57</v>
      </c>
      <c r="O335" s="1">
        <v>45357</v>
      </c>
      <c r="Q335" s="1">
        <v>45967</v>
      </c>
      <c r="R335" s="2">
        <v>107.33</v>
      </c>
      <c r="S335">
        <v>1</v>
      </c>
      <c r="T335" t="s">
        <v>58</v>
      </c>
      <c r="U335" t="s">
        <v>359</v>
      </c>
      <c r="V335" s="3">
        <v>0.1</v>
      </c>
      <c r="W335" s="2">
        <v>0</v>
      </c>
      <c r="X335">
        <v>0</v>
      </c>
      <c r="Y335" t="s">
        <v>214</v>
      </c>
      <c r="Z335" t="s">
        <v>360</v>
      </c>
      <c r="AA335">
        <v>0</v>
      </c>
      <c r="AB335" s="2">
        <v>0</v>
      </c>
      <c r="AC335" s="2">
        <v>0</v>
      </c>
      <c r="AD335" s="3">
        <v>0</v>
      </c>
      <c r="AE335" s="2">
        <v>0</v>
      </c>
      <c r="AF335" s="2">
        <v>0</v>
      </c>
      <c r="AG335" s="2">
        <v>0</v>
      </c>
      <c r="AH335" s="2">
        <v>0</v>
      </c>
      <c r="AI335" s="2">
        <v>0</v>
      </c>
      <c r="AJ335" s="2">
        <v>0</v>
      </c>
      <c r="AK335" s="2">
        <v>0</v>
      </c>
      <c r="AL335" s="2">
        <v>0</v>
      </c>
      <c r="AM335" s="2">
        <v>10.73</v>
      </c>
      <c r="AN335" s="2">
        <v>10.73</v>
      </c>
      <c r="AO335" s="2">
        <v>0</v>
      </c>
      <c r="AP335" s="2">
        <v>0</v>
      </c>
      <c r="AQ335" s="2">
        <v>0</v>
      </c>
    </row>
    <row r="336" spans="1:43" x14ac:dyDescent="0.25">
      <c r="A336" s="1">
        <v>45936</v>
      </c>
      <c r="B336" t="s">
        <v>48</v>
      </c>
      <c r="C336">
        <v>649163</v>
      </c>
      <c r="D336">
        <v>2022025992</v>
      </c>
      <c r="E336" t="s">
        <v>806</v>
      </c>
      <c r="F336" t="s">
        <v>63</v>
      </c>
      <c r="G336" t="s">
        <v>51</v>
      </c>
      <c r="H336" t="s">
        <v>101</v>
      </c>
      <c r="I336" t="s">
        <v>292</v>
      </c>
      <c r="J336" t="s">
        <v>293</v>
      </c>
      <c r="K336">
        <v>651818</v>
      </c>
      <c r="L336" t="s">
        <v>112</v>
      </c>
      <c r="M336" t="s">
        <v>104</v>
      </c>
      <c r="N336" t="s">
        <v>57</v>
      </c>
      <c r="O336" s="1">
        <v>45357</v>
      </c>
      <c r="Q336" s="1">
        <v>45967</v>
      </c>
      <c r="R336" s="2">
        <v>28</v>
      </c>
      <c r="S336">
        <v>1</v>
      </c>
      <c r="T336" t="s">
        <v>58</v>
      </c>
      <c r="U336" t="s">
        <v>359</v>
      </c>
      <c r="V336" s="3">
        <v>0.15</v>
      </c>
      <c r="W336" s="2">
        <v>0</v>
      </c>
      <c r="X336">
        <v>0</v>
      </c>
      <c r="Y336" t="s">
        <v>214</v>
      </c>
      <c r="Z336" t="s">
        <v>360</v>
      </c>
      <c r="AA336">
        <v>0</v>
      </c>
      <c r="AB336" s="2">
        <v>0</v>
      </c>
      <c r="AC336" s="2">
        <v>0</v>
      </c>
      <c r="AD336" s="3">
        <v>0</v>
      </c>
      <c r="AE336" s="2">
        <v>0</v>
      </c>
      <c r="AF336" s="2">
        <v>0</v>
      </c>
      <c r="AG336" s="2">
        <v>0</v>
      </c>
      <c r="AH336" s="2">
        <v>0</v>
      </c>
      <c r="AI336" s="2">
        <v>0</v>
      </c>
      <c r="AJ336" s="2">
        <v>0</v>
      </c>
      <c r="AK336" s="2">
        <v>0</v>
      </c>
      <c r="AL336" s="2">
        <v>0</v>
      </c>
      <c r="AM336" s="2">
        <v>4.2</v>
      </c>
      <c r="AN336" s="2">
        <v>4.2</v>
      </c>
      <c r="AO336" s="2">
        <v>0</v>
      </c>
      <c r="AP336" s="2">
        <v>0</v>
      </c>
      <c r="AQ336" s="2">
        <v>0</v>
      </c>
    </row>
    <row r="337" spans="1:43" x14ac:dyDescent="0.25">
      <c r="A337" s="1">
        <v>45936</v>
      </c>
      <c r="B337" t="s">
        <v>48</v>
      </c>
      <c r="C337">
        <v>649163</v>
      </c>
      <c r="D337">
        <v>2022385258</v>
      </c>
      <c r="E337" t="s">
        <v>402</v>
      </c>
      <c r="F337" t="s">
        <v>671</v>
      </c>
      <c r="G337" t="s">
        <v>51</v>
      </c>
      <c r="H337" t="s">
        <v>88</v>
      </c>
      <c r="I337" t="s">
        <v>292</v>
      </c>
      <c r="J337" t="s">
        <v>293</v>
      </c>
      <c r="K337">
        <v>651818</v>
      </c>
      <c r="L337" t="s">
        <v>112</v>
      </c>
      <c r="M337" t="s">
        <v>104</v>
      </c>
      <c r="N337" t="s">
        <v>57</v>
      </c>
      <c r="O337" s="1">
        <v>45388</v>
      </c>
      <c r="Q337" s="1">
        <v>45967</v>
      </c>
      <c r="R337" s="2">
        <v>2.8</v>
      </c>
      <c r="S337">
        <v>1</v>
      </c>
      <c r="T337" t="s">
        <v>58</v>
      </c>
      <c r="U337" t="s">
        <v>359</v>
      </c>
      <c r="V337" s="3">
        <v>0.15</v>
      </c>
      <c r="W337" s="2">
        <v>0</v>
      </c>
      <c r="X337">
        <v>0</v>
      </c>
      <c r="Y337" t="s">
        <v>214</v>
      </c>
      <c r="Z337" t="s">
        <v>360</v>
      </c>
      <c r="AA337">
        <v>0</v>
      </c>
      <c r="AB337" s="2">
        <v>0</v>
      </c>
      <c r="AC337" s="2">
        <v>0</v>
      </c>
      <c r="AD337" s="3">
        <v>0</v>
      </c>
      <c r="AE337" s="2">
        <v>0</v>
      </c>
      <c r="AF337" s="2">
        <v>0</v>
      </c>
      <c r="AG337" s="2">
        <v>0</v>
      </c>
      <c r="AH337" s="2">
        <v>0</v>
      </c>
      <c r="AI337" s="2">
        <v>0</v>
      </c>
      <c r="AJ337" s="2">
        <v>0</v>
      </c>
      <c r="AK337" s="2">
        <v>0</v>
      </c>
      <c r="AL337" s="2">
        <v>0</v>
      </c>
      <c r="AM337" s="2">
        <v>0.42</v>
      </c>
      <c r="AN337" s="2">
        <v>0.42</v>
      </c>
      <c r="AO337" s="2">
        <v>0</v>
      </c>
      <c r="AP337" s="2">
        <v>0</v>
      </c>
      <c r="AQ337" s="2">
        <v>0</v>
      </c>
    </row>
    <row r="338" spans="1:43" x14ac:dyDescent="0.25">
      <c r="A338" s="1">
        <v>45936</v>
      </c>
      <c r="B338" t="s">
        <v>48</v>
      </c>
      <c r="C338">
        <v>649163</v>
      </c>
      <c r="D338">
        <v>2022623337</v>
      </c>
      <c r="E338" t="s">
        <v>807</v>
      </c>
      <c r="F338" t="s">
        <v>746</v>
      </c>
      <c r="G338" t="s">
        <v>51</v>
      </c>
      <c r="H338" t="s">
        <v>101</v>
      </c>
      <c r="I338" t="s">
        <v>292</v>
      </c>
      <c r="J338" t="s">
        <v>293</v>
      </c>
      <c r="K338">
        <v>651818</v>
      </c>
      <c r="L338" t="s">
        <v>112</v>
      </c>
      <c r="M338" t="s">
        <v>104</v>
      </c>
      <c r="N338" t="s">
        <v>57</v>
      </c>
      <c r="O338" s="1">
        <v>45392</v>
      </c>
      <c r="Q338" s="1">
        <v>45971</v>
      </c>
      <c r="R338" s="2">
        <v>388.92</v>
      </c>
      <c r="S338">
        <v>1</v>
      </c>
      <c r="T338" t="s">
        <v>58</v>
      </c>
      <c r="U338" t="s">
        <v>359</v>
      </c>
      <c r="V338" s="3">
        <v>0.15</v>
      </c>
      <c r="W338" s="2">
        <v>0</v>
      </c>
      <c r="X338">
        <v>0</v>
      </c>
      <c r="Y338" t="s">
        <v>214</v>
      </c>
      <c r="Z338" t="s">
        <v>360</v>
      </c>
      <c r="AA338">
        <v>0</v>
      </c>
      <c r="AB338" s="2">
        <v>0</v>
      </c>
      <c r="AC338" s="2">
        <v>0</v>
      </c>
      <c r="AD338" s="3">
        <v>0</v>
      </c>
      <c r="AE338" s="2">
        <v>0</v>
      </c>
      <c r="AF338" s="2">
        <v>0</v>
      </c>
      <c r="AG338" s="2">
        <v>0</v>
      </c>
      <c r="AH338" s="2">
        <v>0</v>
      </c>
      <c r="AI338" s="2">
        <v>0</v>
      </c>
      <c r="AJ338" s="2">
        <v>0</v>
      </c>
      <c r="AK338" s="2">
        <v>0</v>
      </c>
      <c r="AL338" s="2">
        <v>0</v>
      </c>
      <c r="AM338" s="2">
        <v>58.34</v>
      </c>
      <c r="AN338" s="2">
        <v>58.34</v>
      </c>
      <c r="AO338" s="2">
        <v>0</v>
      </c>
      <c r="AP338" s="2">
        <v>0</v>
      </c>
      <c r="AQ338" s="2">
        <v>0</v>
      </c>
    </row>
    <row r="339" spans="1:43" x14ac:dyDescent="0.25">
      <c r="A339" s="1">
        <v>45936</v>
      </c>
      <c r="B339" t="s">
        <v>48</v>
      </c>
      <c r="C339">
        <v>649163</v>
      </c>
      <c r="D339">
        <v>2022807452</v>
      </c>
      <c r="E339" t="s">
        <v>808</v>
      </c>
      <c r="F339" t="s">
        <v>72</v>
      </c>
      <c r="G339" t="s">
        <v>51</v>
      </c>
      <c r="H339" t="s">
        <v>101</v>
      </c>
      <c r="I339" t="s">
        <v>292</v>
      </c>
      <c r="J339" t="s">
        <v>293</v>
      </c>
      <c r="K339">
        <v>651818</v>
      </c>
      <c r="L339" t="s">
        <v>112</v>
      </c>
      <c r="M339" t="s">
        <v>104</v>
      </c>
      <c r="N339" t="s">
        <v>57</v>
      </c>
      <c r="O339" s="1">
        <v>45418</v>
      </c>
      <c r="Q339" s="1">
        <v>45967</v>
      </c>
      <c r="R339" s="2">
        <v>148.27000000000001</v>
      </c>
      <c r="S339">
        <v>1</v>
      </c>
      <c r="T339" t="s">
        <v>58</v>
      </c>
      <c r="U339" t="s">
        <v>359</v>
      </c>
      <c r="V339" s="3">
        <v>0.15</v>
      </c>
      <c r="W339" s="2">
        <v>0</v>
      </c>
      <c r="X339">
        <v>0</v>
      </c>
      <c r="Y339" t="s">
        <v>214</v>
      </c>
      <c r="Z339" t="s">
        <v>360</v>
      </c>
      <c r="AA339">
        <v>0</v>
      </c>
      <c r="AB339" s="2">
        <v>0</v>
      </c>
      <c r="AC339" s="2">
        <v>0</v>
      </c>
      <c r="AD339" s="3">
        <v>0</v>
      </c>
      <c r="AE339" s="2">
        <v>0</v>
      </c>
      <c r="AF339" s="2">
        <v>0</v>
      </c>
      <c r="AG339" s="2">
        <v>0</v>
      </c>
      <c r="AH339" s="2">
        <v>0</v>
      </c>
      <c r="AI339" s="2">
        <v>0</v>
      </c>
      <c r="AJ339" s="2">
        <v>0</v>
      </c>
      <c r="AK339" s="2">
        <v>0</v>
      </c>
      <c r="AL339" s="2">
        <v>0</v>
      </c>
      <c r="AM339" s="2">
        <v>22.24</v>
      </c>
      <c r="AN339" s="2">
        <v>22.24</v>
      </c>
      <c r="AO339" s="2">
        <v>0</v>
      </c>
      <c r="AP339" s="2">
        <v>0</v>
      </c>
      <c r="AQ339" s="2">
        <v>0</v>
      </c>
    </row>
    <row r="340" spans="1:43" x14ac:dyDescent="0.25">
      <c r="A340" s="1">
        <v>45936</v>
      </c>
      <c r="B340" t="s">
        <v>48</v>
      </c>
      <c r="C340">
        <v>649163</v>
      </c>
      <c r="D340">
        <v>2023217202</v>
      </c>
      <c r="E340" t="s">
        <v>809</v>
      </c>
      <c r="F340" t="s">
        <v>717</v>
      </c>
      <c r="G340" t="s">
        <v>51</v>
      </c>
      <c r="H340" t="s">
        <v>182</v>
      </c>
      <c r="I340" t="s">
        <v>292</v>
      </c>
      <c r="J340" t="s">
        <v>293</v>
      </c>
      <c r="K340">
        <v>673059</v>
      </c>
      <c r="L340" t="s">
        <v>80</v>
      </c>
      <c r="M340" t="s">
        <v>81</v>
      </c>
      <c r="N340" t="s">
        <v>57</v>
      </c>
      <c r="O340" s="1">
        <v>45444</v>
      </c>
      <c r="Q340" s="1">
        <v>45962</v>
      </c>
      <c r="R340" s="2">
        <v>80.8</v>
      </c>
      <c r="S340">
        <v>1</v>
      </c>
      <c r="T340" t="s">
        <v>58</v>
      </c>
      <c r="U340" t="s">
        <v>359</v>
      </c>
      <c r="V340" s="3">
        <v>0.15</v>
      </c>
      <c r="W340" s="2">
        <v>0</v>
      </c>
      <c r="X340">
        <v>0</v>
      </c>
      <c r="Y340" t="s">
        <v>214</v>
      </c>
      <c r="Z340" t="s">
        <v>360</v>
      </c>
      <c r="AA340">
        <v>0</v>
      </c>
      <c r="AB340" s="2">
        <v>0</v>
      </c>
      <c r="AC340" s="2">
        <v>0</v>
      </c>
      <c r="AD340" s="3">
        <v>0</v>
      </c>
      <c r="AE340" s="2">
        <v>0</v>
      </c>
      <c r="AF340" s="2">
        <v>0</v>
      </c>
      <c r="AG340" s="2">
        <v>0</v>
      </c>
      <c r="AH340" s="2">
        <v>0</v>
      </c>
      <c r="AI340" s="2">
        <v>0</v>
      </c>
      <c r="AJ340" s="2">
        <v>0</v>
      </c>
      <c r="AK340" s="2">
        <v>0</v>
      </c>
      <c r="AL340" s="2">
        <v>0</v>
      </c>
      <c r="AM340" s="2">
        <v>12.12</v>
      </c>
      <c r="AN340" s="2">
        <v>12.12</v>
      </c>
      <c r="AO340" s="2">
        <v>0</v>
      </c>
      <c r="AP340" s="2">
        <v>0</v>
      </c>
      <c r="AQ340" s="2">
        <v>0</v>
      </c>
    </row>
    <row r="341" spans="1:43" x14ac:dyDescent="0.25">
      <c r="A341" s="1">
        <v>45936</v>
      </c>
      <c r="B341" t="s">
        <v>48</v>
      </c>
      <c r="C341">
        <v>649163</v>
      </c>
      <c r="D341">
        <v>2023217203</v>
      </c>
      <c r="E341" t="s">
        <v>809</v>
      </c>
      <c r="F341" t="s">
        <v>717</v>
      </c>
      <c r="G341" t="s">
        <v>51</v>
      </c>
      <c r="H341" t="s">
        <v>182</v>
      </c>
      <c r="I341" t="s">
        <v>292</v>
      </c>
      <c r="J341" t="s">
        <v>536</v>
      </c>
      <c r="K341">
        <v>673059</v>
      </c>
      <c r="L341" t="s">
        <v>80</v>
      </c>
      <c r="M341" t="s">
        <v>81</v>
      </c>
      <c r="N341" t="s">
        <v>57</v>
      </c>
      <c r="O341" s="1">
        <v>45444</v>
      </c>
      <c r="Q341" s="1">
        <v>45962</v>
      </c>
      <c r="R341" s="2">
        <v>25.73</v>
      </c>
      <c r="S341">
        <v>1</v>
      </c>
      <c r="T341" t="s">
        <v>58</v>
      </c>
      <c r="U341" t="s">
        <v>359</v>
      </c>
      <c r="V341" s="3">
        <v>0.15</v>
      </c>
      <c r="W341" s="2">
        <v>0</v>
      </c>
      <c r="X341">
        <v>0</v>
      </c>
      <c r="Y341" t="s">
        <v>214</v>
      </c>
      <c r="Z341" t="s">
        <v>360</v>
      </c>
      <c r="AA341">
        <v>0</v>
      </c>
      <c r="AB341" s="2">
        <v>0</v>
      </c>
      <c r="AC341" s="2">
        <v>0</v>
      </c>
      <c r="AD341" s="3">
        <v>0</v>
      </c>
      <c r="AE341" s="2">
        <v>0</v>
      </c>
      <c r="AF341" s="2">
        <v>0</v>
      </c>
      <c r="AG341" s="2">
        <v>0</v>
      </c>
      <c r="AH341" s="2">
        <v>0</v>
      </c>
      <c r="AI341" s="2">
        <v>0</v>
      </c>
      <c r="AJ341" s="2">
        <v>0</v>
      </c>
      <c r="AK341" s="2">
        <v>0</v>
      </c>
      <c r="AL341" s="2">
        <v>0</v>
      </c>
      <c r="AM341" s="2">
        <v>3.86</v>
      </c>
      <c r="AN341" s="2">
        <v>3.86</v>
      </c>
      <c r="AO341" s="2">
        <v>0</v>
      </c>
      <c r="AP341" s="2">
        <v>0</v>
      </c>
      <c r="AQ341" s="2">
        <v>0</v>
      </c>
    </row>
    <row r="342" spans="1:43" x14ac:dyDescent="0.25">
      <c r="A342" s="1">
        <v>45936</v>
      </c>
      <c r="B342" t="s">
        <v>48</v>
      </c>
      <c r="C342">
        <v>649163</v>
      </c>
      <c r="D342">
        <v>2023217694</v>
      </c>
      <c r="E342" t="s">
        <v>810</v>
      </c>
      <c r="F342" t="s">
        <v>721</v>
      </c>
      <c r="G342" t="s">
        <v>51</v>
      </c>
      <c r="H342" t="s">
        <v>159</v>
      </c>
      <c r="I342" t="s">
        <v>292</v>
      </c>
      <c r="J342" t="s">
        <v>295</v>
      </c>
      <c r="K342">
        <v>651818</v>
      </c>
      <c r="L342" t="s">
        <v>112</v>
      </c>
      <c r="M342" t="s">
        <v>104</v>
      </c>
      <c r="N342" t="s">
        <v>57</v>
      </c>
      <c r="O342" s="1">
        <v>45449</v>
      </c>
      <c r="Q342" s="1">
        <v>45967</v>
      </c>
      <c r="R342" s="2">
        <v>29.42</v>
      </c>
      <c r="S342">
        <v>1</v>
      </c>
      <c r="T342" t="s">
        <v>58</v>
      </c>
      <c r="U342" t="s">
        <v>359</v>
      </c>
      <c r="V342" s="3">
        <v>0.1</v>
      </c>
      <c r="W342" s="2">
        <v>0</v>
      </c>
      <c r="X342">
        <v>0</v>
      </c>
      <c r="Y342" t="s">
        <v>214</v>
      </c>
      <c r="Z342" t="s">
        <v>360</v>
      </c>
      <c r="AA342">
        <v>0</v>
      </c>
      <c r="AB342" s="2">
        <v>0</v>
      </c>
      <c r="AC342" s="2">
        <v>0</v>
      </c>
      <c r="AD342" s="3">
        <v>0</v>
      </c>
      <c r="AE342" s="2">
        <v>0</v>
      </c>
      <c r="AF342" s="2">
        <v>0</v>
      </c>
      <c r="AG342" s="2">
        <v>0</v>
      </c>
      <c r="AH342" s="2">
        <v>0</v>
      </c>
      <c r="AI342" s="2">
        <v>0</v>
      </c>
      <c r="AJ342" s="2">
        <v>0</v>
      </c>
      <c r="AK342" s="2">
        <v>0</v>
      </c>
      <c r="AL342" s="2">
        <v>0</v>
      </c>
      <c r="AM342" s="2">
        <v>2.94</v>
      </c>
      <c r="AN342" s="2">
        <v>2.94</v>
      </c>
      <c r="AO342" s="2">
        <v>0</v>
      </c>
      <c r="AP342" s="2">
        <v>0</v>
      </c>
      <c r="AQ342" s="2">
        <v>0</v>
      </c>
    </row>
    <row r="343" spans="1:43" x14ac:dyDescent="0.25">
      <c r="A343" s="1">
        <v>45936</v>
      </c>
      <c r="B343" t="s">
        <v>48</v>
      </c>
      <c r="C343">
        <v>649163</v>
      </c>
      <c r="D343">
        <v>2023297035</v>
      </c>
      <c r="E343" t="s">
        <v>678</v>
      </c>
      <c r="F343" t="s">
        <v>679</v>
      </c>
      <c r="G343" t="s">
        <v>51</v>
      </c>
      <c r="H343" t="s">
        <v>115</v>
      </c>
      <c r="I343" t="s">
        <v>292</v>
      </c>
      <c r="J343" t="s">
        <v>293</v>
      </c>
      <c r="K343">
        <v>651818</v>
      </c>
      <c r="L343" t="s">
        <v>112</v>
      </c>
      <c r="M343" t="s">
        <v>104</v>
      </c>
      <c r="N343" t="s">
        <v>57</v>
      </c>
      <c r="O343" s="1">
        <v>45449</v>
      </c>
      <c r="Q343" s="1">
        <v>45967</v>
      </c>
      <c r="R343" s="2">
        <v>86.91</v>
      </c>
      <c r="S343">
        <v>1</v>
      </c>
      <c r="T343" t="s">
        <v>58</v>
      </c>
      <c r="U343" t="s">
        <v>359</v>
      </c>
      <c r="V343" s="3">
        <v>0.15</v>
      </c>
      <c r="W343" s="2">
        <v>0</v>
      </c>
      <c r="X343">
        <v>0</v>
      </c>
      <c r="Y343" t="s">
        <v>214</v>
      </c>
      <c r="Z343" t="s">
        <v>360</v>
      </c>
      <c r="AA343">
        <v>0</v>
      </c>
      <c r="AB343" s="2">
        <v>0</v>
      </c>
      <c r="AC343" s="2">
        <v>0</v>
      </c>
      <c r="AD343" s="3">
        <v>0</v>
      </c>
      <c r="AE343" s="2">
        <v>0</v>
      </c>
      <c r="AF343" s="2">
        <v>0</v>
      </c>
      <c r="AG343" s="2">
        <v>0</v>
      </c>
      <c r="AH343" s="2">
        <v>0</v>
      </c>
      <c r="AI343" s="2">
        <v>0</v>
      </c>
      <c r="AJ343" s="2">
        <v>0</v>
      </c>
      <c r="AK343" s="2">
        <v>0</v>
      </c>
      <c r="AL343" s="2">
        <v>0</v>
      </c>
      <c r="AM343" s="2">
        <v>13.04</v>
      </c>
      <c r="AN343" s="2">
        <v>13.04</v>
      </c>
      <c r="AO343" s="2">
        <v>0</v>
      </c>
      <c r="AP343" s="2">
        <v>0</v>
      </c>
      <c r="AQ343" s="2">
        <v>0</v>
      </c>
    </row>
    <row r="344" spans="1:43" x14ac:dyDescent="0.25">
      <c r="A344" s="1">
        <v>45936</v>
      </c>
      <c r="B344" t="s">
        <v>48</v>
      </c>
      <c r="C344">
        <v>649163</v>
      </c>
      <c r="D344">
        <v>2023710953</v>
      </c>
      <c r="E344" t="s">
        <v>811</v>
      </c>
      <c r="F344" t="s">
        <v>812</v>
      </c>
      <c r="G344" t="s">
        <v>51</v>
      </c>
      <c r="H344" t="s">
        <v>724</v>
      </c>
      <c r="I344" t="s">
        <v>292</v>
      </c>
      <c r="J344" t="s">
        <v>293</v>
      </c>
      <c r="K344">
        <v>651818</v>
      </c>
      <c r="L344" t="s">
        <v>112</v>
      </c>
      <c r="M344" t="s">
        <v>104</v>
      </c>
      <c r="N344" t="s">
        <v>57</v>
      </c>
      <c r="O344" s="1">
        <v>45479</v>
      </c>
      <c r="Q344" s="1">
        <v>45967</v>
      </c>
      <c r="R344" s="2">
        <v>132.86000000000001</v>
      </c>
      <c r="S344">
        <v>1</v>
      </c>
      <c r="T344" t="s">
        <v>58</v>
      </c>
      <c r="U344" t="s">
        <v>359</v>
      </c>
      <c r="V344" s="3">
        <v>0.15</v>
      </c>
      <c r="W344" s="2">
        <v>0</v>
      </c>
      <c r="X344">
        <v>0</v>
      </c>
      <c r="Y344" t="s">
        <v>214</v>
      </c>
      <c r="Z344" t="s">
        <v>360</v>
      </c>
      <c r="AA344">
        <v>0</v>
      </c>
      <c r="AB344" s="2">
        <v>0</v>
      </c>
      <c r="AC344" s="2">
        <v>0</v>
      </c>
      <c r="AD344" s="3">
        <v>0</v>
      </c>
      <c r="AE344" s="2">
        <v>0</v>
      </c>
      <c r="AF344" s="2">
        <v>0</v>
      </c>
      <c r="AG344" s="2">
        <v>0</v>
      </c>
      <c r="AH344" s="2">
        <v>0</v>
      </c>
      <c r="AI344" s="2">
        <v>0</v>
      </c>
      <c r="AJ344" s="2">
        <v>0</v>
      </c>
      <c r="AK344" s="2">
        <v>0</v>
      </c>
      <c r="AL344" s="2">
        <v>0</v>
      </c>
      <c r="AM344" s="2">
        <v>19.93</v>
      </c>
      <c r="AN344" s="2">
        <v>19.93</v>
      </c>
      <c r="AO344" s="2">
        <v>0</v>
      </c>
      <c r="AP344" s="2">
        <v>0</v>
      </c>
      <c r="AQ344" s="2">
        <v>0</v>
      </c>
    </row>
    <row r="345" spans="1:43" x14ac:dyDescent="0.25">
      <c r="A345" s="1">
        <v>45936</v>
      </c>
      <c r="B345" t="s">
        <v>48</v>
      </c>
      <c r="C345">
        <v>649163</v>
      </c>
      <c r="D345">
        <v>2024000491</v>
      </c>
      <c r="E345" t="s">
        <v>813</v>
      </c>
      <c r="F345" t="s">
        <v>814</v>
      </c>
      <c r="G345" t="s">
        <v>51</v>
      </c>
      <c r="H345" t="s">
        <v>101</v>
      </c>
      <c r="I345" t="s">
        <v>292</v>
      </c>
      <c r="J345" t="s">
        <v>293</v>
      </c>
      <c r="K345">
        <v>766747</v>
      </c>
      <c r="L345" t="s">
        <v>815</v>
      </c>
      <c r="M345" t="s">
        <v>482</v>
      </c>
      <c r="N345" t="s">
        <v>57</v>
      </c>
      <c r="O345" s="1">
        <v>45510</v>
      </c>
      <c r="Q345" s="1">
        <v>45967</v>
      </c>
      <c r="R345" s="2">
        <v>49.92</v>
      </c>
      <c r="S345">
        <v>1</v>
      </c>
      <c r="T345" t="s">
        <v>58</v>
      </c>
      <c r="U345" t="s">
        <v>359</v>
      </c>
      <c r="V345" s="3">
        <v>0.15</v>
      </c>
      <c r="W345" s="2">
        <v>0</v>
      </c>
      <c r="X345">
        <v>0</v>
      </c>
      <c r="Y345" t="s">
        <v>214</v>
      </c>
      <c r="Z345" t="s">
        <v>360</v>
      </c>
      <c r="AA345">
        <v>0</v>
      </c>
      <c r="AB345" s="2">
        <v>0</v>
      </c>
      <c r="AC345" s="2">
        <v>0</v>
      </c>
      <c r="AD345" s="3">
        <v>0</v>
      </c>
      <c r="AE345" s="2">
        <v>0</v>
      </c>
      <c r="AF345" s="2">
        <v>0</v>
      </c>
      <c r="AG345" s="2">
        <v>0</v>
      </c>
      <c r="AH345" s="2">
        <v>0</v>
      </c>
      <c r="AI345" s="2">
        <v>0</v>
      </c>
      <c r="AJ345" s="2">
        <v>0</v>
      </c>
      <c r="AK345" s="2">
        <v>0</v>
      </c>
      <c r="AL345" s="2">
        <v>0</v>
      </c>
      <c r="AM345" s="2">
        <v>7.49</v>
      </c>
      <c r="AN345" s="2">
        <v>7.49</v>
      </c>
      <c r="AO345" s="2">
        <v>0</v>
      </c>
      <c r="AP345" s="2">
        <v>0</v>
      </c>
      <c r="AQ345" s="2">
        <v>0</v>
      </c>
    </row>
    <row r="346" spans="1:43" x14ac:dyDescent="0.25">
      <c r="A346" s="1">
        <v>45936</v>
      </c>
      <c r="B346" t="s">
        <v>48</v>
      </c>
      <c r="C346">
        <v>649163</v>
      </c>
      <c r="D346">
        <v>2024001565</v>
      </c>
      <c r="E346" t="s">
        <v>148</v>
      </c>
      <c r="F346" t="s">
        <v>212</v>
      </c>
      <c r="G346" t="s">
        <v>51</v>
      </c>
      <c r="H346" t="s">
        <v>119</v>
      </c>
      <c r="I346" t="s">
        <v>292</v>
      </c>
      <c r="J346" t="s">
        <v>293</v>
      </c>
      <c r="K346">
        <v>651818</v>
      </c>
      <c r="L346" t="s">
        <v>112</v>
      </c>
      <c r="M346" t="s">
        <v>104</v>
      </c>
      <c r="N346" t="s">
        <v>57</v>
      </c>
      <c r="O346" s="1">
        <v>45510</v>
      </c>
      <c r="Q346" s="1">
        <v>45967</v>
      </c>
      <c r="R346" s="2">
        <v>40.65</v>
      </c>
      <c r="S346">
        <v>1</v>
      </c>
      <c r="T346" t="s">
        <v>58</v>
      </c>
      <c r="U346" t="s">
        <v>359</v>
      </c>
      <c r="V346" s="3">
        <v>0.15</v>
      </c>
      <c r="W346" s="2">
        <v>0</v>
      </c>
      <c r="X346">
        <v>0</v>
      </c>
      <c r="Y346" t="s">
        <v>214</v>
      </c>
      <c r="Z346" t="s">
        <v>360</v>
      </c>
      <c r="AA346">
        <v>0</v>
      </c>
      <c r="AB346" s="2">
        <v>0</v>
      </c>
      <c r="AC346" s="2">
        <v>0</v>
      </c>
      <c r="AD346" s="3">
        <v>0</v>
      </c>
      <c r="AE346" s="2">
        <v>0</v>
      </c>
      <c r="AF346" s="2">
        <v>0</v>
      </c>
      <c r="AG346" s="2">
        <v>0</v>
      </c>
      <c r="AH346" s="2">
        <v>0</v>
      </c>
      <c r="AI346" s="2">
        <v>0</v>
      </c>
      <c r="AJ346" s="2">
        <v>0</v>
      </c>
      <c r="AK346" s="2">
        <v>0</v>
      </c>
      <c r="AL346" s="2">
        <v>0</v>
      </c>
      <c r="AM346" s="2">
        <v>6.1</v>
      </c>
      <c r="AN346" s="2">
        <v>6.1</v>
      </c>
      <c r="AO346" s="2">
        <v>0</v>
      </c>
      <c r="AP346" s="2">
        <v>0</v>
      </c>
      <c r="AQ346" s="2">
        <v>0</v>
      </c>
    </row>
    <row r="347" spans="1:43" x14ac:dyDescent="0.25">
      <c r="A347" s="1">
        <v>45936</v>
      </c>
      <c r="B347" t="s">
        <v>48</v>
      </c>
      <c r="C347">
        <v>649163</v>
      </c>
      <c r="D347">
        <v>2024027343</v>
      </c>
      <c r="E347" t="s">
        <v>816</v>
      </c>
      <c r="F347" t="s">
        <v>507</v>
      </c>
      <c r="G347" t="s">
        <v>51</v>
      </c>
      <c r="H347" t="s">
        <v>101</v>
      </c>
      <c r="I347" t="s">
        <v>292</v>
      </c>
      <c r="J347" t="s">
        <v>293</v>
      </c>
      <c r="K347">
        <v>766747</v>
      </c>
      <c r="L347" t="s">
        <v>815</v>
      </c>
      <c r="M347" t="s">
        <v>482</v>
      </c>
      <c r="N347" t="s">
        <v>57</v>
      </c>
      <c r="O347" s="1">
        <v>45510</v>
      </c>
      <c r="Q347" s="1">
        <v>45967</v>
      </c>
      <c r="R347" s="2">
        <v>110.16</v>
      </c>
      <c r="S347">
        <v>1</v>
      </c>
      <c r="T347" t="s">
        <v>58</v>
      </c>
      <c r="U347" t="s">
        <v>359</v>
      </c>
      <c r="V347" s="3">
        <v>0.15</v>
      </c>
      <c r="W347" s="2">
        <v>0</v>
      </c>
      <c r="X347">
        <v>0</v>
      </c>
      <c r="Y347" t="s">
        <v>214</v>
      </c>
      <c r="Z347" t="s">
        <v>360</v>
      </c>
      <c r="AA347">
        <v>0</v>
      </c>
      <c r="AB347" s="2">
        <v>0</v>
      </c>
      <c r="AC347" s="2">
        <v>0</v>
      </c>
      <c r="AD347" s="3">
        <v>0</v>
      </c>
      <c r="AE347" s="2">
        <v>0</v>
      </c>
      <c r="AF347" s="2">
        <v>0</v>
      </c>
      <c r="AG347" s="2">
        <v>0</v>
      </c>
      <c r="AH347" s="2">
        <v>0</v>
      </c>
      <c r="AI347" s="2">
        <v>0</v>
      </c>
      <c r="AJ347" s="2">
        <v>0</v>
      </c>
      <c r="AK347" s="2">
        <v>0</v>
      </c>
      <c r="AL347" s="2">
        <v>0</v>
      </c>
      <c r="AM347" s="2">
        <v>16.52</v>
      </c>
      <c r="AN347" s="2">
        <v>16.52</v>
      </c>
      <c r="AO347" s="2">
        <v>0</v>
      </c>
      <c r="AP347" s="2">
        <v>0</v>
      </c>
      <c r="AQ347" s="2">
        <v>0</v>
      </c>
    </row>
    <row r="348" spans="1:43" x14ac:dyDescent="0.25">
      <c r="A348" s="1">
        <v>45936</v>
      </c>
      <c r="B348" t="s">
        <v>48</v>
      </c>
      <c r="C348">
        <v>649163</v>
      </c>
      <c r="D348">
        <v>2024054708</v>
      </c>
      <c r="E348" t="s">
        <v>817</v>
      </c>
      <c r="F348" t="s">
        <v>812</v>
      </c>
      <c r="G348" t="s">
        <v>51</v>
      </c>
      <c r="H348" t="s">
        <v>101</v>
      </c>
      <c r="I348" t="s">
        <v>292</v>
      </c>
      <c r="J348" t="s">
        <v>293</v>
      </c>
      <c r="K348">
        <v>651818</v>
      </c>
      <c r="L348" t="s">
        <v>112</v>
      </c>
      <c r="M348" t="s">
        <v>104</v>
      </c>
      <c r="N348" t="s">
        <v>57</v>
      </c>
      <c r="O348" s="1">
        <v>45510</v>
      </c>
      <c r="Q348" s="1">
        <v>45967</v>
      </c>
      <c r="R348" s="2">
        <v>118.88</v>
      </c>
      <c r="S348">
        <v>1</v>
      </c>
      <c r="T348" t="s">
        <v>58</v>
      </c>
      <c r="U348" t="s">
        <v>359</v>
      </c>
      <c r="V348" s="3">
        <v>0.15</v>
      </c>
      <c r="W348" s="2">
        <v>0</v>
      </c>
      <c r="X348">
        <v>0</v>
      </c>
      <c r="Y348" t="s">
        <v>214</v>
      </c>
      <c r="Z348" t="s">
        <v>360</v>
      </c>
      <c r="AA348">
        <v>0</v>
      </c>
      <c r="AB348" s="2">
        <v>0</v>
      </c>
      <c r="AC348" s="2">
        <v>0</v>
      </c>
      <c r="AD348" s="3">
        <v>0</v>
      </c>
      <c r="AE348" s="2">
        <v>0</v>
      </c>
      <c r="AF348" s="2">
        <v>0</v>
      </c>
      <c r="AG348" s="2">
        <v>0</v>
      </c>
      <c r="AH348" s="2">
        <v>0</v>
      </c>
      <c r="AI348" s="2">
        <v>0</v>
      </c>
      <c r="AJ348" s="2">
        <v>0</v>
      </c>
      <c r="AK348" s="2">
        <v>0</v>
      </c>
      <c r="AL348" s="2">
        <v>0</v>
      </c>
      <c r="AM348" s="2">
        <v>17.829999999999998</v>
      </c>
      <c r="AN348" s="2">
        <v>17.829999999999998</v>
      </c>
      <c r="AO348" s="2">
        <v>0</v>
      </c>
      <c r="AP348" s="2">
        <v>0</v>
      </c>
      <c r="AQ348" s="2">
        <v>0</v>
      </c>
    </row>
    <row r="349" spans="1:43" x14ac:dyDescent="0.25">
      <c r="A349" s="1">
        <v>45936</v>
      </c>
      <c r="B349" t="s">
        <v>48</v>
      </c>
      <c r="C349">
        <v>649163</v>
      </c>
      <c r="D349">
        <v>2024117993</v>
      </c>
      <c r="E349" t="s">
        <v>818</v>
      </c>
      <c r="F349" t="s">
        <v>593</v>
      </c>
      <c r="G349" t="s">
        <v>51</v>
      </c>
      <c r="H349" t="s">
        <v>115</v>
      </c>
      <c r="I349" t="s">
        <v>292</v>
      </c>
      <c r="J349" t="s">
        <v>295</v>
      </c>
      <c r="K349">
        <v>651818</v>
      </c>
      <c r="L349" t="s">
        <v>112</v>
      </c>
      <c r="M349" t="s">
        <v>104</v>
      </c>
      <c r="N349" t="s">
        <v>57</v>
      </c>
      <c r="O349" s="1">
        <v>45510</v>
      </c>
      <c r="Q349" s="1">
        <v>45967</v>
      </c>
      <c r="R349" s="2">
        <v>19.38</v>
      </c>
      <c r="S349">
        <v>1</v>
      </c>
      <c r="T349" t="s">
        <v>58</v>
      </c>
      <c r="U349" t="s">
        <v>359</v>
      </c>
      <c r="V349" s="3">
        <v>0.1</v>
      </c>
      <c r="W349" s="2">
        <v>0</v>
      </c>
      <c r="X349">
        <v>0</v>
      </c>
      <c r="Y349" t="s">
        <v>214</v>
      </c>
      <c r="Z349" t="s">
        <v>360</v>
      </c>
      <c r="AA349">
        <v>0</v>
      </c>
      <c r="AB349" s="2">
        <v>0</v>
      </c>
      <c r="AC349" s="2">
        <v>0</v>
      </c>
      <c r="AD349" s="3">
        <v>0</v>
      </c>
      <c r="AE349" s="2">
        <v>0</v>
      </c>
      <c r="AF349" s="2">
        <v>0</v>
      </c>
      <c r="AG349" s="2">
        <v>0</v>
      </c>
      <c r="AH349" s="2">
        <v>0</v>
      </c>
      <c r="AI349" s="2">
        <v>0</v>
      </c>
      <c r="AJ349" s="2">
        <v>0</v>
      </c>
      <c r="AK349" s="2">
        <v>0</v>
      </c>
      <c r="AL349" s="2">
        <v>0</v>
      </c>
      <c r="AM349" s="2">
        <v>1.94</v>
      </c>
      <c r="AN349" s="2">
        <v>1.94</v>
      </c>
      <c r="AO349" s="2">
        <v>0</v>
      </c>
      <c r="AP349" s="2">
        <v>0</v>
      </c>
      <c r="AQ349" s="2">
        <v>0</v>
      </c>
    </row>
    <row r="350" spans="1:43" x14ac:dyDescent="0.25">
      <c r="A350" s="1">
        <v>45936</v>
      </c>
      <c r="B350" t="s">
        <v>48</v>
      </c>
      <c r="C350">
        <v>649163</v>
      </c>
      <c r="D350">
        <v>2024153179</v>
      </c>
      <c r="E350" t="s">
        <v>681</v>
      </c>
      <c r="F350" t="s">
        <v>177</v>
      </c>
      <c r="G350" t="s">
        <v>51</v>
      </c>
      <c r="H350" t="s">
        <v>52</v>
      </c>
      <c r="I350" t="s">
        <v>292</v>
      </c>
      <c r="J350" t="s">
        <v>293</v>
      </c>
      <c r="K350">
        <v>651818</v>
      </c>
      <c r="L350" t="s">
        <v>112</v>
      </c>
      <c r="M350" t="s">
        <v>104</v>
      </c>
      <c r="N350" t="s">
        <v>57</v>
      </c>
      <c r="O350" s="1">
        <v>45510</v>
      </c>
      <c r="Q350" s="1">
        <v>45967</v>
      </c>
      <c r="R350" s="2">
        <v>89.52</v>
      </c>
      <c r="S350">
        <v>1</v>
      </c>
      <c r="T350" t="s">
        <v>58</v>
      </c>
      <c r="U350" t="s">
        <v>359</v>
      </c>
      <c r="V350" s="3">
        <v>0.15</v>
      </c>
      <c r="W350" s="2">
        <v>0</v>
      </c>
      <c r="X350">
        <v>0</v>
      </c>
      <c r="Y350" t="s">
        <v>214</v>
      </c>
      <c r="Z350" t="s">
        <v>360</v>
      </c>
      <c r="AA350">
        <v>0</v>
      </c>
      <c r="AB350" s="2">
        <v>0</v>
      </c>
      <c r="AC350" s="2">
        <v>0</v>
      </c>
      <c r="AD350" s="3">
        <v>0</v>
      </c>
      <c r="AE350" s="2">
        <v>0</v>
      </c>
      <c r="AF350" s="2">
        <v>0</v>
      </c>
      <c r="AG350" s="2">
        <v>0</v>
      </c>
      <c r="AH350" s="2">
        <v>0</v>
      </c>
      <c r="AI350" s="2">
        <v>0</v>
      </c>
      <c r="AJ350" s="2">
        <v>0</v>
      </c>
      <c r="AK350" s="2">
        <v>0</v>
      </c>
      <c r="AL350" s="2">
        <v>0</v>
      </c>
      <c r="AM350" s="2">
        <v>13.43</v>
      </c>
      <c r="AN350" s="2">
        <v>13.43</v>
      </c>
      <c r="AO350" s="2">
        <v>0</v>
      </c>
      <c r="AP350" s="2">
        <v>0</v>
      </c>
      <c r="AQ350" s="2">
        <v>0</v>
      </c>
    </row>
    <row r="351" spans="1:43" x14ac:dyDescent="0.25">
      <c r="A351" s="1">
        <v>45936</v>
      </c>
      <c r="B351" t="s">
        <v>48</v>
      </c>
      <c r="C351">
        <v>649163</v>
      </c>
      <c r="D351">
        <v>2024197970</v>
      </c>
      <c r="E351" t="s">
        <v>819</v>
      </c>
      <c r="F351" t="s">
        <v>820</v>
      </c>
      <c r="G351" t="s">
        <v>51</v>
      </c>
      <c r="H351" t="s">
        <v>101</v>
      </c>
      <c r="I351" t="s">
        <v>292</v>
      </c>
      <c r="J351" t="s">
        <v>293</v>
      </c>
      <c r="K351">
        <v>766747</v>
      </c>
      <c r="L351" t="s">
        <v>815</v>
      </c>
      <c r="M351" t="s">
        <v>482</v>
      </c>
      <c r="N351" t="s">
        <v>57</v>
      </c>
      <c r="O351" s="1">
        <v>45541</v>
      </c>
      <c r="Q351" s="1">
        <v>45967</v>
      </c>
      <c r="R351" s="2">
        <v>11.5</v>
      </c>
      <c r="S351">
        <v>1</v>
      </c>
      <c r="T351" t="s">
        <v>58</v>
      </c>
      <c r="U351" t="s">
        <v>359</v>
      </c>
      <c r="V351" s="3">
        <v>0.15</v>
      </c>
      <c r="W351" s="2">
        <v>0</v>
      </c>
      <c r="X351">
        <v>0</v>
      </c>
      <c r="Y351" t="s">
        <v>214</v>
      </c>
      <c r="Z351" t="s">
        <v>360</v>
      </c>
      <c r="AA351">
        <v>0</v>
      </c>
      <c r="AB351" s="2">
        <v>0</v>
      </c>
      <c r="AC351" s="2">
        <v>0</v>
      </c>
      <c r="AD351" s="3">
        <v>0</v>
      </c>
      <c r="AE351" s="2">
        <v>0</v>
      </c>
      <c r="AF351" s="2">
        <v>0</v>
      </c>
      <c r="AG351" s="2">
        <v>0</v>
      </c>
      <c r="AH351" s="2">
        <v>0</v>
      </c>
      <c r="AI351" s="2">
        <v>0</v>
      </c>
      <c r="AJ351" s="2">
        <v>0</v>
      </c>
      <c r="AK351" s="2">
        <v>0</v>
      </c>
      <c r="AL351" s="2">
        <v>0</v>
      </c>
      <c r="AM351" s="2">
        <v>1.72</v>
      </c>
      <c r="AN351" s="2">
        <v>1.72</v>
      </c>
      <c r="AO351" s="2">
        <v>0</v>
      </c>
      <c r="AP351" s="2">
        <v>0</v>
      </c>
      <c r="AQ351" s="2">
        <v>0</v>
      </c>
    </row>
    <row r="352" spans="1:43" x14ac:dyDescent="0.25">
      <c r="A352" s="1">
        <v>45936</v>
      </c>
      <c r="B352" t="s">
        <v>48</v>
      </c>
      <c r="C352">
        <v>649163</v>
      </c>
      <c r="D352">
        <v>2024202345</v>
      </c>
      <c r="E352" t="s">
        <v>821</v>
      </c>
      <c r="F352" t="s">
        <v>301</v>
      </c>
      <c r="G352" t="s">
        <v>51</v>
      </c>
      <c r="H352" t="s">
        <v>101</v>
      </c>
      <c r="I352" t="s">
        <v>292</v>
      </c>
      <c r="J352" t="s">
        <v>293</v>
      </c>
      <c r="K352">
        <v>766747</v>
      </c>
      <c r="L352" t="s">
        <v>815</v>
      </c>
      <c r="M352" t="s">
        <v>482</v>
      </c>
      <c r="N352" t="s">
        <v>57</v>
      </c>
      <c r="O352" s="1">
        <v>45541</v>
      </c>
      <c r="Q352" s="1">
        <v>45967</v>
      </c>
      <c r="R352" s="2">
        <v>130.72</v>
      </c>
      <c r="S352">
        <v>1</v>
      </c>
      <c r="T352" t="s">
        <v>58</v>
      </c>
      <c r="U352" t="s">
        <v>359</v>
      </c>
      <c r="V352" s="3">
        <v>0.15</v>
      </c>
      <c r="W352" s="2">
        <v>0</v>
      </c>
      <c r="X352">
        <v>0</v>
      </c>
      <c r="Y352" t="s">
        <v>214</v>
      </c>
      <c r="Z352" t="s">
        <v>360</v>
      </c>
      <c r="AA352">
        <v>0</v>
      </c>
      <c r="AB352" s="2">
        <v>0</v>
      </c>
      <c r="AC352" s="2">
        <v>0</v>
      </c>
      <c r="AD352" s="3">
        <v>0</v>
      </c>
      <c r="AE352" s="2">
        <v>0</v>
      </c>
      <c r="AF352" s="2">
        <v>0</v>
      </c>
      <c r="AG352" s="2">
        <v>0</v>
      </c>
      <c r="AH352" s="2">
        <v>0</v>
      </c>
      <c r="AI352" s="2">
        <v>0</v>
      </c>
      <c r="AJ352" s="2">
        <v>0</v>
      </c>
      <c r="AK352" s="2">
        <v>0</v>
      </c>
      <c r="AL352" s="2">
        <v>0</v>
      </c>
      <c r="AM352" s="2">
        <v>19.61</v>
      </c>
      <c r="AN352" s="2">
        <v>19.61</v>
      </c>
      <c r="AO352" s="2">
        <v>0</v>
      </c>
      <c r="AP352" s="2">
        <v>0</v>
      </c>
      <c r="AQ352" s="2">
        <v>0</v>
      </c>
    </row>
    <row r="353" spans="1:43" x14ac:dyDescent="0.25">
      <c r="A353" s="1">
        <v>45936</v>
      </c>
      <c r="B353" t="s">
        <v>48</v>
      </c>
      <c r="C353">
        <v>649163</v>
      </c>
      <c r="D353">
        <v>2024314176</v>
      </c>
      <c r="E353" t="s">
        <v>682</v>
      </c>
      <c r="F353" t="s">
        <v>683</v>
      </c>
      <c r="G353" t="s">
        <v>51</v>
      </c>
      <c r="H353" t="s">
        <v>670</v>
      </c>
      <c r="I353" t="s">
        <v>292</v>
      </c>
      <c r="J353" t="s">
        <v>293</v>
      </c>
      <c r="K353">
        <v>767312</v>
      </c>
      <c r="L353" t="s">
        <v>283</v>
      </c>
      <c r="M353" t="s">
        <v>284</v>
      </c>
      <c r="N353" t="s">
        <v>57</v>
      </c>
      <c r="O353" s="1">
        <v>45514</v>
      </c>
      <c r="Q353" s="1">
        <v>45971</v>
      </c>
      <c r="R353" s="2">
        <v>15.75</v>
      </c>
      <c r="S353">
        <v>1</v>
      </c>
      <c r="T353" t="s">
        <v>58</v>
      </c>
      <c r="U353" t="s">
        <v>359</v>
      </c>
      <c r="V353" s="3">
        <v>0.15</v>
      </c>
      <c r="W353" s="2">
        <v>0</v>
      </c>
      <c r="X353">
        <v>0</v>
      </c>
      <c r="Y353" t="s">
        <v>214</v>
      </c>
      <c r="Z353" t="s">
        <v>360</v>
      </c>
      <c r="AA353">
        <v>0</v>
      </c>
      <c r="AB353" s="2">
        <v>0</v>
      </c>
      <c r="AC353" s="2">
        <v>0</v>
      </c>
      <c r="AD353" s="3">
        <v>0</v>
      </c>
      <c r="AE353" s="2">
        <v>0</v>
      </c>
      <c r="AF353" s="2">
        <v>0</v>
      </c>
      <c r="AG353" s="2">
        <v>0</v>
      </c>
      <c r="AH353" s="2">
        <v>0</v>
      </c>
      <c r="AI353" s="2">
        <v>0</v>
      </c>
      <c r="AJ353" s="2">
        <v>0</v>
      </c>
      <c r="AK353" s="2">
        <v>0</v>
      </c>
      <c r="AL353" s="2">
        <v>0</v>
      </c>
      <c r="AM353" s="2">
        <v>2.36</v>
      </c>
      <c r="AN353" s="2">
        <v>2.36</v>
      </c>
      <c r="AO353" s="2">
        <v>0</v>
      </c>
      <c r="AP353" s="2">
        <v>0</v>
      </c>
      <c r="AQ353" s="2">
        <v>0</v>
      </c>
    </row>
    <row r="354" spans="1:43" x14ac:dyDescent="0.25">
      <c r="A354" s="1">
        <v>45936</v>
      </c>
      <c r="B354" t="s">
        <v>48</v>
      </c>
      <c r="C354">
        <v>649163</v>
      </c>
      <c r="D354">
        <v>2024324040</v>
      </c>
      <c r="E354" t="s">
        <v>380</v>
      </c>
      <c r="F354" t="s">
        <v>381</v>
      </c>
      <c r="G354" t="s">
        <v>51</v>
      </c>
      <c r="H354" t="s">
        <v>382</v>
      </c>
      <c r="I354" t="s">
        <v>292</v>
      </c>
      <c r="J354" t="s">
        <v>293</v>
      </c>
      <c r="K354">
        <v>650218</v>
      </c>
      <c r="L354" t="s">
        <v>237</v>
      </c>
      <c r="M354" t="s">
        <v>238</v>
      </c>
      <c r="N354" t="s">
        <v>57</v>
      </c>
      <c r="O354" s="1">
        <v>45514</v>
      </c>
      <c r="Q354" s="1">
        <v>45971</v>
      </c>
      <c r="R354" s="2">
        <v>25.55</v>
      </c>
      <c r="S354">
        <v>1</v>
      </c>
      <c r="T354" t="s">
        <v>58</v>
      </c>
      <c r="U354" t="s">
        <v>359</v>
      </c>
      <c r="V354" s="3">
        <v>0.15</v>
      </c>
      <c r="W354" s="2">
        <v>0</v>
      </c>
      <c r="X354">
        <v>0</v>
      </c>
      <c r="Y354" t="s">
        <v>214</v>
      </c>
      <c r="Z354" t="s">
        <v>360</v>
      </c>
      <c r="AA354">
        <v>0</v>
      </c>
      <c r="AB354" s="2">
        <v>0</v>
      </c>
      <c r="AC354" s="2">
        <v>0</v>
      </c>
      <c r="AD354" s="3">
        <v>0</v>
      </c>
      <c r="AE354" s="2">
        <v>0</v>
      </c>
      <c r="AF354" s="2">
        <v>0</v>
      </c>
      <c r="AG354" s="2">
        <v>0</v>
      </c>
      <c r="AH354" s="2">
        <v>0</v>
      </c>
      <c r="AI354" s="2">
        <v>0</v>
      </c>
      <c r="AJ354" s="2">
        <v>0</v>
      </c>
      <c r="AK354" s="2">
        <v>0</v>
      </c>
      <c r="AL354" s="2">
        <v>0</v>
      </c>
      <c r="AM354" s="2">
        <v>3.83</v>
      </c>
      <c r="AN354" s="2">
        <v>3.83</v>
      </c>
      <c r="AO354" s="2">
        <v>0</v>
      </c>
      <c r="AP354" s="2">
        <v>0</v>
      </c>
      <c r="AQ354" s="2">
        <v>0</v>
      </c>
    </row>
    <row r="355" spans="1:43" x14ac:dyDescent="0.25">
      <c r="A355" s="1">
        <v>45936</v>
      </c>
      <c r="B355" t="s">
        <v>48</v>
      </c>
      <c r="C355">
        <v>649163</v>
      </c>
      <c r="D355">
        <v>2024526717</v>
      </c>
      <c r="E355" t="s">
        <v>822</v>
      </c>
      <c r="F355" t="s">
        <v>653</v>
      </c>
      <c r="G355" t="s">
        <v>51</v>
      </c>
      <c r="H355" t="s">
        <v>101</v>
      </c>
      <c r="I355" t="s">
        <v>292</v>
      </c>
      <c r="J355" t="s">
        <v>293</v>
      </c>
      <c r="K355">
        <v>766747</v>
      </c>
      <c r="L355" t="s">
        <v>815</v>
      </c>
      <c r="M355" t="s">
        <v>482</v>
      </c>
      <c r="N355" t="s">
        <v>57</v>
      </c>
      <c r="O355" s="1">
        <v>45541</v>
      </c>
      <c r="Q355" s="1">
        <v>45967</v>
      </c>
      <c r="R355" s="2">
        <v>57.03</v>
      </c>
      <c r="S355">
        <v>1</v>
      </c>
      <c r="T355" t="s">
        <v>58</v>
      </c>
      <c r="U355" t="s">
        <v>359</v>
      </c>
      <c r="V355" s="3">
        <v>0.15</v>
      </c>
      <c r="W355" s="2">
        <v>0</v>
      </c>
      <c r="X355">
        <v>0</v>
      </c>
      <c r="Y355" t="s">
        <v>214</v>
      </c>
      <c r="Z355" t="s">
        <v>360</v>
      </c>
      <c r="AA355">
        <v>0</v>
      </c>
      <c r="AB355" s="2">
        <v>0</v>
      </c>
      <c r="AC355" s="2">
        <v>0</v>
      </c>
      <c r="AD355" s="3">
        <v>0</v>
      </c>
      <c r="AE355" s="2">
        <v>0</v>
      </c>
      <c r="AF355" s="2">
        <v>0</v>
      </c>
      <c r="AG355" s="2">
        <v>0</v>
      </c>
      <c r="AH355" s="2">
        <v>0</v>
      </c>
      <c r="AI355" s="2">
        <v>0</v>
      </c>
      <c r="AJ355" s="2">
        <v>0</v>
      </c>
      <c r="AK355" s="2">
        <v>0</v>
      </c>
      <c r="AL355" s="2">
        <v>0</v>
      </c>
      <c r="AM355" s="2">
        <v>8.5500000000000007</v>
      </c>
      <c r="AN355" s="2">
        <v>8.5500000000000007</v>
      </c>
      <c r="AO355" s="2">
        <v>0</v>
      </c>
      <c r="AP355" s="2">
        <v>0</v>
      </c>
      <c r="AQ355" s="2">
        <v>0</v>
      </c>
    </row>
    <row r="356" spans="1:43" x14ac:dyDescent="0.25">
      <c r="A356" s="1">
        <v>45936</v>
      </c>
      <c r="B356" t="s">
        <v>48</v>
      </c>
      <c r="C356">
        <v>649163</v>
      </c>
      <c r="D356">
        <v>2024529137</v>
      </c>
      <c r="E356" t="s">
        <v>823</v>
      </c>
      <c r="F356" t="s">
        <v>824</v>
      </c>
      <c r="G356" t="s">
        <v>51</v>
      </c>
      <c r="H356" t="s">
        <v>101</v>
      </c>
      <c r="I356" t="s">
        <v>292</v>
      </c>
      <c r="J356" t="s">
        <v>293</v>
      </c>
      <c r="K356">
        <v>766747</v>
      </c>
      <c r="L356" t="s">
        <v>815</v>
      </c>
      <c r="M356" t="s">
        <v>482</v>
      </c>
      <c r="N356" t="s">
        <v>57</v>
      </c>
      <c r="O356" s="1">
        <v>45541</v>
      </c>
      <c r="Q356" s="1">
        <v>45967</v>
      </c>
      <c r="R356" s="2">
        <v>34.68</v>
      </c>
      <c r="S356">
        <v>1</v>
      </c>
      <c r="T356" t="s">
        <v>58</v>
      </c>
      <c r="U356" t="s">
        <v>359</v>
      </c>
      <c r="V356" s="3">
        <v>0.15</v>
      </c>
      <c r="W356" s="2">
        <v>0</v>
      </c>
      <c r="X356">
        <v>0</v>
      </c>
      <c r="Y356" t="s">
        <v>214</v>
      </c>
      <c r="Z356" t="s">
        <v>360</v>
      </c>
      <c r="AA356">
        <v>0</v>
      </c>
      <c r="AB356" s="2">
        <v>0</v>
      </c>
      <c r="AC356" s="2">
        <v>0</v>
      </c>
      <c r="AD356" s="3">
        <v>0</v>
      </c>
      <c r="AE356" s="2">
        <v>0</v>
      </c>
      <c r="AF356" s="2">
        <v>0</v>
      </c>
      <c r="AG356" s="2">
        <v>0</v>
      </c>
      <c r="AH356" s="2">
        <v>0</v>
      </c>
      <c r="AI356" s="2">
        <v>0</v>
      </c>
      <c r="AJ356" s="2">
        <v>0</v>
      </c>
      <c r="AK356" s="2">
        <v>0</v>
      </c>
      <c r="AL356" s="2">
        <v>0</v>
      </c>
      <c r="AM356" s="2">
        <v>5.2</v>
      </c>
      <c r="AN356" s="2">
        <v>5.2</v>
      </c>
      <c r="AO356" s="2">
        <v>0</v>
      </c>
      <c r="AP356" s="2">
        <v>0</v>
      </c>
      <c r="AQ356" s="2">
        <v>0</v>
      </c>
    </row>
    <row r="357" spans="1:43" x14ac:dyDescent="0.25">
      <c r="A357" s="1">
        <v>45936</v>
      </c>
      <c r="B357" t="s">
        <v>48</v>
      </c>
      <c r="C357">
        <v>649163</v>
      </c>
      <c r="D357">
        <v>2024530409</v>
      </c>
      <c r="E357" t="s">
        <v>825</v>
      </c>
      <c r="F357" t="s">
        <v>124</v>
      </c>
      <c r="G357" t="s">
        <v>51</v>
      </c>
      <c r="H357" t="s">
        <v>101</v>
      </c>
      <c r="I357" t="s">
        <v>292</v>
      </c>
      <c r="J357" t="s">
        <v>293</v>
      </c>
      <c r="K357">
        <v>766747</v>
      </c>
      <c r="L357" t="s">
        <v>815</v>
      </c>
      <c r="M357" t="s">
        <v>482</v>
      </c>
      <c r="N357" t="s">
        <v>57</v>
      </c>
      <c r="O357" s="1">
        <v>45541</v>
      </c>
      <c r="Q357" s="1">
        <v>45967</v>
      </c>
      <c r="R357" s="2">
        <v>121.18</v>
      </c>
      <c r="S357">
        <v>1</v>
      </c>
      <c r="T357" t="s">
        <v>58</v>
      </c>
      <c r="U357" t="s">
        <v>359</v>
      </c>
      <c r="V357" s="3">
        <v>0.15</v>
      </c>
      <c r="W357" s="2">
        <v>0</v>
      </c>
      <c r="X357">
        <v>0</v>
      </c>
      <c r="Y357" t="s">
        <v>214</v>
      </c>
      <c r="Z357" t="s">
        <v>360</v>
      </c>
      <c r="AA357">
        <v>0</v>
      </c>
      <c r="AB357" s="2">
        <v>0</v>
      </c>
      <c r="AC357" s="2">
        <v>0</v>
      </c>
      <c r="AD357" s="3">
        <v>0</v>
      </c>
      <c r="AE357" s="2">
        <v>0</v>
      </c>
      <c r="AF357" s="2">
        <v>0</v>
      </c>
      <c r="AG357" s="2">
        <v>0</v>
      </c>
      <c r="AH357" s="2">
        <v>0</v>
      </c>
      <c r="AI357" s="2">
        <v>0</v>
      </c>
      <c r="AJ357" s="2">
        <v>0</v>
      </c>
      <c r="AK357" s="2">
        <v>0</v>
      </c>
      <c r="AL357" s="2">
        <v>0</v>
      </c>
      <c r="AM357" s="2">
        <v>18.18</v>
      </c>
      <c r="AN357" s="2">
        <v>18.18</v>
      </c>
      <c r="AO357" s="2">
        <v>0</v>
      </c>
      <c r="AP357" s="2">
        <v>0</v>
      </c>
      <c r="AQ357" s="2">
        <v>0</v>
      </c>
    </row>
    <row r="358" spans="1:43" x14ac:dyDescent="0.25">
      <c r="A358" s="1">
        <v>45936</v>
      </c>
      <c r="B358" t="s">
        <v>48</v>
      </c>
      <c r="C358">
        <v>649163</v>
      </c>
      <c r="D358">
        <v>2024569206</v>
      </c>
      <c r="E358" t="s">
        <v>826</v>
      </c>
      <c r="F358" t="s">
        <v>827</v>
      </c>
      <c r="G358" t="s">
        <v>51</v>
      </c>
      <c r="H358" t="s">
        <v>382</v>
      </c>
      <c r="I358" t="s">
        <v>292</v>
      </c>
      <c r="J358" t="s">
        <v>293</v>
      </c>
      <c r="K358">
        <v>649247</v>
      </c>
      <c r="L358" t="s">
        <v>75</v>
      </c>
      <c r="M358" t="s">
        <v>76</v>
      </c>
      <c r="N358" t="s">
        <v>57</v>
      </c>
      <c r="O358" s="1">
        <v>45531</v>
      </c>
      <c r="Q358" s="1">
        <v>45957</v>
      </c>
      <c r="R358" s="2">
        <v>10.82</v>
      </c>
      <c r="S358">
        <v>1</v>
      </c>
      <c r="T358" t="s">
        <v>58</v>
      </c>
      <c r="U358" t="s">
        <v>359</v>
      </c>
      <c r="V358" s="3">
        <v>0.15</v>
      </c>
      <c r="W358" s="2">
        <v>0</v>
      </c>
      <c r="X358">
        <v>0</v>
      </c>
      <c r="Y358" t="s">
        <v>214</v>
      </c>
      <c r="Z358" t="s">
        <v>360</v>
      </c>
      <c r="AA358">
        <v>0</v>
      </c>
      <c r="AB358" s="2">
        <v>0</v>
      </c>
      <c r="AC358" s="2">
        <v>0</v>
      </c>
      <c r="AD358" s="3">
        <v>0</v>
      </c>
      <c r="AE358" s="2">
        <v>0</v>
      </c>
      <c r="AF358" s="2">
        <v>0</v>
      </c>
      <c r="AG358" s="2">
        <v>0</v>
      </c>
      <c r="AH358" s="2">
        <v>0</v>
      </c>
      <c r="AI358" s="2">
        <v>0</v>
      </c>
      <c r="AJ358" s="2">
        <v>0</v>
      </c>
      <c r="AK358" s="2">
        <v>0</v>
      </c>
      <c r="AL358" s="2">
        <v>0</v>
      </c>
      <c r="AM358" s="2">
        <v>1.62</v>
      </c>
      <c r="AN358" s="2">
        <v>1.62</v>
      </c>
      <c r="AO358" s="2">
        <v>0</v>
      </c>
      <c r="AP358" s="2">
        <v>0</v>
      </c>
      <c r="AQ358" s="2">
        <v>0</v>
      </c>
    </row>
    <row r="359" spans="1:43" x14ac:dyDescent="0.25">
      <c r="A359" s="1">
        <v>45936</v>
      </c>
      <c r="B359" t="s">
        <v>48</v>
      </c>
      <c r="C359">
        <v>649163</v>
      </c>
      <c r="D359">
        <v>2024598451</v>
      </c>
      <c r="E359" t="s">
        <v>684</v>
      </c>
      <c r="F359" t="s">
        <v>685</v>
      </c>
      <c r="G359" t="s">
        <v>51</v>
      </c>
      <c r="H359" t="s">
        <v>101</v>
      </c>
      <c r="I359" t="s">
        <v>292</v>
      </c>
      <c r="J359" t="s">
        <v>295</v>
      </c>
      <c r="K359">
        <v>651818</v>
      </c>
      <c r="L359" t="s">
        <v>112</v>
      </c>
      <c r="M359" t="s">
        <v>104</v>
      </c>
      <c r="N359" t="s">
        <v>57</v>
      </c>
      <c r="O359" s="1">
        <v>45542</v>
      </c>
      <c r="Q359" s="1">
        <v>45968</v>
      </c>
      <c r="R359" s="2">
        <v>51.63</v>
      </c>
      <c r="S359">
        <v>1</v>
      </c>
      <c r="T359" t="s">
        <v>58</v>
      </c>
      <c r="U359" t="s">
        <v>359</v>
      </c>
      <c r="V359" s="3">
        <v>0.1</v>
      </c>
      <c r="W359" s="2">
        <v>0</v>
      </c>
      <c r="X359">
        <v>0</v>
      </c>
      <c r="Y359" t="s">
        <v>214</v>
      </c>
      <c r="Z359" t="s">
        <v>360</v>
      </c>
      <c r="AA359">
        <v>0</v>
      </c>
      <c r="AB359" s="2">
        <v>0</v>
      </c>
      <c r="AC359" s="2">
        <v>0</v>
      </c>
      <c r="AD359" s="3">
        <v>0</v>
      </c>
      <c r="AE359" s="2">
        <v>0</v>
      </c>
      <c r="AF359" s="2">
        <v>0</v>
      </c>
      <c r="AG359" s="2">
        <v>0</v>
      </c>
      <c r="AH359" s="2">
        <v>0</v>
      </c>
      <c r="AI359" s="2">
        <v>0</v>
      </c>
      <c r="AJ359" s="2">
        <v>0</v>
      </c>
      <c r="AK359" s="2">
        <v>0</v>
      </c>
      <c r="AL359" s="2">
        <v>0</v>
      </c>
      <c r="AM359" s="2">
        <v>5.16</v>
      </c>
      <c r="AN359" s="2">
        <v>5.16</v>
      </c>
      <c r="AO359" s="2">
        <v>0</v>
      </c>
      <c r="AP359" s="2">
        <v>0</v>
      </c>
      <c r="AQ359" s="2">
        <v>0</v>
      </c>
    </row>
    <row r="360" spans="1:43" x14ac:dyDescent="0.25">
      <c r="A360" s="1">
        <v>45936</v>
      </c>
      <c r="B360" t="s">
        <v>48</v>
      </c>
      <c r="C360">
        <v>649163</v>
      </c>
      <c r="D360">
        <v>2024630488</v>
      </c>
      <c r="E360" t="s">
        <v>828</v>
      </c>
      <c r="F360" t="s">
        <v>687</v>
      </c>
      <c r="G360" t="s">
        <v>51</v>
      </c>
      <c r="H360" t="s">
        <v>101</v>
      </c>
      <c r="I360" t="s">
        <v>292</v>
      </c>
      <c r="J360" t="s">
        <v>293</v>
      </c>
      <c r="K360">
        <v>766747</v>
      </c>
      <c r="L360" t="s">
        <v>815</v>
      </c>
      <c r="M360" t="s">
        <v>482</v>
      </c>
      <c r="N360" t="s">
        <v>57</v>
      </c>
      <c r="O360" s="1">
        <v>45541</v>
      </c>
      <c r="Q360" s="1">
        <v>45967</v>
      </c>
      <c r="R360" s="2">
        <v>15.75</v>
      </c>
      <c r="S360">
        <v>1</v>
      </c>
      <c r="T360" t="s">
        <v>58</v>
      </c>
      <c r="U360" t="s">
        <v>359</v>
      </c>
      <c r="V360" s="3">
        <v>0.15</v>
      </c>
      <c r="W360" s="2">
        <v>0</v>
      </c>
      <c r="X360">
        <v>0</v>
      </c>
      <c r="Y360" t="s">
        <v>214</v>
      </c>
      <c r="Z360" t="s">
        <v>360</v>
      </c>
      <c r="AA360">
        <v>0</v>
      </c>
      <c r="AB360" s="2">
        <v>0</v>
      </c>
      <c r="AC360" s="2">
        <v>0</v>
      </c>
      <c r="AD360" s="3">
        <v>0</v>
      </c>
      <c r="AE360" s="2">
        <v>0</v>
      </c>
      <c r="AF360" s="2">
        <v>0</v>
      </c>
      <c r="AG360" s="2">
        <v>0</v>
      </c>
      <c r="AH360" s="2">
        <v>0</v>
      </c>
      <c r="AI360" s="2">
        <v>0</v>
      </c>
      <c r="AJ360" s="2">
        <v>0</v>
      </c>
      <c r="AK360" s="2">
        <v>0</v>
      </c>
      <c r="AL360" s="2">
        <v>0</v>
      </c>
      <c r="AM360" s="2">
        <v>2.36</v>
      </c>
      <c r="AN360" s="2">
        <v>2.36</v>
      </c>
      <c r="AO360" s="2">
        <v>0</v>
      </c>
      <c r="AP360" s="2">
        <v>0</v>
      </c>
      <c r="AQ360" s="2">
        <v>0</v>
      </c>
    </row>
    <row r="361" spans="1:43" x14ac:dyDescent="0.25">
      <c r="A361" s="1">
        <v>45936</v>
      </c>
      <c r="B361" t="s">
        <v>48</v>
      </c>
      <c r="C361">
        <v>649163</v>
      </c>
      <c r="D361">
        <v>2024680807</v>
      </c>
      <c r="E361" t="s">
        <v>829</v>
      </c>
      <c r="F361" t="s">
        <v>830</v>
      </c>
      <c r="G361" t="s">
        <v>51</v>
      </c>
      <c r="H361" t="s">
        <v>52</v>
      </c>
      <c r="I361" t="s">
        <v>292</v>
      </c>
      <c r="J361" t="s">
        <v>293</v>
      </c>
      <c r="K361">
        <v>767312</v>
      </c>
      <c r="L361" t="s">
        <v>283</v>
      </c>
      <c r="M361" t="s">
        <v>284</v>
      </c>
      <c r="N361" t="s">
        <v>57</v>
      </c>
      <c r="O361" s="1">
        <v>45575</v>
      </c>
      <c r="Q361" s="1">
        <v>45971</v>
      </c>
      <c r="R361" s="2">
        <v>89.52</v>
      </c>
      <c r="S361">
        <v>1</v>
      </c>
      <c r="T361" t="s">
        <v>58</v>
      </c>
      <c r="U361" t="s">
        <v>359</v>
      </c>
      <c r="V361" s="3">
        <v>0.15</v>
      </c>
      <c r="W361" s="2">
        <v>0</v>
      </c>
      <c r="X361">
        <v>0</v>
      </c>
      <c r="Y361" t="s">
        <v>214</v>
      </c>
      <c r="Z361" t="s">
        <v>360</v>
      </c>
      <c r="AA361">
        <v>0</v>
      </c>
      <c r="AB361" s="2">
        <v>0</v>
      </c>
      <c r="AC361" s="2">
        <v>0</v>
      </c>
      <c r="AD361" s="3">
        <v>0</v>
      </c>
      <c r="AE361" s="2">
        <v>0</v>
      </c>
      <c r="AF361" s="2">
        <v>0</v>
      </c>
      <c r="AG361" s="2">
        <v>0</v>
      </c>
      <c r="AH361" s="2">
        <v>0</v>
      </c>
      <c r="AI361" s="2">
        <v>0</v>
      </c>
      <c r="AJ361" s="2">
        <v>0</v>
      </c>
      <c r="AK361" s="2">
        <v>0</v>
      </c>
      <c r="AL361" s="2">
        <v>0</v>
      </c>
      <c r="AM361" s="2">
        <v>13.43</v>
      </c>
      <c r="AN361" s="2">
        <v>13.43</v>
      </c>
      <c r="AO361" s="2">
        <v>0</v>
      </c>
      <c r="AP361" s="2">
        <v>0</v>
      </c>
      <c r="AQ361" s="2">
        <v>0</v>
      </c>
    </row>
    <row r="362" spans="1:43" x14ac:dyDescent="0.25">
      <c r="A362" s="1">
        <v>45936</v>
      </c>
      <c r="B362" t="s">
        <v>48</v>
      </c>
      <c r="C362">
        <v>649163</v>
      </c>
      <c r="D362">
        <v>2024754200</v>
      </c>
      <c r="E362" t="s">
        <v>831</v>
      </c>
      <c r="F362" t="s">
        <v>832</v>
      </c>
      <c r="G362" t="s">
        <v>51</v>
      </c>
      <c r="H362" t="s">
        <v>52</v>
      </c>
      <c r="I362" t="s">
        <v>292</v>
      </c>
      <c r="J362" t="s">
        <v>295</v>
      </c>
      <c r="K362">
        <v>767312</v>
      </c>
      <c r="L362" t="s">
        <v>283</v>
      </c>
      <c r="M362" t="s">
        <v>284</v>
      </c>
      <c r="N362" t="s">
        <v>57</v>
      </c>
      <c r="O362" s="1">
        <v>45542</v>
      </c>
      <c r="Q362" s="1">
        <v>45968</v>
      </c>
      <c r="R362" s="2">
        <v>29.25</v>
      </c>
      <c r="S362">
        <v>1</v>
      </c>
      <c r="T362" t="s">
        <v>58</v>
      </c>
      <c r="U362" t="s">
        <v>359</v>
      </c>
      <c r="V362" s="3">
        <v>0.1</v>
      </c>
      <c r="W362" s="2">
        <v>0</v>
      </c>
      <c r="X362">
        <v>0</v>
      </c>
      <c r="Y362" t="s">
        <v>214</v>
      </c>
      <c r="Z362" t="s">
        <v>360</v>
      </c>
      <c r="AA362">
        <v>0</v>
      </c>
      <c r="AB362" s="2">
        <v>0</v>
      </c>
      <c r="AC362" s="2">
        <v>0</v>
      </c>
      <c r="AD362" s="3">
        <v>0</v>
      </c>
      <c r="AE362" s="2">
        <v>0</v>
      </c>
      <c r="AF362" s="2">
        <v>0</v>
      </c>
      <c r="AG362" s="2">
        <v>0</v>
      </c>
      <c r="AH362" s="2">
        <v>0</v>
      </c>
      <c r="AI362" s="2">
        <v>0</v>
      </c>
      <c r="AJ362" s="2">
        <v>0</v>
      </c>
      <c r="AK362" s="2">
        <v>0</v>
      </c>
      <c r="AL362" s="2">
        <v>0</v>
      </c>
      <c r="AM362" s="2">
        <v>2.92</v>
      </c>
      <c r="AN362" s="2">
        <v>2.92</v>
      </c>
      <c r="AO362" s="2">
        <v>0</v>
      </c>
      <c r="AP362" s="2">
        <v>0</v>
      </c>
      <c r="AQ362" s="2">
        <v>0</v>
      </c>
    </row>
    <row r="363" spans="1:43" x14ac:dyDescent="0.25">
      <c r="A363" s="1">
        <v>45936</v>
      </c>
      <c r="B363" t="s">
        <v>48</v>
      </c>
      <c r="C363">
        <v>649163</v>
      </c>
      <c r="D363">
        <v>2024778647</v>
      </c>
      <c r="E363" t="s">
        <v>833</v>
      </c>
      <c r="F363" t="s">
        <v>834</v>
      </c>
      <c r="G363" t="s">
        <v>51</v>
      </c>
      <c r="H363" t="s">
        <v>101</v>
      </c>
      <c r="I363" t="s">
        <v>292</v>
      </c>
      <c r="J363" t="s">
        <v>293</v>
      </c>
      <c r="K363">
        <v>766747</v>
      </c>
      <c r="L363" t="s">
        <v>815</v>
      </c>
      <c r="M363" t="s">
        <v>482</v>
      </c>
      <c r="N363" t="s">
        <v>57</v>
      </c>
      <c r="O363" s="1">
        <v>45545</v>
      </c>
      <c r="Q363" s="1">
        <v>45971</v>
      </c>
      <c r="R363" s="2">
        <v>11.5</v>
      </c>
      <c r="S363">
        <v>1</v>
      </c>
      <c r="T363" t="s">
        <v>58</v>
      </c>
      <c r="U363" t="s">
        <v>359</v>
      </c>
      <c r="V363" s="3">
        <v>0.15</v>
      </c>
      <c r="W363" s="2">
        <v>0</v>
      </c>
      <c r="X363">
        <v>0</v>
      </c>
      <c r="Y363" t="s">
        <v>214</v>
      </c>
      <c r="Z363" t="s">
        <v>360</v>
      </c>
      <c r="AA363">
        <v>0</v>
      </c>
      <c r="AB363" s="2">
        <v>0</v>
      </c>
      <c r="AC363" s="2">
        <v>0</v>
      </c>
      <c r="AD363" s="3">
        <v>0</v>
      </c>
      <c r="AE363" s="2">
        <v>0</v>
      </c>
      <c r="AF363" s="2">
        <v>0</v>
      </c>
      <c r="AG363" s="2">
        <v>0</v>
      </c>
      <c r="AH363" s="2">
        <v>0</v>
      </c>
      <c r="AI363" s="2">
        <v>0</v>
      </c>
      <c r="AJ363" s="2">
        <v>0</v>
      </c>
      <c r="AK363" s="2">
        <v>0</v>
      </c>
      <c r="AL363" s="2">
        <v>0</v>
      </c>
      <c r="AM363" s="2">
        <v>1.72</v>
      </c>
      <c r="AN363" s="2">
        <v>1.72</v>
      </c>
      <c r="AO363" s="2">
        <v>0</v>
      </c>
      <c r="AP363" s="2">
        <v>0</v>
      </c>
      <c r="AQ363" s="2">
        <v>0</v>
      </c>
    </row>
    <row r="364" spans="1:43" x14ac:dyDescent="0.25">
      <c r="A364" s="1">
        <v>45936</v>
      </c>
      <c r="B364" t="s">
        <v>48</v>
      </c>
      <c r="C364">
        <v>649163</v>
      </c>
      <c r="D364">
        <v>2024789926</v>
      </c>
      <c r="E364" t="s">
        <v>686</v>
      </c>
      <c r="F364" t="s">
        <v>687</v>
      </c>
      <c r="G364" t="s">
        <v>51</v>
      </c>
      <c r="H364" t="s">
        <v>88</v>
      </c>
      <c r="I364" t="s">
        <v>292</v>
      </c>
      <c r="J364" t="s">
        <v>293</v>
      </c>
      <c r="K364">
        <v>767312</v>
      </c>
      <c r="L364" t="s">
        <v>283</v>
      </c>
      <c r="M364" t="s">
        <v>284</v>
      </c>
      <c r="N364" t="s">
        <v>57</v>
      </c>
      <c r="O364" s="1">
        <v>45545</v>
      </c>
      <c r="Q364" s="1">
        <v>45971</v>
      </c>
      <c r="R364" s="2">
        <v>18.920000000000002</v>
      </c>
      <c r="S364">
        <v>1</v>
      </c>
      <c r="T364" t="s">
        <v>58</v>
      </c>
      <c r="U364" t="s">
        <v>359</v>
      </c>
      <c r="V364" s="3">
        <v>0.15</v>
      </c>
      <c r="W364" s="2">
        <v>0</v>
      </c>
      <c r="X364">
        <v>0</v>
      </c>
      <c r="Y364" t="s">
        <v>214</v>
      </c>
      <c r="Z364" t="s">
        <v>360</v>
      </c>
      <c r="AA364">
        <v>0</v>
      </c>
      <c r="AB364" s="2">
        <v>0</v>
      </c>
      <c r="AC364" s="2">
        <v>0</v>
      </c>
      <c r="AD364" s="3">
        <v>0</v>
      </c>
      <c r="AE364" s="2">
        <v>0</v>
      </c>
      <c r="AF364" s="2">
        <v>0</v>
      </c>
      <c r="AG364" s="2">
        <v>0</v>
      </c>
      <c r="AH364" s="2">
        <v>0</v>
      </c>
      <c r="AI364" s="2">
        <v>0</v>
      </c>
      <c r="AJ364" s="2">
        <v>0</v>
      </c>
      <c r="AK364" s="2">
        <v>0</v>
      </c>
      <c r="AL364" s="2">
        <v>0</v>
      </c>
      <c r="AM364" s="2">
        <v>2.84</v>
      </c>
      <c r="AN364" s="2">
        <v>2.84</v>
      </c>
      <c r="AO364" s="2">
        <v>0</v>
      </c>
      <c r="AP364" s="2">
        <v>0</v>
      </c>
      <c r="AQ364" s="2">
        <v>0</v>
      </c>
    </row>
    <row r="365" spans="1:43" x14ac:dyDescent="0.25">
      <c r="A365" s="1">
        <v>45936</v>
      </c>
      <c r="B365" t="s">
        <v>48</v>
      </c>
      <c r="C365">
        <v>649163</v>
      </c>
      <c r="D365">
        <v>2024789927</v>
      </c>
      <c r="E365" t="s">
        <v>686</v>
      </c>
      <c r="F365" t="s">
        <v>687</v>
      </c>
      <c r="G365" t="s">
        <v>51</v>
      </c>
      <c r="H365" t="s">
        <v>88</v>
      </c>
      <c r="I365" t="s">
        <v>292</v>
      </c>
      <c r="J365" t="s">
        <v>295</v>
      </c>
      <c r="K365">
        <v>767312</v>
      </c>
      <c r="L365" t="s">
        <v>283</v>
      </c>
      <c r="M365" t="s">
        <v>284</v>
      </c>
      <c r="N365" t="s">
        <v>57</v>
      </c>
      <c r="O365" s="1">
        <v>45545</v>
      </c>
      <c r="Q365" s="1">
        <v>45971</v>
      </c>
      <c r="R365" s="2">
        <v>18.23</v>
      </c>
      <c r="S365">
        <v>1</v>
      </c>
      <c r="T365" t="s">
        <v>58</v>
      </c>
      <c r="U365" t="s">
        <v>359</v>
      </c>
      <c r="V365" s="3">
        <v>0.1</v>
      </c>
      <c r="W365" s="2">
        <v>0</v>
      </c>
      <c r="X365">
        <v>0</v>
      </c>
      <c r="Y365" t="s">
        <v>214</v>
      </c>
      <c r="Z365" t="s">
        <v>360</v>
      </c>
      <c r="AA365">
        <v>0</v>
      </c>
      <c r="AB365" s="2">
        <v>0</v>
      </c>
      <c r="AC365" s="2">
        <v>0</v>
      </c>
      <c r="AD365" s="3">
        <v>0</v>
      </c>
      <c r="AE365" s="2">
        <v>0</v>
      </c>
      <c r="AF365" s="2">
        <v>0</v>
      </c>
      <c r="AG365" s="2">
        <v>0</v>
      </c>
      <c r="AH365" s="2">
        <v>0</v>
      </c>
      <c r="AI365" s="2">
        <v>0</v>
      </c>
      <c r="AJ365" s="2">
        <v>0</v>
      </c>
      <c r="AK365" s="2">
        <v>0</v>
      </c>
      <c r="AL365" s="2">
        <v>0</v>
      </c>
      <c r="AM365" s="2">
        <v>1.82</v>
      </c>
      <c r="AN365" s="2">
        <v>1.82</v>
      </c>
      <c r="AO365" s="2">
        <v>0</v>
      </c>
      <c r="AP365" s="2">
        <v>0</v>
      </c>
      <c r="AQ365" s="2">
        <v>0</v>
      </c>
    </row>
    <row r="366" spans="1:43" x14ac:dyDescent="0.25">
      <c r="A366" s="1">
        <v>45936</v>
      </c>
      <c r="B366" t="s">
        <v>48</v>
      </c>
      <c r="C366">
        <v>649163</v>
      </c>
      <c r="D366">
        <v>2024792046</v>
      </c>
      <c r="E366" t="s">
        <v>388</v>
      </c>
      <c r="F366" t="s">
        <v>648</v>
      </c>
      <c r="G366" t="s">
        <v>51</v>
      </c>
      <c r="H366" t="s">
        <v>115</v>
      </c>
      <c r="I366" t="s">
        <v>292</v>
      </c>
      <c r="J366" t="s">
        <v>295</v>
      </c>
      <c r="K366">
        <v>767312</v>
      </c>
      <c r="L366" t="s">
        <v>283</v>
      </c>
      <c r="M366" t="s">
        <v>284</v>
      </c>
      <c r="N366" t="s">
        <v>57</v>
      </c>
      <c r="O366" s="1">
        <v>45545</v>
      </c>
      <c r="Q366" s="1">
        <v>45971</v>
      </c>
      <c r="R366" s="2">
        <v>51.78</v>
      </c>
      <c r="S366">
        <v>1</v>
      </c>
      <c r="T366" t="s">
        <v>58</v>
      </c>
      <c r="U366" t="s">
        <v>359</v>
      </c>
      <c r="V366" s="3">
        <v>0.1</v>
      </c>
      <c r="W366" s="2">
        <v>0</v>
      </c>
      <c r="X366">
        <v>0</v>
      </c>
      <c r="Y366" t="s">
        <v>214</v>
      </c>
      <c r="Z366" t="s">
        <v>360</v>
      </c>
      <c r="AA366">
        <v>0</v>
      </c>
      <c r="AB366" s="2">
        <v>0</v>
      </c>
      <c r="AC366" s="2">
        <v>0</v>
      </c>
      <c r="AD366" s="3">
        <v>0</v>
      </c>
      <c r="AE366" s="2">
        <v>0</v>
      </c>
      <c r="AF366" s="2">
        <v>0</v>
      </c>
      <c r="AG366" s="2">
        <v>0</v>
      </c>
      <c r="AH366" s="2">
        <v>0</v>
      </c>
      <c r="AI366" s="2">
        <v>0</v>
      </c>
      <c r="AJ366" s="2">
        <v>0</v>
      </c>
      <c r="AK366" s="2">
        <v>0</v>
      </c>
      <c r="AL366" s="2">
        <v>0</v>
      </c>
      <c r="AM366" s="2">
        <v>5.18</v>
      </c>
      <c r="AN366" s="2">
        <v>5.18</v>
      </c>
      <c r="AO366" s="2">
        <v>0</v>
      </c>
      <c r="AP366" s="2">
        <v>0</v>
      </c>
      <c r="AQ366" s="2">
        <v>0</v>
      </c>
    </row>
    <row r="367" spans="1:43" x14ac:dyDescent="0.25">
      <c r="A367" s="1">
        <v>45936</v>
      </c>
      <c r="B367" t="s">
        <v>48</v>
      </c>
      <c r="C367">
        <v>649163</v>
      </c>
      <c r="D367">
        <v>2024899507</v>
      </c>
      <c r="E367" t="s">
        <v>835</v>
      </c>
      <c r="F367" t="s">
        <v>836</v>
      </c>
      <c r="G367" t="s">
        <v>51</v>
      </c>
      <c r="H367" t="s">
        <v>376</v>
      </c>
      <c r="I367" t="s">
        <v>292</v>
      </c>
      <c r="J367" t="s">
        <v>293</v>
      </c>
      <c r="K367">
        <v>651818</v>
      </c>
      <c r="L367" t="s">
        <v>112</v>
      </c>
      <c r="M367" t="s">
        <v>104</v>
      </c>
      <c r="N367" t="s">
        <v>57</v>
      </c>
      <c r="O367" s="1">
        <v>45571</v>
      </c>
      <c r="Q367" s="1">
        <v>45967</v>
      </c>
      <c r="R367" s="2">
        <v>34.340000000000003</v>
      </c>
      <c r="S367">
        <v>1</v>
      </c>
      <c r="T367" t="s">
        <v>58</v>
      </c>
      <c r="U367" t="s">
        <v>359</v>
      </c>
      <c r="V367" s="3">
        <v>0.15</v>
      </c>
      <c r="W367" s="2">
        <v>0</v>
      </c>
      <c r="X367">
        <v>0</v>
      </c>
      <c r="Y367" t="s">
        <v>214</v>
      </c>
      <c r="Z367" t="s">
        <v>360</v>
      </c>
      <c r="AA367">
        <v>0</v>
      </c>
      <c r="AB367" s="2">
        <v>0</v>
      </c>
      <c r="AC367" s="2">
        <v>0</v>
      </c>
      <c r="AD367" s="3">
        <v>0</v>
      </c>
      <c r="AE367" s="2">
        <v>0</v>
      </c>
      <c r="AF367" s="2">
        <v>0</v>
      </c>
      <c r="AG367" s="2">
        <v>0</v>
      </c>
      <c r="AH367" s="2">
        <v>0</v>
      </c>
      <c r="AI367" s="2">
        <v>0</v>
      </c>
      <c r="AJ367" s="2">
        <v>0</v>
      </c>
      <c r="AK367" s="2">
        <v>0</v>
      </c>
      <c r="AL367" s="2">
        <v>0</v>
      </c>
      <c r="AM367" s="2">
        <v>5.15</v>
      </c>
      <c r="AN367" s="2">
        <v>5.15</v>
      </c>
      <c r="AO367" s="2">
        <v>0</v>
      </c>
      <c r="AP367" s="2">
        <v>0</v>
      </c>
      <c r="AQ367" s="2">
        <v>0</v>
      </c>
    </row>
    <row r="368" spans="1:43" x14ac:dyDescent="0.25">
      <c r="A368" s="1">
        <v>45936</v>
      </c>
      <c r="B368" t="s">
        <v>48</v>
      </c>
      <c r="C368">
        <v>649163</v>
      </c>
      <c r="D368">
        <v>2024899508</v>
      </c>
      <c r="E368" t="s">
        <v>835</v>
      </c>
      <c r="F368" t="s">
        <v>836</v>
      </c>
      <c r="G368" t="s">
        <v>51</v>
      </c>
      <c r="H368" t="s">
        <v>376</v>
      </c>
      <c r="I368" t="s">
        <v>292</v>
      </c>
      <c r="J368" t="s">
        <v>295</v>
      </c>
      <c r="K368">
        <v>651818</v>
      </c>
      <c r="L368" t="s">
        <v>112</v>
      </c>
      <c r="M368" t="s">
        <v>104</v>
      </c>
      <c r="N368" t="s">
        <v>57</v>
      </c>
      <c r="O368" s="1">
        <v>45571</v>
      </c>
      <c r="Q368" s="1">
        <v>45967</v>
      </c>
      <c r="R368" s="2">
        <v>29.25</v>
      </c>
      <c r="S368">
        <v>1</v>
      </c>
      <c r="T368" t="s">
        <v>58</v>
      </c>
      <c r="U368" t="s">
        <v>359</v>
      </c>
      <c r="V368" s="3">
        <v>0.1</v>
      </c>
      <c r="W368" s="2">
        <v>0</v>
      </c>
      <c r="X368">
        <v>0</v>
      </c>
      <c r="Y368" t="s">
        <v>214</v>
      </c>
      <c r="Z368" t="s">
        <v>360</v>
      </c>
      <c r="AA368">
        <v>0</v>
      </c>
      <c r="AB368" s="2">
        <v>0</v>
      </c>
      <c r="AC368" s="2">
        <v>0</v>
      </c>
      <c r="AD368" s="3">
        <v>0</v>
      </c>
      <c r="AE368" s="2">
        <v>0</v>
      </c>
      <c r="AF368" s="2">
        <v>0</v>
      </c>
      <c r="AG368" s="2">
        <v>0</v>
      </c>
      <c r="AH368" s="2">
        <v>0</v>
      </c>
      <c r="AI368" s="2">
        <v>0</v>
      </c>
      <c r="AJ368" s="2">
        <v>0</v>
      </c>
      <c r="AK368" s="2">
        <v>0</v>
      </c>
      <c r="AL368" s="2">
        <v>0</v>
      </c>
      <c r="AM368" s="2">
        <v>2.92</v>
      </c>
      <c r="AN368" s="2">
        <v>2.92</v>
      </c>
      <c r="AO368" s="2">
        <v>0</v>
      </c>
      <c r="AP368" s="2">
        <v>0</v>
      </c>
      <c r="AQ368" s="2">
        <v>0</v>
      </c>
    </row>
    <row r="369" spans="1:43" x14ac:dyDescent="0.25">
      <c r="A369" s="1">
        <v>45936</v>
      </c>
      <c r="B369" t="s">
        <v>48</v>
      </c>
      <c r="C369">
        <v>649163</v>
      </c>
      <c r="D369">
        <v>2024961805</v>
      </c>
      <c r="E369" t="s">
        <v>837</v>
      </c>
      <c r="F369" t="s">
        <v>838</v>
      </c>
      <c r="G369" t="s">
        <v>51</v>
      </c>
      <c r="H369" t="s">
        <v>101</v>
      </c>
      <c r="I369" t="s">
        <v>292</v>
      </c>
      <c r="J369" t="s">
        <v>293</v>
      </c>
      <c r="K369">
        <v>766747</v>
      </c>
      <c r="L369" t="s">
        <v>815</v>
      </c>
      <c r="M369" t="s">
        <v>482</v>
      </c>
      <c r="N369" t="s">
        <v>57</v>
      </c>
      <c r="O369" s="1">
        <v>45571</v>
      </c>
      <c r="Q369" s="1">
        <v>45967</v>
      </c>
      <c r="R369" s="2">
        <v>34.68</v>
      </c>
      <c r="S369">
        <v>1</v>
      </c>
      <c r="T369" t="s">
        <v>58</v>
      </c>
      <c r="U369" t="s">
        <v>359</v>
      </c>
      <c r="V369" s="3">
        <v>0.15</v>
      </c>
      <c r="W369" s="2">
        <v>0</v>
      </c>
      <c r="X369">
        <v>0</v>
      </c>
      <c r="Y369" t="s">
        <v>214</v>
      </c>
      <c r="Z369" t="s">
        <v>360</v>
      </c>
      <c r="AA369">
        <v>0</v>
      </c>
      <c r="AB369" s="2">
        <v>0</v>
      </c>
      <c r="AC369" s="2">
        <v>0</v>
      </c>
      <c r="AD369" s="3">
        <v>0</v>
      </c>
      <c r="AE369" s="2">
        <v>0</v>
      </c>
      <c r="AF369" s="2">
        <v>0</v>
      </c>
      <c r="AG369" s="2">
        <v>0</v>
      </c>
      <c r="AH369" s="2">
        <v>0</v>
      </c>
      <c r="AI369" s="2">
        <v>0</v>
      </c>
      <c r="AJ369" s="2">
        <v>0</v>
      </c>
      <c r="AK369" s="2">
        <v>0</v>
      </c>
      <c r="AL369" s="2">
        <v>0</v>
      </c>
      <c r="AM369" s="2">
        <v>5.2</v>
      </c>
      <c r="AN369" s="2">
        <v>5.2</v>
      </c>
      <c r="AO369" s="2">
        <v>0</v>
      </c>
      <c r="AP369" s="2">
        <v>0</v>
      </c>
      <c r="AQ369" s="2">
        <v>0</v>
      </c>
    </row>
    <row r="370" spans="1:43" x14ac:dyDescent="0.25">
      <c r="A370" s="1">
        <v>45936</v>
      </c>
      <c r="B370" t="s">
        <v>48</v>
      </c>
      <c r="C370">
        <v>649163</v>
      </c>
      <c r="D370">
        <v>2024984937</v>
      </c>
      <c r="E370" t="s">
        <v>99</v>
      </c>
      <c r="F370" t="s">
        <v>839</v>
      </c>
      <c r="G370" t="s">
        <v>51</v>
      </c>
      <c r="H370" t="s">
        <v>101</v>
      </c>
      <c r="I370" t="s">
        <v>292</v>
      </c>
      <c r="J370" t="s">
        <v>293</v>
      </c>
      <c r="K370">
        <v>673059</v>
      </c>
      <c r="L370" t="s">
        <v>80</v>
      </c>
      <c r="M370" t="s">
        <v>81</v>
      </c>
      <c r="N370" t="s">
        <v>57</v>
      </c>
      <c r="O370" s="1">
        <v>45575</v>
      </c>
      <c r="Q370" s="1">
        <v>45971</v>
      </c>
      <c r="R370" s="2">
        <v>98.07</v>
      </c>
      <c r="S370">
        <v>1</v>
      </c>
      <c r="T370" t="s">
        <v>58</v>
      </c>
      <c r="U370" t="s">
        <v>359</v>
      </c>
      <c r="V370" s="3">
        <v>0.15</v>
      </c>
      <c r="W370" s="2">
        <v>0</v>
      </c>
      <c r="X370">
        <v>0</v>
      </c>
      <c r="Y370" t="s">
        <v>214</v>
      </c>
      <c r="Z370" t="s">
        <v>360</v>
      </c>
      <c r="AA370">
        <v>0</v>
      </c>
      <c r="AB370" s="2">
        <v>0</v>
      </c>
      <c r="AC370" s="2">
        <v>0</v>
      </c>
      <c r="AD370" s="3">
        <v>0</v>
      </c>
      <c r="AE370" s="2">
        <v>0</v>
      </c>
      <c r="AF370" s="2">
        <v>0</v>
      </c>
      <c r="AG370" s="2">
        <v>0</v>
      </c>
      <c r="AH370" s="2">
        <v>0</v>
      </c>
      <c r="AI370" s="2">
        <v>0</v>
      </c>
      <c r="AJ370" s="2">
        <v>0</v>
      </c>
      <c r="AK370" s="2">
        <v>0</v>
      </c>
      <c r="AL370" s="2">
        <v>0</v>
      </c>
      <c r="AM370" s="2">
        <v>14.71</v>
      </c>
      <c r="AN370" s="2">
        <v>14.71</v>
      </c>
      <c r="AO370" s="2">
        <v>0</v>
      </c>
      <c r="AP370" s="2">
        <v>0</v>
      </c>
      <c r="AQ370" s="2">
        <v>0</v>
      </c>
    </row>
    <row r="371" spans="1:43" x14ac:dyDescent="0.25">
      <c r="A371" s="1">
        <v>45936</v>
      </c>
      <c r="B371" t="s">
        <v>48</v>
      </c>
      <c r="C371">
        <v>649163</v>
      </c>
      <c r="D371">
        <v>2025031269</v>
      </c>
      <c r="E371" t="s">
        <v>840</v>
      </c>
      <c r="F371" t="s">
        <v>841</v>
      </c>
      <c r="G371" t="s">
        <v>51</v>
      </c>
      <c r="H371" t="s">
        <v>101</v>
      </c>
      <c r="I371" t="s">
        <v>292</v>
      </c>
      <c r="J371" t="s">
        <v>293</v>
      </c>
      <c r="K371">
        <v>766747</v>
      </c>
      <c r="L371" t="s">
        <v>815</v>
      </c>
      <c r="M371" t="s">
        <v>482</v>
      </c>
      <c r="N371" t="s">
        <v>57</v>
      </c>
      <c r="O371" s="1">
        <v>45571</v>
      </c>
      <c r="Q371" s="1">
        <v>45967</v>
      </c>
      <c r="R371" s="2">
        <v>11.5</v>
      </c>
      <c r="S371">
        <v>1</v>
      </c>
      <c r="T371" t="s">
        <v>58</v>
      </c>
      <c r="U371" t="s">
        <v>359</v>
      </c>
      <c r="V371" s="3">
        <v>0.15</v>
      </c>
      <c r="W371" s="2">
        <v>0</v>
      </c>
      <c r="X371">
        <v>0</v>
      </c>
      <c r="Y371" t="s">
        <v>214</v>
      </c>
      <c r="Z371" t="s">
        <v>360</v>
      </c>
      <c r="AA371">
        <v>0</v>
      </c>
      <c r="AB371" s="2">
        <v>0</v>
      </c>
      <c r="AC371" s="2">
        <v>0</v>
      </c>
      <c r="AD371" s="3">
        <v>0</v>
      </c>
      <c r="AE371" s="2">
        <v>0</v>
      </c>
      <c r="AF371" s="2">
        <v>0</v>
      </c>
      <c r="AG371" s="2">
        <v>0</v>
      </c>
      <c r="AH371" s="2">
        <v>0</v>
      </c>
      <c r="AI371" s="2">
        <v>0</v>
      </c>
      <c r="AJ371" s="2">
        <v>0</v>
      </c>
      <c r="AK371" s="2">
        <v>0</v>
      </c>
      <c r="AL371" s="2">
        <v>0</v>
      </c>
      <c r="AM371" s="2">
        <v>1.72</v>
      </c>
      <c r="AN371" s="2">
        <v>1.72</v>
      </c>
      <c r="AO371" s="2">
        <v>0</v>
      </c>
      <c r="AP371" s="2">
        <v>0</v>
      </c>
      <c r="AQ371" s="2">
        <v>0</v>
      </c>
    </row>
    <row r="372" spans="1:43" x14ac:dyDescent="0.25">
      <c r="A372" s="1">
        <v>45936</v>
      </c>
      <c r="B372" t="s">
        <v>48</v>
      </c>
      <c r="C372">
        <v>649163</v>
      </c>
      <c r="D372">
        <v>2025049457</v>
      </c>
      <c r="E372" t="s">
        <v>842</v>
      </c>
      <c r="F372" t="s">
        <v>843</v>
      </c>
      <c r="G372" t="s">
        <v>51</v>
      </c>
      <c r="H372" t="s">
        <v>101</v>
      </c>
      <c r="I372" t="s">
        <v>292</v>
      </c>
      <c r="J372" t="s">
        <v>293</v>
      </c>
      <c r="K372">
        <v>651818</v>
      </c>
      <c r="L372" t="s">
        <v>112</v>
      </c>
      <c r="M372" t="s">
        <v>104</v>
      </c>
      <c r="N372" t="s">
        <v>57</v>
      </c>
      <c r="O372" s="1">
        <v>45572</v>
      </c>
      <c r="Q372" s="1">
        <v>45968</v>
      </c>
      <c r="R372" s="2">
        <v>59.4</v>
      </c>
      <c r="S372">
        <v>1</v>
      </c>
      <c r="T372" t="s">
        <v>58</v>
      </c>
      <c r="U372" t="s">
        <v>359</v>
      </c>
      <c r="V372" s="3">
        <v>0.15</v>
      </c>
      <c r="W372" s="2">
        <v>0</v>
      </c>
      <c r="X372">
        <v>0</v>
      </c>
      <c r="Y372" t="s">
        <v>214</v>
      </c>
      <c r="Z372" t="s">
        <v>360</v>
      </c>
      <c r="AA372">
        <v>0</v>
      </c>
      <c r="AB372" s="2">
        <v>0</v>
      </c>
      <c r="AC372" s="2">
        <v>0</v>
      </c>
      <c r="AD372" s="3">
        <v>0</v>
      </c>
      <c r="AE372" s="2">
        <v>0</v>
      </c>
      <c r="AF372" s="2">
        <v>0</v>
      </c>
      <c r="AG372" s="2">
        <v>0</v>
      </c>
      <c r="AH372" s="2">
        <v>0</v>
      </c>
      <c r="AI372" s="2">
        <v>0</v>
      </c>
      <c r="AJ372" s="2">
        <v>0</v>
      </c>
      <c r="AK372" s="2">
        <v>0</v>
      </c>
      <c r="AL372" s="2">
        <v>0</v>
      </c>
      <c r="AM372" s="2">
        <v>8.91</v>
      </c>
      <c r="AN372" s="2">
        <v>8.91</v>
      </c>
      <c r="AO372" s="2">
        <v>0</v>
      </c>
      <c r="AP372" s="2">
        <v>0</v>
      </c>
      <c r="AQ372" s="2">
        <v>0</v>
      </c>
    </row>
    <row r="373" spans="1:43" x14ac:dyDescent="0.25">
      <c r="A373" s="1">
        <v>45936</v>
      </c>
      <c r="B373" t="s">
        <v>48</v>
      </c>
      <c r="C373">
        <v>649163</v>
      </c>
      <c r="D373">
        <v>2025222897</v>
      </c>
      <c r="E373" t="s">
        <v>388</v>
      </c>
      <c r="F373" t="s">
        <v>389</v>
      </c>
      <c r="G373" t="s">
        <v>51</v>
      </c>
      <c r="H373" t="s">
        <v>390</v>
      </c>
      <c r="I373" t="s">
        <v>292</v>
      </c>
      <c r="J373" t="s">
        <v>293</v>
      </c>
      <c r="K373">
        <v>751867</v>
      </c>
      <c r="L373" t="s">
        <v>71</v>
      </c>
      <c r="M373" t="s">
        <v>72</v>
      </c>
      <c r="N373" t="s">
        <v>57</v>
      </c>
      <c r="O373" s="1">
        <v>45574</v>
      </c>
      <c r="Q373" s="1">
        <v>45970</v>
      </c>
      <c r="R373" s="2">
        <v>22</v>
      </c>
      <c r="S373">
        <v>1</v>
      </c>
      <c r="T373" t="s">
        <v>58</v>
      </c>
      <c r="U373" t="s">
        <v>359</v>
      </c>
      <c r="V373" s="3">
        <v>0.15</v>
      </c>
      <c r="W373" s="2">
        <v>0</v>
      </c>
      <c r="X373">
        <v>0</v>
      </c>
      <c r="Y373" t="s">
        <v>214</v>
      </c>
      <c r="Z373" t="s">
        <v>360</v>
      </c>
      <c r="AA373">
        <v>0</v>
      </c>
      <c r="AB373" s="2">
        <v>0</v>
      </c>
      <c r="AC373" s="2">
        <v>0</v>
      </c>
      <c r="AD373" s="3">
        <v>0</v>
      </c>
      <c r="AE373" s="2">
        <v>0</v>
      </c>
      <c r="AF373" s="2">
        <v>0</v>
      </c>
      <c r="AG373" s="2">
        <v>0</v>
      </c>
      <c r="AH373" s="2">
        <v>0</v>
      </c>
      <c r="AI373" s="2">
        <v>0</v>
      </c>
      <c r="AJ373" s="2">
        <v>0</v>
      </c>
      <c r="AK373" s="2">
        <v>0</v>
      </c>
      <c r="AL373" s="2">
        <v>0</v>
      </c>
      <c r="AM373" s="2">
        <v>3.3</v>
      </c>
      <c r="AN373" s="2">
        <v>3.3</v>
      </c>
      <c r="AO373" s="2">
        <v>0</v>
      </c>
      <c r="AP373" s="2">
        <v>0</v>
      </c>
      <c r="AQ373" s="2">
        <v>0</v>
      </c>
    </row>
    <row r="374" spans="1:43" x14ac:dyDescent="0.25">
      <c r="A374" s="1">
        <v>45936</v>
      </c>
      <c r="B374" t="s">
        <v>48</v>
      </c>
      <c r="C374">
        <v>649163</v>
      </c>
      <c r="D374">
        <v>2025432260</v>
      </c>
      <c r="E374" t="s">
        <v>844</v>
      </c>
      <c r="F374" t="s">
        <v>845</v>
      </c>
      <c r="G374" t="s">
        <v>51</v>
      </c>
      <c r="H374" t="s">
        <v>101</v>
      </c>
      <c r="I374" t="s">
        <v>292</v>
      </c>
      <c r="J374" t="s">
        <v>293</v>
      </c>
      <c r="K374">
        <v>766747</v>
      </c>
      <c r="L374" t="s">
        <v>815</v>
      </c>
      <c r="M374" t="s">
        <v>482</v>
      </c>
      <c r="N374" t="s">
        <v>57</v>
      </c>
      <c r="O374" s="1">
        <v>45602</v>
      </c>
      <c r="Q374" s="1">
        <v>45967</v>
      </c>
      <c r="R374" s="2">
        <v>11.5</v>
      </c>
      <c r="S374">
        <v>1</v>
      </c>
      <c r="T374" t="s">
        <v>58</v>
      </c>
      <c r="U374" t="s">
        <v>359</v>
      </c>
      <c r="V374" s="3">
        <v>0.7</v>
      </c>
      <c r="W374" s="2">
        <v>0</v>
      </c>
      <c r="X374">
        <v>0</v>
      </c>
      <c r="Y374" t="s">
        <v>60</v>
      </c>
      <c r="Z374" t="s">
        <v>360</v>
      </c>
      <c r="AA374">
        <v>0</v>
      </c>
      <c r="AB374" s="2">
        <v>0</v>
      </c>
      <c r="AC374" s="2">
        <v>0</v>
      </c>
      <c r="AD374" s="3">
        <v>0</v>
      </c>
      <c r="AE374" s="2">
        <v>0</v>
      </c>
      <c r="AF374" s="2">
        <v>0</v>
      </c>
      <c r="AG374" s="2">
        <v>0</v>
      </c>
      <c r="AH374" s="2">
        <v>0</v>
      </c>
      <c r="AI374" s="2">
        <v>0</v>
      </c>
      <c r="AJ374" s="2">
        <v>0</v>
      </c>
      <c r="AK374" s="2">
        <v>0</v>
      </c>
      <c r="AL374" s="2">
        <v>0</v>
      </c>
      <c r="AM374" s="2">
        <v>8.0500000000000007</v>
      </c>
      <c r="AN374" s="2">
        <v>8.0500000000000007</v>
      </c>
      <c r="AO374" s="2">
        <v>0</v>
      </c>
      <c r="AP374" s="2">
        <v>0</v>
      </c>
      <c r="AQ374" s="2">
        <v>0</v>
      </c>
    </row>
    <row r="375" spans="1:43" x14ac:dyDescent="0.25">
      <c r="A375" s="1">
        <v>45936</v>
      </c>
      <c r="B375" t="s">
        <v>48</v>
      </c>
      <c r="C375">
        <v>649163</v>
      </c>
      <c r="D375">
        <v>2025612850</v>
      </c>
      <c r="E375" t="s">
        <v>846</v>
      </c>
      <c r="F375" t="s">
        <v>169</v>
      </c>
      <c r="G375" t="s">
        <v>51</v>
      </c>
      <c r="H375" t="s">
        <v>119</v>
      </c>
      <c r="I375" t="s">
        <v>292</v>
      </c>
      <c r="J375" t="s">
        <v>293</v>
      </c>
      <c r="K375">
        <v>651818</v>
      </c>
      <c r="L375" t="s">
        <v>112</v>
      </c>
      <c r="M375" t="s">
        <v>104</v>
      </c>
      <c r="N375" t="s">
        <v>57</v>
      </c>
      <c r="O375" s="1">
        <v>45633</v>
      </c>
      <c r="Q375" s="1">
        <v>45968</v>
      </c>
      <c r="R375" s="2">
        <v>237.74</v>
      </c>
      <c r="S375">
        <v>1</v>
      </c>
      <c r="T375" t="s">
        <v>58</v>
      </c>
      <c r="U375" t="s">
        <v>359</v>
      </c>
      <c r="V375" s="3">
        <v>0.7</v>
      </c>
      <c r="W375" s="2">
        <v>0</v>
      </c>
      <c r="X375">
        <v>0</v>
      </c>
      <c r="Y375" t="s">
        <v>60</v>
      </c>
      <c r="Z375" t="s">
        <v>360</v>
      </c>
      <c r="AA375">
        <v>0</v>
      </c>
      <c r="AB375" s="2">
        <v>0</v>
      </c>
      <c r="AC375" s="2">
        <v>0</v>
      </c>
      <c r="AD375" s="3">
        <v>0</v>
      </c>
      <c r="AE375" s="2">
        <v>0</v>
      </c>
      <c r="AF375" s="2">
        <v>0</v>
      </c>
      <c r="AG375" s="2">
        <v>0</v>
      </c>
      <c r="AH375" s="2">
        <v>0</v>
      </c>
      <c r="AI375" s="2">
        <v>0</v>
      </c>
      <c r="AJ375" s="2">
        <v>0</v>
      </c>
      <c r="AK375" s="2">
        <v>0</v>
      </c>
      <c r="AL375" s="2">
        <v>0</v>
      </c>
      <c r="AM375" s="2">
        <v>166.42</v>
      </c>
      <c r="AN375" s="2">
        <v>166.42</v>
      </c>
      <c r="AO375" s="2">
        <v>0</v>
      </c>
      <c r="AP375" s="2">
        <v>0</v>
      </c>
      <c r="AQ375" s="2">
        <v>0</v>
      </c>
    </row>
    <row r="376" spans="1:43" x14ac:dyDescent="0.25">
      <c r="A376" s="1">
        <v>45936</v>
      </c>
      <c r="B376" t="s">
        <v>48</v>
      </c>
      <c r="C376">
        <v>649163</v>
      </c>
      <c r="D376">
        <v>2025627646</v>
      </c>
      <c r="E376" t="s">
        <v>847</v>
      </c>
      <c r="F376" t="s">
        <v>679</v>
      </c>
      <c r="G376" t="s">
        <v>51</v>
      </c>
      <c r="H376" t="s">
        <v>101</v>
      </c>
      <c r="I376" t="s">
        <v>292</v>
      </c>
      <c r="J376" t="s">
        <v>293</v>
      </c>
      <c r="K376">
        <v>766422</v>
      </c>
      <c r="L376" t="s">
        <v>519</v>
      </c>
      <c r="M376" t="s">
        <v>104</v>
      </c>
      <c r="N376" t="s">
        <v>57</v>
      </c>
      <c r="O376" s="1">
        <v>45602</v>
      </c>
      <c r="Q376" s="1">
        <v>45967</v>
      </c>
      <c r="R376" s="2">
        <v>46.46</v>
      </c>
      <c r="S376">
        <v>1</v>
      </c>
      <c r="T376" t="s">
        <v>58</v>
      </c>
      <c r="U376" t="s">
        <v>359</v>
      </c>
      <c r="V376" s="3">
        <v>0.7</v>
      </c>
      <c r="W376" s="2">
        <v>0</v>
      </c>
      <c r="X376">
        <v>0</v>
      </c>
      <c r="Y376" t="s">
        <v>60</v>
      </c>
      <c r="Z376" t="s">
        <v>360</v>
      </c>
      <c r="AA376">
        <v>0</v>
      </c>
      <c r="AB376" s="2">
        <v>0</v>
      </c>
      <c r="AC376" s="2">
        <v>0</v>
      </c>
      <c r="AD376" s="3">
        <v>0</v>
      </c>
      <c r="AE376" s="2">
        <v>0</v>
      </c>
      <c r="AF376" s="2">
        <v>0</v>
      </c>
      <c r="AG376" s="2">
        <v>0</v>
      </c>
      <c r="AH376" s="2">
        <v>0</v>
      </c>
      <c r="AI376" s="2">
        <v>0</v>
      </c>
      <c r="AJ376" s="2">
        <v>0</v>
      </c>
      <c r="AK376" s="2">
        <v>0</v>
      </c>
      <c r="AL376" s="2">
        <v>0</v>
      </c>
      <c r="AM376" s="2">
        <v>32.520000000000003</v>
      </c>
      <c r="AN376" s="2">
        <v>32.520000000000003</v>
      </c>
      <c r="AO376" s="2">
        <v>0</v>
      </c>
      <c r="AP376" s="2">
        <v>0</v>
      </c>
      <c r="AQ376" s="2">
        <v>0</v>
      </c>
    </row>
    <row r="377" spans="1:43" x14ac:dyDescent="0.25">
      <c r="A377" s="1">
        <v>45936</v>
      </c>
      <c r="B377" t="s">
        <v>48</v>
      </c>
      <c r="C377">
        <v>649163</v>
      </c>
      <c r="D377">
        <v>2025639664</v>
      </c>
      <c r="E377" t="s">
        <v>690</v>
      </c>
      <c r="F377" t="s">
        <v>224</v>
      </c>
      <c r="G377" t="s">
        <v>51</v>
      </c>
      <c r="H377" t="s">
        <v>431</v>
      </c>
      <c r="I377" t="s">
        <v>292</v>
      </c>
      <c r="J377" t="s">
        <v>536</v>
      </c>
      <c r="K377">
        <v>673059</v>
      </c>
      <c r="L377" t="s">
        <v>80</v>
      </c>
      <c r="M377" t="s">
        <v>81</v>
      </c>
      <c r="N377" t="s">
        <v>57</v>
      </c>
      <c r="O377" s="1">
        <v>45602</v>
      </c>
      <c r="Q377" s="1">
        <v>45967</v>
      </c>
      <c r="R377" s="2">
        <v>23.39</v>
      </c>
      <c r="S377">
        <v>1</v>
      </c>
      <c r="T377" t="s">
        <v>58</v>
      </c>
      <c r="U377" t="s">
        <v>359</v>
      </c>
      <c r="V377" s="3">
        <v>0.7</v>
      </c>
      <c r="W377" s="2">
        <v>0</v>
      </c>
      <c r="X377">
        <v>0</v>
      </c>
      <c r="Y377" t="s">
        <v>60</v>
      </c>
      <c r="Z377" t="s">
        <v>360</v>
      </c>
      <c r="AA377">
        <v>0</v>
      </c>
      <c r="AB377" s="2">
        <v>0</v>
      </c>
      <c r="AC377" s="2">
        <v>0</v>
      </c>
      <c r="AD377" s="3">
        <v>0</v>
      </c>
      <c r="AE377" s="2">
        <v>0</v>
      </c>
      <c r="AF377" s="2">
        <v>0</v>
      </c>
      <c r="AG377" s="2">
        <v>0</v>
      </c>
      <c r="AH377" s="2">
        <v>0</v>
      </c>
      <c r="AI377" s="2">
        <v>0</v>
      </c>
      <c r="AJ377" s="2">
        <v>0</v>
      </c>
      <c r="AK377" s="2">
        <v>0</v>
      </c>
      <c r="AL377" s="2">
        <v>0</v>
      </c>
      <c r="AM377" s="2">
        <v>16.37</v>
      </c>
      <c r="AN377" s="2">
        <v>16.37</v>
      </c>
      <c r="AO377" s="2">
        <v>0</v>
      </c>
      <c r="AP377" s="2">
        <v>0</v>
      </c>
      <c r="AQ377" s="2">
        <v>0</v>
      </c>
    </row>
    <row r="378" spans="1:43" x14ac:dyDescent="0.25">
      <c r="A378" s="1">
        <v>45936</v>
      </c>
      <c r="B378" t="s">
        <v>48</v>
      </c>
      <c r="C378">
        <v>649163</v>
      </c>
      <c r="D378">
        <v>2025639665</v>
      </c>
      <c r="E378" t="s">
        <v>690</v>
      </c>
      <c r="F378" t="s">
        <v>224</v>
      </c>
      <c r="G378" t="s">
        <v>51</v>
      </c>
      <c r="H378" t="s">
        <v>431</v>
      </c>
      <c r="I378" t="s">
        <v>292</v>
      </c>
      <c r="J378" t="s">
        <v>293</v>
      </c>
      <c r="K378">
        <v>673059</v>
      </c>
      <c r="L378" t="s">
        <v>80</v>
      </c>
      <c r="M378" t="s">
        <v>81</v>
      </c>
      <c r="N378" t="s">
        <v>57</v>
      </c>
      <c r="O378" s="1">
        <v>45602</v>
      </c>
      <c r="Q378" s="1">
        <v>45967</v>
      </c>
      <c r="R378" s="2">
        <v>29.1</v>
      </c>
      <c r="S378">
        <v>1</v>
      </c>
      <c r="T378" t="s">
        <v>58</v>
      </c>
      <c r="U378" t="s">
        <v>359</v>
      </c>
      <c r="V378" s="3">
        <v>0.7</v>
      </c>
      <c r="W378" s="2">
        <v>0</v>
      </c>
      <c r="X378">
        <v>0</v>
      </c>
      <c r="Y378" t="s">
        <v>60</v>
      </c>
      <c r="Z378" t="s">
        <v>360</v>
      </c>
      <c r="AA378">
        <v>0</v>
      </c>
      <c r="AB378" s="2">
        <v>0</v>
      </c>
      <c r="AC378" s="2">
        <v>0</v>
      </c>
      <c r="AD378" s="3">
        <v>0</v>
      </c>
      <c r="AE378" s="2">
        <v>0</v>
      </c>
      <c r="AF378" s="2">
        <v>0</v>
      </c>
      <c r="AG378" s="2">
        <v>0</v>
      </c>
      <c r="AH378" s="2">
        <v>0</v>
      </c>
      <c r="AI378" s="2">
        <v>0</v>
      </c>
      <c r="AJ378" s="2">
        <v>0</v>
      </c>
      <c r="AK378" s="2">
        <v>0</v>
      </c>
      <c r="AL378" s="2">
        <v>0</v>
      </c>
      <c r="AM378" s="2">
        <v>20.37</v>
      </c>
      <c r="AN378" s="2">
        <v>20.37</v>
      </c>
      <c r="AO378" s="2">
        <v>0</v>
      </c>
      <c r="AP378" s="2">
        <v>0</v>
      </c>
      <c r="AQ378" s="2">
        <v>0</v>
      </c>
    </row>
    <row r="379" spans="1:43" x14ac:dyDescent="0.25">
      <c r="A379" s="1">
        <v>45936</v>
      </c>
      <c r="B379" t="s">
        <v>48</v>
      </c>
      <c r="C379">
        <v>649163</v>
      </c>
      <c r="D379">
        <v>2025655084</v>
      </c>
      <c r="E379" t="s">
        <v>691</v>
      </c>
      <c r="F379" t="s">
        <v>158</v>
      </c>
      <c r="G379" t="s">
        <v>51</v>
      </c>
      <c r="H379" t="s">
        <v>52</v>
      </c>
      <c r="I379" t="s">
        <v>292</v>
      </c>
      <c r="J379" t="s">
        <v>295</v>
      </c>
      <c r="K379">
        <v>651818</v>
      </c>
      <c r="L379" t="s">
        <v>112</v>
      </c>
      <c r="M379" t="s">
        <v>104</v>
      </c>
      <c r="N379" t="s">
        <v>57</v>
      </c>
      <c r="O379" s="1">
        <v>45604</v>
      </c>
      <c r="Q379" s="1">
        <v>45969</v>
      </c>
      <c r="R379" s="2">
        <v>99.25</v>
      </c>
      <c r="S379">
        <v>1</v>
      </c>
      <c r="T379" t="s">
        <v>58</v>
      </c>
      <c r="U379" t="s">
        <v>359</v>
      </c>
      <c r="V379" s="3">
        <v>0.9</v>
      </c>
      <c r="W379" s="2">
        <v>0</v>
      </c>
      <c r="X379">
        <v>0</v>
      </c>
      <c r="Y379" t="s">
        <v>60</v>
      </c>
      <c r="Z379" t="s">
        <v>360</v>
      </c>
      <c r="AA379">
        <v>0</v>
      </c>
      <c r="AB379" s="2">
        <v>0</v>
      </c>
      <c r="AC379" s="2">
        <v>0</v>
      </c>
      <c r="AD379" s="3">
        <v>0</v>
      </c>
      <c r="AE379" s="2">
        <v>0</v>
      </c>
      <c r="AF379" s="2">
        <v>0</v>
      </c>
      <c r="AG379" s="2">
        <v>0</v>
      </c>
      <c r="AH379" s="2">
        <v>0</v>
      </c>
      <c r="AI379" s="2">
        <v>0</v>
      </c>
      <c r="AJ379" s="2">
        <v>0</v>
      </c>
      <c r="AK379" s="2">
        <v>0</v>
      </c>
      <c r="AL379" s="2">
        <v>0</v>
      </c>
      <c r="AM379" s="2">
        <v>89.32</v>
      </c>
      <c r="AN379" s="2">
        <v>89.32</v>
      </c>
      <c r="AO379" s="2">
        <v>0</v>
      </c>
      <c r="AP379" s="2">
        <v>0</v>
      </c>
      <c r="AQ379" s="2">
        <v>0</v>
      </c>
    </row>
    <row r="380" spans="1:43" x14ac:dyDescent="0.25">
      <c r="A380" s="1">
        <v>45936</v>
      </c>
      <c r="B380" t="s">
        <v>48</v>
      </c>
      <c r="C380">
        <v>649163</v>
      </c>
      <c r="D380">
        <v>2025660998</v>
      </c>
      <c r="E380" t="s">
        <v>848</v>
      </c>
      <c r="F380" t="s">
        <v>158</v>
      </c>
      <c r="G380" t="s">
        <v>51</v>
      </c>
      <c r="H380" t="s">
        <v>247</v>
      </c>
      <c r="I380" t="s">
        <v>292</v>
      </c>
      <c r="J380" t="s">
        <v>536</v>
      </c>
      <c r="K380">
        <v>673059</v>
      </c>
      <c r="L380" t="s">
        <v>80</v>
      </c>
      <c r="M380" t="s">
        <v>81</v>
      </c>
      <c r="N380" t="s">
        <v>57</v>
      </c>
      <c r="O380" s="1">
        <v>45665</v>
      </c>
      <c r="Q380" s="1">
        <v>45969</v>
      </c>
      <c r="R380" s="2">
        <v>42.88</v>
      </c>
      <c r="S380">
        <v>1</v>
      </c>
      <c r="T380" t="s">
        <v>58</v>
      </c>
      <c r="U380" t="s">
        <v>359</v>
      </c>
      <c r="V380" s="3">
        <v>0.7</v>
      </c>
      <c r="W380" s="2">
        <v>0</v>
      </c>
      <c r="X380">
        <v>0</v>
      </c>
      <c r="Y380" t="s">
        <v>60</v>
      </c>
      <c r="Z380" t="s">
        <v>360</v>
      </c>
      <c r="AA380">
        <v>0</v>
      </c>
      <c r="AB380" s="2">
        <v>0</v>
      </c>
      <c r="AC380" s="2">
        <v>0</v>
      </c>
      <c r="AD380" s="3">
        <v>0</v>
      </c>
      <c r="AE380" s="2">
        <v>0</v>
      </c>
      <c r="AF380" s="2">
        <v>0</v>
      </c>
      <c r="AG380" s="2">
        <v>0</v>
      </c>
      <c r="AH380" s="2">
        <v>0</v>
      </c>
      <c r="AI380" s="2">
        <v>0</v>
      </c>
      <c r="AJ380" s="2">
        <v>0</v>
      </c>
      <c r="AK380" s="2">
        <v>0</v>
      </c>
      <c r="AL380" s="2">
        <v>0</v>
      </c>
      <c r="AM380" s="2">
        <v>30.02</v>
      </c>
      <c r="AN380" s="2">
        <v>30.02</v>
      </c>
      <c r="AO380" s="2">
        <v>0</v>
      </c>
      <c r="AP380" s="2">
        <v>0</v>
      </c>
      <c r="AQ380" s="2">
        <v>0</v>
      </c>
    </row>
    <row r="381" spans="1:43" x14ac:dyDescent="0.25">
      <c r="A381" s="1">
        <v>45936</v>
      </c>
      <c r="B381" t="s">
        <v>48</v>
      </c>
      <c r="C381">
        <v>649163</v>
      </c>
      <c r="D381">
        <v>2025661000</v>
      </c>
      <c r="E381" t="s">
        <v>848</v>
      </c>
      <c r="F381" t="s">
        <v>158</v>
      </c>
      <c r="G381" t="s">
        <v>51</v>
      </c>
      <c r="H381" t="s">
        <v>247</v>
      </c>
      <c r="I381" t="s">
        <v>292</v>
      </c>
      <c r="J381" t="s">
        <v>293</v>
      </c>
      <c r="K381">
        <v>673059</v>
      </c>
      <c r="L381" t="s">
        <v>80</v>
      </c>
      <c r="M381" t="s">
        <v>81</v>
      </c>
      <c r="N381" t="s">
        <v>57</v>
      </c>
      <c r="O381" s="1">
        <v>45665</v>
      </c>
      <c r="Q381" s="1">
        <v>45969</v>
      </c>
      <c r="R381" s="2">
        <v>128.65</v>
      </c>
      <c r="S381">
        <v>1</v>
      </c>
      <c r="T381" t="s">
        <v>58</v>
      </c>
      <c r="U381" t="s">
        <v>359</v>
      </c>
      <c r="V381" s="3">
        <v>0.7</v>
      </c>
      <c r="W381" s="2">
        <v>0</v>
      </c>
      <c r="X381">
        <v>0</v>
      </c>
      <c r="Y381" t="s">
        <v>60</v>
      </c>
      <c r="Z381" t="s">
        <v>360</v>
      </c>
      <c r="AA381">
        <v>0</v>
      </c>
      <c r="AB381" s="2">
        <v>0</v>
      </c>
      <c r="AC381" s="2">
        <v>0</v>
      </c>
      <c r="AD381" s="3">
        <v>0</v>
      </c>
      <c r="AE381" s="2">
        <v>0</v>
      </c>
      <c r="AF381" s="2">
        <v>0</v>
      </c>
      <c r="AG381" s="2">
        <v>0</v>
      </c>
      <c r="AH381" s="2">
        <v>0</v>
      </c>
      <c r="AI381" s="2">
        <v>0</v>
      </c>
      <c r="AJ381" s="2">
        <v>0</v>
      </c>
      <c r="AK381" s="2">
        <v>0</v>
      </c>
      <c r="AL381" s="2">
        <v>0</v>
      </c>
      <c r="AM381" s="2">
        <v>90.06</v>
      </c>
      <c r="AN381" s="2">
        <v>90.06</v>
      </c>
      <c r="AO381" s="2">
        <v>0</v>
      </c>
      <c r="AP381" s="2">
        <v>0</v>
      </c>
      <c r="AQ381" s="2">
        <v>0</v>
      </c>
    </row>
    <row r="382" spans="1:43" x14ac:dyDescent="0.25">
      <c r="A382" s="1">
        <v>45936</v>
      </c>
      <c r="B382" t="s">
        <v>48</v>
      </c>
      <c r="C382">
        <v>649163</v>
      </c>
      <c r="D382">
        <v>2025677958</v>
      </c>
      <c r="E382" t="s">
        <v>849</v>
      </c>
      <c r="F382" t="s">
        <v>850</v>
      </c>
      <c r="G382" t="s">
        <v>51</v>
      </c>
      <c r="H382" t="s">
        <v>670</v>
      </c>
      <c r="I382" t="s">
        <v>292</v>
      </c>
      <c r="J382" t="s">
        <v>295</v>
      </c>
      <c r="K382">
        <v>767312</v>
      </c>
      <c r="L382" t="s">
        <v>283</v>
      </c>
      <c r="M382" t="s">
        <v>284</v>
      </c>
      <c r="N382" t="s">
        <v>57</v>
      </c>
      <c r="O382" s="1">
        <v>45604</v>
      </c>
      <c r="Q382" s="1">
        <v>45969</v>
      </c>
      <c r="R382" s="2">
        <v>31.08</v>
      </c>
      <c r="S382">
        <v>1</v>
      </c>
      <c r="T382" t="s">
        <v>58</v>
      </c>
      <c r="U382" t="s">
        <v>359</v>
      </c>
      <c r="V382" s="3">
        <v>0.9</v>
      </c>
      <c r="W382" s="2">
        <v>0</v>
      </c>
      <c r="X382">
        <v>0</v>
      </c>
      <c r="Y382" t="s">
        <v>60</v>
      </c>
      <c r="Z382" t="s">
        <v>360</v>
      </c>
      <c r="AA382">
        <v>0</v>
      </c>
      <c r="AB382" s="2">
        <v>0</v>
      </c>
      <c r="AC382" s="2">
        <v>0</v>
      </c>
      <c r="AD382" s="3">
        <v>0</v>
      </c>
      <c r="AE382" s="2">
        <v>0</v>
      </c>
      <c r="AF382" s="2">
        <v>0</v>
      </c>
      <c r="AG382" s="2">
        <v>0</v>
      </c>
      <c r="AH382" s="2">
        <v>0</v>
      </c>
      <c r="AI382" s="2">
        <v>0</v>
      </c>
      <c r="AJ382" s="2">
        <v>0</v>
      </c>
      <c r="AK382" s="2">
        <v>0</v>
      </c>
      <c r="AL382" s="2">
        <v>0</v>
      </c>
      <c r="AM382" s="2">
        <v>27.97</v>
      </c>
      <c r="AN382" s="2">
        <v>27.97</v>
      </c>
      <c r="AO382" s="2">
        <v>0</v>
      </c>
      <c r="AP382" s="2">
        <v>0</v>
      </c>
      <c r="AQ382" s="2">
        <v>0</v>
      </c>
    </row>
    <row r="383" spans="1:43" x14ac:dyDescent="0.25">
      <c r="A383" s="1">
        <v>45936</v>
      </c>
      <c r="B383" t="s">
        <v>48</v>
      </c>
      <c r="C383">
        <v>649163</v>
      </c>
      <c r="D383">
        <v>2025678171</v>
      </c>
      <c r="E383" t="s">
        <v>692</v>
      </c>
      <c r="F383" t="s">
        <v>441</v>
      </c>
      <c r="G383" t="s">
        <v>51</v>
      </c>
      <c r="H383" t="s">
        <v>105</v>
      </c>
      <c r="I383" t="s">
        <v>292</v>
      </c>
      <c r="J383" t="s">
        <v>331</v>
      </c>
      <c r="K383">
        <v>650218</v>
      </c>
      <c r="L383" t="s">
        <v>237</v>
      </c>
      <c r="M383" t="s">
        <v>238</v>
      </c>
      <c r="N383" t="s">
        <v>57</v>
      </c>
      <c r="O383" s="1">
        <v>45604</v>
      </c>
      <c r="Q383" s="1">
        <v>45969</v>
      </c>
      <c r="R383" s="2">
        <v>-7.77</v>
      </c>
      <c r="S383">
        <v>1</v>
      </c>
      <c r="T383" t="s">
        <v>58</v>
      </c>
      <c r="U383" t="s">
        <v>359</v>
      </c>
      <c r="V383" s="3">
        <v>0.42</v>
      </c>
      <c r="W383" s="2">
        <v>0</v>
      </c>
      <c r="X383">
        <v>-1</v>
      </c>
      <c r="Y383" t="s">
        <v>60</v>
      </c>
      <c r="Z383" t="s">
        <v>360</v>
      </c>
      <c r="AA383">
        <v>0</v>
      </c>
      <c r="AB383" s="2">
        <v>0</v>
      </c>
      <c r="AC383" s="2">
        <v>0</v>
      </c>
      <c r="AD383" s="3">
        <v>0</v>
      </c>
      <c r="AE383" s="2">
        <v>0</v>
      </c>
      <c r="AF383" s="2">
        <v>0</v>
      </c>
      <c r="AG383" s="2">
        <v>0</v>
      </c>
      <c r="AH383" s="2">
        <v>0</v>
      </c>
      <c r="AI383" s="2">
        <v>0</v>
      </c>
      <c r="AJ383" s="2">
        <v>0</v>
      </c>
      <c r="AK383" s="2">
        <v>0</v>
      </c>
      <c r="AL383" s="2">
        <v>0</v>
      </c>
      <c r="AM383" s="2">
        <v>-3.26</v>
      </c>
      <c r="AN383" s="2">
        <v>-3.26</v>
      </c>
      <c r="AO383" s="2">
        <v>0</v>
      </c>
      <c r="AP383" s="2">
        <v>0</v>
      </c>
      <c r="AQ383" s="2">
        <v>0</v>
      </c>
    </row>
    <row r="384" spans="1:43" x14ac:dyDescent="0.25">
      <c r="A384" s="1">
        <v>45936</v>
      </c>
      <c r="B384" t="s">
        <v>48</v>
      </c>
      <c r="C384">
        <v>649163</v>
      </c>
      <c r="D384">
        <v>2025678172</v>
      </c>
      <c r="E384" t="s">
        <v>692</v>
      </c>
      <c r="F384" t="s">
        <v>441</v>
      </c>
      <c r="G384" t="s">
        <v>51</v>
      </c>
      <c r="H384" t="s">
        <v>105</v>
      </c>
      <c r="I384" t="s">
        <v>292</v>
      </c>
      <c r="J384" t="s">
        <v>536</v>
      </c>
      <c r="K384">
        <v>650218</v>
      </c>
      <c r="L384" t="s">
        <v>237</v>
      </c>
      <c r="M384" t="s">
        <v>238</v>
      </c>
      <c r="N384" t="s">
        <v>57</v>
      </c>
      <c r="O384" s="1">
        <v>45604</v>
      </c>
      <c r="Q384" s="1">
        <v>45969</v>
      </c>
      <c r="R384" s="2">
        <v>24.61</v>
      </c>
      <c r="S384">
        <v>1</v>
      </c>
      <c r="T384" t="s">
        <v>58</v>
      </c>
      <c r="U384" t="s">
        <v>359</v>
      </c>
      <c r="V384" s="3">
        <v>0.7</v>
      </c>
      <c r="W384" s="2">
        <v>0</v>
      </c>
      <c r="X384">
        <v>0</v>
      </c>
      <c r="Y384" t="s">
        <v>60</v>
      </c>
      <c r="Z384" t="s">
        <v>360</v>
      </c>
      <c r="AA384">
        <v>0</v>
      </c>
      <c r="AB384" s="2">
        <v>0</v>
      </c>
      <c r="AC384" s="2">
        <v>0</v>
      </c>
      <c r="AD384" s="3">
        <v>0</v>
      </c>
      <c r="AE384" s="2">
        <v>0</v>
      </c>
      <c r="AF384" s="2">
        <v>0</v>
      </c>
      <c r="AG384" s="2">
        <v>0</v>
      </c>
      <c r="AH384" s="2">
        <v>0</v>
      </c>
      <c r="AI384" s="2">
        <v>0</v>
      </c>
      <c r="AJ384" s="2">
        <v>0</v>
      </c>
      <c r="AK384" s="2">
        <v>0</v>
      </c>
      <c r="AL384" s="2">
        <v>0</v>
      </c>
      <c r="AM384" s="2">
        <v>17.23</v>
      </c>
      <c r="AN384" s="2">
        <v>17.23</v>
      </c>
      <c r="AO384" s="2">
        <v>0</v>
      </c>
      <c r="AP384" s="2">
        <v>0</v>
      </c>
      <c r="AQ384" s="2">
        <v>0</v>
      </c>
    </row>
    <row r="385" spans="1:43" x14ac:dyDescent="0.25">
      <c r="A385" s="1">
        <v>45936</v>
      </c>
      <c r="B385" t="s">
        <v>48</v>
      </c>
      <c r="C385">
        <v>649163</v>
      </c>
      <c r="D385">
        <v>2025684074</v>
      </c>
      <c r="E385" t="s">
        <v>140</v>
      </c>
      <c r="F385" t="s">
        <v>851</v>
      </c>
      <c r="G385" t="s">
        <v>51</v>
      </c>
      <c r="H385" t="s">
        <v>101</v>
      </c>
      <c r="I385" t="s">
        <v>292</v>
      </c>
      <c r="J385" t="s">
        <v>293</v>
      </c>
      <c r="K385">
        <v>792847</v>
      </c>
      <c r="L385" t="s">
        <v>140</v>
      </c>
      <c r="M385" t="s">
        <v>141</v>
      </c>
      <c r="N385" t="s">
        <v>57</v>
      </c>
      <c r="O385" s="1">
        <v>45604</v>
      </c>
      <c r="Q385" s="1">
        <v>45969</v>
      </c>
      <c r="R385" s="2">
        <v>86.25</v>
      </c>
      <c r="S385">
        <v>1</v>
      </c>
      <c r="T385" t="s">
        <v>58</v>
      </c>
      <c r="U385" t="s">
        <v>359</v>
      </c>
      <c r="V385" s="3">
        <v>0.7</v>
      </c>
      <c r="W385" s="2">
        <v>0</v>
      </c>
      <c r="X385">
        <v>0</v>
      </c>
      <c r="Y385" t="s">
        <v>60</v>
      </c>
      <c r="Z385" t="s">
        <v>360</v>
      </c>
      <c r="AA385">
        <v>0</v>
      </c>
      <c r="AB385" s="2">
        <v>0</v>
      </c>
      <c r="AC385" s="2">
        <v>0</v>
      </c>
      <c r="AD385" s="3">
        <v>0</v>
      </c>
      <c r="AE385" s="2">
        <v>0</v>
      </c>
      <c r="AF385" s="2">
        <v>0</v>
      </c>
      <c r="AG385" s="2">
        <v>0</v>
      </c>
      <c r="AH385" s="2">
        <v>0</v>
      </c>
      <c r="AI385" s="2">
        <v>0</v>
      </c>
      <c r="AJ385" s="2">
        <v>0</v>
      </c>
      <c r="AK385" s="2">
        <v>0</v>
      </c>
      <c r="AL385" s="2">
        <v>0</v>
      </c>
      <c r="AM385" s="2">
        <v>60.38</v>
      </c>
      <c r="AN385" s="2">
        <v>60.38</v>
      </c>
      <c r="AO385" s="2">
        <v>0</v>
      </c>
      <c r="AP385" s="2">
        <v>0</v>
      </c>
      <c r="AQ385" s="2">
        <v>0</v>
      </c>
    </row>
    <row r="386" spans="1:43" x14ac:dyDescent="0.25">
      <c r="A386" s="1">
        <v>45936</v>
      </c>
      <c r="B386" t="s">
        <v>48</v>
      </c>
      <c r="C386">
        <v>649163</v>
      </c>
      <c r="D386">
        <v>2025690376</v>
      </c>
      <c r="E386" t="s">
        <v>693</v>
      </c>
      <c r="F386" t="s">
        <v>137</v>
      </c>
      <c r="G386" t="s">
        <v>51</v>
      </c>
      <c r="H386" t="s">
        <v>122</v>
      </c>
      <c r="I386" t="s">
        <v>292</v>
      </c>
      <c r="J386" t="s">
        <v>293</v>
      </c>
      <c r="K386">
        <v>651818</v>
      </c>
      <c r="L386" t="s">
        <v>112</v>
      </c>
      <c r="M386" t="s">
        <v>104</v>
      </c>
      <c r="N386" t="s">
        <v>57</v>
      </c>
      <c r="O386" s="1">
        <v>45664</v>
      </c>
      <c r="Q386" s="1">
        <v>45968</v>
      </c>
      <c r="R386" s="2">
        <v>31.28</v>
      </c>
      <c r="S386">
        <v>1</v>
      </c>
      <c r="T386" t="s">
        <v>58</v>
      </c>
      <c r="U386" t="s">
        <v>359</v>
      </c>
      <c r="V386" s="3">
        <v>0.7</v>
      </c>
      <c r="W386" s="2">
        <v>0</v>
      </c>
      <c r="X386">
        <v>0</v>
      </c>
      <c r="Y386" t="s">
        <v>60</v>
      </c>
      <c r="Z386" t="s">
        <v>360</v>
      </c>
      <c r="AA386">
        <v>0</v>
      </c>
      <c r="AB386" s="2">
        <v>0</v>
      </c>
      <c r="AC386" s="2">
        <v>0</v>
      </c>
      <c r="AD386" s="3">
        <v>0</v>
      </c>
      <c r="AE386" s="2">
        <v>0</v>
      </c>
      <c r="AF386" s="2">
        <v>0</v>
      </c>
      <c r="AG386" s="2">
        <v>0</v>
      </c>
      <c r="AH386" s="2">
        <v>0</v>
      </c>
      <c r="AI386" s="2">
        <v>0</v>
      </c>
      <c r="AJ386" s="2">
        <v>0</v>
      </c>
      <c r="AK386" s="2">
        <v>0</v>
      </c>
      <c r="AL386" s="2">
        <v>0</v>
      </c>
      <c r="AM386" s="2">
        <v>21.9</v>
      </c>
      <c r="AN386" s="2">
        <v>21.9</v>
      </c>
      <c r="AO386" s="2">
        <v>0</v>
      </c>
      <c r="AP386" s="2">
        <v>0</v>
      </c>
      <c r="AQ386" s="2">
        <v>0</v>
      </c>
    </row>
    <row r="387" spans="1:43" x14ac:dyDescent="0.25">
      <c r="A387" s="1">
        <v>45936</v>
      </c>
      <c r="B387" t="s">
        <v>48</v>
      </c>
      <c r="C387">
        <v>649163</v>
      </c>
      <c r="D387">
        <v>2025707626</v>
      </c>
      <c r="E387" t="s">
        <v>852</v>
      </c>
      <c r="F387" t="s">
        <v>853</v>
      </c>
      <c r="G387" t="s">
        <v>51</v>
      </c>
      <c r="H387" t="s">
        <v>129</v>
      </c>
      <c r="I387" t="s">
        <v>292</v>
      </c>
      <c r="J387" t="s">
        <v>293</v>
      </c>
      <c r="K387">
        <v>651818</v>
      </c>
      <c r="L387" t="s">
        <v>112</v>
      </c>
      <c r="M387" t="s">
        <v>104</v>
      </c>
      <c r="N387" t="s">
        <v>57</v>
      </c>
      <c r="O387" s="1">
        <v>45633</v>
      </c>
      <c r="Q387" s="1">
        <v>45968</v>
      </c>
      <c r="R387" s="2">
        <v>51</v>
      </c>
      <c r="S387">
        <v>1</v>
      </c>
      <c r="T387" t="s">
        <v>58</v>
      </c>
      <c r="U387" t="s">
        <v>359</v>
      </c>
      <c r="V387" s="3">
        <v>0.7</v>
      </c>
      <c r="W387" s="2">
        <v>0</v>
      </c>
      <c r="X387">
        <v>0</v>
      </c>
      <c r="Y387" t="s">
        <v>60</v>
      </c>
      <c r="Z387" t="s">
        <v>360</v>
      </c>
      <c r="AA387">
        <v>0</v>
      </c>
      <c r="AB387" s="2">
        <v>0</v>
      </c>
      <c r="AC387" s="2">
        <v>0</v>
      </c>
      <c r="AD387" s="3">
        <v>0</v>
      </c>
      <c r="AE387" s="2">
        <v>0</v>
      </c>
      <c r="AF387" s="2">
        <v>0</v>
      </c>
      <c r="AG387" s="2">
        <v>0</v>
      </c>
      <c r="AH387" s="2">
        <v>0</v>
      </c>
      <c r="AI387" s="2">
        <v>0</v>
      </c>
      <c r="AJ387" s="2">
        <v>0</v>
      </c>
      <c r="AK387" s="2">
        <v>0</v>
      </c>
      <c r="AL387" s="2">
        <v>0</v>
      </c>
      <c r="AM387" s="2">
        <v>35.700000000000003</v>
      </c>
      <c r="AN387" s="2">
        <v>35.700000000000003</v>
      </c>
      <c r="AO387" s="2">
        <v>0</v>
      </c>
      <c r="AP387" s="2">
        <v>0</v>
      </c>
      <c r="AQ387" s="2">
        <v>0</v>
      </c>
    </row>
    <row r="388" spans="1:43" x14ac:dyDescent="0.25">
      <c r="A388" s="1">
        <v>45936</v>
      </c>
      <c r="B388" t="s">
        <v>48</v>
      </c>
      <c r="C388">
        <v>649163</v>
      </c>
      <c r="D388">
        <v>2025708571</v>
      </c>
      <c r="E388" t="s">
        <v>694</v>
      </c>
      <c r="F388" t="s">
        <v>179</v>
      </c>
      <c r="G388" t="s">
        <v>51</v>
      </c>
      <c r="H388" t="s">
        <v>101</v>
      </c>
      <c r="I388" t="s">
        <v>292</v>
      </c>
      <c r="J388" t="s">
        <v>295</v>
      </c>
      <c r="K388">
        <v>651818</v>
      </c>
      <c r="L388" t="s">
        <v>112</v>
      </c>
      <c r="M388" t="s">
        <v>104</v>
      </c>
      <c r="N388" t="s">
        <v>57</v>
      </c>
      <c r="O388" s="1">
        <v>45664</v>
      </c>
      <c r="Q388" s="1">
        <v>45968</v>
      </c>
      <c r="R388" s="2">
        <v>131.25</v>
      </c>
      <c r="S388">
        <v>1</v>
      </c>
      <c r="T388" t="s">
        <v>58</v>
      </c>
      <c r="U388" t="s">
        <v>359</v>
      </c>
      <c r="V388" s="3">
        <v>0.9</v>
      </c>
      <c r="W388" s="2">
        <v>0</v>
      </c>
      <c r="X388">
        <v>0</v>
      </c>
      <c r="Y388" t="s">
        <v>60</v>
      </c>
      <c r="Z388" t="s">
        <v>360</v>
      </c>
      <c r="AA388">
        <v>0</v>
      </c>
      <c r="AB388" s="2">
        <v>0</v>
      </c>
      <c r="AC388" s="2">
        <v>0</v>
      </c>
      <c r="AD388" s="3">
        <v>0</v>
      </c>
      <c r="AE388" s="2">
        <v>0</v>
      </c>
      <c r="AF388" s="2">
        <v>0</v>
      </c>
      <c r="AG388" s="2">
        <v>0</v>
      </c>
      <c r="AH388" s="2">
        <v>0</v>
      </c>
      <c r="AI388" s="2">
        <v>0</v>
      </c>
      <c r="AJ388" s="2">
        <v>0</v>
      </c>
      <c r="AK388" s="2">
        <v>0</v>
      </c>
      <c r="AL388" s="2">
        <v>0</v>
      </c>
      <c r="AM388" s="2">
        <v>118.12</v>
      </c>
      <c r="AN388" s="2">
        <v>118.12</v>
      </c>
      <c r="AO388" s="2">
        <v>0</v>
      </c>
      <c r="AP388" s="2">
        <v>0</v>
      </c>
      <c r="AQ388" s="2">
        <v>0</v>
      </c>
    </row>
    <row r="389" spans="1:43" x14ac:dyDescent="0.25">
      <c r="A389" s="1">
        <v>45936</v>
      </c>
      <c r="B389" t="s">
        <v>48</v>
      </c>
      <c r="C389">
        <v>649163</v>
      </c>
      <c r="D389">
        <v>2025732433</v>
      </c>
      <c r="E389" t="s">
        <v>695</v>
      </c>
      <c r="F389" t="s">
        <v>353</v>
      </c>
      <c r="G389" t="s">
        <v>51</v>
      </c>
      <c r="H389" t="s">
        <v>376</v>
      </c>
      <c r="I389" t="s">
        <v>292</v>
      </c>
      <c r="J389" t="s">
        <v>293</v>
      </c>
      <c r="K389">
        <v>651818</v>
      </c>
      <c r="L389" t="s">
        <v>112</v>
      </c>
      <c r="M389" t="s">
        <v>104</v>
      </c>
      <c r="N389" t="s">
        <v>57</v>
      </c>
      <c r="O389" s="1">
        <v>45664</v>
      </c>
      <c r="Q389" s="1">
        <v>45968</v>
      </c>
      <c r="R389" s="2">
        <v>98.64</v>
      </c>
      <c r="S389">
        <v>1</v>
      </c>
      <c r="T389" t="s">
        <v>58</v>
      </c>
      <c r="U389" t="s">
        <v>359</v>
      </c>
      <c r="V389" s="3">
        <v>0.7</v>
      </c>
      <c r="W389" s="2">
        <v>0</v>
      </c>
      <c r="X389">
        <v>0</v>
      </c>
      <c r="Y389" t="s">
        <v>60</v>
      </c>
      <c r="Z389" t="s">
        <v>360</v>
      </c>
      <c r="AA389">
        <v>0</v>
      </c>
      <c r="AB389" s="2">
        <v>0</v>
      </c>
      <c r="AC389" s="2">
        <v>0</v>
      </c>
      <c r="AD389" s="3">
        <v>0</v>
      </c>
      <c r="AE389" s="2">
        <v>0</v>
      </c>
      <c r="AF389" s="2">
        <v>0</v>
      </c>
      <c r="AG389" s="2">
        <v>0</v>
      </c>
      <c r="AH389" s="2">
        <v>0</v>
      </c>
      <c r="AI389" s="2">
        <v>0</v>
      </c>
      <c r="AJ389" s="2">
        <v>0</v>
      </c>
      <c r="AK389" s="2">
        <v>0</v>
      </c>
      <c r="AL389" s="2">
        <v>0</v>
      </c>
      <c r="AM389" s="2">
        <v>69.05</v>
      </c>
      <c r="AN389" s="2">
        <v>69.05</v>
      </c>
      <c r="AO389" s="2">
        <v>0</v>
      </c>
      <c r="AP389" s="2">
        <v>0</v>
      </c>
      <c r="AQ389" s="2">
        <v>0</v>
      </c>
    </row>
    <row r="390" spans="1:43" x14ac:dyDescent="0.25">
      <c r="A390" s="1">
        <v>45936</v>
      </c>
      <c r="B390" t="s">
        <v>48</v>
      </c>
      <c r="C390">
        <v>649163</v>
      </c>
      <c r="D390">
        <v>2025772484</v>
      </c>
      <c r="E390" t="s">
        <v>526</v>
      </c>
      <c r="F390" t="s">
        <v>429</v>
      </c>
      <c r="G390" t="s">
        <v>51</v>
      </c>
      <c r="H390" t="s">
        <v>52</v>
      </c>
      <c r="I390" t="s">
        <v>292</v>
      </c>
      <c r="J390" t="s">
        <v>293</v>
      </c>
      <c r="K390">
        <v>651818</v>
      </c>
      <c r="L390" t="s">
        <v>112</v>
      </c>
      <c r="M390" t="s">
        <v>104</v>
      </c>
      <c r="N390" t="s">
        <v>57</v>
      </c>
      <c r="O390" s="1">
        <v>45633</v>
      </c>
      <c r="Q390" s="1">
        <v>45968</v>
      </c>
      <c r="R390" s="2">
        <v>261</v>
      </c>
      <c r="S390">
        <v>1</v>
      </c>
      <c r="T390" t="s">
        <v>58</v>
      </c>
      <c r="U390" t="s">
        <v>359</v>
      </c>
      <c r="V390" s="3">
        <v>0.7</v>
      </c>
      <c r="W390" s="2">
        <v>0</v>
      </c>
      <c r="X390">
        <v>0</v>
      </c>
      <c r="Y390" t="s">
        <v>60</v>
      </c>
      <c r="Z390" t="s">
        <v>360</v>
      </c>
      <c r="AA390">
        <v>0</v>
      </c>
      <c r="AB390" s="2">
        <v>0</v>
      </c>
      <c r="AC390" s="2">
        <v>0</v>
      </c>
      <c r="AD390" s="3">
        <v>0</v>
      </c>
      <c r="AE390" s="2">
        <v>0</v>
      </c>
      <c r="AF390" s="2">
        <v>0</v>
      </c>
      <c r="AG390" s="2">
        <v>0</v>
      </c>
      <c r="AH390" s="2">
        <v>0</v>
      </c>
      <c r="AI390" s="2">
        <v>0</v>
      </c>
      <c r="AJ390" s="2">
        <v>0</v>
      </c>
      <c r="AK390" s="2">
        <v>0</v>
      </c>
      <c r="AL390" s="2">
        <v>0</v>
      </c>
      <c r="AM390" s="2">
        <v>182.7</v>
      </c>
      <c r="AN390" s="2">
        <v>182.7</v>
      </c>
      <c r="AO390" s="2">
        <v>0</v>
      </c>
      <c r="AP390" s="2">
        <v>0</v>
      </c>
      <c r="AQ390" s="2">
        <v>0</v>
      </c>
    </row>
    <row r="391" spans="1:43" x14ac:dyDescent="0.25">
      <c r="A391" s="1">
        <v>45936</v>
      </c>
      <c r="B391" t="s">
        <v>48</v>
      </c>
      <c r="C391">
        <v>649163</v>
      </c>
      <c r="D391">
        <v>2025803166</v>
      </c>
      <c r="E391" t="s">
        <v>854</v>
      </c>
      <c r="F391" t="s">
        <v>855</v>
      </c>
      <c r="G391" t="s">
        <v>51</v>
      </c>
      <c r="H391" t="s">
        <v>52</v>
      </c>
      <c r="I391" t="s">
        <v>292</v>
      </c>
      <c r="J391" t="s">
        <v>293</v>
      </c>
      <c r="K391">
        <v>651818</v>
      </c>
      <c r="L391" t="s">
        <v>112</v>
      </c>
      <c r="M391" t="s">
        <v>104</v>
      </c>
      <c r="N391" t="s">
        <v>57</v>
      </c>
      <c r="O391" s="1">
        <v>45633</v>
      </c>
      <c r="Q391" s="1">
        <v>45968</v>
      </c>
      <c r="R391" s="2">
        <v>140.6</v>
      </c>
      <c r="S391">
        <v>1</v>
      </c>
      <c r="T391" t="s">
        <v>58</v>
      </c>
      <c r="U391" t="s">
        <v>359</v>
      </c>
      <c r="V391" s="3">
        <v>0.7</v>
      </c>
      <c r="W391" s="2">
        <v>0</v>
      </c>
      <c r="X391">
        <v>0</v>
      </c>
      <c r="Y391" t="s">
        <v>60</v>
      </c>
      <c r="Z391" t="s">
        <v>360</v>
      </c>
      <c r="AA391">
        <v>0</v>
      </c>
      <c r="AB391" s="2">
        <v>0</v>
      </c>
      <c r="AC391" s="2">
        <v>0</v>
      </c>
      <c r="AD391" s="3">
        <v>0</v>
      </c>
      <c r="AE391" s="2">
        <v>0</v>
      </c>
      <c r="AF391" s="2">
        <v>0</v>
      </c>
      <c r="AG391" s="2">
        <v>0</v>
      </c>
      <c r="AH391" s="2">
        <v>0</v>
      </c>
      <c r="AI391" s="2">
        <v>0</v>
      </c>
      <c r="AJ391" s="2">
        <v>0</v>
      </c>
      <c r="AK391" s="2">
        <v>0</v>
      </c>
      <c r="AL391" s="2">
        <v>0</v>
      </c>
      <c r="AM391" s="2">
        <v>98.42</v>
      </c>
      <c r="AN391" s="2">
        <v>98.42</v>
      </c>
      <c r="AO391" s="2">
        <v>0</v>
      </c>
      <c r="AP391" s="2">
        <v>0</v>
      </c>
      <c r="AQ391" s="2">
        <v>0</v>
      </c>
    </row>
    <row r="392" spans="1:43" x14ac:dyDescent="0.25">
      <c r="A392" s="1">
        <v>45936</v>
      </c>
      <c r="B392" t="s">
        <v>48</v>
      </c>
      <c r="C392">
        <v>649163</v>
      </c>
      <c r="D392">
        <v>2025805895</v>
      </c>
      <c r="E392" t="s">
        <v>856</v>
      </c>
      <c r="F392" t="s">
        <v>194</v>
      </c>
      <c r="G392" t="s">
        <v>51</v>
      </c>
      <c r="H392" t="s">
        <v>52</v>
      </c>
      <c r="I392" t="s">
        <v>292</v>
      </c>
      <c r="J392" t="s">
        <v>295</v>
      </c>
      <c r="K392">
        <v>651818</v>
      </c>
      <c r="L392" t="s">
        <v>112</v>
      </c>
      <c r="M392" t="s">
        <v>104</v>
      </c>
      <c r="N392" t="s">
        <v>57</v>
      </c>
      <c r="O392" s="1">
        <v>45633</v>
      </c>
      <c r="Q392" s="1">
        <v>45968</v>
      </c>
      <c r="R392" s="2">
        <v>80.349999999999994</v>
      </c>
      <c r="S392">
        <v>1</v>
      </c>
      <c r="T392" t="s">
        <v>58</v>
      </c>
      <c r="U392" t="s">
        <v>359</v>
      </c>
      <c r="V392" s="3">
        <v>0.9</v>
      </c>
      <c r="W392" s="2">
        <v>0</v>
      </c>
      <c r="X392">
        <v>0</v>
      </c>
      <c r="Y392" t="s">
        <v>60</v>
      </c>
      <c r="Z392" t="s">
        <v>360</v>
      </c>
      <c r="AA392">
        <v>0</v>
      </c>
      <c r="AB392" s="2">
        <v>0</v>
      </c>
      <c r="AC392" s="2">
        <v>0</v>
      </c>
      <c r="AD392" s="3">
        <v>0</v>
      </c>
      <c r="AE392" s="2">
        <v>0</v>
      </c>
      <c r="AF392" s="2">
        <v>0</v>
      </c>
      <c r="AG392" s="2">
        <v>0</v>
      </c>
      <c r="AH392" s="2">
        <v>0</v>
      </c>
      <c r="AI392" s="2">
        <v>0</v>
      </c>
      <c r="AJ392" s="2">
        <v>0</v>
      </c>
      <c r="AK392" s="2">
        <v>0</v>
      </c>
      <c r="AL392" s="2">
        <v>0</v>
      </c>
      <c r="AM392" s="2">
        <v>72.319999999999993</v>
      </c>
      <c r="AN392" s="2">
        <v>72.319999999999993</v>
      </c>
      <c r="AO392" s="2">
        <v>0</v>
      </c>
      <c r="AP392" s="2">
        <v>0</v>
      </c>
      <c r="AQ392" s="2">
        <v>0</v>
      </c>
    </row>
    <row r="393" spans="1:43" x14ac:dyDescent="0.25">
      <c r="A393" s="1">
        <v>45936</v>
      </c>
      <c r="B393" t="s">
        <v>48</v>
      </c>
      <c r="C393">
        <v>649163</v>
      </c>
      <c r="D393">
        <v>2025805896</v>
      </c>
      <c r="E393" t="s">
        <v>856</v>
      </c>
      <c r="F393" t="s">
        <v>194</v>
      </c>
      <c r="G393" t="s">
        <v>51</v>
      </c>
      <c r="H393" t="s">
        <v>52</v>
      </c>
      <c r="I393" t="s">
        <v>292</v>
      </c>
      <c r="J393" t="s">
        <v>293</v>
      </c>
      <c r="K393">
        <v>651818</v>
      </c>
      <c r="L393" t="s">
        <v>112</v>
      </c>
      <c r="M393" t="s">
        <v>104</v>
      </c>
      <c r="N393" t="s">
        <v>57</v>
      </c>
      <c r="O393" s="1">
        <v>45633</v>
      </c>
      <c r="Q393" s="1">
        <v>45968</v>
      </c>
      <c r="R393" s="2">
        <v>111.68</v>
      </c>
      <c r="S393">
        <v>1</v>
      </c>
      <c r="T393" t="s">
        <v>58</v>
      </c>
      <c r="U393" t="s">
        <v>359</v>
      </c>
      <c r="V393" s="3">
        <v>0.7</v>
      </c>
      <c r="W393" s="2">
        <v>0</v>
      </c>
      <c r="X393">
        <v>0</v>
      </c>
      <c r="Y393" t="s">
        <v>60</v>
      </c>
      <c r="Z393" t="s">
        <v>360</v>
      </c>
      <c r="AA393">
        <v>0</v>
      </c>
      <c r="AB393" s="2">
        <v>0</v>
      </c>
      <c r="AC393" s="2">
        <v>0</v>
      </c>
      <c r="AD393" s="3">
        <v>0</v>
      </c>
      <c r="AE393" s="2">
        <v>0</v>
      </c>
      <c r="AF393" s="2">
        <v>0</v>
      </c>
      <c r="AG393" s="2">
        <v>0</v>
      </c>
      <c r="AH393" s="2">
        <v>0</v>
      </c>
      <c r="AI393" s="2">
        <v>0</v>
      </c>
      <c r="AJ393" s="2">
        <v>0</v>
      </c>
      <c r="AK393" s="2">
        <v>0</v>
      </c>
      <c r="AL393" s="2">
        <v>0</v>
      </c>
      <c r="AM393" s="2">
        <v>78.180000000000007</v>
      </c>
      <c r="AN393" s="2">
        <v>78.180000000000007</v>
      </c>
      <c r="AO393" s="2">
        <v>0</v>
      </c>
      <c r="AP393" s="2">
        <v>0</v>
      </c>
      <c r="AQ393" s="2">
        <v>0</v>
      </c>
    </row>
    <row r="394" spans="1:43" x14ac:dyDescent="0.25">
      <c r="A394" s="1">
        <v>45936</v>
      </c>
      <c r="B394" t="s">
        <v>48</v>
      </c>
      <c r="C394">
        <v>649163</v>
      </c>
      <c r="D394">
        <v>2025815281</v>
      </c>
      <c r="E394" t="s">
        <v>696</v>
      </c>
      <c r="F394" t="s">
        <v>697</v>
      </c>
      <c r="G394" t="s">
        <v>51</v>
      </c>
      <c r="H394" t="s">
        <v>122</v>
      </c>
      <c r="I394" t="s">
        <v>292</v>
      </c>
      <c r="J394" t="s">
        <v>295</v>
      </c>
      <c r="K394">
        <v>651818</v>
      </c>
      <c r="L394" t="s">
        <v>112</v>
      </c>
      <c r="M394" t="s">
        <v>104</v>
      </c>
      <c r="N394" t="s">
        <v>57</v>
      </c>
      <c r="O394" s="1">
        <v>45633</v>
      </c>
      <c r="Q394" s="1">
        <v>45968</v>
      </c>
      <c r="R394" s="2">
        <v>21.83</v>
      </c>
      <c r="S394">
        <v>1</v>
      </c>
      <c r="T394" t="s">
        <v>58</v>
      </c>
      <c r="U394" t="s">
        <v>359</v>
      </c>
      <c r="V394" s="3">
        <v>0.9</v>
      </c>
      <c r="W394" s="2">
        <v>0</v>
      </c>
      <c r="X394">
        <v>0</v>
      </c>
      <c r="Y394" t="s">
        <v>60</v>
      </c>
      <c r="Z394" t="s">
        <v>360</v>
      </c>
      <c r="AA394">
        <v>0</v>
      </c>
      <c r="AB394" s="2">
        <v>0</v>
      </c>
      <c r="AC394" s="2">
        <v>0</v>
      </c>
      <c r="AD394" s="3">
        <v>0</v>
      </c>
      <c r="AE394" s="2">
        <v>0</v>
      </c>
      <c r="AF394" s="2">
        <v>0</v>
      </c>
      <c r="AG394" s="2">
        <v>0</v>
      </c>
      <c r="AH394" s="2">
        <v>0</v>
      </c>
      <c r="AI394" s="2">
        <v>0</v>
      </c>
      <c r="AJ394" s="2">
        <v>0</v>
      </c>
      <c r="AK394" s="2">
        <v>0</v>
      </c>
      <c r="AL394" s="2">
        <v>0</v>
      </c>
      <c r="AM394" s="2">
        <v>19.649999999999999</v>
      </c>
      <c r="AN394" s="2">
        <v>19.649999999999999</v>
      </c>
      <c r="AO394" s="2">
        <v>0</v>
      </c>
      <c r="AP394" s="2">
        <v>0</v>
      </c>
      <c r="AQ394" s="2">
        <v>0</v>
      </c>
    </row>
    <row r="395" spans="1:43" x14ac:dyDescent="0.25">
      <c r="A395" s="1">
        <v>45936</v>
      </c>
      <c r="B395" t="s">
        <v>48</v>
      </c>
      <c r="C395">
        <v>649163</v>
      </c>
      <c r="D395">
        <v>2025815282</v>
      </c>
      <c r="E395" t="s">
        <v>696</v>
      </c>
      <c r="F395" t="s">
        <v>697</v>
      </c>
      <c r="G395" t="s">
        <v>51</v>
      </c>
      <c r="H395" t="s">
        <v>122</v>
      </c>
      <c r="I395" t="s">
        <v>292</v>
      </c>
      <c r="J395" t="s">
        <v>293</v>
      </c>
      <c r="K395">
        <v>651818</v>
      </c>
      <c r="L395" t="s">
        <v>112</v>
      </c>
      <c r="M395" t="s">
        <v>104</v>
      </c>
      <c r="N395" t="s">
        <v>57</v>
      </c>
      <c r="O395" s="1">
        <v>45633</v>
      </c>
      <c r="Q395" s="1">
        <v>45968</v>
      </c>
      <c r="R395" s="2">
        <v>31.28</v>
      </c>
      <c r="S395">
        <v>1</v>
      </c>
      <c r="T395" t="s">
        <v>58</v>
      </c>
      <c r="U395" t="s">
        <v>359</v>
      </c>
      <c r="V395" s="3">
        <v>0.7</v>
      </c>
      <c r="W395" s="2">
        <v>0</v>
      </c>
      <c r="X395">
        <v>0</v>
      </c>
      <c r="Y395" t="s">
        <v>60</v>
      </c>
      <c r="Z395" t="s">
        <v>360</v>
      </c>
      <c r="AA395">
        <v>0</v>
      </c>
      <c r="AB395" s="2">
        <v>0</v>
      </c>
      <c r="AC395" s="2">
        <v>0</v>
      </c>
      <c r="AD395" s="3">
        <v>0</v>
      </c>
      <c r="AE395" s="2">
        <v>0</v>
      </c>
      <c r="AF395" s="2">
        <v>0</v>
      </c>
      <c r="AG395" s="2">
        <v>0</v>
      </c>
      <c r="AH395" s="2">
        <v>0</v>
      </c>
      <c r="AI395" s="2">
        <v>0</v>
      </c>
      <c r="AJ395" s="2">
        <v>0</v>
      </c>
      <c r="AK395" s="2">
        <v>0</v>
      </c>
      <c r="AL395" s="2">
        <v>0</v>
      </c>
      <c r="AM395" s="2">
        <v>21.9</v>
      </c>
      <c r="AN395" s="2">
        <v>21.9</v>
      </c>
      <c r="AO395" s="2">
        <v>0</v>
      </c>
      <c r="AP395" s="2">
        <v>0</v>
      </c>
      <c r="AQ395" s="2">
        <v>0</v>
      </c>
    </row>
    <row r="396" spans="1:43" x14ac:dyDescent="0.25">
      <c r="A396" s="1">
        <v>45936</v>
      </c>
      <c r="B396" t="s">
        <v>48</v>
      </c>
      <c r="C396">
        <v>649163</v>
      </c>
      <c r="D396">
        <v>2025863138</v>
      </c>
      <c r="E396" t="s">
        <v>699</v>
      </c>
      <c r="F396" t="s">
        <v>700</v>
      </c>
      <c r="G396" t="s">
        <v>51</v>
      </c>
      <c r="H396" t="s">
        <v>52</v>
      </c>
      <c r="I396" t="s">
        <v>292</v>
      </c>
      <c r="J396" t="s">
        <v>293</v>
      </c>
      <c r="K396">
        <v>651818</v>
      </c>
      <c r="L396" t="s">
        <v>112</v>
      </c>
      <c r="M396" t="s">
        <v>104</v>
      </c>
      <c r="N396" t="s">
        <v>57</v>
      </c>
      <c r="O396" s="1">
        <v>45633</v>
      </c>
      <c r="Q396" s="1">
        <v>45968</v>
      </c>
      <c r="R396" s="2">
        <v>129.22</v>
      </c>
      <c r="S396">
        <v>1</v>
      </c>
      <c r="T396" t="s">
        <v>58</v>
      </c>
      <c r="U396" t="s">
        <v>359</v>
      </c>
      <c r="V396" s="3">
        <v>0.7</v>
      </c>
      <c r="W396" s="2">
        <v>0</v>
      </c>
      <c r="X396">
        <v>0</v>
      </c>
      <c r="Y396" t="s">
        <v>60</v>
      </c>
      <c r="Z396" t="s">
        <v>360</v>
      </c>
      <c r="AA396">
        <v>0</v>
      </c>
      <c r="AB396" s="2">
        <v>0</v>
      </c>
      <c r="AC396" s="2">
        <v>0</v>
      </c>
      <c r="AD396" s="3">
        <v>0</v>
      </c>
      <c r="AE396" s="2">
        <v>0</v>
      </c>
      <c r="AF396" s="2">
        <v>0</v>
      </c>
      <c r="AG396" s="2">
        <v>0</v>
      </c>
      <c r="AH396" s="2">
        <v>0</v>
      </c>
      <c r="AI396" s="2">
        <v>0</v>
      </c>
      <c r="AJ396" s="2">
        <v>0</v>
      </c>
      <c r="AK396" s="2">
        <v>0</v>
      </c>
      <c r="AL396" s="2">
        <v>0</v>
      </c>
      <c r="AM396" s="2">
        <v>90.45</v>
      </c>
      <c r="AN396" s="2">
        <v>90.45</v>
      </c>
      <c r="AO396" s="2">
        <v>0</v>
      </c>
      <c r="AP396" s="2">
        <v>0</v>
      </c>
      <c r="AQ396" s="2">
        <v>0</v>
      </c>
    </row>
    <row r="397" spans="1:43" x14ac:dyDescent="0.25">
      <c r="A397" s="1">
        <v>45936</v>
      </c>
      <c r="B397" t="s">
        <v>48</v>
      </c>
      <c r="C397">
        <v>649163</v>
      </c>
      <c r="D397">
        <v>2025884354</v>
      </c>
      <c r="E397" t="s">
        <v>148</v>
      </c>
      <c r="F397" t="s">
        <v>535</v>
      </c>
      <c r="G397" t="s">
        <v>51</v>
      </c>
      <c r="H397" t="s">
        <v>52</v>
      </c>
      <c r="I397" t="s">
        <v>292</v>
      </c>
      <c r="J397" t="s">
        <v>293</v>
      </c>
      <c r="K397">
        <v>651818</v>
      </c>
      <c r="L397" t="s">
        <v>112</v>
      </c>
      <c r="M397" t="s">
        <v>104</v>
      </c>
      <c r="N397" t="s">
        <v>57</v>
      </c>
      <c r="O397" s="1">
        <v>45633</v>
      </c>
      <c r="Q397" s="1">
        <v>45968</v>
      </c>
      <c r="R397" s="2">
        <v>83</v>
      </c>
      <c r="S397">
        <v>1</v>
      </c>
      <c r="T397" t="s">
        <v>58</v>
      </c>
      <c r="U397" t="s">
        <v>359</v>
      </c>
      <c r="V397" s="3">
        <v>0.7</v>
      </c>
      <c r="W397" s="2">
        <v>0</v>
      </c>
      <c r="X397">
        <v>0</v>
      </c>
      <c r="Y397" t="s">
        <v>60</v>
      </c>
      <c r="Z397" t="s">
        <v>360</v>
      </c>
      <c r="AA397">
        <v>0</v>
      </c>
      <c r="AB397" s="2">
        <v>0</v>
      </c>
      <c r="AC397" s="2">
        <v>0</v>
      </c>
      <c r="AD397" s="3">
        <v>0</v>
      </c>
      <c r="AE397" s="2">
        <v>0</v>
      </c>
      <c r="AF397" s="2">
        <v>0</v>
      </c>
      <c r="AG397" s="2">
        <v>0</v>
      </c>
      <c r="AH397" s="2">
        <v>0</v>
      </c>
      <c r="AI397" s="2">
        <v>0</v>
      </c>
      <c r="AJ397" s="2">
        <v>0</v>
      </c>
      <c r="AK397" s="2">
        <v>0</v>
      </c>
      <c r="AL397" s="2">
        <v>0</v>
      </c>
      <c r="AM397" s="2">
        <v>58.1</v>
      </c>
      <c r="AN397" s="2">
        <v>58.1</v>
      </c>
      <c r="AO397" s="2">
        <v>0</v>
      </c>
      <c r="AP397" s="2">
        <v>0</v>
      </c>
      <c r="AQ397" s="2">
        <v>0</v>
      </c>
    </row>
    <row r="398" spans="1:43" x14ac:dyDescent="0.25">
      <c r="A398" s="1">
        <v>45936</v>
      </c>
      <c r="B398" t="s">
        <v>48</v>
      </c>
      <c r="C398">
        <v>649163</v>
      </c>
      <c r="D398">
        <v>2025885800</v>
      </c>
      <c r="E398" t="s">
        <v>857</v>
      </c>
      <c r="F398" t="s">
        <v>858</v>
      </c>
      <c r="G398" t="s">
        <v>51</v>
      </c>
      <c r="H398" t="s">
        <v>155</v>
      </c>
      <c r="I398" t="s">
        <v>292</v>
      </c>
      <c r="J398" t="s">
        <v>293</v>
      </c>
      <c r="K398">
        <v>651818</v>
      </c>
      <c r="L398" t="s">
        <v>112</v>
      </c>
      <c r="M398" t="s">
        <v>104</v>
      </c>
      <c r="N398" t="s">
        <v>57</v>
      </c>
      <c r="O398" s="1">
        <v>45633</v>
      </c>
      <c r="Q398" s="1">
        <v>45968</v>
      </c>
      <c r="R398" s="2">
        <v>187.04</v>
      </c>
      <c r="S398">
        <v>1</v>
      </c>
      <c r="T398" t="s">
        <v>58</v>
      </c>
      <c r="U398" t="s">
        <v>359</v>
      </c>
      <c r="V398" s="3">
        <v>0.7</v>
      </c>
      <c r="W398" s="2">
        <v>0</v>
      </c>
      <c r="X398">
        <v>0</v>
      </c>
      <c r="Y398" t="s">
        <v>60</v>
      </c>
      <c r="Z398" t="s">
        <v>360</v>
      </c>
      <c r="AA398">
        <v>0</v>
      </c>
      <c r="AB398" s="2">
        <v>0</v>
      </c>
      <c r="AC398" s="2">
        <v>0</v>
      </c>
      <c r="AD398" s="3">
        <v>0</v>
      </c>
      <c r="AE398" s="2">
        <v>0</v>
      </c>
      <c r="AF398" s="2">
        <v>0</v>
      </c>
      <c r="AG398" s="2">
        <v>0</v>
      </c>
      <c r="AH398" s="2">
        <v>0</v>
      </c>
      <c r="AI398" s="2">
        <v>0</v>
      </c>
      <c r="AJ398" s="2">
        <v>0</v>
      </c>
      <c r="AK398" s="2">
        <v>0</v>
      </c>
      <c r="AL398" s="2">
        <v>0</v>
      </c>
      <c r="AM398" s="2">
        <v>130.93</v>
      </c>
      <c r="AN398" s="2">
        <v>130.93</v>
      </c>
      <c r="AO398" s="2">
        <v>0</v>
      </c>
      <c r="AP398" s="2">
        <v>0</v>
      </c>
      <c r="AQ398" s="2">
        <v>0</v>
      </c>
    </row>
    <row r="399" spans="1:43" x14ac:dyDescent="0.25">
      <c r="A399" s="1">
        <v>45936</v>
      </c>
      <c r="B399" t="s">
        <v>48</v>
      </c>
      <c r="C399">
        <v>649163</v>
      </c>
      <c r="D399">
        <v>2025887934</v>
      </c>
      <c r="E399" t="s">
        <v>701</v>
      </c>
      <c r="F399" t="s">
        <v>337</v>
      </c>
      <c r="G399" t="s">
        <v>51</v>
      </c>
      <c r="H399" t="s">
        <v>129</v>
      </c>
      <c r="I399" t="s">
        <v>292</v>
      </c>
      <c r="J399" t="s">
        <v>293</v>
      </c>
      <c r="K399">
        <v>651818</v>
      </c>
      <c r="L399" t="s">
        <v>112</v>
      </c>
      <c r="M399" t="s">
        <v>104</v>
      </c>
      <c r="N399" t="s">
        <v>57</v>
      </c>
      <c r="O399" s="1">
        <v>45633</v>
      </c>
      <c r="Q399" s="1">
        <v>45968</v>
      </c>
      <c r="R399" s="2">
        <v>122.32</v>
      </c>
      <c r="S399">
        <v>1</v>
      </c>
      <c r="T399" t="s">
        <v>58</v>
      </c>
      <c r="U399" t="s">
        <v>359</v>
      </c>
      <c r="V399" s="3">
        <v>0.7</v>
      </c>
      <c r="W399" s="2">
        <v>0</v>
      </c>
      <c r="X399">
        <v>0</v>
      </c>
      <c r="Y399" t="s">
        <v>60</v>
      </c>
      <c r="Z399" t="s">
        <v>360</v>
      </c>
      <c r="AA399">
        <v>0</v>
      </c>
      <c r="AB399" s="2">
        <v>0</v>
      </c>
      <c r="AC399" s="2">
        <v>0</v>
      </c>
      <c r="AD399" s="3">
        <v>0</v>
      </c>
      <c r="AE399" s="2">
        <v>0</v>
      </c>
      <c r="AF399" s="2">
        <v>0</v>
      </c>
      <c r="AG399" s="2">
        <v>0</v>
      </c>
      <c r="AH399" s="2">
        <v>0</v>
      </c>
      <c r="AI399" s="2">
        <v>0</v>
      </c>
      <c r="AJ399" s="2">
        <v>0</v>
      </c>
      <c r="AK399" s="2">
        <v>0</v>
      </c>
      <c r="AL399" s="2">
        <v>0</v>
      </c>
      <c r="AM399" s="2">
        <v>85.62</v>
      </c>
      <c r="AN399" s="2">
        <v>85.62</v>
      </c>
      <c r="AO399" s="2">
        <v>0</v>
      </c>
      <c r="AP399" s="2">
        <v>0</v>
      </c>
      <c r="AQ399" s="2">
        <v>0</v>
      </c>
    </row>
    <row r="400" spans="1:43" x14ac:dyDescent="0.25">
      <c r="A400" s="1">
        <v>45936</v>
      </c>
      <c r="B400" t="s">
        <v>48</v>
      </c>
      <c r="C400">
        <v>649163</v>
      </c>
      <c r="D400">
        <v>2025896511</v>
      </c>
      <c r="E400" t="s">
        <v>702</v>
      </c>
      <c r="F400" t="s">
        <v>227</v>
      </c>
      <c r="G400" t="s">
        <v>51</v>
      </c>
      <c r="H400" t="s">
        <v>646</v>
      </c>
      <c r="I400" t="s">
        <v>292</v>
      </c>
      <c r="J400" t="s">
        <v>293</v>
      </c>
      <c r="K400">
        <v>651818</v>
      </c>
      <c r="L400" t="s">
        <v>112</v>
      </c>
      <c r="M400" t="s">
        <v>104</v>
      </c>
      <c r="N400" t="s">
        <v>57</v>
      </c>
      <c r="O400" s="1">
        <v>45633</v>
      </c>
      <c r="Q400" s="1">
        <v>45968</v>
      </c>
      <c r="R400" s="2">
        <v>40</v>
      </c>
      <c r="S400">
        <v>1</v>
      </c>
      <c r="T400" t="s">
        <v>58</v>
      </c>
      <c r="U400" t="s">
        <v>359</v>
      </c>
      <c r="V400" s="3">
        <v>0.7</v>
      </c>
      <c r="W400" s="2">
        <v>0</v>
      </c>
      <c r="X400">
        <v>0</v>
      </c>
      <c r="Y400" t="s">
        <v>60</v>
      </c>
      <c r="Z400" t="s">
        <v>360</v>
      </c>
      <c r="AA400">
        <v>0</v>
      </c>
      <c r="AB400" s="2">
        <v>0</v>
      </c>
      <c r="AC400" s="2">
        <v>0</v>
      </c>
      <c r="AD400" s="3">
        <v>0</v>
      </c>
      <c r="AE400" s="2">
        <v>0</v>
      </c>
      <c r="AF400" s="2">
        <v>0</v>
      </c>
      <c r="AG400" s="2">
        <v>0</v>
      </c>
      <c r="AH400" s="2">
        <v>0</v>
      </c>
      <c r="AI400" s="2">
        <v>0</v>
      </c>
      <c r="AJ400" s="2">
        <v>0</v>
      </c>
      <c r="AK400" s="2">
        <v>0</v>
      </c>
      <c r="AL400" s="2">
        <v>0</v>
      </c>
      <c r="AM400" s="2">
        <v>28</v>
      </c>
      <c r="AN400" s="2">
        <v>28</v>
      </c>
      <c r="AO400" s="2">
        <v>0</v>
      </c>
      <c r="AP400" s="2">
        <v>0</v>
      </c>
      <c r="AQ400" s="2">
        <v>0</v>
      </c>
    </row>
    <row r="401" spans="1:43" x14ac:dyDescent="0.25">
      <c r="A401" s="1">
        <v>45936</v>
      </c>
      <c r="B401" t="s">
        <v>48</v>
      </c>
      <c r="C401">
        <v>649163</v>
      </c>
      <c r="D401">
        <v>2025973879</v>
      </c>
      <c r="E401" t="s">
        <v>859</v>
      </c>
      <c r="F401" t="s">
        <v>860</v>
      </c>
      <c r="G401" t="s">
        <v>51</v>
      </c>
      <c r="H401" t="s">
        <v>129</v>
      </c>
      <c r="I401" t="s">
        <v>292</v>
      </c>
      <c r="J401" t="s">
        <v>295</v>
      </c>
      <c r="K401">
        <v>753748</v>
      </c>
      <c r="L401" t="s">
        <v>97</v>
      </c>
      <c r="M401" t="s">
        <v>98</v>
      </c>
      <c r="N401" t="s">
        <v>57</v>
      </c>
      <c r="O401" s="1">
        <v>45658</v>
      </c>
      <c r="Q401" s="1">
        <v>45962</v>
      </c>
      <c r="R401" s="2">
        <v>83.63</v>
      </c>
      <c r="S401">
        <v>1</v>
      </c>
      <c r="T401" t="s">
        <v>58</v>
      </c>
      <c r="U401" t="s">
        <v>359</v>
      </c>
      <c r="V401" s="3">
        <v>0.9</v>
      </c>
      <c r="W401" s="2">
        <v>0</v>
      </c>
      <c r="X401">
        <v>0</v>
      </c>
      <c r="Y401" t="s">
        <v>60</v>
      </c>
      <c r="Z401" t="s">
        <v>360</v>
      </c>
      <c r="AA401">
        <v>0</v>
      </c>
      <c r="AB401" s="2">
        <v>0</v>
      </c>
      <c r="AC401" s="2">
        <v>0</v>
      </c>
      <c r="AD401" s="3">
        <v>0</v>
      </c>
      <c r="AE401" s="2">
        <v>0</v>
      </c>
      <c r="AF401" s="2">
        <v>0</v>
      </c>
      <c r="AG401" s="2">
        <v>0</v>
      </c>
      <c r="AH401" s="2">
        <v>0</v>
      </c>
      <c r="AI401" s="2">
        <v>0</v>
      </c>
      <c r="AJ401" s="2">
        <v>0</v>
      </c>
      <c r="AK401" s="2">
        <v>0</v>
      </c>
      <c r="AL401" s="2">
        <v>0</v>
      </c>
      <c r="AM401" s="2">
        <v>75.27</v>
      </c>
      <c r="AN401" s="2">
        <v>75.27</v>
      </c>
      <c r="AO401" s="2">
        <v>0</v>
      </c>
      <c r="AP401" s="2">
        <v>0</v>
      </c>
      <c r="AQ401" s="2">
        <v>0</v>
      </c>
    </row>
    <row r="402" spans="1:43" x14ac:dyDescent="0.25">
      <c r="A402" s="1">
        <v>45936</v>
      </c>
      <c r="B402" t="s">
        <v>48</v>
      </c>
      <c r="C402">
        <v>649163</v>
      </c>
      <c r="D402">
        <v>2026028784</v>
      </c>
      <c r="E402" t="s">
        <v>861</v>
      </c>
      <c r="F402" t="s">
        <v>862</v>
      </c>
      <c r="G402" t="s">
        <v>51</v>
      </c>
      <c r="H402" t="s">
        <v>101</v>
      </c>
      <c r="I402" t="s">
        <v>292</v>
      </c>
      <c r="J402" t="s">
        <v>293</v>
      </c>
      <c r="K402">
        <v>651818</v>
      </c>
      <c r="L402" t="s">
        <v>112</v>
      </c>
      <c r="M402" t="s">
        <v>104</v>
      </c>
      <c r="N402" t="s">
        <v>57</v>
      </c>
      <c r="O402" s="1">
        <v>45664</v>
      </c>
      <c r="Q402" s="1">
        <v>45968</v>
      </c>
      <c r="R402" s="2">
        <v>96</v>
      </c>
      <c r="S402">
        <v>1</v>
      </c>
      <c r="T402" t="s">
        <v>58</v>
      </c>
      <c r="U402" t="s">
        <v>359</v>
      </c>
      <c r="V402" s="3">
        <v>0.7</v>
      </c>
      <c r="W402" s="2">
        <v>0</v>
      </c>
      <c r="X402">
        <v>0</v>
      </c>
      <c r="Y402" t="s">
        <v>60</v>
      </c>
      <c r="Z402" t="s">
        <v>360</v>
      </c>
      <c r="AA402">
        <v>0</v>
      </c>
      <c r="AB402" s="2">
        <v>0</v>
      </c>
      <c r="AC402" s="2">
        <v>0</v>
      </c>
      <c r="AD402" s="3">
        <v>0</v>
      </c>
      <c r="AE402" s="2">
        <v>0</v>
      </c>
      <c r="AF402" s="2">
        <v>0</v>
      </c>
      <c r="AG402" s="2">
        <v>0</v>
      </c>
      <c r="AH402" s="2">
        <v>0</v>
      </c>
      <c r="AI402" s="2">
        <v>0</v>
      </c>
      <c r="AJ402" s="2">
        <v>0</v>
      </c>
      <c r="AK402" s="2">
        <v>0</v>
      </c>
      <c r="AL402" s="2">
        <v>0</v>
      </c>
      <c r="AM402" s="2">
        <v>67.2</v>
      </c>
      <c r="AN402" s="2">
        <v>67.2</v>
      </c>
      <c r="AO402" s="2">
        <v>0</v>
      </c>
      <c r="AP402" s="2">
        <v>0</v>
      </c>
      <c r="AQ402" s="2">
        <v>0</v>
      </c>
    </row>
    <row r="403" spans="1:43" x14ac:dyDescent="0.25">
      <c r="A403" s="1">
        <v>45936</v>
      </c>
      <c r="B403" t="s">
        <v>48</v>
      </c>
      <c r="C403">
        <v>649163</v>
      </c>
      <c r="D403">
        <v>2026036712</v>
      </c>
      <c r="E403" t="s">
        <v>703</v>
      </c>
      <c r="F403" t="s">
        <v>63</v>
      </c>
      <c r="G403" t="s">
        <v>51</v>
      </c>
      <c r="H403" t="s">
        <v>101</v>
      </c>
      <c r="I403" t="s">
        <v>292</v>
      </c>
      <c r="J403" t="s">
        <v>293</v>
      </c>
      <c r="K403">
        <v>651818</v>
      </c>
      <c r="L403" t="s">
        <v>112</v>
      </c>
      <c r="M403" t="s">
        <v>104</v>
      </c>
      <c r="N403" t="s">
        <v>57</v>
      </c>
      <c r="O403" s="1">
        <v>45664</v>
      </c>
      <c r="Q403" s="1">
        <v>45968</v>
      </c>
      <c r="R403" s="2">
        <v>74.58</v>
      </c>
      <c r="S403">
        <v>1</v>
      </c>
      <c r="T403" t="s">
        <v>58</v>
      </c>
      <c r="U403" t="s">
        <v>359</v>
      </c>
      <c r="V403" s="3">
        <v>0.7</v>
      </c>
      <c r="W403" s="2">
        <v>0</v>
      </c>
      <c r="X403">
        <v>0</v>
      </c>
      <c r="Y403" t="s">
        <v>60</v>
      </c>
      <c r="Z403" t="s">
        <v>360</v>
      </c>
      <c r="AA403">
        <v>0</v>
      </c>
      <c r="AB403" s="2">
        <v>0</v>
      </c>
      <c r="AC403" s="2">
        <v>0</v>
      </c>
      <c r="AD403" s="3">
        <v>0</v>
      </c>
      <c r="AE403" s="2">
        <v>0</v>
      </c>
      <c r="AF403" s="2">
        <v>0</v>
      </c>
      <c r="AG403" s="2">
        <v>0</v>
      </c>
      <c r="AH403" s="2">
        <v>0</v>
      </c>
      <c r="AI403" s="2">
        <v>0</v>
      </c>
      <c r="AJ403" s="2">
        <v>0</v>
      </c>
      <c r="AK403" s="2">
        <v>0</v>
      </c>
      <c r="AL403" s="2">
        <v>0</v>
      </c>
      <c r="AM403" s="2">
        <v>52.21</v>
      </c>
      <c r="AN403" s="2">
        <v>52.21</v>
      </c>
      <c r="AO403" s="2">
        <v>0</v>
      </c>
      <c r="AP403" s="2">
        <v>0</v>
      </c>
      <c r="AQ403" s="2">
        <v>0</v>
      </c>
    </row>
    <row r="404" spans="1:43" x14ac:dyDescent="0.25">
      <c r="A404" s="1">
        <v>45936</v>
      </c>
      <c r="B404" t="s">
        <v>48</v>
      </c>
      <c r="C404">
        <v>649163</v>
      </c>
      <c r="D404">
        <v>2026043419</v>
      </c>
      <c r="E404" t="s">
        <v>863</v>
      </c>
      <c r="F404" t="s">
        <v>74</v>
      </c>
      <c r="G404" t="s">
        <v>51</v>
      </c>
      <c r="H404" t="s">
        <v>119</v>
      </c>
      <c r="I404" t="s">
        <v>292</v>
      </c>
      <c r="J404" t="s">
        <v>293</v>
      </c>
      <c r="K404">
        <v>651818</v>
      </c>
      <c r="L404" t="s">
        <v>112</v>
      </c>
      <c r="M404" t="s">
        <v>104</v>
      </c>
      <c r="N404" t="s">
        <v>57</v>
      </c>
      <c r="O404" s="1">
        <v>45664</v>
      </c>
      <c r="Q404" s="1">
        <v>45968</v>
      </c>
      <c r="R404" s="2">
        <v>79.33</v>
      </c>
      <c r="S404">
        <v>1</v>
      </c>
      <c r="T404" t="s">
        <v>58</v>
      </c>
      <c r="U404" t="s">
        <v>359</v>
      </c>
      <c r="V404" s="3">
        <v>0.7</v>
      </c>
      <c r="W404" s="2">
        <v>0</v>
      </c>
      <c r="X404">
        <v>0</v>
      </c>
      <c r="Y404" t="s">
        <v>60</v>
      </c>
      <c r="Z404" t="s">
        <v>360</v>
      </c>
      <c r="AA404">
        <v>0</v>
      </c>
      <c r="AB404" s="2">
        <v>0</v>
      </c>
      <c r="AC404" s="2">
        <v>0</v>
      </c>
      <c r="AD404" s="3">
        <v>0</v>
      </c>
      <c r="AE404" s="2">
        <v>0</v>
      </c>
      <c r="AF404" s="2">
        <v>0</v>
      </c>
      <c r="AG404" s="2">
        <v>0</v>
      </c>
      <c r="AH404" s="2">
        <v>0</v>
      </c>
      <c r="AI404" s="2">
        <v>0</v>
      </c>
      <c r="AJ404" s="2">
        <v>0</v>
      </c>
      <c r="AK404" s="2">
        <v>0</v>
      </c>
      <c r="AL404" s="2">
        <v>0</v>
      </c>
      <c r="AM404" s="2">
        <v>55.53</v>
      </c>
      <c r="AN404" s="2">
        <v>55.53</v>
      </c>
      <c r="AO404" s="2">
        <v>0</v>
      </c>
      <c r="AP404" s="2">
        <v>0</v>
      </c>
      <c r="AQ404" s="2">
        <v>0</v>
      </c>
    </row>
    <row r="405" spans="1:43" x14ac:dyDescent="0.25">
      <c r="A405" s="1">
        <v>45936</v>
      </c>
      <c r="B405" t="s">
        <v>48</v>
      </c>
      <c r="C405">
        <v>649163</v>
      </c>
      <c r="D405">
        <v>2026047071</v>
      </c>
      <c r="E405" t="s">
        <v>601</v>
      </c>
      <c r="F405" t="s">
        <v>169</v>
      </c>
      <c r="G405" t="s">
        <v>51</v>
      </c>
      <c r="H405" t="s">
        <v>52</v>
      </c>
      <c r="I405" t="s">
        <v>292</v>
      </c>
      <c r="J405" t="s">
        <v>293</v>
      </c>
      <c r="K405">
        <v>651818</v>
      </c>
      <c r="L405" t="s">
        <v>112</v>
      </c>
      <c r="M405" t="s">
        <v>104</v>
      </c>
      <c r="N405" t="s">
        <v>57</v>
      </c>
      <c r="O405" s="1">
        <v>45664</v>
      </c>
      <c r="Q405" s="1">
        <v>45968</v>
      </c>
      <c r="R405" s="2">
        <v>323.26</v>
      </c>
      <c r="S405">
        <v>1</v>
      </c>
      <c r="T405" t="s">
        <v>58</v>
      </c>
      <c r="U405" t="s">
        <v>359</v>
      </c>
      <c r="V405" s="3">
        <v>0.7</v>
      </c>
      <c r="W405" s="2">
        <v>0</v>
      </c>
      <c r="X405">
        <v>0</v>
      </c>
      <c r="Y405" t="s">
        <v>60</v>
      </c>
      <c r="Z405" t="s">
        <v>360</v>
      </c>
      <c r="AA405">
        <v>0</v>
      </c>
      <c r="AB405" s="2">
        <v>0</v>
      </c>
      <c r="AC405" s="2">
        <v>0</v>
      </c>
      <c r="AD405" s="3">
        <v>0</v>
      </c>
      <c r="AE405" s="2">
        <v>0</v>
      </c>
      <c r="AF405" s="2">
        <v>0</v>
      </c>
      <c r="AG405" s="2">
        <v>0</v>
      </c>
      <c r="AH405" s="2">
        <v>0</v>
      </c>
      <c r="AI405" s="2">
        <v>0</v>
      </c>
      <c r="AJ405" s="2">
        <v>0</v>
      </c>
      <c r="AK405" s="2">
        <v>0</v>
      </c>
      <c r="AL405" s="2">
        <v>0</v>
      </c>
      <c r="AM405" s="2">
        <v>226.28</v>
      </c>
      <c r="AN405" s="2">
        <v>226.28</v>
      </c>
      <c r="AO405" s="2">
        <v>0</v>
      </c>
      <c r="AP405" s="2">
        <v>0</v>
      </c>
      <c r="AQ405" s="2">
        <v>0</v>
      </c>
    </row>
    <row r="406" spans="1:43" x14ac:dyDescent="0.25">
      <c r="A406" s="1">
        <v>45936</v>
      </c>
      <c r="B406" t="s">
        <v>48</v>
      </c>
      <c r="C406">
        <v>649163</v>
      </c>
      <c r="D406">
        <v>2026050470</v>
      </c>
      <c r="E406" t="s">
        <v>704</v>
      </c>
      <c r="F406" t="s">
        <v>72</v>
      </c>
      <c r="G406" t="s">
        <v>51</v>
      </c>
      <c r="H406" t="s">
        <v>203</v>
      </c>
      <c r="I406" t="s">
        <v>292</v>
      </c>
      <c r="J406" t="s">
        <v>293</v>
      </c>
      <c r="K406">
        <v>796984</v>
      </c>
      <c r="L406" t="s">
        <v>204</v>
      </c>
      <c r="M406" t="s">
        <v>205</v>
      </c>
      <c r="N406" t="s">
        <v>57</v>
      </c>
      <c r="O406" s="1">
        <v>45632</v>
      </c>
      <c r="Q406" s="1">
        <v>45967</v>
      </c>
      <c r="R406" s="2">
        <v>9.6999999999999993</v>
      </c>
      <c r="S406">
        <v>1</v>
      </c>
      <c r="T406" t="s">
        <v>58</v>
      </c>
      <c r="U406" t="s">
        <v>359</v>
      </c>
      <c r="V406" s="3">
        <v>0.7</v>
      </c>
      <c r="W406" s="2">
        <v>0</v>
      </c>
      <c r="X406">
        <v>0</v>
      </c>
      <c r="Y406" t="s">
        <v>60</v>
      </c>
      <c r="Z406" t="s">
        <v>360</v>
      </c>
      <c r="AA406">
        <v>0</v>
      </c>
      <c r="AB406" s="2">
        <v>0</v>
      </c>
      <c r="AC406" s="2">
        <v>0</v>
      </c>
      <c r="AD406" s="3">
        <v>0</v>
      </c>
      <c r="AE406" s="2">
        <v>0</v>
      </c>
      <c r="AF406" s="2">
        <v>0</v>
      </c>
      <c r="AG406" s="2">
        <v>0</v>
      </c>
      <c r="AH406" s="2">
        <v>0</v>
      </c>
      <c r="AI406" s="2">
        <v>0</v>
      </c>
      <c r="AJ406" s="2">
        <v>0</v>
      </c>
      <c r="AK406" s="2">
        <v>0</v>
      </c>
      <c r="AL406" s="2">
        <v>0</v>
      </c>
      <c r="AM406" s="2">
        <v>6.79</v>
      </c>
      <c r="AN406" s="2">
        <v>6.79</v>
      </c>
      <c r="AO406" s="2">
        <v>0</v>
      </c>
      <c r="AP406" s="2">
        <v>0</v>
      </c>
      <c r="AQ406" s="2">
        <v>0</v>
      </c>
    </row>
    <row r="407" spans="1:43" x14ac:dyDescent="0.25">
      <c r="A407" s="1">
        <v>45936</v>
      </c>
      <c r="B407" t="s">
        <v>48</v>
      </c>
      <c r="C407">
        <v>649163</v>
      </c>
      <c r="D407">
        <v>2026053294</v>
      </c>
      <c r="E407" t="s">
        <v>705</v>
      </c>
      <c r="F407" t="s">
        <v>393</v>
      </c>
      <c r="G407" t="s">
        <v>51</v>
      </c>
      <c r="H407" t="s">
        <v>101</v>
      </c>
      <c r="I407" t="s">
        <v>292</v>
      </c>
      <c r="J407" t="s">
        <v>293</v>
      </c>
      <c r="K407">
        <v>651818</v>
      </c>
      <c r="L407" t="s">
        <v>112</v>
      </c>
      <c r="M407" t="s">
        <v>104</v>
      </c>
      <c r="N407" t="s">
        <v>57</v>
      </c>
      <c r="O407" s="1">
        <v>45664</v>
      </c>
      <c r="Q407" s="1">
        <v>45968</v>
      </c>
      <c r="R407" s="2">
        <v>124.72</v>
      </c>
      <c r="S407">
        <v>1</v>
      </c>
      <c r="T407" t="s">
        <v>58</v>
      </c>
      <c r="U407" t="s">
        <v>359</v>
      </c>
      <c r="V407" s="3">
        <v>0.7</v>
      </c>
      <c r="W407" s="2">
        <v>0</v>
      </c>
      <c r="X407">
        <v>0</v>
      </c>
      <c r="Y407" t="s">
        <v>60</v>
      </c>
      <c r="Z407" t="s">
        <v>360</v>
      </c>
      <c r="AA407">
        <v>0</v>
      </c>
      <c r="AB407" s="2">
        <v>0</v>
      </c>
      <c r="AC407" s="2">
        <v>0</v>
      </c>
      <c r="AD407" s="3">
        <v>0</v>
      </c>
      <c r="AE407" s="2">
        <v>0</v>
      </c>
      <c r="AF407" s="2">
        <v>0</v>
      </c>
      <c r="AG407" s="2">
        <v>0</v>
      </c>
      <c r="AH407" s="2">
        <v>0</v>
      </c>
      <c r="AI407" s="2">
        <v>0</v>
      </c>
      <c r="AJ407" s="2">
        <v>0</v>
      </c>
      <c r="AK407" s="2">
        <v>0</v>
      </c>
      <c r="AL407" s="2">
        <v>0</v>
      </c>
      <c r="AM407" s="2">
        <v>87.3</v>
      </c>
      <c r="AN407" s="2">
        <v>87.3</v>
      </c>
      <c r="AO407" s="2">
        <v>0</v>
      </c>
      <c r="AP407" s="2">
        <v>0</v>
      </c>
      <c r="AQ407" s="2">
        <v>0</v>
      </c>
    </row>
    <row r="408" spans="1:43" x14ac:dyDescent="0.25">
      <c r="A408" s="1">
        <v>45936</v>
      </c>
      <c r="B408" t="s">
        <v>48</v>
      </c>
      <c r="C408">
        <v>649163</v>
      </c>
      <c r="D408">
        <v>2026056484</v>
      </c>
      <c r="E408" t="s">
        <v>864</v>
      </c>
      <c r="F408" t="s">
        <v>571</v>
      </c>
      <c r="G408" t="s">
        <v>51</v>
      </c>
      <c r="H408" t="s">
        <v>122</v>
      </c>
      <c r="I408" t="s">
        <v>292</v>
      </c>
      <c r="J408" t="s">
        <v>293</v>
      </c>
      <c r="K408">
        <v>651818</v>
      </c>
      <c r="L408" t="s">
        <v>112</v>
      </c>
      <c r="M408" t="s">
        <v>104</v>
      </c>
      <c r="N408" t="s">
        <v>57</v>
      </c>
      <c r="O408" s="1">
        <v>45664</v>
      </c>
      <c r="Q408" s="1">
        <v>45968</v>
      </c>
      <c r="R408" s="2">
        <v>46.72</v>
      </c>
      <c r="S408">
        <v>1</v>
      </c>
      <c r="T408" t="s">
        <v>58</v>
      </c>
      <c r="U408" t="s">
        <v>359</v>
      </c>
      <c r="V408" s="3">
        <v>0.7</v>
      </c>
      <c r="W408" s="2">
        <v>0</v>
      </c>
      <c r="X408">
        <v>0</v>
      </c>
      <c r="Y408" t="s">
        <v>60</v>
      </c>
      <c r="Z408" t="s">
        <v>360</v>
      </c>
      <c r="AA408">
        <v>0</v>
      </c>
      <c r="AB408" s="2">
        <v>0</v>
      </c>
      <c r="AC408" s="2">
        <v>0</v>
      </c>
      <c r="AD408" s="3">
        <v>0</v>
      </c>
      <c r="AE408" s="2">
        <v>0</v>
      </c>
      <c r="AF408" s="2">
        <v>0</v>
      </c>
      <c r="AG408" s="2">
        <v>0</v>
      </c>
      <c r="AH408" s="2">
        <v>0</v>
      </c>
      <c r="AI408" s="2">
        <v>0</v>
      </c>
      <c r="AJ408" s="2">
        <v>0</v>
      </c>
      <c r="AK408" s="2">
        <v>0</v>
      </c>
      <c r="AL408" s="2">
        <v>0</v>
      </c>
      <c r="AM408" s="2">
        <v>32.700000000000003</v>
      </c>
      <c r="AN408" s="2">
        <v>32.700000000000003</v>
      </c>
      <c r="AO408" s="2">
        <v>0</v>
      </c>
      <c r="AP408" s="2">
        <v>0</v>
      </c>
      <c r="AQ408" s="2">
        <v>0</v>
      </c>
    </row>
    <row r="409" spans="1:43" x14ac:dyDescent="0.25">
      <c r="A409" s="1">
        <v>45936</v>
      </c>
      <c r="B409" t="s">
        <v>48</v>
      </c>
      <c r="C409">
        <v>649163</v>
      </c>
      <c r="D409">
        <v>2026077464</v>
      </c>
      <c r="E409" t="s">
        <v>865</v>
      </c>
      <c r="F409" t="s">
        <v>740</v>
      </c>
      <c r="G409" t="s">
        <v>51</v>
      </c>
      <c r="H409" t="s">
        <v>101</v>
      </c>
      <c r="I409" t="s">
        <v>292</v>
      </c>
      <c r="J409" t="s">
        <v>293</v>
      </c>
      <c r="K409">
        <v>651818</v>
      </c>
      <c r="L409" t="s">
        <v>112</v>
      </c>
      <c r="M409" t="s">
        <v>104</v>
      </c>
      <c r="N409" t="s">
        <v>57</v>
      </c>
      <c r="O409" s="1">
        <v>45664</v>
      </c>
      <c r="Q409" s="1">
        <v>45968</v>
      </c>
      <c r="R409" s="2">
        <v>198.36</v>
      </c>
      <c r="S409">
        <v>1</v>
      </c>
      <c r="T409" t="s">
        <v>58</v>
      </c>
      <c r="U409" t="s">
        <v>359</v>
      </c>
      <c r="V409" s="3">
        <v>0.7</v>
      </c>
      <c r="W409" s="2">
        <v>0</v>
      </c>
      <c r="X409">
        <v>0</v>
      </c>
      <c r="Y409" t="s">
        <v>60</v>
      </c>
      <c r="Z409" t="s">
        <v>360</v>
      </c>
      <c r="AA409">
        <v>0</v>
      </c>
      <c r="AB409" s="2">
        <v>0</v>
      </c>
      <c r="AC409" s="2">
        <v>0</v>
      </c>
      <c r="AD409" s="3">
        <v>0</v>
      </c>
      <c r="AE409" s="2">
        <v>0</v>
      </c>
      <c r="AF409" s="2">
        <v>0</v>
      </c>
      <c r="AG409" s="2">
        <v>0</v>
      </c>
      <c r="AH409" s="2">
        <v>0</v>
      </c>
      <c r="AI409" s="2">
        <v>0</v>
      </c>
      <c r="AJ409" s="2">
        <v>0</v>
      </c>
      <c r="AK409" s="2">
        <v>0</v>
      </c>
      <c r="AL409" s="2">
        <v>0</v>
      </c>
      <c r="AM409" s="2">
        <v>138.85</v>
      </c>
      <c r="AN409" s="2">
        <v>138.85</v>
      </c>
      <c r="AO409" s="2">
        <v>0</v>
      </c>
      <c r="AP409" s="2">
        <v>0</v>
      </c>
      <c r="AQ409" s="2">
        <v>0</v>
      </c>
    </row>
    <row r="410" spans="1:43" x14ac:dyDescent="0.25">
      <c r="A410" s="1">
        <v>45936</v>
      </c>
      <c r="B410" t="s">
        <v>48</v>
      </c>
      <c r="C410">
        <v>649163</v>
      </c>
      <c r="D410">
        <v>2026082701</v>
      </c>
      <c r="E410" t="s">
        <v>706</v>
      </c>
      <c r="F410" t="s">
        <v>194</v>
      </c>
      <c r="G410" t="s">
        <v>51</v>
      </c>
      <c r="H410" t="s">
        <v>115</v>
      </c>
      <c r="I410" t="s">
        <v>292</v>
      </c>
      <c r="J410" t="s">
        <v>295</v>
      </c>
      <c r="K410">
        <v>651818</v>
      </c>
      <c r="L410" t="s">
        <v>112</v>
      </c>
      <c r="M410" t="s">
        <v>104</v>
      </c>
      <c r="N410" t="s">
        <v>57</v>
      </c>
      <c r="O410" s="1">
        <v>45664</v>
      </c>
      <c r="Q410" s="1">
        <v>45968</v>
      </c>
      <c r="R410" s="2">
        <v>74</v>
      </c>
      <c r="S410">
        <v>1</v>
      </c>
      <c r="T410" t="s">
        <v>58</v>
      </c>
      <c r="U410" t="s">
        <v>359</v>
      </c>
      <c r="V410" s="3">
        <v>0.9</v>
      </c>
      <c r="W410" s="2">
        <v>0</v>
      </c>
      <c r="X410">
        <v>0</v>
      </c>
      <c r="Y410" t="s">
        <v>60</v>
      </c>
      <c r="Z410" t="s">
        <v>360</v>
      </c>
      <c r="AA410">
        <v>0</v>
      </c>
      <c r="AB410" s="2">
        <v>0</v>
      </c>
      <c r="AC410" s="2">
        <v>0</v>
      </c>
      <c r="AD410" s="3">
        <v>0</v>
      </c>
      <c r="AE410" s="2">
        <v>0</v>
      </c>
      <c r="AF410" s="2">
        <v>0</v>
      </c>
      <c r="AG410" s="2">
        <v>0</v>
      </c>
      <c r="AH410" s="2">
        <v>0</v>
      </c>
      <c r="AI410" s="2">
        <v>0</v>
      </c>
      <c r="AJ410" s="2">
        <v>0</v>
      </c>
      <c r="AK410" s="2">
        <v>0</v>
      </c>
      <c r="AL410" s="2">
        <v>0</v>
      </c>
      <c r="AM410" s="2">
        <v>66.599999999999994</v>
      </c>
      <c r="AN410" s="2">
        <v>66.599999999999994</v>
      </c>
      <c r="AO410" s="2">
        <v>0</v>
      </c>
      <c r="AP410" s="2">
        <v>0</v>
      </c>
      <c r="AQ410" s="2">
        <v>0</v>
      </c>
    </row>
    <row r="411" spans="1:43" x14ac:dyDescent="0.25">
      <c r="A411" s="1">
        <v>45936</v>
      </c>
      <c r="B411" t="s">
        <v>48</v>
      </c>
      <c r="C411">
        <v>649163</v>
      </c>
      <c r="D411">
        <v>2026082702</v>
      </c>
      <c r="E411" t="s">
        <v>706</v>
      </c>
      <c r="F411" t="s">
        <v>194</v>
      </c>
      <c r="G411" t="s">
        <v>51</v>
      </c>
      <c r="H411" t="s">
        <v>115</v>
      </c>
      <c r="I411" t="s">
        <v>292</v>
      </c>
      <c r="J411" t="s">
        <v>293</v>
      </c>
      <c r="K411">
        <v>651818</v>
      </c>
      <c r="L411" t="s">
        <v>112</v>
      </c>
      <c r="M411" t="s">
        <v>104</v>
      </c>
      <c r="N411" t="s">
        <v>57</v>
      </c>
      <c r="O411" s="1">
        <v>45664</v>
      </c>
      <c r="Q411" s="1">
        <v>45968</v>
      </c>
      <c r="R411" s="2">
        <v>32.979999999999997</v>
      </c>
      <c r="S411">
        <v>1</v>
      </c>
      <c r="T411" t="s">
        <v>58</v>
      </c>
      <c r="U411" t="s">
        <v>359</v>
      </c>
      <c r="V411" s="3">
        <v>0.7</v>
      </c>
      <c r="W411" s="2">
        <v>0</v>
      </c>
      <c r="X411">
        <v>0</v>
      </c>
      <c r="Y411" t="s">
        <v>60</v>
      </c>
      <c r="Z411" t="s">
        <v>360</v>
      </c>
      <c r="AA411">
        <v>0</v>
      </c>
      <c r="AB411" s="2">
        <v>0</v>
      </c>
      <c r="AC411" s="2">
        <v>0</v>
      </c>
      <c r="AD411" s="3">
        <v>0</v>
      </c>
      <c r="AE411" s="2">
        <v>0</v>
      </c>
      <c r="AF411" s="2">
        <v>0</v>
      </c>
      <c r="AG411" s="2">
        <v>0</v>
      </c>
      <c r="AH411" s="2">
        <v>0</v>
      </c>
      <c r="AI411" s="2">
        <v>0</v>
      </c>
      <c r="AJ411" s="2">
        <v>0</v>
      </c>
      <c r="AK411" s="2">
        <v>0</v>
      </c>
      <c r="AL411" s="2">
        <v>0</v>
      </c>
      <c r="AM411" s="2">
        <v>23.09</v>
      </c>
      <c r="AN411" s="2">
        <v>23.09</v>
      </c>
      <c r="AO411" s="2">
        <v>0</v>
      </c>
      <c r="AP411" s="2">
        <v>0</v>
      </c>
      <c r="AQ411" s="2">
        <v>0</v>
      </c>
    </row>
    <row r="412" spans="1:43" x14ac:dyDescent="0.25">
      <c r="A412" s="1">
        <v>45936</v>
      </c>
      <c r="B412" t="s">
        <v>48</v>
      </c>
      <c r="C412">
        <v>649163</v>
      </c>
      <c r="D412">
        <v>2026083912</v>
      </c>
      <c r="E412" t="s">
        <v>866</v>
      </c>
      <c r="F412" t="s">
        <v>867</v>
      </c>
      <c r="G412" t="s">
        <v>51</v>
      </c>
      <c r="H412" t="s">
        <v>52</v>
      </c>
      <c r="I412" t="s">
        <v>292</v>
      </c>
      <c r="J412" t="s">
        <v>293</v>
      </c>
      <c r="K412">
        <v>651818</v>
      </c>
      <c r="L412" t="s">
        <v>112</v>
      </c>
      <c r="M412" t="s">
        <v>104</v>
      </c>
      <c r="N412" t="s">
        <v>57</v>
      </c>
      <c r="O412" s="1">
        <v>45664</v>
      </c>
      <c r="Q412" s="1">
        <v>45968</v>
      </c>
      <c r="R412" s="2">
        <v>210.64</v>
      </c>
      <c r="S412">
        <v>1</v>
      </c>
      <c r="T412" t="s">
        <v>58</v>
      </c>
      <c r="U412" t="s">
        <v>359</v>
      </c>
      <c r="V412" s="3">
        <v>0.7</v>
      </c>
      <c r="W412" s="2">
        <v>0</v>
      </c>
      <c r="X412">
        <v>0</v>
      </c>
      <c r="Y412" t="s">
        <v>60</v>
      </c>
      <c r="Z412" t="s">
        <v>360</v>
      </c>
      <c r="AA412">
        <v>0</v>
      </c>
      <c r="AB412" s="2">
        <v>0</v>
      </c>
      <c r="AC412" s="2">
        <v>0</v>
      </c>
      <c r="AD412" s="3">
        <v>0</v>
      </c>
      <c r="AE412" s="2">
        <v>0</v>
      </c>
      <c r="AF412" s="2">
        <v>0</v>
      </c>
      <c r="AG412" s="2">
        <v>0</v>
      </c>
      <c r="AH412" s="2">
        <v>0</v>
      </c>
      <c r="AI412" s="2">
        <v>0</v>
      </c>
      <c r="AJ412" s="2">
        <v>0</v>
      </c>
      <c r="AK412" s="2">
        <v>0</v>
      </c>
      <c r="AL412" s="2">
        <v>0</v>
      </c>
      <c r="AM412" s="2">
        <v>147.44999999999999</v>
      </c>
      <c r="AN412" s="2">
        <v>147.44999999999999</v>
      </c>
      <c r="AO412" s="2">
        <v>0</v>
      </c>
      <c r="AP412" s="2">
        <v>0</v>
      </c>
      <c r="AQ412" s="2">
        <v>0</v>
      </c>
    </row>
    <row r="413" spans="1:43" x14ac:dyDescent="0.25">
      <c r="A413" s="1">
        <v>45936</v>
      </c>
      <c r="B413" t="s">
        <v>48</v>
      </c>
      <c r="C413">
        <v>649163</v>
      </c>
      <c r="D413">
        <v>2026084802</v>
      </c>
      <c r="E413" t="s">
        <v>868</v>
      </c>
      <c r="F413" t="s">
        <v>708</v>
      </c>
      <c r="G413" t="s">
        <v>51</v>
      </c>
      <c r="H413" t="s">
        <v>101</v>
      </c>
      <c r="I413" t="s">
        <v>292</v>
      </c>
      <c r="J413" t="s">
        <v>293</v>
      </c>
      <c r="K413">
        <v>651818</v>
      </c>
      <c r="L413" t="s">
        <v>112</v>
      </c>
      <c r="M413" t="s">
        <v>104</v>
      </c>
      <c r="N413" t="s">
        <v>57</v>
      </c>
      <c r="O413" s="1">
        <v>45664</v>
      </c>
      <c r="Q413" s="1">
        <v>45968</v>
      </c>
      <c r="R413" s="2">
        <v>105.02</v>
      </c>
      <c r="S413">
        <v>1</v>
      </c>
      <c r="T413" t="s">
        <v>58</v>
      </c>
      <c r="U413" t="s">
        <v>359</v>
      </c>
      <c r="V413" s="3">
        <v>0.7</v>
      </c>
      <c r="W413" s="2">
        <v>0</v>
      </c>
      <c r="X413">
        <v>0</v>
      </c>
      <c r="Y413" t="s">
        <v>60</v>
      </c>
      <c r="Z413" t="s">
        <v>360</v>
      </c>
      <c r="AA413">
        <v>0</v>
      </c>
      <c r="AB413" s="2">
        <v>0</v>
      </c>
      <c r="AC413" s="2">
        <v>0</v>
      </c>
      <c r="AD413" s="3">
        <v>0</v>
      </c>
      <c r="AE413" s="2">
        <v>0</v>
      </c>
      <c r="AF413" s="2">
        <v>0</v>
      </c>
      <c r="AG413" s="2">
        <v>0</v>
      </c>
      <c r="AH413" s="2">
        <v>0</v>
      </c>
      <c r="AI413" s="2">
        <v>0</v>
      </c>
      <c r="AJ413" s="2">
        <v>0</v>
      </c>
      <c r="AK413" s="2">
        <v>0</v>
      </c>
      <c r="AL413" s="2">
        <v>0</v>
      </c>
      <c r="AM413" s="2">
        <v>73.510000000000005</v>
      </c>
      <c r="AN413" s="2">
        <v>73.510000000000005</v>
      </c>
      <c r="AO413" s="2">
        <v>0</v>
      </c>
      <c r="AP413" s="2">
        <v>0</v>
      </c>
      <c r="AQ413" s="2">
        <v>0</v>
      </c>
    </row>
    <row r="414" spans="1:43" x14ac:dyDescent="0.25">
      <c r="A414" s="1">
        <v>45936</v>
      </c>
      <c r="B414" t="s">
        <v>48</v>
      </c>
      <c r="C414">
        <v>649163</v>
      </c>
      <c r="D414">
        <v>2026099501</v>
      </c>
      <c r="E414" t="s">
        <v>707</v>
      </c>
      <c r="F414" t="s">
        <v>708</v>
      </c>
      <c r="G414" t="s">
        <v>51</v>
      </c>
      <c r="H414" t="s">
        <v>122</v>
      </c>
      <c r="I414" t="s">
        <v>292</v>
      </c>
      <c r="J414" t="s">
        <v>293</v>
      </c>
      <c r="K414">
        <v>651818</v>
      </c>
      <c r="L414" t="s">
        <v>112</v>
      </c>
      <c r="M414" t="s">
        <v>104</v>
      </c>
      <c r="N414" t="s">
        <v>57</v>
      </c>
      <c r="O414" s="1">
        <v>45664</v>
      </c>
      <c r="Q414" s="1">
        <v>45968</v>
      </c>
      <c r="R414" s="2">
        <v>31.28</v>
      </c>
      <c r="S414">
        <v>1</v>
      </c>
      <c r="T414" t="s">
        <v>58</v>
      </c>
      <c r="U414" t="s">
        <v>359</v>
      </c>
      <c r="V414" s="3">
        <v>0.7</v>
      </c>
      <c r="W414" s="2">
        <v>0</v>
      </c>
      <c r="X414">
        <v>0</v>
      </c>
      <c r="Y414" t="s">
        <v>60</v>
      </c>
      <c r="Z414" t="s">
        <v>360</v>
      </c>
      <c r="AA414">
        <v>0</v>
      </c>
      <c r="AB414" s="2">
        <v>0</v>
      </c>
      <c r="AC414" s="2">
        <v>0</v>
      </c>
      <c r="AD414" s="3">
        <v>0</v>
      </c>
      <c r="AE414" s="2">
        <v>0</v>
      </c>
      <c r="AF414" s="2">
        <v>0</v>
      </c>
      <c r="AG414" s="2">
        <v>0</v>
      </c>
      <c r="AH414" s="2">
        <v>0</v>
      </c>
      <c r="AI414" s="2">
        <v>0</v>
      </c>
      <c r="AJ414" s="2">
        <v>0</v>
      </c>
      <c r="AK414" s="2">
        <v>0</v>
      </c>
      <c r="AL414" s="2">
        <v>0</v>
      </c>
      <c r="AM414" s="2">
        <v>21.9</v>
      </c>
      <c r="AN414" s="2">
        <v>21.9</v>
      </c>
      <c r="AO414" s="2">
        <v>0</v>
      </c>
      <c r="AP414" s="2">
        <v>0</v>
      </c>
      <c r="AQ414" s="2">
        <v>0</v>
      </c>
    </row>
    <row r="415" spans="1:43" x14ac:dyDescent="0.25">
      <c r="A415" s="1">
        <v>45936</v>
      </c>
      <c r="B415" t="s">
        <v>48</v>
      </c>
      <c r="C415">
        <v>649163</v>
      </c>
      <c r="D415">
        <v>2026100107</v>
      </c>
      <c r="E415" t="s">
        <v>709</v>
      </c>
      <c r="F415" t="s">
        <v>671</v>
      </c>
      <c r="G415" t="s">
        <v>51</v>
      </c>
      <c r="H415" t="s">
        <v>122</v>
      </c>
      <c r="I415" t="s">
        <v>292</v>
      </c>
      <c r="J415" t="s">
        <v>295</v>
      </c>
      <c r="K415">
        <v>651818</v>
      </c>
      <c r="L415" t="s">
        <v>112</v>
      </c>
      <c r="M415" t="s">
        <v>104</v>
      </c>
      <c r="N415" t="s">
        <v>57</v>
      </c>
      <c r="O415" s="1">
        <v>45664</v>
      </c>
      <c r="Q415" s="1">
        <v>45968</v>
      </c>
      <c r="R415" s="2">
        <v>163.25</v>
      </c>
      <c r="S415">
        <v>1</v>
      </c>
      <c r="T415" t="s">
        <v>58</v>
      </c>
      <c r="U415" t="s">
        <v>359</v>
      </c>
      <c r="V415" s="3">
        <v>0.9</v>
      </c>
      <c r="W415" s="2">
        <v>0</v>
      </c>
      <c r="X415">
        <v>0</v>
      </c>
      <c r="Y415" t="s">
        <v>60</v>
      </c>
      <c r="Z415" t="s">
        <v>360</v>
      </c>
      <c r="AA415">
        <v>0</v>
      </c>
      <c r="AB415" s="2">
        <v>0</v>
      </c>
      <c r="AC415" s="2">
        <v>0</v>
      </c>
      <c r="AD415" s="3">
        <v>0</v>
      </c>
      <c r="AE415" s="2">
        <v>0</v>
      </c>
      <c r="AF415" s="2">
        <v>0</v>
      </c>
      <c r="AG415" s="2">
        <v>0</v>
      </c>
      <c r="AH415" s="2">
        <v>0</v>
      </c>
      <c r="AI415" s="2">
        <v>0</v>
      </c>
      <c r="AJ415" s="2">
        <v>0</v>
      </c>
      <c r="AK415" s="2">
        <v>0</v>
      </c>
      <c r="AL415" s="2">
        <v>0</v>
      </c>
      <c r="AM415" s="2">
        <v>146.91999999999999</v>
      </c>
      <c r="AN415" s="2">
        <v>146.91999999999999</v>
      </c>
      <c r="AO415" s="2">
        <v>0</v>
      </c>
      <c r="AP415" s="2">
        <v>0</v>
      </c>
      <c r="AQ415" s="2">
        <v>0</v>
      </c>
    </row>
    <row r="416" spans="1:43" x14ac:dyDescent="0.25">
      <c r="A416" s="1">
        <v>45936</v>
      </c>
      <c r="B416" t="s">
        <v>48</v>
      </c>
      <c r="C416">
        <v>649163</v>
      </c>
      <c r="D416">
        <v>2026103478</v>
      </c>
      <c r="E416" t="s">
        <v>712</v>
      </c>
      <c r="F416" t="s">
        <v>713</v>
      </c>
      <c r="G416" t="s">
        <v>51</v>
      </c>
      <c r="H416" t="s">
        <v>122</v>
      </c>
      <c r="I416" t="s">
        <v>292</v>
      </c>
      <c r="J416" t="s">
        <v>293</v>
      </c>
      <c r="K416">
        <v>651818</v>
      </c>
      <c r="L416" t="s">
        <v>112</v>
      </c>
      <c r="M416" t="s">
        <v>104</v>
      </c>
      <c r="N416" t="s">
        <v>57</v>
      </c>
      <c r="O416" s="1">
        <v>45664</v>
      </c>
      <c r="Q416" s="1">
        <v>45968</v>
      </c>
      <c r="R416" s="2">
        <v>46.72</v>
      </c>
      <c r="S416">
        <v>1</v>
      </c>
      <c r="T416" t="s">
        <v>58</v>
      </c>
      <c r="U416" t="s">
        <v>359</v>
      </c>
      <c r="V416" s="3">
        <v>0.7</v>
      </c>
      <c r="W416" s="2">
        <v>0</v>
      </c>
      <c r="X416">
        <v>0</v>
      </c>
      <c r="Y416" t="s">
        <v>60</v>
      </c>
      <c r="Z416" t="s">
        <v>360</v>
      </c>
      <c r="AA416">
        <v>0</v>
      </c>
      <c r="AB416" s="2">
        <v>0</v>
      </c>
      <c r="AC416" s="2">
        <v>0</v>
      </c>
      <c r="AD416" s="3">
        <v>0</v>
      </c>
      <c r="AE416" s="2">
        <v>0</v>
      </c>
      <c r="AF416" s="2">
        <v>0</v>
      </c>
      <c r="AG416" s="2">
        <v>0</v>
      </c>
      <c r="AH416" s="2">
        <v>0</v>
      </c>
      <c r="AI416" s="2">
        <v>0</v>
      </c>
      <c r="AJ416" s="2">
        <v>0</v>
      </c>
      <c r="AK416" s="2">
        <v>0</v>
      </c>
      <c r="AL416" s="2">
        <v>0</v>
      </c>
      <c r="AM416" s="2">
        <v>32.700000000000003</v>
      </c>
      <c r="AN416" s="2">
        <v>32.700000000000003</v>
      </c>
      <c r="AO416" s="2">
        <v>0</v>
      </c>
      <c r="AP416" s="2">
        <v>0</v>
      </c>
      <c r="AQ416" s="2">
        <v>0</v>
      </c>
    </row>
    <row r="417" spans="1:43" x14ac:dyDescent="0.25">
      <c r="A417" s="1">
        <v>45936</v>
      </c>
      <c r="B417" t="s">
        <v>48</v>
      </c>
      <c r="C417">
        <v>649163</v>
      </c>
      <c r="D417">
        <v>2026103480</v>
      </c>
      <c r="E417" t="s">
        <v>712</v>
      </c>
      <c r="F417" t="s">
        <v>713</v>
      </c>
      <c r="G417" t="s">
        <v>51</v>
      </c>
      <c r="H417" t="s">
        <v>122</v>
      </c>
      <c r="I417" t="s">
        <v>292</v>
      </c>
      <c r="J417" t="s">
        <v>295</v>
      </c>
      <c r="K417">
        <v>651818</v>
      </c>
      <c r="L417" t="s">
        <v>112</v>
      </c>
      <c r="M417" t="s">
        <v>104</v>
      </c>
      <c r="N417" t="s">
        <v>57</v>
      </c>
      <c r="O417" s="1">
        <v>45664</v>
      </c>
      <c r="Q417" s="1">
        <v>45968</v>
      </c>
      <c r="R417" s="2">
        <v>30.75</v>
      </c>
      <c r="S417">
        <v>1</v>
      </c>
      <c r="T417" t="s">
        <v>58</v>
      </c>
      <c r="U417" t="s">
        <v>359</v>
      </c>
      <c r="V417" s="3">
        <v>0.9</v>
      </c>
      <c r="W417" s="2">
        <v>0</v>
      </c>
      <c r="X417">
        <v>0</v>
      </c>
      <c r="Y417" t="s">
        <v>60</v>
      </c>
      <c r="Z417" t="s">
        <v>360</v>
      </c>
      <c r="AA417">
        <v>0</v>
      </c>
      <c r="AB417" s="2">
        <v>0</v>
      </c>
      <c r="AC417" s="2">
        <v>0</v>
      </c>
      <c r="AD417" s="3">
        <v>0</v>
      </c>
      <c r="AE417" s="2">
        <v>0</v>
      </c>
      <c r="AF417" s="2">
        <v>0</v>
      </c>
      <c r="AG417" s="2">
        <v>0</v>
      </c>
      <c r="AH417" s="2">
        <v>0</v>
      </c>
      <c r="AI417" s="2">
        <v>0</v>
      </c>
      <c r="AJ417" s="2">
        <v>0</v>
      </c>
      <c r="AK417" s="2">
        <v>0</v>
      </c>
      <c r="AL417" s="2">
        <v>0</v>
      </c>
      <c r="AM417" s="2">
        <v>27.68</v>
      </c>
      <c r="AN417" s="2">
        <v>27.68</v>
      </c>
      <c r="AO417" s="2">
        <v>0</v>
      </c>
      <c r="AP417" s="2">
        <v>0</v>
      </c>
      <c r="AQ417" s="2">
        <v>0</v>
      </c>
    </row>
    <row r="418" spans="1:43" x14ac:dyDescent="0.25">
      <c r="A418" s="1">
        <v>45936</v>
      </c>
      <c r="B418" t="s">
        <v>48</v>
      </c>
      <c r="C418">
        <v>649163</v>
      </c>
      <c r="D418">
        <v>2026113523</v>
      </c>
      <c r="E418" t="s">
        <v>714</v>
      </c>
      <c r="F418" t="s">
        <v>715</v>
      </c>
      <c r="G418" t="s">
        <v>51</v>
      </c>
      <c r="H418" t="s">
        <v>101</v>
      </c>
      <c r="I418" t="s">
        <v>292</v>
      </c>
      <c r="J418" t="s">
        <v>293</v>
      </c>
      <c r="K418">
        <v>651818</v>
      </c>
      <c r="L418" t="s">
        <v>112</v>
      </c>
      <c r="M418" t="s">
        <v>104</v>
      </c>
      <c r="N418" t="s">
        <v>57</v>
      </c>
      <c r="O418" s="1">
        <v>45664</v>
      </c>
      <c r="Q418" s="1">
        <v>45968</v>
      </c>
      <c r="R418" s="2">
        <v>284.54000000000002</v>
      </c>
      <c r="S418">
        <v>1</v>
      </c>
      <c r="T418" t="s">
        <v>58</v>
      </c>
      <c r="U418" t="s">
        <v>359</v>
      </c>
      <c r="V418" s="3">
        <v>0.7</v>
      </c>
      <c r="W418" s="2">
        <v>0</v>
      </c>
      <c r="X418">
        <v>0</v>
      </c>
      <c r="Y418" t="s">
        <v>60</v>
      </c>
      <c r="Z418" t="s">
        <v>360</v>
      </c>
      <c r="AA418">
        <v>0</v>
      </c>
      <c r="AB418" s="2">
        <v>0</v>
      </c>
      <c r="AC418" s="2">
        <v>0</v>
      </c>
      <c r="AD418" s="3">
        <v>0</v>
      </c>
      <c r="AE418" s="2">
        <v>0</v>
      </c>
      <c r="AF418" s="2">
        <v>0</v>
      </c>
      <c r="AG418" s="2">
        <v>0</v>
      </c>
      <c r="AH418" s="2">
        <v>0</v>
      </c>
      <c r="AI418" s="2">
        <v>0</v>
      </c>
      <c r="AJ418" s="2">
        <v>0</v>
      </c>
      <c r="AK418" s="2">
        <v>0</v>
      </c>
      <c r="AL418" s="2">
        <v>0</v>
      </c>
      <c r="AM418" s="2">
        <v>199.18</v>
      </c>
      <c r="AN418" s="2">
        <v>199.18</v>
      </c>
      <c r="AO418" s="2">
        <v>0</v>
      </c>
      <c r="AP418" s="2">
        <v>0</v>
      </c>
      <c r="AQ418" s="2">
        <v>0</v>
      </c>
    </row>
    <row r="419" spans="1:43" x14ac:dyDescent="0.25">
      <c r="A419" s="1">
        <v>45936</v>
      </c>
      <c r="B419" t="s">
        <v>48</v>
      </c>
      <c r="C419">
        <v>649163</v>
      </c>
      <c r="D419">
        <v>2026119932</v>
      </c>
      <c r="E419" t="s">
        <v>869</v>
      </c>
      <c r="F419" t="s">
        <v>648</v>
      </c>
      <c r="G419" t="s">
        <v>51</v>
      </c>
      <c r="H419" t="s">
        <v>79</v>
      </c>
      <c r="I419" t="s">
        <v>292</v>
      </c>
      <c r="J419" t="s">
        <v>293</v>
      </c>
      <c r="K419">
        <v>651818</v>
      </c>
      <c r="L419" t="s">
        <v>112</v>
      </c>
      <c r="M419" t="s">
        <v>104</v>
      </c>
      <c r="N419" t="s">
        <v>57</v>
      </c>
      <c r="O419" s="1">
        <v>45664</v>
      </c>
      <c r="Q419" s="1">
        <v>45968</v>
      </c>
      <c r="R419" s="2">
        <v>110.16</v>
      </c>
      <c r="S419">
        <v>1</v>
      </c>
      <c r="T419" t="s">
        <v>58</v>
      </c>
      <c r="U419" t="s">
        <v>359</v>
      </c>
      <c r="V419" s="3">
        <v>0.7</v>
      </c>
      <c r="W419" s="2">
        <v>0</v>
      </c>
      <c r="X419">
        <v>0</v>
      </c>
      <c r="Y419" t="s">
        <v>60</v>
      </c>
      <c r="Z419" t="s">
        <v>360</v>
      </c>
      <c r="AA419">
        <v>0</v>
      </c>
      <c r="AB419" s="2">
        <v>0</v>
      </c>
      <c r="AC419" s="2">
        <v>0</v>
      </c>
      <c r="AD419" s="3">
        <v>0</v>
      </c>
      <c r="AE419" s="2">
        <v>0</v>
      </c>
      <c r="AF419" s="2">
        <v>0</v>
      </c>
      <c r="AG419" s="2">
        <v>0</v>
      </c>
      <c r="AH419" s="2">
        <v>0</v>
      </c>
      <c r="AI419" s="2">
        <v>0</v>
      </c>
      <c r="AJ419" s="2">
        <v>0</v>
      </c>
      <c r="AK419" s="2">
        <v>0</v>
      </c>
      <c r="AL419" s="2">
        <v>0</v>
      </c>
      <c r="AM419" s="2">
        <v>77.11</v>
      </c>
      <c r="AN419" s="2">
        <v>77.11</v>
      </c>
      <c r="AO419" s="2">
        <v>0</v>
      </c>
      <c r="AP419" s="2">
        <v>0</v>
      </c>
      <c r="AQ419" s="2">
        <v>0</v>
      </c>
    </row>
    <row r="420" spans="1:43" x14ac:dyDescent="0.25">
      <c r="A420" s="1">
        <v>45936</v>
      </c>
      <c r="B420" t="s">
        <v>48</v>
      </c>
      <c r="C420">
        <v>649163</v>
      </c>
      <c r="D420">
        <v>2026126660</v>
      </c>
      <c r="E420" t="s">
        <v>696</v>
      </c>
      <c r="F420" t="s">
        <v>717</v>
      </c>
      <c r="G420" t="s">
        <v>51</v>
      </c>
      <c r="H420" t="s">
        <v>52</v>
      </c>
      <c r="I420" t="s">
        <v>292</v>
      </c>
      <c r="J420" t="s">
        <v>293</v>
      </c>
      <c r="K420">
        <v>651818</v>
      </c>
      <c r="L420" t="s">
        <v>112</v>
      </c>
      <c r="M420" t="s">
        <v>104</v>
      </c>
      <c r="N420" t="s">
        <v>57</v>
      </c>
      <c r="O420" s="1">
        <v>45664</v>
      </c>
      <c r="Q420" s="1">
        <v>45968</v>
      </c>
      <c r="R420" s="2">
        <v>140.6</v>
      </c>
      <c r="S420">
        <v>1</v>
      </c>
      <c r="T420" t="s">
        <v>58</v>
      </c>
      <c r="U420" t="s">
        <v>359</v>
      </c>
      <c r="V420" s="3">
        <v>0.7</v>
      </c>
      <c r="W420" s="2">
        <v>0</v>
      </c>
      <c r="X420">
        <v>0</v>
      </c>
      <c r="Y420" t="s">
        <v>60</v>
      </c>
      <c r="Z420" t="s">
        <v>360</v>
      </c>
      <c r="AA420">
        <v>0</v>
      </c>
      <c r="AB420" s="2">
        <v>0</v>
      </c>
      <c r="AC420" s="2">
        <v>0</v>
      </c>
      <c r="AD420" s="3">
        <v>0</v>
      </c>
      <c r="AE420" s="2">
        <v>0</v>
      </c>
      <c r="AF420" s="2">
        <v>0</v>
      </c>
      <c r="AG420" s="2">
        <v>0</v>
      </c>
      <c r="AH420" s="2">
        <v>0</v>
      </c>
      <c r="AI420" s="2">
        <v>0</v>
      </c>
      <c r="AJ420" s="2">
        <v>0</v>
      </c>
      <c r="AK420" s="2">
        <v>0</v>
      </c>
      <c r="AL420" s="2">
        <v>0</v>
      </c>
      <c r="AM420" s="2">
        <v>98.42</v>
      </c>
      <c r="AN420" s="2">
        <v>98.42</v>
      </c>
      <c r="AO420" s="2">
        <v>0</v>
      </c>
      <c r="AP420" s="2">
        <v>0</v>
      </c>
      <c r="AQ420" s="2">
        <v>0</v>
      </c>
    </row>
    <row r="421" spans="1:43" x14ac:dyDescent="0.25">
      <c r="A421" s="1">
        <v>45936</v>
      </c>
      <c r="B421" t="s">
        <v>48</v>
      </c>
      <c r="C421">
        <v>649163</v>
      </c>
      <c r="D421">
        <v>2026131288</v>
      </c>
      <c r="E421" t="s">
        <v>870</v>
      </c>
      <c r="F421" t="s">
        <v>871</v>
      </c>
      <c r="G421" t="s">
        <v>51</v>
      </c>
      <c r="H421" t="s">
        <v>52</v>
      </c>
      <c r="I421" t="s">
        <v>292</v>
      </c>
      <c r="J421" t="s">
        <v>293</v>
      </c>
      <c r="K421">
        <v>651818</v>
      </c>
      <c r="L421" t="s">
        <v>112</v>
      </c>
      <c r="M421" t="s">
        <v>104</v>
      </c>
      <c r="N421" t="s">
        <v>57</v>
      </c>
      <c r="O421" s="1">
        <v>45664</v>
      </c>
      <c r="Q421" s="1">
        <v>45968</v>
      </c>
      <c r="R421" s="2">
        <v>176.94</v>
      </c>
      <c r="S421">
        <v>1</v>
      </c>
      <c r="T421" t="s">
        <v>58</v>
      </c>
      <c r="U421" t="s">
        <v>359</v>
      </c>
      <c r="V421" s="3">
        <v>0.7</v>
      </c>
      <c r="W421" s="2">
        <v>0</v>
      </c>
      <c r="X421">
        <v>0</v>
      </c>
      <c r="Y421" t="s">
        <v>60</v>
      </c>
      <c r="Z421" t="s">
        <v>360</v>
      </c>
      <c r="AA421">
        <v>0</v>
      </c>
      <c r="AB421" s="2">
        <v>0</v>
      </c>
      <c r="AC421" s="2">
        <v>0</v>
      </c>
      <c r="AD421" s="3">
        <v>0</v>
      </c>
      <c r="AE421" s="2">
        <v>0</v>
      </c>
      <c r="AF421" s="2">
        <v>0</v>
      </c>
      <c r="AG421" s="2">
        <v>0</v>
      </c>
      <c r="AH421" s="2">
        <v>0</v>
      </c>
      <c r="AI421" s="2">
        <v>0</v>
      </c>
      <c r="AJ421" s="2">
        <v>0</v>
      </c>
      <c r="AK421" s="2">
        <v>0</v>
      </c>
      <c r="AL421" s="2">
        <v>0</v>
      </c>
      <c r="AM421" s="2">
        <v>123.86</v>
      </c>
      <c r="AN421" s="2">
        <v>123.86</v>
      </c>
      <c r="AO421" s="2">
        <v>0</v>
      </c>
      <c r="AP421" s="2">
        <v>0</v>
      </c>
      <c r="AQ421" s="2">
        <v>0</v>
      </c>
    </row>
    <row r="422" spans="1:43" x14ac:dyDescent="0.25">
      <c r="A422" s="1">
        <v>45936</v>
      </c>
      <c r="B422" t="s">
        <v>48</v>
      </c>
      <c r="C422">
        <v>649163</v>
      </c>
      <c r="D422">
        <v>2026145112</v>
      </c>
      <c r="E422" t="s">
        <v>718</v>
      </c>
      <c r="F422" t="s">
        <v>482</v>
      </c>
      <c r="G422" t="s">
        <v>51</v>
      </c>
      <c r="H422" t="s">
        <v>376</v>
      </c>
      <c r="I422" t="s">
        <v>292</v>
      </c>
      <c r="J422" t="s">
        <v>293</v>
      </c>
      <c r="K422">
        <v>651818</v>
      </c>
      <c r="L422" t="s">
        <v>112</v>
      </c>
      <c r="M422" t="s">
        <v>104</v>
      </c>
      <c r="N422" t="s">
        <v>57</v>
      </c>
      <c r="O422" s="1">
        <v>45664</v>
      </c>
      <c r="Q422" s="1">
        <v>45968</v>
      </c>
      <c r="R422" s="2">
        <v>50.48</v>
      </c>
      <c r="S422">
        <v>1</v>
      </c>
      <c r="T422" t="s">
        <v>58</v>
      </c>
      <c r="U422" t="s">
        <v>359</v>
      </c>
      <c r="V422" s="3">
        <v>0.7</v>
      </c>
      <c r="W422" s="2">
        <v>0</v>
      </c>
      <c r="X422">
        <v>0</v>
      </c>
      <c r="Y422" t="s">
        <v>60</v>
      </c>
      <c r="Z422" t="s">
        <v>360</v>
      </c>
      <c r="AA422">
        <v>0</v>
      </c>
      <c r="AB422" s="2">
        <v>0</v>
      </c>
      <c r="AC422" s="2">
        <v>0</v>
      </c>
      <c r="AD422" s="3">
        <v>0</v>
      </c>
      <c r="AE422" s="2">
        <v>0</v>
      </c>
      <c r="AF422" s="2">
        <v>0</v>
      </c>
      <c r="AG422" s="2">
        <v>0</v>
      </c>
      <c r="AH422" s="2">
        <v>0</v>
      </c>
      <c r="AI422" s="2">
        <v>0</v>
      </c>
      <c r="AJ422" s="2">
        <v>0</v>
      </c>
      <c r="AK422" s="2">
        <v>0</v>
      </c>
      <c r="AL422" s="2">
        <v>0</v>
      </c>
      <c r="AM422" s="2">
        <v>35.340000000000003</v>
      </c>
      <c r="AN422" s="2">
        <v>35.340000000000003</v>
      </c>
      <c r="AO422" s="2">
        <v>0</v>
      </c>
      <c r="AP422" s="2">
        <v>0</v>
      </c>
      <c r="AQ422" s="2">
        <v>0</v>
      </c>
    </row>
    <row r="423" spans="1:43" x14ac:dyDescent="0.25">
      <c r="A423" s="1">
        <v>45936</v>
      </c>
      <c r="B423" t="s">
        <v>48</v>
      </c>
      <c r="C423">
        <v>649163</v>
      </c>
      <c r="D423">
        <v>2026150039</v>
      </c>
      <c r="E423" t="s">
        <v>719</v>
      </c>
      <c r="F423" t="s">
        <v>276</v>
      </c>
      <c r="G423" t="s">
        <v>51</v>
      </c>
      <c r="H423" t="s">
        <v>101</v>
      </c>
      <c r="I423" t="s">
        <v>292</v>
      </c>
      <c r="J423" t="s">
        <v>293</v>
      </c>
      <c r="K423">
        <v>651818</v>
      </c>
      <c r="L423" t="s">
        <v>112</v>
      </c>
      <c r="M423" t="s">
        <v>104</v>
      </c>
      <c r="N423" t="s">
        <v>57</v>
      </c>
      <c r="O423" s="1">
        <v>45664</v>
      </c>
      <c r="Q423" s="1">
        <v>45968</v>
      </c>
      <c r="R423" s="2">
        <v>72.760000000000005</v>
      </c>
      <c r="S423">
        <v>1</v>
      </c>
      <c r="T423" t="s">
        <v>58</v>
      </c>
      <c r="U423" t="s">
        <v>359</v>
      </c>
      <c r="V423" s="3">
        <v>0.7</v>
      </c>
      <c r="W423" s="2">
        <v>0</v>
      </c>
      <c r="X423">
        <v>0</v>
      </c>
      <c r="Y423" t="s">
        <v>60</v>
      </c>
      <c r="Z423" t="s">
        <v>360</v>
      </c>
      <c r="AA423">
        <v>0</v>
      </c>
      <c r="AB423" s="2">
        <v>0</v>
      </c>
      <c r="AC423" s="2">
        <v>0</v>
      </c>
      <c r="AD423" s="3">
        <v>0</v>
      </c>
      <c r="AE423" s="2">
        <v>0</v>
      </c>
      <c r="AF423" s="2">
        <v>0</v>
      </c>
      <c r="AG423" s="2">
        <v>0</v>
      </c>
      <c r="AH423" s="2">
        <v>0</v>
      </c>
      <c r="AI423" s="2">
        <v>0</v>
      </c>
      <c r="AJ423" s="2">
        <v>0</v>
      </c>
      <c r="AK423" s="2">
        <v>0</v>
      </c>
      <c r="AL423" s="2">
        <v>0</v>
      </c>
      <c r="AM423" s="2">
        <v>50.93</v>
      </c>
      <c r="AN423" s="2">
        <v>50.93</v>
      </c>
      <c r="AO423" s="2">
        <v>0</v>
      </c>
      <c r="AP423" s="2">
        <v>0</v>
      </c>
      <c r="AQ423" s="2">
        <v>0</v>
      </c>
    </row>
    <row r="424" spans="1:43" x14ac:dyDescent="0.25">
      <c r="A424" s="1">
        <v>45936</v>
      </c>
      <c r="B424" t="s">
        <v>48</v>
      </c>
      <c r="C424">
        <v>649163</v>
      </c>
      <c r="D424">
        <v>2026153413</v>
      </c>
      <c r="E424" t="s">
        <v>872</v>
      </c>
      <c r="F424" t="s">
        <v>740</v>
      </c>
      <c r="G424" t="s">
        <v>51</v>
      </c>
      <c r="H424" t="s">
        <v>310</v>
      </c>
      <c r="I424" t="s">
        <v>292</v>
      </c>
      <c r="J424" t="s">
        <v>293</v>
      </c>
      <c r="K424">
        <v>651818</v>
      </c>
      <c r="L424" t="s">
        <v>112</v>
      </c>
      <c r="M424" t="s">
        <v>104</v>
      </c>
      <c r="N424" t="s">
        <v>57</v>
      </c>
      <c r="O424" s="1">
        <v>45664</v>
      </c>
      <c r="Q424" s="1">
        <v>45968</v>
      </c>
      <c r="R424" s="2">
        <v>223.92</v>
      </c>
      <c r="S424">
        <v>1</v>
      </c>
      <c r="T424" t="s">
        <v>58</v>
      </c>
      <c r="U424" t="s">
        <v>359</v>
      </c>
      <c r="V424" s="3">
        <v>0.7</v>
      </c>
      <c r="W424" s="2">
        <v>0</v>
      </c>
      <c r="X424">
        <v>0</v>
      </c>
      <c r="Y424" t="s">
        <v>60</v>
      </c>
      <c r="Z424" t="s">
        <v>360</v>
      </c>
      <c r="AA424">
        <v>0</v>
      </c>
      <c r="AB424" s="2">
        <v>0</v>
      </c>
      <c r="AC424" s="2">
        <v>0</v>
      </c>
      <c r="AD424" s="3">
        <v>0</v>
      </c>
      <c r="AE424" s="2">
        <v>0</v>
      </c>
      <c r="AF424" s="2">
        <v>0</v>
      </c>
      <c r="AG424" s="2">
        <v>0</v>
      </c>
      <c r="AH424" s="2">
        <v>0</v>
      </c>
      <c r="AI424" s="2">
        <v>0</v>
      </c>
      <c r="AJ424" s="2">
        <v>0</v>
      </c>
      <c r="AK424" s="2">
        <v>0</v>
      </c>
      <c r="AL424" s="2">
        <v>0</v>
      </c>
      <c r="AM424" s="2">
        <v>156.74</v>
      </c>
      <c r="AN424" s="2">
        <v>156.74</v>
      </c>
      <c r="AO424" s="2">
        <v>0</v>
      </c>
      <c r="AP424" s="2">
        <v>0</v>
      </c>
      <c r="AQ424" s="2">
        <v>0</v>
      </c>
    </row>
    <row r="425" spans="1:43" x14ac:dyDescent="0.25">
      <c r="A425" s="1">
        <v>45936</v>
      </c>
      <c r="B425" t="s">
        <v>48</v>
      </c>
      <c r="C425">
        <v>649163</v>
      </c>
      <c r="D425">
        <v>2026153889</v>
      </c>
      <c r="E425" t="s">
        <v>872</v>
      </c>
      <c r="F425" t="s">
        <v>873</v>
      </c>
      <c r="G425" t="s">
        <v>51</v>
      </c>
      <c r="H425" t="s">
        <v>310</v>
      </c>
      <c r="I425" t="s">
        <v>292</v>
      </c>
      <c r="J425" t="s">
        <v>293</v>
      </c>
      <c r="K425">
        <v>651818</v>
      </c>
      <c r="L425" t="s">
        <v>112</v>
      </c>
      <c r="M425" t="s">
        <v>104</v>
      </c>
      <c r="N425" t="s">
        <v>57</v>
      </c>
      <c r="O425" s="1">
        <v>45664</v>
      </c>
      <c r="Q425" s="1">
        <v>45968</v>
      </c>
      <c r="R425" s="2">
        <v>60.76</v>
      </c>
      <c r="S425">
        <v>1</v>
      </c>
      <c r="T425" t="s">
        <v>58</v>
      </c>
      <c r="U425" t="s">
        <v>359</v>
      </c>
      <c r="V425" s="3">
        <v>0.7</v>
      </c>
      <c r="W425" s="2">
        <v>0</v>
      </c>
      <c r="X425">
        <v>0</v>
      </c>
      <c r="Y425" t="s">
        <v>60</v>
      </c>
      <c r="Z425" t="s">
        <v>360</v>
      </c>
      <c r="AA425">
        <v>0</v>
      </c>
      <c r="AB425" s="2">
        <v>0</v>
      </c>
      <c r="AC425" s="2">
        <v>0</v>
      </c>
      <c r="AD425" s="3">
        <v>0</v>
      </c>
      <c r="AE425" s="2">
        <v>0</v>
      </c>
      <c r="AF425" s="2">
        <v>0</v>
      </c>
      <c r="AG425" s="2">
        <v>0</v>
      </c>
      <c r="AH425" s="2">
        <v>0</v>
      </c>
      <c r="AI425" s="2">
        <v>0</v>
      </c>
      <c r="AJ425" s="2">
        <v>0</v>
      </c>
      <c r="AK425" s="2">
        <v>0</v>
      </c>
      <c r="AL425" s="2">
        <v>0</v>
      </c>
      <c r="AM425" s="2">
        <v>42.53</v>
      </c>
      <c r="AN425" s="2">
        <v>42.53</v>
      </c>
      <c r="AO425" s="2">
        <v>0</v>
      </c>
      <c r="AP425" s="2">
        <v>0</v>
      </c>
      <c r="AQ425" s="2">
        <v>0</v>
      </c>
    </row>
    <row r="426" spans="1:43" x14ac:dyDescent="0.25">
      <c r="A426" s="1">
        <v>45936</v>
      </c>
      <c r="B426" t="s">
        <v>48</v>
      </c>
      <c r="C426">
        <v>649163</v>
      </c>
      <c r="D426">
        <v>2026154680</v>
      </c>
      <c r="E426" t="s">
        <v>720</v>
      </c>
      <c r="F426" t="s">
        <v>721</v>
      </c>
      <c r="G426" t="s">
        <v>51</v>
      </c>
      <c r="H426" t="s">
        <v>122</v>
      </c>
      <c r="I426" t="s">
        <v>292</v>
      </c>
      <c r="J426" t="s">
        <v>293</v>
      </c>
      <c r="K426">
        <v>651818</v>
      </c>
      <c r="L426" t="s">
        <v>112</v>
      </c>
      <c r="M426" t="s">
        <v>104</v>
      </c>
      <c r="N426" t="s">
        <v>57</v>
      </c>
      <c r="O426" s="1">
        <v>45664</v>
      </c>
      <c r="Q426" s="1">
        <v>45968</v>
      </c>
      <c r="R426" s="2">
        <v>46.72</v>
      </c>
      <c r="S426">
        <v>1</v>
      </c>
      <c r="T426" t="s">
        <v>58</v>
      </c>
      <c r="U426" t="s">
        <v>359</v>
      </c>
      <c r="V426" s="3">
        <v>0.7</v>
      </c>
      <c r="W426" s="2">
        <v>0</v>
      </c>
      <c r="X426">
        <v>0</v>
      </c>
      <c r="Y426" t="s">
        <v>60</v>
      </c>
      <c r="Z426" t="s">
        <v>360</v>
      </c>
      <c r="AA426">
        <v>0</v>
      </c>
      <c r="AB426" s="2">
        <v>0</v>
      </c>
      <c r="AC426" s="2">
        <v>0</v>
      </c>
      <c r="AD426" s="3">
        <v>0</v>
      </c>
      <c r="AE426" s="2">
        <v>0</v>
      </c>
      <c r="AF426" s="2">
        <v>0</v>
      </c>
      <c r="AG426" s="2">
        <v>0</v>
      </c>
      <c r="AH426" s="2">
        <v>0</v>
      </c>
      <c r="AI426" s="2">
        <v>0</v>
      </c>
      <c r="AJ426" s="2">
        <v>0</v>
      </c>
      <c r="AK426" s="2">
        <v>0</v>
      </c>
      <c r="AL426" s="2">
        <v>0</v>
      </c>
      <c r="AM426" s="2">
        <v>32.700000000000003</v>
      </c>
      <c r="AN426" s="2">
        <v>32.700000000000003</v>
      </c>
      <c r="AO426" s="2">
        <v>0</v>
      </c>
      <c r="AP426" s="2">
        <v>0</v>
      </c>
      <c r="AQ426" s="2">
        <v>0</v>
      </c>
    </row>
    <row r="427" spans="1:43" x14ac:dyDescent="0.25">
      <c r="A427" s="1">
        <v>45936</v>
      </c>
      <c r="B427" t="s">
        <v>48</v>
      </c>
      <c r="C427">
        <v>649163</v>
      </c>
      <c r="D427">
        <v>2026155452</v>
      </c>
      <c r="E427" t="s">
        <v>722</v>
      </c>
      <c r="F427" t="s">
        <v>723</v>
      </c>
      <c r="G427" t="s">
        <v>51</v>
      </c>
      <c r="H427" t="s">
        <v>724</v>
      </c>
      <c r="I427" t="s">
        <v>292</v>
      </c>
      <c r="J427" t="s">
        <v>293</v>
      </c>
      <c r="K427">
        <v>651818</v>
      </c>
      <c r="L427" t="s">
        <v>112</v>
      </c>
      <c r="M427" t="s">
        <v>104</v>
      </c>
      <c r="N427" t="s">
        <v>57</v>
      </c>
      <c r="O427" s="1">
        <v>45664</v>
      </c>
      <c r="Q427" s="1">
        <v>45968</v>
      </c>
      <c r="R427" s="2">
        <v>135.84</v>
      </c>
      <c r="S427">
        <v>1</v>
      </c>
      <c r="T427" t="s">
        <v>58</v>
      </c>
      <c r="U427" t="s">
        <v>359</v>
      </c>
      <c r="V427" s="3">
        <v>0.7</v>
      </c>
      <c r="W427" s="2">
        <v>0</v>
      </c>
      <c r="X427">
        <v>0</v>
      </c>
      <c r="Y427" t="s">
        <v>60</v>
      </c>
      <c r="Z427" t="s">
        <v>360</v>
      </c>
      <c r="AA427">
        <v>0</v>
      </c>
      <c r="AB427" s="2">
        <v>0</v>
      </c>
      <c r="AC427" s="2">
        <v>0</v>
      </c>
      <c r="AD427" s="3">
        <v>0</v>
      </c>
      <c r="AE427" s="2">
        <v>0</v>
      </c>
      <c r="AF427" s="2">
        <v>0</v>
      </c>
      <c r="AG427" s="2">
        <v>0</v>
      </c>
      <c r="AH427" s="2">
        <v>0</v>
      </c>
      <c r="AI427" s="2">
        <v>0</v>
      </c>
      <c r="AJ427" s="2">
        <v>0</v>
      </c>
      <c r="AK427" s="2">
        <v>0</v>
      </c>
      <c r="AL427" s="2">
        <v>0</v>
      </c>
      <c r="AM427" s="2">
        <v>95.09</v>
      </c>
      <c r="AN427" s="2">
        <v>95.09</v>
      </c>
      <c r="AO427" s="2">
        <v>0</v>
      </c>
      <c r="AP427" s="2">
        <v>0</v>
      </c>
      <c r="AQ427" s="2">
        <v>0</v>
      </c>
    </row>
    <row r="428" spans="1:43" x14ac:dyDescent="0.25">
      <c r="A428" s="1">
        <v>45936</v>
      </c>
      <c r="B428" t="s">
        <v>48</v>
      </c>
      <c r="C428">
        <v>649163</v>
      </c>
      <c r="D428">
        <v>2026175248</v>
      </c>
      <c r="E428" t="s">
        <v>726</v>
      </c>
      <c r="F428" t="s">
        <v>727</v>
      </c>
      <c r="G428" t="s">
        <v>51</v>
      </c>
      <c r="H428" t="s">
        <v>101</v>
      </c>
      <c r="I428" t="s">
        <v>292</v>
      </c>
      <c r="J428" t="s">
        <v>293</v>
      </c>
      <c r="K428">
        <v>651818</v>
      </c>
      <c r="L428" t="s">
        <v>112</v>
      </c>
      <c r="M428" t="s">
        <v>104</v>
      </c>
      <c r="N428" t="s">
        <v>57</v>
      </c>
      <c r="O428" s="1">
        <v>45664</v>
      </c>
      <c r="Q428" s="1">
        <v>45968</v>
      </c>
      <c r="R428" s="2">
        <v>52</v>
      </c>
      <c r="S428">
        <v>1</v>
      </c>
      <c r="T428" t="s">
        <v>58</v>
      </c>
      <c r="U428" t="s">
        <v>359</v>
      </c>
      <c r="V428" s="3">
        <v>0.7</v>
      </c>
      <c r="W428" s="2">
        <v>0</v>
      </c>
      <c r="X428">
        <v>0</v>
      </c>
      <c r="Y428" t="s">
        <v>60</v>
      </c>
      <c r="Z428" t="s">
        <v>360</v>
      </c>
      <c r="AA428">
        <v>0</v>
      </c>
      <c r="AB428" s="2">
        <v>0</v>
      </c>
      <c r="AC428" s="2">
        <v>0</v>
      </c>
      <c r="AD428" s="3">
        <v>0</v>
      </c>
      <c r="AE428" s="2">
        <v>0</v>
      </c>
      <c r="AF428" s="2">
        <v>0</v>
      </c>
      <c r="AG428" s="2">
        <v>0</v>
      </c>
      <c r="AH428" s="2">
        <v>0</v>
      </c>
      <c r="AI428" s="2">
        <v>0</v>
      </c>
      <c r="AJ428" s="2">
        <v>0</v>
      </c>
      <c r="AK428" s="2">
        <v>0</v>
      </c>
      <c r="AL428" s="2">
        <v>0</v>
      </c>
      <c r="AM428" s="2">
        <v>36.4</v>
      </c>
      <c r="AN428" s="2">
        <v>36.4</v>
      </c>
      <c r="AO428" s="2">
        <v>0</v>
      </c>
      <c r="AP428" s="2">
        <v>0</v>
      </c>
      <c r="AQ428" s="2">
        <v>0</v>
      </c>
    </row>
    <row r="429" spans="1:43" x14ac:dyDescent="0.25">
      <c r="A429" s="1">
        <v>45936</v>
      </c>
      <c r="B429" t="s">
        <v>48</v>
      </c>
      <c r="C429">
        <v>649163</v>
      </c>
      <c r="D429">
        <v>2026185826</v>
      </c>
      <c r="E429" t="s">
        <v>463</v>
      </c>
      <c r="F429" t="s">
        <v>874</v>
      </c>
      <c r="G429" t="s">
        <v>51</v>
      </c>
      <c r="H429" t="s">
        <v>101</v>
      </c>
      <c r="I429" t="s">
        <v>292</v>
      </c>
      <c r="J429" t="s">
        <v>295</v>
      </c>
      <c r="K429">
        <v>651818</v>
      </c>
      <c r="L429" t="s">
        <v>112</v>
      </c>
      <c r="M429" t="s">
        <v>104</v>
      </c>
      <c r="N429" t="s">
        <v>57</v>
      </c>
      <c r="O429" s="1">
        <v>45664</v>
      </c>
      <c r="Q429" s="1">
        <v>45968</v>
      </c>
      <c r="R429" s="2">
        <v>99.25</v>
      </c>
      <c r="S429">
        <v>1</v>
      </c>
      <c r="T429" t="s">
        <v>58</v>
      </c>
      <c r="U429" t="s">
        <v>359</v>
      </c>
      <c r="V429" s="3">
        <v>0.9</v>
      </c>
      <c r="W429" s="2">
        <v>0</v>
      </c>
      <c r="X429">
        <v>0</v>
      </c>
      <c r="Y429" t="s">
        <v>60</v>
      </c>
      <c r="Z429" t="s">
        <v>360</v>
      </c>
      <c r="AA429">
        <v>0</v>
      </c>
      <c r="AB429" s="2">
        <v>0</v>
      </c>
      <c r="AC429" s="2">
        <v>0</v>
      </c>
      <c r="AD429" s="3">
        <v>0</v>
      </c>
      <c r="AE429" s="2">
        <v>0</v>
      </c>
      <c r="AF429" s="2">
        <v>0</v>
      </c>
      <c r="AG429" s="2">
        <v>0</v>
      </c>
      <c r="AH429" s="2">
        <v>0</v>
      </c>
      <c r="AI429" s="2">
        <v>0</v>
      </c>
      <c r="AJ429" s="2">
        <v>0</v>
      </c>
      <c r="AK429" s="2">
        <v>0</v>
      </c>
      <c r="AL429" s="2">
        <v>0</v>
      </c>
      <c r="AM429" s="2">
        <v>89.32</v>
      </c>
      <c r="AN429" s="2">
        <v>89.32</v>
      </c>
      <c r="AO429" s="2">
        <v>0</v>
      </c>
      <c r="AP429" s="2">
        <v>0</v>
      </c>
      <c r="AQ429" s="2">
        <v>0</v>
      </c>
    </row>
    <row r="430" spans="1:43" x14ac:dyDescent="0.25">
      <c r="A430" s="1">
        <v>45936</v>
      </c>
      <c r="B430" t="s">
        <v>48</v>
      </c>
      <c r="C430">
        <v>649163</v>
      </c>
      <c r="D430">
        <v>2026189683</v>
      </c>
      <c r="E430" t="s">
        <v>875</v>
      </c>
      <c r="F430" t="s">
        <v>671</v>
      </c>
      <c r="G430" t="s">
        <v>51</v>
      </c>
      <c r="H430" t="s">
        <v>88</v>
      </c>
      <c r="I430" t="s">
        <v>292</v>
      </c>
      <c r="J430" t="s">
        <v>293</v>
      </c>
      <c r="K430">
        <v>778902</v>
      </c>
      <c r="L430" t="s">
        <v>876</v>
      </c>
      <c r="M430" t="s">
        <v>362</v>
      </c>
      <c r="N430" t="s">
        <v>57</v>
      </c>
      <c r="O430" s="1">
        <v>45658</v>
      </c>
      <c r="Q430" s="1">
        <v>45962</v>
      </c>
      <c r="R430" s="2">
        <v>17.809999999999999</v>
      </c>
      <c r="S430">
        <v>1</v>
      </c>
      <c r="T430" t="s">
        <v>58</v>
      </c>
      <c r="U430" t="s">
        <v>359</v>
      </c>
      <c r="V430" s="3">
        <v>0.7</v>
      </c>
      <c r="W430" s="2">
        <v>0</v>
      </c>
      <c r="X430">
        <v>0</v>
      </c>
      <c r="Y430" t="s">
        <v>60</v>
      </c>
      <c r="Z430" t="s">
        <v>360</v>
      </c>
      <c r="AA430">
        <v>0</v>
      </c>
      <c r="AB430" s="2">
        <v>0</v>
      </c>
      <c r="AC430" s="2">
        <v>0</v>
      </c>
      <c r="AD430" s="3">
        <v>0</v>
      </c>
      <c r="AE430" s="2">
        <v>0</v>
      </c>
      <c r="AF430" s="2">
        <v>0</v>
      </c>
      <c r="AG430" s="2">
        <v>0</v>
      </c>
      <c r="AH430" s="2">
        <v>0</v>
      </c>
      <c r="AI430" s="2">
        <v>0</v>
      </c>
      <c r="AJ430" s="2">
        <v>0</v>
      </c>
      <c r="AK430" s="2">
        <v>0</v>
      </c>
      <c r="AL430" s="2">
        <v>0</v>
      </c>
      <c r="AM430" s="2">
        <v>12.47</v>
      </c>
      <c r="AN430" s="2">
        <v>12.47</v>
      </c>
      <c r="AO430" s="2">
        <v>0</v>
      </c>
      <c r="AP430" s="2">
        <v>0</v>
      </c>
      <c r="AQ430" s="2">
        <v>0</v>
      </c>
    </row>
    <row r="431" spans="1:43" x14ac:dyDescent="0.25">
      <c r="A431" s="1">
        <v>45936</v>
      </c>
      <c r="B431" t="s">
        <v>48</v>
      </c>
      <c r="C431">
        <v>649163</v>
      </c>
      <c r="D431">
        <v>2026221487</v>
      </c>
      <c r="E431" t="s">
        <v>426</v>
      </c>
      <c r="F431" t="s">
        <v>877</v>
      </c>
      <c r="G431" t="s">
        <v>51</v>
      </c>
      <c r="H431" t="s">
        <v>101</v>
      </c>
      <c r="I431" t="s">
        <v>292</v>
      </c>
      <c r="J431" t="s">
        <v>295</v>
      </c>
      <c r="K431">
        <v>651818</v>
      </c>
      <c r="L431" t="s">
        <v>112</v>
      </c>
      <c r="M431" t="s">
        <v>104</v>
      </c>
      <c r="N431" t="s">
        <v>57</v>
      </c>
      <c r="O431" s="1">
        <v>45663</v>
      </c>
      <c r="Q431" s="1">
        <v>45967</v>
      </c>
      <c r="R431" s="2">
        <v>51.78</v>
      </c>
      <c r="S431">
        <v>1</v>
      </c>
      <c r="T431" t="s">
        <v>58</v>
      </c>
      <c r="U431" t="s">
        <v>359</v>
      </c>
      <c r="V431" s="3">
        <v>0.9</v>
      </c>
      <c r="W431" s="2">
        <v>0</v>
      </c>
      <c r="X431">
        <v>0</v>
      </c>
      <c r="Y431" t="s">
        <v>60</v>
      </c>
      <c r="Z431" t="s">
        <v>360</v>
      </c>
      <c r="AA431">
        <v>0</v>
      </c>
      <c r="AB431" s="2">
        <v>0</v>
      </c>
      <c r="AC431" s="2">
        <v>0</v>
      </c>
      <c r="AD431" s="3">
        <v>0</v>
      </c>
      <c r="AE431" s="2">
        <v>0</v>
      </c>
      <c r="AF431" s="2">
        <v>0</v>
      </c>
      <c r="AG431" s="2">
        <v>0</v>
      </c>
      <c r="AH431" s="2">
        <v>0</v>
      </c>
      <c r="AI431" s="2">
        <v>0</v>
      </c>
      <c r="AJ431" s="2">
        <v>0</v>
      </c>
      <c r="AK431" s="2">
        <v>0</v>
      </c>
      <c r="AL431" s="2">
        <v>0</v>
      </c>
      <c r="AM431" s="2">
        <v>46.6</v>
      </c>
      <c r="AN431" s="2">
        <v>46.6</v>
      </c>
      <c r="AO431" s="2">
        <v>0</v>
      </c>
      <c r="AP431" s="2">
        <v>0</v>
      </c>
      <c r="AQ431" s="2">
        <v>0</v>
      </c>
    </row>
    <row r="432" spans="1:43" x14ac:dyDescent="0.25">
      <c r="A432" s="1">
        <v>45936</v>
      </c>
      <c r="B432" t="s">
        <v>48</v>
      </c>
      <c r="C432">
        <v>649163</v>
      </c>
      <c r="D432">
        <v>2026298484</v>
      </c>
      <c r="E432" t="s">
        <v>730</v>
      </c>
      <c r="F432" t="s">
        <v>220</v>
      </c>
      <c r="G432" t="s">
        <v>51</v>
      </c>
      <c r="H432" t="s">
        <v>101</v>
      </c>
      <c r="I432" t="s">
        <v>292</v>
      </c>
      <c r="J432" t="s">
        <v>293</v>
      </c>
      <c r="K432">
        <v>651818</v>
      </c>
      <c r="L432" t="s">
        <v>112</v>
      </c>
      <c r="M432" t="s">
        <v>104</v>
      </c>
      <c r="N432" t="s">
        <v>57</v>
      </c>
      <c r="O432" s="1">
        <v>45664</v>
      </c>
      <c r="Q432" s="1">
        <v>45968</v>
      </c>
      <c r="R432" s="2">
        <v>58.24</v>
      </c>
      <c r="S432">
        <v>1</v>
      </c>
      <c r="T432" t="s">
        <v>58</v>
      </c>
      <c r="U432" t="s">
        <v>359</v>
      </c>
      <c r="V432" s="3">
        <v>0.7</v>
      </c>
      <c r="W432" s="2">
        <v>0</v>
      </c>
      <c r="X432">
        <v>0</v>
      </c>
      <c r="Y432" t="s">
        <v>60</v>
      </c>
      <c r="Z432" t="s">
        <v>360</v>
      </c>
      <c r="AA432">
        <v>0</v>
      </c>
      <c r="AB432" s="2">
        <v>0</v>
      </c>
      <c r="AC432" s="2">
        <v>0</v>
      </c>
      <c r="AD432" s="3">
        <v>0</v>
      </c>
      <c r="AE432" s="2">
        <v>0</v>
      </c>
      <c r="AF432" s="2">
        <v>0</v>
      </c>
      <c r="AG432" s="2">
        <v>0</v>
      </c>
      <c r="AH432" s="2">
        <v>0</v>
      </c>
      <c r="AI432" s="2">
        <v>0</v>
      </c>
      <c r="AJ432" s="2">
        <v>0</v>
      </c>
      <c r="AK432" s="2">
        <v>0</v>
      </c>
      <c r="AL432" s="2">
        <v>0</v>
      </c>
      <c r="AM432" s="2">
        <v>40.770000000000003</v>
      </c>
      <c r="AN432" s="2">
        <v>40.770000000000003</v>
      </c>
      <c r="AO432" s="2">
        <v>0</v>
      </c>
      <c r="AP432" s="2">
        <v>0</v>
      </c>
      <c r="AQ432" s="2">
        <v>0</v>
      </c>
    </row>
    <row r="433" spans="1:43" x14ac:dyDescent="0.25">
      <c r="A433" s="1">
        <v>45936</v>
      </c>
      <c r="B433" t="s">
        <v>48</v>
      </c>
      <c r="C433">
        <v>649163</v>
      </c>
      <c r="D433">
        <v>2026443516</v>
      </c>
      <c r="E433" t="s">
        <v>731</v>
      </c>
      <c r="F433" t="s">
        <v>732</v>
      </c>
      <c r="G433" t="s">
        <v>51</v>
      </c>
      <c r="H433" t="s">
        <v>376</v>
      </c>
      <c r="I433" t="s">
        <v>292</v>
      </c>
      <c r="J433" t="s">
        <v>295</v>
      </c>
      <c r="K433">
        <v>651818</v>
      </c>
      <c r="L433" t="s">
        <v>112</v>
      </c>
      <c r="M433" t="s">
        <v>104</v>
      </c>
      <c r="N433" t="s">
        <v>57</v>
      </c>
      <c r="O433" s="1">
        <v>45661</v>
      </c>
      <c r="Q433" s="1">
        <v>45965</v>
      </c>
      <c r="R433" s="2">
        <v>32.58</v>
      </c>
      <c r="S433">
        <v>1</v>
      </c>
      <c r="T433" t="s">
        <v>58</v>
      </c>
      <c r="U433" t="s">
        <v>359</v>
      </c>
      <c r="V433" s="3">
        <v>0.9</v>
      </c>
      <c r="W433" s="2">
        <v>0</v>
      </c>
      <c r="X433">
        <v>0</v>
      </c>
      <c r="Y433" t="s">
        <v>60</v>
      </c>
      <c r="Z433" t="s">
        <v>360</v>
      </c>
      <c r="AA433">
        <v>0</v>
      </c>
      <c r="AB433" s="2">
        <v>0</v>
      </c>
      <c r="AC433" s="2">
        <v>0</v>
      </c>
      <c r="AD433" s="3">
        <v>0</v>
      </c>
      <c r="AE433" s="2">
        <v>0</v>
      </c>
      <c r="AF433" s="2">
        <v>0</v>
      </c>
      <c r="AG433" s="2">
        <v>0</v>
      </c>
      <c r="AH433" s="2">
        <v>0</v>
      </c>
      <c r="AI433" s="2">
        <v>0</v>
      </c>
      <c r="AJ433" s="2">
        <v>0</v>
      </c>
      <c r="AK433" s="2">
        <v>0</v>
      </c>
      <c r="AL433" s="2">
        <v>0</v>
      </c>
      <c r="AM433" s="2">
        <v>29.32</v>
      </c>
      <c r="AN433" s="2">
        <v>29.32</v>
      </c>
      <c r="AO433" s="2">
        <v>0</v>
      </c>
      <c r="AP433" s="2">
        <v>0</v>
      </c>
      <c r="AQ433" s="2">
        <v>0</v>
      </c>
    </row>
    <row r="434" spans="1:43" x14ac:dyDescent="0.25">
      <c r="A434" s="1">
        <v>45936</v>
      </c>
      <c r="B434" t="s">
        <v>48</v>
      </c>
      <c r="C434">
        <v>649163</v>
      </c>
      <c r="D434">
        <v>2026456393</v>
      </c>
      <c r="E434" t="s">
        <v>394</v>
      </c>
      <c r="F434" t="s">
        <v>395</v>
      </c>
      <c r="G434" t="s">
        <v>51</v>
      </c>
      <c r="H434" t="s">
        <v>203</v>
      </c>
      <c r="I434" t="s">
        <v>292</v>
      </c>
      <c r="J434" t="s">
        <v>293</v>
      </c>
      <c r="K434">
        <v>816021</v>
      </c>
      <c r="L434" t="s">
        <v>265</v>
      </c>
      <c r="M434" t="s">
        <v>266</v>
      </c>
      <c r="N434" t="s">
        <v>57</v>
      </c>
      <c r="O434" s="1">
        <v>45662</v>
      </c>
      <c r="Q434" s="1">
        <v>45966</v>
      </c>
      <c r="R434" s="2">
        <v>19.41</v>
      </c>
      <c r="S434">
        <v>1</v>
      </c>
      <c r="T434" t="s">
        <v>58</v>
      </c>
      <c r="U434" t="s">
        <v>359</v>
      </c>
      <c r="V434" s="3">
        <v>0.7</v>
      </c>
      <c r="W434" s="2">
        <v>0</v>
      </c>
      <c r="X434">
        <v>0</v>
      </c>
      <c r="Y434" t="s">
        <v>60</v>
      </c>
      <c r="Z434" t="s">
        <v>360</v>
      </c>
      <c r="AA434">
        <v>0</v>
      </c>
      <c r="AB434" s="2">
        <v>0</v>
      </c>
      <c r="AC434" s="2">
        <v>0</v>
      </c>
      <c r="AD434" s="3">
        <v>0</v>
      </c>
      <c r="AE434" s="2">
        <v>0</v>
      </c>
      <c r="AF434" s="2">
        <v>0</v>
      </c>
      <c r="AG434" s="2">
        <v>0</v>
      </c>
      <c r="AH434" s="2">
        <v>0</v>
      </c>
      <c r="AI434" s="2">
        <v>0</v>
      </c>
      <c r="AJ434" s="2">
        <v>0</v>
      </c>
      <c r="AK434" s="2">
        <v>0</v>
      </c>
      <c r="AL434" s="2">
        <v>0</v>
      </c>
      <c r="AM434" s="2">
        <v>13.59</v>
      </c>
      <c r="AN434" s="2">
        <v>13.59</v>
      </c>
      <c r="AO434" s="2">
        <v>0</v>
      </c>
      <c r="AP434" s="2">
        <v>0</v>
      </c>
      <c r="AQ434" s="2">
        <v>0</v>
      </c>
    </row>
    <row r="435" spans="1:43" x14ac:dyDescent="0.25">
      <c r="A435" s="1">
        <v>45936</v>
      </c>
      <c r="B435" t="s">
        <v>48</v>
      </c>
      <c r="C435">
        <v>649163</v>
      </c>
      <c r="D435">
        <v>2026456394</v>
      </c>
      <c r="E435" t="s">
        <v>394</v>
      </c>
      <c r="F435" t="s">
        <v>395</v>
      </c>
      <c r="G435" t="s">
        <v>51</v>
      </c>
      <c r="H435" t="s">
        <v>203</v>
      </c>
      <c r="I435" t="s">
        <v>292</v>
      </c>
      <c r="J435" t="s">
        <v>536</v>
      </c>
      <c r="K435">
        <v>816021</v>
      </c>
      <c r="L435" t="s">
        <v>265</v>
      </c>
      <c r="M435" t="s">
        <v>266</v>
      </c>
      <c r="N435" t="s">
        <v>57</v>
      </c>
      <c r="O435" s="1">
        <v>45662</v>
      </c>
      <c r="Q435" s="1">
        <v>45966</v>
      </c>
      <c r="R435" s="2">
        <v>12.6</v>
      </c>
      <c r="S435">
        <v>1</v>
      </c>
      <c r="T435" t="s">
        <v>58</v>
      </c>
      <c r="U435" t="s">
        <v>359</v>
      </c>
      <c r="V435" s="3">
        <v>0.7</v>
      </c>
      <c r="W435" s="2">
        <v>0</v>
      </c>
      <c r="X435">
        <v>0</v>
      </c>
      <c r="Y435" t="s">
        <v>60</v>
      </c>
      <c r="Z435" t="s">
        <v>360</v>
      </c>
      <c r="AA435">
        <v>0</v>
      </c>
      <c r="AB435" s="2">
        <v>0</v>
      </c>
      <c r="AC435" s="2">
        <v>0</v>
      </c>
      <c r="AD435" s="3">
        <v>0</v>
      </c>
      <c r="AE435" s="2">
        <v>0</v>
      </c>
      <c r="AF435" s="2">
        <v>0</v>
      </c>
      <c r="AG435" s="2">
        <v>0</v>
      </c>
      <c r="AH435" s="2">
        <v>0</v>
      </c>
      <c r="AI435" s="2">
        <v>0</v>
      </c>
      <c r="AJ435" s="2">
        <v>0</v>
      </c>
      <c r="AK435" s="2">
        <v>0</v>
      </c>
      <c r="AL435" s="2">
        <v>0</v>
      </c>
      <c r="AM435" s="2">
        <v>8.82</v>
      </c>
      <c r="AN435" s="2">
        <v>8.82</v>
      </c>
      <c r="AO435" s="2">
        <v>0</v>
      </c>
      <c r="AP435" s="2">
        <v>0</v>
      </c>
      <c r="AQ435" s="2">
        <v>0</v>
      </c>
    </row>
    <row r="436" spans="1:43" x14ac:dyDescent="0.25">
      <c r="A436" s="1">
        <v>45936</v>
      </c>
      <c r="B436" t="s">
        <v>48</v>
      </c>
      <c r="C436">
        <v>649163</v>
      </c>
      <c r="D436">
        <v>2026515689</v>
      </c>
      <c r="E436" t="s">
        <v>818</v>
      </c>
      <c r="F436" t="s">
        <v>878</v>
      </c>
      <c r="G436" t="s">
        <v>51</v>
      </c>
      <c r="H436" t="s">
        <v>70</v>
      </c>
      <c r="I436" t="s">
        <v>292</v>
      </c>
      <c r="J436" t="s">
        <v>295</v>
      </c>
      <c r="K436">
        <v>702406</v>
      </c>
      <c r="L436" t="s">
        <v>803</v>
      </c>
      <c r="M436" t="s">
        <v>746</v>
      </c>
      <c r="N436" t="s">
        <v>57</v>
      </c>
      <c r="O436" s="1">
        <v>45666</v>
      </c>
      <c r="Q436" s="1">
        <v>45970</v>
      </c>
      <c r="R436" s="2">
        <v>99.25</v>
      </c>
      <c r="S436">
        <v>1</v>
      </c>
      <c r="T436" t="s">
        <v>58</v>
      </c>
      <c r="U436" t="s">
        <v>359</v>
      </c>
      <c r="V436" s="3">
        <v>0.9</v>
      </c>
      <c r="W436" s="2">
        <v>0</v>
      </c>
      <c r="X436">
        <v>0</v>
      </c>
      <c r="Y436" t="s">
        <v>60</v>
      </c>
      <c r="Z436" t="s">
        <v>360</v>
      </c>
      <c r="AA436">
        <v>0</v>
      </c>
      <c r="AB436" s="2">
        <v>0</v>
      </c>
      <c r="AC436" s="2">
        <v>0</v>
      </c>
      <c r="AD436" s="3">
        <v>0</v>
      </c>
      <c r="AE436" s="2">
        <v>0</v>
      </c>
      <c r="AF436" s="2">
        <v>0</v>
      </c>
      <c r="AG436" s="2">
        <v>0</v>
      </c>
      <c r="AH436" s="2">
        <v>0</v>
      </c>
      <c r="AI436" s="2">
        <v>0</v>
      </c>
      <c r="AJ436" s="2">
        <v>0</v>
      </c>
      <c r="AK436" s="2">
        <v>0</v>
      </c>
      <c r="AL436" s="2">
        <v>0</v>
      </c>
      <c r="AM436" s="2">
        <v>89.32</v>
      </c>
      <c r="AN436" s="2">
        <v>89.32</v>
      </c>
      <c r="AO436" s="2">
        <v>0</v>
      </c>
      <c r="AP436" s="2">
        <v>0</v>
      </c>
      <c r="AQ436" s="2">
        <v>0</v>
      </c>
    </row>
    <row r="437" spans="1:43" x14ac:dyDescent="0.25">
      <c r="A437" s="1">
        <v>45936</v>
      </c>
      <c r="B437" t="s">
        <v>48</v>
      </c>
      <c r="C437">
        <v>649163</v>
      </c>
      <c r="D437">
        <v>2026521340</v>
      </c>
      <c r="E437" t="s">
        <v>219</v>
      </c>
      <c r="F437" t="s">
        <v>100</v>
      </c>
      <c r="G437" t="s">
        <v>51</v>
      </c>
      <c r="H437" t="s">
        <v>122</v>
      </c>
      <c r="I437" t="s">
        <v>292</v>
      </c>
      <c r="J437" t="s">
        <v>293</v>
      </c>
      <c r="K437">
        <v>651818</v>
      </c>
      <c r="L437" t="s">
        <v>112</v>
      </c>
      <c r="M437" t="s">
        <v>104</v>
      </c>
      <c r="N437" t="s">
        <v>57</v>
      </c>
      <c r="O437" s="1">
        <v>45695</v>
      </c>
      <c r="Q437" s="1">
        <v>45968</v>
      </c>
      <c r="R437" s="2">
        <v>31.28</v>
      </c>
      <c r="S437">
        <v>1</v>
      </c>
      <c r="T437" t="s">
        <v>58</v>
      </c>
      <c r="U437" t="s">
        <v>359</v>
      </c>
      <c r="V437" s="3">
        <v>0.7</v>
      </c>
      <c r="W437" s="2">
        <v>0</v>
      </c>
      <c r="X437">
        <v>0</v>
      </c>
      <c r="Y437" t="s">
        <v>60</v>
      </c>
      <c r="Z437" t="s">
        <v>360</v>
      </c>
      <c r="AA437">
        <v>0</v>
      </c>
      <c r="AB437" s="2">
        <v>0</v>
      </c>
      <c r="AC437" s="2">
        <v>0</v>
      </c>
      <c r="AD437" s="3">
        <v>0</v>
      </c>
      <c r="AE437" s="2">
        <v>0</v>
      </c>
      <c r="AF437" s="2">
        <v>0</v>
      </c>
      <c r="AG437" s="2">
        <v>0</v>
      </c>
      <c r="AH437" s="2">
        <v>0</v>
      </c>
      <c r="AI437" s="2">
        <v>0</v>
      </c>
      <c r="AJ437" s="2">
        <v>0</v>
      </c>
      <c r="AK437" s="2">
        <v>0</v>
      </c>
      <c r="AL437" s="2">
        <v>0</v>
      </c>
      <c r="AM437" s="2">
        <v>21.9</v>
      </c>
      <c r="AN437" s="2">
        <v>21.9</v>
      </c>
      <c r="AO437" s="2">
        <v>0</v>
      </c>
      <c r="AP437" s="2">
        <v>0</v>
      </c>
      <c r="AQ437" s="2">
        <v>0</v>
      </c>
    </row>
    <row r="438" spans="1:43" x14ac:dyDescent="0.25">
      <c r="A438" s="1">
        <v>45936</v>
      </c>
      <c r="B438" t="s">
        <v>48</v>
      </c>
      <c r="C438">
        <v>649163</v>
      </c>
      <c r="D438">
        <v>2026589574</v>
      </c>
      <c r="E438" t="s">
        <v>879</v>
      </c>
      <c r="F438" t="s">
        <v>482</v>
      </c>
      <c r="G438" t="s">
        <v>51</v>
      </c>
      <c r="H438" t="s">
        <v>310</v>
      </c>
      <c r="I438" t="s">
        <v>292</v>
      </c>
      <c r="J438" t="s">
        <v>295</v>
      </c>
      <c r="K438">
        <v>651818</v>
      </c>
      <c r="L438" t="s">
        <v>112</v>
      </c>
      <c r="M438" t="s">
        <v>104</v>
      </c>
      <c r="N438" t="s">
        <v>57</v>
      </c>
      <c r="O438" s="1">
        <v>45695</v>
      </c>
      <c r="Q438" s="1">
        <v>45968</v>
      </c>
      <c r="R438" s="2">
        <v>83.63</v>
      </c>
      <c r="S438">
        <v>1</v>
      </c>
      <c r="T438" t="s">
        <v>58</v>
      </c>
      <c r="U438" t="s">
        <v>359</v>
      </c>
      <c r="V438" s="3">
        <v>0.9</v>
      </c>
      <c r="W438" s="2">
        <v>0</v>
      </c>
      <c r="X438">
        <v>0</v>
      </c>
      <c r="Y438" t="s">
        <v>60</v>
      </c>
      <c r="Z438" t="s">
        <v>360</v>
      </c>
      <c r="AA438">
        <v>0</v>
      </c>
      <c r="AB438" s="2">
        <v>0</v>
      </c>
      <c r="AC438" s="2">
        <v>0</v>
      </c>
      <c r="AD438" s="3">
        <v>0</v>
      </c>
      <c r="AE438" s="2">
        <v>0</v>
      </c>
      <c r="AF438" s="2">
        <v>0</v>
      </c>
      <c r="AG438" s="2">
        <v>0</v>
      </c>
      <c r="AH438" s="2">
        <v>0</v>
      </c>
      <c r="AI438" s="2">
        <v>0</v>
      </c>
      <c r="AJ438" s="2">
        <v>0</v>
      </c>
      <c r="AK438" s="2">
        <v>0</v>
      </c>
      <c r="AL438" s="2">
        <v>0</v>
      </c>
      <c r="AM438" s="2">
        <v>75.27</v>
      </c>
      <c r="AN438" s="2">
        <v>75.27</v>
      </c>
      <c r="AO438" s="2">
        <v>0</v>
      </c>
      <c r="AP438" s="2">
        <v>0</v>
      </c>
      <c r="AQ438" s="2">
        <v>0</v>
      </c>
    </row>
    <row r="439" spans="1:43" x14ac:dyDescent="0.25">
      <c r="A439" s="1">
        <v>45936</v>
      </c>
      <c r="B439" t="s">
        <v>48</v>
      </c>
      <c r="C439">
        <v>649163</v>
      </c>
      <c r="D439">
        <v>2026599463</v>
      </c>
      <c r="E439" t="s">
        <v>737</v>
      </c>
      <c r="F439" t="s">
        <v>738</v>
      </c>
      <c r="G439" t="s">
        <v>51</v>
      </c>
      <c r="H439" t="s">
        <v>390</v>
      </c>
      <c r="I439" t="s">
        <v>292</v>
      </c>
      <c r="J439" t="s">
        <v>295</v>
      </c>
      <c r="K439">
        <v>651818</v>
      </c>
      <c r="L439" t="s">
        <v>112</v>
      </c>
      <c r="M439" t="s">
        <v>104</v>
      </c>
      <c r="N439" t="s">
        <v>57</v>
      </c>
      <c r="O439" s="1">
        <v>45695</v>
      </c>
      <c r="Q439" s="1">
        <v>45968</v>
      </c>
      <c r="R439" s="2">
        <v>48.08</v>
      </c>
      <c r="S439">
        <v>1</v>
      </c>
      <c r="T439" t="s">
        <v>58</v>
      </c>
      <c r="U439" t="s">
        <v>359</v>
      </c>
      <c r="V439" s="3">
        <v>0.9</v>
      </c>
      <c r="W439" s="2">
        <v>0</v>
      </c>
      <c r="X439">
        <v>0</v>
      </c>
      <c r="Y439" t="s">
        <v>60</v>
      </c>
      <c r="Z439" t="s">
        <v>360</v>
      </c>
      <c r="AA439">
        <v>0</v>
      </c>
      <c r="AB439" s="2">
        <v>0</v>
      </c>
      <c r="AC439" s="2">
        <v>0</v>
      </c>
      <c r="AD439" s="3">
        <v>0</v>
      </c>
      <c r="AE439" s="2">
        <v>0</v>
      </c>
      <c r="AF439" s="2">
        <v>0</v>
      </c>
      <c r="AG439" s="2">
        <v>0</v>
      </c>
      <c r="AH439" s="2">
        <v>0</v>
      </c>
      <c r="AI439" s="2">
        <v>0</v>
      </c>
      <c r="AJ439" s="2">
        <v>0</v>
      </c>
      <c r="AK439" s="2">
        <v>0</v>
      </c>
      <c r="AL439" s="2">
        <v>0</v>
      </c>
      <c r="AM439" s="2">
        <v>43.27</v>
      </c>
      <c r="AN439" s="2">
        <v>43.27</v>
      </c>
      <c r="AO439" s="2">
        <v>0</v>
      </c>
      <c r="AP439" s="2">
        <v>0</v>
      </c>
      <c r="AQ439" s="2">
        <v>0</v>
      </c>
    </row>
    <row r="440" spans="1:43" x14ac:dyDescent="0.25">
      <c r="A440" s="1">
        <v>45936</v>
      </c>
      <c r="B440" t="s">
        <v>48</v>
      </c>
      <c r="C440">
        <v>649163</v>
      </c>
      <c r="D440">
        <v>2026599465</v>
      </c>
      <c r="E440" t="s">
        <v>737</v>
      </c>
      <c r="F440" t="s">
        <v>738</v>
      </c>
      <c r="G440" t="s">
        <v>51</v>
      </c>
      <c r="H440" t="s">
        <v>390</v>
      </c>
      <c r="I440" t="s">
        <v>292</v>
      </c>
      <c r="J440" t="s">
        <v>293</v>
      </c>
      <c r="K440">
        <v>651818</v>
      </c>
      <c r="L440" t="s">
        <v>112</v>
      </c>
      <c r="M440" t="s">
        <v>104</v>
      </c>
      <c r="N440" t="s">
        <v>57</v>
      </c>
      <c r="O440" s="1">
        <v>45695</v>
      </c>
      <c r="Q440" s="1">
        <v>45968</v>
      </c>
      <c r="R440" s="2">
        <v>103.64</v>
      </c>
      <c r="S440">
        <v>1</v>
      </c>
      <c r="T440" t="s">
        <v>58</v>
      </c>
      <c r="U440" t="s">
        <v>359</v>
      </c>
      <c r="V440" s="3">
        <v>0.7</v>
      </c>
      <c r="W440" s="2">
        <v>0</v>
      </c>
      <c r="X440">
        <v>0</v>
      </c>
      <c r="Y440" t="s">
        <v>60</v>
      </c>
      <c r="Z440" t="s">
        <v>360</v>
      </c>
      <c r="AA440">
        <v>0</v>
      </c>
      <c r="AB440" s="2">
        <v>0</v>
      </c>
      <c r="AC440" s="2">
        <v>0</v>
      </c>
      <c r="AD440" s="3">
        <v>0</v>
      </c>
      <c r="AE440" s="2">
        <v>0</v>
      </c>
      <c r="AF440" s="2">
        <v>0</v>
      </c>
      <c r="AG440" s="2">
        <v>0</v>
      </c>
      <c r="AH440" s="2">
        <v>0</v>
      </c>
      <c r="AI440" s="2">
        <v>0</v>
      </c>
      <c r="AJ440" s="2">
        <v>0</v>
      </c>
      <c r="AK440" s="2">
        <v>0</v>
      </c>
      <c r="AL440" s="2">
        <v>0</v>
      </c>
      <c r="AM440" s="2">
        <v>72.55</v>
      </c>
      <c r="AN440" s="2">
        <v>72.55</v>
      </c>
      <c r="AO440" s="2">
        <v>0</v>
      </c>
      <c r="AP440" s="2">
        <v>0</v>
      </c>
      <c r="AQ440" s="2">
        <v>0</v>
      </c>
    </row>
    <row r="441" spans="1:43" x14ac:dyDescent="0.25">
      <c r="A441" s="1">
        <v>45936</v>
      </c>
      <c r="B441" t="s">
        <v>48</v>
      </c>
      <c r="C441">
        <v>649163</v>
      </c>
      <c r="D441">
        <v>2026617926</v>
      </c>
      <c r="E441" t="s">
        <v>739</v>
      </c>
      <c r="F441" t="s">
        <v>740</v>
      </c>
      <c r="G441" t="s">
        <v>51</v>
      </c>
      <c r="H441" t="s">
        <v>52</v>
      </c>
      <c r="I441" t="s">
        <v>292</v>
      </c>
      <c r="J441" t="s">
        <v>293</v>
      </c>
      <c r="K441">
        <v>651818</v>
      </c>
      <c r="L441" t="s">
        <v>112</v>
      </c>
      <c r="M441" t="s">
        <v>104</v>
      </c>
      <c r="N441" t="s">
        <v>57</v>
      </c>
      <c r="O441" s="1">
        <v>45695</v>
      </c>
      <c r="Q441" s="1">
        <v>45968</v>
      </c>
      <c r="R441" s="2">
        <v>129.22</v>
      </c>
      <c r="S441">
        <v>1</v>
      </c>
      <c r="T441" t="s">
        <v>58</v>
      </c>
      <c r="U441" t="s">
        <v>359</v>
      </c>
      <c r="V441" s="3">
        <v>0.7</v>
      </c>
      <c r="W441" s="2">
        <v>0</v>
      </c>
      <c r="X441">
        <v>0</v>
      </c>
      <c r="Y441" t="s">
        <v>60</v>
      </c>
      <c r="Z441" t="s">
        <v>360</v>
      </c>
      <c r="AA441">
        <v>0</v>
      </c>
      <c r="AB441" s="2">
        <v>0</v>
      </c>
      <c r="AC441" s="2">
        <v>0</v>
      </c>
      <c r="AD441" s="3">
        <v>0</v>
      </c>
      <c r="AE441" s="2">
        <v>0</v>
      </c>
      <c r="AF441" s="2">
        <v>0</v>
      </c>
      <c r="AG441" s="2">
        <v>0</v>
      </c>
      <c r="AH441" s="2">
        <v>0</v>
      </c>
      <c r="AI441" s="2">
        <v>0</v>
      </c>
      <c r="AJ441" s="2">
        <v>0</v>
      </c>
      <c r="AK441" s="2">
        <v>0</v>
      </c>
      <c r="AL441" s="2">
        <v>0</v>
      </c>
      <c r="AM441" s="2">
        <v>90.45</v>
      </c>
      <c r="AN441" s="2">
        <v>90.45</v>
      </c>
      <c r="AO441" s="2">
        <v>0</v>
      </c>
      <c r="AP441" s="2">
        <v>0</v>
      </c>
      <c r="AQ441" s="2">
        <v>0</v>
      </c>
    </row>
    <row r="442" spans="1:43" x14ac:dyDescent="0.25">
      <c r="A442" s="1">
        <v>45936</v>
      </c>
      <c r="B442" t="s">
        <v>48</v>
      </c>
      <c r="C442">
        <v>649163</v>
      </c>
      <c r="D442">
        <v>2026619727</v>
      </c>
      <c r="E442" t="s">
        <v>188</v>
      </c>
      <c r="F442" t="s">
        <v>337</v>
      </c>
      <c r="G442" t="s">
        <v>51</v>
      </c>
      <c r="H442" t="s">
        <v>52</v>
      </c>
      <c r="I442" t="s">
        <v>292</v>
      </c>
      <c r="J442" t="s">
        <v>293</v>
      </c>
      <c r="K442">
        <v>753748</v>
      </c>
      <c r="L442" t="s">
        <v>97</v>
      </c>
      <c r="M442" t="s">
        <v>98</v>
      </c>
      <c r="N442" t="s">
        <v>57</v>
      </c>
      <c r="O442" s="1">
        <v>45689</v>
      </c>
      <c r="Q442" s="1">
        <v>45962</v>
      </c>
      <c r="R442" s="2">
        <v>-28.38</v>
      </c>
      <c r="S442">
        <v>1</v>
      </c>
      <c r="T442" t="s">
        <v>58</v>
      </c>
      <c r="U442" t="s">
        <v>359</v>
      </c>
      <c r="V442" s="3">
        <v>0.7</v>
      </c>
      <c r="W442" s="2">
        <v>0</v>
      </c>
      <c r="X442">
        <v>-1</v>
      </c>
      <c r="Y442" t="s">
        <v>60</v>
      </c>
      <c r="Z442" t="s">
        <v>360</v>
      </c>
      <c r="AA442">
        <v>0</v>
      </c>
      <c r="AB442" s="2">
        <v>0</v>
      </c>
      <c r="AC442" s="2">
        <v>0</v>
      </c>
      <c r="AD442" s="3">
        <v>0</v>
      </c>
      <c r="AE442" s="2">
        <v>0</v>
      </c>
      <c r="AF442" s="2">
        <v>0</v>
      </c>
      <c r="AG442" s="2">
        <v>0</v>
      </c>
      <c r="AH442" s="2">
        <v>0</v>
      </c>
      <c r="AI442" s="2">
        <v>0</v>
      </c>
      <c r="AJ442" s="2">
        <v>0</v>
      </c>
      <c r="AK442" s="2">
        <v>0</v>
      </c>
      <c r="AL442" s="2">
        <v>0</v>
      </c>
      <c r="AM442" s="2">
        <v>-19.87</v>
      </c>
      <c r="AN442" s="2">
        <v>-19.87</v>
      </c>
      <c r="AO442" s="2">
        <v>0</v>
      </c>
      <c r="AP442" s="2">
        <v>0</v>
      </c>
      <c r="AQ442" s="2">
        <v>0</v>
      </c>
    </row>
    <row r="443" spans="1:43" x14ac:dyDescent="0.25">
      <c r="A443" s="1">
        <v>45936</v>
      </c>
      <c r="B443" t="s">
        <v>48</v>
      </c>
      <c r="C443">
        <v>649163</v>
      </c>
      <c r="D443">
        <v>2026628666</v>
      </c>
      <c r="E443" t="s">
        <v>741</v>
      </c>
      <c r="F443" t="s">
        <v>81</v>
      </c>
      <c r="G443" t="s">
        <v>51</v>
      </c>
      <c r="H443" t="s">
        <v>101</v>
      </c>
      <c r="I443" t="s">
        <v>292</v>
      </c>
      <c r="J443" t="s">
        <v>293</v>
      </c>
      <c r="K443">
        <v>651818</v>
      </c>
      <c r="L443" t="s">
        <v>112</v>
      </c>
      <c r="M443" t="s">
        <v>104</v>
      </c>
      <c r="N443" t="s">
        <v>57</v>
      </c>
      <c r="O443" s="1">
        <v>45695</v>
      </c>
      <c r="Q443" s="1">
        <v>45968</v>
      </c>
      <c r="R443" s="2">
        <v>58.24</v>
      </c>
      <c r="S443">
        <v>1</v>
      </c>
      <c r="T443" t="s">
        <v>58</v>
      </c>
      <c r="U443" t="s">
        <v>359</v>
      </c>
      <c r="V443" s="3">
        <v>0.7</v>
      </c>
      <c r="W443" s="2">
        <v>0</v>
      </c>
      <c r="X443">
        <v>0</v>
      </c>
      <c r="Y443" t="s">
        <v>60</v>
      </c>
      <c r="Z443" t="s">
        <v>360</v>
      </c>
      <c r="AA443">
        <v>0</v>
      </c>
      <c r="AB443" s="2">
        <v>0</v>
      </c>
      <c r="AC443" s="2">
        <v>0</v>
      </c>
      <c r="AD443" s="3">
        <v>0</v>
      </c>
      <c r="AE443" s="2">
        <v>0</v>
      </c>
      <c r="AF443" s="2">
        <v>0</v>
      </c>
      <c r="AG443" s="2">
        <v>0</v>
      </c>
      <c r="AH443" s="2">
        <v>0</v>
      </c>
      <c r="AI443" s="2">
        <v>0</v>
      </c>
      <c r="AJ443" s="2">
        <v>0</v>
      </c>
      <c r="AK443" s="2">
        <v>0</v>
      </c>
      <c r="AL443" s="2">
        <v>0</v>
      </c>
      <c r="AM443" s="2">
        <v>40.770000000000003</v>
      </c>
      <c r="AN443" s="2">
        <v>40.770000000000003</v>
      </c>
      <c r="AO443" s="2">
        <v>0</v>
      </c>
      <c r="AP443" s="2">
        <v>0</v>
      </c>
      <c r="AQ443" s="2">
        <v>0</v>
      </c>
    </row>
    <row r="444" spans="1:43" x14ac:dyDescent="0.25">
      <c r="A444" s="1">
        <v>45936</v>
      </c>
      <c r="B444" t="s">
        <v>48</v>
      </c>
      <c r="C444">
        <v>649163</v>
      </c>
      <c r="D444">
        <v>2026637123</v>
      </c>
      <c r="E444" t="s">
        <v>402</v>
      </c>
      <c r="F444" t="s">
        <v>94</v>
      </c>
      <c r="G444" t="s">
        <v>51</v>
      </c>
      <c r="H444" t="s">
        <v>376</v>
      </c>
      <c r="I444" t="s">
        <v>292</v>
      </c>
      <c r="J444" t="s">
        <v>295</v>
      </c>
      <c r="K444">
        <v>651818</v>
      </c>
      <c r="L444" t="s">
        <v>112</v>
      </c>
      <c r="M444" t="s">
        <v>104</v>
      </c>
      <c r="N444" t="s">
        <v>57</v>
      </c>
      <c r="O444" s="1">
        <v>45695</v>
      </c>
      <c r="Q444" s="1">
        <v>45968</v>
      </c>
      <c r="R444" s="2">
        <v>145.08000000000001</v>
      </c>
      <c r="S444">
        <v>1</v>
      </c>
      <c r="T444" t="s">
        <v>58</v>
      </c>
      <c r="U444" t="s">
        <v>359</v>
      </c>
      <c r="V444" s="3">
        <v>0.9</v>
      </c>
      <c r="W444" s="2">
        <v>0</v>
      </c>
      <c r="X444">
        <v>0</v>
      </c>
      <c r="Y444" t="s">
        <v>60</v>
      </c>
      <c r="Z444" t="s">
        <v>360</v>
      </c>
      <c r="AA444">
        <v>0</v>
      </c>
      <c r="AB444" s="2">
        <v>0</v>
      </c>
      <c r="AC444" s="2">
        <v>0</v>
      </c>
      <c r="AD444" s="3">
        <v>0</v>
      </c>
      <c r="AE444" s="2">
        <v>0</v>
      </c>
      <c r="AF444" s="2">
        <v>0</v>
      </c>
      <c r="AG444" s="2">
        <v>0</v>
      </c>
      <c r="AH444" s="2">
        <v>0</v>
      </c>
      <c r="AI444" s="2">
        <v>0</v>
      </c>
      <c r="AJ444" s="2">
        <v>0</v>
      </c>
      <c r="AK444" s="2">
        <v>0</v>
      </c>
      <c r="AL444" s="2">
        <v>0</v>
      </c>
      <c r="AM444" s="2">
        <v>130.57</v>
      </c>
      <c r="AN444" s="2">
        <v>130.57</v>
      </c>
      <c r="AO444" s="2">
        <v>0</v>
      </c>
      <c r="AP444" s="2">
        <v>0</v>
      </c>
      <c r="AQ444" s="2">
        <v>0</v>
      </c>
    </row>
    <row r="445" spans="1:43" x14ac:dyDescent="0.25">
      <c r="A445" s="1">
        <v>45936</v>
      </c>
      <c r="B445" t="s">
        <v>48</v>
      </c>
      <c r="C445">
        <v>649163</v>
      </c>
      <c r="D445">
        <v>2026655556</v>
      </c>
      <c r="E445" t="s">
        <v>742</v>
      </c>
      <c r="F445" t="s">
        <v>224</v>
      </c>
      <c r="G445" t="s">
        <v>51</v>
      </c>
      <c r="H445" t="s">
        <v>101</v>
      </c>
      <c r="I445" t="s">
        <v>292</v>
      </c>
      <c r="J445" t="s">
        <v>293</v>
      </c>
      <c r="K445">
        <v>651818</v>
      </c>
      <c r="L445" t="s">
        <v>112</v>
      </c>
      <c r="M445" t="s">
        <v>104</v>
      </c>
      <c r="N445" t="s">
        <v>57</v>
      </c>
      <c r="O445" s="1">
        <v>45695</v>
      </c>
      <c r="Q445" s="1">
        <v>45968</v>
      </c>
      <c r="R445" s="2">
        <v>52</v>
      </c>
      <c r="S445">
        <v>1</v>
      </c>
      <c r="T445" t="s">
        <v>58</v>
      </c>
      <c r="U445" t="s">
        <v>359</v>
      </c>
      <c r="V445" s="3">
        <v>0.7</v>
      </c>
      <c r="W445" s="2">
        <v>0</v>
      </c>
      <c r="X445">
        <v>0</v>
      </c>
      <c r="Y445" t="s">
        <v>60</v>
      </c>
      <c r="Z445" t="s">
        <v>360</v>
      </c>
      <c r="AA445">
        <v>0</v>
      </c>
      <c r="AB445" s="2">
        <v>0</v>
      </c>
      <c r="AC445" s="2">
        <v>0</v>
      </c>
      <c r="AD445" s="3">
        <v>0</v>
      </c>
      <c r="AE445" s="2">
        <v>0</v>
      </c>
      <c r="AF445" s="2">
        <v>0</v>
      </c>
      <c r="AG445" s="2">
        <v>0</v>
      </c>
      <c r="AH445" s="2">
        <v>0</v>
      </c>
      <c r="AI445" s="2">
        <v>0</v>
      </c>
      <c r="AJ445" s="2">
        <v>0</v>
      </c>
      <c r="AK445" s="2">
        <v>0</v>
      </c>
      <c r="AL445" s="2">
        <v>0</v>
      </c>
      <c r="AM445" s="2">
        <v>36.4</v>
      </c>
      <c r="AN445" s="2">
        <v>36.4</v>
      </c>
      <c r="AO445" s="2">
        <v>0</v>
      </c>
      <c r="AP445" s="2">
        <v>0</v>
      </c>
      <c r="AQ445" s="2">
        <v>0</v>
      </c>
    </row>
    <row r="446" spans="1:43" x14ac:dyDescent="0.25">
      <c r="A446" s="1">
        <v>45936</v>
      </c>
      <c r="B446" t="s">
        <v>48</v>
      </c>
      <c r="C446">
        <v>649163</v>
      </c>
      <c r="D446">
        <v>2026680616</v>
      </c>
      <c r="E446" t="s">
        <v>402</v>
      </c>
      <c r="F446" t="s">
        <v>743</v>
      </c>
      <c r="G446" t="s">
        <v>51</v>
      </c>
      <c r="H446" t="s">
        <v>155</v>
      </c>
      <c r="I446" t="s">
        <v>292</v>
      </c>
      <c r="J446" t="s">
        <v>293</v>
      </c>
      <c r="K446">
        <v>651818</v>
      </c>
      <c r="L446" t="s">
        <v>112</v>
      </c>
      <c r="M446" t="s">
        <v>104</v>
      </c>
      <c r="N446" t="s">
        <v>57</v>
      </c>
      <c r="O446" s="1">
        <v>45695</v>
      </c>
      <c r="Q446" s="1">
        <v>45968</v>
      </c>
      <c r="R446" s="2">
        <v>40.78</v>
      </c>
      <c r="S446">
        <v>1</v>
      </c>
      <c r="T446" t="s">
        <v>58</v>
      </c>
      <c r="U446" t="s">
        <v>359</v>
      </c>
      <c r="V446" s="3">
        <v>0.7</v>
      </c>
      <c r="W446" s="2">
        <v>0</v>
      </c>
      <c r="X446">
        <v>0</v>
      </c>
      <c r="Y446" t="s">
        <v>60</v>
      </c>
      <c r="Z446" t="s">
        <v>360</v>
      </c>
      <c r="AA446">
        <v>0</v>
      </c>
      <c r="AB446" s="2">
        <v>0</v>
      </c>
      <c r="AC446" s="2">
        <v>0</v>
      </c>
      <c r="AD446" s="3">
        <v>0</v>
      </c>
      <c r="AE446" s="2">
        <v>0</v>
      </c>
      <c r="AF446" s="2">
        <v>0</v>
      </c>
      <c r="AG446" s="2">
        <v>0</v>
      </c>
      <c r="AH446" s="2">
        <v>0</v>
      </c>
      <c r="AI446" s="2">
        <v>0</v>
      </c>
      <c r="AJ446" s="2">
        <v>0</v>
      </c>
      <c r="AK446" s="2">
        <v>0</v>
      </c>
      <c r="AL446" s="2">
        <v>0</v>
      </c>
      <c r="AM446" s="2">
        <v>28.55</v>
      </c>
      <c r="AN446" s="2">
        <v>28.55</v>
      </c>
      <c r="AO446" s="2">
        <v>0</v>
      </c>
      <c r="AP446" s="2">
        <v>0</v>
      </c>
      <c r="AQ446" s="2">
        <v>0</v>
      </c>
    </row>
    <row r="447" spans="1:43" x14ac:dyDescent="0.25">
      <c r="A447" s="1">
        <v>45936</v>
      </c>
      <c r="B447" t="s">
        <v>48</v>
      </c>
      <c r="C447">
        <v>649163</v>
      </c>
      <c r="D447">
        <v>2026682346</v>
      </c>
      <c r="E447" t="s">
        <v>744</v>
      </c>
      <c r="F447" t="s">
        <v>745</v>
      </c>
      <c r="G447" t="s">
        <v>51</v>
      </c>
      <c r="H447" t="s">
        <v>101</v>
      </c>
      <c r="I447" t="s">
        <v>292</v>
      </c>
      <c r="J447" t="s">
        <v>293</v>
      </c>
      <c r="K447">
        <v>651818</v>
      </c>
      <c r="L447" t="s">
        <v>112</v>
      </c>
      <c r="M447" t="s">
        <v>104</v>
      </c>
      <c r="N447" t="s">
        <v>57</v>
      </c>
      <c r="O447" s="1">
        <v>45695</v>
      </c>
      <c r="Q447" s="1">
        <v>45968</v>
      </c>
      <c r="R447" s="2">
        <v>58.24</v>
      </c>
      <c r="S447">
        <v>1</v>
      </c>
      <c r="T447" t="s">
        <v>58</v>
      </c>
      <c r="U447" t="s">
        <v>359</v>
      </c>
      <c r="V447" s="3">
        <v>0.7</v>
      </c>
      <c r="W447" s="2">
        <v>0</v>
      </c>
      <c r="X447">
        <v>0</v>
      </c>
      <c r="Y447" t="s">
        <v>60</v>
      </c>
      <c r="Z447" t="s">
        <v>360</v>
      </c>
      <c r="AA447">
        <v>0</v>
      </c>
      <c r="AB447" s="2">
        <v>0</v>
      </c>
      <c r="AC447" s="2">
        <v>0</v>
      </c>
      <c r="AD447" s="3">
        <v>0</v>
      </c>
      <c r="AE447" s="2">
        <v>0</v>
      </c>
      <c r="AF447" s="2">
        <v>0</v>
      </c>
      <c r="AG447" s="2">
        <v>0</v>
      </c>
      <c r="AH447" s="2">
        <v>0</v>
      </c>
      <c r="AI447" s="2">
        <v>0</v>
      </c>
      <c r="AJ447" s="2">
        <v>0</v>
      </c>
      <c r="AK447" s="2">
        <v>0</v>
      </c>
      <c r="AL447" s="2">
        <v>0</v>
      </c>
      <c r="AM447" s="2">
        <v>40.770000000000003</v>
      </c>
      <c r="AN447" s="2">
        <v>40.770000000000003</v>
      </c>
      <c r="AO447" s="2">
        <v>0</v>
      </c>
      <c r="AP447" s="2">
        <v>0</v>
      </c>
      <c r="AQ447" s="2">
        <v>0</v>
      </c>
    </row>
    <row r="448" spans="1:43" x14ac:dyDescent="0.25">
      <c r="A448" s="1">
        <v>45936</v>
      </c>
      <c r="B448" t="s">
        <v>48</v>
      </c>
      <c r="C448">
        <v>649163</v>
      </c>
      <c r="D448">
        <v>2026683721</v>
      </c>
      <c r="E448" t="s">
        <v>678</v>
      </c>
      <c r="F448" t="s">
        <v>746</v>
      </c>
      <c r="G448" t="s">
        <v>51</v>
      </c>
      <c r="H448" t="s">
        <v>122</v>
      </c>
      <c r="I448" t="s">
        <v>292</v>
      </c>
      <c r="J448" t="s">
        <v>293</v>
      </c>
      <c r="K448">
        <v>651818</v>
      </c>
      <c r="L448" t="s">
        <v>112</v>
      </c>
      <c r="M448" t="s">
        <v>104</v>
      </c>
      <c r="N448" t="s">
        <v>57</v>
      </c>
      <c r="O448" s="1">
        <v>45695</v>
      </c>
      <c r="Q448" s="1">
        <v>45968</v>
      </c>
      <c r="R448" s="2">
        <v>46.72</v>
      </c>
      <c r="S448">
        <v>1</v>
      </c>
      <c r="T448" t="s">
        <v>58</v>
      </c>
      <c r="U448" t="s">
        <v>359</v>
      </c>
      <c r="V448" s="3">
        <v>0.7</v>
      </c>
      <c r="W448" s="2">
        <v>0</v>
      </c>
      <c r="X448">
        <v>0</v>
      </c>
      <c r="Y448" t="s">
        <v>60</v>
      </c>
      <c r="Z448" t="s">
        <v>360</v>
      </c>
      <c r="AA448">
        <v>0</v>
      </c>
      <c r="AB448" s="2">
        <v>0</v>
      </c>
      <c r="AC448" s="2">
        <v>0</v>
      </c>
      <c r="AD448" s="3">
        <v>0</v>
      </c>
      <c r="AE448" s="2">
        <v>0</v>
      </c>
      <c r="AF448" s="2">
        <v>0</v>
      </c>
      <c r="AG448" s="2">
        <v>0</v>
      </c>
      <c r="AH448" s="2">
        <v>0</v>
      </c>
      <c r="AI448" s="2">
        <v>0</v>
      </c>
      <c r="AJ448" s="2">
        <v>0</v>
      </c>
      <c r="AK448" s="2">
        <v>0</v>
      </c>
      <c r="AL448" s="2">
        <v>0</v>
      </c>
      <c r="AM448" s="2">
        <v>32.700000000000003</v>
      </c>
      <c r="AN448" s="2">
        <v>32.700000000000003</v>
      </c>
      <c r="AO448" s="2">
        <v>0</v>
      </c>
      <c r="AP448" s="2">
        <v>0</v>
      </c>
      <c r="AQ448" s="2">
        <v>0</v>
      </c>
    </row>
    <row r="449" spans="1:43" x14ac:dyDescent="0.25">
      <c r="A449" s="1">
        <v>45936</v>
      </c>
      <c r="B449" t="s">
        <v>48</v>
      </c>
      <c r="C449">
        <v>649163</v>
      </c>
      <c r="D449">
        <v>2026698495</v>
      </c>
      <c r="E449" t="s">
        <v>398</v>
      </c>
      <c r="F449" t="s">
        <v>399</v>
      </c>
      <c r="G449" t="s">
        <v>51</v>
      </c>
      <c r="H449" t="s">
        <v>122</v>
      </c>
      <c r="I449" t="s">
        <v>292</v>
      </c>
      <c r="J449" t="s">
        <v>293</v>
      </c>
      <c r="K449">
        <v>651818</v>
      </c>
      <c r="L449" t="s">
        <v>112</v>
      </c>
      <c r="M449" t="s">
        <v>104</v>
      </c>
      <c r="N449" t="s">
        <v>57</v>
      </c>
      <c r="O449" s="1">
        <v>45695</v>
      </c>
      <c r="Q449" s="1">
        <v>45968</v>
      </c>
      <c r="R449" s="2">
        <v>17.64</v>
      </c>
      <c r="S449">
        <v>1</v>
      </c>
      <c r="T449" t="s">
        <v>58</v>
      </c>
      <c r="U449" t="s">
        <v>359</v>
      </c>
      <c r="V449" s="3">
        <v>0.7</v>
      </c>
      <c r="W449" s="2">
        <v>0</v>
      </c>
      <c r="X449">
        <v>0</v>
      </c>
      <c r="Y449" t="s">
        <v>60</v>
      </c>
      <c r="Z449" t="s">
        <v>360</v>
      </c>
      <c r="AA449">
        <v>0</v>
      </c>
      <c r="AB449" s="2">
        <v>0</v>
      </c>
      <c r="AC449" s="2">
        <v>0</v>
      </c>
      <c r="AD449" s="3">
        <v>0</v>
      </c>
      <c r="AE449" s="2">
        <v>0</v>
      </c>
      <c r="AF449" s="2">
        <v>0</v>
      </c>
      <c r="AG449" s="2">
        <v>0</v>
      </c>
      <c r="AH449" s="2">
        <v>0</v>
      </c>
      <c r="AI449" s="2">
        <v>0</v>
      </c>
      <c r="AJ449" s="2">
        <v>0</v>
      </c>
      <c r="AK449" s="2">
        <v>0</v>
      </c>
      <c r="AL449" s="2">
        <v>0</v>
      </c>
      <c r="AM449" s="2">
        <v>12.35</v>
      </c>
      <c r="AN449" s="2">
        <v>12.35</v>
      </c>
      <c r="AO449" s="2">
        <v>0</v>
      </c>
      <c r="AP449" s="2">
        <v>0</v>
      </c>
      <c r="AQ449" s="2">
        <v>0</v>
      </c>
    </row>
    <row r="450" spans="1:43" x14ac:dyDescent="0.25">
      <c r="A450" s="1">
        <v>45936</v>
      </c>
      <c r="B450" t="s">
        <v>48</v>
      </c>
      <c r="C450">
        <v>649163</v>
      </c>
      <c r="D450">
        <v>2026718142</v>
      </c>
      <c r="E450" t="s">
        <v>831</v>
      </c>
      <c r="F450" t="s">
        <v>240</v>
      </c>
      <c r="G450" t="s">
        <v>51</v>
      </c>
      <c r="H450" t="s">
        <v>101</v>
      </c>
      <c r="I450" t="s">
        <v>292</v>
      </c>
      <c r="J450" t="s">
        <v>293</v>
      </c>
      <c r="K450">
        <v>768271</v>
      </c>
      <c r="L450" t="s">
        <v>880</v>
      </c>
      <c r="M450" t="s">
        <v>220</v>
      </c>
      <c r="N450" t="s">
        <v>57</v>
      </c>
      <c r="O450" s="1">
        <v>45689</v>
      </c>
      <c r="Q450" s="1">
        <v>45962</v>
      </c>
      <c r="R450" s="2">
        <v>284.54000000000002</v>
      </c>
      <c r="S450">
        <v>1</v>
      </c>
      <c r="T450" t="s">
        <v>58</v>
      </c>
      <c r="U450" t="s">
        <v>359</v>
      </c>
      <c r="V450" s="3">
        <v>0.7</v>
      </c>
      <c r="W450" s="2">
        <v>0</v>
      </c>
      <c r="X450">
        <v>0</v>
      </c>
      <c r="Y450" t="s">
        <v>60</v>
      </c>
      <c r="Z450" t="s">
        <v>360</v>
      </c>
      <c r="AA450">
        <v>0</v>
      </c>
      <c r="AB450" s="2">
        <v>0</v>
      </c>
      <c r="AC450" s="2">
        <v>0</v>
      </c>
      <c r="AD450" s="3">
        <v>0</v>
      </c>
      <c r="AE450" s="2">
        <v>0</v>
      </c>
      <c r="AF450" s="2">
        <v>0</v>
      </c>
      <c r="AG450" s="2">
        <v>0</v>
      </c>
      <c r="AH450" s="2">
        <v>0</v>
      </c>
      <c r="AI450" s="2">
        <v>0</v>
      </c>
      <c r="AJ450" s="2">
        <v>0</v>
      </c>
      <c r="AK450" s="2">
        <v>0</v>
      </c>
      <c r="AL450" s="2">
        <v>0</v>
      </c>
      <c r="AM450" s="2">
        <v>199.18</v>
      </c>
      <c r="AN450" s="2">
        <v>199.18</v>
      </c>
      <c r="AO450" s="2">
        <v>0</v>
      </c>
      <c r="AP450" s="2">
        <v>0</v>
      </c>
      <c r="AQ450" s="2">
        <v>0</v>
      </c>
    </row>
    <row r="451" spans="1:43" x14ac:dyDescent="0.25">
      <c r="A451" s="1">
        <v>45936</v>
      </c>
      <c r="B451" t="s">
        <v>48</v>
      </c>
      <c r="C451">
        <v>649163</v>
      </c>
      <c r="D451">
        <v>2026721808</v>
      </c>
      <c r="E451" t="s">
        <v>881</v>
      </c>
      <c r="F451" t="s">
        <v>367</v>
      </c>
      <c r="G451" t="s">
        <v>51</v>
      </c>
      <c r="H451" t="s">
        <v>52</v>
      </c>
      <c r="I451" t="s">
        <v>292</v>
      </c>
      <c r="J451" t="s">
        <v>295</v>
      </c>
      <c r="K451">
        <v>651818</v>
      </c>
      <c r="L451" t="s">
        <v>112</v>
      </c>
      <c r="M451" t="s">
        <v>104</v>
      </c>
      <c r="N451" t="s">
        <v>57</v>
      </c>
      <c r="O451" s="1">
        <v>45695</v>
      </c>
      <c r="Q451" s="1">
        <v>45968</v>
      </c>
      <c r="R451" s="2">
        <v>23.05</v>
      </c>
      <c r="S451">
        <v>1</v>
      </c>
      <c r="T451" t="s">
        <v>58</v>
      </c>
      <c r="U451" t="s">
        <v>359</v>
      </c>
      <c r="V451" s="3">
        <v>0.9</v>
      </c>
      <c r="W451" s="2">
        <v>0</v>
      </c>
      <c r="X451">
        <v>0</v>
      </c>
      <c r="Y451" t="s">
        <v>60</v>
      </c>
      <c r="Z451" t="s">
        <v>360</v>
      </c>
      <c r="AA451">
        <v>0</v>
      </c>
      <c r="AB451" s="2">
        <v>0</v>
      </c>
      <c r="AC451" s="2">
        <v>0</v>
      </c>
      <c r="AD451" s="3">
        <v>0</v>
      </c>
      <c r="AE451" s="2">
        <v>0</v>
      </c>
      <c r="AF451" s="2">
        <v>0</v>
      </c>
      <c r="AG451" s="2">
        <v>0</v>
      </c>
      <c r="AH451" s="2">
        <v>0</v>
      </c>
      <c r="AI451" s="2">
        <v>0</v>
      </c>
      <c r="AJ451" s="2">
        <v>0</v>
      </c>
      <c r="AK451" s="2">
        <v>0</v>
      </c>
      <c r="AL451" s="2">
        <v>0</v>
      </c>
      <c r="AM451" s="2">
        <v>20.74</v>
      </c>
      <c r="AN451" s="2">
        <v>20.74</v>
      </c>
      <c r="AO451" s="2">
        <v>0</v>
      </c>
      <c r="AP451" s="2">
        <v>0</v>
      </c>
      <c r="AQ451" s="2">
        <v>0</v>
      </c>
    </row>
    <row r="452" spans="1:43" x14ac:dyDescent="0.25">
      <c r="A452" s="1">
        <v>45936</v>
      </c>
      <c r="B452" t="s">
        <v>48</v>
      </c>
      <c r="C452">
        <v>649163</v>
      </c>
      <c r="D452">
        <v>2026733978</v>
      </c>
      <c r="E452" t="s">
        <v>882</v>
      </c>
      <c r="F452" t="s">
        <v>128</v>
      </c>
      <c r="G452" t="s">
        <v>51</v>
      </c>
      <c r="H452" t="s">
        <v>101</v>
      </c>
      <c r="I452" t="s">
        <v>292</v>
      </c>
      <c r="J452" t="s">
        <v>293</v>
      </c>
      <c r="K452">
        <v>651818</v>
      </c>
      <c r="L452" t="s">
        <v>112</v>
      </c>
      <c r="M452" t="s">
        <v>104</v>
      </c>
      <c r="N452" t="s">
        <v>57</v>
      </c>
      <c r="O452" s="1">
        <v>45695</v>
      </c>
      <c r="Q452" s="1">
        <v>45968</v>
      </c>
      <c r="R452" s="2">
        <v>122.22</v>
      </c>
      <c r="S452">
        <v>1</v>
      </c>
      <c r="T452" t="s">
        <v>58</v>
      </c>
      <c r="U452" t="s">
        <v>359</v>
      </c>
      <c r="V452" s="3">
        <v>0.7</v>
      </c>
      <c r="W452" s="2">
        <v>0</v>
      </c>
      <c r="X452">
        <v>0</v>
      </c>
      <c r="Y452" t="s">
        <v>60</v>
      </c>
      <c r="Z452" t="s">
        <v>360</v>
      </c>
      <c r="AA452">
        <v>0</v>
      </c>
      <c r="AB452" s="2">
        <v>0</v>
      </c>
      <c r="AC452" s="2">
        <v>0</v>
      </c>
      <c r="AD452" s="3">
        <v>0</v>
      </c>
      <c r="AE452" s="2">
        <v>0</v>
      </c>
      <c r="AF452" s="2">
        <v>0</v>
      </c>
      <c r="AG452" s="2">
        <v>0</v>
      </c>
      <c r="AH452" s="2">
        <v>0</v>
      </c>
      <c r="AI452" s="2">
        <v>0</v>
      </c>
      <c r="AJ452" s="2">
        <v>0</v>
      </c>
      <c r="AK452" s="2">
        <v>0</v>
      </c>
      <c r="AL452" s="2">
        <v>0</v>
      </c>
      <c r="AM452" s="2">
        <v>85.55</v>
      </c>
      <c r="AN452" s="2">
        <v>85.55</v>
      </c>
      <c r="AO452" s="2">
        <v>0</v>
      </c>
      <c r="AP452" s="2">
        <v>0</v>
      </c>
      <c r="AQ452" s="2">
        <v>0</v>
      </c>
    </row>
    <row r="453" spans="1:43" x14ac:dyDescent="0.25">
      <c r="A453" s="1">
        <v>45936</v>
      </c>
      <c r="B453" t="s">
        <v>48</v>
      </c>
      <c r="C453">
        <v>649163</v>
      </c>
      <c r="D453">
        <v>2026737140</v>
      </c>
      <c r="E453" t="s">
        <v>883</v>
      </c>
      <c r="F453" t="s">
        <v>884</v>
      </c>
      <c r="G453" t="s">
        <v>51</v>
      </c>
      <c r="H453" t="s">
        <v>101</v>
      </c>
      <c r="I453" t="s">
        <v>292</v>
      </c>
      <c r="J453" t="s">
        <v>293</v>
      </c>
      <c r="K453">
        <v>651818</v>
      </c>
      <c r="L453" t="s">
        <v>112</v>
      </c>
      <c r="M453" t="s">
        <v>104</v>
      </c>
      <c r="N453" t="s">
        <v>57</v>
      </c>
      <c r="O453" s="1">
        <v>45695</v>
      </c>
      <c r="Q453" s="1">
        <v>45968</v>
      </c>
      <c r="R453" s="2">
        <v>124.72</v>
      </c>
      <c r="S453">
        <v>1</v>
      </c>
      <c r="T453" t="s">
        <v>58</v>
      </c>
      <c r="U453" t="s">
        <v>359</v>
      </c>
      <c r="V453" s="3">
        <v>0.7</v>
      </c>
      <c r="W453" s="2">
        <v>0</v>
      </c>
      <c r="X453">
        <v>0</v>
      </c>
      <c r="Y453" t="s">
        <v>60</v>
      </c>
      <c r="Z453" t="s">
        <v>360</v>
      </c>
      <c r="AA453">
        <v>0</v>
      </c>
      <c r="AB453" s="2">
        <v>0</v>
      </c>
      <c r="AC453" s="2">
        <v>0</v>
      </c>
      <c r="AD453" s="3">
        <v>0</v>
      </c>
      <c r="AE453" s="2">
        <v>0</v>
      </c>
      <c r="AF453" s="2">
        <v>0</v>
      </c>
      <c r="AG453" s="2">
        <v>0</v>
      </c>
      <c r="AH453" s="2">
        <v>0</v>
      </c>
      <c r="AI453" s="2">
        <v>0</v>
      </c>
      <c r="AJ453" s="2">
        <v>0</v>
      </c>
      <c r="AK453" s="2">
        <v>0</v>
      </c>
      <c r="AL453" s="2">
        <v>0</v>
      </c>
      <c r="AM453" s="2">
        <v>87.3</v>
      </c>
      <c r="AN453" s="2">
        <v>87.3</v>
      </c>
      <c r="AO453" s="2">
        <v>0</v>
      </c>
      <c r="AP453" s="2">
        <v>0</v>
      </c>
      <c r="AQ453" s="2">
        <v>0</v>
      </c>
    </row>
    <row r="454" spans="1:43" x14ac:dyDescent="0.25">
      <c r="A454" s="1">
        <v>45936</v>
      </c>
      <c r="B454" t="s">
        <v>48</v>
      </c>
      <c r="C454">
        <v>649163</v>
      </c>
      <c r="D454">
        <v>2026807823</v>
      </c>
      <c r="E454" t="s">
        <v>123</v>
      </c>
      <c r="F454" t="s">
        <v>507</v>
      </c>
      <c r="G454" t="s">
        <v>51</v>
      </c>
      <c r="H454" t="s">
        <v>52</v>
      </c>
      <c r="I454" t="s">
        <v>292</v>
      </c>
      <c r="J454" t="s">
        <v>293</v>
      </c>
      <c r="K454">
        <v>651818</v>
      </c>
      <c r="L454" t="s">
        <v>112</v>
      </c>
      <c r="M454" t="s">
        <v>104</v>
      </c>
      <c r="N454" t="s">
        <v>57</v>
      </c>
      <c r="O454" s="1">
        <v>45695</v>
      </c>
      <c r="Q454" s="1">
        <v>45968</v>
      </c>
      <c r="R454" s="2">
        <v>129.22</v>
      </c>
      <c r="S454">
        <v>1</v>
      </c>
      <c r="T454" t="s">
        <v>58</v>
      </c>
      <c r="U454" t="s">
        <v>359</v>
      </c>
      <c r="V454" s="3">
        <v>0.7</v>
      </c>
      <c r="W454" s="2">
        <v>0</v>
      </c>
      <c r="X454">
        <v>0</v>
      </c>
      <c r="Y454" t="s">
        <v>60</v>
      </c>
      <c r="Z454" t="s">
        <v>360</v>
      </c>
      <c r="AA454">
        <v>0</v>
      </c>
      <c r="AB454" s="2">
        <v>0</v>
      </c>
      <c r="AC454" s="2">
        <v>0</v>
      </c>
      <c r="AD454" s="3">
        <v>0</v>
      </c>
      <c r="AE454" s="2">
        <v>0</v>
      </c>
      <c r="AF454" s="2">
        <v>0</v>
      </c>
      <c r="AG454" s="2">
        <v>0</v>
      </c>
      <c r="AH454" s="2">
        <v>0</v>
      </c>
      <c r="AI454" s="2">
        <v>0</v>
      </c>
      <c r="AJ454" s="2">
        <v>0</v>
      </c>
      <c r="AK454" s="2">
        <v>0</v>
      </c>
      <c r="AL454" s="2">
        <v>0</v>
      </c>
      <c r="AM454" s="2">
        <v>90.45</v>
      </c>
      <c r="AN454" s="2">
        <v>90.45</v>
      </c>
      <c r="AO454" s="2">
        <v>0</v>
      </c>
      <c r="AP454" s="2">
        <v>0</v>
      </c>
      <c r="AQ454" s="2">
        <v>0</v>
      </c>
    </row>
    <row r="455" spans="1:43" x14ac:dyDescent="0.25">
      <c r="A455" s="1">
        <v>45936</v>
      </c>
      <c r="B455" t="s">
        <v>48</v>
      </c>
      <c r="C455">
        <v>649163</v>
      </c>
      <c r="D455">
        <v>2026827011</v>
      </c>
      <c r="E455" t="s">
        <v>885</v>
      </c>
      <c r="F455" t="s">
        <v>845</v>
      </c>
      <c r="G455" t="s">
        <v>51</v>
      </c>
      <c r="H455" t="s">
        <v>129</v>
      </c>
      <c r="I455" t="s">
        <v>292</v>
      </c>
      <c r="J455" t="s">
        <v>293</v>
      </c>
      <c r="K455">
        <v>651818</v>
      </c>
      <c r="L455" t="s">
        <v>112</v>
      </c>
      <c r="M455" t="s">
        <v>104</v>
      </c>
      <c r="N455" t="s">
        <v>57</v>
      </c>
      <c r="O455" s="1">
        <v>45695</v>
      </c>
      <c r="Q455" s="1">
        <v>45968</v>
      </c>
      <c r="R455" s="2">
        <v>122.32</v>
      </c>
      <c r="S455">
        <v>1</v>
      </c>
      <c r="T455" t="s">
        <v>58</v>
      </c>
      <c r="U455" t="s">
        <v>359</v>
      </c>
      <c r="V455" s="3">
        <v>0.7</v>
      </c>
      <c r="W455" s="2">
        <v>0</v>
      </c>
      <c r="X455">
        <v>0</v>
      </c>
      <c r="Y455" t="s">
        <v>60</v>
      </c>
      <c r="Z455" t="s">
        <v>360</v>
      </c>
      <c r="AA455">
        <v>0</v>
      </c>
      <c r="AB455" s="2">
        <v>0</v>
      </c>
      <c r="AC455" s="2">
        <v>0</v>
      </c>
      <c r="AD455" s="3">
        <v>0</v>
      </c>
      <c r="AE455" s="2">
        <v>0</v>
      </c>
      <c r="AF455" s="2">
        <v>0</v>
      </c>
      <c r="AG455" s="2">
        <v>0</v>
      </c>
      <c r="AH455" s="2">
        <v>0</v>
      </c>
      <c r="AI455" s="2">
        <v>0</v>
      </c>
      <c r="AJ455" s="2">
        <v>0</v>
      </c>
      <c r="AK455" s="2">
        <v>0</v>
      </c>
      <c r="AL455" s="2">
        <v>0</v>
      </c>
      <c r="AM455" s="2">
        <v>85.62</v>
      </c>
      <c r="AN455" s="2">
        <v>85.62</v>
      </c>
      <c r="AO455" s="2">
        <v>0</v>
      </c>
      <c r="AP455" s="2">
        <v>0</v>
      </c>
      <c r="AQ455" s="2">
        <v>0</v>
      </c>
    </row>
    <row r="456" spans="1:43" x14ac:dyDescent="0.25">
      <c r="A456" s="1">
        <v>45936</v>
      </c>
      <c r="B456" t="s">
        <v>48</v>
      </c>
      <c r="C456">
        <v>649163</v>
      </c>
      <c r="D456">
        <v>2026832448</v>
      </c>
      <c r="E456" t="s">
        <v>97</v>
      </c>
      <c r="F456" t="s">
        <v>173</v>
      </c>
      <c r="G456" t="s">
        <v>51</v>
      </c>
      <c r="H456" t="s">
        <v>115</v>
      </c>
      <c r="I456" t="s">
        <v>292</v>
      </c>
      <c r="J456" t="s">
        <v>293</v>
      </c>
      <c r="K456">
        <v>651818</v>
      </c>
      <c r="L456" t="s">
        <v>112</v>
      </c>
      <c r="M456" t="s">
        <v>104</v>
      </c>
      <c r="N456" t="s">
        <v>57</v>
      </c>
      <c r="O456" s="1">
        <v>45695</v>
      </c>
      <c r="Q456" s="1">
        <v>45968</v>
      </c>
      <c r="R456" s="2">
        <v>32.979999999999997</v>
      </c>
      <c r="S456">
        <v>1</v>
      </c>
      <c r="T456" t="s">
        <v>58</v>
      </c>
      <c r="U456" t="s">
        <v>359</v>
      </c>
      <c r="V456" s="3">
        <v>0.7</v>
      </c>
      <c r="W456" s="2">
        <v>0</v>
      </c>
      <c r="X456">
        <v>0</v>
      </c>
      <c r="Y456" t="s">
        <v>60</v>
      </c>
      <c r="Z456" t="s">
        <v>360</v>
      </c>
      <c r="AA456">
        <v>0</v>
      </c>
      <c r="AB456" s="2">
        <v>0</v>
      </c>
      <c r="AC456" s="2">
        <v>0</v>
      </c>
      <c r="AD456" s="3">
        <v>0</v>
      </c>
      <c r="AE456" s="2">
        <v>0</v>
      </c>
      <c r="AF456" s="2">
        <v>0</v>
      </c>
      <c r="AG456" s="2">
        <v>0</v>
      </c>
      <c r="AH456" s="2">
        <v>0</v>
      </c>
      <c r="AI456" s="2">
        <v>0</v>
      </c>
      <c r="AJ456" s="2">
        <v>0</v>
      </c>
      <c r="AK456" s="2">
        <v>0</v>
      </c>
      <c r="AL456" s="2">
        <v>0</v>
      </c>
      <c r="AM456" s="2">
        <v>23.09</v>
      </c>
      <c r="AN456" s="2">
        <v>23.09</v>
      </c>
      <c r="AO456" s="2">
        <v>0</v>
      </c>
      <c r="AP456" s="2">
        <v>0</v>
      </c>
      <c r="AQ456" s="2">
        <v>0</v>
      </c>
    </row>
    <row r="457" spans="1:43" x14ac:dyDescent="0.25">
      <c r="A457" s="1">
        <v>45936</v>
      </c>
      <c r="B457" t="s">
        <v>48</v>
      </c>
      <c r="C457">
        <v>649163</v>
      </c>
      <c r="D457">
        <v>2026832450</v>
      </c>
      <c r="E457" t="s">
        <v>97</v>
      </c>
      <c r="F457" t="s">
        <v>173</v>
      </c>
      <c r="G457" t="s">
        <v>51</v>
      </c>
      <c r="H457" t="s">
        <v>115</v>
      </c>
      <c r="I457" t="s">
        <v>292</v>
      </c>
      <c r="J457" t="s">
        <v>295</v>
      </c>
      <c r="K457">
        <v>651818</v>
      </c>
      <c r="L457" t="s">
        <v>112</v>
      </c>
      <c r="M457" t="s">
        <v>104</v>
      </c>
      <c r="N457" t="s">
        <v>57</v>
      </c>
      <c r="O457" s="1">
        <v>45695</v>
      </c>
      <c r="Q457" s="1">
        <v>45968</v>
      </c>
      <c r="R457" s="2">
        <v>41.25</v>
      </c>
      <c r="S457">
        <v>1</v>
      </c>
      <c r="T457" t="s">
        <v>58</v>
      </c>
      <c r="U457" t="s">
        <v>359</v>
      </c>
      <c r="V457" s="3">
        <v>0.9</v>
      </c>
      <c r="W457" s="2">
        <v>0</v>
      </c>
      <c r="X457">
        <v>0</v>
      </c>
      <c r="Y457" t="s">
        <v>60</v>
      </c>
      <c r="Z457" t="s">
        <v>360</v>
      </c>
      <c r="AA457">
        <v>0</v>
      </c>
      <c r="AB457" s="2">
        <v>0</v>
      </c>
      <c r="AC457" s="2">
        <v>0</v>
      </c>
      <c r="AD457" s="3">
        <v>0</v>
      </c>
      <c r="AE457" s="2">
        <v>0</v>
      </c>
      <c r="AF457" s="2">
        <v>0</v>
      </c>
      <c r="AG457" s="2">
        <v>0</v>
      </c>
      <c r="AH457" s="2">
        <v>0</v>
      </c>
      <c r="AI457" s="2">
        <v>0</v>
      </c>
      <c r="AJ457" s="2">
        <v>0</v>
      </c>
      <c r="AK457" s="2">
        <v>0</v>
      </c>
      <c r="AL457" s="2">
        <v>0</v>
      </c>
      <c r="AM457" s="2">
        <v>37.119999999999997</v>
      </c>
      <c r="AN457" s="2">
        <v>37.119999999999997</v>
      </c>
      <c r="AO457" s="2">
        <v>0</v>
      </c>
      <c r="AP457" s="2">
        <v>0</v>
      </c>
      <c r="AQ457" s="2">
        <v>0</v>
      </c>
    </row>
    <row r="458" spans="1:43" x14ac:dyDescent="0.25">
      <c r="A458" s="1">
        <v>45936</v>
      </c>
      <c r="B458" t="s">
        <v>48</v>
      </c>
      <c r="C458">
        <v>649163</v>
      </c>
      <c r="D458">
        <v>2026844913</v>
      </c>
      <c r="E458" t="s">
        <v>748</v>
      </c>
      <c r="F458" t="s">
        <v>132</v>
      </c>
      <c r="G458" t="s">
        <v>51</v>
      </c>
      <c r="H458" t="s">
        <v>101</v>
      </c>
      <c r="I458" t="s">
        <v>292</v>
      </c>
      <c r="J458" t="s">
        <v>293</v>
      </c>
      <c r="K458">
        <v>651818</v>
      </c>
      <c r="L458" t="s">
        <v>112</v>
      </c>
      <c r="M458" t="s">
        <v>104</v>
      </c>
      <c r="N458" t="s">
        <v>57</v>
      </c>
      <c r="O458" s="1">
        <v>45695</v>
      </c>
      <c r="Q458" s="1">
        <v>45968</v>
      </c>
      <c r="R458" s="2">
        <v>78.400000000000006</v>
      </c>
      <c r="S458">
        <v>1</v>
      </c>
      <c r="T458" t="s">
        <v>58</v>
      </c>
      <c r="U458" t="s">
        <v>359</v>
      </c>
      <c r="V458" s="3">
        <v>0.7</v>
      </c>
      <c r="W458" s="2">
        <v>0</v>
      </c>
      <c r="X458">
        <v>0</v>
      </c>
      <c r="Y458" t="s">
        <v>60</v>
      </c>
      <c r="Z458" t="s">
        <v>360</v>
      </c>
      <c r="AA458">
        <v>0</v>
      </c>
      <c r="AB458" s="2">
        <v>0</v>
      </c>
      <c r="AC458" s="2">
        <v>0</v>
      </c>
      <c r="AD458" s="3">
        <v>0</v>
      </c>
      <c r="AE458" s="2">
        <v>0</v>
      </c>
      <c r="AF458" s="2">
        <v>0</v>
      </c>
      <c r="AG458" s="2">
        <v>0</v>
      </c>
      <c r="AH458" s="2">
        <v>0</v>
      </c>
      <c r="AI458" s="2">
        <v>0</v>
      </c>
      <c r="AJ458" s="2">
        <v>0</v>
      </c>
      <c r="AK458" s="2">
        <v>0</v>
      </c>
      <c r="AL458" s="2">
        <v>0</v>
      </c>
      <c r="AM458" s="2">
        <v>54.88</v>
      </c>
      <c r="AN458" s="2">
        <v>54.88</v>
      </c>
      <c r="AO458" s="2">
        <v>0</v>
      </c>
      <c r="AP458" s="2">
        <v>0</v>
      </c>
      <c r="AQ458" s="2">
        <v>0</v>
      </c>
    </row>
    <row r="459" spans="1:43" x14ac:dyDescent="0.25">
      <c r="A459" s="1">
        <v>45936</v>
      </c>
      <c r="B459" t="s">
        <v>48</v>
      </c>
      <c r="C459">
        <v>649163</v>
      </c>
      <c r="D459">
        <v>2026860056</v>
      </c>
      <c r="E459" t="s">
        <v>733</v>
      </c>
      <c r="F459" t="s">
        <v>734</v>
      </c>
      <c r="G459" t="s">
        <v>51</v>
      </c>
      <c r="H459" t="s">
        <v>52</v>
      </c>
      <c r="I459" t="s">
        <v>292</v>
      </c>
      <c r="J459" t="s">
        <v>293</v>
      </c>
      <c r="K459">
        <v>651818</v>
      </c>
      <c r="L459" t="s">
        <v>112</v>
      </c>
      <c r="M459" t="s">
        <v>104</v>
      </c>
      <c r="N459" t="s">
        <v>57</v>
      </c>
      <c r="O459" s="1">
        <v>45695</v>
      </c>
      <c r="Q459" s="1">
        <v>45968</v>
      </c>
      <c r="R459" s="2">
        <v>13</v>
      </c>
      <c r="S459">
        <v>1</v>
      </c>
      <c r="T459" t="s">
        <v>58</v>
      </c>
      <c r="U459" t="s">
        <v>359</v>
      </c>
      <c r="V459" s="3">
        <v>0.7</v>
      </c>
      <c r="W459" s="2">
        <v>0</v>
      </c>
      <c r="X459">
        <v>0</v>
      </c>
      <c r="Y459" t="s">
        <v>60</v>
      </c>
      <c r="Z459" t="s">
        <v>360</v>
      </c>
      <c r="AA459">
        <v>0</v>
      </c>
      <c r="AB459" s="2">
        <v>0</v>
      </c>
      <c r="AC459" s="2">
        <v>0</v>
      </c>
      <c r="AD459" s="3">
        <v>0</v>
      </c>
      <c r="AE459" s="2">
        <v>0</v>
      </c>
      <c r="AF459" s="2">
        <v>0</v>
      </c>
      <c r="AG459" s="2">
        <v>0</v>
      </c>
      <c r="AH459" s="2">
        <v>0</v>
      </c>
      <c r="AI459" s="2">
        <v>0</v>
      </c>
      <c r="AJ459" s="2">
        <v>0</v>
      </c>
      <c r="AK459" s="2">
        <v>0</v>
      </c>
      <c r="AL459" s="2">
        <v>0</v>
      </c>
      <c r="AM459" s="2">
        <v>9.1</v>
      </c>
      <c r="AN459" s="2">
        <v>9.1</v>
      </c>
      <c r="AO459" s="2">
        <v>0</v>
      </c>
      <c r="AP459" s="2">
        <v>0</v>
      </c>
      <c r="AQ459" s="2">
        <v>0</v>
      </c>
    </row>
    <row r="460" spans="1:43" x14ac:dyDescent="0.25">
      <c r="A460" s="1">
        <v>45936</v>
      </c>
      <c r="B460" t="s">
        <v>48</v>
      </c>
      <c r="C460">
        <v>649163</v>
      </c>
      <c r="D460">
        <v>2026862484</v>
      </c>
      <c r="E460" t="s">
        <v>699</v>
      </c>
      <c r="F460" t="s">
        <v>886</v>
      </c>
      <c r="G460" t="s">
        <v>51</v>
      </c>
      <c r="H460" t="s">
        <v>101</v>
      </c>
      <c r="I460" t="s">
        <v>292</v>
      </c>
      <c r="J460" t="s">
        <v>293</v>
      </c>
      <c r="K460">
        <v>764123</v>
      </c>
      <c r="L460" t="s">
        <v>887</v>
      </c>
      <c r="M460" t="s">
        <v>888</v>
      </c>
      <c r="N460" t="s">
        <v>57</v>
      </c>
      <c r="O460" s="1">
        <v>45694</v>
      </c>
      <c r="Q460" s="1">
        <v>45967</v>
      </c>
      <c r="R460" s="2">
        <v>11.5</v>
      </c>
      <c r="S460">
        <v>1</v>
      </c>
      <c r="T460" t="s">
        <v>58</v>
      </c>
      <c r="U460" t="s">
        <v>359</v>
      </c>
      <c r="V460" s="3">
        <v>0.7</v>
      </c>
      <c r="W460" s="2">
        <v>0</v>
      </c>
      <c r="X460">
        <v>0</v>
      </c>
      <c r="Y460" t="s">
        <v>60</v>
      </c>
      <c r="Z460" t="s">
        <v>360</v>
      </c>
      <c r="AA460">
        <v>0</v>
      </c>
      <c r="AB460" s="2">
        <v>0</v>
      </c>
      <c r="AC460" s="2">
        <v>0</v>
      </c>
      <c r="AD460" s="3">
        <v>0</v>
      </c>
      <c r="AE460" s="2">
        <v>0</v>
      </c>
      <c r="AF460" s="2">
        <v>0</v>
      </c>
      <c r="AG460" s="2">
        <v>0</v>
      </c>
      <c r="AH460" s="2">
        <v>0</v>
      </c>
      <c r="AI460" s="2">
        <v>0</v>
      </c>
      <c r="AJ460" s="2">
        <v>0</v>
      </c>
      <c r="AK460" s="2">
        <v>0</v>
      </c>
      <c r="AL460" s="2">
        <v>0</v>
      </c>
      <c r="AM460" s="2">
        <v>8.0500000000000007</v>
      </c>
      <c r="AN460" s="2">
        <v>8.0500000000000007</v>
      </c>
      <c r="AO460" s="2">
        <v>0</v>
      </c>
      <c r="AP460" s="2">
        <v>0</v>
      </c>
      <c r="AQ460" s="2">
        <v>0</v>
      </c>
    </row>
    <row r="461" spans="1:43" x14ac:dyDescent="0.25">
      <c r="A461" s="1">
        <v>45936</v>
      </c>
      <c r="B461" t="s">
        <v>48</v>
      </c>
      <c r="C461">
        <v>649163</v>
      </c>
      <c r="D461">
        <v>2026952797</v>
      </c>
      <c r="E461" t="s">
        <v>889</v>
      </c>
      <c r="F461" t="s">
        <v>72</v>
      </c>
      <c r="G461" t="s">
        <v>51</v>
      </c>
      <c r="H461" t="s">
        <v>101</v>
      </c>
      <c r="I461" t="s">
        <v>292</v>
      </c>
      <c r="J461" t="s">
        <v>293</v>
      </c>
      <c r="K461">
        <v>812656</v>
      </c>
      <c r="L461" t="s">
        <v>509</v>
      </c>
      <c r="M461" t="s">
        <v>476</v>
      </c>
      <c r="N461" t="s">
        <v>57</v>
      </c>
      <c r="O461" s="1">
        <v>45693</v>
      </c>
      <c r="Q461" s="1">
        <v>45966</v>
      </c>
      <c r="R461" s="2">
        <v>341.13</v>
      </c>
      <c r="S461">
        <v>1</v>
      </c>
      <c r="T461" t="s">
        <v>58</v>
      </c>
      <c r="U461" t="s">
        <v>359</v>
      </c>
      <c r="V461" s="3">
        <v>0.7</v>
      </c>
      <c r="W461" s="2">
        <v>0</v>
      </c>
      <c r="X461">
        <v>0</v>
      </c>
      <c r="Y461" t="s">
        <v>60</v>
      </c>
      <c r="Z461" t="s">
        <v>360</v>
      </c>
      <c r="AA461">
        <v>0</v>
      </c>
      <c r="AB461" s="2">
        <v>0</v>
      </c>
      <c r="AC461" s="2">
        <v>0</v>
      </c>
      <c r="AD461" s="3">
        <v>0</v>
      </c>
      <c r="AE461" s="2">
        <v>0</v>
      </c>
      <c r="AF461" s="2">
        <v>0</v>
      </c>
      <c r="AG461" s="2">
        <v>0</v>
      </c>
      <c r="AH461" s="2">
        <v>0</v>
      </c>
      <c r="AI461" s="2">
        <v>0</v>
      </c>
      <c r="AJ461" s="2">
        <v>0</v>
      </c>
      <c r="AK461" s="2">
        <v>0</v>
      </c>
      <c r="AL461" s="2">
        <v>0</v>
      </c>
      <c r="AM461" s="2">
        <v>238.79</v>
      </c>
      <c r="AN461" s="2">
        <v>238.79</v>
      </c>
      <c r="AO461" s="2">
        <v>0</v>
      </c>
      <c r="AP461" s="2">
        <v>0</v>
      </c>
      <c r="AQ461" s="2">
        <v>0</v>
      </c>
    </row>
    <row r="462" spans="1:43" x14ac:dyDescent="0.25">
      <c r="A462" s="1">
        <v>45936</v>
      </c>
      <c r="B462" t="s">
        <v>48</v>
      </c>
      <c r="C462">
        <v>649163</v>
      </c>
      <c r="D462">
        <v>2026958511</v>
      </c>
      <c r="E462" t="s">
        <v>890</v>
      </c>
      <c r="F462" t="s">
        <v>429</v>
      </c>
      <c r="G462" t="s">
        <v>51</v>
      </c>
      <c r="H462" t="s">
        <v>155</v>
      </c>
      <c r="I462" t="s">
        <v>292</v>
      </c>
      <c r="J462" t="s">
        <v>293</v>
      </c>
      <c r="K462">
        <v>813184</v>
      </c>
      <c r="L462" t="s">
        <v>408</v>
      </c>
      <c r="M462" t="s">
        <v>410</v>
      </c>
      <c r="N462" t="s">
        <v>57</v>
      </c>
      <c r="O462" s="1">
        <v>45694</v>
      </c>
      <c r="Q462" s="1">
        <v>45967</v>
      </c>
      <c r="R462" s="2">
        <v>89.95</v>
      </c>
      <c r="S462">
        <v>1</v>
      </c>
      <c r="T462" t="s">
        <v>58</v>
      </c>
      <c r="U462" t="s">
        <v>359</v>
      </c>
      <c r="V462" s="3">
        <v>0.7</v>
      </c>
      <c r="W462" s="2">
        <v>0</v>
      </c>
      <c r="X462">
        <v>0</v>
      </c>
      <c r="Y462" t="s">
        <v>60</v>
      </c>
      <c r="Z462" t="s">
        <v>360</v>
      </c>
      <c r="AA462">
        <v>0</v>
      </c>
      <c r="AB462" s="2">
        <v>0</v>
      </c>
      <c r="AC462" s="2">
        <v>0</v>
      </c>
      <c r="AD462" s="3">
        <v>0</v>
      </c>
      <c r="AE462" s="2">
        <v>0</v>
      </c>
      <c r="AF462" s="2">
        <v>0</v>
      </c>
      <c r="AG462" s="2">
        <v>0</v>
      </c>
      <c r="AH462" s="2">
        <v>0</v>
      </c>
      <c r="AI462" s="2">
        <v>0</v>
      </c>
      <c r="AJ462" s="2">
        <v>0</v>
      </c>
      <c r="AK462" s="2">
        <v>0</v>
      </c>
      <c r="AL462" s="2">
        <v>0</v>
      </c>
      <c r="AM462" s="2">
        <v>62.96</v>
      </c>
      <c r="AN462" s="2">
        <v>62.96</v>
      </c>
      <c r="AO462" s="2">
        <v>0</v>
      </c>
      <c r="AP462" s="2">
        <v>0</v>
      </c>
      <c r="AQ462" s="2">
        <v>0</v>
      </c>
    </row>
    <row r="463" spans="1:43" x14ac:dyDescent="0.25">
      <c r="A463" s="1">
        <v>45936</v>
      </c>
      <c r="B463" t="s">
        <v>48</v>
      </c>
      <c r="C463">
        <v>649163</v>
      </c>
      <c r="D463">
        <v>2026970604</v>
      </c>
      <c r="E463" t="s">
        <v>188</v>
      </c>
      <c r="F463" t="s">
        <v>571</v>
      </c>
      <c r="G463" t="s">
        <v>51</v>
      </c>
      <c r="H463" t="s">
        <v>52</v>
      </c>
      <c r="I463" t="s">
        <v>292</v>
      </c>
      <c r="J463" t="s">
        <v>295</v>
      </c>
      <c r="K463">
        <v>651818</v>
      </c>
      <c r="L463" t="s">
        <v>112</v>
      </c>
      <c r="M463" t="s">
        <v>104</v>
      </c>
      <c r="N463" t="s">
        <v>57</v>
      </c>
      <c r="O463" s="1">
        <v>45723</v>
      </c>
      <c r="Q463" s="1">
        <v>45968</v>
      </c>
      <c r="R463" s="2">
        <v>99.25</v>
      </c>
      <c r="S463">
        <v>1</v>
      </c>
      <c r="T463" t="s">
        <v>58</v>
      </c>
      <c r="U463" t="s">
        <v>359</v>
      </c>
      <c r="V463" s="3">
        <v>0.9</v>
      </c>
      <c r="W463" s="2">
        <v>0</v>
      </c>
      <c r="X463">
        <v>0</v>
      </c>
      <c r="Y463" t="s">
        <v>60</v>
      </c>
      <c r="Z463" t="s">
        <v>360</v>
      </c>
      <c r="AA463">
        <v>0</v>
      </c>
      <c r="AB463" s="2">
        <v>0</v>
      </c>
      <c r="AC463" s="2">
        <v>0</v>
      </c>
      <c r="AD463" s="3">
        <v>0</v>
      </c>
      <c r="AE463" s="2">
        <v>0</v>
      </c>
      <c r="AF463" s="2">
        <v>0</v>
      </c>
      <c r="AG463" s="2">
        <v>0</v>
      </c>
      <c r="AH463" s="2">
        <v>0</v>
      </c>
      <c r="AI463" s="2">
        <v>0</v>
      </c>
      <c r="AJ463" s="2">
        <v>0</v>
      </c>
      <c r="AK463" s="2">
        <v>0</v>
      </c>
      <c r="AL463" s="2">
        <v>0</v>
      </c>
      <c r="AM463" s="2">
        <v>89.32</v>
      </c>
      <c r="AN463" s="2">
        <v>89.32</v>
      </c>
      <c r="AO463" s="2">
        <v>0</v>
      </c>
      <c r="AP463" s="2">
        <v>0</v>
      </c>
      <c r="AQ463" s="2">
        <v>0</v>
      </c>
    </row>
    <row r="464" spans="1:43" x14ac:dyDescent="0.25">
      <c r="A464" s="1">
        <v>45936</v>
      </c>
      <c r="B464" t="s">
        <v>48</v>
      </c>
      <c r="C464">
        <v>649163</v>
      </c>
      <c r="D464">
        <v>2026978414</v>
      </c>
      <c r="E464" t="s">
        <v>891</v>
      </c>
      <c r="F464" t="s">
        <v>892</v>
      </c>
      <c r="G464" t="s">
        <v>51</v>
      </c>
      <c r="H464" t="s">
        <v>101</v>
      </c>
      <c r="I464" t="s">
        <v>292</v>
      </c>
      <c r="J464" t="s">
        <v>293</v>
      </c>
      <c r="K464">
        <v>813181</v>
      </c>
      <c r="L464" t="s">
        <v>893</v>
      </c>
      <c r="M464" t="s">
        <v>393</v>
      </c>
      <c r="N464" t="s">
        <v>57</v>
      </c>
      <c r="O464" s="1">
        <v>45695</v>
      </c>
      <c r="Q464" s="1">
        <v>45968</v>
      </c>
      <c r="R464" s="2">
        <v>56.5</v>
      </c>
      <c r="S464">
        <v>1</v>
      </c>
      <c r="T464" t="s">
        <v>58</v>
      </c>
      <c r="U464" t="s">
        <v>359</v>
      </c>
      <c r="V464" s="3">
        <v>0.7</v>
      </c>
      <c r="W464" s="2">
        <v>0</v>
      </c>
      <c r="X464">
        <v>0</v>
      </c>
      <c r="Y464" t="s">
        <v>60</v>
      </c>
      <c r="Z464" t="s">
        <v>360</v>
      </c>
      <c r="AA464">
        <v>0</v>
      </c>
      <c r="AB464" s="2">
        <v>0</v>
      </c>
      <c r="AC464" s="2">
        <v>0</v>
      </c>
      <c r="AD464" s="3">
        <v>0</v>
      </c>
      <c r="AE464" s="2">
        <v>0</v>
      </c>
      <c r="AF464" s="2">
        <v>0</v>
      </c>
      <c r="AG464" s="2">
        <v>0</v>
      </c>
      <c r="AH464" s="2">
        <v>0</v>
      </c>
      <c r="AI464" s="2">
        <v>0</v>
      </c>
      <c r="AJ464" s="2">
        <v>0</v>
      </c>
      <c r="AK464" s="2">
        <v>0</v>
      </c>
      <c r="AL464" s="2">
        <v>0</v>
      </c>
      <c r="AM464" s="2">
        <v>39.549999999999997</v>
      </c>
      <c r="AN464" s="2">
        <v>39.549999999999997</v>
      </c>
      <c r="AO464" s="2">
        <v>0</v>
      </c>
      <c r="AP464" s="2">
        <v>0</v>
      </c>
      <c r="AQ464" s="2">
        <v>0</v>
      </c>
    </row>
    <row r="465" spans="1:43" x14ac:dyDescent="0.25">
      <c r="A465" s="1">
        <v>45936</v>
      </c>
      <c r="B465" t="s">
        <v>48</v>
      </c>
      <c r="C465">
        <v>649163</v>
      </c>
      <c r="D465">
        <v>2026978805</v>
      </c>
      <c r="E465" t="s">
        <v>894</v>
      </c>
      <c r="F465" t="s">
        <v>895</v>
      </c>
      <c r="G465" t="s">
        <v>51</v>
      </c>
      <c r="H465" t="s">
        <v>101</v>
      </c>
      <c r="I465" t="s">
        <v>292</v>
      </c>
      <c r="J465" t="s">
        <v>293</v>
      </c>
      <c r="K465">
        <v>824062</v>
      </c>
      <c r="L465" t="s">
        <v>273</v>
      </c>
      <c r="M465" t="s">
        <v>274</v>
      </c>
      <c r="N465" t="s">
        <v>57</v>
      </c>
      <c r="O465" s="1">
        <v>45695</v>
      </c>
      <c r="Q465" s="1">
        <v>45968</v>
      </c>
      <c r="R465" s="2">
        <v>15.75</v>
      </c>
      <c r="S465">
        <v>1</v>
      </c>
      <c r="T465" t="s">
        <v>58</v>
      </c>
      <c r="U465" t="s">
        <v>359</v>
      </c>
      <c r="V465" s="3">
        <v>0.7</v>
      </c>
      <c r="W465" s="2">
        <v>0</v>
      </c>
      <c r="X465">
        <v>0</v>
      </c>
      <c r="Y465" t="s">
        <v>60</v>
      </c>
      <c r="Z465" t="s">
        <v>360</v>
      </c>
      <c r="AA465">
        <v>0</v>
      </c>
      <c r="AB465" s="2">
        <v>0</v>
      </c>
      <c r="AC465" s="2">
        <v>0</v>
      </c>
      <c r="AD465" s="3">
        <v>0</v>
      </c>
      <c r="AE465" s="2">
        <v>0</v>
      </c>
      <c r="AF465" s="2">
        <v>0</v>
      </c>
      <c r="AG465" s="2">
        <v>0</v>
      </c>
      <c r="AH465" s="2">
        <v>0</v>
      </c>
      <c r="AI465" s="2">
        <v>0</v>
      </c>
      <c r="AJ465" s="2">
        <v>0</v>
      </c>
      <c r="AK465" s="2">
        <v>0</v>
      </c>
      <c r="AL465" s="2">
        <v>0</v>
      </c>
      <c r="AM465" s="2">
        <v>11.02</v>
      </c>
      <c r="AN465" s="2">
        <v>11.02</v>
      </c>
      <c r="AO465" s="2">
        <v>0</v>
      </c>
      <c r="AP465" s="2">
        <v>0</v>
      </c>
      <c r="AQ465" s="2">
        <v>0</v>
      </c>
    </row>
    <row r="466" spans="1:43" x14ac:dyDescent="0.25">
      <c r="A466" s="1">
        <v>45936</v>
      </c>
      <c r="B466" t="s">
        <v>48</v>
      </c>
      <c r="C466">
        <v>649163</v>
      </c>
      <c r="D466">
        <v>2027001808</v>
      </c>
      <c r="E466" t="s">
        <v>749</v>
      </c>
      <c r="F466" t="s">
        <v>585</v>
      </c>
      <c r="G466" t="s">
        <v>51</v>
      </c>
      <c r="H466" t="s">
        <v>203</v>
      </c>
      <c r="I466" t="s">
        <v>292</v>
      </c>
      <c r="J466" t="s">
        <v>293</v>
      </c>
      <c r="K466">
        <v>816021</v>
      </c>
      <c r="L466" t="s">
        <v>265</v>
      </c>
      <c r="M466" t="s">
        <v>266</v>
      </c>
      <c r="N466" t="s">
        <v>57</v>
      </c>
      <c r="O466" s="1">
        <v>45698</v>
      </c>
      <c r="Q466" s="1">
        <v>45971</v>
      </c>
      <c r="R466" s="2">
        <v>7.11</v>
      </c>
      <c r="S466">
        <v>1</v>
      </c>
      <c r="T466" t="s">
        <v>58</v>
      </c>
      <c r="U466" t="s">
        <v>359</v>
      </c>
      <c r="V466" s="3">
        <v>0.7</v>
      </c>
      <c r="W466" s="2">
        <v>0</v>
      </c>
      <c r="X466">
        <v>0</v>
      </c>
      <c r="Y466" t="s">
        <v>60</v>
      </c>
      <c r="Z466" t="s">
        <v>360</v>
      </c>
      <c r="AA466">
        <v>0</v>
      </c>
      <c r="AB466" s="2">
        <v>0</v>
      </c>
      <c r="AC466" s="2">
        <v>0</v>
      </c>
      <c r="AD466" s="3">
        <v>0</v>
      </c>
      <c r="AE466" s="2">
        <v>0</v>
      </c>
      <c r="AF466" s="2">
        <v>0</v>
      </c>
      <c r="AG466" s="2">
        <v>0</v>
      </c>
      <c r="AH466" s="2">
        <v>0</v>
      </c>
      <c r="AI466" s="2">
        <v>0</v>
      </c>
      <c r="AJ466" s="2">
        <v>0</v>
      </c>
      <c r="AK466" s="2">
        <v>0</v>
      </c>
      <c r="AL466" s="2">
        <v>0</v>
      </c>
      <c r="AM466" s="2">
        <v>4.9800000000000004</v>
      </c>
      <c r="AN466" s="2">
        <v>4.9800000000000004</v>
      </c>
      <c r="AO466" s="2">
        <v>0</v>
      </c>
      <c r="AP466" s="2">
        <v>0</v>
      </c>
      <c r="AQ466" s="2">
        <v>0</v>
      </c>
    </row>
    <row r="467" spans="1:43" x14ac:dyDescent="0.25">
      <c r="A467" s="1">
        <v>45936</v>
      </c>
      <c r="B467" t="s">
        <v>48</v>
      </c>
      <c r="C467">
        <v>649163</v>
      </c>
      <c r="D467">
        <v>2027003321</v>
      </c>
      <c r="E467" t="s">
        <v>750</v>
      </c>
      <c r="F467" t="s">
        <v>751</v>
      </c>
      <c r="G467" t="s">
        <v>51</v>
      </c>
      <c r="H467" t="s">
        <v>203</v>
      </c>
      <c r="I467" t="s">
        <v>292</v>
      </c>
      <c r="J467" t="s">
        <v>293</v>
      </c>
      <c r="K467">
        <v>816021</v>
      </c>
      <c r="L467" t="s">
        <v>265</v>
      </c>
      <c r="M467" t="s">
        <v>266</v>
      </c>
      <c r="N467" t="s">
        <v>57</v>
      </c>
      <c r="O467" s="1">
        <v>45696</v>
      </c>
      <c r="Q467" s="1">
        <v>45969</v>
      </c>
      <c r="R467" s="2">
        <v>29.2</v>
      </c>
      <c r="S467">
        <v>1</v>
      </c>
      <c r="T467" t="s">
        <v>58</v>
      </c>
      <c r="U467" t="s">
        <v>359</v>
      </c>
      <c r="V467" s="3">
        <v>0.7</v>
      </c>
      <c r="W467" s="2">
        <v>0</v>
      </c>
      <c r="X467">
        <v>0</v>
      </c>
      <c r="Y467" t="s">
        <v>60</v>
      </c>
      <c r="Z467" t="s">
        <v>360</v>
      </c>
      <c r="AA467">
        <v>0</v>
      </c>
      <c r="AB467" s="2">
        <v>0</v>
      </c>
      <c r="AC467" s="2">
        <v>0</v>
      </c>
      <c r="AD467" s="3">
        <v>0</v>
      </c>
      <c r="AE467" s="2">
        <v>0</v>
      </c>
      <c r="AF467" s="2">
        <v>0</v>
      </c>
      <c r="AG467" s="2">
        <v>0</v>
      </c>
      <c r="AH467" s="2">
        <v>0</v>
      </c>
      <c r="AI467" s="2">
        <v>0</v>
      </c>
      <c r="AJ467" s="2">
        <v>0</v>
      </c>
      <c r="AK467" s="2">
        <v>0</v>
      </c>
      <c r="AL467" s="2">
        <v>0</v>
      </c>
      <c r="AM467" s="2">
        <v>20.440000000000001</v>
      </c>
      <c r="AN467" s="2">
        <v>20.440000000000001</v>
      </c>
      <c r="AO467" s="2">
        <v>0</v>
      </c>
      <c r="AP467" s="2">
        <v>0</v>
      </c>
      <c r="AQ467" s="2">
        <v>0</v>
      </c>
    </row>
    <row r="468" spans="1:43" x14ac:dyDescent="0.25">
      <c r="A468" s="1">
        <v>45936</v>
      </c>
      <c r="B468" t="s">
        <v>48</v>
      </c>
      <c r="C468">
        <v>649163</v>
      </c>
      <c r="D468">
        <v>2027003322</v>
      </c>
      <c r="E468" t="s">
        <v>750</v>
      </c>
      <c r="F468" t="s">
        <v>751</v>
      </c>
      <c r="G468" t="s">
        <v>51</v>
      </c>
      <c r="H468" t="s">
        <v>203</v>
      </c>
      <c r="I468" t="s">
        <v>292</v>
      </c>
      <c r="J468" t="s">
        <v>536</v>
      </c>
      <c r="K468">
        <v>816021</v>
      </c>
      <c r="L468" t="s">
        <v>265</v>
      </c>
      <c r="M468" t="s">
        <v>266</v>
      </c>
      <c r="N468" t="s">
        <v>57</v>
      </c>
      <c r="O468" s="1">
        <v>45696</v>
      </c>
      <c r="Q468" s="1">
        <v>45969</v>
      </c>
      <c r="R468" s="2">
        <v>20.95</v>
      </c>
      <c r="S468">
        <v>1</v>
      </c>
      <c r="T468" t="s">
        <v>58</v>
      </c>
      <c r="U468" t="s">
        <v>359</v>
      </c>
      <c r="V468" s="3">
        <v>0.7</v>
      </c>
      <c r="W468" s="2">
        <v>0</v>
      </c>
      <c r="X468">
        <v>0</v>
      </c>
      <c r="Y468" t="s">
        <v>60</v>
      </c>
      <c r="Z468" t="s">
        <v>360</v>
      </c>
      <c r="AA468">
        <v>0</v>
      </c>
      <c r="AB468" s="2">
        <v>0</v>
      </c>
      <c r="AC468" s="2">
        <v>0</v>
      </c>
      <c r="AD468" s="3">
        <v>0</v>
      </c>
      <c r="AE468" s="2">
        <v>0</v>
      </c>
      <c r="AF468" s="2">
        <v>0</v>
      </c>
      <c r="AG468" s="2">
        <v>0</v>
      </c>
      <c r="AH468" s="2">
        <v>0</v>
      </c>
      <c r="AI468" s="2">
        <v>0</v>
      </c>
      <c r="AJ468" s="2">
        <v>0</v>
      </c>
      <c r="AK468" s="2">
        <v>0</v>
      </c>
      <c r="AL468" s="2">
        <v>0</v>
      </c>
      <c r="AM468" s="2">
        <v>14.66</v>
      </c>
      <c r="AN468" s="2">
        <v>14.66</v>
      </c>
      <c r="AO468" s="2">
        <v>0</v>
      </c>
      <c r="AP468" s="2">
        <v>0</v>
      </c>
      <c r="AQ468" s="2">
        <v>0</v>
      </c>
    </row>
    <row r="469" spans="1:43" x14ac:dyDescent="0.25">
      <c r="A469" s="1">
        <v>45936</v>
      </c>
      <c r="B469" t="s">
        <v>48</v>
      </c>
      <c r="C469">
        <v>649163</v>
      </c>
      <c r="D469">
        <v>2027003552</v>
      </c>
      <c r="E469" t="s">
        <v>400</v>
      </c>
      <c r="F469" t="s">
        <v>401</v>
      </c>
      <c r="G469" t="s">
        <v>51</v>
      </c>
      <c r="H469" t="s">
        <v>203</v>
      </c>
      <c r="I469" t="s">
        <v>292</v>
      </c>
      <c r="J469" t="s">
        <v>293</v>
      </c>
      <c r="K469">
        <v>816021</v>
      </c>
      <c r="L469" t="s">
        <v>265</v>
      </c>
      <c r="M469" t="s">
        <v>266</v>
      </c>
      <c r="N469" t="s">
        <v>57</v>
      </c>
      <c r="O469" s="1">
        <v>45698</v>
      </c>
      <c r="Q469" s="1">
        <v>45971</v>
      </c>
      <c r="R469" s="2">
        <v>27.38</v>
      </c>
      <c r="S469">
        <v>1</v>
      </c>
      <c r="T469" t="s">
        <v>58</v>
      </c>
      <c r="U469" t="s">
        <v>359</v>
      </c>
      <c r="V469" s="3">
        <v>0.7</v>
      </c>
      <c r="W469" s="2">
        <v>0</v>
      </c>
      <c r="X469">
        <v>0</v>
      </c>
      <c r="Y469" t="s">
        <v>60</v>
      </c>
      <c r="Z469" t="s">
        <v>360</v>
      </c>
      <c r="AA469">
        <v>0</v>
      </c>
      <c r="AB469" s="2">
        <v>0</v>
      </c>
      <c r="AC469" s="2">
        <v>0</v>
      </c>
      <c r="AD469" s="3">
        <v>0</v>
      </c>
      <c r="AE469" s="2">
        <v>0</v>
      </c>
      <c r="AF469" s="2">
        <v>0</v>
      </c>
      <c r="AG469" s="2">
        <v>0</v>
      </c>
      <c r="AH469" s="2">
        <v>0</v>
      </c>
      <c r="AI469" s="2">
        <v>0</v>
      </c>
      <c r="AJ469" s="2">
        <v>0</v>
      </c>
      <c r="AK469" s="2">
        <v>0</v>
      </c>
      <c r="AL469" s="2">
        <v>0</v>
      </c>
      <c r="AM469" s="2">
        <v>19.170000000000002</v>
      </c>
      <c r="AN469" s="2">
        <v>19.170000000000002</v>
      </c>
      <c r="AO469" s="2">
        <v>0</v>
      </c>
      <c r="AP469" s="2">
        <v>0</v>
      </c>
      <c r="AQ469" s="2">
        <v>0</v>
      </c>
    </row>
    <row r="470" spans="1:43" x14ac:dyDescent="0.25">
      <c r="A470" s="1">
        <v>45936</v>
      </c>
      <c r="B470" t="s">
        <v>48</v>
      </c>
      <c r="C470">
        <v>649163</v>
      </c>
      <c r="D470">
        <v>2027010991</v>
      </c>
      <c r="E470" t="s">
        <v>402</v>
      </c>
      <c r="F470" t="s">
        <v>403</v>
      </c>
      <c r="G470" t="s">
        <v>51</v>
      </c>
      <c r="H470" t="s">
        <v>203</v>
      </c>
      <c r="I470" t="s">
        <v>292</v>
      </c>
      <c r="J470" t="s">
        <v>293</v>
      </c>
      <c r="K470">
        <v>816021</v>
      </c>
      <c r="L470" t="s">
        <v>265</v>
      </c>
      <c r="M470" t="s">
        <v>266</v>
      </c>
      <c r="N470" t="s">
        <v>57</v>
      </c>
      <c r="O470" s="1">
        <v>45697</v>
      </c>
      <c r="Q470" s="1">
        <v>45970</v>
      </c>
      <c r="R470" s="2">
        <v>9.6999999999999993</v>
      </c>
      <c r="S470">
        <v>1</v>
      </c>
      <c r="T470" t="s">
        <v>58</v>
      </c>
      <c r="U470" t="s">
        <v>359</v>
      </c>
      <c r="V470" s="3">
        <v>0.7</v>
      </c>
      <c r="W470" s="2">
        <v>0</v>
      </c>
      <c r="X470">
        <v>0</v>
      </c>
      <c r="Y470" t="s">
        <v>60</v>
      </c>
      <c r="Z470" t="s">
        <v>360</v>
      </c>
      <c r="AA470">
        <v>0</v>
      </c>
      <c r="AB470" s="2">
        <v>0</v>
      </c>
      <c r="AC470" s="2">
        <v>0</v>
      </c>
      <c r="AD470" s="3">
        <v>0</v>
      </c>
      <c r="AE470" s="2">
        <v>0</v>
      </c>
      <c r="AF470" s="2">
        <v>0</v>
      </c>
      <c r="AG470" s="2">
        <v>0</v>
      </c>
      <c r="AH470" s="2">
        <v>0</v>
      </c>
      <c r="AI470" s="2">
        <v>0</v>
      </c>
      <c r="AJ470" s="2">
        <v>0</v>
      </c>
      <c r="AK470" s="2">
        <v>0</v>
      </c>
      <c r="AL470" s="2">
        <v>0</v>
      </c>
      <c r="AM470" s="2">
        <v>6.79</v>
      </c>
      <c r="AN470" s="2">
        <v>6.79</v>
      </c>
      <c r="AO470" s="2">
        <v>0</v>
      </c>
      <c r="AP470" s="2">
        <v>0</v>
      </c>
      <c r="AQ470" s="2">
        <v>0</v>
      </c>
    </row>
    <row r="471" spans="1:43" x14ac:dyDescent="0.25">
      <c r="A471" s="1">
        <v>45936</v>
      </c>
      <c r="B471" t="s">
        <v>48</v>
      </c>
      <c r="C471">
        <v>649163</v>
      </c>
      <c r="D471">
        <v>2027010993</v>
      </c>
      <c r="E471" t="s">
        <v>402</v>
      </c>
      <c r="F471" t="s">
        <v>403</v>
      </c>
      <c r="G471" t="s">
        <v>51</v>
      </c>
      <c r="H471" t="s">
        <v>203</v>
      </c>
      <c r="I471" t="s">
        <v>292</v>
      </c>
      <c r="J471" t="s">
        <v>536</v>
      </c>
      <c r="K471">
        <v>816021</v>
      </c>
      <c r="L471" t="s">
        <v>265</v>
      </c>
      <c r="M471" t="s">
        <v>266</v>
      </c>
      <c r="N471" t="s">
        <v>57</v>
      </c>
      <c r="O471" s="1">
        <v>45697</v>
      </c>
      <c r="Q471" s="1">
        <v>45970</v>
      </c>
      <c r="R471" s="2">
        <v>6.3</v>
      </c>
      <c r="S471">
        <v>1</v>
      </c>
      <c r="T471" t="s">
        <v>58</v>
      </c>
      <c r="U471" t="s">
        <v>359</v>
      </c>
      <c r="V471" s="3">
        <v>0.7</v>
      </c>
      <c r="W471" s="2">
        <v>0</v>
      </c>
      <c r="X471">
        <v>0</v>
      </c>
      <c r="Y471" t="s">
        <v>60</v>
      </c>
      <c r="Z471" t="s">
        <v>360</v>
      </c>
      <c r="AA471">
        <v>0</v>
      </c>
      <c r="AB471" s="2">
        <v>0</v>
      </c>
      <c r="AC471" s="2">
        <v>0</v>
      </c>
      <c r="AD471" s="3">
        <v>0</v>
      </c>
      <c r="AE471" s="2">
        <v>0</v>
      </c>
      <c r="AF471" s="2">
        <v>0</v>
      </c>
      <c r="AG471" s="2">
        <v>0</v>
      </c>
      <c r="AH471" s="2">
        <v>0</v>
      </c>
      <c r="AI471" s="2">
        <v>0</v>
      </c>
      <c r="AJ471" s="2">
        <v>0</v>
      </c>
      <c r="AK471" s="2">
        <v>0</v>
      </c>
      <c r="AL471" s="2">
        <v>0</v>
      </c>
      <c r="AM471" s="2">
        <v>4.41</v>
      </c>
      <c r="AN471" s="2">
        <v>4.41</v>
      </c>
      <c r="AO471" s="2">
        <v>0</v>
      </c>
      <c r="AP471" s="2">
        <v>0</v>
      </c>
      <c r="AQ471" s="2">
        <v>0</v>
      </c>
    </row>
    <row r="472" spans="1:43" x14ac:dyDescent="0.25">
      <c r="A472" s="1">
        <v>45936</v>
      </c>
      <c r="B472" t="s">
        <v>48</v>
      </c>
      <c r="C472">
        <v>649163</v>
      </c>
      <c r="D472">
        <v>2029738920</v>
      </c>
      <c r="E472" t="s">
        <v>422</v>
      </c>
      <c r="F472" t="s">
        <v>423</v>
      </c>
      <c r="G472" t="s">
        <v>51</v>
      </c>
      <c r="H472" t="s">
        <v>79</v>
      </c>
      <c r="I472" t="s">
        <v>89</v>
      </c>
      <c r="J472" t="s">
        <v>102</v>
      </c>
      <c r="K472">
        <v>673059</v>
      </c>
      <c r="L472" t="s">
        <v>80</v>
      </c>
      <c r="M472" t="s">
        <v>81</v>
      </c>
      <c r="N472" t="s">
        <v>57</v>
      </c>
      <c r="O472" s="1">
        <v>45846</v>
      </c>
      <c r="Q472" s="1">
        <v>45969</v>
      </c>
      <c r="R472" s="2">
        <v>53.6</v>
      </c>
      <c r="S472">
        <v>1</v>
      </c>
      <c r="T472" t="s">
        <v>58</v>
      </c>
      <c r="U472" t="s">
        <v>359</v>
      </c>
      <c r="V472" s="3">
        <v>0.75</v>
      </c>
      <c r="W472" s="2">
        <v>0</v>
      </c>
      <c r="X472">
        <v>0</v>
      </c>
      <c r="Y472" t="s">
        <v>60</v>
      </c>
      <c r="Z472" t="s">
        <v>360</v>
      </c>
      <c r="AA472">
        <v>0</v>
      </c>
      <c r="AB472" s="2">
        <v>0</v>
      </c>
      <c r="AC472" s="2">
        <v>0</v>
      </c>
      <c r="AD472" s="3">
        <v>0</v>
      </c>
      <c r="AE472" s="2">
        <v>0</v>
      </c>
      <c r="AF472" s="2">
        <v>0</v>
      </c>
      <c r="AG472" s="2">
        <v>0</v>
      </c>
      <c r="AH472" s="2">
        <v>0</v>
      </c>
      <c r="AI472" s="2">
        <v>0</v>
      </c>
      <c r="AJ472" s="2">
        <v>0</v>
      </c>
      <c r="AK472" s="2">
        <v>0</v>
      </c>
      <c r="AL472" s="2">
        <v>40.200000000000003</v>
      </c>
      <c r="AM472" s="2">
        <v>0</v>
      </c>
      <c r="AN472" s="2">
        <v>0</v>
      </c>
      <c r="AO472" s="2">
        <v>0</v>
      </c>
      <c r="AP472" s="2">
        <v>0</v>
      </c>
      <c r="AQ472" s="2">
        <v>0</v>
      </c>
    </row>
    <row r="473" spans="1:43" x14ac:dyDescent="0.25">
      <c r="A473" s="1">
        <v>45936</v>
      </c>
      <c r="B473" t="s">
        <v>48</v>
      </c>
      <c r="C473">
        <v>649163</v>
      </c>
      <c r="D473">
        <v>2029838336</v>
      </c>
      <c r="E473" t="s">
        <v>434</v>
      </c>
      <c r="F473" t="s">
        <v>435</v>
      </c>
      <c r="G473" t="s">
        <v>51</v>
      </c>
      <c r="H473" t="s">
        <v>101</v>
      </c>
      <c r="I473" t="s">
        <v>89</v>
      </c>
      <c r="J473" t="s">
        <v>102</v>
      </c>
      <c r="K473">
        <v>840313</v>
      </c>
      <c r="L473" t="s">
        <v>436</v>
      </c>
      <c r="M473" t="s">
        <v>437</v>
      </c>
      <c r="N473" t="s">
        <v>57</v>
      </c>
      <c r="O473" s="1">
        <v>45846</v>
      </c>
      <c r="Q473" s="1">
        <v>45969</v>
      </c>
      <c r="R473" s="2">
        <v>20.6</v>
      </c>
      <c r="S473">
        <v>1</v>
      </c>
      <c r="T473" t="s">
        <v>58</v>
      </c>
      <c r="U473" t="s">
        <v>359</v>
      </c>
      <c r="V473" s="3">
        <v>0.75</v>
      </c>
      <c r="W473" s="2">
        <v>0</v>
      </c>
      <c r="X473">
        <v>0</v>
      </c>
      <c r="Y473" t="s">
        <v>60</v>
      </c>
      <c r="Z473" t="s">
        <v>360</v>
      </c>
      <c r="AA473">
        <v>0</v>
      </c>
      <c r="AB473" s="2">
        <v>0</v>
      </c>
      <c r="AC473" s="2">
        <v>0</v>
      </c>
      <c r="AD473" s="3">
        <v>0</v>
      </c>
      <c r="AE473" s="2">
        <v>0</v>
      </c>
      <c r="AF473" s="2">
        <v>0</v>
      </c>
      <c r="AG473" s="2">
        <v>0</v>
      </c>
      <c r="AH473" s="2">
        <v>0</v>
      </c>
      <c r="AI473" s="2">
        <v>0</v>
      </c>
      <c r="AJ473" s="2">
        <v>0</v>
      </c>
      <c r="AK473" s="2">
        <v>0</v>
      </c>
      <c r="AL473" s="2">
        <v>15.45</v>
      </c>
      <c r="AM473" s="2">
        <v>0</v>
      </c>
      <c r="AN473" s="2">
        <v>0</v>
      </c>
      <c r="AO473" s="2">
        <v>0</v>
      </c>
      <c r="AP473" s="2">
        <v>0</v>
      </c>
      <c r="AQ473" s="2">
        <v>0</v>
      </c>
    </row>
    <row r="474" spans="1:43" x14ac:dyDescent="0.25">
      <c r="A474" s="1">
        <v>45936</v>
      </c>
      <c r="B474" t="s">
        <v>48</v>
      </c>
      <c r="C474">
        <v>649163</v>
      </c>
      <c r="D474">
        <v>2029842749</v>
      </c>
      <c r="E474" t="s">
        <v>896</v>
      </c>
      <c r="F474" t="s">
        <v>897</v>
      </c>
      <c r="G474" t="s">
        <v>51</v>
      </c>
      <c r="H474" t="s">
        <v>119</v>
      </c>
      <c r="I474" t="s">
        <v>89</v>
      </c>
      <c r="J474" t="s">
        <v>111</v>
      </c>
      <c r="K474">
        <v>651818</v>
      </c>
      <c r="L474" t="s">
        <v>112</v>
      </c>
      <c r="M474" t="s">
        <v>104</v>
      </c>
      <c r="N474" t="s">
        <v>57</v>
      </c>
      <c r="O474" s="1">
        <v>45876</v>
      </c>
      <c r="Q474" s="1">
        <v>45968</v>
      </c>
      <c r="R474" s="2">
        <v>191.89</v>
      </c>
      <c r="S474">
        <v>1</v>
      </c>
      <c r="T474" t="s">
        <v>58</v>
      </c>
      <c r="U474" t="s">
        <v>359</v>
      </c>
      <c r="V474" s="3">
        <v>0.75</v>
      </c>
      <c r="W474" s="2">
        <v>0</v>
      </c>
      <c r="X474">
        <v>0</v>
      </c>
      <c r="Y474" t="s">
        <v>60</v>
      </c>
      <c r="Z474" t="s">
        <v>360</v>
      </c>
      <c r="AA474">
        <v>0</v>
      </c>
      <c r="AB474" s="2">
        <v>0</v>
      </c>
      <c r="AC474" s="2">
        <v>0</v>
      </c>
      <c r="AD474" s="3">
        <v>0</v>
      </c>
      <c r="AE474" s="2">
        <v>0</v>
      </c>
      <c r="AF474" s="2">
        <v>0</v>
      </c>
      <c r="AG474" s="2">
        <v>0</v>
      </c>
      <c r="AH474" s="2">
        <v>0</v>
      </c>
      <c r="AI474" s="2">
        <v>0</v>
      </c>
      <c r="AJ474" s="2">
        <v>0</v>
      </c>
      <c r="AK474" s="2">
        <v>0</v>
      </c>
      <c r="AL474" s="2">
        <v>143.91999999999999</v>
      </c>
      <c r="AM474" s="2">
        <v>0</v>
      </c>
      <c r="AN474" s="2">
        <v>0</v>
      </c>
      <c r="AO474" s="2">
        <v>0</v>
      </c>
      <c r="AP474" s="2">
        <v>0</v>
      </c>
      <c r="AQ474" s="2">
        <v>0</v>
      </c>
    </row>
    <row r="475" spans="1:43" x14ac:dyDescent="0.25">
      <c r="A475" s="1">
        <v>45936</v>
      </c>
      <c r="B475" t="s">
        <v>48</v>
      </c>
      <c r="C475">
        <v>649163</v>
      </c>
      <c r="D475">
        <v>2029866851</v>
      </c>
      <c r="E475" t="s">
        <v>898</v>
      </c>
      <c r="F475" t="s">
        <v>899</v>
      </c>
      <c r="G475" t="s">
        <v>51</v>
      </c>
      <c r="H475" t="s">
        <v>79</v>
      </c>
      <c r="I475" t="s">
        <v>89</v>
      </c>
      <c r="J475" t="s">
        <v>102</v>
      </c>
      <c r="K475">
        <v>673059</v>
      </c>
      <c r="L475" t="s">
        <v>80</v>
      </c>
      <c r="M475" t="s">
        <v>81</v>
      </c>
      <c r="N475" t="s">
        <v>57</v>
      </c>
      <c r="O475" s="1">
        <v>45848</v>
      </c>
      <c r="Q475" s="1">
        <v>45971</v>
      </c>
      <c r="R475" s="2">
        <v>160.22999999999999</v>
      </c>
      <c r="S475">
        <v>1</v>
      </c>
      <c r="T475" t="s">
        <v>58</v>
      </c>
      <c r="U475" t="s">
        <v>359</v>
      </c>
      <c r="V475" s="3">
        <v>0.75</v>
      </c>
      <c r="W475" s="2">
        <v>0</v>
      </c>
      <c r="X475">
        <v>0</v>
      </c>
      <c r="Y475" t="s">
        <v>60</v>
      </c>
      <c r="Z475" t="s">
        <v>360</v>
      </c>
      <c r="AA475">
        <v>0</v>
      </c>
      <c r="AB475" s="2">
        <v>0</v>
      </c>
      <c r="AC475" s="2">
        <v>0</v>
      </c>
      <c r="AD475" s="3">
        <v>0</v>
      </c>
      <c r="AE475" s="2">
        <v>0</v>
      </c>
      <c r="AF475" s="2">
        <v>0</v>
      </c>
      <c r="AG475" s="2">
        <v>0</v>
      </c>
      <c r="AH475" s="2">
        <v>0</v>
      </c>
      <c r="AI475" s="2">
        <v>0</v>
      </c>
      <c r="AJ475" s="2">
        <v>0</v>
      </c>
      <c r="AK475" s="2">
        <v>0</v>
      </c>
      <c r="AL475" s="2">
        <v>120.17</v>
      </c>
      <c r="AM475" s="2">
        <v>0</v>
      </c>
      <c r="AN475" s="2">
        <v>0</v>
      </c>
      <c r="AO475" s="2">
        <v>0</v>
      </c>
      <c r="AP475" s="2">
        <v>0</v>
      </c>
      <c r="AQ475" s="2">
        <v>0</v>
      </c>
    </row>
    <row r="476" spans="1:43" x14ac:dyDescent="0.25">
      <c r="A476" s="1">
        <v>45936</v>
      </c>
      <c r="B476" t="s">
        <v>48</v>
      </c>
      <c r="C476">
        <v>649163</v>
      </c>
      <c r="D476">
        <v>2029887594</v>
      </c>
      <c r="E476" t="s">
        <v>510</v>
      </c>
      <c r="F476" t="s">
        <v>900</v>
      </c>
      <c r="G476" t="s">
        <v>51</v>
      </c>
      <c r="H476" t="s">
        <v>52</v>
      </c>
      <c r="I476" t="s">
        <v>89</v>
      </c>
      <c r="J476" t="s">
        <v>96</v>
      </c>
      <c r="K476">
        <v>753748</v>
      </c>
      <c r="L476" t="s">
        <v>97</v>
      </c>
      <c r="M476" t="s">
        <v>98</v>
      </c>
      <c r="N476" t="s">
        <v>57</v>
      </c>
      <c r="O476" s="1">
        <v>45870</v>
      </c>
      <c r="Q476" s="1">
        <v>45962</v>
      </c>
      <c r="R476" s="2">
        <v>-305.58</v>
      </c>
      <c r="S476">
        <v>1</v>
      </c>
      <c r="T476" t="s">
        <v>58</v>
      </c>
      <c r="U476" t="s">
        <v>359</v>
      </c>
      <c r="V476" s="3">
        <v>0.9</v>
      </c>
      <c r="W476" s="2">
        <v>0</v>
      </c>
      <c r="X476">
        <v>-1</v>
      </c>
      <c r="Y476" t="s">
        <v>60</v>
      </c>
      <c r="Z476" t="s">
        <v>360</v>
      </c>
      <c r="AA476">
        <v>0</v>
      </c>
      <c r="AB476" s="2">
        <v>0</v>
      </c>
      <c r="AC476" s="2">
        <v>0</v>
      </c>
      <c r="AD476" s="3">
        <v>0</v>
      </c>
      <c r="AE476" s="2">
        <v>0</v>
      </c>
      <c r="AF476" s="2">
        <v>0</v>
      </c>
      <c r="AG476" s="2">
        <v>0</v>
      </c>
      <c r="AH476" s="2">
        <v>0</v>
      </c>
      <c r="AI476" s="2">
        <v>0</v>
      </c>
      <c r="AJ476" s="2">
        <v>0</v>
      </c>
      <c r="AK476" s="2">
        <v>0</v>
      </c>
      <c r="AL476" s="2">
        <v>0</v>
      </c>
      <c r="AM476" s="2">
        <v>-275.02</v>
      </c>
      <c r="AN476" s="2">
        <v>-275.02</v>
      </c>
      <c r="AO476" s="2">
        <v>0</v>
      </c>
      <c r="AP476" s="2">
        <v>0</v>
      </c>
      <c r="AQ476" s="2">
        <v>0</v>
      </c>
    </row>
    <row r="477" spans="1:43" x14ac:dyDescent="0.25">
      <c r="A477" s="1">
        <v>45936</v>
      </c>
      <c r="B477" t="s">
        <v>48</v>
      </c>
      <c r="C477">
        <v>649163</v>
      </c>
      <c r="D477">
        <v>2029919053</v>
      </c>
      <c r="E477" t="s">
        <v>901</v>
      </c>
      <c r="F477" t="s">
        <v>902</v>
      </c>
      <c r="G477" t="s">
        <v>51</v>
      </c>
      <c r="H477" t="s">
        <v>310</v>
      </c>
      <c r="I477" t="s">
        <v>89</v>
      </c>
      <c r="J477" t="s">
        <v>111</v>
      </c>
      <c r="K477">
        <v>651818</v>
      </c>
      <c r="L477" t="s">
        <v>112</v>
      </c>
      <c r="M477" t="s">
        <v>104</v>
      </c>
      <c r="N477" t="s">
        <v>57</v>
      </c>
      <c r="O477" s="1">
        <v>45876</v>
      </c>
      <c r="Q477" s="1">
        <v>45968</v>
      </c>
      <c r="R477" s="2">
        <v>219.55</v>
      </c>
      <c r="S477">
        <v>1</v>
      </c>
      <c r="T477" t="s">
        <v>58</v>
      </c>
      <c r="U477" t="s">
        <v>359</v>
      </c>
      <c r="V477" s="3">
        <v>0.75</v>
      </c>
      <c r="W477" s="2">
        <v>0</v>
      </c>
      <c r="X477">
        <v>0</v>
      </c>
      <c r="Y477" t="s">
        <v>60</v>
      </c>
      <c r="Z477" t="s">
        <v>360</v>
      </c>
      <c r="AA477">
        <v>0</v>
      </c>
      <c r="AB477" s="2">
        <v>0</v>
      </c>
      <c r="AC477" s="2">
        <v>0</v>
      </c>
      <c r="AD477" s="3">
        <v>0</v>
      </c>
      <c r="AE477" s="2">
        <v>0</v>
      </c>
      <c r="AF477" s="2">
        <v>0</v>
      </c>
      <c r="AG477" s="2">
        <v>0</v>
      </c>
      <c r="AH477" s="2">
        <v>0</v>
      </c>
      <c r="AI477" s="2">
        <v>0</v>
      </c>
      <c r="AJ477" s="2">
        <v>0</v>
      </c>
      <c r="AK477" s="2">
        <v>0</v>
      </c>
      <c r="AL477" s="2">
        <v>164.66</v>
      </c>
      <c r="AM477" s="2">
        <v>0</v>
      </c>
      <c r="AN477" s="2">
        <v>0</v>
      </c>
      <c r="AO477" s="2">
        <v>0</v>
      </c>
      <c r="AP477" s="2">
        <v>0</v>
      </c>
      <c r="AQ477" s="2">
        <v>0</v>
      </c>
    </row>
    <row r="478" spans="1:43" x14ac:dyDescent="0.25">
      <c r="A478" s="1">
        <v>45936</v>
      </c>
      <c r="B478" t="s">
        <v>48</v>
      </c>
      <c r="C478">
        <v>649163</v>
      </c>
      <c r="D478">
        <v>2029959146</v>
      </c>
      <c r="E478" t="s">
        <v>903</v>
      </c>
      <c r="F478" t="s">
        <v>904</v>
      </c>
      <c r="G478" t="s">
        <v>51</v>
      </c>
      <c r="H478" t="s">
        <v>110</v>
      </c>
      <c r="I478" t="s">
        <v>89</v>
      </c>
      <c r="J478" t="s">
        <v>111</v>
      </c>
      <c r="K478">
        <v>651818</v>
      </c>
      <c r="L478" t="s">
        <v>112</v>
      </c>
      <c r="M478" t="s">
        <v>104</v>
      </c>
      <c r="N478" t="s">
        <v>57</v>
      </c>
      <c r="O478" s="1">
        <v>45876</v>
      </c>
      <c r="Q478" s="1">
        <v>45968</v>
      </c>
      <c r="R478" s="2">
        <v>187</v>
      </c>
      <c r="S478">
        <v>1</v>
      </c>
      <c r="T478" t="s">
        <v>58</v>
      </c>
      <c r="U478" t="s">
        <v>359</v>
      </c>
      <c r="V478" s="3">
        <v>0.75</v>
      </c>
      <c r="W478" s="2">
        <v>0</v>
      </c>
      <c r="X478">
        <v>0</v>
      </c>
      <c r="Y478" t="s">
        <v>60</v>
      </c>
      <c r="Z478" t="s">
        <v>360</v>
      </c>
      <c r="AA478">
        <v>0</v>
      </c>
      <c r="AB478" s="2">
        <v>0</v>
      </c>
      <c r="AC478" s="2">
        <v>0</v>
      </c>
      <c r="AD478" s="3">
        <v>0</v>
      </c>
      <c r="AE478" s="2">
        <v>0</v>
      </c>
      <c r="AF478" s="2">
        <v>0</v>
      </c>
      <c r="AG478" s="2">
        <v>0</v>
      </c>
      <c r="AH478" s="2">
        <v>0</v>
      </c>
      <c r="AI478" s="2">
        <v>0</v>
      </c>
      <c r="AJ478" s="2">
        <v>0</v>
      </c>
      <c r="AK478" s="2">
        <v>0</v>
      </c>
      <c r="AL478" s="2">
        <v>140.25</v>
      </c>
      <c r="AM478" s="2">
        <v>0</v>
      </c>
      <c r="AN478" s="2">
        <v>0</v>
      </c>
      <c r="AO478" s="2">
        <v>0</v>
      </c>
      <c r="AP478" s="2">
        <v>0</v>
      </c>
      <c r="AQ478" s="2">
        <v>0</v>
      </c>
    </row>
    <row r="479" spans="1:43" x14ac:dyDescent="0.25">
      <c r="A479" s="1">
        <v>45936</v>
      </c>
      <c r="B479" t="s">
        <v>48</v>
      </c>
      <c r="C479">
        <v>649163</v>
      </c>
      <c r="D479">
        <v>2029963806</v>
      </c>
      <c r="E479" t="s">
        <v>94</v>
      </c>
      <c r="F479" t="s">
        <v>905</v>
      </c>
      <c r="G479" t="s">
        <v>51</v>
      </c>
      <c r="H479" t="s">
        <v>159</v>
      </c>
      <c r="I479" t="s">
        <v>89</v>
      </c>
      <c r="J479" t="s">
        <v>96</v>
      </c>
      <c r="K479">
        <v>651818</v>
      </c>
      <c r="L479" t="s">
        <v>112</v>
      </c>
      <c r="M479" t="s">
        <v>104</v>
      </c>
      <c r="N479" t="s">
        <v>57</v>
      </c>
      <c r="O479" s="1">
        <v>45876</v>
      </c>
      <c r="Q479" s="1">
        <v>45968</v>
      </c>
      <c r="R479" s="2">
        <v>92.65</v>
      </c>
      <c r="S479">
        <v>1</v>
      </c>
      <c r="T479" t="s">
        <v>58</v>
      </c>
      <c r="U479" t="s">
        <v>359</v>
      </c>
      <c r="V479" s="3">
        <v>0.9</v>
      </c>
      <c r="W479" s="2">
        <v>0</v>
      </c>
      <c r="X479">
        <v>0</v>
      </c>
      <c r="Y479" t="s">
        <v>60</v>
      </c>
      <c r="Z479" t="s">
        <v>360</v>
      </c>
      <c r="AA479">
        <v>0</v>
      </c>
      <c r="AB479" s="2">
        <v>0</v>
      </c>
      <c r="AC479" s="2">
        <v>0</v>
      </c>
      <c r="AD479" s="3">
        <v>0</v>
      </c>
      <c r="AE479" s="2">
        <v>0</v>
      </c>
      <c r="AF479" s="2">
        <v>0</v>
      </c>
      <c r="AG479" s="2">
        <v>0</v>
      </c>
      <c r="AH479" s="2">
        <v>0</v>
      </c>
      <c r="AI479" s="2">
        <v>0</v>
      </c>
      <c r="AJ479" s="2">
        <v>0</v>
      </c>
      <c r="AK479" s="2">
        <v>0</v>
      </c>
      <c r="AL479" s="2">
        <v>83.38</v>
      </c>
      <c r="AM479" s="2">
        <v>0</v>
      </c>
      <c r="AN479" s="2">
        <v>0</v>
      </c>
      <c r="AO479" s="2">
        <v>0</v>
      </c>
      <c r="AP479" s="2">
        <v>0</v>
      </c>
      <c r="AQ479" s="2">
        <v>0</v>
      </c>
    </row>
    <row r="480" spans="1:43" x14ac:dyDescent="0.25">
      <c r="A480" s="1">
        <v>45936</v>
      </c>
      <c r="B480" t="s">
        <v>48</v>
      </c>
      <c r="C480">
        <v>649163</v>
      </c>
      <c r="D480">
        <v>2030013622</v>
      </c>
      <c r="E480" t="s">
        <v>906</v>
      </c>
      <c r="F480" t="s">
        <v>907</v>
      </c>
      <c r="G480" t="s">
        <v>51</v>
      </c>
      <c r="H480" t="s">
        <v>110</v>
      </c>
      <c r="I480" t="s">
        <v>89</v>
      </c>
      <c r="J480" t="s">
        <v>111</v>
      </c>
      <c r="K480">
        <v>651818</v>
      </c>
      <c r="L480" t="s">
        <v>112</v>
      </c>
      <c r="M480" t="s">
        <v>104</v>
      </c>
      <c r="N480" t="s">
        <v>57</v>
      </c>
      <c r="O480" s="1">
        <v>45876</v>
      </c>
      <c r="Q480" s="1">
        <v>45968</v>
      </c>
      <c r="R480" s="2">
        <v>59.5</v>
      </c>
      <c r="S480">
        <v>1</v>
      </c>
      <c r="T480" t="s">
        <v>58</v>
      </c>
      <c r="U480" t="s">
        <v>359</v>
      </c>
      <c r="V480" s="3">
        <v>0.75</v>
      </c>
      <c r="W480" s="2">
        <v>0</v>
      </c>
      <c r="X480">
        <v>0</v>
      </c>
      <c r="Y480" t="s">
        <v>60</v>
      </c>
      <c r="Z480" t="s">
        <v>360</v>
      </c>
      <c r="AA480">
        <v>0</v>
      </c>
      <c r="AB480" s="2">
        <v>0</v>
      </c>
      <c r="AC480" s="2">
        <v>0</v>
      </c>
      <c r="AD480" s="3">
        <v>0</v>
      </c>
      <c r="AE480" s="2">
        <v>0</v>
      </c>
      <c r="AF480" s="2">
        <v>0</v>
      </c>
      <c r="AG480" s="2">
        <v>0</v>
      </c>
      <c r="AH480" s="2">
        <v>0</v>
      </c>
      <c r="AI480" s="2">
        <v>0</v>
      </c>
      <c r="AJ480" s="2">
        <v>0</v>
      </c>
      <c r="AK480" s="2">
        <v>0</v>
      </c>
      <c r="AL480" s="2">
        <v>44.62</v>
      </c>
      <c r="AM480" s="2">
        <v>0</v>
      </c>
      <c r="AN480" s="2">
        <v>0</v>
      </c>
      <c r="AO480" s="2">
        <v>0</v>
      </c>
      <c r="AP480" s="2">
        <v>0</v>
      </c>
      <c r="AQ480" s="2">
        <v>0</v>
      </c>
    </row>
    <row r="481" spans="1:43" x14ac:dyDescent="0.25">
      <c r="A481" s="1">
        <v>45936</v>
      </c>
      <c r="B481" t="s">
        <v>48</v>
      </c>
      <c r="C481">
        <v>649163</v>
      </c>
      <c r="D481">
        <v>2030047485</v>
      </c>
      <c r="E481" t="s">
        <v>713</v>
      </c>
      <c r="F481" t="s">
        <v>240</v>
      </c>
      <c r="G481" t="s">
        <v>51</v>
      </c>
      <c r="H481" t="s">
        <v>110</v>
      </c>
      <c r="I481" t="s">
        <v>89</v>
      </c>
      <c r="J481" t="s">
        <v>111</v>
      </c>
      <c r="K481">
        <v>651818</v>
      </c>
      <c r="L481" t="s">
        <v>112</v>
      </c>
      <c r="M481" t="s">
        <v>104</v>
      </c>
      <c r="N481" t="s">
        <v>57</v>
      </c>
      <c r="O481" s="1">
        <v>45876</v>
      </c>
      <c r="Q481" s="1">
        <v>45968</v>
      </c>
      <c r="R481" s="2">
        <v>152.19999999999999</v>
      </c>
      <c r="S481">
        <v>1</v>
      </c>
      <c r="T481" t="s">
        <v>58</v>
      </c>
      <c r="U481" t="s">
        <v>359</v>
      </c>
      <c r="V481" s="3">
        <v>0.75</v>
      </c>
      <c r="W481" s="2">
        <v>0</v>
      </c>
      <c r="X481">
        <v>0</v>
      </c>
      <c r="Y481" t="s">
        <v>60</v>
      </c>
      <c r="Z481" t="s">
        <v>360</v>
      </c>
      <c r="AA481">
        <v>0</v>
      </c>
      <c r="AB481" s="2">
        <v>0</v>
      </c>
      <c r="AC481" s="2">
        <v>0</v>
      </c>
      <c r="AD481" s="3">
        <v>0</v>
      </c>
      <c r="AE481" s="2">
        <v>0</v>
      </c>
      <c r="AF481" s="2">
        <v>0</v>
      </c>
      <c r="AG481" s="2">
        <v>0</v>
      </c>
      <c r="AH481" s="2">
        <v>0</v>
      </c>
      <c r="AI481" s="2">
        <v>0</v>
      </c>
      <c r="AJ481" s="2">
        <v>0</v>
      </c>
      <c r="AK481" s="2">
        <v>0</v>
      </c>
      <c r="AL481" s="2">
        <v>114.15</v>
      </c>
      <c r="AM481" s="2">
        <v>0</v>
      </c>
      <c r="AN481" s="2">
        <v>0</v>
      </c>
      <c r="AO481" s="2">
        <v>0</v>
      </c>
      <c r="AP481" s="2">
        <v>0</v>
      </c>
      <c r="AQ481" s="2">
        <v>0</v>
      </c>
    </row>
    <row r="482" spans="1:43" x14ac:dyDescent="0.25">
      <c r="A482" s="1">
        <v>45936</v>
      </c>
      <c r="B482" t="s">
        <v>48</v>
      </c>
      <c r="C482">
        <v>649163</v>
      </c>
      <c r="D482">
        <v>2030047734</v>
      </c>
      <c r="E482" t="s">
        <v>908</v>
      </c>
      <c r="F482" t="s">
        <v>909</v>
      </c>
      <c r="G482" t="s">
        <v>51</v>
      </c>
      <c r="H482" t="s">
        <v>390</v>
      </c>
      <c r="I482" t="s">
        <v>89</v>
      </c>
      <c r="J482" t="s">
        <v>96</v>
      </c>
      <c r="K482">
        <v>651818</v>
      </c>
      <c r="L482" t="s">
        <v>112</v>
      </c>
      <c r="M482" t="s">
        <v>104</v>
      </c>
      <c r="N482" t="s">
        <v>57</v>
      </c>
      <c r="O482" s="1">
        <v>45876</v>
      </c>
      <c r="Q482" s="1">
        <v>45968</v>
      </c>
      <c r="R482" s="2">
        <v>70.959999999999994</v>
      </c>
      <c r="S482">
        <v>1</v>
      </c>
      <c r="T482" t="s">
        <v>58</v>
      </c>
      <c r="U482" t="s">
        <v>359</v>
      </c>
      <c r="V482" s="3">
        <v>0.9</v>
      </c>
      <c r="W482" s="2">
        <v>0</v>
      </c>
      <c r="X482">
        <v>0</v>
      </c>
      <c r="Y482" t="s">
        <v>60</v>
      </c>
      <c r="Z482" t="s">
        <v>360</v>
      </c>
      <c r="AA482">
        <v>0</v>
      </c>
      <c r="AB482" s="2">
        <v>0</v>
      </c>
      <c r="AC482" s="2">
        <v>0</v>
      </c>
      <c r="AD482" s="3">
        <v>0</v>
      </c>
      <c r="AE482" s="2">
        <v>0</v>
      </c>
      <c r="AF482" s="2">
        <v>0</v>
      </c>
      <c r="AG482" s="2">
        <v>0</v>
      </c>
      <c r="AH482" s="2">
        <v>0</v>
      </c>
      <c r="AI482" s="2">
        <v>0</v>
      </c>
      <c r="AJ482" s="2">
        <v>0</v>
      </c>
      <c r="AK482" s="2">
        <v>0</v>
      </c>
      <c r="AL482" s="2">
        <v>63.86</v>
      </c>
      <c r="AM482" s="2">
        <v>0</v>
      </c>
      <c r="AN482" s="2">
        <v>0</v>
      </c>
      <c r="AO482" s="2">
        <v>0</v>
      </c>
      <c r="AP482" s="2">
        <v>0</v>
      </c>
      <c r="AQ482" s="2">
        <v>0</v>
      </c>
    </row>
    <row r="483" spans="1:43" x14ac:dyDescent="0.25">
      <c r="A483" s="1">
        <v>45936</v>
      </c>
      <c r="B483" t="s">
        <v>48</v>
      </c>
      <c r="C483">
        <v>649163</v>
      </c>
      <c r="D483">
        <v>2030090690</v>
      </c>
      <c r="E483" t="s">
        <v>476</v>
      </c>
      <c r="F483" t="s">
        <v>910</v>
      </c>
      <c r="G483" t="s">
        <v>51</v>
      </c>
      <c r="H483" t="s">
        <v>115</v>
      </c>
      <c r="I483" t="s">
        <v>89</v>
      </c>
      <c r="J483" t="s">
        <v>111</v>
      </c>
      <c r="K483">
        <v>651818</v>
      </c>
      <c r="L483" t="s">
        <v>112</v>
      </c>
      <c r="M483" t="s">
        <v>104</v>
      </c>
      <c r="N483" t="s">
        <v>57</v>
      </c>
      <c r="O483" s="1">
        <v>45876</v>
      </c>
      <c r="Q483" s="1">
        <v>45968</v>
      </c>
      <c r="R483" s="2">
        <v>52.6</v>
      </c>
      <c r="S483">
        <v>1</v>
      </c>
      <c r="T483" t="s">
        <v>58</v>
      </c>
      <c r="U483" t="s">
        <v>359</v>
      </c>
      <c r="V483" s="3">
        <v>0.75</v>
      </c>
      <c r="W483" s="2">
        <v>0</v>
      </c>
      <c r="X483">
        <v>0</v>
      </c>
      <c r="Y483" t="s">
        <v>60</v>
      </c>
      <c r="Z483" t="s">
        <v>360</v>
      </c>
      <c r="AA483">
        <v>0</v>
      </c>
      <c r="AB483" s="2">
        <v>0</v>
      </c>
      <c r="AC483" s="2">
        <v>0</v>
      </c>
      <c r="AD483" s="3">
        <v>0</v>
      </c>
      <c r="AE483" s="2">
        <v>0</v>
      </c>
      <c r="AF483" s="2">
        <v>0</v>
      </c>
      <c r="AG483" s="2">
        <v>0</v>
      </c>
      <c r="AH483" s="2">
        <v>0</v>
      </c>
      <c r="AI483" s="2">
        <v>0</v>
      </c>
      <c r="AJ483" s="2">
        <v>0</v>
      </c>
      <c r="AK483" s="2">
        <v>0</v>
      </c>
      <c r="AL483" s="2">
        <v>39.450000000000003</v>
      </c>
      <c r="AM483" s="2">
        <v>0</v>
      </c>
      <c r="AN483" s="2">
        <v>0</v>
      </c>
      <c r="AO483" s="2">
        <v>0</v>
      </c>
      <c r="AP483" s="2">
        <v>0</v>
      </c>
      <c r="AQ483" s="2">
        <v>0</v>
      </c>
    </row>
    <row r="484" spans="1:43" x14ac:dyDescent="0.25">
      <c r="A484" s="1">
        <v>45936</v>
      </c>
      <c r="B484" t="s">
        <v>48</v>
      </c>
      <c r="C484">
        <v>649163</v>
      </c>
      <c r="D484">
        <v>2030189268</v>
      </c>
      <c r="E484" t="s">
        <v>911</v>
      </c>
      <c r="F484" t="s">
        <v>912</v>
      </c>
      <c r="G484" t="s">
        <v>51</v>
      </c>
      <c r="H484" t="s">
        <v>323</v>
      </c>
      <c r="I484" t="s">
        <v>89</v>
      </c>
      <c r="J484" t="s">
        <v>90</v>
      </c>
      <c r="K484">
        <v>651818</v>
      </c>
      <c r="L484" t="s">
        <v>112</v>
      </c>
      <c r="M484" t="s">
        <v>104</v>
      </c>
      <c r="N484" t="s">
        <v>57</v>
      </c>
      <c r="O484" s="1">
        <v>45876</v>
      </c>
      <c r="Q484" s="1">
        <v>45968</v>
      </c>
      <c r="R484" s="2">
        <v>24.4</v>
      </c>
      <c r="S484">
        <v>1</v>
      </c>
      <c r="T484" t="s">
        <v>58</v>
      </c>
      <c r="U484" t="s">
        <v>359</v>
      </c>
      <c r="V484" s="3">
        <v>0.65</v>
      </c>
      <c r="W484" s="2">
        <v>0</v>
      </c>
      <c r="X484">
        <v>0</v>
      </c>
      <c r="Y484" t="s">
        <v>60</v>
      </c>
      <c r="Z484" t="s">
        <v>360</v>
      </c>
      <c r="AA484">
        <v>0</v>
      </c>
      <c r="AB484" s="2">
        <v>0</v>
      </c>
      <c r="AC484" s="2">
        <v>0</v>
      </c>
      <c r="AD484" s="3">
        <v>0</v>
      </c>
      <c r="AE484" s="2">
        <v>0</v>
      </c>
      <c r="AF484" s="2">
        <v>0</v>
      </c>
      <c r="AG484" s="2">
        <v>0</v>
      </c>
      <c r="AH484" s="2">
        <v>0</v>
      </c>
      <c r="AI484" s="2">
        <v>0</v>
      </c>
      <c r="AJ484" s="2">
        <v>0</v>
      </c>
      <c r="AK484" s="2">
        <v>0</v>
      </c>
      <c r="AL484" s="2">
        <v>15.86</v>
      </c>
      <c r="AM484" s="2">
        <v>0</v>
      </c>
      <c r="AN484" s="2">
        <v>0</v>
      </c>
      <c r="AO484" s="2">
        <v>0</v>
      </c>
      <c r="AP484" s="2">
        <v>0</v>
      </c>
      <c r="AQ484" s="2">
        <v>0</v>
      </c>
    </row>
    <row r="485" spans="1:43" x14ac:dyDescent="0.25">
      <c r="A485" s="1">
        <v>45936</v>
      </c>
      <c r="B485" t="s">
        <v>48</v>
      </c>
      <c r="C485">
        <v>649163</v>
      </c>
      <c r="D485">
        <v>2030192141</v>
      </c>
      <c r="E485" t="s">
        <v>913</v>
      </c>
      <c r="F485" t="s">
        <v>914</v>
      </c>
      <c r="G485" t="s">
        <v>51</v>
      </c>
      <c r="H485" t="s">
        <v>119</v>
      </c>
      <c r="I485" t="s">
        <v>89</v>
      </c>
      <c r="J485" t="s">
        <v>102</v>
      </c>
      <c r="K485">
        <v>651818</v>
      </c>
      <c r="L485" t="s">
        <v>112</v>
      </c>
      <c r="M485" t="s">
        <v>104</v>
      </c>
      <c r="N485" t="s">
        <v>57</v>
      </c>
      <c r="O485" s="1">
        <v>45876</v>
      </c>
      <c r="Q485" s="1">
        <v>45968</v>
      </c>
      <c r="R485" s="2">
        <v>76.45</v>
      </c>
      <c r="S485">
        <v>1</v>
      </c>
      <c r="T485" t="s">
        <v>58</v>
      </c>
      <c r="U485" t="s">
        <v>359</v>
      </c>
      <c r="V485" s="3">
        <v>0.75</v>
      </c>
      <c r="W485" s="2">
        <v>0</v>
      </c>
      <c r="X485">
        <v>0</v>
      </c>
      <c r="Y485" t="s">
        <v>60</v>
      </c>
      <c r="Z485" t="s">
        <v>360</v>
      </c>
      <c r="AA485">
        <v>0</v>
      </c>
      <c r="AB485" s="2">
        <v>0</v>
      </c>
      <c r="AC485" s="2">
        <v>0</v>
      </c>
      <c r="AD485" s="3">
        <v>0</v>
      </c>
      <c r="AE485" s="2">
        <v>0</v>
      </c>
      <c r="AF485" s="2">
        <v>0</v>
      </c>
      <c r="AG485" s="2">
        <v>0</v>
      </c>
      <c r="AH485" s="2">
        <v>0</v>
      </c>
      <c r="AI485" s="2">
        <v>0</v>
      </c>
      <c r="AJ485" s="2">
        <v>0</v>
      </c>
      <c r="AK485" s="2">
        <v>0</v>
      </c>
      <c r="AL485" s="2">
        <v>57.34</v>
      </c>
      <c r="AM485" s="2">
        <v>0</v>
      </c>
      <c r="AN485" s="2">
        <v>0</v>
      </c>
      <c r="AO485" s="2">
        <v>0</v>
      </c>
      <c r="AP485" s="2">
        <v>0</v>
      </c>
      <c r="AQ485" s="2">
        <v>0</v>
      </c>
    </row>
    <row r="486" spans="1:43" x14ac:dyDescent="0.25">
      <c r="A486" s="1">
        <v>45936</v>
      </c>
      <c r="B486" t="s">
        <v>48</v>
      </c>
      <c r="C486">
        <v>649163</v>
      </c>
      <c r="D486">
        <v>2030228486</v>
      </c>
      <c r="E486" t="s">
        <v>524</v>
      </c>
      <c r="F486" t="s">
        <v>915</v>
      </c>
      <c r="G486" t="s">
        <v>51</v>
      </c>
      <c r="H486" t="s">
        <v>52</v>
      </c>
      <c r="I486" t="s">
        <v>89</v>
      </c>
      <c r="J486" t="s">
        <v>102</v>
      </c>
      <c r="K486">
        <v>673059</v>
      </c>
      <c r="L486" t="s">
        <v>80</v>
      </c>
      <c r="M486" t="s">
        <v>81</v>
      </c>
      <c r="N486" t="s">
        <v>57</v>
      </c>
      <c r="O486" s="1">
        <v>45875</v>
      </c>
      <c r="Q486" s="1">
        <v>45967</v>
      </c>
      <c r="R486" s="2">
        <v>81.099999999999994</v>
      </c>
      <c r="S486">
        <v>1</v>
      </c>
      <c r="T486" t="s">
        <v>58</v>
      </c>
      <c r="U486" t="s">
        <v>359</v>
      </c>
      <c r="V486" s="3">
        <v>0.75</v>
      </c>
      <c r="W486" s="2">
        <v>0</v>
      </c>
      <c r="X486">
        <v>0</v>
      </c>
      <c r="Y486" t="s">
        <v>60</v>
      </c>
      <c r="Z486" t="s">
        <v>360</v>
      </c>
      <c r="AA486">
        <v>0</v>
      </c>
      <c r="AB486" s="2">
        <v>0</v>
      </c>
      <c r="AC486" s="2">
        <v>0</v>
      </c>
      <c r="AD486" s="3">
        <v>0</v>
      </c>
      <c r="AE486" s="2">
        <v>0</v>
      </c>
      <c r="AF486" s="2">
        <v>0</v>
      </c>
      <c r="AG486" s="2">
        <v>0</v>
      </c>
      <c r="AH486" s="2">
        <v>0</v>
      </c>
      <c r="AI486" s="2">
        <v>0</v>
      </c>
      <c r="AJ486" s="2">
        <v>0</v>
      </c>
      <c r="AK486" s="2">
        <v>0</v>
      </c>
      <c r="AL486" s="2">
        <v>60.82</v>
      </c>
      <c r="AM486" s="2">
        <v>0</v>
      </c>
      <c r="AN486" s="2">
        <v>0</v>
      </c>
      <c r="AO486" s="2">
        <v>0</v>
      </c>
      <c r="AP486" s="2">
        <v>0</v>
      </c>
      <c r="AQ486" s="2">
        <v>0</v>
      </c>
    </row>
    <row r="487" spans="1:43" x14ac:dyDescent="0.25">
      <c r="A487" s="1">
        <v>45936</v>
      </c>
      <c r="B487" t="s">
        <v>48</v>
      </c>
      <c r="C487">
        <v>649163</v>
      </c>
      <c r="D487">
        <v>2030277547</v>
      </c>
      <c r="E487" t="s">
        <v>439</v>
      </c>
      <c r="F487" t="s">
        <v>440</v>
      </c>
      <c r="G487" t="s">
        <v>51</v>
      </c>
      <c r="H487" t="s">
        <v>247</v>
      </c>
      <c r="I487" t="s">
        <v>89</v>
      </c>
      <c r="J487" t="s">
        <v>102</v>
      </c>
      <c r="K487">
        <v>673059</v>
      </c>
      <c r="L487" t="s">
        <v>80</v>
      </c>
      <c r="M487" t="s">
        <v>81</v>
      </c>
      <c r="N487" t="s">
        <v>57</v>
      </c>
      <c r="O487" s="1">
        <v>45878</v>
      </c>
      <c r="Q487" s="1">
        <v>45970</v>
      </c>
      <c r="R487" s="2">
        <v>37.18</v>
      </c>
      <c r="S487">
        <v>1</v>
      </c>
      <c r="T487" t="s">
        <v>58</v>
      </c>
      <c r="U487" t="s">
        <v>359</v>
      </c>
      <c r="V487" s="3">
        <v>0.75</v>
      </c>
      <c r="W487" s="2">
        <v>0</v>
      </c>
      <c r="X487">
        <v>0</v>
      </c>
      <c r="Y487" t="s">
        <v>60</v>
      </c>
      <c r="Z487" t="s">
        <v>360</v>
      </c>
      <c r="AA487">
        <v>0</v>
      </c>
      <c r="AB487" s="2">
        <v>0</v>
      </c>
      <c r="AC487" s="2">
        <v>0</v>
      </c>
      <c r="AD487" s="3">
        <v>0</v>
      </c>
      <c r="AE487" s="2">
        <v>0</v>
      </c>
      <c r="AF487" s="2">
        <v>0</v>
      </c>
      <c r="AG487" s="2">
        <v>0</v>
      </c>
      <c r="AH487" s="2">
        <v>0</v>
      </c>
      <c r="AI487" s="2">
        <v>0</v>
      </c>
      <c r="AJ487" s="2">
        <v>0</v>
      </c>
      <c r="AK487" s="2">
        <v>0</v>
      </c>
      <c r="AL487" s="2">
        <v>27.88</v>
      </c>
      <c r="AM487" s="2">
        <v>0</v>
      </c>
      <c r="AN487" s="2">
        <v>0</v>
      </c>
      <c r="AO487" s="2">
        <v>0</v>
      </c>
      <c r="AP487" s="2">
        <v>0</v>
      </c>
      <c r="AQ487" s="2">
        <v>0</v>
      </c>
    </row>
    <row r="488" spans="1:43" x14ac:dyDescent="0.25">
      <c r="A488" s="1">
        <v>45936</v>
      </c>
      <c r="B488" t="s">
        <v>48</v>
      </c>
      <c r="C488">
        <v>649163</v>
      </c>
      <c r="D488">
        <v>2030317596</v>
      </c>
      <c r="E488" t="s">
        <v>916</v>
      </c>
      <c r="F488" t="s">
        <v>745</v>
      </c>
      <c r="G488" t="s">
        <v>51</v>
      </c>
      <c r="H488" t="s">
        <v>101</v>
      </c>
      <c r="I488" t="s">
        <v>89</v>
      </c>
      <c r="J488" t="s">
        <v>102</v>
      </c>
      <c r="K488">
        <v>651818</v>
      </c>
      <c r="L488" t="s">
        <v>112</v>
      </c>
      <c r="M488" t="s">
        <v>104</v>
      </c>
      <c r="N488" t="s">
        <v>57</v>
      </c>
      <c r="O488" s="1">
        <v>45906</v>
      </c>
      <c r="Q488" s="1">
        <v>45967</v>
      </c>
      <c r="R488" s="2">
        <v>69.3</v>
      </c>
      <c r="S488">
        <v>1</v>
      </c>
      <c r="T488" t="s">
        <v>58</v>
      </c>
      <c r="U488" t="s">
        <v>359</v>
      </c>
      <c r="V488" s="3">
        <v>0.75</v>
      </c>
      <c r="W488" s="2">
        <v>0</v>
      </c>
      <c r="X488">
        <v>0</v>
      </c>
      <c r="Y488" t="s">
        <v>60</v>
      </c>
      <c r="Z488" t="s">
        <v>360</v>
      </c>
      <c r="AA488">
        <v>0</v>
      </c>
      <c r="AB488" s="2">
        <v>0</v>
      </c>
      <c r="AC488" s="2">
        <v>0</v>
      </c>
      <c r="AD488" s="3">
        <v>0</v>
      </c>
      <c r="AE488" s="2">
        <v>0</v>
      </c>
      <c r="AF488" s="2">
        <v>0</v>
      </c>
      <c r="AG488" s="2">
        <v>0</v>
      </c>
      <c r="AH488" s="2">
        <v>0</v>
      </c>
      <c r="AI488" s="2">
        <v>0</v>
      </c>
      <c r="AJ488" s="2">
        <v>0</v>
      </c>
      <c r="AK488" s="2">
        <v>0</v>
      </c>
      <c r="AL488" s="2">
        <v>51.98</v>
      </c>
      <c r="AM488" s="2">
        <v>0</v>
      </c>
      <c r="AN488" s="2">
        <v>0</v>
      </c>
      <c r="AO488" s="2">
        <v>0</v>
      </c>
      <c r="AP488" s="2">
        <v>0</v>
      </c>
      <c r="AQ488" s="2">
        <v>0</v>
      </c>
    </row>
    <row r="489" spans="1:43" x14ac:dyDescent="0.25">
      <c r="A489" s="1">
        <v>45936</v>
      </c>
      <c r="B489" t="s">
        <v>48</v>
      </c>
      <c r="C489">
        <v>649163</v>
      </c>
      <c r="D489">
        <v>2030329365</v>
      </c>
      <c r="E489" t="s">
        <v>648</v>
      </c>
      <c r="F489" t="s">
        <v>917</v>
      </c>
      <c r="G489" t="s">
        <v>51</v>
      </c>
      <c r="H489" t="s">
        <v>105</v>
      </c>
      <c r="I489" t="s">
        <v>89</v>
      </c>
      <c r="J489" t="s">
        <v>96</v>
      </c>
      <c r="K489">
        <v>823068</v>
      </c>
      <c r="L489" t="s">
        <v>106</v>
      </c>
      <c r="M489" t="s">
        <v>107</v>
      </c>
      <c r="N489" t="s">
        <v>57</v>
      </c>
      <c r="O489" s="1">
        <v>45878</v>
      </c>
      <c r="Q489" s="1">
        <v>45970</v>
      </c>
      <c r="R489" s="2">
        <v>84.56</v>
      </c>
      <c r="S489">
        <v>1</v>
      </c>
      <c r="T489" t="s">
        <v>58</v>
      </c>
      <c r="U489" t="s">
        <v>359</v>
      </c>
      <c r="V489" s="3">
        <v>0.9</v>
      </c>
      <c r="W489" s="2">
        <v>0</v>
      </c>
      <c r="X489">
        <v>0</v>
      </c>
      <c r="Y489" t="s">
        <v>60</v>
      </c>
      <c r="Z489" t="s">
        <v>360</v>
      </c>
      <c r="AA489">
        <v>0</v>
      </c>
      <c r="AB489" s="2">
        <v>0</v>
      </c>
      <c r="AC489" s="2">
        <v>0</v>
      </c>
      <c r="AD489" s="3">
        <v>0</v>
      </c>
      <c r="AE489" s="2">
        <v>0</v>
      </c>
      <c r="AF489" s="2">
        <v>0</v>
      </c>
      <c r="AG489" s="2">
        <v>0</v>
      </c>
      <c r="AH489" s="2">
        <v>0</v>
      </c>
      <c r="AI489" s="2">
        <v>0</v>
      </c>
      <c r="AJ489" s="2">
        <v>0</v>
      </c>
      <c r="AK489" s="2">
        <v>0</v>
      </c>
      <c r="AL489" s="2">
        <v>76.099999999999994</v>
      </c>
      <c r="AM489" s="2">
        <v>0</v>
      </c>
      <c r="AN489" s="2">
        <v>0</v>
      </c>
      <c r="AO489" s="2">
        <v>0</v>
      </c>
      <c r="AP489" s="2">
        <v>0</v>
      </c>
      <c r="AQ489" s="2">
        <v>0</v>
      </c>
    </row>
    <row r="490" spans="1:43" x14ac:dyDescent="0.25">
      <c r="A490" s="1">
        <v>45936</v>
      </c>
      <c r="B490" t="s">
        <v>48</v>
      </c>
      <c r="C490">
        <v>649163</v>
      </c>
      <c r="D490">
        <v>2030336751</v>
      </c>
      <c r="E490" t="s">
        <v>918</v>
      </c>
      <c r="F490" t="s">
        <v>919</v>
      </c>
      <c r="G490" t="s">
        <v>51</v>
      </c>
      <c r="H490" t="s">
        <v>129</v>
      </c>
      <c r="I490" t="s">
        <v>89</v>
      </c>
      <c r="J490" t="s">
        <v>96</v>
      </c>
      <c r="K490">
        <v>651818</v>
      </c>
      <c r="L490" t="s">
        <v>112</v>
      </c>
      <c r="M490" t="s">
        <v>104</v>
      </c>
      <c r="N490" t="s">
        <v>57</v>
      </c>
      <c r="O490" s="1">
        <v>45906</v>
      </c>
      <c r="Q490" s="1">
        <v>45967</v>
      </c>
      <c r="R490" s="2">
        <v>216.41</v>
      </c>
      <c r="S490">
        <v>1</v>
      </c>
      <c r="T490" t="s">
        <v>58</v>
      </c>
      <c r="U490" t="s">
        <v>359</v>
      </c>
      <c r="V490" s="3">
        <v>0.9</v>
      </c>
      <c r="W490" s="2">
        <v>0</v>
      </c>
      <c r="X490">
        <v>0</v>
      </c>
      <c r="Y490" t="s">
        <v>60</v>
      </c>
      <c r="Z490" t="s">
        <v>360</v>
      </c>
      <c r="AA490">
        <v>0</v>
      </c>
      <c r="AB490" s="2">
        <v>0</v>
      </c>
      <c r="AC490" s="2">
        <v>0</v>
      </c>
      <c r="AD490" s="3">
        <v>0</v>
      </c>
      <c r="AE490" s="2">
        <v>0</v>
      </c>
      <c r="AF490" s="2">
        <v>0</v>
      </c>
      <c r="AG490" s="2">
        <v>0</v>
      </c>
      <c r="AH490" s="2">
        <v>0</v>
      </c>
      <c r="AI490" s="2">
        <v>0</v>
      </c>
      <c r="AJ490" s="2">
        <v>0</v>
      </c>
      <c r="AK490" s="2">
        <v>0</v>
      </c>
      <c r="AL490" s="2">
        <v>194.77</v>
      </c>
      <c r="AM490" s="2">
        <v>0</v>
      </c>
      <c r="AN490" s="2">
        <v>0</v>
      </c>
      <c r="AO490" s="2">
        <v>0</v>
      </c>
      <c r="AP490" s="2">
        <v>0</v>
      </c>
      <c r="AQ490" s="2">
        <v>0</v>
      </c>
    </row>
    <row r="491" spans="1:43" x14ac:dyDescent="0.25">
      <c r="A491" s="1">
        <v>45936</v>
      </c>
      <c r="B491" t="s">
        <v>48</v>
      </c>
      <c r="C491">
        <v>649163</v>
      </c>
      <c r="D491">
        <v>2030340158</v>
      </c>
      <c r="E491" t="s">
        <v>920</v>
      </c>
      <c r="F491" t="s">
        <v>921</v>
      </c>
      <c r="G491" t="s">
        <v>51</v>
      </c>
      <c r="H491" t="s">
        <v>182</v>
      </c>
      <c r="I491" t="s">
        <v>89</v>
      </c>
      <c r="J491" t="s">
        <v>96</v>
      </c>
      <c r="K491">
        <v>673059</v>
      </c>
      <c r="L491" t="s">
        <v>80</v>
      </c>
      <c r="M491" t="s">
        <v>81</v>
      </c>
      <c r="N491" t="s">
        <v>57</v>
      </c>
      <c r="O491" s="1">
        <v>45901</v>
      </c>
      <c r="Q491" s="1">
        <v>45962</v>
      </c>
      <c r="R491" s="2">
        <v>96.5</v>
      </c>
      <c r="S491">
        <v>1</v>
      </c>
      <c r="T491" t="s">
        <v>58</v>
      </c>
      <c r="U491" t="s">
        <v>359</v>
      </c>
      <c r="V491" s="3">
        <v>0.9</v>
      </c>
      <c r="W491" s="2">
        <v>0</v>
      </c>
      <c r="X491">
        <v>0</v>
      </c>
      <c r="Y491" t="s">
        <v>60</v>
      </c>
      <c r="Z491" t="s">
        <v>360</v>
      </c>
      <c r="AA491">
        <v>0</v>
      </c>
      <c r="AB491" s="2">
        <v>0</v>
      </c>
      <c r="AC491" s="2">
        <v>0</v>
      </c>
      <c r="AD491" s="3">
        <v>0</v>
      </c>
      <c r="AE491" s="2">
        <v>0</v>
      </c>
      <c r="AF491" s="2">
        <v>0</v>
      </c>
      <c r="AG491" s="2">
        <v>0</v>
      </c>
      <c r="AH491" s="2">
        <v>0</v>
      </c>
      <c r="AI491" s="2">
        <v>0</v>
      </c>
      <c r="AJ491" s="2">
        <v>0</v>
      </c>
      <c r="AK491" s="2">
        <v>0</v>
      </c>
      <c r="AL491" s="2">
        <v>86.85</v>
      </c>
      <c r="AM491" s="2">
        <v>0</v>
      </c>
      <c r="AN491" s="2">
        <v>0</v>
      </c>
      <c r="AO491" s="2">
        <v>0</v>
      </c>
      <c r="AP491" s="2">
        <v>0</v>
      </c>
      <c r="AQ491" s="2">
        <v>0</v>
      </c>
    </row>
    <row r="492" spans="1:43" x14ac:dyDescent="0.25">
      <c r="A492" s="1">
        <v>45936</v>
      </c>
      <c r="B492" t="s">
        <v>48</v>
      </c>
      <c r="C492">
        <v>649163</v>
      </c>
      <c r="D492">
        <v>2030345987</v>
      </c>
      <c r="E492" t="s">
        <v>94</v>
      </c>
      <c r="F492" t="s">
        <v>922</v>
      </c>
      <c r="G492" t="s">
        <v>51</v>
      </c>
      <c r="H492" t="s">
        <v>105</v>
      </c>
      <c r="I492" t="s">
        <v>89</v>
      </c>
      <c r="J492" t="s">
        <v>96</v>
      </c>
      <c r="K492">
        <v>823068</v>
      </c>
      <c r="L492" t="s">
        <v>106</v>
      </c>
      <c r="M492" t="s">
        <v>107</v>
      </c>
      <c r="N492" t="s">
        <v>57</v>
      </c>
      <c r="O492" s="1">
        <v>45876</v>
      </c>
      <c r="Q492" s="1">
        <v>45968</v>
      </c>
      <c r="R492" s="2">
        <v>51.46</v>
      </c>
      <c r="S492">
        <v>1</v>
      </c>
      <c r="T492" t="s">
        <v>58</v>
      </c>
      <c r="U492" t="s">
        <v>359</v>
      </c>
      <c r="V492" s="3">
        <v>0.9</v>
      </c>
      <c r="W492" s="2">
        <v>0</v>
      </c>
      <c r="X492">
        <v>0</v>
      </c>
      <c r="Y492" t="s">
        <v>60</v>
      </c>
      <c r="Z492" t="s">
        <v>360</v>
      </c>
      <c r="AA492">
        <v>0</v>
      </c>
      <c r="AB492" s="2">
        <v>0</v>
      </c>
      <c r="AC492" s="2">
        <v>0</v>
      </c>
      <c r="AD492" s="3">
        <v>0</v>
      </c>
      <c r="AE492" s="2">
        <v>0</v>
      </c>
      <c r="AF492" s="2">
        <v>0</v>
      </c>
      <c r="AG492" s="2">
        <v>0</v>
      </c>
      <c r="AH492" s="2">
        <v>0</v>
      </c>
      <c r="AI492" s="2">
        <v>0</v>
      </c>
      <c r="AJ492" s="2">
        <v>0</v>
      </c>
      <c r="AK492" s="2">
        <v>0</v>
      </c>
      <c r="AL492" s="2">
        <v>46.31</v>
      </c>
      <c r="AM492" s="2">
        <v>0</v>
      </c>
      <c r="AN492" s="2">
        <v>0</v>
      </c>
      <c r="AO492" s="2">
        <v>0</v>
      </c>
      <c r="AP492" s="2">
        <v>0</v>
      </c>
      <c r="AQ492" s="2">
        <v>0</v>
      </c>
    </row>
    <row r="493" spans="1:43" x14ac:dyDescent="0.25">
      <c r="A493" s="1">
        <v>45936</v>
      </c>
      <c r="B493" t="s">
        <v>48</v>
      </c>
      <c r="C493">
        <v>649163</v>
      </c>
      <c r="D493">
        <v>2030366107</v>
      </c>
      <c r="E493" t="s">
        <v>377</v>
      </c>
      <c r="F493" t="s">
        <v>923</v>
      </c>
      <c r="G493" t="s">
        <v>51</v>
      </c>
      <c r="H493" t="s">
        <v>52</v>
      </c>
      <c r="I493" t="s">
        <v>89</v>
      </c>
      <c r="J493" t="s">
        <v>96</v>
      </c>
      <c r="K493">
        <v>651818</v>
      </c>
      <c r="L493" t="s">
        <v>112</v>
      </c>
      <c r="M493" t="s">
        <v>104</v>
      </c>
      <c r="N493" t="s">
        <v>57</v>
      </c>
      <c r="O493" s="1">
        <v>45878</v>
      </c>
      <c r="Q493" s="1">
        <v>45970</v>
      </c>
      <c r="R493" s="2">
        <v>59.42</v>
      </c>
      <c r="S493">
        <v>1</v>
      </c>
      <c r="T493" t="s">
        <v>58</v>
      </c>
      <c r="U493" t="s">
        <v>359</v>
      </c>
      <c r="V493" s="3">
        <v>0.9</v>
      </c>
      <c r="W493" s="2">
        <v>0</v>
      </c>
      <c r="X493">
        <v>0</v>
      </c>
      <c r="Y493" t="s">
        <v>60</v>
      </c>
      <c r="Z493" t="s">
        <v>360</v>
      </c>
      <c r="AA493">
        <v>0</v>
      </c>
      <c r="AB493" s="2">
        <v>0</v>
      </c>
      <c r="AC493" s="2">
        <v>0</v>
      </c>
      <c r="AD493" s="3">
        <v>0</v>
      </c>
      <c r="AE493" s="2">
        <v>0</v>
      </c>
      <c r="AF493" s="2">
        <v>0</v>
      </c>
      <c r="AG493" s="2">
        <v>0</v>
      </c>
      <c r="AH493" s="2">
        <v>0</v>
      </c>
      <c r="AI493" s="2">
        <v>0</v>
      </c>
      <c r="AJ493" s="2">
        <v>0</v>
      </c>
      <c r="AK493" s="2">
        <v>0</v>
      </c>
      <c r="AL493" s="2">
        <v>53.48</v>
      </c>
      <c r="AM493" s="2">
        <v>0</v>
      </c>
      <c r="AN493" s="2">
        <v>0</v>
      </c>
      <c r="AO493" s="2">
        <v>0</v>
      </c>
      <c r="AP493" s="2">
        <v>0</v>
      </c>
      <c r="AQ493" s="2">
        <v>0</v>
      </c>
    </row>
    <row r="494" spans="1:43" x14ac:dyDescent="0.25">
      <c r="A494" s="1">
        <v>45936</v>
      </c>
      <c r="B494" t="s">
        <v>48</v>
      </c>
      <c r="C494">
        <v>649163</v>
      </c>
      <c r="D494">
        <v>2030386535</v>
      </c>
      <c r="E494" t="s">
        <v>924</v>
      </c>
      <c r="F494" t="s">
        <v>925</v>
      </c>
      <c r="G494" t="s">
        <v>51</v>
      </c>
      <c r="H494" t="s">
        <v>105</v>
      </c>
      <c r="I494" t="s">
        <v>89</v>
      </c>
      <c r="J494" t="s">
        <v>96</v>
      </c>
      <c r="K494">
        <v>652037</v>
      </c>
      <c r="L494" t="s">
        <v>172</v>
      </c>
      <c r="M494" t="s">
        <v>173</v>
      </c>
      <c r="N494" t="s">
        <v>57</v>
      </c>
      <c r="O494" s="1">
        <v>45878</v>
      </c>
      <c r="Q494" s="1">
        <v>45970</v>
      </c>
      <c r="R494" s="2">
        <v>124.88</v>
      </c>
      <c r="S494">
        <v>1</v>
      </c>
      <c r="T494" t="s">
        <v>58</v>
      </c>
      <c r="U494" t="s">
        <v>359</v>
      </c>
      <c r="V494" s="3">
        <v>0.9</v>
      </c>
      <c r="W494" s="2">
        <v>0</v>
      </c>
      <c r="X494">
        <v>0</v>
      </c>
      <c r="Y494" t="s">
        <v>60</v>
      </c>
      <c r="Z494" t="s">
        <v>360</v>
      </c>
      <c r="AA494">
        <v>0</v>
      </c>
      <c r="AB494" s="2">
        <v>0</v>
      </c>
      <c r="AC494" s="2">
        <v>0</v>
      </c>
      <c r="AD494" s="3">
        <v>0</v>
      </c>
      <c r="AE494" s="2">
        <v>0</v>
      </c>
      <c r="AF494" s="2">
        <v>0</v>
      </c>
      <c r="AG494" s="2">
        <v>0</v>
      </c>
      <c r="AH494" s="2">
        <v>0</v>
      </c>
      <c r="AI494" s="2">
        <v>0</v>
      </c>
      <c r="AJ494" s="2">
        <v>0</v>
      </c>
      <c r="AK494" s="2">
        <v>0</v>
      </c>
      <c r="AL494" s="2">
        <v>112.39</v>
      </c>
      <c r="AM494" s="2">
        <v>0</v>
      </c>
      <c r="AN494" s="2">
        <v>0</v>
      </c>
      <c r="AO494" s="2">
        <v>0</v>
      </c>
      <c r="AP494" s="2">
        <v>0</v>
      </c>
      <c r="AQ494" s="2">
        <v>0</v>
      </c>
    </row>
    <row r="495" spans="1:43" x14ac:dyDescent="0.25">
      <c r="A495" s="1">
        <v>45936</v>
      </c>
      <c r="B495" t="s">
        <v>48</v>
      </c>
      <c r="C495">
        <v>649163</v>
      </c>
      <c r="D495">
        <v>2030406801</v>
      </c>
      <c r="E495" t="s">
        <v>926</v>
      </c>
      <c r="F495" t="s">
        <v>927</v>
      </c>
      <c r="G495" t="s">
        <v>51</v>
      </c>
      <c r="H495" t="s">
        <v>203</v>
      </c>
      <c r="I495" t="s">
        <v>89</v>
      </c>
      <c r="J495" t="s">
        <v>102</v>
      </c>
      <c r="K495">
        <v>796984</v>
      </c>
      <c r="L495" t="s">
        <v>204</v>
      </c>
      <c r="M495" t="s">
        <v>205</v>
      </c>
      <c r="N495" t="s">
        <v>57</v>
      </c>
      <c r="O495" s="1">
        <v>45878</v>
      </c>
      <c r="Q495" s="1">
        <v>45970</v>
      </c>
      <c r="R495" s="2">
        <v>27.28</v>
      </c>
      <c r="S495">
        <v>1</v>
      </c>
      <c r="T495" t="s">
        <v>58</v>
      </c>
      <c r="U495" t="s">
        <v>359</v>
      </c>
      <c r="V495" s="3">
        <v>0.75</v>
      </c>
      <c r="W495" s="2">
        <v>0</v>
      </c>
      <c r="X495">
        <v>0</v>
      </c>
      <c r="Y495" t="s">
        <v>60</v>
      </c>
      <c r="Z495" t="s">
        <v>360</v>
      </c>
      <c r="AA495">
        <v>0</v>
      </c>
      <c r="AB495" s="2">
        <v>0</v>
      </c>
      <c r="AC495" s="2">
        <v>0</v>
      </c>
      <c r="AD495" s="3">
        <v>0</v>
      </c>
      <c r="AE495" s="2">
        <v>0</v>
      </c>
      <c r="AF495" s="2">
        <v>0</v>
      </c>
      <c r="AG495" s="2">
        <v>0</v>
      </c>
      <c r="AH495" s="2">
        <v>0</v>
      </c>
      <c r="AI495" s="2">
        <v>0</v>
      </c>
      <c r="AJ495" s="2">
        <v>0</v>
      </c>
      <c r="AK495" s="2">
        <v>0</v>
      </c>
      <c r="AL495" s="2">
        <v>20.46</v>
      </c>
      <c r="AM495" s="2">
        <v>0</v>
      </c>
      <c r="AN495" s="2">
        <v>0</v>
      </c>
      <c r="AO495" s="2">
        <v>0</v>
      </c>
      <c r="AP495" s="2">
        <v>0</v>
      </c>
      <c r="AQ495" s="2">
        <v>0</v>
      </c>
    </row>
    <row r="496" spans="1:43" x14ac:dyDescent="0.25">
      <c r="A496" s="1">
        <v>45936</v>
      </c>
      <c r="B496" t="s">
        <v>48</v>
      </c>
      <c r="C496">
        <v>649163</v>
      </c>
      <c r="D496">
        <v>2030435037</v>
      </c>
      <c r="E496" t="s">
        <v>368</v>
      </c>
      <c r="F496" t="s">
        <v>928</v>
      </c>
      <c r="G496" t="s">
        <v>51</v>
      </c>
      <c r="H496" t="s">
        <v>159</v>
      </c>
      <c r="I496" t="s">
        <v>89</v>
      </c>
      <c r="J496" t="s">
        <v>96</v>
      </c>
      <c r="K496">
        <v>651818</v>
      </c>
      <c r="L496" t="s">
        <v>112</v>
      </c>
      <c r="M496" t="s">
        <v>104</v>
      </c>
      <c r="N496" t="s">
        <v>57</v>
      </c>
      <c r="O496" s="1">
        <v>45907</v>
      </c>
      <c r="Q496" s="1">
        <v>45968</v>
      </c>
      <c r="R496" s="2">
        <v>87.13</v>
      </c>
      <c r="S496">
        <v>1</v>
      </c>
      <c r="T496" t="s">
        <v>58</v>
      </c>
      <c r="U496" t="s">
        <v>359</v>
      </c>
      <c r="V496" s="3">
        <v>0.9</v>
      </c>
      <c r="W496" s="2">
        <v>0</v>
      </c>
      <c r="X496">
        <v>0</v>
      </c>
      <c r="Y496" t="s">
        <v>60</v>
      </c>
      <c r="Z496" t="s">
        <v>360</v>
      </c>
      <c r="AA496">
        <v>0</v>
      </c>
      <c r="AB496" s="2">
        <v>0</v>
      </c>
      <c r="AC496" s="2">
        <v>0</v>
      </c>
      <c r="AD496" s="3">
        <v>0</v>
      </c>
      <c r="AE496" s="2">
        <v>0</v>
      </c>
      <c r="AF496" s="2">
        <v>0</v>
      </c>
      <c r="AG496" s="2">
        <v>0</v>
      </c>
      <c r="AH496" s="2">
        <v>0</v>
      </c>
      <c r="AI496" s="2">
        <v>0</v>
      </c>
      <c r="AJ496" s="2">
        <v>0</v>
      </c>
      <c r="AK496" s="2">
        <v>0</v>
      </c>
      <c r="AL496" s="2">
        <v>78.42</v>
      </c>
      <c r="AM496" s="2">
        <v>0</v>
      </c>
      <c r="AN496" s="2">
        <v>0</v>
      </c>
      <c r="AO496" s="2">
        <v>0</v>
      </c>
      <c r="AP496" s="2">
        <v>0</v>
      </c>
      <c r="AQ496" s="2">
        <v>0</v>
      </c>
    </row>
    <row r="497" spans="1:43" x14ac:dyDescent="0.25">
      <c r="A497" s="1">
        <v>45936</v>
      </c>
      <c r="B497" t="s">
        <v>48</v>
      </c>
      <c r="C497">
        <v>649163</v>
      </c>
      <c r="D497">
        <v>2030441006</v>
      </c>
      <c r="E497" t="s">
        <v>929</v>
      </c>
      <c r="F497" t="s">
        <v>593</v>
      </c>
      <c r="G497" t="s">
        <v>51</v>
      </c>
      <c r="H497" t="s">
        <v>159</v>
      </c>
      <c r="I497" t="s">
        <v>89</v>
      </c>
      <c r="J497" t="s">
        <v>96</v>
      </c>
      <c r="K497">
        <v>651818</v>
      </c>
      <c r="L497" t="s">
        <v>112</v>
      </c>
      <c r="M497" t="s">
        <v>104</v>
      </c>
      <c r="N497" t="s">
        <v>57</v>
      </c>
      <c r="O497" s="1">
        <v>45907</v>
      </c>
      <c r="Q497" s="1">
        <v>45968</v>
      </c>
      <c r="R497" s="2">
        <v>101.93</v>
      </c>
      <c r="S497">
        <v>1</v>
      </c>
      <c r="T497" t="s">
        <v>58</v>
      </c>
      <c r="U497" t="s">
        <v>359</v>
      </c>
      <c r="V497" s="3">
        <v>0.9</v>
      </c>
      <c r="W497" s="2">
        <v>0</v>
      </c>
      <c r="X497">
        <v>0</v>
      </c>
      <c r="Y497" t="s">
        <v>60</v>
      </c>
      <c r="Z497" t="s">
        <v>360</v>
      </c>
      <c r="AA497">
        <v>0</v>
      </c>
      <c r="AB497" s="2">
        <v>0</v>
      </c>
      <c r="AC497" s="2">
        <v>0</v>
      </c>
      <c r="AD497" s="3">
        <v>0</v>
      </c>
      <c r="AE497" s="2">
        <v>0</v>
      </c>
      <c r="AF497" s="2">
        <v>0</v>
      </c>
      <c r="AG497" s="2">
        <v>0</v>
      </c>
      <c r="AH497" s="2">
        <v>0</v>
      </c>
      <c r="AI497" s="2">
        <v>0</v>
      </c>
      <c r="AJ497" s="2">
        <v>0</v>
      </c>
      <c r="AK497" s="2">
        <v>0</v>
      </c>
      <c r="AL497" s="2">
        <v>91.74</v>
      </c>
      <c r="AM497" s="2">
        <v>0</v>
      </c>
      <c r="AN497" s="2">
        <v>0</v>
      </c>
      <c r="AO497" s="2">
        <v>0</v>
      </c>
      <c r="AP497" s="2">
        <v>0</v>
      </c>
      <c r="AQ497" s="2">
        <v>0</v>
      </c>
    </row>
    <row r="498" spans="1:43" x14ac:dyDescent="0.25">
      <c r="A498" s="1">
        <v>45936</v>
      </c>
      <c r="B498" t="s">
        <v>48</v>
      </c>
      <c r="C498">
        <v>649163</v>
      </c>
      <c r="D498">
        <v>2030443828</v>
      </c>
      <c r="E498" t="s">
        <v>930</v>
      </c>
      <c r="F498" t="s">
        <v>931</v>
      </c>
      <c r="G498" t="s">
        <v>51</v>
      </c>
      <c r="H498" t="s">
        <v>110</v>
      </c>
      <c r="I498" t="s">
        <v>89</v>
      </c>
      <c r="J498" t="s">
        <v>96</v>
      </c>
      <c r="K498">
        <v>651818</v>
      </c>
      <c r="L498" t="s">
        <v>112</v>
      </c>
      <c r="M498" t="s">
        <v>104</v>
      </c>
      <c r="N498" t="s">
        <v>57</v>
      </c>
      <c r="O498" s="1">
        <v>45907</v>
      </c>
      <c r="Q498" s="1">
        <v>45968</v>
      </c>
      <c r="R498" s="2">
        <v>176.63</v>
      </c>
      <c r="S498">
        <v>1</v>
      </c>
      <c r="T498" t="s">
        <v>58</v>
      </c>
      <c r="U498" t="s">
        <v>359</v>
      </c>
      <c r="V498" s="3">
        <v>0.9</v>
      </c>
      <c r="W498" s="2">
        <v>0</v>
      </c>
      <c r="X498">
        <v>0</v>
      </c>
      <c r="Y498" t="s">
        <v>60</v>
      </c>
      <c r="Z498" t="s">
        <v>360</v>
      </c>
      <c r="AA498">
        <v>0</v>
      </c>
      <c r="AB498" s="2">
        <v>0</v>
      </c>
      <c r="AC498" s="2">
        <v>0</v>
      </c>
      <c r="AD498" s="3">
        <v>0</v>
      </c>
      <c r="AE498" s="2">
        <v>0</v>
      </c>
      <c r="AF498" s="2">
        <v>0</v>
      </c>
      <c r="AG498" s="2">
        <v>0</v>
      </c>
      <c r="AH498" s="2">
        <v>0</v>
      </c>
      <c r="AI498" s="2">
        <v>0</v>
      </c>
      <c r="AJ498" s="2">
        <v>0</v>
      </c>
      <c r="AK498" s="2">
        <v>0</v>
      </c>
      <c r="AL498" s="2">
        <v>158.97</v>
      </c>
      <c r="AM498" s="2">
        <v>0</v>
      </c>
      <c r="AN498" s="2">
        <v>0</v>
      </c>
      <c r="AO498" s="2">
        <v>0</v>
      </c>
      <c r="AP498" s="2">
        <v>0</v>
      </c>
      <c r="AQ498" s="2">
        <v>0</v>
      </c>
    </row>
    <row r="499" spans="1:43" x14ac:dyDescent="0.25">
      <c r="A499" s="1">
        <v>45936</v>
      </c>
      <c r="B499" t="s">
        <v>48</v>
      </c>
      <c r="C499">
        <v>649163</v>
      </c>
      <c r="D499">
        <v>2030469387</v>
      </c>
      <c r="E499" t="s">
        <v>478</v>
      </c>
      <c r="F499" t="s">
        <v>932</v>
      </c>
      <c r="G499" t="s">
        <v>51</v>
      </c>
      <c r="H499" t="s">
        <v>105</v>
      </c>
      <c r="I499" t="s">
        <v>89</v>
      </c>
      <c r="J499" t="s">
        <v>96</v>
      </c>
      <c r="K499">
        <v>823068</v>
      </c>
      <c r="L499" t="s">
        <v>106</v>
      </c>
      <c r="M499" t="s">
        <v>107</v>
      </c>
      <c r="N499" t="s">
        <v>57</v>
      </c>
      <c r="O499" s="1">
        <v>45901</v>
      </c>
      <c r="Q499" s="1">
        <v>45962</v>
      </c>
      <c r="R499" s="2">
        <v>35.17</v>
      </c>
      <c r="S499">
        <v>1</v>
      </c>
      <c r="T499" t="s">
        <v>58</v>
      </c>
      <c r="U499" t="s">
        <v>359</v>
      </c>
      <c r="V499" s="3">
        <v>0.9</v>
      </c>
      <c r="W499" s="2">
        <v>0</v>
      </c>
      <c r="X499">
        <v>0</v>
      </c>
      <c r="Y499" t="s">
        <v>60</v>
      </c>
      <c r="Z499" t="s">
        <v>360</v>
      </c>
      <c r="AA499">
        <v>0</v>
      </c>
      <c r="AB499" s="2">
        <v>0</v>
      </c>
      <c r="AC499" s="2">
        <v>0</v>
      </c>
      <c r="AD499" s="3">
        <v>0</v>
      </c>
      <c r="AE499" s="2">
        <v>0</v>
      </c>
      <c r="AF499" s="2">
        <v>0</v>
      </c>
      <c r="AG499" s="2">
        <v>0</v>
      </c>
      <c r="AH499" s="2">
        <v>0</v>
      </c>
      <c r="AI499" s="2">
        <v>0</v>
      </c>
      <c r="AJ499" s="2">
        <v>0</v>
      </c>
      <c r="AK499" s="2">
        <v>0</v>
      </c>
      <c r="AL499" s="2">
        <v>31.65</v>
      </c>
      <c r="AM499" s="2">
        <v>0</v>
      </c>
      <c r="AN499" s="2">
        <v>0</v>
      </c>
      <c r="AO499" s="2">
        <v>0</v>
      </c>
      <c r="AP499" s="2">
        <v>0</v>
      </c>
      <c r="AQ499" s="2">
        <v>0</v>
      </c>
    </row>
    <row r="500" spans="1:43" x14ac:dyDescent="0.25">
      <c r="A500" s="1">
        <v>45936</v>
      </c>
      <c r="B500" t="s">
        <v>48</v>
      </c>
      <c r="C500">
        <v>649163</v>
      </c>
      <c r="D500">
        <v>2030477513</v>
      </c>
      <c r="E500" t="s">
        <v>933</v>
      </c>
      <c r="F500" t="s">
        <v>934</v>
      </c>
      <c r="G500" t="s">
        <v>51</v>
      </c>
      <c r="H500" t="s">
        <v>119</v>
      </c>
      <c r="I500" t="s">
        <v>89</v>
      </c>
      <c r="J500" t="s">
        <v>111</v>
      </c>
      <c r="K500">
        <v>651818</v>
      </c>
      <c r="L500" t="s">
        <v>112</v>
      </c>
      <c r="M500" t="s">
        <v>104</v>
      </c>
      <c r="N500" t="s">
        <v>57</v>
      </c>
      <c r="O500" s="1">
        <v>45906</v>
      </c>
      <c r="Q500" s="1">
        <v>45967</v>
      </c>
      <c r="R500" s="2">
        <v>24.48</v>
      </c>
      <c r="S500">
        <v>1</v>
      </c>
      <c r="T500" t="s">
        <v>58</v>
      </c>
      <c r="U500" t="s">
        <v>359</v>
      </c>
      <c r="V500" s="3">
        <v>0.75</v>
      </c>
      <c r="W500" s="2">
        <v>0</v>
      </c>
      <c r="X500">
        <v>0</v>
      </c>
      <c r="Y500" t="s">
        <v>60</v>
      </c>
      <c r="Z500" t="s">
        <v>360</v>
      </c>
      <c r="AA500">
        <v>0</v>
      </c>
      <c r="AB500" s="2">
        <v>0</v>
      </c>
      <c r="AC500" s="2">
        <v>0</v>
      </c>
      <c r="AD500" s="3">
        <v>0</v>
      </c>
      <c r="AE500" s="2">
        <v>0</v>
      </c>
      <c r="AF500" s="2">
        <v>0</v>
      </c>
      <c r="AG500" s="2">
        <v>0</v>
      </c>
      <c r="AH500" s="2">
        <v>0</v>
      </c>
      <c r="AI500" s="2">
        <v>0</v>
      </c>
      <c r="AJ500" s="2">
        <v>0</v>
      </c>
      <c r="AK500" s="2">
        <v>0</v>
      </c>
      <c r="AL500" s="2">
        <v>18.36</v>
      </c>
      <c r="AM500" s="2">
        <v>0</v>
      </c>
      <c r="AN500" s="2">
        <v>0</v>
      </c>
      <c r="AO500" s="2">
        <v>0</v>
      </c>
      <c r="AP500" s="2">
        <v>0</v>
      </c>
      <c r="AQ500" s="2">
        <v>0</v>
      </c>
    </row>
    <row r="501" spans="1:43" x14ac:dyDescent="0.25">
      <c r="A501" s="1">
        <v>45936</v>
      </c>
      <c r="B501" t="s">
        <v>48</v>
      </c>
      <c r="C501">
        <v>649163</v>
      </c>
      <c r="D501">
        <v>2030500797</v>
      </c>
      <c r="E501" t="s">
        <v>935</v>
      </c>
      <c r="F501" t="s">
        <v>936</v>
      </c>
      <c r="G501" t="s">
        <v>51</v>
      </c>
      <c r="H501" t="s">
        <v>101</v>
      </c>
      <c r="I501" t="s">
        <v>89</v>
      </c>
      <c r="J501" t="s">
        <v>96</v>
      </c>
      <c r="K501">
        <v>673059</v>
      </c>
      <c r="L501" t="s">
        <v>80</v>
      </c>
      <c r="M501" t="s">
        <v>81</v>
      </c>
      <c r="N501" t="s">
        <v>57</v>
      </c>
      <c r="O501" s="1">
        <v>45901</v>
      </c>
      <c r="Q501" s="1">
        <v>45962</v>
      </c>
      <c r="R501" s="2">
        <v>68.08</v>
      </c>
      <c r="S501">
        <v>1</v>
      </c>
      <c r="T501" t="s">
        <v>58</v>
      </c>
      <c r="U501" t="s">
        <v>359</v>
      </c>
      <c r="V501" s="3">
        <v>0.9</v>
      </c>
      <c r="W501" s="2">
        <v>0</v>
      </c>
      <c r="X501">
        <v>0</v>
      </c>
      <c r="Y501" t="s">
        <v>60</v>
      </c>
      <c r="Z501" t="s">
        <v>360</v>
      </c>
      <c r="AA501">
        <v>0</v>
      </c>
      <c r="AB501" s="2">
        <v>0</v>
      </c>
      <c r="AC501" s="2">
        <v>0</v>
      </c>
      <c r="AD501" s="3">
        <v>0</v>
      </c>
      <c r="AE501" s="2">
        <v>0</v>
      </c>
      <c r="AF501" s="2">
        <v>0</v>
      </c>
      <c r="AG501" s="2">
        <v>0</v>
      </c>
      <c r="AH501" s="2">
        <v>0</v>
      </c>
      <c r="AI501" s="2">
        <v>0</v>
      </c>
      <c r="AJ501" s="2">
        <v>0</v>
      </c>
      <c r="AK501" s="2">
        <v>0</v>
      </c>
      <c r="AL501" s="2">
        <v>61.27</v>
      </c>
      <c r="AM501" s="2">
        <v>0</v>
      </c>
      <c r="AN501" s="2">
        <v>0</v>
      </c>
      <c r="AO501" s="2">
        <v>0</v>
      </c>
      <c r="AP501" s="2">
        <v>0</v>
      </c>
      <c r="AQ501" s="2">
        <v>0</v>
      </c>
    </row>
    <row r="502" spans="1:43" x14ac:dyDescent="0.25">
      <c r="A502" s="1">
        <v>45936</v>
      </c>
      <c r="B502" t="s">
        <v>48</v>
      </c>
      <c r="C502">
        <v>649163</v>
      </c>
      <c r="D502">
        <v>2030517071</v>
      </c>
      <c r="E502" t="s">
        <v>937</v>
      </c>
      <c r="F502" t="s">
        <v>938</v>
      </c>
      <c r="G502" t="s">
        <v>51</v>
      </c>
      <c r="H502" t="s">
        <v>129</v>
      </c>
      <c r="I502" t="s">
        <v>89</v>
      </c>
      <c r="J502" t="s">
        <v>111</v>
      </c>
      <c r="K502">
        <v>651818</v>
      </c>
      <c r="L502" t="s">
        <v>112</v>
      </c>
      <c r="M502" t="s">
        <v>104</v>
      </c>
      <c r="N502" t="s">
        <v>57</v>
      </c>
      <c r="O502" s="1">
        <v>45907</v>
      </c>
      <c r="Q502" s="1">
        <v>45968</v>
      </c>
      <c r="R502" s="2">
        <v>41.58</v>
      </c>
      <c r="S502">
        <v>1</v>
      </c>
      <c r="T502" t="s">
        <v>58</v>
      </c>
      <c r="U502" t="s">
        <v>359</v>
      </c>
      <c r="V502" s="3">
        <v>0.75</v>
      </c>
      <c r="W502" s="2">
        <v>0</v>
      </c>
      <c r="X502">
        <v>0</v>
      </c>
      <c r="Y502" t="s">
        <v>60</v>
      </c>
      <c r="Z502" t="s">
        <v>360</v>
      </c>
      <c r="AA502">
        <v>0</v>
      </c>
      <c r="AB502" s="2">
        <v>0</v>
      </c>
      <c r="AC502" s="2">
        <v>0</v>
      </c>
      <c r="AD502" s="3">
        <v>0</v>
      </c>
      <c r="AE502" s="2">
        <v>0</v>
      </c>
      <c r="AF502" s="2">
        <v>0</v>
      </c>
      <c r="AG502" s="2">
        <v>0</v>
      </c>
      <c r="AH502" s="2">
        <v>0</v>
      </c>
      <c r="AI502" s="2">
        <v>0</v>
      </c>
      <c r="AJ502" s="2">
        <v>0</v>
      </c>
      <c r="AK502" s="2">
        <v>0</v>
      </c>
      <c r="AL502" s="2">
        <v>31.18</v>
      </c>
      <c r="AM502" s="2">
        <v>0</v>
      </c>
      <c r="AN502" s="2">
        <v>0</v>
      </c>
      <c r="AO502" s="2">
        <v>0</v>
      </c>
      <c r="AP502" s="2">
        <v>0</v>
      </c>
      <c r="AQ502" s="2">
        <v>0</v>
      </c>
    </row>
    <row r="503" spans="1:43" x14ac:dyDescent="0.25">
      <c r="A503" s="1">
        <v>45936</v>
      </c>
      <c r="B503" t="s">
        <v>48</v>
      </c>
      <c r="C503">
        <v>649163</v>
      </c>
      <c r="D503">
        <v>2030518950</v>
      </c>
      <c r="E503" t="s">
        <v>939</v>
      </c>
      <c r="F503" t="s">
        <v>940</v>
      </c>
      <c r="G503" t="s">
        <v>51</v>
      </c>
      <c r="H503" t="s">
        <v>159</v>
      </c>
      <c r="I503" t="s">
        <v>89</v>
      </c>
      <c r="J503" t="s">
        <v>96</v>
      </c>
      <c r="K503">
        <v>651818</v>
      </c>
      <c r="L503" t="s">
        <v>112</v>
      </c>
      <c r="M503" t="s">
        <v>104</v>
      </c>
      <c r="N503" t="s">
        <v>57</v>
      </c>
      <c r="O503" s="1">
        <v>45907</v>
      </c>
      <c r="Q503" s="1">
        <v>45968</v>
      </c>
      <c r="R503" s="2">
        <v>68.25</v>
      </c>
      <c r="S503">
        <v>1</v>
      </c>
      <c r="T503" t="s">
        <v>58</v>
      </c>
      <c r="U503" t="s">
        <v>359</v>
      </c>
      <c r="V503" s="3">
        <v>0.9</v>
      </c>
      <c r="W503" s="2">
        <v>0</v>
      </c>
      <c r="X503">
        <v>0</v>
      </c>
      <c r="Y503" t="s">
        <v>60</v>
      </c>
      <c r="Z503" t="s">
        <v>360</v>
      </c>
      <c r="AA503">
        <v>0</v>
      </c>
      <c r="AB503" s="2">
        <v>0</v>
      </c>
      <c r="AC503" s="2">
        <v>0</v>
      </c>
      <c r="AD503" s="3">
        <v>0</v>
      </c>
      <c r="AE503" s="2">
        <v>0</v>
      </c>
      <c r="AF503" s="2">
        <v>0</v>
      </c>
      <c r="AG503" s="2">
        <v>0</v>
      </c>
      <c r="AH503" s="2">
        <v>0</v>
      </c>
      <c r="AI503" s="2">
        <v>0</v>
      </c>
      <c r="AJ503" s="2">
        <v>0</v>
      </c>
      <c r="AK503" s="2">
        <v>0</v>
      </c>
      <c r="AL503" s="2">
        <v>61.42</v>
      </c>
      <c r="AM503" s="2">
        <v>0</v>
      </c>
      <c r="AN503" s="2">
        <v>0</v>
      </c>
      <c r="AO503" s="2">
        <v>0</v>
      </c>
      <c r="AP503" s="2">
        <v>0</v>
      </c>
      <c r="AQ503" s="2">
        <v>0</v>
      </c>
    </row>
    <row r="504" spans="1:43" x14ac:dyDescent="0.25">
      <c r="A504" s="1">
        <v>45936</v>
      </c>
      <c r="B504" t="s">
        <v>48</v>
      </c>
      <c r="C504">
        <v>649163</v>
      </c>
      <c r="D504">
        <v>2030641191</v>
      </c>
      <c r="E504" t="s">
        <v>941</v>
      </c>
      <c r="F504" t="s">
        <v>593</v>
      </c>
      <c r="G504" t="s">
        <v>51</v>
      </c>
      <c r="H504" t="s">
        <v>88</v>
      </c>
      <c r="I504" t="s">
        <v>89</v>
      </c>
      <c r="J504" t="s">
        <v>90</v>
      </c>
      <c r="K504">
        <v>651818</v>
      </c>
      <c r="L504" t="s">
        <v>112</v>
      </c>
      <c r="M504" t="s">
        <v>104</v>
      </c>
      <c r="N504" t="s">
        <v>57</v>
      </c>
      <c r="O504" s="1">
        <v>45906</v>
      </c>
      <c r="Q504" s="1">
        <v>45967</v>
      </c>
      <c r="R504" s="2">
        <v>57.54</v>
      </c>
      <c r="S504">
        <v>1</v>
      </c>
      <c r="T504" t="s">
        <v>58</v>
      </c>
      <c r="U504" t="s">
        <v>359</v>
      </c>
      <c r="V504" s="3">
        <v>0.65</v>
      </c>
      <c r="W504" s="2">
        <v>0</v>
      </c>
      <c r="X504">
        <v>0</v>
      </c>
      <c r="Y504" t="s">
        <v>60</v>
      </c>
      <c r="Z504" t="s">
        <v>360</v>
      </c>
      <c r="AA504">
        <v>0</v>
      </c>
      <c r="AB504" s="2">
        <v>0</v>
      </c>
      <c r="AC504" s="2">
        <v>0</v>
      </c>
      <c r="AD504" s="3">
        <v>0</v>
      </c>
      <c r="AE504" s="2">
        <v>0</v>
      </c>
      <c r="AF504" s="2">
        <v>0</v>
      </c>
      <c r="AG504" s="2">
        <v>0</v>
      </c>
      <c r="AH504" s="2">
        <v>0</v>
      </c>
      <c r="AI504" s="2">
        <v>0</v>
      </c>
      <c r="AJ504" s="2">
        <v>0</v>
      </c>
      <c r="AK504" s="2">
        <v>0</v>
      </c>
      <c r="AL504" s="2">
        <v>37.4</v>
      </c>
      <c r="AM504" s="2">
        <v>0</v>
      </c>
      <c r="AN504" s="2">
        <v>0</v>
      </c>
      <c r="AO504" s="2">
        <v>0</v>
      </c>
      <c r="AP504" s="2">
        <v>0</v>
      </c>
      <c r="AQ504" s="2">
        <v>0</v>
      </c>
    </row>
    <row r="505" spans="1:43" x14ac:dyDescent="0.25">
      <c r="A505" s="1">
        <v>45936</v>
      </c>
      <c r="B505" t="s">
        <v>48</v>
      </c>
      <c r="C505">
        <v>649163</v>
      </c>
      <c r="D505">
        <v>2030675167</v>
      </c>
      <c r="E505" t="s">
        <v>942</v>
      </c>
      <c r="F505" t="s">
        <v>943</v>
      </c>
      <c r="G505" t="s">
        <v>51</v>
      </c>
      <c r="H505" t="s">
        <v>323</v>
      </c>
      <c r="I505" t="s">
        <v>89</v>
      </c>
      <c r="J505" t="s">
        <v>116</v>
      </c>
      <c r="K505">
        <v>823350</v>
      </c>
      <c r="L505" t="s">
        <v>66</v>
      </c>
      <c r="M505" t="s">
        <v>67</v>
      </c>
      <c r="N505" t="s">
        <v>57</v>
      </c>
      <c r="O505" s="1">
        <v>45901</v>
      </c>
      <c r="Q505" s="1">
        <v>45962</v>
      </c>
      <c r="R505" s="2">
        <v>-25.65</v>
      </c>
      <c r="S505">
        <v>1</v>
      </c>
      <c r="T505" t="s">
        <v>58</v>
      </c>
      <c r="U505" t="s">
        <v>359</v>
      </c>
      <c r="V505" s="3">
        <v>0.75</v>
      </c>
      <c r="W505" s="2">
        <v>0</v>
      </c>
      <c r="X505">
        <v>-1</v>
      </c>
      <c r="Y505" t="s">
        <v>60</v>
      </c>
      <c r="Z505" t="s">
        <v>360</v>
      </c>
      <c r="AA505">
        <v>0</v>
      </c>
      <c r="AB505" s="2">
        <v>0</v>
      </c>
      <c r="AC505" s="2">
        <v>0</v>
      </c>
      <c r="AD505" s="3">
        <v>0</v>
      </c>
      <c r="AE505" s="2">
        <v>0</v>
      </c>
      <c r="AF505" s="2">
        <v>0</v>
      </c>
      <c r="AG505" s="2">
        <v>0</v>
      </c>
      <c r="AH505" s="2">
        <v>0</v>
      </c>
      <c r="AI505" s="2">
        <v>0</v>
      </c>
      <c r="AJ505" s="2">
        <v>0</v>
      </c>
      <c r="AK505" s="2">
        <v>0</v>
      </c>
      <c r="AL505" s="2">
        <v>0</v>
      </c>
      <c r="AM505" s="2">
        <v>-19.239999999999998</v>
      </c>
      <c r="AN505" s="2">
        <v>-19.239999999999998</v>
      </c>
      <c r="AO505" s="2">
        <v>0</v>
      </c>
      <c r="AP505" s="2">
        <v>0</v>
      </c>
      <c r="AQ505" s="2">
        <v>0</v>
      </c>
    </row>
    <row r="506" spans="1:43" x14ac:dyDescent="0.25">
      <c r="A506" s="1">
        <v>45936</v>
      </c>
      <c r="B506" t="s">
        <v>48</v>
      </c>
      <c r="C506">
        <v>649163</v>
      </c>
      <c r="D506">
        <v>2030675271</v>
      </c>
      <c r="E506" t="s">
        <v>944</v>
      </c>
      <c r="F506" t="s">
        <v>945</v>
      </c>
      <c r="G506" t="s">
        <v>51</v>
      </c>
      <c r="H506" t="s">
        <v>115</v>
      </c>
      <c r="I506" t="s">
        <v>89</v>
      </c>
      <c r="J506" t="s">
        <v>102</v>
      </c>
      <c r="K506">
        <v>753748</v>
      </c>
      <c r="L506" t="s">
        <v>97</v>
      </c>
      <c r="M506" t="s">
        <v>98</v>
      </c>
      <c r="N506" t="s">
        <v>57</v>
      </c>
      <c r="O506" s="1">
        <v>45901</v>
      </c>
      <c r="Q506" s="1">
        <v>45962</v>
      </c>
      <c r="R506" s="2">
        <v>-58.93</v>
      </c>
      <c r="S506">
        <v>1</v>
      </c>
      <c r="T506" t="s">
        <v>58</v>
      </c>
      <c r="U506" t="s">
        <v>359</v>
      </c>
      <c r="V506" s="3">
        <v>0.75</v>
      </c>
      <c r="W506" s="2">
        <v>0</v>
      </c>
      <c r="X506">
        <v>-1</v>
      </c>
      <c r="Y506" t="s">
        <v>60</v>
      </c>
      <c r="Z506" t="s">
        <v>360</v>
      </c>
      <c r="AA506">
        <v>0</v>
      </c>
      <c r="AB506" s="2">
        <v>0</v>
      </c>
      <c r="AC506" s="2">
        <v>0</v>
      </c>
      <c r="AD506" s="3">
        <v>0</v>
      </c>
      <c r="AE506" s="2">
        <v>0</v>
      </c>
      <c r="AF506" s="2">
        <v>0</v>
      </c>
      <c r="AG506" s="2">
        <v>0</v>
      </c>
      <c r="AH506" s="2">
        <v>0</v>
      </c>
      <c r="AI506" s="2">
        <v>0</v>
      </c>
      <c r="AJ506" s="2">
        <v>0</v>
      </c>
      <c r="AK506" s="2">
        <v>0</v>
      </c>
      <c r="AL506" s="2">
        <v>0</v>
      </c>
      <c r="AM506" s="2">
        <v>-44.2</v>
      </c>
      <c r="AN506" s="2">
        <v>-44.2</v>
      </c>
      <c r="AO506" s="2">
        <v>0</v>
      </c>
      <c r="AP506" s="2">
        <v>0</v>
      </c>
      <c r="AQ506" s="2">
        <v>0</v>
      </c>
    </row>
    <row r="507" spans="1:43" x14ac:dyDescent="0.25">
      <c r="A507" s="1">
        <v>45936</v>
      </c>
      <c r="B507" t="s">
        <v>48</v>
      </c>
      <c r="C507">
        <v>649163</v>
      </c>
      <c r="D507">
        <v>2030678711</v>
      </c>
      <c r="E507" t="s">
        <v>946</v>
      </c>
      <c r="F507" t="s">
        <v>947</v>
      </c>
      <c r="G507" t="s">
        <v>51</v>
      </c>
      <c r="H507" t="s">
        <v>101</v>
      </c>
      <c r="I507" t="s">
        <v>89</v>
      </c>
      <c r="J507" t="s">
        <v>96</v>
      </c>
      <c r="K507">
        <v>651818</v>
      </c>
      <c r="L507" t="s">
        <v>112</v>
      </c>
      <c r="M507" t="s">
        <v>104</v>
      </c>
      <c r="N507" t="s">
        <v>57</v>
      </c>
      <c r="O507" s="1">
        <v>45906</v>
      </c>
      <c r="Q507" s="1">
        <v>45967</v>
      </c>
      <c r="R507" s="2">
        <v>87.08</v>
      </c>
      <c r="S507">
        <v>1</v>
      </c>
      <c r="T507" t="s">
        <v>58</v>
      </c>
      <c r="U507" t="s">
        <v>359</v>
      </c>
      <c r="V507" s="3">
        <v>0.9</v>
      </c>
      <c r="W507" s="2">
        <v>0</v>
      </c>
      <c r="X507">
        <v>0</v>
      </c>
      <c r="Y507" t="s">
        <v>60</v>
      </c>
      <c r="Z507" t="s">
        <v>360</v>
      </c>
      <c r="AA507">
        <v>0</v>
      </c>
      <c r="AB507" s="2">
        <v>0</v>
      </c>
      <c r="AC507" s="2">
        <v>0</v>
      </c>
      <c r="AD507" s="3">
        <v>0</v>
      </c>
      <c r="AE507" s="2">
        <v>0</v>
      </c>
      <c r="AF507" s="2">
        <v>0</v>
      </c>
      <c r="AG507" s="2">
        <v>0</v>
      </c>
      <c r="AH507" s="2">
        <v>0</v>
      </c>
      <c r="AI507" s="2">
        <v>0</v>
      </c>
      <c r="AJ507" s="2">
        <v>0</v>
      </c>
      <c r="AK507" s="2">
        <v>0</v>
      </c>
      <c r="AL507" s="2">
        <v>78.37</v>
      </c>
      <c r="AM507" s="2">
        <v>0</v>
      </c>
      <c r="AN507" s="2">
        <v>0</v>
      </c>
      <c r="AO507" s="2">
        <v>0</v>
      </c>
      <c r="AP507" s="2">
        <v>0</v>
      </c>
      <c r="AQ507" s="2">
        <v>0</v>
      </c>
    </row>
    <row r="508" spans="1:43" x14ac:dyDescent="0.25">
      <c r="A508" s="1">
        <v>45936</v>
      </c>
      <c r="B508" t="s">
        <v>48</v>
      </c>
      <c r="C508">
        <v>649163</v>
      </c>
      <c r="D508">
        <v>2030703147</v>
      </c>
      <c r="E508" t="s">
        <v>948</v>
      </c>
      <c r="F508" t="s">
        <v>949</v>
      </c>
      <c r="G508" t="s">
        <v>51</v>
      </c>
      <c r="H508" t="s">
        <v>52</v>
      </c>
      <c r="I508" t="s">
        <v>89</v>
      </c>
      <c r="J508" t="s">
        <v>102</v>
      </c>
      <c r="K508">
        <v>673059</v>
      </c>
      <c r="L508" t="s">
        <v>80</v>
      </c>
      <c r="M508" t="s">
        <v>81</v>
      </c>
      <c r="N508" t="s">
        <v>57</v>
      </c>
      <c r="O508" s="1">
        <v>45901</v>
      </c>
      <c r="Q508" s="1">
        <v>45962</v>
      </c>
      <c r="R508" s="2">
        <v>-22.15</v>
      </c>
      <c r="S508">
        <v>1</v>
      </c>
      <c r="T508" t="s">
        <v>58</v>
      </c>
      <c r="U508" t="s">
        <v>359</v>
      </c>
      <c r="V508" s="3">
        <v>0.75</v>
      </c>
      <c r="W508" s="2">
        <v>0</v>
      </c>
      <c r="X508">
        <v>-1</v>
      </c>
      <c r="Y508" t="s">
        <v>60</v>
      </c>
      <c r="Z508" t="s">
        <v>360</v>
      </c>
      <c r="AA508">
        <v>0</v>
      </c>
      <c r="AB508" s="2">
        <v>0</v>
      </c>
      <c r="AC508" s="2">
        <v>0</v>
      </c>
      <c r="AD508" s="3">
        <v>0</v>
      </c>
      <c r="AE508" s="2">
        <v>0</v>
      </c>
      <c r="AF508" s="2">
        <v>0</v>
      </c>
      <c r="AG508" s="2">
        <v>0</v>
      </c>
      <c r="AH508" s="2">
        <v>0</v>
      </c>
      <c r="AI508" s="2">
        <v>0</v>
      </c>
      <c r="AJ508" s="2">
        <v>0</v>
      </c>
      <c r="AK508" s="2">
        <v>0</v>
      </c>
      <c r="AL508" s="2">
        <v>0</v>
      </c>
      <c r="AM508" s="2">
        <v>-16.61</v>
      </c>
      <c r="AN508" s="2">
        <v>-16.61</v>
      </c>
      <c r="AO508" s="2">
        <v>0</v>
      </c>
      <c r="AP508" s="2">
        <v>0</v>
      </c>
      <c r="AQ508" s="2">
        <v>0</v>
      </c>
    </row>
    <row r="509" spans="1:43" x14ac:dyDescent="0.25">
      <c r="A509" s="1">
        <v>45936</v>
      </c>
      <c r="B509" t="s">
        <v>48</v>
      </c>
      <c r="C509">
        <v>649163</v>
      </c>
      <c r="D509">
        <v>2030719341</v>
      </c>
      <c r="E509" t="s">
        <v>950</v>
      </c>
      <c r="F509" t="s">
        <v>570</v>
      </c>
      <c r="G509" t="s">
        <v>51</v>
      </c>
      <c r="H509" t="s">
        <v>159</v>
      </c>
      <c r="I509" t="s">
        <v>89</v>
      </c>
      <c r="J509" t="s">
        <v>96</v>
      </c>
      <c r="K509">
        <v>651818</v>
      </c>
      <c r="L509" t="s">
        <v>112</v>
      </c>
      <c r="M509" t="s">
        <v>104</v>
      </c>
      <c r="N509" t="s">
        <v>57</v>
      </c>
      <c r="O509" s="1">
        <v>45906</v>
      </c>
      <c r="Q509" s="1">
        <v>45967</v>
      </c>
      <c r="R509" s="2">
        <v>167.21</v>
      </c>
      <c r="S509">
        <v>1</v>
      </c>
      <c r="T509" t="s">
        <v>58</v>
      </c>
      <c r="U509" t="s">
        <v>359</v>
      </c>
      <c r="V509" s="3">
        <v>0.9</v>
      </c>
      <c r="W509" s="2">
        <v>0</v>
      </c>
      <c r="X509">
        <v>0</v>
      </c>
      <c r="Y509" t="s">
        <v>60</v>
      </c>
      <c r="Z509" t="s">
        <v>360</v>
      </c>
      <c r="AA509">
        <v>0</v>
      </c>
      <c r="AB509" s="2">
        <v>0</v>
      </c>
      <c r="AC509" s="2">
        <v>0</v>
      </c>
      <c r="AD509" s="3">
        <v>0</v>
      </c>
      <c r="AE509" s="2">
        <v>0</v>
      </c>
      <c r="AF509" s="2">
        <v>0</v>
      </c>
      <c r="AG509" s="2">
        <v>0</v>
      </c>
      <c r="AH509" s="2">
        <v>0</v>
      </c>
      <c r="AI509" s="2">
        <v>0</v>
      </c>
      <c r="AJ509" s="2">
        <v>0</v>
      </c>
      <c r="AK509" s="2">
        <v>0</v>
      </c>
      <c r="AL509" s="2">
        <v>150.49</v>
      </c>
      <c r="AM509" s="2">
        <v>0</v>
      </c>
      <c r="AN509" s="2">
        <v>0</v>
      </c>
      <c r="AO509" s="2">
        <v>0</v>
      </c>
      <c r="AP509" s="2">
        <v>0</v>
      </c>
      <c r="AQ509" s="2">
        <v>0</v>
      </c>
    </row>
    <row r="510" spans="1:43" x14ac:dyDescent="0.25">
      <c r="A510" s="1">
        <v>45936</v>
      </c>
      <c r="B510" t="s">
        <v>48</v>
      </c>
      <c r="C510">
        <v>649163</v>
      </c>
      <c r="D510">
        <v>2030735252</v>
      </c>
      <c r="E510" t="s">
        <v>951</v>
      </c>
      <c r="F510" t="s">
        <v>952</v>
      </c>
      <c r="G510" t="s">
        <v>51</v>
      </c>
      <c r="H510" t="s">
        <v>105</v>
      </c>
      <c r="I510" t="s">
        <v>89</v>
      </c>
      <c r="J510" t="s">
        <v>96</v>
      </c>
      <c r="K510">
        <v>823068</v>
      </c>
      <c r="L510" t="s">
        <v>106</v>
      </c>
      <c r="M510" t="s">
        <v>107</v>
      </c>
      <c r="N510" t="s">
        <v>57</v>
      </c>
      <c r="O510" s="1">
        <v>45906</v>
      </c>
      <c r="Q510" s="1">
        <v>45967</v>
      </c>
      <c r="R510" s="2">
        <v>41.32</v>
      </c>
      <c r="S510">
        <v>1</v>
      </c>
      <c r="T510" t="s">
        <v>58</v>
      </c>
      <c r="U510" t="s">
        <v>359</v>
      </c>
      <c r="V510" s="3">
        <v>0.9</v>
      </c>
      <c r="W510" s="2">
        <v>0</v>
      </c>
      <c r="X510">
        <v>0</v>
      </c>
      <c r="Y510" t="s">
        <v>60</v>
      </c>
      <c r="Z510" t="s">
        <v>360</v>
      </c>
      <c r="AA510">
        <v>0</v>
      </c>
      <c r="AB510" s="2">
        <v>0</v>
      </c>
      <c r="AC510" s="2">
        <v>0</v>
      </c>
      <c r="AD510" s="3">
        <v>0</v>
      </c>
      <c r="AE510" s="2">
        <v>0</v>
      </c>
      <c r="AF510" s="2">
        <v>0</v>
      </c>
      <c r="AG510" s="2">
        <v>0</v>
      </c>
      <c r="AH510" s="2">
        <v>0</v>
      </c>
      <c r="AI510" s="2">
        <v>0</v>
      </c>
      <c r="AJ510" s="2">
        <v>0</v>
      </c>
      <c r="AK510" s="2">
        <v>0</v>
      </c>
      <c r="AL510" s="2">
        <v>37.19</v>
      </c>
      <c r="AM510" s="2">
        <v>0</v>
      </c>
      <c r="AN510" s="2">
        <v>0</v>
      </c>
      <c r="AO510" s="2">
        <v>0</v>
      </c>
      <c r="AP510" s="2">
        <v>0</v>
      </c>
      <c r="AQ510" s="2">
        <v>0</v>
      </c>
    </row>
    <row r="511" spans="1:43" x14ac:dyDescent="0.25">
      <c r="A511" s="1">
        <v>45936</v>
      </c>
      <c r="B511" t="s">
        <v>48</v>
      </c>
      <c r="C511">
        <v>649163</v>
      </c>
      <c r="D511">
        <v>2030752805</v>
      </c>
      <c r="E511" t="s">
        <v>953</v>
      </c>
      <c r="F511" t="s">
        <v>954</v>
      </c>
      <c r="G511" t="s">
        <v>51</v>
      </c>
      <c r="H511" t="s">
        <v>110</v>
      </c>
      <c r="I511" t="s">
        <v>89</v>
      </c>
      <c r="J511" t="s">
        <v>102</v>
      </c>
      <c r="K511">
        <v>651818</v>
      </c>
      <c r="L511" t="s">
        <v>112</v>
      </c>
      <c r="M511" t="s">
        <v>104</v>
      </c>
      <c r="N511" t="s">
        <v>57</v>
      </c>
      <c r="O511" s="1">
        <v>45906</v>
      </c>
      <c r="Q511" s="1">
        <v>45967</v>
      </c>
      <c r="R511" s="2">
        <v>74.11</v>
      </c>
      <c r="S511">
        <v>1</v>
      </c>
      <c r="T511" t="s">
        <v>58</v>
      </c>
      <c r="U511" t="s">
        <v>359</v>
      </c>
      <c r="V511" s="3">
        <v>0.75</v>
      </c>
      <c r="W511" s="2">
        <v>0</v>
      </c>
      <c r="X511">
        <v>0</v>
      </c>
      <c r="Y511" t="s">
        <v>60</v>
      </c>
      <c r="Z511" t="s">
        <v>360</v>
      </c>
      <c r="AA511">
        <v>0</v>
      </c>
      <c r="AB511" s="2">
        <v>0</v>
      </c>
      <c r="AC511" s="2">
        <v>0</v>
      </c>
      <c r="AD511" s="3">
        <v>0</v>
      </c>
      <c r="AE511" s="2">
        <v>0</v>
      </c>
      <c r="AF511" s="2">
        <v>0</v>
      </c>
      <c r="AG511" s="2">
        <v>0</v>
      </c>
      <c r="AH511" s="2">
        <v>0</v>
      </c>
      <c r="AI511" s="2">
        <v>0</v>
      </c>
      <c r="AJ511" s="2">
        <v>0</v>
      </c>
      <c r="AK511" s="2">
        <v>0</v>
      </c>
      <c r="AL511" s="2">
        <v>55.58</v>
      </c>
      <c r="AM511" s="2">
        <v>0</v>
      </c>
      <c r="AN511" s="2">
        <v>0</v>
      </c>
      <c r="AO511" s="2">
        <v>0</v>
      </c>
      <c r="AP511" s="2">
        <v>0</v>
      </c>
      <c r="AQ511" s="2">
        <v>0</v>
      </c>
    </row>
    <row r="512" spans="1:43" x14ac:dyDescent="0.25">
      <c r="A512" s="1">
        <v>45936</v>
      </c>
      <c r="B512" t="s">
        <v>48</v>
      </c>
      <c r="C512">
        <v>649163</v>
      </c>
      <c r="D512">
        <v>2030917278</v>
      </c>
      <c r="E512" t="s">
        <v>551</v>
      </c>
      <c r="F512" t="s">
        <v>552</v>
      </c>
      <c r="G512" t="s">
        <v>51</v>
      </c>
      <c r="H512" t="s">
        <v>247</v>
      </c>
      <c r="I512" t="s">
        <v>89</v>
      </c>
      <c r="J512" t="s">
        <v>102</v>
      </c>
      <c r="K512">
        <v>874230</v>
      </c>
      <c r="L512" t="s">
        <v>554</v>
      </c>
      <c r="M512" t="s">
        <v>555</v>
      </c>
      <c r="N512" t="s">
        <v>57</v>
      </c>
      <c r="O512" s="1">
        <v>45910</v>
      </c>
      <c r="Q512" s="1">
        <v>45971</v>
      </c>
      <c r="R512" s="2">
        <v>32.380000000000003</v>
      </c>
      <c r="S512">
        <v>1</v>
      </c>
      <c r="T512" t="s">
        <v>58</v>
      </c>
      <c r="U512" t="s">
        <v>359</v>
      </c>
      <c r="V512" s="3">
        <v>0.75</v>
      </c>
      <c r="W512" s="2">
        <v>0</v>
      </c>
      <c r="X512">
        <v>0</v>
      </c>
      <c r="Y512" t="s">
        <v>60</v>
      </c>
      <c r="Z512" t="s">
        <v>360</v>
      </c>
      <c r="AA512">
        <v>0</v>
      </c>
      <c r="AB512" s="2">
        <v>0</v>
      </c>
      <c r="AC512" s="2">
        <v>0</v>
      </c>
      <c r="AD512" s="3">
        <v>0</v>
      </c>
      <c r="AE512" s="2">
        <v>0</v>
      </c>
      <c r="AF512" s="2">
        <v>0</v>
      </c>
      <c r="AG512" s="2">
        <v>0</v>
      </c>
      <c r="AH512" s="2">
        <v>0</v>
      </c>
      <c r="AI512" s="2">
        <v>0</v>
      </c>
      <c r="AJ512" s="2">
        <v>0</v>
      </c>
      <c r="AK512" s="2">
        <v>0</v>
      </c>
      <c r="AL512" s="2">
        <v>24.28</v>
      </c>
      <c r="AM512" s="2">
        <v>0</v>
      </c>
      <c r="AN512" s="2">
        <v>0</v>
      </c>
      <c r="AO512" s="2">
        <v>0</v>
      </c>
      <c r="AP512" s="2">
        <v>0</v>
      </c>
      <c r="AQ512" s="2">
        <v>0</v>
      </c>
    </row>
    <row r="513" spans="1:43" x14ac:dyDescent="0.25">
      <c r="A513" s="1">
        <v>45936</v>
      </c>
      <c r="B513" t="s">
        <v>48</v>
      </c>
      <c r="C513">
        <v>649163</v>
      </c>
      <c r="D513">
        <v>2030933673</v>
      </c>
      <c r="E513" t="s">
        <v>955</v>
      </c>
      <c r="F513" t="s">
        <v>956</v>
      </c>
      <c r="G513" t="s">
        <v>51</v>
      </c>
      <c r="H513" t="s">
        <v>105</v>
      </c>
      <c r="I513" t="s">
        <v>89</v>
      </c>
      <c r="J513" t="s">
        <v>96</v>
      </c>
      <c r="K513">
        <v>823068</v>
      </c>
      <c r="L513" t="s">
        <v>106</v>
      </c>
      <c r="M513" t="s">
        <v>107</v>
      </c>
      <c r="N513" t="s">
        <v>57</v>
      </c>
      <c r="O513" s="1">
        <v>45909</v>
      </c>
      <c r="Q513" s="1">
        <v>45970</v>
      </c>
      <c r="R513" s="2">
        <v>76.5</v>
      </c>
      <c r="S513">
        <v>1</v>
      </c>
      <c r="T513" t="s">
        <v>58</v>
      </c>
      <c r="U513" t="s">
        <v>59</v>
      </c>
      <c r="V513" s="3">
        <v>0.9</v>
      </c>
      <c r="W513" s="2">
        <v>0</v>
      </c>
      <c r="X513">
        <v>0</v>
      </c>
      <c r="Y513" t="s">
        <v>60</v>
      </c>
      <c r="Z513" t="s">
        <v>360</v>
      </c>
      <c r="AA513">
        <v>0</v>
      </c>
      <c r="AB513" s="2">
        <v>0</v>
      </c>
      <c r="AC513" s="2">
        <v>0</v>
      </c>
      <c r="AD513" s="3">
        <v>0</v>
      </c>
      <c r="AE513" s="2">
        <v>0</v>
      </c>
      <c r="AF513" s="2">
        <v>0</v>
      </c>
      <c r="AG513" s="2">
        <v>0</v>
      </c>
      <c r="AH513" s="2">
        <v>0</v>
      </c>
      <c r="AI513" s="2">
        <v>0</v>
      </c>
      <c r="AJ513" s="2">
        <v>0</v>
      </c>
      <c r="AK513" s="2">
        <v>0</v>
      </c>
      <c r="AL513" s="2">
        <v>68.849999999999994</v>
      </c>
      <c r="AM513" s="2">
        <v>0</v>
      </c>
      <c r="AN513" s="2">
        <v>0</v>
      </c>
      <c r="AO513" s="2">
        <v>0</v>
      </c>
      <c r="AP513" s="2">
        <v>0</v>
      </c>
      <c r="AQ513" s="2">
        <v>0</v>
      </c>
    </row>
    <row r="514" spans="1:43" x14ac:dyDescent="0.25">
      <c r="A514" s="1">
        <v>45936</v>
      </c>
      <c r="B514" t="s">
        <v>48</v>
      </c>
      <c r="C514">
        <v>649163</v>
      </c>
      <c r="D514">
        <v>2030945124</v>
      </c>
      <c r="E514" t="s">
        <v>388</v>
      </c>
      <c r="F514" t="s">
        <v>453</v>
      </c>
      <c r="G514" t="s">
        <v>51</v>
      </c>
      <c r="H514" t="s">
        <v>101</v>
      </c>
      <c r="I514" t="s">
        <v>89</v>
      </c>
      <c r="J514" t="s">
        <v>102</v>
      </c>
      <c r="K514">
        <v>820873</v>
      </c>
      <c r="L514" t="s">
        <v>134</v>
      </c>
      <c r="M514" t="s">
        <v>135</v>
      </c>
      <c r="N514" t="s">
        <v>57</v>
      </c>
      <c r="O514" s="1">
        <v>45909</v>
      </c>
      <c r="Q514" s="1">
        <v>45970</v>
      </c>
      <c r="R514" s="2">
        <v>47.13</v>
      </c>
      <c r="S514">
        <v>1</v>
      </c>
      <c r="T514" t="s">
        <v>58</v>
      </c>
      <c r="U514" t="s">
        <v>59</v>
      </c>
      <c r="V514" s="3">
        <v>0.75</v>
      </c>
      <c r="W514" s="2">
        <v>0</v>
      </c>
      <c r="X514">
        <v>0</v>
      </c>
      <c r="Y514" t="s">
        <v>60</v>
      </c>
      <c r="Z514" t="s">
        <v>360</v>
      </c>
      <c r="AA514">
        <v>0</v>
      </c>
      <c r="AB514" s="2">
        <v>0</v>
      </c>
      <c r="AC514" s="2">
        <v>0</v>
      </c>
      <c r="AD514" s="3">
        <v>0</v>
      </c>
      <c r="AE514" s="2">
        <v>0</v>
      </c>
      <c r="AF514" s="2">
        <v>0</v>
      </c>
      <c r="AG514" s="2">
        <v>0</v>
      </c>
      <c r="AH514" s="2">
        <v>0</v>
      </c>
      <c r="AI514" s="2">
        <v>0</v>
      </c>
      <c r="AJ514" s="2">
        <v>0</v>
      </c>
      <c r="AK514" s="2">
        <v>0</v>
      </c>
      <c r="AL514" s="2">
        <v>35.35</v>
      </c>
      <c r="AM514" s="2">
        <v>0</v>
      </c>
      <c r="AN514" s="2">
        <v>0</v>
      </c>
      <c r="AO514" s="2">
        <v>0</v>
      </c>
      <c r="AP514" s="2">
        <v>0</v>
      </c>
      <c r="AQ514" s="2">
        <v>0</v>
      </c>
    </row>
    <row r="515" spans="1:43" x14ac:dyDescent="0.25">
      <c r="A515" s="1">
        <v>45936</v>
      </c>
      <c r="B515" t="s">
        <v>48</v>
      </c>
      <c r="C515">
        <v>649163</v>
      </c>
      <c r="D515">
        <v>2030951715</v>
      </c>
      <c r="E515" t="s">
        <v>957</v>
      </c>
      <c r="F515" t="s">
        <v>708</v>
      </c>
      <c r="G515" t="s">
        <v>51</v>
      </c>
      <c r="H515" t="s">
        <v>105</v>
      </c>
      <c r="I515" t="s">
        <v>89</v>
      </c>
      <c r="J515" t="s">
        <v>96</v>
      </c>
      <c r="K515">
        <v>652037</v>
      </c>
      <c r="L515" t="s">
        <v>172</v>
      </c>
      <c r="M515" t="s">
        <v>173</v>
      </c>
      <c r="N515" t="s">
        <v>57</v>
      </c>
      <c r="O515" s="1">
        <v>45910</v>
      </c>
      <c r="Q515" s="1">
        <v>45971</v>
      </c>
      <c r="R515" s="2">
        <v>38.67</v>
      </c>
      <c r="S515">
        <v>1</v>
      </c>
      <c r="T515" t="s">
        <v>58</v>
      </c>
      <c r="U515" t="s">
        <v>59</v>
      </c>
      <c r="V515" s="3">
        <v>0.9</v>
      </c>
      <c r="W515" s="2">
        <v>0</v>
      </c>
      <c r="X515">
        <v>0</v>
      </c>
      <c r="Y515" t="s">
        <v>60</v>
      </c>
      <c r="Z515" t="s">
        <v>360</v>
      </c>
      <c r="AA515">
        <v>0</v>
      </c>
      <c r="AB515" s="2">
        <v>0</v>
      </c>
      <c r="AC515" s="2">
        <v>0</v>
      </c>
      <c r="AD515" s="3">
        <v>0</v>
      </c>
      <c r="AE515" s="2">
        <v>0</v>
      </c>
      <c r="AF515" s="2">
        <v>0</v>
      </c>
      <c r="AG515" s="2">
        <v>0</v>
      </c>
      <c r="AH515" s="2">
        <v>0</v>
      </c>
      <c r="AI515" s="2">
        <v>0</v>
      </c>
      <c r="AJ515" s="2">
        <v>0</v>
      </c>
      <c r="AK515" s="2">
        <v>0</v>
      </c>
      <c r="AL515" s="2">
        <v>34.799999999999997</v>
      </c>
      <c r="AM515" s="2">
        <v>0</v>
      </c>
      <c r="AN515" s="2">
        <v>0</v>
      </c>
      <c r="AO515" s="2">
        <v>0</v>
      </c>
      <c r="AP515" s="2">
        <v>0</v>
      </c>
      <c r="AQ515" s="2">
        <v>0</v>
      </c>
    </row>
    <row r="516" spans="1:43" x14ac:dyDescent="0.25">
      <c r="A516" s="1">
        <v>45936</v>
      </c>
      <c r="B516" t="s">
        <v>48</v>
      </c>
      <c r="C516">
        <v>649163</v>
      </c>
      <c r="D516">
        <v>2030963809</v>
      </c>
      <c r="E516" t="s">
        <v>958</v>
      </c>
      <c r="F516" t="s">
        <v>959</v>
      </c>
      <c r="G516" t="s">
        <v>51</v>
      </c>
      <c r="H516" t="s">
        <v>88</v>
      </c>
      <c r="I516" t="s">
        <v>89</v>
      </c>
      <c r="J516" t="s">
        <v>102</v>
      </c>
      <c r="K516">
        <v>673059</v>
      </c>
      <c r="L516" t="s">
        <v>80</v>
      </c>
      <c r="M516" t="s">
        <v>81</v>
      </c>
      <c r="N516" t="s">
        <v>57</v>
      </c>
      <c r="O516" s="1">
        <v>45910</v>
      </c>
      <c r="Q516" s="1">
        <v>45971</v>
      </c>
      <c r="R516" s="2">
        <v>74.290000000000006</v>
      </c>
      <c r="S516">
        <v>1</v>
      </c>
      <c r="T516" t="s">
        <v>58</v>
      </c>
      <c r="U516" t="s">
        <v>59</v>
      </c>
      <c r="V516" s="3">
        <v>0.75</v>
      </c>
      <c r="W516" s="2">
        <v>0</v>
      </c>
      <c r="X516">
        <v>0</v>
      </c>
      <c r="Y516" t="s">
        <v>60</v>
      </c>
      <c r="Z516" t="s">
        <v>360</v>
      </c>
      <c r="AA516">
        <v>0</v>
      </c>
      <c r="AB516" s="2">
        <v>0</v>
      </c>
      <c r="AC516" s="2">
        <v>0</v>
      </c>
      <c r="AD516" s="3">
        <v>0</v>
      </c>
      <c r="AE516" s="2">
        <v>0</v>
      </c>
      <c r="AF516" s="2">
        <v>0</v>
      </c>
      <c r="AG516" s="2">
        <v>0</v>
      </c>
      <c r="AH516" s="2">
        <v>0</v>
      </c>
      <c r="AI516" s="2">
        <v>0</v>
      </c>
      <c r="AJ516" s="2">
        <v>0</v>
      </c>
      <c r="AK516" s="2">
        <v>0</v>
      </c>
      <c r="AL516" s="2">
        <v>55.72</v>
      </c>
      <c r="AM516" s="2">
        <v>0</v>
      </c>
      <c r="AN516" s="2">
        <v>0</v>
      </c>
      <c r="AO516" s="2">
        <v>0</v>
      </c>
      <c r="AP516" s="2">
        <v>0</v>
      </c>
      <c r="AQ516" s="2">
        <v>0</v>
      </c>
    </row>
    <row r="517" spans="1:43" x14ac:dyDescent="0.25">
      <c r="A517" s="1">
        <v>45936</v>
      </c>
      <c r="B517" t="s">
        <v>48</v>
      </c>
      <c r="C517">
        <v>649163</v>
      </c>
      <c r="D517">
        <v>2016750309</v>
      </c>
      <c r="E517" t="s">
        <v>357</v>
      </c>
      <c r="F517" t="s">
        <v>358</v>
      </c>
      <c r="G517" t="s">
        <v>51</v>
      </c>
      <c r="H517" t="s">
        <v>88</v>
      </c>
      <c r="I517" t="s">
        <v>209</v>
      </c>
      <c r="J517" t="s">
        <v>210</v>
      </c>
      <c r="K517">
        <v>652037</v>
      </c>
      <c r="L517" t="s">
        <v>172</v>
      </c>
      <c r="M517" t="s">
        <v>173</v>
      </c>
      <c r="N517" t="s">
        <v>57</v>
      </c>
      <c r="O517" s="1">
        <v>44873</v>
      </c>
      <c r="Q517" s="1">
        <v>45969</v>
      </c>
      <c r="R517" s="2">
        <v>0</v>
      </c>
      <c r="S517">
        <v>1</v>
      </c>
      <c r="T517" t="s">
        <v>58</v>
      </c>
      <c r="U517" t="s">
        <v>359</v>
      </c>
      <c r="V517" s="4">
        <v>6.5000000000000002E-2</v>
      </c>
      <c r="W517" s="2">
        <v>0</v>
      </c>
      <c r="X517">
        <v>0</v>
      </c>
      <c r="Y517" t="s">
        <v>214</v>
      </c>
      <c r="Z517" t="s">
        <v>360</v>
      </c>
      <c r="AA517">
        <v>0</v>
      </c>
      <c r="AB517" s="2">
        <v>0</v>
      </c>
      <c r="AC517" s="2">
        <v>0</v>
      </c>
      <c r="AD517" s="3">
        <v>0</v>
      </c>
      <c r="AE517" s="2">
        <v>0</v>
      </c>
      <c r="AF517" s="2">
        <v>0</v>
      </c>
      <c r="AG517" s="2">
        <v>0</v>
      </c>
      <c r="AH517" s="2">
        <v>0</v>
      </c>
      <c r="AI517" s="2">
        <v>0</v>
      </c>
      <c r="AJ517" s="2">
        <v>0</v>
      </c>
      <c r="AK517" s="2">
        <v>0</v>
      </c>
      <c r="AL517" s="2">
        <v>0</v>
      </c>
      <c r="AM517" s="2">
        <v>0</v>
      </c>
      <c r="AN517" s="2">
        <v>0</v>
      </c>
      <c r="AO517" s="2">
        <v>0</v>
      </c>
      <c r="AP517" s="2">
        <v>0</v>
      </c>
      <c r="AQ517" s="2">
        <v>0</v>
      </c>
    </row>
    <row r="518" spans="1:43" x14ac:dyDescent="0.25">
      <c r="A518" s="1">
        <v>45936</v>
      </c>
      <c r="B518" t="s">
        <v>48</v>
      </c>
      <c r="C518">
        <v>649163</v>
      </c>
      <c r="D518">
        <v>2016855835</v>
      </c>
      <c r="E518" t="s">
        <v>634</v>
      </c>
      <c r="F518" t="s">
        <v>362</v>
      </c>
      <c r="G518" t="s">
        <v>51</v>
      </c>
      <c r="H518" t="s">
        <v>70</v>
      </c>
      <c r="I518" t="s">
        <v>209</v>
      </c>
      <c r="J518" t="s">
        <v>210</v>
      </c>
      <c r="K518">
        <v>652037</v>
      </c>
      <c r="L518" t="s">
        <v>172</v>
      </c>
      <c r="M518" t="s">
        <v>173</v>
      </c>
      <c r="N518" t="s">
        <v>57</v>
      </c>
      <c r="O518" s="1">
        <v>44896</v>
      </c>
      <c r="Q518" s="1">
        <v>45962</v>
      </c>
      <c r="R518" s="2">
        <v>0</v>
      </c>
      <c r="S518">
        <v>1</v>
      </c>
      <c r="T518" t="s">
        <v>58</v>
      </c>
      <c r="U518" t="s">
        <v>359</v>
      </c>
      <c r="V518" s="4">
        <v>6.5000000000000002E-2</v>
      </c>
      <c r="W518" s="2">
        <v>0</v>
      </c>
      <c r="X518">
        <v>0</v>
      </c>
      <c r="Y518" t="s">
        <v>214</v>
      </c>
      <c r="Z518" t="s">
        <v>360</v>
      </c>
      <c r="AA518">
        <v>0</v>
      </c>
      <c r="AB518" s="2">
        <v>0</v>
      </c>
      <c r="AC518" s="2">
        <v>0</v>
      </c>
      <c r="AD518" s="3">
        <v>0</v>
      </c>
      <c r="AE518" s="2">
        <v>0</v>
      </c>
      <c r="AF518" s="2">
        <v>0</v>
      </c>
      <c r="AG518" s="2">
        <v>0</v>
      </c>
      <c r="AH518" s="2">
        <v>0</v>
      </c>
      <c r="AI518" s="2">
        <v>0</v>
      </c>
      <c r="AJ518" s="2">
        <v>0</v>
      </c>
      <c r="AK518" s="2">
        <v>0</v>
      </c>
      <c r="AL518" s="2">
        <v>0</v>
      </c>
      <c r="AM518" s="2">
        <v>0</v>
      </c>
      <c r="AN518" s="2">
        <v>0</v>
      </c>
      <c r="AO518" s="2">
        <v>0</v>
      </c>
      <c r="AP518" s="2">
        <v>0</v>
      </c>
      <c r="AQ518" s="2">
        <v>0</v>
      </c>
    </row>
    <row r="519" spans="1:43" x14ac:dyDescent="0.25">
      <c r="A519" s="1">
        <v>45936</v>
      </c>
      <c r="B519" t="s">
        <v>48</v>
      </c>
      <c r="C519">
        <v>649163</v>
      </c>
      <c r="D519">
        <v>2016954035</v>
      </c>
      <c r="E519" t="s">
        <v>513</v>
      </c>
      <c r="F519" t="s">
        <v>636</v>
      </c>
      <c r="G519" t="s">
        <v>51</v>
      </c>
      <c r="H519" t="s">
        <v>70</v>
      </c>
      <c r="I519" t="s">
        <v>209</v>
      </c>
      <c r="J519" t="s">
        <v>210</v>
      </c>
      <c r="K519">
        <v>649164</v>
      </c>
      <c r="L519" t="s">
        <v>211</v>
      </c>
      <c r="M519" t="s">
        <v>212</v>
      </c>
      <c r="N519" t="s">
        <v>57</v>
      </c>
      <c r="O519" s="1">
        <v>44927</v>
      </c>
      <c r="Q519" s="1">
        <v>45962</v>
      </c>
      <c r="R519" s="2">
        <v>0</v>
      </c>
      <c r="S519">
        <v>1</v>
      </c>
      <c r="T519" t="s">
        <v>58</v>
      </c>
      <c r="U519" t="s">
        <v>359</v>
      </c>
      <c r="V519" s="4">
        <v>6.5000000000000002E-2</v>
      </c>
      <c r="W519" s="2">
        <v>0</v>
      </c>
      <c r="X519">
        <v>0</v>
      </c>
      <c r="Y519" t="s">
        <v>214</v>
      </c>
      <c r="Z519" t="s">
        <v>360</v>
      </c>
      <c r="AA519">
        <v>0</v>
      </c>
      <c r="AB519" s="2">
        <v>0</v>
      </c>
      <c r="AC519" s="2">
        <v>0</v>
      </c>
      <c r="AD519" s="3">
        <v>0</v>
      </c>
      <c r="AE519" s="2">
        <v>0</v>
      </c>
      <c r="AF519" s="2">
        <v>0</v>
      </c>
      <c r="AG519" s="2">
        <v>0</v>
      </c>
      <c r="AH519" s="2">
        <v>0</v>
      </c>
      <c r="AI519" s="2">
        <v>0</v>
      </c>
      <c r="AJ519" s="2">
        <v>0</v>
      </c>
      <c r="AK519" s="2">
        <v>0</v>
      </c>
      <c r="AL519" s="2">
        <v>0</v>
      </c>
      <c r="AM519" s="2">
        <v>0</v>
      </c>
      <c r="AN519" s="2">
        <v>0</v>
      </c>
      <c r="AO519" s="2">
        <v>0</v>
      </c>
      <c r="AP519" s="2">
        <v>0</v>
      </c>
      <c r="AQ519" s="2">
        <v>0</v>
      </c>
    </row>
    <row r="520" spans="1:43" x14ac:dyDescent="0.25">
      <c r="A520" s="1">
        <v>45936</v>
      </c>
      <c r="B520" t="s">
        <v>48</v>
      </c>
      <c r="C520">
        <v>649163</v>
      </c>
      <c r="D520">
        <v>2017242802</v>
      </c>
      <c r="E520" t="s">
        <v>542</v>
      </c>
      <c r="F520" t="s">
        <v>543</v>
      </c>
      <c r="G520" t="s">
        <v>51</v>
      </c>
      <c r="H520" t="s">
        <v>88</v>
      </c>
      <c r="I520" t="s">
        <v>209</v>
      </c>
      <c r="J520" t="s">
        <v>210</v>
      </c>
      <c r="K520">
        <v>652037</v>
      </c>
      <c r="L520" t="s">
        <v>172</v>
      </c>
      <c r="M520" t="s">
        <v>173</v>
      </c>
      <c r="N520" t="s">
        <v>57</v>
      </c>
      <c r="O520" s="1">
        <v>44930</v>
      </c>
      <c r="Q520" s="1">
        <v>45965</v>
      </c>
      <c r="R520" s="2">
        <v>0</v>
      </c>
      <c r="S520">
        <v>1</v>
      </c>
      <c r="T520" t="s">
        <v>58</v>
      </c>
      <c r="U520" t="s">
        <v>359</v>
      </c>
      <c r="V520" s="4">
        <v>6.5000000000000002E-2</v>
      </c>
      <c r="W520" s="2">
        <v>0</v>
      </c>
      <c r="X520">
        <v>0</v>
      </c>
      <c r="Y520" t="s">
        <v>214</v>
      </c>
      <c r="Z520" t="s">
        <v>360</v>
      </c>
      <c r="AA520">
        <v>0</v>
      </c>
      <c r="AB520" s="2">
        <v>0</v>
      </c>
      <c r="AC520" s="2">
        <v>0</v>
      </c>
      <c r="AD520" s="3">
        <v>0</v>
      </c>
      <c r="AE520" s="2">
        <v>0</v>
      </c>
      <c r="AF520" s="2">
        <v>0</v>
      </c>
      <c r="AG520" s="2">
        <v>0</v>
      </c>
      <c r="AH520" s="2">
        <v>0</v>
      </c>
      <c r="AI520" s="2">
        <v>0</v>
      </c>
      <c r="AJ520" s="2">
        <v>0</v>
      </c>
      <c r="AK520" s="2">
        <v>0</v>
      </c>
      <c r="AL520" s="2">
        <v>0</v>
      </c>
      <c r="AM520" s="2">
        <v>0</v>
      </c>
      <c r="AN520" s="2">
        <v>0</v>
      </c>
      <c r="AO520" s="2">
        <v>0</v>
      </c>
      <c r="AP520" s="2">
        <v>0</v>
      </c>
      <c r="AQ520" s="2">
        <v>0</v>
      </c>
    </row>
    <row r="521" spans="1:43" x14ac:dyDescent="0.25">
      <c r="A521" s="1">
        <v>45936</v>
      </c>
      <c r="B521" t="s">
        <v>48</v>
      </c>
      <c r="C521">
        <v>649163</v>
      </c>
      <c r="D521">
        <v>2017539418</v>
      </c>
      <c r="E521" t="s">
        <v>568</v>
      </c>
      <c r="F521" t="s">
        <v>569</v>
      </c>
      <c r="G521" t="s">
        <v>51</v>
      </c>
      <c r="H521" t="s">
        <v>427</v>
      </c>
      <c r="I521" t="s">
        <v>209</v>
      </c>
      <c r="J521" t="s">
        <v>210</v>
      </c>
      <c r="K521">
        <v>649793</v>
      </c>
      <c r="L521" t="s">
        <v>80</v>
      </c>
      <c r="M521" t="s">
        <v>537</v>
      </c>
      <c r="N521" t="s">
        <v>57</v>
      </c>
      <c r="O521" s="1">
        <v>44986</v>
      </c>
      <c r="Q521" s="1">
        <v>45962</v>
      </c>
      <c r="R521" s="2">
        <v>0</v>
      </c>
      <c r="S521">
        <v>1</v>
      </c>
      <c r="T521" t="s">
        <v>58</v>
      </c>
      <c r="U521" t="s">
        <v>359</v>
      </c>
      <c r="V521" s="4">
        <v>6.5000000000000002E-2</v>
      </c>
      <c r="W521" s="2">
        <v>0</v>
      </c>
      <c r="X521">
        <v>0</v>
      </c>
      <c r="Y521" t="s">
        <v>214</v>
      </c>
      <c r="Z521" t="s">
        <v>360</v>
      </c>
      <c r="AA521">
        <v>0</v>
      </c>
      <c r="AB521" s="2">
        <v>0</v>
      </c>
      <c r="AC521" s="2">
        <v>0</v>
      </c>
      <c r="AD521" s="3">
        <v>0</v>
      </c>
      <c r="AE521" s="2">
        <v>0</v>
      </c>
      <c r="AF521" s="2">
        <v>0</v>
      </c>
      <c r="AG521" s="2">
        <v>0</v>
      </c>
      <c r="AH521" s="2">
        <v>0</v>
      </c>
      <c r="AI521" s="2">
        <v>0</v>
      </c>
      <c r="AJ521" s="2">
        <v>0</v>
      </c>
      <c r="AK521" s="2">
        <v>0</v>
      </c>
      <c r="AL521" s="2">
        <v>0</v>
      </c>
      <c r="AM521" s="2">
        <v>0</v>
      </c>
      <c r="AN521" s="2">
        <v>0</v>
      </c>
      <c r="AO521" s="2">
        <v>0</v>
      </c>
      <c r="AP521" s="2">
        <v>0</v>
      </c>
      <c r="AQ521" s="2">
        <v>0</v>
      </c>
    </row>
    <row r="522" spans="1:43" x14ac:dyDescent="0.25">
      <c r="A522" s="1">
        <v>45936</v>
      </c>
      <c r="B522" t="s">
        <v>48</v>
      </c>
      <c r="C522">
        <v>649163</v>
      </c>
      <c r="D522">
        <v>2017624588</v>
      </c>
      <c r="E522" t="s">
        <v>637</v>
      </c>
      <c r="F522" t="s">
        <v>224</v>
      </c>
      <c r="G522" t="s">
        <v>51</v>
      </c>
      <c r="H522" t="s">
        <v>70</v>
      </c>
      <c r="I522" t="s">
        <v>209</v>
      </c>
      <c r="J522" t="s">
        <v>210</v>
      </c>
      <c r="K522">
        <v>650794</v>
      </c>
      <c r="L522" t="s">
        <v>172</v>
      </c>
      <c r="M522" t="s">
        <v>624</v>
      </c>
      <c r="N522" t="s">
        <v>57</v>
      </c>
      <c r="O522" s="1">
        <v>44967</v>
      </c>
      <c r="Q522" s="1">
        <v>45971</v>
      </c>
      <c r="R522" s="2">
        <v>0</v>
      </c>
      <c r="S522">
        <v>1</v>
      </c>
      <c r="T522" t="s">
        <v>58</v>
      </c>
      <c r="U522" t="s">
        <v>359</v>
      </c>
      <c r="V522" s="4">
        <v>6.5000000000000002E-2</v>
      </c>
      <c r="W522" s="2">
        <v>0</v>
      </c>
      <c r="X522">
        <v>0</v>
      </c>
      <c r="Y522" t="s">
        <v>214</v>
      </c>
      <c r="Z522" t="s">
        <v>360</v>
      </c>
      <c r="AA522">
        <v>0</v>
      </c>
      <c r="AB522" s="2">
        <v>0</v>
      </c>
      <c r="AC522" s="2">
        <v>0</v>
      </c>
      <c r="AD522" s="3">
        <v>0</v>
      </c>
      <c r="AE522" s="2">
        <v>0</v>
      </c>
      <c r="AF522" s="2">
        <v>0</v>
      </c>
      <c r="AG522" s="2">
        <v>0</v>
      </c>
      <c r="AH522" s="2">
        <v>0</v>
      </c>
      <c r="AI522" s="2">
        <v>0</v>
      </c>
      <c r="AJ522" s="2">
        <v>0</v>
      </c>
      <c r="AK522" s="2">
        <v>0</v>
      </c>
      <c r="AL522" s="2">
        <v>0</v>
      </c>
      <c r="AM522" s="2">
        <v>0</v>
      </c>
      <c r="AN522" s="2">
        <v>0</v>
      </c>
      <c r="AO522" s="2">
        <v>0</v>
      </c>
      <c r="AP522" s="2">
        <v>0</v>
      </c>
      <c r="AQ522" s="2">
        <v>0</v>
      </c>
    </row>
    <row r="523" spans="1:43" x14ac:dyDescent="0.25">
      <c r="A523" s="1">
        <v>45936</v>
      </c>
      <c r="B523" t="s">
        <v>48</v>
      </c>
      <c r="C523">
        <v>649163</v>
      </c>
      <c r="D523">
        <v>2018439353</v>
      </c>
      <c r="E523" t="s">
        <v>574</v>
      </c>
      <c r="F523" t="s">
        <v>575</v>
      </c>
      <c r="G523" t="s">
        <v>51</v>
      </c>
      <c r="H523" t="s">
        <v>70</v>
      </c>
      <c r="I523" t="s">
        <v>209</v>
      </c>
      <c r="J523" t="s">
        <v>210</v>
      </c>
      <c r="K523">
        <v>678320</v>
      </c>
      <c r="L523" t="s">
        <v>576</v>
      </c>
      <c r="M523" t="s">
        <v>139</v>
      </c>
      <c r="N523" t="s">
        <v>57</v>
      </c>
      <c r="O523" s="1">
        <v>45047</v>
      </c>
      <c r="Q523" s="1">
        <v>45962</v>
      </c>
      <c r="R523" s="2">
        <v>0</v>
      </c>
      <c r="S523">
        <v>1</v>
      </c>
      <c r="T523" t="s">
        <v>58</v>
      </c>
      <c r="U523" t="s">
        <v>359</v>
      </c>
      <c r="V523" s="4">
        <v>6.5000000000000002E-2</v>
      </c>
      <c r="W523" s="2">
        <v>0</v>
      </c>
      <c r="X523">
        <v>0</v>
      </c>
      <c r="Y523" t="s">
        <v>214</v>
      </c>
      <c r="Z523" t="s">
        <v>360</v>
      </c>
      <c r="AA523">
        <v>0</v>
      </c>
      <c r="AB523" s="2">
        <v>0</v>
      </c>
      <c r="AC523" s="2">
        <v>0</v>
      </c>
      <c r="AD523" s="3">
        <v>0</v>
      </c>
      <c r="AE523" s="2">
        <v>0</v>
      </c>
      <c r="AF523" s="2">
        <v>0</v>
      </c>
      <c r="AG523" s="2">
        <v>0</v>
      </c>
      <c r="AH523" s="2">
        <v>0</v>
      </c>
      <c r="AI523" s="2">
        <v>0</v>
      </c>
      <c r="AJ523" s="2">
        <v>0</v>
      </c>
      <c r="AK523" s="2">
        <v>0</v>
      </c>
      <c r="AL523" s="2">
        <v>0</v>
      </c>
      <c r="AM523" s="2">
        <v>0</v>
      </c>
      <c r="AN523" s="2">
        <v>0</v>
      </c>
      <c r="AO523" s="2">
        <v>0</v>
      </c>
      <c r="AP523" s="2">
        <v>0</v>
      </c>
      <c r="AQ523" s="2">
        <v>0</v>
      </c>
    </row>
    <row r="524" spans="1:43" x14ac:dyDescent="0.25">
      <c r="A524" s="1">
        <v>45936</v>
      </c>
      <c r="B524" t="s">
        <v>48</v>
      </c>
      <c r="C524">
        <v>649163</v>
      </c>
      <c r="D524">
        <v>2018472293</v>
      </c>
      <c r="E524" t="s">
        <v>577</v>
      </c>
      <c r="F524" t="s">
        <v>578</v>
      </c>
      <c r="G524" t="s">
        <v>51</v>
      </c>
      <c r="H524" t="s">
        <v>70</v>
      </c>
      <c r="I524" t="s">
        <v>209</v>
      </c>
      <c r="J524" t="s">
        <v>210</v>
      </c>
      <c r="K524">
        <v>678320</v>
      </c>
      <c r="L524" t="s">
        <v>576</v>
      </c>
      <c r="M524" t="s">
        <v>139</v>
      </c>
      <c r="N524" t="s">
        <v>57</v>
      </c>
      <c r="O524" s="1">
        <v>45047</v>
      </c>
      <c r="Q524" s="1">
        <v>45962</v>
      </c>
      <c r="R524" s="2">
        <v>0</v>
      </c>
      <c r="S524">
        <v>1</v>
      </c>
      <c r="T524" t="s">
        <v>58</v>
      </c>
      <c r="U524" t="s">
        <v>359</v>
      </c>
      <c r="V524" s="4">
        <v>6.5000000000000002E-2</v>
      </c>
      <c r="W524" s="2">
        <v>0</v>
      </c>
      <c r="X524">
        <v>0</v>
      </c>
      <c r="Y524" t="s">
        <v>214</v>
      </c>
      <c r="Z524" t="s">
        <v>360</v>
      </c>
      <c r="AA524">
        <v>0</v>
      </c>
      <c r="AB524" s="2">
        <v>0</v>
      </c>
      <c r="AC524" s="2">
        <v>0</v>
      </c>
      <c r="AD524" s="3">
        <v>0</v>
      </c>
      <c r="AE524" s="2">
        <v>0</v>
      </c>
      <c r="AF524" s="2">
        <v>0</v>
      </c>
      <c r="AG524" s="2">
        <v>0</v>
      </c>
      <c r="AH524" s="2">
        <v>0</v>
      </c>
      <c r="AI524" s="2">
        <v>0</v>
      </c>
      <c r="AJ524" s="2">
        <v>0</v>
      </c>
      <c r="AK524" s="2">
        <v>0</v>
      </c>
      <c r="AL524" s="2">
        <v>0</v>
      </c>
      <c r="AM524" s="2">
        <v>0</v>
      </c>
      <c r="AN524" s="2">
        <v>0</v>
      </c>
      <c r="AO524" s="2">
        <v>0</v>
      </c>
      <c r="AP524" s="2">
        <v>0</v>
      </c>
      <c r="AQ524" s="2">
        <v>0</v>
      </c>
    </row>
    <row r="525" spans="1:43" x14ac:dyDescent="0.25">
      <c r="A525" s="1">
        <v>45936</v>
      </c>
      <c r="B525" t="s">
        <v>48</v>
      </c>
      <c r="C525">
        <v>649163</v>
      </c>
      <c r="D525">
        <v>2018775433</v>
      </c>
      <c r="E525" t="s">
        <v>581</v>
      </c>
      <c r="F525" t="s">
        <v>132</v>
      </c>
      <c r="G525" t="s">
        <v>51</v>
      </c>
      <c r="H525" t="s">
        <v>247</v>
      </c>
      <c r="I525" t="s">
        <v>209</v>
      </c>
      <c r="J525" t="s">
        <v>960</v>
      </c>
      <c r="K525">
        <v>673059</v>
      </c>
      <c r="L525" t="s">
        <v>80</v>
      </c>
      <c r="M525" t="s">
        <v>81</v>
      </c>
      <c r="N525" t="s">
        <v>57</v>
      </c>
      <c r="O525" s="1">
        <v>45078</v>
      </c>
      <c r="Q525" s="1">
        <v>45962</v>
      </c>
      <c r="R525" s="2">
        <v>15</v>
      </c>
      <c r="S525">
        <v>1</v>
      </c>
      <c r="T525" t="s">
        <v>58</v>
      </c>
      <c r="U525" t="s">
        <v>359</v>
      </c>
      <c r="V525" s="3">
        <v>0.19</v>
      </c>
      <c r="W525" s="2">
        <v>0</v>
      </c>
      <c r="X525">
        <v>0</v>
      </c>
      <c r="Y525" t="s">
        <v>214</v>
      </c>
      <c r="Z525" t="s">
        <v>360</v>
      </c>
      <c r="AA525">
        <v>0</v>
      </c>
      <c r="AB525" s="2">
        <v>0</v>
      </c>
      <c r="AC525" s="2">
        <v>0</v>
      </c>
      <c r="AD525" s="3">
        <v>0</v>
      </c>
      <c r="AE525" s="2">
        <v>0</v>
      </c>
      <c r="AF525" s="2">
        <v>0</v>
      </c>
      <c r="AG525" s="2">
        <v>0</v>
      </c>
      <c r="AH525" s="2">
        <v>0</v>
      </c>
      <c r="AI525" s="2">
        <v>0</v>
      </c>
      <c r="AJ525" s="2">
        <v>0</v>
      </c>
      <c r="AK525" s="2">
        <v>0</v>
      </c>
      <c r="AL525" s="2">
        <v>0</v>
      </c>
      <c r="AM525" s="2">
        <v>2.85</v>
      </c>
      <c r="AN525" s="2">
        <v>2.85</v>
      </c>
      <c r="AO525" s="2">
        <v>0</v>
      </c>
      <c r="AP525" s="2">
        <v>0</v>
      </c>
      <c r="AQ525" s="2">
        <v>0</v>
      </c>
    </row>
    <row r="526" spans="1:43" x14ac:dyDescent="0.25">
      <c r="A526" s="1">
        <v>45936</v>
      </c>
      <c r="B526" t="s">
        <v>48</v>
      </c>
      <c r="C526">
        <v>649163</v>
      </c>
      <c r="D526">
        <v>2020435111</v>
      </c>
      <c r="E526" t="s">
        <v>148</v>
      </c>
      <c r="F526" t="s">
        <v>194</v>
      </c>
      <c r="G526" t="s">
        <v>51</v>
      </c>
      <c r="H526" t="s">
        <v>129</v>
      </c>
      <c r="I526" t="s">
        <v>209</v>
      </c>
      <c r="J526" t="s">
        <v>961</v>
      </c>
      <c r="K526">
        <v>651818</v>
      </c>
      <c r="L526" t="s">
        <v>112</v>
      </c>
      <c r="M526" t="s">
        <v>104</v>
      </c>
      <c r="N526" t="s">
        <v>57</v>
      </c>
      <c r="O526" s="1">
        <v>45231</v>
      </c>
      <c r="Q526" s="1">
        <v>45962</v>
      </c>
      <c r="R526" s="2">
        <v>-15</v>
      </c>
      <c r="S526">
        <v>1</v>
      </c>
      <c r="T526" t="s">
        <v>58</v>
      </c>
      <c r="U526" t="s">
        <v>359</v>
      </c>
      <c r="V526" s="3">
        <v>0.05</v>
      </c>
      <c r="W526" s="2">
        <v>0</v>
      </c>
      <c r="X526">
        <v>-1</v>
      </c>
      <c r="Y526" t="s">
        <v>214</v>
      </c>
      <c r="Z526" t="s">
        <v>360</v>
      </c>
      <c r="AA526">
        <v>0</v>
      </c>
      <c r="AB526" s="2">
        <v>0</v>
      </c>
      <c r="AC526" s="2">
        <v>0</v>
      </c>
      <c r="AD526" s="3">
        <v>0</v>
      </c>
      <c r="AE526" s="2">
        <v>0</v>
      </c>
      <c r="AF526" s="2">
        <v>0</v>
      </c>
      <c r="AG526" s="2">
        <v>0</v>
      </c>
      <c r="AH526" s="2">
        <v>0</v>
      </c>
      <c r="AI526" s="2">
        <v>0</v>
      </c>
      <c r="AJ526" s="2">
        <v>0</v>
      </c>
      <c r="AK526" s="2">
        <v>0</v>
      </c>
      <c r="AL526" s="2">
        <v>0</v>
      </c>
      <c r="AM526" s="2">
        <v>-0.75</v>
      </c>
      <c r="AN526" s="2">
        <v>-0.75</v>
      </c>
      <c r="AO526" s="2">
        <v>0</v>
      </c>
      <c r="AP526" s="2">
        <v>0</v>
      </c>
      <c r="AQ526" s="2">
        <v>0</v>
      </c>
    </row>
    <row r="527" spans="1:43" x14ac:dyDescent="0.25">
      <c r="A527" s="1">
        <v>45936</v>
      </c>
      <c r="B527" t="s">
        <v>48</v>
      </c>
      <c r="C527">
        <v>649163</v>
      </c>
      <c r="D527">
        <v>2020720599</v>
      </c>
      <c r="E527" t="s">
        <v>611</v>
      </c>
      <c r="F527" t="s">
        <v>63</v>
      </c>
      <c r="G527" t="s">
        <v>51</v>
      </c>
      <c r="H527" t="s">
        <v>70</v>
      </c>
      <c r="I527" t="s">
        <v>209</v>
      </c>
      <c r="J527" t="s">
        <v>210</v>
      </c>
      <c r="K527">
        <v>649164</v>
      </c>
      <c r="L527" t="s">
        <v>211</v>
      </c>
      <c r="M527" t="s">
        <v>212</v>
      </c>
      <c r="N527" t="s">
        <v>57</v>
      </c>
      <c r="O527" s="1">
        <v>45261</v>
      </c>
      <c r="Q527" s="1">
        <v>45962</v>
      </c>
      <c r="R527" s="2">
        <v>0</v>
      </c>
      <c r="S527">
        <v>1</v>
      </c>
      <c r="T527" t="s">
        <v>58</v>
      </c>
      <c r="U527" t="s">
        <v>359</v>
      </c>
      <c r="V527" s="4">
        <v>6.5000000000000002E-2</v>
      </c>
      <c r="W527" s="2">
        <v>0</v>
      </c>
      <c r="X527">
        <v>0</v>
      </c>
      <c r="Y527" t="s">
        <v>214</v>
      </c>
      <c r="Z527" t="s">
        <v>360</v>
      </c>
      <c r="AA527">
        <v>0</v>
      </c>
      <c r="AB527" s="2">
        <v>0</v>
      </c>
      <c r="AC527" s="2">
        <v>0</v>
      </c>
      <c r="AD527" s="3">
        <v>0</v>
      </c>
      <c r="AE527" s="2">
        <v>0</v>
      </c>
      <c r="AF527" s="2">
        <v>0</v>
      </c>
      <c r="AG527" s="2">
        <v>0</v>
      </c>
      <c r="AH527" s="2">
        <v>0</v>
      </c>
      <c r="AI527" s="2">
        <v>0</v>
      </c>
      <c r="AJ527" s="2">
        <v>0</v>
      </c>
      <c r="AK527" s="2">
        <v>0</v>
      </c>
      <c r="AL527" s="2">
        <v>0</v>
      </c>
      <c r="AM527" s="2">
        <v>0</v>
      </c>
      <c r="AN527" s="2">
        <v>0</v>
      </c>
      <c r="AO527" s="2">
        <v>0</v>
      </c>
      <c r="AP527" s="2">
        <v>0</v>
      </c>
      <c r="AQ527" s="2">
        <v>0</v>
      </c>
    </row>
    <row r="528" spans="1:43" x14ac:dyDescent="0.25">
      <c r="A528" s="1">
        <v>45936</v>
      </c>
      <c r="B528" t="s">
        <v>48</v>
      </c>
      <c r="C528">
        <v>649163</v>
      </c>
      <c r="D528">
        <v>2020736332</v>
      </c>
      <c r="E528" t="s">
        <v>611</v>
      </c>
      <c r="F528" t="s">
        <v>612</v>
      </c>
      <c r="G528" t="s">
        <v>51</v>
      </c>
      <c r="H528" t="s">
        <v>70</v>
      </c>
      <c r="I528" t="s">
        <v>209</v>
      </c>
      <c r="J528" t="s">
        <v>210</v>
      </c>
      <c r="K528">
        <v>649164</v>
      </c>
      <c r="L528" t="s">
        <v>211</v>
      </c>
      <c r="M528" t="s">
        <v>212</v>
      </c>
      <c r="N528" t="s">
        <v>57</v>
      </c>
      <c r="O528" s="1">
        <v>45261</v>
      </c>
      <c r="Q528" s="1">
        <v>45962</v>
      </c>
      <c r="R528" s="2">
        <v>0</v>
      </c>
      <c r="S528">
        <v>1</v>
      </c>
      <c r="T528" t="s">
        <v>58</v>
      </c>
      <c r="U528" t="s">
        <v>359</v>
      </c>
      <c r="V528" s="4">
        <v>6.5000000000000002E-2</v>
      </c>
      <c r="W528" s="2">
        <v>0</v>
      </c>
      <c r="X528">
        <v>0</v>
      </c>
      <c r="Y528" t="s">
        <v>214</v>
      </c>
      <c r="Z528" t="s">
        <v>360</v>
      </c>
      <c r="AA528">
        <v>0</v>
      </c>
      <c r="AB528" s="2">
        <v>0</v>
      </c>
      <c r="AC528" s="2">
        <v>0</v>
      </c>
      <c r="AD528" s="3">
        <v>0</v>
      </c>
      <c r="AE528" s="2">
        <v>0</v>
      </c>
      <c r="AF528" s="2">
        <v>0</v>
      </c>
      <c r="AG528" s="2">
        <v>0</v>
      </c>
      <c r="AH528" s="2">
        <v>0</v>
      </c>
      <c r="AI528" s="2">
        <v>0</v>
      </c>
      <c r="AJ528" s="2">
        <v>0</v>
      </c>
      <c r="AK528" s="2">
        <v>0</v>
      </c>
      <c r="AL528" s="2">
        <v>0</v>
      </c>
      <c r="AM528" s="2">
        <v>0</v>
      </c>
      <c r="AN528" s="2">
        <v>0</v>
      </c>
      <c r="AO528" s="2">
        <v>0</v>
      </c>
      <c r="AP528" s="2">
        <v>0</v>
      </c>
      <c r="AQ528" s="2">
        <v>0</v>
      </c>
    </row>
    <row r="529" spans="1:43" x14ac:dyDescent="0.25">
      <c r="A529" s="1">
        <v>45936</v>
      </c>
      <c r="B529" t="s">
        <v>48</v>
      </c>
      <c r="C529">
        <v>649163</v>
      </c>
      <c r="D529">
        <v>2020891512</v>
      </c>
      <c r="E529" t="s">
        <v>616</v>
      </c>
      <c r="F529" t="s">
        <v>486</v>
      </c>
      <c r="G529" t="s">
        <v>51</v>
      </c>
      <c r="H529" t="s">
        <v>70</v>
      </c>
      <c r="I529" t="s">
        <v>209</v>
      </c>
      <c r="J529" t="s">
        <v>210</v>
      </c>
      <c r="K529">
        <v>649164</v>
      </c>
      <c r="L529" t="s">
        <v>211</v>
      </c>
      <c r="M529" t="s">
        <v>212</v>
      </c>
      <c r="N529" t="s">
        <v>57</v>
      </c>
      <c r="O529" s="1">
        <v>45261</v>
      </c>
      <c r="Q529" s="1">
        <v>45962</v>
      </c>
      <c r="R529" s="2">
        <v>0</v>
      </c>
      <c r="S529">
        <v>1</v>
      </c>
      <c r="T529" t="s">
        <v>58</v>
      </c>
      <c r="U529" t="s">
        <v>359</v>
      </c>
      <c r="V529" s="4">
        <v>6.5000000000000002E-2</v>
      </c>
      <c r="W529" s="2">
        <v>0</v>
      </c>
      <c r="X529">
        <v>0</v>
      </c>
      <c r="Y529" t="s">
        <v>214</v>
      </c>
      <c r="Z529" t="s">
        <v>360</v>
      </c>
      <c r="AA529">
        <v>0</v>
      </c>
      <c r="AB529" s="2">
        <v>0</v>
      </c>
      <c r="AC529" s="2">
        <v>0</v>
      </c>
      <c r="AD529" s="3">
        <v>0</v>
      </c>
      <c r="AE529" s="2">
        <v>0</v>
      </c>
      <c r="AF529" s="2">
        <v>0</v>
      </c>
      <c r="AG529" s="2">
        <v>0</v>
      </c>
      <c r="AH529" s="2">
        <v>0</v>
      </c>
      <c r="AI529" s="2">
        <v>0</v>
      </c>
      <c r="AJ529" s="2">
        <v>0</v>
      </c>
      <c r="AK529" s="2">
        <v>0</v>
      </c>
      <c r="AL529" s="2">
        <v>0</v>
      </c>
      <c r="AM529" s="2">
        <v>0</v>
      </c>
      <c r="AN529" s="2">
        <v>0</v>
      </c>
      <c r="AO529" s="2">
        <v>0</v>
      </c>
      <c r="AP529" s="2">
        <v>0</v>
      </c>
      <c r="AQ529" s="2">
        <v>0</v>
      </c>
    </row>
    <row r="530" spans="1:43" x14ac:dyDescent="0.25">
      <c r="A530" s="1">
        <v>45936</v>
      </c>
      <c r="B530" t="s">
        <v>48</v>
      </c>
      <c r="C530">
        <v>649163</v>
      </c>
      <c r="D530">
        <v>2020895975</v>
      </c>
      <c r="E530" t="s">
        <v>97</v>
      </c>
      <c r="F530" t="s">
        <v>482</v>
      </c>
      <c r="G530" t="s">
        <v>51</v>
      </c>
      <c r="H530" t="s">
        <v>247</v>
      </c>
      <c r="I530" t="s">
        <v>209</v>
      </c>
      <c r="J530" t="s">
        <v>960</v>
      </c>
      <c r="K530">
        <v>673059</v>
      </c>
      <c r="L530" t="s">
        <v>80</v>
      </c>
      <c r="M530" t="s">
        <v>81</v>
      </c>
      <c r="N530" t="s">
        <v>456</v>
      </c>
      <c r="O530" s="1">
        <v>45292</v>
      </c>
      <c r="P530" s="1">
        <v>45936</v>
      </c>
      <c r="Q530" s="1">
        <v>45962</v>
      </c>
      <c r="R530" s="2">
        <v>-15</v>
      </c>
      <c r="S530">
        <v>1</v>
      </c>
      <c r="T530" t="s">
        <v>58</v>
      </c>
      <c r="U530" t="s">
        <v>359</v>
      </c>
      <c r="V530" s="3">
        <v>0.19</v>
      </c>
      <c r="W530" s="2">
        <v>0</v>
      </c>
      <c r="X530">
        <v>-1</v>
      </c>
      <c r="Y530" t="s">
        <v>214</v>
      </c>
      <c r="Z530" t="s">
        <v>360</v>
      </c>
      <c r="AA530">
        <v>0</v>
      </c>
      <c r="AB530" s="2">
        <v>0</v>
      </c>
      <c r="AC530" s="2">
        <v>0</v>
      </c>
      <c r="AD530" s="3">
        <v>0</v>
      </c>
      <c r="AE530" s="2">
        <v>0</v>
      </c>
      <c r="AF530" s="2">
        <v>0</v>
      </c>
      <c r="AG530" s="2">
        <v>0</v>
      </c>
      <c r="AH530" s="2">
        <v>0</v>
      </c>
      <c r="AI530" s="2">
        <v>0</v>
      </c>
      <c r="AJ530" s="2">
        <v>0</v>
      </c>
      <c r="AK530" s="2">
        <v>0</v>
      </c>
      <c r="AL530" s="2">
        <v>0</v>
      </c>
      <c r="AM530" s="2">
        <v>-2.85</v>
      </c>
      <c r="AN530" s="2">
        <v>-2.85</v>
      </c>
      <c r="AO530" s="2">
        <v>0</v>
      </c>
      <c r="AP530" s="2">
        <v>0</v>
      </c>
      <c r="AQ530" s="2">
        <v>0</v>
      </c>
    </row>
    <row r="531" spans="1:43" x14ac:dyDescent="0.25">
      <c r="A531" s="1">
        <v>45936</v>
      </c>
      <c r="B531" t="s">
        <v>48</v>
      </c>
      <c r="C531">
        <v>649163</v>
      </c>
      <c r="D531">
        <v>2021646245</v>
      </c>
      <c r="E531" t="s">
        <v>962</v>
      </c>
      <c r="F531" t="s">
        <v>337</v>
      </c>
      <c r="G531" t="s">
        <v>51</v>
      </c>
      <c r="H531" t="s">
        <v>431</v>
      </c>
      <c r="I531" t="s">
        <v>209</v>
      </c>
      <c r="J531" t="s">
        <v>225</v>
      </c>
      <c r="K531">
        <v>673059</v>
      </c>
      <c r="L531" t="s">
        <v>80</v>
      </c>
      <c r="M531" t="s">
        <v>81</v>
      </c>
      <c r="N531" t="s">
        <v>57</v>
      </c>
      <c r="O531" s="1">
        <v>45329</v>
      </c>
      <c r="Q531" s="1">
        <v>45968</v>
      </c>
      <c r="R531" s="2">
        <v>15</v>
      </c>
      <c r="S531">
        <v>1</v>
      </c>
      <c r="T531" t="s">
        <v>58</v>
      </c>
      <c r="U531" t="s">
        <v>359</v>
      </c>
      <c r="V531" s="3">
        <v>0.28999999999999998</v>
      </c>
      <c r="W531" s="2">
        <v>0</v>
      </c>
      <c r="X531">
        <v>0</v>
      </c>
      <c r="Y531" t="s">
        <v>214</v>
      </c>
      <c r="Z531" t="s">
        <v>360</v>
      </c>
      <c r="AA531">
        <v>0</v>
      </c>
      <c r="AB531" s="2">
        <v>0</v>
      </c>
      <c r="AC531" s="2">
        <v>0</v>
      </c>
      <c r="AD531" s="3">
        <v>0</v>
      </c>
      <c r="AE531" s="2">
        <v>0</v>
      </c>
      <c r="AF531" s="2">
        <v>0</v>
      </c>
      <c r="AG531" s="2">
        <v>0</v>
      </c>
      <c r="AH531" s="2">
        <v>0</v>
      </c>
      <c r="AI531" s="2">
        <v>0</v>
      </c>
      <c r="AJ531" s="2">
        <v>0</v>
      </c>
      <c r="AK531" s="2">
        <v>0</v>
      </c>
      <c r="AL531" s="2">
        <v>0</v>
      </c>
      <c r="AM531" s="2">
        <v>4.3499999999999996</v>
      </c>
      <c r="AN531" s="2">
        <v>4.3499999999999996</v>
      </c>
      <c r="AO531" s="2">
        <v>0</v>
      </c>
      <c r="AP531" s="2">
        <v>0</v>
      </c>
      <c r="AQ531" s="2">
        <v>0</v>
      </c>
    </row>
    <row r="532" spans="1:43" x14ac:dyDescent="0.25">
      <c r="A532" s="1">
        <v>45936</v>
      </c>
      <c r="B532" t="s">
        <v>48</v>
      </c>
      <c r="C532">
        <v>649163</v>
      </c>
      <c r="D532">
        <v>2023010065</v>
      </c>
      <c r="E532" t="s">
        <v>368</v>
      </c>
      <c r="F532" t="s">
        <v>369</v>
      </c>
      <c r="G532" t="s">
        <v>51</v>
      </c>
      <c r="H532" t="s">
        <v>262</v>
      </c>
      <c r="I532" t="s">
        <v>209</v>
      </c>
      <c r="J532" t="s">
        <v>222</v>
      </c>
      <c r="K532">
        <v>751867</v>
      </c>
      <c r="L532" t="s">
        <v>71</v>
      </c>
      <c r="M532" t="s">
        <v>72</v>
      </c>
      <c r="N532" t="s">
        <v>57</v>
      </c>
      <c r="O532" s="1">
        <v>45419</v>
      </c>
      <c r="Q532" s="1">
        <v>45968</v>
      </c>
      <c r="R532" s="2">
        <v>15</v>
      </c>
      <c r="S532">
        <v>1</v>
      </c>
      <c r="T532" t="s">
        <v>58</v>
      </c>
      <c r="U532" t="s">
        <v>359</v>
      </c>
      <c r="V532" s="3">
        <v>0.1</v>
      </c>
      <c r="W532" s="2">
        <v>0</v>
      </c>
      <c r="X532">
        <v>0</v>
      </c>
      <c r="Y532" t="s">
        <v>214</v>
      </c>
      <c r="Z532" t="s">
        <v>360</v>
      </c>
      <c r="AA532">
        <v>0</v>
      </c>
      <c r="AB532" s="2">
        <v>0</v>
      </c>
      <c r="AC532" s="2">
        <v>0</v>
      </c>
      <c r="AD532" s="3">
        <v>0</v>
      </c>
      <c r="AE532" s="2">
        <v>0</v>
      </c>
      <c r="AF532" s="2">
        <v>0</v>
      </c>
      <c r="AG532" s="2">
        <v>0</v>
      </c>
      <c r="AH532" s="2">
        <v>0</v>
      </c>
      <c r="AI532" s="2">
        <v>0</v>
      </c>
      <c r="AJ532" s="2">
        <v>0</v>
      </c>
      <c r="AK532" s="2">
        <v>0</v>
      </c>
      <c r="AL532" s="2">
        <v>0</v>
      </c>
      <c r="AM532" s="2">
        <v>1.5</v>
      </c>
      <c r="AN532" s="2">
        <v>1.5</v>
      </c>
      <c r="AO532" s="2">
        <v>0</v>
      </c>
      <c r="AP532" s="2">
        <v>0</v>
      </c>
      <c r="AQ532" s="2">
        <v>0</v>
      </c>
    </row>
    <row r="533" spans="1:43" x14ac:dyDescent="0.25">
      <c r="A533" s="1">
        <v>45936</v>
      </c>
      <c r="B533" t="s">
        <v>48</v>
      </c>
      <c r="C533">
        <v>649163</v>
      </c>
      <c r="D533">
        <v>2023048532</v>
      </c>
      <c r="E533" t="s">
        <v>370</v>
      </c>
      <c r="F533" t="s">
        <v>371</v>
      </c>
      <c r="G533" t="s">
        <v>51</v>
      </c>
      <c r="H533" t="s">
        <v>262</v>
      </c>
      <c r="I533" t="s">
        <v>209</v>
      </c>
      <c r="J533" t="s">
        <v>222</v>
      </c>
      <c r="K533">
        <v>751867</v>
      </c>
      <c r="L533" t="s">
        <v>71</v>
      </c>
      <c r="M533" t="s">
        <v>72</v>
      </c>
      <c r="N533" t="s">
        <v>57</v>
      </c>
      <c r="O533" s="1">
        <v>45422</v>
      </c>
      <c r="Q533" s="1">
        <v>45971</v>
      </c>
      <c r="R533" s="2">
        <v>15</v>
      </c>
      <c r="S533">
        <v>1</v>
      </c>
      <c r="T533" t="s">
        <v>58</v>
      </c>
      <c r="U533" t="s">
        <v>359</v>
      </c>
      <c r="V533" s="3">
        <v>0.1</v>
      </c>
      <c r="W533" s="2">
        <v>0</v>
      </c>
      <c r="X533">
        <v>0</v>
      </c>
      <c r="Y533" t="s">
        <v>214</v>
      </c>
      <c r="Z533" t="s">
        <v>360</v>
      </c>
      <c r="AA533">
        <v>0</v>
      </c>
      <c r="AB533" s="2">
        <v>0</v>
      </c>
      <c r="AC533" s="2">
        <v>0</v>
      </c>
      <c r="AD533" s="3">
        <v>0</v>
      </c>
      <c r="AE533" s="2">
        <v>0</v>
      </c>
      <c r="AF533" s="2">
        <v>0</v>
      </c>
      <c r="AG533" s="2">
        <v>0</v>
      </c>
      <c r="AH533" s="2">
        <v>0</v>
      </c>
      <c r="AI533" s="2">
        <v>0</v>
      </c>
      <c r="AJ533" s="2">
        <v>0</v>
      </c>
      <c r="AK533" s="2">
        <v>0</v>
      </c>
      <c r="AL533" s="2">
        <v>0</v>
      </c>
      <c r="AM533" s="2">
        <v>1.5</v>
      </c>
      <c r="AN533" s="2">
        <v>1.5</v>
      </c>
      <c r="AO533" s="2">
        <v>0</v>
      </c>
      <c r="AP533" s="2">
        <v>0</v>
      </c>
      <c r="AQ533" s="2">
        <v>0</v>
      </c>
    </row>
    <row r="534" spans="1:43" x14ac:dyDescent="0.25">
      <c r="A534" s="1">
        <v>45936</v>
      </c>
      <c r="B534" t="s">
        <v>48</v>
      </c>
      <c r="C534">
        <v>649163</v>
      </c>
      <c r="D534">
        <v>2023372600</v>
      </c>
      <c r="E534" t="s">
        <v>374</v>
      </c>
      <c r="F534" t="s">
        <v>375</v>
      </c>
      <c r="G534" t="s">
        <v>51</v>
      </c>
      <c r="H534" t="s">
        <v>376</v>
      </c>
      <c r="I534" t="s">
        <v>209</v>
      </c>
      <c r="J534" t="s">
        <v>222</v>
      </c>
      <c r="K534">
        <v>650218</v>
      </c>
      <c r="L534" t="s">
        <v>237</v>
      </c>
      <c r="M534" t="s">
        <v>238</v>
      </c>
      <c r="N534" t="s">
        <v>57</v>
      </c>
      <c r="O534" s="1">
        <v>45447</v>
      </c>
      <c r="Q534" s="1">
        <v>45965</v>
      </c>
      <c r="R534" s="2">
        <v>15</v>
      </c>
      <c r="S534">
        <v>1</v>
      </c>
      <c r="T534" t="s">
        <v>58</v>
      </c>
      <c r="U534" t="s">
        <v>359</v>
      </c>
      <c r="V534" s="3">
        <v>0.1</v>
      </c>
      <c r="W534" s="2">
        <v>0</v>
      </c>
      <c r="X534">
        <v>0</v>
      </c>
      <c r="Y534" t="s">
        <v>214</v>
      </c>
      <c r="Z534" t="s">
        <v>360</v>
      </c>
      <c r="AA534">
        <v>0</v>
      </c>
      <c r="AB534" s="2">
        <v>0</v>
      </c>
      <c r="AC534" s="2">
        <v>0</v>
      </c>
      <c r="AD534" s="3">
        <v>0</v>
      </c>
      <c r="AE534" s="2">
        <v>0</v>
      </c>
      <c r="AF534" s="2">
        <v>0</v>
      </c>
      <c r="AG534" s="2">
        <v>0</v>
      </c>
      <c r="AH534" s="2">
        <v>0</v>
      </c>
      <c r="AI534" s="2">
        <v>0</v>
      </c>
      <c r="AJ534" s="2">
        <v>0</v>
      </c>
      <c r="AK534" s="2">
        <v>0</v>
      </c>
      <c r="AL534" s="2">
        <v>0</v>
      </c>
      <c r="AM534" s="2">
        <v>1.5</v>
      </c>
      <c r="AN534" s="2">
        <v>1.5</v>
      </c>
      <c r="AO534" s="2">
        <v>0</v>
      </c>
      <c r="AP534" s="2">
        <v>0</v>
      </c>
      <c r="AQ534" s="2">
        <v>0</v>
      </c>
    </row>
    <row r="535" spans="1:43" x14ac:dyDescent="0.25">
      <c r="A535" s="1">
        <v>45936</v>
      </c>
      <c r="B535" t="s">
        <v>48</v>
      </c>
      <c r="C535">
        <v>649163</v>
      </c>
      <c r="D535">
        <v>2023402088</v>
      </c>
      <c r="E535" t="s">
        <v>377</v>
      </c>
      <c r="F535" t="s">
        <v>378</v>
      </c>
      <c r="G535" t="s">
        <v>51</v>
      </c>
      <c r="H535" t="s">
        <v>323</v>
      </c>
      <c r="I535" t="s">
        <v>209</v>
      </c>
      <c r="J535" t="s">
        <v>222</v>
      </c>
      <c r="K535">
        <v>673059</v>
      </c>
      <c r="L535" t="s">
        <v>80</v>
      </c>
      <c r="M535" t="s">
        <v>81</v>
      </c>
      <c r="N535" t="s">
        <v>57</v>
      </c>
      <c r="O535" s="1">
        <v>45449</v>
      </c>
      <c r="Q535" s="1">
        <v>45967</v>
      </c>
      <c r="R535" s="2">
        <v>15</v>
      </c>
      <c r="S535">
        <v>1</v>
      </c>
      <c r="T535" t="s">
        <v>58</v>
      </c>
      <c r="U535" t="s">
        <v>359</v>
      </c>
      <c r="V535" s="3">
        <v>0.1</v>
      </c>
      <c r="W535" s="2">
        <v>0</v>
      </c>
      <c r="X535">
        <v>0</v>
      </c>
      <c r="Y535" t="s">
        <v>214</v>
      </c>
      <c r="Z535" t="s">
        <v>360</v>
      </c>
      <c r="AA535">
        <v>0</v>
      </c>
      <c r="AB535" s="2">
        <v>0</v>
      </c>
      <c r="AC535" s="2">
        <v>0</v>
      </c>
      <c r="AD535" s="3">
        <v>0</v>
      </c>
      <c r="AE535" s="2">
        <v>0</v>
      </c>
      <c r="AF535" s="2">
        <v>0</v>
      </c>
      <c r="AG535" s="2">
        <v>0</v>
      </c>
      <c r="AH535" s="2">
        <v>0</v>
      </c>
      <c r="AI535" s="2">
        <v>0</v>
      </c>
      <c r="AJ535" s="2">
        <v>0</v>
      </c>
      <c r="AK535" s="2">
        <v>0</v>
      </c>
      <c r="AL535" s="2">
        <v>0</v>
      </c>
      <c r="AM535" s="2">
        <v>1.5</v>
      </c>
      <c r="AN535" s="2">
        <v>1.5</v>
      </c>
      <c r="AO535" s="2">
        <v>0</v>
      </c>
      <c r="AP535" s="2">
        <v>0</v>
      </c>
      <c r="AQ535" s="2">
        <v>0</v>
      </c>
    </row>
    <row r="536" spans="1:43" x14ac:dyDescent="0.25">
      <c r="A536" s="1">
        <v>45936</v>
      </c>
      <c r="B536" t="s">
        <v>48</v>
      </c>
      <c r="C536">
        <v>649163</v>
      </c>
      <c r="D536">
        <v>2024324041</v>
      </c>
      <c r="E536" t="s">
        <v>380</v>
      </c>
      <c r="F536" t="s">
        <v>381</v>
      </c>
      <c r="G536" t="s">
        <v>51</v>
      </c>
      <c r="H536" t="s">
        <v>382</v>
      </c>
      <c r="I536" t="s">
        <v>209</v>
      </c>
      <c r="J536" t="s">
        <v>222</v>
      </c>
      <c r="K536">
        <v>650218</v>
      </c>
      <c r="L536" t="s">
        <v>237</v>
      </c>
      <c r="M536" t="s">
        <v>238</v>
      </c>
      <c r="N536" t="s">
        <v>57</v>
      </c>
      <c r="O536" s="1">
        <v>45514</v>
      </c>
      <c r="Q536" s="1">
        <v>45971</v>
      </c>
      <c r="R536" s="2">
        <v>15</v>
      </c>
      <c r="S536">
        <v>1</v>
      </c>
      <c r="T536" t="s">
        <v>58</v>
      </c>
      <c r="U536" t="s">
        <v>359</v>
      </c>
      <c r="V536" s="3">
        <v>0.1</v>
      </c>
      <c r="W536" s="2">
        <v>0</v>
      </c>
      <c r="X536">
        <v>0</v>
      </c>
      <c r="Y536" t="s">
        <v>214</v>
      </c>
      <c r="Z536" t="s">
        <v>360</v>
      </c>
      <c r="AA536">
        <v>0</v>
      </c>
      <c r="AB536" s="2">
        <v>0</v>
      </c>
      <c r="AC536" s="2">
        <v>0</v>
      </c>
      <c r="AD536" s="3">
        <v>0</v>
      </c>
      <c r="AE536" s="2">
        <v>0</v>
      </c>
      <c r="AF536" s="2">
        <v>0</v>
      </c>
      <c r="AG536" s="2">
        <v>0</v>
      </c>
      <c r="AH536" s="2">
        <v>0</v>
      </c>
      <c r="AI536" s="2">
        <v>0</v>
      </c>
      <c r="AJ536" s="2">
        <v>0</v>
      </c>
      <c r="AK536" s="2">
        <v>0</v>
      </c>
      <c r="AL536" s="2">
        <v>0</v>
      </c>
      <c r="AM536" s="2">
        <v>1.5</v>
      </c>
      <c r="AN536" s="2">
        <v>1.5</v>
      </c>
      <c r="AO536" s="2">
        <v>0</v>
      </c>
      <c r="AP536" s="2">
        <v>0</v>
      </c>
      <c r="AQ536" s="2">
        <v>0</v>
      </c>
    </row>
    <row r="537" spans="1:43" x14ac:dyDescent="0.25">
      <c r="A537" s="1">
        <v>45936</v>
      </c>
      <c r="B537" t="s">
        <v>48</v>
      </c>
      <c r="C537">
        <v>649163</v>
      </c>
      <c r="D537">
        <v>2024680809</v>
      </c>
      <c r="E537" t="s">
        <v>829</v>
      </c>
      <c r="F537" t="s">
        <v>830</v>
      </c>
      <c r="G537" t="s">
        <v>51</v>
      </c>
      <c r="H537" t="s">
        <v>52</v>
      </c>
      <c r="I537" t="s">
        <v>209</v>
      </c>
      <c r="J537" t="s">
        <v>225</v>
      </c>
      <c r="K537">
        <v>767312</v>
      </c>
      <c r="L537" t="s">
        <v>283</v>
      </c>
      <c r="M537" t="s">
        <v>284</v>
      </c>
      <c r="N537" t="s">
        <v>57</v>
      </c>
      <c r="O537" s="1">
        <v>45575</v>
      </c>
      <c r="Q537" s="1">
        <v>45971</v>
      </c>
      <c r="R537" s="2">
        <v>15</v>
      </c>
      <c r="S537">
        <v>1</v>
      </c>
      <c r="T537" t="s">
        <v>58</v>
      </c>
      <c r="U537" t="s">
        <v>359</v>
      </c>
      <c r="V537" s="3">
        <v>0.28999999999999998</v>
      </c>
      <c r="W537" s="2">
        <v>0</v>
      </c>
      <c r="X537">
        <v>0</v>
      </c>
      <c r="Y537" t="s">
        <v>214</v>
      </c>
      <c r="Z537" t="s">
        <v>360</v>
      </c>
      <c r="AA537">
        <v>0</v>
      </c>
      <c r="AB537" s="2">
        <v>0</v>
      </c>
      <c r="AC537" s="2">
        <v>0</v>
      </c>
      <c r="AD537" s="3">
        <v>0</v>
      </c>
      <c r="AE537" s="2">
        <v>0</v>
      </c>
      <c r="AF537" s="2">
        <v>0</v>
      </c>
      <c r="AG537" s="2">
        <v>0</v>
      </c>
      <c r="AH537" s="2">
        <v>0</v>
      </c>
      <c r="AI537" s="2">
        <v>0</v>
      </c>
      <c r="AJ537" s="2">
        <v>0</v>
      </c>
      <c r="AK537" s="2">
        <v>0</v>
      </c>
      <c r="AL537" s="2">
        <v>0</v>
      </c>
      <c r="AM537" s="2">
        <v>4.3499999999999996</v>
      </c>
      <c r="AN537" s="2">
        <v>4.3499999999999996</v>
      </c>
      <c r="AO537" s="2">
        <v>0</v>
      </c>
      <c r="AP537" s="2">
        <v>0</v>
      </c>
      <c r="AQ537" s="2">
        <v>0</v>
      </c>
    </row>
    <row r="538" spans="1:43" x14ac:dyDescent="0.25">
      <c r="A538" s="1">
        <v>45936</v>
      </c>
      <c r="B538" t="s">
        <v>48</v>
      </c>
      <c r="C538">
        <v>649163</v>
      </c>
      <c r="D538">
        <v>2025222898</v>
      </c>
      <c r="E538" t="s">
        <v>388</v>
      </c>
      <c r="F538" t="s">
        <v>389</v>
      </c>
      <c r="G538" t="s">
        <v>51</v>
      </c>
      <c r="H538" t="s">
        <v>390</v>
      </c>
      <c r="I538" t="s">
        <v>209</v>
      </c>
      <c r="J538" t="s">
        <v>222</v>
      </c>
      <c r="K538">
        <v>751867</v>
      </c>
      <c r="L538" t="s">
        <v>71</v>
      </c>
      <c r="M538" t="s">
        <v>72</v>
      </c>
      <c r="N538" t="s">
        <v>57</v>
      </c>
      <c r="O538" s="1">
        <v>45574</v>
      </c>
      <c r="Q538" s="1">
        <v>45970</v>
      </c>
      <c r="R538" s="2">
        <v>15</v>
      </c>
      <c r="S538">
        <v>1</v>
      </c>
      <c r="T538" t="s">
        <v>58</v>
      </c>
      <c r="U538" t="s">
        <v>359</v>
      </c>
      <c r="V538" s="3">
        <v>0.1</v>
      </c>
      <c r="W538" s="2">
        <v>0</v>
      </c>
      <c r="X538">
        <v>0</v>
      </c>
      <c r="Y538" t="s">
        <v>214</v>
      </c>
      <c r="Z538" t="s">
        <v>360</v>
      </c>
      <c r="AA538">
        <v>0</v>
      </c>
      <c r="AB538" s="2">
        <v>0</v>
      </c>
      <c r="AC538" s="2">
        <v>0</v>
      </c>
      <c r="AD538" s="3">
        <v>0</v>
      </c>
      <c r="AE538" s="2">
        <v>0</v>
      </c>
      <c r="AF538" s="2">
        <v>0</v>
      </c>
      <c r="AG538" s="2">
        <v>0</v>
      </c>
      <c r="AH538" s="2">
        <v>0</v>
      </c>
      <c r="AI538" s="2">
        <v>0</v>
      </c>
      <c r="AJ538" s="2">
        <v>0</v>
      </c>
      <c r="AK538" s="2">
        <v>0</v>
      </c>
      <c r="AL538" s="2">
        <v>0</v>
      </c>
      <c r="AM538" s="2">
        <v>1.5</v>
      </c>
      <c r="AN538" s="2">
        <v>1.5</v>
      </c>
      <c r="AO538" s="2">
        <v>0</v>
      </c>
      <c r="AP538" s="2">
        <v>0</v>
      </c>
      <c r="AQ538" s="2">
        <v>0</v>
      </c>
    </row>
    <row r="539" spans="1:43" x14ac:dyDescent="0.25">
      <c r="A539" s="1">
        <v>45936</v>
      </c>
      <c r="B539" t="s">
        <v>48</v>
      </c>
      <c r="C539">
        <v>649163</v>
      </c>
      <c r="D539">
        <v>2025698058</v>
      </c>
      <c r="E539" t="s">
        <v>139</v>
      </c>
      <c r="F539" t="s">
        <v>393</v>
      </c>
      <c r="G539" t="s">
        <v>51</v>
      </c>
      <c r="H539" t="s">
        <v>88</v>
      </c>
      <c r="I539" t="s">
        <v>209</v>
      </c>
      <c r="J539" t="s">
        <v>222</v>
      </c>
      <c r="K539">
        <v>650218</v>
      </c>
      <c r="L539" t="s">
        <v>237</v>
      </c>
      <c r="M539" t="s">
        <v>238</v>
      </c>
      <c r="N539" t="s">
        <v>57</v>
      </c>
      <c r="O539" s="1">
        <v>45605</v>
      </c>
      <c r="Q539" s="1">
        <v>45970</v>
      </c>
      <c r="R539" s="2">
        <v>15</v>
      </c>
      <c r="S539">
        <v>1</v>
      </c>
      <c r="T539" t="s">
        <v>58</v>
      </c>
      <c r="U539" t="s">
        <v>359</v>
      </c>
      <c r="V539" s="3">
        <v>0.38</v>
      </c>
      <c r="W539" s="2">
        <v>0</v>
      </c>
      <c r="X539">
        <v>0</v>
      </c>
      <c r="Y539" t="s">
        <v>60</v>
      </c>
      <c r="Z539" t="s">
        <v>360</v>
      </c>
      <c r="AA539">
        <v>0</v>
      </c>
      <c r="AB539" s="2">
        <v>0</v>
      </c>
      <c r="AC539" s="2">
        <v>0</v>
      </c>
      <c r="AD539" s="3">
        <v>0</v>
      </c>
      <c r="AE539" s="2">
        <v>0</v>
      </c>
      <c r="AF539" s="2">
        <v>0</v>
      </c>
      <c r="AG539" s="2">
        <v>0</v>
      </c>
      <c r="AH539" s="2">
        <v>0</v>
      </c>
      <c r="AI539" s="2">
        <v>0</v>
      </c>
      <c r="AJ539" s="2">
        <v>0</v>
      </c>
      <c r="AK539" s="2">
        <v>0</v>
      </c>
      <c r="AL539" s="2">
        <v>0</v>
      </c>
      <c r="AM539" s="2">
        <v>5.7</v>
      </c>
      <c r="AN539" s="2">
        <v>5.7</v>
      </c>
      <c r="AO539" s="2">
        <v>0</v>
      </c>
      <c r="AP539" s="2">
        <v>0</v>
      </c>
      <c r="AQ539" s="2">
        <v>0</v>
      </c>
    </row>
    <row r="540" spans="1:43" x14ac:dyDescent="0.25">
      <c r="A540" s="1">
        <v>45936</v>
      </c>
      <c r="B540" t="s">
        <v>48</v>
      </c>
      <c r="C540">
        <v>649163</v>
      </c>
      <c r="D540">
        <v>2028565358</v>
      </c>
      <c r="E540" t="s">
        <v>139</v>
      </c>
      <c r="F540" t="s">
        <v>416</v>
      </c>
      <c r="G540" t="s">
        <v>51</v>
      </c>
      <c r="H540" t="s">
        <v>88</v>
      </c>
      <c r="I540" t="s">
        <v>209</v>
      </c>
      <c r="J540" t="s">
        <v>222</v>
      </c>
      <c r="K540">
        <v>650218</v>
      </c>
      <c r="L540" t="s">
        <v>237</v>
      </c>
      <c r="M540" t="s">
        <v>238</v>
      </c>
      <c r="N540" t="s">
        <v>57</v>
      </c>
      <c r="O540" s="1">
        <v>45777</v>
      </c>
      <c r="Q540" s="1">
        <v>45960</v>
      </c>
      <c r="R540" s="2">
        <v>-15</v>
      </c>
      <c r="S540">
        <v>1</v>
      </c>
      <c r="T540" t="s">
        <v>58</v>
      </c>
      <c r="U540" t="s">
        <v>359</v>
      </c>
      <c r="V540" s="3">
        <v>0.38</v>
      </c>
      <c r="W540" s="2">
        <v>0</v>
      </c>
      <c r="X540">
        <v>-1</v>
      </c>
      <c r="Y540" t="s">
        <v>60</v>
      </c>
      <c r="Z540" t="s">
        <v>360</v>
      </c>
      <c r="AA540">
        <v>0</v>
      </c>
      <c r="AB540" s="2">
        <v>0</v>
      </c>
      <c r="AC540" s="2">
        <v>0</v>
      </c>
      <c r="AD540" s="3">
        <v>0</v>
      </c>
      <c r="AE540" s="2">
        <v>0</v>
      </c>
      <c r="AF540" s="2">
        <v>0</v>
      </c>
      <c r="AG540" s="2">
        <v>0</v>
      </c>
      <c r="AH540" s="2">
        <v>0</v>
      </c>
      <c r="AI540" s="2">
        <v>0</v>
      </c>
      <c r="AJ540" s="2">
        <v>0</v>
      </c>
      <c r="AK540" s="2">
        <v>0</v>
      </c>
      <c r="AL540" s="2">
        <v>0</v>
      </c>
      <c r="AM540" s="2">
        <v>-5.7</v>
      </c>
      <c r="AN540" s="2">
        <v>-5.7</v>
      </c>
      <c r="AO540" s="2">
        <v>0</v>
      </c>
      <c r="AP540" s="2">
        <v>0</v>
      </c>
      <c r="AQ540" s="2">
        <v>0</v>
      </c>
    </row>
    <row r="541" spans="1:43" x14ac:dyDescent="0.25">
      <c r="A541" s="1">
        <v>45936</v>
      </c>
      <c r="B541" t="s">
        <v>48</v>
      </c>
      <c r="C541">
        <v>649163</v>
      </c>
      <c r="D541">
        <v>2028605535</v>
      </c>
      <c r="E541" t="s">
        <v>770</v>
      </c>
      <c r="F541" t="s">
        <v>98</v>
      </c>
      <c r="G541" t="s">
        <v>51</v>
      </c>
      <c r="H541" t="s">
        <v>105</v>
      </c>
      <c r="I541" t="s">
        <v>209</v>
      </c>
      <c r="J541" t="s">
        <v>963</v>
      </c>
      <c r="K541">
        <v>823068</v>
      </c>
      <c r="L541" t="s">
        <v>106</v>
      </c>
      <c r="M541" t="s">
        <v>107</v>
      </c>
      <c r="N541" t="s">
        <v>57</v>
      </c>
      <c r="O541" s="1">
        <v>45778</v>
      </c>
      <c r="Q541" s="1">
        <v>45962</v>
      </c>
      <c r="R541" s="2">
        <v>19.5</v>
      </c>
      <c r="S541">
        <v>1</v>
      </c>
      <c r="T541" t="s">
        <v>58</v>
      </c>
      <c r="U541" t="s">
        <v>359</v>
      </c>
      <c r="V541" s="3">
        <v>0.39</v>
      </c>
      <c r="W541" s="2">
        <v>0</v>
      </c>
      <c r="X541">
        <v>0</v>
      </c>
      <c r="Y541" t="s">
        <v>60</v>
      </c>
      <c r="Z541" t="s">
        <v>360</v>
      </c>
      <c r="AA541">
        <v>0</v>
      </c>
      <c r="AB541" s="2">
        <v>0</v>
      </c>
      <c r="AC541" s="2">
        <v>0</v>
      </c>
      <c r="AD541" s="3">
        <v>0</v>
      </c>
      <c r="AE541" s="2">
        <v>0</v>
      </c>
      <c r="AF541" s="2">
        <v>0</v>
      </c>
      <c r="AG541" s="2">
        <v>0</v>
      </c>
      <c r="AH541" s="2">
        <v>0</v>
      </c>
      <c r="AI541" s="2">
        <v>0</v>
      </c>
      <c r="AJ541" s="2">
        <v>0</v>
      </c>
      <c r="AK541" s="2">
        <v>0</v>
      </c>
      <c r="AL541" s="2">
        <v>0</v>
      </c>
      <c r="AM541" s="2">
        <v>7.6</v>
      </c>
      <c r="AN541" s="2">
        <v>7.6</v>
      </c>
      <c r="AO541" s="2">
        <v>0</v>
      </c>
      <c r="AP541" s="2">
        <v>0</v>
      </c>
      <c r="AQ541" s="2">
        <v>0</v>
      </c>
    </row>
    <row r="542" spans="1:43" x14ac:dyDescent="0.25">
      <c r="A542" s="1">
        <v>45936</v>
      </c>
      <c r="B542" t="s">
        <v>48</v>
      </c>
      <c r="C542">
        <v>649163</v>
      </c>
      <c r="D542">
        <v>2029299957</v>
      </c>
      <c r="E542" t="s">
        <v>419</v>
      </c>
      <c r="F542" t="s">
        <v>420</v>
      </c>
      <c r="G542" t="s">
        <v>51</v>
      </c>
      <c r="H542" t="s">
        <v>52</v>
      </c>
      <c r="I542" t="s">
        <v>209</v>
      </c>
      <c r="J542" t="s">
        <v>222</v>
      </c>
      <c r="K542">
        <v>856824</v>
      </c>
      <c r="L542" t="s">
        <v>298</v>
      </c>
      <c r="M542" t="s">
        <v>299</v>
      </c>
      <c r="N542" t="s">
        <v>57</v>
      </c>
      <c r="O542" s="1">
        <v>45813</v>
      </c>
      <c r="Q542" s="1">
        <v>45966</v>
      </c>
      <c r="R542" s="2">
        <v>15</v>
      </c>
      <c r="S542">
        <v>1</v>
      </c>
      <c r="T542" t="s">
        <v>58</v>
      </c>
      <c r="U542" t="s">
        <v>359</v>
      </c>
      <c r="V542" s="3">
        <v>0.38</v>
      </c>
      <c r="W542" s="2">
        <v>0</v>
      </c>
      <c r="X542">
        <v>0</v>
      </c>
      <c r="Y542" t="s">
        <v>60</v>
      </c>
      <c r="Z542" t="s">
        <v>360</v>
      </c>
      <c r="AA542">
        <v>0</v>
      </c>
      <c r="AB542" s="2">
        <v>0</v>
      </c>
      <c r="AC542" s="2">
        <v>0</v>
      </c>
      <c r="AD542" s="3">
        <v>0</v>
      </c>
      <c r="AE542" s="2">
        <v>0</v>
      </c>
      <c r="AF542" s="2">
        <v>0</v>
      </c>
      <c r="AG542" s="2">
        <v>0</v>
      </c>
      <c r="AH542" s="2">
        <v>0</v>
      </c>
      <c r="AI542" s="2">
        <v>0</v>
      </c>
      <c r="AJ542" s="2">
        <v>0</v>
      </c>
      <c r="AK542" s="2">
        <v>0</v>
      </c>
      <c r="AL542" s="2">
        <v>5.7</v>
      </c>
      <c r="AM542" s="2">
        <v>0</v>
      </c>
      <c r="AN542" s="2">
        <v>0</v>
      </c>
      <c r="AO542" s="2">
        <v>0</v>
      </c>
      <c r="AP542" s="2">
        <v>0</v>
      </c>
      <c r="AQ542" s="2">
        <v>0</v>
      </c>
    </row>
    <row r="543" spans="1:43" x14ac:dyDescent="0.25">
      <c r="A543" s="1">
        <v>45936</v>
      </c>
      <c r="B543" t="s">
        <v>48</v>
      </c>
      <c r="C543">
        <v>649163</v>
      </c>
      <c r="D543">
        <v>2029335783</v>
      </c>
      <c r="E543" t="s">
        <v>421</v>
      </c>
      <c r="F543" t="s">
        <v>98</v>
      </c>
      <c r="G543" t="s">
        <v>51</v>
      </c>
      <c r="H543" t="s">
        <v>101</v>
      </c>
      <c r="I543" t="s">
        <v>209</v>
      </c>
      <c r="J543" t="s">
        <v>232</v>
      </c>
      <c r="K543">
        <v>824062</v>
      </c>
      <c r="L543" t="s">
        <v>273</v>
      </c>
      <c r="M543" t="s">
        <v>274</v>
      </c>
      <c r="N543" t="s">
        <v>57</v>
      </c>
      <c r="O543" s="1">
        <v>45815</v>
      </c>
      <c r="Q543" s="1">
        <v>45968</v>
      </c>
      <c r="R543" s="2">
        <v>15</v>
      </c>
      <c r="S543">
        <v>1</v>
      </c>
      <c r="T543" t="s">
        <v>58</v>
      </c>
      <c r="U543" t="s">
        <v>359</v>
      </c>
      <c r="V543" s="3">
        <v>0.38</v>
      </c>
      <c r="W543" s="2">
        <v>0</v>
      </c>
      <c r="X543">
        <v>0</v>
      </c>
      <c r="Y543" t="s">
        <v>60</v>
      </c>
      <c r="Z543" t="s">
        <v>360</v>
      </c>
      <c r="AA543">
        <v>0</v>
      </c>
      <c r="AB543" s="2">
        <v>0</v>
      </c>
      <c r="AC543" s="2">
        <v>0</v>
      </c>
      <c r="AD543" s="3">
        <v>0</v>
      </c>
      <c r="AE543" s="2">
        <v>0</v>
      </c>
      <c r="AF543" s="2">
        <v>0</v>
      </c>
      <c r="AG543" s="2">
        <v>0</v>
      </c>
      <c r="AH543" s="2">
        <v>0</v>
      </c>
      <c r="AI543" s="2">
        <v>0</v>
      </c>
      <c r="AJ543" s="2">
        <v>0</v>
      </c>
      <c r="AK543" s="2">
        <v>0</v>
      </c>
      <c r="AL543" s="2">
        <v>5.7</v>
      </c>
      <c r="AM543" s="2">
        <v>0</v>
      </c>
      <c r="AN543" s="2">
        <v>0</v>
      </c>
      <c r="AO543" s="2">
        <v>0</v>
      </c>
      <c r="AP543" s="2">
        <v>0</v>
      </c>
      <c r="AQ543" s="2">
        <v>0</v>
      </c>
    </row>
    <row r="544" spans="1:43" x14ac:dyDescent="0.25">
      <c r="A544" s="1">
        <v>45936</v>
      </c>
      <c r="B544" t="s">
        <v>48</v>
      </c>
      <c r="C544">
        <v>649163</v>
      </c>
      <c r="D544">
        <v>2029738922</v>
      </c>
      <c r="E544" t="s">
        <v>422</v>
      </c>
      <c r="F544" t="s">
        <v>423</v>
      </c>
      <c r="G544" t="s">
        <v>51</v>
      </c>
      <c r="H544" t="s">
        <v>79</v>
      </c>
      <c r="I544" t="s">
        <v>209</v>
      </c>
      <c r="J544" t="s">
        <v>232</v>
      </c>
      <c r="K544">
        <v>673059</v>
      </c>
      <c r="L544" t="s">
        <v>80</v>
      </c>
      <c r="M544" t="s">
        <v>81</v>
      </c>
      <c r="N544" t="s">
        <v>57</v>
      </c>
      <c r="O544" s="1">
        <v>45846</v>
      </c>
      <c r="Q544" s="1">
        <v>45969</v>
      </c>
      <c r="R544" s="2">
        <v>15</v>
      </c>
      <c r="S544">
        <v>1</v>
      </c>
      <c r="T544" t="s">
        <v>58</v>
      </c>
      <c r="U544" t="s">
        <v>359</v>
      </c>
      <c r="V544" s="3">
        <v>0.38</v>
      </c>
      <c r="W544" s="2">
        <v>0</v>
      </c>
      <c r="X544">
        <v>0</v>
      </c>
      <c r="Y544" t="s">
        <v>60</v>
      </c>
      <c r="Z544" t="s">
        <v>360</v>
      </c>
      <c r="AA544">
        <v>0</v>
      </c>
      <c r="AB544" s="2">
        <v>0</v>
      </c>
      <c r="AC544" s="2">
        <v>0</v>
      </c>
      <c r="AD544" s="3">
        <v>0</v>
      </c>
      <c r="AE544" s="2">
        <v>0</v>
      </c>
      <c r="AF544" s="2">
        <v>0</v>
      </c>
      <c r="AG544" s="2">
        <v>0</v>
      </c>
      <c r="AH544" s="2">
        <v>0</v>
      </c>
      <c r="AI544" s="2">
        <v>0</v>
      </c>
      <c r="AJ544" s="2">
        <v>0</v>
      </c>
      <c r="AK544" s="2">
        <v>0</v>
      </c>
      <c r="AL544" s="2">
        <v>5.7</v>
      </c>
      <c r="AM544" s="2">
        <v>0</v>
      </c>
      <c r="AN544" s="2">
        <v>0</v>
      </c>
      <c r="AO544" s="2">
        <v>0</v>
      </c>
      <c r="AP544" s="2">
        <v>0</v>
      </c>
      <c r="AQ544" s="2">
        <v>0</v>
      </c>
    </row>
    <row r="545" spans="1:43" x14ac:dyDescent="0.25">
      <c r="A545" s="1">
        <v>45936</v>
      </c>
      <c r="B545" t="s">
        <v>48</v>
      </c>
      <c r="C545">
        <v>649163</v>
      </c>
      <c r="D545">
        <v>2029786428</v>
      </c>
      <c r="E545" t="s">
        <v>425</v>
      </c>
      <c r="F545" t="s">
        <v>426</v>
      </c>
      <c r="G545" t="s">
        <v>51</v>
      </c>
      <c r="H545" t="s">
        <v>427</v>
      </c>
      <c r="I545" t="s">
        <v>209</v>
      </c>
      <c r="J545" t="s">
        <v>232</v>
      </c>
      <c r="K545">
        <v>812994</v>
      </c>
      <c r="L545" t="s">
        <v>428</v>
      </c>
      <c r="M545" t="s">
        <v>309</v>
      </c>
      <c r="N545" t="s">
        <v>57</v>
      </c>
      <c r="O545" s="1">
        <v>45842</v>
      </c>
      <c r="Q545" s="1">
        <v>45965</v>
      </c>
      <c r="R545" s="2">
        <v>15</v>
      </c>
      <c r="S545">
        <v>1</v>
      </c>
      <c r="T545" t="s">
        <v>58</v>
      </c>
      <c r="U545" t="s">
        <v>359</v>
      </c>
      <c r="V545" s="3">
        <v>0.38</v>
      </c>
      <c r="W545" s="2">
        <v>0</v>
      </c>
      <c r="X545">
        <v>0</v>
      </c>
      <c r="Y545" t="s">
        <v>60</v>
      </c>
      <c r="Z545" t="s">
        <v>360</v>
      </c>
      <c r="AA545">
        <v>0</v>
      </c>
      <c r="AB545" s="2">
        <v>0</v>
      </c>
      <c r="AC545" s="2">
        <v>0</v>
      </c>
      <c r="AD545" s="3">
        <v>0</v>
      </c>
      <c r="AE545" s="2">
        <v>0</v>
      </c>
      <c r="AF545" s="2">
        <v>0</v>
      </c>
      <c r="AG545" s="2">
        <v>0</v>
      </c>
      <c r="AH545" s="2">
        <v>0</v>
      </c>
      <c r="AI545" s="2">
        <v>0</v>
      </c>
      <c r="AJ545" s="2">
        <v>0</v>
      </c>
      <c r="AK545" s="2">
        <v>0</v>
      </c>
      <c r="AL545" s="2">
        <v>5.7</v>
      </c>
      <c r="AM545" s="2">
        <v>0</v>
      </c>
      <c r="AN545" s="2">
        <v>0</v>
      </c>
      <c r="AO545" s="2">
        <v>0</v>
      </c>
      <c r="AP545" s="2">
        <v>0</v>
      </c>
      <c r="AQ545" s="2">
        <v>0</v>
      </c>
    </row>
    <row r="546" spans="1:43" x14ac:dyDescent="0.25">
      <c r="A546" s="1">
        <v>45936</v>
      </c>
      <c r="B546" t="s">
        <v>48</v>
      </c>
      <c r="C546">
        <v>649163</v>
      </c>
      <c r="D546">
        <v>2029786839</v>
      </c>
      <c r="E546" t="s">
        <v>429</v>
      </c>
      <c r="F546" t="s">
        <v>430</v>
      </c>
      <c r="G546" t="s">
        <v>51</v>
      </c>
      <c r="H546" t="s">
        <v>431</v>
      </c>
      <c r="I546" t="s">
        <v>209</v>
      </c>
      <c r="J546" t="s">
        <v>222</v>
      </c>
      <c r="K546">
        <v>751867</v>
      </c>
      <c r="L546" t="s">
        <v>71</v>
      </c>
      <c r="M546" t="s">
        <v>72</v>
      </c>
      <c r="N546" t="s">
        <v>57</v>
      </c>
      <c r="O546" s="1">
        <v>45842</v>
      </c>
      <c r="Q546" s="1">
        <v>45965</v>
      </c>
      <c r="R546" s="2">
        <v>15</v>
      </c>
      <c r="S546">
        <v>1</v>
      </c>
      <c r="T546" t="s">
        <v>58</v>
      </c>
      <c r="U546" t="s">
        <v>359</v>
      </c>
      <c r="V546" s="3">
        <v>0.38</v>
      </c>
      <c r="W546" s="2">
        <v>0</v>
      </c>
      <c r="X546">
        <v>0</v>
      </c>
      <c r="Y546" t="s">
        <v>60</v>
      </c>
      <c r="Z546" t="s">
        <v>360</v>
      </c>
      <c r="AA546">
        <v>0</v>
      </c>
      <c r="AB546" s="2">
        <v>0</v>
      </c>
      <c r="AC546" s="2">
        <v>0</v>
      </c>
      <c r="AD546" s="3">
        <v>0</v>
      </c>
      <c r="AE546" s="2">
        <v>0</v>
      </c>
      <c r="AF546" s="2">
        <v>0</v>
      </c>
      <c r="AG546" s="2">
        <v>0</v>
      </c>
      <c r="AH546" s="2">
        <v>0</v>
      </c>
      <c r="AI546" s="2">
        <v>0</v>
      </c>
      <c r="AJ546" s="2">
        <v>0</v>
      </c>
      <c r="AK546" s="2">
        <v>0</v>
      </c>
      <c r="AL546" s="2">
        <v>5.7</v>
      </c>
      <c r="AM546" s="2">
        <v>0</v>
      </c>
      <c r="AN546" s="2">
        <v>0</v>
      </c>
      <c r="AO546" s="2">
        <v>0</v>
      </c>
      <c r="AP546" s="2">
        <v>0</v>
      </c>
      <c r="AQ546" s="2">
        <v>0</v>
      </c>
    </row>
    <row r="547" spans="1:43" x14ac:dyDescent="0.25">
      <c r="A547" s="1">
        <v>45936</v>
      </c>
      <c r="B547" t="s">
        <v>48</v>
      </c>
      <c r="C547">
        <v>649163</v>
      </c>
      <c r="D547">
        <v>2029838337</v>
      </c>
      <c r="E547" t="s">
        <v>434</v>
      </c>
      <c r="F547" t="s">
        <v>435</v>
      </c>
      <c r="G547" t="s">
        <v>51</v>
      </c>
      <c r="H547" t="s">
        <v>101</v>
      </c>
      <c r="I547" t="s">
        <v>209</v>
      </c>
      <c r="J547" t="s">
        <v>232</v>
      </c>
      <c r="K547">
        <v>840313</v>
      </c>
      <c r="L547" t="s">
        <v>436</v>
      </c>
      <c r="M547" t="s">
        <v>437</v>
      </c>
      <c r="N547" t="s">
        <v>57</v>
      </c>
      <c r="O547" s="1">
        <v>45846</v>
      </c>
      <c r="Q547" s="1">
        <v>45969</v>
      </c>
      <c r="R547" s="2">
        <v>15</v>
      </c>
      <c r="S547">
        <v>1</v>
      </c>
      <c r="T547" t="s">
        <v>58</v>
      </c>
      <c r="U547" t="s">
        <v>359</v>
      </c>
      <c r="V547" s="3">
        <v>0.38</v>
      </c>
      <c r="W547" s="2">
        <v>0</v>
      </c>
      <c r="X547">
        <v>0</v>
      </c>
      <c r="Y547" t="s">
        <v>60</v>
      </c>
      <c r="Z547" t="s">
        <v>360</v>
      </c>
      <c r="AA547">
        <v>0</v>
      </c>
      <c r="AB547" s="2">
        <v>0</v>
      </c>
      <c r="AC547" s="2">
        <v>0</v>
      </c>
      <c r="AD547" s="3">
        <v>0</v>
      </c>
      <c r="AE547" s="2">
        <v>0</v>
      </c>
      <c r="AF547" s="2">
        <v>0</v>
      </c>
      <c r="AG547" s="2">
        <v>0</v>
      </c>
      <c r="AH547" s="2">
        <v>0</v>
      </c>
      <c r="AI547" s="2">
        <v>0</v>
      </c>
      <c r="AJ547" s="2">
        <v>0</v>
      </c>
      <c r="AK547" s="2">
        <v>0</v>
      </c>
      <c r="AL547" s="2">
        <v>5.7</v>
      </c>
      <c r="AM547" s="2">
        <v>0</v>
      </c>
      <c r="AN547" s="2">
        <v>0</v>
      </c>
      <c r="AO547" s="2">
        <v>0</v>
      </c>
      <c r="AP547" s="2">
        <v>0</v>
      </c>
      <c r="AQ547" s="2">
        <v>0</v>
      </c>
    </row>
    <row r="548" spans="1:43" x14ac:dyDescent="0.25">
      <c r="A548" s="1">
        <v>45936</v>
      </c>
      <c r="B548" t="s">
        <v>48</v>
      </c>
      <c r="C548">
        <v>649163</v>
      </c>
      <c r="D548">
        <v>2030277550</v>
      </c>
      <c r="E548" t="s">
        <v>439</v>
      </c>
      <c r="F548" t="s">
        <v>440</v>
      </c>
      <c r="G548" t="s">
        <v>51</v>
      </c>
      <c r="H548" t="s">
        <v>247</v>
      </c>
      <c r="I548" t="s">
        <v>209</v>
      </c>
      <c r="J548" t="s">
        <v>961</v>
      </c>
      <c r="K548">
        <v>673059</v>
      </c>
      <c r="L548" t="s">
        <v>80</v>
      </c>
      <c r="M548" t="s">
        <v>81</v>
      </c>
      <c r="N548" t="s">
        <v>57</v>
      </c>
      <c r="O548" s="1">
        <v>45878</v>
      </c>
      <c r="Q548" s="1">
        <v>45970</v>
      </c>
      <c r="R548" s="2">
        <v>15</v>
      </c>
      <c r="S548">
        <v>1</v>
      </c>
      <c r="T548" t="s">
        <v>58</v>
      </c>
      <c r="U548" t="s">
        <v>359</v>
      </c>
      <c r="V548" s="3">
        <v>0.19</v>
      </c>
      <c r="W548" s="2">
        <v>0</v>
      </c>
      <c r="X548">
        <v>0</v>
      </c>
      <c r="Y548" t="s">
        <v>60</v>
      </c>
      <c r="Z548" t="s">
        <v>360</v>
      </c>
      <c r="AA548">
        <v>0</v>
      </c>
      <c r="AB548" s="2">
        <v>0</v>
      </c>
      <c r="AC548" s="2">
        <v>0</v>
      </c>
      <c r="AD548" s="3">
        <v>0</v>
      </c>
      <c r="AE548" s="2">
        <v>0</v>
      </c>
      <c r="AF548" s="2">
        <v>0</v>
      </c>
      <c r="AG548" s="2">
        <v>0</v>
      </c>
      <c r="AH548" s="2">
        <v>0</v>
      </c>
      <c r="AI548" s="2">
        <v>0</v>
      </c>
      <c r="AJ548" s="2">
        <v>0</v>
      </c>
      <c r="AK548" s="2">
        <v>0</v>
      </c>
      <c r="AL548" s="2">
        <v>2.85</v>
      </c>
      <c r="AM548" s="2">
        <v>0</v>
      </c>
      <c r="AN548" s="2">
        <v>0</v>
      </c>
      <c r="AO548" s="2">
        <v>0</v>
      </c>
      <c r="AP548" s="2">
        <v>0</v>
      </c>
      <c r="AQ548" s="2">
        <v>0</v>
      </c>
    </row>
    <row r="549" spans="1:43" x14ac:dyDescent="0.25">
      <c r="A549" s="1">
        <v>45936</v>
      </c>
      <c r="B549" t="s">
        <v>48</v>
      </c>
      <c r="C549">
        <v>649163</v>
      </c>
      <c r="D549">
        <v>2030290667</v>
      </c>
      <c r="E549" t="s">
        <v>441</v>
      </c>
      <c r="F549" t="s">
        <v>442</v>
      </c>
      <c r="G549" t="s">
        <v>51</v>
      </c>
      <c r="H549" t="s">
        <v>390</v>
      </c>
      <c r="I549" t="s">
        <v>209</v>
      </c>
      <c r="J549" t="s">
        <v>222</v>
      </c>
      <c r="K549">
        <v>650218</v>
      </c>
      <c r="L549" t="s">
        <v>237</v>
      </c>
      <c r="M549" t="s">
        <v>238</v>
      </c>
      <c r="N549" t="s">
        <v>57</v>
      </c>
      <c r="O549" s="1">
        <v>45872</v>
      </c>
      <c r="Q549" s="1">
        <v>45964</v>
      </c>
      <c r="R549" s="2">
        <v>15</v>
      </c>
      <c r="S549">
        <v>1</v>
      </c>
      <c r="T549" t="s">
        <v>58</v>
      </c>
      <c r="U549" t="s">
        <v>359</v>
      </c>
      <c r="V549" s="3">
        <v>0.38</v>
      </c>
      <c r="W549" s="2">
        <v>0</v>
      </c>
      <c r="X549">
        <v>0</v>
      </c>
      <c r="Y549" t="s">
        <v>60</v>
      </c>
      <c r="Z549" t="s">
        <v>360</v>
      </c>
      <c r="AA549">
        <v>0</v>
      </c>
      <c r="AB549" s="2">
        <v>0</v>
      </c>
      <c r="AC549" s="2">
        <v>0</v>
      </c>
      <c r="AD549" s="3">
        <v>0</v>
      </c>
      <c r="AE549" s="2">
        <v>0</v>
      </c>
      <c r="AF549" s="2">
        <v>0</v>
      </c>
      <c r="AG549" s="2">
        <v>0</v>
      </c>
      <c r="AH549" s="2">
        <v>0</v>
      </c>
      <c r="AI549" s="2">
        <v>0</v>
      </c>
      <c r="AJ549" s="2">
        <v>0</v>
      </c>
      <c r="AK549" s="2">
        <v>0</v>
      </c>
      <c r="AL549" s="2">
        <v>5.7</v>
      </c>
      <c r="AM549" s="2">
        <v>0</v>
      </c>
      <c r="AN549" s="2">
        <v>0</v>
      </c>
      <c r="AO549" s="2">
        <v>0</v>
      </c>
      <c r="AP549" s="2">
        <v>0</v>
      </c>
      <c r="AQ549" s="2">
        <v>0</v>
      </c>
    </row>
    <row r="550" spans="1:43" x14ac:dyDescent="0.25">
      <c r="A550" s="1">
        <v>45936</v>
      </c>
      <c r="B550" t="s">
        <v>48</v>
      </c>
      <c r="C550">
        <v>649163</v>
      </c>
      <c r="D550">
        <v>2030339161</v>
      </c>
      <c r="E550" t="s">
        <v>627</v>
      </c>
      <c r="F550" t="s">
        <v>964</v>
      </c>
      <c r="G550" t="s">
        <v>51</v>
      </c>
      <c r="H550" t="s">
        <v>247</v>
      </c>
      <c r="I550" t="s">
        <v>209</v>
      </c>
      <c r="J550" t="s">
        <v>960</v>
      </c>
      <c r="K550">
        <v>874230</v>
      </c>
      <c r="L550" t="s">
        <v>554</v>
      </c>
      <c r="M550" t="s">
        <v>555</v>
      </c>
      <c r="N550" t="s">
        <v>57</v>
      </c>
      <c r="O550" s="1">
        <v>45875</v>
      </c>
      <c r="Q550" s="1">
        <v>45967</v>
      </c>
      <c r="R550" s="2">
        <v>15</v>
      </c>
      <c r="S550">
        <v>1</v>
      </c>
      <c r="T550" t="s">
        <v>58</v>
      </c>
      <c r="U550" t="s">
        <v>359</v>
      </c>
      <c r="V550" s="3">
        <v>0.19</v>
      </c>
      <c r="W550" s="2">
        <v>0</v>
      </c>
      <c r="X550">
        <v>0</v>
      </c>
      <c r="Y550" t="s">
        <v>60</v>
      </c>
      <c r="Z550" t="s">
        <v>360</v>
      </c>
      <c r="AA550">
        <v>0</v>
      </c>
      <c r="AB550" s="2">
        <v>0</v>
      </c>
      <c r="AC550" s="2">
        <v>0</v>
      </c>
      <c r="AD550" s="3">
        <v>0</v>
      </c>
      <c r="AE550" s="2">
        <v>0</v>
      </c>
      <c r="AF550" s="2">
        <v>0</v>
      </c>
      <c r="AG550" s="2">
        <v>0</v>
      </c>
      <c r="AH550" s="2">
        <v>0</v>
      </c>
      <c r="AI550" s="2">
        <v>0</v>
      </c>
      <c r="AJ550" s="2">
        <v>0</v>
      </c>
      <c r="AK550" s="2">
        <v>0</v>
      </c>
      <c r="AL550" s="2">
        <v>0</v>
      </c>
      <c r="AM550" s="2">
        <v>2.85</v>
      </c>
      <c r="AN550" s="2">
        <v>2.85</v>
      </c>
      <c r="AO550" s="2">
        <v>0</v>
      </c>
      <c r="AP550" s="2">
        <v>0</v>
      </c>
      <c r="AQ550" s="2">
        <v>0</v>
      </c>
    </row>
    <row r="551" spans="1:43" x14ac:dyDescent="0.25">
      <c r="A551" s="1">
        <v>45936</v>
      </c>
      <c r="B551" t="s">
        <v>48</v>
      </c>
      <c r="C551">
        <v>649163</v>
      </c>
      <c r="D551">
        <v>2030375984</v>
      </c>
      <c r="E551" t="s">
        <v>94</v>
      </c>
      <c r="F551" t="s">
        <v>548</v>
      </c>
      <c r="G551" t="s">
        <v>51</v>
      </c>
      <c r="H551" t="s">
        <v>150</v>
      </c>
      <c r="I551" t="s">
        <v>209</v>
      </c>
      <c r="J551" t="s">
        <v>217</v>
      </c>
      <c r="K551">
        <v>877790</v>
      </c>
      <c r="L551" t="s">
        <v>151</v>
      </c>
      <c r="M551" t="s">
        <v>152</v>
      </c>
      <c r="N551" t="s">
        <v>57</v>
      </c>
      <c r="O551" s="1">
        <v>45877</v>
      </c>
      <c r="Q551" s="1">
        <v>45969</v>
      </c>
      <c r="R551" s="2">
        <v>15</v>
      </c>
      <c r="S551">
        <v>1</v>
      </c>
      <c r="T551" t="s">
        <v>58</v>
      </c>
      <c r="U551" t="s">
        <v>359</v>
      </c>
      <c r="V551" s="3">
        <v>0.19</v>
      </c>
      <c r="W551" s="2">
        <v>0</v>
      </c>
      <c r="X551">
        <v>0</v>
      </c>
      <c r="Y551" t="s">
        <v>60</v>
      </c>
      <c r="Z551" t="s">
        <v>360</v>
      </c>
      <c r="AA551">
        <v>0</v>
      </c>
      <c r="AB551" s="2">
        <v>0</v>
      </c>
      <c r="AC551" s="2">
        <v>0</v>
      </c>
      <c r="AD551" s="3">
        <v>0</v>
      </c>
      <c r="AE551" s="2">
        <v>0</v>
      </c>
      <c r="AF551" s="2">
        <v>0</v>
      </c>
      <c r="AG551" s="2">
        <v>0</v>
      </c>
      <c r="AH551" s="2">
        <v>0</v>
      </c>
      <c r="AI551" s="2">
        <v>0</v>
      </c>
      <c r="AJ551" s="2">
        <v>0</v>
      </c>
      <c r="AK551" s="2">
        <v>0</v>
      </c>
      <c r="AL551" s="2">
        <v>2.85</v>
      </c>
      <c r="AM551" s="2">
        <v>0</v>
      </c>
      <c r="AN551" s="2">
        <v>0</v>
      </c>
      <c r="AO551" s="2">
        <v>0</v>
      </c>
      <c r="AP551" s="2">
        <v>0</v>
      </c>
      <c r="AQ551" s="2">
        <v>0</v>
      </c>
    </row>
    <row r="552" spans="1:43" x14ac:dyDescent="0.25">
      <c r="A552" s="1">
        <v>45936</v>
      </c>
      <c r="B552" t="s">
        <v>48</v>
      </c>
      <c r="C552">
        <v>649163</v>
      </c>
      <c r="D552">
        <v>2030399998</v>
      </c>
      <c r="E552" t="s">
        <v>447</v>
      </c>
      <c r="F552" t="s">
        <v>139</v>
      </c>
      <c r="G552" t="s">
        <v>51</v>
      </c>
      <c r="H552" t="s">
        <v>101</v>
      </c>
      <c r="I552" t="s">
        <v>209</v>
      </c>
      <c r="J552" t="s">
        <v>232</v>
      </c>
      <c r="K552">
        <v>824062</v>
      </c>
      <c r="L552" t="s">
        <v>273</v>
      </c>
      <c r="M552" t="s">
        <v>274</v>
      </c>
      <c r="N552" t="s">
        <v>57</v>
      </c>
      <c r="O552" s="1">
        <v>45878</v>
      </c>
      <c r="Q552" s="1">
        <v>45970</v>
      </c>
      <c r="R552" s="2">
        <v>15</v>
      </c>
      <c r="S552">
        <v>1</v>
      </c>
      <c r="T552" t="s">
        <v>58</v>
      </c>
      <c r="U552" t="s">
        <v>359</v>
      </c>
      <c r="V552" s="3">
        <v>0.38</v>
      </c>
      <c r="W552" s="2">
        <v>0</v>
      </c>
      <c r="X552">
        <v>0</v>
      </c>
      <c r="Y552" t="s">
        <v>60</v>
      </c>
      <c r="Z552" t="s">
        <v>360</v>
      </c>
      <c r="AA552">
        <v>0</v>
      </c>
      <c r="AB552" s="2">
        <v>0</v>
      </c>
      <c r="AC552" s="2">
        <v>0</v>
      </c>
      <c r="AD552" s="3">
        <v>0</v>
      </c>
      <c r="AE552" s="2">
        <v>0</v>
      </c>
      <c r="AF552" s="2">
        <v>0</v>
      </c>
      <c r="AG552" s="2">
        <v>0</v>
      </c>
      <c r="AH552" s="2">
        <v>0</v>
      </c>
      <c r="AI552" s="2">
        <v>0</v>
      </c>
      <c r="AJ552" s="2">
        <v>0</v>
      </c>
      <c r="AK552" s="2">
        <v>0</v>
      </c>
      <c r="AL552" s="2">
        <v>5.7</v>
      </c>
      <c r="AM552" s="2">
        <v>0</v>
      </c>
      <c r="AN552" s="2">
        <v>0</v>
      </c>
      <c r="AO552" s="2">
        <v>0</v>
      </c>
      <c r="AP552" s="2">
        <v>0</v>
      </c>
      <c r="AQ552" s="2">
        <v>0</v>
      </c>
    </row>
    <row r="553" spans="1:43" x14ac:dyDescent="0.25">
      <c r="A553" s="1">
        <v>45936</v>
      </c>
      <c r="B553" t="s">
        <v>48</v>
      </c>
      <c r="C553">
        <v>649163</v>
      </c>
      <c r="D553">
        <v>2030896176</v>
      </c>
      <c r="E553" t="s">
        <v>448</v>
      </c>
      <c r="F553" t="s">
        <v>449</v>
      </c>
      <c r="G553" t="s">
        <v>51</v>
      </c>
      <c r="H553" t="s">
        <v>101</v>
      </c>
      <c r="I553" t="s">
        <v>209</v>
      </c>
      <c r="J553" t="s">
        <v>232</v>
      </c>
      <c r="K553">
        <v>820873</v>
      </c>
      <c r="L553" t="s">
        <v>134</v>
      </c>
      <c r="M553" t="s">
        <v>135</v>
      </c>
      <c r="N553" t="s">
        <v>57</v>
      </c>
      <c r="O553" s="1">
        <v>45906</v>
      </c>
      <c r="Q553" s="1">
        <v>45967</v>
      </c>
      <c r="R553" s="2">
        <v>15</v>
      </c>
      <c r="S553">
        <v>1</v>
      </c>
      <c r="T553" t="s">
        <v>58</v>
      </c>
      <c r="U553" t="s">
        <v>359</v>
      </c>
      <c r="V553" s="3">
        <v>0.38</v>
      </c>
      <c r="W553" s="2">
        <v>0</v>
      </c>
      <c r="X553">
        <v>0</v>
      </c>
      <c r="Y553" t="s">
        <v>60</v>
      </c>
      <c r="Z553" t="s">
        <v>360</v>
      </c>
      <c r="AA553">
        <v>0</v>
      </c>
      <c r="AB553" s="2">
        <v>0</v>
      </c>
      <c r="AC553" s="2">
        <v>0</v>
      </c>
      <c r="AD553" s="3">
        <v>0</v>
      </c>
      <c r="AE553" s="2">
        <v>0</v>
      </c>
      <c r="AF553" s="2">
        <v>0</v>
      </c>
      <c r="AG553" s="2">
        <v>0</v>
      </c>
      <c r="AH553" s="2">
        <v>0</v>
      </c>
      <c r="AI553" s="2">
        <v>0</v>
      </c>
      <c r="AJ553" s="2">
        <v>0</v>
      </c>
      <c r="AK553" s="2">
        <v>0</v>
      </c>
      <c r="AL553" s="2">
        <v>5.7</v>
      </c>
      <c r="AM553" s="2">
        <v>0</v>
      </c>
      <c r="AN553" s="2">
        <v>0</v>
      </c>
      <c r="AO553" s="2">
        <v>0</v>
      </c>
      <c r="AP553" s="2">
        <v>0</v>
      </c>
      <c r="AQ553" s="2">
        <v>0</v>
      </c>
    </row>
    <row r="554" spans="1:43" x14ac:dyDescent="0.25">
      <c r="A554" s="1">
        <v>45936</v>
      </c>
      <c r="B554" t="s">
        <v>48</v>
      </c>
      <c r="C554">
        <v>649163</v>
      </c>
      <c r="D554">
        <v>2030905165</v>
      </c>
      <c r="E554" t="s">
        <v>549</v>
      </c>
      <c r="F554" t="s">
        <v>550</v>
      </c>
      <c r="G554" t="s">
        <v>51</v>
      </c>
      <c r="H554" t="s">
        <v>52</v>
      </c>
      <c r="I554" t="s">
        <v>209</v>
      </c>
      <c r="J554" t="s">
        <v>225</v>
      </c>
      <c r="K554">
        <v>753748</v>
      </c>
      <c r="L554" t="s">
        <v>97</v>
      </c>
      <c r="M554" t="s">
        <v>98</v>
      </c>
      <c r="N554" t="s">
        <v>57</v>
      </c>
      <c r="O554" s="1">
        <v>45906</v>
      </c>
      <c r="Q554" s="1">
        <v>45967</v>
      </c>
      <c r="R554" s="2">
        <v>15</v>
      </c>
      <c r="S554">
        <v>1</v>
      </c>
      <c r="T554" t="s">
        <v>58</v>
      </c>
      <c r="U554" t="s">
        <v>359</v>
      </c>
      <c r="V554" s="3">
        <v>0.28999999999999998</v>
      </c>
      <c r="W554" s="2">
        <v>0</v>
      </c>
      <c r="X554">
        <v>0</v>
      </c>
      <c r="Y554" t="s">
        <v>60</v>
      </c>
      <c r="Z554" t="s">
        <v>360</v>
      </c>
      <c r="AA554">
        <v>0</v>
      </c>
      <c r="AB554" s="2">
        <v>0</v>
      </c>
      <c r="AC554" s="2">
        <v>0</v>
      </c>
      <c r="AD554" s="3">
        <v>0</v>
      </c>
      <c r="AE554" s="2">
        <v>0</v>
      </c>
      <c r="AF554" s="2">
        <v>0</v>
      </c>
      <c r="AG554" s="2">
        <v>0</v>
      </c>
      <c r="AH554" s="2">
        <v>0</v>
      </c>
      <c r="AI554" s="2">
        <v>0</v>
      </c>
      <c r="AJ554" s="2">
        <v>0</v>
      </c>
      <c r="AK554" s="2">
        <v>0</v>
      </c>
      <c r="AL554" s="2">
        <v>4.3499999999999996</v>
      </c>
      <c r="AM554" s="2">
        <v>0</v>
      </c>
      <c r="AN554" s="2">
        <v>0</v>
      </c>
      <c r="AO554" s="2">
        <v>0</v>
      </c>
      <c r="AP554" s="2">
        <v>0</v>
      </c>
      <c r="AQ554" s="2">
        <v>0</v>
      </c>
    </row>
    <row r="555" spans="1:43" x14ac:dyDescent="0.25">
      <c r="A555" s="1">
        <v>45936</v>
      </c>
      <c r="B555" t="s">
        <v>48</v>
      </c>
      <c r="C555">
        <v>649163</v>
      </c>
      <c r="D555">
        <v>2030917279</v>
      </c>
      <c r="E555" t="s">
        <v>551</v>
      </c>
      <c r="F555" t="s">
        <v>552</v>
      </c>
      <c r="G555" t="s">
        <v>51</v>
      </c>
      <c r="H555" t="s">
        <v>247</v>
      </c>
      <c r="I555" t="s">
        <v>209</v>
      </c>
      <c r="J555" t="s">
        <v>960</v>
      </c>
      <c r="K555">
        <v>874230</v>
      </c>
      <c r="L555" t="s">
        <v>554</v>
      </c>
      <c r="M555" t="s">
        <v>555</v>
      </c>
      <c r="N555" t="s">
        <v>57</v>
      </c>
      <c r="O555" s="1">
        <v>45910</v>
      </c>
      <c r="Q555" s="1">
        <v>45971</v>
      </c>
      <c r="R555" s="2">
        <v>15</v>
      </c>
      <c r="S555">
        <v>1</v>
      </c>
      <c r="T555" t="s">
        <v>58</v>
      </c>
      <c r="U555" t="s">
        <v>359</v>
      </c>
      <c r="V555" s="3">
        <v>0.19</v>
      </c>
      <c r="W555" s="2">
        <v>0</v>
      </c>
      <c r="X555">
        <v>0</v>
      </c>
      <c r="Y555" t="s">
        <v>60</v>
      </c>
      <c r="Z555" t="s">
        <v>360</v>
      </c>
      <c r="AA555">
        <v>0</v>
      </c>
      <c r="AB555" s="2">
        <v>0</v>
      </c>
      <c r="AC555" s="2">
        <v>0</v>
      </c>
      <c r="AD555" s="3">
        <v>0</v>
      </c>
      <c r="AE555" s="2">
        <v>0</v>
      </c>
      <c r="AF555" s="2">
        <v>0</v>
      </c>
      <c r="AG555" s="2">
        <v>0</v>
      </c>
      <c r="AH555" s="2">
        <v>0</v>
      </c>
      <c r="AI555" s="2">
        <v>0</v>
      </c>
      <c r="AJ555" s="2">
        <v>0</v>
      </c>
      <c r="AK555" s="2">
        <v>0</v>
      </c>
      <c r="AL555" s="2">
        <v>2.85</v>
      </c>
      <c r="AM555" s="2">
        <v>0</v>
      </c>
      <c r="AN555" s="2">
        <v>0</v>
      </c>
      <c r="AO555" s="2">
        <v>0</v>
      </c>
      <c r="AP555" s="2">
        <v>0</v>
      </c>
      <c r="AQ555" s="2">
        <v>0</v>
      </c>
    </row>
    <row r="556" spans="1:43" x14ac:dyDescent="0.25">
      <c r="A556" s="1">
        <v>45936</v>
      </c>
      <c r="B556" t="s">
        <v>48</v>
      </c>
      <c r="C556">
        <v>649163</v>
      </c>
      <c r="D556">
        <v>2030933674</v>
      </c>
      <c r="E556" t="s">
        <v>955</v>
      </c>
      <c r="F556" t="s">
        <v>956</v>
      </c>
      <c r="G556" t="s">
        <v>51</v>
      </c>
      <c r="H556" t="s">
        <v>105</v>
      </c>
      <c r="I556" t="s">
        <v>209</v>
      </c>
      <c r="J556" t="s">
        <v>963</v>
      </c>
      <c r="K556">
        <v>823068</v>
      </c>
      <c r="L556" t="s">
        <v>106</v>
      </c>
      <c r="M556" t="s">
        <v>107</v>
      </c>
      <c r="N556" t="s">
        <v>57</v>
      </c>
      <c r="O556" s="1">
        <v>45909</v>
      </c>
      <c r="Q556" s="1">
        <v>45970</v>
      </c>
      <c r="R556" s="2">
        <v>19.5</v>
      </c>
      <c r="S556">
        <v>1</v>
      </c>
      <c r="T556" t="s">
        <v>58</v>
      </c>
      <c r="U556" t="s">
        <v>59</v>
      </c>
      <c r="V556" s="3">
        <v>0.39</v>
      </c>
      <c r="W556" s="2">
        <v>0</v>
      </c>
      <c r="X556">
        <v>0</v>
      </c>
      <c r="Y556" t="s">
        <v>60</v>
      </c>
      <c r="Z556" t="s">
        <v>360</v>
      </c>
      <c r="AA556">
        <v>0</v>
      </c>
      <c r="AB556" s="2">
        <v>0</v>
      </c>
      <c r="AC556" s="2">
        <v>0</v>
      </c>
      <c r="AD556" s="3">
        <v>0</v>
      </c>
      <c r="AE556" s="2">
        <v>0</v>
      </c>
      <c r="AF556" s="2">
        <v>0</v>
      </c>
      <c r="AG556" s="2">
        <v>0</v>
      </c>
      <c r="AH556" s="2">
        <v>0</v>
      </c>
      <c r="AI556" s="2">
        <v>0</v>
      </c>
      <c r="AJ556" s="2">
        <v>0</v>
      </c>
      <c r="AK556" s="2">
        <v>0</v>
      </c>
      <c r="AL556" s="2">
        <v>7.6</v>
      </c>
      <c r="AM556" s="2">
        <v>0</v>
      </c>
      <c r="AN556" s="2">
        <v>0</v>
      </c>
      <c r="AO556" s="2">
        <v>0</v>
      </c>
      <c r="AP556" s="2">
        <v>0</v>
      </c>
      <c r="AQ556" s="2">
        <v>0</v>
      </c>
    </row>
    <row r="557" spans="1:43" x14ac:dyDescent="0.25">
      <c r="A557" s="1">
        <v>45936</v>
      </c>
      <c r="B557" t="s">
        <v>48</v>
      </c>
      <c r="C557">
        <v>649163</v>
      </c>
      <c r="D557">
        <v>2030934310</v>
      </c>
      <c r="E557" t="s">
        <v>556</v>
      </c>
      <c r="F557" t="s">
        <v>557</v>
      </c>
      <c r="G557" t="s">
        <v>51</v>
      </c>
      <c r="H557" t="s">
        <v>427</v>
      </c>
      <c r="I557" t="s">
        <v>209</v>
      </c>
      <c r="J557" t="s">
        <v>225</v>
      </c>
      <c r="K557">
        <v>812994</v>
      </c>
      <c r="L557" t="s">
        <v>428</v>
      </c>
      <c r="M557" t="s">
        <v>309</v>
      </c>
      <c r="N557" t="s">
        <v>456</v>
      </c>
      <c r="O557" s="1">
        <v>45909</v>
      </c>
      <c r="P557" s="1">
        <v>45936</v>
      </c>
      <c r="Q557" s="1">
        <v>45939</v>
      </c>
      <c r="R557" s="2">
        <v>-2.5</v>
      </c>
      <c r="S557">
        <v>1</v>
      </c>
      <c r="T557" t="s">
        <v>58</v>
      </c>
      <c r="U557" t="s">
        <v>221</v>
      </c>
      <c r="V557" s="3">
        <v>0.28999999999999998</v>
      </c>
      <c r="W557" s="2">
        <v>0</v>
      </c>
      <c r="X557">
        <v>-1</v>
      </c>
      <c r="Y557" t="s">
        <v>60</v>
      </c>
      <c r="Z557" t="s">
        <v>360</v>
      </c>
      <c r="AA557">
        <v>0</v>
      </c>
      <c r="AB557" s="2">
        <v>0</v>
      </c>
      <c r="AC557" s="2">
        <v>0</v>
      </c>
      <c r="AD557" s="3">
        <v>0</v>
      </c>
      <c r="AE557" s="2">
        <v>0</v>
      </c>
      <c r="AF557" s="2">
        <v>0</v>
      </c>
      <c r="AG557" s="2">
        <v>0</v>
      </c>
      <c r="AH557" s="2">
        <v>0</v>
      </c>
      <c r="AI557" s="2">
        <v>0</v>
      </c>
      <c r="AJ557" s="2">
        <v>0</v>
      </c>
      <c r="AK557" s="2">
        <v>0</v>
      </c>
      <c r="AL557" s="2">
        <v>0</v>
      </c>
      <c r="AM557" s="2">
        <v>-0.72</v>
      </c>
      <c r="AN557" s="2">
        <v>-0.72</v>
      </c>
      <c r="AO557" s="2">
        <v>0</v>
      </c>
      <c r="AP557" s="2">
        <v>0</v>
      </c>
      <c r="AQ557" s="2">
        <v>0</v>
      </c>
    </row>
    <row r="558" spans="1:43" x14ac:dyDescent="0.25">
      <c r="A558" s="1">
        <v>45936</v>
      </c>
      <c r="B558" t="s">
        <v>48</v>
      </c>
      <c r="C558">
        <v>649163</v>
      </c>
      <c r="D558">
        <v>2030945125</v>
      </c>
      <c r="E558" t="s">
        <v>388</v>
      </c>
      <c r="F558" t="s">
        <v>453</v>
      </c>
      <c r="G558" t="s">
        <v>51</v>
      </c>
      <c r="H558" t="s">
        <v>101</v>
      </c>
      <c r="I558" t="s">
        <v>209</v>
      </c>
      <c r="J558" t="s">
        <v>222</v>
      </c>
      <c r="K558">
        <v>820873</v>
      </c>
      <c r="L558" t="s">
        <v>134</v>
      </c>
      <c r="M558" t="s">
        <v>135</v>
      </c>
      <c r="N558" t="s">
        <v>57</v>
      </c>
      <c r="O558" s="1">
        <v>45909</v>
      </c>
      <c r="Q558" s="1">
        <v>45970</v>
      </c>
      <c r="R558" s="2">
        <v>15</v>
      </c>
      <c r="S558">
        <v>1</v>
      </c>
      <c r="T558" t="s">
        <v>58</v>
      </c>
      <c r="U558" t="s">
        <v>59</v>
      </c>
      <c r="V558" s="3">
        <v>0.38</v>
      </c>
      <c r="W558" s="2">
        <v>0</v>
      </c>
      <c r="X558">
        <v>0</v>
      </c>
      <c r="Y558" t="s">
        <v>60</v>
      </c>
      <c r="Z558" t="s">
        <v>360</v>
      </c>
      <c r="AA558">
        <v>0</v>
      </c>
      <c r="AB558" s="2">
        <v>0</v>
      </c>
      <c r="AC558" s="2">
        <v>0</v>
      </c>
      <c r="AD558" s="3">
        <v>0</v>
      </c>
      <c r="AE558" s="2">
        <v>0</v>
      </c>
      <c r="AF558" s="2">
        <v>0</v>
      </c>
      <c r="AG558" s="2">
        <v>0</v>
      </c>
      <c r="AH558" s="2">
        <v>0</v>
      </c>
      <c r="AI558" s="2">
        <v>0</v>
      </c>
      <c r="AJ558" s="2">
        <v>0</v>
      </c>
      <c r="AK558" s="2">
        <v>0</v>
      </c>
      <c r="AL558" s="2">
        <v>5.7</v>
      </c>
      <c r="AM558" s="2">
        <v>0</v>
      </c>
      <c r="AN558" s="2">
        <v>0</v>
      </c>
      <c r="AO558" s="2">
        <v>0</v>
      </c>
      <c r="AP558" s="2">
        <v>0</v>
      </c>
      <c r="AQ558" s="2">
        <v>0</v>
      </c>
    </row>
    <row r="559" spans="1:43" x14ac:dyDescent="0.25">
      <c r="A559" s="1">
        <v>45936</v>
      </c>
      <c r="B559" t="s">
        <v>48</v>
      </c>
      <c r="C559">
        <v>649163</v>
      </c>
      <c r="D559">
        <v>2030954482</v>
      </c>
      <c r="E559" t="s">
        <v>454</v>
      </c>
      <c r="F559" t="s">
        <v>455</v>
      </c>
      <c r="G559" t="s">
        <v>51</v>
      </c>
      <c r="H559" t="s">
        <v>101</v>
      </c>
      <c r="I559" t="s">
        <v>209</v>
      </c>
      <c r="J559" t="s">
        <v>965</v>
      </c>
      <c r="K559">
        <v>856824</v>
      </c>
      <c r="L559" t="s">
        <v>298</v>
      </c>
      <c r="M559" t="s">
        <v>299</v>
      </c>
      <c r="N559" t="s">
        <v>57</v>
      </c>
      <c r="O559" s="1">
        <v>45910</v>
      </c>
      <c r="Q559" s="1">
        <v>45971</v>
      </c>
      <c r="R559" s="2">
        <v>35.04</v>
      </c>
      <c r="S559">
        <v>1</v>
      </c>
      <c r="T559" t="s">
        <v>58</v>
      </c>
      <c r="U559" t="s">
        <v>59</v>
      </c>
      <c r="V559" s="3">
        <v>0.38</v>
      </c>
      <c r="W559" s="2">
        <v>0</v>
      </c>
      <c r="X559">
        <v>0</v>
      </c>
      <c r="Y559" t="s">
        <v>60</v>
      </c>
      <c r="Z559" t="s">
        <v>360</v>
      </c>
      <c r="AA559">
        <v>0</v>
      </c>
      <c r="AB559" s="2">
        <v>0</v>
      </c>
      <c r="AC559" s="2">
        <v>0</v>
      </c>
      <c r="AD559" s="3">
        <v>0</v>
      </c>
      <c r="AE559" s="2">
        <v>0</v>
      </c>
      <c r="AF559" s="2">
        <v>0</v>
      </c>
      <c r="AG559" s="2">
        <v>0</v>
      </c>
      <c r="AH559" s="2">
        <v>0</v>
      </c>
      <c r="AI559" s="2">
        <v>0</v>
      </c>
      <c r="AJ559" s="2">
        <v>0</v>
      </c>
      <c r="AK559" s="2">
        <v>0</v>
      </c>
      <c r="AL559" s="2">
        <v>13.32</v>
      </c>
      <c r="AM559" s="2">
        <v>0</v>
      </c>
      <c r="AN559" s="2">
        <v>0</v>
      </c>
      <c r="AO559" s="2">
        <v>0</v>
      </c>
      <c r="AP559" s="2">
        <v>0</v>
      </c>
      <c r="AQ559" s="2">
        <v>0</v>
      </c>
    </row>
    <row r="560" spans="1:43" x14ac:dyDescent="0.25">
      <c r="A560" s="1">
        <v>45936</v>
      </c>
      <c r="B560" t="s">
        <v>48</v>
      </c>
      <c r="C560">
        <v>649163</v>
      </c>
      <c r="D560">
        <v>2030954483</v>
      </c>
      <c r="E560" t="s">
        <v>454</v>
      </c>
      <c r="F560" t="s">
        <v>455</v>
      </c>
      <c r="G560" t="s">
        <v>51</v>
      </c>
      <c r="H560" t="s">
        <v>101</v>
      </c>
      <c r="I560" t="s">
        <v>209</v>
      </c>
      <c r="J560" t="s">
        <v>232</v>
      </c>
      <c r="K560">
        <v>856824</v>
      </c>
      <c r="L560" t="s">
        <v>298</v>
      </c>
      <c r="M560" t="s">
        <v>299</v>
      </c>
      <c r="N560" t="s">
        <v>57</v>
      </c>
      <c r="O560" s="1">
        <v>45910</v>
      </c>
      <c r="Q560" s="1">
        <v>45971</v>
      </c>
      <c r="R560" s="2">
        <v>15</v>
      </c>
      <c r="S560">
        <v>1</v>
      </c>
      <c r="T560" t="s">
        <v>58</v>
      </c>
      <c r="U560" t="s">
        <v>221</v>
      </c>
      <c r="V560" s="3">
        <v>0.38</v>
      </c>
      <c r="W560" s="2">
        <v>0</v>
      </c>
      <c r="X560">
        <v>0</v>
      </c>
      <c r="Y560" t="s">
        <v>60</v>
      </c>
      <c r="Z560" t="s">
        <v>360</v>
      </c>
      <c r="AA560">
        <v>0</v>
      </c>
      <c r="AB560" s="2">
        <v>0</v>
      </c>
      <c r="AC560" s="2">
        <v>0</v>
      </c>
      <c r="AD560" s="3">
        <v>0</v>
      </c>
      <c r="AE560" s="2">
        <v>0</v>
      </c>
      <c r="AF560" s="2">
        <v>0</v>
      </c>
      <c r="AG560" s="2">
        <v>0</v>
      </c>
      <c r="AH560" s="2">
        <v>0</v>
      </c>
      <c r="AI560" s="2">
        <v>0</v>
      </c>
      <c r="AJ560" s="2">
        <v>0</v>
      </c>
      <c r="AK560" s="2">
        <v>0</v>
      </c>
      <c r="AL560" s="2">
        <v>5.7</v>
      </c>
      <c r="AM560" s="2">
        <v>0</v>
      </c>
      <c r="AN560" s="2">
        <v>0</v>
      </c>
      <c r="AO560" s="2">
        <v>0</v>
      </c>
      <c r="AP560" s="2">
        <v>0</v>
      </c>
      <c r="AQ560" s="2">
        <v>0</v>
      </c>
    </row>
    <row r="561" spans="1:43" x14ac:dyDescent="0.25">
      <c r="A561" s="1">
        <v>45936</v>
      </c>
      <c r="B561" t="s">
        <v>48</v>
      </c>
      <c r="C561">
        <v>649163</v>
      </c>
      <c r="D561">
        <v>2030985509</v>
      </c>
      <c r="E561" t="s">
        <v>423</v>
      </c>
      <c r="F561" t="s">
        <v>259</v>
      </c>
      <c r="G561" t="s">
        <v>51</v>
      </c>
      <c r="H561" t="s">
        <v>101</v>
      </c>
      <c r="I561" t="s">
        <v>209</v>
      </c>
      <c r="J561" t="s">
        <v>232</v>
      </c>
      <c r="K561">
        <v>814033</v>
      </c>
      <c r="L561" t="s">
        <v>256</v>
      </c>
      <c r="M561" t="s">
        <v>165</v>
      </c>
      <c r="N561" t="s">
        <v>456</v>
      </c>
      <c r="O561" s="1">
        <v>45912</v>
      </c>
      <c r="P561" s="1">
        <v>45936</v>
      </c>
      <c r="Q561" s="1">
        <v>45942</v>
      </c>
      <c r="R561" s="2">
        <v>-5</v>
      </c>
      <c r="S561">
        <v>1</v>
      </c>
      <c r="T561" t="s">
        <v>58</v>
      </c>
      <c r="U561" t="s">
        <v>221</v>
      </c>
      <c r="V561" s="3">
        <v>0.38</v>
      </c>
      <c r="W561" s="2">
        <v>0</v>
      </c>
      <c r="X561">
        <v>-1</v>
      </c>
      <c r="Y561" t="s">
        <v>60</v>
      </c>
      <c r="Z561" t="s">
        <v>360</v>
      </c>
      <c r="AA561">
        <v>0</v>
      </c>
      <c r="AB561" s="2">
        <v>0</v>
      </c>
      <c r="AC561" s="2">
        <v>0</v>
      </c>
      <c r="AD561" s="3">
        <v>0</v>
      </c>
      <c r="AE561" s="2">
        <v>0</v>
      </c>
      <c r="AF561" s="2">
        <v>0</v>
      </c>
      <c r="AG561" s="2">
        <v>0</v>
      </c>
      <c r="AH561" s="2">
        <v>0</v>
      </c>
      <c r="AI561" s="2">
        <v>0</v>
      </c>
      <c r="AJ561" s="2">
        <v>0</v>
      </c>
      <c r="AK561" s="2">
        <v>0</v>
      </c>
      <c r="AL561" s="2">
        <v>0</v>
      </c>
      <c r="AM561" s="2">
        <v>-1.9</v>
      </c>
      <c r="AN561" s="2">
        <v>-1.9</v>
      </c>
      <c r="AO561" s="2">
        <v>0</v>
      </c>
      <c r="AP561" s="2">
        <v>0</v>
      </c>
      <c r="AQ561" s="2">
        <v>0</v>
      </c>
    </row>
    <row r="562" spans="1:43" x14ac:dyDescent="0.25">
      <c r="A562" s="1">
        <v>45936</v>
      </c>
      <c r="B562" t="s">
        <v>48</v>
      </c>
      <c r="C562">
        <v>649163</v>
      </c>
      <c r="D562">
        <v>2031250522</v>
      </c>
      <c r="E562" t="s">
        <v>457</v>
      </c>
      <c r="F562" t="s">
        <v>458</v>
      </c>
      <c r="G562" t="s">
        <v>51</v>
      </c>
      <c r="H562" t="s">
        <v>101</v>
      </c>
      <c r="I562" t="s">
        <v>209</v>
      </c>
      <c r="J562" t="s">
        <v>232</v>
      </c>
      <c r="K562">
        <v>673059</v>
      </c>
      <c r="L562" t="s">
        <v>80</v>
      </c>
      <c r="M562" t="s">
        <v>81</v>
      </c>
      <c r="N562" t="s">
        <v>456</v>
      </c>
      <c r="O562" s="1">
        <v>45931</v>
      </c>
      <c r="P562" s="1">
        <v>45936</v>
      </c>
      <c r="Q562" s="1">
        <v>45962</v>
      </c>
      <c r="R562" s="2">
        <v>-15</v>
      </c>
      <c r="S562">
        <v>1</v>
      </c>
      <c r="T562" t="s">
        <v>58</v>
      </c>
      <c r="U562" t="s">
        <v>213</v>
      </c>
      <c r="V562" s="3">
        <v>0.38</v>
      </c>
      <c r="W562" s="2">
        <v>0</v>
      </c>
      <c r="X562">
        <v>-1</v>
      </c>
      <c r="Y562" t="s">
        <v>60</v>
      </c>
      <c r="Z562" t="s">
        <v>360</v>
      </c>
      <c r="AA562">
        <v>0</v>
      </c>
      <c r="AB562" s="2">
        <v>0</v>
      </c>
      <c r="AC562" s="2">
        <v>0</v>
      </c>
      <c r="AD562" s="3">
        <v>0</v>
      </c>
      <c r="AE562" s="2">
        <v>0</v>
      </c>
      <c r="AF562" s="2">
        <v>0</v>
      </c>
      <c r="AG562" s="2">
        <v>0</v>
      </c>
      <c r="AH562" s="2">
        <v>0</v>
      </c>
      <c r="AI562" s="2">
        <v>0</v>
      </c>
      <c r="AJ562" s="2">
        <v>0</v>
      </c>
      <c r="AK562" s="2">
        <v>0</v>
      </c>
      <c r="AL562" s="2">
        <v>0</v>
      </c>
      <c r="AM562" s="2">
        <v>-5.7</v>
      </c>
      <c r="AN562" s="2">
        <v>-5.7</v>
      </c>
      <c r="AO562" s="2">
        <v>0</v>
      </c>
      <c r="AP562" s="2">
        <v>0</v>
      </c>
      <c r="AQ562" s="2">
        <v>0</v>
      </c>
    </row>
    <row r="563" spans="1:43" x14ac:dyDescent="0.25">
      <c r="A563" s="1">
        <v>45936</v>
      </c>
      <c r="B563" t="s">
        <v>48</v>
      </c>
      <c r="C563">
        <v>649163</v>
      </c>
      <c r="D563">
        <v>2016750307</v>
      </c>
      <c r="E563" t="s">
        <v>357</v>
      </c>
      <c r="F563" t="s">
        <v>358</v>
      </c>
      <c r="G563" t="s">
        <v>51</v>
      </c>
      <c r="H563" t="s">
        <v>88</v>
      </c>
      <c r="I563" t="s">
        <v>243</v>
      </c>
      <c r="J563" t="s">
        <v>244</v>
      </c>
      <c r="K563">
        <v>652037</v>
      </c>
      <c r="L563" t="s">
        <v>172</v>
      </c>
      <c r="M563" t="s">
        <v>173</v>
      </c>
      <c r="N563" t="s">
        <v>57</v>
      </c>
      <c r="O563" s="1">
        <v>44873</v>
      </c>
      <c r="Q563" s="1">
        <v>45969</v>
      </c>
      <c r="R563" s="2">
        <v>58.09</v>
      </c>
      <c r="S563">
        <v>1</v>
      </c>
      <c r="T563" t="s">
        <v>58</v>
      </c>
      <c r="U563" t="s">
        <v>359</v>
      </c>
      <c r="V563" s="3">
        <v>0.06</v>
      </c>
      <c r="W563" s="2">
        <v>0</v>
      </c>
      <c r="X563">
        <v>0</v>
      </c>
      <c r="Y563" t="s">
        <v>214</v>
      </c>
      <c r="Z563" t="s">
        <v>360</v>
      </c>
      <c r="AA563">
        <v>0</v>
      </c>
      <c r="AB563" s="2">
        <v>0</v>
      </c>
      <c r="AC563" s="2">
        <v>0</v>
      </c>
      <c r="AD563" s="3">
        <v>0</v>
      </c>
      <c r="AE563" s="2">
        <v>0</v>
      </c>
      <c r="AF563" s="2">
        <v>0</v>
      </c>
      <c r="AG563" s="2">
        <v>0</v>
      </c>
      <c r="AH563" s="2">
        <v>0</v>
      </c>
      <c r="AI563" s="2">
        <v>0</v>
      </c>
      <c r="AJ563" s="2">
        <v>0</v>
      </c>
      <c r="AK563" s="2">
        <v>0</v>
      </c>
      <c r="AL563" s="2">
        <v>0</v>
      </c>
      <c r="AM563" s="2">
        <v>3.49</v>
      </c>
      <c r="AN563" s="2">
        <v>3.49</v>
      </c>
      <c r="AO563" s="2">
        <v>0</v>
      </c>
      <c r="AP563" s="2">
        <v>0</v>
      </c>
      <c r="AQ563" s="2">
        <v>0</v>
      </c>
    </row>
    <row r="564" spans="1:43" x14ac:dyDescent="0.25">
      <c r="A564" s="1">
        <v>45936</v>
      </c>
      <c r="B564" t="s">
        <v>48</v>
      </c>
      <c r="C564">
        <v>649163</v>
      </c>
      <c r="D564">
        <v>2016770176</v>
      </c>
      <c r="E564" t="s">
        <v>966</v>
      </c>
      <c r="F564" t="s">
        <v>644</v>
      </c>
      <c r="G564" t="s">
        <v>51</v>
      </c>
      <c r="H564" t="s">
        <v>52</v>
      </c>
      <c r="I564" t="s">
        <v>243</v>
      </c>
      <c r="J564" t="s">
        <v>244</v>
      </c>
      <c r="K564">
        <v>651818</v>
      </c>
      <c r="L564" t="s">
        <v>112</v>
      </c>
      <c r="M564" t="s">
        <v>104</v>
      </c>
      <c r="N564" t="s">
        <v>57</v>
      </c>
      <c r="O564" s="1">
        <v>44875</v>
      </c>
      <c r="Q564" s="1">
        <v>45971</v>
      </c>
      <c r="R564" s="2">
        <v>38.83</v>
      </c>
      <c r="S564">
        <v>1</v>
      </c>
      <c r="T564" t="s">
        <v>58</v>
      </c>
      <c r="U564" t="s">
        <v>359</v>
      </c>
      <c r="V564" s="3">
        <v>0.06</v>
      </c>
      <c r="W564" s="2">
        <v>0</v>
      </c>
      <c r="X564">
        <v>0</v>
      </c>
      <c r="Y564" t="s">
        <v>214</v>
      </c>
      <c r="Z564" t="s">
        <v>360</v>
      </c>
      <c r="AA564">
        <v>0</v>
      </c>
      <c r="AB564" s="2">
        <v>0</v>
      </c>
      <c r="AC564" s="2">
        <v>0</v>
      </c>
      <c r="AD564" s="3">
        <v>0</v>
      </c>
      <c r="AE564" s="2">
        <v>0</v>
      </c>
      <c r="AF564" s="2">
        <v>0</v>
      </c>
      <c r="AG564" s="2">
        <v>0</v>
      </c>
      <c r="AH564" s="2">
        <v>0</v>
      </c>
      <c r="AI564" s="2">
        <v>0</v>
      </c>
      <c r="AJ564" s="2">
        <v>0</v>
      </c>
      <c r="AK564" s="2">
        <v>0</v>
      </c>
      <c r="AL564" s="2">
        <v>0</v>
      </c>
      <c r="AM564" s="2">
        <v>2.33</v>
      </c>
      <c r="AN564" s="2">
        <v>2.33</v>
      </c>
      <c r="AO564" s="2">
        <v>0</v>
      </c>
      <c r="AP564" s="2">
        <v>0</v>
      </c>
      <c r="AQ564" s="2">
        <v>0</v>
      </c>
    </row>
    <row r="565" spans="1:43" x14ac:dyDescent="0.25">
      <c r="A565" s="1">
        <v>45936</v>
      </c>
      <c r="B565" t="s">
        <v>48</v>
      </c>
      <c r="C565">
        <v>649163</v>
      </c>
      <c r="D565">
        <v>2016855836</v>
      </c>
      <c r="E565" t="s">
        <v>634</v>
      </c>
      <c r="F565" t="s">
        <v>362</v>
      </c>
      <c r="G565" t="s">
        <v>51</v>
      </c>
      <c r="H565" t="s">
        <v>70</v>
      </c>
      <c r="I565" t="s">
        <v>243</v>
      </c>
      <c r="J565" t="s">
        <v>244</v>
      </c>
      <c r="K565">
        <v>652037</v>
      </c>
      <c r="L565" t="s">
        <v>172</v>
      </c>
      <c r="M565" t="s">
        <v>173</v>
      </c>
      <c r="N565" t="s">
        <v>456</v>
      </c>
      <c r="O565" s="1">
        <v>44896</v>
      </c>
      <c r="P565" s="1">
        <v>45936</v>
      </c>
      <c r="Q565" s="1">
        <v>45962</v>
      </c>
      <c r="R565" s="2">
        <v>-134.52000000000001</v>
      </c>
      <c r="S565">
        <v>1</v>
      </c>
      <c r="T565" t="s">
        <v>58</v>
      </c>
      <c r="U565" t="s">
        <v>359</v>
      </c>
      <c r="V565" s="3">
        <v>0.06</v>
      </c>
      <c r="W565" s="2">
        <v>0</v>
      </c>
      <c r="X565">
        <v>-1</v>
      </c>
      <c r="Y565" t="s">
        <v>214</v>
      </c>
      <c r="Z565" t="s">
        <v>360</v>
      </c>
      <c r="AA565">
        <v>0</v>
      </c>
      <c r="AB565" s="2">
        <v>0</v>
      </c>
      <c r="AC565" s="2">
        <v>0</v>
      </c>
      <c r="AD565" s="3">
        <v>0</v>
      </c>
      <c r="AE565" s="2">
        <v>0</v>
      </c>
      <c r="AF565" s="2">
        <v>0</v>
      </c>
      <c r="AG565" s="2">
        <v>0</v>
      </c>
      <c r="AH565" s="2">
        <v>0</v>
      </c>
      <c r="AI565" s="2">
        <v>0</v>
      </c>
      <c r="AJ565" s="2">
        <v>0</v>
      </c>
      <c r="AK565" s="2">
        <v>0</v>
      </c>
      <c r="AL565" s="2">
        <v>0</v>
      </c>
      <c r="AM565" s="2">
        <v>-8.07</v>
      </c>
      <c r="AN565" s="2">
        <v>-8.07</v>
      </c>
      <c r="AO565" s="2">
        <v>0</v>
      </c>
      <c r="AP565" s="2">
        <v>0</v>
      </c>
      <c r="AQ565" s="2">
        <v>0</v>
      </c>
    </row>
    <row r="566" spans="1:43" x14ac:dyDescent="0.25">
      <c r="A566" s="1">
        <v>45936</v>
      </c>
      <c r="B566" t="s">
        <v>48</v>
      </c>
      <c r="C566">
        <v>649163</v>
      </c>
      <c r="D566">
        <v>2017003447</v>
      </c>
      <c r="E566" t="s">
        <v>967</v>
      </c>
      <c r="F566" t="s">
        <v>72</v>
      </c>
      <c r="G566" t="s">
        <v>51</v>
      </c>
      <c r="H566" t="s">
        <v>70</v>
      </c>
      <c r="I566" t="s">
        <v>243</v>
      </c>
      <c r="J566" t="s">
        <v>244</v>
      </c>
      <c r="K566">
        <v>650794</v>
      </c>
      <c r="L566" t="s">
        <v>172</v>
      </c>
      <c r="M566" t="s">
        <v>624</v>
      </c>
      <c r="N566" t="s">
        <v>57</v>
      </c>
      <c r="O566" s="1">
        <v>44902</v>
      </c>
      <c r="Q566" s="1">
        <v>45968</v>
      </c>
      <c r="R566" s="2">
        <v>39.979999999999997</v>
      </c>
      <c r="S566">
        <v>1</v>
      </c>
      <c r="T566" t="s">
        <v>58</v>
      </c>
      <c r="U566" t="s">
        <v>359</v>
      </c>
      <c r="V566" s="3">
        <v>0.06</v>
      </c>
      <c r="W566" s="2">
        <v>0</v>
      </c>
      <c r="X566">
        <v>0</v>
      </c>
      <c r="Y566" t="s">
        <v>214</v>
      </c>
      <c r="Z566" t="s">
        <v>360</v>
      </c>
      <c r="AA566">
        <v>0</v>
      </c>
      <c r="AB566" s="2">
        <v>0</v>
      </c>
      <c r="AC566" s="2">
        <v>0</v>
      </c>
      <c r="AD566" s="3">
        <v>0</v>
      </c>
      <c r="AE566" s="2">
        <v>0</v>
      </c>
      <c r="AF566" s="2">
        <v>0</v>
      </c>
      <c r="AG566" s="2">
        <v>0</v>
      </c>
      <c r="AH566" s="2">
        <v>0</v>
      </c>
      <c r="AI566" s="2">
        <v>0</v>
      </c>
      <c r="AJ566" s="2">
        <v>0</v>
      </c>
      <c r="AK566" s="2">
        <v>0</v>
      </c>
      <c r="AL566" s="2">
        <v>0</v>
      </c>
      <c r="AM566" s="2">
        <v>2.4</v>
      </c>
      <c r="AN566" s="2">
        <v>2.4</v>
      </c>
      <c r="AO566" s="2">
        <v>0</v>
      </c>
      <c r="AP566" s="2">
        <v>0</v>
      </c>
      <c r="AQ566" s="2">
        <v>0</v>
      </c>
    </row>
    <row r="567" spans="1:43" x14ac:dyDescent="0.25">
      <c r="A567" s="1">
        <v>45936</v>
      </c>
      <c r="B567" t="s">
        <v>48</v>
      </c>
      <c r="C567">
        <v>649163</v>
      </c>
      <c r="D567">
        <v>2017624589</v>
      </c>
      <c r="E567" t="s">
        <v>637</v>
      </c>
      <c r="F567" t="s">
        <v>224</v>
      </c>
      <c r="G567" t="s">
        <v>51</v>
      </c>
      <c r="H567" t="s">
        <v>70</v>
      </c>
      <c r="I567" t="s">
        <v>243</v>
      </c>
      <c r="J567" t="s">
        <v>244</v>
      </c>
      <c r="K567">
        <v>650794</v>
      </c>
      <c r="L567" t="s">
        <v>172</v>
      </c>
      <c r="M567" t="s">
        <v>624</v>
      </c>
      <c r="N567" t="s">
        <v>57</v>
      </c>
      <c r="O567" s="1">
        <v>44967</v>
      </c>
      <c r="Q567" s="1">
        <v>45971</v>
      </c>
      <c r="R567" s="2">
        <v>53.08</v>
      </c>
      <c r="S567">
        <v>1</v>
      </c>
      <c r="T567" t="s">
        <v>58</v>
      </c>
      <c r="U567" t="s">
        <v>359</v>
      </c>
      <c r="V567" s="3">
        <v>0.06</v>
      </c>
      <c r="W567" s="2">
        <v>0</v>
      </c>
      <c r="X567">
        <v>0</v>
      </c>
      <c r="Y567" t="s">
        <v>214</v>
      </c>
      <c r="Z567" t="s">
        <v>360</v>
      </c>
      <c r="AA567">
        <v>0</v>
      </c>
      <c r="AB567" s="2">
        <v>0</v>
      </c>
      <c r="AC567" s="2">
        <v>0</v>
      </c>
      <c r="AD567" s="3">
        <v>0</v>
      </c>
      <c r="AE567" s="2">
        <v>0</v>
      </c>
      <c r="AF567" s="2">
        <v>0</v>
      </c>
      <c r="AG567" s="2">
        <v>0</v>
      </c>
      <c r="AH567" s="2">
        <v>0</v>
      </c>
      <c r="AI567" s="2">
        <v>0</v>
      </c>
      <c r="AJ567" s="2">
        <v>0</v>
      </c>
      <c r="AK567" s="2">
        <v>0</v>
      </c>
      <c r="AL567" s="2">
        <v>0</v>
      </c>
      <c r="AM567" s="2">
        <v>3.18</v>
      </c>
      <c r="AN567" s="2">
        <v>3.18</v>
      </c>
      <c r="AO567" s="2">
        <v>0</v>
      </c>
      <c r="AP567" s="2">
        <v>0</v>
      </c>
      <c r="AQ567" s="2">
        <v>0</v>
      </c>
    </row>
    <row r="568" spans="1:43" x14ac:dyDescent="0.25">
      <c r="A568" s="1">
        <v>45936</v>
      </c>
      <c r="B568" t="s">
        <v>48</v>
      </c>
      <c r="C568">
        <v>649163</v>
      </c>
      <c r="D568">
        <v>2018264457</v>
      </c>
      <c r="E568" t="s">
        <v>968</v>
      </c>
      <c r="F568" t="s">
        <v>259</v>
      </c>
      <c r="G568" t="s">
        <v>51</v>
      </c>
      <c r="H568" t="s">
        <v>122</v>
      </c>
      <c r="I568" t="s">
        <v>243</v>
      </c>
      <c r="J568" t="s">
        <v>244</v>
      </c>
      <c r="K568">
        <v>651818</v>
      </c>
      <c r="L568" t="s">
        <v>112</v>
      </c>
      <c r="M568" t="s">
        <v>104</v>
      </c>
      <c r="N568" t="s">
        <v>57</v>
      </c>
      <c r="O568" s="1">
        <v>45052</v>
      </c>
      <c r="Q568" s="1">
        <v>45967</v>
      </c>
      <c r="R568" s="2">
        <v>47.79</v>
      </c>
      <c r="S568">
        <v>1</v>
      </c>
      <c r="T568" t="s">
        <v>58</v>
      </c>
      <c r="U568" t="s">
        <v>359</v>
      </c>
      <c r="V568" s="3">
        <v>0.06</v>
      </c>
      <c r="W568" s="2">
        <v>0</v>
      </c>
      <c r="X568">
        <v>0</v>
      </c>
      <c r="Y568" t="s">
        <v>214</v>
      </c>
      <c r="Z568" t="s">
        <v>360</v>
      </c>
      <c r="AA568">
        <v>0</v>
      </c>
      <c r="AB568" s="2">
        <v>0</v>
      </c>
      <c r="AC568" s="2">
        <v>0</v>
      </c>
      <c r="AD568" s="3">
        <v>0</v>
      </c>
      <c r="AE568" s="2">
        <v>0</v>
      </c>
      <c r="AF568" s="2">
        <v>0</v>
      </c>
      <c r="AG568" s="2">
        <v>0</v>
      </c>
      <c r="AH568" s="2">
        <v>0</v>
      </c>
      <c r="AI568" s="2">
        <v>0</v>
      </c>
      <c r="AJ568" s="2">
        <v>0</v>
      </c>
      <c r="AK568" s="2">
        <v>0</v>
      </c>
      <c r="AL568" s="2">
        <v>0</v>
      </c>
      <c r="AM568" s="2">
        <v>2.87</v>
      </c>
      <c r="AN568" s="2">
        <v>2.87</v>
      </c>
      <c r="AO568" s="2">
        <v>0</v>
      </c>
      <c r="AP568" s="2">
        <v>0</v>
      </c>
      <c r="AQ568" s="2">
        <v>0</v>
      </c>
    </row>
    <row r="569" spans="1:43" x14ac:dyDescent="0.25">
      <c r="A569" s="1">
        <v>45936</v>
      </c>
      <c r="B569" t="s">
        <v>48</v>
      </c>
      <c r="C569">
        <v>649163</v>
      </c>
      <c r="D569">
        <v>2018695482</v>
      </c>
      <c r="E569" t="s">
        <v>969</v>
      </c>
      <c r="F569" t="s">
        <v>482</v>
      </c>
      <c r="G569" t="s">
        <v>51</v>
      </c>
      <c r="H569" t="s">
        <v>70</v>
      </c>
      <c r="I569" t="s">
        <v>243</v>
      </c>
      <c r="J569" t="s">
        <v>244</v>
      </c>
      <c r="K569">
        <v>650218</v>
      </c>
      <c r="L569" t="s">
        <v>237</v>
      </c>
      <c r="M569" t="s">
        <v>238</v>
      </c>
      <c r="N569" t="s">
        <v>57</v>
      </c>
      <c r="O569" s="1">
        <v>45078</v>
      </c>
      <c r="Q569" s="1">
        <v>45962</v>
      </c>
      <c r="R569" s="2">
        <v>57.29</v>
      </c>
      <c r="S569">
        <v>1</v>
      </c>
      <c r="T569" t="s">
        <v>58</v>
      </c>
      <c r="U569" t="s">
        <v>359</v>
      </c>
      <c r="V569" s="3">
        <v>0.06</v>
      </c>
      <c r="W569" s="2">
        <v>0</v>
      </c>
      <c r="X569">
        <v>0</v>
      </c>
      <c r="Y569" t="s">
        <v>214</v>
      </c>
      <c r="Z569" t="s">
        <v>360</v>
      </c>
      <c r="AA569">
        <v>0</v>
      </c>
      <c r="AB569" s="2">
        <v>0</v>
      </c>
      <c r="AC569" s="2">
        <v>0</v>
      </c>
      <c r="AD569" s="3">
        <v>0</v>
      </c>
      <c r="AE569" s="2">
        <v>0</v>
      </c>
      <c r="AF569" s="2">
        <v>0</v>
      </c>
      <c r="AG569" s="2">
        <v>0</v>
      </c>
      <c r="AH569" s="2">
        <v>0</v>
      </c>
      <c r="AI569" s="2">
        <v>0</v>
      </c>
      <c r="AJ569" s="2">
        <v>0</v>
      </c>
      <c r="AK569" s="2">
        <v>0</v>
      </c>
      <c r="AL569" s="2">
        <v>0</v>
      </c>
      <c r="AM569" s="2">
        <v>3.44</v>
      </c>
      <c r="AN569" s="2">
        <v>3.44</v>
      </c>
      <c r="AO569" s="2">
        <v>0</v>
      </c>
      <c r="AP569" s="2">
        <v>0</v>
      </c>
      <c r="AQ569" s="2">
        <v>0</v>
      </c>
    </row>
    <row r="570" spans="1:43" x14ac:dyDescent="0.25">
      <c r="A570" s="1">
        <v>45936</v>
      </c>
      <c r="B570" t="s">
        <v>48</v>
      </c>
      <c r="C570">
        <v>649163</v>
      </c>
      <c r="D570">
        <v>2019638944</v>
      </c>
      <c r="E570" t="s">
        <v>970</v>
      </c>
      <c r="F570" t="s">
        <v>971</v>
      </c>
      <c r="G570" t="s">
        <v>51</v>
      </c>
      <c r="H570" t="s">
        <v>122</v>
      </c>
      <c r="I570" t="s">
        <v>243</v>
      </c>
      <c r="J570" t="s">
        <v>244</v>
      </c>
      <c r="K570">
        <v>651818</v>
      </c>
      <c r="L570" t="s">
        <v>112</v>
      </c>
      <c r="M570" t="s">
        <v>104</v>
      </c>
      <c r="N570" t="s">
        <v>57</v>
      </c>
      <c r="O570" s="1">
        <v>45146</v>
      </c>
      <c r="Q570" s="1">
        <v>45969</v>
      </c>
      <c r="R570" s="2">
        <v>40.07</v>
      </c>
      <c r="S570">
        <v>1</v>
      </c>
      <c r="T570" t="s">
        <v>58</v>
      </c>
      <c r="U570" t="s">
        <v>359</v>
      </c>
      <c r="V570" s="3">
        <v>0.06</v>
      </c>
      <c r="W570" s="2">
        <v>0</v>
      </c>
      <c r="X570">
        <v>0</v>
      </c>
      <c r="Y570" t="s">
        <v>214</v>
      </c>
      <c r="Z570" t="s">
        <v>360</v>
      </c>
      <c r="AA570">
        <v>0</v>
      </c>
      <c r="AB570" s="2">
        <v>0</v>
      </c>
      <c r="AC570" s="2">
        <v>0</v>
      </c>
      <c r="AD570" s="3">
        <v>0</v>
      </c>
      <c r="AE570" s="2">
        <v>0</v>
      </c>
      <c r="AF570" s="2">
        <v>0</v>
      </c>
      <c r="AG570" s="2">
        <v>0</v>
      </c>
      <c r="AH570" s="2">
        <v>0</v>
      </c>
      <c r="AI570" s="2">
        <v>0</v>
      </c>
      <c r="AJ570" s="2">
        <v>0</v>
      </c>
      <c r="AK570" s="2">
        <v>0</v>
      </c>
      <c r="AL570" s="2">
        <v>0</v>
      </c>
      <c r="AM570" s="2">
        <v>2.4</v>
      </c>
      <c r="AN570" s="2">
        <v>2.4</v>
      </c>
      <c r="AO570" s="2">
        <v>0</v>
      </c>
      <c r="AP570" s="2">
        <v>0</v>
      </c>
      <c r="AQ570" s="2">
        <v>0</v>
      </c>
    </row>
    <row r="571" spans="1:43" x14ac:dyDescent="0.25">
      <c r="A571" s="1">
        <v>45936</v>
      </c>
      <c r="B571" t="s">
        <v>48</v>
      </c>
      <c r="C571">
        <v>649163</v>
      </c>
      <c r="D571">
        <v>2019958314</v>
      </c>
      <c r="E571" t="s">
        <v>972</v>
      </c>
      <c r="F571" t="s">
        <v>973</v>
      </c>
      <c r="G571" t="s">
        <v>51</v>
      </c>
      <c r="H571" t="s">
        <v>70</v>
      </c>
      <c r="I571" t="s">
        <v>243</v>
      </c>
      <c r="J571" t="s">
        <v>244</v>
      </c>
      <c r="K571">
        <v>678320</v>
      </c>
      <c r="L571" t="s">
        <v>576</v>
      </c>
      <c r="M571" t="s">
        <v>139</v>
      </c>
      <c r="N571" t="s">
        <v>57</v>
      </c>
      <c r="O571" s="1">
        <v>45175</v>
      </c>
      <c r="Q571" s="1">
        <v>45967</v>
      </c>
      <c r="R571" s="2">
        <v>49.12</v>
      </c>
      <c r="S571">
        <v>1</v>
      </c>
      <c r="T571" t="s">
        <v>58</v>
      </c>
      <c r="U571" t="s">
        <v>359</v>
      </c>
      <c r="V571" s="3">
        <v>0.06</v>
      </c>
      <c r="W571" s="2">
        <v>0</v>
      </c>
      <c r="X571">
        <v>0</v>
      </c>
      <c r="Y571" t="s">
        <v>214</v>
      </c>
      <c r="Z571" t="s">
        <v>360</v>
      </c>
      <c r="AA571">
        <v>0</v>
      </c>
      <c r="AB571" s="2">
        <v>0</v>
      </c>
      <c r="AC571" s="2">
        <v>0</v>
      </c>
      <c r="AD571" s="3">
        <v>0</v>
      </c>
      <c r="AE571" s="2">
        <v>0</v>
      </c>
      <c r="AF571" s="2">
        <v>0</v>
      </c>
      <c r="AG571" s="2">
        <v>0</v>
      </c>
      <c r="AH571" s="2">
        <v>0</v>
      </c>
      <c r="AI571" s="2">
        <v>0</v>
      </c>
      <c r="AJ571" s="2">
        <v>0</v>
      </c>
      <c r="AK571" s="2">
        <v>0</v>
      </c>
      <c r="AL571" s="2">
        <v>0</v>
      </c>
      <c r="AM571" s="2">
        <v>2.95</v>
      </c>
      <c r="AN571" s="2">
        <v>2.95</v>
      </c>
      <c r="AO571" s="2">
        <v>0</v>
      </c>
      <c r="AP571" s="2">
        <v>0</v>
      </c>
      <c r="AQ571" s="2">
        <v>0</v>
      </c>
    </row>
    <row r="572" spans="1:43" x14ac:dyDescent="0.25">
      <c r="A572" s="1">
        <v>45936</v>
      </c>
      <c r="B572" t="s">
        <v>48</v>
      </c>
      <c r="C572">
        <v>649163</v>
      </c>
      <c r="D572">
        <v>2020685017</v>
      </c>
      <c r="E572" t="s">
        <v>974</v>
      </c>
      <c r="F572" t="s">
        <v>975</v>
      </c>
      <c r="G572" t="s">
        <v>51</v>
      </c>
      <c r="H572" t="s">
        <v>70</v>
      </c>
      <c r="I572" t="s">
        <v>243</v>
      </c>
      <c r="J572" t="s">
        <v>244</v>
      </c>
      <c r="K572">
        <v>702406</v>
      </c>
      <c r="L572" t="s">
        <v>803</v>
      </c>
      <c r="M572" t="s">
        <v>746</v>
      </c>
      <c r="N572" t="s">
        <v>57</v>
      </c>
      <c r="O572" s="1">
        <v>45237</v>
      </c>
      <c r="Q572" s="1">
        <v>45968</v>
      </c>
      <c r="R572" s="2">
        <v>57.29</v>
      </c>
      <c r="S572">
        <v>1</v>
      </c>
      <c r="T572" t="s">
        <v>58</v>
      </c>
      <c r="U572" t="s">
        <v>359</v>
      </c>
      <c r="V572" s="3">
        <v>0.06</v>
      </c>
      <c r="W572" s="2">
        <v>0</v>
      </c>
      <c r="X572">
        <v>0</v>
      </c>
      <c r="Y572" t="s">
        <v>214</v>
      </c>
      <c r="Z572" t="s">
        <v>360</v>
      </c>
      <c r="AA572">
        <v>0</v>
      </c>
      <c r="AB572" s="2">
        <v>0</v>
      </c>
      <c r="AC572" s="2">
        <v>0</v>
      </c>
      <c r="AD572" s="3">
        <v>0</v>
      </c>
      <c r="AE572" s="2">
        <v>0</v>
      </c>
      <c r="AF572" s="2">
        <v>0</v>
      </c>
      <c r="AG572" s="2">
        <v>0</v>
      </c>
      <c r="AH572" s="2">
        <v>0</v>
      </c>
      <c r="AI572" s="2">
        <v>0</v>
      </c>
      <c r="AJ572" s="2">
        <v>0</v>
      </c>
      <c r="AK572" s="2">
        <v>0</v>
      </c>
      <c r="AL572" s="2">
        <v>0</v>
      </c>
      <c r="AM572" s="2">
        <v>3.44</v>
      </c>
      <c r="AN572" s="2">
        <v>3.44</v>
      </c>
      <c r="AO572" s="2">
        <v>0</v>
      </c>
      <c r="AP572" s="2">
        <v>0</v>
      </c>
      <c r="AQ572" s="2">
        <v>0</v>
      </c>
    </row>
    <row r="573" spans="1:43" x14ac:dyDescent="0.25">
      <c r="A573" s="1">
        <v>45936</v>
      </c>
      <c r="B573" t="s">
        <v>48</v>
      </c>
      <c r="C573">
        <v>649163</v>
      </c>
      <c r="D573">
        <v>2020953073</v>
      </c>
      <c r="E573" t="s">
        <v>976</v>
      </c>
      <c r="F573" t="s">
        <v>740</v>
      </c>
      <c r="G573" t="s">
        <v>51</v>
      </c>
      <c r="H573" t="s">
        <v>431</v>
      </c>
      <c r="I573" t="s">
        <v>243</v>
      </c>
      <c r="J573" t="s">
        <v>244</v>
      </c>
      <c r="K573">
        <v>673059</v>
      </c>
      <c r="L573" t="s">
        <v>80</v>
      </c>
      <c r="M573" t="s">
        <v>81</v>
      </c>
      <c r="N573" t="s">
        <v>57</v>
      </c>
      <c r="O573" s="1">
        <v>45292</v>
      </c>
      <c r="Q573" s="1">
        <v>45962</v>
      </c>
      <c r="R573" s="2">
        <v>85.6</v>
      </c>
      <c r="S573">
        <v>1</v>
      </c>
      <c r="T573" t="s">
        <v>58</v>
      </c>
      <c r="U573" t="s">
        <v>359</v>
      </c>
      <c r="V573" s="3">
        <v>0.06</v>
      </c>
      <c r="W573" s="2">
        <v>0</v>
      </c>
      <c r="X573">
        <v>0</v>
      </c>
      <c r="Y573" t="s">
        <v>214</v>
      </c>
      <c r="Z573" t="s">
        <v>360</v>
      </c>
      <c r="AA573">
        <v>0</v>
      </c>
      <c r="AB573" s="2">
        <v>0</v>
      </c>
      <c r="AC573" s="2">
        <v>0</v>
      </c>
      <c r="AD573" s="3">
        <v>0</v>
      </c>
      <c r="AE573" s="2">
        <v>0</v>
      </c>
      <c r="AF573" s="2">
        <v>0</v>
      </c>
      <c r="AG573" s="2">
        <v>0</v>
      </c>
      <c r="AH573" s="2">
        <v>0</v>
      </c>
      <c r="AI573" s="2">
        <v>0</v>
      </c>
      <c r="AJ573" s="2">
        <v>0</v>
      </c>
      <c r="AK573" s="2">
        <v>0</v>
      </c>
      <c r="AL573" s="2">
        <v>0</v>
      </c>
      <c r="AM573" s="2">
        <v>5.14</v>
      </c>
      <c r="AN573" s="2">
        <v>5.14</v>
      </c>
      <c r="AO573" s="2">
        <v>0</v>
      </c>
      <c r="AP573" s="2">
        <v>0</v>
      </c>
      <c r="AQ573" s="2">
        <v>0</v>
      </c>
    </row>
    <row r="574" spans="1:43" x14ac:dyDescent="0.25">
      <c r="A574" s="1">
        <v>45936</v>
      </c>
      <c r="B574" t="s">
        <v>48</v>
      </c>
      <c r="C574">
        <v>649163</v>
      </c>
      <c r="D574">
        <v>2021350310</v>
      </c>
      <c r="E574" t="s">
        <v>977</v>
      </c>
      <c r="F574" t="s">
        <v>978</v>
      </c>
      <c r="G574" t="s">
        <v>51</v>
      </c>
      <c r="H574" t="s">
        <v>70</v>
      </c>
      <c r="I574" t="s">
        <v>243</v>
      </c>
      <c r="J574" t="s">
        <v>244</v>
      </c>
      <c r="K574">
        <v>678320</v>
      </c>
      <c r="L574" t="s">
        <v>576</v>
      </c>
      <c r="M574" t="s">
        <v>139</v>
      </c>
      <c r="N574" t="s">
        <v>57</v>
      </c>
      <c r="O574" s="1">
        <v>45301</v>
      </c>
      <c r="Q574" s="1">
        <v>45971</v>
      </c>
      <c r="R574" s="2">
        <v>49.98</v>
      </c>
      <c r="S574">
        <v>1</v>
      </c>
      <c r="T574" t="s">
        <v>58</v>
      </c>
      <c r="U574" t="s">
        <v>359</v>
      </c>
      <c r="V574" s="3">
        <v>0.06</v>
      </c>
      <c r="W574" s="2">
        <v>0</v>
      </c>
      <c r="X574">
        <v>0</v>
      </c>
      <c r="Y574" t="s">
        <v>214</v>
      </c>
      <c r="Z574" t="s">
        <v>360</v>
      </c>
      <c r="AA574">
        <v>0</v>
      </c>
      <c r="AB574" s="2">
        <v>0</v>
      </c>
      <c r="AC574" s="2">
        <v>0</v>
      </c>
      <c r="AD574" s="3">
        <v>0</v>
      </c>
      <c r="AE574" s="2">
        <v>0</v>
      </c>
      <c r="AF574" s="2">
        <v>0</v>
      </c>
      <c r="AG574" s="2">
        <v>0</v>
      </c>
      <c r="AH574" s="2">
        <v>0</v>
      </c>
      <c r="AI574" s="2">
        <v>0</v>
      </c>
      <c r="AJ574" s="2">
        <v>0</v>
      </c>
      <c r="AK574" s="2">
        <v>0</v>
      </c>
      <c r="AL574" s="2">
        <v>0</v>
      </c>
      <c r="AM574" s="2">
        <v>3</v>
      </c>
      <c r="AN574" s="2">
        <v>3</v>
      </c>
      <c r="AO574" s="2">
        <v>0</v>
      </c>
      <c r="AP574" s="2">
        <v>0</v>
      </c>
      <c r="AQ574" s="2">
        <v>0</v>
      </c>
    </row>
    <row r="575" spans="1:43" x14ac:dyDescent="0.25">
      <c r="A575" s="1">
        <v>45936</v>
      </c>
      <c r="B575" t="s">
        <v>48</v>
      </c>
      <c r="C575">
        <v>649163</v>
      </c>
      <c r="D575">
        <v>2021391382</v>
      </c>
      <c r="E575" t="s">
        <v>663</v>
      </c>
      <c r="F575" t="s">
        <v>664</v>
      </c>
      <c r="G575" t="s">
        <v>51</v>
      </c>
      <c r="H575" t="s">
        <v>88</v>
      </c>
      <c r="I575" t="s">
        <v>243</v>
      </c>
      <c r="J575" t="s">
        <v>244</v>
      </c>
      <c r="K575">
        <v>673059</v>
      </c>
      <c r="L575" t="s">
        <v>80</v>
      </c>
      <c r="M575" t="s">
        <v>81</v>
      </c>
      <c r="N575" t="s">
        <v>57</v>
      </c>
      <c r="O575" s="1">
        <v>45323</v>
      </c>
      <c r="Q575" s="1">
        <v>45962</v>
      </c>
      <c r="R575" s="2">
        <v>78.12</v>
      </c>
      <c r="S575">
        <v>1</v>
      </c>
      <c r="T575" t="s">
        <v>58</v>
      </c>
      <c r="U575" t="s">
        <v>359</v>
      </c>
      <c r="V575" s="3">
        <v>0.06</v>
      </c>
      <c r="W575" s="2">
        <v>0</v>
      </c>
      <c r="X575">
        <v>0</v>
      </c>
      <c r="Y575" t="s">
        <v>214</v>
      </c>
      <c r="Z575" t="s">
        <v>360</v>
      </c>
      <c r="AA575">
        <v>0</v>
      </c>
      <c r="AB575" s="2">
        <v>0</v>
      </c>
      <c r="AC575" s="2">
        <v>0</v>
      </c>
      <c r="AD575" s="3">
        <v>0</v>
      </c>
      <c r="AE575" s="2">
        <v>0</v>
      </c>
      <c r="AF575" s="2">
        <v>0</v>
      </c>
      <c r="AG575" s="2">
        <v>0</v>
      </c>
      <c r="AH575" s="2">
        <v>0</v>
      </c>
      <c r="AI575" s="2">
        <v>0</v>
      </c>
      <c r="AJ575" s="2">
        <v>0</v>
      </c>
      <c r="AK575" s="2">
        <v>0</v>
      </c>
      <c r="AL575" s="2">
        <v>0</v>
      </c>
      <c r="AM575" s="2">
        <v>4.6900000000000004</v>
      </c>
      <c r="AN575" s="2">
        <v>4.6900000000000004</v>
      </c>
      <c r="AO575" s="2">
        <v>0</v>
      </c>
      <c r="AP575" s="2">
        <v>0</v>
      </c>
      <c r="AQ575" s="2">
        <v>0</v>
      </c>
    </row>
    <row r="576" spans="1:43" x14ac:dyDescent="0.25">
      <c r="A576" s="1">
        <v>45936</v>
      </c>
      <c r="B576" t="s">
        <v>48</v>
      </c>
      <c r="C576">
        <v>649163</v>
      </c>
      <c r="D576">
        <v>2021645073</v>
      </c>
      <c r="E576" t="s">
        <v>979</v>
      </c>
      <c r="F576" t="s">
        <v>562</v>
      </c>
      <c r="G576" t="s">
        <v>51</v>
      </c>
      <c r="H576" t="s">
        <v>70</v>
      </c>
      <c r="I576" t="s">
        <v>243</v>
      </c>
      <c r="J576" t="s">
        <v>244</v>
      </c>
      <c r="K576">
        <v>650218</v>
      </c>
      <c r="L576" t="s">
        <v>237</v>
      </c>
      <c r="M576" t="s">
        <v>238</v>
      </c>
      <c r="N576" t="s">
        <v>57</v>
      </c>
      <c r="O576" s="1">
        <v>45356</v>
      </c>
      <c r="Q576" s="1">
        <v>45966</v>
      </c>
      <c r="R576" s="2">
        <v>39.979999999999997</v>
      </c>
      <c r="S576">
        <v>1</v>
      </c>
      <c r="T576" t="s">
        <v>58</v>
      </c>
      <c r="U576" t="s">
        <v>359</v>
      </c>
      <c r="V576" s="3">
        <v>0.06</v>
      </c>
      <c r="W576" s="2">
        <v>0</v>
      </c>
      <c r="X576">
        <v>0</v>
      </c>
      <c r="Y576" t="s">
        <v>214</v>
      </c>
      <c r="Z576" t="s">
        <v>360</v>
      </c>
      <c r="AA576">
        <v>0</v>
      </c>
      <c r="AB576" s="2">
        <v>0</v>
      </c>
      <c r="AC576" s="2">
        <v>0</v>
      </c>
      <c r="AD576" s="3">
        <v>0</v>
      </c>
      <c r="AE576" s="2">
        <v>0</v>
      </c>
      <c r="AF576" s="2">
        <v>0</v>
      </c>
      <c r="AG576" s="2">
        <v>0</v>
      </c>
      <c r="AH576" s="2">
        <v>0</v>
      </c>
      <c r="AI576" s="2">
        <v>0</v>
      </c>
      <c r="AJ576" s="2">
        <v>0</v>
      </c>
      <c r="AK576" s="2">
        <v>0</v>
      </c>
      <c r="AL576" s="2">
        <v>0</v>
      </c>
      <c r="AM576" s="2">
        <v>2.4</v>
      </c>
      <c r="AN576" s="2">
        <v>2.4</v>
      </c>
      <c r="AO576" s="2">
        <v>0</v>
      </c>
      <c r="AP576" s="2">
        <v>0</v>
      </c>
      <c r="AQ576" s="2">
        <v>0</v>
      </c>
    </row>
    <row r="577" spans="1:43" x14ac:dyDescent="0.25">
      <c r="A577" s="1">
        <v>45936</v>
      </c>
      <c r="B577" t="s">
        <v>48</v>
      </c>
      <c r="C577">
        <v>649163</v>
      </c>
      <c r="D577">
        <v>2022273838</v>
      </c>
      <c r="E577" t="s">
        <v>640</v>
      </c>
      <c r="F577" t="s">
        <v>641</v>
      </c>
      <c r="G577" t="s">
        <v>51</v>
      </c>
      <c r="H577" t="s">
        <v>70</v>
      </c>
      <c r="I577" t="s">
        <v>243</v>
      </c>
      <c r="J577" t="s">
        <v>244</v>
      </c>
      <c r="K577">
        <v>649164</v>
      </c>
      <c r="L577" t="s">
        <v>211</v>
      </c>
      <c r="M577" t="s">
        <v>212</v>
      </c>
      <c r="N577" t="s">
        <v>57</v>
      </c>
      <c r="O577" s="1">
        <v>45383</v>
      </c>
      <c r="Q577" s="1">
        <v>45962</v>
      </c>
      <c r="R577" s="2">
        <v>35.979999999999997</v>
      </c>
      <c r="S577">
        <v>1</v>
      </c>
      <c r="T577" t="s">
        <v>58</v>
      </c>
      <c r="U577" t="s">
        <v>359</v>
      </c>
      <c r="V577" s="3">
        <v>0.06</v>
      </c>
      <c r="W577" s="2">
        <v>0</v>
      </c>
      <c r="X577">
        <v>0</v>
      </c>
      <c r="Y577" t="s">
        <v>214</v>
      </c>
      <c r="Z577" t="s">
        <v>360</v>
      </c>
      <c r="AA577">
        <v>0</v>
      </c>
      <c r="AB577" s="2">
        <v>0</v>
      </c>
      <c r="AC577" s="2">
        <v>0</v>
      </c>
      <c r="AD577" s="3">
        <v>0</v>
      </c>
      <c r="AE577" s="2">
        <v>0</v>
      </c>
      <c r="AF577" s="2">
        <v>0</v>
      </c>
      <c r="AG577" s="2">
        <v>0</v>
      </c>
      <c r="AH577" s="2">
        <v>0</v>
      </c>
      <c r="AI577" s="2">
        <v>0</v>
      </c>
      <c r="AJ577" s="2">
        <v>0</v>
      </c>
      <c r="AK577" s="2">
        <v>0</v>
      </c>
      <c r="AL577" s="2">
        <v>0</v>
      </c>
      <c r="AM577" s="2">
        <v>2.16</v>
      </c>
      <c r="AN577" s="2">
        <v>2.16</v>
      </c>
      <c r="AO577" s="2">
        <v>0</v>
      </c>
      <c r="AP577" s="2">
        <v>0</v>
      </c>
      <c r="AQ577" s="2">
        <v>0</v>
      </c>
    </row>
    <row r="578" spans="1:43" x14ac:dyDescent="0.25">
      <c r="A578" s="1">
        <v>45936</v>
      </c>
      <c r="B578" t="s">
        <v>48</v>
      </c>
      <c r="C578">
        <v>649163</v>
      </c>
      <c r="D578">
        <v>2022645069</v>
      </c>
      <c r="E578" t="s">
        <v>707</v>
      </c>
      <c r="F578" t="s">
        <v>132</v>
      </c>
      <c r="G578" t="s">
        <v>51</v>
      </c>
      <c r="H578" t="s">
        <v>70</v>
      </c>
      <c r="I578" t="s">
        <v>243</v>
      </c>
      <c r="J578" t="s">
        <v>244</v>
      </c>
      <c r="K578">
        <v>649247</v>
      </c>
      <c r="L578" t="s">
        <v>75</v>
      </c>
      <c r="M578" t="s">
        <v>76</v>
      </c>
      <c r="N578" t="s">
        <v>57</v>
      </c>
      <c r="O578" s="1">
        <v>45392</v>
      </c>
      <c r="Q578" s="1">
        <v>45971</v>
      </c>
      <c r="R578" s="2">
        <v>39.979999999999997</v>
      </c>
      <c r="S578">
        <v>1</v>
      </c>
      <c r="T578" t="s">
        <v>58</v>
      </c>
      <c r="U578" t="s">
        <v>359</v>
      </c>
      <c r="V578" s="3">
        <v>0.06</v>
      </c>
      <c r="W578" s="2">
        <v>0</v>
      </c>
      <c r="X578">
        <v>0</v>
      </c>
      <c r="Y578" t="s">
        <v>214</v>
      </c>
      <c r="Z578" t="s">
        <v>360</v>
      </c>
      <c r="AA578">
        <v>0</v>
      </c>
      <c r="AB578" s="2">
        <v>0</v>
      </c>
      <c r="AC578" s="2">
        <v>0</v>
      </c>
      <c r="AD578" s="3">
        <v>0</v>
      </c>
      <c r="AE578" s="2">
        <v>0</v>
      </c>
      <c r="AF578" s="2">
        <v>0</v>
      </c>
      <c r="AG578" s="2">
        <v>0</v>
      </c>
      <c r="AH578" s="2">
        <v>0</v>
      </c>
      <c r="AI578" s="2">
        <v>0</v>
      </c>
      <c r="AJ578" s="2">
        <v>0</v>
      </c>
      <c r="AK578" s="2">
        <v>0</v>
      </c>
      <c r="AL578" s="2">
        <v>0</v>
      </c>
      <c r="AM578" s="2">
        <v>2.4</v>
      </c>
      <c r="AN578" s="2">
        <v>2.4</v>
      </c>
      <c r="AO578" s="2">
        <v>0</v>
      </c>
      <c r="AP578" s="2">
        <v>0</v>
      </c>
      <c r="AQ578" s="2">
        <v>0</v>
      </c>
    </row>
    <row r="579" spans="1:43" x14ac:dyDescent="0.25">
      <c r="A579" s="1">
        <v>45936</v>
      </c>
      <c r="B579" t="s">
        <v>48</v>
      </c>
      <c r="C579">
        <v>649163</v>
      </c>
      <c r="D579">
        <v>2023048530</v>
      </c>
      <c r="E579" t="s">
        <v>370</v>
      </c>
      <c r="F579" t="s">
        <v>371</v>
      </c>
      <c r="G579" t="s">
        <v>51</v>
      </c>
      <c r="H579" t="s">
        <v>262</v>
      </c>
      <c r="I579" t="s">
        <v>243</v>
      </c>
      <c r="J579" t="s">
        <v>244</v>
      </c>
      <c r="K579">
        <v>751867</v>
      </c>
      <c r="L579" t="s">
        <v>71</v>
      </c>
      <c r="M579" t="s">
        <v>72</v>
      </c>
      <c r="N579" t="s">
        <v>57</v>
      </c>
      <c r="O579" s="1">
        <v>45422</v>
      </c>
      <c r="Q579" s="1">
        <v>45971</v>
      </c>
      <c r="R579" s="2">
        <v>119.64</v>
      </c>
      <c r="S579">
        <v>1</v>
      </c>
      <c r="T579" t="s">
        <v>58</v>
      </c>
      <c r="U579" t="s">
        <v>359</v>
      </c>
      <c r="V579" s="3">
        <v>0.06</v>
      </c>
      <c r="W579" s="2">
        <v>0</v>
      </c>
      <c r="X579">
        <v>0</v>
      </c>
      <c r="Y579" t="s">
        <v>214</v>
      </c>
      <c r="Z579" t="s">
        <v>360</v>
      </c>
      <c r="AA579">
        <v>0</v>
      </c>
      <c r="AB579" s="2">
        <v>0</v>
      </c>
      <c r="AC579" s="2">
        <v>0</v>
      </c>
      <c r="AD579" s="3">
        <v>0</v>
      </c>
      <c r="AE579" s="2">
        <v>0</v>
      </c>
      <c r="AF579" s="2">
        <v>0</v>
      </c>
      <c r="AG579" s="2">
        <v>0</v>
      </c>
      <c r="AH579" s="2">
        <v>0</v>
      </c>
      <c r="AI579" s="2">
        <v>0</v>
      </c>
      <c r="AJ579" s="2">
        <v>0</v>
      </c>
      <c r="AK579" s="2">
        <v>0</v>
      </c>
      <c r="AL579" s="2">
        <v>0</v>
      </c>
      <c r="AM579" s="2">
        <v>7.18</v>
      </c>
      <c r="AN579" s="2">
        <v>7.18</v>
      </c>
      <c r="AO579" s="2">
        <v>0</v>
      </c>
      <c r="AP579" s="2">
        <v>0</v>
      </c>
      <c r="AQ579" s="2">
        <v>0</v>
      </c>
    </row>
    <row r="580" spans="1:43" x14ac:dyDescent="0.25">
      <c r="A580" s="1">
        <v>45936</v>
      </c>
      <c r="B580" t="s">
        <v>48</v>
      </c>
      <c r="C580">
        <v>649163</v>
      </c>
      <c r="D580">
        <v>2023217204</v>
      </c>
      <c r="E580" t="s">
        <v>809</v>
      </c>
      <c r="F580" t="s">
        <v>717</v>
      </c>
      <c r="G580" t="s">
        <v>51</v>
      </c>
      <c r="H580" t="s">
        <v>182</v>
      </c>
      <c r="I580" t="s">
        <v>243</v>
      </c>
      <c r="J580" t="s">
        <v>244</v>
      </c>
      <c r="K580">
        <v>673059</v>
      </c>
      <c r="L580" t="s">
        <v>80</v>
      </c>
      <c r="M580" t="s">
        <v>81</v>
      </c>
      <c r="N580" t="s">
        <v>57</v>
      </c>
      <c r="O580" s="1">
        <v>45444</v>
      </c>
      <c r="Q580" s="1">
        <v>45962</v>
      </c>
      <c r="R580" s="2">
        <v>35.39</v>
      </c>
      <c r="S580">
        <v>1</v>
      </c>
      <c r="T580" t="s">
        <v>58</v>
      </c>
      <c r="U580" t="s">
        <v>359</v>
      </c>
      <c r="V580" s="3">
        <v>0.06</v>
      </c>
      <c r="W580" s="2">
        <v>0</v>
      </c>
      <c r="X580">
        <v>0</v>
      </c>
      <c r="Y580" t="s">
        <v>214</v>
      </c>
      <c r="Z580" t="s">
        <v>360</v>
      </c>
      <c r="AA580">
        <v>0</v>
      </c>
      <c r="AB580" s="2">
        <v>0</v>
      </c>
      <c r="AC580" s="2">
        <v>0</v>
      </c>
      <c r="AD580" s="3">
        <v>0</v>
      </c>
      <c r="AE580" s="2">
        <v>0</v>
      </c>
      <c r="AF580" s="2">
        <v>0</v>
      </c>
      <c r="AG580" s="2">
        <v>0</v>
      </c>
      <c r="AH580" s="2">
        <v>0</v>
      </c>
      <c r="AI580" s="2">
        <v>0</v>
      </c>
      <c r="AJ580" s="2">
        <v>0</v>
      </c>
      <c r="AK580" s="2">
        <v>0</v>
      </c>
      <c r="AL580" s="2">
        <v>0</v>
      </c>
      <c r="AM580" s="2">
        <v>2.12</v>
      </c>
      <c r="AN580" s="2">
        <v>2.12</v>
      </c>
      <c r="AO580" s="2">
        <v>0</v>
      </c>
      <c r="AP580" s="2">
        <v>0</v>
      </c>
      <c r="AQ580" s="2">
        <v>0</v>
      </c>
    </row>
    <row r="581" spans="1:43" x14ac:dyDescent="0.25">
      <c r="A581" s="1">
        <v>45936</v>
      </c>
      <c r="B581" t="s">
        <v>48</v>
      </c>
      <c r="C581">
        <v>649163</v>
      </c>
      <c r="D581">
        <v>2023245977</v>
      </c>
      <c r="E581" t="s">
        <v>372</v>
      </c>
      <c r="F581" t="s">
        <v>373</v>
      </c>
      <c r="G581" t="s">
        <v>51</v>
      </c>
      <c r="H581" t="s">
        <v>70</v>
      </c>
      <c r="I581" t="s">
        <v>243</v>
      </c>
      <c r="J581" t="s">
        <v>244</v>
      </c>
      <c r="K581">
        <v>650218</v>
      </c>
      <c r="L581" t="s">
        <v>237</v>
      </c>
      <c r="M581" t="s">
        <v>238</v>
      </c>
      <c r="N581" t="s">
        <v>57</v>
      </c>
      <c r="O581" s="1">
        <v>45444</v>
      </c>
      <c r="Q581" s="1">
        <v>45962</v>
      </c>
      <c r="R581" s="2">
        <v>24.88</v>
      </c>
      <c r="S581">
        <v>1</v>
      </c>
      <c r="T581" t="s">
        <v>58</v>
      </c>
      <c r="U581" t="s">
        <v>359</v>
      </c>
      <c r="V581" s="3">
        <v>0.06</v>
      </c>
      <c r="W581" s="2">
        <v>0</v>
      </c>
      <c r="X581">
        <v>0</v>
      </c>
      <c r="Y581" t="s">
        <v>214</v>
      </c>
      <c r="Z581" t="s">
        <v>360</v>
      </c>
      <c r="AA581">
        <v>0</v>
      </c>
      <c r="AB581" s="2">
        <v>0</v>
      </c>
      <c r="AC581" s="2">
        <v>0</v>
      </c>
      <c r="AD581" s="3">
        <v>0</v>
      </c>
      <c r="AE581" s="2">
        <v>0</v>
      </c>
      <c r="AF581" s="2">
        <v>0</v>
      </c>
      <c r="AG581" s="2">
        <v>0</v>
      </c>
      <c r="AH581" s="2">
        <v>0</v>
      </c>
      <c r="AI581" s="2">
        <v>0</v>
      </c>
      <c r="AJ581" s="2">
        <v>0</v>
      </c>
      <c r="AK581" s="2">
        <v>0</v>
      </c>
      <c r="AL581" s="2">
        <v>0</v>
      </c>
      <c r="AM581" s="2">
        <v>1.49</v>
      </c>
      <c r="AN581" s="2">
        <v>1.49</v>
      </c>
      <c r="AO581" s="2">
        <v>0</v>
      </c>
      <c r="AP581" s="2">
        <v>0</v>
      </c>
      <c r="AQ581" s="2">
        <v>0</v>
      </c>
    </row>
    <row r="582" spans="1:43" x14ac:dyDescent="0.25">
      <c r="A582" s="1">
        <v>45936</v>
      </c>
      <c r="B582" t="s">
        <v>48</v>
      </c>
      <c r="C582">
        <v>649163</v>
      </c>
      <c r="D582">
        <v>2023294110</v>
      </c>
      <c r="E582" t="s">
        <v>676</v>
      </c>
      <c r="F582" t="s">
        <v>677</v>
      </c>
      <c r="G582" t="s">
        <v>51</v>
      </c>
      <c r="H582" t="s">
        <v>122</v>
      </c>
      <c r="I582" t="s">
        <v>243</v>
      </c>
      <c r="J582" t="s">
        <v>244</v>
      </c>
      <c r="K582">
        <v>651818</v>
      </c>
      <c r="L582" t="s">
        <v>112</v>
      </c>
      <c r="M582" t="s">
        <v>104</v>
      </c>
      <c r="N582" t="s">
        <v>57</v>
      </c>
      <c r="O582" s="1">
        <v>45449</v>
      </c>
      <c r="Q582" s="1">
        <v>45967</v>
      </c>
      <c r="R582" s="2">
        <v>40.07</v>
      </c>
      <c r="S582">
        <v>1</v>
      </c>
      <c r="T582" t="s">
        <v>58</v>
      </c>
      <c r="U582" t="s">
        <v>359</v>
      </c>
      <c r="V582" s="3">
        <v>0.06</v>
      </c>
      <c r="W582" s="2">
        <v>0</v>
      </c>
      <c r="X582">
        <v>0</v>
      </c>
      <c r="Y582" t="s">
        <v>214</v>
      </c>
      <c r="Z582" t="s">
        <v>360</v>
      </c>
      <c r="AA582">
        <v>0</v>
      </c>
      <c r="AB582" s="2">
        <v>0</v>
      </c>
      <c r="AC582" s="2">
        <v>0</v>
      </c>
      <c r="AD582" s="3">
        <v>0</v>
      </c>
      <c r="AE582" s="2">
        <v>0</v>
      </c>
      <c r="AF582" s="2">
        <v>0</v>
      </c>
      <c r="AG582" s="2">
        <v>0</v>
      </c>
      <c r="AH582" s="2">
        <v>0</v>
      </c>
      <c r="AI582" s="2">
        <v>0</v>
      </c>
      <c r="AJ582" s="2">
        <v>0</v>
      </c>
      <c r="AK582" s="2">
        <v>0</v>
      </c>
      <c r="AL582" s="2">
        <v>0</v>
      </c>
      <c r="AM582" s="2">
        <v>2.4</v>
      </c>
      <c r="AN582" s="2">
        <v>2.4</v>
      </c>
      <c r="AO582" s="2">
        <v>0</v>
      </c>
      <c r="AP582" s="2">
        <v>0</v>
      </c>
      <c r="AQ582" s="2">
        <v>0</v>
      </c>
    </row>
    <row r="583" spans="1:43" x14ac:dyDescent="0.25">
      <c r="A583" s="1">
        <v>45936</v>
      </c>
      <c r="B583" t="s">
        <v>48</v>
      </c>
      <c r="C583">
        <v>649163</v>
      </c>
      <c r="D583">
        <v>2023372599</v>
      </c>
      <c r="E583" t="s">
        <v>374</v>
      </c>
      <c r="F583" t="s">
        <v>375</v>
      </c>
      <c r="G583" t="s">
        <v>51</v>
      </c>
      <c r="H583" t="s">
        <v>376</v>
      </c>
      <c r="I583" t="s">
        <v>243</v>
      </c>
      <c r="J583" t="s">
        <v>244</v>
      </c>
      <c r="K583">
        <v>650218</v>
      </c>
      <c r="L583" t="s">
        <v>237</v>
      </c>
      <c r="M583" t="s">
        <v>238</v>
      </c>
      <c r="N583" t="s">
        <v>57</v>
      </c>
      <c r="O583" s="1">
        <v>45447</v>
      </c>
      <c r="Q583" s="1">
        <v>45965</v>
      </c>
      <c r="R583" s="2">
        <v>136.15</v>
      </c>
      <c r="S583">
        <v>1</v>
      </c>
      <c r="T583" t="s">
        <v>58</v>
      </c>
      <c r="U583" t="s">
        <v>359</v>
      </c>
      <c r="V583" s="3">
        <v>0.06</v>
      </c>
      <c r="W583" s="2">
        <v>0</v>
      </c>
      <c r="X583">
        <v>0</v>
      </c>
      <c r="Y583" t="s">
        <v>214</v>
      </c>
      <c r="Z583" t="s">
        <v>360</v>
      </c>
      <c r="AA583">
        <v>0</v>
      </c>
      <c r="AB583" s="2">
        <v>0</v>
      </c>
      <c r="AC583" s="2">
        <v>0</v>
      </c>
      <c r="AD583" s="3">
        <v>0</v>
      </c>
      <c r="AE583" s="2">
        <v>0</v>
      </c>
      <c r="AF583" s="2">
        <v>0</v>
      </c>
      <c r="AG583" s="2">
        <v>0</v>
      </c>
      <c r="AH583" s="2">
        <v>0</v>
      </c>
      <c r="AI583" s="2">
        <v>0</v>
      </c>
      <c r="AJ583" s="2">
        <v>0</v>
      </c>
      <c r="AK583" s="2">
        <v>0</v>
      </c>
      <c r="AL583" s="2">
        <v>0</v>
      </c>
      <c r="AM583" s="2">
        <v>8.17</v>
      </c>
      <c r="AN583" s="2">
        <v>8.17</v>
      </c>
      <c r="AO583" s="2">
        <v>0</v>
      </c>
      <c r="AP583" s="2">
        <v>0</v>
      </c>
      <c r="AQ583" s="2">
        <v>0</v>
      </c>
    </row>
    <row r="584" spans="1:43" x14ac:dyDescent="0.25">
      <c r="A584" s="1">
        <v>45936</v>
      </c>
      <c r="B584" t="s">
        <v>48</v>
      </c>
      <c r="C584">
        <v>649163</v>
      </c>
      <c r="D584">
        <v>2023399790</v>
      </c>
      <c r="E584" t="s">
        <v>980</v>
      </c>
      <c r="F584" t="s">
        <v>72</v>
      </c>
      <c r="G584" t="s">
        <v>51</v>
      </c>
      <c r="H584" t="s">
        <v>101</v>
      </c>
      <c r="I584" t="s">
        <v>243</v>
      </c>
      <c r="J584" t="s">
        <v>244</v>
      </c>
      <c r="K584">
        <v>651818</v>
      </c>
      <c r="L584" t="s">
        <v>112</v>
      </c>
      <c r="M584" t="s">
        <v>104</v>
      </c>
      <c r="N584" t="s">
        <v>57</v>
      </c>
      <c r="O584" s="1">
        <v>45449</v>
      </c>
      <c r="Q584" s="1">
        <v>45967</v>
      </c>
      <c r="R584" s="2">
        <v>67.84</v>
      </c>
      <c r="S584">
        <v>1</v>
      </c>
      <c r="T584" t="s">
        <v>58</v>
      </c>
      <c r="U584" t="s">
        <v>359</v>
      </c>
      <c r="V584" s="3">
        <v>0.06</v>
      </c>
      <c r="W584" s="2">
        <v>0</v>
      </c>
      <c r="X584">
        <v>0</v>
      </c>
      <c r="Y584" t="s">
        <v>214</v>
      </c>
      <c r="Z584" t="s">
        <v>360</v>
      </c>
      <c r="AA584">
        <v>0</v>
      </c>
      <c r="AB584" s="2">
        <v>0</v>
      </c>
      <c r="AC584" s="2">
        <v>0</v>
      </c>
      <c r="AD584" s="3">
        <v>0</v>
      </c>
      <c r="AE584" s="2">
        <v>0</v>
      </c>
      <c r="AF584" s="2">
        <v>0</v>
      </c>
      <c r="AG584" s="2">
        <v>0</v>
      </c>
      <c r="AH584" s="2">
        <v>0</v>
      </c>
      <c r="AI584" s="2">
        <v>0</v>
      </c>
      <c r="AJ584" s="2">
        <v>0</v>
      </c>
      <c r="AK584" s="2">
        <v>0</v>
      </c>
      <c r="AL584" s="2">
        <v>0</v>
      </c>
      <c r="AM584" s="2">
        <v>4.07</v>
      </c>
      <c r="AN584" s="2">
        <v>4.07</v>
      </c>
      <c r="AO584" s="2">
        <v>0</v>
      </c>
      <c r="AP584" s="2">
        <v>0</v>
      </c>
      <c r="AQ584" s="2">
        <v>0</v>
      </c>
    </row>
    <row r="585" spans="1:43" x14ac:dyDescent="0.25">
      <c r="A585" s="1">
        <v>45936</v>
      </c>
      <c r="B585" t="s">
        <v>48</v>
      </c>
      <c r="C585">
        <v>649163</v>
      </c>
      <c r="D585">
        <v>2023402086</v>
      </c>
      <c r="E585" t="s">
        <v>377</v>
      </c>
      <c r="F585" t="s">
        <v>378</v>
      </c>
      <c r="G585" t="s">
        <v>51</v>
      </c>
      <c r="H585" t="s">
        <v>323</v>
      </c>
      <c r="I585" t="s">
        <v>243</v>
      </c>
      <c r="J585" t="s">
        <v>244</v>
      </c>
      <c r="K585">
        <v>673059</v>
      </c>
      <c r="L585" t="s">
        <v>80</v>
      </c>
      <c r="M585" t="s">
        <v>81</v>
      </c>
      <c r="N585" t="s">
        <v>57</v>
      </c>
      <c r="O585" s="1">
        <v>45449</v>
      </c>
      <c r="Q585" s="1">
        <v>45967</v>
      </c>
      <c r="R585" s="2">
        <v>52.03</v>
      </c>
      <c r="S585">
        <v>1</v>
      </c>
      <c r="T585" t="s">
        <v>58</v>
      </c>
      <c r="U585" t="s">
        <v>359</v>
      </c>
      <c r="V585" s="3">
        <v>0.06</v>
      </c>
      <c r="W585" s="2">
        <v>0</v>
      </c>
      <c r="X585">
        <v>0</v>
      </c>
      <c r="Y585" t="s">
        <v>214</v>
      </c>
      <c r="Z585" t="s">
        <v>360</v>
      </c>
      <c r="AA585">
        <v>0</v>
      </c>
      <c r="AB585" s="2">
        <v>0</v>
      </c>
      <c r="AC585" s="2">
        <v>0</v>
      </c>
      <c r="AD585" s="3">
        <v>0</v>
      </c>
      <c r="AE585" s="2">
        <v>0</v>
      </c>
      <c r="AF585" s="2">
        <v>0</v>
      </c>
      <c r="AG585" s="2">
        <v>0</v>
      </c>
      <c r="AH585" s="2">
        <v>0</v>
      </c>
      <c r="AI585" s="2">
        <v>0</v>
      </c>
      <c r="AJ585" s="2">
        <v>0</v>
      </c>
      <c r="AK585" s="2">
        <v>0</v>
      </c>
      <c r="AL585" s="2">
        <v>0</v>
      </c>
      <c r="AM585" s="2">
        <v>3.12</v>
      </c>
      <c r="AN585" s="2">
        <v>3.12</v>
      </c>
      <c r="AO585" s="2">
        <v>0</v>
      </c>
      <c r="AP585" s="2">
        <v>0</v>
      </c>
      <c r="AQ585" s="2">
        <v>0</v>
      </c>
    </row>
    <row r="586" spans="1:43" x14ac:dyDescent="0.25">
      <c r="A586" s="1">
        <v>45936</v>
      </c>
      <c r="B586" t="s">
        <v>48</v>
      </c>
      <c r="C586">
        <v>649163</v>
      </c>
      <c r="D586">
        <v>2024178503</v>
      </c>
      <c r="E586" t="s">
        <v>981</v>
      </c>
      <c r="F586" t="s">
        <v>982</v>
      </c>
      <c r="G586" t="s">
        <v>51</v>
      </c>
      <c r="H586" t="s">
        <v>101</v>
      </c>
      <c r="I586" t="s">
        <v>243</v>
      </c>
      <c r="J586" t="s">
        <v>244</v>
      </c>
      <c r="K586">
        <v>766747</v>
      </c>
      <c r="L586" t="s">
        <v>815</v>
      </c>
      <c r="M586" t="s">
        <v>482</v>
      </c>
      <c r="N586" t="s">
        <v>57</v>
      </c>
      <c r="O586" s="1">
        <v>45510</v>
      </c>
      <c r="Q586" s="1">
        <v>45967</v>
      </c>
      <c r="R586" s="2">
        <v>80.16</v>
      </c>
      <c r="S586">
        <v>1</v>
      </c>
      <c r="T586" t="s">
        <v>58</v>
      </c>
      <c r="U586" t="s">
        <v>359</v>
      </c>
      <c r="V586" s="3">
        <v>0.06</v>
      </c>
      <c r="W586" s="2">
        <v>0</v>
      </c>
      <c r="X586">
        <v>0</v>
      </c>
      <c r="Y586" t="s">
        <v>214</v>
      </c>
      <c r="Z586" t="s">
        <v>360</v>
      </c>
      <c r="AA586">
        <v>0</v>
      </c>
      <c r="AB586" s="2">
        <v>0</v>
      </c>
      <c r="AC586" s="2">
        <v>0</v>
      </c>
      <c r="AD586" s="3">
        <v>0</v>
      </c>
      <c r="AE586" s="2">
        <v>0</v>
      </c>
      <c r="AF586" s="2">
        <v>0</v>
      </c>
      <c r="AG586" s="2">
        <v>0</v>
      </c>
      <c r="AH586" s="2">
        <v>0</v>
      </c>
      <c r="AI586" s="2">
        <v>0</v>
      </c>
      <c r="AJ586" s="2">
        <v>0</v>
      </c>
      <c r="AK586" s="2">
        <v>0</v>
      </c>
      <c r="AL586" s="2">
        <v>0</v>
      </c>
      <c r="AM586" s="2">
        <v>4.8099999999999996</v>
      </c>
      <c r="AN586" s="2">
        <v>4.8099999999999996</v>
      </c>
      <c r="AO586" s="2">
        <v>0</v>
      </c>
      <c r="AP586" s="2">
        <v>0</v>
      </c>
      <c r="AQ586" s="2">
        <v>0</v>
      </c>
    </row>
    <row r="587" spans="1:43" x14ac:dyDescent="0.25">
      <c r="A587" s="1">
        <v>45936</v>
      </c>
      <c r="B587" t="s">
        <v>48</v>
      </c>
      <c r="C587">
        <v>649163</v>
      </c>
      <c r="D587">
        <v>2024197969</v>
      </c>
      <c r="E587" t="s">
        <v>819</v>
      </c>
      <c r="F587" t="s">
        <v>820</v>
      </c>
      <c r="G587" t="s">
        <v>51</v>
      </c>
      <c r="H587" t="s">
        <v>101</v>
      </c>
      <c r="I587" t="s">
        <v>243</v>
      </c>
      <c r="J587" t="s">
        <v>244</v>
      </c>
      <c r="K587">
        <v>766747</v>
      </c>
      <c r="L587" t="s">
        <v>815</v>
      </c>
      <c r="M587" t="s">
        <v>482</v>
      </c>
      <c r="N587" t="s">
        <v>57</v>
      </c>
      <c r="O587" s="1">
        <v>45541</v>
      </c>
      <c r="Q587" s="1">
        <v>45967</v>
      </c>
      <c r="R587" s="2">
        <v>18.72</v>
      </c>
      <c r="S587">
        <v>1</v>
      </c>
      <c r="T587" t="s">
        <v>58</v>
      </c>
      <c r="U587" t="s">
        <v>359</v>
      </c>
      <c r="V587" s="3">
        <v>0.06</v>
      </c>
      <c r="W587" s="2">
        <v>0</v>
      </c>
      <c r="X587">
        <v>0</v>
      </c>
      <c r="Y587" t="s">
        <v>214</v>
      </c>
      <c r="Z587" t="s">
        <v>360</v>
      </c>
      <c r="AA587">
        <v>0</v>
      </c>
      <c r="AB587" s="2">
        <v>0</v>
      </c>
      <c r="AC587" s="2">
        <v>0</v>
      </c>
      <c r="AD587" s="3">
        <v>0</v>
      </c>
      <c r="AE587" s="2">
        <v>0</v>
      </c>
      <c r="AF587" s="2">
        <v>0</v>
      </c>
      <c r="AG587" s="2">
        <v>0</v>
      </c>
      <c r="AH587" s="2">
        <v>0</v>
      </c>
      <c r="AI587" s="2">
        <v>0</v>
      </c>
      <c r="AJ587" s="2">
        <v>0</v>
      </c>
      <c r="AK587" s="2">
        <v>0</v>
      </c>
      <c r="AL587" s="2">
        <v>0</v>
      </c>
      <c r="AM587" s="2">
        <v>1.1200000000000001</v>
      </c>
      <c r="AN587" s="2">
        <v>1.1200000000000001</v>
      </c>
      <c r="AO587" s="2">
        <v>0</v>
      </c>
      <c r="AP587" s="2">
        <v>0</v>
      </c>
      <c r="AQ587" s="2">
        <v>0</v>
      </c>
    </row>
    <row r="588" spans="1:43" x14ac:dyDescent="0.25">
      <c r="A588" s="1">
        <v>45936</v>
      </c>
      <c r="B588" t="s">
        <v>48</v>
      </c>
      <c r="C588">
        <v>649163</v>
      </c>
      <c r="D588">
        <v>2024307282</v>
      </c>
      <c r="E588" t="s">
        <v>983</v>
      </c>
      <c r="F588" t="s">
        <v>984</v>
      </c>
      <c r="G588" t="s">
        <v>51</v>
      </c>
      <c r="H588" t="s">
        <v>101</v>
      </c>
      <c r="I588" t="s">
        <v>243</v>
      </c>
      <c r="J588" t="s">
        <v>244</v>
      </c>
      <c r="K588">
        <v>669316</v>
      </c>
      <c r="L588" t="s">
        <v>258</v>
      </c>
      <c r="M588" t="s">
        <v>259</v>
      </c>
      <c r="N588" t="s">
        <v>57</v>
      </c>
      <c r="O588" s="1">
        <v>45513</v>
      </c>
      <c r="Q588" s="1">
        <v>45970</v>
      </c>
      <c r="R588" s="2">
        <v>137.19</v>
      </c>
      <c r="S588">
        <v>1</v>
      </c>
      <c r="T588" t="s">
        <v>58</v>
      </c>
      <c r="U588" t="s">
        <v>359</v>
      </c>
      <c r="V588" s="3">
        <v>0.06</v>
      </c>
      <c r="W588" s="2">
        <v>0</v>
      </c>
      <c r="X588">
        <v>0</v>
      </c>
      <c r="Y588" t="s">
        <v>214</v>
      </c>
      <c r="Z588" t="s">
        <v>360</v>
      </c>
      <c r="AA588">
        <v>0</v>
      </c>
      <c r="AB588" s="2">
        <v>0</v>
      </c>
      <c r="AC588" s="2">
        <v>0</v>
      </c>
      <c r="AD588" s="3">
        <v>0</v>
      </c>
      <c r="AE588" s="2">
        <v>0</v>
      </c>
      <c r="AF588" s="2">
        <v>0</v>
      </c>
      <c r="AG588" s="2">
        <v>0</v>
      </c>
      <c r="AH588" s="2">
        <v>0</v>
      </c>
      <c r="AI588" s="2">
        <v>0</v>
      </c>
      <c r="AJ588" s="2">
        <v>0</v>
      </c>
      <c r="AK588" s="2">
        <v>0</v>
      </c>
      <c r="AL588" s="2">
        <v>0</v>
      </c>
      <c r="AM588" s="2">
        <v>8.23</v>
      </c>
      <c r="AN588" s="2">
        <v>8.23</v>
      </c>
      <c r="AO588" s="2">
        <v>0</v>
      </c>
      <c r="AP588" s="2">
        <v>0</v>
      </c>
      <c r="AQ588" s="2">
        <v>0</v>
      </c>
    </row>
    <row r="589" spans="1:43" x14ac:dyDescent="0.25">
      <c r="A589" s="1">
        <v>45936</v>
      </c>
      <c r="B589" t="s">
        <v>48</v>
      </c>
      <c r="C589">
        <v>649163</v>
      </c>
      <c r="D589">
        <v>2024320117</v>
      </c>
      <c r="E589" t="s">
        <v>379</v>
      </c>
      <c r="F589" t="s">
        <v>224</v>
      </c>
      <c r="G589" t="s">
        <v>51</v>
      </c>
      <c r="H589" t="s">
        <v>70</v>
      </c>
      <c r="I589" t="s">
        <v>243</v>
      </c>
      <c r="J589" t="s">
        <v>244</v>
      </c>
      <c r="K589">
        <v>650218</v>
      </c>
      <c r="L589" t="s">
        <v>237</v>
      </c>
      <c r="M589" t="s">
        <v>238</v>
      </c>
      <c r="N589" t="s">
        <v>57</v>
      </c>
      <c r="O589" s="1">
        <v>45514</v>
      </c>
      <c r="Q589" s="1">
        <v>45971</v>
      </c>
      <c r="R589" s="2">
        <v>44.21</v>
      </c>
      <c r="S589">
        <v>1</v>
      </c>
      <c r="T589" t="s">
        <v>58</v>
      </c>
      <c r="U589" t="s">
        <v>359</v>
      </c>
      <c r="V589" s="3">
        <v>0.06</v>
      </c>
      <c r="W589" s="2">
        <v>0</v>
      </c>
      <c r="X589">
        <v>0</v>
      </c>
      <c r="Y589" t="s">
        <v>214</v>
      </c>
      <c r="Z589" t="s">
        <v>360</v>
      </c>
      <c r="AA589">
        <v>0</v>
      </c>
      <c r="AB589" s="2">
        <v>0</v>
      </c>
      <c r="AC589" s="2">
        <v>0</v>
      </c>
      <c r="AD589" s="3">
        <v>0</v>
      </c>
      <c r="AE589" s="2">
        <v>0</v>
      </c>
      <c r="AF589" s="2">
        <v>0</v>
      </c>
      <c r="AG589" s="2">
        <v>0</v>
      </c>
      <c r="AH589" s="2">
        <v>0</v>
      </c>
      <c r="AI589" s="2">
        <v>0</v>
      </c>
      <c r="AJ589" s="2">
        <v>0</v>
      </c>
      <c r="AK589" s="2">
        <v>0</v>
      </c>
      <c r="AL589" s="2">
        <v>0</v>
      </c>
      <c r="AM589" s="2">
        <v>2.65</v>
      </c>
      <c r="AN589" s="2">
        <v>2.65</v>
      </c>
      <c r="AO589" s="2">
        <v>0</v>
      </c>
      <c r="AP589" s="2">
        <v>0</v>
      </c>
      <c r="AQ589" s="2">
        <v>0</v>
      </c>
    </row>
    <row r="590" spans="1:43" x14ac:dyDescent="0.25">
      <c r="A590" s="1">
        <v>45936</v>
      </c>
      <c r="B590" t="s">
        <v>48</v>
      </c>
      <c r="C590">
        <v>649163</v>
      </c>
      <c r="D590">
        <v>2024529138</v>
      </c>
      <c r="E590" t="s">
        <v>823</v>
      </c>
      <c r="F590" t="s">
        <v>824</v>
      </c>
      <c r="G590" t="s">
        <v>51</v>
      </c>
      <c r="H590" t="s">
        <v>101</v>
      </c>
      <c r="I590" t="s">
        <v>243</v>
      </c>
      <c r="J590" t="s">
        <v>244</v>
      </c>
      <c r="K590">
        <v>766747</v>
      </c>
      <c r="L590" t="s">
        <v>815</v>
      </c>
      <c r="M590" t="s">
        <v>482</v>
      </c>
      <c r="N590" t="s">
        <v>57</v>
      </c>
      <c r="O590" s="1">
        <v>45541</v>
      </c>
      <c r="Q590" s="1">
        <v>45967</v>
      </c>
      <c r="R590" s="2">
        <v>47.56</v>
      </c>
      <c r="S590">
        <v>1</v>
      </c>
      <c r="T590" t="s">
        <v>58</v>
      </c>
      <c r="U590" t="s">
        <v>359</v>
      </c>
      <c r="V590" s="3">
        <v>0.06</v>
      </c>
      <c r="W590" s="2">
        <v>0</v>
      </c>
      <c r="X590">
        <v>0</v>
      </c>
      <c r="Y590" t="s">
        <v>214</v>
      </c>
      <c r="Z590" t="s">
        <v>360</v>
      </c>
      <c r="AA590">
        <v>0</v>
      </c>
      <c r="AB590" s="2">
        <v>0</v>
      </c>
      <c r="AC590" s="2">
        <v>0</v>
      </c>
      <c r="AD590" s="3">
        <v>0</v>
      </c>
      <c r="AE590" s="2">
        <v>0</v>
      </c>
      <c r="AF590" s="2">
        <v>0</v>
      </c>
      <c r="AG590" s="2">
        <v>0</v>
      </c>
      <c r="AH590" s="2">
        <v>0</v>
      </c>
      <c r="AI590" s="2">
        <v>0</v>
      </c>
      <c r="AJ590" s="2">
        <v>0</v>
      </c>
      <c r="AK590" s="2">
        <v>0</v>
      </c>
      <c r="AL590" s="2">
        <v>0</v>
      </c>
      <c r="AM590" s="2">
        <v>2.85</v>
      </c>
      <c r="AN590" s="2">
        <v>2.85</v>
      </c>
      <c r="AO590" s="2">
        <v>0</v>
      </c>
      <c r="AP590" s="2">
        <v>0</v>
      </c>
      <c r="AQ590" s="2">
        <v>0</v>
      </c>
    </row>
    <row r="591" spans="1:43" x14ac:dyDescent="0.25">
      <c r="A591" s="1">
        <v>45936</v>
      </c>
      <c r="B591" t="s">
        <v>48</v>
      </c>
      <c r="C591">
        <v>649163</v>
      </c>
      <c r="D591">
        <v>2024569205</v>
      </c>
      <c r="E591" t="s">
        <v>826</v>
      </c>
      <c r="F591" t="s">
        <v>827</v>
      </c>
      <c r="G591" t="s">
        <v>51</v>
      </c>
      <c r="H591" t="s">
        <v>382</v>
      </c>
      <c r="I591" t="s">
        <v>243</v>
      </c>
      <c r="J591" t="s">
        <v>244</v>
      </c>
      <c r="K591">
        <v>649247</v>
      </c>
      <c r="L591" t="s">
        <v>75</v>
      </c>
      <c r="M591" t="s">
        <v>76</v>
      </c>
      <c r="N591" t="s">
        <v>57</v>
      </c>
      <c r="O591" s="1">
        <v>45531</v>
      </c>
      <c r="Q591" s="1">
        <v>45957</v>
      </c>
      <c r="R591" s="2">
        <v>60.87</v>
      </c>
      <c r="S591">
        <v>1</v>
      </c>
      <c r="T591" t="s">
        <v>58</v>
      </c>
      <c r="U591" t="s">
        <v>359</v>
      </c>
      <c r="V591" s="3">
        <v>0.06</v>
      </c>
      <c r="W591" s="2">
        <v>0</v>
      </c>
      <c r="X591">
        <v>0</v>
      </c>
      <c r="Y591" t="s">
        <v>214</v>
      </c>
      <c r="Z591" t="s">
        <v>360</v>
      </c>
      <c r="AA591">
        <v>0</v>
      </c>
      <c r="AB591" s="2">
        <v>0</v>
      </c>
      <c r="AC591" s="2">
        <v>0</v>
      </c>
      <c r="AD591" s="3">
        <v>0</v>
      </c>
      <c r="AE591" s="2">
        <v>0</v>
      </c>
      <c r="AF591" s="2">
        <v>0</v>
      </c>
      <c r="AG591" s="2">
        <v>0</v>
      </c>
      <c r="AH591" s="2">
        <v>0</v>
      </c>
      <c r="AI591" s="2">
        <v>0</v>
      </c>
      <c r="AJ591" s="2">
        <v>0</v>
      </c>
      <c r="AK591" s="2">
        <v>0</v>
      </c>
      <c r="AL591" s="2">
        <v>0</v>
      </c>
      <c r="AM591" s="2">
        <v>3.65</v>
      </c>
      <c r="AN591" s="2">
        <v>3.65</v>
      </c>
      <c r="AO591" s="2">
        <v>0</v>
      </c>
      <c r="AP591" s="2">
        <v>0</v>
      </c>
      <c r="AQ591" s="2">
        <v>0</v>
      </c>
    </row>
    <row r="592" spans="1:43" x14ac:dyDescent="0.25">
      <c r="A592" s="1">
        <v>45936</v>
      </c>
      <c r="B592" t="s">
        <v>48</v>
      </c>
      <c r="C592">
        <v>649163</v>
      </c>
      <c r="D592">
        <v>2024630487</v>
      </c>
      <c r="E592" t="s">
        <v>828</v>
      </c>
      <c r="F592" t="s">
        <v>687</v>
      </c>
      <c r="G592" t="s">
        <v>51</v>
      </c>
      <c r="H592" t="s">
        <v>101</v>
      </c>
      <c r="I592" t="s">
        <v>243</v>
      </c>
      <c r="J592" t="s">
        <v>244</v>
      </c>
      <c r="K592">
        <v>766747</v>
      </c>
      <c r="L592" t="s">
        <v>815</v>
      </c>
      <c r="M592" t="s">
        <v>482</v>
      </c>
      <c r="N592" t="s">
        <v>57</v>
      </c>
      <c r="O592" s="1">
        <v>45541</v>
      </c>
      <c r="Q592" s="1">
        <v>45967</v>
      </c>
      <c r="R592" s="2">
        <v>90.98</v>
      </c>
      <c r="S592">
        <v>1</v>
      </c>
      <c r="T592" t="s">
        <v>58</v>
      </c>
      <c r="U592" t="s">
        <v>359</v>
      </c>
      <c r="V592" s="3">
        <v>0.06</v>
      </c>
      <c r="W592" s="2">
        <v>0</v>
      </c>
      <c r="X592">
        <v>0</v>
      </c>
      <c r="Y592" t="s">
        <v>214</v>
      </c>
      <c r="Z592" t="s">
        <v>360</v>
      </c>
      <c r="AA592">
        <v>0</v>
      </c>
      <c r="AB592" s="2">
        <v>0</v>
      </c>
      <c r="AC592" s="2">
        <v>0</v>
      </c>
      <c r="AD592" s="3">
        <v>0</v>
      </c>
      <c r="AE592" s="2">
        <v>0</v>
      </c>
      <c r="AF592" s="2">
        <v>0</v>
      </c>
      <c r="AG592" s="2">
        <v>0</v>
      </c>
      <c r="AH592" s="2">
        <v>0</v>
      </c>
      <c r="AI592" s="2">
        <v>0</v>
      </c>
      <c r="AJ592" s="2">
        <v>0</v>
      </c>
      <c r="AK592" s="2">
        <v>0</v>
      </c>
      <c r="AL592" s="2">
        <v>0</v>
      </c>
      <c r="AM592" s="2">
        <v>5.46</v>
      </c>
      <c r="AN592" s="2">
        <v>5.46</v>
      </c>
      <c r="AO592" s="2">
        <v>0</v>
      </c>
      <c r="AP592" s="2">
        <v>0</v>
      </c>
      <c r="AQ592" s="2">
        <v>0</v>
      </c>
    </row>
    <row r="593" spans="1:43" x14ac:dyDescent="0.25">
      <c r="A593" s="1">
        <v>45936</v>
      </c>
      <c r="B593" t="s">
        <v>48</v>
      </c>
      <c r="C593">
        <v>649163</v>
      </c>
      <c r="D593">
        <v>2024779716</v>
      </c>
      <c r="E593" t="s">
        <v>985</v>
      </c>
      <c r="F593" t="s">
        <v>986</v>
      </c>
      <c r="G593" t="s">
        <v>51</v>
      </c>
      <c r="H593" t="s">
        <v>70</v>
      </c>
      <c r="I593" t="s">
        <v>243</v>
      </c>
      <c r="J593" t="s">
        <v>244</v>
      </c>
      <c r="K593">
        <v>728134</v>
      </c>
      <c r="L593" t="s">
        <v>352</v>
      </c>
      <c r="M593" t="s">
        <v>353</v>
      </c>
      <c r="N593" t="s">
        <v>57</v>
      </c>
      <c r="O593" s="1">
        <v>45545</v>
      </c>
      <c r="Q593" s="1">
        <v>45971</v>
      </c>
      <c r="R593" s="2">
        <v>49.98</v>
      </c>
      <c r="S593">
        <v>1</v>
      </c>
      <c r="T593" t="s">
        <v>58</v>
      </c>
      <c r="U593" t="s">
        <v>359</v>
      </c>
      <c r="V593" s="3">
        <v>0.06</v>
      </c>
      <c r="W593" s="2">
        <v>0</v>
      </c>
      <c r="X593">
        <v>0</v>
      </c>
      <c r="Y593" t="s">
        <v>214</v>
      </c>
      <c r="Z593" t="s">
        <v>360</v>
      </c>
      <c r="AA593">
        <v>0</v>
      </c>
      <c r="AB593" s="2">
        <v>0</v>
      </c>
      <c r="AC593" s="2">
        <v>0</v>
      </c>
      <c r="AD593" s="3">
        <v>0</v>
      </c>
      <c r="AE593" s="2">
        <v>0</v>
      </c>
      <c r="AF593" s="2">
        <v>0</v>
      </c>
      <c r="AG593" s="2">
        <v>0</v>
      </c>
      <c r="AH593" s="2">
        <v>0</v>
      </c>
      <c r="AI593" s="2">
        <v>0</v>
      </c>
      <c r="AJ593" s="2">
        <v>0</v>
      </c>
      <c r="AK593" s="2">
        <v>0</v>
      </c>
      <c r="AL593" s="2">
        <v>0</v>
      </c>
      <c r="AM593" s="2">
        <v>3</v>
      </c>
      <c r="AN593" s="2">
        <v>3</v>
      </c>
      <c r="AO593" s="2">
        <v>0</v>
      </c>
      <c r="AP593" s="2">
        <v>0</v>
      </c>
      <c r="AQ593" s="2">
        <v>0</v>
      </c>
    </row>
    <row r="594" spans="1:43" x14ac:dyDescent="0.25">
      <c r="A594" s="1">
        <v>45936</v>
      </c>
      <c r="B594" t="s">
        <v>48</v>
      </c>
      <c r="C594">
        <v>649163</v>
      </c>
      <c r="D594">
        <v>2024792045</v>
      </c>
      <c r="E594" t="s">
        <v>388</v>
      </c>
      <c r="F594" t="s">
        <v>648</v>
      </c>
      <c r="G594" t="s">
        <v>51</v>
      </c>
      <c r="H594" t="s">
        <v>115</v>
      </c>
      <c r="I594" t="s">
        <v>243</v>
      </c>
      <c r="J594" t="s">
        <v>244</v>
      </c>
      <c r="K594">
        <v>767312</v>
      </c>
      <c r="L594" t="s">
        <v>283</v>
      </c>
      <c r="M594" t="s">
        <v>284</v>
      </c>
      <c r="N594" t="s">
        <v>57</v>
      </c>
      <c r="O594" s="1">
        <v>45545</v>
      </c>
      <c r="Q594" s="1">
        <v>45971</v>
      </c>
      <c r="R594" s="2">
        <v>15.04</v>
      </c>
      <c r="S594">
        <v>1</v>
      </c>
      <c r="T594" t="s">
        <v>58</v>
      </c>
      <c r="U594" t="s">
        <v>359</v>
      </c>
      <c r="V594" s="3">
        <v>0.06</v>
      </c>
      <c r="W594" s="2">
        <v>0</v>
      </c>
      <c r="X594">
        <v>0</v>
      </c>
      <c r="Y594" t="s">
        <v>214</v>
      </c>
      <c r="Z594" t="s">
        <v>360</v>
      </c>
      <c r="AA594">
        <v>0</v>
      </c>
      <c r="AB594" s="2">
        <v>0</v>
      </c>
      <c r="AC594" s="2">
        <v>0</v>
      </c>
      <c r="AD594" s="3">
        <v>0</v>
      </c>
      <c r="AE594" s="2">
        <v>0</v>
      </c>
      <c r="AF594" s="2">
        <v>0</v>
      </c>
      <c r="AG594" s="2">
        <v>0</v>
      </c>
      <c r="AH594" s="2">
        <v>0</v>
      </c>
      <c r="AI594" s="2">
        <v>0</v>
      </c>
      <c r="AJ594" s="2">
        <v>0</v>
      </c>
      <c r="AK594" s="2">
        <v>0</v>
      </c>
      <c r="AL594" s="2">
        <v>0</v>
      </c>
      <c r="AM594" s="2">
        <v>0.9</v>
      </c>
      <c r="AN594" s="2">
        <v>0.9</v>
      </c>
      <c r="AO594" s="2">
        <v>0</v>
      </c>
      <c r="AP594" s="2">
        <v>0</v>
      </c>
      <c r="AQ594" s="2">
        <v>0</v>
      </c>
    </row>
    <row r="595" spans="1:43" x14ac:dyDescent="0.25">
      <c r="A595" s="1">
        <v>45936</v>
      </c>
      <c r="B595" t="s">
        <v>48</v>
      </c>
      <c r="C595">
        <v>649163</v>
      </c>
      <c r="D595">
        <v>2024899509</v>
      </c>
      <c r="E595" t="s">
        <v>835</v>
      </c>
      <c r="F595" t="s">
        <v>836</v>
      </c>
      <c r="G595" t="s">
        <v>51</v>
      </c>
      <c r="H595" t="s">
        <v>376</v>
      </c>
      <c r="I595" t="s">
        <v>243</v>
      </c>
      <c r="J595" t="s">
        <v>244</v>
      </c>
      <c r="K595">
        <v>651818</v>
      </c>
      <c r="L595" t="s">
        <v>112</v>
      </c>
      <c r="M595" t="s">
        <v>104</v>
      </c>
      <c r="N595" t="s">
        <v>57</v>
      </c>
      <c r="O595" s="1">
        <v>45571</v>
      </c>
      <c r="Q595" s="1">
        <v>45967</v>
      </c>
      <c r="R595" s="2">
        <v>49.55</v>
      </c>
      <c r="S595">
        <v>1</v>
      </c>
      <c r="T595" t="s">
        <v>58</v>
      </c>
      <c r="U595" t="s">
        <v>359</v>
      </c>
      <c r="V595" s="3">
        <v>0.06</v>
      </c>
      <c r="W595" s="2">
        <v>0</v>
      </c>
      <c r="X595">
        <v>0</v>
      </c>
      <c r="Y595" t="s">
        <v>214</v>
      </c>
      <c r="Z595" t="s">
        <v>360</v>
      </c>
      <c r="AA595">
        <v>0</v>
      </c>
      <c r="AB595" s="2">
        <v>0</v>
      </c>
      <c r="AC595" s="2">
        <v>0</v>
      </c>
      <c r="AD595" s="3">
        <v>0</v>
      </c>
      <c r="AE595" s="2">
        <v>0</v>
      </c>
      <c r="AF595" s="2">
        <v>0</v>
      </c>
      <c r="AG595" s="2">
        <v>0</v>
      </c>
      <c r="AH595" s="2">
        <v>0</v>
      </c>
      <c r="AI595" s="2">
        <v>0</v>
      </c>
      <c r="AJ595" s="2">
        <v>0</v>
      </c>
      <c r="AK595" s="2">
        <v>0</v>
      </c>
      <c r="AL595" s="2">
        <v>0</v>
      </c>
      <c r="AM595" s="2">
        <v>2.97</v>
      </c>
      <c r="AN595" s="2">
        <v>2.97</v>
      </c>
      <c r="AO595" s="2">
        <v>0</v>
      </c>
      <c r="AP595" s="2">
        <v>0</v>
      </c>
      <c r="AQ595" s="2">
        <v>0</v>
      </c>
    </row>
    <row r="596" spans="1:43" x14ac:dyDescent="0.25">
      <c r="A596" s="1">
        <v>45936</v>
      </c>
      <c r="B596" t="s">
        <v>48</v>
      </c>
      <c r="C596">
        <v>649163</v>
      </c>
      <c r="D596">
        <v>2024984936</v>
      </c>
      <c r="E596" t="s">
        <v>99</v>
      </c>
      <c r="F596" t="s">
        <v>839</v>
      </c>
      <c r="G596" t="s">
        <v>51</v>
      </c>
      <c r="H596" t="s">
        <v>101</v>
      </c>
      <c r="I596" t="s">
        <v>243</v>
      </c>
      <c r="J596" t="s">
        <v>244</v>
      </c>
      <c r="K596">
        <v>673059</v>
      </c>
      <c r="L596" t="s">
        <v>80</v>
      </c>
      <c r="M596" t="s">
        <v>81</v>
      </c>
      <c r="N596" t="s">
        <v>57</v>
      </c>
      <c r="O596" s="1">
        <v>45575</v>
      </c>
      <c r="Q596" s="1">
        <v>45971</v>
      </c>
      <c r="R596" s="2">
        <v>107.98</v>
      </c>
      <c r="S596">
        <v>1</v>
      </c>
      <c r="T596" t="s">
        <v>58</v>
      </c>
      <c r="U596" t="s">
        <v>359</v>
      </c>
      <c r="V596" s="3">
        <v>0.06</v>
      </c>
      <c r="W596" s="2">
        <v>0</v>
      </c>
      <c r="X596">
        <v>0</v>
      </c>
      <c r="Y596" t="s">
        <v>214</v>
      </c>
      <c r="Z596" t="s">
        <v>360</v>
      </c>
      <c r="AA596">
        <v>0</v>
      </c>
      <c r="AB596" s="2">
        <v>0</v>
      </c>
      <c r="AC596" s="2">
        <v>0</v>
      </c>
      <c r="AD596" s="3">
        <v>0</v>
      </c>
      <c r="AE596" s="2">
        <v>0</v>
      </c>
      <c r="AF596" s="2">
        <v>0</v>
      </c>
      <c r="AG596" s="2">
        <v>0</v>
      </c>
      <c r="AH596" s="2">
        <v>0</v>
      </c>
      <c r="AI596" s="2">
        <v>0</v>
      </c>
      <c r="AJ596" s="2">
        <v>0</v>
      </c>
      <c r="AK596" s="2">
        <v>0</v>
      </c>
      <c r="AL596" s="2">
        <v>0</v>
      </c>
      <c r="AM596" s="2">
        <v>6.48</v>
      </c>
      <c r="AN596" s="2">
        <v>6.48</v>
      </c>
      <c r="AO596" s="2">
        <v>0</v>
      </c>
      <c r="AP596" s="2">
        <v>0</v>
      </c>
      <c r="AQ596" s="2">
        <v>0</v>
      </c>
    </row>
    <row r="597" spans="1:43" x14ac:dyDescent="0.25">
      <c r="A597" s="1">
        <v>45936</v>
      </c>
      <c r="B597" t="s">
        <v>48</v>
      </c>
      <c r="C597">
        <v>649163</v>
      </c>
      <c r="D597">
        <v>2025031268</v>
      </c>
      <c r="E597" t="s">
        <v>840</v>
      </c>
      <c r="F597" t="s">
        <v>841</v>
      </c>
      <c r="G597" t="s">
        <v>51</v>
      </c>
      <c r="H597" t="s">
        <v>101</v>
      </c>
      <c r="I597" t="s">
        <v>243</v>
      </c>
      <c r="J597" t="s">
        <v>244</v>
      </c>
      <c r="K597">
        <v>766747</v>
      </c>
      <c r="L597" t="s">
        <v>815</v>
      </c>
      <c r="M597" t="s">
        <v>482</v>
      </c>
      <c r="N597" t="s">
        <v>57</v>
      </c>
      <c r="O597" s="1">
        <v>45571</v>
      </c>
      <c r="Q597" s="1">
        <v>45967</v>
      </c>
      <c r="R597" s="2">
        <v>47.56</v>
      </c>
      <c r="S597">
        <v>1</v>
      </c>
      <c r="T597" t="s">
        <v>58</v>
      </c>
      <c r="U597" t="s">
        <v>359</v>
      </c>
      <c r="V597" s="3">
        <v>0.06</v>
      </c>
      <c r="W597" s="2">
        <v>0</v>
      </c>
      <c r="X597">
        <v>0</v>
      </c>
      <c r="Y597" t="s">
        <v>214</v>
      </c>
      <c r="Z597" t="s">
        <v>360</v>
      </c>
      <c r="AA597">
        <v>0</v>
      </c>
      <c r="AB597" s="2">
        <v>0</v>
      </c>
      <c r="AC597" s="2">
        <v>0</v>
      </c>
      <c r="AD597" s="3">
        <v>0</v>
      </c>
      <c r="AE597" s="2">
        <v>0</v>
      </c>
      <c r="AF597" s="2">
        <v>0</v>
      </c>
      <c r="AG597" s="2">
        <v>0</v>
      </c>
      <c r="AH597" s="2">
        <v>0</v>
      </c>
      <c r="AI597" s="2">
        <v>0</v>
      </c>
      <c r="AJ597" s="2">
        <v>0</v>
      </c>
      <c r="AK597" s="2">
        <v>0</v>
      </c>
      <c r="AL597" s="2">
        <v>0</v>
      </c>
      <c r="AM597" s="2">
        <v>2.85</v>
      </c>
      <c r="AN597" s="2">
        <v>2.85</v>
      </c>
      <c r="AO597" s="2">
        <v>0</v>
      </c>
      <c r="AP597" s="2">
        <v>0</v>
      </c>
      <c r="AQ597" s="2">
        <v>0</v>
      </c>
    </row>
    <row r="598" spans="1:43" x14ac:dyDescent="0.25">
      <c r="A598" s="1">
        <v>45936</v>
      </c>
      <c r="B598" t="s">
        <v>48</v>
      </c>
      <c r="C598">
        <v>649163</v>
      </c>
      <c r="D598">
        <v>2025432259</v>
      </c>
      <c r="E598" t="s">
        <v>844</v>
      </c>
      <c r="F598" t="s">
        <v>845</v>
      </c>
      <c r="G598" t="s">
        <v>51</v>
      </c>
      <c r="H598" t="s">
        <v>101</v>
      </c>
      <c r="I598" t="s">
        <v>243</v>
      </c>
      <c r="J598" t="s">
        <v>244</v>
      </c>
      <c r="K598">
        <v>766747</v>
      </c>
      <c r="L598" t="s">
        <v>815</v>
      </c>
      <c r="M598" t="s">
        <v>482</v>
      </c>
      <c r="N598" t="s">
        <v>57</v>
      </c>
      <c r="O598" s="1">
        <v>45602</v>
      </c>
      <c r="Q598" s="1">
        <v>45967</v>
      </c>
      <c r="R598" s="2">
        <v>47.56</v>
      </c>
      <c r="S598">
        <v>1</v>
      </c>
      <c r="T598" t="s">
        <v>58</v>
      </c>
      <c r="U598" t="s">
        <v>359</v>
      </c>
      <c r="V598" s="4">
        <v>0.375</v>
      </c>
      <c r="W598" s="2">
        <v>0</v>
      </c>
      <c r="X598">
        <v>0</v>
      </c>
      <c r="Y598" t="s">
        <v>60</v>
      </c>
      <c r="Z598" t="s">
        <v>360</v>
      </c>
      <c r="AA598">
        <v>0</v>
      </c>
      <c r="AB598" s="2">
        <v>0</v>
      </c>
      <c r="AC598" s="2">
        <v>0</v>
      </c>
      <c r="AD598" s="3">
        <v>0</v>
      </c>
      <c r="AE598" s="2">
        <v>0</v>
      </c>
      <c r="AF598" s="2">
        <v>0</v>
      </c>
      <c r="AG598" s="2">
        <v>0</v>
      </c>
      <c r="AH598" s="2">
        <v>0</v>
      </c>
      <c r="AI598" s="2">
        <v>0</v>
      </c>
      <c r="AJ598" s="2">
        <v>0</v>
      </c>
      <c r="AK598" s="2">
        <v>0</v>
      </c>
      <c r="AL598" s="2">
        <v>0</v>
      </c>
      <c r="AM598" s="2">
        <v>17.84</v>
      </c>
      <c r="AN598" s="2">
        <v>17.84</v>
      </c>
      <c r="AO598" s="2">
        <v>0</v>
      </c>
      <c r="AP598" s="2">
        <v>0</v>
      </c>
      <c r="AQ598" s="2">
        <v>0</v>
      </c>
    </row>
    <row r="599" spans="1:43" x14ac:dyDescent="0.25">
      <c r="A599" s="1">
        <v>45936</v>
      </c>
      <c r="B599" t="s">
        <v>48</v>
      </c>
      <c r="C599">
        <v>649163</v>
      </c>
      <c r="D599">
        <v>2025660999</v>
      </c>
      <c r="E599" t="s">
        <v>848</v>
      </c>
      <c r="F599" t="s">
        <v>158</v>
      </c>
      <c r="G599" t="s">
        <v>51</v>
      </c>
      <c r="H599" t="s">
        <v>247</v>
      </c>
      <c r="I599" t="s">
        <v>243</v>
      </c>
      <c r="J599" t="s">
        <v>244</v>
      </c>
      <c r="K599">
        <v>673059</v>
      </c>
      <c r="L599" t="s">
        <v>80</v>
      </c>
      <c r="M599" t="s">
        <v>81</v>
      </c>
      <c r="N599" t="s">
        <v>57</v>
      </c>
      <c r="O599" s="1">
        <v>45665</v>
      </c>
      <c r="Q599" s="1">
        <v>45969</v>
      </c>
      <c r="R599" s="2">
        <v>89.53</v>
      </c>
      <c r="S599">
        <v>1</v>
      </c>
      <c r="T599" t="s">
        <v>58</v>
      </c>
      <c r="U599" t="s">
        <v>359</v>
      </c>
      <c r="V599" s="4">
        <v>0.375</v>
      </c>
      <c r="W599" s="2">
        <v>0</v>
      </c>
      <c r="X599">
        <v>0</v>
      </c>
      <c r="Y599" t="s">
        <v>60</v>
      </c>
      <c r="Z599" t="s">
        <v>360</v>
      </c>
      <c r="AA599">
        <v>0</v>
      </c>
      <c r="AB599" s="2">
        <v>0</v>
      </c>
      <c r="AC599" s="2">
        <v>0</v>
      </c>
      <c r="AD599" s="3">
        <v>0</v>
      </c>
      <c r="AE599" s="2">
        <v>0</v>
      </c>
      <c r="AF599" s="2">
        <v>0</v>
      </c>
      <c r="AG599" s="2">
        <v>0</v>
      </c>
      <c r="AH599" s="2">
        <v>0</v>
      </c>
      <c r="AI599" s="2">
        <v>0</v>
      </c>
      <c r="AJ599" s="2">
        <v>0</v>
      </c>
      <c r="AK599" s="2">
        <v>0</v>
      </c>
      <c r="AL599" s="2">
        <v>0</v>
      </c>
      <c r="AM599" s="2">
        <v>33.57</v>
      </c>
      <c r="AN599" s="2">
        <v>33.57</v>
      </c>
      <c r="AO599" s="2">
        <v>0</v>
      </c>
      <c r="AP599" s="2">
        <v>0</v>
      </c>
      <c r="AQ599" s="2">
        <v>0</v>
      </c>
    </row>
    <row r="600" spans="1:43" x14ac:dyDescent="0.25">
      <c r="A600" s="1">
        <v>45936</v>
      </c>
      <c r="B600" t="s">
        <v>48</v>
      </c>
      <c r="C600">
        <v>649163</v>
      </c>
      <c r="D600">
        <v>2025677957</v>
      </c>
      <c r="E600" t="s">
        <v>849</v>
      </c>
      <c r="F600" t="s">
        <v>850</v>
      </c>
      <c r="G600" t="s">
        <v>51</v>
      </c>
      <c r="H600" t="s">
        <v>670</v>
      </c>
      <c r="I600" t="s">
        <v>243</v>
      </c>
      <c r="J600" t="s">
        <v>244</v>
      </c>
      <c r="K600">
        <v>767312</v>
      </c>
      <c r="L600" t="s">
        <v>283</v>
      </c>
      <c r="M600" t="s">
        <v>284</v>
      </c>
      <c r="N600" t="s">
        <v>57</v>
      </c>
      <c r="O600" s="1">
        <v>45604</v>
      </c>
      <c r="Q600" s="1">
        <v>45969</v>
      </c>
      <c r="R600" s="2">
        <v>24.36</v>
      </c>
      <c r="S600">
        <v>1</v>
      </c>
      <c r="T600" t="s">
        <v>58</v>
      </c>
      <c r="U600" t="s">
        <v>359</v>
      </c>
      <c r="V600" s="4">
        <v>0.375</v>
      </c>
      <c r="W600" s="2">
        <v>0</v>
      </c>
      <c r="X600">
        <v>0</v>
      </c>
      <c r="Y600" t="s">
        <v>60</v>
      </c>
      <c r="Z600" t="s">
        <v>360</v>
      </c>
      <c r="AA600">
        <v>0</v>
      </c>
      <c r="AB600" s="2">
        <v>0</v>
      </c>
      <c r="AC600" s="2">
        <v>0</v>
      </c>
      <c r="AD600" s="3">
        <v>0</v>
      </c>
      <c r="AE600" s="2">
        <v>0</v>
      </c>
      <c r="AF600" s="2">
        <v>0</v>
      </c>
      <c r="AG600" s="2">
        <v>0</v>
      </c>
      <c r="AH600" s="2">
        <v>0</v>
      </c>
      <c r="AI600" s="2">
        <v>0</v>
      </c>
      <c r="AJ600" s="2">
        <v>0</v>
      </c>
      <c r="AK600" s="2">
        <v>0</v>
      </c>
      <c r="AL600" s="2">
        <v>0</v>
      </c>
      <c r="AM600" s="2">
        <v>9.14</v>
      </c>
      <c r="AN600" s="2">
        <v>9.14</v>
      </c>
      <c r="AO600" s="2">
        <v>0</v>
      </c>
      <c r="AP600" s="2">
        <v>0</v>
      </c>
      <c r="AQ600" s="2">
        <v>0</v>
      </c>
    </row>
    <row r="601" spans="1:43" x14ac:dyDescent="0.25">
      <c r="A601" s="1">
        <v>45936</v>
      </c>
      <c r="B601" t="s">
        <v>48</v>
      </c>
      <c r="C601">
        <v>649163</v>
      </c>
      <c r="D601">
        <v>2025698057</v>
      </c>
      <c r="E601" t="s">
        <v>139</v>
      </c>
      <c r="F601" t="s">
        <v>393</v>
      </c>
      <c r="G601" t="s">
        <v>51</v>
      </c>
      <c r="H601" t="s">
        <v>88</v>
      </c>
      <c r="I601" t="s">
        <v>243</v>
      </c>
      <c r="J601" t="s">
        <v>244</v>
      </c>
      <c r="K601">
        <v>650218</v>
      </c>
      <c r="L601" t="s">
        <v>237</v>
      </c>
      <c r="M601" t="s">
        <v>238</v>
      </c>
      <c r="N601" t="s">
        <v>57</v>
      </c>
      <c r="O601" s="1">
        <v>45605</v>
      </c>
      <c r="Q601" s="1">
        <v>45970</v>
      </c>
      <c r="R601" s="2">
        <v>36.119999999999997</v>
      </c>
      <c r="S601">
        <v>1</v>
      </c>
      <c r="T601" t="s">
        <v>58</v>
      </c>
      <c r="U601" t="s">
        <v>359</v>
      </c>
      <c r="V601" s="4">
        <v>0.375</v>
      </c>
      <c r="W601" s="2">
        <v>0</v>
      </c>
      <c r="X601">
        <v>0</v>
      </c>
      <c r="Y601" t="s">
        <v>60</v>
      </c>
      <c r="Z601" t="s">
        <v>360</v>
      </c>
      <c r="AA601">
        <v>0</v>
      </c>
      <c r="AB601" s="2">
        <v>0</v>
      </c>
      <c r="AC601" s="2">
        <v>0</v>
      </c>
      <c r="AD601" s="3">
        <v>0</v>
      </c>
      <c r="AE601" s="2">
        <v>0</v>
      </c>
      <c r="AF601" s="2">
        <v>0</v>
      </c>
      <c r="AG601" s="2">
        <v>0</v>
      </c>
      <c r="AH601" s="2">
        <v>0</v>
      </c>
      <c r="AI601" s="2">
        <v>0</v>
      </c>
      <c r="AJ601" s="2">
        <v>0</v>
      </c>
      <c r="AK601" s="2">
        <v>0</v>
      </c>
      <c r="AL601" s="2">
        <v>0</v>
      </c>
      <c r="AM601" s="2">
        <v>13.54</v>
      </c>
      <c r="AN601" s="2">
        <v>13.54</v>
      </c>
      <c r="AO601" s="2">
        <v>0</v>
      </c>
      <c r="AP601" s="2">
        <v>0</v>
      </c>
      <c r="AQ601" s="2">
        <v>0</v>
      </c>
    </row>
    <row r="602" spans="1:43" x14ac:dyDescent="0.25">
      <c r="A602" s="1">
        <v>45936</v>
      </c>
      <c r="B602" t="s">
        <v>48</v>
      </c>
      <c r="C602">
        <v>649163</v>
      </c>
      <c r="D602">
        <v>2025703126</v>
      </c>
      <c r="E602" t="s">
        <v>987</v>
      </c>
      <c r="F602" t="s">
        <v>988</v>
      </c>
      <c r="G602" t="s">
        <v>51</v>
      </c>
      <c r="H602" t="s">
        <v>79</v>
      </c>
      <c r="I602" t="s">
        <v>243</v>
      </c>
      <c r="J602" t="s">
        <v>244</v>
      </c>
      <c r="K602">
        <v>767312</v>
      </c>
      <c r="L602" t="s">
        <v>283</v>
      </c>
      <c r="M602" t="s">
        <v>284</v>
      </c>
      <c r="N602" t="s">
        <v>57</v>
      </c>
      <c r="O602" s="1">
        <v>45606</v>
      </c>
      <c r="Q602" s="1">
        <v>45971</v>
      </c>
      <c r="R602" s="2">
        <v>21.47</v>
      </c>
      <c r="S602">
        <v>1</v>
      </c>
      <c r="T602" t="s">
        <v>58</v>
      </c>
      <c r="U602" t="s">
        <v>359</v>
      </c>
      <c r="V602" s="4">
        <v>0.375</v>
      </c>
      <c r="W602" s="2">
        <v>0</v>
      </c>
      <c r="X602">
        <v>0</v>
      </c>
      <c r="Y602" t="s">
        <v>60</v>
      </c>
      <c r="Z602" t="s">
        <v>360</v>
      </c>
      <c r="AA602">
        <v>0</v>
      </c>
      <c r="AB602" s="2">
        <v>0</v>
      </c>
      <c r="AC602" s="2">
        <v>0</v>
      </c>
      <c r="AD602" s="3">
        <v>0</v>
      </c>
      <c r="AE602" s="2">
        <v>0</v>
      </c>
      <c r="AF602" s="2">
        <v>0</v>
      </c>
      <c r="AG602" s="2">
        <v>0</v>
      </c>
      <c r="AH602" s="2">
        <v>0</v>
      </c>
      <c r="AI602" s="2">
        <v>0</v>
      </c>
      <c r="AJ602" s="2">
        <v>0</v>
      </c>
      <c r="AK602" s="2">
        <v>0</v>
      </c>
      <c r="AL602" s="2">
        <v>0</v>
      </c>
      <c r="AM602" s="2">
        <v>8.0500000000000007</v>
      </c>
      <c r="AN602" s="2">
        <v>8.0500000000000007</v>
      </c>
      <c r="AO602" s="2">
        <v>0</v>
      </c>
      <c r="AP602" s="2">
        <v>0</v>
      </c>
      <c r="AQ602" s="2">
        <v>0</v>
      </c>
    </row>
    <row r="603" spans="1:43" x14ac:dyDescent="0.25">
      <c r="A603" s="1">
        <v>45936</v>
      </c>
      <c r="B603" t="s">
        <v>48</v>
      </c>
      <c r="C603">
        <v>649163</v>
      </c>
      <c r="D603">
        <v>2025732434</v>
      </c>
      <c r="E603" t="s">
        <v>695</v>
      </c>
      <c r="F603" t="s">
        <v>353</v>
      </c>
      <c r="G603" t="s">
        <v>51</v>
      </c>
      <c r="H603" t="s">
        <v>376</v>
      </c>
      <c r="I603" t="s">
        <v>243</v>
      </c>
      <c r="J603" t="s">
        <v>244</v>
      </c>
      <c r="K603">
        <v>651818</v>
      </c>
      <c r="L603" t="s">
        <v>112</v>
      </c>
      <c r="M603" t="s">
        <v>104</v>
      </c>
      <c r="N603" t="s">
        <v>57</v>
      </c>
      <c r="O603" s="1">
        <v>45664</v>
      </c>
      <c r="Q603" s="1">
        <v>45968</v>
      </c>
      <c r="R603" s="2">
        <v>103.36</v>
      </c>
      <c r="S603">
        <v>1</v>
      </c>
      <c r="T603" t="s">
        <v>58</v>
      </c>
      <c r="U603" t="s">
        <v>359</v>
      </c>
      <c r="V603" s="4">
        <v>0.375</v>
      </c>
      <c r="W603" s="2">
        <v>0</v>
      </c>
      <c r="X603">
        <v>0</v>
      </c>
      <c r="Y603" t="s">
        <v>60</v>
      </c>
      <c r="Z603" t="s">
        <v>360</v>
      </c>
      <c r="AA603">
        <v>0</v>
      </c>
      <c r="AB603" s="2">
        <v>0</v>
      </c>
      <c r="AC603" s="2">
        <v>0</v>
      </c>
      <c r="AD603" s="3">
        <v>0</v>
      </c>
      <c r="AE603" s="2">
        <v>0</v>
      </c>
      <c r="AF603" s="2">
        <v>0</v>
      </c>
      <c r="AG603" s="2">
        <v>0</v>
      </c>
      <c r="AH603" s="2">
        <v>0</v>
      </c>
      <c r="AI603" s="2">
        <v>0</v>
      </c>
      <c r="AJ603" s="2">
        <v>0</v>
      </c>
      <c r="AK603" s="2">
        <v>0</v>
      </c>
      <c r="AL603" s="2">
        <v>0</v>
      </c>
      <c r="AM603" s="2">
        <v>38.76</v>
      </c>
      <c r="AN603" s="2">
        <v>38.76</v>
      </c>
      <c r="AO603" s="2">
        <v>0</v>
      </c>
      <c r="AP603" s="2">
        <v>0</v>
      </c>
      <c r="AQ603" s="2">
        <v>0</v>
      </c>
    </row>
    <row r="604" spans="1:43" x14ac:dyDescent="0.25">
      <c r="A604" s="1">
        <v>45936</v>
      </c>
      <c r="B604" t="s">
        <v>48</v>
      </c>
      <c r="C604">
        <v>649163</v>
      </c>
      <c r="D604">
        <v>2025815451</v>
      </c>
      <c r="E604" t="s">
        <v>696</v>
      </c>
      <c r="F604" t="s">
        <v>697</v>
      </c>
      <c r="G604" t="s">
        <v>51</v>
      </c>
      <c r="H604" t="s">
        <v>122</v>
      </c>
      <c r="I604" t="s">
        <v>243</v>
      </c>
      <c r="J604" t="s">
        <v>244</v>
      </c>
      <c r="K604">
        <v>651818</v>
      </c>
      <c r="L604" t="s">
        <v>112</v>
      </c>
      <c r="M604" t="s">
        <v>104</v>
      </c>
      <c r="N604" t="s">
        <v>57</v>
      </c>
      <c r="O604" s="1">
        <v>45633</v>
      </c>
      <c r="Q604" s="1">
        <v>45968</v>
      </c>
      <c r="R604" s="2">
        <v>40.07</v>
      </c>
      <c r="S604">
        <v>1</v>
      </c>
      <c r="T604" t="s">
        <v>58</v>
      </c>
      <c r="U604" t="s">
        <v>359</v>
      </c>
      <c r="V604" s="4">
        <v>0.375</v>
      </c>
      <c r="W604" s="2">
        <v>0</v>
      </c>
      <c r="X604">
        <v>0</v>
      </c>
      <c r="Y604" t="s">
        <v>60</v>
      </c>
      <c r="Z604" t="s">
        <v>360</v>
      </c>
      <c r="AA604">
        <v>0</v>
      </c>
      <c r="AB604" s="2">
        <v>0</v>
      </c>
      <c r="AC604" s="2">
        <v>0</v>
      </c>
      <c r="AD604" s="3">
        <v>0</v>
      </c>
      <c r="AE604" s="2">
        <v>0</v>
      </c>
      <c r="AF604" s="2">
        <v>0</v>
      </c>
      <c r="AG604" s="2">
        <v>0</v>
      </c>
      <c r="AH604" s="2">
        <v>0</v>
      </c>
      <c r="AI604" s="2">
        <v>0</v>
      </c>
      <c r="AJ604" s="2">
        <v>0</v>
      </c>
      <c r="AK604" s="2">
        <v>0</v>
      </c>
      <c r="AL604" s="2">
        <v>0</v>
      </c>
      <c r="AM604" s="2">
        <v>15.03</v>
      </c>
      <c r="AN604" s="2">
        <v>15.03</v>
      </c>
      <c r="AO604" s="2">
        <v>0</v>
      </c>
      <c r="AP604" s="2">
        <v>0</v>
      </c>
      <c r="AQ604" s="2">
        <v>0</v>
      </c>
    </row>
    <row r="605" spans="1:43" x14ac:dyDescent="0.25">
      <c r="A605" s="1">
        <v>45936</v>
      </c>
      <c r="B605" t="s">
        <v>48</v>
      </c>
      <c r="C605">
        <v>649163</v>
      </c>
      <c r="D605">
        <v>2025863140</v>
      </c>
      <c r="E605" t="s">
        <v>699</v>
      </c>
      <c r="F605" t="s">
        <v>700</v>
      </c>
      <c r="G605" t="s">
        <v>51</v>
      </c>
      <c r="H605" t="s">
        <v>52</v>
      </c>
      <c r="I605" t="s">
        <v>243</v>
      </c>
      <c r="J605" t="s">
        <v>244</v>
      </c>
      <c r="K605">
        <v>651818</v>
      </c>
      <c r="L605" t="s">
        <v>112</v>
      </c>
      <c r="M605" t="s">
        <v>104</v>
      </c>
      <c r="N605" t="s">
        <v>57</v>
      </c>
      <c r="O605" s="1">
        <v>45633</v>
      </c>
      <c r="Q605" s="1">
        <v>45968</v>
      </c>
      <c r="R605" s="2">
        <v>55.66</v>
      </c>
      <c r="S605">
        <v>1</v>
      </c>
      <c r="T605" t="s">
        <v>58</v>
      </c>
      <c r="U605" t="s">
        <v>359</v>
      </c>
      <c r="V605" s="4">
        <v>0.375</v>
      </c>
      <c r="W605" s="2">
        <v>0</v>
      </c>
      <c r="X605">
        <v>0</v>
      </c>
      <c r="Y605" t="s">
        <v>60</v>
      </c>
      <c r="Z605" t="s">
        <v>360</v>
      </c>
      <c r="AA605">
        <v>0</v>
      </c>
      <c r="AB605" s="2">
        <v>0</v>
      </c>
      <c r="AC605" s="2">
        <v>0</v>
      </c>
      <c r="AD605" s="3">
        <v>0</v>
      </c>
      <c r="AE605" s="2">
        <v>0</v>
      </c>
      <c r="AF605" s="2">
        <v>0</v>
      </c>
      <c r="AG605" s="2">
        <v>0</v>
      </c>
      <c r="AH605" s="2">
        <v>0</v>
      </c>
      <c r="AI605" s="2">
        <v>0</v>
      </c>
      <c r="AJ605" s="2">
        <v>0</v>
      </c>
      <c r="AK605" s="2">
        <v>0</v>
      </c>
      <c r="AL605" s="2">
        <v>0</v>
      </c>
      <c r="AM605" s="2">
        <v>20.87</v>
      </c>
      <c r="AN605" s="2">
        <v>20.87</v>
      </c>
      <c r="AO605" s="2">
        <v>0</v>
      </c>
      <c r="AP605" s="2">
        <v>0</v>
      </c>
      <c r="AQ605" s="2">
        <v>0</v>
      </c>
    </row>
    <row r="606" spans="1:43" x14ac:dyDescent="0.25">
      <c r="A606" s="1">
        <v>45936</v>
      </c>
      <c r="B606" t="s">
        <v>48</v>
      </c>
      <c r="C606">
        <v>649163</v>
      </c>
      <c r="D606">
        <v>2025884356</v>
      </c>
      <c r="E606" t="s">
        <v>148</v>
      </c>
      <c r="F606" t="s">
        <v>535</v>
      </c>
      <c r="G606" t="s">
        <v>51</v>
      </c>
      <c r="H606" t="s">
        <v>52</v>
      </c>
      <c r="I606" t="s">
        <v>243</v>
      </c>
      <c r="J606" t="s">
        <v>244</v>
      </c>
      <c r="K606">
        <v>651818</v>
      </c>
      <c r="L606" t="s">
        <v>112</v>
      </c>
      <c r="M606" t="s">
        <v>104</v>
      </c>
      <c r="N606" t="s">
        <v>57</v>
      </c>
      <c r="O606" s="1">
        <v>45633</v>
      </c>
      <c r="Q606" s="1">
        <v>45968</v>
      </c>
      <c r="R606" s="2">
        <v>55.66</v>
      </c>
      <c r="S606">
        <v>1</v>
      </c>
      <c r="T606" t="s">
        <v>58</v>
      </c>
      <c r="U606" t="s">
        <v>359</v>
      </c>
      <c r="V606" s="4">
        <v>0.375</v>
      </c>
      <c r="W606" s="2">
        <v>0</v>
      </c>
      <c r="X606">
        <v>0</v>
      </c>
      <c r="Y606" t="s">
        <v>60</v>
      </c>
      <c r="Z606" t="s">
        <v>360</v>
      </c>
      <c r="AA606">
        <v>0</v>
      </c>
      <c r="AB606" s="2">
        <v>0</v>
      </c>
      <c r="AC606" s="2">
        <v>0</v>
      </c>
      <c r="AD606" s="3">
        <v>0</v>
      </c>
      <c r="AE606" s="2">
        <v>0</v>
      </c>
      <c r="AF606" s="2">
        <v>0</v>
      </c>
      <c r="AG606" s="2">
        <v>0</v>
      </c>
      <c r="AH606" s="2">
        <v>0</v>
      </c>
      <c r="AI606" s="2">
        <v>0</v>
      </c>
      <c r="AJ606" s="2">
        <v>0</v>
      </c>
      <c r="AK606" s="2">
        <v>0</v>
      </c>
      <c r="AL606" s="2">
        <v>0</v>
      </c>
      <c r="AM606" s="2">
        <v>20.87</v>
      </c>
      <c r="AN606" s="2">
        <v>20.87</v>
      </c>
      <c r="AO606" s="2">
        <v>0</v>
      </c>
      <c r="AP606" s="2">
        <v>0</v>
      </c>
      <c r="AQ606" s="2">
        <v>0</v>
      </c>
    </row>
    <row r="607" spans="1:43" x14ac:dyDescent="0.25">
      <c r="A607" s="1">
        <v>45936</v>
      </c>
      <c r="B607" t="s">
        <v>48</v>
      </c>
      <c r="C607">
        <v>649163</v>
      </c>
      <c r="D607">
        <v>2026038650</v>
      </c>
      <c r="E607" t="s">
        <v>989</v>
      </c>
      <c r="F607" t="s">
        <v>482</v>
      </c>
      <c r="G607" t="s">
        <v>51</v>
      </c>
      <c r="H607" t="s">
        <v>52</v>
      </c>
      <c r="I607" t="s">
        <v>243</v>
      </c>
      <c r="J607" t="s">
        <v>244</v>
      </c>
      <c r="K607">
        <v>651818</v>
      </c>
      <c r="L607" t="s">
        <v>112</v>
      </c>
      <c r="M607" t="s">
        <v>104</v>
      </c>
      <c r="N607" t="s">
        <v>57</v>
      </c>
      <c r="O607" s="1">
        <v>45633</v>
      </c>
      <c r="Q607" s="1">
        <v>45968</v>
      </c>
      <c r="R607" s="2">
        <v>65.48</v>
      </c>
      <c r="S607">
        <v>1</v>
      </c>
      <c r="T607" t="s">
        <v>58</v>
      </c>
      <c r="U607" t="s">
        <v>359</v>
      </c>
      <c r="V607" s="4">
        <v>0.375</v>
      </c>
      <c r="W607" s="2">
        <v>0</v>
      </c>
      <c r="X607">
        <v>0</v>
      </c>
      <c r="Y607" t="s">
        <v>60</v>
      </c>
      <c r="Z607" t="s">
        <v>360</v>
      </c>
      <c r="AA607">
        <v>0</v>
      </c>
      <c r="AB607" s="2">
        <v>0</v>
      </c>
      <c r="AC607" s="2">
        <v>0</v>
      </c>
      <c r="AD607" s="3">
        <v>0</v>
      </c>
      <c r="AE607" s="2">
        <v>0</v>
      </c>
      <c r="AF607" s="2">
        <v>0</v>
      </c>
      <c r="AG607" s="2">
        <v>0</v>
      </c>
      <c r="AH607" s="2">
        <v>0</v>
      </c>
      <c r="AI607" s="2">
        <v>0</v>
      </c>
      <c r="AJ607" s="2">
        <v>0</v>
      </c>
      <c r="AK607" s="2">
        <v>0</v>
      </c>
      <c r="AL607" s="2">
        <v>0</v>
      </c>
      <c r="AM607" s="2">
        <v>24.56</v>
      </c>
      <c r="AN607" s="2">
        <v>24.56</v>
      </c>
      <c r="AO607" s="2">
        <v>0</v>
      </c>
      <c r="AP607" s="2">
        <v>0</v>
      </c>
      <c r="AQ607" s="2">
        <v>0</v>
      </c>
    </row>
    <row r="608" spans="1:43" x14ac:dyDescent="0.25">
      <c r="A608" s="1">
        <v>45936</v>
      </c>
      <c r="B608" t="s">
        <v>48</v>
      </c>
      <c r="C608">
        <v>649163</v>
      </c>
      <c r="D608">
        <v>2026047881</v>
      </c>
      <c r="E608" t="s">
        <v>990</v>
      </c>
      <c r="F608" t="s">
        <v>991</v>
      </c>
      <c r="G608" t="s">
        <v>51</v>
      </c>
      <c r="H608" t="s">
        <v>122</v>
      </c>
      <c r="I608" t="s">
        <v>243</v>
      </c>
      <c r="J608" t="s">
        <v>244</v>
      </c>
      <c r="K608">
        <v>651818</v>
      </c>
      <c r="L608" t="s">
        <v>112</v>
      </c>
      <c r="M608" t="s">
        <v>104</v>
      </c>
      <c r="N608" t="s">
        <v>57</v>
      </c>
      <c r="O608" s="1">
        <v>45633</v>
      </c>
      <c r="Q608" s="1">
        <v>45968</v>
      </c>
      <c r="R608" s="2">
        <v>40.07</v>
      </c>
      <c r="S608">
        <v>1</v>
      </c>
      <c r="T608" t="s">
        <v>58</v>
      </c>
      <c r="U608" t="s">
        <v>359</v>
      </c>
      <c r="V608" s="4">
        <v>0.375</v>
      </c>
      <c r="W608" s="2">
        <v>0</v>
      </c>
      <c r="X608">
        <v>0</v>
      </c>
      <c r="Y608" t="s">
        <v>60</v>
      </c>
      <c r="Z608" t="s">
        <v>360</v>
      </c>
      <c r="AA608">
        <v>0</v>
      </c>
      <c r="AB608" s="2">
        <v>0</v>
      </c>
      <c r="AC608" s="2">
        <v>0</v>
      </c>
      <c r="AD608" s="3">
        <v>0</v>
      </c>
      <c r="AE608" s="2">
        <v>0</v>
      </c>
      <c r="AF608" s="2">
        <v>0</v>
      </c>
      <c r="AG608" s="2">
        <v>0</v>
      </c>
      <c r="AH608" s="2">
        <v>0</v>
      </c>
      <c r="AI608" s="2">
        <v>0</v>
      </c>
      <c r="AJ608" s="2">
        <v>0</v>
      </c>
      <c r="AK608" s="2">
        <v>0</v>
      </c>
      <c r="AL608" s="2">
        <v>0</v>
      </c>
      <c r="AM608" s="2">
        <v>15.03</v>
      </c>
      <c r="AN608" s="2">
        <v>15.03</v>
      </c>
      <c r="AO608" s="2">
        <v>0</v>
      </c>
      <c r="AP608" s="2">
        <v>0</v>
      </c>
      <c r="AQ608" s="2">
        <v>0</v>
      </c>
    </row>
    <row r="609" spans="1:43" x14ac:dyDescent="0.25">
      <c r="A609" s="1">
        <v>45936</v>
      </c>
      <c r="B609" t="s">
        <v>48</v>
      </c>
      <c r="C609">
        <v>649163</v>
      </c>
      <c r="D609">
        <v>2026048649</v>
      </c>
      <c r="E609" t="s">
        <v>992</v>
      </c>
      <c r="F609" t="s">
        <v>845</v>
      </c>
      <c r="G609" t="s">
        <v>51</v>
      </c>
      <c r="H609" t="s">
        <v>101</v>
      </c>
      <c r="I609" t="s">
        <v>243</v>
      </c>
      <c r="J609" t="s">
        <v>244</v>
      </c>
      <c r="K609">
        <v>651818</v>
      </c>
      <c r="L609" t="s">
        <v>112</v>
      </c>
      <c r="M609" t="s">
        <v>104</v>
      </c>
      <c r="N609" t="s">
        <v>57</v>
      </c>
      <c r="O609" s="1">
        <v>45664</v>
      </c>
      <c r="Q609" s="1">
        <v>45968</v>
      </c>
      <c r="R609" s="2">
        <v>190.54</v>
      </c>
      <c r="S609">
        <v>1</v>
      </c>
      <c r="T609" t="s">
        <v>58</v>
      </c>
      <c r="U609" t="s">
        <v>359</v>
      </c>
      <c r="V609" s="4">
        <v>0.375</v>
      </c>
      <c r="W609" s="2">
        <v>0</v>
      </c>
      <c r="X609">
        <v>0</v>
      </c>
      <c r="Y609" t="s">
        <v>60</v>
      </c>
      <c r="Z609" t="s">
        <v>360</v>
      </c>
      <c r="AA609">
        <v>0</v>
      </c>
      <c r="AB609" s="2">
        <v>0</v>
      </c>
      <c r="AC609" s="2">
        <v>0</v>
      </c>
      <c r="AD609" s="3">
        <v>0</v>
      </c>
      <c r="AE609" s="2">
        <v>0</v>
      </c>
      <c r="AF609" s="2">
        <v>0</v>
      </c>
      <c r="AG609" s="2">
        <v>0</v>
      </c>
      <c r="AH609" s="2">
        <v>0</v>
      </c>
      <c r="AI609" s="2">
        <v>0</v>
      </c>
      <c r="AJ609" s="2">
        <v>0</v>
      </c>
      <c r="AK609" s="2">
        <v>0</v>
      </c>
      <c r="AL609" s="2">
        <v>0</v>
      </c>
      <c r="AM609" s="2">
        <v>71.45</v>
      </c>
      <c r="AN609" s="2">
        <v>71.45</v>
      </c>
      <c r="AO609" s="2">
        <v>0</v>
      </c>
      <c r="AP609" s="2">
        <v>0</v>
      </c>
      <c r="AQ609" s="2">
        <v>0</v>
      </c>
    </row>
    <row r="610" spans="1:43" x14ac:dyDescent="0.25">
      <c r="A610" s="1">
        <v>45936</v>
      </c>
      <c r="B610" t="s">
        <v>48</v>
      </c>
      <c r="C610">
        <v>649163</v>
      </c>
      <c r="D610">
        <v>2026057641</v>
      </c>
      <c r="E610" t="s">
        <v>993</v>
      </c>
      <c r="F610" t="s">
        <v>179</v>
      </c>
      <c r="G610" t="s">
        <v>51</v>
      </c>
      <c r="H610" t="s">
        <v>52</v>
      </c>
      <c r="I610" t="s">
        <v>243</v>
      </c>
      <c r="J610" t="s">
        <v>244</v>
      </c>
      <c r="K610">
        <v>767312</v>
      </c>
      <c r="L610" t="s">
        <v>283</v>
      </c>
      <c r="M610" t="s">
        <v>284</v>
      </c>
      <c r="N610" t="s">
        <v>57</v>
      </c>
      <c r="O610" s="1">
        <v>45632</v>
      </c>
      <c r="Q610" s="1">
        <v>45967</v>
      </c>
      <c r="R610" s="2">
        <v>32.380000000000003</v>
      </c>
      <c r="S610">
        <v>1</v>
      </c>
      <c r="T610" t="s">
        <v>58</v>
      </c>
      <c r="U610" t="s">
        <v>359</v>
      </c>
      <c r="V610" s="4">
        <v>0.375</v>
      </c>
      <c r="W610" s="2">
        <v>0</v>
      </c>
      <c r="X610">
        <v>0</v>
      </c>
      <c r="Y610" t="s">
        <v>60</v>
      </c>
      <c r="Z610" t="s">
        <v>360</v>
      </c>
      <c r="AA610">
        <v>0</v>
      </c>
      <c r="AB610" s="2">
        <v>0</v>
      </c>
      <c r="AC610" s="2">
        <v>0</v>
      </c>
      <c r="AD610" s="3">
        <v>0</v>
      </c>
      <c r="AE610" s="2">
        <v>0</v>
      </c>
      <c r="AF610" s="2">
        <v>0</v>
      </c>
      <c r="AG610" s="2">
        <v>0</v>
      </c>
      <c r="AH610" s="2">
        <v>0</v>
      </c>
      <c r="AI610" s="2">
        <v>0</v>
      </c>
      <c r="AJ610" s="2">
        <v>0</v>
      </c>
      <c r="AK610" s="2">
        <v>0</v>
      </c>
      <c r="AL610" s="2">
        <v>0</v>
      </c>
      <c r="AM610" s="2">
        <v>12.14</v>
      </c>
      <c r="AN610" s="2">
        <v>12.14</v>
      </c>
      <c r="AO610" s="2">
        <v>0</v>
      </c>
      <c r="AP610" s="2">
        <v>0</v>
      </c>
      <c r="AQ610" s="2">
        <v>0</v>
      </c>
    </row>
    <row r="611" spans="1:43" x14ac:dyDescent="0.25">
      <c r="A611" s="1">
        <v>45936</v>
      </c>
      <c r="B611" t="s">
        <v>48</v>
      </c>
      <c r="C611">
        <v>649163</v>
      </c>
      <c r="D611">
        <v>2026119931</v>
      </c>
      <c r="E611" t="s">
        <v>869</v>
      </c>
      <c r="F611" t="s">
        <v>648</v>
      </c>
      <c r="G611" t="s">
        <v>51</v>
      </c>
      <c r="H611" t="s">
        <v>79</v>
      </c>
      <c r="I611" t="s">
        <v>243</v>
      </c>
      <c r="J611" t="s">
        <v>244</v>
      </c>
      <c r="K611">
        <v>651818</v>
      </c>
      <c r="L611" t="s">
        <v>112</v>
      </c>
      <c r="M611" t="s">
        <v>104</v>
      </c>
      <c r="N611" t="s">
        <v>57</v>
      </c>
      <c r="O611" s="1">
        <v>45664</v>
      </c>
      <c r="Q611" s="1">
        <v>45968</v>
      </c>
      <c r="R611" s="2">
        <v>58.32</v>
      </c>
      <c r="S611">
        <v>1</v>
      </c>
      <c r="T611" t="s">
        <v>58</v>
      </c>
      <c r="U611" t="s">
        <v>359</v>
      </c>
      <c r="V611" s="4">
        <v>0.375</v>
      </c>
      <c r="W611" s="2">
        <v>0</v>
      </c>
      <c r="X611">
        <v>0</v>
      </c>
      <c r="Y611" t="s">
        <v>60</v>
      </c>
      <c r="Z611" t="s">
        <v>360</v>
      </c>
      <c r="AA611">
        <v>0</v>
      </c>
      <c r="AB611" s="2">
        <v>0</v>
      </c>
      <c r="AC611" s="2">
        <v>0</v>
      </c>
      <c r="AD611" s="3">
        <v>0</v>
      </c>
      <c r="AE611" s="2">
        <v>0</v>
      </c>
      <c r="AF611" s="2">
        <v>0</v>
      </c>
      <c r="AG611" s="2">
        <v>0</v>
      </c>
      <c r="AH611" s="2">
        <v>0</v>
      </c>
      <c r="AI611" s="2">
        <v>0</v>
      </c>
      <c r="AJ611" s="2">
        <v>0</v>
      </c>
      <c r="AK611" s="2">
        <v>0</v>
      </c>
      <c r="AL611" s="2">
        <v>0</v>
      </c>
      <c r="AM611" s="2">
        <v>21.87</v>
      </c>
      <c r="AN611" s="2">
        <v>21.87</v>
      </c>
      <c r="AO611" s="2">
        <v>0</v>
      </c>
      <c r="AP611" s="2">
        <v>0</v>
      </c>
      <c r="AQ611" s="2">
        <v>0</v>
      </c>
    </row>
    <row r="612" spans="1:43" x14ac:dyDescent="0.25">
      <c r="A612" s="1">
        <v>45936</v>
      </c>
      <c r="B612" t="s">
        <v>48</v>
      </c>
      <c r="C612">
        <v>649163</v>
      </c>
      <c r="D612">
        <v>2026443518</v>
      </c>
      <c r="E612" t="s">
        <v>731</v>
      </c>
      <c r="F612" t="s">
        <v>732</v>
      </c>
      <c r="G612" t="s">
        <v>51</v>
      </c>
      <c r="H612" t="s">
        <v>376</v>
      </c>
      <c r="I612" t="s">
        <v>243</v>
      </c>
      <c r="J612" t="s">
        <v>244</v>
      </c>
      <c r="K612">
        <v>651818</v>
      </c>
      <c r="L612" t="s">
        <v>112</v>
      </c>
      <c r="M612" t="s">
        <v>104</v>
      </c>
      <c r="N612" t="s">
        <v>57</v>
      </c>
      <c r="O612" s="1">
        <v>45661</v>
      </c>
      <c r="Q612" s="1">
        <v>45965</v>
      </c>
      <c r="R612" s="2">
        <v>50.64</v>
      </c>
      <c r="S612">
        <v>1</v>
      </c>
      <c r="T612" t="s">
        <v>58</v>
      </c>
      <c r="U612" t="s">
        <v>359</v>
      </c>
      <c r="V612" s="4">
        <v>0.375</v>
      </c>
      <c r="W612" s="2">
        <v>0</v>
      </c>
      <c r="X612">
        <v>0</v>
      </c>
      <c r="Y612" t="s">
        <v>60</v>
      </c>
      <c r="Z612" t="s">
        <v>360</v>
      </c>
      <c r="AA612">
        <v>0</v>
      </c>
      <c r="AB612" s="2">
        <v>0</v>
      </c>
      <c r="AC612" s="2">
        <v>0</v>
      </c>
      <c r="AD612" s="3">
        <v>0</v>
      </c>
      <c r="AE612" s="2">
        <v>0</v>
      </c>
      <c r="AF612" s="2">
        <v>0</v>
      </c>
      <c r="AG612" s="2">
        <v>0</v>
      </c>
      <c r="AH612" s="2">
        <v>0</v>
      </c>
      <c r="AI612" s="2">
        <v>0</v>
      </c>
      <c r="AJ612" s="2">
        <v>0</v>
      </c>
      <c r="AK612" s="2">
        <v>0</v>
      </c>
      <c r="AL612" s="2">
        <v>0</v>
      </c>
      <c r="AM612" s="2">
        <v>18.989999999999998</v>
      </c>
      <c r="AN612" s="2">
        <v>18.989999999999998</v>
      </c>
      <c r="AO612" s="2">
        <v>0</v>
      </c>
      <c r="AP612" s="2">
        <v>0</v>
      </c>
      <c r="AQ612" s="2">
        <v>0</v>
      </c>
    </row>
    <row r="613" spans="1:43" x14ac:dyDescent="0.25">
      <c r="A613" s="1">
        <v>45936</v>
      </c>
      <c r="B613" t="s">
        <v>48</v>
      </c>
      <c r="C613">
        <v>649163</v>
      </c>
      <c r="D613">
        <v>2026485485</v>
      </c>
      <c r="E613" t="s">
        <v>396</v>
      </c>
      <c r="F613" t="s">
        <v>397</v>
      </c>
      <c r="G613" t="s">
        <v>51</v>
      </c>
      <c r="H613" t="s">
        <v>129</v>
      </c>
      <c r="I613" t="s">
        <v>243</v>
      </c>
      <c r="J613" t="s">
        <v>244</v>
      </c>
      <c r="K613">
        <v>650218</v>
      </c>
      <c r="L613" t="s">
        <v>237</v>
      </c>
      <c r="M613" t="s">
        <v>238</v>
      </c>
      <c r="N613" t="s">
        <v>57</v>
      </c>
      <c r="O613" s="1">
        <v>45665</v>
      </c>
      <c r="Q613" s="1">
        <v>45969</v>
      </c>
      <c r="R613" s="2">
        <v>55.63</v>
      </c>
      <c r="S613">
        <v>1</v>
      </c>
      <c r="T613" t="s">
        <v>58</v>
      </c>
      <c r="U613" t="s">
        <v>359</v>
      </c>
      <c r="V613" s="4">
        <v>0.375</v>
      </c>
      <c r="W613" s="2">
        <v>0</v>
      </c>
      <c r="X613">
        <v>0</v>
      </c>
      <c r="Y613" t="s">
        <v>60</v>
      </c>
      <c r="Z613" t="s">
        <v>360</v>
      </c>
      <c r="AA613">
        <v>0</v>
      </c>
      <c r="AB613" s="2">
        <v>0</v>
      </c>
      <c r="AC613" s="2">
        <v>0</v>
      </c>
      <c r="AD613" s="3">
        <v>0</v>
      </c>
      <c r="AE613" s="2">
        <v>0</v>
      </c>
      <c r="AF613" s="2">
        <v>0</v>
      </c>
      <c r="AG613" s="2">
        <v>0</v>
      </c>
      <c r="AH613" s="2">
        <v>0</v>
      </c>
      <c r="AI613" s="2">
        <v>0</v>
      </c>
      <c r="AJ613" s="2">
        <v>0</v>
      </c>
      <c r="AK613" s="2">
        <v>0</v>
      </c>
      <c r="AL613" s="2">
        <v>0</v>
      </c>
      <c r="AM613" s="2">
        <v>20.86</v>
      </c>
      <c r="AN613" s="2">
        <v>20.86</v>
      </c>
      <c r="AO613" s="2">
        <v>0</v>
      </c>
      <c r="AP613" s="2">
        <v>0</v>
      </c>
      <c r="AQ613" s="2">
        <v>0</v>
      </c>
    </row>
    <row r="614" spans="1:43" x14ac:dyDescent="0.25">
      <c r="A614" s="1">
        <v>45936</v>
      </c>
      <c r="B614" t="s">
        <v>48</v>
      </c>
      <c r="C614">
        <v>649163</v>
      </c>
      <c r="D614">
        <v>2026617925</v>
      </c>
      <c r="E614" t="s">
        <v>739</v>
      </c>
      <c r="F614" t="s">
        <v>740</v>
      </c>
      <c r="G614" t="s">
        <v>51</v>
      </c>
      <c r="H614" t="s">
        <v>52</v>
      </c>
      <c r="I614" t="s">
        <v>243</v>
      </c>
      <c r="J614" t="s">
        <v>244</v>
      </c>
      <c r="K614">
        <v>651818</v>
      </c>
      <c r="L614" t="s">
        <v>112</v>
      </c>
      <c r="M614" t="s">
        <v>104</v>
      </c>
      <c r="N614" t="s">
        <v>57</v>
      </c>
      <c r="O614" s="1">
        <v>45695</v>
      </c>
      <c r="Q614" s="1">
        <v>45968</v>
      </c>
      <c r="R614" s="2">
        <v>48.88</v>
      </c>
      <c r="S614">
        <v>1</v>
      </c>
      <c r="T614" t="s">
        <v>58</v>
      </c>
      <c r="U614" t="s">
        <v>359</v>
      </c>
      <c r="V614" s="4">
        <v>0.375</v>
      </c>
      <c r="W614" s="2">
        <v>0</v>
      </c>
      <c r="X614">
        <v>0</v>
      </c>
      <c r="Y614" t="s">
        <v>60</v>
      </c>
      <c r="Z614" t="s">
        <v>360</v>
      </c>
      <c r="AA614">
        <v>0</v>
      </c>
      <c r="AB614" s="2">
        <v>0</v>
      </c>
      <c r="AC614" s="2">
        <v>0</v>
      </c>
      <c r="AD614" s="3">
        <v>0</v>
      </c>
      <c r="AE614" s="2">
        <v>0</v>
      </c>
      <c r="AF614" s="2">
        <v>0</v>
      </c>
      <c r="AG614" s="2">
        <v>0</v>
      </c>
      <c r="AH614" s="2">
        <v>0</v>
      </c>
      <c r="AI614" s="2">
        <v>0</v>
      </c>
      <c r="AJ614" s="2">
        <v>0</v>
      </c>
      <c r="AK614" s="2">
        <v>0</v>
      </c>
      <c r="AL614" s="2">
        <v>0</v>
      </c>
      <c r="AM614" s="2">
        <v>18.329999999999998</v>
      </c>
      <c r="AN614" s="2">
        <v>18.329999999999998</v>
      </c>
      <c r="AO614" s="2">
        <v>0</v>
      </c>
      <c r="AP614" s="2">
        <v>0</v>
      </c>
      <c r="AQ614" s="2">
        <v>0</v>
      </c>
    </row>
    <row r="615" spans="1:43" x14ac:dyDescent="0.25">
      <c r="A615" s="1">
        <v>45936</v>
      </c>
      <c r="B615" t="s">
        <v>48</v>
      </c>
      <c r="C615">
        <v>649163</v>
      </c>
      <c r="D615">
        <v>2026628667</v>
      </c>
      <c r="E615" t="s">
        <v>741</v>
      </c>
      <c r="F615" t="s">
        <v>81</v>
      </c>
      <c r="G615" t="s">
        <v>51</v>
      </c>
      <c r="H615" t="s">
        <v>101</v>
      </c>
      <c r="I615" t="s">
        <v>243</v>
      </c>
      <c r="J615" t="s">
        <v>244</v>
      </c>
      <c r="K615">
        <v>651818</v>
      </c>
      <c r="L615" t="s">
        <v>112</v>
      </c>
      <c r="M615" t="s">
        <v>104</v>
      </c>
      <c r="N615" t="s">
        <v>57</v>
      </c>
      <c r="O615" s="1">
        <v>45695</v>
      </c>
      <c r="Q615" s="1">
        <v>45968</v>
      </c>
      <c r="R615" s="2">
        <v>43.36</v>
      </c>
      <c r="S615">
        <v>1</v>
      </c>
      <c r="T615" t="s">
        <v>58</v>
      </c>
      <c r="U615" t="s">
        <v>359</v>
      </c>
      <c r="V615" s="4">
        <v>0.375</v>
      </c>
      <c r="W615" s="2">
        <v>0</v>
      </c>
      <c r="X615">
        <v>0</v>
      </c>
      <c r="Y615" t="s">
        <v>60</v>
      </c>
      <c r="Z615" t="s">
        <v>360</v>
      </c>
      <c r="AA615">
        <v>0</v>
      </c>
      <c r="AB615" s="2">
        <v>0</v>
      </c>
      <c r="AC615" s="2">
        <v>0</v>
      </c>
      <c r="AD615" s="3">
        <v>0</v>
      </c>
      <c r="AE615" s="2">
        <v>0</v>
      </c>
      <c r="AF615" s="2">
        <v>0</v>
      </c>
      <c r="AG615" s="2">
        <v>0</v>
      </c>
      <c r="AH615" s="2">
        <v>0</v>
      </c>
      <c r="AI615" s="2">
        <v>0</v>
      </c>
      <c r="AJ615" s="2">
        <v>0</v>
      </c>
      <c r="AK615" s="2">
        <v>0</v>
      </c>
      <c r="AL615" s="2">
        <v>0</v>
      </c>
      <c r="AM615" s="2">
        <v>16.260000000000002</v>
      </c>
      <c r="AN615" s="2">
        <v>16.260000000000002</v>
      </c>
      <c r="AO615" s="2">
        <v>0</v>
      </c>
      <c r="AP615" s="2">
        <v>0</v>
      </c>
      <c r="AQ615" s="2">
        <v>0</v>
      </c>
    </row>
    <row r="616" spans="1:43" x14ac:dyDescent="0.25">
      <c r="A616" s="1">
        <v>45936</v>
      </c>
      <c r="B616" t="s">
        <v>48</v>
      </c>
      <c r="C616">
        <v>649163</v>
      </c>
      <c r="D616">
        <v>2026680614</v>
      </c>
      <c r="E616" t="s">
        <v>402</v>
      </c>
      <c r="F616" t="s">
        <v>743</v>
      </c>
      <c r="G616" t="s">
        <v>51</v>
      </c>
      <c r="H616" t="s">
        <v>155</v>
      </c>
      <c r="I616" t="s">
        <v>243</v>
      </c>
      <c r="J616" t="s">
        <v>244</v>
      </c>
      <c r="K616">
        <v>651818</v>
      </c>
      <c r="L616" t="s">
        <v>112</v>
      </c>
      <c r="M616" t="s">
        <v>104</v>
      </c>
      <c r="N616" t="s">
        <v>57</v>
      </c>
      <c r="O616" s="1">
        <v>45695</v>
      </c>
      <c r="Q616" s="1">
        <v>45968</v>
      </c>
      <c r="R616" s="2">
        <v>42.23</v>
      </c>
      <c r="S616">
        <v>1</v>
      </c>
      <c r="T616" t="s">
        <v>58</v>
      </c>
      <c r="U616" t="s">
        <v>359</v>
      </c>
      <c r="V616" s="4">
        <v>0.375</v>
      </c>
      <c r="W616" s="2">
        <v>0</v>
      </c>
      <c r="X616">
        <v>0</v>
      </c>
      <c r="Y616" t="s">
        <v>60</v>
      </c>
      <c r="Z616" t="s">
        <v>360</v>
      </c>
      <c r="AA616">
        <v>0</v>
      </c>
      <c r="AB616" s="2">
        <v>0</v>
      </c>
      <c r="AC616" s="2">
        <v>0</v>
      </c>
      <c r="AD616" s="3">
        <v>0</v>
      </c>
      <c r="AE616" s="2">
        <v>0</v>
      </c>
      <c r="AF616" s="2">
        <v>0</v>
      </c>
      <c r="AG616" s="2">
        <v>0</v>
      </c>
      <c r="AH616" s="2">
        <v>0</v>
      </c>
      <c r="AI616" s="2">
        <v>0</v>
      </c>
      <c r="AJ616" s="2">
        <v>0</v>
      </c>
      <c r="AK616" s="2">
        <v>0</v>
      </c>
      <c r="AL616" s="2">
        <v>0</v>
      </c>
      <c r="AM616" s="2">
        <v>15.84</v>
      </c>
      <c r="AN616" s="2">
        <v>15.84</v>
      </c>
      <c r="AO616" s="2">
        <v>0</v>
      </c>
      <c r="AP616" s="2">
        <v>0</v>
      </c>
      <c r="AQ616" s="2">
        <v>0</v>
      </c>
    </row>
    <row r="617" spans="1:43" x14ac:dyDescent="0.25">
      <c r="A617" s="1">
        <v>45936</v>
      </c>
      <c r="B617" t="s">
        <v>48</v>
      </c>
      <c r="C617">
        <v>649163</v>
      </c>
      <c r="D617">
        <v>2026682935</v>
      </c>
      <c r="E617" t="s">
        <v>994</v>
      </c>
      <c r="F617" t="s">
        <v>658</v>
      </c>
      <c r="G617" t="s">
        <v>51</v>
      </c>
      <c r="H617" t="s">
        <v>70</v>
      </c>
      <c r="I617" t="s">
        <v>243</v>
      </c>
      <c r="J617" t="s">
        <v>244</v>
      </c>
      <c r="K617">
        <v>728134</v>
      </c>
      <c r="L617" t="s">
        <v>352</v>
      </c>
      <c r="M617" t="s">
        <v>353</v>
      </c>
      <c r="N617" t="s">
        <v>456</v>
      </c>
      <c r="O617" s="1">
        <v>45678</v>
      </c>
      <c r="P617" s="1">
        <v>45936</v>
      </c>
      <c r="Q617" s="1">
        <v>45951</v>
      </c>
      <c r="R617" s="2">
        <v>-26.65</v>
      </c>
      <c r="S617">
        <v>1</v>
      </c>
      <c r="T617" t="s">
        <v>58</v>
      </c>
      <c r="U617" t="s">
        <v>359</v>
      </c>
      <c r="V617" s="4">
        <v>0.375</v>
      </c>
      <c r="W617" s="2">
        <v>0</v>
      </c>
      <c r="X617">
        <v>-1</v>
      </c>
      <c r="Y617" t="s">
        <v>60</v>
      </c>
      <c r="Z617" t="s">
        <v>360</v>
      </c>
      <c r="AA617">
        <v>0</v>
      </c>
      <c r="AB617" s="2">
        <v>0</v>
      </c>
      <c r="AC617" s="2">
        <v>0</v>
      </c>
      <c r="AD617" s="3">
        <v>0</v>
      </c>
      <c r="AE617" s="2">
        <v>0</v>
      </c>
      <c r="AF617" s="2">
        <v>0</v>
      </c>
      <c r="AG617" s="2">
        <v>0</v>
      </c>
      <c r="AH617" s="2">
        <v>0</v>
      </c>
      <c r="AI617" s="2">
        <v>0</v>
      </c>
      <c r="AJ617" s="2">
        <v>0</v>
      </c>
      <c r="AK617" s="2">
        <v>0</v>
      </c>
      <c r="AL617" s="2">
        <v>0</v>
      </c>
      <c r="AM617" s="2">
        <v>-9.99</v>
      </c>
      <c r="AN617" s="2">
        <v>-9.99</v>
      </c>
      <c r="AO617" s="2">
        <v>0</v>
      </c>
      <c r="AP617" s="2">
        <v>0</v>
      </c>
      <c r="AQ617" s="2">
        <v>0</v>
      </c>
    </row>
    <row r="618" spans="1:43" x14ac:dyDescent="0.25">
      <c r="A618" s="1">
        <v>45936</v>
      </c>
      <c r="B618" t="s">
        <v>48</v>
      </c>
      <c r="C618">
        <v>649163</v>
      </c>
      <c r="D618">
        <v>2026860055</v>
      </c>
      <c r="E618" t="s">
        <v>733</v>
      </c>
      <c r="F618" t="s">
        <v>734</v>
      </c>
      <c r="G618" t="s">
        <v>51</v>
      </c>
      <c r="H618" t="s">
        <v>52</v>
      </c>
      <c r="I618" t="s">
        <v>243</v>
      </c>
      <c r="J618" t="s">
        <v>244</v>
      </c>
      <c r="K618">
        <v>651818</v>
      </c>
      <c r="L618" t="s">
        <v>112</v>
      </c>
      <c r="M618" t="s">
        <v>104</v>
      </c>
      <c r="N618" t="s">
        <v>57</v>
      </c>
      <c r="O618" s="1">
        <v>45695</v>
      </c>
      <c r="Q618" s="1">
        <v>45968</v>
      </c>
      <c r="R618" s="2">
        <v>57.96</v>
      </c>
      <c r="S618">
        <v>1</v>
      </c>
      <c r="T618" t="s">
        <v>58</v>
      </c>
      <c r="U618" t="s">
        <v>359</v>
      </c>
      <c r="V618" s="4">
        <v>0.375</v>
      </c>
      <c r="W618" s="2">
        <v>0</v>
      </c>
      <c r="X618">
        <v>0</v>
      </c>
      <c r="Y618" t="s">
        <v>60</v>
      </c>
      <c r="Z618" t="s">
        <v>360</v>
      </c>
      <c r="AA618">
        <v>0</v>
      </c>
      <c r="AB618" s="2">
        <v>0</v>
      </c>
      <c r="AC618" s="2">
        <v>0</v>
      </c>
      <c r="AD618" s="3">
        <v>0</v>
      </c>
      <c r="AE618" s="2">
        <v>0</v>
      </c>
      <c r="AF618" s="2">
        <v>0</v>
      </c>
      <c r="AG618" s="2">
        <v>0</v>
      </c>
      <c r="AH618" s="2">
        <v>0</v>
      </c>
      <c r="AI618" s="2">
        <v>0</v>
      </c>
      <c r="AJ618" s="2">
        <v>0</v>
      </c>
      <c r="AK618" s="2">
        <v>0</v>
      </c>
      <c r="AL618" s="2">
        <v>0</v>
      </c>
      <c r="AM618" s="2">
        <v>21.74</v>
      </c>
      <c r="AN618" s="2">
        <v>21.74</v>
      </c>
      <c r="AO618" s="2">
        <v>0</v>
      </c>
      <c r="AP618" s="2">
        <v>0</v>
      </c>
      <c r="AQ618" s="2">
        <v>0</v>
      </c>
    </row>
    <row r="619" spans="1:43" x14ac:dyDescent="0.25">
      <c r="A619" s="1">
        <v>45936</v>
      </c>
      <c r="B619" t="s">
        <v>48</v>
      </c>
      <c r="C619">
        <v>649163</v>
      </c>
      <c r="D619">
        <v>2026862483</v>
      </c>
      <c r="E619" t="s">
        <v>699</v>
      </c>
      <c r="F619" t="s">
        <v>886</v>
      </c>
      <c r="G619" t="s">
        <v>51</v>
      </c>
      <c r="H619" t="s">
        <v>101</v>
      </c>
      <c r="I619" t="s">
        <v>243</v>
      </c>
      <c r="J619" t="s">
        <v>244</v>
      </c>
      <c r="K619">
        <v>764123</v>
      </c>
      <c r="L619" t="s">
        <v>887</v>
      </c>
      <c r="M619" t="s">
        <v>888</v>
      </c>
      <c r="N619" t="s">
        <v>57</v>
      </c>
      <c r="O619" s="1">
        <v>45694</v>
      </c>
      <c r="Q619" s="1">
        <v>45967</v>
      </c>
      <c r="R619" s="2">
        <v>64.760000000000005</v>
      </c>
      <c r="S619">
        <v>1</v>
      </c>
      <c r="T619" t="s">
        <v>58</v>
      </c>
      <c r="U619" t="s">
        <v>359</v>
      </c>
      <c r="V619" s="4">
        <v>0.375</v>
      </c>
      <c r="W619" s="2">
        <v>0</v>
      </c>
      <c r="X619">
        <v>0</v>
      </c>
      <c r="Y619" t="s">
        <v>60</v>
      </c>
      <c r="Z619" t="s">
        <v>360</v>
      </c>
      <c r="AA619">
        <v>0</v>
      </c>
      <c r="AB619" s="2">
        <v>0</v>
      </c>
      <c r="AC619" s="2">
        <v>0</v>
      </c>
      <c r="AD619" s="3">
        <v>0</v>
      </c>
      <c r="AE619" s="2">
        <v>0</v>
      </c>
      <c r="AF619" s="2">
        <v>0</v>
      </c>
      <c r="AG619" s="2">
        <v>0</v>
      </c>
      <c r="AH619" s="2">
        <v>0</v>
      </c>
      <c r="AI619" s="2">
        <v>0</v>
      </c>
      <c r="AJ619" s="2">
        <v>0</v>
      </c>
      <c r="AK619" s="2">
        <v>0</v>
      </c>
      <c r="AL619" s="2">
        <v>0</v>
      </c>
      <c r="AM619" s="2">
        <v>24.28</v>
      </c>
      <c r="AN619" s="2">
        <v>24.28</v>
      </c>
      <c r="AO619" s="2">
        <v>0</v>
      </c>
      <c r="AP619" s="2">
        <v>0</v>
      </c>
      <c r="AQ619" s="2">
        <v>0</v>
      </c>
    </row>
    <row r="620" spans="1:43" x14ac:dyDescent="0.25">
      <c r="A620" s="1">
        <v>45936</v>
      </c>
      <c r="B620" t="s">
        <v>48</v>
      </c>
      <c r="C620">
        <v>649163</v>
      </c>
      <c r="D620">
        <v>2026978806</v>
      </c>
      <c r="E620" t="s">
        <v>894</v>
      </c>
      <c r="F620" t="s">
        <v>895</v>
      </c>
      <c r="G620" t="s">
        <v>51</v>
      </c>
      <c r="H620" t="s">
        <v>101</v>
      </c>
      <c r="I620" t="s">
        <v>243</v>
      </c>
      <c r="J620" t="s">
        <v>244</v>
      </c>
      <c r="K620">
        <v>824062</v>
      </c>
      <c r="L620" t="s">
        <v>273</v>
      </c>
      <c r="M620" t="s">
        <v>274</v>
      </c>
      <c r="N620" t="s">
        <v>57</v>
      </c>
      <c r="O620" s="1">
        <v>45695</v>
      </c>
      <c r="Q620" s="1">
        <v>45968</v>
      </c>
      <c r="R620" s="2">
        <v>112.85</v>
      </c>
      <c r="S620">
        <v>1</v>
      </c>
      <c r="T620" t="s">
        <v>58</v>
      </c>
      <c r="U620" t="s">
        <v>359</v>
      </c>
      <c r="V620" s="4">
        <v>0.375</v>
      </c>
      <c r="W620" s="2">
        <v>0</v>
      </c>
      <c r="X620">
        <v>0</v>
      </c>
      <c r="Y620" t="s">
        <v>60</v>
      </c>
      <c r="Z620" t="s">
        <v>360</v>
      </c>
      <c r="AA620">
        <v>0</v>
      </c>
      <c r="AB620" s="2">
        <v>0</v>
      </c>
      <c r="AC620" s="2">
        <v>0</v>
      </c>
      <c r="AD620" s="3">
        <v>0</v>
      </c>
      <c r="AE620" s="2">
        <v>0</v>
      </c>
      <c r="AF620" s="2">
        <v>0</v>
      </c>
      <c r="AG620" s="2">
        <v>0</v>
      </c>
      <c r="AH620" s="2">
        <v>0</v>
      </c>
      <c r="AI620" s="2">
        <v>0</v>
      </c>
      <c r="AJ620" s="2">
        <v>0</v>
      </c>
      <c r="AK620" s="2">
        <v>0</v>
      </c>
      <c r="AL620" s="2">
        <v>0</v>
      </c>
      <c r="AM620" s="2">
        <v>42.32</v>
      </c>
      <c r="AN620" s="2">
        <v>42.32</v>
      </c>
      <c r="AO620" s="2">
        <v>0</v>
      </c>
      <c r="AP620" s="2">
        <v>0</v>
      </c>
      <c r="AQ620" s="2">
        <v>0</v>
      </c>
    </row>
    <row r="621" spans="1:43" x14ac:dyDescent="0.25">
      <c r="A621" s="1">
        <v>45936</v>
      </c>
      <c r="B621" t="s">
        <v>48</v>
      </c>
      <c r="C621">
        <v>649163</v>
      </c>
      <c r="D621">
        <v>2027001684</v>
      </c>
      <c r="E621" t="s">
        <v>995</v>
      </c>
      <c r="F621" t="s">
        <v>996</v>
      </c>
      <c r="G621" t="s">
        <v>51</v>
      </c>
      <c r="H621" t="s">
        <v>670</v>
      </c>
      <c r="I621" t="s">
        <v>243</v>
      </c>
      <c r="J621" t="s">
        <v>244</v>
      </c>
      <c r="K621">
        <v>767312</v>
      </c>
      <c r="L621" t="s">
        <v>283</v>
      </c>
      <c r="M621" t="s">
        <v>284</v>
      </c>
      <c r="N621" t="s">
        <v>57</v>
      </c>
      <c r="O621" s="1">
        <v>45696</v>
      </c>
      <c r="Q621" s="1">
        <v>45969</v>
      </c>
      <c r="R621" s="2">
        <v>77.2</v>
      </c>
      <c r="S621">
        <v>1</v>
      </c>
      <c r="T621" t="s">
        <v>58</v>
      </c>
      <c r="U621" t="s">
        <v>359</v>
      </c>
      <c r="V621" s="4">
        <v>0.375</v>
      </c>
      <c r="W621" s="2">
        <v>0</v>
      </c>
      <c r="X621">
        <v>0</v>
      </c>
      <c r="Y621" t="s">
        <v>60</v>
      </c>
      <c r="Z621" t="s">
        <v>360</v>
      </c>
      <c r="AA621">
        <v>0</v>
      </c>
      <c r="AB621" s="2">
        <v>0</v>
      </c>
      <c r="AC621" s="2">
        <v>0</v>
      </c>
      <c r="AD621" s="3">
        <v>0</v>
      </c>
      <c r="AE621" s="2">
        <v>0</v>
      </c>
      <c r="AF621" s="2">
        <v>0</v>
      </c>
      <c r="AG621" s="2">
        <v>0</v>
      </c>
      <c r="AH621" s="2">
        <v>0</v>
      </c>
      <c r="AI621" s="2">
        <v>0</v>
      </c>
      <c r="AJ621" s="2">
        <v>0</v>
      </c>
      <c r="AK621" s="2">
        <v>0</v>
      </c>
      <c r="AL621" s="2">
        <v>0</v>
      </c>
      <c r="AM621" s="2">
        <v>28.95</v>
      </c>
      <c r="AN621" s="2">
        <v>28.95</v>
      </c>
      <c r="AO621" s="2">
        <v>0</v>
      </c>
      <c r="AP621" s="2">
        <v>0</v>
      </c>
      <c r="AQ621" s="2">
        <v>0</v>
      </c>
    </row>
    <row r="622" spans="1:43" x14ac:dyDescent="0.25">
      <c r="A622" s="1">
        <v>45936</v>
      </c>
      <c r="B622" t="s">
        <v>48</v>
      </c>
      <c r="C622">
        <v>649163</v>
      </c>
      <c r="D622">
        <v>2027001807</v>
      </c>
      <c r="E622" t="s">
        <v>749</v>
      </c>
      <c r="F622" t="s">
        <v>585</v>
      </c>
      <c r="G622" t="s">
        <v>51</v>
      </c>
      <c r="H622" t="s">
        <v>203</v>
      </c>
      <c r="I622" t="s">
        <v>243</v>
      </c>
      <c r="J622" t="s">
        <v>244</v>
      </c>
      <c r="K622">
        <v>816021</v>
      </c>
      <c r="L622" t="s">
        <v>265</v>
      </c>
      <c r="M622" t="s">
        <v>266</v>
      </c>
      <c r="N622" t="s">
        <v>57</v>
      </c>
      <c r="O622" s="1">
        <v>45698</v>
      </c>
      <c r="Q622" s="1">
        <v>45971</v>
      </c>
      <c r="R622" s="2">
        <v>53.08</v>
      </c>
      <c r="S622">
        <v>1</v>
      </c>
      <c r="T622" t="s">
        <v>58</v>
      </c>
      <c r="U622" t="s">
        <v>359</v>
      </c>
      <c r="V622" s="4">
        <v>0.375</v>
      </c>
      <c r="W622" s="2">
        <v>0</v>
      </c>
      <c r="X622">
        <v>0</v>
      </c>
      <c r="Y622" t="s">
        <v>60</v>
      </c>
      <c r="Z622" t="s">
        <v>360</v>
      </c>
      <c r="AA622">
        <v>0</v>
      </c>
      <c r="AB622" s="2">
        <v>0</v>
      </c>
      <c r="AC622" s="2">
        <v>0</v>
      </c>
      <c r="AD622" s="3">
        <v>0</v>
      </c>
      <c r="AE622" s="2">
        <v>0</v>
      </c>
      <c r="AF622" s="2">
        <v>0</v>
      </c>
      <c r="AG622" s="2">
        <v>0</v>
      </c>
      <c r="AH622" s="2">
        <v>0</v>
      </c>
      <c r="AI622" s="2">
        <v>0</v>
      </c>
      <c r="AJ622" s="2">
        <v>0</v>
      </c>
      <c r="AK622" s="2">
        <v>0</v>
      </c>
      <c r="AL622" s="2">
        <v>0</v>
      </c>
      <c r="AM622" s="2">
        <v>19.899999999999999</v>
      </c>
      <c r="AN622" s="2">
        <v>19.899999999999999</v>
      </c>
      <c r="AO622" s="2">
        <v>0</v>
      </c>
      <c r="AP622" s="2">
        <v>0</v>
      </c>
      <c r="AQ622" s="2">
        <v>0</v>
      </c>
    </row>
    <row r="623" spans="1:43" x14ac:dyDescent="0.25">
      <c r="A623" s="1">
        <v>45936</v>
      </c>
      <c r="B623" t="s">
        <v>48</v>
      </c>
      <c r="C623">
        <v>649163</v>
      </c>
      <c r="D623">
        <v>2027014989</v>
      </c>
      <c r="E623" t="s">
        <v>997</v>
      </c>
      <c r="F623" t="s">
        <v>998</v>
      </c>
      <c r="G623" t="s">
        <v>51</v>
      </c>
      <c r="H623" t="s">
        <v>79</v>
      </c>
      <c r="I623" t="s">
        <v>243</v>
      </c>
      <c r="J623" t="s">
        <v>244</v>
      </c>
      <c r="K623">
        <v>673059</v>
      </c>
      <c r="L623" t="s">
        <v>80</v>
      </c>
      <c r="M623" t="s">
        <v>81</v>
      </c>
      <c r="N623" t="s">
        <v>57</v>
      </c>
      <c r="O623" s="1">
        <v>45696</v>
      </c>
      <c r="Q623" s="1">
        <v>45969</v>
      </c>
      <c r="R623" s="2">
        <v>59.58</v>
      </c>
      <c r="S623">
        <v>1</v>
      </c>
      <c r="T623" t="s">
        <v>58</v>
      </c>
      <c r="U623" t="s">
        <v>359</v>
      </c>
      <c r="V623" s="4">
        <v>0.375</v>
      </c>
      <c r="W623" s="2">
        <v>0</v>
      </c>
      <c r="X623">
        <v>0</v>
      </c>
      <c r="Y623" t="s">
        <v>60</v>
      </c>
      <c r="Z623" t="s">
        <v>360</v>
      </c>
      <c r="AA623">
        <v>0</v>
      </c>
      <c r="AB623" s="2">
        <v>0</v>
      </c>
      <c r="AC623" s="2">
        <v>0</v>
      </c>
      <c r="AD623" s="3">
        <v>0</v>
      </c>
      <c r="AE623" s="2">
        <v>0</v>
      </c>
      <c r="AF623" s="2">
        <v>0</v>
      </c>
      <c r="AG623" s="2">
        <v>0</v>
      </c>
      <c r="AH623" s="2">
        <v>0</v>
      </c>
      <c r="AI623" s="2">
        <v>0</v>
      </c>
      <c r="AJ623" s="2">
        <v>0</v>
      </c>
      <c r="AK623" s="2">
        <v>0</v>
      </c>
      <c r="AL623" s="2">
        <v>0</v>
      </c>
      <c r="AM623" s="2">
        <v>22.34</v>
      </c>
      <c r="AN623" s="2">
        <v>22.34</v>
      </c>
      <c r="AO623" s="2">
        <v>0</v>
      </c>
      <c r="AP623" s="2">
        <v>0</v>
      </c>
      <c r="AQ623" s="2">
        <v>0</v>
      </c>
    </row>
    <row r="624" spans="1:43" x14ac:dyDescent="0.25">
      <c r="A624" s="1">
        <v>45936</v>
      </c>
      <c r="B624" t="s">
        <v>48</v>
      </c>
      <c r="C624">
        <v>649163</v>
      </c>
      <c r="D624">
        <v>2027071860</v>
      </c>
      <c r="E624" t="s">
        <v>999</v>
      </c>
      <c r="F624" t="s">
        <v>224</v>
      </c>
      <c r="G624" t="s">
        <v>51</v>
      </c>
      <c r="H624" t="s">
        <v>203</v>
      </c>
      <c r="I624" t="s">
        <v>243</v>
      </c>
      <c r="J624" t="s">
        <v>244</v>
      </c>
      <c r="K624">
        <v>796984</v>
      </c>
      <c r="L624" t="s">
        <v>204</v>
      </c>
      <c r="M624" t="s">
        <v>205</v>
      </c>
      <c r="N624" t="s">
        <v>57</v>
      </c>
      <c r="O624" s="1">
        <v>45717</v>
      </c>
      <c r="Q624" s="1">
        <v>45962</v>
      </c>
      <c r="R624" s="2">
        <v>53.08</v>
      </c>
      <c r="S624">
        <v>1</v>
      </c>
      <c r="T624" t="s">
        <v>58</v>
      </c>
      <c r="U624" t="s">
        <v>359</v>
      </c>
      <c r="V624" s="4">
        <v>0.375</v>
      </c>
      <c r="W624" s="2">
        <v>0</v>
      </c>
      <c r="X624">
        <v>0</v>
      </c>
      <c r="Y624" t="s">
        <v>60</v>
      </c>
      <c r="Z624" t="s">
        <v>360</v>
      </c>
      <c r="AA624">
        <v>0</v>
      </c>
      <c r="AB624" s="2">
        <v>0</v>
      </c>
      <c r="AC624" s="2">
        <v>0</v>
      </c>
      <c r="AD624" s="3">
        <v>0</v>
      </c>
      <c r="AE624" s="2">
        <v>0</v>
      </c>
      <c r="AF624" s="2">
        <v>0</v>
      </c>
      <c r="AG624" s="2">
        <v>0</v>
      </c>
      <c r="AH624" s="2">
        <v>0</v>
      </c>
      <c r="AI624" s="2">
        <v>0</v>
      </c>
      <c r="AJ624" s="2">
        <v>0</v>
      </c>
      <c r="AK624" s="2">
        <v>0</v>
      </c>
      <c r="AL624" s="2">
        <v>0</v>
      </c>
      <c r="AM624" s="2">
        <v>19.899999999999999</v>
      </c>
      <c r="AN624" s="2">
        <v>19.899999999999999</v>
      </c>
      <c r="AO624" s="2">
        <v>0</v>
      </c>
      <c r="AP624" s="2">
        <v>0</v>
      </c>
      <c r="AQ624" s="2">
        <v>0</v>
      </c>
    </row>
    <row r="625" spans="1:43" x14ac:dyDescent="0.25">
      <c r="A625" s="1">
        <v>45936</v>
      </c>
      <c r="B625" t="s">
        <v>48</v>
      </c>
      <c r="C625">
        <v>649163</v>
      </c>
      <c r="D625">
        <v>2027082733</v>
      </c>
      <c r="E625" t="s">
        <v>1000</v>
      </c>
      <c r="F625" t="s">
        <v>290</v>
      </c>
      <c r="G625" t="s">
        <v>51</v>
      </c>
      <c r="H625" t="s">
        <v>101</v>
      </c>
      <c r="I625" t="s">
        <v>243</v>
      </c>
      <c r="J625" t="s">
        <v>244</v>
      </c>
      <c r="K625">
        <v>669316</v>
      </c>
      <c r="L625" t="s">
        <v>258</v>
      </c>
      <c r="M625" t="s">
        <v>259</v>
      </c>
      <c r="N625" t="s">
        <v>456</v>
      </c>
      <c r="O625" s="1">
        <v>45701</v>
      </c>
      <c r="P625" s="1">
        <v>45936</v>
      </c>
      <c r="Q625" s="1">
        <v>45943</v>
      </c>
      <c r="R625" s="2">
        <v>-145.63999999999999</v>
      </c>
      <c r="S625">
        <v>1</v>
      </c>
      <c r="T625" t="s">
        <v>58</v>
      </c>
      <c r="U625" t="s">
        <v>359</v>
      </c>
      <c r="V625" s="4">
        <v>0.375</v>
      </c>
      <c r="W625" s="2">
        <v>0</v>
      </c>
      <c r="X625">
        <v>-1</v>
      </c>
      <c r="Y625" t="s">
        <v>60</v>
      </c>
      <c r="Z625" t="s">
        <v>360</v>
      </c>
      <c r="AA625">
        <v>0</v>
      </c>
      <c r="AB625" s="2">
        <v>0</v>
      </c>
      <c r="AC625" s="2">
        <v>0</v>
      </c>
      <c r="AD625" s="3">
        <v>0</v>
      </c>
      <c r="AE625" s="2">
        <v>0</v>
      </c>
      <c r="AF625" s="2">
        <v>0</v>
      </c>
      <c r="AG625" s="2">
        <v>0</v>
      </c>
      <c r="AH625" s="2">
        <v>0</v>
      </c>
      <c r="AI625" s="2">
        <v>0</v>
      </c>
      <c r="AJ625" s="2">
        <v>0</v>
      </c>
      <c r="AK625" s="2">
        <v>0</v>
      </c>
      <c r="AL625" s="2">
        <v>0</v>
      </c>
      <c r="AM625" s="2">
        <v>-54.62</v>
      </c>
      <c r="AN625" s="2">
        <v>-54.62</v>
      </c>
      <c r="AO625" s="2">
        <v>0</v>
      </c>
      <c r="AP625" s="2">
        <v>0</v>
      </c>
      <c r="AQ625" s="2">
        <v>0</v>
      </c>
    </row>
    <row r="626" spans="1:43" x14ac:dyDescent="0.25">
      <c r="A626" s="1">
        <v>45936</v>
      </c>
      <c r="B626" t="s">
        <v>48</v>
      </c>
      <c r="C626">
        <v>649163</v>
      </c>
      <c r="D626">
        <v>2027380470</v>
      </c>
      <c r="E626" t="s">
        <v>1001</v>
      </c>
      <c r="F626" t="s">
        <v>1002</v>
      </c>
      <c r="G626" t="s">
        <v>51</v>
      </c>
      <c r="H626" t="s">
        <v>101</v>
      </c>
      <c r="I626" t="s">
        <v>243</v>
      </c>
      <c r="J626" t="s">
        <v>244</v>
      </c>
      <c r="K626">
        <v>822733</v>
      </c>
      <c r="L626" t="s">
        <v>269</v>
      </c>
      <c r="M626" t="s">
        <v>270</v>
      </c>
      <c r="N626" t="s">
        <v>57</v>
      </c>
      <c r="O626" s="1">
        <v>45723</v>
      </c>
      <c r="Q626" s="1">
        <v>45968</v>
      </c>
      <c r="R626" s="2">
        <v>60.3</v>
      </c>
      <c r="S626">
        <v>1</v>
      </c>
      <c r="T626" t="s">
        <v>58</v>
      </c>
      <c r="U626" t="s">
        <v>359</v>
      </c>
      <c r="V626" s="4">
        <v>0.375</v>
      </c>
      <c r="W626" s="2">
        <v>0</v>
      </c>
      <c r="X626">
        <v>0</v>
      </c>
      <c r="Y626" t="s">
        <v>60</v>
      </c>
      <c r="Z626" t="s">
        <v>360</v>
      </c>
      <c r="AA626">
        <v>0</v>
      </c>
      <c r="AB626" s="2">
        <v>0</v>
      </c>
      <c r="AC626" s="2">
        <v>0</v>
      </c>
      <c r="AD626" s="3">
        <v>0</v>
      </c>
      <c r="AE626" s="2">
        <v>0</v>
      </c>
      <c r="AF626" s="2">
        <v>0</v>
      </c>
      <c r="AG626" s="2">
        <v>0</v>
      </c>
      <c r="AH626" s="2">
        <v>0</v>
      </c>
      <c r="AI626" s="2">
        <v>0</v>
      </c>
      <c r="AJ626" s="2">
        <v>0</v>
      </c>
      <c r="AK626" s="2">
        <v>0</v>
      </c>
      <c r="AL626" s="2">
        <v>0</v>
      </c>
      <c r="AM626" s="2">
        <v>22.61</v>
      </c>
      <c r="AN626" s="2">
        <v>22.61</v>
      </c>
      <c r="AO626" s="2">
        <v>0</v>
      </c>
      <c r="AP626" s="2">
        <v>0</v>
      </c>
      <c r="AQ626" s="2">
        <v>0</v>
      </c>
    </row>
    <row r="627" spans="1:43" x14ac:dyDescent="0.25">
      <c r="A627" s="1">
        <v>45936</v>
      </c>
      <c r="B627" t="s">
        <v>48</v>
      </c>
      <c r="C627">
        <v>649163</v>
      </c>
      <c r="D627">
        <v>2027482811</v>
      </c>
      <c r="E627" t="s">
        <v>758</v>
      </c>
      <c r="F627" t="s">
        <v>224</v>
      </c>
      <c r="G627" t="s">
        <v>51</v>
      </c>
      <c r="H627" t="s">
        <v>129</v>
      </c>
      <c r="I627" t="s">
        <v>243</v>
      </c>
      <c r="J627" t="s">
        <v>244</v>
      </c>
      <c r="K627">
        <v>651818</v>
      </c>
      <c r="L627" t="s">
        <v>112</v>
      </c>
      <c r="M627" t="s">
        <v>104</v>
      </c>
      <c r="N627" t="s">
        <v>57</v>
      </c>
      <c r="O627" s="1">
        <v>45723</v>
      </c>
      <c r="Q627" s="1">
        <v>45968</v>
      </c>
      <c r="R627" s="2">
        <v>40.1</v>
      </c>
      <c r="S627">
        <v>1</v>
      </c>
      <c r="T627" t="s">
        <v>58</v>
      </c>
      <c r="U627" t="s">
        <v>359</v>
      </c>
      <c r="V627" s="4">
        <v>0.375</v>
      </c>
      <c r="W627" s="2">
        <v>0</v>
      </c>
      <c r="X627">
        <v>0</v>
      </c>
      <c r="Y627" t="s">
        <v>60</v>
      </c>
      <c r="Z627" t="s">
        <v>360</v>
      </c>
      <c r="AA627">
        <v>0</v>
      </c>
      <c r="AB627" s="2">
        <v>0</v>
      </c>
      <c r="AC627" s="2">
        <v>0</v>
      </c>
      <c r="AD627" s="3">
        <v>0</v>
      </c>
      <c r="AE627" s="2">
        <v>0</v>
      </c>
      <c r="AF627" s="2">
        <v>0</v>
      </c>
      <c r="AG627" s="2">
        <v>0</v>
      </c>
      <c r="AH627" s="2">
        <v>0</v>
      </c>
      <c r="AI627" s="2">
        <v>0</v>
      </c>
      <c r="AJ627" s="2">
        <v>0</v>
      </c>
      <c r="AK627" s="2">
        <v>0</v>
      </c>
      <c r="AL627" s="2">
        <v>0</v>
      </c>
      <c r="AM627" s="2">
        <v>15.04</v>
      </c>
      <c r="AN627" s="2">
        <v>15.04</v>
      </c>
      <c r="AO627" s="2">
        <v>0</v>
      </c>
      <c r="AP627" s="2">
        <v>0</v>
      </c>
      <c r="AQ627" s="2">
        <v>0</v>
      </c>
    </row>
    <row r="628" spans="1:43" x14ac:dyDescent="0.25">
      <c r="A628" s="1">
        <v>45936</v>
      </c>
      <c r="B628" t="s">
        <v>48</v>
      </c>
      <c r="C628">
        <v>649163</v>
      </c>
      <c r="D628">
        <v>2027014990</v>
      </c>
      <c r="E628" t="s">
        <v>997</v>
      </c>
      <c r="F628" t="s">
        <v>998</v>
      </c>
      <c r="G628" t="s">
        <v>51</v>
      </c>
      <c r="H628" t="s">
        <v>79</v>
      </c>
      <c r="I628" t="s">
        <v>292</v>
      </c>
      <c r="J628" t="s">
        <v>293</v>
      </c>
      <c r="K628">
        <v>673059</v>
      </c>
      <c r="L628" t="s">
        <v>80</v>
      </c>
      <c r="M628" t="s">
        <v>81</v>
      </c>
      <c r="N628" t="s">
        <v>57</v>
      </c>
      <c r="O628" s="1">
        <v>45696</v>
      </c>
      <c r="Q628" s="1">
        <v>45969</v>
      </c>
      <c r="R628" s="2">
        <v>10.82</v>
      </c>
      <c r="S628">
        <v>1</v>
      </c>
      <c r="T628" t="s">
        <v>58</v>
      </c>
      <c r="U628" t="s">
        <v>359</v>
      </c>
      <c r="V628" s="3">
        <v>0.7</v>
      </c>
      <c r="W628" s="2">
        <v>0</v>
      </c>
      <c r="X628">
        <v>0</v>
      </c>
      <c r="Y628" t="s">
        <v>60</v>
      </c>
      <c r="Z628" t="s">
        <v>360</v>
      </c>
      <c r="AA628">
        <v>0</v>
      </c>
      <c r="AB628" s="2">
        <v>0</v>
      </c>
      <c r="AC628" s="2">
        <v>0</v>
      </c>
      <c r="AD628" s="3">
        <v>0</v>
      </c>
      <c r="AE628" s="2">
        <v>0</v>
      </c>
      <c r="AF628" s="2">
        <v>0</v>
      </c>
      <c r="AG628" s="2">
        <v>0</v>
      </c>
      <c r="AH628" s="2">
        <v>0</v>
      </c>
      <c r="AI628" s="2">
        <v>0</v>
      </c>
      <c r="AJ628" s="2">
        <v>0</v>
      </c>
      <c r="AK628" s="2">
        <v>0</v>
      </c>
      <c r="AL628" s="2">
        <v>0</v>
      </c>
      <c r="AM628" s="2">
        <v>7.57</v>
      </c>
      <c r="AN628" s="2">
        <v>7.57</v>
      </c>
      <c r="AO628" s="2">
        <v>0</v>
      </c>
      <c r="AP628" s="2">
        <v>0</v>
      </c>
      <c r="AQ628" s="2">
        <v>0</v>
      </c>
    </row>
    <row r="629" spans="1:43" x14ac:dyDescent="0.25">
      <c r="A629" s="1">
        <v>45936</v>
      </c>
      <c r="B629" t="s">
        <v>48</v>
      </c>
      <c r="C629">
        <v>649163</v>
      </c>
      <c r="D629">
        <v>2027025171</v>
      </c>
      <c r="E629" t="s">
        <v>404</v>
      </c>
      <c r="F629" t="s">
        <v>405</v>
      </c>
      <c r="G629" t="s">
        <v>51</v>
      </c>
      <c r="H629" t="s">
        <v>203</v>
      </c>
      <c r="I629" t="s">
        <v>292</v>
      </c>
      <c r="J629" t="s">
        <v>293</v>
      </c>
      <c r="K629">
        <v>824082</v>
      </c>
      <c r="L629" t="s">
        <v>406</v>
      </c>
      <c r="M629" t="s">
        <v>407</v>
      </c>
      <c r="N629" t="s">
        <v>57</v>
      </c>
      <c r="O629" s="1">
        <v>45697</v>
      </c>
      <c r="Q629" s="1">
        <v>45970</v>
      </c>
      <c r="R629" s="2">
        <v>29.2</v>
      </c>
      <c r="S629">
        <v>1</v>
      </c>
      <c r="T629" t="s">
        <v>58</v>
      </c>
      <c r="U629" t="s">
        <v>359</v>
      </c>
      <c r="V629" s="3">
        <v>0.7</v>
      </c>
      <c r="W629" s="2">
        <v>0</v>
      </c>
      <c r="X629">
        <v>0</v>
      </c>
      <c r="Y629" t="s">
        <v>60</v>
      </c>
      <c r="Z629" t="s">
        <v>360</v>
      </c>
      <c r="AA629">
        <v>0</v>
      </c>
      <c r="AB629" s="2">
        <v>0</v>
      </c>
      <c r="AC629" s="2">
        <v>0</v>
      </c>
      <c r="AD629" s="3">
        <v>0</v>
      </c>
      <c r="AE629" s="2">
        <v>0</v>
      </c>
      <c r="AF629" s="2">
        <v>0</v>
      </c>
      <c r="AG629" s="2">
        <v>0</v>
      </c>
      <c r="AH629" s="2">
        <v>0</v>
      </c>
      <c r="AI629" s="2">
        <v>0</v>
      </c>
      <c r="AJ629" s="2">
        <v>0</v>
      </c>
      <c r="AK629" s="2">
        <v>0</v>
      </c>
      <c r="AL629" s="2">
        <v>0</v>
      </c>
      <c r="AM629" s="2">
        <v>20.440000000000001</v>
      </c>
      <c r="AN629" s="2">
        <v>20.440000000000001</v>
      </c>
      <c r="AO629" s="2">
        <v>0</v>
      </c>
      <c r="AP629" s="2">
        <v>0</v>
      </c>
      <c r="AQ629" s="2">
        <v>0</v>
      </c>
    </row>
    <row r="630" spans="1:43" x14ac:dyDescent="0.25">
      <c r="A630" s="1">
        <v>45936</v>
      </c>
      <c r="B630" t="s">
        <v>48</v>
      </c>
      <c r="C630">
        <v>649163</v>
      </c>
      <c r="D630">
        <v>2027035339</v>
      </c>
      <c r="E630" t="s">
        <v>408</v>
      </c>
      <c r="F630" t="s">
        <v>409</v>
      </c>
      <c r="G630" t="s">
        <v>51</v>
      </c>
      <c r="H630" t="s">
        <v>155</v>
      </c>
      <c r="I630" t="s">
        <v>292</v>
      </c>
      <c r="J630" t="s">
        <v>293</v>
      </c>
      <c r="K630">
        <v>813184</v>
      </c>
      <c r="L630" t="s">
        <v>408</v>
      </c>
      <c r="M630" t="s">
        <v>410</v>
      </c>
      <c r="N630" t="s">
        <v>57</v>
      </c>
      <c r="O630" s="1">
        <v>45698</v>
      </c>
      <c r="Q630" s="1">
        <v>45971</v>
      </c>
      <c r="R630" s="2">
        <v>39.25</v>
      </c>
      <c r="S630">
        <v>1</v>
      </c>
      <c r="T630" t="s">
        <v>58</v>
      </c>
      <c r="U630" t="s">
        <v>359</v>
      </c>
      <c r="V630" s="3">
        <v>0.7</v>
      </c>
      <c r="W630" s="2">
        <v>0</v>
      </c>
      <c r="X630">
        <v>0</v>
      </c>
      <c r="Y630" t="s">
        <v>60</v>
      </c>
      <c r="Z630" t="s">
        <v>360</v>
      </c>
      <c r="AA630">
        <v>0</v>
      </c>
      <c r="AB630" s="2">
        <v>0</v>
      </c>
      <c r="AC630" s="2">
        <v>0</v>
      </c>
      <c r="AD630" s="3">
        <v>0</v>
      </c>
      <c r="AE630" s="2">
        <v>0</v>
      </c>
      <c r="AF630" s="2">
        <v>0</v>
      </c>
      <c r="AG630" s="2">
        <v>0</v>
      </c>
      <c r="AH630" s="2">
        <v>0</v>
      </c>
      <c r="AI630" s="2">
        <v>0</v>
      </c>
      <c r="AJ630" s="2">
        <v>0</v>
      </c>
      <c r="AK630" s="2">
        <v>0</v>
      </c>
      <c r="AL630" s="2">
        <v>0</v>
      </c>
      <c r="AM630" s="2">
        <v>27.48</v>
      </c>
      <c r="AN630" s="2">
        <v>27.48</v>
      </c>
      <c r="AO630" s="2">
        <v>0</v>
      </c>
      <c r="AP630" s="2">
        <v>0</v>
      </c>
      <c r="AQ630" s="2">
        <v>0</v>
      </c>
    </row>
    <row r="631" spans="1:43" x14ac:dyDescent="0.25">
      <c r="A631" s="1">
        <v>45936</v>
      </c>
      <c r="B631" t="s">
        <v>48</v>
      </c>
      <c r="C631">
        <v>649163</v>
      </c>
      <c r="D631">
        <v>2027071859</v>
      </c>
      <c r="E631" t="s">
        <v>999</v>
      </c>
      <c r="F631" t="s">
        <v>224</v>
      </c>
      <c r="G631" t="s">
        <v>51</v>
      </c>
      <c r="H631" t="s">
        <v>203</v>
      </c>
      <c r="I631" t="s">
        <v>292</v>
      </c>
      <c r="J631" t="s">
        <v>293</v>
      </c>
      <c r="K631">
        <v>796984</v>
      </c>
      <c r="L631" t="s">
        <v>204</v>
      </c>
      <c r="M631" t="s">
        <v>205</v>
      </c>
      <c r="N631" t="s">
        <v>57</v>
      </c>
      <c r="O631" s="1">
        <v>45717</v>
      </c>
      <c r="Q631" s="1">
        <v>45962</v>
      </c>
      <c r="R631" s="2">
        <v>9.1</v>
      </c>
      <c r="S631">
        <v>1</v>
      </c>
      <c r="T631" t="s">
        <v>58</v>
      </c>
      <c r="U631" t="s">
        <v>359</v>
      </c>
      <c r="V631" s="3">
        <v>0.7</v>
      </c>
      <c r="W631" s="2">
        <v>0</v>
      </c>
      <c r="X631">
        <v>0</v>
      </c>
      <c r="Y631" t="s">
        <v>60</v>
      </c>
      <c r="Z631" t="s">
        <v>360</v>
      </c>
      <c r="AA631">
        <v>0</v>
      </c>
      <c r="AB631" s="2">
        <v>0</v>
      </c>
      <c r="AC631" s="2">
        <v>0</v>
      </c>
      <c r="AD631" s="3">
        <v>0</v>
      </c>
      <c r="AE631" s="2">
        <v>0</v>
      </c>
      <c r="AF631" s="2">
        <v>0</v>
      </c>
      <c r="AG631" s="2">
        <v>0</v>
      </c>
      <c r="AH631" s="2">
        <v>0</v>
      </c>
      <c r="AI631" s="2">
        <v>0</v>
      </c>
      <c r="AJ631" s="2">
        <v>0</v>
      </c>
      <c r="AK631" s="2">
        <v>0</v>
      </c>
      <c r="AL631" s="2">
        <v>0</v>
      </c>
      <c r="AM631" s="2">
        <v>6.37</v>
      </c>
      <c r="AN631" s="2">
        <v>6.37</v>
      </c>
      <c r="AO631" s="2">
        <v>0</v>
      </c>
      <c r="AP631" s="2">
        <v>0</v>
      </c>
      <c r="AQ631" s="2">
        <v>0</v>
      </c>
    </row>
    <row r="632" spans="1:43" x14ac:dyDescent="0.25">
      <c r="A632" s="1">
        <v>45936</v>
      </c>
      <c r="B632" t="s">
        <v>48</v>
      </c>
      <c r="C632">
        <v>649163</v>
      </c>
      <c r="D632">
        <v>2027235545</v>
      </c>
      <c r="E632" t="s">
        <v>752</v>
      </c>
      <c r="F632" t="s">
        <v>753</v>
      </c>
      <c r="G632" t="s">
        <v>51</v>
      </c>
      <c r="H632" t="s">
        <v>376</v>
      </c>
      <c r="I632" t="s">
        <v>292</v>
      </c>
      <c r="J632" t="s">
        <v>293</v>
      </c>
      <c r="K632">
        <v>651818</v>
      </c>
      <c r="L632" t="s">
        <v>112</v>
      </c>
      <c r="M632" t="s">
        <v>104</v>
      </c>
      <c r="N632" t="s">
        <v>57</v>
      </c>
      <c r="O632" s="1">
        <v>45723</v>
      </c>
      <c r="Q632" s="1">
        <v>45968</v>
      </c>
      <c r="R632" s="2">
        <v>122.53</v>
      </c>
      <c r="S632">
        <v>1</v>
      </c>
      <c r="T632" t="s">
        <v>58</v>
      </c>
      <c r="U632" t="s">
        <v>359</v>
      </c>
      <c r="V632" s="3">
        <v>0.7</v>
      </c>
      <c r="W632" s="2">
        <v>0</v>
      </c>
      <c r="X632">
        <v>0</v>
      </c>
      <c r="Y632" t="s">
        <v>60</v>
      </c>
      <c r="Z632" t="s">
        <v>360</v>
      </c>
      <c r="AA632">
        <v>0</v>
      </c>
      <c r="AB632" s="2">
        <v>0</v>
      </c>
      <c r="AC632" s="2">
        <v>0</v>
      </c>
      <c r="AD632" s="3">
        <v>0</v>
      </c>
      <c r="AE632" s="2">
        <v>0</v>
      </c>
      <c r="AF632" s="2">
        <v>0</v>
      </c>
      <c r="AG632" s="2">
        <v>0</v>
      </c>
      <c r="AH632" s="2">
        <v>0</v>
      </c>
      <c r="AI632" s="2">
        <v>0</v>
      </c>
      <c r="AJ632" s="2">
        <v>0</v>
      </c>
      <c r="AK632" s="2">
        <v>0</v>
      </c>
      <c r="AL632" s="2">
        <v>0</v>
      </c>
      <c r="AM632" s="2">
        <v>85.77</v>
      </c>
      <c r="AN632" s="2">
        <v>85.77</v>
      </c>
      <c r="AO632" s="2">
        <v>0</v>
      </c>
      <c r="AP632" s="2">
        <v>0</v>
      </c>
      <c r="AQ632" s="2">
        <v>0</v>
      </c>
    </row>
    <row r="633" spans="1:43" x14ac:dyDescent="0.25">
      <c r="A633" s="1">
        <v>45936</v>
      </c>
      <c r="B633" t="s">
        <v>48</v>
      </c>
      <c r="C633">
        <v>649163</v>
      </c>
      <c r="D633">
        <v>2027298067</v>
      </c>
      <c r="E633" t="s">
        <v>754</v>
      </c>
      <c r="F633" t="s">
        <v>755</v>
      </c>
      <c r="G633" t="s">
        <v>51</v>
      </c>
      <c r="H633" t="s">
        <v>129</v>
      </c>
      <c r="I633" t="s">
        <v>292</v>
      </c>
      <c r="J633" t="s">
        <v>293</v>
      </c>
      <c r="K633">
        <v>651818</v>
      </c>
      <c r="L633" t="s">
        <v>112</v>
      </c>
      <c r="M633" t="s">
        <v>104</v>
      </c>
      <c r="N633" t="s">
        <v>57</v>
      </c>
      <c r="O633" s="1">
        <v>45723</v>
      </c>
      <c r="Q633" s="1">
        <v>45968</v>
      </c>
      <c r="R633" s="2">
        <v>73.56</v>
      </c>
      <c r="S633">
        <v>1</v>
      </c>
      <c r="T633" t="s">
        <v>58</v>
      </c>
      <c r="U633" t="s">
        <v>359</v>
      </c>
      <c r="V633" s="3">
        <v>0.7</v>
      </c>
      <c r="W633" s="2">
        <v>0</v>
      </c>
      <c r="X633">
        <v>0</v>
      </c>
      <c r="Y633" t="s">
        <v>60</v>
      </c>
      <c r="Z633" t="s">
        <v>360</v>
      </c>
      <c r="AA633">
        <v>0</v>
      </c>
      <c r="AB633" s="2">
        <v>0</v>
      </c>
      <c r="AC633" s="2">
        <v>0</v>
      </c>
      <c r="AD633" s="3">
        <v>0</v>
      </c>
      <c r="AE633" s="2">
        <v>0</v>
      </c>
      <c r="AF633" s="2">
        <v>0</v>
      </c>
      <c r="AG633" s="2">
        <v>0</v>
      </c>
      <c r="AH633" s="2">
        <v>0</v>
      </c>
      <c r="AI633" s="2">
        <v>0</v>
      </c>
      <c r="AJ633" s="2">
        <v>0</v>
      </c>
      <c r="AK633" s="2">
        <v>0</v>
      </c>
      <c r="AL633" s="2">
        <v>0</v>
      </c>
      <c r="AM633" s="2">
        <v>51.49</v>
      </c>
      <c r="AN633" s="2">
        <v>51.49</v>
      </c>
      <c r="AO633" s="2">
        <v>0</v>
      </c>
      <c r="AP633" s="2">
        <v>0</v>
      </c>
      <c r="AQ633" s="2">
        <v>0</v>
      </c>
    </row>
    <row r="634" spans="1:43" x14ac:dyDescent="0.25">
      <c r="A634" s="1">
        <v>45936</v>
      </c>
      <c r="B634" t="s">
        <v>48</v>
      </c>
      <c r="C634">
        <v>649163</v>
      </c>
      <c r="D634">
        <v>2027298068</v>
      </c>
      <c r="E634" t="s">
        <v>754</v>
      </c>
      <c r="F634" t="s">
        <v>755</v>
      </c>
      <c r="G634" t="s">
        <v>51</v>
      </c>
      <c r="H634" t="s">
        <v>129</v>
      </c>
      <c r="I634" t="s">
        <v>292</v>
      </c>
      <c r="J634" t="s">
        <v>295</v>
      </c>
      <c r="K634">
        <v>651818</v>
      </c>
      <c r="L634" t="s">
        <v>112</v>
      </c>
      <c r="M634" t="s">
        <v>104</v>
      </c>
      <c r="N634" t="s">
        <v>57</v>
      </c>
      <c r="O634" s="1">
        <v>45723</v>
      </c>
      <c r="Q634" s="1">
        <v>45968</v>
      </c>
      <c r="R634" s="2">
        <v>64.92</v>
      </c>
      <c r="S634">
        <v>1</v>
      </c>
      <c r="T634" t="s">
        <v>58</v>
      </c>
      <c r="U634" t="s">
        <v>359</v>
      </c>
      <c r="V634" s="3">
        <v>0.9</v>
      </c>
      <c r="W634" s="2">
        <v>0</v>
      </c>
      <c r="X634">
        <v>0</v>
      </c>
      <c r="Y634" t="s">
        <v>60</v>
      </c>
      <c r="Z634" t="s">
        <v>360</v>
      </c>
      <c r="AA634">
        <v>0</v>
      </c>
      <c r="AB634" s="2">
        <v>0</v>
      </c>
      <c r="AC634" s="2">
        <v>0</v>
      </c>
      <c r="AD634" s="3">
        <v>0</v>
      </c>
      <c r="AE634" s="2">
        <v>0</v>
      </c>
      <c r="AF634" s="2">
        <v>0</v>
      </c>
      <c r="AG634" s="2">
        <v>0</v>
      </c>
      <c r="AH634" s="2">
        <v>0</v>
      </c>
      <c r="AI634" s="2">
        <v>0</v>
      </c>
      <c r="AJ634" s="2">
        <v>0</v>
      </c>
      <c r="AK634" s="2">
        <v>0</v>
      </c>
      <c r="AL634" s="2">
        <v>0</v>
      </c>
      <c r="AM634" s="2">
        <v>58.43</v>
      </c>
      <c r="AN634" s="2">
        <v>58.43</v>
      </c>
      <c r="AO634" s="2">
        <v>0</v>
      </c>
      <c r="AP634" s="2">
        <v>0</v>
      </c>
      <c r="AQ634" s="2">
        <v>0</v>
      </c>
    </row>
    <row r="635" spans="1:43" x14ac:dyDescent="0.25">
      <c r="A635" s="1">
        <v>45936</v>
      </c>
      <c r="B635" t="s">
        <v>48</v>
      </c>
      <c r="C635">
        <v>649163</v>
      </c>
      <c r="D635">
        <v>2027380471</v>
      </c>
      <c r="E635" t="s">
        <v>1001</v>
      </c>
      <c r="F635" t="s">
        <v>1002</v>
      </c>
      <c r="G635" t="s">
        <v>51</v>
      </c>
      <c r="H635" t="s">
        <v>101</v>
      </c>
      <c r="I635" t="s">
        <v>292</v>
      </c>
      <c r="J635" t="s">
        <v>293</v>
      </c>
      <c r="K635">
        <v>822733</v>
      </c>
      <c r="L635" t="s">
        <v>269</v>
      </c>
      <c r="M635" t="s">
        <v>270</v>
      </c>
      <c r="N635" t="s">
        <v>57</v>
      </c>
      <c r="O635" s="1">
        <v>45723</v>
      </c>
      <c r="Q635" s="1">
        <v>45968</v>
      </c>
      <c r="R635" s="2">
        <v>11.5</v>
      </c>
      <c r="S635">
        <v>1</v>
      </c>
      <c r="T635" t="s">
        <v>58</v>
      </c>
      <c r="U635" t="s">
        <v>359</v>
      </c>
      <c r="V635" s="3">
        <v>0.7</v>
      </c>
      <c r="W635" s="2">
        <v>0</v>
      </c>
      <c r="X635">
        <v>0</v>
      </c>
      <c r="Y635" t="s">
        <v>60</v>
      </c>
      <c r="Z635" t="s">
        <v>360</v>
      </c>
      <c r="AA635">
        <v>0</v>
      </c>
      <c r="AB635" s="2">
        <v>0</v>
      </c>
      <c r="AC635" s="2">
        <v>0</v>
      </c>
      <c r="AD635" s="3">
        <v>0</v>
      </c>
      <c r="AE635" s="2">
        <v>0</v>
      </c>
      <c r="AF635" s="2">
        <v>0</v>
      </c>
      <c r="AG635" s="2">
        <v>0</v>
      </c>
      <c r="AH635" s="2">
        <v>0</v>
      </c>
      <c r="AI635" s="2">
        <v>0</v>
      </c>
      <c r="AJ635" s="2">
        <v>0</v>
      </c>
      <c r="AK635" s="2">
        <v>0</v>
      </c>
      <c r="AL635" s="2">
        <v>0</v>
      </c>
      <c r="AM635" s="2">
        <v>8.0500000000000007</v>
      </c>
      <c r="AN635" s="2">
        <v>8.0500000000000007</v>
      </c>
      <c r="AO635" s="2">
        <v>0</v>
      </c>
      <c r="AP635" s="2">
        <v>0</v>
      </c>
      <c r="AQ635" s="2">
        <v>0</v>
      </c>
    </row>
    <row r="636" spans="1:43" x14ac:dyDescent="0.25">
      <c r="A636" s="1">
        <v>45936</v>
      </c>
      <c r="B636" t="s">
        <v>48</v>
      </c>
      <c r="C636">
        <v>649163</v>
      </c>
      <c r="D636">
        <v>2027429539</v>
      </c>
      <c r="E636" t="s">
        <v>757</v>
      </c>
      <c r="F636" t="s">
        <v>527</v>
      </c>
      <c r="G636" t="s">
        <v>51</v>
      </c>
      <c r="H636" t="s">
        <v>129</v>
      </c>
      <c r="I636" t="s">
        <v>292</v>
      </c>
      <c r="J636" t="s">
        <v>293</v>
      </c>
      <c r="K636">
        <v>651818</v>
      </c>
      <c r="L636" t="s">
        <v>112</v>
      </c>
      <c r="M636" t="s">
        <v>104</v>
      </c>
      <c r="N636" t="s">
        <v>57</v>
      </c>
      <c r="O636" s="1">
        <v>45723</v>
      </c>
      <c r="Q636" s="1">
        <v>45968</v>
      </c>
      <c r="R636" s="2">
        <v>161.30000000000001</v>
      </c>
      <c r="S636">
        <v>1</v>
      </c>
      <c r="T636" t="s">
        <v>58</v>
      </c>
      <c r="U636" t="s">
        <v>359</v>
      </c>
      <c r="V636" s="3">
        <v>0.7</v>
      </c>
      <c r="W636" s="2">
        <v>0</v>
      </c>
      <c r="X636">
        <v>0</v>
      </c>
      <c r="Y636" t="s">
        <v>60</v>
      </c>
      <c r="Z636" t="s">
        <v>360</v>
      </c>
      <c r="AA636">
        <v>0</v>
      </c>
      <c r="AB636" s="2">
        <v>0</v>
      </c>
      <c r="AC636" s="2">
        <v>0</v>
      </c>
      <c r="AD636" s="3">
        <v>0</v>
      </c>
      <c r="AE636" s="2">
        <v>0</v>
      </c>
      <c r="AF636" s="2">
        <v>0</v>
      </c>
      <c r="AG636" s="2">
        <v>0</v>
      </c>
      <c r="AH636" s="2">
        <v>0</v>
      </c>
      <c r="AI636" s="2">
        <v>0</v>
      </c>
      <c r="AJ636" s="2">
        <v>0</v>
      </c>
      <c r="AK636" s="2">
        <v>0</v>
      </c>
      <c r="AL636" s="2">
        <v>0</v>
      </c>
      <c r="AM636" s="2">
        <v>112.91</v>
      </c>
      <c r="AN636" s="2">
        <v>112.91</v>
      </c>
      <c r="AO636" s="2">
        <v>0</v>
      </c>
      <c r="AP636" s="2">
        <v>0</v>
      </c>
      <c r="AQ636" s="2">
        <v>0</v>
      </c>
    </row>
    <row r="637" spans="1:43" x14ac:dyDescent="0.25">
      <c r="A637" s="1">
        <v>45936</v>
      </c>
      <c r="B637" t="s">
        <v>48</v>
      </c>
      <c r="C637">
        <v>649163</v>
      </c>
      <c r="D637">
        <v>2027482812</v>
      </c>
      <c r="E637" t="s">
        <v>758</v>
      </c>
      <c r="F637" t="s">
        <v>224</v>
      </c>
      <c r="G637" t="s">
        <v>51</v>
      </c>
      <c r="H637" t="s">
        <v>129</v>
      </c>
      <c r="I637" t="s">
        <v>292</v>
      </c>
      <c r="J637" t="s">
        <v>293</v>
      </c>
      <c r="K637">
        <v>651818</v>
      </c>
      <c r="L637" t="s">
        <v>112</v>
      </c>
      <c r="M637" t="s">
        <v>104</v>
      </c>
      <c r="N637" t="s">
        <v>57</v>
      </c>
      <c r="O637" s="1">
        <v>45723</v>
      </c>
      <c r="Q637" s="1">
        <v>45968</v>
      </c>
      <c r="R637" s="2">
        <v>28.73</v>
      </c>
      <c r="S637">
        <v>1</v>
      </c>
      <c r="T637" t="s">
        <v>58</v>
      </c>
      <c r="U637" t="s">
        <v>359</v>
      </c>
      <c r="V637" s="3">
        <v>0.7</v>
      </c>
      <c r="W637" s="2">
        <v>0</v>
      </c>
      <c r="X637">
        <v>0</v>
      </c>
      <c r="Y637" t="s">
        <v>60</v>
      </c>
      <c r="Z637" t="s">
        <v>360</v>
      </c>
      <c r="AA637">
        <v>0</v>
      </c>
      <c r="AB637" s="2">
        <v>0</v>
      </c>
      <c r="AC637" s="2">
        <v>0</v>
      </c>
      <c r="AD637" s="3">
        <v>0</v>
      </c>
      <c r="AE637" s="2">
        <v>0</v>
      </c>
      <c r="AF637" s="2">
        <v>0</v>
      </c>
      <c r="AG637" s="2">
        <v>0</v>
      </c>
      <c r="AH637" s="2">
        <v>0</v>
      </c>
      <c r="AI637" s="2">
        <v>0</v>
      </c>
      <c r="AJ637" s="2">
        <v>0</v>
      </c>
      <c r="AK637" s="2">
        <v>0</v>
      </c>
      <c r="AL637" s="2">
        <v>0</v>
      </c>
      <c r="AM637" s="2">
        <v>20.11</v>
      </c>
      <c r="AN637" s="2">
        <v>20.11</v>
      </c>
      <c r="AO637" s="2">
        <v>0</v>
      </c>
      <c r="AP637" s="2">
        <v>0</v>
      </c>
      <c r="AQ637" s="2">
        <v>0</v>
      </c>
    </row>
    <row r="638" spans="1:43" x14ac:dyDescent="0.25">
      <c r="A638" s="1">
        <v>45936</v>
      </c>
      <c r="B638" t="s">
        <v>48</v>
      </c>
      <c r="C638">
        <v>649163</v>
      </c>
      <c r="D638">
        <v>2027482813</v>
      </c>
      <c r="E638" t="s">
        <v>758</v>
      </c>
      <c r="F638" t="s">
        <v>224</v>
      </c>
      <c r="G638" t="s">
        <v>51</v>
      </c>
      <c r="H638" t="s">
        <v>129</v>
      </c>
      <c r="I638" t="s">
        <v>292</v>
      </c>
      <c r="J638" t="s">
        <v>295</v>
      </c>
      <c r="K638">
        <v>651818</v>
      </c>
      <c r="L638" t="s">
        <v>112</v>
      </c>
      <c r="M638" t="s">
        <v>104</v>
      </c>
      <c r="N638" t="s">
        <v>57</v>
      </c>
      <c r="O638" s="1">
        <v>45723</v>
      </c>
      <c r="Q638" s="1">
        <v>45968</v>
      </c>
      <c r="R638" s="2">
        <v>29.25</v>
      </c>
      <c r="S638">
        <v>1</v>
      </c>
      <c r="T638" t="s">
        <v>58</v>
      </c>
      <c r="U638" t="s">
        <v>359</v>
      </c>
      <c r="V638" s="3">
        <v>0.9</v>
      </c>
      <c r="W638" s="2">
        <v>0</v>
      </c>
      <c r="X638">
        <v>0</v>
      </c>
      <c r="Y638" t="s">
        <v>60</v>
      </c>
      <c r="Z638" t="s">
        <v>360</v>
      </c>
      <c r="AA638">
        <v>0</v>
      </c>
      <c r="AB638" s="2">
        <v>0</v>
      </c>
      <c r="AC638" s="2">
        <v>0</v>
      </c>
      <c r="AD638" s="3">
        <v>0</v>
      </c>
      <c r="AE638" s="2">
        <v>0</v>
      </c>
      <c r="AF638" s="2">
        <v>0</v>
      </c>
      <c r="AG638" s="2">
        <v>0</v>
      </c>
      <c r="AH638" s="2">
        <v>0</v>
      </c>
      <c r="AI638" s="2">
        <v>0</v>
      </c>
      <c r="AJ638" s="2">
        <v>0</v>
      </c>
      <c r="AK638" s="2">
        <v>0</v>
      </c>
      <c r="AL638" s="2">
        <v>0</v>
      </c>
      <c r="AM638" s="2">
        <v>26.32</v>
      </c>
      <c r="AN638" s="2">
        <v>26.32</v>
      </c>
      <c r="AO638" s="2">
        <v>0</v>
      </c>
      <c r="AP638" s="2">
        <v>0</v>
      </c>
      <c r="AQ638" s="2">
        <v>0</v>
      </c>
    </row>
    <row r="639" spans="1:43" x14ac:dyDescent="0.25">
      <c r="A639" s="1">
        <v>45936</v>
      </c>
      <c r="B639" t="s">
        <v>48</v>
      </c>
      <c r="C639">
        <v>649163</v>
      </c>
      <c r="D639">
        <v>2027545459</v>
      </c>
      <c r="E639" t="s">
        <v>1003</v>
      </c>
      <c r="F639" t="s">
        <v>1004</v>
      </c>
      <c r="G639" t="s">
        <v>51</v>
      </c>
      <c r="H639" t="s">
        <v>101</v>
      </c>
      <c r="I639" t="s">
        <v>292</v>
      </c>
      <c r="J639" t="s">
        <v>295</v>
      </c>
      <c r="K639">
        <v>651818</v>
      </c>
      <c r="L639" t="s">
        <v>112</v>
      </c>
      <c r="M639" t="s">
        <v>104</v>
      </c>
      <c r="N639" t="s">
        <v>57</v>
      </c>
      <c r="O639" s="1">
        <v>45723</v>
      </c>
      <c r="Q639" s="1">
        <v>45968</v>
      </c>
      <c r="R639" s="2">
        <v>25</v>
      </c>
      <c r="S639">
        <v>1</v>
      </c>
      <c r="T639" t="s">
        <v>58</v>
      </c>
      <c r="U639" t="s">
        <v>359</v>
      </c>
      <c r="V639" s="3">
        <v>0.9</v>
      </c>
      <c r="W639" s="2">
        <v>0</v>
      </c>
      <c r="X639">
        <v>0</v>
      </c>
      <c r="Y639" t="s">
        <v>60</v>
      </c>
      <c r="Z639" t="s">
        <v>360</v>
      </c>
      <c r="AA639">
        <v>0</v>
      </c>
      <c r="AB639" s="2">
        <v>0</v>
      </c>
      <c r="AC639" s="2">
        <v>0</v>
      </c>
      <c r="AD639" s="3">
        <v>0</v>
      </c>
      <c r="AE639" s="2">
        <v>0</v>
      </c>
      <c r="AF639" s="2">
        <v>0</v>
      </c>
      <c r="AG639" s="2">
        <v>0</v>
      </c>
      <c r="AH639" s="2">
        <v>0</v>
      </c>
      <c r="AI639" s="2">
        <v>0</v>
      </c>
      <c r="AJ639" s="2">
        <v>0</v>
      </c>
      <c r="AK639" s="2">
        <v>0</v>
      </c>
      <c r="AL639" s="2">
        <v>0</v>
      </c>
      <c r="AM639" s="2">
        <v>22.5</v>
      </c>
      <c r="AN639" s="2">
        <v>22.5</v>
      </c>
      <c r="AO639" s="2">
        <v>0</v>
      </c>
      <c r="AP639" s="2">
        <v>0</v>
      </c>
      <c r="AQ639" s="2">
        <v>0</v>
      </c>
    </row>
    <row r="640" spans="1:43" x14ac:dyDescent="0.25">
      <c r="A640" s="1">
        <v>45936</v>
      </c>
      <c r="B640" t="s">
        <v>48</v>
      </c>
      <c r="C640">
        <v>649163</v>
      </c>
      <c r="D640">
        <v>2027573958</v>
      </c>
      <c r="E640" t="s">
        <v>1005</v>
      </c>
      <c r="F640" t="s">
        <v>673</v>
      </c>
      <c r="G640" t="s">
        <v>51</v>
      </c>
      <c r="H640" t="s">
        <v>431</v>
      </c>
      <c r="I640" t="s">
        <v>292</v>
      </c>
      <c r="J640" t="s">
        <v>293</v>
      </c>
      <c r="K640">
        <v>673059</v>
      </c>
      <c r="L640" t="s">
        <v>80</v>
      </c>
      <c r="M640" t="s">
        <v>81</v>
      </c>
      <c r="N640" t="s">
        <v>57</v>
      </c>
      <c r="O640" s="1">
        <v>45757</v>
      </c>
      <c r="Q640" s="1">
        <v>45971</v>
      </c>
      <c r="R640" s="2">
        <v>130.27000000000001</v>
      </c>
      <c r="S640">
        <v>1</v>
      </c>
      <c r="T640" t="s">
        <v>58</v>
      </c>
      <c r="U640" t="s">
        <v>359</v>
      </c>
      <c r="V640" s="3">
        <v>0.7</v>
      </c>
      <c r="W640" s="2">
        <v>0</v>
      </c>
      <c r="X640">
        <v>0</v>
      </c>
      <c r="Y640" t="s">
        <v>60</v>
      </c>
      <c r="Z640" t="s">
        <v>360</v>
      </c>
      <c r="AA640">
        <v>0</v>
      </c>
      <c r="AB640" s="2">
        <v>0</v>
      </c>
      <c r="AC640" s="2">
        <v>0</v>
      </c>
      <c r="AD640" s="3">
        <v>0</v>
      </c>
      <c r="AE640" s="2">
        <v>0</v>
      </c>
      <c r="AF640" s="2">
        <v>0</v>
      </c>
      <c r="AG640" s="2">
        <v>0</v>
      </c>
      <c r="AH640" s="2">
        <v>0</v>
      </c>
      <c r="AI640" s="2">
        <v>0</v>
      </c>
      <c r="AJ640" s="2">
        <v>0</v>
      </c>
      <c r="AK640" s="2">
        <v>0</v>
      </c>
      <c r="AL640" s="2">
        <v>0</v>
      </c>
      <c r="AM640" s="2">
        <v>91.19</v>
      </c>
      <c r="AN640" s="2">
        <v>91.19</v>
      </c>
      <c r="AO640" s="2">
        <v>0</v>
      </c>
      <c r="AP640" s="2">
        <v>0</v>
      </c>
      <c r="AQ640" s="2">
        <v>0</v>
      </c>
    </row>
    <row r="641" spans="1:43" x14ac:dyDescent="0.25">
      <c r="A641" s="1">
        <v>45936</v>
      </c>
      <c r="B641" t="s">
        <v>48</v>
      </c>
      <c r="C641">
        <v>649163</v>
      </c>
      <c r="D641">
        <v>2027606915</v>
      </c>
      <c r="E641" t="s">
        <v>256</v>
      </c>
      <c r="F641" t="s">
        <v>165</v>
      </c>
      <c r="G641" t="s">
        <v>51</v>
      </c>
      <c r="H641" t="s">
        <v>101</v>
      </c>
      <c r="I641" t="s">
        <v>292</v>
      </c>
      <c r="J641" t="s">
        <v>293</v>
      </c>
      <c r="K641">
        <v>814033</v>
      </c>
      <c r="L641" t="s">
        <v>256</v>
      </c>
      <c r="M641" t="s">
        <v>165</v>
      </c>
      <c r="N641" t="s">
        <v>57</v>
      </c>
      <c r="O641" s="1">
        <v>45722</v>
      </c>
      <c r="Q641" s="1">
        <v>45967</v>
      </c>
      <c r="R641" s="2">
        <v>11.5</v>
      </c>
      <c r="S641">
        <v>1</v>
      </c>
      <c r="T641" t="s">
        <v>58</v>
      </c>
      <c r="U641" t="s">
        <v>359</v>
      </c>
      <c r="V641" s="3">
        <v>0.7</v>
      </c>
      <c r="W641" s="2">
        <v>0</v>
      </c>
      <c r="X641">
        <v>0</v>
      </c>
      <c r="Y641" t="s">
        <v>60</v>
      </c>
      <c r="Z641" t="s">
        <v>360</v>
      </c>
      <c r="AA641">
        <v>0</v>
      </c>
      <c r="AB641" s="2">
        <v>0</v>
      </c>
      <c r="AC641" s="2">
        <v>0</v>
      </c>
      <c r="AD641" s="3">
        <v>0</v>
      </c>
      <c r="AE641" s="2">
        <v>0</v>
      </c>
      <c r="AF641" s="2">
        <v>0</v>
      </c>
      <c r="AG641" s="2">
        <v>0</v>
      </c>
      <c r="AH641" s="2">
        <v>0</v>
      </c>
      <c r="AI641" s="2">
        <v>0</v>
      </c>
      <c r="AJ641" s="2">
        <v>0</v>
      </c>
      <c r="AK641" s="2">
        <v>0</v>
      </c>
      <c r="AL641" s="2">
        <v>0</v>
      </c>
      <c r="AM641" s="2">
        <v>8.0500000000000007</v>
      </c>
      <c r="AN641" s="2">
        <v>8.0500000000000007</v>
      </c>
      <c r="AO641" s="2">
        <v>0</v>
      </c>
      <c r="AP641" s="2">
        <v>0</v>
      </c>
      <c r="AQ641" s="2">
        <v>0</v>
      </c>
    </row>
    <row r="642" spans="1:43" x14ac:dyDescent="0.25">
      <c r="A642" s="1">
        <v>45936</v>
      </c>
      <c r="B642" t="s">
        <v>48</v>
      </c>
      <c r="C642">
        <v>649163</v>
      </c>
      <c r="D642">
        <v>2027625564</v>
      </c>
      <c r="E642" t="s">
        <v>1006</v>
      </c>
      <c r="F642" t="s">
        <v>1007</v>
      </c>
      <c r="G642" t="s">
        <v>51</v>
      </c>
      <c r="H642" t="s">
        <v>101</v>
      </c>
      <c r="I642" t="s">
        <v>292</v>
      </c>
      <c r="J642" t="s">
        <v>293</v>
      </c>
      <c r="K642">
        <v>760902</v>
      </c>
      <c r="L642" t="s">
        <v>1008</v>
      </c>
      <c r="M642" t="s">
        <v>1009</v>
      </c>
      <c r="N642" t="s">
        <v>57</v>
      </c>
      <c r="O642" s="1">
        <v>45725</v>
      </c>
      <c r="Q642" s="1">
        <v>45970</v>
      </c>
      <c r="R642" s="2">
        <v>19</v>
      </c>
      <c r="S642">
        <v>1</v>
      </c>
      <c r="T642" t="s">
        <v>58</v>
      </c>
      <c r="U642" t="s">
        <v>359</v>
      </c>
      <c r="V642" s="3">
        <v>0.7</v>
      </c>
      <c r="W642" s="2">
        <v>0</v>
      </c>
      <c r="X642">
        <v>0</v>
      </c>
      <c r="Y642" t="s">
        <v>60</v>
      </c>
      <c r="Z642" t="s">
        <v>360</v>
      </c>
      <c r="AA642">
        <v>0</v>
      </c>
      <c r="AB642" s="2">
        <v>0</v>
      </c>
      <c r="AC642" s="2">
        <v>0</v>
      </c>
      <c r="AD642" s="3">
        <v>0</v>
      </c>
      <c r="AE642" s="2">
        <v>0</v>
      </c>
      <c r="AF642" s="2">
        <v>0</v>
      </c>
      <c r="AG642" s="2">
        <v>0</v>
      </c>
      <c r="AH642" s="2">
        <v>0</v>
      </c>
      <c r="AI642" s="2">
        <v>0</v>
      </c>
      <c r="AJ642" s="2">
        <v>0</v>
      </c>
      <c r="AK642" s="2">
        <v>0</v>
      </c>
      <c r="AL642" s="2">
        <v>0</v>
      </c>
      <c r="AM642" s="2">
        <v>13.3</v>
      </c>
      <c r="AN642" s="2">
        <v>13.3</v>
      </c>
      <c r="AO642" s="2">
        <v>0</v>
      </c>
      <c r="AP642" s="2">
        <v>0</v>
      </c>
      <c r="AQ642" s="2">
        <v>0</v>
      </c>
    </row>
    <row r="643" spans="1:43" x14ac:dyDescent="0.25">
      <c r="A643" s="1">
        <v>45936</v>
      </c>
      <c r="B643" t="s">
        <v>48</v>
      </c>
      <c r="C643">
        <v>649163</v>
      </c>
      <c r="D643">
        <v>2027642346</v>
      </c>
      <c r="E643" t="s">
        <v>411</v>
      </c>
      <c r="F643" t="s">
        <v>412</v>
      </c>
      <c r="G643" t="s">
        <v>51</v>
      </c>
      <c r="H643" t="s">
        <v>159</v>
      </c>
      <c r="I643" t="s">
        <v>292</v>
      </c>
      <c r="J643" t="s">
        <v>536</v>
      </c>
      <c r="K643">
        <v>651818</v>
      </c>
      <c r="L643" t="s">
        <v>112</v>
      </c>
      <c r="M643" t="s">
        <v>104</v>
      </c>
      <c r="N643" t="s">
        <v>57</v>
      </c>
      <c r="O643" s="1">
        <v>45754</v>
      </c>
      <c r="Q643" s="1">
        <v>45968</v>
      </c>
      <c r="R643" s="2">
        <v>21.44</v>
      </c>
      <c r="S643">
        <v>1</v>
      </c>
      <c r="T643" t="s">
        <v>58</v>
      </c>
      <c r="U643" t="s">
        <v>359</v>
      </c>
      <c r="V643" s="3">
        <v>0.7</v>
      </c>
      <c r="W643" s="2">
        <v>0</v>
      </c>
      <c r="X643">
        <v>0</v>
      </c>
      <c r="Y643" t="s">
        <v>60</v>
      </c>
      <c r="Z643" t="s">
        <v>360</v>
      </c>
      <c r="AA643">
        <v>0</v>
      </c>
      <c r="AB643" s="2">
        <v>0</v>
      </c>
      <c r="AC643" s="2">
        <v>0</v>
      </c>
      <c r="AD643" s="3">
        <v>0</v>
      </c>
      <c r="AE643" s="2">
        <v>0</v>
      </c>
      <c r="AF643" s="2">
        <v>0</v>
      </c>
      <c r="AG643" s="2">
        <v>0</v>
      </c>
      <c r="AH643" s="2">
        <v>0</v>
      </c>
      <c r="AI643" s="2">
        <v>0</v>
      </c>
      <c r="AJ643" s="2">
        <v>0</v>
      </c>
      <c r="AK643" s="2">
        <v>0</v>
      </c>
      <c r="AL643" s="2">
        <v>0</v>
      </c>
      <c r="AM643" s="2">
        <v>15.01</v>
      </c>
      <c r="AN643" s="2">
        <v>15.01</v>
      </c>
      <c r="AO643" s="2">
        <v>0</v>
      </c>
      <c r="AP643" s="2">
        <v>0</v>
      </c>
      <c r="AQ643" s="2">
        <v>0</v>
      </c>
    </row>
    <row r="644" spans="1:43" x14ac:dyDescent="0.25">
      <c r="A644" s="1">
        <v>45936</v>
      </c>
      <c r="B644" t="s">
        <v>48</v>
      </c>
      <c r="C644">
        <v>649163</v>
      </c>
      <c r="D644">
        <v>2027712307</v>
      </c>
      <c r="E644" t="s">
        <v>1010</v>
      </c>
      <c r="F644" t="s">
        <v>1011</v>
      </c>
      <c r="G644" t="s">
        <v>51</v>
      </c>
      <c r="H644" t="s">
        <v>101</v>
      </c>
      <c r="I644" t="s">
        <v>292</v>
      </c>
      <c r="J644" t="s">
        <v>295</v>
      </c>
      <c r="K644">
        <v>651818</v>
      </c>
      <c r="L644" t="s">
        <v>112</v>
      </c>
      <c r="M644" t="s">
        <v>104</v>
      </c>
      <c r="N644" t="s">
        <v>57</v>
      </c>
      <c r="O644" s="1">
        <v>45727</v>
      </c>
      <c r="Q644" s="1">
        <v>45941</v>
      </c>
      <c r="R644" s="2">
        <v>123.44</v>
      </c>
      <c r="S644">
        <v>1</v>
      </c>
      <c r="T644" t="s">
        <v>58</v>
      </c>
      <c r="U644" t="s">
        <v>359</v>
      </c>
      <c r="V644" s="3">
        <v>0.9</v>
      </c>
      <c r="W644" s="2">
        <v>0</v>
      </c>
      <c r="X644">
        <v>0</v>
      </c>
      <c r="Y644" t="s">
        <v>60</v>
      </c>
      <c r="Z644" t="s">
        <v>360</v>
      </c>
      <c r="AA644">
        <v>0</v>
      </c>
      <c r="AB644" s="2">
        <v>0</v>
      </c>
      <c r="AC644" s="2">
        <v>0</v>
      </c>
      <c r="AD644" s="3">
        <v>0</v>
      </c>
      <c r="AE644" s="2">
        <v>0</v>
      </c>
      <c r="AF644" s="2">
        <v>0</v>
      </c>
      <c r="AG644" s="2">
        <v>0</v>
      </c>
      <c r="AH644" s="2">
        <v>0</v>
      </c>
      <c r="AI644" s="2">
        <v>0</v>
      </c>
      <c r="AJ644" s="2">
        <v>0</v>
      </c>
      <c r="AK644" s="2">
        <v>0</v>
      </c>
      <c r="AL644" s="2">
        <v>0</v>
      </c>
      <c r="AM644" s="2">
        <v>111.1</v>
      </c>
      <c r="AN644" s="2">
        <v>111.1</v>
      </c>
      <c r="AO644" s="2">
        <v>0</v>
      </c>
      <c r="AP644" s="2">
        <v>0</v>
      </c>
      <c r="AQ644" s="2">
        <v>0</v>
      </c>
    </row>
    <row r="645" spans="1:43" x14ac:dyDescent="0.25">
      <c r="A645" s="1">
        <v>45936</v>
      </c>
      <c r="B645" t="s">
        <v>48</v>
      </c>
      <c r="C645">
        <v>649163</v>
      </c>
      <c r="D645">
        <v>2027859846</v>
      </c>
      <c r="E645" t="s">
        <v>759</v>
      </c>
      <c r="F645" t="s">
        <v>760</v>
      </c>
      <c r="G645" t="s">
        <v>51</v>
      </c>
      <c r="H645" t="s">
        <v>119</v>
      </c>
      <c r="I645" t="s">
        <v>292</v>
      </c>
      <c r="J645" t="s">
        <v>295</v>
      </c>
      <c r="K645">
        <v>651818</v>
      </c>
      <c r="L645" t="s">
        <v>112</v>
      </c>
      <c r="M645" t="s">
        <v>104</v>
      </c>
      <c r="N645" t="s">
        <v>57</v>
      </c>
      <c r="O645" s="1">
        <v>45754</v>
      </c>
      <c r="Q645" s="1">
        <v>45968</v>
      </c>
      <c r="R645" s="2">
        <v>248.92</v>
      </c>
      <c r="S645">
        <v>1</v>
      </c>
      <c r="T645" t="s">
        <v>58</v>
      </c>
      <c r="U645" t="s">
        <v>359</v>
      </c>
      <c r="V645" s="3">
        <v>0.9</v>
      </c>
      <c r="W645" s="2">
        <v>0</v>
      </c>
      <c r="X645">
        <v>0</v>
      </c>
      <c r="Y645" t="s">
        <v>60</v>
      </c>
      <c r="Z645" t="s">
        <v>360</v>
      </c>
      <c r="AA645">
        <v>0</v>
      </c>
      <c r="AB645" s="2">
        <v>0</v>
      </c>
      <c r="AC645" s="2">
        <v>0</v>
      </c>
      <c r="AD645" s="3">
        <v>0</v>
      </c>
      <c r="AE645" s="2">
        <v>0</v>
      </c>
      <c r="AF645" s="2">
        <v>0</v>
      </c>
      <c r="AG645" s="2">
        <v>0</v>
      </c>
      <c r="AH645" s="2">
        <v>0</v>
      </c>
      <c r="AI645" s="2">
        <v>0</v>
      </c>
      <c r="AJ645" s="2">
        <v>0</v>
      </c>
      <c r="AK645" s="2">
        <v>0</v>
      </c>
      <c r="AL645" s="2">
        <v>0</v>
      </c>
      <c r="AM645" s="2">
        <v>224.03</v>
      </c>
      <c r="AN645" s="2">
        <v>224.03</v>
      </c>
      <c r="AO645" s="2">
        <v>0</v>
      </c>
      <c r="AP645" s="2">
        <v>0</v>
      </c>
      <c r="AQ645" s="2">
        <v>0</v>
      </c>
    </row>
    <row r="646" spans="1:43" x14ac:dyDescent="0.25">
      <c r="A646" s="1">
        <v>45936</v>
      </c>
      <c r="B646" t="s">
        <v>48</v>
      </c>
      <c r="C646">
        <v>649163</v>
      </c>
      <c r="D646">
        <v>2027859847</v>
      </c>
      <c r="E646" t="s">
        <v>759</v>
      </c>
      <c r="F646" t="s">
        <v>760</v>
      </c>
      <c r="G646" t="s">
        <v>51</v>
      </c>
      <c r="H646" t="s">
        <v>119</v>
      </c>
      <c r="I646" t="s">
        <v>292</v>
      </c>
      <c r="J646" t="s">
        <v>293</v>
      </c>
      <c r="K646">
        <v>651818</v>
      </c>
      <c r="L646" t="s">
        <v>112</v>
      </c>
      <c r="M646" t="s">
        <v>104</v>
      </c>
      <c r="N646" t="s">
        <v>57</v>
      </c>
      <c r="O646" s="1">
        <v>45754</v>
      </c>
      <c r="Q646" s="1">
        <v>45968</v>
      </c>
      <c r="R646" s="2">
        <v>51</v>
      </c>
      <c r="S646">
        <v>1</v>
      </c>
      <c r="T646" t="s">
        <v>58</v>
      </c>
      <c r="U646" t="s">
        <v>359</v>
      </c>
      <c r="V646" s="3">
        <v>0.7</v>
      </c>
      <c r="W646" s="2">
        <v>0</v>
      </c>
      <c r="X646">
        <v>0</v>
      </c>
      <c r="Y646" t="s">
        <v>60</v>
      </c>
      <c r="Z646" t="s">
        <v>360</v>
      </c>
      <c r="AA646">
        <v>0</v>
      </c>
      <c r="AB646" s="2">
        <v>0</v>
      </c>
      <c r="AC646" s="2">
        <v>0</v>
      </c>
      <c r="AD646" s="3">
        <v>0</v>
      </c>
      <c r="AE646" s="2">
        <v>0</v>
      </c>
      <c r="AF646" s="2">
        <v>0</v>
      </c>
      <c r="AG646" s="2">
        <v>0</v>
      </c>
      <c r="AH646" s="2">
        <v>0</v>
      </c>
      <c r="AI646" s="2">
        <v>0</v>
      </c>
      <c r="AJ646" s="2">
        <v>0</v>
      </c>
      <c r="AK646" s="2">
        <v>0</v>
      </c>
      <c r="AL646" s="2">
        <v>0</v>
      </c>
      <c r="AM646" s="2">
        <v>35.700000000000003</v>
      </c>
      <c r="AN646" s="2">
        <v>35.700000000000003</v>
      </c>
      <c r="AO646" s="2">
        <v>0</v>
      </c>
      <c r="AP646" s="2">
        <v>0</v>
      </c>
      <c r="AQ646" s="2">
        <v>0</v>
      </c>
    </row>
    <row r="647" spans="1:43" x14ac:dyDescent="0.25">
      <c r="A647" s="1">
        <v>45936</v>
      </c>
      <c r="B647" t="s">
        <v>48</v>
      </c>
      <c r="C647">
        <v>649163</v>
      </c>
      <c r="D647">
        <v>2027862507</v>
      </c>
      <c r="E647" t="s">
        <v>761</v>
      </c>
      <c r="F647" t="s">
        <v>762</v>
      </c>
      <c r="G647" t="s">
        <v>51</v>
      </c>
      <c r="H647" t="s">
        <v>52</v>
      </c>
      <c r="I647" t="s">
        <v>292</v>
      </c>
      <c r="J647" t="s">
        <v>293</v>
      </c>
      <c r="K647">
        <v>651818</v>
      </c>
      <c r="L647" t="s">
        <v>112</v>
      </c>
      <c r="M647" t="s">
        <v>104</v>
      </c>
      <c r="N647" t="s">
        <v>57</v>
      </c>
      <c r="O647" s="1">
        <v>45754</v>
      </c>
      <c r="Q647" s="1">
        <v>45968</v>
      </c>
      <c r="R647" s="2">
        <v>89.52</v>
      </c>
      <c r="S647">
        <v>1</v>
      </c>
      <c r="T647" t="s">
        <v>58</v>
      </c>
      <c r="U647" t="s">
        <v>359</v>
      </c>
      <c r="V647" s="3">
        <v>0.7</v>
      </c>
      <c r="W647" s="2">
        <v>0</v>
      </c>
      <c r="X647">
        <v>0</v>
      </c>
      <c r="Y647" t="s">
        <v>60</v>
      </c>
      <c r="Z647" t="s">
        <v>360</v>
      </c>
      <c r="AA647">
        <v>0</v>
      </c>
      <c r="AB647" s="2">
        <v>0</v>
      </c>
      <c r="AC647" s="2">
        <v>0</v>
      </c>
      <c r="AD647" s="3">
        <v>0</v>
      </c>
      <c r="AE647" s="2">
        <v>0</v>
      </c>
      <c r="AF647" s="2">
        <v>0</v>
      </c>
      <c r="AG647" s="2">
        <v>0</v>
      </c>
      <c r="AH647" s="2">
        <v>0</v>
      </c>
      <c r="AI647" s="2">
        <v>0</v>
      </c>
      <c r="AJ647" s="2">
        <v>0</v>
      </c>
      <c r="AK647" s="2">
        <v>0</v>
      </c>
      <c r="AL647" s="2">
        <v>0</v>
      </c>
      <c r="AM647" s="2">
        <v>62.66</v>
      </c>
      <c r="AN647" s="2">
        <v>62.66</v>
      </c>
      <c r="AO647" s="2">
        <v>0</v>
      </c>
      <c r="AP647" s="2">
        <v>0</v>
      </c>
      <c r="AQ647" s="2">
        <v>0</v>
      </c>
    </row>
    <row r="648" spans="1:43" x14ac:dyDescent="0.25">
      <c r="A648" s="1">
        <v>45936</v>
      </c>
      <c r="B648" t="s">
        <v>48</v>
      </c>
      <c r="C648">
        <v>649163</v>
      </c>
      <c r="D648">
        <v>2027863479</v>
      </c>
      <c r="E648" t="s">
        <v>759</v>
      </c>
      <c r="F648" t="s">
        <v>763</v>
      </c>
      <c r="G648" t="s">
        <v>51</v>
      </c>
      <c r="H648" t="s">
        <v>119</v>
      </c>
      <c r="I648" t="s">
        <v>292</v>
      </c>
      <c r="J648" t="s">
        <v>295</v>
      </c>
      <c r="K648">
        <v>651818</v>
      </c>
      <c r="L648" t="s">
        <v>112</v>
      </c>
      <c r="M648" t="s">
        <v>104</v>
      </c>
      <c r="N648" t="s">
        <v>57</v>
      </c>
      <c r="O648" s="1">
        <v>45754</v>
      </c>
      <c r="Q648" s="1">
        <v>45968</v>
      </c>
      <c r="R648" s="2">
        <v>26.25</v>
      </c>
      <c r="S648">
        <v>1</v>
      </c>
      <c r="T648" t="s">
        <v>58</v>
      </c>
      <c r="U648" t="s">
        <v>359</v>
      </c>
      <c r="V648" s="3">
        <v>0.9</v>
      </c>
      <c r="W648" s="2">
        <v>0</v>
      </c>
      <c r="X648">
        <v>0</v>
      </c>
      <c r="Y648" t="s">
        <v>60</v>
      </c>
      <c r="Z648" t="s">
        <v>360</v>
      </c>
      <c r="AA648">
        <v>0</v>
      </c>
      <c r="AB648" s="2">
        <v>0</v>
      </c>
      <c r="AC648" s="2">
        <v>0</v>
      </c>
      <c r="AD648" s="3">
        <v>0</v>
      </c>
      <c r="AE648" s="2">
        <v>0</v>
      </c>
      <c r="AF648" s="2">
        <v>0</v>
      </c>
      <c r="AG648" s="2">
        <v>0</v>
      </c>
      <c r="AH648" s="2">
        <v>0</v>
      </c>
      <c r="AI648" s="2">
        <v>0</v>
      </c>
      <c r="AJ648" s="2">
        <v>0</v>
      </c>
      <c r="AK648" s="2">
        <v>0</v>
      </c>
      <c r="AL648" s="2">
        <v>0</v>
      </c>
      <c r="AM648" s="2">
        <v>23.62</v>
      </c>
      <c r="AN648" s="2">
        <v>23.62</v>
      </c>
      <c r="AO648" s="2">
        <v>0</v>
      </c>
      <c r="AP648" s="2">
        <v>0</v>
      </c>
      <c r="AQ648" s="2">
        <v>0</v>
      </c>
    </row>
    <row r="649" spans="1:43" x14ac:dyDescent="0.25">
      <c r="A649" s="1">
        <v>45936</v>
      </c>
      <c r="B649" t="s">
        <v>48</v>
      </c>
      <c r="C649">
        <v>649163</v>
      </c>
      <c r="D649">
        <v>2027863480</v>
      </c>
      <c r="E649" t="s">
        <v>759</v>
      </c>
      <c r="F649" t="s">
        <v>763</v>
      </c>
      <c r="G649" t="s">
        <v>51</v>
      </c>
      <c r="H649" t="s">
        <v>119</v>
      </c>
      <c r="I649" t="s">
        <v>292</v>
      </c>
      <c r="J649" t="s">
        <v>293</v>
      </c>
      <c r="K649">
        <v>651818</v>
      </c>
      <c r="L649" t="s">
        <v>112</v>
      </c>
      <c r="M649" t="s">
        <v>104</v>
      </c>
      <c r="N649" t="s">
        <v>57</v>
      </c>
      <c r="O649" s="1">
        <v>45754</v>
      </c>
      <c r="Q649" s="1">
        <v>45968</v>
      </c>
      <c r="R649" s="2">
        <v>34</v>
      </c>
      <c r="S649">
        <v>1</v>
      </c>
      <c r="T649" t="s">
        <v>58</v>
      </c>
      <c r="U649" t="s">
        <v>359</v>
      </c>
      <c r="V649" s="3">
        <v>0.7</v>
      </c>
      <c r="W649" s="2">
        <v>0</v>
      </c>
      <c r="X649">
        <v>0</v>
      </c>
      <c r="Y649" t="s">
        <v>60</v>
      </c>
      <c r="Z649" t="s">
        <v>360</v>
      </c>
      <c r="AA649">
        <v>0</v>
      </c>
      <c r="AB649" s="2">
        <v>0</v>
      </c>
      <c r="AC649" s="2">
        <v>0</v>
      </c>
      <c r="AD649" s="3">
        <v>0</v>
      </c>
      <c r="AE649" s="2">
        <v>0</v>
      </c>
      <c r="AF649" s="2">
        <v>0</v>
      </c>
      <c r="AG649" s="2">
        <v>0</v>
      </c>
      <c r="AH649" s="2">
        <v>0</v>
      </c>
      <c r="AI649" s="2">
        <v>0</v>
      </c>
      <c r="AJ649" s="2">
        <v>0</v>
      </c>
      <c r="AK649" s="2">
        <v>0</v>
      </c>
      <c r="AL649" s="2">
        <v>0</v>
      </c>
      <c r="AM649" s="2">
        <v>23.8</v>
      </c>
      <c r="AN649" s="2">
        <v>23.8</v>
      </c>
      <c r="AO649" s="2">
        <v>0</v>
      </c>
      <c r="AP649" s="2">
        <v>0</v>
      </c>
      <c r="AQ649" s="2">
        <v>0</v>
      </c>
    </row>
    <row r="650" spans="1:43" x14ac:dyDescent="0.25">
      <c r="A650" s="1">
        <v>45936</v>
      </c>
      <c r="B650" t="s">
        <v>48</v>
      </c>
      <c r="C650">
        <v>649163</v>
      </c>
      <c r="D650">
        <v>2027887271</v>
      </c>
      <c r="E650" t="s">
        <v>764</v>
      </c>
      <c r="F650" t="s">
        <v>81</v>
      </c>
      <c r="G650" t="s">
        <v>51</v>
      </c>
      <c r="H650" t="s">
        <v>119</v>
      </c>
      <c r="I650" t="s">
        <v>292</v>
      </c>
      <c r="J650" t="s">
        <v>295</v>
      </c>
      <c r="K650">
        <v>651818</v>
      </c>
      <c r="L650" t="s">
        <v>112</v>
      </c>
      <c r="M650" t="s">
        <v>104</v>
      </c>
      <c r="N650" t="s">
        <v>57</v>
      </c>
      <c r="O650" s="1">
        <v>45754</v>
      </c>
      <c r="Q650" s="1">
        <v>45968</v>
      </c>
      <c r="R650" s="2">
        <v>35.46</v>
      </c>
      <c r="S650">
        <v>1</v>
      </c>
      <c r="T650" t="s">
        <v>58</v>
      </c>
      <c r="U650" t="s">
        <v>359</v>
      </c>
      <c r="V650" s="3">
        <v>0.9</v>
      </c>
      <c r="W650" s="2">
        <v>0</v>
      </c>
      <c r="X650">
        <v>0</v>
      </c>
      <c r="Y650" t="s">
        <v>60</v>
      </c>
      <c r="Z650" t="s">
        <v>360</v>
      </c>
      <c r="AA650">
        <v>0</v>
      </c>
      <c r="AB650" s="2">
        <v>0</v>
      </c>
      <c r="AC650" s="2">
        <v>0</v>
      </c>
      <c r="AD650" s="3">
        <v>0</v>
      </c>
      <c r="AE650" s="2">
        <v>0</v>
      </c>
      <c r="AF650" s="2">
        <v>0</v>
      </c>
      <c r="AG650" s="2">
        <v>0</v>
      </c>
      <c r="AH650" s="2">
        <v>0</v>
      </c>
      <c r="AI650" s="2">
        <v>0</v>
      </c>
      <c r="AJ650" s="2">
        <v>0</v>
      </c>
      <c r="AK650" s="2">
        <v>0</v>
      </c>
      <c r="AL650" s="2">
        <v>0</v>
      </c>
      <c r="AM650" s="2">
        <v>31.91</v>
      </c>
      <c r="AN650" s="2">
        <v>31.91</v>
      </c>
      <c r="AO650" s="2">
        <v>0</v>
      </c>
      <c r="AP650" s="2">
        <v>0</v>
      </c>
      <c r="AQ650" s="2">
        <v>0</v>
      </c>
    </row>
    <row r="651" spans="1:43" x14ac:dyDescent="0.25">
      <c r="A651" s="1">
        <v>45936</v>
      </c>
      <c r="B651" t="s">
        <v>48</v>
      </c>
      <c r="C651">
        <v>649163</v>
      </c>
      <c r="D651">
        <v>2027887272</v>
      </c>
      <c r="E651" t="s">
        <v>764</v>
      </c>
      <c r="F651" t="s">
        <v>81</v>
      </c>
      <c r="G651" t="s">
        <v>51</v>
      </c>
      <c r="H651" t="s">
        <v>119</v>
      </c>
      <c r="I651" t="s">
        <v>292</v>
      </c>
      <c r="J651" t="s">
        <v>293</v>
      </c>
      <c r="K651">
        <v>651818</v>
      </c>
      <c r="L651" t="s">
        <v>112</v>
      </c>
      <c r="M651" t="s">
        <v>104</v>
      </c>
      <c r="N651" t="s">
        <v>57</v>
      </c>
      <c r="O651" s="1">
        <v>45754</v>
      </c>
      <c r="Q651" s="1">
        <v>45968</v>
      </c>
      <c r="R651" s="2">
        <v>34</v>
      </c>
      <c r="S651">
        <v>1</v>
      </c>
      <c r="T651" t="s">
        <v>58</v>
      </c>
      <c r="U651" t="s">
        <v>359</v>
      </c>
      <c r="V651" s="3">
        <v>0.7</v>
      </c>
      <c r="W651" s="2">
        <v>0</v>
      </c>
      <c r="X651">
        <v>0</v>
      </c>
      <c r="Y651" t="s">
        <v>60</v>
      </c>
      <c r="Z651" t="s">
        <v>360</v>
      </c>
      <c r="AA651">
        <v>0</v>
      </c>
      <c r="AB651" s="2">
        <v>0</v>
      </c>
      <c r="AC651" s="2">
        <v>0</v>
      </c>
      <c r="AD651" s="3">
        <v>0</v>
      </c>
      <c r="AE651" s="2">
        <v>0</v>
      </c>
      <c r="AF651" s="2">
        <v>0</v>
      </c>
      <c r="AG651" s="2">
        <v>0</v>
      </c>
      <c r="AH651" s="2">
        <v>0</v>
      </c>
      <c r="AI651" s="2">
        <v>0</v>
      </c>
      <c r="AJ651" s="2">
        <v>0</v>
      </c>
      <c r="AK651" s="2">
        <v>0</v>
      </c>
      <c r="AL651" s="2">
        <v>0</v>
      </c>
      <c r="AM651" s="2">
        <v>23.8</v>
      </c>
      <c r="AN651" s="2">
        <v>23.8</v>
      </c>
      <c r="AO651" s="2">
        <v>0</v>
      </c>
      <c r="AP651" s="2">
        <v>0</v>
      </c>
      <c r="AQ651" s="2">
        <v>0</v>
      </c>
    </row>
    <row r="652" spans="1:43" x14ac:dyDescent="0.25">
      <c r="A652" s="1">
        <v>45936</v>
      </c>
      <c r="B652" t="s">
        <v>48</v>
      </c>
      <c r="C652">
        <v>649163</v>
      </c>
      <c r="D652">
        <v>2027887273</v>
      </c>
      <c r="E652" t="s">
        <v>764</v>
      </c>
      <c r="F652" t="s">
        <v>81</v>
      </c>
      <c r="G652" t="s">
        <v>51</v>
      </c>
      <c r="H652" t="s">
        <v>119</v>
      </c>
      <c r="I652" t="s">
        <v>292</v>
      </c>
      <c r="J652" t="s">
        <v>331</v>
      </c>
      <c r="K652">
        <v>651818</v>
      </c>
      <c r="L652" t="s">
        <v>112</v>
      </c>
      <c r="M652" t="s">
        <v>104</v>
      </c>
      <c r="N652" t="s">
        <v>57</v>
      </c>
      <c r="O652" s="1">
        <v>45754</v>
      </c>
      <c r="Q652" s="1">
        <v>45968</v>
      </c>
      <c r="R652" s="2">
        <v>22.53</v>
      </c>
      <c r="S652">
        <v>1</v>
      </c>
      <c r="T652" t="s">
        <v>58</v>
      </c>
      <c r="U652" t="s">
        <v>359</v>
      </c>
      <c r="V652" s="3">
        <v>0.42</v>
      </c>
      <c r="W652" s="2">
        <v>0</v>
      </c>
      <c r="X652">
        <v>0</v>
      </c>
      <c r="Y652" t="s">
        <v>60</v>
      </c>
      <c r="Z652" t="s">
        <v>360</v>
      </c>
      <c r="AA652">
        <v>0</v>
      </c>
      <c r="AB652" s="2">
        <v>0</v>
      </c>
      <c r="AC652" s="2">
        <v>0</v>
      </c>
      <c r="AD652" s="3">
        <v>0</v>
      </c>
      <c r="AE652" s="2">
        <v>0</v>
      </c>
      <c r="AF652" s="2">
        <v>0</v>
      </c>
      <c r="AG652" s="2">
        <v>0</v>
      </c>
      <c r="AH652" s="2">
        <v>0</v>
      </c>
      <c r="AI652" s="2">
        <v>0</v>
      </c>
      <c r="AJ652" s="2">
        <v>0</v>
      </c>
      <c r="AK652" s="2">
        <v>0</v>
      </c>
      <c r="AL652" s="2">
        <v>0</v>
      </c>
      <c r="AM652" s="2">
        <v>9.4600000000000009</v>
      </c>
      <c r="AN652" s="2">
        <v>9.4600000000000009</v>
      </c>
      <c r="AO652" s="2">
        <v>0</v>
      </c>
      <c r="AP652" s="2">
        <v>0</v>
      </c>
      <c r="AQ652" s="2">
        <v>0</v>
      </c>
    </row>
    <row r="653" spans="1:43" x14ac:dyDescent="0.25">
      <c r="A653" s="1">
        <v>45936</v>
      </c>
      <c r="B653" t="s">
        <v>48</v>
      </c>
      <c r="C653">
        <v>649163</v>
      </c>
      <c r="D653">
        <v>2027965833</v>
      </c>
      <c r="E653" t="s">
        <v>765</v>
      </c>
      <c r="F653" t="s">
        <v>63</v>
      </c>
      <c r="G653" t="s">
        <v>51</v>
      </c>
      <c r="H653" t="s">
        <v>88</v>
      </c>
      <c r="I653" t="s">
        <v>292</v>
      </c>
      <c r="J653" t="s">
        <v>293</v>
      </c>
      <c r="K653">
        <v>812782</v>
      </c>
      <c r="L653" t="s">
        <v>91</v>
      </c>
      <c r="M653" t="s">
        <v>92</v>
      </c>
      <c r="N653" t="s">
        <v>456</v>
      </c>
      <c r="O653" s="1">
        <v>45738</v>
      </c>
      <c r="P653" s="1">
        <v>45936</v>
      </c>
      <c r="Q653" s="1">
        <v>45952</v>
      </c>
      <c r="R653" s="2">
        <v>-11.38</v>
      </c>
      <c r="S653">
        <v>1</v>
      </c>
      <c r="T653" t="s">
        <v>58</v>
      </c>
      <c r="U653" t="s">
        <v>359</v>
      </c>
      <c r="V653" s="3">
        <v>0.7</v>
      </c>
      <c r="W653" s="2">
        <v>0</v>
      </c>
      <c r="X653">
        <v>-1</v>
      </c>
      <c r="Y653" t="s">
        <v>60</v>
      </c>
      <c r="Z653" t="s">
        <v>360</v>
      </c>
      <c r="AA653">
        <v>0</v>
      </c>
      <c r="AB653" s="2">
        <v>0</v>
      </c>
      <c r="AC653" s="2">
        <v>0</v>
      </c>
      <c r="AD653" s="3">
        <v>0</v>
      </c>
      <c r="AE653" s="2">
        <v>0</v>
      </c>
      <c r="AF653" s="2">
        <v>0</v>
      </c>
      <c r="AG653" s="2">
        <v>0</v>
      </c>
      <c r="AH653" s="2">
        <v>0</v>
      </c>
      <c r="AI653" s="2">
        <v>0</v>
      </c>
      <c r="AJ653" s="2">
        <v>0</v>
      </c>
      <c r="AK653" s="2">
        <v>0</v>
      </c>
      <c r="AL653" s="2">
        <v>0</v>
      </c>
      <c r="AM653" s="2">
        <v>-7.97</v>
      </c>
      <c r="AN653" s="2">
        <v>-7.97</v>
      </c>
      <c r="AO653" s="2">
        <v>0</v>
      </c>
      <c r="AP653" s="2">
        <v>0</v>
      </c>
      <c r="AQ653" s="2">
        <v>0</v>
      </c>
    </row>
    <row r="654" spans="1:43" x14ac:dyDescent="0.25">
      <c r="A654" s="1">
        <v>45936</v>
      </c>
      <c r="B654" t="s">
        <v>48</v>
      </c>
      <c r="C654">
        <v>649163</v>
      </c>
      <c r="D654">
        <v>2027993138</v>
      </c>
      <c r="E654" t="s">
        <v>1012</v>
      </c>
      <c r="F654" t="s">
        <v>145</v>
      </c>
      <c r="G654" t="s">
        <v>51</v>
      </c>
      <c r="H654" t="s">
        <v>101</v>
      </c>
      <c r="I654" t="s">
        <v>292</v>
      </c>
      <c r="J654" t="s">
        <v>293</v>
      </c>
      <c r="K654">
        <v>821015</v>
      </c>
      <c r="L654" t="s">
        <v>325</v>
      </c>
      <c r="M654" t="s">
        <v>326</v>
      </c>
      <c r="N654" t="s">
        <v>57</v>
      </c>
      <c r="O654" s="1">
        <v>45748</v>
      </c>
      <c r="Q654" s="1">
        <v>45962</v>
      </c>
      <c r="R654" s="2">
        <v>-50.19</v>
      </c>
      <c r="S654">
        <v>1</v>
      </c>
      <c r="T654" t="s">
        <v>58</v>
      </c>
      <c r="U654" t="s">
        <v>359</v>
      </c>
      <c r="V654" s="3">
        <v>0.7</v>
      </c>
      <c r="W654" s="2">
        <v>0</v>
      </c>
      <c r="X654">
        <v>-1</v>
      </c>
      <c r="Y654" t="s">
        <v>60</v>
      </c>
      <c r="Z654" t="s">
        <v>360</v>
      </c>
      <c r="AA654">
        <v>0</v>
      </c>
      <c r="AB654" s="2">
        <v>0</v>
      </c>
      <c r="AC654" s="2">
        <v>0</v>
      </c>
      <c r="AD654" s="3">
        <v>0</v>
      </c>
      <c r="AE654" s="2">
        <v>0</v>
      </c>
      <c r="AF654" s="2">
        <v>0</v>
      </c>
      <c r="AG654" s="2">
        <v>0</v>
      </c>
      <c r="AH654" s="2">
        <v>0</v>
      </c>
      <c r="AI654" s="2">
        <v>0</v>
      </c>
      <c r="AJ654" s="2">
        <v>0</v>
      </c>
      <c r="AK654" s="2">
        <v>0</v>
      </c>
      <c r="AL654" s="2">
        <v>0</v>
      </c>
      <c r="AM654" s="2">
        <v>-35.130000000000003</v>
      </c>
      <c r="AN654" s="2">
        <v>-35.130000000000003</v>
      </c>
      <c r="AO654" s="2">
        <v>0</v>
      </c>
      <c r="AP654" s="2">
        <v>0</v>
      </c>
      <c r="AQ654" s="2">
        <v>0</v>
      </c>
    </row>
    <row r="655" spans="1:43" x14ac:dyDescent="0.25">
      <c r="A655" s="1">
        <v>45936</v>
      </c>
      <c r="B655" t="s">
        <v>48</v>
      </c>
      <c r="C655">
        <v>649163</v>
      </c>
      <c r="D655">
        <v>2028073917</v>
      </c>
      <c r="E655" t="s">
        <v>1013</v>
      </c>
      <c r="F655" t="s">
        <v>1014</v>
      </c>
      <c r="G655" t="s">
        <v>51</v>
      </c>
      <c r="H655" t="s">
        <v>52</v>
      </c>
      <c r="I655" t="s">
        <v>292</v>
      </c>
      <c r="J655" t="s">
        <v>293</v>
      </c>
      <c r="K655">
        <v>822733</v>
      </c>
      <c r="L655" t="s">
        <v>269</v>
      </c>
      <c r="M655" t="s">
        <v>270</v>
      </c>
      <c r="N655" t="s">
        <v>57</v>
      </c>
      <c r="O655" s="1">
        <v>45754</v>
      </c>
      <c r="Q655" s="1">
        <v>45968</v>
      </c>
      <c r="R655" s="2">
        <v>129.22</v>
      </c>
      <c r="S655">
        <v>1</v>
      </c>
      <c r="T655" t="s">
        <v>58</v>
      </c>
      <c r="U655" t="s">
        <v>359</v>
      </c>
      <c r="V655" s="3">
        <v>0.7</v>
      </c>
      <c r="W655" s="2">
        <v>0</v>
      </c>
      <c r="X655">
        <v>0</v>
      </c>
      <c r="Y655" t="s">
        <v>60</v>
      </c>
      <c r="Z655" t="s">
        <v>360</v>
      </c>
      <c r="AA655">
        <v>0</v>
      </c>
      <c r="AB655" s="2">
        <v>0</v>
      </c>
      <c r="AC655" s="2">
        <v>0</v>
      </c>
      <c r="AD655" s="3">
        <v>0</v>
      </c>
      <c r="AE655" s="2">
        <v>0</v>
      </c>
      <c r="AF655" s="2">
        <v>0</v>
      </c>
      <c r="AG655" s="2">
        <v>0</v>
      </c>
      <c r="AH655" s="2">
        <v>0</v>
      </c>
      <c r="AI655" s="2">
        <v>0</v>
      </c>
      <c r="AJ655" s="2">
        <v>0</v>
      </c>
      <c r="AK655" s="2">
        <v>0</v>
      </c>
      <c r="AL655" s="2">
        <v>0</v>
      </c>
      <c r="AM655" s="2">
        <v>90.45</v>
      </c>
      <c r="AN655" s="2">
        <v>90.45</v>
      </c>
      <c r="AO655" s="2">
        <v>0</v>
      </c>
      <c r="AP655" s="2">
        <v>0</v>
      </c>
      <c r="AQ655" s="2">
        <v>0</v>
      </c>
    </row>
    <row r="656" spans="1:43" x14ac:dyDescent="0.25">
      <c r="A656" s="1">
        <v>45936</v>
      </c>
      <c r="B656" t="s">
        <v>48</v>
      </c>
      <c r="C656">
        <v>649163</v>
      </c>
      <c r="D656">
        <v>2028108469</v>
      </c>
      <c r="E656" t="s">
        <v>766</v>
      </c>
      <c r="F656" t="s">
        <v>314</v>
      </c>
      <c r="G656" t="s">
        <v>51</v>
      </c>
      <c r="H656" t="s">
        <v>101</v>
      </c>
      <c r="I656" t="s">
        <v>292</v>
      </c>
      <c r="J656" t="s">
        <v>293</v>
      </c>
      <c r="K656">
        <v>651818</v>
      </c>
      <c r="L656" t="s">
        <v>112</v>
      </c>
      <c r="M656" t="s">
        <v>104</v>
      </c>
      <c r="N656" t="s">
        <v>57</v>
      </c>
      <c r="O656" s="1">
        <v>45754</v>
      </c>
      <c r="Q656" s="1">
        <v>45968</v>
      </c>
      <c r="R656" s="2">
        <v>198.36</v>
      </c>
      <c r="S656">
        <v>1</v>
      </c>
      <c r="T656" t="s">
        <v>58</v>
      </c>
      <c r="U656" t="s">
        <v>359</v>
      </c>
      <c r="V656" s="3">
        <v>0.7</v>
      </c>
      <c r="W656" s="2">
        <v>0</v>
      </c>
      <c r="X656">
        <v>0</v>
      </c>
      <c r="Y656" t="s">
        <v>60</v>
      </c>
      <c r="Z656" t="s">
        <v>360</v>
      </c>
      <c r="AA656">
        <v>0</v>
      </c>
      <c r="AB656" s="2">
        <v>0</v>
      </c>
      <c r="AC656" s="2">
        <v>0</v>
      </c>
      <c r="AD656" s="3">
        <v>0</v>
      </c>
      <c r="AE656" s="2">
        <v>0</v>
      </c>
      <c r="AF656" s="2">
        <v>0</v>
      </c>
      <c r="AG656" s="2">
        <v>0</v>
      </c>
      <c r="AH656" s="2">
        <v>0</v>
      </c>
      <c r="AI656" s="2">
        <v>0</v>
      </c>
      <c r="AJ656" s="2">
        <v>0</v>
      </c>
      <c r="AK656" s="2">
        <v>0</v>
      </c>
      <c r="AL656" s="2">
        <v>0</v>
      </c>
      <c r="AM656" s="2">
        <v>138.85</v>
      </c>
      <c r="AN656" s="2">
        <v>138.85</v>
      </c>
      <c r="AO656" s="2">
        <v>0</v>
      </c>
      <c r="AP656" s="2">
        <v>0</v>
      </c>
      <c r="AQ656" s="2">
        <v>0</v>
      </c>
    </row>
    <row r="657" spans="1:43" x14ac:dyDescent="0.25">
      <c r="A657" s="1">
        <v>45936</v>
      </c>
      <c r="B657" t="s">
        <v>48</v>
      </c>
      <c r="C657">
        <v>649163</v>
      </c>
      <c r="D657">
        <v>2028135305</v>
      </c>
      <c r="E657" t="s">
        <v>81</v>
      </c>
      <c r="F657" t="s">
        <v>527</v>
      </c>
      <c r="G657" t="s">
        <v>51</v>
      </c>
      <c r="H657" t="s">
        <v>122</v>
      </c>
      <c r="I657" t="s">
        <v>292</v>
      </c>
      <c r="J657" t="s">
        <v>293</v>
      </c>
      <c r="K657">
        <v>767312</v>
      </c>
      <c r="L657" t="s">
        <v>283</v>
      </c>
      <c r="M657" t="s">
        <v>284</v>
      </c>
      <c r="N657" t="s">
        <v>57</v>
      </c>
      <c r="O657" s="1">
        <v>45748</v>
      </c>
      <c r="Q657" s="1">
        <v>45962</v>
      </c>
      <c r="R657" s="2">
        <v>17.64</v>
      </c>
      <c r="S657">
        <v>1</v>
      </c>
      <c r="T657" t="s">
        <v>58</v>
      </c>
      <c r="U657" t="s">
        <v>359</v>
      </c>
      <c r="V657" s="3">
        <v>0.7</v>
      </c>
      <c r="W657" s="2">
        <v>0</v>
      </c>
      <c r="X657">
        <v>0</v>
      </c>
      <c r="Y657" t="s">
        <v>60</v>
      </c>
      <c r="Z657" t="s">
        <v>360</v>
      </c>
      <c r="AA657">
        <v>0</v>
      </c>
      <c r="AB657" s="2">
        <v>0</v>
      </c>
      <c r="AC657" s="2">
        <v>0</v>
      </c>
      <c r="AD657" s="3">
        <v>0</v>
      </c>
      <c r="AE657" s="2">
        <v>0</v>
      </c>
      <c r="AF657" s="2">
        <v>0</v>
      </c>
      <c r="AG657" s="2">
        <v>0</v>
      </c>
      <c r="AH657" s="2">
        <v>0</v>
      </c>
      <c r="AI657" s="2">
        <v>0</v>
      </c>
      <c r="AJ657" s="2">
        <v>0</v>
      </c>
      <c r="AK657" s="2">
        <v>0</v>
      </c>
      <c r="AL657" s="2">
        <v>0</v>
      </c>
      <c r="AM657" s="2">
        <v>12.35</v>
      </c>
      <c r="AN657" s="2">
        <v>12.35</v>
      </c>
      <c r="AO657" s="2">
        <v>0</v>
      </c>
      <c r="AP657" s="2">
        <v>0</v>
      </c>
      <c r="AQ657" s="2">
        <v>0</v>
      </c>
    </row>
    <row r="658" spans="1:43" x14ac:dyDescent="0.25">
      <c r="A658" s="1">
        <v>45936</v>
      </c>
      <c r="B658" t="s">
        <v>48</v>
      </c>
      <c r="C658">
        <v>649163</v>
      </c>
      <c r="D658">
        <v>2028135306</v>
      </c>
      <c r="E658" t="s">
        <v>81</v>
      </c>
      <c r="F658" t="s">
        <v>527</v>
      </c>
      <c r="G658" t="s">
        <v>51</v>
      </c>
      <c r="H658" t="s">
        <v>122</v>
      </c>
      <c r="I658" t="s">
        <v>292</v>
      </c>
      <c r="J658" t="s">
        <v>295</v>
      </c>
      <c r="K658">
        <v>767312</v>
      </c>
      <c r="L658" t="s">
        <v>283</v>
      </c>
      <c r="M658" t="s">
        <v>284</v>
      </c>
      <c r="N658" t="s">
        <v>57</v>
      </c>
      <c r="O658" s="1">
        <v>45748</v>
      </c>
      <c r="Q658" s="1">
        <v>45962</v>
      </c>
      <c r="R658" s="2">
        <v>43.81</v>
      </c>
      <c r="S658">
        <v>1</v>
      </c>
      <c r="T658" t="s">
        <v>58</v>
      </c>
      <c r="U658" t="s">
        <v>359</v>
      </c>
      <c r="V658" s="3">
        <v>0.9</v>
      </c>
      <c r="W658" s="2">
        <v>0</v>
      </c>
      <c r="X658">
        <v>0</v>
      </c>
      <c r="Y658" t="s">
        <v>60</v>
      </c>
      <c r="Z658" t="s">
        <v>360</v>
      </c>
      <c r="AA658">
        <v>0</v>
      </c>
      <c r="AB658" s="2">
        <v>0</v>
      </c>
      <c r="AC658" s="2">
        <v>0</v>
      </c>
      <c r="AD658" s="3">
        <v>0</v>
      </c>
      <c r="AE658" s="2">
        <v>0</v>
      </c>
      <c r="AF658" s="2">
        <v>0</v>
      </c>
      <c r="AG658" s="2">
        <v>0</v>
      </c>
      <c r="AH658" s="2">
        <v>0</v>
      </c>
      <c r="AI658" s="2">
        <v>0</v>
      </c>
      <c r="AJ658" s="2">
        <v>0</v>
      </c>
      <c r="AK658" s="2">
        <v>0</v>
      </c>
      <c r="AL658" s="2">
        <v>0</v>
      </c>
      <c r="AM658" s="2">
        <v>39.43</v>
      </c>
      <c r="AN658" s="2">
        <v>39.43</v>
      </c>
      <c r="AO658" s="2">
        <v>0</v>
      </c>
      <c r="AP658" s="2">
        <v>0</v>
      </c>
      <c r="AQ658" s="2">
        <v>0</v>
      </c>
    </row>
    <row r="659" spans="1:43" x14ac:dyDescent="0.25">
      <c r="A659" s="1">
        <v>45936</v>
      </c>
      <c r="B659" t="s">
        <v>48</v>
      </c>
      <c r="C659">
        <v>649163</v>
      </c>
      <c r="D659">
        <v>2028143929</v>
      </c>
      <c r="E659" t="s">
        <v>267</v>
      </c>
      <c r="F659" t="s">
        <v>1015</v>
      </c>
      <c r="G659" t="s">
        <v>51</v>
      </c>
      <c r="H659" t="s">
        <v>52</v>
      </c>
      <c r="I659" t="s">
        <v>292</v>
      </c>
      <c r="J659" t="s">
        <v>293</v>
      </c>
      <c r="K659">
        <v>822733</v>
      </c>
      <c r="L659" t="s">
        <v>269</v>
      </c>
      <c r="M659" t="s">
        <v>270</v>
      </c>
      <c r="N659" t="s">
        <v>57</v>
      </c>
      <c r="O659" s="1">
        <v>45754</v>
      </c>
      <c r="Q659" s="1">
        <v>45968</v>
      </c>
      <c r="R659" s="2">
        <v>48.76</v>
      </c>
      <c r="S659">
        <v>1</v>
      </c>
      <c r="T659" t="s">
        <v>58</v>
      </c>
      <c r="U659" t="s">
        <v>359</v>
      </c>
      <c r="V659" s="3">
        <v>0.7</v>
      </c>
      <c r="W659" s="2">
        <v>0</v>
      </c>
      <c r="X659">
        <v>0</v>
      </c>
      <c r="Y659" t="s">
        <v>60</v>
      </c>
      <c r="Z659" t="s">
        <v>360</v>
      </c>
      <c r="AA659">
        <v>0</v>
      </c>
      <c r="AB659" s="2">
        <v>0</v>
      </c>
      <c r="AC659" s="2">
        <v>0</v>
      </c>
      <c r="AD659" s="3">
        <v>0</v>
      </c>
      <c r="AE659" s="2">
        <v>0</v>
      </c>
      <c r="AF659" s="2">
        <v>0</v>
      </c>
      <c r="AG659" s="2">
        <v>0</v>
      </c>
      <c r="AH659" s="2">
        <v>0</v>
      </c>
      <c r="AI659" s="2">
        <v>0</v>
      </c>
      <c r="AJ659" s="2">
        <v>0</v>
      </c>
      <c r="AK659" s="2">
        <v>0</v>
      </c>
      <c r="AL659" s="2">
        <v>0</v>
      </c>
      <c r="AM659" s="2">
        <v>34.130000000000003</v>
      </c>
      <c r="AN659" s="2">
        <v>34.130000000000003</v>
      </c>
      <c r="AO659" s="2">
        <v>0</v>
      </c>
      <c r="AP659" s="2">
        <v>0</v>
      </c>
      <c r="AQ659" s="2">
        <v>0</v>
      </c>
    </row>
    <row r="660" spans="1:43" x14ac:dyDescent="0.25">
      <c r="A660" s="1">
        <v>45936</v>
      </c>
      <c r="B660" t="s">
        <v>48</v>
      </c>
      <c r="C660">
        <v>649163</v>
      </c>
      <c r="D660">
        <v>2028182786</v>
      </c>
      <c r="E660" t="s">
        <v>233</v>
      </c>
      <c r="F660" t="s">
        <v>1016</v>
      </c>
      <c r="G660" t="s">
        <v>51</v>
      </c>
      <c r="H660" t="s">
        <v>52</v>
      </c>
      <c r="I660" t="s">
        <v>292</v>
      </c>
      <c r="J660" t="s">
        <v>293</v>
      </c>
      <c r="K660">
        <v>822733</v>
      </c>
      <c r="L660" t="s">
        <v>269</v>
      </c>
      <c r="M660" t="s">
        <v>270</v>
      </c>
      <c r="N660" t="s">
        <v>57</v>
      </c>
      <c r="O660" s="1">
        <v>45754</v>
      </c>
      <c r="Q660" s="1">
        <v>45968</v>
      </c>
      <c r="R660" s="2">
        <v>92.47</v>
      </c>
      <c r="S660">
        <v>1</v>
      </c>
      <c r="T660" t="s">
        <v>58</v>
      </c>
      <c r="U660" t="s">
        <v>359</v>
      </c>
      <c r="V660" s="3">
        <v>0.7</v>
      </c>
      <c r="W660" s="2">
        <v>0</v>
      </c>
      <c r="X660">
        <v>0</v>
      </c>
      <c r="Y660" t="s">
        <v>60</v>
      </c>
      <c r="Z660" t="s">
        <v>360</v>
      </c>
      <c r="AA660">
        <v>0</v>
      </c>
      <c r="AB660" s="2">
        <v>0</v>
      </c>
      <c r="AC660" s="2">
        <v>0</v>
      </c>
      <c r="AD660" s="3">
        <v>0</v>
      </c>
      <c r="AE660" s="2">
        <v>0</v>
      </c>
      <c r="AF660" s="2">
        <v>0</v>
      </c>
      <c r="AG660" s="2">
        <v>0</v>
      </c>
      <c r="AH660" s="2">
        <v>0</v>
      </c>
      <c r="AI660" s="2">
        <v>0</v>
      </c>
      <c r="AJ660" s="2">
        <v>0</v>
      </c>
      <c r="AK660" s="2">
        <v>0</v>
      </c>
      <c r="AL660" s="2">
        <v>0</v>
      </c>
      <c r="AM660" s="2">
        <v>64.73</v>
      </c>
      <c r="AN660" s="2">
        <v>64.73</v>
      </c>
      <c r="AO660" s="2">
        <v>0</v>
      </c>
      <c r="AP660" s="2">
        <v>0</v>
      </c>
      <c r="AQ660" s="2">
        <v>0</v>
      </c>
    </row>
    <row r="661" spans="1:43" x14ac:dyDescent="0.25">
      <c r="A661" s="1">
        <v>45936</v>
      </c>
      <c r="B661" t="s">
        <v>48</v>
      </c>
      <c r="C661">
        <v>649163</v>
      </c>
      <c r="D661">
        <v>2028192005</v>
      </c>
      <c r="E661" t="s">
        <v>1017</v>
      </c>
      <c r="F661" t="s">
        <v>1018</v>
      </c>
      <c r="G661" t="s">
        <v>51</v>
      </c>
      <c r="H661" t="s">
        <v>101</v>
      </c>
      <c r="I661" t="s">
        <v>292</v>
      </c>
      <c r="J661" t="s">
        <v>293</v>
      </c>
      <c r="K661">
        <v>840313</v>
      </c>
      <c r="L661" t="s">
        <v>436</v>
      </c>
      <c r="M661" t="s">
        <v>437</v>
      </c>
      <c r="N661" t="s">
        <v>57</v>
      </c>
      <c r="O661" s="1">
        <v>45755</v>
      </c>
      <c r="Q661" s="1">
        <v>45969</v>
      </c>
      <c r="R661" s="2">
        <v>15.75</v>
      </c>
      <c r="S661">
        <v>1</v>
      </c>
      <c r="T661" t="s">
        <v>58</v>
      </c>
      <c r="U661" t="s">
        <v>359</v>
      </c>
      <c r="V661" s="3">
        <v>0.7</v>
      </c>
      <c r="W661" s="2">
        <v>0</v>
      </c>
      <c r="X661">
        <v>0</v>
      </c>
      <c r="Y661" t="s">
        <v>60</v>
      </c>
      <c r="Z661" t="s">
        <v>360</v>
      </c>
      <c r="AA661">
        <v>0</v>
      </c>
      <c r="AB661" s="2">
        <v>0</v>
      </c>
      <c r="AC661" s="2">
        <v>0</v>
      </c>
      <c r="AD661" s="3">
        <v>0</v>
      </c>
      <c r="AE661" s="2">
        <v>0</v>
      </c>
      <c r="AF661" s="2">
        <v>0</v>
      </c>
      <c r="AG661" s="2">
        <v>0</v>
      </c>
      <c r="AH661" s="2">
        <v>0</v>
      </c>
      <c r="AI661" s="2">
        <v>0</v>
      </c>
      <c r="AJ661" s="2">
        <v>0</v>
      </c>
      <c r="AK661" s="2">
        <v>0</v>
      </c>
      <c r="AL661" s="2">
        <v>0</v>
      </c>
      <c r="AM661" s="2">
        <v>11.02</v>
      </c>
      <c r="AN661" s="2">
        <v>11.02</v>
      </c>
      <c r="AO661" s="2">
        <v>0</v>
      </c>
      <c r="AP661" s="2">
        <v>0</v>
      </c>
      <c r="AQ661" s="2">
        <v>0</v>
      </c>
    </row>
    <row r="662" spans="1:43" x14ac:dyDescent="0.25">
      <c r="A662" s="1">
        <v>45936</v>
      </c>
      <c r="B662" t="s">
        <v>48</v>
      </c>
      <c r="C662">
        <v>649163</v>
      </c>
      <c r="D662">
        <v>2028248959</v>
      </c>
      <c r="E662" t="s">
        <v>1019</v>
      </c>
      <c r="F662" t="s">
        <v>207</v>
      </c>
      <c r="G662" t="s">
        <v>51</v>
      </c>
      <c r="H662" t="s">
        <v>52</v>
      </c>
      <c r="I662" t="s">
        <v>292</v>
      </c>
      <c r="J662" t="s">
        <v>295</v>
      </c>
      <c r="K662">
        <v>767312</v>
      </c>
      <c r="L662" t="s">
        <v>283</v>
      </c>
      <c r="M662" t="s">
        <v>284</v>
      </c>
      <c r="N662" t="s">
        <v>57</v>
      </c>
      <c r="O662" s="1">
        <v>45753</v>
      </c>
      <c r="Q662" s="1">
        <v>45967</v>
      </c>
      <c r="R662" s="2">
        <v>20.399999999999999</v>
      </c>
      <c r="S662">
        <v>1</v>
      </c>
      <c r="T662" t="s">
        <v>58</v>
      </c>
      <c r="U662" t="s">
        <v>359</v>
      </c>
      <c r="V662" s="3">
        <v>0.9</v>
      </c>
      <c r="W662" s="2">
        <v>0</v>
      </c>
      <c r="X662">
        <v>0</v>
      </c>
      <c r="Y662" t="s">
        <v>60</v>
      </c>
      <c r="Z662" t="s">
        <v>360</v>
      </c>
      <c r="AA662">
        <v>0</v>
      </c>
      <c r="AB662" s="2">
        <v>0</v>
      </c>
      <c r="AC662" s="2">
        <v>0</v>
      </c>
      <c r="AD662" s="3">
        <v>0</v>
      </c>
      <c r="AE662" s="2">
        <v>0</v>
      </c>
      <c r="AF662" s="2">
        <v>0</v>
      </c>
      <c r="AG662" s="2">
        <v>0</v>
      </c>
      <c r="AH662" s="2">
        <v>0</v>
      </c>
      <c r="AI662" s="2">
        <v>0</v>
      </c>
      <c r="AJ662" s="2">
        <v>0</v>
      </c>
      <c r="AK662" s="2">
        <v>0</v>
      </c>
      <c r="AL662" s="2">
        <v>0</v>
      </c>
      <c r="AM662" s="2">
        <v>18.36</v>
      </c>
      <c r="AN662" s="2">
        <v>18.36</v>
      </c>
      <c r="AO662" s="2">
        <v>0</v>
      </c>
      <c r="AP662" s="2">
        <v>0</v>
      </c>
      <c r="AQ662" s="2">
        <v>0</v>
      </c>
    </row>
    <row r="663" spans="1:43" x14ac:dyDescent="0.25">
      <c r="A663" s="1">
        <v>45936</v>
      </c>
      <c r="B663" t="s">
        <v>48</v>
      </c>
      <c r="C663">
        <v>649163</v>
      </c>
      <c r="D663">
        <v>2028248979</v>
      </c>
      <c r="E663" t="s">
        <v>767</v>
      </c>
      <c r="F663" t="s">
        <v>671</v>
      </c>
      <c r="G663" t="s">
        <v>51</v>
      </c>
      <c r="H663" t="s">
        <v>182</v>
      </c>
      <c r="I663" t="s">
        <v>292</v>
      </c>
      <c r="J663" t="s">
        <v>293</v>
      </c>
      <c r="K663">
        <v>651818</v>
      </c>
      <c r="L663" t="s">
        <v>112</v>
      </c>
      <c r="M663" t="s">
        <v>104</v>
      </c>
      <c r="N663" t="s">
        <v>57</v>
      </c>
      <c r="O663" s="1">
        <v>45784</v>
      </c>
      <c r="Q663" s="1">
        <v>45968</v>
      </c>
      <c r="R663" s="2">
        <v>120.5</v>
      </c>
      <c r="S663">
        <v>1</v>
      </c>
      <c r="T663" t="s">
        <v>58</v>
      </c>
      <c r="U663" t="s">
        <v>359</v>
      </c>
      <c r="V663" s="3">
        <v>0.7</v>
      </c>
      <c r="W663" s="2">
        <v>0</v>
      </c>
      <c r="X663">
        <v>0</v>
      </c>
      <c r="Y663" t="s">
        <v>60</v>
      </c>
      <c r="Z663" t="s">
        <v>360</v>
      </c>
      <c r="AA663">
        <v>0</v>
      </c>
      <c r="AB663" s="2">
        <v>0</v>
      </c>
      <c r="AC663" s="2">
        <v>0</v>
      </c>
      <c r="AD663" s="3">
        <v>0</v>
      </c>
      <c r="AE663" s="2">
        <v>0</v>
      </c>
      <c r="AF663" s="2">
        <v>0</v>
      </c>
      <c r="AG663" s="2">
        <v>0</v>
      </c>
      <c r="AH663" s="2">
        <v>0</v>
      </c>
      <c r="AI663" s="2">
        <v>0</v>
      </c>
      <c r="AJ663" s="2">
        <v>0</v>
      </c>
      <c r="AK663" s="2">
        <v>0</v>
      </c>
      <c r="AL663" s="2">
        <v>0</v>
      </c>
      <c r="AM663" s="2">
        <v>84.35</v>
      </c>
      <c r="AN663" s="2">
        <v>84.35</v>
      </c>
      <c r="AO663" s="2">
        <v>0</v>
      </c>
      <c r="AP663" s="2">
        <v>0</v>
      </c>
      <c r="AQ663" s="2">
        <v>0</v>
      </c>
    </row>
    <row r="664" spans="1:43" x14ac:dyDescent="0.25">
      <c r="A664" s="1">
        <v>45936</v>
      </c>
      <c r="B664" t="s">
        <v>48</v>
      </c>
      <c r="C664">
        <v>649163</v>
      </c>
      <c r="D664">
        <v>2028281048</v>
      </c>
      <c r="E664" t="s">
        <v>1020</v>
      </c>
      <c r="F664" t="s">
        <v>1021</v>
      </c>
      <c r="G664" t="s">
        <v>51</v>
      </c>
      <c r="H664" t="s">
        <v>101</v>
      </c>
      <c r="I664" t="s">
        <v>292</v>
      </c>
      <c r="J664" t="s">
        <v>293</v>
      </c>
      <c r="K664">
        <v>806645</v>
      </c>
      <c r="L664" t="s">
        <v>1022</v>
      </c>
      <c r="M664" t="s">
        <v>1023</v>
      </c>
      <c r="N664" t="s">
        <v>57</v>
      </c>
      <c r="O664" s="1">
        <v>45755</v>
      </c>
      <c r="Q664" s="1">
        <v>45969</v>
      </c>
      <c r="R664" s="2">
        <v>24.65</v>
      </c>
      <c r="S664">
        <v>1</v>
      </c>
      <c r="T664" t="s">
        <v>58</v>
      </c>
      <c r="U664" t="s">
        <v>359</v>
      </c>
      <c r="V664" s="3">
        <v>0.7</v>
      </c>
      <c r="W664" s="2">
        <v>0</v>
      </c>
      <c r="X664">
        <v>0</v>
      </c>
      <c r="Y664" t="s">
        <v>60</v>
      </c>
      <c r="Z664" t="s">
        <v>360</v>
      </c>
      <c r="AA664">
        <v>0</v>
      </c>
      <c r="AB664" s="2">
        <v>0</v>
      </c>
      <c r="AC664" s="2">
        <v>0</v>
      </c>
      <c r="AD664" s="3">
        <v>0</v>
      </c>
      <c r="AE664" s="2">
        <v>0</v>
      </c>
      <c r="AF664" s="2">
        <v>0</v>
      </c>
      <c r="AG664" s="2">
        <v>0</v>
      </c>
      <c r="AH664" s="2">
        <v>0</v>
      </c>
      <c r="AI664" s="2">
        <v>0</v>
      </c>
      <c r="AJ664" s="2">
        <v>0</v>
      </c>
      <c r="AK664" s="2">
        <v>0</v>
      </c>
      <c r="AL664" s="2">
        <v>0</v>
      </c>
      <c r="AM664" s="2">
        <v>17.260000000000002</v>
      </c>
      <c r="AN664" s="2">
        <v>17.260000000000002</v>
      </c>
      <c r="AO664" s="2">
        <v>0</v>
      </c>
      <c r="AP664" s="2">
        <v>0</v>
      </c>
      <c r="AQ664" s="2">
        <v>0</v>
      </c>
    </row>
    <row r="665" spans="1:43" x14ac:dyDescent="0.25">
      <c r="A665" s="1">
        <v>45936</v>
      </c>
      <c r="B665" t="s">
        <v>48</v>
      </c>
      <c r="C665">
        <v>649163</v>
      </c>
      <c r="D665">
        <v>2028281147</v>
      </c>
      <c r="E665" t="s">
        <v>1024</v>
      </c>
      <c r="F665" t="s">
        <v>212</v>
      </c>
      <c r="G665" t="s">
        <v>51</v>
      </c>
      <c r="H665" t="s">
        <v>203</v>
      </c>
      <c r="I665" t="s">
        <v>292</v>
      </c>
      <c r="J665" t="s">
        <v>293</v>
      </c>
      <c r="K665">
        <v>816021</v>
      </c>
      <c r="L665" t="s">
        <v>265</v>
      </c>
      <c r="M665" t="s">
        <v>266</v>
      </c>
      <c r="N665" t="s">
        <v>57</v>
      </c>
      <c r="O665" s="1">
        <v>45755</v>
      </c>
      <c r="Q665" s="1">
        <v>45969</v>
      </c>
      <c r="R665" s="2">
        <v>18.2</v>
      </c>
      <c r="S665">
        <v>1</v>
      </c>
      <c r="T665" t="s">
        <v>58</v>
      </c>
      <c r="U665" t="s">
        <v>359</v>
      </c>
      <c r="V665" s="3">
        <v>0.7</v>
      </c>
      <c r="W665" s="2">
        <v>0</v>
      </c>
      <c r="X665">
        <v>0</v>
      </c>
      <c r="Y665" t="s">
        <v>60</v>
      </c>
      <c r="Z665" t="s">
        <v>360</v>
      </c>
      <c r="AA665">
        <v>0</v>
      </c>
      <c r="AB665" s="2">
        <v>0</v>
      </c>
      <c r="AC665" s="2">
        <v>0</v>
      </c>
      <c r="AD665" s="3">
        <v>0</v>
      </c>
      <c r="AE665" s="2">
        <v>0</v>
      </c>
      <c r="AF665" s="2">
        <v>0</v>
      </c>
      <c r="AG665" s="2">
        <v>0</v>
      </c>
      <c r="AH665" s="2">
        <v>0</v>
      </c>
      <c r="AI665" s="2">
        <v>0</v>
      </c>
      <c r="AJ665" s="2">
        <v>0</v>
      </c>
      <c r="AK665" s="2">
        <v>0</v>
      </c>
      <c r="AL665" s="2">
        <v>0</v>
      </c>
      <c r="AM665" s="2">
        <v>12.74</v>
      </c>
      <c r="AN665" s="2">
        <v>12.74</v>
      </c>
      <c r="AO665" s="2">
        <v>0</v>
      </c>
      <c r="AP665" s="2">
        <v>0</v>
      </c>
      <c r="AQ665" s="2">
        <v>0</v>
      </c>
    </row>
    <row r="666" spans="1:43" x14ac:dyDescent="0.25">
      <c r="A666" s="1">
        <v>45936</v>
      </c>
      <c r="B666" t="s">
        <v>48</v>
      </c>
      <c r="C666">
        <v>649163</v>
      </c>
      <c r="D666">
        <v>2028286563</v>
      </c>
      <c r="E666" t="s">
        <v>1025</v>
      </c>
      <c r="F666" t="s">
        <v>1026</v>
      </c>
      <c r="G666" t="s">
        <v>51</v>
      </c>
      <c r="H666" t="s">
        <v>101</v>
      </c>
      <c r="I666" t="s">
        <v>292</v>
      </c>
      <c r="J666" t="s">
        <v>293</v>
      </c>
      <c r="K666">
        <v>807212</v>
      </c>
      <c r="L666" t="s">
        <v>340</v>
      </c>
      <c r="M666" t="s">
        <v>341</v>
      </c>
      <c r="N666" t="s">
        <v>57</v>
      </c>
      <c r="O666" s="1">
        <v>45755</v>
      </c>
      <c r="Q666" s="1">
        <v>45969</v>
      </c>
      <c r="R666" s="2">
        <v>56.5</v>
      </c>
      <c r="S666">
        <v>1</v>
      </c>
      <c r="T666" t="s">
        <v>58</v>
      </c>
      <c r="U666" t="s">
        <v>359</v>
      </c>
      <c r="V666" s="3">
        <v>0.7</v>
      </c>
      <c r="W666" s="2">
        <v>0</v>
      </c>
      <c r="X666">
        <v>0</v>
      </c>
      <c r="Y666" t="s">
        <v>60</v>
      </c>
      <c r="Z666" t="s">
        <v>360</v>
      </c>
      <c r="AA666">
        <v>0</v>
      </c>
      <c r="AB666" s="2">
        <v>0</v>
      </c>
      <c r="AC666" s="2">
        <v>0</v>
      </c>
      <c r="AD666" s="3">
        <v>0</v>
      </c>
      <c r="AE666" s="2">
        <v>0</v>
      </c>
      <c r="AF666" s="2">
        <v>0</v>
      </c>
      <c r="AG666" s="2">
        <v>0</v>
      </c>
      <c r="AH666" s="2">
        <v>0</v>
      </c>
      <c r="AI666" s="2">
        <v>0</v>
      </c>
      <c r="AJ666" s="2">
        <v>0</v>
      </c>
      <c r="AK666" s="2">
        <v>0</v>
      </c>
      <c r="AL666" s="2">
        <v>0</v>
      </c>
      <c r="AM666" s="2">
        <v>39.549999999999997</v>
      </c>
      <c r="AN666" s="2">
        <v>39.549999999999997</v>
      </c>
      <c r="AO666" s="2">
        <v>0</v>
      </c>
      <c r="AP666" s="2">
        <v>0</v>
      </c>
      <c r="AQ666" s="2">
        <v>0</v>
      </c>
    </row>
    <row r="667" spans="1:43" x14ac:dyDescent="0.25">
      <c r="A667" s="1">
        <v>45936</v>
      </c>
      <c r="B667" t="s">
        <v>48</v>
      </c>
      <c r="C667">
        <v>649163</v>
      </c>
      <c r="D667">
        <v>2028297704</v>
      </c>
      <c r="E667" t="s">
        <v>1027</v>
      </c>
      <c r="F667" t="s">
        <v>1028</v>
      </c>
      <c r="G667" t="s">
        <v>51</v>
      </c>
      <c r="H667" t="s">
        <v>79</v>
      </c>
      <c r="I667" t="s">
        <v>292</v>
      </c>
      <c r="J667" t="s">
        <v>293</v>
      </c>
      <c r="K667">
        <v>822865</v>
      </c>
      <c r="L667" t="s">
        <v>146</v>
      </c>
      <c r="M667" t="s">
        <v>147</v>
      </c>
      <c r="N667" t="s">
        <v>57</v>
      </c>
      <c r="O667" s="1">
        <v>45756</v>
      </c>
      <c r="Q667" s="1">
        <v>45970</v>
      </c>
      <c r="R667" s="2">
        <v>33.54</v>
      </c>
      <c r="S667">
        <v>1</v>
      </c>
      <c r="T667" t="s">
        <v>58</v>
      </c>
      <c r="U667" t="s">
        <v>359</v>
      </c>
      <c r="V667" s="3">
        <v>0.7</v>
      </c>
      <c r="W667" s="2">
        <v>0</v>
      </c>
      <c r="X667">
        <v>0</v>
      </c>
      <c r="Y667" t="s">
        <v>60</v>
      </c>
      <c r="Z667" t="s">
        <v>360</v>
      </c>
      <c r="AA667">
        <v>0</v>
      </c>
      <c r="AB667" s="2">
        <v>0</v>
      </c>
      <c r="AC667" s="2">
        <v>0</v>
      </c>
      <c r="AD667" s="3">
        <v>0</v>
      </c>
      <c r="AE667" s="2">
        <v>0</v>
      </c>
      <c r="AF667" s="2">
        <v>0</v>
      </c>
      <c r="AG667" s="2">
        <v>0</v>
      </c>
      <c r="AH667" s="2">
        <v>0</v>
      </c>
      <c r="AI667" s="2">
        <v>0</v>
      </c>
      <c r="AJ667" s="2">
        <v>0</v>
      </c>
      <c r="AK667" s="2">
        <v>0</v>
      </c>
      <c r="AL667" s="2">
        <v>0</v>
      </c>
      <c r="AM667" s="2">
        <v>23.48</v>
      </c>
      <c r="AN667" s="2">
        <v>23.48</v>
      </c>
      <c r="AO667" s="2">
        <v>0</v>
      </c>
      <c r="AP667" s="2">
        <v>0</v>
      </c>
      <c r="AQ667" s="2">
        <v>0</v>
      </c>
    </row>
    <row r="668" spans="1:43" x14ac:dyDescent="0.25">
      <c r="A668" s="1">
        <v>45936</v>
      </c>
      <c r="B668" t="s">
        <v>48</v>
      </c>
      <c r="C668">
        <v>649163</v>
      </c>
      <c r="D668">
        <v>2028368523</v>
      </c>
      <c r="E668" t="s">
        <v>1029</v>
      </c>
      <c r="F668" t="s">
        <v>740</v>
      </c>
      <c r="G668" t="s">
        <v>51</v>
      </c>
      <c r="H668" t="s">
        <v>52</v>
      </c>
      <c r="I668" t="s">
        <v>292</v>
      </c>
      <c r="J668" t="s">
        <v>293</v>
      </c>
      <c r="K668">
        <v>822733</v>
      </c>
      <c r="L668" t="s">
        <v>269</v>
      </c>
      <c r="M668" t="s">
        <v>270</v>
      </c>
      <c r="N668" t="s">
        <v>57</v>
      </c>
      <c r="O668" s="1">
        <v>45784</v>
      </c>
      <c r="Q668" s="1">
        <v>45968</v>
      </c>
      <c r="R668" s="2">
        <v>48.76</v>
      </c>
      <c r="S668">
        <v>1</v>
      </c>
      <c r="T668" t="s">
        <v>58</v>
      </c>
      <c r="U668" t="s">
        <v>359</v>
      </c>
      <c r="V668" s="3">
        <v>0.7</v>
      </c>
      <c r="W668" s="2">
        <v>0</v>
      </c>
      <c r="X668">
        <v>0</v>
      </c>
      <c r="Y668" t="s">
        <v>60</v>
      </c>
      <c r="Z668" t="s">
        <v>360</v>
      </c>
      <c r="AA668">
        <v>0</v>
      </c>
      <c r="AB668" s="2">
        <v>0</v>
      </c>
      <c r="AC668" s="2">
        <v>0</v>
      </c>
      <c r="AD668" s="3">
        <v>0</v>
      </c>
      <c r="AE668" s="2">
        <v>0</v>
      </c>
      <c r="AF668" s="2">
        <v>0</v>
      </c>
      <c r="AG668" s="2">
        <v>0</v>
      </c>
      <c r="AH668" s="2">
        <v>0</v>
      </c>
      <c r="AI668" s="2">
        <v>0</v>
      </c>
      <c r="AJ668" s="2">
        <v>0</v>
      </c>
      <c r="AK668" s="2">
        <v>0</v>
      </c>
      <c r="AL668" s="2">
        <v>0</v>
      </c>
      <c r="AM668" s="2">
        <v>34.130000000000003</v>
      </c>
      <c r="AN668" s="2">
        <v>34.130000000000003</v>
      </c>
      <c r="AO668" s="2">
        <v>0</v>
      </c>
      <c r="AP668" s="2">
        <v>0</v>
      </c>
      <c r="AQ668" s="2">
        <v>0</v>
      </c>
    </row>
    <row r="669" spans="1:43" x14ac:dyDescent="0.25">
      <c r="A669" s="1">
        <v>45936</v>
      </c>
      <c r="B669" t="s">
        <v>48</v>
      </c>
      <c r="C669">
        <v>649163</v>
      </c>
      <c r="D669">
        <v>2028412597</v>
      </c>
      <c r="E669" t="s">
        <v>768</v>
      </c>
      <c r="F669" t="s">
        <v>205</v>
      </c>
      <c r="G669" t="s">
        <v>51</v>
      </c>
      <c r="H669" t="s">
        <v>101</v>
      </c>
      <c r="I669" t="s">
        <v>292</v>
      </c>
      <c r="J669" t="s">
        <v>293</v>
      </c>
      <c r="K669">
        <v>651818</v>
      </c>
      <c r="L669" t="s">
        <v>112</v>
      </c>
      <c r="M669" t="s">
        <v>104</v>
      </c>
      <c r="N669" t="s">
        <v>57</v>
      </c>
      <c r="O669" s="1">
        <v>45784</v>
      </c>
      <c r="Q669" s="1">
        <v>45968</v>
      </c>
      <c r="R669" s="2">
        <v>80.14</v>
      </c>
      <c r="S669">
        <v>1</v>
      </c>
      <c r="T669" t="s">
        <v>58</v>
      </c>
      <c r="U669" t="s">
        <v>359</v>
      </c>
      <c r="V669" s="3">
        <v>0.7</v>
      </c>
      <c r="W669" s="2">
        <v>0</v>
      </c>
      <c r="X669">
        <v>0</v>
      </c>
      <c r="Y669" t="s">
        <v>60</v>
      </c>
      <c r="Z669" t="s">
        <v>360</v>
      </c>
      <c r="AA669">
        <v>0</v>
      </c>
      <c r="AB669" s="2">
        <v>0</v>
      </c>
      <c r="AC669" s="2">
        <v>0</v>
      </c>
      <c r="AD669" s="3">
        <v>0</v>
      </c>
      <c r="AE669" s="2">
        <v>0</v>
      </c>
      <c r="AF669" s="2">
        <v>0</v>
      </c>
      <c r="AG669" s="2">
        <v>0</v>
      </c>
      <c r="AH669" s="2">
        <v>0</v>
      </c>
      <c r="AI669" s="2">
        <v>0</v>
      </c>
      <c r="AJ669" s="2">
        <v>0</v>
      </c>
      <c r="AK669" s="2">
        <v>0</v>
      </c>
      <c r="AL669" s="2">
        <v>0</v>
      </c>
      <c r="AM669" s="2">
        <v>56.1</v>
      </c>
      <c r="AN669" s="2">
        <v>56.1</v>
      </c>
      <c r="AO669" s="2">
        <v>0</v>
      </c>
      <c r="AP669" s="2">
        <v>0</v>
      </c>
      <c r="AQ669" s="2">
        <v>0</v>
      </c>
    </row>
    <row r="670" spans="1:43" x14ac:dyDescent="0.25">
      <c r="A670" s="1">
        <v>45936</v>
      </c>
      <c r="B670" t="s">
        <v>48</v>
      </c>
      <c r="C670">
        <v>649163</v>
      </c>
      <c r="D670">
        <v>2028436941</v>
      </c>
      <c r="E670" t="s">
        <v>412</v>
      </c>
      <c r="F670" t="s">
        <v>1030</v>
      </c>
      <c r="G670" t="s">
        <v>51</v>
      </c>
      <c r="H670" t="s">
        <v>310</v>
      </c>
      <c r="I670" t="s">
        <v>292</v>
      </c>
      <c r="J670" t="s">
        <v>293</v>
      </c>
      <c r="K670">
        <v>651818</v>
      </c>
      <c r="L670" t="s">
        <v>112</v>
      </c>
      <c r="M670" t="s">
        <v>104</v>
      </c>
      <c r="N670" t="s">
        <v>57</v>
      </c>
      <c r="O670" s="1">
        <v>45784</v>
      </c>
      <c r="Q670" s="1">
        <v>45968</v>
      </c>
      <c r="R670" s="2">
        <v>77.12</v>
      </c>
      <c r="S670">
        <v>1</v>
      </c>
      <c r="T670" t="s">
        <v>58</v>
      </c>
      <c r="U670" t="s">
        <v>359</v>
      </c>
      <c r="V670" s="3">
        <v>0.7</v>
      </c>
      <c r="W670" s="2">
        <v>0</v>
      </c>
      <c r="X670">
        <v>0</v>
      </c>
      <c r="Y670" t="s">
        <v>60</v>
      </c>
      <c r="Z670" t="s">
        <v>360</v>
      </c>
      <c r="AA670">
        <v>0</v>
      </c>
      <c r="AB670" s="2">
        <v>0</v>
      </c>
      <c r="AC670" s="2">
        <v>0</v>
      </c>
      <c r="AD670" s="3">
        <v>0</v>
      </c>
      <c r="AE670" s="2">
        <v>0</v>
      </c>
      <c r="AF670" s="2">
        <v>0</v>
      </c>
      <c r="AG670" s="2">
        <v>0</v>
      </c>
      <c r="AH670" s="2">
        <v>0</v>
      </c>
      <c r="AI670" s="2">
        <v>0</v>
      </c>
      <c r="AJ670" s="2">
        <v>0</v>
      </c>
      <c r="AK670" s="2">
        <v>0</v>
      </c>
      <c r="AL670" s="2">
        <v>0</v>
      </c>
      <c r="AM670" s="2">
        <v>53.98</v>
      </c>
      <c r="AN670" s="2">
        <v>53.98</v>
      </c>
      <c r="AO670" s="2">
        <v>0</v>
      </c>
      <c r="AP670" s="2">
        <v>0</v>
      </c>
      <c r="AQ670" s="2">
        <v>0</v>
      </c>
    </row>
    <row r="671" spans="1:43" x14ac:dyDescent="0.25">
      <c r="A671" s="1">
        <v>45936</v>
      </c>
      <c r="B671" t="s">
        <v>48</v>
      </c>
      <c r="C671">
        <v>649163</v>
      </c>
      <c r="D671">
        <v>2028549154</v>
      </c>
      <c r="E671" t="s">
        <v>764</v>
      </c>
      <c r="F671" t="s">
        <v>769</v>
      </c>
      <c r="G671" t="s">
        <v>51</v>
      </c>
      <c r="H671" t="s">
        <v>119</v>
      </c>
      <c r="I671" t="s">
        <v>292</v>
      </c>
      <c r="J671" t="s">
        <v>295</v>
      </c>
      <c r="K671">
        <v>651818</v>
      </c>
      <c r="L671" t="s">
        <v>112</v>
      </c>
      <c r="M671" t="s">
        <v>104</v>
      </c>
      <c r="N671" t="s">
        <v>57</v>
      </c>
      <c r="O671" s="1">
        <v>45784</v>
      </c>
      <c r="Q671" s="1">
        <v>45968</v>
      </c>
      <c r="R671" s="2">
        <v>26.25</v>
      </c>
      <c r="S671">
        <v>1</v>
      </c>
      <c r="T671" t="s">
        <v>58</v>
      </c>
      <c r="U671" t="s">
        <v>359</v>
      </c>
      <c r="V671" s="3">
        <v>0.9</v>
      </c>
      <c r="W671" s="2">
        <v>0</v>
      </c>
      <c r="X671">
        <v>0</v>
      </c>
      <c r="Y671" t="s">
        <v>60</v>
      </c>
      <c r="Z671" t="s">
        <v>360</v>
      </c>
      <c r="AA671">
        <v>0</v>
      </c>
      <c r="AB671" s="2">
        <v>0</v>
      </c>
      <c r="AC671" s="2">
        <v>0</v>
      </c>
      <c r="AD671" s="3">
        <v>0</v>
      </c>
      <c r="AE671" s="2">
        <v>0</v>
      </c>
      <c r="AF671" s="2">
        <v>0</v>
      </c>
      <c r="AG671" s="2">
        <v>0</v>
      </c>
      <c r="AH671" s="2">
        <v>0</v>
      </c>
      <c r="AI671" s="2">
        <v>0</v>
      </c>
      <c r="AJ671" s="2">
        <v>0</v>
      </c>
      <c r="AK671" s="2">
        <v>0</v>
      </c>
      <c r="AL671" s="2">
        <v>0</v>
      </c>
      <c r="AM671" s="2">
        <v>23.62</v>
      </c>
      <c r="AN671" s="2">
        <v>23.62</v>
      </c>
      <c r="AO671" s="2">
        <v>0</v>
      </c>
      <c r="AP671" s="2">
        <v>0</v>
      </c>
      <c r="AQ671" s="2">
        <v>0</v>
      </c>
    </row>
    <row r="672" spans="1:43" x14ac:dyDescent="0.25">
      <c r="A672" s="1">
        <v>45936</v>
      </c>
      <c r="B672" t="s">
        <v>48</v>
      </c>
      <c r="C672">
        <v>649163</v>
      </c>
      <c r="D672">
        <v>2028565355</v>
      </c>
      <c r="E672" t="s">
        <v>139</v>
      </c>
      <c r="F672" t="s">
        <v>416</v>
      </c>
      <c r="G672" t="s">
        <v>51</v>
      </c>
      <c r="H672" t="s">
        <v>88</v>
      </c>
      <c r="I672" t="s">
        <v>292</v>
      </c>
      <c r="J672" t="s">
        <v>293</v>
      </c>
      <c r="K672">
        <v>650218</v>
      </c>
      <c r="L672" t="s">
        <v>237</v>
      </c>
      <c r="M672" t="s">
        <v>238</v>
      </c>
      <c r="N672" t="s">
        <v>57</v>
      </c>
      <c r="O672" s="1">
        <v>45777</v>
      </c>
      <c r="Q672" s="1">
        <v>45960</v>
      </c>
      <c r="R672" s="2">
        <v>-30.16</v>
      </c>
      <c r="S672">
        <v>1</v>
      </c>
      <c r="T672" t="s">
        <v>58</v>
      </c>
      <c r="U672" t="s">
        <v>359</v>
      </c>
      <c r="V672" s="3">
        <v>0.7</v>
      </c>
      <c r="W672" s="2">
        <v>0</v>
      </c>
      <c r="X672">
        <v>-1</v>
      </c>
      <c r="Y672" t="s">
        <v>60</v>
      </c>
      <c r="Z672" t="s">
        <v>360</v>
      </c>
      <c r="AA672">
        <v>0</v>
      </c>
      <c r="AB672" s="2">
        <v>0</v>
      </c>
      <c r="AC672" s="2">
        <v>0</v>
      </c>
      <c r="AD672" s="3">
        <v>0</v>
      </c>
      <c r="AE672" s="2">
        <v>0</v>
      </c>
      <c r="AF672" s="2">
        <v>0</v>
      </c>
      <c r="AG672" s="2">
        <v>0</v>
      </c>
      <c r="AH672" s="2">
        <v>0</v>
      </c>
      <c r="AI672" s="2">
        <v>0</v>
      </c>
      <c r="AJ672" s="2">
        <v>0</v>
      </c>
      <c r="AK672" s="2">
        <v>0</v>
      </c>
      <c r="AL672" s="2">
        <v>0</v>
      </c>
      <c r="AM672" s="2">
        <v>-21.11</v>
      </c>
      <c r="AN672" s="2">
        <v>-21.11</v>
      </c>
      <c r="AO672" s="2">
        <v>0</v>
      </c>
      <c r="AP672" s="2">
        <v>0</v>
      </c>
      <c r="AQ672" s="2">
        <v>0</v>
      </c>
    </row>
    <row r="673" spans="1:43" x14ac:dyDescent="0.25">
      <c r="A673" s="1">
        <v>45936</v>
      </c>
      <c r="B673" t="s">
        <v>48</v>
      </c>
      <c r="C673">
        <v>649163</v>
      </c>
      <c r="D673">
        <v>2028582349</v>
      </c>
      <c r="E673" t="s">
        <v>396</v>
      </c>
      <c r="F673" t="s">
        <v>250</v>
      </c>
      <c r="G673" t="s">
        <v>51</v>
      </c>
      <c r="H673" t="s">
        <v>101</v>
      </c>
      <c r="I673" t="s">
        <v>292</v>
      </c>
      <c r="J673" t="s">
        <v>293</v>
      </c>
      <c r="K673">
        <v>821015</v>
      </c>
      <c r="L673" t="s">
        <v>325</v>
      </c>
      <c r="M673" t="s">
        <v>326</v>
      </c>
      <c r="N673" t="s">
        <v>57</v>
      </c>
      <c r="O673" s="1">
        <v>45784</v>
      </c>
      <c r="Q673" s="1">
        <v>45968</v>
      </c>
      <c r="R673" s="2">
        <v>77.52</v>
      </c>
      <c r="S673">
        <v>1</v>
      </c>
      <c r="T673" t="s">
        <v>58</v>
      </c>
      <c r="U673" t="s">
        <v>359</v>
      </c>
      <c r="V673" s="3">
        <v>0.7</v>
      </c>
      <c r="W673" s="2">
        <v>0</v>
      </c>
      <c r="X673">
        <v>0</v>
      </c>
      <c r="Y673" t="s">
        <v>60</v>
      </c>
      <c r="Z673" t="s">
        <v>360</v>
      </c>
      <c r="AA673">
        <v>0</v>
      </c>
      <c r="AB673" s="2">
        <v>0</v>
      </c>
      <c r="AC673" s="2">
        <v>0</v>
      </c>
      <c r="AD673" s="3">
        <v>0</v>
      </c>
      <c r="AE673" s="2">
        <v>0</v>
      </c>
      <c r="AF673" s="2">
        <v>0</v>
      </c>
      <c r="AG673" s="2">
        <v>0</v>
      </c>
      <c r="AH673" s="2">
        <v>0</v>
      </c>
      <c r="AI673" s="2">
        <v>0</v>
      </c>
      <c r="AJ673" s="2">
        <v>0</v>
      </c>
      <c r="AK673" s="2">
        <v>0</v>
      </c>
      <c r="AL673" s="2">
        <v>0</v>
      </c>
      <c r="AM673" s="2">
        <v>54.26</v>
      </c>
      <c r="AN673" s="2">
        <v>54.26</v>
      </c>
      <c r="AO673" s="2">
        <v>0</v>
      </c>
      <c r="AP673" s="2">
        <v>0</v>
      </c>
      <c r="AQ673" s="2">
        <v>0</v>
      </c>
    </row>
    <row r="674" spans="1:43" x14ac:dyDescent="0.25">
      <c r="A674" s="1">
        <v>45936</v>
      </c>
      <c r="B674" t="s">
        <v>48</v>
      </c>
      <c r="C674">
        <v>649163</v>
      </c>
      <c r="D674">
        <v>2028605533</v>
      </c>
      <c r="E674" t="s">
        <v>770</v>
      </c>
      <c r="F674" t="s">
        <v>98</v>
      </c>
      <c r="G674" t="s">
        <v>51</v>
      </c>
      <c r="H674" t="s">
        <v>105</v>
      </c>
      <c r="I674" t="s">
        <v>292</v>
      </c>
      <c r="J674" t="s">
        <v>536</v>
      </c>
      <c r="K674">
        <v>823068</v>
      </c>
      <c r="L674" t="s">
        <v>106</v>
      </c>
      <c r="M674" t="s">
        <v>107</v>
      </c>
      <c r="N674" t="s">
        <v>57</v>
      </c>
      <c r="O674" s="1">
        <v>45778</v>
      </c>
      <c r="Q674" s="1">
        <v>45962</v>
      </c>
      <c r="R674" s="2">
        <v>24.61</v>
      </c>
      <c r="S674">
        <v>1</v>
      </c>
      <c r="T674" t="s">
        <v>58</v>
      </c>
      <c r="U674" t="s">
        <v>359</v>
      </c>
      <c r="V674" s="3">
        <v>0.7</v>
      </c>
      <c r="W674" s="2">
        <v>0</v>
      </c>
      <c r="X674">
        <v>0</v>
      </c>
      <c r="Y674" t="s">
        <v>60</v>
      </c>
      <c r="Z674" t="s">
        <v>360</v>
      </c>
      <c r="AA674">
        <v>0</v>
      </c>
      <c r="AB674" s="2">
        <v>0</v>
      </c>
      <c r="AC674" s="2">
        <v>0</v>
      </c>
      <c r="AD674" s="3">
        <v>0</v>
      </c>
      <c r="AE674" s="2">
        <v>0</v>
      </c>
      <c r="AF674" s="2">
        <v>0</v>
      </c>
      <c r="AG674" s="2">
        <v>0</v>
      </c>
      <c r="AH674" s="2">
        <v>0</v>
      </c>
      <c r="AI674" s="2">
        <v>0</v>
      </c>
      <c r="AJ674" s="2">
        <v>0</v>
      </c>
      <c r="AK674" s="2">
        <v>0</v>
      </c>
      <c r="AL674" s="2">
        <v>0</v>
      </c>
      <c r="AM674" s="2">
        <v>17.23</v>
      </c>
      <c r="AN674" s="2">
        <v>17.23</v>
      </c>
      <c r="AO674" s="2">
        <v>0</v>
      </c>
      <c r="AP674" s="2">
        <v>0</v>
      </c>
      <c r="AQ674" s="2">
        <v>0</v>
      </c>
    </row>
    <row r="675" spans="1:43" x14ac:dyDescent="0.25">
      <c r="A675" s="1">
        <v>45936</v>
      </c>
      <c r="B675" t="s">
        <v>48</v>
      </c>
      <c r="C675">
        <v>649163</v>
      </c>
      <c r="D675">
        <v>2028683415</v>
      </c>
      <c r="E675" t="s">
        <v>1031</v>
      </c>
      <c r="F675" t="s">
        <v>1031</v>
      </c>
      <c r="G675" t="s">
        <v>51</v>
      </c>
      <c r="H675" t="s">
        <v>101</v>
      </c>
      <c r="I675" t="s">
        <v>292</v>
      </c>
      <c r="J675" t="s">
        <v>293</v>
      </c>
      <c r="K675">
        <v>824076</v>
      </c>
      <c r="L675" t="s">
        <v>1032</v>
      </c>
      <c r="M675" t="s">
        <v>1033</v>
      </c>
      <c r="N675" t="s">
        <v>57</v>
      </c>
      <c r="O675" s="1">
        <v>45778</v>
      </c>
      <c r="Q675" s="1">
        <v>45962</v>
      </c>
      <c r="R675" s="2">
        <v>56.62</v>
      </c>
      <c r="S675">
        <v>1</v>
      </c>
      <c r="T675" t="s">
        <v>58</v>
      </c>
      <c r="U675" t="s">
        <v>359</v>
      </c>
      <c r="V675" s="3">
        <v>0.7</v>
      </c>
      <c r="W675" s="2">
        <v>0</v>
      </c>
      <c r="X675">
        <v>0</v>
      </c>
      <c r="Y675" t="s">
        <v>60</v>
      </c>
      <c r="Z675" t="s">
        <v>360</v>
      </c>
      <c r="AA675">
        <v>0</v>
      </c>
      <c r="AB675" s="2">
        <v>0</v>
      </c>
      <c r="AC675" s="2">
        <v>0</v>
      </c>
      <c r="AD675" s="3">
        <v>0</v>
      </c>
      <c r="AE675" s="2">
        <v>0</v>
      </c>
      <c r="AF675" s="2">
        <v>0</v>
      </c>
      <c r="AG675" s="2">
        <v>0</v>
      </c>
      <c r="AH675" s="2">
        <v>0</v>
      </c>
      <c r="AI675" s="2">
        <v>0</v>
      </c>
      <c r="AJ675" s="2">
        <v>0</v>
      </c>
      <c r="AK675" s="2">
        <v>0</v>
      </c>
      <c r="AL675" s="2">
        <v>0</v>
      </c>
      <c r="AM675" s="2">
        <v>39.630000000000003</v>
      </c>
      <c r="AN675" s="2">
        <v>39.630000000000003</v>
      </c>
      <c r="AO675" s="2">
        <v>0</v>
      </c>
      <c r="AP675" s="2">
        <v>0</v>
      </c>
      <c r="AQ675" s="2">
        <v>0</v>
      </c>
    </row>
    <row r="676" spans="1:43" x14ac:dyDescent="0.25">
      <c r="A676" s="1">
        <v>45936</v>
      </c>
      <c r="B676" t="s">
        <v>48</v>
      </c>
      <c r="C676">
        <v>649163</v>
      </c>
      <c r="D676">
        <v>2028766411</v>
      </c>
      <c r="E676" t="s">
        <v>1034</v>
      </c>
      <c r="F676" t="s">
        <v>1035</v>
      </c>
      <c r="G676" t="s">
        <v>51</v>
      </c>
      <c r="H676" t="s">
        <v>101</v>
      </c>
      <c r="I676" t="s">
        <v>292</v>
      </c>
      <c r="J676" t="s">
        <v>295</v>
      </c>
      <c r="K676">
        <v>807212</v>
      </c>
      <c r="L676" t="s">
        <v>340</v>
      </c>
      <c r="M676" t="s">
        <v>341</v>
      </c>
      <c r="N676" t="s">
        <v>57</v>
      </c>
      <c r="O676" s="1">
        <v>45782</v>
      </c>
      <c r="Q676" s="1">
        <v>45966</v>
      </c>
      <c r="R676" s="2">
        <v>46.58</v>
      </c>
      <c r="S676">
        <v>1</v>
      </c>
      <c r="T676" t="s">
        <v>58</v>
      </c>
      <c r="U676" t="s">
        <v>359</v>
      </c>
      <c r="V676" s="3">
        <v>0.9</v>
      </c>
      <c r="W676" s="2">
        <v>0</v>
      </c>
      <c r="X676">
        <v>0</v>
      </c>
      <c r="Y676" t="s">
        <v>60</v>
      </c>
      <c r="Z676" t="s">
        <v>360</v>
      </c>
      <c r="AA676">
        <v>0</v>
      </c>
      <c r="AB676" s="2">
        <v>0</v>
      </c>
      <c r="AC676" s="2">
        <v>0</v>
      </c>
      <c r="AD676" s="3">
        <v>0</v>
      </c>
      <c r="AE676" s="2">
        <v>0</v>
      </c>
      <c r="AF676" s="2">
        <v>0</v>
      </c>
      <c r="AG676" s="2">
        <v>0</v>
      </c>
      <c r="AH676" s="2">
        <v>0</v>
      </c>
      <c r="AI676" s="2">
        <v>0</v>
      </c>
      <c r="AJ676" s="2">
        <v>0</v>
      </c>
      <c r="AK676" s="2">
        <v>0</v>
      </c>
      <c r="AL676" s="2">
        <v>0</v>
      </c>
      <c r="AM676" s="2">
        <v>41.92</v>
      </c>
      <c r="AN676" s="2">
        <v>41.92</v>
      </c>
      <c r="AO676" s="2">
        <v>0</v>
      </c>
      <c r="AP676" s="2">
        <v>0</v>
      </c>
      <c r="AQ676" s="2">
        <v>0</v>
      </c>
    </row>
    <row r="677" spans="1:43" x14ac:dyDescent="0.25">
      <c r="A677" s="1">
        <v>45936</v>
      </c>
      <c r="B677" t="s">
        <v>48</v>
      </c>
      <c r="C677">
        <v>649163</v>
      </c>
      <c r="D677">
        <v>2028773700</v>
      </c>
      <c r="E677" t="s">
        <v>772</v>
      </c>
      <c r="F677" t="s">
        <v>81</v>
      </c>
      <c r="G677" t="s">
        <v>51</v>
      </c>
      <c r="H677" t="s">
        <v>119</v>
      </c>
      <c r="I677" t="s">
        <v>292</v>
      </c>
      <c r="J677" t="s">
        <v>295</v>
      </c>
      <c r="K677">
        <v>651818</v>
      </c>
      <c r="L677" t="s">
        <v>112</v>
      </c>
      <c r="M677" t="s">
        <v>104</v>
      </c>
      <c r="N677" t="s">
        <v>57</v>
      </c>
      <c r="O677" s="1">
        <v>45815</v>
      </c>
      <c r="Q677" s="1">
        <v>45968</v>
      </c>
      <c r="R677" s="2">
        <v>33.25</v>
      </c>
      <c r="S677">
        <v>1</v>
      </c>
      <c r="T677" t="s">
        <v>58</v>
      </c>
      <c r="U677" t="s">
        <v>359</v>
      </c>
      <c r="V677" s="3">
        <v>0.9</v>
      </c>
      <c r="W677" s="2">
        <v>0</v>
      </c>
      <c r="X677">
        <v>0</v>
      </c>
      <c r="Y677" t="s">
        <v>60</v>
      </c>
      <c r="Z677" t="s">
        <v>360</v>
      </c>
      <c r="AA677">
        <v>0</v>
      </c>
      <c r="AB677" s="2">
        <v>0</v>
      </c>
      <c r="AC677" s="2">
        <v>0</v>
      </c>
      <c r="AD677" s="3">
        <v>0</v>
      </c>
      <c r="AE677" s="2">
        <v>0</v>
      </c>
      <c r="AF677" s="2">
        <v>0</v>
      </c>
      <c r="AG677" s="2">
        <v>0</v>
      </c>
      <c r="AH677" s="2">
        <v>0</v>
      </c>
      <c r="AI677" s="2">
        <v>0</v>
      </c>
      <c r="AJ677" s="2">
        <v>0</v>
      </c>
      <c r="AK677" s="2">
        <v>0</v>
      </c>
      <c r="AL677" s="2">
        <v>29.92</v>
      </c>
      <c r="AM677" s="2">
        <v>0</v>
      </c>
      <c r="AN677" s="2">
        <v>0</v>
      </c>
      <c r="AO677" s="2">
        <v>0</v>
      </c>
      <c r="AP677" s="2">
        <v>0</v>
      </c>
      <c r="AQ677" s="2">
        <v>0</v>
      </c>
    </row>
    <row r="678" spans="1:43" x14ac:dyDescent="0.25">
      <c r="A678" s="1">
        <v>45936</v>
      </c>
      <c r="B678" t="s">
        <v>48</v>
      </c>
      <c r="C678">
        <v>649163</v>
      </c>
      <c r="D678">
        <v>2028777167</v>
      </c>
      <c r="E678" t="s">
        <v>773</v>
      </c>
      <c r="F678" t="s">
        <v>774</v>
      </c>
      <c r="G678" t="s">
        <v>51</v>
      </c>
      <c r="H678" t="s">
        <v>203</v>
      </c>
      <c r="I678" t="s">
        <v>292</v>
      </c>
      <c r="J678" t="s">
        <v>293</v>
      </c>
      <c r="K678">
        <v>816021</v>
      </c>
      <c r="L678" t="s">
        <v>265</v>
      </c>
      <c r="M678" t="s">
        <v>266</v>
      </c>
      <c r="N678" t="s">
        <v>57</v>
      </c>
      <c r="O678" s="1">
        <v>45783</v>
      </c>
      <c r="Q678" s="1">
        <v>45967</v>
      </c>
      <c r="R678" s="2">
        <v>18.2</v>
      </c>
      <c r="S678">
        <v>1</v>
      </c>
      <c r="T678" t="s">
        <v>58</v>
      </c>
      <c r="U678" t="s">
        <v>359</v>
      </c>
      <c r="V678" s="3">
        <v>0.7</v>
      </c>
      <c r="W678" s="2">
        <v>0</v>
      </c>
      <c r="X678">
        <v>0</v>
      </c>
      <c r="Y678" t="s">
        <v>60</v>
      </c>
      <c r="Z678" t="s">
        <v>360</v>
      </c>
      <c r="AA678">
        <v>0</v>
      </c>
      <c r="AB678" s="2">
        <v>0</v>
      </c>
      <c r="AC678" s="2">
        <v>0</v>
      </c>
      <c r="AD678" s="3">
        <v>0</v>
      </c>
      <c r="AE678" s="2">
        <v>0</v>
      </c>
      <c r="AF678" s="2">
        <v>0</v>
      </c>
      <c r="AG678" s="2">
        <v>0</v>
      </c>
      <c r="AH678" s="2">
        <v>0</v>
      </c>
      <c r="AI678" s="2">
        <v>0</v>
      </c>
      <c r="AJ678" s="2">
        <v>0</v>
      </c>
      <c r="AK678" s="2">
        <v>0</v>
      </c>
      <c r="AL678" s="2">
        <v>0</v>
      </c>
      <c r="AM678" s="2">
        <v>12.74</v>
      </c>
      <c r="AN678" s="2">
        <v>12.74</v>
      </c>
      <c r="AO678" s="2">
        <v>0</v>
      </c>
      <c r="AP678" s="2">
        <v>0</v>
      </c>
      <c r="AQ678" s="2">
        <v>0</v>
      </c>
    </row>
    <row r="679" spans="1:43" x14ac:dyDescent="0.25">
      <c r="A679" s="1">
        <v>45936</v>
      </c>
      <c r="B679" t="s">
        <v>48</v>
      </c>
      <c r="C679">
        <v>649163</v>
      </c>
      <c r="D679">
        <v>2028781143</v>
      </c>
      <c r="E679" t="s">
        <v>1036</v>
      </c>
      <c r="F679" t="s">
        <v>1037</v>
      </c>
      <c r="G679" t="s">
        <v>51</v>
      </c>
      <c r="H679" t="s">
        <v>101</v>
      </c>
      <c r="I679" t="s">
        <v>292</v>
      </c>
      <c r="J679" t="s">
        <v>295</v>
      </c>
      <c r="K679">
        <v>807212</v>
      </c>
      <c r="L679" t="s">
        <v>340</v>
      </c>
      <c r="M679" t="s">
        <v>341</v>
      </c>
      <c r="N679" t="s">
        <v>57</v>
      </c>
      <c r="O679" s="1">
        <v>45783</v>
      </c>
      <c r="Q679" s="1">
        <v>45967</v>
      </c>
      <c r="R679" s="2">
        <v>25.29</v>
      </c>
      <c r="S679">
        <v>1</v>
      </c>
      <c r="T679" t="s">
        <v>58</v>
      </c>
      <c r="U679" t="s">
        <v>359</v>
      </c>
      <c r="V679" s="3">
        <v>0.9</v>
      </c>
      <c r="W679" s="2">
        <v>0</v>
      </c>
      <c r="X679">
        <v>0</v>
      </c>
      <c r="Y679" t="s">
        <v>60</v>
      </c>
      <c r="Z679" t="s">
        <v>360</v>
      </c>
      <c r="AA679">
        <v>0</v>
      </c>
      <c r="AB679" s="2">
        <v>0</v>
      </c>
      <c r="AC679" s="2">
        <v>0</v>
      </c>
      <c r="AD679" s="3">
        <v>0</v>
      </c>
      <c r="AE679" s="2">
        <v>0</v>
      </c>
      <c r="AF679" s="2">
        <v>0</v>
      </c>
      <c r="AG679" s="2">
        <v>0</v>
      </c>
      <c r="AH679" s="2">
        <v>0</v>
      </c>
      <c r="AI679" s="2">
        <v>0</v>
      </c>
      <c r="AJ679" s="2">
        <v>0</v>
      </c>
      <c r="AK679" s="2">
        <v>0</v>
      </c>
      <c r="AL679" s="2">
        <v>0</v>
      </c>
      <c r="AM679" s="2">
        <v>22.76</v>
      </c>
      <c r="AN679" s="2">
        <v>22.76</v>
      </c>
      <c r="AO679" s="2">
        <v>0</v>
      </c>
      <c r="AP679" s="2">
        <v>0</v>
      </c>
      <c r="AQ679" s="2">
        <v>0</v>
      </c>
    </row>
    <row r="680" spans="1:43" x14ac:dyDescent="0.25">
      <c r="A680" s="1">
        <v>45936</v>
      </c>
      <c r="B680" t="s">
        <v>48</v>
      </c>
      <c r="C680">
        <v>649163</v>
      </c>
      <c r="D680">
        <v>2028800280</v>
      </c>
      <c r="E680" t="s">
        <v>1038</v>
      </c>
      <c r="F680" t="s">
        <v>721</v>
      </c>
      <c r="G680" t="s">
        <v>51</v>
      </c>
      <c r="H680" t="s">
        <v>101</v>
      </c>
      <c r="I680" t="s">
        <v>292</v>
      </c>
      <c r="J680" t="s">
        <v>293</v>
      </c>
      <c r="K680">
        <v>843573</v>
      </c>
      <c r="L680" t="s">
        <v>1039</v>
      </c>
      <c r="M680" t="s">
        <v>1040</v>
      </c>
      <c r="N680" t="s">
        <v>57</v>
      </c>
      <c r="O680" s="1">
        <v>45785</v>
      </c>
      <c r="Q680" s="1">
        <v>45969</v>
      </c>
      <c r="R680" s="2">
        <v>19</v>
      </c>
      <c r="S680">
        <v>1</v>
      </c>
      <c r="T680" t="s">
        <v>58</v>
      </c>
      <c r="U680" t="s">
        <v>359</v>
      </c>
      <c r="V680" s="3">
        <v>0.7</v>
      </c>
      <c r="W680" s="2">
        <v>0</v>
      </c>
      <c r="X680">
        <v>0</v>
      </c>
      <c r="Y680" t="s">
        <v>60</v>
      </c>
      <c r="Z680" t="s">
        <v>360</v>
      </c>
      <c r="AA680">
        <v>0</v>
      </c>
      <c r="AB680" s="2">
        <v>0</v>
      </c>
      <c r="AC680" s="2">
        <v>0</v>
      </c>
      <c r="AD680" s="3">
        <v>0</v>
      </c>
      <c r="AE680" s="2">
        <v>0</v>
      </c>
      <c r="AF680" s="2">
        <v>0</v>
      </c>
      <c r="AG680" s="2">
        <v>0</v>
      </c>
      <c r="AH680" s="2">
        <v>0</v>
      </c>
      <c r="AI680" s="2">
        <v>0</v>
      </c>
      <c r="AJ680" s="2">
        <v>0</v>
      </c>
      <c r="AK680" s="2">
        <v>0</v>
      </c>
      <c r="AL680" s="2">
        <v>0</v>
      </c>
      <c r="AM680" s="2">
        <v>13.3</v>
      </c>
      <c r="AN680" s="2">
        <v>13.3</v>
      </c>
      <c r="AO680" s="2">
        <v>0</v>
      </c>
      <c r="AP680" s="2">
        <v>0</v>
      </c>
      <c r="AQ680" s="2">
        <v>0</v>
      </c>
    </row>
    <row r="681" spans="1:43" x14ac:dyDescent="0.25">
      <c r="A681" s="1">
        <v>45936</v>
      </c>
      <c r="B681" t="s">
        <v>48</v>
      </c>
      <c r="C681">
        <v>649163</v>
      </c>
      <c r="D681">
        <v>2028803828</v>
      </c>
      <c r="E681" t="s">
        <v>831</v>
      </c>
      <c r="F681" t="s">
        <v>1041</v>
      </c>
      <c r="G681" t="s">
        <v>51</v>
      </c>
      <c r="H681" t="s">
        <v>101</v>
      </c>
      <c r="I681" t="s">
        <v>292</v>
      </c>
      <c r="J681" t="s">
        <v>293</v>
      </c>
      <c r="K681">
        <v>669316</v>
      </c>
      <c r="L681" t="s">
        <v>258</v>
      </c>
      <c r="M681" t="s">
        <v>259</v>
      </c>
      <c r="N681" t="s">
        <v>57</v>
      </c>
      <c r="O681" s="1">
        <v>45809</v>
      </c>
      <c r="Q681" s="1">
        <v>45962</v>
      </c>
      <c r="R681" s="2">
        <v>-66.510000000000005</v>
      </c>
      <c r="S681">
        <v>1</v>
      </c>
      <c r="T681" t="s">
        <v>58</v>
      </c>
      <c r="U681" t="s">
        <v>359</v>
      </c>
      <c r="V681" s="3">
        <v>0.7</v>
      </c>
      <c r="W681" s="2">
        <v>0</v>
      </c>
      <c r="X681">
        <v>-1</v>
      </c>
      <c r="Y681" t="s">
        <v>60</v>
      </c>
      <c r="Z681" t="s">
        <v>360</v>
      </c>
      <c r="AA681">
        <v>0</v>
      </c>
      <c r="AB681" s="2">
        <v>0</v>
      </c>
      <c r="AC681" s="2">
        <v>0</v>
      </c>
      <c r="AD681" s="3">
        <v>0</v>
      </c>
      <c r="AE681" s="2">
        <v>0</v>
      </c>
      <c r="AF681" s="2">
        <v>0</v>
      </c>
      <c r="AG681" s="2">
        <v>0</v>
      </c>
      <c r="AH681" s="2">
        <v>0</v>
      </c>
      <c r="AI681" s="2">
        <v>0</v>
      </c>
      <c r="AJ681" s="2">
        <v>0</v>
      </c>
      <c r="AK681" s="2">
        <v>0</v>
      </c>
      <c r="AL681" s="2">
        <v>0</v>
      </c>
      <c r="AM681" s="2">
        <v>-46.56</v>
      </c>
      <c r="AN681" s="2">
        <v>-46.56</v>
      </c>
      <c r="AO681" s="2">
        <v>0</v>
      </c>
      <c r="AP681" s="2">
        <v>0</v>
      </c>
      <c r="AQ681" s="2">
        <v>0</v>
      </c>
    </row>
    <row r="682" spans="1:43" x14ac:dyDescent="0.25">
      <c r="A682" s="1">
        <v>45936</v>
      </c>
      <c r="B682" t="s">
        <v>48</v>
      </c>
      <c r="C682">
        <v>649163</v>
      </c>
      <c r="D682">
        <v>2028818487</v>
      </c>
      <c r="E682" t="s">
        <v>1042</v>
      </c>
      <c r="F682" t="s">
        <v>532</v>
      </c>
      <c r="G682" t="s">
        <v>51</v>
      </c>
      <c r="H682" t="s">
        <v>101</v>
      </c>
      <c r="I682" t="s">
        <v>292</v>
      </c>
      <c r="J682" t="s">
        <v>293</v>
      </c>
      <c r="K682">
        <v>856163</v>
      </c>
      <c r="L682" t="s">
        <v>66</v>
      </c>
      <c r="M682" t="s">
        <v>156</v>
      </c>
      <c r="N682" t="s">
        <v>57</v>
      </c>
      <c r="O682" s="1">
        <v>45785</v>
      </c>
      <c r="Q682" s="1">
        <v>45969</v>
      </c>
      <c r="R682" s="2">
        <v>24.65</v>
      </c>
      <c r="S682">
        <v>1</v>
      </c>
      <c r="T682" t="s">
        <v>58</v>
      </c>
      <c r="U682" t="s">
        <v>359</v>
      </c>
      <c r="V682" s="3">
        <v>0.7</v>
      </c>
      <c r="W682" s="2">
        <v>0</v>
      </c>
      <c r="X682">
        <v>0</v>
      </c>
      <c r="Y682" t="s">
        <v>60</v>
      </c>
      <c r="Z682" t="s">
        <v>360</v>
      </c>
      <c r="AA682">
        <v>0</v>
      </c>
      <c r="AB682" s="2">
        <v>0</v>
      </c>
      <c r="AC682" s="2">
        <v>0</v>
      </c>
      <c r="AD682" s="3">
        <v>0</v>
      </c>
      <c r="AE682" s="2">
        <v>0</v>
      </c>
      <c r="AF682" s="2">
        <v>0</v>
      </c>
      <c r="AG682" s="2">
        <v>0</v>
      </c>
      <c r="AH682" s="2">
        <v>0</v>
      </c>
      <c r="AI682" s="2">
        <v>0</v>
      </c>
      <c r="AJ682" s="2">
        <v>0</v>
      </c>
      <c r="AK682" s="2">
        <v>0</v>
      </c>
      <c r="AL682" s="2">
        <v>0</v>
      </c>
      <c r="AM682" s="2">
        <v>17.260000000000002</v>
      </c>
      <c r="AN682" s="2">
        <v>17.260000000000002</v>
      </c>
      <c r="AO682" s="2">
        <v>0</v>
      </c>
      <c r="AP682" s="2">
        <v>0</v>
      </c>
      <c r="AQ682" s="2">
        <v>0</v>
      </c>
    </row>
    <row r="683" spans="1:43" x14ac:dyDescent="0.25">
      <c r="A683" s="1">
        <v>45936</v>
      </c>
      <c r="B683" t="s">
        <v>48</v>
      </c>
      <c r="C683">
        <v>649163</v>
      </c>
      <c r="D683">
        <v>2028819908</v>
      </c>
      <c r="E683" t="s">
        <v>417</v>
      </c>
      <c r="F683" t="s">
        <v>418</v>
      </c>
      <c r="G683" t="s">
        <v>51</v>
      </c>
      <c r="H683" t="s">
        <v>70</v>
      </c>
      <c r="I683" t="s">
        <v>292</v>
      </c>
      <c r="J683" t="s">
        <v>536</v>
      </c>
      <c r="K683">
        <v>650218</v>
      </c>
      <c r="L683" t="s">
        <v>237</v>
      </c>
      <c r="M683" t="s">
        <v>238</v>
      </c>
      <c r="N683" t="s">
        <v>57</v>
      </c>
      <c r="O683" s="1">
        <v>45785</v>
      </c>
      <c r="Q683" s="1">
        <v>45969</v>
      </c>
      <c r="R683" s="2">
        <v>25.73</v>
      </c>
      <c r="S683">
        <v>1</v>
      </c>
      <c r="T683" t="s">
        <v>58</v>
      </c>
      <c r="U683" t="s">
        <v>359</v>
      </c>
      <c r="V683" s="3">
        <v>0.7</v>
      </c>
      <c r="W683" s="2">
        <v>0</v>
      </c>
      <c r="X683">
        <v>0</v>
      </c>
      <c r="Y683" t="s">
        <v>60</v>
      </c>
      <c r="Z683" t="s">
        <v>360</v>
      </c>
      <c r="AA683">
        <v>0</v>
      </c>
      <c r="AB683" s="2">
        <v>0</v>
      </c>
      <c r="AC683" s="2">
        <v>0</v>
      </c>
      <c r="AD683" s="3">
        <v>0</v>
      </c>
      <c r="AE683" s="2">
        <v>0</v>
      </c>
      <c r="AF683" s="2">
        <v>0</v>
      </c>
      <c r="AG683" s="2">
        <v>0</v>
      </c>
      <c r="AH683" s="2">
        <v>0</v>
      </c>
      <c r="AI683" s="2">
        <v>0</v>
      </c>
      <c r="AJ683" s="2">
        <v>0</v>
      </c>
      <c r="AK683" s="2">
        <v>0</v>
      </c>
      <c r="AL683" s="2">
        <v>0</v>
      </c>
      <c r="AM683" s="2">
        <v>18.010000000000002</v>
      </c>
      <c r="AN683" s="2">
        <v>18.010000000000002</v>
      </c>
      <c r="AO683" s="2">
        <v>0</v>
      </c>
      <c r="AP683" s="2">
        <v>0</v>
      </c>
      <c r="AQ683" s="2">
        <v>0</v>
      </c>
    </row>
    <row r="684" spans="1:43" x14ac:dyDescent="0.25">
      <c r="A684" s="1">
        <v>45936</v>
      </c>
      <c r="B684" t="s">
        <v>48</v>
      </c>
      <c r="C684">
        <v>649163</v>
      </c>
      <c r="D684">
        <v>2028821221</v>
      </c>
      <c r="E684" t="s">
        <v>1043</v>
      </c>
      <c r="F684" t="s">
        <v>1044</v>
      </c>
      <c r="G684" t="s">
        <v>51</v>
      </c>
      <c r="H684" t="s">
        <v>101</v>
      </c>
      <c r="I684" t="s">
        <v>292</v>
      </c>
      <c r="J684" t="s">
        <v>293</v>
      </c>
      <c r="K684">
        <v>856824</v>
      </c>
      <c r="L684" t="s">
        <v>298</v>
      </c>
      <c r="M684" t="s">
        <v>299</v>
      </c>
      <c r="N684" t="s">
        <v>57</v>
      </c>
      <c r="O684" s="1">
        <v>45809</v>
      </c>
      <c r="Q684" s="1">
        <v>45962</v>
      </c>
      <c r="R684" s="2">
        <v>46.08</v>
      </c>
      <c r="S684">
        <v>1</v>
      </c>
      <c r="T684" t="s">
        <v>58</v>
      </c>
      <c r="U684" t="s">
        <v>359</v>
      </c>
      <c r="V684" s="3">
        <v>0.7</v>
      </c>
      <c r="W684" s="2">
        <v>0</v>
      </c>
      <c r="X684">
        <v>0</v>
      </c>
      <c r="Y684" t="s">
        <v>60</v>
      </c>
      <c r="Z684" t="s">
        <v>360</v>
      </c>
      <c r="AA684">
        <v>0</v>
      </c>
      <c r="AB684" s="2">
        <v>0</v>
      </c>
      <c r="AC684" s="2">
        <v>0</v>
      </c>
      <c r="AD684" s="3">
        <v>0</v>
      </c>
      <c r="AE684" s="2">
        <v>0</v>
      </c>
      <c r="AF684" s="2">
        <v>0</v>
      </c>
      <c r="AG684" s="2">
        <v>0</v>
      </c>
      <c r="AH684" s="2">
        <v>0</v>
      </c>
      <c r="AI684" s="2">
        <v>0</v>
      </c>
      <c r="AJ684" s="2">
        <v>0</v>
      </c>
      <c r="AK684" s="2">
        <v>0</v>
      </c>
      <c r="AL684" s="2">
        <v>0</v>
      </c>
      <c r="AM684" s="2">
        <v>32.26</v>
      </c>
      <c r="AN684" s="2">
        <v>32.26</v>
      </c>
      <c r="AO684" s="2">
        <v>0</v>
      </c>
      <c r="AP684" s="2">
        <v>0</v>
      </c>
      <c r="AQ684" s="2">
        <v>0</v>
      </c>
    </row>
    <row r="685" spans="1:43" x14ac:dyDescent="0.25">
      <c r="A685" s="1">
        <v>45936</v>
      </c>
      <c r="B685" t="s">
        <v>48</v>
      </c>
      <c r="C685">
        <v>649163</v>
      </c>
      <c r="D685">
        <v>2028982416</v>
      </c>
      <c r="E685" t="s">
        <v>1045</v>
      </c>
      <c r="F685" t="s">
        <v>532</v>
      </c>
      <c r="G685" t="s">
        <v>51</v>
      </c>
      <c r="H685" t="s">
        <v>101</v>
      </c>
      <c r="I685" t="s">
        <v>292</v>
      </c>
      <c r="J685" t="s">
        <v>293</v>
      </c>
      <c r="K685">
        <v>651818</v>
      </c>
      <c r="L685" t="s">
        <v>112</v>
      </c>
      <c r="M685" t="s">
        <v>104</v>
      </c>
      <c r="N685" t="s">
        <v>57</v>
      </c>
      <c r="O685" s="1">
        <v>45815</v>
      </c>
      <c r="Q685" s="1">
        <v>45968</v>
      </c>
      <c r="R685" s="2">
        <v>101.38</v>
      </c>
      <c r="S685">
        <v>1</v>
      </c>
      <c r="T685" t="s">
        <v>58</v>
      </c>
      <c r="U685" t="s">
        <v>359</v>
      </c>
      <c r="V685" s="3">
        <v>0.7</v>
      </c>
      <c r="W685" s="2">
        <v>0</v>
      </c>
      <c r="X685">
        <v>0</v>
      </c>
      <c r="Y685" t="s">
        <v>60</v>
      </c>
      <c r="Z685" t="s">
        <v>360</v>
      </c>
      <c r="AA685">
        <v>0</v>
      </c>
      <c r="AB685" s="2">
        <v>0</v>
      </c>
      <c r="AC685" s="2">
        <v>0</v>
      </c>
      <c r="AD685" s="3">
        <v>0</v>
      </c>
      <c r="AE685" s="2">
        <v>0</v>
      </c>
      <c r="AF685" s="2">
        <v>0</v>
      </c>
      <c r="AG685" s="2">
        <v>0</v>
      </c>
      <c r="AH685" s="2">
        <v>0</v>
      </c>
      <c r="AI685" s="2">
        <v>0</v>
      </c>
      <c r="AJ685" s="2">
        <v>0</v>
      </c>
      <c r="AK685" s="2">
        <v>0</v>
      </c>
      <c r="AL685" s="2">
        <v>70.97</v>
      </c>
      <c r="AM685" s="2">
        <v>0</v>
      </c>
      <c r="AN685" s="2">
        <v>0</v>
      </c>
      <c r="AO685" s="2">
        <v>0</v>
      </c>
      <c r="AP685" s="2">
        <v>0</v>
      </c>
      <c r="AQ685" s="2">
        <v>0</v>
      </c>
    </row>
    <row r="686" spans="1:43" x14ac:dyDescent="0.25">
      <c r="A686" s="1">
        <v>45936</v>
      </c>
      <c r="B686" t="s">
        <v>48</v>
      </c>
      <c r="C686">
        <v>649163</v>
      </c>
      <c r="D686">
        <v>2028982417</v>
      </c>
      <c r="E686" t="s">
        <v>1045</v>
      </c>
      <c r="F686" t="s">
        <v>532</v>
      </c>
      <c r="G686" t="s">
        <v>51</v>
      </c>
      <c r="H686" t="s">
        <v>101</v>
      </c>
      <c r="I686" t="s">
        <v>292</v>
      </c>
      <c r="J686" t="s">
        <v>295</v>
      </c>
      <c r="K686">
        <v>651818</v>
      </c>
      <c r="L686" t="s">
        <v>112</v>
      </c>
      <c r="M686" t="s">
        <v>104</v>
      </c>
      <c r="N686" t="s">
        <v>57</v>
      </c>
      <c r="O686" s="1">
        <v>45815</v>
      </c>
      <c r="Q686" s="1">
        <v>45968</v>
      </c>
      <c r="R686" s="2">
        <v>146.88</v>
      </c>
      <c r="S686">
        <v>1</v>
      </c>
      <c r="T686" t="s">
        <v>58</v>
      </c>
      <c r="U686" t="s">
        <v>359</v>
      </c>
      <c r="V686" s="3">
        <v>0.9</v>
      </c>
      <c r="W686" s="2">
        <v>0</v>
      </c>
      <c r="X686">
        <v>0</v>
      </c>
      <c r="Y686" t="s">
        <v>60</v>
      </c>
      <c r="Z686" t="s">
        <v>360</v>
      </c>
      <c r="AA686">
        <v>0</v>
      </c>
      <c r="AB686" s="2">
        <v>0</v>
      </c>
      <c r="AC686" s="2">
        <v>0</v>
      </c>
      <c r="AD686" s="3">
        <v>0</v>
      </c>
      <c r="AE686" s="2">
        <v>0</v>
      </c>
      <c r="AF686" s="2">
        <v>0</v>
      </c>
      <c r="AG686" s="2">
        <v>0</v>
      </c>
      <c r="AH686" s="2">
        <v>0</v>
      </c>
      <c r="AI686" s="2">
        <v>0</v>
      </c>
      <c r="AJ686" s="2">
        <v>0</v>
      </c>
      <c r="AK686" s="2">
        <v>0</v>
      </c>
      <c r="AL686" s="2">
        <v>132.19</v>
      </c>
      <c r="AM686" s="2">
        <v>0</v>
      </c>
      <c r="AN686" s="2">
        <v>0</v>
      </c>
      <c r="AO686" s="2">
        <v>0</v>
      </c>
      <c r="AP686" s="2">
        <v>0</v>
      </c>
      <c r="AQ686" s="2">
        <v>0</v>
      </c>
    </row>
    <row r="687" spans="1:43" x14ac:dyDescent="0.25">
      <c r="A687" s="1">
        <v>45936</v>
      </c>
      <c r="B687" t="s">
        <v>48</v>
      </c>
      <c r="C687">
        <v>649163</v>
      </c>
      <c r="D687">
        <v>2029031423</v>
      </c>
      <c r="E687" t="s">
        <v>778</v>
      </c>
      <c r="F687" t="s">
        <v>779</v>
      </c>
      <c r="G687" t="s">
        <v>51</v>
      </c>
      <c r="H687" t="s">
        <v>129</v>
      </c>
      <c r="I687" t="s">
        <v>292</v>
      </c>
      <c r="J687" t="s">
        <v>293</v>
      </c>
      <c r="K687">
        <v>651818</v>
      </c>
      <c r="L687" t="s">
        <v>112</v>
      </c>
      <c r="M687" t="s">
        <v>104</v>
      </c>
      <c r="N687" t="s">
        <v>57</v>
      </c>
      <c r="O687" s="1">
        <v>45815</v>
      </c>
      <c r="Q687" s="1">
        <v>45968</v>
      </c>
      <c r="R687" s="2">
        <v>103.5</v>
      </c>
      <c r="S687">
        <v>1</v>
      </c>
      <c r="T687" t="s">
        <v>58</v>
      </c>
      <c r="U687" t="s">
        <v>359</v>
      </c>
      <c r="V687" s="3">
        <v>0.7</v>
      </c>
      <c r="W687" s="2">
        <v>0</v>
      </c>
      <c r="X687">
        <v>0</v>
      </c>
      <c r="Y687" t="s">
        <v>60</v>
      </c>
      <c r="Z687" t="s">
        <v>360</v>
      </c>
      <c r="AA687">
        <v>0</v>
      </c>
      <c r="AB687" s="2">
        <v>0</v>
      </c>
      <c r="AC687" s="2">
        <v>0</v>
      </c>
      <c r="AD687" s="3">
        <v>0</v>
      </c>
      <c r="AE687" s="2">
        <v>0</v>
      </c>
      <c r="AF687" s="2">
        <v>0</v>
      </c>
      <c r="AG687" s="2">
        <v>0</v>
      </c>
      <c r="AH687" s="2">
        <v>0</v>
      </c>
      <c r="AI687" s="2">
        <v>0</v>
      </c>
      <c r="AJ687" s="2">
        <v>0</v>
      </c>
      <c r="AK687" s="2">
        <v>0</v>
      </c>
      <c r="AL687" s="2">
        <v>72.45</v>
      </c>
      <c r="AM687" s="2">
        <v>0</v>
      </c>
      <c r="AN687" s="2">
        <v>0</v>
      </c>
      <c r="AO687" s="2">
        <v>0</v>
      </c>
      <c r="AP687" s="2">
        <v>0</v>
      </c>
      <c r="AQ687" s="2">
        <v>0</v>
      </c>
    </row>
    <row r="688" spans="1:43" x14ac:dyDescent="0.25">
      <c r="A688" s="1">
        <v>45936</v>
      </c>
      <c r="B688" t="s">
        <v>48</v>
      </c>
      <c r="C688">
        <v>649163</v>
      </c>
      <c r="D688">
        <v>2029031425</v>
      </c>
      <c r="E688" t="s">
        <v>778</v>
      </c>
      <c r="F688" t="s">
        <v>779</v>
      </c>
      <c r="G688" t="s">
        <v>51</v>
      </c>
      <c r="H688" t="s">
        <v>129</v>
      </c>
      <c r="I688" t="s">
        <v>292</v>
      </c>
      <c r="J688" t="s">
        <v>295</v>
      </c>
      <c r="K688">
        <v>651818</v>
      </c>
      <c r="L688" t="s">
        <v>112</v>
      </c>
      <c r="M688" t="s">
        <v>104</v>
      </c>
      <c r="N688" t="s">
        <v>57</v>
      </c>
      <c r="O688" s="1">
        <v>45815</v>
      </c>
      <c r="Q688" s="1">
        <v>45968</v>
      </c>
      <c r="R688" s="2">
        <v>134.16999999999999</v>
      </c>
      <c r="S688">
        <v>1</v>
      </c>
      <c r="T688" t="s">
        <v>58</v>
      </c>
      <c r="U688" t="s">
        <v>359</v>
      </c>
      <c r="V688" s="3">
        <v>0.9</v>
      </c>
      <c r="W688" s="2">
        <v>0</v>
      </c>
      <c r="X688">
        <v>0</v>
      </c>
      <c r="Y688" t="s">
        <v>60</v>
      </c>
      <c r="Z688" t="s">
        <v>360</v>
      </c>
      <c r="AA688">
        <v>0</v>
      </c>
      <c r="AB688" s="2">
        <v>0</v>
      </c>
      <c r="AC688" s="2">
        <v>0</v>
      </c>
      <c r="AD688" s="3">
        <v>0</v>
      </c>
      <c r="AE688" s="2">
        <v>0</v>
      </c>
      <c r="AF688" s="2">
        <v>0</v>
      </c>
      <c r="AG688" s="2">
        <v>0</v>
      </c>
      <c r="AH688" s="2">
        <v>0</v>
      </c>
      <c r="AI688" s="2">
        <v>0</v>
      </c>
      <c r="AJ688" s="2">
        <v>0</v>
      </c>
      <c r="AK688" s="2">
        <v>0</v>
      </c>
      <c r="AL688" s="2">
        <v>120.75</v>
      </c>
      <c r="AM688" s="2">
        <v>0</v>
      </c>
      <c r="AN688" s="2">
        <v>0</v>
      </c>
      <c r="AO688" s="2">
        <v>0</v>
      </c>
      <c r="AP688" s="2">
        <v>0</v>
      </c>
      <c r="AQ688" s="2">
        <v>0</v>
      </c>
    </row>
    <row r="689" spans="1:43" x14ac:dyDescent="0.25">
      <c r="A689" s="1">
        <v>45936</v>
      </c>
      <c r="B689" t="s">
        <v>48</v>
      </c>
      <c r="C689">
        <v>649163</v>
      </c>
      <c r="D689">
        <v>2029275520</v>
      </c>
      <c r="E689" t="s">
        <v>783</v>
      </c>
      <c r="F689" t="s">
        <v>145</v>
      </c>
      <c r="G689" t="s">
        <v>51</v>
      </c>
      <c r="H689" t="s">
        <v>101</v>
      </c>
      <c r="I689" t="s">
        <v>292</v>
      </c>
      <c r="J689" t="s">
        <v>295</v>
      </c>
      <c r="K689">
        <v>821015</v>
      </c>
      <c r="L689" t="s">
        <v>325</v>
      </c>
      <c r="M689" t="s">
        <v>326</v>
      </c>
      <c r="N689" t="s">
        <v>57</v>
      </c>
      <c r="O689" s="1">
        <v>45815</v>
      </c>
      <c r="Q689" s="1">
        <v>45968</v>
      </c>
      <c r="R689" s="2">
        <v>75.75</v>
      </c>
      <c r="S689">
        <v>1</v>
      </c>
      <c r="T689" t="s">
        <v>58</v>
      </c>
      <c r="U689" t="s">
        <v>359</v>
      </c>
      <c r="V689" s="3">
        <v>0.9</v>
      </c>
      <c r="W689" s="2">
        <v>0</v>
      </c>
      <c r="X689">
        <v>0</v>
      </c>
      <c r="Y689" t="s">
        <v>60</v>
      </c>
      <c r="Z689" t="s">
        <v>360</v>
      </c>
      <c r="AA689">
        <v>0</v>
      </c>
      <c r="AB689" s="2">
        <v>0</v>
      </c>
      <c r="AC689" s="2">
        <v>0</v>
      </c>
      <c r="AD689" s="3">
        <v>0</v>
      </c>
      <c r="AE689" s="2">
        <v>0</v>
      </c>
      <c r="AF689" s="2">
        <v>0</v>
      </c>
      <c r="AG689" s="2">
        <v>0</v>
      </c>
      <c r="AH689" s="2">
        <v>0</v>
      </c>
      <c r="AI689" s="2">
        <v>0</v>
      </c>
      <c r="AJ689" s="2">
        <v>0</v>
      </c>
      <c r="AK689" s="2">
        <v>0</v>
      </c>
      <c r="AL689" s="2">
        <v>68.180000000000007</v>
      </c>
      <c r="AM689" s="2">
        <v>0</v>
      </c>
      <c r="AN689" s="2">
        <v>0</v>
      </c>
      <c r="AO689" s="2">
        <v>0</v>
      </c>
      <c r="AP689" s="2">
        <v>0</v>
      </c>
      <c r="AQ689" s="2">
        <v>0</v>
      </c>
    </row>
    <row r="690" spans="1:43" x14ac:dyDescent="0.25">
      <c r="A690" s="1">
        <v>45936</v>
      </c>
      <c r="B690" t="s">
        <v>48</v>
      </c>
      <c r="C690">
        <v>649163</v>
      </c>
      <c r="D690">
        <v>2029275521</v>
      </c>
      <c r="E690" t="s">
        <v>783</v>
      </c>
      <c r="F690" t="s">
        <v>145</v>
      </c>
      <c r="G690" t="s">
        <v>51</v>
      </c>
      <c r="H690" t="s">
        <v>101</v>
      </c>
      <c r="I690" t="s">
        <v>292</v>
      </c>
      <c r="J690" t="s">
        <v>293</v>
      </c>
      <c r="K690">
        <v>821015</v>
      </c>
      <c r="L690" t="s">
        <v>325</v>
      </c>
      <c r="M690" t="s">
        <v>326</v>
      </c>
      <c r="N690" t="s">
        <v>57</v>
      </c>
      <c r="O690" s="1">
        <v>45815</v>
      </c>
      <c r="Q690" s="1">
        <v>45968</v>
      </c>
      <c r="R690" s="2">
        <v>341.13</v>
      </c>
      <c r="S690">
        <v>1</v>
      </c>
      <c r="T690" t="s">
        <v>58</v>
      </c>
      <c r="U690" t="s">
        <v>359</v>
      </c>
      <c r="V690" s="3">
        <v>0.7</v>
      </c>
      <c r="W690" s="2">
        <v>0</v>
      </c>
      <c r="X690">
        <v>0</v>
      </c>
      <c r="Y690" t="s">
        <v>60</v>
      </c>
      <c r="Z690" t="s">
        <v>360</v>
      </c>
      <c r="AA690">
        <v>0</v>
      </c>
      <c r="AB690" s="2">
        <v>0</v>
      </c>
      <c r="AC690" s="2">
        <v>0</v>
      </c>
      <c r="AD690" s="3">
        <v>0</v>
      </c>
      <c r="AE690" s="2">
        <v>0</v>
      </c>
      <c r="AF690" s="2">
        <v>0</v>
      </c>
      <c r="AG690" s="2">
        <v>0</v>
      </c>
      <c r="AH690" s="2">
        <v>0</v>
      </c>
      <c r="AI690" s="2">
        <v>0</v>
      </c>
      <c r="AJ690" s="2">
        <v>0</v>
      </c>
      <c r="AK690" s="2">
        <v>0</v>
      </c>
      <c r="AL690" s="2">
        <v>238.79</v>
      </c>
      <c r="AM690" s="2">
        <v>0</v>
      </c>
      <c r="AN690" s="2">
        <v>0</v>
      </c>
      <c r="AO690" s="2">
        <v>0</v>
      </c>
      <c r="AP690" s="2">
        <v>0</v>
      </c>
      <c r="AQ690" s="2">
        <v>0</v>
      </c>
    </row>
    <row r="691" spans="1:43" x14ac:dyDescent="0.25">
      <c r="A691" s="1">
        <v>45936</v>
      </c>
      <c r="B691" t="s">
        <v>48</v>
      </c>
      <c r="C691">
        <v>649163</v>
      </c>
      <c r="D691">
        <v>2029276299</v>
      </c>
      <c r="E691" t="s">
        <v>1046</v>
      </c>
      <c r="F691" t="s">
        <v>1047</v>
      </c>
      <c r="G691" t="s">
        <v>51</v>
      </c>
      <c r="H691" t="s">
        <v>101</v>
      </c>
      <c r="I691" t="s">
        <v>292</v>
      </c>
      <c r="J691" t="s">
        <v>295</v>
      </c>
      <c r="K691">
        <v>824062</v>
      </c>
      <c r="L691" t="s">
        <v>273</v>
      </c>
      <c r="M691" t="s">
        <v>274</v>
      </c>
      <c r="N691" t="s">
        <v>57</v>
      </c>
      <c r="O691" s="1">
        <v>45812</v>
      </c>
      <c r="Q691" s="1">
        <v>45965</v>
      </c>
      <c r="R691" s="2">
        <v>44.13</v>
      </c>
      <c r="S691">
        <v>1</v>
      </c>
      <c r="T691" t="s">
        <v>58</v>
      </c>
      <c r="U691" t="s">
        <v>359</v>
      </c>
      <c r="V691" s="3">
        <v>0.9</v>
      </c>
      <c r="W691" s="2">
        <v>0</v>
      </c>
      <c r="X691">
        <v>0</v>
      </c>
      <c r="Y691" t="s">
        <v>60</v>
      </c>
      <c r="Z691" t="s">
        <v>360</v>
      </c>
      <c r="AA691">
        <v>0</v>
      </c>
      <c r="AB691" s="2">
        <v>0</v>
      </c>
      <c r="AC691" s="2">
        <v>0</v>
      </c>
      <c r="AD691" s="3">
        <v>0</v>
      </c>
      <c r="AE691" s="2">
        <v>0</v>
      </c>
      <c r="AF691" s="2">
        <v>0</v>
      </c>
      <c r="AG691" s="2">
        <v>0</v>
      </c>
      <c r="AH691" s="2">
        <v>0</v>
      </c>
      <c r="AI691" s="2">
        <v>0</v>
      </c>
      <c r="AJ691" s="2">
        <v>0</v>
      </c>
      <c r="AK691" s="2">
        <v>0</v>
      </c>
      <c r="AL691" s="2">
        <v>39.72</v>
      </c>
      <c r="AM691" s="2">
        <v>0</v>
      </c>
      <c r="AN691" s="2">
        <v>0</v>
      </c>
      <c r="AO691" s="2">
        <v>0</v>
      </c>
      <c r="AP691" s="2">
        <v>0</v>
      </c>
      <c r="AQ691" s="2">
        <v>0</v>
      </c>
    </row>
    <row r="692" spans="1:43" x14ac:dyDescent="0.25">
      <c r="A692" s="1">
        <v>45936</v>
      </c>
      <c r="B692" t="s">
        <v>48</v>
      </c>
      <c r="C692">
        <v>649163</v>
      </c>
      <c r="D692">
        <v>2029276300</v>
      </c>
      <c r="E692" t="s">
        <v>1046</v>
      </c>
      <c r="F692" t="s">
        <v>1047</v>
      </c>
      <c r="G692" t="s">
        <v>51</v>
      </c>
      <c r="H692" t="s">
        <v>101</v>
      </c>
      <c r="I692" t="s">
        <v>292</v>
      </c>
      <c r="J692" t="s">
        <v>293</v>
      </c>
      <c r="K692">
        <v>824062</v>
      </c>
      <c r="L692" t="s">
        <v>273</v>
      </c>
      <c r="M692" t="s">
        <v>274</v>
      </c>
      <c r="N692" t="s">
        <v>57</v>
      </c>
      <c r="O692" s="1">
        <v>45812</v>
      </c>
      <c r="Q692" s="1">
        <v>45965</v>
      </c>
      <c r="R692" s="2">
        <v>57.35</v>
      </c>
      <c r="S692">
        <v>1</v>
      </c>
      <c r="T692" t="s">
        <v>58</v>
      </c>
      <c r="U692" t="s">
        <v>359</v>
      </c>
      <c r="V692" s="3">
        <v>0.7</v>
      </c>
      <c r="W692" s="2">
        <v>0</v>
      </c>
      <c r="X692">
        <v>0</v>
      </c>
      <c r="Y692" t="s">
        <v>60</v>
      </c>
      <c r="Z692" t="s">
        <v>360</v>
      </c>
      <c r="AA692">
        <v>0</v>
      </c>
      <c r="AB692" s="2">
        <v>0</v>
      </c>
      <c r="AC692" s="2">
        <v>0</v>
      </c>
      <c r="AD692" s="3">
        <v>0</v>
      </c>
      <c r="AE692" s="2">
        <v>0</v>
      </c>
      <c r="AF692" s="2">
        <v>0</v>
      </c>
      <c r="AG692" s="2">
        <v>0</v>
      </c>
      <c r="AH692" s="2">
        <v>0</v>
      </c>
      <c r="AI692" s="2">
        <v>0</v>
      </c>
      <c r="AJ692" s="2">
        <v>0</v>
      </c>
      <c r="AK692" s="2">
        <v>0</v>
      </c>
      <c r="AL692" s="2">
        <v>40.14</v>
      </c>
      <c r="AM692" s="2">
        <v>0</v>
      </c>
      <c r="AN692" s="2">
        <v>0</v>
      </c>
      <c r="AO692" s="2">
        <v>0</v>
      </c>
      <c r="AP692" s="2">
        <v>0</v>
      </c>
      <c r="AQ692" s="2">
        <v>0</v>
      </c>
    </row>
    <row r="693" spans="1:43" x14ac:dyDescent="0.25">
      <c r="A693" s="1">
        <v>45936</v>
      </c>
      <c r="B693" t="s">
        <v>48</v>
      </c>
      <c r="C693">
        <v>649163</v>
      </c>
      <c r="D693">
        <v>2029277784</v>
      </c>
      <c r="E693" t="s">
        <v>1048</v>
      </c>
      <c r="F693" t="s">
        <v>1049</v>
      </c>
      <c r="G693" t="s">
        <v>51</v>
      </c>
      <c r="H693" t="s">
        <v>101</v>
      </c>
      <c r="I693" t="s">
        <v>292</v>
      </c>
      <c r="J693" t="s">
        <v>293</v>
      </c>
      <c r="K693">
        <v>768271</v>
      </c>
      <c r="L693" t="s">
        <v>880</v>
      </c>
      <c r="M693" t="s">
        <v>220</v>
      </c>
      <c r="N693" t="s">
        <v>57</v>
      </c>
      <c r="O693" s="1">
        <v>45839</v>
      </c>
      <c r="Q693" s="1">
        <v>45962</v>
      </c>
      <c r="R693" s="2">
        <v>49.8</v>
      </c>
      <c r="S693">
        <v>1</v>
      </c>
      <c r="T693" t="s">
        <v>58</v>
      </c>
      <c r="U693" t="s">
        <v>359</v>
      </c>
      <c r="V693" s="3">
        <v>0.7</v>
      </c>
      <c r="W693" s="2">
        <v>0</v>
      </c>
      <c r="X693">
        <v>0</v>
      </c>
      <c r="Y693" t="s">
        <v>60</v>
      </c>
      <c r="Z693" t="s">
        <v>360</v>
      </c>
      <c r="AA693">
        <v>0</v>
      </c>
      <c r="AB693" s="2">
        <v>0</v>
      </c>
      <c r="AC693" s="2">
        <v>0</v>
      </c>
      <c r="AD693" s="3">
        <v>0</v>
      </c>
      <c r="AE693" s="2">
        <v>0</v>
      </c>
      <c r="AF693" s="2">
        <v>0</v>
      </c>
      <c r="AG693" s="2">
        <v>0</v>
      </c>
      <c r="AH693" s="2">
        <v>0</v>
      </c>
      <c r="AI693" s="2">
        <v>0</v>
      </c>
      <c r="AJ693" s="2">
        <v>0</v>
      </c>
      <c r="AK693" s="2">
        <v>0</v>
      </c>
      <c r="AL693" s="2">
        <v>34.86</v>
      </c>
      <c r="AM693" s="2">
        <v>0</v>
      </c>
      <c r="AN693" s="2">
        <v>0</v>
      </c>
      <c r="AO693" s="2">
        <v>0</v>
      </c>
      <c r="AP693" s="2">
        <v>0</v>
      </c>
      <c r="AQ693" s="2">
        <v>0</v>
      </c>
    </row>
    <row r="694" spans="1:43" x14ac:dyDescent="0.25">
      <c r="A694" s="1">
        <v>45936</v>
      </c>
      <c r="B694" t="s">
        <v>48</v>
      </c>
      <c r="C694">
        <v>649163</v>
      </c>
      <c r="D694">
        <v>2029283859</v>
      </c>
      <c r="E694" t="s">
        <v>784</v>
      </c>
      <c r="F694" t="s">
        <v>785</v>
      </c>
      <c r="G694" t="s">
        <v>51</v>
      </c>
      <c r="H694" t="s">
        <v>105</v>
      </c>
      <c r="I694" t="s">
        <v>292</v>
      </c>
      <c r="J694" t="s">
        <v>294</v>
      </c>
      <c r="K694">
        <v>823068</v>
      </c>
      <c r="L694" t="s">
        <v>106</v>
      </c>
      <c r="M694" t="s">
        <v>107</v>
      </c>
      <c r="N694" t="s">
        <v>57</v>
      </c>
      <c r="O694" s="1">
        <v>45818</v>
      </c>
      <c r="Q694" s="1">
        <v>45971</v>
      </c>
      <c r="R694" s="2">
        <v>24.61</v>
      </c>
      <c r="S694">
        <v>1</v>
      </c>
      <c r="T694" t="s">
        <v>58</v>
      </c>
      <c r="U694" t="s">
        <v>359</v>
      </c>
      <c r="V694" s="3">
        <v>0.7</v>
      </c>
      <c r="W694" s="2">
        <v>0</v>
      </c>
      <c r="X694">
        <v>0</v>
      </c>
      <c r="Y694" t="s">
        <v>60</v>
      </c>
      <c r="Z694" t="s">
        <v>360</v>
      </c>
      <c r="AA694">
        <v>0</v>
      </c>
      <c r="AB694" s="2">
        <v>0</v>
      </c>
      <c r="AC694" s="2">
        <v>0</v>
      </c>
      <c r="AD694" s="3">
        <v>0</v>
      </c>
      <c r="AE694" s="2">
        <v>0</v>
      </c>
      <c r="AF694" s="2">
        <v>0</v>
      </c>
      <c r="AG694" s="2">
        <v>0</v>
      </c>
      <c r="AH694" s="2">
        <v>0</v>
      </c>
      <c r="AI694" s="2">
        <v>0</v>
      </c>
      <c r="AJ694" s="2">
        <v>0</v>
      </c>
      <c r="AK694" s="2">
        <v>0</v>
      </c>
      <c r="AL694" s="2">
        <v>17.23</v>
      </c>
      <c r="AM694" s="2">
        <v>0</v>
      </c>
      <c r="AN694" s="2">
        <v>0</v>
      </c>
      <c r="AO694" s="2">
        <v>0</v>
      </c>
      <c r="AP694" s="2">
        <v>0</v>
      </c>
      <c r="AQ694" s="2">
        <v>0</v>
      </c>
    </row>
    <row r="695" spans="1:43" x14ac:dyDescent="0.25">
      <c r="A695" s="1">
        <v>45936</v>
      </c>
      <c r="B695" t="s">
        <v>48</v>
      </c>
      <c r="C695">
        <v>649163</v>
      </c>
      <c r="D695">
        <v>2029313140</v>
      </c>
      <c r="E695" t="s">
        <v>1050</v>
      </c>
      <c r="F695" t="s">
        <v>161</v>
      </c>
      <c r="G695" t="s">
        <v>51</v>
      </c>
      <c r="H695" t="s">
        <v>101</v>
      </c>
      <c r="I695" t="s">
        <v>292</v>
      </c>
      <c r="J695" t="s">
        <v>293</v>
      </c>
      <c r="K695">
        <v>813184</v>
      </c>
      <c r="L695" t="s">
        <v>408</v>
      </c>
      <c r="M695" t="s">
        <v>410</v>
      </c>
      <c r="N695" t="s">
        <v>57</v>
      </c>
      <c r="O695" s="1">
        <v>45814</v>
      </c>
      <c r="Q695" s="1">
        <v>45967</v>
      </c>
      <c r="R695" s="2">
        <v>80.16</v>
      </c>
      <c r="S695">
        <v>1</v>
      </c>
      <c r="T695" t="s">
        <v>58</v>
      </c>
      <c r="U695" t="s">
        <v>359</v>
      </c>
      <c r="V695" s="3">
        <v>0.7</v>
      </c>
      <c r="W695" s="2">
        <v>0</v>
      </c>
      <c r="X695">
        <v>0</v>
      </c>
      <c r="Y695" t="s">
        <v>60</v>
      </c>
      <c r="Z695" t="s">
        <v>360</v>
      </c>
      <c r="AA695">
        <v>0</v>
      </c>
      <c r="AB695" s="2">
        <v>0</v>
      </c>
      <c r="AC695" s="2">
        <v>0</v>
      </c>
      <c r="AD695" s="3">
        <v>0</v>
      </c>
      <c r="AE695" s="2">
        <v>0</v>
      </c>
      <c r="AF695" s="2">
        <v>0</v>
      </c>
      <c r="AG695" s="2">
        <v>0</v>
      </c>
      <c r="AH695" s="2">
        <v>0</v>
      </c>
      <c r="AI695" s="2">
        <v>0</v>
      </c>
      <c r="AJ695" s="2">
        <v>0</v>
      </c>
      <c r="AK695" s="2">
        <v>0</v>
      </c>
      <c r="AL695" s="2">
        <v>56.11</v>
      </c>
      <c r="AM695" s="2">
        <v>0</v>
      </c>
      <c r="AN695" s="2">
        <v>0</v>
      </c>
      <c r="AO695" s="2">
        <v>0</v>
      </c>
      <c r="AP695" s="2">
        <v>0</v>
      </c>
      <c r="AQ695" s="2">
        <v>0</v>
      </c>
    </row>
    <row r="696" spans="1:43" x14ac:dyDescent="0.25">
      <c r="A696" s="1">
        <v>45936</v>
      </c>
      <c r="B696" t="s">
        <v>48</v>
      </c>
      <c r="C696">
        <v>649163</v>
      </c>
      <c r="D696">
        <v>2029319950</v>
      </c>
      <c r="E696" t="s">
        <v>1051</v>
      </c>
      <c r="F696" t="s">
        <v>1052</v>
      </c>
      <c r="G696" t="s">
        <v>51</v>
      </c>
      <c r="H696" t="s">
        <v>101</v>
      </c>
      <c r="I696" t="s">
        <v>292</v>
      </c>
      <c r="J696" t="s">
        <v>293</v>
      </c>
      <c r="K696">
        <v>807212</v>
      </c>
      <c r="L696" t="s">
        <v>340</v>
      </c>
      <c r="M696" t="s">
        <v>341</v>
      </c>
      <c r="N696" t="s">
        <v>57</v>
      </c>
      <c r="O696" s="1">
        <v>45814</v>
      </c>
      <c r="Q696" s="1">
        <v>45967</v>
      </c>
      <c r="R696" s="2">
        <v>37.18</v>
      </c>
      <c r="S696">
        <v>1</v>
      </c>
      <c r="T696" t="s">
        <v>58</v>
      </c>
      <c r="U696" t="s">
        <v>359</v>
      </c>
      <c r="V696" s="3">
        <v>0.7</v>
      </c>
      <c r="W696" s="2">
        <v>0</v>
      </c>
      <c r="X696">
        <v>0</v>
      </c>
      <c r="Y696" t="s">
        <v>60</v>
      </c>
      <c r="Z696" t="s">
        <v>360</v>
      </c>
      <c r="AA696">
        <v>0</v>
      </c>
      <c r="AB696" s="2">
        <v>0</v>
      </c>
      <c r="AC696" s="2">
        <v>0</v>
      </c>
      <c r="AD696" s="3">
        <v>0</v>
      </c>
      <c r="AE696" s="2">
        <v>0</v>
      </c>
      <c r="AF696" s="2">
        <v>0</v>
      </c>
      <c r="AG696" s="2">
        <v>0</v>
      </c>
      <c r="AH696" s="2">
        <v>0</v>
      </c>
      <c r="AI696" s="2">
        <v>0</v>
      </c>
      <c r="AJ696" s="2">
        <v>0</v>
      </c>
      <c r="AK696" s="2">
        <v>0</v>
      </c>
      <c r="AL696" s="2">
        <v>26.03</v>
      </c>
      <c r="AM696" s="2">
        <v>0</v>
      </c>
      <c r="AN696" s="2">
        <v>0</v>
      </c>
      <c r="AO696" s="2">
        <v>0</v>
      </c>
      <c r="AP696" s="2">
        <v>0</v>
      </c>
      <c r="AQ696" s="2">
        <v>0</v>
      </c>
    </row>
    <row r="697" spans="1:43" x14ac:dyDescent="0.25">
      <c r="A697" s="1">
        <v>45936</v>
      </c>
      <c r="B697" t="s">
        <v>48</v>
      </c>
      <c r="C697">
        <v>649163</v>
      </c>
      <c r="D697">
        <v>2029331330</v>
      </c>
      <c r="E697" t="s">
        <v>1053</v>
      </c>
      <c r="F697" t="s">
        <v>1054</v>
      </c>
      <c r="G697" t="s">
        <v>51</v>
      </c>
      <c r="H697" t="s">
        <v>101</v>
      </c>
      <c r="I697" t="s">
        <v>292</v>
      </c>
      <c r="J697" t="s">
        <v>293</v>
      </c>
      <c r="K697">
        <v>812656</v>
      </c>
      <c r="L697" t="s">
        <v>509</v>
      </c>
      <c r="M697" t="s">
        <v>476</v>
      </c>
      <c r="N697" t="s">
        <v>57</v>
      </c>
      <c r="O697" s="1">
        <v>45815</v>
      </c>
      <c r="Q697" s="1">
        <v>45968</v>
      </c>
      <c r="R697" s="2">
        <v>100.21</v>
      </c>
      <c r="S697">
        <v>1</v>
      </c>
      <c r="T697" t="s">
        <v>58</v>
      </c>
      <c r="U697" t="s">
        <v>359</v>
      </c>
      <c r="V697" s="3">
        <v>0.7</v>
      </c>
      <c r="W697" s="2">
        <v>0</v>
      </c>
      <c r="X697">
        <v>0</v>
      </c>
      <c r="Y697" t="s">
        <v>60</v>
      </c>
      <c r="Z697" t="s">
        <v>360</v>
      </c>
      <c r="AA697">
        <v>0</v>
      </c>
      <c r="AB697" s="2">
        <v>0</v>
      </c>
      <c r="AC697" s="2">
        <v>0</v>
      </c>
      <c r="AD697" s="3">
        <v>0</v>
      </c>
      <c r="AE697" s="2">
        <v>0</v>
      </c>
      <c r="AF697" s="2">
        <v>0</v>
      </c>
      <c r="AG697" s="2">
        <v>0</v>
      </c>
      <c r="AH697" s="2">
        <v>0</v>
      </c>
      <c r="AI697" s="2">
        <v>0</v>
      </c>
      <c r="AJ697" s="2">
        <v>0</v>
      </c>
      <c r="AK697" s="2">
        <v>0</v>
      </c>
      <c r="AL697" s="2">
        <v>70.150000000000006</v>
      </c>
      <c r="AM697" s="2">
        <v>0</v>
      </c>
      <c r="AN697" s="2">
        <v>0</v>
      </c>
      <c r="AO697" s="2">
        <v>0</v>
      </c>
      <c r="AP697" s="2">
        <v>0</v>
      </c>
      <c r="AQ697" s="2">
        <v>0</v>
      </c>
    </row>
    <row r="698" spans="1:43" x14ac:dyDescent="0.25">
      <c r="A698" s="1">
        <v>45936</v>
      </c>
      <c r="B698" t="s">
        <v>48</v>
      </c>
      <c r="C698">
        <v>649163</v>
      </c>
      <c r="D698">
        <v>2029335781</v>
      </c>
      <c r="E698" t="s">
        <v>421</v>
      </c>
      <c r="F698" t="s">
        <v>98</v>
      </c>
      <c r="G698" t="s">
        <v>51</v>
      </c>
      <c r="H698" t="s">
        <v>101</v>
      </c>
      <c r="I698" t="s">
        <v>292</v>
      </c>
      <c r="J698" t="s">
        <v>293</v>
      </c>
      <c r="K698">
        <v>824062</v>
      </c>
      <c r="L698" t="s">
        <v>273</v>
      </c>
      <c r="M698" t="s">
        <v>274</v>
      </c>
      <c r="N698" t="s">
        <v>57</v>
      </c>
      <c r="O698" s="1">
        <v>45815</v>
      </c>
      <c r="Q698" s="1">
        <v>45968</v>
      </c>
      <c r="R698" s="2">
        <v>11.5</v>
      </c>
      <c r="S698">
        <v>1</v>
      </c>
      <c r="T698" t="s">
        <v>58</v>
      </c>
      <c r="U698" t="s">
        <v>359</v>
      </c>
      <c r="V698" s="3">
        <v>0.7</v>
      </c>
      <c r="W698" s="2">
        <v>0</v>
      </c>
      <c r="X698">
        <v>0</v>
      </c>
      <c r="Y698" t="s">
        <v>60</v>
      </c>
      <c r="Z698" t="s">
        <v>360</v>
      </c>
      <c r="AA698">
        <v>0</v>
      </c>
      <c r="AB698" s="2">
        <v>0</v>
      </c>
      <c r="AC698" s="2">
        <v>0</v>
      </c>
      <c r="AD698" s="3">
        <v>0</v>
      </c>
      <c r="AE698" s="2">
        <v>0</v>
      </c>
      <c r="AF698" s="2">
        <v>0</v>
      </c>
      <c r="AG698" s="2">
        <v>0</v>
      </c>
      <c r="AH698" s="2">
        <v>0</v>
      </c>
      <c r="AI698" s="2">
        <v>0</v>
      </c>
      <c r="AJ698" s="2">
        <v>0</v>
      </c>
      <c r="AK698" s="2">
        <v>0</v>
      </c>
      <c r="AL698" s="2">
        <v>8.0500000000000007</v>
      </c>
      <c r="AM698" s="2">
        <v>0</v>
      </c>
      <c r="AN698" s="2">
        <v>0</v>
      </c>
      <c r="AO698" s="2">
        <v>0</v>
      </c>
      <c r="AP698" s="2">
        <v>0</v>
      </c>
      <c r="AQ698" s="2">
        <v>0</v>
      </c>
    </row>
    <row r="699" spans="1:43" x14ac:dyDescent="0.25">
      <c r="A699" s="1">
        <v>45936</v>
      </c>
      <c r="B699" t="s">
        <v>48</v>
      </c>
      <c r="C699">
        <v>649163</v>
      </c>
      <c r="D699">
        <v>2029378241</v>
      </c>
      <c r="E699" t="s">
        <v>1055</v>
      </c>
      <c r="F699" t="s">
        <v>1056</v>
      </c>
      <c r="G699" t="s">
        <v>51</v>
      </c>
      <c r="H699" t="s">
        <v>323</v>
      </c>
      <c r="I699" t="s">
        <v>292</v>
      </c>
      <c r="J699" t="s">
        <v>293</v>
      </c>
      <c r="K699">
        <v>812656</v>
      </c>
      <c r="L699" t="s">
        <v>509</v>
      </c>
      <c r="M699" t="s">
        <v>476</v>
      </c>
      <c r="N699" t="s">
        <v>57</v>
      </c>
      <c r="O699" s="1">
        <v>45818</v>
      </c>
      <c r="Q699" s="1">
        <v>45971</v>
      </c>
      <c r="R699" s="2">
        <v>42.15</v>
      </c>
      <c r="S699">
        <v>1</v>
      </c>
      <c r="T699" t="s">
        <v>58</v>
      </c>
      <c r="U699" t="s">
        <v>359</v>
      </c>
      <c r="V699" s="3">
        <v>0.7</v>
      </c>
      <c r="W699" s="2">
        <v>0</v>
      </c>
      <c r="X699">
        <v>0</v>
      </c>
      <c r="Y699" t="s">
        <v>60</v>
      </c>
      <c r="Z699" t="s">
        <v>360</v>
      </c>
      <c r="AA699">
        <v>0</v>
      </c>
      <c r="AB699" s="2">
        <v>0</v>
      </c>
      <c r="AC699" s="2">
        <v>0</v>
      </c>
      <c r="AD699" s="3">
        <v>0</v>
      </c>
      <c r="AE699" s="2">
        <v>0</v>
      </c>
      <c r="AF699" s="2">
        <v>0</v>
      </c>
      <c r="AG699" s="2">
        <v>0</v>
      </c>
      <c r="AH699" s="2">
        <v>0</v>
      </c>
      <c r="AI699" s="2">
        <v>0</v>
      </c>
      <c r="AJ699" s="2">
        <v>0</v>
      </c>
      <c r="AK699" s="2">
        <v>0</v>
      </c>
      <c r="AL699" s="2">
        <v>29.5</v>
      </c>
      <c r="AM699" s="2">
        <v>0</v>
      </c>
      <c r="AN699" s="2">
        <v>0</v>
      </c>
      <c r="AO699" s="2">
        <v>0</v>
      </c>
      <c r="AP699" s="2">
        <v>0</v>
      </c>
      <c r="AQ699" s="2">
        <v>0</v>
      </c>
    </row>
    <row r="700" spans="1:43" x14ac:dyDescent="0.25">
      <c r="A700" s="1">
        <v>45936</v>
      </c>
      <c r="B700" t="s">
        <v>48</v>
      </c>
      <c r="C700">
        <v>649163</v>
      </c>
      <c r="D700">
        <v>2029407291</v>
      </c>
      <c r="E700" t="s">
        <v>541</v>
      </c>
      <c r="F700" t="s">
        <v>402</v>
      </c>
      <c r="G700" t="s">
        <v>51</v>
      </c>
      <c r="H700" t="s">
        <v>262</v>
      </c>
      <c r="I700" t="s">
        <v>292</v>
      </c>
      <c r="J700" t="s">
        <v>295</v>
      </c>
      <c r="K700">
        <v>651818</v>
      </c>
      <c r="L700" t="s">
        <v>112</v>
      </c>
      <c r="M700" t="s">
        <v>104</v>
      </c>
      <c r="N700" t="s">
        <v>57</v>
      </c>
      <c r="O700" s="1">
        <v>45845</v>
      </c>
      <c r="Q700" s="1">
        <v>45968</v>
      </c>
      <c r="R700" s="2">
        <v>41.88</v>
      </c>
      <c r="S700">
        <v>1</v>
      </c>
      <c r="T700" t="s">
        <v>58</v>
      </c>
      <c r="U700" t="s">
        <v>359</v>
      </c>
      <c r="V700" s="3">
        <v>0.9</v>
      </c>
      <c r="W700" s="2">
        <v>0</v>
      </c>
      <c r="X700">
        <v>0</v>
      </c>
      <c r="Y700" t="s">
        <v>60</v>
      </c>
      <c r="Z700" t="s">
        <v>360</v>
      </c>
      <c r="AA700">
        <v>0</v>
      </c>
      <c r="AB700" s="2">
        <v>0</v>
      </c>
      <c r="AC700" s="2">
        <v>0</v>
      </c>
      <c r="AD700" s="3">
        <v>0</v>
      </c>
      <c r="AE700" s="2">
        <v>0</v>
      </c>
      <c r="AF700" s="2">
        <v>0</v>
      </c>
      <c r="AG700" s="2">
        <v>0</v>
      </c>
      <c r="AH700" s="2">
        <v>0</v>
      </c>
      <c r="AI700" s="2">
        <v>0</v>
      </c>
      <c r="AJ700" s="2">
        <v>0</v>
      </c>
      <c r="AK700" s="2">
        <v>0</v>
      </c>
      <c r="AL700" s="2">
        <v>37.69</v>
      </c>
      <c r="AM700" s="2">
        <v>0</v>
      </c>
      <c r="AN700" s="2">
        <v>0</v>
      </c>
      <c r="AO700" s="2">
        <v>0</v>
      </c>
      <c r="AP700" s="2">
        <v>0</v>
      </c>
      <c r="AQ700" s="2">
        <v>0</v>
      </c>
    </row>
    <row r="701" spans="1:43" x14ac:dyDescent="0.25">
      <c r="A701" s="1">
        <v>45936</v>
      </c>
      <c r="B701" t="s">
        <v>48</v>
      </c>
      <c r="C701">
        <v>649163</v>
      </c>
      <c r="D701">
        <v>2029501869</v>
      </c>
      <c r="E701" t="s">
        <v>1057</v>
      </c>
      <c r="F701" t="s">
        <v>1058</v>
      </c>
      <c r="G701" t="s">
        <v>51</v>
      </c>
      <c r="H701" t="s">
        <v>52</v>
      </c>
      <c r="I701" t="s">
        <v>292</v>
      </c>
      <c r="J701" t="s">
        <v>293</v>
      </c>
      <c r="K701">
        <v>856824</v>
      </c>
      <c r="L701" t="s">
        <v>298</v>
      </c>
      <c r="M701" t="s">
        <v>299</v>
      </c>
      <c r="N701" t="s">
        <v>57</v>
      </c>
      <c r="O701" s="1">
        <v>45839</v>
      </c>
      <c r="Q701" s="1">
        <v>45962</v>
      </c>
      <c r="R701" s="2">
        <v>113.36</v>
      </c>
      <c r="S701">
        <v>1</v>
      </c>
      <c r="T701" t="s">
        <v>58</v>
      </c>
      <c r="U701" t="s">
        <v>359</v>
      </c>
      <c r="V701" s="3">
        <v>0.7</v>
      </c>
      <c r="W701" s="2">
        <v>0</v>
      </c>
      <c r="X701">
        <v>0</v>
      </c>
      <c r="Y701" t="s">
        <v>60</v>
      </c>
      <c r="Z701" t="s">
        <v>360</v>
      </c>
      <c r="AA701">
        <v>0</v>
      </c>
      <c r="AB701" s="2">
        <v>0</v>
      </c>
      <c r="AC701" s="2">
        <v>0</v>
      </c>
      <c r="AD701" s="3">
        <v>0</v>
      </c>
      <c r="AE701" s="2">
        <v>0</v>
      </c>
      <c r="AF701" s="2">
        <v>0</v>
      </c>
      <c r="AG701" s="2">
        <v>0</v>
      </c>
      <c r="AH701" s="2">
        <v>0</v>
      </c>
      <c r="AI701" s="2">
        <v>0</v>
      </c>
      <c r="AJ701" s="2">
        <v>0</v>
      </c>
      <c r="AK701" s="2">
        <v>0</v>
      </c>
      <c r="AL701" s="2">
        <v>79.349999999999994</v>
      </c>
      <c r="AM701" s="2">
        <v>0</v>
      </c>
      <c r="AN701" s="2">
        <v>0</v>
      </c>
      <c r="AO701" s="2">
        <v>0</v>
      </c>
      <c r="AP701" s="2">
        <v>0</v>
      </c>
      <c r="AQ701" s="2">
        <v>0</v>
      </c>
    </row>
    <row r="702" spans="1:43" x14ac:dyDescent="0.25">
      <c r="A702" s="1">
        <v>45936</v>
      </c>
      <c r="B702" t="s">
        <v>48</v>
      </c>
      <c r="C702">
        <v>649163</v>
      </c>
      <c r="D702">
        <v>2029526294</v>
      </c>
      <c r="E702" t="s">
        <v>1059</v>
      </c>
      <c r="F702" t="s">
        <v>1060</v>
      </c>
      <c r="G702" t="s">
        <v>51</v>
      </c>
      <c r="H702" t="s">
        <v>101</v>
      </c>
      <c r="I702" t="s">
        <v>292</v>
      </c>
      <c r="J702" t="s">
        <v>293</v>
      </c>
      <c r="K702">
        <v>812994</v>
      </c>
      <c r="L702" t="s">
        <v>428</v>
      </c>
      <c r="M702" t="s">
        <v>309</v>
      </c>
      <c r="N702" t="s">
        <v>57</v>
      </c>
      <c r="O702" s="1">
        <v>45839</v>
      </c>
      <c r="Q702" s="1">
        <v>45962</v>
      </c>
      <c r="R702" s="2">
        <v>-60.8</v>
      </c>
      <c r="S702">
        <v>1</v>
      </c>
      <c r="T702" t="s">
        <v>58</v>
      </c>
      <c r="U702" t="s">
        <v>359</v>
      </c>
      <c r="V702" s="3">
        <v>0.7</v>
      </c>
      <c r="W702" s="2">
        <v>0</v>
      </c>
      <c r="X702">
        <v>-1</v>
      </c>
      <c r="Y702" t="s">
        <v>60</v>
      </c>
      <c r="Z702" t="s">
        <v>360</v>
      </c>
      <c r="AA702">
        <v>0</v>
      </c>
      <c r="AB702" s="2">
        <v>0</v>
      </c>
      <c r="AC702" s="2">
        <v>0</v>
      </c>
      <c r="AD702" s="3">
        <v>0</v>
      </c>
      <c r="AE702" s="2">
        <v>0</v>
      </c>
      <c r="AF702" s="2">
        <v>0</v>
      </c>
      <c r="AG702" s="2">
        <v>0</v>
      </c>
      <c r="AH702" s="2">
        <v>0</v>
      </c>
      <c r="AI702" s="2">
        <v>0</v>
      </c>
      <c r="AJ702" s="2">
        <v>0</v>
      </c>
      <c r="AK702" s="2">
        <v>0</v>
      </c>
      <c r="AL702" s="2">
        <v>0</v>
      </c>
      <c r="AM702" s="2">
        <v>-42.56</v>
      </c>
      <c r="AN702" s="2">
        <v>-42.56</v>
      </c>
      <c r="AO702" s="2">
        <v>0</v>
      </c>
      <c r="AP702" s="2">
        <v>0</v>
      </c>
      <c r="AQ702" s="2">
        <v>0</v>
      </c>
    </row>
    <row r="703" spans="1:43" x14ac:dyDescent="0.25">
      <c r="A703" s="1">
        <v>45936</v>
      </c>
      <c r="B703" t="s">
        <v>48</v>
      </c>
      <c r="C703">
        <v>649163</v>
      </c>
      <c r="D703">
        <v>2029531080</v>
      </c>
      <c r="E703" t="s">
        <v>789</v>
      </c>
      <c r="F703" t="s">
        <v>790</v>
      </c>
      <c r="G703" t="s">
        <v>51</v>
      </c>
      <c r="H703" t="s">
        <v>182</v>
      </c>
      <c r="I703" t="s">
        <v>292</v>
      </c>
      <c r="J703" t="s">
        <v>293</v>
      </c>
      <c r="K703">
        <v>673059</v>
      </c>
      <c r="L703" t="s">
        <v>80</v>
      </c>
      <c r="M703" t="s">
        <v>81</v>
      </c>
      <c r="N703" t="s">
        <v>57</v>
      </c>
      <c r="O703" s="1">
        <v>45847</v>
      </c>
      <c r="Q703" s="1">
        <v>45970</v>
      </c>
      <c r="R703" s="2">
        <v>120.5</v>
      </c>
      <c r="S703">
        <v>1</v>
      </c>
      <c r="T703" t="s">
        <v>58</v>
      </c>
      <c r="U703" t="s">
        <v>359</v>
      </c>
      <c r="V703" s="3">
        <v>0.7</v>
      </c>
      <c r="W703" s="2">
        <v>0</v>
      </c>
      <c r="X703">
        <v>0</v>
      </c>
      <c r="Y703" t="s">
        <v>60</v>
      </c>
      <c r="Z703" t="s">
        <v>360</v>
      </c>
      <c r="AA703">
        <v>0</v>
      </c>
      <c r="AB703" s="2">
        <v>0</v>
      </c>
      <c r="AC703" s="2">
        <v>0</v>
      </c>
      <c r="AD703" s="3">
        <v>0</v>
      </c>
      <c r="AE703" s="2">
        <v>0</v>
      </c>
      <c r="AF703" s="2">
        <v>0</v>
      </c>
      <c r="AG703" s="2">
        <v>0</v>
      </c>
      <c r="AH703" s="2">
        <v>0</v>
      </c>
      <c r="AI703" s="2">
        <v>0</v>
      </c>
      <c r="AJ703" s="2">
        <v>0</v>
      </c>
      <c r="AK703" s="2">
        <v>0</v>
      </c>
      <c r="AL703" s="2">
        <v>84.35</v>
      </c>
      <c r="AM703" s="2">
        <v>0</v>
      </c>
      <c r="AN703" s="2">
        <v>0</v>
      </c>
      <c r="AO703" s="2">
        <v>0</v>
      </c>
      <c r="AP703" s="2">
        <v>0</v>
      </c>
      <c r="AQ703" s="2">
        <v>0</v>
      </c>
    </row>
    <row r="704" spans="1:43" x14ac:dyDescent="0.25">
      <c r="A704" s="1">
        <v>45936</v>
      </c>
      <c r="B704" t="s">
        <v>48</v>
      </c>
      <c r="C704">
        <v>649163</v>
      </c>
      <c r="D704">
        <v>2029609656</v>
      </c>
      <c r="E704" t="s">
        <v>72</v>
      </c>
      <c r="F704" t="s">
        <v>791</v>
      </c>
      <c r="G704" t="s">
        <v>51</v>
      </c>
      <c r="H704" t="s">
        <v>52</v>
      </c>
      <c r="I704" t="s">
        <v>292</v>
      </c>
      <c r="J704" t="s">
        <v>295</v>
      </c>
      <c r="K704">
        <v>651818</v>
      </c>
      <c r="L704" t="s">
        <v>112</v>
      </c>
      <c r="M704" t="s">
        <v>104</v>
      </c>
      <c r="N704" t="s">
        <v>57</v>
      </c>
      <c r="O704" s="1">
        <v>45845</v>
      </c>
      <c r="Q704" s="1">
        <v>45968</v>
      </c>
      <c r="R704" s="2">
        <v>35.85</v>
      </c>
      <c r="S704">
        <v>1</v>
      </c>
      <c r="T704" t="s">
        <v>58</v>
      </c>
      <c r="U704" t="s">
        <v>359</v>
      </c>
      <c r="V704" s="3">
        <v>0.9</v>
      </c>
      <c r="W704" s="2">
        <v>0</v>
      </c>
      <c r="X704">
        <v>0</v>
      </c>
      <c r="Y704" t="s">
        <v>60</v>
      </c>
      <c r="Z704" t="s">
        <v>360</v>
      </c>
      <c r="AA704">
        <v>0</v>
      </c>
      <c r="AB704" s="2">
        <v>0</v>
      </c>
      <c r="AC704" s="2">
        <v>0</v>
      </c>
      <c r="AD704" s="3">
        <v>0</v>
      </c>
      <c r="AE704" s="2">
        <v>0</v>
      </c>
      <c r="AF704" s="2">
        <v>0</v>
      </c>
      <c r="AG704" s="2">
        <v>0</v>
      </c>
      <c r="AH704" s="2">
        <v>0</v>
      </c>
      <c r="AI704" s="2">
        <v>0</v>
      </c>
      <c r="AJ704" s="2">
        <v>0</v>
      </c>
      <c r="AK704" s="2">
        <v>0</v>
      </c>
      <c r="AL704" s="2">
        <v>32.26</v>
      </c>
      <c r="AM704" s="2">
        <v>0</v>
      </c>
      <c r="AN704" s="2">
        <v>0</v>
      </c>
      <c r="AO704" s="2">
        <v>0</v>
      </c>
      <c r="AP704" s="2">
        <v>0</v>
      </c>
      <c r="AQ704" s="2">
        <v>0</v>
      </c>
    </row>
    <row r="705" spans="1:43" x14ac:dyDescent="0.25">
      <c r="A705" s="1">
        <v>45936</v>
      </c>
      <c r="B705" t="s">
        <v>48</v>
      </c>
      <c r="C705">
        <v>649163</v>
      </c>
      <c r="D705">
        <v>2029658015</v>
      </c>
      <c r="E705" t="s">
        <v>220</v>
      </c>
      <c r="F705" t="s">
        <v>831</v>
      </c>
      <c r="G705" t="s">
        <v>51</v>
      </c>
      <c r="H705" t="s">
        <v>88</v>
      </c>
      <c r="I705" t="s">
        <v>292</v>
      </c>
      <c r="J705" t="s">
        <v>293</v>
      </c>
      <c r="K705">
        <v>812782</v>
      </c>
      <c r="L705" t="s">
        <v>91</v>
      </c>
      <c r="M705" t="s">
        <v>92</v>
      </c>
      <c r="N705" t="s">
        <v>57</v>
      </c>
      <c r="O705" s="1">
        <v>45845</v>
      </c>
      <c r="Q705" s="1">
        <v>45968</v>
      </c>
      <c r="R705" s="2">
        <v>22.72</v>
      </c>
      <c r="S705">
        <v>1</v>
      </c>
      <c r="T705" t="s">
        <v>58</v>
      </c>
      <c r="U705" t="s">
        <v>359</v>
      </c>
      <c r="V705" s="3">
        <v>0.7</v>
      </c>
      <c r="W705" s="2">
        <v>0</v>
      </c>
      <c r="X705">
        <v>0</v>
      </c>
      <c r="Y705" t="s">
        <v>60</v>
      </c>
      <c r="Z705" t="s">
        <v>360</v>
      </c>
      <c r="AA705">
        <v>0</v>
      </c>
      <c r="AB705" s="2">
        <v>0</v>
      </c>
      <c r="AC705" s="2">
        <v>0</v>
      </c>
      <c r="AD705" s="3">
        <v>0</v>
      </c>
      <c r="AE705" s="2">
        <v>0</v>
      </c>
      <c r="AF705" s="2">
        <v>0</v>
      </c>
      <c r="AG705" s="2">
        <v>0</v>
      </c>
      <c r="AH705" s="2">
        <v>0</v>
      </c>
      <c r="AI705" s="2">
        <v>0</v>
      </c>
      <c r="AJ705" s="2">
        <v>0</v>
      </c>
      <c r="AK705" s="2">
        <v>0</v>
      </c>
      <c r="AL705" s="2">
        <v>15.9</v>
      </c>
      <c r="AM705" s="2">
        <v>0</v>
      </c>
      <c r="AN705" s="2">
        <v>0</v>
      </c>
      <c r="AO705" s="2">
        <v>0</v>
      </c>
      <c r="AP705" s="2">
        <v>0</v>
      </c>
      <c r="AQ705" s="2">
        <v>0</v>
      </c>
    </row>
    <row r="706" spans="1:43" x14ac:dyDescent="0.25">
      <c r="A706" s="1">
        <v>45936</v>
      </c>
      <c r="B706" t="s">
        <v>48</v>
      </c>
      <c r="C706">
        <v>649163</v>
      </c>
      <c r="D706">
        <v>2029668179</v>
      </c>
      <c r="E706" t="s">
        <v>234</v>
      </c>
      <c r="F706" t="s">
        <v>1061</v>
      </c>
      <c r="G706" t="s">
        <v>51</v>
      </c>
      <c r="H706" t="s">
        <v>88</v>
      </c>
      <c r="I706" t="s">
        <v>292</v>
      </c>
      <c r="J706" t="s">
        <v>293</v>
      </c>
      <c r="K706">
        <v>767312</v>
      </c>
      <c r="L706" t="s">
        <v>283</v>
      </c>
      <c r="M706" t="s">
        <v>284</v>
      </c>
      <c r="N706" t="s">
        <v>456</v>
      </c>
      <c r="O706" s="1">
        <v>45835</v>
      </c>
      <c r="P706" s="1">
        <v>45936</v>
      </c>
      <c r="Q706" s="1">
        <v>45957</v>
      </c>
      <c r="R706" s="2">
        <v>-42.42</v>
      </c>
      <c r="S706">
        <v>1</v>
      </c>
      <c r="T706" t="s">
        <v>58</v>
      </c>
      <c r="U706" t="s">
        <v>359</v>
      </c>
      <c r="V706" s="3">
        <v>0.7</v>
      </c>
      <c r="W706" s="2">
        <v>0</v>
      </c>
      <c r="X706">
        <v>-1</v>
      </c>
      <c r="Y706" t="s">
        <v>60</v>
      </c>
      <c r="Z706" t="s">
        <v>360</v>
      </c>
      <c r="AA706">
        <v>0</v>
      </c>
      <c r="AB706" s="2">
        <v>0</v>
      </c>
      <c r="AC706" s="2">
        <v>0</v>
      </c>
      <c r="AD706" s="3">
        <v>0</v>
      </c>
      <c r="AE706" s="2">
        <v>0</v>
      </c>
      <c r="AF706" s="2">
        <v>0</v>
      </c>
      <c r="AG706" s="2">
        <v>0</v>
      </c>
      <c r="AH706" s="2">
        <v>0</v>
      </c>
      <c r="AI706" s="2">
        <v>0</v>
      </c>
      <c r="AJ706" s="2">
        <v>0</v>
      </c>
      <c r="AK706" s="2">
        <v>0</v>
      </c>
      <c r="AL706" s="2">
        <v>0</v>
      </c>
      <c r="AM706" s="2">
        <v>-29.69</v>
      </c>
      <c r="AN706" s="2">
        <v>-29.69</v>
      </c>
      <c r="AO706" s="2">
        <v>0</v>
      </c>
      <c r="AP706" s="2">
        <v>0</v>
      </c>
      <c r="AQ706" s="2">
        <v>0</v>
      </c>
    </row>
    <row r="707" spans="1:43" x14ac:dyDescent="0.25">
      <c r="A707" s="1">
        <v>45936</v>
      </c>
      <c r="B707" t="s">
        <v>48</v>
      </c>
      <c r="C707">
        <v>649163</v>
      </c>
      <c r="D707">
        <v>2029738921</v>
      </c>
      <c r="E707" t="s">
        <v>422</v>
      </c>
      <c r="F707" t="s">
        <v>423</v>
      </c>
      <c r="G707" t="s">
        <v>51</v>
      </c>
      <c r="H707" t="s">
        <v>79</v>
      </c>
      <c r="I707" t="s">
        <v>292</v>
      </c>
      <c r="J707" t="s">
        <v>293</v>
      </c>
      <c r="K707">
        <v>673059</v>
      </c>
      <c r="L707" t="s">
        <v>80</v>
      </c>
      <c r="M707" t="s">
        <v>81</v>
      </c>
      <c r="N707" t="s">
        <v>57</v>
      </c>
      <c r="O707" s="1">
        <v>45846</v>
      </c>
      <c r="Q707" s="1">
        <v>45969</v>
      </c>
      <c r="R707" s="2">
        <v>69.88</v>
      </c>
      <c r="S707">
        <v>1</v>
      </c>
      <c r="T707" t="s">
        <v>58</v>
      </c>
      <c r="U707" t="s">
        <v>359</v>
      </c>
      <c r="V707" s="3">
        <v>0.7</v>
      </c>
      <c r="W707" s="2">
        <v>0</v>
      </c>
      <c r="X707">
        <v>0</v>
      </c>
      <c r="Y707" t="s">
        <v>60</v>
      </c>
      <c r="Z707" t="s">
        <v>360</v>
      </c>
      <c r="AA707">
        <v>0</v>
      </c>
      <c r="AB707" s="2">
        <v>0</v>
      </c>
      <c r="AC707" s="2">
        <v>0</v>
      </c>
      <c r="AD707" s="3">
        <v>0</v>
      </c>
      <c r="AE707" s="2">
        <v>0</v>
      </c>
      <c r="AF707" s="2">
        <v>0</v>
      </c>
      <c r="AG707" s="2">
        <v>0</v>
      </c>
      <c r="AH707" s="2">
        <v>0</v>
      </c>
      <c r="AI707" s="2">
        <v>0</v>
      </c>
      <c r="AJ707" s="2">
        <v>0</v>
      </c>
      <c r="AK707" s="2">
        <v>0</v>
      </c>
      <c r="AL707" s="2">
        <v>48.92</v>
      </c>
      <c r="AM707" s="2">
        <v>0</v>
      </c>
      <c r="AN707" s="2">
        <v>0</v>
      </c>
      <c r="AO707" s="2">
        <v>0</v>
      </c>
      <c r="AP707" s="2">
        <v>0</v>
      </c>
      <c r="AQ707" s="2">
        <v>0</v>
      </c>
    </row>
    <row r="708" spans="1:43" x14ac:dyDescent="0.25">
      <c r="A708" s="1">
        <v>45936</v>
      </c>
      <c r="B708" t="s">
        <v>48</v>
      </c>
      <c r="C708">
        <v>649163</v>
      </c>
      <c r="D708">
        <v>2029752466</v>
      </c>
      <c r="E708" t="s">
        <v>1062</v>
      </c>
      <c r="F708" t="s">
        <v>1063</v>
      </c>
      <c r="G708" t="s">
        <v>51</v>
      </c>
      <c r="H708" t="s">
        <v>88</v>
      </c>
      <c r="I708" t="s">
        <v>292</v>
      </c>
      <c r="J708" t="s">
        <v>293</v>
      </c>
      <c r="K708">
        <v>767312</v>
      </c>
      <c r="L708" t="s">
        <v>283</v>
      </c>
      <c r="M708" t="s">
        <v>284</v>
      </c>
      <c r="N708" t="s">
        <v>57</v>
      </c>
      <c r="O708" s="1">
        <v>45840</v>
      </c>
      <c r="Q708" s="1">
        <v>45993</v>
      </c>
      <c r="R708" s="2">
        <v>18.46</v>
      </c>
      <c r="S708">
        <v>1</v>
      </c>
      <c r="T708" t="s">
        <v>58</v>
      </c>
      <c r="U708" t="s">
        <v>359</v>
      </c>
      <c r="V708" s="3">
        <v>0.7</v>
      </c>
      <c r="W708" s="2">
        <v>0</v>
      </c>
      <c r="X708">
        <v>0</v>
      </c>
      <c r="Y708" t="s">
        <v>60</v>
      </c>
      <c r="Z708" t="s">
        <v>360</v>
      </c>
      <c r="AA708">
        <v>0</v>
      </c>
      <c r="AB708" s="2">
        <v>0</v>
      </c>
      <c r="AC708" s="2">
        <v>0</v>
      </c>
      <c r="AD708" s="3">
        <v>0</v>
      </c>
      <c r="AE708" s="2">
        <v>0</v>
      </c>
      <c r="AF708" s="2">
        <v>0</v>
      </c>
      <c r="AG708" s="2">
        <v>0</v>
      </c>
      <c r="AH708" s="2">
        <v>0</v>
      </c>
      <c r="AI708" s="2">
        <v>0</v>
      </c>
      <c r="AJ708" s="2">
        <v>0</v>
      </c>
      <c r="AK708" s="2">
        <v>0</v>
      </c>
      <c r="AL708" s="2">
        <v>12.92</v>
      </c>
      <c r="AM708" s="2">
        <v>0</v>
      </c>
      <c r="AN708" s="2">
        <v>0</v>
      </c>
      <c r="AO708" s="2">
        <v>0</v>
      </c>
      <c r="AP708" s="2">
        <v>0</v>
      </c>
      <c r="AQ708" s="2">
        <v>0</v>
      </c>
    </row>
    <row r="709" spans="1:43" x14ac:dyDescent="0.25">
      <c r="A709" s="1">
        <v>45936</v>
      </c>
      <c r="B709" t="s">
        <v>48</v>
      </c>
      <c r="C709">
        <v>649163</v>
      </c>
      <c r="D709">
        <v>2029752466</v>
      </c>
      <c r="E709" t="s">
        <v>1062</v>
      </c>
      <c r="F709" t="s">
        <v>1063</v>
      </c>
      <c r="G709" t="s">
        <v>51</v>
      </c>
      <c r="H709" t="s">
        <v>88</v>
      </c>
      <c r="I709" t="s">
        <v>292</v>
      </c>
      <c r="J709" t="s">
        <v>293</v>
      </c>
      <c r="K709">
        <v>767312</v>
      </c>
      <c r="L709" t="s">
        <v>283</v>
      </c>
      <c r="M709" t="s">
        <v>284</v>
      </c>
      <c r="N709" t="s">
        <v>57</v>
      </c>
      <c r="O709" s="1">
        <v>45840</v>
      </c>
      <c r="Q709" s="1">
        <v>45993</v>
      </c>
      <c r="R709" s="2">
        <v>18.46</v>
      </c>
      <c r="S709">
        <v>1</v>
      </c>
      <c r="T709" t="s">
        <v>58</v>
      </c>
      <c r="U709" t="s">
        <v>359</v>
      </c>
      <c r="V709" s="3">
        <v>0.7</v>
      </c>
      <c r="W709" s="2">
        <v>0</v>
      </c>
      <c r="X709">
        <v>0</v>
      </c>
      <c r="Y709" t="s">
        <v>60</v>
      </c>
      <c r="Z709" t="s">
        <v>360</v>
      </c>
      <c r="AA709">
        <v>0</v>
      </c>
      <c r="AB709" s="2">
        <v>0</v>
      </c>
      <c r="AC709" s="2">
        <v>0</v>
      </c>
      <c r="AD709" s="3">
        <v>0</v>
      </c>
      <c r="AE709" s="2">
        <v>0</v>
      </c>
      <c r="AF709" s="2">
        <v>0</v>
      </c>
      <c r="AG709" s="2">
        <v>0</v>
      </c>
      <c r="AH709" s="2">
        <v>0</v>
      </c>
      <c r="AI709" s="2">
        <v>0</v>
      </c>
      <c r="AJ709" s="2">
        <v>0</v>
      </c>
      <c r="AK709" s="2">
        <v>0</v>
      </c>
      <c r="AL709" s="2">
        <v>12.92</v>
      </c>
      <c r="AM709" s="2">
        <v>0</v>
      </c>
      <c r="AN709" s="2">
        <v>0</v>
      </c>
      <c r="AO709" s="2">
        <v>0</v>
      </c>
      <c r="AP709" s="2">
        <v>0</v>
      </c>
      <c r="AQ709" s="2">
        <v>0</v>
      </c>
    </row>
    <row r="710" spans="1:43" x14ac:dyDescent="0.25">
      <c r="A710" s="1">
        <v>45936</v>
      </c>
      <c r="B710" t="s">
        <v>48</v>
      </c>
      <c r="C710">
        <v>649163</v>
      </c>
      <c r="D710">
        <v>2029838334</v>
      </c>
      <c r="E710" t="s">
        <v>434</v>
      </c>
      <c r="F710" t="s">
        <v>435</v>
      </c>
      <c r="G710" t="s">
        <v>51</v>
      </c>
      <c r="H710" t="s">
        <v>101</v>
      </c>
      <c r="I710" t="s">
        <v>292</v>
      </c>
      <c r="J710" t="s">
        <v>293</v>
      </c>
      <c r="K710">
        <v>840313</v>
      </c>
      <c r="L710" t="s">
        <v>436</v>
      </c>
      <c r="M710" t="s">
        <v>437</v>
      </c>
      <c r="N710" t="s">
        <v>57</v>
      </c>
      <c r="O710" s="1">
        <v>45846</v>
      </c>
      <c r="Q710" s="1">
        <v>45969</v>
      </c>
      <c r="R710" s="2">
        <v>56.5</v>
      </c>
      <c r="S710">
        <v>1</v>
      </c>
      <c r="T710" t="s">
        <v>58</v>
      </c>
      <c r="U710" t="s">
        <v>359</v>
      </c>
      <c r="V710" s="3">
        <v>0.7</v>
      </c>
      <c r="W710" s="2">
        <v>0</v>
      </c>
      <c r="X710">
        <v>0</v>
      </c>
      <c r="Y710" t="s">
        <v>60</v>
      </c>
      <c r="Z710" t="s">
        <v>360</v>
      </c>
      <c r="AA710">
        <v>0</v>
      </c>
      <c r="AB710" s="2">
        <v>0</v>
      </c>
      <c r="AC710" s="2">
        <v>0</v>
      </c>
      <c r="AD710" s="3">
        <v>0</v>
      </c>
      <c r="AE710" s="2">
        <v>0</v>
      </c>
      <c r="AF710" s="2">
        <v>0</v>
      </c>
      <c r="AG710" s="2">
        <v>0</v>
      </c>
      <c r="AH710" s="2">
        <v>0</v>
      </c>
      <c r="AI710" s="2">
        <v>0</v>
      </c>
      <c r="AJ710" s="2">
        <v>0</v>
      </c>
      <c r="AK710" s="2">
        <v>0</v>
      </c>
      <c r="AL710" s="2">
        <v>39.549999999999997</v>
      </c>
      <c r="AM710" s="2">
        <v>0</v>
      </c>
      <c r="AN710" s="2">
        <v>0</v>
      </c>
      <c r="AO710" s="2">
        <v>0</v>
      </c>
      <c r="AP710" s="2">
        <v>0</v>
      </c>
      <c r="AQ710" s="2">
        <v>0</v>
      </c>
    </row>
    <row r="711" spans="1:43" x14ac:dyDescent="0.25">
      <c r="A711" s="1">
        <v>45936</v>
      </c>
      <c r="B711" t="s">
        <v>48</v>
      </c>
      <c r="C711">
        <v>649163</v>
      </c>
      <c r="D711">
        <v>2029841553</v>
      </c>
      <c r="E711" t="s">
        <v>1064</v>
      </c>
      <c r="F711" t="s">
        <v>1065</v>
      </c>
      <c r="G711" t="s">
        <v>51</v>
      </c>
      <c r="H711" t="s">
        <v>52</v>
      </c>
      <c r="I711" t="s">
        <v>292</v>
      </c>
      <c r="J711" t="s">
        <v>293</v>
      </c>
      <c r="K711">
        <v>812656</v>
      </c>
      <c r="L711" t="s">
        <v>509</v>
      </c>
      <c r="M711" t="s">
        <v>476</v>
      </c>
      <c r="N711" t="s">
        <v>57</v>
      </c>
      <c r="O711" s="1">
        <v>45846</v>
      </c>
      <c r="Q711" s="1">
        <v>45969</v>
      </c>
      <c r="R711" s="2">
        <v>89.52</v>
      </c>
      <c r="S711">
        <v>1</v>
      </c>
      <c r="T711" t="s">
        <v>58</v>
      </c>
      <c r="U711" t="s">
        <v>359</v>
      </c>
      <c r="V711" s="3">
        <v>0.7</v>
      </c>
      <c r="W711" s="2">
        <v>0</v>
      </c>
      <c r="X711">
        <v>0</v>
      </c>
      <c r="Y711" t="s">
        <v>60</v>
      </c>
      <c r="Z711" t="s">
        <v>360</v>
      </c>
      <c r="AA711">
        <v>0</v>
      </c>
      <c r="AB711" s="2">
        <v>0</v>
      </c>
      <c r="AC711" s="2">
        <v>0</v>
      </c>
      <c r="AD711" s="3">
        <v>0</v>
      </c>
      <c r="AE711" s="2">
        <v>0</v>
      </c>
      <c r="AF711" s="2">
        <v>0</v>
      </c>
      <c r="AG711" s="2">
        <v>0</v>
      </c>
      <c r="AH711" s="2">
        <v>0</v>
      </c>
      <c r="AI711" s="2">
        <v>0</v>
      </c>
      <c r="AJ711" s="2">
        <v>0</v>
      </c>
      <c r="AK711" s="2">
        <v>0</v>
      </c>
      <c r="AL711" s="2">
        <v>62.66</v>
      </c>
      <c r="AM711" s="2">
        <v>0</v>
      </c>
      <c r="AN711" s="2">
        <v>0</v>
      </c>
      <c r="AO711" s="2">
        <v>0</v>
      </c>
      <c r="AP711" s="2">
        <v>0</v>
      </c>
      <c r="AQ711" s="2">
        <v>0</v>
      </c>
    </row>
    <row r="712" spans="1:43" x14ac:dyDescent="0.25">
      <c r="A712" s="1">
        <v>45936</v>
      </c>
      <c r="B712" t="s">
        <v>48</v>
      </c>
      <c r="C712">
        <v>649163</v>
      </c>
      <c r="D712">
        <v>2029842748</v>
      </c>
      <c r="E712" t="s">
        <v>896</v>
      </c>
      <c r="F712" t="s">
        <v>897</v>
      </c>
      <c r="G712" t="s">
        <v>51</v>
      </c>
      <c r="H712" t="s">
        <v>119</v>
      </c>
      <c r="I712" t="s">
        <v>292</v>
      </c>
      <c r="J712" t="s">
        <v>293</v>
      </c>
      <c r="K712">
        <v>651818</v>
      </c>
      <c r="L712" t="s">
        <v>112</v>
      </c>
      <c r="M712" t="s">
        <v>104</v>
      </c>
      <c r="N712" t="s">
        <v>57</v>
      </c>
      <c r="O712" s="1">
        <v>45876</v>
      </c>
      <c r="Q712" s="1">
        <v>45968</v>
      </c>
      <c r="R712" s="2">
        <v>51</v>
      </c>
      <c r="S712">
        <v>1</v>
      </c>
      <c r="T712" t="s">
        <v>58</v>
      </c>
      <c r="U712" t="s">
        <v>359</v>
      </c>
      <c r="V712" s="3">
        <v>0.7</v>
      </c>
      <c r="W712" s="2">
        <v>0</v>
      </c>
      <c r="X712">
        <v>0</v>
      </c>
      <c r="Y712" t="s">
        <v>60</v>
      </c>
      <c r="Z712" t="s">
        <v>360</v>
      </c>
      <c r="AA712">
        <v>0</v>
      </c>
      <c r="AB712" s="2">
        <v>0</v>
      </c>
      <c r="AC712" s="2">
        <v>0</v>
      </c>
      <c r="AD712" s="3">
        <v>0</v>
      </c>
      <c r="AE712" s="2">
        <v>0</v>
      </c>
      <c r="AF712" s="2">
        <v>0</v>
      </c>
      <c r="AG712" s="2">
        <v>0</v>
      </c>
      <c r="AH712" s="2">
        <v>0</v>
      </c>
      <c r="AI712" s="2">
        <v>0</v>
      </c>
      <c r="AJ712" s="2">
        <v>0</v>
      </c>
      <c r="AK712" s="2">
        <v>0</v>
      </c>
      <c r="AL712" s="2">
        <v>35.700000000000003</v>
      </c>
      <c r="AM712" s="2">
        <v>0</v>
      </c>
      <c r="AN712" s="2">
        <v>0</v>
      </c>
      <c r="AO712" s="2">
        <v>0</v>
      </c>
      <c r="AP712" s="2">
        <v>0</v>
      </c>
      <c r="AQ712" s="2">
        <v>0</v>
      </c>
    </row>
    <row r="713" spans="1:43" x14ac:dyDescent="0.25">
      <c r="A713" s="1">
        <v>45936</v>
      </c>
      <c r="B713" t="s">
        <v>48</v>
      </c>
      <c r="C713">
        <v>649163</v>
      </c>
      <c r="D713">
        <v>2029851936</v>
      </c>
      <c r="E713" t="s">
        <v>1066</v>
      </c>
      <c r="F713" t="s">
        <v>1067</v>
      </c>
      <c r="G713" t="s">
        <v>51</v>
      </c>
      <c r="H713" t="s">
        <v>203</v>
      </c>
      <c r="I713" t="s">
        <v>292</v>
      </c>
      <c r="J713" t="s">
        <v>293</v>
      </c>
      <c r="K713">
        <v>824082</v>
      </c>
      <c r="L713" t="s">
        <v>406</v>
      </c>
      <c r="M713" t="s">
        <v>407</v>
      </c>
      <c r="N713" t="s">
        <v>57</v>
      </c>
      <c r="O713" s="1">
        <v>45847</v>
      </c>
      <c r="Q713" s="1">
        <v>45970</v>
      </c>
      <c r="R713" s="2">
        <v>11.69</v>
      </c>
      <c r="S713">
        <v>1</v>
      </c>
      <c r="T713" t="s">
        <v>58</v>
      </c>
      <c r="U713" t="s">
        <v>359</v>
      </c>
      <c r="V713" s="3">
        <v>0.7</v>
      </c>
      <c r="W713" s="2">
        <v>0</v>
      </c>
      <c r="X713">
        <v>0</v>
      </c>
      <c r="Y713" t="s">
        <v>60</v>
      </c>
      <c r="Z713" t="s">
        <v>360</v>
      </c>
      <c r="AA713">
        <v>0</v>
      </c>
      <c r="AB713" s="2">
        <v>0</v>
      </c>
      <c r="AC713" s="2">
        <v>0</v>
      </c>
      <c r="AD713" s="3">
        <v>0</v>
      </c>
      <c r="AE713" s="2">
        <v>0</v>
      </c>
      <c r="AF713" s="2">
        <v>0</v>
      </c>
      <c r="AG713" s="2">
        <v>0</v>
      </c>
      <c r="AH713" s="2">
        <v>0</v>
      </c>
      <c r="AI713" s="2">
        <v>0</v>
      </c>
      <c r="AJ713" s="2">
        <v>0</v>
      </c>
      <c r="AK713" s="2">
        <v>0</v>
      </c>
      <c r="AL713" s="2">
        <v>8.18</v>
      </c>
      <c r="AM713" s="2">
        <v>0</v>
      </c>
      <c r="AN713" s="2">
        <v>0</v>
      </c>
      <c r="AO713" s="2">
        <v>0</v>
      </c>
      <c r="AP713" s="2">
        <v>0</v>
      </c>
      <c r="AQ713" s="2">
        <v>0</v>
      </c>
    </row>
    <row r="714" spans="1:43" x14ac:dyDescent="0.25">
      <c r="A714" s="1">
        <v>45936</v>
      </c>
      <c r="B714" t="s">
        <v>48</v>
      </c>
      <c r="C714">
        <v>649163</v>
      </c>
      <c r="D714">
        <v>2029866852</v>
      </c>
      <c r="E714" t="s">
        <v>898</v>
      </c>
      <c r="F714" t="s">
        <v>899</v>
      </c>
      <c r="G714" t="s">
        <v>51</v>
      </c>
      <c r="H714" t="s">
        <v>79</v>
      </c>
      <c r="I714" t="s">
        <v>292</v>
      </c>
      <c r="J714" t="s">
        <v>293</v>
      </c>
      <c r="K714">
        <v>673059</v>
      </c>
      <c r="L714" t="s">
        <v>80</v>
      </c>
      <c r="M714" t="s">
        <v>81</v>
      </c>
      <c r="N714" t="s">
        <v>57</v>
      </c>
      <c r="O714" s="1">
        <v>45848</v>
      </c>
      <c r="Q714" s="1">
        <v>45971</v>
      </c>
      <c r="R714" s="2">
        <v>144.69999999999999</v>
      </c>
      <c r="S714">
        <v>1</v>
      </c>
      <c r="T714" t="s">
        <v>58</v>
      </c>
      <c r="U714" t="s">
        <v>359</v>
      </c>
      <c r="V714" s="3">
        <v>0.7</v>
      </c>
      <c r="W714" s="2">
        <v>0</v>
      </c>
      <c r="X714">
        <v>0</v>
      </c>
      <c r="Y714" t="s">
        <v>60</v>
      </c>
      <c r="Z714" t="s">
        <v>360</v>
      </c>
      <c r="AA714">
        <v>0</v>
      </c>
      <c r="AB714" s="2">
        <v>0</v>
      </c>
      <c r="AC714" s="2">
        <v>0</v>
      </c>
      <c r="AD714" s="3">
        <v>0</v>
      </c>
      <c r="AE714" s="2">
        <v>0</v>
      </c>
      <c r="AF714" s="2">
        <v>0</v>
      </c>
      <c r="AG714" s="2">
        <v>0</v>
      </c>
      <c r="AH714" s="2">
        <v>0</v>
      </c>
      <c r="AI714" s="2">
        <v>0</v>
      </c>
      <c r="AJ714" s="2">
        <v>0</v>
      </c>
      <c r="AK714" s="2">
        <v>0</v>
      </c>
      <c r="AL714" s="2">
        <v>101.29</v>
      </c>
      <c r="AM714" s="2">
        <v>0</v>
      </c>
      <c r="AN714" s="2">
        <v>0</v>
      </c>
      <c r="AO714" s="2">
        <v>0</v>
      </c>
      <c r="AP714" s="2">
        <v>0</v>
      </c>
      <c r="AQ714" s="2">
        <v>0</v>
      </c>
    </row>
    <row r="715" spans="1:43" x14ac:dyDescent="0.25">
      <c r="A715" s="1">
        <v>45936</v>
      </c>
      <c r="B715" t="s">
        <v>48</v>
      </c>
      <c r="C715">
        <v>649163</v>
      </c>
      <c r="D715">
        <v>2029872568</v>
      </c>
      <c r="E715" t="s">
        <v>1068</v>
      </c>
      <c r="F715" t="s">
        <v>1018</v>
      </c>
      <c r="G715" t="s">
        <v>51</v>
      </c>
      <c r="H715" t="s">
        <v>101</v>
      </c>
      <c r="I715" t="s">
        <v>292</v>
      </c>
      <c r="J715" t="s">
        <v>293</v>
      </c>
      <c r="K715">
        <v>812994</v>
      </c>
      <c r="L715" t="s">
        <v>428</v>
      </c>
      <c r="M715" t="s">
        <v>309</v>
      </c>
      <c r="N715" t="s">
        <v>57</v>
      </c>
      <c r="O715" s="1">
        <v>45848</v>
      </c>
      <c r="Q715" s="1">
        <v>45971</v>
      </c>
      <c r="R715" s="2">
        <v>30</v>
      </c>
      <c r="S715">
        <v>1</v>
      </c>
      <c r="T715" t="s">
        <v>58</v>
      </c>
      <c r="U715" t="s">
        <v>359</v>
      </c>
      <c r="V715" s="3">
        <v>0.7</v>
      </c>
      <c r="W715" s="2">
        <v>0</v>
      </c>
      <c r="X715">
        <v>0</v>
      </c>
      <c r="Y715" t="s">
        <v>60</v>
      </c>
      <c r="Z715" t="s">
        <v>360</v>
      </c>
      <c r="AA715">
        <v>0</v>
      </c>
      <c r="AB715" s="2">
        <v>0</v>
      </c>
      <c r="AC715" s="2">
        <v>0</v>
      </c>
      <c r="AD715" s="3">
        <v>0</v>
      </c>
      <c r="AE715" s="2">
        <v>0</v>
      </c>
      <c r="AF715" s="2">
        <v>0</v>
      </c>
      <c r="AG715" s="2">
        <v>0</v>
      </c>
      <c r="AH715" s="2">
        <v>0</v>
      </c>
      <c r="AI715" s="2">
        <v>0</v>
      </c>
      <c r="AJ715" s="2">
        <v>0</v>
      </c>
      <c r="AK715" s="2">
        <v>0</v>
      </c>
      <c r="AL715" s="2">
        <v>0</v>
      </c>
      <c r="AM715" s="2">
        <v>21</v>
      </c>
      <c r="AN715" s="2">
        <v>21</v>
      </c>
      <c r="AO715" s="2">
        <v>0</v>
      </c>
      <c r="AP715" s="2">
        <v>0</v>
      </c>
      <c r="AQ715" s="2">
        <v>0</v>
      </c>
    </row>
    <row r="716" spans="1:43" x14ac:dyDescent="0.25">
      <c r="A716" s="1">
        <v>45936</v>
      </c>
      <c r="B716" t="s">
        <v>48</v>
      </c>
      <c r="C716">
        <v>649163</v>
      </c>
      <c r="D716">
        <v>2029877132</v>
      </c>
      <c r="E716" t="s">
        <v>234</v>
      </c>
      <c r="F716" t="s">
        <v>1069</v>
      </c>
      <c r="G716" t="s">
        <v>51</v>
      </c>
      <c r="H716" t="s">
        <v>101</v>
      </c>
      <c r="I716" t="s">
        <v>292</v>
      </c>
      <c r="J716" t="s">
        <v>293</v>
      </c>
      <c r="K716">
        <v>767312</v>
      </c>
      <c r="L716" t="s">
        <v>283</v>
      </c>
      <c r="M716" t="s">
        <v>284</v>
      </c>
      <c r="N716" t="s">
        <v>57</v>
      </c>
      <c r="O716" s="1">
        <v>45848</v>
      </c>
      <c r="Q716" s="1">
        <v>45971</v>
      </c>
      <c r="R716" s="2">
        <v>96</v>
      </c>
      <c r="S716">
        <v>1</v>
      </c>
      <c r="T716" t="s">
        <v>58</v>
      </c>
      <c r="U716" t="s">
        <v>359</v>
      </c>
      <c r="V716" s="3">
        <v>0.7</v>
      </c>
      <c r="W716" s="2">
        <v>0</v>
      </c>
      <c r="X716">
        <v>0</v>
      </c>
      <c r="Y716" t="s">
        <v>60</v>
      </c>
      <c r="Z716" t="s">
        <v>360</v>
      </c>
      <c r="AA716">
        <v>0</v>
      </c>
      <c r="AB716" s="2">
        <v>0</v>
      </c>
      <c r="AC716" s="2">
        <v>0</v>
      </c>
      <c r="AD716" s="3">
        <v>0</v>
      </c>
      <c r="AE716" s="2">
        <v>0</v>
      </c>
      <c r="AF716" s="2">
        <v>0</v>
      </c>
      <c r="AG716" s="2">
        <v>0</v>
      </c>
      <c r="AH716" s="2">
        <v>0</v>
      </c>
      <c r="AI716" s="2">
        <v>0</v>
      </c>
      <c r="AJ716" s="2">
        <v>0</v>
      </c>
      <c r="AK716" s="2">
        <v>0</v>
      </c>
      <c r="AL716" s="2">
        <v>67.2</v>
      </c>
      <c r="AM716" s="2">
        <v>0</v>
      </c>
      <c r="AN716" s="2">
        <v>0</v>
      </c>
      <c r="AO716" s="2">
        <v>0</v>
      </c>
      <c r="AP716" s="2">
        <v>0</v>
      </c>
      <c r="AQ716" s="2">
        <v>0</v>
      </c>
    </row>
    <row r="717" spans="1:43" x14ac:dyDescent="0.25">
      <c r="A717" s="1">
        <v>45936</v>
      </c>
      <c r="B717" t="s">
        <v>48</v>
      </c>
      <c r="C717">
        <v>649163</v>
      </c>
      <c r="D717">
        <v>2029880668</v>
      </c>
      <c r="E717" t="s">
        <v>1070</v>
      </c>
      <c r="F717" t="s">
        <v>1071</v>
      </c>
      <c r="G717" t="s">
        <v>51</v>
      </c>
      <c r="H717" t="s">
        <v>101</v>
      </c>
      <c r="I717" t="s">
        <v>292</v>
      </c>
      <c r="J717" t="s">
        <v>293</v>
      </c>
      <c r="K717">
        <v>840313</v>
      </c>
      <c r="L717" t="s">
        <v>436</v>
      </c>
      <c r="M717" t="s">
        <v>437</v>
      </c>
      <c r="N717" t="s">
        <v>57</v>
      </c>
      <c r="O717" s="1">
        <v>45848</v>
      </c>
      <c r="Q717" s="1">
        <v>45971</v>
      </c>
      <c r="R717" s="2">
        <v>56.5</v>
      </c>
      <c r="S717">
        <v>1</v>
      </c>
      <c r="T717" t="s">
        <v>58</v>
      </c>
      <c r="U717" t="s">
        <v>359</v>
      </c>
      <c r="V717" s="3">
        <v>0.7</v>
      </c>
      <c r="W717" s="2">
        <v>0</v>
      </c>
      <c r="X717">
        <v>0</v>
      </c>
      <c r="Y717" t="s">
        <v>60</v>
      </c>
      <c r="Z717" t="s">
        <v>360</v>
      </c>
      <c r="AA717">
        <v>0</v>
      </c>
      <c r="AB717" s="2">
        <v>0</v>
      </c>
      <c r="AC717" s="2">
        <v>0</v>
      </c>
      <c r="AD717" s="3">
        <v>0</v>
      </c>
      <c r="AE717" s="2">
        <v>0</v>
      </c>
      <c r="AF717" s="2">
        <v>0</v>
      </c>
      <c r="AG717" s="2">
        <v>0</v>
      </c>
      <c r="AH717" s="2">
        <v>0</v>
      </c>
      <c r="AI717" s="2">
        <v>0</v>
      </c>
      <c r="AJ717" s="2">
        <v>0</v>
      </c>
      <c r="AK717" s="2">
        <v>0</v>
      </c>
      <c r="AL717" s="2">
        <v>39.549999999999997</v>
      </c>
      <c r="AM717" s="2">
        <v>0</v>
      </c>
      <c r="AN717" s="2">
        <v>0</v>
      </c>
      <c r="AO717" s="2">
        <v>0</v>
      </c>
      <c r="AP717" s="2">
        <v>0</v>
      </c>
      <c r="AQ717" s="2">
        <v>0</v>
      </c>
    </row>
    <row r="718" spans="1:43" x14ac:dyDescent="0.25">
      <c r="A718" s="1">
        <v>45936</v>
      </c>
      <c r="B718" t="s">
        <v>48</v>
      </c>
      <c r="C718">
        <v>649163</v>
      </c>
      <c r="D718">
        <v>2029880677</v>
      </c>
      <c r="E718" t="s">
        <v>1072</v>
      </c>
      <c r="F718" t="s">
        <v>1073</v>
      </c>
      <c r="G718" t="s">
        <v>51</v>
      </c>
      <c r="H718" t="s">
        <v>101</v>
      </c>
      <c r="I718" t="s">
        <v>292</v>
      </c>
      <c r="J718" t="s">
        <v>293</v>
      </c>
      <c r="K718">
        <v>812994</v>
      </c>
      <c r="L718" t="s">
        <v>428</v>
      </c>
      <c r="M718" t="s">
        <v>309</v>
      </c>
      <c r="N718" t="s">
        <v>57</v>
      </c>
      <c r="O718" s="1">
        <v>45848</v>
      </c>
      <c r="Q718" s="1">
        <v>45971</v>
      </c>
      <c r="R718" s="2">
        <v>88.96</v>
      </c>
      <c r="S718">
        <v>1</v>
      </c>
      <c r="T718" t="s">
        <v>58</v>
      </c>
      <c r="U718" t="s">
        <v>359</v>
      </c>
      <c r="V718" s="3">
        <v>0.7</v>
      </c>
      <c r="W718" s="2">
        <v>0</v>
      </c>
      <c r="X718">
        <v>0</v>
      </c>
      <c r="Y718" t="s">
        <v>60</v>
      </c>
      <c r="Z718" t="s">
        <v>360</v>
      </c>
      <c r="AA718">
        <v>0</v>
      </c>
      <c r="AB718" s="2">
        <v>0</v>
      </c>
      <c r="AC718" s="2">
        <v>0</v>
      </c>
      <c r="AD718" s="3">
        <v>0</v>
      </c>
      <c r="AE718" s="2">
        <v>0</v>
      </c>
      <c r="AF718" s="2">
        <v>0</v>
      </c>
      <c r="AG718" s="2">
        <v>0</v>
      </c>
      <c r="AH718" s="2">
        <v>0</v>
      </c>
      <c r="AI718" s="2">
        <v>0</v>
      </c>
      <c r="AJ718" s="2">
        <v>0</v>
      </c>
      <c r="AK718" s="2">
        <v>0</v>
      </c>
      <c r="AL718" s="2">
        <v>62.27</v>
      </c>
      <c r="AM718" s="2">
        <v>0</v>
      </c>
      <c r="AN718" s="2">
        <v>0</v>
      </c>
      <c r="AO718" s="2">
        <v>0</v>
      </c>
      <c r="AP718" s="2">
        <v>0</v>
      </c>
      <c r="AQ718" s="2">
        <v>0</v>
      </c>
    </row>
    <row r="719" spans="1:43" x14ac:dyDescent="0.25">
      <c r="A719" s="1">
        <v>45936</v>
      </c>
      <c r="B719" t="s">
        <v>48</v>
      </c>
      <c r="C719">
        <v>649163</v>
      </c>
      <c r="D719">
        <v>2029887595</v>
      </c>
      <c r="E719" t="s">
        <v>510</v>
      </c>
      <c r="F719" t="s">
        <v>900</v>
      </c>
      <c r="G719" t="s">
        <v>51</v>
      </c>
      <c r="H719" t="s">
        <v>52</v>
      </c>
      <c r="I719" t="s">
        <v>292</v>
      </c>
      <c r="J719" t="s">
        <v>293</v>
      </c>
      <c r="K719">
        <v>753748</v>
      </c>
      <c r="L719" t="s">
        <v>97</v>
      </c>
      <c r="M719" t="s">
        <v>98</v>
      </c>
      <c r="N719" t="s">
        <v>57</v>
      </c>
      <c r="O719" s="1">
        <v>45870</v>
      </c>
      <c r="Q719" s="1">
        <v>45962</v>
      </c>
      <c r="R719" s="2">
        <v>-141.47</v>
      </c>
      <c r="S719">
        <v>1</v>
      </c>
      <c r="T719" t="s">
        <v>58</v>
      </c>
      <c r="U719" t="s">
        <v>359</v>
      </c>
      <c r="V719" s="3">
        <v>0.7</v>
      </c>
      <c r="W719" s="2">
        <v>0</v>
      </c>
      <c r="X719">
        <v>-1</v>
      </c>
      <c r="Y719" t="s">
        <v>60</v>
      </c>
      <c r="Z719" t="s">
        <v>360</v>
      </c>
      <c r="AA719">
        <v>0</v>
      </c>
      <c r="AB719" s="2">
        <v>0</v>
      </c>
      <c r="AC719" s="2">
        <v>0</v>
      </c>
      <c r="AD719" s="3">
        <v>0</v>
      </c>
      <c r="AE719" s="2">
        <v>0</v>
      </c>
      <c r="AF719" s="2">
        <v>0</v>
      </c>
      <c r="AG719" s="2">
        <v>0</v>
      </c>
      <c r="AH719" s="2">
        <v>0</v>
      </c>
      <c r="AI719" s="2">
        <v>0</v>
      </c>
      <c r="AJ719" s="2">
        <v>0</v>
      </c>
      <c r="AK719" s="2">
        <v>0</v>
      </c>
      <c r="AL719" s="2">
        <v>0</v>
      </c>
      <c r="AM719" s="2">
        <v>-99.03</v>
      </c>
      <c r="AN719" s="2">
        <v>-99.03</v>
      </c>
      <c r="AO719" s="2">
        <v>0</v>
      </c>
      <c r="AP719" s="2">
        <v>0</v>
      </c>
      <c r="AQ719" s="2">
        <v>0</v>
      </c>
    </row>
    <row r="720" spans="1:43" x14ac:dyDescent="0.25">
      <c r="A720" s="1">
        <v>45936</v>
      </c>
      <c r="B720" t="s">
        <v>48</v>
      </c>
      <c r="C720">
        <v>649163</v>
      </c>
      <c r="D720">
        <v>2029919052</v>
      </c>
      <c r="E720" t="s">
        <v>901</v>
      </c>
      <c r="F720" t="s">
        <v>902</v>
      </c>
      <c r="G720" t="s">
        <v>51</v>
      </c>
      <c r="H720" t="s">
        <v>310</v>
      </c>
      <c r="I720" t="s">
        <v>292</v>
      </c>
      <c r="J720" t="s">
        <v>293</v>
      </c>
      <c r="K720">
        <v>651818</v>
      </c>
      <c r="L720" t="s">
        <v>112</v>
      </c>
      <c r="M720" t="s">
        <v>104</v>
      </c>
      <c r="N720" t="s">
        <v>57</v>
      </c>
      <c r="O720" s="1">
        <v>45876</v>
      </c>
      <c r="Q720" s="1">
        <v>45968</v>
      </c>
      <c r="R720" s="2">
        <v>69.37</v>
      </c>
      <c r="S720">
        <v>1</v>
      </c>
      <c r="T720" t="s">
        <v>58</v>
      </c>
      <c r="U720" t="s">
        <v>359</v>
      </c>
      <c r="V720" s="3">
        <v>0.7</v>
      </c>
      <c r="W720" s="2">
        <v>0</v>
      </c>
      <c r="X720">
        <v>0</v>
      </c>
      <c r="Y720" t="s">
        <v>60</v>
      </c>
      <c r="Z720" t="s">
        <v>360</v>
      </c>
      <c r="AA720">
        <v>0</v>
      </c>
      <c r="AB720" s="2">
        <v>0</v>
      </c>
      <c r="AC720" s="2">
        <v>0</v>
      </c>
      <c r="AD720" s="3">
        <v>0</v>
      </c>
      <c r="AE720" s="2">
        <v>0</v>
      </c>
      <c r="AF720" s="2">
        <v>0</v>
      </c>
      <c r="AG720" s="2">
        <v>0</v>
      </c>
      <c r="AH720" s="2">
        <v>0</v>
      </c>
      <c r="AI720" s="2">
        <v>0</v>
      </c>
      <c r="AJ720" s="2">
        <v>0</v>
      </c>
      <c r="AK720" s="2">
        <v>0</v>
      </c>
      <c r="AL720" s="2">
        <v>48.56</v>
      </c>
      <c r="AM720" s="2">
        <v>0</v>
      </c>
      <c r="AN720" s="2">
        <v>0</v>
      </c>
      <c r="AO720" s="2">
        <v>0</v>
      </c>
      <c r="AP720" s="2">
        <v>0</v>
      </c>
      <c r="AQ720" s="2">
        <v>0</v>
      </c>
    </row>
    <row r="721" spans="1:43" x14ac:dyDescent="0.25">
      <c r="A721" s="1">
        <v>45936</v>
      </c>
      <c r="B721" t="s">
        <v>48</v>
      </c>
      <c r="C721">
        <v>649163</v>
      </c>
      <c r="D721">
        <v>2029959147</v>
      </c>
      <c r="E721" t="s">
        <v>903</v>
      </c>
      <c r="F721" t="s">
        <v>904</v>
      </c>
      <c r="G721" t="s">
        <v>51</v>
      </c>
      <c r="H721" t="s">
        <v>110</v>
      </c>
      <c r="I721" t="s">
        <v>292</v>
      </c>
      <c r="J721" t="s">
        <v>293</v>
      </c>
      <c r="K721">
        <v>651818</v>
      </c>
      <c r="L721" t="s">
        <v>112</v>
      </c>
      <c r="M721" t="s">
        <v>104</v>
      </c>
      <c r="N721" t="s">
        <v>57</v>
      </c>
      <c r="O721" s="1">
        <v>45876</v>
      </c>
      <c r="Q721" s="1">
        <v>45968</v>
      </c>
      <c r="R721" s="2">
        <v>122.32</v>
      </c>
      <c r="S721">
        <v>1</v>
      </c>
      <c r="T721" t="s">
        <v>58</v>
      </c>
      <c r="U721" t="s">
        <v>359</v>
      </c>
      <c r="V721" s="3">
        <v>0.7</v>
      </c>
      <c r="W721" s="2">
        <v>0</v>
      </c>
      <c r="X721">
        <v>0</v>
      </c>
      <c r="Y721" t="s">
        <v>60</v>
      </c>
      <c r="Z721" t="s">
        <v>360</v>
      </c>
      <c r="AA721">
        <v>0</v>
      </c>
      <c r="AB721" s="2">
        <v>0</v>
      </c>
      <c r="AC721" s="2">
        <v>0</v>
      </c>
      <c r="AD721" s="3">
        <v>0</v>
      </c>
      <c r="AE721" s="2">
        <v>0</v>
      </c>
      <c r="AF721" s="2">
        <v>0</v>
      </c>
      <c r="AG721" s="2">
        <v>0</v>
      </c>
      <c r="AH721" s="2">
        <v>0</v>
      </c>
      <c r="AI721" s="2">
        <v>0</v>
      </c>
      <c r="AJ721" s="2">
        <v>0</v>
      </c>
      <c r="AK721" s="2">
        <v>0</v>
      </c>
      <c r="AL721" s="2">
        <v>85.62</v>
      </c>
      <c r="AM721" s="2">
        <v>0</v>
      </c>
      <c r="AN721" s="2">
        <v>0</v>
      </c>
      <c r="AO721" s="2">
        <v>0</v>
      </c>
      <c r="AP721" s="2">
        <v>0</v>
      </c>
      <c r="AQ721" s="2">
        <v>0</v>
      </c>
    </row>
    <row r="722" spans="1:43" x14ac:dyDescent="0.25">
      <c r="A722" s="1">
        <v>45936</v>
      </c>
      <c r="B722" t="s">
        <v>48</v>
      </c>
      <c r="C722">
        <v>649163</v>
      </c>
      <c r="D722">
        <v>2030013620</v>
      </c>
      <c r="E722" t="s">
        <v>906</v>
      </c>
      <c r="F722" t="s">
        <v>907</v>
      </c>
      <c r="G722" t="s">
        <v>51</v>
      </c>
      <c r="H722" t="s">
        <v>110</v>
      </c>
      <c r="I722" t="s">
        <v>292</v>
      </c>
      <c r="J722" t="s">
        <v>293</v>
      </c>
      <c r="K722">
        <v>651818</v>
      </c>
      <c r="L722" t="s">
        <v>112</v>
      </c>
      <c r="M722" t="s">
        <v>104</v>
      </c>
      <c r="N722" t="s">
        <v>57</v>
      </c>
      <c r="O722" s="1">
        <v>45876</v>
      </c>
      <c r="Q722" s="1">
        <v>45968</v>
      </c>
      <c r="R722" s="2">
        <v>64.63</v>
      </c>
      <c r="S722">
        <v>1</v>
      </c>
      <c r="T722" t="s">
        <v>58</v>
      </c>
      <c r="U722" t="s">
        <v>359</v>
      </c>
      <c r="V722" s="3">
        <v>0.7</v>
      </c>
      <c r="W722" s="2">
        <v>0</v>
      </c>
      <c r="X722">
        <v>0</v>
      </c>
      <c r="Y722" t="s">
        <v>60</v>
      </c>
      <c r="Z722" t="s">
        <v>360</v>
      </c>
      <c r="AA722">
        <v>0</v>
      </c>
      <c r="AB722" s="2">
        <v>0</v>
      </c>
      <c r="AC722" s="2">
        <v>0</v>
      </c>
      <c r="AD722" s="3">
        <v>0</v>
      </c>
      <c r="AE722" s="2">
        <v>0</v>
      </c>
      <c r="AF722" s="2">
        <v>0</v>
      </c>
      <c r="AG722" s="2">
        <v>0</v>
      </c>
      <c r="AH722" s="2">
        <v>0</v>
      </c>
      <c r="AI722" s="2">
        <v>0</v>
      </c>
      <c r="AJ722" s="2">
        <v>0</v>
      </c>
      <c r="AK722" s="2">
        <v>0</v>
      </c>
      <c r="AL722" s="2">
        <v>45.24</v>
      </c>
      <c r="AM722" s="2">
        <v>0</v>
      </c>
      <c r="AN722" s="2">
        <v>0</v>
      </c>
      <c r="AO722" s="2">
        <v>0</v>
      </c>
      <c r="AP722" s="2">
        <v>0</v>
      </c>
      <c r="AQ722" s="2">
        <v>0</v>
      </c>
    </row>
    <row r="723" spans="1:43" x14ac:dyDescent="0.25">
      <c r="A723" s="1">
        <v>45936</v>
      </c>
      <c r="B723" t="s">
        <v>48</v>
      </c>
      <c r="C723">
        <v>649163</v>
      </c>
      <c r="D723">
        <v>2030013621</v>
      </c>
      <c r="E723" t="s">
        <v>906</v>
      </c>
      <c r="F723" t="s">
        <v>907</v>
      </c>
      <c r="G723" t="s">
        <v>51</v>
      </c>
      <c r="H723" t="s">
        <v>110</v>
      </c>
      <c r="I723" t="s">
        <v>292</v>
      </c>
      <c r="J723" t="s">
        <v>295</v>
      </c>
      <c r="K723">
        <v>651818</v>
      </c>
      <c r="L723" t="s">
        <v>112</v>
      </c>
      <c r="M723" t="s">
        <v>104</v>
      </c>
      <c r="N723" t="s">
        <v>57</v>
      </c>
      <c r="O723" s="1">
        <v>45876</v>
      </c>
      <c r="Q723" s="1">
        <v>45968</v>
      </c>
      <c r="R723" s="2">
        <v>47.08</v>
      </c>
      <c r="S723">
        <v>1</v>
      </c>
      <c r="T723" t="s">
        <v>58</v>
      </c>
      <c r="U723" t="s">
        <v>359</v>
      </c>
      <c r="V723" s="3">
        <v>0.9</v>
      </c>
      <c r="W723" s="2">
        <v>0</v>
      </c>
      <c r="X723">
        <v>0</v>
      </c>
      <c r="Y723" t="s">
        <v>60</v>
      </c>
      <c r="Z723" t="s">
        <v>360</v>
      </c>
      <c r="AA723">
        <v>0</v>
      </c>
      <c r="AB723" s="2">
        <v>0</v>
      </c>
      <c r="AC723" s="2">
        <v>0</v>
      </c>
      <c r="AD723" s="3">
        <v>0</v>
      </c>
      <c r="AE723" s="2">
        <v>0</v>
      </c>
      <c r="AF723" s="2">
        <v>0</v>
      </c>
      <c r="AG723" s="2">
        <v>0</v>
      </c>
      <c r="AH723" s="2">
        <v>0</v>
      </c>
      <c r="AI723" s="2">
        <v>0</v>
      </c>
      <c r="AJ723" s="2">
        <v>0</v>
      </c>
      <c r="AK723" s="2">
        <v>0</v>
      </c>
      <c r="AL723" s="2">
        <v>42.37</v>
      </c>
      <c r="AM723" s="2">
        <v>0</v>
      </c>
      <c r="AN723" s="2">
        <v>0</v>
      </c>
      <c r="AO723" s="2">
        <v>0</v>
      </c>
      <c r="AP723" s="2">
        <v>0</v>
      </c>
      <c r="AQ723" s="2">
        <v>0</v>
      </c>
    </row>
    <row r="724" spans="1:43" x14ac:dyDescent="0.25">
      <c r="A724" s="1">
        <v>45936</v>
      </c>
      <c r="B724" t="s">
        <v>48</v>
      </c>
      <c r="C724">
        <v>649163</v>
      </c>
      <c r="D724">
        <v>2030047486</v>
      </c>
      <c r="E724" t="s">
        <v>713</v>
      </c>
      <c r="F724" t="s">
        <v>240</v>
      </c>
      <c r="G724" t="s">
        <v>51</v>
      </c>
      <c r="H724" t="s">
        <v>110</v>
      </c>
      <c r="I724" t="s">
        <v>292</v>
      </c>
      <c r="J724" t="s">
        <v>293</v>
      </c>
      <c r="K724">
        <v>651818</v>
      </c>
      <c r="L724" t="s">
        <v>112</v>
      </c>
      <c r="M724" t="s">
        <v>104</v>
      </c>
      <c r="N724" t="s">
        <v>57</v>
      </c>
      <c r="O724" s="1">
        <v>45876</v>
      </c>
      <c r="Q724" s="1">
        <v>45968</v>
      </c>
      <c r="R724" s="2">
        <v>94.38</v>
      </c>
      <c r="S724">
        <v>1</v>
      </c>
      <c r="T724" t="s">
        <v>58</v>
      </c>
      <c r="U724" t="s">
        <v>359</v>
      </c>
      <c r="V724" s="3">
        <v>0.7</v>
      </c>
      <c r="W724" s="2">
        <v>0</v>
      </c>
      <c r="X724">
        <v>0</v>
      </c>
      <c r="Y724" t="s">
        <v>60</v>
      </c>
      <c r="Z724" t="s">
        <v>360</v>
      </c>
      <c r="AA724">
        <v>0</v>
      </c>
      <c r="AB724" s="2">
        <v>0</v>
      </c>
      <c r="AC724" s="2">
        <v>0</v>
      </c>
      <c r="AD724" s="3">
        <v>0</v>
      </c>
      <c r="AE724" s="2">
        <v>0</v>
      </c>
      <c r="AF724" s="2">
        <v>0</v>
      </c>
      <c r="AG724" s="2">
        <v>0</v>
      </c>
      <c r="AH724" s="2">
        <v>0</v>
      </c>
      <c r="AI724" s="2">
        <v>0</v>
      </c>
      <c r="AJ724" s="2">
        <v>0</v>
      </c>
      <c r="AK724" s="2">
        <v>0</v>
      </c>
      <c r="AL724" s="2">
        <v>66.069999999999993</v>
      </c>
      <c r="AM724" s="2">
        <v>0</v>
      </c>
      <c r="AN724" s="2">
        <v>0</v>
      </c>
      <c r="AO724" s="2">
        <v>0</v>
      </c>
      <c r="AP724" s="2">
        <v>0</v>
      </c>
      <c r="AQ724" s="2">
        <v>0</v>
      </c>
    </row>
    <row r="725" spans="1:43" x14ac:dyDescent="0.25">
      <c r="A725" s="1">
        <v>45936</v>
      </c>
      <c r="B725" t="s">
        <v>48</v>
      </c>
      <c r="C725">
        <v>649163</v>
      </c>
      <c r="D725">
        <v>2030047733</v>
      </c>
      <c r="E725" t="s">
        <v>908</v>
      </c>
      <c r="F725" t="s">
        <v>909</v>
      </c>
      <c r="G725" t="s">
        <v>51</v>
      </c>
      <c r="H725" t="s">
        <v>390</v>
      </c>
      <c r="I725" t="s">
        <v>292</v>
      </c>
      <c r="J725" t="s">
        <v>293</v>
      </c>
      <c r="K725">
        <v>651818</v>
      </c>
      <c r="L725" t="s">
        <v>112</v>
      </c>
      <c r="M725" t="s">
        <v>104</v>
      </c>
      <c r="N725" t="s">
        <v>57</v>
      </c>
      <c r="O725" s="1">
        <v>45876</v>
      </c>
      <c r="Q725" s="1">
        <v>45968</v>
      </c>
      <c r="R725" s="2">
        <v>75.459999999999994</v>
      </c>
      <c r="S725">
        <v>1</v>
      </c>
      <c r="T725" t="s">
        <v>58</v>
      </c>
      <c r="U725" t="s">
        <v>359</v>
      </c>
      <c r="V725" s="3">
        <v>0.7</v>
      </c>
      <c r="W725" s="2">
        <v>0</v>
      </c>
      <c r="X725">
        <v>0</v>
      </c>
      <c r="Y725" t="s">
        <v>60</v>
      </c>
      <c r="Z725" t="s">
        <v>360</v>
      </c>
      <c r="AA725">
        <v>0</v>
      </c>
      <c r="AB725" s="2">
        <v>0</v>
      </c>
      <c r="AC725" s="2">
        <v>0</v>
      </c>
      <c r="AD725" s="3">
        <v>0</v>
      </c>
      <c r="AE725" s="2">
        <v>0</v>
      </c>
      <c r="AF725" s="2">
        <v>0</v>
      </c>
      <c r="AG725" s="2">
        <v>0</v>
      </c>
      <c r="AH725" s="2">
        <v>0</v>
      </c>
      <c r="AI725" s="2">
        <v>0</v>
      </c>
      <c r="AJ725" s="2">
        <v>0</v>
      </c>
      <c r="AK725" s="2">
        <v>0</v>
      </c>
      <c r="AL725" s="2">
        <v>52.82</v>
      </c>
      <c r="AM725" s="2">
        <v>0</v>
      </c>
      <c r="AN725" s="2">
        <v>0</v>
      </c>
      <c r="AO725" s="2">
        <v>0</v>
      </c>
      <c r="AP725" s="2">
        <v>0</v>
      </c>
      <c r="AQ725" s="2">
        <v>0</v>
      </c>
    </row>
    <row r="726" spans="1:43" x14ac:dyDescent="0.25">
      <c r="A726" s="1">
        <v>45936</v>
      </c>
      <c r="B726" t="s">
        <v>48</v>
      </c>
      <c r="C726">
        <v>649163</v>
      </c>
      <c r="D726">
        <v>2030090691</v>
      </c>
      <c r="E726" t="s">
        <v>476</v>
      </c>
      <c r="F726" t="s">
        <v>910</v>
      </c>
      <c r="G726" t="s">
        <v>51</v>
      </c>
      <c r="H726" t="s">
        <v>115</v>
      </c>
      <c r="I726" t="s">
        <v>292</v>
      </c>
      <c r="J726" t="s">
        <v>295</v>
      </c>
      <c r="K726">
        <v>651818</v>
      </c>
      <c r="L726" t="s">
        <v>112</v>
      </c>
      <c r="M726" t="s">
        <v>104</v>
      </c>
      <c r="N726" t="s">
        <v>57</v>
      </c>
      <c r="O726" s="1">
        <v>45876</v>
      </c>
      <c r="Q726" s="1">
        <v>45968</v>
      </c>
      <c r="R726" s="2">
        <v>13.31</v>
      </c>
      <c r="S726">
        <v>1</v>
      </c>
      <c r="T726" t="s">
        <v>58</v>
      </c>
      <c r="U726" t="s">
        <v>359</v>
      </c>
      <c r="V726" s="3">
        <v>0.9</v>
      </c>
      <c r="W726" s="2">
        <v>0</v>
      </c>
      <c r="X726">
        <v>0</v>
      </c>
      <c r="Y726" t="s">
        <v>60</v>
      </c>
      <c r="Z726" t="s">
        <v>360</v>
      </c>
      <c r="AA726">
        <v>0</v>
      </c>
      <c r="AB726" s="2">
        <v>0</v>
      </c>
      <c r="AC726" s="2">
        <v>0</v>
      </c>
      <c r="AD726" s="3">
        <v>0</v>
      </c>
      <c r="AE726" s="2">
        <v>0</v>
      </c>
      <c r="AF726" s="2">
        <v>0</v>
      </c>
      <c r="AG726" s="2">
        <v>0</v>
      </c>
      <c r="AH726" s="2">
        <v>0</v>
      </c>
      <c r="AI726" s="2">
        <v>0</v>
      </c>
      <c r="AJ726" s="2">
        <v>0</v>
      </c>
      <c r="AK726" s="2">
        <v>0</v>
      </c>
      <c r="AL726" s="2">
        <v>11.98</v>
      </c>
      <c r="AM726" s="2">
        <v>0</v>
      </c>
      <c r="AN726" s="2">
        <v>0</v>
      </c>
      <c r="AO726" s="2">
        <v>0</v>
      </c>
      <c r="AP726" s="2">
        <v>0</v>
      </c>
      <c r="AQ726" s="2">
        <v>0</v>
      </c>
    </row>
    <row r="727" spans="1:43" x14ac:dyDescent="0.25">
      <c r="A727" s="1">
        <v>45936</v>
      </c>
      <c r="B727" t="s">
        <v>48</v>
      </c>
      <c r="C727">
        <v>649163</v>
      </c>
      <c r="D727">
        <v>2030189267</v>
      </c>
      <c r="E727" t="s">
        <v>911</v>
      </c>
      <c r="F727" t="s">
        <v>912</v>
      </c>
      <c r="G727" t="s">
        <v>51</v>
      </c>
      <c r="H727" t="s">
        <v>323</v>
      </c>
      <c r="I727" t="s">
        <v>292</v>
      </c>
      <c r="J727" t="s">
        <v>536</v>
      </c>
      <c r="K727">
        <v>651818</v>
      </c>
      <c r="L727" t="s">
        <v>112</v>
      </c>
      <c r="M727" t="s">
        <v>104</v>
      </c>
      <c r="N727" t="s">
        <v>57</v>
      </c>
      <c r="O727" s="1">
        <v>45876</v>
      </c>
      <c r="Q727" s="1">
        <v>45968</v>
      </c>
      <c r="R727" s="2">
        <v>25.73</v>
      </c>
      <c r="S727">
        <v>1</v>
      </c>
      <c r="T727" t="s">
        <v>58</v>
      </c>
      <c r="U727" t="s">
        <v>359</v>
      </c>
      <c r="V727" s="3">
        <v>0.7</v>
      </c>
      <c r="W727" s="2">
        <v>0</v>
      </c>
      <c r="X727">
        <v>0</v>
      </c>
      <c r="Y727" t="s">
        <v>60</v>
      </c>
      <c r="Z727" t="s">
        <v>360</v>
      </c>
      <c r="AA727">
        <v>0</v>
      </c>
      <c r="AB727" s="2">
        <v>0</v>
      </c>
      <c r="AC727" s="2">
        <v>0</v>
      </c>
      <c r="AD727" s="3">
        <v>0</v>
      </c>
      <c r="AE727" s="2">
        <v>0</v>
      </c>
      <c r="AF727" s="2">
        <v>0</v>
      </c>
      <c r="AG727" s="2">
        <v>0</v>
      </c>
      <c r="AH727" s="2">
        <v>0</v>
      </c>
      <c r="AI727" s="2">
        <v>0</v>
      </c>
      <c r="AJ727" s="2">
        <v>0</v>
      </c>
      <c r="AK727" s="2">
        <v>0</v>
      </c>
      <c r="AL727" s="2">
        <v>18.010000000000002</v>
      </c>
      <c r="AM727" s="2">
        <v>0</v>
      </c>
      <c r="AN727" s="2">
        <v>0</v>
      </c>
      <c r="AO727" s="2">
        <v>0</v>
      </c>
      <c r="AP727" s="2">
        <v>0</v>
      </c>
      <c r="AQ727" s="2">
        <v>0</v>
      </c>
    </row>
    <row r="728" spans="1:43" x14ac:dyDescent="0.25">
      <c r="A728" s="1">
        <v>45936</v>
      </c>
      <c r="B728" t="s">
        <v>48</v>
      </c>
      <c r="C728">
        <v>649163</v>
      </c>
      <c r="D728">
        <v>2030192140</v>
      </c>
      <c r="E728" t="s">
        <v>913</v>
      </c>
      <c r="F728" t="s">
        <v>914</v>
      </c>
      <c r="G728" t="s">
        <v>51</v>
      </c>
      <c r="H728" t="s">
        <v>119</v>
      </c>
      <c r="I728" t="s">
        <v>292</v>
      </c>
      <c r="J728" t="s">
        <v>293</v>
      </c>
      <c r="K728">
        <v>651818</v>
      </c>
      <c r="L728" t="s">
        <v>112</v>
      </c>
      <c r="M728" t="s">
        <v>104</v>
      </c>
      <c r="N728" t="s">
        <v>57</v>
      </c>
      <c r="O728" s="1">
        <v>45876</v>
      </c>
      <c r="Q728" s="1">
        <v>45968</v>
      </c>
      <c r="R728" s="2">
        <v>34</v>
      </c>
      <c r="S728">
        <v>1</v>
      </c>
      <c r="T728" t="s">
        <v>58</v>
      </c>
      <c r="U728" t="s">
        <v>359</v>
      </c>
      <c r="V728" s="3">
        <v>0.7</v>
      </c>
      <c r="W728" s="2">
        <v>0</v>
      </c>
      <c r="X728">
        <v>0</v>
      </c>
      <c r="Y728" t="s">
        <v>60</v>
      </c>
      <c r="Z728" t="s">
        <v>360</v>
      </c>
      <c r="AA728">
        <v>0</v>
      </c>
      <c r="AB728" s="2">
        <v>0</v>
      </c>
      <c r="AC728" s="2">
        <v>0</v>
      </c>
      <c r="AD728" s="3">
        <v>0</v>
      </c>
      <c r="AE728" s="2">
        <v>0</v>
      </c>
      <c r="AF728" s="2">
        <v>0</v>
      </c>
      <c r="AG728" s="2">
        <v>0</v>
      </c>
      <c r="AH728" s="2">
        <v>0</v>
      </c>
      <c r="AI728" s="2">
        <v>0</v>
      </c>
      <c r="AJ728" s="2">
        <v>0</v>
      </c>
      <c r="AK728" s="2">
        <v>0</v>
      </c>
      <c r="AL728" s="2">
        <v>23.8</v>
      </c>
      <c r="AM728" s="2">
        <v>0</v>
      </c>
      <c r="AN728" s="2">
        <v>0</v>
      </c>
      <c r="AO728" s="2">
        <v>0</v>
      </c>
      <c r="AP728" s="2">
        <v>0</v>
      </c>
      <c r="AQ728" s="2">
        <v>0</v>
      </c>
    </row>
    <row r="729" spans="1:43" x14ac:dyDescent="0.25">
      <c r="A729" s="1">
        <v>45936</v>
      </c>
      <c r="B729" t="s">
        <v>48</v>
      </c>
      <c r="C729">
        <v>649163</v>
      </c>
      <c r="D729">
        <v>2030193265</v>
      </c>
      <c r="E729" t="s">
        <v>478</v>
      </c>
      <c r="F729" t="s">
        <v>1074</v>
      </c>
      <c r="G729" t="s">
        <v>51</v>
      </c>
      <c r="H729" t="s">
        <v>101</v>
      </c>
      <c r="I729" t="s">
        <v>292</v>
      </c>
      <c r="J729" t="s">
        <v>293</v>
      </c>
      <c r="K729">
        <v>651818</v>
      </c>
      <c r="L729" t="s">
        <v>112</v>
      </c>
      <c r="M729" t="s">
        <v>104</v>
      </c>
      <c r="N729" t="s">
        <v>57</v>
      </c>
      <c r="O729" s="1">
        <v>45875</v>
      </c>
      <c r="Q729" s="1">
        <v>45967</v>
      </c>
      <c r="R729" s="2">
        <v>117.94</v>
      </c>
      <c r="S729">
        <v>1</v>
      </c>
      <c r="T729" t="s">
        <v>58</v>
      </c>
      <c r="U729" t="s">
        <v>359</v>
      </c>
      <c r="V729" s="3">
        <v>0.7</v>
      </c>
      <c r="W729" s="2">
        <v>0</v>
      </c>
      <c r="X729">
        <v>0</v>
      </c>
      <c r="Y729" t="s">
        <v>60</v>
      </c>
      <c r="Z729" t="s">
        <v>360</v>
      </c>
      <c r="AA729">
        <v>0</v>
      </c>
      <c r="AB729" s="2">
        <v>0</v>
      </c>
      <c r="AC729" s="2">
        <v>0</v>
      </c>
      <c r="AD729" s="3">
        <v>0</v>
      </c>
      <c r="AE729" s="2">
        <v>0</v>
      </c>
      <c r="AF729" s="2">
        <v>0</v>
      </c>
      <c r="AG729" s="2">
        <v>0</v>
      </c>
      <c r="AH729" s="2">
        <v>0</v>
      </c>
      <c r="AI729" s="2">
        <v>0</v>
      </c>
      <c r="AJ729" s="2">
        <v>0</v>
      </c>
      <c r="AK729" s="2">
        <v>0</v>
      </c>
      <c r="AL729" s="2">
        <v>82.56</v>
      </c>
      <c r="AM729" s="2">
        <v>0</v>
      </c>
      <c r="AN729" s="2">
        <v>0</v>
      </c>
      <c r="AO729" s="2">
        <v>0</v>
      </c>
      <c r="AP729" s="2">
        <v>0</v>
      </c>
      <c r="AQ729" s="2">
        <v>0</v>
      </c>
    </row>
    <row r="730" spans="1:43" x14ac:dyDescent="0.25">
      <c r="A730" s="1">
        <v>45936</v>
      </c>
      <c r="B730" t="s">
        <v>48</v>
      </c>
      <c r="C730">
        <v>649163</v>
      </c>
      <c r="D730">
        <v>2030228487</v>
      </c>
      <c r="E730" t="s">
        <v>524</v>
      </c>
      <c r="F730" t="s">
        <v>915</v>
      </c>
      <c r="G730" t="s">
        <v>51</v>
      </c>
      <c r="H730" t="s">
        <v>52</v>
      </c>
      <c r="I730" t="s">
        <v>292</v>
      </c>
      <c r="J730" t="s">
        <v>293</v>
      </c>
      <c r="K730">
        <v>673059</v>
      </c>
      <c r="L730" t="s">
        <v>80</v>
      </c>
      <c r="M730" t="s">
        <v>81</v>
      </c>
      <c r="N730" t="s">
        <v>57</v>
      </c>
      <c r="O730" s="1">
        <v>45875</v>
      </c>
      <c r="Q730" s="1">
        <v>45967</v>
      </c>
      <c r="R730" s="2">
        <v>103.76</v>
      </c>
      <c r="S730">
        <v>1</v>
      </c>
      <c r="T730" t="s">
        <v>58</v>
      </c>
      <c r="U730" t="s">
        <v>359</v>
      </c>
      <c r="V730" s="3">
        <v>0.7</v>
      </c>
      <c r="W730" s="2">
        <v>0</v>
      </c>
      <c r="X730">
        <v>0</v>
      </c>
      <c r="Y730" t="s">
        <v>60</v>
      </c>
      <c r="Z730" t="s">
        <v>360</v>
      </c>
      <c r="AA730">
        <v>0</v>
      </c>
      <c r="AB730" s="2">
        <v>0</v>
      </c>
      <c r="AC730" s="2">
        <v>0</v>
      </c>
      <c r="AD730" s="3">
        <v>0</v>
      </c>
      <c r="AE730" s="2">
        <v>0</v>
      </c>
      <c r="AF730" s="2">
        <v>0</v>
      </c>
      <c r="AG730" s="2">
        <v>0</v>
      </c>
      <c r="AH730" s="2">
        <v>0</v>
      </c>
      <c r="AI730" s="2">
        <v>0</v>
      </c>
      <c r="AJ730" s="2">
        <v>0</v>
      </c>
      <c r="AK730" s="2">
        <v>0</v>
      </c>
      <c r="AL730" s="2">
        <v>72.63</v>
      </c>
      <c r="AM730" s="2">
        <v>0</v>
      </c>
      <c r="AN730" s="2">
        <v>0</v>
      </c>
      <c r="AO730" s="2">
        <v>0</v>
      </c>
      <c r="AP730" s="2">
        <v>0</v>
      </c>
      <c r="AQ730" s="2">
        <v>0</v>
      </c>
    </row>
    <row r="731" spans="1:43" x14ac:dyDescent="0.25">
      <c r="A731" s="1">
        <v>45936</v>
      </c>
      <c r="B731" t="s">
        <v>48</v>
      </c>
      <c r="C731">
        <v>649163</v>
      </c>
      <c r="D731">
        <v>2030228488</v>
      </c>
      <c r="E731" t="s">
        <v>524</v>
      </c>
      <c r="F731" t="s">
        <v>915</v>
      </c>
      <c r="G731" t="s">
        <v>51</v>
      </c>
      <c r="H731" t="s">
        <v>52</v>
      </c>
      <c r="I731" t="s">
        <v>292</v>
      </c>
      <c r="J731" t="s">
        <v>536</v>
      </c>
      <c r="K731">
        <v>673059</v>
      </c>
      <c r="L731" t="s">
        <v>80</v>
      </c>
      <c r="M731" t="s">
        <v>81</v>
      </c>
      <c r="N731" t="s">
        <v>57</v>
      </c>
      <c r="O731" s="1">
        <v>45875</v>
      </c>
      <c r="Q731" s="1">
        <v>45967</v>
      </c>
      <c r="R731" s="2">
        <v>25.73</v>
      </c>
      <c r="S731">
        <v>1</v>
      </c>
      <c r="T731" t="s">
        <v>58</v>
      </c>
      <c r="U731" t="s">
        <v>359</v>
      </c>
      <c r="V731" s="3">
        <v>0.7</v>
      </c>
      <c r="W731" s="2">
        <v>0</v>
      </c>
      <c r="X731">
        <v>0</v>
      </c>
      <c r="Y731" t="s">
        <v>60</v>
      </c>
      <c r="Z731" t="s">
        <v>360</v>
      </c>
      <c r="AA731">
        <v>0</v>
      </c>
      <c r="AB731" s="2">
        <v>0</v>
      </c>
      <c r="AC731" s="2">
        <v>0</v>
      </c>
      <c r="AD731" s="3">
        <v>0</v>
      </c>
      <c r="AE731" s="2">
        <v>0</v>
      </c>
      <c r="AF731" s="2">
        <v>0</v>
      </c>
      <c r="AG731" s="2">
        <v>0</v>
      </c>
      <c r="AH731" s="2">
        <v>0</v>
      </c>
      <c r="AI731" s="2">
        <v>0</v>
      </c>
      <c r="AJ731" s="2">
        <v>0</v>
      </c>
      <c r="AK731" s="2">
        <v>0</v>
      </c>
      <c r="AL731" s="2">
        <v>18.010000000000002</v>
      </c>
      <c r="AM731" s="2">
        <v>0</v>
      </c>
      <c r="AN731" s="2">
        <v>0</v>
      </c>
      <c r="AO731" s="2">
        <v>0</v>
      </c>
      <c r="AP731" s="2">
        <v>0</v>
      </c>
      <c r="AQ731" s="2">
        <v>0</v>
      </c>
    </row>
    <row r="732" spans="1:43" x14ac:dyDescent="0.25">
      <c r="A732" s="1">
        <v>45936</v>
      </c>
      <c r="B732" t="s">
        <v>48</v>
      </c>
      <c r="C732">
        <v>649163</v>
      </c>
      <c r="D732">
        <v>2030245942</v>
      </c>
      <c r="E732" t="s">
        <v>1075</v>
      </c>
      <c r="F732" t="s">
        <v>1076</v>
      </c>
      <c r="G732" t="s">
        <v>51</v>
      </c>
      <c r="H732" t="s">
        <v>52</v>
      </c>
      <c r="I732" t="s">
        <v>292</v>
      </c>
      <c r="J732" t="s">
        <v>293</v>
      </c>
      <c r="K732">
        <v>856824</v>
      </c>
      <c r="L732" t="s">
        <v>298</v>
      </c>
      <c r="M732" t="s">
        <v>299</v>
      </c>
      <c r="N732" t="s">
        <v>456</v>
      </c>
      <c r="O732" s="1">
        <v>45870</v>
      </c>
      <c r="P732" s="1">
        <v>45936</v>
      </c>
      <c r="Q732" s="1">
        <v>45962</v>
      </c>
      <c r="R732" s="2">
        <v>-57.75</v>
      </c>
      <c r="S732">
        <v>1</v>
      </c>
      <c r="T732" t="s">
        <v>58</v>
      </c>
      <c r="U732" t="s">
        <v>359</v>
      </c>
      <c r="V732" s="3">
        <v>0.7</v>
      </c>
      <c r="W732" s="2">
        <v>0</v>
      </c>
      <c r="X732">
        <v>-1</v>
      </c>
      <c r="Y732" t="s">
        <v>60</v>
      </c>
      <c r="Z732" t="s">
        <v>360</v>
      </c>
      <c r="AA732">
        <v>0</v>
      </c>
      <c r="AB732" s="2">
        <v>0</v>
      </c>
      <c r="AC732" s="2">
        <v>0</v>
      </c>
      <c r="AD732" s="3">
        <v>0</v>
      </c>
      <c r="AE732" s="2">
        <v>0</v>
      </c>
      <c r="AF732" s="2">
        <v>0</v>
      </c>
      <c r="AG732" s="2">
        <v>0</v>
      </c>
      <c r="AH732" s="2">
        <v>0</v>
      </c>
      <c r="AI732" s="2">
        <v>0</v>
      </c>
      <c r="AJ732" s="2">
        <v>0</v>
      </c>
      <c r="AK732" s="2">
        <v>0</v>
      </c>
      <c r="AL732" s="2">
        <v>0</v>
      </c>
      <c r="AM732" s="2">
        <v>-40.42</v>
      </c>
      <c r="AN732" s="2">
        <v>-40.42</v>
      </c>
      <c r="AO732" s="2">
        <v>0</v>
      </c>
      <c r="AP732" s="2">
        <v>0</v>
      </c>
      <c r="AQ732" s="2">
        <v>0</v>
      </c>
    </row>
    <row r="733" spans="1:43" x14ac:dyDescent="0.25">
      <c r="A733" s="1">
        <v>45936</v>
      </c>
      <c r="B733" t="s">
        <v>48</v>
      </c>
      <c r="C733">
        <v>649163</v>
      </c>
      <c r="D733">
        <v>2030277548</v>
      </c>
      <c r="E733" t="s">
        <v>439</v>
      </c>
      <c r="F733" t="s">
        <v>440</v>
      </c>
      <c r="G733" t="s">
        <v>51</v>
      </c>
      <c r="H733" t="s">
        <v>247</v>
      </c>
      <c r="I733" t="s">
        <v>292</v>
      </c>
      <c r="J733" t="s">
        <v>536</v>
      </c>
      <c r="K733">
        <v>673059</v>
      </c>
      <c r="L733" t="s">
        <v>80</v>
      </c>
      <c r="M733" t="s">
        <v>81</v>
      </c>
      <c r="N733" t="s">
        <v>57</v>
      </c>
      <c r="O733" s="1">
        <v>45878</v>
      </c>
      <c r="Q733" s="1">
        <v>45970</v>
      </c>
      <c r="R733" s="2">
        <v>49.83</v>
      </c>
      <c r="S733">
        <v>1</v>
      </c>
      <c r="T733" t="s">
        <v>58</v>
      </c>
      <c r="U733" t="s">
        <v>359</v>
      </c>
      <c r="V733" s="3">
        <v>0.7</v>
      </c>
      <c r="W733" s="2">
        <v>0</v>
      </c>
      <c r="X733">
        <v>0</v>
      </c>
      <c r="Y733" t="s">
        <v>60</v>
      </c>
      <c r="Z733" t="s">
        <v>360</v>
      </c>
      <c r="AA733">
        <v>0</v>
      </c>
      <c r="AB733" s="2">
        <v>0</v>
      </c>
      <c r="AC733" s="2">
        <v>0</v>
      </c>
      <c r="AD733" s="3">
        <v>0</v>
      </c>
      <c r="AE733" s="2">
        <v>0</v>
      </c>
      <c r="AF733" s="2">
        <v>0</v>
      </c>
      <c r="AG733" s="2">
        <v>0</v>
      </c>
      <c r="AH733" s="2">
        <v>0</v>
      </c>
      <c r="AI733" s="2">
        <v>0</v>
      </c>
      <c r="AJ733" s="2">
        <v>0</v>
      </c>
      <c r="AK733" s="2">
        <v>0</v>
      </c>
      <c r="AL733" s="2">
        <v>34.880000000000003</v>
      </c>
      <c r="AM733" s="2">
        <v>0</v>
      </c>
      <c r="AN733" s="2">
        <v>0</v>
      </c>
      <c r="AO733" s="2">
        <v>0</v>
      </c>
      <c r="AP733" s="2">
        <v>0</v>
      </c>
      <c r="AQ733" s="2">
        <v>0</v>
      </c>
    </row>
    <row r="734" spans="1:43" x14ac:dyDescent="0.25">
      <c r="A734" s="1">
        <v>45936</v>
      </c>
      <c r="B734" t="s">
        <v>48</v>
      </c>
      <c r="C734">
        <v>649163</v>
      </c>
      <c r="D734">
        <v>2030277549</v>
      </c>
      <c r="E734" t="s">
        <v>439</v>
      </c>
      <c r="F734" t="s">
        <v>440</v>
      </c>
      <c r="G734" t="s">
        <v>51</v>
      </c>
      <c r="H734" t="s">
        <v>247</v>
      </c>
      <c r="I734" t="s">
        <v>292</v>
      </c>
      <c r="J734" t="s">
        <v>293</v>
      </c>
      <c r="K734">
        <v>673059</v>
      </c>
      <c r="L734" t="s">
        <v>80</v>
      </c>
      <c r="M734" t="s">
        <v>81</v>
      </c>
      <c r="N734" t="s">
        <v>57</v>
      </c>
      <c r="O734" s="1">
        <v>45878</v>
      </c>
      <c r="Q734" s="1">
        <v>45970</v>
      </c>
      <c r="R734" s="2">
        <v>188.08</v>
      </c>
      <c r="S734">
        <v>1</v>
      </c>
      <c r="T734" t="s">
        <v>58</v>
      </c>
      <c r="U734" t="s">
        <v>359</v>
      </c>
      <c r="V734" s="3">
        <v>0.7</v>
      </c>
      <c r="W734" s="2">
        <v>0</v>
      </c>
      <c r="X734">
        <v>0</v>
      </c>
      <c r="Y734" t="s">
        <v>60</v>
      </c>
      <c r="Z734" t="s">
        <v>360</v>
      </c>
      <c r="AA734">
        <v>0</v>
      </c>
      <c r="AB734" s="2">
        <v>0</v>
      </c>
      <c r="AC734" s="2">
        <v>0</v>
      </c>
      <c r="AD734" s="3">
        <v>0</v>
      </c>
      <c r="AE734" s="2">
        <v>0</v>
      </c>
      <c r="AF734" s="2">
        <v>0</v>
      </c>
      <c r="AG734" s="2">
        <v>0</v>
      </c>
      <c r="AH734" s="2">
        <v>0</v>
      </c>
      <c r="AI734" s="2">
        <v>0</v>
      </c>
      <c r="AJ734" s="2">
        <v>0</v>
      </c>
      <c r="AK734" s="2">
        <v>0</v>
      </c>
      <c r="AL734" s="2">
        <v>131.66</v>
      </c>
      <c r="AM734" s="2">
        <v>0</v>
      </c>
      <c r="AN734" s="2">
        <v>0</v>
      </c>
      <c r="AO734" s="2">
        <v>0</v>
      </c>
      <c r="AP734" s="2">
        <v>0</v>
      </c>
      <c r="AQ734" s="2">
        <v>0</v>
      </c>
    </row>
    <row r="735" spans="1:43" x14ac:dyDescent="0.25">
      <c r="A735" s="1">
        <v>45936</v>
      </c>
      <c r="B735" t="s">
        <v>48</v>
      </c>
      <c r="C735">
        <v>649163</v>
      </c>
      <c r="D735">
        <v>2030302641</v>
      </c>
      <c r="E735" t="s">
        <v>94</v>
      </c>
      <c r="F735" t="s">
        <v>1077</v>
      </c>
      <c r="G735" t="s">
        <v>51</v>
      </c>
      <c r="H735" t="s">
        <v>95</v>
      </c>
      <c r="I735" t="s">
        <v>292</v>
      </c>
      <c r="J735" t="s">
        <v>293</v>
      </c>
      <c r="K735">
        <v>822733</v>
      </c>
      <c r="L735" t="s">
        <v>269</v>
      </c>
      <c r="M735" t="s">
        <v>270</v>
      </c>
      <c r="N735" t="s">
        <v>57</v>
      </c>
      <c r="O735" s="1">
        <v>45876</v>
      </c>
      <c r="Q735" s="1">
        <v>45968</v>
      </c>
      <c r="R735" s="2">
        <v>45.46</v>
      </c>
      <c r="S735">
        <v>1</v>
      </c>
      <c r="T735" t="s">
        <v>58</v>
      </c>
      <c r="U735" t="s">
        <v>359</v>
      </c>
      <c r="V735" s="3">
        <v>0.7</v>
      </c>
      <c r="W735" s="2">
        <v>0</v>
      </c>
      <c r="X735">
        <v>0</v>
      </c>
      <c r="Y735" t="s">
        <v>60</v>
      </c>
      <c r="Z735" t="s">
        <v>360</v>
      </c>
      <c r="AA735">
        <v>0</v>
      </c>
      <c r="AB735" s="2">
        <v>0</v>
      </c>
      <c r="AC735" s="2">
        <v>0</v>
      </c>
      <c r="AD735" s="3">
        <v>0</v>
      </c>
      <c r="AE735" s="2">
        <v>0</v>
      </c>
      <c r="AF735" s="2">
        <v>0</v>
      </c>
      <c r="AG735" s="2">
        <v>0</v>
      </c>
      <c r="AH735" s="2">
        <v>0</v>
      </c>
      <c r="AI735" s="2">
        <v>0</v>
      </c>
      <c r="AJ735" s="2">
        <v>0</v>
      </c>
      <c r="AK735" s="2">
        <v>0</v>
      </c>
      <c r="AL735" s="2">
        <v>31.82</v>
      </c>
      <c r="AM735" s="2">
        <v>0</v>
      </c>
      <c r="AN735" s="2">
        <v>0</v>
      </c>
      <c r="AO735" s="2">
        <v>0</v>
      </c>
      <c r="AP735" s="2">
        <v>0</v>
      </c>
      <c r="AQ735" s="2">
        <v>0</v>
      </c>
    </row>
    <row r="736" spans="1:43" x14ac:dyDescent="0.25">
      <c r="A736" s="1">
        <v>45936</v>
      </c>
      <c r="B736" t="s">
        <v>48</v>
      </c>
      <c r="C736">
        <v>649163</v>
      </c>
      <c r="D736">
        <v>2030308661</v>
      </c>
      <c r="E736" t="s">
        <v>1078</v>
      </c>
      <c r="F736" t="s">
        <v>463</v>
      </c>
      <c r="G736" t="s">
        <v>51</v>
      </c>
      <c r="H736" t="s">
        <v>101</v>
      </c>
      <c r="I736" t="s">
        <v>292</v>
      </c>
      <c r="J736" t="s">
        <v>293</v>
      </c>
      <c r="K736">
        <v>812656</v>
      </c>
      <c r="L736" t="s">
        <v>509</v>
      </c>
      <c r="M736" t="s">
        <v>476</v>
      </c>
      <c r="N736" t="s">
        <v>57</v>
      </c>
      <c r="O736" s="1">
        <v>45874</v>
      </c>
      <c r="Q736" s="1">
        <v>45966</v>
      </c>
      <c r="R736" s="2">
        <v>190.44</v>
      </c>
      <c r="S736">
        <v>1</v>
      </c>
      <c r="T736" t="s">
        <v>58</v>
      </c>
      <c r="U736" t="s">
        <v>359</v>
      </c>
      <c r="V736" s="3">
        <v>0.7</v>
      </c>
      <c r="W736" s="2">
        <v>0</v>
      </c>
      <c r="X736">
        <v>0</v>
      </c>
      <c r="Y736" t="s">
        <v>60</v>
      </c>
      <c r="Z736" t="s">
        <v>360</v>
      </c>
      <c r="AA736">
        <v>0</v>
      </c>
      <c r="AB736" s="2">
        <v>0</v>
      </c>
      <c r="AC736" s="2">
        <v>0</v>
      </c>
      <c r="AD736" s="3">
        <v>0</v>
      </c>
      <c r="AE736" s="2">
        <v>0</v>
      </c>
      <c r="AF736" s="2">
        <v>0</v>
      </c>
      <c r="AG736" s="2">
        <v>0</v>
      </c>
      <c r="AH736" s="2">
        <v>0</v>
      </c>
      <c r="AI736" s="2">
        <v>0</v>
      </c>
      <c r="AJ736" s="2">
        <v>0</v>
      </c>
      <c r="AK736" s="2">
        <v>0</v>
      </c>
      <c r="AL736" s="2">
        <v>133.31</v>
      </c>
      <c r="AM736" s="2">
        <v>0</v>
      </c>
      <c r="AN736" s="2">
        <v>0</v>
      </c>
      <c r="AO736" s="2">
        <v>0</v>
      </c>
      <c r="AP736" s="2">
        <v>0</v>
      </c>
      <c r="AQ736" s="2">
        <v>0</v>
      </c>
    </row>
    <row r="737" spans="1:43" x14ac:dyDescent="0.25">
      <c r="A737" s="1">
        <v>45936</v>
      </c>
      <c r="B737" t="s">
        <v>48</v>
      </c>
      <c r="C737">
        <v>649163</v>
      </c>
      <c r="D737">
        <v>2030317595</v>
      </c>
      <c r="E737" t="s">
        <v>916</v>
      </c>
      <c r="F737" t="s">
        <v>745</v>
      </c>
      <c r="G737" t="s">
        <v>51</v>
      </c>
      <c r="H737" t="s">
        <v>101</v>
      </c>
      <c r="I737" t="s">
        <v>292</v>
      </c>
      <c r="J737" t="s">
        <v>293</v>
      </c>
      <c r="K737">
        <v>651818</v>
      </c>
      <c r="L737" t="s">
        <v>112</v>
      </c>
      <c r="M737" t="s">
        <v>104</v>
      </c>
      <c r="N737" t="s">
        <v>57</v>
      </c>
      <c r="O737" s="1">
        <v>45906</v>
      </c>
      <c r="Q737" s="1">
        <v>45967</v>
      </c>
      <c r="R737" s="2">
        <v>115.38</v>
      </c>
      <c r="S737">
        <v>1</v>
      </c>
      <c r="T737" t="s">
        <v>58</v>
      </c>
      <c r="U737" t="s">
        <v>359</v>
      </c>
      <c r="V737" s="3">
        <v>0.7</v>
      </c>
      <c r="W737" s="2">
        <v>0</v>
      </c>
      <c r="X737">
        <v>0</v>
      </c>
      <c r="Y737" t="s">
        <v>60</v>
      </c>
      <c r="Z737" t="s">
        <v>360</v>
      </c>
      <c r="AA737">
        <v>0</v>
      </c>
      <c r="AB737" s="2">
        <v>0</v>
      </c>
      <c r="AC737" s="2">
        <v>0</v>
      </c>
      <c r="AD737" s="3">
        <v>0</v>
      </c>
      <c r="AE737" s="2">
        <v>0</v>
      </c>
      <c r="AF737" s="2">
        <v>0</v>
      </c>
      <c r="AG737" s="2">
        <v>0</v>
      </c>
      <c r="AH737" s="2">
        <v>0</v>
      </c>
      <c r="AI737" s="2">
        <v>0</v>
      </c>
      <c r="AJ737" s="2">
        <v>0</v>
      </c>
      <c r="AK737" s="2">
        <v>0</v>
      </c>
      <c r="AL737" s="2">
        <v>80.77</v>
      </c>
      <c r="AM737" s="2">
        <v>0</v>
      </c>
      <c r="AN737" s="2">
        <v>0</v>
      </c>
      <c r="AO737" s="2">
        <v>0</v>
      </c>
      <c r="AP737" s="2">
        <v>0</v>
      </c>
      <c r="AQ737" s="2">
        <v>0</v>
      </c>
    </row>
    <row r="738" spans="1:43" x14ac:dyDescent="0.25">
      <c r="A738" s="1">
        <v>45936</v>
      </c>
      <c r="B738" t="s">
        <v>48</v>
      </c>
      <c r="C738">
        <v>649163</v>
      </c>
      <c r="D738">
        <v>2030329363</v>
      </c>
      <c r="E738" t="s">
        <v>648</v>
      </c>
      <c r="F738" t="s">
        <v>917</v>
      </c>
      <c r="G738" t="s">
        <v>51</v>
      </c>
      <c r="H738" t="s">
        <v>105</v>
      </c>
      <c r="I738" t="s">
        <v>292</v>
      </c>
      <c r="J738" t="s">
        <v>331</v>
      </c>
      <c r="K738">
        <v>823068</v>
      </c>
      <c r="L738" t="s">
        <v>106</v>
      </c>
      <c r="M738" t="s">
        <v>107</v>
      </c>
      <c r="N738" t="s">
        <v>57</v>
      </c>
      <c r="O738" s="1">
        <v>45878</v>
      </c>
      <c r="Q738" s="1">
        <v>45970</v>
      </c>
      <c r="R738" s="2">
        <v>43.86</v>
      </c>
      <c r="S738">
        <v>1</v>
      </c>
      <c r="T738" t="s">
        <v>58</v>
      </c>
      <c r="U738" t="s">
        <v>359</v>
      </c>
      <c r="V738" s="3">
        <v>0.42</v>
      </c>
      <c r="W738" s="2">
        <v>0</v>
      </c>
      <c r="X738">
        <v>0</v>
      </c>
      <c r="Y738" t="s">
        <v>60</v>
      </c>
      <c r="Z738" t="s">
        <v>360</v>
      </c>
      <c r="AA738">
        <v>0</v>
      </c>
      <c r="AB738" s="2">
        <v>0</v>
      </c>
      <c r="AC738" s="2">
        <v>0</v>
      </c>
      <c r="AD738" s="3">
        <v>0</v>
      </c>
      <c r="AE738" s="2">
        <v>0</v>
      </c>
      <c r="AF738" s="2">
        <v>0</v>
      </c>
      <c r="AG738" s="2">
        <v>0</v>
      </c>
      <c r="AH738" s="2">
        <v>0</v>
      </c>
      <c r="AI738" s="2">
        <v>0</v>
      </c>
      <c r="AJ738" s="2">
        <v>0</v>
      </c>
      <c r="AK738" s="2">
        <v>0</v>
      </c>
      <c r="AL738" s="2">
        <v>18.420000000000002</v>
      </c>
      <c r="AM738" s="2">
        <v>0</v>
      </c>
      <c r="AN738" s="2">
        <v>0</v>
      </c>
      <c r="AO738" s="2">
        <v>0</v>
      </c>
      <c r="AP738" s="2">
        <v>0</v>
      </c>
      <c r="AQ738" s="2">
        <v>0</v>
      </c>
    </row>
    <row r="739" spans="1:43" x14ac:dyDescent="0.25">
      <c r="A739" s="1">
        <v>45936</v>
      </c>
      <c r="B739" t="s">
        <v>48</v>
      </c>
      <c r="C739">
        <v>649163</v>
      </c>
      <c r="D739">
        <v>2030329364</v>
      </c>
      <c r="E739" t="s">
        <v>648</v>
      </c>
      <c r="F739" t="s">
        <v>917</v>
      </c>
      <c r="G739" t="s">
        <v>51</v>
      </c>
      <c r="H739" t="s">
        <v>105</v>
      </c>
      <c r="I739" t="s">
        <v>292</v>
      </c>
      <c r="J739" t="s">
        <v>536</v>
      </c>
      <c r="K739">
        <v>823068</v>
      </c>
      <c r="L739" t="s">
        <v>106</v>
      </c>
      <c r="M739" t="s">
        <v>107</v>
      </c>
      <c r="N739" t="s">
        <v>57</v>
      </c>
      <c r="O739" s="1">
        <v>45878</v>
      </c>
      <c r="Q739" s="1">
        <v>45970</v>
      </c>
      <c r="R739" s="2">
        <v>24.61</v>
      </c>
      <c r="S739">
        <v>1</v>
      </c>
      <c r="T739" t="s">
        <v>58</v>
      </c>
      <c r="U739" t="s">
        <v>359</v>
      </c>
      <c r="V739" s="3">
        <v>0.7</v>
      </c>
      <c r="W739" s="2">
        <v>0</v>
      </c>
      <c r="X739">
        <v>0</v>
      </c>
      <c r="Y739" t="s">
        <v>60</v>
      </c>
      <c r="Z739" t="s">
        <v>360</v>
      </c>
      <c r="AA739">
        <v>0</v>
      </c>
      <c r="AB739" s="2">
        <v>0</v>
      </c>
      <c r="AC739" s="2">
        <v>0</v>
      </c>
      <c r="AD739" s="3">
        <v>0</v>
      </c>
      <c r="AE739" s="2">
        <v>0</v>
      </c>
      <c r="AF739" s="2">
        <v>0</v>
      </c>
      <c r="AG739" s="2">
        <v>0</v>
      </c>
      <c r="AH739" s="2">
        <v>0</v>
      </c>
      <c r="AI739" s="2">
        <v>0</v>
      </c>
      <c r="AJ739" s="2">
        <v>0</v>
      </c>
      <c r="AK739" s="2">
        <v>0</v>
      </c>
      <c r="AL739" s="2">
        <v>17.23</v>
      </c>
      <c r="AM739" s="2">
        <v>0</v>
      </c>
      <c r="AN739" s="2">
        <v>0</v>
      </c>
      <c r="AO739" s="2">
        <v>0</v>
      </c>
      <c r="AP739" s="2">
        <v>0</v>
      </c>
      <c r="AQ739" s="2">
        <v>0</v>
      </c>
    </row>
    <row r="740" spans="1:43" x14ac:dyDescent="0.25">
      <c r="A740" s="1">
        <v>45936</v>
      </c>
      <c r="B740" t="s">
        <v>48</v>
      </c>
      <c r="C740">
        <v>649163</v>
      </c>
      <c r="D740">
        <v>2030334039</v>
      </c>
      <c r="E740" t="s">
        <v>1079</v>
      </c>
      <c r="F740" t="s">
        <v>118</v>
      </c>
      <c r="G740" t="s">
        <v>51</v>
      </c>
      <c r="H740" t="s">
        <v>724</v>
      </c>
      <c r="I740" t="s">
        <v>292</v>
      </c>
      <c r="J740" t="s">
        <v>295</v>
      </c>
      <c r="K740">
        <v>651818</v>
      </c>
      <c r="L740" t="s">
        <v>112</v>
      </c>
      <c r="M740" t="s">
        <v>104</v>
      </c>
      <c r="N740" t="s">
        <v>57</v>
      </c>
      <c r="O740" s="1">
        <v>45906</v>
      </c>
      <c r="Q740" s="1">
        <v>45967</v>
      </c>
      <c r="R740" s="2">
        <v>47.08</v>
      </c>
      <c r="S740">
        <v>1</v>
      </c>
      <c r="T740" t="s">
        <v>58</v>
      </c>
      <c r="U740" t="s">
        <v>359</v>
      </c>
      <c r="V740" s="3">
        <v>0.9</v>
      </c>
      <c r="W740" s="2">
        <v>0</v>
      </c>
      <c r="X740">
        <v>0</v>
      </c>
      <c r="Y740" t="s">
        <v>60</v>
      </c>
      <c r="Z740" t="s">
        <v>360</v>
      </c>
      <c r="AA740">
        <v>0</v>
      </c>
      <c r="AB740" s="2">
        <v>0</v>
      </c>
      <c r="AC740" s="2">
        <v>0</v>
      </c>
      <c r="AD740" s="3">
        <v>0</v>
      </c>
      <c r="AE740" s="2">
        <v>0</v>
      </c>
      <c r="AF740" s="2">
        <v>0</v>
      </c>
      <c r="AG740" s="2">
        <v>0</v>
      </c>
      <c r="AH740" s="2">
        <v>0</v>
      </c>
      <c r="AI740" s="2">
        <v>0</v>
      </c>
      <c r="AJ740" s="2">
        <v>0</v>
      </c>
      <c r="AK740" s="2">
        <v>0</v>
      </c>
      <c r="AL740" s="2">
        <v>42.37</v>
      </c>
      <c r="AM740" s="2">
        <v>0</v>
      </c>
      <c r="AN740" s="2">
        <v>0</v>
      </c>
      <c r="AO740" s="2">
        <v>0</v>
      </c>
      <c r="AP740" s="2">
        <v>0</v>
      </c>
      <c r="AQ740" s="2">
        <v>0</v>
      </c>
    </row>
    <row r="741" spans="1:43" x14ac:dyDescent="0.25">
      <c r="A741" s="1">
        <v>45936</v>
      </c>
      <c r="B741" t="s">
        <v>48</v>
      </c>
      <c r="C741">
        <v>649163</v>
      </c>
      <c r="D741">
        <v>2030334040</v>
      </c>
      <c r="E741" t="s">
        <v>1079</v>
      </c>
      <c r="F741" t="s">
        <v>118</v>
      </c>
      <c r="G741" t="s">
        <v>51</v>
      </c>
      <c r="H741" t="s">
        <v>724</v>
      </c>
      <c r="I741" t="s">
        <v>292</v>
      </c>
      <c r="J741" t="s">
        <v>293</v>
      </c>
      <c r="K741">
        <v>651818</v>
      </c>
      <c r="L741" t="s">
        <v>112</v>
      </c>
      <c r="M741" t="s">
        <v>104</v>
      </c>
      <c r="N741" t="s">
        <v>57</v>
      </c>
      <c r="O741" s="1">
        <v>45906</v>
      </c>
      <c r="Q741" s="1">
        <v>45967</v>
      </c>
      <c r="R741" s="2">
        <v>47.89</v>
      </c>
      <c r="S741">
        <v>1</v>
      </c>
      <c r="T741" t="s">
        <v>58</v>
      </c>
      <c r="U741" t="s">
        <v>359</v>
      </c>
      <c r="V741" s="3">
        <v>0.7</v>
      </c>
      <c r="W741" s="2">
        <v>0</v>
      </c>
      <c r="X741">
        <v>0</v>
      </c>
      <c r="Y741" t="s">
        <v>60</v>
      </c>
      <c r="Z741" t="s">
        <v>360</v>
      </c>
      <c r="AA741">
        <v>0</v>
      </c>
      <c r="AB741" s="2">
        <v>0</v>
      </c>
      <c r="AC741" s="2">
        <v>0</v>
      </c>
      <c r="AD741" s="3">
        <v>0</v>
      </c>
      <c r="AE741" s="2">
        <v>0</v>
      </c>
      <c r="AF741" s="2">
        <v>0</v>
      </c>
      <c r="AG741" s="2">
        <v>0</v>
      </c>
      <c r="AH741" s="2">
        <v>0</v>
      </c>
      <c r="AI741" s="2">
        <v>0</v>
      </c>
      <c r="AJ741" s="2">
        <v>0</v>
      </c>
      <c r="AK741" s="2">
        <v>0</v>
      </c>
      <c r="AL741" s="2">
        <v>33.520000000000003</v>
      </c>
      <c r="AM741" s="2">
        <v>0</v>
      </c>
      <c r="AN741" s="2">
        <v>0</v>
      </c>
      <c r="AO741" s="2">
        <v>0</v>
      </c>
      <c r="AP741" s="2">
        <v>0</v>
      </c>
      <c r="AQ741" s="2">
        <v>0</v>
      </c>
    </row>
    <row r="742" spans="1:43" x14ac:dyDescent="0.25">
      <c r="A742" s="1">
        <v>45936</v>
      </c>
      <c r="B742" t="s">
        <v>48</v>
      </c>
      <c r="C742">
        <v>649163</v>
      </c>
      <c r="D742">
        <v>2030336752</v>
      </c>
      <c r="E742" t="s">
        <v>918</v>
      </c>
      <c r="F742" t="s">
        <v>919</v>
      </c>
      <c r="G742" t="s">
        <v>51</v>
      </c>
      <c r="H742" t="s">
        <v>129</v>
      </c>
      <c r="I742" t="s">
        <v>292</v>
      </c>
      <c r="J742" t="s">
        <v>293</v>
      </c>
      <c r="K742">
        <v>651818</v>
      </c>
      <c r="L742" t="s">
        <v>112</v>
      </c>
      <c r="M742" t="s">
        <v>104</v>
      </c>
      <c r="N742" t="s">
        <v>57</v>
      </c>
      <c r="O742" s="1">
        <v>45906</v>
      </c>
      <c r="Q742" s="1">
        <v>45967</v>
      </c>
      <c r="R742" s="2">
        <v>31.88</v>
      </c>
      <c r="S742">
        <v>1</v>
      </c>
      <c r="T742" t="s">
        <v>58</v>
      </c>
      <c r="U742" t="s">
        <v>359</v>
      </c>
      <c r="V742" s="3">
        <v>0.7</v>
      </c>
      <c r="W742" s="2">
        <v>0</v>
      </c>
      <c r="X742">
        <v>0</v>
      </c>
      <c r="Y742" t="s">
        <v>60</v>
      </c>
      <c r="Z742" t="s">
        <v>360</v>
      </c>
      <c r="AA742">
        <v>0</v>
      </c>
      <c r="AB742" s="2">
        <v>0</v>
      </c>
      <c r="AC742" s="2">
        <v>0</v>
      </c>
      <c r="AD742" s="3">
        <v>0</v>
      </c>
      <c r="AE742" s="2">
        <v>0</v>
      </c>
      <c r="AF742" s="2">
        <v>0</v>
      </c>
      <c r="AG742" s="2">
        <v>0</v>
      </c>
      <c r="AH742" s="2">
        <v>0</v>
      </c>
      <c r="AI742" s="2">
        <v>0</v>
      </c>
      <c r="AJ742" s="2">
        <v>0</v>
      </c>
      <c r="AK742" s="2">
        <v>0</v>
      </c>
      <c r="AL742" s="2">
        <v>22.32</v>
      </c>
      <c r="AM742" s="2">
        <v>0</v>
      </c>
      <c r="AN742" s="2">
        <v>0</v>
      </c>
      <c r="AO742" s="2">
        <v>0</v>
      </c>
      <c r="AP742" s="2">
        <v>0</v>
      </c>
      <c r="AQ742" s="2">
        <v>0</v>
      </c>
    </row>
    <row r="743" spans="1:43" x14ac:dyDescent="0.25">
      <c r="A743" s="1">
        <v>45936</v>
      </c>
      <c r="B743" t="s">
        <v>48</v>
      </c>
      <c r="C743">
        <v>649163</v>
      </c>
      <c r="D743">
        <v>2030339441</v>
      </c>
      <c r="E743" t="s">
        <v>1080</v>
      </c>
      <c r="F743" t="s">
        <v>1081</v>
      </c>
      <c r="G743" t="s">
        <v>51</v>
      </c>
      <c r="H743" t="s">
        <v>101</v>
      </c>
      <c r="I743" t="s">
        <v>292</v>
      </c>
      <c r="J743" t="s">
        <v>293</v>
      </c>
      <c r="K743">
        <v>807212</v>
      </c>
      <c r="L743" t="s">
        <v>340</v>
      </c>
      <c r="M743" t="s">
        <v>341</v>
      </c>
      <c r="N743" t="s">
        <v>57</v>
      </c>
      <c r="O743" s="1">
        <v>45875</v>
      </c>
      <c r="Q743" s="1">
        <v>45967</v>
      </c>
      <c r="R743" s="2">
        <v>49.8</v>
      </c>
      <c r="S743">
        <v>1</v>
      </c>
      <c r="T743" t="s">
        <v>58</v>
      </c>
      <c r="U743" t="s">
        <v>359</v>
      </c>
      <c r="V743" s="3">
        <v>0.7</v>
      </c>
      <c r="W743" s="2">
        <v>0</v>
      </c>
      <c r="X743">
        <v>0</v>
      </c>
      <c r="Y743" t="s">
        <v>60</v>
      </c>
      <c r="Z743" t="s">
        <v>360</v>
      </c>
      <c r="AA743">
        <v>0</v>
      </c>
      <c r="AB743" s="2">
        <v>0</v>
      </c>
      <c r="AC743" s="2">
        <v>0</v>
      </c>
      <c r="AD743" s="3">
        <v>0</v>
      </c>
      <c r="AE743" s="2">
        <v>0</v>
      </c>
      <c r="AF743" s="2">
        <v>0</v>
      </c>
      <c r="AG743" s="2">
        <v>0</v>
      </c>
      <c r="AH743" s="2">
        <v>0</v>
      </c>
      <c r="AI743" s="2">
        <v>0</v>
      </c>
      <c r="AJ743" s="2">
        <v>0</v>
      </c>
      <c r="AK743" s="2">
        <v>0</v>
      </c>
      <c r="AL743" s="2">
        <v>34.86</v>
      </c>
      <c r="AM743" s="2">
        <v>0</v>
      </c>
      <c r="AN743" s="2">
        <v>0</v>
      </c>
      <c r="AO743" s="2">
        <v>0</v>
      </c>
      <c r="AP743" s="2">
        <v>0</v>
      </c>
      <c r="AQ743" s="2">
        <v>0</v>
      </c>
    </row>
    <row r="744" spans="1:43" x14ac:dyDescent="0.25">
      <c r="A744" s="1">
        <v>45936</v>
      </c>
      <c r="B744" t="s">
        <v>48</v>
      </c>
      <c r="C744">
        <v>649163</v>
      </c>
      <c r="D744">
        <v>2030340159</v>
      </c>
      <c r="E744" t="s">
        <v>920</v>
      </c>
      <c r="F744" t="s">
        <v>921</v>
      </c>
      <c r="G744" t="s">
        <v>51</v>
      </c>
      <c r="H744" t="s">
        <v>182</v>
      </c>
      <c r="I744" t="s">
        <v>292</v>
      </c>
      <c r="J744" t="s">
        <v>293</v>
      </c>
      <c r="K744">
        <v>673059</v>
      </c>
      <c r="L744" t="s">
        <v>80</v>
      </c>
      <c r="M744" t="s">
        <v>81</v>
      </c>
      <c r="N744" t="s">
        <v>57</v>
      </c>
      <c r="O744" s="1">
        <v>45901</v>
      </c>
      <c r="Q744" s="1">
        <v>45962</v>
      </c>
      <c r="R744" s="2">
        <v>101.15</v>
      </c>
      <c r="S744">
        <v>1</v>
      </c>
      <c r="T744" t="s">
        <v>58</v>
      </c>
      <c r="U744" t="s">
        <v>359</v>
      </c>
      <c r="V744" s="3">
        <v>0.7</v>
      </c>
      <c r="W744" s="2">
        <v>0</v>
      </c>
      <c r="X744">
        <v>0</v>
      </c>
      <c r="Y744" t="s">
        <v>60</v>
      </c>
      <c r="Z744" t="s">
        <v>360</v>
      </c>
      <c r="AA744">
        <v>0</v>
      </c>
      <c r="AB744" s="2">
        <v>0</v>
      </c>
      <c r="AC744" s="2">
        <v>0</v>
      </c>
      <c r="AD744" s="3">
        <v>0</v>
      </c>
      <c r="AE744" s="2">
        <v>0</v>
      </c>
      <c r="AF744" s="2">
        <v>0</v>
      </c>
      <c r="AG744" s="2">
        <v>0</v>
      </c>
      <c r="AH744" s="2">
        <v>0</v>
      </c>
      <c r="AI744" s="2">
        <v>0</v>
      </c>
      <c r="AJ744" s="2">
        <v>0</v>
      </c>
      <c r="AK744" s="2">
        <v>0</v>
      </c>
      <c r="AL744" s="2">
        <v>70.8</v>
      </c>
      <c r="AM744" s="2">
        <v>0</v>
      </c>
      <c r="AN744" s="2">
        <v>0</v>
      </c>
      <c r="AO744" s="2">
        <v>0</v>
      </c>
      <c r="AP744" s="2">
        <v>0</v>
      </c>
      <c r="AQ744" s="2">
        <v>0</v>
      </c>
    </row>
    <row r="745" spans="1:43" x14ac:dyDescent="0.25">
      <c r="A745" s="1">
        <v>45936</v>
      </c>
      <c r="B745" t="s">
        <v>48</v>
      </c>
      <c r="C745">
        <v>649163</v>
      </c>
      <c r="D745">
        <v>2030345986</v>
      </c>
      <c r="E745" t="s">
        <v>94</v>
      </c>
      <c r="F745" t="s">
        <v>922</v>
      </c>
      <c r="G745" t="s">
        <v>51</v>
      </c>
      <c r="H745" t="s">
        <v>105</v>
      </c>
      <c r="I745" t="s">
        <v>292</v>
      </c>
      <c r="J745" t="s">
        <v>536</v>
      </c>
      <c r="K745">
        <v>823068</v>
      </c>
      <c r="L745" t="s">
        <v>106</v>
      </c>
      <c r="M745" t="s">
        <v>107</v>
      </c>
      <c r="N745" t="s">
        <v>57</v>
      </c>
      <c r="O745" s="1">
        <v>45876</v>
      </c>
      <c r="Q745" s="1">
        <v>45968</v>
      </c>
      <c r="R745" s="2">
        <v>24.61</v>
      </c>
      <c r="S745">
        <v>1</v>
      </c>
      <c r="T745" t="s">
        <v>58</v>
      </c>
      <c r="U745" t="s">
        <v>359</v>
      </c>
      <c r="V745" s="3">
        <v>0.7</v>
      </c>
      <c r="W745" s="2">
        <v>0</v>
      </c>
      <c r="X745">
        <v>0</v>
      </c>
      <c r="Y745" t="s">
        <v>60</v>
      </c>
      <c r="Z745" t="s">
        <v>360</v>
      </c>
      <c r="AA745">
        <v>0</v>
      </c>
      <c r="AB745" s="2">
        <v>0</v>
      </c>
      <c r="AC745" s="2">
        <v>0</v>
      </c>
      <c r="AD745" s="3">
        <v>0</v>
      </c>
      <c r="AE745" s="2">
        <v>0</v>
      </c>
      <c r="AF745" s="2">
        <v>0</v>
      </c>
      <c r="AG745" s="2">
        <v>0</v>
      </c>
      <c r="AH745" s="2">
        <v>0</v>
      </c>
      <c r="AI745" s="2">
        <v>0</v>
      </c>
      <c r="AJ745" s="2">
        <v>0</v>
      </c>
      <c r="AK745" s="2">
        <v>0</v>
      </c>
      <c r="AL745" s="2">
        <v>17.23</v>
      </c>
      <c r="AM745" s="2">
        <v>0</v>
      </c>
      <c r="AN745" s="2">
        <v>0</v>
      </c>
      <c r="AO745" s="2">
        <v>0</v>
      </c>
      <c r="AP745" s="2">
        <v>0</v>
      </c>
      <c r="AQ745" s="2">
        <v>0</v>
      </c>
    </row>
    <row r="746" spans="1:43" x14ac:dyDescent="0.25">
      <c r="A746" s="1">
        <v>45936</v>
      </c>
      <c r="B746" t="s">
        <v>48</v>
      </c>
      <c r="C746">
        <v>649163</v>
      </c>
      <c r="D746">
        <v>2030359699</v>
      </c>
      <c r="E746" t="s">
        <v>1082</v>
      </c>
      <c r="F746" t="s">
        <v>1083</v>
      </c>
      <c r="G746" t="s">
        <v>51</v>
      </c>
      <c r="H746" t="s">
        <v>101</v>
      </c>
      <c r="I746" t="s">
        <v>292</v>
      </c>
      <c r="J746" t="s">
        <v>293</v>
      </c>
      <c r="K746">
        <v>807212</v>
      </c>
      <c r="L746" t="s">
        <v>340</v>
      </c>
      <c r="M746" t="s">
        <v>341</v>
      </c>
      <c r="N746" t="s">
        <v>57</v>
      </c>
      <c r="O746" s="1">
        <v>45876</v>
      </c>
      <c r="Q746" s="1">
        <v>45968</v>
      </c>
      <c r="R746" s="2">
        <v>58.24</v>
      </c>
      <c r="S746">
        <v>1</v>
      </c>
      <c r="T746" t="s">
        <v>58</v>
      </c>
      <c r="U746" t="s">
        <v>359</v>
      </c>
      <c r="V746" s="3">
        <v>0.7</v>
      </c>
      <c r="W746" s="2">
        <v>0</v>
      </c>
      <c r="X746">
        <v>0</v>
      </c>
      <c r="Y746" t="s">
        <v>60</v>
      </c>
      <c r="Z746" t="s">
        <v>360</v>
      </c>
      <c r="AA746">
        <v>0</v>
      </c>
      <c r="AB746" s="2">
        <v>0</v>
      </c>
      <c r="AC746" s="2">
        <v>0</v>
      </c>
      <c r="AD746" s="3">
        <v>0</v>
      </c>
      <c r="AE746" s="2">
        <v>0</v>
      </c>
      <c r="AF746" s="2">
        <v>0</v>
      </c>
      <c r="AG746" s="2">
        <v>0</v>
      </c>
      <c r="AH746" s="2">
        <v>0</v>
      </c>
      <c r="AI746" s="2">
        <v>0</v>
      </c>
      <c r="AJ746" s="2">
        <v>0</v>
      </c>
      <c r="AK746" s="2">
        <v>0</v>
      </c>
      <c r="AL746" s="2">
        <v>40.770000000000003</v>
      </c>
      <c r="AM746" s="2">
        <v>0</v>
      </c>
      <c r="AN746" s="2">
        <v>0</v>
      </c>
      <c r="AO746" s="2">
        <v>0</v>
      </c>
      <c r="AP746" s="2">
        <v>0</v>
      </c>
      <c r="AQ746" s="2">
        <v>0</v>
      </c>
    </row>
    <row r="747" spans="1:43" x14ac:dyDescent="0.25">
      <c r="A747" s="1">
        <v>45936</v>
      </c>
      <c r="B747" t="s">
        <v>48</v>
      </c>
      <c r="C747">
        <v>649163</v>
      </c>
      <c r="D747">
        <v>2030366106</v>
      </c>
      <c r="E747" t="s">
        <v>377</v>
      </c>
      <c r="F747" t="s">
        <v>923</v>
      </c>
      <c r="G747" t="s">
        <v>51</v>
      </c>
      <c r="H747" t="s">
        <v>52</v>
      </c>
      <c r="I747" t="s">
        <v>292</v>
      </c>
      <c r="J747" t="s">
        <v>293</v>
      </c>
      <c r="K747">
        <v>651818</v>
      </c>
      <c r="L747" t="s">
        <v>112</v>
      </c>
      <c r="M747" t="s">
        <v>104</v>
      </c>
      <c r="N747" t="s">
        <v>57</v>
      </c>
      <c r="O747" s="1">
        <v>45878</v>
      </c>
      <c r="Q747" s="1">
        <v>45970</v>
      </c>
      <c r="R747" s="2">
        <v>28.38</v>
      </c>
      <c r="S747">
        <v>1</v>
      </c>
      <c r="T747" t="s">
        <v>58</v>
      </c>
      <c r="U747" t="s">
        <v>359</v>
      </c>
      <c r="V747" s="3">
        <v>0.7</v>
      </c>
      <c r="W747" s="2">
        <v>0</v>
      </c>
      <c r="X747">
        <v>0</v>
      </c>
      <c r="Y747" t="s">
        <v>60</v>
      </c>
      <c r="Z747" t="s">
        <v>360</v>
      </c>
      <c r="AA747">
        <v>0</v>
      </c>
      <c r="AB747" s="2">
        <v>0</v>
      </c>
      <c r="AC747" s="2">
        <v>0</v>
      </c>
      <c r="AD747" s="3">
        <v>0</v>
      </c>
      <c r="AE747" s="2">
        <v>0</v>
      </c>
      <c r="AF747" s="2">
        <v>0</v>
      </c>
      <c r="AG747" s="2">
        <v>0</v>
      </c>
      <c r="AH747" s="2">
        <v>0</v>
      </c>
      <c r="AI747" s="2">
        <v>0</v>
      </c>
      <c r="AJ747" s="2">
        <v>0</v>
      </c>
      <c r="AK747" s="2">
        <v>0</v>
      </c>
      <c r="AL747" s="2">
        <v>19.87</v>
      </c>
      <c r="AM747" s="2">
        <v>0</v>
      </c>
      <c r="AN747" s="2">
        <v>0</v>
      </c>
      <c r="AO747" s="2">
        <v>0</v>
      </c>
      <c r="AP747" s="2">
        <v>0</v>
      </c>
      <c r="AQ747" s="2">
        <v>0</v>
      </c>
    </row>
    <row r="748" spans="1:43" x14ac:dyDescent="0.25">
      <c r="A748" s="1">
        <v>45936</v>
      </c>
      <c r="B748" t="s">
        <v>48</v>
      </c>
      <c r="C748">
        <v>649163</v>
      </c>
      <c r="D748">
        <v>2030367108</v>
      </c>
      <c r="E748" t="s">
        <v>608</v>
      </c>
      <c r="F748" t="s">
        <v>1084</v>
      </c>
      <c r="G748" t="s">
        <v>51</v>
      </c>
      <c r="H748" t="s">
        <v>382</v>
      </c>
      <c r="I748" t="s">
        <v>292</v>
      </c>
      <c r="J748" t="s">
        <v>293</v>
      </c>
      <c r="K748">
        <v>650218</v>
      </c>
      <c r="L748" t="s">
        <v>237</v>
      </c>
      <c r="M748" t="s">
        <v>238</v>
      </c>
      <c r="N748" t="s">
        <v>57</v>
      </c>
      <c r="O748" s="1">
        <v>45877</v>
      </c>
      <c r="Q748" s="1">
        <v>45969</v>
      </c>
      <c r="R748" s="2">
        <v>10.82</v>
      </c>
      <c r="S748">
        <v>1</v>
      </c>
      <c r="T748" t="s">
        <v>58</v>
      </c>
      <c r="U748" t="s">
        <v>359</v>
      </c>
      <c r="V748" s="3">
        <v>0.7</v>
      </c>
      <c r="W748" s="2">
        <v>0</v>
      </c>
      <c r="X748">
        <v>0</v>
      </c>
      <c r="Y748" t="s">
        <v>60</v>
      </c>
      <c r="Z748" t="s">
        <v>360</v>
      </c>
      <c r="AA748">
        <v>0</v>
      </c>
      <c r="AB748" s="2">
        <v>0</v>
      </c>
      <c r="AC748" s="2">
        <v>0</v>
      </c>
      <c r="AD748" s="3">
        <v>0</v>
      </c>
      <c r="AE748" s="2">
        <v>0</v>
      </c>
      <c r="AF748" s="2">
        <v>0</v>
      </c>
      <c r="AG748" s="2">
        <v>0</v>
      </c>
      <c r="AH748" s="2">
        <v>0</v>
      </c>
      <c r="AI748" s="2">
        <v>0</v>
      </c>
      <c r="AJ748" s="2">
        <v>0</v>
      </c>
      <c r="AK748" s="2">
        <v>0</v>
      </c>
      <c r="AL748" s="2">
        <v>7.57</v>
      </c>
      <c r="AM748" s="2">
        <v>0</v>
      </c>
      <c r="AN748" s="2">
        <v>0</v>
      </c>
      <c r="AO748" s="2">
        <v>0</v>
      </c>
      <c r="AP748" s="2">
        <v>0</v>
      </c>
      <c r="AQ748" s="2">
        <v>0</v>
      </c>
    </row>
    <row r="749" spans="1:43" x14ac:dyDescent="0.25">
      <c r="A749" s="1">
        <v>45936</v>
      </c>
      <c r="B749" t="s">
        <v>48</v>
      </c>
      <c r="C749">
        <v>649163</v>
      </c>
      <c r="D749">
        <v>2030376028</v>
      </c>
      <c r="E749" t="s">
        <v>1085</v>
      </c>
      <c r="F749" t="s">
        <v>1086</v>
      </c>
      <c r="G749" t="s">
        <v>51</v>
      </c>
      <c r="H749" t="s">
        <v>203</v>
      </c>
      <c r="I749" t="s">
        <v>292</v>
      </c>
      <c r="J749" t="s">
        <v>295</v>
      </c>
      <c r="K749">
        <v>816021</v>
      </c>
      <c r="L749" t="s">
        <v>265</v>
      </c>
      <c r="M749" t="s">
        <v>266</v>
      </c>
      <c r="N749" t="s">
        <v>57</v>
      </c>
      <c r="O749" s="1">
        <v>45877</v>
      </c>
      <c r="Q749" s="1">
        <v>45969</v>
      </c>
      <c r="R749" s="2">
        <v>73</v>
      </c>
      <c r="S749">
        <v>1</v>
      </c>
      <c r="T749" t="s">
        <v>58</v>
      </c>
      <c r="U749" t="s">
        <v>359</v>
      </c>
      <c r="V749" s="3">
        <v>0.9</v>
      </c>
      <c r="W749" s="2">
        <v>0</v>
      </c>
      <c r="X749">
        <v>0</v>
      </c>
      <c r="Y749" t="s">
        <v>60</v>
      </c>
      <c r="Z749" t="s">
        <v>360</v>
      </c>
      <c r="AA749">
        <v>0</v>
      </c>
      <c r="AB749" s="2">
        <v>0</v>
      </c>
      <c r="AC749" s="2">
        <v>0</v>
      </c>
      <c r="AD749" s="3">
        <v>0</v>
      </c>
      <c r="AE749" s="2">
        <v>0</v>
      </c>
      <c r="AF749" s="2">
        <v>0</v>
      </c>
      <c r="AG749" s="2">
        <v>0</v>
      </c>
      <c r="AH749" s="2">
        <v>0</v>
      </c>
      <c r="AI749" s="2">
        <v>0</v>
      </c>
      <c r="AJ749" s="2">
        <v>0</v>
      </c>
      <c r="AK749" s="2">
        <v>0</v>
      </c>
      <c r="AL749" s="2">
        <v>65.7</v>
      </c>
      <c r="AM749" s="2">
        <v>0</v>
      </c>
      <c r="AN749" s="2">
        <v>0</v>
      </c>
      <c r="AO749" s="2">
        <v>0</v>
      </c>
      <c r="AP749" s="2">
        <v>0</v>
      </c>
      <c r="AQ749" s="2">
        <v>0</v>
      </c>
    </row>
    <row r="750" spans="1:43" x14ac:dyDescent="0.25">
      <c r="A750" s="1">
        <v>45936</v>
      </c>
      <c r="B750" t="s">
        <v>48</v>
      </c>
      <c r="C750">
        <v>649163</v>
      </c>
      <c r="D750">
        <v>2030395015</v>
      </c>
      <c r="E750" t="s">
        <v>445</v>
      </c>
      <c r="F750" t="s">
        <v>446</v>
      </c>
      <c r="G750" t="s">
        <v>51</v>
      </c>
      <c r="H750" t="s">
        <v>203</v>
      </c>
      <c r="I750" t="s">
        <v>292</v>
      </c>
      <c r="J750" t="s">
        <v>293</v>
      </c>
      <c r="K750">
        <v>796984</v>
      </c>
      <c r="L750" t="s">
        <v>204</v>
      </c>
      <c r="M750" t="s">
        <v>205</v>
      </c>
      <c r="N750" t="s">
        <v>57</v>
      </c>
      <c r="O750" s="1">
        <v>45878</v>
      </c>
      <c r="Q750" s="1">
        <v>45970</v>
      </c>
      <c r="R750" s="2">
        <v>9.1</v>
      </c>
      <c r="S750">
        <v>1</v>
      </c>
      <c r="T750" t="s">
        <v>58</v>
      </c>
      <c r="U750" t="s">
        <v>359</v>
      </c>
      <c r="V750" s="3">
        <v>0.7</v>
      </c>
      <c r="W750" s="2">
        <v>0</v>
      </c>
      <c r="X750">
        <v>0</v>
      </c>
      <c r="Y750" t="s">
        <v>60</v>
      </c>
      <c r="Z750" t="s">
        <v>360</v>
      </c>
      <c r="AA750">
        <v>0</v>
      </c>
      <c r="AB750" s="2">
        <v>0</v>
      </c>
      <c r="AC750" s="2">
        <v>0</v>
      </c>
      <c r="AD750" s="3">
        <v>0</v>
      </c>
      <c r="AE750" s="2">
        <v>0</v>
      </c>
      <c r="AF750" s="2">
        <v>0</v>
      </c>
      <c r="AG750" s="2">
        <v>0</v>
      </c>
      <c r="AH750" s="2">
        <v>0</v>
      </c>
      <c r="AI750" s="2">
        <v>0</v>
      </c>
      <c r="AJ750" s="2">
        <v>0</v>
      </c>
      <c r="AK750" s="2">
        <v>0</v>
      </c>
      <c r="AL750" s="2">
        <v>6.37</v>
      </c>
      <c r="AM750" s="2">
        <v>0</v>
      </c>
      <c r="AN750" s="2">
        <v>0</v>
      </c>
      <c r="AO750" s="2">
        <v>0</v>
      </c>
      <c r="AP750" s="2">
        <v>0</v>
      </c>
      <c r="AQ750" s="2">
        <v>0</v>
      </c>
    </row>
    <row r="751" spans="1:43" x14ac:dyDescent="0.25">
      <c r="A751" s="1">
        <v>45936</v>
      </c>
      <c r="B751" t="s">
        <v>48</v>
      </c>
      <c r="C751">
        <v>649163</v>
      </c>
      <c r="D751">
        <v>2030399995</v>
      </c>
      <c r="E751" t="s">
        <v>447</v>
      </c>
      <c r="F751" t="s">
        <v>139</v>
      </c>
      <c r="G751" t="s">
        <v>51</v>
      </c>
      <c r="H751" t="s">
        <v>101</v>
      </c>
      <c r="I751" t="s">
        <v>292</v>
      </c>
      <c r="J751" t="s">
        <v>293</v>
      </c>
      <c r="K751">
        <v>824062</v>
      </c>
      <c r="L751" t="s">
        <v>273</v>
      </c>
      <c r="M751" t="s">
        <v>274</v>
      </c>
      <c r="N751" t="s">
        <v>57</v>
      </c>
      <c r="O751" s="1">
        <v>45878</v>
      </c>
      <c r="Q751" s="1">
        <v>45970</v>
      </c>
      <c r="R751" s="2">
        <v>99.19</v>
      </c>
      <c r="S751">
        <v>1</v>
      </c>
      <c r="T751" t="s">
        <v>58</v>
      </c>
      <c r="U751" t="s">
        <v>359</v>
      </c>
      <c r="V751" s="3">
        <v>0.7</v>
      </c>
      <c r="W751" s="2">
        <v>0</v>
      </c>
      <c r="X751">
        <v>0</v>
      </c>
      <c r="Y751" t="s">
        <v>60</v>
      </c>
      <c r="Z751" t="s">
        <v>360</v>
      </c>
      <c r="AA751">
        <v>0</v>
      </c>
      <c r="AB751" s="2">
        <v>0</v>
      </c>
      <c r="AC751" s="2">
        <v>0</v>
      </c>
      <c r="AD751" s="3">
        <v>0</v>
      </c>
      <c r="AE751" s="2">
        <v>0</v>
      </c>
      <c r="AF751" s="2">
        <v>0</v>
      </c>
      <c r="AG751" s="2">
        <v>0</v>
      </c>
      <c r="AH751" s="2">
        <v>0</v>
      </c>
      <c r="AI751" s="2">
        <v>0</v>
      </c>
      <c r="AJ751" s="2">
        <v>0</v>
      </c>
      <c r="AK751" s="2">
        <v>0</v>
      </c>
      <c r="AL751" s="2">
        <v>69.430000000000007</v>
      </c>
      <c r="AM751" s="2">
        <v>0</v>
      </c>
      <c r="AN751" s="2">
        <v>0</v>
      </c>
      <c r="AO751" s="2">
        <v>0</v>
      </c>
      <c r="AP751" s="2">
        <v>0</v>
      </c>
      <c r="AQ751" s="2">
        <v>0</v>
      </c>
    </row>
    <row r="752" spans="1:43" x14ac:dyDescent="0.25">
      <c r="A752" s="1">
        <v>45936</v>
      </c>
      <c r="B752" t="s">
        <v>48</v>
      </c>
      <c r="C752">
        <v>649163</v>
      </c>
      <c r="D752">
        <v>2030399996</v>
      </c>
      <c r="E752" t="s">
        <v>447</v>
      </c>
      <c r="F752" t="s">
        <v>139</v>
      </c>
      <c r="G752" t="s">
        <v>51</v>
      </c>
      <c r="H752" t="s">
        <v>101</v>
      </c>
      <c r="I752" t="s">
        <v>292</v>
      </c>
      <c r="J752" t="s">
        <v>295</v>
      </c>
      <c r="K752">
        <v>824062</v>
      </c>
      <c r="L752" t="s">
        <v>273</v>
      </c>
      <c r="M752" t="s">
        <v>274</v>
      </c>
      <c r="N752" t="s">
        <v>57</v>
      </c>
      <c r="O752" s="1">
        <v>45878</v>
      </c>
      <c r="Q752" s="1">
        <v>45970</v>
      </c>
      <c r="R752" s="2">
        <v>258.5</v>
      </c>
      <c r="S752">
        <v>1</v>
      </c>
      <c r="T752" t="s">
        <v>58</v>
      </c>
      <c r="U752" t="s">
        <v>359</v>
      </c>
      <c r="V752" s="3">
        <v>0.9</v>
      </c>
      <c r="W752" s="2">
        <v>0</v>
      </c>
      <c r="X752">
        <v>0</v>
      </c>
      <c r="Y752" t="s">
        <v>60</v>
      </c>
      <c r="Z752" t="s">
        <v>360</v>
      </c>
      <c r="AA752">
        <v>0</v>
      </c>
      <c r="AB752" s="2">
        <v>0</v>
      </c>
      <c r="AC752" s="2">
        <v>0</v>
      </c>
      <c r="AD752" s="3">
        <v>0</v>
      </c>
      <c r="AE752" s="2">
        <v>0</v>
      </c>
      <c r="AF752" s="2">
        <v>0</v>
      </c>
      <c r="AG752" s="2">
        <v>0</v>
      </c>
      <c r="AH752" s="2">
        <v>0</v>
      </c>
      <c r="AI752" s="2">
        <v>0</v>
      </c>
      <c r="AJ752" s="2">
        <v>0</v>
      </c>
      <c r="AK752" s="2">
        <v>0</v>
      </c>
      <c r="AL752" s="2">
        <v>232.65</v>
      </c>
      <c r="AM752" s="2">
        <v>0</v>
      </c>
      <c r="AN752" s="2">
        <v>0</v>
      </c>
      <c r="AO752" s="2">
        <v>0</v>
      </c>
      <c r="AP752" s="2">
        <v>0</v>
      </c>
      <c r="AQ752" s="2">
        <v>0</v>
      </c>
    </row>
    <row r="753" spans="1:43" x14ac:dyDescent="0.25">
      <c r="A753" s="1">
        <v>45936</v>
      </c>
      <c r="B753" t="s">
        <v>48</v>
      </c>
      <c r="C753">
        <v>649163</v>
      </c>
      <c r="D753">
        <v>2030404321</v>
      </c>
      <c r="E753" t="s">
        <v>1087</v>
      </c>
      <c r="F753" t="s">
        <v>1088</v>
      </c>
      <c r="G753" t="s">
        <v>51</v>
      </c>
      <c r="H753" t="s">
        <v>670</v>
      </c>
      <c r="I753" t="s">
        <v>292</v>
      </c>
      <c r="J753" t="s">
        <v>293</v>
      </c>
      <c r="K753">
        <v>822865</v>
      </c>
      <c r="L753" t="s">
        <v>146</v>
      </c>
      <c r="M753" t="s">
        <v>147</v>
      </c>
      <c r="N753" t="s">
        <v>57</v>
      </c>
      <c r="O753" s="1">
        <v>45878</v>
      </c>
      <c r="Q753" s="1">
        <v>45970</v>
      </c>
      <c r="R753" s="2">
        <v>11.5</v>
      </c>
      <c r="S753">
        <v>1</v>
      </c>
      <c r="T753" t="s">
        <v>58</v>
      </c>
      <c r="U753" t="s">
        <v>359</v>
      </c>
      <c r="V753" s="3">
        <v>0.7</v>
      </c>
      <c r="W753" s="2">
        <v>0</v>
      </c>
      <c r="X753">
        <v>0</v>
      </c>
      <c r="Y753" t="s">
        <v>60</v>
      </c>
      <c r="Z753" t="s">
        <v>360</v>
      </c>
      <c r="AA753">
        <v>0</v>
      </c>
      <c r="AB753" s="2">
        <v>0</v>
      </c>
      <c r="AC753" s="2">
        <v>0</v>
      </c>
      <c r="AD753" s="3">
        <v>0</v>
      </c>
      <c r="AE753" s="2">
        <v>0</v>
      </c>
      <c r="AF753" s="2">
        <v>0</v>
      </c>
      <c r="AG753" s="2">
        <v>0</v>
      </c>
      <c r="AH753" s="2">
        <v>0</v>
      </c>
      <c r="AI753" s="2">
        <v>0</v>
      </c>
      <c r="AJ753" s="2">
        <v>0</v>
      </c>
      <c r="AK753" s="2">
        <v>0</v>
      </c>
      <c r="AL753" s="2">
        <v>8.0500000000000007</v>
      </c>
      <c r="AM753" s="2">
        <v>0</v>
      </c>
      <c r="AN753" s="2">
        <v>0</v>
      </c>
      <c r="AO753" s="2">
        <v>0</v>
      </c>
      <c r="AP753" s="2">
        <v>0</v>
      </c>
      <c r="AQ753" s="2">
        <v>0</v>
      </c>
    </row>
    <row r="754" spans="1:43" x14ac:dyDescent="0.25">
      <c r="A754" s="1">
        <v>45936</v>
      </c>
      <c r="B754" t="s">
        <v>48</v>
      </c>
      <c r="C754">
        <v>649163</v>
      </c>
      <c r="D754">
        <v>2030405975</v>
      </c>
      <c r="E754" t="s">
        <v>839</v>
      </c>
      <c r="F754" t="s">
        <v>1089</v>
      </c>
      <c r="G754" t="s">
        <v>51</v>
      </c>
      <c r="H754" t="s">
        <v>182</v>
      </c>
      <c r="I754" t="s">
        <v>292</v>
      </c>
      <c r="J754" t="s">
        <v>293</v>
      </c>
      <c r="K754">
        <v>856824</v>
      </c>
      <c r="L754" t="s">
        <v>298</v>
      </c>
      <c r="M754" t="s">
        <v>299</v>
      </c>
      <c r="N754" t="s">
        <v>57</v>
      </c>
      <c r="O754" s="1">
        <v>45901</v>
      </c>
      <c r="Q754" s="1">
        <v>45962</v>
      </c>
      <c r="R754" s="2">
        <v>85.98</v>
      </c>
      <c r="S754">
        <v>1</v>
      </c>
      <c r="T754" t="s">
        <v>58</v>
      </c>
      <c r="U754" t="s">
        <v>359</v>
      </c>
      <c r="V754" s="3">
        <v>0.7</v>
      </c>
      <c r="W754" s="2">
        <v>0</v>
      </c>
      <c r="X754">
        <v>0</v>
      </c>
      <c r="Y754" t="s">
        <v>60</v>
      </c>
      <c r="Z754" t="s">
        <v>360</v>
      </c>
      <c r="AA754">
        <v>0</v>
      </c>
      <c r="AB754" s="2">
        <v>0</v>
      </c>
      <c r="AC754" s="2">
        <v>0</v>
      </c>
      <c r="AD754" s="3">
        <v>0</v>
      </c>
      <c r="AE754" s="2">
        <v>0</v>
      </c>
      <c r="AF754" s="2">
        <v>0</v>
      </c>
      <c r="AG754" s="2">
        <v>0</v>
      </c>
      <c r="AH754" s="2">
        <v>0</v>
      </c>
      <c r="AI754" s="2">
        <v>0</v>
      </c>
      <c r="AJ754" s="2">
        <v>0</v>
      </c>
      <c r="AK754" s="2">
        <v>0</v>
      </c>
      <c r="AL754" s="2">
        <v>60.19</v>
      </c>
      <c r="AM754" s="2">
        <v>0</v>
      </c>
      <c r="AN754" s="2">
        <v>0</v>
      </c>
      <c r="AO754" s="2">
        <v>0</v>
      </c>
      <c r="AP754" s="2">
        <v>0</v>
      </c>
      <c r="AQ754" s="2">
        <v>0</v>
      </c>
    </row>
    <row r="755" spans="1:43" x14ac:dyDescent="0.25">
      <c r="A755" s="1">
        <v>45936</v>
      </c>
      <c r="B755" t="s">
        <v>48</v>
      </c>
      <c r="C755">
        <v>649163</v>
      </c>
      <c r="D755">
        <v>2030406800</v>
      </c>
      <c r="E755" t="s">
        <v>926</v>
      </c>
      <c r="F755" t="s">
        <v>927</v>
      </c>
      <c r="G755" t="s">
        <v>51</v>
      </c>
      <c r="H755" t="s">
        <v>203</v>
      </c>
      <c r="I755" t="s">
        <v>292</v>
      </c>
      <c r="J755" t="s">
        <v>293</v>
      </c>
      <c r="K755">
        <v>796984</v>
      </c>
      <c r="L755" t="s">
        <v>204</v>
      </c>
      <c r="M755" t="s">
        <v>205</v>
      </c>
      <c r="N755" t="s">
        <v>57</v>
      </c>
      <c r="O755" s="1">
        <v>45878</v>
      </c>
      <c r="Q755" s="1">
        <v>45970</v>
      </c>
      <c r="R755" s="2">
        <v>9.1</v>
      </c>
      <c r="S755">
        <v>1</v>
      </c>
      <c r="T755" t="s">
        <v>58</v>
      </c>
      <c r="U755" t="s">
        <v>359</v>
      </c>
      <c r="V755" s="3">
        <v>0.7</v>
      </c>
      <c r="W755" s="2">
        <v>0</v>
      </c>
      <c r="X755">
        <v>0</v>
      </c>
      <c r="Y755" t="s">
        <v>60</v>
      </c>
      <c r="Z755" t="s">
        <v>360</v>
      </c>
      <c r="AA755">
        <v>0</v>
      </c>
      <c r="AB755" s="2">
        <v>0</v>
      </c>
      <c r="AC755" s="2">
        <v>0</v>
      </c>
      <c r="AD755" s="3">
        <v>0</v>
      </c>
      <c r="AE755" s="2">
        <v>0</v>
      </c>
      <c r="AF755" s="2">
        <v>0</v>
      </c>
      <c r="AG755" s="2">
        <v>0</v>
      </c>
      <c r="AH755" s="2">
        <v>0</v>
      </c>
      <c r="AI755" s="2">
        <v>0</v>
      </c>
      <c r="AJ755" s="2">
        <v>0</v>
      </c>
      <c r="AK755" s="2">
        <v>0</v>
      </c>
      <c r="AL755" s="2">
        <v>6.37</v>
      </c>
      <c r="AM755" s="2">
        <v>0</v>
      </c>
      <c r="AN755" s="2">
        <v>0</v>
      </c>
      <c r="AO755" s="2">
        <v>0</v>
      </c>
      <c r="AP755" s="2">
        <v>0</v>
      </c>
      <c r="AQ755" s="2">
        <v>0</v>
      </c>
    </row>
    <row r="756" spans="1:43" x14ac:dyDescent="0.25">
      <c r="A756" s="1">
        <v>45936</v>
      </c>
      <c r="B756" t="s">
        <v>48</v>
      </c>
      <c r="C756">
        <v>649163</v>
      </c>
      <c r="D756">
        <v>2030435038</v>
      </c>
      <c r="E756" t="s">
        <v>368</v>
      </c>
      <c r="F756" t="s">
        <v>928</v>
      </c>
      <c r="G756" t="s">
        <v>51</v>
      </c>
      <c r="H756" t="s">
        <v>159</v>
      </c>
      <c r="I756" t="s">
        <v>292</v>
      </c>
      <c r="J756" t="s">
        <v>536</v>
      </c>
      <c r="K756">
        <v>651818</v>
      </c>
      <c r="L756" t="s">
        <v>112</v>
      </c>
      <c r="M756" t="s">
        <v>104</v>
      </c>
      <c r="N756" t="s">
        <v>57</v>
      </c>
      <c r="O756" s="1">
        <v>45907</v>
      </c>
      <c r="Q756" s="1">
        <v>45968</v>
      </c>
      <c r="R756" s="2">
        <v>21.44</v>
      </c>
      <c r="S756">
        <v>1</v>
      </c>
      <c r="T756" t="s">
        <v>58</v>
      </c>
      <c r="U756" t="s">
        <v>359</v>
      </c>
      <c r="V756" s="3">
        <v>0.7</v>
      </c>
      <c r="W756" s="2">
        <v>0</v>
      </c>
      <c r="X756">
        <v>0</v>
      </c>
      <c r="Y756" t="s">
        <v>60</v>
      </c>
      <c r="Z756" t="s">
        <v>360</v>
      </c>
      <c r="AA756">
        <v>0</v>
      </c>
      <c r="AB756" s="2">
        <v>0</v>
      </c>
      <c r="AC756" s="2">
        <v>0</v>
      </c>
      <c r="AD756" s="3">
        <v>0</v>
      </c>
      <c r="AE756" s="2">
        <v>0</v>
      </c>
      <c r="AF756" s="2">
        <v>0</v>
      </c>
      <c r="AG756" s="2">
        <v>0</v>
      </c>
      <c r="AH756" s="2">
        <v>0</v>
      </c>
      <c r="AI756" s="2">
        <v>0</v>
      </c>
      <c r="AJ756" s="2">
        <v>0</v>
      </c>
      <c r="AK756" s="2">
        <v>0</v>
      </c>
      <c r="AL756" s="2">
        <v>15.01</v>
      </c>
      <c r="AM756" s="2">
        <v>0</v>
      </c>
      <c r="AN756" s="2">
        <v>0</v>
      </c>
      <c r="AO756" s="2">
        <v>0</v>
      </c>
      <c r="AP756" s="2">
        <v>0</v>
      </c>
      <c r="AQ756" s="2">
        <v>0</v>
      </c>
    </row>
    <row r="757" spans="1:43" x14ac:dyDescent="0.25">
      <c r="A757" s="1">
        <v>45936</v>
      </c>
      <c r="B757" t="s">
        <v>48</v>
      </c>
      <c r="C757">
        <v>649163</v>
      </c>
      <c r="D757">
        <v>2030443827</v>
      </c>
      <c r="E757" t="s">
        <v>930</v>
      </c>
      <c r="F757" t="s">
        <v>931</v>
      </c>
      <c r="G757" t="s">
        <v>51</v>
      </c>
      <c r="H757" t="s">
        <v>110</v>
      </c>
      <c r="I757" t="s">
        <v>292</v>
      </c>
      <c r="J757" t="s">
        <v>293</v>
      </c>
      <c r="K757">
        <v>651818</v>
      </c>
      <c r="L757" t="s">
        <v>112</v>
      </c>
      <c r="M757" t="s">
        <v>104</v>
      </c>
      <c r="N757" t="s">
        <v>57</v>
      </c>
      <c r="O757" s="1">
        <v>45907</v>
      </c>
      <c r="Q757" s="1">
        <v>45968</v>
      </c>
      <c r="R757" s="2">
        <v>101.25</v>
      </c>
      <c r="S757">
        <v>1</v>
      </c>
      <c r="T757" t="s">
        <v>58</v>
      </c>
      <c r="U757" t="s">
        <v>359</v>
      </c>
      <c r="V757" s="3">
        <v>0.7</v>
      </c>
      <c r="W757" s="2">
        <v>0</v>
      </c>
      <c r="X757">
        <v>0</v>
      </c>
      <c r="Y757" t="s">
        <v>60</v>
      </c>
      <c r="Z757" t="s">
        <v>360</v>
      </c>
      <c r="AA757">
        <v>0</v>
      </c>
      <c r="AB757" s="2">
        <v>0</v>
      </c>
      <c r="AC757" s="2">
        <v>0</v>
      </c>
      <c r="AD757" s="3">
        <v>0</v>
      </c>
      <c r="AE757" s="2">
        <v>0</v>
      </c>
      <c r="AF757" s="2">
        <v>0</v>
      </c>
      <c r="AG757" s="2">
        <v>0</v>
      </c>
      <c r="AH757" s="2">
        <v>0</v>
      </c>
      <c r="AI757" s="2">
        <v>0</v>
      </c>
      <c r="AJ757" s="2">
        <v>0</v>
      </c>
      <c r="AK757" s="2">
        <v>0</v>
      </c>
      <c r="AL757" s="2">
        <v>70.88</v>
      </c>
      <c r="AM757" s="2">
        <v>0</v>
      </c>
      <c r="AN757" s="2">
        <v>0</v>
      </c>
      <c r="AO757" s="2">
        <v>0</v>
      </c>
      <c r="AP757" s="2">
        <v>0</v>
      </c>
      <c r="AQ757" s="2">
        <v>0</v>
      </c>
    </row>
    <row r="758" spans="1:43" x14ac:dyDescent="0.25">
      <c r="A758" s="1">
        <v>45936</v>
      </c>
      <c r="B758" t="s">
        <v>48</v>
      </c>
      <c r="C758">
        <v>649163</v>
      </c>
      <c r="D758">
        <v>2030477514</v>
      </c>
      <c r="E758" t="s">
        <v>933</v>
      </c>
      <c r="F758" t="s">
        <v>934</v>
      </c>
      <c r="G758" t="s">
        <v>51</v>
      </c>
      <c r="H758" t="s">
        <v>119</v>
      </c>
      <c r="I758" t="s">
        <v>292</v>
      </c>
      <c r="J758" t="s">
        <v>293</v>
      </c>
      <c r="K758">
        <v>651818</v>
      </c>
      <c r="L758" t="s">
        <v>112</v>
      </c>
      <c r="M758" t="s">
        <v>104</v>
      </c>
      <c r="N758" t="s">
        <v>57</v>
      </c>
      <c r="O758" s="1">
        <v>45906</v>
      </c>
      <c r="Q758" s="1">
        <v>45967</v>
      </c>
      <c r="R758" s="2">
        <v>19</v>
      </c>
      <c r="S758">
        <v>1</v>
      </c>
      <c r="T758" t="s">
        <v>58</v>
      </c>
      <c r="U758" t="s">
        <v>359</v>
      </c>
      <c r="V758" s="3">
        <v>0.7</v>
      </c>
      <c r="W758" s="2">
        <v>0</v>
      </c>
      <c r="X758">
        <v>0</v>
      </c>
      <c r="Y758" t="s">
        <v>60</v>
      </c>
      <c r="Z758" t="s">
        <v>360</v>
      </c>
      <c r="AA758">
        <v>0</v>
      </c>
      <c r="AB758" s="2">
        <v>0</v>
      </c>
      <c r="AC758" s="2">
        <v>0</v>
      </c>
      <c r="AD758" s="3">
        <v>0</v>
      </c>
      <c r="AE758" s="2">
        <v>0</v>
      </c>
      <c r="AF758" s="2">
        <v>0</v>
      </c>
      <c r="AG758" s="2">
        <v>0</v>
      </c>
      <c r="AH758" s="2">
        <v>0</v>
      </c>
      <c r="AI758" s="2">
        <v>0</v>
      </c>
      <c r="AJ758" s="2">
        <v>0</v>
      </c>
      <c r="AK758" s="2">
        <v>0</v>
      </c>
      <c r="AL758" s="2">
        <v>13.3</v>
      </c>
      <c r="AM758" s="2">
        <v>0</v>
      </c>
      <c r="AN758" s="2">
        <v>0</v>
      </c>
      <c r="AO758" s="2">
        <v>0</v>
      </c>
      <c r="AP758" s="2">
        <v>0</v>
      </c>
      <c r="AQ758" s="2">
        <v>0</v>
      </c>
    </row>
    <row r="759" spans="1:43" x14ac:dyDescent="0.25">
      <c r="A759" s="1">
        <v>45936</v>
      </c>
      <c r="B759" t="s">
        <v>48</v>
      </c>
      <c r="C759">
        <v>649163</v>
      </c>
      <c r="D759">
        <v>2030479537</v>
      </c>
      <c r="E759" t="s">
        <v>1090</v>
      </c>
      <c r="F759" t="s">
        <v>971</v>
      </c>
      <c r="G759" t="s">
        <v>51</v>
      </c>
      <c r="H759" t="s">
        <v>52</v>
      </c>
      <c r="I759" t="s">
        <v>292</v>
      </c>
      <c r="J759" t="s">
        <v>293</v>
      </c>
      <c r="K759">
        <v>651818</v>
      </c>
      <c r="L759" t="s">
        <v>112</v>
      </c>
      <c r="M759" t="s">
        <v>104</v>
      </c>
      <c r="N759" t="s">
        <v>57</v>
      </c>
      <c r="O759" s="1">
        <v>45906</v>
      </c>
      <c r="Q759" s="1">
        <v>45967</v>
      </c>
      <c r="R759" s="2">
        <v>38.31</v>
      </c>
      <c r="S759">
        <v>1</v>
      </c>
      <c r="T759" t="s">
        <v>58</v>
      </c>
      <c r="U759" t="s">
        <v>359</v>
      </c>
      <c r="V759" s="3">
        <v>0.7</v>
      </c>
      <c r="W759" s="2">
        <v>0</v>
      </c>
      <c r="X759">
        <v>0</v>
      </c>
      <c r="Y759" t="s">
        <v>60</v>
      </c>
      <c r="Z759" t="s">
        <v>360</v>
      </c>
      <c r="AA759">
        <v>0</v>
      </c>
      <c r="AB759" s="2">
        <v>0</v>
      </c>
      <c r="AC759" s="2">
        <v>0</v>
      </c>
      <c r="AD759" s="3">
        <v>0</v>
      </c>
      <c r="AE759" s="2">
        <v>0</v>
      </c>
      <c r="AF759" s="2">
        <v>0</v>
      </c>
      <c r="AG759" s="2">
        <v>0</v>
      </c>
      <c r="AH759" s="2">
        <v>0</v>
      </c>
      <c r="AI759" s="2">
        <v>0</v>
      </c>
      <c r="AJ759" s="2">
        <v>0</v>
      </c>
      <c r="AK759" s="2">
        <v>0</v>
      </c>
      <c r="AL759" s="2">
        <v>26.82</v>
      </c>
      <c r="AM759" s="2">
        <v>0</v>
      </c>
      <c r="AN759" s="2">
        <v>0</v>
      </c>
      <c r="AO759" s="2">
        <v>0</v>
      </c>
      <c r="AP759" s="2">
        <v>0</v>
      </c>
      <c r="AQ759" s="2">
        <v>0</v>
      </c>
    </row>
    <row r="760" spans="1:43" x14ac:dyDescent="0.25">
      <c r="A760" s="1">
        <v>45936</v>
      </c>
      <c r="B760" t="s">
        <v>48</v>
      </c>
      <c r="C760">
        <v>649163</v>
      </c>
      <c r="D760">
        <v>2030500796</v>
      </c>
      <c r="E760" t="s">
        <v>935</v>
      </c>
      <c r="F760" t="s">
        <v>936</v>
      </c>
      <c r="G760" t="s">
        <v>51</v>
      </c>
      <c r="H760" t="s">
        <v>101</v>
      </c>
      <c r="I760" t="s">
        <v>292</v>
      </c>
      <c r="J760" t="s">
        <v>293</v>
      </c>
      <c r="K760">
        <v>673059</v>
      </c>
      <c r="L760" t="s">
        <v>80</v>
      </c>
      <c r="M760" t="s">
        <v>81</v>
      </c>
      <c r="N760" t="s">
        <v>57</v>
      </c>
      <c r="O760" s="1">
        <v>45901</v>
      </c>
      <c r="Q760" s="1">
        <v>45962</v>
      </c>
      <c r="R760" s="2">
        <v>119.57</v>
      </c>
      <c r="S760">
        <v>1</v>
      </c>
      <c r="T760" t="s">
        <v>58</v>
      </c>
      <c r="U760" t="s">
        <v>359</v>
      </c>
      <c r="V760" s="3">
        <v>0.7</v>
      </c>
      <c r="W760" s="2">
        <v>0</v>
      </c>
      <c r="X760">
        <v>0</v>
      </c>
      <c r="Y760" t="s">
        <v>60</v>
      </c>
      <c r="Z760" t="s">
        <v>360</v>
      </c>
      <c r="AA760">
        <v>0</v>
      </c>
      <c r="AB760" s="2">
        <v>0</v>
      </c>
      <c r="AC760" s="2">
        <v>0</v>
      </c>
      <c r="AD760" s="3">
        <v>0</v>
      </c>
      <c r="AE760" s="2">
        <v>0</v>
      </c>
      <c r="AF760" s="2">
        <v>0</v>
      </c>
      <c r="AG760" s="2">
        <v>0</v>
      </c>
      <c r="AH760" s="2">
        <v>0</v>
      </c>
      <c r="AI760" s="2">
        <v>0</v>
      </c>
      <c r="AJ760" s="2">
        <v>0</v>
      </c>
      <c r="AK760" s="2">
        <v>0</v>
      </c>
      <c r="AL760" s="2">
        <v>83.7</v>
      </c>
      <c r="AM760" s="2">
        <v>0</v>
      </c>
      <c r="AN760" s="2">
        <v>0</v>
      </c>
      <c r="AO760" s="2">
        <v>0</v>
      </c>
      <c r="AP760" s="2">
        <v>0</v>
      </c>
      <c r="AQ760" s="2">
        <v>0</v>
      </c>
    </row>
    <row r="761" spans="1:43" x14ac:dyDescent="0.25">
      <c r="A761" s="1">
        <v>45936</v>
      </c>
      <c r="B761" t="s">
        <v>48</v>
      </c>
      <c r="C761">
        <v>649163</v>
      </c>
      <c r="D761">
        <v>2030517070</v>
      </c>
      <c r="E761" t="s">
        <v>937</v>
      </c>
      <c r="F761" t="s">
        <v>938</v>
      </c>
      <c r="G761" t="s">
        <v>51</v>
      </c>
      <c r="H761" t="s">
        <v>129</v>
      </c>
      <c r="I761" t="s">
        <v>292</v>
      </c>
      <c r="J761" t="s">
        <v>293</v>
      </c>
      <c r="K761">
        <v>651818</v>
      </c>
      <c r="L761" t="s">
        <v>112</v>
      </c>
      <c r="M761" t="s">
        <v>104</v>
      </c>
      <c r="N761" t="s">
        <v>57</v>
      </c>
      <c r="O761" s="1">
        <v>45907</v>
      </c>
      <c r="Q761" s="1">
        <v>45968</v>
      </c>
      <c r="R761" s="2">
        <v>20.420000000000002</v>
      </c>
      <c r="S761">
        <v>1</v>
      </c>
      <c r="T761" t="s">
        <v>58</v>
      </c>
      <c r="U761" t="s">
        <v>359</v>
      </c>
      <c r="V761" s="3">
        <v>0.7</v>
      </c>
      <c r="W761" s="2">
        <v>0</v>
      </c>
      <c r="X761">
        <v>0</v>
      </c>
      <c r="Y761" t="s">
        <v>60</v>
      </c>
      <c r="Z761" t="s">
        <v>360</v>
      </c>
      <c r="AA761">
        <v>0</v>
      </c>
      <c r="AB761" s="2">
        <v>0</v>
      </c>
      <c r="AC761" s="2">
        <v>0</v>
      </c>
      <c r="AD761" s="3">
        <v>0</v>
      </c>
      <c r="AE761" s="2">
        <v>0</v>
      </c>
      <c r="AF761" s="2">
        <v>0</v>
      </c>
      <c r="AG761" s="2">
        <v>0</v>
      </c>
      <c r="AH761" s="2">
        <v>0</v>
      </c>
      <c r="AI761" s="2">
        <v>0</v>
      </c>
      <c r="AJ761" s="2">
        <v>0</v>
      </c>
      <c r="AK761" s="2">
        <v>0</v>
      </c>
      <c r="AL761" s="2">
        <v>14.29</v>
      </c>
      <c r="AM761" s="2">
        <v>0</v>
      </c>
      <c r="AN761" s="2">
        <v>0</v>
      </c>
      <c r="AO761" s="2">
        <v>0</v>
      </c>
      <c r="AP761" s="2">
        <v>0</v>
      </c>
      <c r="AQ761" s="2">
        <v>0</v>
      </c>
    </row>
    <row r="762" spans="1:43" x14ac:dyDescent="0.25">
      <c r="A762" s="1">
        <v>45936</v>
      </c>
      <c r="B762" t="s">
        <v>48</v>
      </c>
      <c r="C762">
        <v>649163</v>
      </c>
      <c r="D762">
        <v>2030517073</v>
      </c>
      <c r="E762" t="s">
        <v>937</v>
      </c>
      <c r="F762" t="s">
        <v>938</v>
      </c>
      <c r="G762" t="s">
        <v>51</v>
      </c>
      <c r="H762" t="s">
        <v>129</v>
      </c>
      <c r="I762" t="s">
        <v>292</v>
      </c>
      <c r="J762" t="s">
        <v>295</v>
      </c>
      <c r="K762">
        <v>651818</v>
      </c>
      <c r="L762" t="s">
        <v>112</v>
      </c>
      <c r="M762" t="s">
        <v>104</v>
      </c>
      <c r="N762" t="s">
        <v>57</v>
      </c>
      <c r="O762" s="1">
        <v>45907</v>
      </c>
      <c r="Q762" s="1">
        <v>45968</v>
      </c>
      <c r="R762" s="2">
        <v>25</v>
      </c>
      <c r="S762">
        <v>1</v>
      </c>
      <c r="T762" t="s">
        <v>58</v>
      </c>
      <c r="U762" t="s">
        <v>359</v>
      </c>
      <c r="V762" s="3">
        <v>0.9</v>
      </c>
      <c r="W762" s="2">
        <v>0</v>
      </c>
      <c r="X762">
        <v>0</v>
      </c>
      <c r="Y762" t="s">
        <v>60</v>
      </c>
      <c r="Z762" t="s">
        <v>360</v>
      </c>
      <c r="AA762">
        <v>0</v>
      </c>
      <c r="AB762" s="2">
        <v>0</v>
      </c>
      <c r="AC762" s="2">
        <v>0</v>
      </c>
      <c r="AD762" s="3">
        <v>0</v>
      </c>
      <c r="AE762" s="2">
        <v>0</v>
      </c>
      <c r="AF762" s="2">
        <v>0</v>
      </c>
      <c r="AG762" s="2">
        <v>0</v>
      </c>
      <c r="AH762" s="2">
        <v>0</v>
      </c>
      <c r="AI762" s="2">
        <v>0</v>
      </c>
      <c r="AJ762" s="2">
        <v>0</v>
      </c>
      <c r="AK762" s="2">
        <v>0</v>
      </c>
      <c r="AL762" s="2">
        <v>22.5</v>
      </c>
      <c r="AM762" s="2">
        <v>0</v>
      </c>
      <c r="AN762" s="2">
        <v>0</v>
      </c>
      <c r="AO762" s="2">
        <v>0</v>
      </c>
      <c r="AP762" s="2">
        <v>0</v>
      </c>
      <c r="AQ762" s="2">
        <v>0</v>
      </c>
    </row>
    <row r="763" spans="1:43" x14ac:dyDescent="0.25">
      <c r="A763" s="1">
        <v>45936</v>
      </c>
      <c r="B763" t="s">
        <v>48</v>
      </c>
      <c r="C763">
        <v>649163</v>
      </c>
      <c r="D763">
        <v>2030518949</v>
      </c>
      <c r="E763" t="s">
        <v>939</v>
      </c>
      <c r="F763" t="s">
        <v>940</v>
      </c>
      <c r="G763" t="s">
        <v>51</v>
      </c>
      <c r="H763" t="s">
        <v>159</v>
      </c>
      <c r="I763" t="s">
        <v>292</v>
      </c>
      <c r="J763" t="s">
        <v>536</v>
      </c>
      <c r="K763">
        <v>651818</v>
      </c>
      <c r="L763" t="s">
        <v>112</v>
      </c>
      <c r="M763" t="s">
        <v>104</v>
      </c>
      <c r="N763" t="s">
        <v>57</v>
      </c>
      <c r="O763" s="1">
        <v>45907</v>
      </c>
      <c r="Q763" s="1">
        <v>45968</v>
      </c>
      <c r="R763" s="2">
        <v>21.44</v>
      </c>
      <c r="S763">
        <v>1</v>
      </c>
      <c r="T763" t="s">
        <v>58</v>
      </c>
      <c r="U763" t="s">
        <v>359</v>
      </c>
      <c r="V763" s="3">
        <v>0.7</v>
      </c>
      <c r="W763" s="2">
        <v>0</v>
      </c>
      <c r="X763">
        <v>0</v>
      </c>
      <c r="Y763" t="s">
        <v>60</v>
      </c>
      <c r="Z763" t="s">
        <v>360</v>
      </c>
      <c r="AA763">
        <v>0</v>
      </c>
      <c r="AB763" s="2">
        <v>0</v>
      </c>
      <c r="AC763" s="2">
        <v>0</v>
      </c>
      <c r="AD763" s="3">
        <v>0</v>
      </c>
      <c r="AE763" s="2">
        <v>0</v>
      </c>
      <c r="AF763" s="2">
        <v>0</v>
      </c>
      <c r="AG763" s="2">
        <v>0</v>
      </c>
      <c r="AH763" s="2">
        <v>0</v>
      </c>
      <c r="AI763" s="2">
        <v>0</v>
      </c>
      <c r="AJ763" s="2">
        <v>0</v>
      </c>
      <c r="AK763" s="2">
        <v>0</v>
      </c>
      <c r="AL763" s="2">
        <v>15.01</v>
      </c>
      <c r="AM763" s="2">
        <v>0</v>
      </c>
      <c r="AN763" s="2">
        <v>0</v>
      </c>
      <c r="AO763" s="2">
        <v>0</v>
      </c>
      <c r="AP763" s="2">
        <v>0</v>
      </c>
      <c r="AQ763" s="2">
        <v>0</v>
      </c>
    </row>
    <row r="764" spans="1:43" x14ac:dyDescent="0.25">
      <c r="A764" s="1">
        <v>45936</v>
      </c>
      <c r="B764" t="s">
        <v>48</v>
      </c>
      <c r="C764">
        <v>649163</v>
      </c>
      <c r="D764">
        <v>2030543058</v>
      </c>
      <c r="E764" t="s">
        <v>1091</v>
      </c>
      <c r="F764" t="s">
        <v>1092</v>
      </c>
      <c r="G764" t="s">
        <v>51</v>
      </c>
      <c r="H764" t="s">
        <v>79</v>
      </c>
      <c r="I764" t="s">
        <v>292</v>
      </c>
      <c r="J764" t="s">
        <v>293</v>
      </c>
      <c r="K764">
        <v>867497</v>
      </c>
      <c r="L764" t="s">
        <v>1093</v>
      </c>
      <c r="M764" t="s">
        <v>1094</v>
      </c>
      <c r="N764" t="s">
        <v>57</v>
      </c>
      <c r="O764" s="1">
        <v>45901</v>
      </c>
      <c r="Q764" s="1">
        <v>45962</v>
      </c>
      <c r="R764" s="2">
        <v>-39.03</v>
      </c>
      <c r="S764">
        <v>1</v>
      </c>
      <c r="T764" t="s">
        <v>58</v>
      </c>
      <c r="U764" t="s">
        <v>359</v>
      </c>
      <c r="V764" s="3">
        <v>0.7</v>
      </c>
      <c r="W764" s="2">
        <v>0</v>
      </c>
      <c r="X764">
        <v>-1</v>
      </c>
      <c r="Y764" t="s">
        <v>60</v>
      </c>
      <c r="Z764" t="s">
        <v>360</v>
      </c>
      <c r="AA764">
        <v>0</v>
      </c>
      <c r="AB764" s="2">
        <v>0</v>
      </c>
      <c r="AC764" s="2">
        <v>0</v>
      </c>
      <c r="AD764" s="3">
        <v>0</v>
      </c>
      <c r="AE764" s="2">
        <v>0</v>
      </c>
      <c r="AF764" s="2">
        <v>0</v>
      </c>
      <c r="AG764" s="2">
        <v>0</v>
      </c>
      <c r="AH764" s="2">
        <v>0</v>
      </c>
      <c r="AI764" s="2">
        <v>0</v>
      </c>
      <c r="AJ764" s="2">
        <v>0</v>
      </c>
      <c r="AK764" s="2">
        <v>0</v>
      </c>
      <c r="AL764" s="2">
        <v>0</v>
      </c>
      <c r="AM764" s="2">
        <v>-27.32</v>
      </c>
      <c r="AN764" s="2">
        <v>-27.32</v>
      </c>
      <c r="AO764" s="2">
        <v>0</v>
      </c>
      <c r="AP764" s="2">
        <v>0</v>
      </c>
      <c r="AQ764" s="2">
        <v>0</v>
      </c>
    </row>
    <row r="765" spans="1:43" x14ac:dyDescent="0.25">
      <c r="A765" s="1">
        <v>45936</v>
      </c>
      <c r="B765" t="s">
        <v>48</v>
      </c>
      <c r="C765">
        <v>649163</v>
      </c>
      <c r="D765">
        <v>2030641192</v>
      </c>
      <c r="E765" t="s">
        <v>941</v>
      </c>
      <c r="F765" t="s">
        <v>593</v>
      </c>
      <c r="G765" t="s">
        <v>51</v>
      </c>
      <c r="H765" t="s">
        <v>88</v>
      </c>
      <c r="I765" t="s">
        <v>292</v>
      </c>
      <c r="J765" t="s">
        <v>293</v>
      </c>
      <c r="K765">
        <v>651818</v>
      </c>
      <c r="L765" t="s">
        <v>112</v>
      </c>
      <c r="M765" t="s">
        <v>104</v>
      </c>
      <c r="N765" t="s">
        <v>57</v>
      </c>
      <c r="O765" s="1">
        <v>45906</v>
      </c>
      <c r="Q765" s="1">
        <v>45967</v>
      </c>
      <c r="R765" s="2">
        <v>19.100000000000001</v>
      </c>
      <c r="S765">
        <v>1</v>
      </c>
      <c r="T765" t="s">
        <v>58</v>
      </c>
      <c r="U765" t="s">
        <v>359</v>
      </c>
      <c r="V765" s="3">
        <v>0.7</v>
      </c>
      <c r="W765" s="2">
        <v>0</v>
      </c>
      <c r="X765">
        <v>0</v>
      </c>
      <c r="Y765" t="s">
        <v>60</v>
      </c>
      <c r="Z765" t="s">
        <v>360</v>
      </c>
      <c r="AA765">
        <v>0</v>
      </c>
      <c r="AB765" s="2">
        <v>0</v>
      </c>
      <c r="AC765" s="2">
        <v>0</v>
      </c>
      <c r="AD765" s="3">
        <v>0</v>
      </c>
      <c r="AE765" s="2">
        <v>0</v>
      </c>
      <c r="AF765" s="2">
        <v>0</v>
      </c>
      <c r="AG765" s="2">
        <v>0</v>
      </c>
      <c r="AH765" s="2">
        <v>0</v>
      </c>
      <c r="AI765" s="2">
        <v>0</v>
      </c>
      <c r="AJ765" s="2">
        <v>0</v>
      </c>
      <c r="AK765" s="2">
        <v>0</v>
      </c>
      <c r="AL765" s="2">
        <v>13.37</v>
      </c>
      <c r="AM765" s="2">
        <v>0</v>
      </c>
      <c r="AN765" s="2">
        <v>0</v>
      </c>
      <c r="AO765" s="2">
        <v>0</v>
      </c>
      <c r="AP765" s="2">
        <v>0</v>
      </c>
      <c r="AQ765" s="2">
        <v>0</v>
      </c>
    </row>
    <row r="766" spans="1:43" x14ac:dyDescent="0.25">
      <c r="A766" s="1">
        <v>45936</v>
      </c>
      <c r="B766" t="s">
        <v>48</v>
      </c>
      <c r="C766">
        <v>649163</v>
      </c>
      <c r="D766">
        <v>2030641193</v>
      </c>
      <c r="E766" t="s">
        <v>941</v>
      </c>
      <c r="F766" t="s">
        <v>593</v>
      </c>
      <c r="G766" t="s">
        <v>51</v>
      </c>
      <c r="H766" t="s">
        <v>88</v>
      </c>
      <c r="I766" t="s">
        <v>292</v>
      </c>
      <c r="J766" t="s">
        <v>295</v>
      </c>
      <c r="K766">
        <v>651818</v>
      </c>
      <c r="L766" t="s">
        <v>112</v>
      </c>
      <c r="M766" t="s">
        <v>104</v>
      </c>
      <c r="N766" t="s">
        <v>57</v>
      </c>
      <c r="O766" s="1">
        <v>45906</v>
      </c>
      <c r="Q766" s="1">
        <v>45967</v>
      </c>
      <c r="R766" s="2">
        <v>22.88</v>
      </c>
      <c r="S766">
        <v>1</v>
      </c>
      <c r="T766" t="s">
        <v>58</v>
      </c>
      <c r="U766" t="s">
        <v>359</v>
      </c>
      <c r="V766" s="3">
        <v>0.9</v>
      </c>
      <c r="W766" s="2">
        <v>0</v>
      </c>
      <c r="X766">
        <v>0</v>
      </c>
      <c r="Y766" t="s">
        <v>60</v>
      </c>
      <c r="Z766" t="s">
        <v>360</v>
      </c>
      <c r="AA766">
        <v>0</v>
      </c>
      <c r="AB766" s="2">
        <v>0</v>
      </c>
      <c r="AC766" s="2">
        <v>0</v>
      </c>
      <c r="AD766" s="3">
        <v>0</v>
      </c>
      <c r="AE766" s="2">
        <v>0</v>
      </c>
      <c r="AF766" s="2">
        <v>0</v>
      </c>
      <c r="AG766" s="2">
        <v>0</v>
      </c>
      <c r="AH766" s="2">
        <v>0</v>
      </c>
      <c r="AI766" s="2">
        <v>0</v>
      </c>
      <c r="AJ766" s="2">
        <v>0</v>
      </c>
      <c r="AK766" s="2">
        <v>0</v>
      </c>
      <c r="AL766" s="2">
        <v>20.59</v>
      </c>
      <c r="AM766" s="2">
        <v>0</v>
      </c>
      <c r="AN766" s="2">
        <v>0</v>
      </c>
      <c r="AO766" s="2">
        <v>0</v>
      </c>
      <c r="AP766" s="2">
        <v>0</v>
      </c>
      <c r="AQ766" s="2">
        <v>0</v>
      </c>
    </row>
    <row r="767" spans="1:43" x14ac:dyDescent="0.25">
      <c r="A767" s="1">
        <v>45936</v>
      </c>
      <c r="B767" t="s">
        <v>48</v>
      </c>
      <c r="C767">
        <v>649163</v>
      </c>
      <c r="D767">
        <v>2030658213</v>
      </c>
      <c r="E767" t="s">
        <v>1095</v>
      </c>
      <c r="F767" t="s">
        <v>1096</v>
      </c>
      <c r="G767" t="s">
        <v>51</v>
      </c>
      <c r="H767" t="s">
        <v>79</v>
      </c>
      <c r="I767" t="s">
        <v>292</v>
      </c>
      <c r="J767" t="s">
        <v>293</v>
      </c>
      <c r="K767">
        <v>821015</v>
      </c>
      <c r="L767" t="s">
        <v>325</v>
      </c>
      <c r="M767" t="s">
        <v>326</v>
      </c>
      <c r="N767" t="s">
        <v>57</v>
      </c>
      <c r="O767" s="1">
        <v>45901</v>
      </c>
      <c r="Q767" s="1">
        <v>45962</v>
      </c>
      <c r="R767" s="2">
        <v>-22.72</v>
      </c>
      <c r="S767">
        <v>1</v>
      </c>
      <c r="T767" t="s">
        <v>58</v>
      </c>
      <c r="U767" t="s">
        <v>359</v>
      </c>
      <c r="V767" s="3">
        <v>0.7</v>
      </c>
      <c r="W767" s="2">
        <v>0</v>
      </c>
      <c r="X767">
        <v>-1</v>
      </c>
      <c r="Y767" t="s">
        <v>60</v>
      </c>
      <c r="Z767" t="s">
        <v>360</v>
      </c>
      <c r="AA767">
        <v>0</v>
      </c>
      <c r="AB767" s="2">
        <v>0</v>
      </c>
      <c r="AC767" s="2">
        <v>0</v>
      </c>
      <c r="AD767" s="3">
        <v>0</v>
      </c>
      <c r="AE767" s="2">
        <v>0</v>
      </c>
      <c r="AF767" s="2">
        <v>0</v>
      </c>
      <c r="AG767" s="2">
        <v>0</v>
      </c>
      <c r="AH767" s="2">
        <v>0</v>
      </c>
      <c r="AI767" s="2">
        <v>0</v>
      </c>
      <c r="AJ767" s="2">
        <v>0</v>
      </c>
      <c r="AK767" s="2">
        <v>0</v>
      </c>
      <c r="AL767" s="2">
        <v>0</v>
      </c>
      <c r="AM767" s="2">
        <v>-15.9</v>
      </c>
      <c r="AN767" s="2">
        <v>-15.9</v>
      </c>
      <c r="AO767" s="2">
        <v>0</v>
      </c>
      <c r="AP767" s="2">
        <v>0</v>
      </c>
      <c r="AQ767" s="2">
        <v>0</v>
      </c>
    </row>
    <row r="768" spans="1:43" x14ac:dyDescent="0.25">
      <c r="A768" s="1">
        <v>45936</v>
      </c>
      <c r="B768" t="s">
        <v>48</v>
      </c>
      <c r="C768">
        <v>649163</v>
      </c>
      <c r="D768">
        <v>2030675165</v>
      </c>
      <c r="E768" t="s">
        <v>942</v>
      </c>
      <c r="F768" t="s">
        <v>943</v>
      </c>
      <c r="G768" t="s">
        <v>51</v>
      </c>
      <c r="H768" t="s">
        <v>323</v>
      </c>
      <c r="I768" t="s">
        <v>292</v>
      </c>
      <c r="J768" t="s">
        <v>293</v>
      </c>
      <c r="K768">
        <v>823350</v>
      </c>
      <c r="L768" t="s">
        <v>66</v>
      </c>
      <c r="M768" t="s">
        <v>67</v>
      </c>
      <c r="N768" t="s">
        <v>57</v>
      </c>
      <c r="O768" s="1">
        <v>45901</v>
      </c>
      <c r="Q768" s="1">
        <v>45962</v>
      </c>
      <c r="R768" s="2">
        <v>-24.15</v>
      </c>
      <c r="S768">
        <v>1</v>
      </c>
      <c r="T768" t="s">
        <v>58</v>
      </c>
      <c r="U768" t="s">
        <v>359</v>
      </c>
      <c r="V768" s="3">
        <v>0.7</v>
      </c>
      <c r="W768" s="2">
        <v>0</v>
      </c>
      <c r="X768">
        <v>-1</v>
      </c>
      <c r="Y768" t="s">
        <v>60</v>
      </c>
      <c r="Z768" t="s">
        <v>360</v>
      </c>
      <c r="AA768">
        <v>0</v>
      </c>
      <c r="AB768" s="2">
        <v>0</v>
      </c>
      <c r="AC768" s="2">
        <v>0</v>
      </c>
      <c r="AD768" s="3">
        <v>0</v>
      </c>
      <c r="AE768" s="2">
        <v>0</v>
      </c>
      <c r="AF768" s="2">
        <v>0</v>
      </c>
      <c r="AG768" s="2">
        <v>0</v>
      </c>
      <c r="AH768" s="2">
        <v>0</v>
      </c>
      <c r="AI768" s="2">
        <v>0</v>
      </c>
      <c r="AJ768" s="2">
        <v>0</v>
      </c>
      <c r="AK768" s="2">
        <v>0</v>
      </c>
      <c r="AL768" s="2">
        <v>0</v>
      </c>
      <c r="AM768" s="2">
        <v>-16.899999999999999</v>
      </c>
      <c r="AN768" s="2">
        <v>-16.899999999999999</v>
      </c>
      <c r="AO768" s="2">
        <v>0</v>
      </c>
      <c r="AP768" s="2">
        <v>0</v>
      </c>
      <c r="AQ768" s="2">
        <v>0</v>
      </c>
    </row>
    <row r="769" spans="1:43" x14ac:dyDescent="0.25">
      <c r="A769" s="1">
        <v>45936</v>
      </c>
      <c r="B769" t="s">
        <v>48</v>
      </c>
      <c r="C769">
        <v>649163</v>
      </c>
      <c r="D769">
        <v>2030675270</v>
      </c>
      <c r="E769" t="s">
        <v>944</v>
      </c>
      <c r="F769" t="s">
        <v>945</v>
      </c>
      <c r="G769" t="s">
        <v>51</v>
      </c>
      <c r="H769" t="s">
        <v>115</v>
      </c>
      <c r="I769" t="s">
        <v>292</v>
      </c>
      <c r="J769" t="s">
        <v>295</v>
      </c>
      <c r="K769">
        <v>753748</v>
      </c>
      <c r="L769" t="s">
        <v>97</v>
      </c>
      <c r="M769" t="s">
        <v>98</v>
      </c>
      <c r="N769" t="s">
        <v>57</v>
      </c>
      <c r="O769" s="1">
        <v>45901</v>
      </c>
      <c r="Q769" s="1">
        <v>45962</v>
      </c>
      <c r="R769" s="2">
        <v>-101.63</v>
      </c>
      <c r="S769">
        <v>1</v>
      </c>
      <c r="T769" t="s">
        <v>58</v>
      </c>
      <c r="U769" t="s">
        <v>359</v>
      </c>
      <c r="V769" s="3">
        <v>0.9</v>
      </c>
      <c r="W769" s="2">
        <v>0</v>
      </c>
      <c r="X769">
        <v>-1</v>
      </c>
      <c r="Y769" t="s">
        <v>60</v>
      </c>
      <c r="Z769" t="s">
        <v>360</v>
      </c>
      <c r="AA769">
        <v>0</v>
      </c>
      <c r="AB769" s="2">
        <v>0</v>
      </c>
      <c r="AC769" s="2">
        <v>0</v>
      </c>
      <c r="AD769" s="3">
        <v>0</v>
      </c>
      <c r="AE769" s="2">
        <v>0</v>
      </c>
      <c r="AF769" s="2">
        <v>0</v>
      </c>
      <c r="AG769" s="2">
        <v>0</v>
      </c>
      <c r="AH769" s="2">
        <v>0</v>
      </c>
      <c r="AI769" s="2">
        <v>0</v>
      </c>
      <c r="AJ769" s="2">
        <v>0</v>
      </c>
      <c r="AK769" s="2">
        <v>0</v>
      </c>
      <c r="AL769" s="2">
        <v>0</v>
      </c>
      <c r="AM769" s="2">
        <v>-91.47</v>
      </c>
      <c r="AN769" s="2">
        <v>-91.47</v>
      </c>
      <c r="AO769" s="2">
        <v>0</v>
      </c>
      <c r="AP769" s="2">
        <v>0</v>
      </c>
      <c r="AQ769" s="2">
        <v>0</v>
      </c>
    </row>
    <row r="770" spans="1:43" x14ac:dyDescent="0.25">
      <c r="A770" s="1">
        <v>45936</v>
      </c>
      <c r="B770" t="s">
        <v>48</v>
      </c>
      <c r="C770">
        <v>649163</v>
      </c>
      <c r="D770">
        <v>2030675272</v>
      </c>
      <c r="E770" t="s">
        <v>944</v>
      </c>
      <c r="F770" t="s">
        <v>945</v>
      </c>
      <c r="G770" t="s">
        <v>51</v>
      </c>
      <c r="H770" t="s">
        <v>115</v>
      </c>
      <c r="I770" t="s">
        <v>292</v>
      </c>
      <c r="J770" t="s">
        <v>293</v>
      </c>
      <c r="K770">
        <v>753748</v>
      </c>
      <c r="L770" t="s">
        <v>97</v>
      </c>
      <c r="M770" t="s">
        <v>98</v>
      </c>
      <c r="N770" t="s">
        <v>57</v>
      </c>
      <c r="O770" s="1">
        <v>45901</v>
      </c>
      <c r="Q770" s="1">
        <v>45962</v>
      </c>
      <c r="R770" s="2">
        <v>-18.57</v>
      </c>
      <c r="S770">
        <v>1</v>
      </c>
      <c r="T770" t="s">
        <v>58</v>
      </c>
      <c r="U770" t="s">
        <v>359</v>
      </c>
      <c r="V770" s="3">
        <v>0.7</v>
      </c>
      <c r="W770" s="2">
        <v>0</v>
      </c>
      <c r="X770">
        <v>-1</v>
      </c>
      <c r="Y770" t="s">
        <v>60</v>
      </c>
      <c r="Z770" t="s">
        <v>360</v>
      </c>
      <c r="AA770">
        <v>0</v>
      </c>
      <c r="AB770" s="2">
        <v>0</v>
      </c>
      <c r="AC770" s="2">
        <v>0</v>
      </c>
      <c r="AD770" s="3">
        <v>0</v>
      </c>
      <c r="AE770" s="2">
        <v>0</v>
      </c>
      <c r="AF770" s="2">
        <v>0</v>
      </c>
      <c r="AG770" s="2">
        <v>0</v>
      </c>
      <c r="AH770" s="2">
        <v>0</v>
      </c>
      <c r="AI770" s="2">
        <v>0</v>
      </c>
      <c r="AJ770" s="2">
        <v>0</v>
      </c>
      <c r="AK770" s="2">
        <v>0</v>
      </c>
      <c r="AL770" s="2">
        <v>0</v>
      </c>
      <c r="AM770" s="2">
        <v>-13</v>
      </c>
      <c r="AN770" s="2">
        <v>-13</v>
      </c>
      <c r="AO770" s="2">
        <v>0</v>
      </c>
      <c r="AP770" s="2">
        <v>0</v>
      </c>
      <c r="AQ770" s="2">
        <v>0</v>
      </c>
    </row>
    <row r="771" spans="1:43" x14ac:dyDescent="0.25">
      <c r="A771" s="1">
        <v>45936</v>
      </c>
      <c r="B771" t="s">
        <v>48</v>
      </c>
      <c r="C771">
        <v>649163</v>
      </c>
      <c r="D771">
        <v>2030699504</v>
      </c>
      <c r="E771" t="s">
        <v>1097</v>
      </c>
      <c r="F771" t="s">
        <v>1098</v>
      </c>
      <c r="G771" t="s">
        <v>51</v>
      </c>
      <c r="H771" t="s">
        <v>101</v>
      </c>
      <c r="I771" t="s">
        <v>292</v>
      </c>
      <c r="J771" t="s">
        <v>293</v>
      </c>
      <c r="K771">
        <v>823350</v>
      </c>
      <c r="L771" t="s">
        <v>66</v>
      </c>
      <c r="M771" t="s">
        <v>67</v>
      </c>
      <c r="N771" t="s">
        <v>57</v>
      </c>
      <c r="O771" s="1">
        <v>45909</v>
      </c>
      <c r="Q771" s="1">
        <v>45970</v>
      </c>
      <c r="R771" s="2">
        <v>212.26</v>
      </c>
      <c r="S771">
        <v>1</v>
      </c>
      <c r="T771" t="s">
        <v>58</v>
      </c>
      <c r="U771" t="s">
        <v>359</v>
      </c>
      <c r="V771" s="3">
        <v>0.7</v>
      </c>
      <c r="W771" s="2">
        <v>0</v>
      </c>
      <c r="X771">
        <v>0</v>
      </c>
      <c r="Y771" t="s">
        <v>60</v>
      </c>
      <c r="Z771" t="s">
        <v>360</v>
      </c>
      <c r="AA771">
        <v>0</v>
      </c>
      <c r="AB771" s="2">
        <v>0</v>
      </c>
      <c r="AC771" s="2">
        <v>0</v>
      </c>
      <c r="AD771" s="3">
        <v>0</v>
      </c>
      <c r="AE771" s="2">
        <v>0</v>
      </c>
      <c r="AF771" s="2">
        <v>0</v>
      </c>
      <c r="AG771" s="2">
        <v>0</v>
      </c>
      <c r="AH771" s="2">
        <v>0</v>
      </c>
      <c r="AI771" s="2">
        <v>0</v>
      </c>
      <c r="AJ771" s="2">
        <v>0</v>
      </c>
      <c r="AK771" s="2">
        <v>0</v>
      </c>
      <c r="AL771" s="2">
        <v>148.58000000000001</v>
      </c>
      <c r="AM771" s="2">
        <v>0</v>
      </c>
      <c r="AN771" s="2">
        <v>0</v>
      </c>
      <c r="AO771" s="2">
        <v>0</v>
      </c>
      <c r="AP771" s="2">
        <v>0</v>
      </c>
      <c r="AQ771" s="2">
        <v>0</v>
      </c>
    </row>
    <row r="772" spans="1:43" x14ac:dyDescent="0.25">
      <c r="A772" s="1">
        <v>45936</v>
      </c>
      <c r="B772" t="s">
        <v>48</v>
      </c>
      <c r="C772">
        <v>649163</v>
      </c>
      <c r="D772">
        <v>2030703148</v>
      </c>
      <c r="E772" t="s">
        <v>948</v>
      </c>
      <c r="F772" t="s">
        <v>949</v>
      </c>
      <c r="G772" t="s">
        <v>51</v>
      </c>
      <c r="H772" t="s">
        <v>52</v>
      </c>
      <c r="I772" t="s">
        <v>292</v>
      </c>
      <c r="J772" t="s">
        <v>293</v>
      </c>
      <c r="K772">
        <v>673059</v>
      </c>
      <c r="L772" t="s">
        <v>80</v>
      </c>
      <c r="M772" t="s">
        <v>81</v>
      </c>
      <c r="N772" t="s">
        <v>57</v>
      </c>
      <c r="O772" s="1">
        <v>45901</v>
      </c>
      <c r="Q772" s="1">
        <v>45962</v>
      </c>
      <c r="R772" s="2">
        <v>-74.44</v>
      </c>
      <c r="S772">
        <v>1</v>
      </c>
      <c r="T772" t="s">
        <v>58</v>
      </c>
      <c r="U772" t="s">
        <v>359</v>
      </c>
      <c r="V772" s="3">
        <v>0.7</v>
      </c>
      <c r="W772" s="2">
        <v>0</v>
      </c>
      <c r="X772">
        <v>-1</v>
      </c>
      <c r="Y772" t="s">
        <v>60</v>
      </c>
      <c r="Z772" t="s">
        <v>360</v>
      </c>
      <c r="AA772">
        <v>0</v>
      </c>
      <c r="AB772" s="2">
        <v>0</v>
      </c>
      <c r="AC772" s="2">
        <v>0</v>
      </c>
      <c r="AD772" s="3">
        <v>0</v>
      </c>
      <c r="AE772" s="2">
        <v>0</v>
      </c>
      <c r="AF772" s="2">
        <v>0</v>
      </c>
      <c r="AG772" s="2">
        <v>0</v>
      </c>
      <c r="AH772" s="2">
        <v>0</v>
      </c>
      <c r="AI772" s="2">
        <v>0</v>
      </c>
      <c r="AJ772" s="2">
        <v>0</v>
      </c>
      <c r="AK772" s="2">
        <v>0</v>
      </c>
      <c r="AL772" s="2">
        <v>0</v>
      </c>
      <c r="AM772" s="2">
        <v>-52.11</v>
      </c>
      <c r="AN772" s="2">
        <v>-52.11</v>
      </c>
      <c r="AO772" s="2">
        <v>0</v>
      </c>
      <c r="AP772" s="2">
        <v>0</v>
      </c>
      <c r="AQ772" s="2">
        <v>0</v>
      </c>
    </row>
    <row r="773" spans="1:43" x14ac:dyDescent="0.25">
      <c r="A773" s="1">
        <v>45936</v>
      </c>
      <c r="B773" t="s">
        <v>48</v>
      </c>
      <c r="C773">
        <v>649163</v>
      </c>
      <c r="D773">
        <v>2030725188</v>
      </c>
      <c r="E773" t="s">
        <v>187</v>
      </c>
      <c r="F773" t="s">
        <v>970</v>
      </c>
      <c r="G773" t="s">
        <v>51</v>
      </c>
      <c r="H773" t="s">
        <v>52</v>
      </c>
      <c r="I773" t="s">
        <v>292</v>
      </c>
      <c r="J773" t="s">
        <v>293</v>
      </c>
      <c r="K773">
        <v>821015</v>
      </c>
      <c r="L773" t="s">
        <v>325</v>
      </c>
      <c r="M773" t="s">
        <v>326</v>
      </c>
      <c r="N773" t="s">
        <v>57</v>
      </c>
      <c r="O773" s="1">
        <v>45898</v>
      </c>
      <c r="Q773" s="1">
        <v>45959</v>
      </c>
      <c r="R773" s="2">
        <v>-119.52</v>
      </c>
      <c r="S773">
        <v>1</v>
      </c>
      <c r="T773" t="s">
        <v>58</v>
      </c>
      <c r="U773" t="s">
        <v>359</v>
      </c>
      <c r="V773" s="3">
        <v>0.7</v>
      </c>
      <c r="W773" s="2">
        <v>0</v>
      </c>
      <c r="X773">
        <v>-1</v>
      </c>
      <c r="Y773" t="s">
        <v>60</v>
      </c>
      <c r="Z773" t="s">
        <v>360</v>
      </c>
      <c r="AA773">
        <v>0</v>
      </c>
      <c r="AB773" s="2">
        <v>0</v>
      </c>
      <c r="AC773" s="2">
        <v>0</v>
      </c>
      <c r="AD773" s="3">
        <v>0</v>
      </c>
      <c r="AE773" s="2">
        <v>0</v>
      </c>
      <c r="AF773" s="2">
        <v>0</v>
      </c>
      <c r="AG773" s="2">
        <v>0</v>
      </c>
      <c r="AH773" s="2">
        <v>0</v>
      </c>
      <c r="AI773" s="2">
        <v>0</v>
      </c>
      <c r="AJ773" s="2">
        <v>0</v>
      </c>
      <c r="AK773" s="2">
        <v>0</v>
      </c>
      <c r="AL773" s="2">
        <v>0</v>
      </c>
      <c r="AM773" s="2">
        <v>-83.66</v>
      </c>
      <c r="AN773" s="2">
        <v>-83.66</v>
      </c>
      <c r="AO773" s="2">
        <v>0</v>
      </c>
      <c r="AP773" s="2">
        <v>0</v>
      </c>
      <c r="AQ773" s="2">
        <v>0</v>
      </c>
    </row>
    <row r="774" spans="1:43" x14ac:dyDescent="0.25">
      <c r="A774" s="1">
        <v>45936</v>
      </c>
      <c r="B774" t="s">
        <v>48</v>
      </c>
      <c r="C774">
        <v>649163</v>
      </c>
      <c r="D774">
        <v>2030735251</v>
      </c>
      <c r="E774" t="s">
        <v>951</v>
      </c>
      <c r="F774" t="s">
        <v>952</v>
      </c>
      <c r="G774" t="s">
        <v>51</v>
      </c>
      <c r="H774" t="s">
        <v>105</v>
      </c>
      <c r="I774" t="s">
        <v>292</v>
      </c>
      <c r="J774" t="s">
        <v>536</v>
      </c>
      <c r="K774">
        <v>823068</v>
      </c>
      <c r="L774" t="s">
        <v>106</v>
      </c>
      <c r="M774" t="s">
        <v>107</v>
      </c>
      <c r="N774" t="s">
        <v>57</v>
      </c>
      <c r="O774" s="1">
        <v>45906</v>
      </c>
      <c r="Q774" s="1">
        <v>45967</v>
      </c>
      <c r="R774" s="2">
        <v>24.61</v>
      </c>
      <c r="S774">
        <v>1</v>
      </c>
      <c r="T774" t="s">
        <v>58</v>
      </c>
      <c r="U774" t="s">
        <v>359</v>
      </c>
      <c r="V774" s="3">
        <v>0.7</v>
      </c>
      <c r="W774" s="2">
        <v>0</v>
      </c>
      <c r="X774">
        <v>0</v>
      </c>
      <c r="Y774" t="s">
        <v>60</v>
      </c>
      <c r="Z774" t="s">
        <v>360</v>
      </c>
      <c r="AA774">
        <v>0</v>
      </c>
      <c r="AB774" s="2">
        <v>0</v>
      </c>
      <c r="AC774" s="2">
        <v>0</v>
      </c>
      <c r="AD774" s="3">
        <v>0</v>
      </c>
      <c r="AE774" s="2">
        <v>0</v>
      </c>
      <c r="AF774" s="2">
        <v>0</v>
      </c>
      <c r="AG774" s="2">
        <v>0</v>
      </c>
      <c r="AH774" s="2">
        <v>0</v>
      </c>
      <c r="AI774" s="2">
        <v>0</v>
      </c>
      <c r="AJ774" s="2">
        <v>0</v>
      </c>
      <c r="AK774" s="2">
        <v>0</v>
      </c>
      <c r="AL774" s="2">
        <v>17.23</v>
      </c>
      <c r="AM774" s="2">
        <v>0</v>
      </c>
      <c r="AN774" s="2">
        <v>0</v>
      </c>
      <c r="AO774" s="2">
        <v>0</v>
      </c>
      <c r="AP774" s="2">
        <v>0</v>
      </c>
      <c r="AQ774" s="2">
        <v>0</v>
      </c>
    </row>
    <row r="775" spans="1:43" x14ac:dyDescent="0.25">
      <c r="A775" s="1">
        <v>45936</v>
      </c>
      <c r="B775" t="s">
        <v>48</v>
      </c>
      <c r="C775">
        <v>649163</v>
      </c>
      <c r="D775">
        <v>2030775883</v>
      </c>
      <c r="E775" t="s">
        <v>648</v>
      </c>
      <c r="F775" t="s">
        <v>526</v>
      </c>
      <c r="G775" t="s">
        <v>51</v>
      </c>
      <c r="H775" t="s">
        <v>88</v>
      </c>
      <c r="I775" t="s">
        <v>292</v>
      </c>
      <c r="J775" t="s">
        <v>293</v>
      </c>
      <c r="K775">
        <v>878036</v>
      </c>
      <c r="L775" t="s">
        <v>335</v>
      </c>
      <c r="M775" t="s">
        <v>336</v>
      </c>
      <c r="N775" t="s">
        <v>57</v>
      </c>
      <c r="O775" s="1">
        <v>45901</v>
      </c>
      <c r="Q775" s="1">
        <v>45962</v>
      </c>
      <c r="R775" s="2">
        <v>120.91</v>
      </c>
      <c r="S775">
        <v>1</v>
      </c>
      <c r="T775" t="s">
        <v>58</v>
      </c>
      <c r="U775" t="s">
        <v>359</v>
      </c>
      <c r="V775" s="3">
        <v>0.7</v>
      </c>
      <c r="W775" s="2">
        <v>0</v>
      </c>
      <c r="X775">
        <v>0</v>
      </c>
      <c r="Y775" t="s">
        <v>60</v>
      </c>
      <c r="Z775" t="s">
        <v>360</v>
      </c>
      <c r="AA775">
        <v>0</v>
      </c>
      <c r="AB775" s="2">
        <v>0</v>
      </c>
      <c r="AC775" s="2">
        <v>0</v>
      </c>
      <c r="AD775" s="3">
        <v>0</v>
      </c>
      <c r="AE775" s="2">
        <v>0</v>
      </c>
      <c r="AF775" s="2">
        <v>0</v>
      </c>
      <c r="AG775" s="2">
        <v>0</v>
      </c>
      <c r="AH775" s="2">
        <v>0</v>
      </c>
      <c r="AI775" s="2">
        <v>0</v>
      </c>
      <c r="AJ775" s="2">
        <v>0</v>
      </c>
      <c r="AK775" s="2">
        <v>0</v>
      </c>
      <c r="AL775" s="2">
        <v>84.64</v>
      </c>
      <c r="AM775" s="2">
        <v>0</v>
      </c>
      <c r="AN775" s="2">
        <v>0</v>
      </c>
      <c r="AO775" s="2">
        <v>0</v>
      </c>
      <c r="AP775" s="2">
        <v>0</v>
      </c>
      <c r="AQ775" s="2">
        <v>0</v>
      </c>
    </row>
    <row r="776" spans="1:43" x14ac:dyDescent="0.25">
      <c r="A776" s="1">
        <v>45936</v>
      </c>
      <c r="B776" t="s">
        <v>48</v>
      </c>
      <c r="C776">
        <v>649163</v>
      </c>
      <c r="D776">
        <v>2030841404</v>
      </c>
      <c r="E776" t="s">
        <v>1099</v>
      </c>
      <c r="F776" t="s">
        <v>593</v>
      </c>
      <c r="G776" t="s">
        <v>51</v>
      </c>
      <c r="H776" t="s">
        <v>431</v>
      </c>
      <c r="I776" t="s">
        <v>292</v>
      </c>
      <c r="J776" t="s">
        <v>293</v>
      </c>
      <c r="K776">
        <v>673059</v>
      </c>
      <c r="L776" t="s">
        <v>80</v>
      </c>
      <c r="M776" t="s">
        <v>81</v>
      </c>
      <c r="N776" t="s">
        <v>456</v>
      </c>
      <c r="O776" s="1">
        <v>45927</v>
      </c>
      <c r="P776" s="1">
        <v>45936</v>
      </c>
      <c r="Q776" s="1">
        <v>45957</v>
      </c>
      <c r="R776" s="2">
        <v>-69.66</v>
      </c>
      <c r="S776">
        <v>1</v>
      </c>
      <c r="T776" t="s">
        <v>58</v>
      </c>
      <c r="U776" t="s">
        <v>59</v>
      </c>
      <c r="V776" s="3">
        <v>0.7</v>
      </c>
      <c r="W776" s="2">
        <v>0</v>
      </c>
      <c r="X776">
        <v>-1</v>
      </c>
      <c r="Y776" t="s">
        <v>60</v>
      </c>
      <c r="Z776" t="s">
        <v>360</v>
      </c>
      <c r="AA776">
        <v>0</v>
      </c>
      <c r="AB776" s="2">
        <v>0</v>
      </c>
      <c r="AC776" s="2">
        <v>0</v>
      </c>
      <c r="AD776" s="3">
        <v>0</v>
      </c>
      <c r="AE776" s="2">
        <v>0</v>
      </c>
      <c r="AF776" s="2">
        <v>0</v>
      </c>
      <c r="AG776" s="2">
        <v>0</v>
      </c>
      <c r="AH776" s="2">
        <v>0</v>
      </c>
      <c r="AI776" s="2">
        <v>0</v>
      </c>
      <c r="AJ776" s="2">
        <v>0</v>
      </c>
      <c r="AK776" s="2">
        <v>0</v>
      </c>
      <c r="AL776" s="2">
        <v>0</v>
      </c>
      <c r="AM776" s="2">
        <v>-48.76</v>
      </c>
      <c r="AN776" s="2">
        <v>-48.76</v>
      </c>
      <c r="AO776" s="2">
        <v>0</v>
      </c>
      <c r="AP776" s="2">
        <v>0</v>
      </c>
      <c r="AQ776" s="2">
        <v>0</v>
      </c>
    </row>
    <row r="777" spans="1:43" x14ac:dyDescent="0.25">
      <c r="A777" s="1">
        <v>45936</v>
      </c>
      <c r="B777" t="s">
        <v>48</v>
      </c>
      <c r="C777">
        <v>649163</v>
      </c>
      <c r="D777">
        <v>2030841405</v>
      </c>
      <c r="E777" t="s">
        <v>1099</v>
      </c>
      <c r="F777" t="s">
        <v>593</v>
      </c>
      <c r="G777" t="s">
        <v>51</v>
      </c>
      <c r="H777" t="s">
        <v>431</v>
      </c>
      <c r="I777" t="s">
        <v>292</v>
      </c>
      <c r="J777" t="s">
        <v>294</v>
      </c>
      <c r="K777">
        <v>673059</v>
      </c>
      <c r="L777" t="s">
        <v>80</v>
      </c>
      <c r="M777" t="s">
        <v>81</v>
      </c>
      <c r="N777" t="s">
        <v>456</v>
      </c>
      <c r="O777" s="1">
        <v>45927</v>
      </c>
      <c r="P777" s="1">
        <v>45936</v>
      </c>
      <c r="Q777" s="1">
        <v>45957</v>
      </c>
      <c r="R777" s="2">
        <v>-23.39</v>
      </c>
      <c r="S777">
        <v>1</v>
      </c>
      <c r="T777" t="s">
        <v>58</v>
      </c>
      <c r="U777" t="s">
        <v>59</v>
      </c>
      <c r="V777" s="3">
        <v>0.7</v>
      </c>
      <c r="W777" s="2">
        <v>0</v>
      </c>
      <c r="X777">
        <v>-1</v>
      </c>
      <c r="Y777" t="s">
        <v>60</v>
      </c>
      <c r="Z777" t="s">
        <v>360</v>
      </c>
      <c r="AA777">
        <v>0</v>
      </c>
      <c r="AB777" s="2">
        <v>0</v>
      </c>
      <c r="AC777" s="2">
        <v>0</v>
      </c>
      <c r="AD777" s="3">
        <v>0</v>
      </c>
      <c r="AE777" s="2">
        <v>0</v>
      </c>
      <c r="AF777" s="2">
        <v>0</v>
      </c>
      <c r="AG777" s="2">
        <v>0</v>
      </c>
      <c r="AH777" s="2">
        <v>0</v>
      </c>
      <c r="AI777" s="2">
        <v>0</v>
      </c>
      <c r="AJ777" s="2">
        <v>0</v>
      </c>
      <c r="AK777" s="2">
        <v>0</v>
      </c>
      <c r="AL777" s="2">
        <v>0</v>
      </c>
      <c r="AM777" s="2">
        <v>-16.37</v>
      </c>
      <c r="AN777" s="2">
        <v>-16.37</v>
      </c>
      <c r="AO777" s="2">
        <v>0</v>
      </c>
      <c r="AP777" s="2">
        <v>0</v>
      </c>
      <c r="AQ777" s="2">
        <v>0</v>
      </c>
    </row>
    <row r="778" spans="1:43" x14ac:dyDescent="0.25">
      <c r="A778" s="1">
        <v>45936</v>
      </c>
      <c r="B778" t="s">
        <v>48</v>
      </c>
      <c r="C778">
        <v>649163</v>
      </c>
      <c r="D778">
        <v>2030886486</v>
      </c>
      <c r="E778" t="s">
        <v>1100</v>
      </c>
      <c r="F778" t="s">
        <v>92</v>
      </c>
      <c r="G778" t="s">
        <v>51</v>
      </c>
      <c r="H778" t="s">
        <v>323</v>
      </c>
      <c r="I778" t="s">
        <v>292</v>
      </c>
      <c r="J778" t="s">
        <v>293</v>
      </c>
      <c r="K778">
        <v>856163</v>
      </c>
      <c r="L778" t="s">
        <v>66</v>
      </c>
      <c r="M778" t="s">
        <v>156</v>
      </c>
      <c r="N778" t="s">
        <v>57</v>
      </c>
      <c r="O778" s="1">
        <v>45906</v>
      </c>
      <c r="Q778" s="1">
        <v>45967</v>
      </c>
      <c r="R778" s="2">
        <v>35.04</v>
      </c>
      <c r="S778">
        <v>1</v>
      </c>
      <c r="T778" t="s">
        <v>58</v>
      </c>
      <c r="U778" t="s">
        <v>359</v>
      </c>
      <c r="V778" s="3">
        <v>0.7</v>
      </c>
      <c r="W778" s="2">
        <v>0</v>
      </c>
      <c r="X778">
        <v>0</v>
      </c>
      <c r="Y778" t="s">
        <v>60</v>
      </c>
      <c r="Z778" t="s">
        <v>360</v>
      </c>
      <c r="AA778">
        <v>0</v>
      </c>
      <c r="AB778" s="2">
        <v>0</v>
      </c>
      <c r="AC778" s="2">
        <v>0</v>
      </c>
      <c r="AD778" s="3">
        <v>0</v>
      </c>
      <c r="AE778" s="2">
        <v>0</v>
      </c>
      <c r="AF778" s="2">
        <v>0</v>
      </c>
      <c r="AG778" s="2">
        <v>0</v>
      </c>
      <c r="AH778" s="2">
        <v>0</v>
      </c>
      <c r="AI778" s="2">
        <v>0</v>
      </c>
      <c r="AJ778" s="2">
        <v>0</v>
      </c>
      <c r="AK778" s="2">
        <v>0</v>
      </c>
      <c r="AL778" s="2">
        <v>24.53</v>
      </c>
      <c r="AM778" s="2">
        <v>0</v>
      </c>
      <c r="AN778" s="2">
        <v>0</v>
      </c>
      <c r="AO778" s="2">
        <v>0</v>
      </c>
      <c r="AP778" s="2">
        <v>0</v>
      </c>
      <c r="AQ778" s="2">
        <v>0</v>
      </c>
    </row>
    <row r="779" spans="1:43" x14ac:dyDescent="0.25">
      <c r="A779" s="1">
        <v>45936</v>
      </c>
      <c r="B779" t="s">
        <v>48</v>
      </c>
      <c r="C779">
        <v>649163</v>
      </c>
      <c r="D779">
        <v>2030917277</v>
      </c>
      <c r="E779" t="s">
        <v>551</v>
      </c>
      <c r="F779" t="s">
        <v>552</v>
      </c>
      <c r="G779" t="s">
        <v>51</v>
      </c>
      <c r="H779" t="s">
        <v>247</v>
      </c>
      <c r="I779" t="s">
        <v>292</v>
      </c>
      <c r="J779" t="s">
        <v>293</v>
      </c>
      <c r="K779">
        <v>874230</v>
      </c>
      <c r="L779" t="s">
        <v>554</v>
      </c>
      <c r="M779" t="s">
        <v>555</v>
      </c>
      <c r="N779" t="s">
        <v>57</v>
      </c>
      <c r="O779" s="1">
        <v>45910</v>
      </c>
      <c r="Q779" s="1">
        <v>45971</v>
      </c>
      <c r="R779" s="2">
        <v>79.58</v>
      </c>
      <c r="S779">
        <v>1</v>
      </c>
      <c r="T779" t="s">
        <v>58</v>
      </c>
      <c r="U779" t="s">
        <v>359</v>
      </c>
      <c r="V779" s="3">
        <v>0.7</v>
      </c>
      <c r="W779" s="2">
        <v>0</v>
      </c>
      <c r="X779">
        <v>0</v>
      </c>
      <c r="Y779" t="s">
        <v>60</v>
      </c>
      <c r="Z779" t="s">
        <v>360</v>
      </c>
      <c r="AA779">
        <v>0</v>
      </c>
      <c r="AB779" s="2">
        <v>0</v>
      </c>
      <c r="AC779" s="2">
        <v>0</v>
      </c>
      <c r="AD779" s="3">
        <v>0</v>
      </c>
      <c r="AE779" s="2">
        <v>0</v>
      </c>
      <c r="AF779" s="2">
        <v>0</v>
      </c>
      <c r="AG779" s="2">
        <v>0</v>
      </c>
      <c r="AH779" s="2">
        <v>0</v>
      </c>
      <c r="AI779" s="2">
        <v>0</v>
      </c>
      <c r="AJ779" s="2">
        <v>0</v>
      </c>
      <c r="AK779" s="2">
        <v>0</v>
      </c>
      <c r="AL779" s="2">
        <v>55.71</v>
      </c>
      <c r="AM779" s="2">
        <v>0</v>
      </c>
      <c r="AN779" s="2">
        <v>0</v>
      </c>
      <c r="AO779" s="2">
        <v>0</v>
      </c>
      <c r="AP779" s="2">
        <v>0</v>
      </c>
      <c r="AQ779" s="2">
        <v>0</v>
      </c>
    </row>
    <row r="780" spans="1:43" x14ac:dyDescent="0.25">
      <c r="A780" s="1">
        <v>45936</v>
      </c>
      <c r="B780" t="s">
        <v>48</v>
      </c>
      <c r="C780">
        <v>649163</v>
      </c>
      <c r="D780">
        <v>2030933671</v>
      </c>
      <c r="E780" t="s">
        <v>955</v>
      </c>
      <c r="F780" t="s">
        <v>956</v>
      </c>
      <c r="G780" t="s">
        <v>51</v>
      </c>
      <c r="H780" t="s">
        <v>105</v>
      </c>
      <c r="I780" t="s">
        <v>292</v>
      </c>
      <c r="J780" t="s">
        <v>331</v>
      </c>
      <c r="K780">
        <v>823068</v>
      </c>
      <c r="L780" t="s">
        <v>106</v>
      </c>
      <c r="M780" t="s">
        <v>107</v>
      </c>
      <c r="N780" t="s">
        <v>57</v>
      </c>
      <c r="O780" s="1">
        <v>45909</v>
      </c>
      <c r="Q780" s="1">
        <v>45970</v>
      </c>
      <c r="R780" s="2">
        <v>27.8</v>
      </c>
      <c r="S780">
        <v>1</v>
      </c>
      <c r="T780" t="s">
        <v>58</v>
      </c>
      <c r="U780" t="s">
        <v>59</v>
      </c>
      <c r="V780" s="3">
        <v>0.42</v>
      </c>
      <c r="W780" s="2">
        <v>0</v>
      </c>
      <c r="X780">
        <v>0</v>
      </c>
      <c r="Y780" t="s">
        <v>60</v>
      </c>
      <c r="Z780" t="s">
        <v>360</v>
      </c>
      <c r="AA780">
        <v>0</v>
      </c>
      <c r="AB780" s="2">
        <v>0</v>
      </c>
      <c r="AC780" s="2">
        <v>0</v>
      </c>
      <c r="AD780" s="3">
        <v>0</v>
      </c>
      <c r="AE780" s="2">
        <v>0</v>
      </c>
      <c r="AF780" s="2">
        <v>0</v>
      </c>
      <c r="AG780" s="2">
        <v>0</v>
      </c>
      <c r="AH780" s="2">
        <v>0</v>
      </c>
      <c r="AI780" s="2">
        <v>0</v>
      </c>
      <c r="AJ780" s="2">
        <v>0</v>
      </c>
      <c r="AK780" s="2">
        <v>0</v>
      </c>
      <c r="AL780" s="2">
        <v>11.68</v>
      </c>
      <c r="AM780" s="2">
        <v>0</v>
      </c>
      <c r="AN780" s="2">
        <v>0</v>
      </c>
      <c r="AO780" s="2">
        <v>0</v>
      </c>
      <c r="AP780" s="2">
        <v>0</v>
      </c>
      <c r="AQ780" s="2">
        <v>0</v>
      </c>
    </row>
    <row r="781" spans="1:43" x14ac:dyDescent="0.25">
      <c r="A781" s="1">
        <v>45936</v>
      </c>
      <c r="B781" t="s">
        <v>48</v>
      </c>
      <c r="C781">
        <v>649163</v>
      </c>
      <c r="D781">
        <v>2030933672</v>
      </c>
      <c r="E781" t="s">
        <v>955</v>
      </c>
      <c r="F781" t="s">
        <v>956</v>
      </c>
      <c r="G781" t="s">
        <v>51</v>
      </c>
      <c r="H781" t="s">
        <v>105</v>
      </c>
      <c r="I781" t="s">
        <v>292</v>
      </c>
      <c r="J781" t="s">
        <v>294</v>
      </c>
      <c r="K781">
        <v>823068</v>
      </c>
      <c r="L781" t="s">
        <v>106</v>
      </c>
      <c r="M781" t="s">
        <v>107</v>
      </c>
      <c r="N781" t="s">
        <v>57</v>
      </c>
      <c r="O781" s="1">
        <v>45909</v>
      </c>
      <c r="Q781" s="1">
        <v>45970</v>
      </c>
      <c r="R781" s="2">
        <v>24.61</v>
      </c>
      <c r="S781">
        <v>1</v>
      </c>
      <c r="T781" t="s">
        <v>58</v>
      </c>
      <c r="U781" t="s">
        <v>59</v>
      </c>
      <c r="V781" s="3">
        <v>0.7</v>
      </c>
      <c r="W781" s="2">
        <v>0</v>
      </c>
      <c r="X781">
        <v>0</v>
      </c>
      <c r="Y781" t="s">
        <v>60</v>
      </c>
      <c r="Z781" t="s">
        <v>360</v>
      </c>
      <c r="AA781">
        <v>0</v>
      </c>
      <c r="AB781" s="2">
        <v>0</v>
      </c>
      <c r="AC781" s="2">
        <v>0</v>
      </c>
      <c r="AD781" s="3">
        <v>0</v>
      </c>
      <c r="AE781" s="2">
        <v>0</v>
      </c>
      <c r="AF781" s="2">
        <v>0</v>
      </c>
      <c r="AG781" s="2">
        <v>0</v>
      </c>
      <c r="AH781" s="2">
        <v>0</v>
      </c>
      <c r="AI781" s="2">
        <v>0</v>
      </c>
      <c r="AJ781" s="2">
        <v>0</v>
      </c>
      <c r="AK781" s="2">
        <v>0</v>
      </c>
      <c r="AL781" s="2">
        <v>17.23</v>
      </c>
      <c r="AM781" s="2">
        <v>0</v>
      </c>
      <c r="AN781" s="2">
        <v>0</v>
      </c>
      <c r="AO781" s="2">
        <v>0</v>
      </c>
      <c r="AP781" s="2">
        <v>0</v>
      </c>
      <c r="AQ781" s="2">
        <v>0</v>
      </c>
    </row>
    <row r="782" spans="1:43" x14ac:dyDescent="0.25">
      <c r="A782" s="1">
        <v>45936</v>
      </c>
      <c r="B782" t="s">
        <v>48</v>
      </c>
      <c r="C782">
        <v>649163</v>
      </c>
      <c r="D782">
        <v>2030940127</v>
      </c>
      <c r="E782" t="s">
        <v>1101</v>
      </c>
      <c r="F782" t="s">
        <v>1102</v>
      </c>
      <c r="G782" t="s">
        <v>51</v>
      </c>
      <c r="H782" t="s">
        <v>52</v>
      </c>
      <c r="I782" t="s">
        <v>292</v>
      </c>
      <c r="J782" t="s">
        <v>293</v>
      </c>
      <c r="K782">
        <v>673059</v>
      </c>
      <c r="L782" t="s">
        <v>80</v>
      </c>
      <c r="M782" t="s">
        <v>81</v>
      </c>
      <c r="N782" t="s">
        <v>57</v>
      </c>
      <c r="O782" s="1">
        <v>45909</v>
      </c>
      <c r="Q782" s="1">
        <v>45970</v>
      </c>
      <c r="R782" s="2">
        <v>147.4</v>
      </c>
      <c r="S782">
        <v>1</v>
      </c>
      <c r="T782" t="s">
        <v>58</v>
      </c>
      <c r="U782" t="s">
        <v>59</v>
      </c>
      <c r="V782" s="3">
        <v>0.7</v>
      </c>
      <c r="W782" s="2">
        <v>0</v>
      </c>
      <c r="X782">
        <v>0</v>
      </c>
      <c r="Y782" t="s">
        <v>60</v>
      </c>
      <c r="Z782" t="s">
        <v>360</v>
      </c>
      <c r="AA782">
        <v>0</v>
      </c>
      <c r="AB782" s="2">
        <v>0</v>
      </c>
      <c r="AC782" s="2">
        <v>0</v>
      </c>
      <c r="AD782" s="3">
        <v>0</v>
      </c>
      <c r="AE782" s="2">
        <v>0</v>
      </c>
      <c r="AF782" s="2">
        <v>0</v>
      </c>
      <c r="AG782" s="2">
        <v>0</v>
      </c>
      <c r="AH782" s="2">
        <v>0</v>
      </c>
      <c r="AI782" s="2">
        <v>0</v>
      </c>
      <c r="AJ782" s="2">
        <v>0</v>
      </c>
      <c r="AK782" s="2">
        <v>0</v>
      </c>
      <c r="AL782" s="2">
        <v>103.18</v>
      </c>
      <c r="AM782" s="2">
        <v>0</v>
      </c>
      <c r="AN782" s="2">
        <v>0</v>
      </c>
      <c r="AO782" s="2">
        <v>0</v>
      </c>
      <c r="AP782" s="2">
        <v>0</v>
      </c>
      <c r="AQ782" s="2">
        <v>0</v>
      </c>
    </row>
    <row r="783" spans="1:43" x14ac:dyDescent="0.25">
      <c r="A783" s="1">
        <v>45936</v>
      </c>
      <c r="B783" t="s">
        <v>48</v>
      </c>
      <c r="C783">
        <v>649163</v>
      </c>
      <c r="D783">
        <v>2030945123</v>
      </c>
      <c r="E783" t="s">
        <v>388</v>
      </c>
      <c r="F783" t="s">
        <v>453</v>
      </c>
      <c r="G783" t="s">
        <v>51</v>
      </c>
      <c r="H783" t="s">
        <v>101</v>
      </c>
      <c r="I783" t="s">
        <v>292</v>
      </c>
      <c r="J783" t="s">
        <v>331</v>
      </c>
      <c r="K783">
        <v>820873</v>
      </c>
      <c r="L783" t="s">
        <v>134</v>
      </c>
      <c r="M783" t="s">
        <v>135</v>
      </c>
      <c r="N783" t="s">
        <v>57</v>
      </c>
      <c r="O783" s="1">
        <v>45909</v>
      </c>
      <c r="Q783" s="1">
        <v>45970</v>
      </c>
      <c r="R783" s="2">
        <v>25.08</v>
      </c>
      <c r="S783">
        <v>1</v>
      </c>
      <c r="T783" t="s">
        <v>58</v>
      </c>
      <c r="U783" t="s">
        <v>59</v>
      </c>
      <c r="V783" s="3">
        <v>0.42</v>
      </c>
      <c r="W783" s="2">
        <v>0</v>
      </c>
      <c r="X783">
        <v>0</v>
      </c>
      <c r="Y783" t="s">
        <v>60</v>
      </c>
      <c r="Z783" t="s">
        <v>360</v>
      </c>
      <c r="AA783">
        <v>0</v>
      </c>
      <c r="AB783" s="2">
        <v>0</v>
      </c>
      <c r="AC783" s="2">
        <v>0</v>
      </c>
      <c r="AD783" s="3">
        <v>0</v>
      </c>
      <c r="AE783" s="2">
        <v>0</v>
      </c>
      <c r="AF783" s="2">
        <v>0</v>
      </c>
      <c r="AG783" s="2">
        <v>0</v>
      </c>
      <c r="AH783" s="2">
        <v>0</v>
      </c>
      <c r="AI783" s="2">
        <v>0</v>
      </c>
      <c r="AJ783" s="2">
        <v>0</v>
      </c>
      <c r="AK783" s="2">
        <v>0</v>
      </c>
      <c r="AL783" s="2">
        <v>10.53</v>
      </c>
      <c r="AM783" s="2">
        <v>0</v>
      </c>
      <c r="AN783" s="2">
        <v>0</v>
      </c>
      <c r="AO783" s="2">
        <v>0</v>
      </c>
      <c r="AP783" s="2">
        <v>0</v>
      </c>
      <c r="AQ783" s="2">
        <v>0</v>
      </c>
    </row>
    <row r="784" spans="1:43" x14ac:dyDescent="0.25">
      <c r="A784" s="1">
        <v>45936</v>
      </c>
      <c r="B784" t="s">
        <v>48</v>
      </c>
      <c r="C784">
        <v>649163</v>
      </c>
      <c r="D784">
        <v>2030963808</v>
      </c>
      <c r="E784" t="s">
        <v>958</v>
      </c>
      <c r="F784" t="s">
        <v>959</v>
      </c>
      <c r="G784" t="s">
        <v>51</v>
      </c>
      <c r="H784" t="s">
        <v>88</v>
      </c>
      <c r="I784" t="s">
        <v>292</v>
      </c>
      <c r="J784" t="s">
        <v>293</v>
      </c>
      <c r="K784">
        <v>673059</v>
      </c>
      <c r="L784" t="s">
        <v>80</v>
      </c>
      <c r="M784" t="s">
        <v>81</v>
      </c>
      <c r="N784" t="s">
        <v>57</v>
      </c>
      <c r="O784" s="1">
        <v>45910</v>
      </c>
      <c r="Q784" s="1">
        <v>45971</v>
      </c>
      <c r="R784" s="2">
        <v>57.27</v>
      </c>
      <c r="S784">
        <v>1</v>
      </c>
      <c r="T784" t="s">
        <v>58</v>
      </c>
      <c r="U784" t="s">
        <v>59</v>
      </c>
      <c r="V784" s="3">
        <v>0.7</v>
      </c>
      <c r="W784" s="2">
        <v>0</v>
      </c>
      <c r="X784">
        <v>0</v>
      </c>
      <c r="Y784" t="s">
        <v>60</v>
      </c>
      <c r="Z784" t="s">
        <v>360</v>
      </c>
      <c r="AA784">
        <v>0</v>
      </c>
      <c r="AB784" s="2">
        <v>0</v>
      </c>
      <c r="AC784" s="2">
        <v>0</v>
      </c>
      <c r="AD784" s="3">
        <v>0</v>
      </c>
      <c r="AE784" s="2">
        <v>0</v>
      </c>
      <c r="AF784" s="2">
        <v>0</v>
      </c>
      <c r="AG784" s="2">
        <v>0</v>
      </c>
      <c r="AH784" s="2">
        <v>0</v>
      </c>
      <c r="AI784" s="2">
        <v>0</v>
      </c>
      <c r="AJ784" s="2">
        <v>0</v>
      </c>
      <c r="AK784" s="2">
        <v>0</v>
      </c>
      <c r="AL784" s="2">
        <v>40.090000000000003</v>
      </c>
      <c r="AM784" s="2">
        <v>0</v>
      </c>
      <c r="AN784" s="2">
        <v>0</v>
      </c>
      <c r="AO784" s="2">
        <v>0</v>
      </c>
      <c r="AP784" s="2">
        <v>0</v>
      </c>
      <c r="AQ784" s="2">
        <v>0</v>
      </c>
    </row>
    <row r="785" spans="1:43" x14ac:dyDescent="0.25">
      <c r="A785" s="1">
        <v>45936</v>
      </c>
      <c r="B785" t="s">
        <v>48</v>
      </c>
      <c r="C785">
        <v>649163</v>
      </c>
      <c r="D785">
        <v>2030966818</v>
      </c>
      <c r="E785" t="s">
        <v>361</v>
      </c>
      <c r="F785" t="s">
        <v>362</v>
      </c>
      <c r="G785" t="s">
        <v>51</v>
      </c>
      <c r="H785" t="s">
        <v>323</v>
      </c>
      <c r="I785" t="s">
        <v>292</v>
      </c>
      <c r="J785" t="s">
        <v>293</v>
      </c>
      <c r="K785">
        <v>823350</v>
      </c>
      <c r="L785" t="s">
        <v>66</v>
      </c>
      <c r="M785" t="s">
        <v>67</v>
      </c>
      <c r="N785" t="s">
        <v>57</v>
      </c>
      <c r="O785" s="1">
        <v>45910</v>
      </c>
      <c r="Q785" s="1">
        <v>45971</v>
      </c>
      <c r="R785" s="2">
        <v>18.57</v>
      </c>
      <c r="S785">
        <v>1</v>
      </c>
      <c r="T785" t="s">
        <v>58</v>
      </c>
      <c r="U785" t="s">
        <v>59</v>
      </c>
      <c r="V785" s="3">
        <v>0.7</v>
      </c>
      <c r="W785" s="2">
        <v>0</v>
      </c>
      <c r="X785">
        <v>0</v>
      </c>
      <c r="Y785" t="s">
        <v>60</v>
      </c>
      <c r="Z785" t="s">
        <v>360</v>
      </c>
      <c r="AA785">
        <v>0</v>
      </c>
      <c r="AB785" s="2">
        <v>0</v>
      </c>
      <c r="AC785" s="2">
        <v>0</v>
      </c>
      <c r="AD785" s="3">
        <v>0</v>
      </c>
      <c r="AE785" s="2">
        <v>0</v>
      </c>
      <c r="AF785" s="2">
        <v>0</v>
      </c>
      <c r="AG785" s="2">
        <v>0</v>
      </c>
      <c r="AH785" s="2">
        <v>0</v>
      </c>
      <c r="AI785" s="2">
        <v>0</v>
      </c>
      <c r="AJ785" s="2">
        <v>0</v>
      </c>
      <c r="AK785" s="2">
        <v>0</v>
      </c>
      <c r="AL785" s="2">
        <v>13</v>
      </c>
      <c r="AM785" s="2">
        <v>0</v>
      </c>
      <c r="AN785" s="2">
        <v>0</v>
      </c>
      <c r="AO785" s="2">
        <v>0</v>
      </c>
      <c r="AP785" s="2">
        <v>0</v>
      </c>
      <c r="AQ785" s="2">
        <v>0</v>
      </c>
    </row>
    <row r="786" spans="1:43" x14ac:dyDescent="0.25">
      <c r="A786" s="1">
        <v>45936</v>
      </c>
      <c r="B786" t="s">
        <v>48</v>
      </c>
      <c r="C786">
        <v>649163</v>
      </c>
      <c r="D786">
        <v>2031250521</v>
      </c>
      <c r="E786" t="s">
        <v>457</v>
      </c>
      <c r="F786" t="s">
        <v>458</v>
      </c>
      <c r="G786" t="s">
        <v>51</v>
      </c>
      <c r="H786" t="s">
        <v>101</v>
      </c>
      <c r="I786" t="s">
        <v>292</v>
      </c>
      <c r="J786" t="s">
        <v>293</v>
      </c>
      <c r="K786">
        <v>673059</v>
      </c>
      <c r="L786" t="s">
        <v>80</v>
      </c>
      <c r="M786" t="s">
        <v>81</v>
      </c>
      <c r="N786" t="s">
        <v>456</v>
      </c>
      <c r="O786" s="1">
        <v>45931</v>
      </c>
      <c r="P786" s="1">
        <v>45936</v>
      </c>
      <c r="Q786" s="1">
        <v>45962</v>
      </c>
      <c r="R786" s="2">
        <v>-170.5</v>
      </c>
      <c r="S786">
        <v>1</v>
      </c>
      <c r="T786" t="s">
        <v>58</v>
      </c>
      <c r="U786" t="s">
        <v>213</v>
      </c>
      <c r="V786" s="3">
        <v>0.7</v>
      </c>
      <c r="W786" s="2">
        <v>0</v>
      </c>
      <c r="X786">
        <v>-1</v>
      </c>
      <c r="Y786" t="s">
        <v>60</v>
      </c>
      <c r="Z786" t="s">
        <v>360</v>
      </c>
      <c r="AA786">
        <v>0</v>
      </c>
      <c r="AB786" s="2">
        <v>0</v>
      </c>
      <c r="AC786" s="2">
        <v>0</v>
      </c>
      <c r="AD786" s="3">
        <v>0</v>
      </c>
      <c r="AE786" s="2">
        <v>0</v>
      </c>
      <c r="AF786" s="2">
        <v>0</v>
      </c>
      <c r="AG786" s="2">
        <v>0</v>
      </c>
      <c r="AH786" s="2">
        <v>0</v>
      </c>
      <c r="AI786" s="2">
        <v>0</v>
      </c>
      <c r="AJ786" s="2">
        <v>0</v>
      </c>
      <c r="AK786" s="2">
        <v>0</v>
      </c>
      <c r="AL786" s="2">
        <v>0</v>
      </c>
      <c r="AM786" s="2">
        <v>-119.35</v>
      </c>
      <c r="AN786" s="2">
        <v>-119.35</v>
      </c>
      <c r="AO786" s="2">
        <v>0</v>
      </c>
      <c r="AP786" s="2">
        <v>0</v>
      </c>
      <c r="AQ786" s="2">
        <v>0</v>
      </c>
    </row>
    <row r="787" spans="1:43" x14ac:dyDescent="0.25">
      <c r="A787" s="1">
        <v>45936</v>
      </c>
      <c r="B787" t="s">
        <v>48</v>
      </c>
      <c r="C787">
        <v>649163</v>
      </c>
      <c r="D787">
        <v>2020895974</v>
      </c>
      <c r="E787" t="s">
        <v>97</v>
      </c>
      <c r="F787" t="s">
        <v>482</v>
      </c>
      <c r="G787" t="s">
        <v>51</v>
      </c>
      <c r="H787" t="s">
        <v>247</v>
      </c>
      <c r="I787" t="s">
        <v>344</v>
      </c>
      <c r="J787" t="s">
        <v>553</v>
      </c>
      <c r="K787">
        <v>673059</v>
      </c>
      <c r="L787" t="s">
        <v>80</v>
      </c>
      <c r="M787" t="s">
        <v>81</v>
      </c>
      <c r="N787" t="s">
        <v>456</v>
      </c>
      <c r="O787" s="1">
        <v>45657</v>
      </c>
      <c r="P787" s="1">
        <v>45936</v>
      </c>
      <c r="Q787" s="1">
        <v>45960</v>
      </c>
      <c r="R787" s="2">
        <v>-349.55</v>
      </c>
      <c r="S787">
        <v>1</v>
      </c>
      <c r="T787" t="s">
        <v>58</v>
      </c>
      <c r="U787" t="s">
        <v>359</v>
      </c>
      <c r="V787" s="3">
        <v>0.19</v>
      </c>
      <c r="W787" s="2">
        <v>0</v>
      </c>
      <c r="X787">
        <v>-1</v>
      </c>
      <c r="Y787" t="s">
        <v>60</v>
      </c>
      <c r="Z787" t="s">
        <v>360</v>
      </c>
      <c r="AA787">
        <v>0</v>
      </c>
      <c r="AB787" s="2">
        <v>0</v>
      </c>
      <c r="AC787" s="2">
        <v>0</v>
      </c>
      <c r="AD787" s="3">
        <v>0</v>
      </c>
      <c r="AE787" s="2">
        <v>0</v>
      </c>
      <c r="AF787" s="2">
        <v>0</v>
      </c>
      <c r="AG787" s="2">
        <v>0</v>
      </c>
      <c r="AH787" s="2">
        <v>0</v>
      </c>
      <c r="AI787" s="2">
        <v>0</v>
      </c>
      <c r="AJ787" s="2">
        <v>0</v>
      </c>
      <c r="AK787" s="2">
        <v>0</v>
      </c>
      <c r="AL787" s="2">
        <v>0</v>
      </c>
      <c r="AM787" s="2">
        <v>-66.41</v>
      </c>
      <c r="AN787" s="2">
        <v>-66.41</v>
      </c>
      <c r="AO787" s="2">
        <v>0</v>
      </c>
      <c r="AP787" s="2">
        <v>0</v>
      </c>
      <c r="AQ787" s="2">
        <v>0</v>
      </c>
    </row>
    <row r="788" spans="1:43" x14ac:dyDescent="0.25">
      <c r="A788" s="1">
        <v>45936</v>
      </c>
      <c r="B788" t="s">
        <v>48</v>
      </c>
      <c r="C788">
        <v>649163</v>
      </c>
      <c r="D788">
        <v>2027500015</v>
      </c>
      <c r="E788" t="s">
        <v>1103</v>
      </c>
      <c r="F788" t="s">
        <v>1104</v>
      </c>
      <c r="G788" t="s">
        <v>51</v>
      </c>
      <c r="H788" t="s">
        <v>376</v>
      </c>
      <c r="I788" t="s">
        <v>243</v>
      </c>
      <c r="J788" t="s">
        <v>244</v>
      </c>
      <c r="K788">
        <v>822865</v>
      </c>
      <c r="L788" t="s">
        <v>146</v>
      </c>
      <c r="M788" t="s">
        <v>147</v>
      </c>
      <c r="N788" t="s">
        <v>57</v>
      </c>
      <c r="O788" s="1">
        <v>45718</v>
      </c>
      <c r="Q788" s="1">
        <v>45963</v>
      </c>
      <c r="R788" s="2">
        <v>36.299999999999997</v>
      </c>
      <c r="S788">
        <v>1</v>
      </c>
      <c r="T788" t="s">
        <v>58</v>
      </c>
      <c r="U788" t="s">
        <v>359</v>
      </c>
      <c r="V788" s="4">
        <v>0.375</v>
      </c>
      <c r="W788" s="2">
        <v>0</v>
      </c>
      <c r="X788">
        <v>0</v>
      </c>
      <c r="Y788" t="s">
        <v>60</v>
      </c>
      <c r="Z788" t="s">
        <v>360</v>
      </c>
      <c r="AA788">
        <v>0</v>
      </c>
      <c r="AB788" s="2">
        <v>0</v>
      </c>
      <c r="AC788" s="2">
        <v>0</v>
      </c>
      <c r="AD788" s="3">
        <v>0</v>
      </c>
      <c r="AE788" s="2">
        <v>0</v>
      </c>
      <c r="AF788" s="2">
        <v>0</v>
      </c>
      <c r="AG788" s="2">
        <v>0</v>
      </c>
      <c r="AH788" s="2">
        <v>0</v>
      </c>
      <c r="AI788" s="2">
        <v>0</v>
      </c>
      <c r="AJ788" s="2">
        <v>0</v>
      </c>
      <c r="AK788" s="2">
        <v>0</v>
      </c>
      <c r="AL788" s="2">
        <v>0</v>
      </c>
      <c r="AM788" s="2">
        <v>13.61</v>
      </c>
      <c r="AN788" s="2">
        <v>13.61</v>
      </c>
      <c r="AO788" s="2">
        <v>0</v>
      </c>
      <c r="AP788" s="2">
        <v>0</v>
      </c>
      <c r="AQ788" s="2">
        <v>0</v>
      </c>
    </row>
    <row r="789" spans="1:43" x14ac:dyDescent="0.25">
      <c r="A789" s="1">
        <v>45936</v>
      </c>
      <c r="B789" t="s">
        <v>48</v>
      </c>
      <c r="C789">
        <v>649163</v>
      </c>
      <c r="D789">
        <v>2027545460</v>
      </c>
      <c r="E789" t="s">
        <v>1003</v>
      </c>
      <c r="F789" t="s">
        <v>1004</v>
      </c>
      <c r="G789" t="s">
        <v>51</v>
      </c>
      <c r="H789" t="s">
        <v>101</v>
      </c>
      <c r="I789" t="s">
        <v>243</v>
      </c>
      <c r="J789" t="s">
        <v>244</v>
      </c>
      <c r="K789">
        <v>651818</v>
      </c>
      <c r="L789" t="s">
        <v>112</v>
      </c>
      <c r="M789" t="s">
        <v>104</v>
      </c>
      <c r="N789" t="s">
        <v>57</v>
      </c>
      <c r="O789" s="1">
        <v>45723</v>
      </c>
      <c r="Q789" s="1">
        <v>45968</v>
      </c>
      <c r="R789" s="2">
        <v>48.61</v>
      </c>
      <c r="S789">
        <v>1</v>
      </c>
      <c r="T789" t="s">
        <v>58</v>
      </c>
      <c r="U789" t="s">
        <v>359</v>
      </c>
      <c r="V789" s="4">
        <v>0.375</v>
      </c>
      <c r="W789" s="2">
        <v>0</v>
      </c>
      <c r="X789">
        <v>0</v>
      </c>
      <c r="Y789" t="s">
        <v>60</v>
      </c>
      <c r="Z789" t="s">
        <v>360</v>
      </c>
      <c r="AA789">
        <v>0</v>
      </c>
      <c r="AB789" s="2">
        <v>0</v>
      </c>
      <c r="AC789" s="2">
        <v>0</v>
      </c>
      <c r="AD789" s="3">
        <v>0</v>
      </c>
      <c r="AE789" s="2">
        <v>0</v>
      </c>
      <c r="AF789" s="2">
        <v>0</v>
      </c>
      <c r="AG789" s="2">
        <v>0</v>
      </c>
      <c r="AH789" s="2">
        <v>0</v>
      </c>
      <c r="AI789" s="2">
        <v>0</v>
      </c>
      <c r="AJ789" s="2">
        <v>0</v>
      </c>
      <c r="AK789" s="2">
        <v>0</v>
      </c>
      <c r="AL789" s="2">
        <v>0</v>
      </c>
      <c r="AM789" s="2">
        <v>18.23</v>
      </c>
      <c r="AN789" s="2">
        <v>18.23</v>
      </c>
      <c r="AO789" s="2">
        <v>0</v>
      </c>
      <c r="AP789" s="2">
        <v>0</v>
      </c>
      <c r="AQ789" s="2">
        <v>0</v>
      </c>
    </row>
    <row r="790" spans="1:43" x14ac:dyDescent="0.25">
      <c r="A790" s="1">
        <v>45936</v>
      </c>
      <c r="B790" t="s">
        <v>48</v>
      </c>
      <c r="C790">
        <v>649163</v>
      </c>
      <c r="D790">
        <v>2027573959</v>
      </c>
      <c r="E790" t="s">
        <v>1005</v>
      </c>
      <c r="F790" t="s">
        <v>673</v>
      </c>
      <c r="G790" t="s">
        <v>51</v>
      </c>
      <c r="H790" t="s">
        <v>431</v>
      </c>
      <c r="I790" t="s">
        <v>243</v>
      </c>
      <c r="J790" t="s">
        <v>244</v>
      </c>
      <c r="K790">
        <v>673059</v>
      </c>
      <c r="L790" t="s">
        <v>80</v>
      </c>
      <c r="M790" t="s">
        <v>81</v>
      </c>
      <c r="N790" t="s">
        <v>57</v>
      </c>
      <c r="O790" s="1">
        <v>45757</v>
      </c>
      <c r="Q790" s="1">
        <v>45971</v>
      </c>
      <c r="R790" s="2">
        <v>23.34</v>
      </c>
      <c r="S790">
        <v>1</v>
      </c>
      <c r="T790" t="s">
        <v>58</v>
      </c>
      <c r="U790" t="s">
        <v>359</v>
      </c>
      <c r="V790" s="4">
        <v>0.375</v>
      </c>
      <c r="W790" s="2">
        <v>0</v>
      </c>
      <c r="X790">
        <v>0</v>
      </c>
      <c r="Y790" t="s">
        <v>60</v>
      </c>
      <c r="Z790" t="s">
        <v>360</v>
      </c>
      <c r="AA790">
        <v>0</v>
      </c>
      <c r="AB790" s="2">
        <v>0</v>
      </c>
      <c r="AC790" s="2">
        <v>0</v>
      </c>
      <c r="AD790" s="3">
        <v>0</v>
      </c>
      <c r="AE790" s="2">
        <v>0</v>
      </c>
      <c r="AF790" s="2">
        <v>0</v>
      </c>
      <c r="AG790" s="2">
        <v>0</v>
      </c>
      <c r="AH790" s="2">
        <v>0</v>
      </c>
      <c r="AI790" s="2">
        <v>0</v>
      </c>
      <c r="AJ790" s="2">
        <v>0</v>
      </c>
      <c r="AK790" s="2">
        <v>0</v>
      </c>
      <c r="AL790" s="2">
        <v>0</v>
      </c>
      <c r="AM790" s="2">
        <v>8.75</v>
      </c>
      <c r="AN790" s="2">
        <v>8.75</v>
      </c>
      <c r="AO790" s="2">
        <v>0</v>
      </c>
      <c r="AP790" s="2">
        <v>0</v>
      </c>
      <c r="AQ790" s="2">
        <v>0</v>
      </c>
    </row>
    <row r="791" spans="1:43" x14ac:dyDescent="0.25">
      <c r="A791" s="1">
        <v>45936</v>
      </c>
      <c r="B791" t="s">
        <v>48</v>
      </c>
      <c r="C791">
        <v>649163</v>
      </c>
      <c r="D791">
        <v>2027763445</v>
      </c>
      <c r="E791" t="s">
        <v>413</v>
      </c>
      <c r="F791" t="s">
        <v>100</v>
      </c>
      <c r="G791" t="s">
        <v>51</v>
      </c>
      <c r="H791" t="s">
        <v>70</v>
      </c>
      <c r="I791" t="s">
        <v>243</v>
      </c>
      <c r="J791" t="s">
        <v>244</v>
      </c>
      <c r="K791">
        <v>650218</v>
      </c>
      <c r="L791" t="s">
        <v>237</v>
      </c>
      <c r="M791" t="s">
        <v>238</v>
      </c>
      <c r="N791" t="s">
        <v>57</v>
      </c>
      <c r="O791" s="1">
        <v>45748</v>
      </c>
      <c r="Q791" s="1">
        <v>45962</v>
      </c>
      <c r="R791" s="2">
        <v>57.79</v>
      </c>
      <c r="S791">
        <v>1</v>
      </c>
      <c r="T791" t="s">
        <v>58</v>
      </c>
      <c r="U791" t="s">
        <v>359</v>
      </c>
      <c r="V791" s="4">
        <v>0.375</v>
      </c>
      <c r="W791" s="2">
        <v>0</v>
      </c>
      <c r="X791">
        <v>0</v>
      </c>
      <c r="Y791" t="s">
        <v>60</v>
      </c>
      <c r="Z791" t="s">
        <v>360</v>
      </c>
      <c r="AA791">
        <v>0</v>
      </c>
      <c r="AB791" s="2">
        <v>0</v>
      </c>
      <c r="AC791" s="2">
        <v>0</v>
      </c>
      <c r="AD791" s="3">
        <v>0</v>
      </c>
      <c r="AE791" s="2">
        <v>0</v>
      </c>
      <c r="AF791" s="2">
        <v>0</v>
      </c>
      <c r="AG791" s="2">
        <v>0</v>
      </c>
      <c r="AH791" s="2">
        <v>0</v>
      </c>
      <c r="AI791" s="2">
        <v>0</v>
      </c>
      <c r="AJ791" s="2">
        <v>0</v>
      </c>
      <c r="AK791" s="2">
        <v>0</v>
      </c>
      <c r="AL791" s="2">
        <v>0</v>
      </c>
      <c r="AM791" s="2">
        <v>21.67</v>
      </c>
      <c r="AN791" s="2">
        <v>21.67</v>
      </c>
      <c r="AO791" s="2">
        <v>0</v>
      </c>
      <c r="AP791" s="2">
        <v>0</v>
      </c>
      <c r="AQ791" s="2">
        <v>0</v>
      </c>
    </row>
    <row r="792" spans="1:43" x14ac:dyDescent="0.25">
      <c r="A792" s="1">
        <v>45936</v>
      </c>
      <c r="B792" t="s">
        <v>48</v>
      </c>
      <c r="C792">
        <v>649163</v>
      </c>
      <c r="D792">
        <v>2028192004</v>
      </c>
      <c r="E792" t="s">
        <v>1017</v>
      </c>
      <c r="F792" t="s">
        <v>1018</v>
      </c>
      <c r="G792" t="s">
        <v>51</v>
      </c>
      <c r="H792" t="s">
        <v>101</v>
      </c>
      <c r="I792" t="s">
        <v>243</v>
      </c>
      <c r="J792" t="s">
        <v>244</v>
      </c>
      <c r="K792">
        <v>840313</v>
      </c>
      <c r="L792" t="s">
        <v>436</v>
      </c>
      <c r="M792" t="s">
        <v>437</v>
      </c>
      <c r="N792" t="s">
        <v>57</v>
      </c>
      <c r="O792" s="1">
        <v>45755</v>
      </c>
      <c r="Q792" s="1">
        <v>45969</v>
      </c>
      <c r="R792" s="2">
        <v>129.41</v>
      </c>
      <c r="S792">
        <v>1</v>
      </c>
      <c r="T792" t="s">
        <v>58</v>
      </c>
      <c r="U792" t="s">
        <v>359</v>
      </c>
      <c r="V792" s="4">
        <v>0.375</v>
      </c>
      <c r="W792" s="2">
        <v>0</v>
      </c>
      <c r="X792">
        <v>0</v>
      </c>
      <c r="Y792" t="s">
        <v>60</v>
      </c>
      <c r="Z792" t="s">
        <v>360</v>
      </c>
      <c r="AA792">
        <v>0</v>
      </c>
      <c r="AB792" s="2">
        <v>0</v>
      </c>
      <c r="AC792" s="2">
        <v>0</v>
      </c>
      <c r="AD792" s="3">
        <v>0</v>
      </c>
      <c r="AE792" s="2">
        <v>0</v>
      </c>
      <c r="AF792" s="2">
        <v>0</v>
      </c>
      <c r="AG792" s="2">
        <v>0</v>
      </c>
      <c r="AH792" s="2">
        <v>0</v>
      </c>
      <c r="AI792" s="2">
        <v>0</v>
      </c>
      <c r="AJ792" s="2">
        <v>0</v>
      </c>
      <c r="AK792" s="2">
        <v>0</v>
      </c>
      <c r="AL792" s="2">
        <v>0</v>
      </c>
      <c r="AM792" s="2">
        <v>48.53</v>
      </c>
      <c r="AN792" s="2">
        <v>48.53</v>
      </c>
      <c r="AO792" s="2">
        <v>0</v>
      </c>
      <c r="AP792" s="2">
        <v>0</v>
      </c>
      <c r="AQ792" s="2">
        <v>0</v>
      </c>
    </row>
    <row r="793" spans="1:43" x14ac:dyDescent="0.25">
      <c r="A793" s="1">
        <v>45936</v>
      </c>
      <c r="B793" t="s">
        <v>48</v>
      </c>
      <c r="C793">
        <v>649163</v>
      </c>
      <c r="D793">
        <v>2028271608</v>
      </c>
      <c r="E793" t="s">
        <v>1105</v>
      </c>
      <c r="F793" t="s">
        <v>1106</v>
      </c>
      <c r="G793" t="s">
        <v>51</v>
      </c>
      <c r="H793" t="s">
        <v>101</v>
      </c>
      <c r="I793" t="s">
        <v>243</v>
      </c>
      <c r="J793" t="s">
        <v>244</v>
      </c>
      <c r="K793">
        <v>856824</v>
      </c>
      <c r="L793" t="s">
        <v>298</v>
      </c>
      <c r="M793" t="s">
        <v>299</v>
      </c>
      <c r="N793" t="s">
        <v>57</v>
      </c>
      <c r="O793" s="1">
        <v>45755</v>
      </c>
      <c r="Q793" s="1">
        <v>45969</v>
      </c>
      <c r="R793" s="2">
        <v>81.94</v>
      </c>
      <c r="S793">
        <v>1</v>
      </c>
      <c r="T793" t="s">
        <v>58</v>
      </c>
      <c r="U793" t="s">
        <v>359</v>
      </c>
      <c r="V793" s="4">
        <v>0.375</v>
      </c>
      <c r="W793" s="2">
        <v>0</v>
      </c>
      <c r="X793">
        <v>0</v>
      </c>
      <c r="Y793" t="s">
        <v>60</v>
      </c>
      <c r="Z793" t="s">
        <v>360</v>
      </c>
      <c r="AA793">
        <v>0</v>
      </c>
      <c r="AB793" s="2">
        <v>0</v>
      </c>
      <c r="AC793" s="2">
        <v>0</v>
      </c>
      <c r="AD793" s="3">
        <v>0</v>
      </c>
      <c r="AE793" s="2">
        <v>0</v>
      </c>
      <c r="AF793" s="2">
        <v>0</v>
      </c>
      <c r="AG793" s="2">
        <v>0</v>
      </c>
      <c r="AH793" s="2">
        <v>0</v>
      </c>
      <c r="AI793" s="2">
        <v>0</v>
      </c>
      <c r="AJ793" s="2">
        <v>0</v>
      </c>
      <c r="AK793" s="2">
        <v>0</v>
      </c>
      <c r="AL793" s="2">
        <v>0</v>
      </c>
      <c r="AM793" s="2">
        <v>30.73</v>
      </c>
      <c r="AN793" s="2">
        <v>30.73</v>
      </c>
      <c r="AO793" s="2">
        <v>0</v>
      </c>
      <c r="AP793" s="2">
        <v>0</v>
      </c>
      <c r="AQ793" s="2">
        <v>0</v>
      </c>
    </row>
    <row r="794" spans="1:43" x14ac:dyDescent="0.25">
      <c r="A794" s="1">
        <v>45936</v>
      </c>
      <c r="B794" t="s">
        <v>48</v>
      </c>
      <c r="C794">
        <v>649163</v>
      </c>
      <c r="D794">
        <v>2028281047</v>
      </c>
      <c r="E794" t="s">
        <v>1020</v>
      </c>
      <c r="F794" t="s">
        <v>1021</v>
      </c>
      <c r="G794" t="s">
        <v>51</v>
      </c>
      <c r="H794" t="s">
        <v>101</v>
      </c>
      <c r="I794" t="s">
        <v>243</v>
      </c>
      <c r="J794" t="s">
        <v>244</v>
      </c>
      <c r="K794">
        <v>806645</v>
      </c>
      <c r="L794" t="s">
        <v>1022</v>
      </c>
      <c r="M794" t="s">
        <v>1023</v>
      </c>
      <c r="N794" t="s">
        <v>57</v>
      </c>
      <c r="O794" s="1">
        <v>45755</v>
      </c>
      <c r="Q794" s="1">
        <v>45969</v>
      </c>
      <c r="R794" s="2">
        <v>59.51</v>
      </c>
      <c r="S794">
        <v>1</v>
      </c>
      <c r="T794" t="s">
        <v>58</v>
      </c>
      <c r="U794" t="s">
        <v>359</v>
      </c>
      <c r="V794" s="4">
        <v>0.375</v>
      </c>
      <c r="W794" s="2">
        <v>0</v>
      </c>
      <c r="X794">
        <v>0</v>
      </c>
      <c r="Y794" t="s">
        <v>60</v>
      </c>
      <c r="Z794" t="s">
        <v>360</v>
      </c>
      <c r="AA794">
        <v>0</v>
      </c>
      <c r="AB794" s="2">
        <v>0</v>
      </c>
      <c r="AC794" s="2">
        <v>0</v>
      </c>
      <c r="AD794" s="3">
        <v>0</v>
      </c>
      <c r="AE794" s="2">
        <v>0</v>
      </c>
      <c r="AF794" s="2">
        <v>0</v>
      </c>
      <c r="AG794" s="2">
        <v>0</v>
      </c>
      <c r="AH794" s="2">
        <v>0</v>
      </c>
      <c r="AI794" s="2">
        <v>0</v>
      </c>
      <c r="AJ794" s="2">
        <v>0</v>
      </c>
      <c r="AK794" s="2">
        <v>0</v>
      </c>
      <c r="AL794" s="2">
        <v>0</v>
      </c>
      <c r="AM794" s="2">
        <v>22.32</v>
      </c>
      <c r="AN794" s="2">
        <v>22.32</v>
      </c>
      <c r="AO794" s="2">
        <v>0</v>
      </c>
      <c r="AP794" s="2">
        <v>0</v>
      </c>
      <c r="AQ794" s="2">
        <v>0</v>
      </c>
    </row>
    <row r="795" spans="1:43" x14ac:dyDescent="0.25">
      <c r="A795" s="1">
        <v>45936</v>
      </c>
      <c r="B795" t="s">
        <v>48</v>
      </c>
      <c r="C795">
        <v>649163</v>
      </c>
      <c r="D795">
        <v>2028281146</v>
      </c>
      <c r="E795" t="s">
        <v>1024</v>
      </c>
      <c r="F795" t="s">
        <v>212</v>
      </c>
      <c r="G795" t="s">
        <v>51</v>
      </c>
      <c r="H795" t="s">
        <v>203</v>
      </c>
      <c r="I795" t="s">
        <v>243</v>
      </c>
      <c r="J795" t="s">
        <v>244</v>
      </c>
      <c r="K795">
        <v>816021</v>
      </c>
      <c r="L795" t="s">
        <v>265</v>
      </c>
      <c r="M795" t="s">
        <v>266</v>
      </c>
      <c r="N795" t="s">
        <v>57</v>
      </c>
      <c r="O795" s="1">
        <v>45755</v>
      </c>
      <c r="Q795" s="1">
        <v>45969</v>
      </c>
      <c r="R795" s="2">
        <v>120.25</v>
      </c>
      <c r="S795">
        <v>1</v>
      </c>
      <c r="T795" t="s">
        <v>58</v>
      </c>
      <c r="U795" t="s">
        <v>359</v>
      </c>
      <c r="V795" s="4">
        <v>0.375</v>
      </c>
      <c r="W795" s="2">
        <v>0</v>
      </c>
      <c r="X795">
        <v>0</v>
      </c>
      <c r="Y795" t="s">
        <v>60</v>
      </c>
      <c r="Z795" t="s">
        <v>360</v>
      </c>
      <c r="AA795">
        <v>0</v>
      </c>
      <c r="AB795" s="2">
        <v>0</v>
      </c>
      <c r="AC795" s="2">
        <v>0</v>
      </c>
      <c r="AD795" s="3">
        <v>0</v>
      </c>
      <c r="AE795" s="2">
        <v>0</v>
      </c>
      <c r="AF795" s="2">
        <v>0</v>
      </c>
      <c r="AG795" s="2">
        <v>0</v>
      </c>
      <c r="AH795" s="2">
        <v>0</v>
      </c>
      <c r="AI795" s="2">
        <v>0</v>
      </c>
      <c r="AJ795" s="2">
        <v>0</v>
      </c>
      <c r="AK795" s="2">
        <v>0</v>
      </c>
      <c r="AL795" s="2">
        <v>0</v>
      </c>
      <c r="AM795" s="2">
        <v>45.09</v>
      </c>
      <c r="AN795" s="2">
        <v>45.09</v>
      </c>
      <c r="AO795" s="2">
        <v>0</v>
      </c>
      <c r="AP795" s="2">
        <v>0</v>
      </c>
      <c r="AQ795" s="2">
        <v>0</v>
      </c>
    </row>
    <row r="796" spans="1:43" x14ac:dyDescent="0.25">
      <c r="A796" s="1">
        <v>45936</v>
      </c>
      <c r="B796" t="s">
        <v>48</v>
      </c>
      <c r="C796">
        <v>649163</v>
      </c>
      <c r="D796">
        <v>2028297703</v>
      </c>
      <c r="E796" t="s">
        <v>1027</v>
      </c>
      <c r="F796" t="s">
        <v>1028</v>
      </c>
      <c r="G796" t="s">
        <v>51</v>
      </c>
      <c r="H796" t="s">
        <v>79</v>
      </c>
      <c r="I796" t="s">
        <v>243</v>
      </c>
      <c r="J796" t="s">
        <v>244</v>
      </c>
      <c r="K796">
        <v>822865</v>
      </c>
      <c r="L796" t="s">
        <v>146</v>
      </c>
      <c r="M796" t="s">
        <v>147</v>
      </c>
      <c r="N796" t="s">
        <v>57</v>
      </c>
      <c r="O796" s="1">
        <v>45756</v>
      </c>
      <c r="Q796" s="1">
        <v>45970</v>
      </c>
      <c r="R796" s="2">
        <v>18.62</v>
      </c>
      <c r="S796">
        <v>1</v>
      </c>
      <c r="T796" t="s">
        <v>58</v>
      </c>
      <c r="U796" t="s">
        <v>359</v>
      </c>
      <c r="V796" s="4">
        <v>0.375</v>
      </c>
      <c r="W796" s="2">
        <v>0</v>
      </c>
      <c r="X796">
        <v>0</v>
      </c>
      <c r="Y796" t="s">
        <v>60</v>
      </c>
      <c r="Z796" t="s">
        <v>360</v>
      </c>
      <c r="AA796">
        <v>0</v>
      </c>
      <c r="AB796" s="2">
        <v>0</v>
      </c>
      <c r="AC796" s="2">
        <v>0</v>
      </c>
      <c r="AD796" s="3">
        <v>0</v>
      </c>
      <c r="AE796" s="2">
        <v>0</v>
      </c>
      <c r="AF796" s="2">
        <v>0</v>
      </c>
      <c r="AG796" s="2">
        <v>0</v>
      </c>
      <c r="AH796" s="2">
        <v>0</v>
      </c>
      <c r="AI796" s="2">
        <v>0</v>
      </c>
      <c r="AJ796" s="2">
        <v>0</v>
      </c>
      <c r="AK796" s="2">
        <v>0</v>
      </c>
      <c r="AL796" s="2">
        <v>0</v>
      </c>
      <c r="AM796" s="2">
        <v>6.98</v>
      </c>
      <c r="AN796" s="2">
        <v>6.98</v>
      </c>
      <c r="AO796" s="2">
        <v>0</v>
      </c>
      <c r="AP796" s="2">
        <v>0</v>
      </c>
      <c r="AQ796" s="2">
        <v>0</v>
      </c>
    </row>
    <row r="797" spans="1:43" x14ac:dyDescent="0.25">
      <c r="A797" s="1">
        <v>45936</v>
      </c>
      <c r="B797" t="s">
        <v>48</v>
      </c>
      <c r="C797">
        <v>649163</v>
      </c>
      <c r="D797">
        <v>2028565357</v>
      </c>
      <c r="E797" t="s">
        <v>139</v>
      </c>
      <c r="F797" t="s">
        <v>416</v>
      </c>
      <c r="G797" t="s">
        <v>51</v>
      </c>
      <c r="H797" t="s">
        <v>88</v>
      </c>
      <c r="I797" t="s">
        <v>243</v>
      </c>
      <c r="J797" t="s">
        <v>244</v>
      </c>
      <c r="K797">
        <v>650218</v>
      </c>
      <c r="L797" t="s">
        <v>237</v>
      </c>
      <c r="M797" t="s">
        <v>238</v>
      </c>
      <c r="N797" t="s">
        <v>57</v>
      </c>
      <c r="O797" s="1">
        <v>45777</v>
      </c>
      <c r="Q797" s="1">
        <v>45960</v>
      </c>
      <c r="R797" s="2">
        <v>-99.89</v>
      </c>
      <c r="S797">
        <v>1</v>
      </c>
      <c r="T797" t="s">
        <v>58</v>
      </c>
      <c r="U797" t="s">
        <v>359</v>
      </c>
      <c r="V797" s="4">
        <v>0.375</v>
      </c>
      <c r="W797" s="2">
        <v>0</v>
      </c>
      <c r="X797">
        <v>-1</v>
      </c>
      <c r="Y797" t="s">
        <v>60</v>
      </c>
      <c r="Z797" t="s">
        <v>360</v>
      </c>
      <c r="AA797">
        <v>0</v>
      </c>
      <c r="AB797" s="2">
        <v>0</v>
      </c>
      <c r="AC797" s="2">
        <v>0</v>
      </c>
      <c r="AD797" s="3">
        <v>0</v>
      </c>
      <c r="AE797" s="2">
        <v>0</v>
      </c>
      <c r="AF797" s="2">
        <v>0</v>
      </c>
      <c r="AG797" s="2">
        <v>0</v>
      </c>
      <c r="AH797" s="2">
        <v>0</v>
      </c>
      <c r="AI797" s="2">
        <v>0</v>
      </c>
      <c r="AJ797" s="2">
        <v>0</v>
      </c>
      <c r="AK797" s="2">
        <v>0</v>
      </c>
      <c r="AL797" s="2">
        <v>0</v>
      </c>
      <c r="AM797" s="2">
        <v>-37.46</v>
      </c>
      <c r="AN797" s="2">
        <v>-37.46</v>
      </c>
      <c r="AO797" s="2">
        <v>0</v>
      </c>
      <c r="AP797" s="2">
        <v>0</v>
      </c>
      <c r="AQ797" s="2">
        <v>0</v>
      </c>
    </row>
    <row r="798" spans="1:43" x14ac:dyDescent="0.25">
      <c r="A798" s="1">
        <v>45936</v>
      </c>
      <c r="B798" t="s">
        <v>48</v>
      </c>
      <c r="C798">
        <v>649163</v>
      </c>
      <c r="D798">
        <v>2028641305</v>
      </c>
      <c r="E798" t="s">
        <v>1107</v>
      </c>
      <c r="F798" t="s">
        <v>63</v>
      </c>
      <c r="G798" t="s">
        <v>51</v>
      </c>
      <c r="H798" t="s">
        <v>801</v>
      </c>
      <c r="I798" t="s">
        <v>243</v>
      </c>
      <c r="J798" t="s">
        <v>244</v>
      </c>
      <c r="K798">
        <v>652037</v>
      </c>
      <c r="L798" t="s">
        <v>172</v>
      </c>
      <c r="M798" t="s">
        <v>173</v>
      </c>
      <c r="N798" t="s">
        <v>57</v>
      </c>
      <c r="O798" s="1">
        <v>45778</v>
      </c>
      <c r="Q798" s="1">
        <v>45962</v>
      </c>
      <c r="R798" s="2">
        <v>85.49</v>
      </c>
      <c r="S798">
        <v>1</v>
      </c>
      <c r="T798" t="s">
        <v>58</v>
      </c>
      <c r="U798" t="s">
        <v>359</v>
      </c>
      <c r="V798" s="4">
        <v>0.375</v>
      </c>
      <c r="W798" s="2">
        <v>0</v>
      </c>
      <c r="X798">
        <v>0</v>
      </c>
      <c r="Y798" t="s">
        <v>60</v>
      </c>
      <c r="Z798" t="s">
        <v>360</v>
      </c>
      <c r="AA798">
        <v>0</v>
      </c>
      <c r="AB798" s="2">
        <v>0</v>
      </c>
      <c r="AC798" s="2">
        <v>0</v>
      </c>
      <c r="AD798" s="3">
        <v>0</v>
      </c>
      <c r="AE798" s="2">
        <v>0</v>
      </c>
      <c r="AF798" s="2">
        <v>0</v>
      </c>
      <c r="AG798" s="2">
        <v>0</v>
      </c>
      <c r="AH798" s="2">
        <v>0</v>
      </c>
      <c r="AI798" s="2">
        <v>0</v>
      </c>
      <c r="AJ798" s="2">
        <v>0</v>
      </c>
      <c r="AK798" s="2">
        <v>0</v>
      </c>
      <c r="AL798" s="2">
        <v>0</v>
      </c>
      <c r="AM798" s="2">
        <v>32.06</v>
      </c>
      <c r="AN798" s="2">
        <v>32.06</v>
      </c>
      <c r="AO798" s="2">
        <v>0</v>
      </c>
      <c r="AP798" s="2">
        <v>0</v>
      </c>
      <c r="AQ798" s="2">
        <v>0</v>
      </c>
    </row>
    <row r="799" spans="1:43" x14ac:dyDescent="0.25">
      <c r="A799" s="1">
        <v>45936</v>
      </c>
      <c r="B799" t="s">
        <v>48</v>
      </c>
      <c r="C799">
        <v>649163</v>
      </c>
      <c r="D799">
        <v>2028683414</v>
      </c>
      <c r="E799" t="s">
        <v>1031</v>
      </c>
      <c r="F799" t="s">
        <v>1031</v>
      </c>
      <c r="G799" t="s">
        <v>51</v>
      </c>
      <c r="H799" t="s">
        <v>101</v>
      </c>
      <c r="I799" t="s">
        <v>243</v>
      </c>
      <c r="J799" t="s">
        <v>244</v>
      </c>
      <c r="K799">
        <v>824076</v>
      </c>
      <c r="L799" t="s">
        <v>1032</v>
      </c>
      <c r="M799" t="s">
        <v>1033</v>
      </c>
      <c r="N799" t="s">
        <v>57</v>
      </c>
      <c r="O799" s="1">
        <v>45778</v>
      </c>
      <c r="Q799" s="1">
        <v>45962</v>
      </c>
      <c r="R799" s="2">
        <v>176.99</v>
      </c>
      <c r="S799">
        <v>1</v>
      </c>
      <c r="T799" t="s">
        <v>58</v>
      </c>
      <c r="U799" t="s">
        <v>359</v>
      </c>
      <c r="V799" s="4">
        <v>0.375</v>
      </c>
      <c r="W799" s="2">
        <v>0</v>
      </c>
      <c r="X799">
        <v>0</v>
      </c>
      <c r="Y799" t="s">
        <v>60</v>
      </c>
      <c r="Z799" t="s">
        <v>360</v>
      </c>
      <c r="AA799">
        <v>0</v>
      </c>
      <c r="AB799" s="2">
        <v>0</v>
      </c>
      <c r="AC799" s="2">
        <v>0</v>
      </c>
      <c r="AD799" s="3">
        <v>0</v>
      </c>
      <c r="AE799" s="2">
        <v>0</v>
      </c>
      <c r="AF799" s="2">
        <v>0</v>
      </c>
      <c r="AG799" s="2">
        <v>0</v>
      </c>
      <c r="AH799" s="2">
        <v>0</v>
      </c>
      <c r="AI799" s="2">
        <v>0</v>
      </c>
      <c r="AJ799" s="2">
        <v>0</v>
      </c>
      <c r="AK799" s="2">
        <v>0</v>
      </c>
      <c r="AL799" s="2">
        <v>0</v>
      </c>
      <c r="AM799" s="2">
        <v>66.37</v>
      </c>
      <c r="AN799" s="2">
        <v>66.37</v>
      </c>
      <c r="AO799" s="2">
        <v>0</v>
      </c>
      <c r="AP799" s="2">
        <v>0</v>
      </c>
      <c r="AQ799" s="2">
        <v>0</v>
      </c>
    </row>
    <row r="800" spans="1:43" x14ac:dyDescent="0.25">
      <c r="A800" s="1">
        <v>45936</v>
      </c>
      <c r="B800" t="s">
        <v>48</v>
      </c>
      <c r="C800">
        <v>649163</v>
      </c>
      <c r="D800">
        <v>2028775018</v>
      </c>
      <c r="E800" t="s">
        <v>1108</v>
      </c>
      <c r="F800" t="s">
        <v>658</v>
      </c>
      <c r="G800" t="s">
        <v>51</v>
      </c>
      <c r="H800" t="s">
        <v>101</v>
      </c>
      <c r="I800" t="s">
        <v>243</v>
      </c>
      <c r="J800" t="s">
        <v>244</v>
      </c>
      <c r="K800">
        <v>856824</v>
      </c>
      <c r="L800" t="s">
        <v>298</v>
      </c>
      <c r="M800" t="s">
        <v>299</v>
      </c>
      <c r="N800" t="s">
        <v>57</v>
      </c>
      <c r="O800" s="1">
        <v>45783</v>
      </c>
      <c r="Q800" s="1">
        <v>45967</v>
      </c>
      <c r="R800" s="2">
        <v>22.52</v>
      </c>
      <c r="S800">
        <v>1</v>
      </c>
      <c r="T800" t="s">
        <v>58</v>
      </c>
      <c r="U800" t="s">
        <v>359</v>
      </c>
      <c r="V800" s="4">
        <v>0.375</v>
      </c>
      <c r="W800" s="2">
        <v>0</v>
      </c>
      <c r="X800">
        <v>0</v>
      </c>
      <c r="Y800" t="s">
        <v>60</v>
      </c>
      <c r="Z800" t="s">
        <v>360</v>
      </c>
      <c r="AA800">
        <v>0</v>
      </c>
      <c r="AB800" s="2">
        <v>0</v>
      </c>
      <c r="AC800" s="2">
        <v>0</v>
      </c>
      <c r="AD800" s="3">
        <v>0</v>
      </c>
      <c r="AE800" s="2">
        <v>0</v>
      </c>
      <c r="AF800" s="2">
        <v>0</v>
      </c>
      <c r="AG800" s="2">
        <v>0</v>
      </c>
      <c r="AH800" s="2">
        <v>0</v>
      </c>
      <c r="AI800" s="2">
        <v>0</v>
      </c>
      <c r="AJ800" s="2">
        <v>0</v>
      </c>
      <c r="AK800" s="2">
        <v>0</v>
      </c>
      <c r="AL800" s="2">
        <v>0</v>
      </c>
      <c r="AM800" s="2">
        <v>8.44</v>
      </c>
      <c r="AN800" s="2">
        <v>8.44</v>
      </c>
      <c r="AO800" s="2">
        <v>0</v>
      </c>
      <c r="AP800" s="2">
        <v>0</v>
      </c>
      <c r="AQ800" s="2">
        <v>0</v>
      </c>
    </row>
    <row r="801" spans="1:43" x14ac:dyDescent="0.25">
      <c r="A801" s="1">
        <v>45936</v>
      </c>
      <c r="B801" t="s">
        <v>48</v>
      </c>
      <c r="C801">
        <v>649163</v>
      </c>
      <c r="D801">
        <v>2028775533</v>
      </c>
      <c r="E801" t="s">
        <v>1109</v>
      </c>
      <c r="F801" t="s">
        <v>1110</v>
      </c>
      <c r="G801" t="s">
        <v>51</v>
      </c>
      <c r="H801" t="s">
        <v>101</v>
      </c>
      <c r="I801" t="s">
        <v>243</v>
      </c>
      <c r="J801" t="s">
        <v>244</v>
      </c>
      <c r="K801">
        <v>856824</v>
      </c>
      <c r="L801" t="s">
        <v>298</v>
      </c>
      <c r="M801" t="s">
        <v>299</v>
      </c>
      <c r="N801" t="s">
        <v>57</v>
      </c>
      <c r="O801" s="1">
        <v>45783</v>
      </c>
      <c r="Q801" s="1">
        <v>45967</v>
      </c>
      <c r="R801" s="2">
        <v>22.52</v>
      </c>
      <c r="S801">
        <v>1</v>
      </c>
      <c r="T801" t="s">
        <v>58</v>
      </c>
      <c r="U801" t="s">
        <v>359</v>
      </c>
      <c r="V801" s="4">
        <v>0.375</v>
      </c>
      <c r="W801" s="2">
        <v>0</v>
      </c>
      <c r="X801">
        <v>0</v>
      </c>
      <c r="Y801" t="s">
        <v>60</v>
      </c>
      <c r="Z801" t="s">
        <v>360</v>
      </c>
      <c r="AA801">
        <v>0</v>
      </c>
      <c r="AB801" s="2">
        <v>0</v>
      </c>
      <c r="AC801" s="2">
        <v>0</v>
      </c>
      <c r="AD801" s="3">
        <v>0</v>
      </c>
      <c r="AE801" s="2">
        <v>0</v>
      </c>
      <c r="AF801" s="2">
        <v>0</v>
      </c>
      <c r="AG801" s="2">
        <v>0</v>
      </c>
      <c r="AH801" s="2">
        <v>0</v>
      </c>
      <c r="AI801" s="2">
        <v>0</v>
      </c>
      <c r="AJ801" s="2">
        <v>0</v>
      </c>
      <c r="AK801" s="2">
        <v>0</v>
      </c>
      <c r="AL801" s="2">
        <v>0</v>
      </c>
      <c r="AM801" s="2">
        <v>8.44</v>
      </c>
      <c r="AN801" s="2">
        <v>8.44</v>
      </c>
      <c r="AO801" s="2">
        <v>0</v>
      </c>
      <c r="AP801" s="2">
        <v>0</v>
      </c>
      <c r="AQ801" s="2">
        <v>0</v>
      </c>
    </row>
    <row r="802" spans="1:43" x14ac:dyDescent="0.25">
      <c r="A802" s="1">
        <v>45936</v>
      </c>
      <c r="B802" t="s">
        <v>48</v>
      </c>
      <c r="C802">
        <v>649163</v>
      </c>
      <c r="D802">
        <v>2028801870</v>
      </c>
      <c r="E802" t="s">
        <v>861</v>
      </c>
      <c r="F802" t="s">
        <v>137</v>
      </c>
      <c r="G802" t="s">
        <v>51</v>
      </c>
      <c r="H802" t="s">
        <v>101</v>
      </c>
      <c r="I802" t="s">
        <v>243</v>
      </c>
      <c r="J802" t="s">
        <v>244</v>
      </c>
      <c r="K802">
        <v>824076</v>
      </c>
      <c r="L802" t="s">
        <v>1032</v>
      </c>
      <c r="M802" t="s">
        <v>1033</v>
      </c>
      <c r="N802" t="s">
        <v>57</v>
      </c>
      <c r="O802" s="1">
        <v>45784</v>
      </c>
      <c r="Q802" s="1">
        <v>45968</v>
      </c>
      <c r="R802" s="2">
        <v>38.44</v>
      </c>
      <c r="S802">
        <v>1</v>
      </c>
      <c r="T802" t="s">
        <v>58</v>
      </c>
      <c r="U802" t="s">
        <v>359</v>
      </c>
      <c r="V802" s="4">
        <v>0.375</v>
      </c>
      <c r="W802" s="2">
        <v>0</v>
      </c>
      <c r="X802">
        <v>0</v>
      </c>
      <c r="Y802" t="s">
        <v>60</v>
      </c>
      <c r="Z802" t="s">
        <v>360</v>
      </c>
      <c r="AA802">
        <v>0</v>
      </c>
      <c r="AB802" s="2">
        <v>0</v>
      </c>
      <c r="AC802" s="2">
        <v>0</v>
      </c>
      <c r="AD802" s="3">
        <v>0</v>
      </c>
      <c r="AE802" s="2">
        <v>0</v>
      </c>
      <c r="AF802" s="2">
        <v>0</v>
      </c>
      <c r="AG802" s="2">
        <v>0</v>
      </c>
      <c r="AH802" s="2">
        <v>0</v>
      </c>
      <c r="AI802" s="2">
        <v>0</v>
      </c>
      <c r="AJ802" s="2">
        <v>0</v>
      </c>
      <c r="AK802" s="2">
        <v>0</v>
      </c>
      <c r="AL802" s="2">
        <v>0</v>
      </c>
      <c r="AM802" s="2">
        <v>14.42</v>
      </c>
      <c r="AN802" s="2">
        <v>14.42</v>
      </c>
      <c r="AO802" s="2">
        <v>0</v>
      </c>
      <c r="AP802" s="2">
        <v>0</v>
      </c>
      <c r="AQ802" s="2">
        <v>0</v>
      </c>
    </row>
    <row r="803" spans="1:43" x14ac:dyDescent="0.25">
      <c r="A803" s="1">
        <v>45936</v>
      </c>
      <c r="B803" t="s">
        <v>48</v>
      </c>
      <c r="C803">
        <v>649163</v>
      </c>
      <c r="D803">
        <v>2028803827</v>
      </c>
      <c r="E803" t="s">
        <v>831</v>
      </c>
      <c r="F803" t="s">
        <v>1041</v>
      </c>
      <c r="G803" t="s">
        <v>51</v>
      </c>
      <c r="H803" t="s">
        <v>101</v>
      </c>
      <c r="I803" t="s">
        <v>243</v>
      </c>
      <c r="J803" t="s">
        <v>244</v>
      </c>
      <c r="K803">
        <v>669316</v>
      </c>
      <c r="L803" t="s">
        <v>258</v>
      </c>
      <c r="M803" t="s">
        <v>259</v>
      </c>
      <c r="N803" t="s">
        <v>57</v>
      </c>
      <c r="O803" s="1">
        <v>45809</v>
      </c>
      <c r="Q803" s="1">
        <v>45962</v>
      </c>
      <c r="R803" s="2">
        <v>-51.86</v>
      </c>
      <c r="S803">
        <v>1</v>
      </c>
      <c r="T803" t="s">
        <v>58</v>
      </c>
      <c r="U803" t="s">
        <v>359</v>
      </c>
      <c r="V803" s="4">
        <v>0.375</v>
      </c>
      <c r="W803" s="2">
        <v>0</v>
      </c>
      <c r="X803">
        <v>-1</v>
      </c>
      <c r="Y803" t="s">
        <v>60</v>
      </c>
      <c r="Z803" t="s">
        <v>360</v>
      </c>
      <c r="AA803">
        <v>0</v>
      </c>
      <c r="AB803" s="2">
        <v>0</v>
      </c>
      <c r="AC803" s="2">
        <v>0</v>
      </c>
      <c r="AD803" s="3">
        <v>0</v>
      </c>
      <c r="AE803" s="2">
        <v>0</v>
      </c>
      <c r="AF803" s="2">
        <v>0</v>
      </c>
      <c r="AG803" s="2">
        <v>0</v>
      </c>
      <c r="AH803" s="2">
        <v>0</v>
      </c>
      <c r="AI803" s="2">
        <v>0</v>
      </c>
      <c r="AJ803" s="2">
        <v>0</v>
      </c>
      <c r="AK803" s="2">
        <v>0</v>
      </c>
      <c r="AL803" s="2">
        <v>0</v>
      </c>
      <c r="AM803" s="2">
        <v>-19.45</v>
      </c>
      <c r="AN803" s="2">
        <v>-19.45</v>
      </c>
      <c r="AO803" s="2">
        <v>0</v>
      </c>
      <c r="AP803" s="2">
        <v>0</v>
      </c>
      <c r="AQ803" s="2">
        <v>0</v>
      </c>
    </row>
    <row r="804" spans="1:43" x14ac:dyDescent="0.25">
      <c r="A804" s="1">
        <v>45936</v>
      </c>
      <c r="B804" t="s">
        <v>48</v>
      </c>
      <c r="C804">
        <v>649163</v>
      </c>
      <c r="D804">
        <v>2028819906</v>
      </c>
      <c r="E804" t="s">
        <v>417</v>
      </c>
      <c r="F804" t="s">
        <v>418</v>
      </c>
      <c r="G804" t="s">
        <v>51</v>
      </c>
      <c r="H804" t="s">
        <v>70</v>
      </c>
      <c r="I804" t="s">
        <v>243</v>
      </c>
      <c r="J804" t="s">
        <v>244</v>
      </c>
      <c r="K804">
        <v>650218</v>
      </c>
      <c r="L804" t="s">
        <v>237</v>
      </c>
      <c r="M804" t="s">
        <v>238</v>
      </c>
      <c r="N804" t="s">
        <v>57</v>
      </c>
      <c r="O804" s="1">
        <v>45785</v>
      </c>
      <c r="Q804" s="1">
        <v>45969</v>
      </c>
      <c r="R804" s="2">
        <v>32.979999999999997</v>
      </c>
      <c r="S804">
        <v>1</v>
      </c>
      <c r="T804" t="s">
        <v>58</v>
      </c>
      <c r="U804" t="s">
        <v>359</v>
      </c>
      <c r="V804" s="4">
        <v>0.375</v>
      </c>
      <c r="W804" s="2">
        <v>0</v>
      </c>
      <c r="X804">
        <v>0</v>
      </c>
      <c r="Y804" t="s">
        <v>60</v>
      </c>
      <c r="Z804" t="s">
        <v>360</v>
      </c>
      <c r="AA804">
        <v>0</v>
      </c>
      <c r="AB804" s="2">
        <v>0</v>
      </c>
      <c r="AC804" s="2">
        <v>0</v>
      </c>
      <c r="AD804" s="3">
        <v>0</v>
      </c>
      <c r="AE804" s="2">
        <v>0</v>
      </c>
      <c r="AF804" s="2">
        <v>0</v>
      </c>
      <c r="AG804" s="2">
        <v>0</v>
      </c>
      <c r="AH804" s="2">
        <v>0</v>
      </c>
      <c r="AI804" s="2">
        <v>0</v>
      </c>
      <c r="AJ804" s="2">
        <v>0</v>
      </c>
      <c r="AK804" s="2">
        <v>0</v>
      </c>
      <c r="AL804" s="2">
        <v>0</v>
      </c>
      <c r="AM804" s="2">
        <v>12.37</v>
      </c>
      <c r="AN804" s="2">
        <v>12.37</v>
      </c>
      <c r="AO804" s="2">
        <v>0</v>
      </c>
      <c r="AP804" s="2">
        <v>0</v>
      </c>
      <c r="AQ804" s="2">
        <v>0</v>
      </c>
    </row>
    <row r="805" spans="1:43" x14ac:dyDescent="0.25">
      <c r="A805" s="1">
        <v>45936</v>
      </c>
      <c r="B805" t="s">
        <v>48</v>
      </c>
      <c r="C805">
        <v>649163</v>
      </c>
      <c r="D805">
        <v>2028831848</v>
      </c>
      <c r="E805" t="s">
        <v>1111</v>
      </c>
      <c r="F805" t="s">
        <v>1112</v>
      </c>
      <c r="G805" t="s">
        <v>51</v>
      </c>
      <c r="H805" t="s">
        <v>88</v>
      </c>
      <c r="I805" t="s">
        <v>243</v>
      </c>
      <c r="J805" t="s">
        <v>244</v>
      </c>
      <c r="K805">
        <v>856824</v>
      </c>
      <c r="L805" t="s">
        <v>298</v>
      </c>
      <c r="M805" t="s">
        <v>299</v>
      </c>
      <c r="N805" t="s">
        <v>57</v>
      </c>
      <c r="O805" s="1">
        <v>45786</v>
      </c>
      <c r="Q805" s="1">
        <v>45970</v>
      </c>
      <c r="R805" s="2">
        <v>43.68</v>
      </c>
      <c r="S805">
        <v>1</v>
      </c>
      <c r="T805" t="s">
        <v>58</v>
      </c>
      <c r="U805" t="s">
        <v>359</v>
      </c>
      <c r="V805" s="4">
        <v>0.375</v>
      </c>
      <c r="W805" s="2">
        <v>0</v>
      </c>
      <c r="X805">
        <v>0</v>
      </c>
      <c r="Y805" t="s">
        <v>60</v>
      </c>
      <c r="Z805" t="s">
        <v>360</v>
      </c>
      <c r="AA805">
        <v>0</v>
      </c>
      <c r="AB805" s="2">
        <v>0</v>
      </c>
      <c r="AC805" s="2">
        <v>0</v>
      </c>
      <c r="AD805" s="3">
        <v>0</v>
      </c>
      <c r="AE805" s="2">
        <v>0</v>
      </c>
      <c r="AF805" s="2">
        <v>0</v>
      </c>
      <c r="AG805" s="2">
        <v>0</v>
      </c>
      <c r="AH805" s="2">
        <v>0</v>
      </c>
      <c r="AI805" s="2">
        <v>0</v>
      </c>
      <c r="AJ805" s="2">
        <v>0</v>
      </c>
      <c r="AK805" s="2">
        <v>0</v>
      </c>
      <c r="AL805" s="2">
        <v>0</v>
      </c>
      <c r="AM805" s="2">
        <v>16.38</v>
      </c>
      <c r="AN805" s="2">
        <v>16.38</v>
      </c>
      <c r="AO805" s="2">
        <v>0</v>
      </c>
      <c r="AP805" s="2">
        <v>0</v>
      </c>
      <c r="AQ805" s="2">
        <v>0</v>
      </c>
    </row>
    <row r="806" spans="1:43" x14ac:dyDescent="0.25">
      <c r="A806" s="1">
        <v>45936</v>
      </c>
      <c r="B806" t="s">
        <v>48</v>
      </c>
      <c r="C806">
        <v>649163</v>
      </c>
      <c r="D806">
        <v>2029242159</v>
      </c>
      <c r="E806" t="s">
        <v>781</v>
      </c>
      <c r="F806" t="s">
        <v>782</v>
      </c>
      <c r="G806" t="s">
        <v>51</v>
      </c>
      <c r="H806" t="s">
        <v>129</v>
      </c>
      <c r="I806" t="s">
        <v>243</v>
      </c>
      <c r="J806" t="s">
        <v>244</v>
      </c>
      <c r="K806">
        <v>651818</v>
      </c>
      <c r="L806" t="s">
        <v>112</v>
      </c>
      <c r="M806" t="s">
        <v>104</v>
      </c>
      <c r="N806" t="s">
        <v>57</v>
      </c>
      <c r="O806" s="1">
        <v>45845</v>
      </c>
      <c r="Q806" s="1">
        <v>45968</v>
      </c>
      <c r="R806" s="2">
        <v>48.23</v>
      </c>
      <c r="S806">
        <v>1</v>
      </c>
      <c r="T806" t="s">
        <v>58</v>
      </c>
      <c r="U806" t="s">
        <v>359</v>
      </c>
      <c r="V806" s="4">
        <v>0.375</v>
      </c>
      <c r="W806" s="2">
        <v>0</v>
      </c>
      <c r="X806">
        <v>0</v>
      </c>
      <c r="Y806" t="s">
        <v>60</v>
      </c>
      <c r="Z806" t="s">
        <v>360</v>
      </c>
      <c r="AA806">
        <v>0</v>
      </c>
      <c r="AB806" s="2">
        <v>0</v>
      </c>
      <c r="AC806" s="2">
        <v>0</v>
      </c>
      <c r="AD806" s="3">
        <v>0</v>
      </c>
      <c r="AE806" s="2">
        <v>0</v>
      </c>
      <c r="AF806" s="2">
        <v>0</v>
      </c>
      <c r="AG806" s="2">
        <v>0</v>
      </c>
      <c r="AH806" s="2">
        <v>0</v>
      </c>
      <c r="AI806" s="2">
        <v>0</v>
      </c>
      <c r="AJ806" s="2">
        <v>0</v>
      </c>
      <c r="AK806" s="2">
        <v>0</v>
      </c>
      <c r="AL806" s="2">
        <v>18.09</v>
      </c>
      <c r="AM806" s="2">
        <v>0</v>
      </c>
      <c r="AN806" s="2">
        <v>0</v>
      </c>
      <c r="AO806" s="2">
        <v>0</v>
      </c>
      <c r="AP806" s="2">
        <v>0</v>
      </c>
      <c r="AQ806" s="2">
        <v>0</v>
      </c>
    </row>
    <row r="807" spans="1:43" x14ac:dyDescent="0.25">
      <c r="A807" s="1">
        <v>45936</v>
      </c>
      <c r="B807" t="s">
        <v>48</v>
      </c>
      <c r="C807">
        <v>649163</v>
      </c>
      <c r="D807">
        <v>2029275519</v>
      </c>
      <c r="E807" t="s">
        <v>783</v>
      </c>
      <c r="F807" t="s">
        <v>145</v>
      </c>
      <c r="G807" t="s">
        <v>51</v>
      </c>
      <c r="H807" t="s">
        <v>101</v>
      </c>
      <c r="I807" t="s">
        <v>243</v>
      </c>
      <c r="J807" t="s">
        <v>244</v>
      </c>
      <c r="K807">
        <v>821015</v>
      </c>
      <c r="L807" t="s">
        <v>325</v>
      </c>
      <c r="M807" t="s">
        <v>326</v>
      </c>
      <c r="N807" t="s">
        <v>57</v>
      </c>
      <c r="O807" s="1">
        <v>45815</v>
      </c>
      <c r="Q807" s="1">
        <v>45968</v>
      </c>
      <c r="R807" s="2">
        <v>156.16</v>
      </c>
      <c r="S807">
        <v>1</v>
      </c>
      <c r="T807" t="s">
        <v>58</v>
      </c>
      <c r="U807" t="s">
        <v>359</v>
      </c>
      <c r="V807" s="4">
        <v>0.375</v>
      </c>
      <c r="W807" s="2">
        <v>0</v>
      </c>
      <c r="X807">
        <v>0</v>
      </c>
      <c r="Y807" t="s">
        <v>60</v>
      </c>
      <c r="Z807" t="s">
        <v>360</v>
      </c>
      <c r="AA807">
        <v>0</v>
      </c>
      <c r="AB807" s="2">
        <v>0</v>
      </c>
      <c r="AC807" s="2">
        <v>0</v>
      </c>
      <c r="AD807" s="3">
        <v>0</v>
      </c>
      <c r="AE807" s="2">
        <v>0</v>
      </c>
      <c r="AF807" s="2">
        <v>0</v>
      </c>
      <c r="AG807" s="2">
        <v>0</v>
      </c>
      <c r="AH807" s="2">
        <v>0</v>
      </c>
      <c r="AI807" s="2">
        <v>0</v>
      </c>
      <c r="AJ807" s="2">
        <v>0</v>
      </c>
      <c r="AK807" s="2">
        <v>0</v>
      </c>
      <c r="AL807" s="2">
        <v>58.56</v>
      </c>
      <c r="AM807" s="2">
        <v>0</v>
      </c>
      <c r="AN807" s="2">
        <v>0</v>
      </c>
      <c r="AO807" s="2">
        <v>0</v>
      </c>
      <c r="AP807" s="2">
        <v>0</v>
      </c>
      <c r="AQ807" s="2">
        <v>0</v>
      </c>
    </row>
    <row r="808" spans="1:43" x14ac:dyDescent="0.25">
      <c r="A808" s="1">
        <v>45936</v>
      </c>
      <c r="B808" t="s">
        <v>48</v>
      </c>
      <c r="C808">
        <v>649163</v>
      </c>
      <c r="D808">
        <v>2029276298</v>
      </c>
      <c r="E808" t="s">
        <v>1046</v>
      </c>
      <c r="F808" t="s">
        <v>1047</v>
      </c>
      <c r="G808" t="s">
        <v>51</v>
      </c>
      <c r="H808" t="s">
        <v>101</v>
      </c>
      <c r="I808" t="s">
        <v>243</v>
      </c>
      <c r="J808" t="s">
        <v>244</v>
      </c>
      <c r="K808">
        <v>824062</v>
      </c>
      <c r="L808" t="s">
        <v>273</v>
      </c>
      <c r="M808" t="s">
        <v>274</v>
      </c>
      <c r="N808" t="s">
        <v>57</v>
      </c>
      <c r="O808" s="1">
        <v>45812</v>
      </c>
      <c r="Q808" s="1">
        <v>45965</v>
      </c>
      <c r="R808" s="2">
        <v>41.17</v>
      </c>
      <c r="S808">
        <v>1</v>
      </c>
      <c r="T808" t="s">
        <v>58</v>
      </c>
      <c r="U808" t="s">
        <v>359</v>
      </c>
      <c r="V808" s="4">
        <v>0.375</v>
      </c>
      <c r="W808" s="2">
        <v>0</v>
      </c>
      <c r="X808">
        <v>0</v>
      </c>
      <c r="Y808" t="s">
        <v>60</v>
      </c>
      <c r="Z808" t="s">
        <v>360</v>
      </c>
      <c r="AA808">
        <v>0</v>
      </c>
      <c r="AB808" s="2">
        <v>0</v>
      </c>
      <c r="AC808" s="2">
        <v>0</v>
      </c>
      <c r="AD808" s="3">
        <v>0</v>
      </c>
      <c r="AE808" s="2">
        <v>0</v>
      </c>
      <c r="AF808" s="2">
        <v>0</v>
      </c>
      <c r="AG808" s="2">
        <v>0</v>
      </c>
      <c r="AH808" s="2">
        <v>0</v>
      </c>
      <c r="AI808" s="2">
        <v>0</v>
      </c>
      <c r="AJ808" s="2">
        <v>0</v>
      </c>
      <c r="AK808" s="2">
        <v>0</v>
      </c>
      <c r="AL808" s="2">
        <v>15.44</v>
      </c>
      <c r="AM808" s="2">
        <v>0</v>
      </c>
      <c r="AN808" s="2">
        <v>0</v>
      </c>
      <c r="AO808" s="2">
        <v>0</v>
      </c>
      <c r="AP808" s="2">
        <v>0</v>
      </c>
      <c r="AQ808" s="2">
        <v>0</v>
      </c>
    </row>
    <row r="809" spans="1:43" x14ac:dyDescent="0.25">
      <c r="A809" s="1">
        <v>45936</v>
      </c>
      <c r="B809" t="s">
        <v>48</v>
      </c>
      <c r="C809">
        <v>649163</v>
      </c>
      <c r="D809">
        <v>2029290190</v>
      </c>
      <c r="E809" t="s">
        <v>786</v>
      </c>
      <c r="F809" t="s">
        <v>787</v>
      </c>
      <c r="G809" t="s">
        <v>51</v>
      </c>
      <c r="H809" t="s">
        <v>101</v>
      </c>
      <c r="I809" t="s">
        <v>243</v>
      </c>
      <c r="J809" t="s">
        <v>244</v>
      </c>
      <c r="K809">
        <v>824062</v>
      </c>
      <c r="L809" t="s">
        <v>273</v>
      </c>
      <c r="M809" t="s">
        <v>274</v>
      </c>
      <c r="N809" t="s">
        <v>456</v>
      </c>
      <c r="O809" s="1">
        <v>45839</v>
      </c>
      <c r="P809" s="1">
        <v>45936</v>
      </c>
      <c r="Q809" s="1">
        <v>45962</v>
      </c>
      <c r="R809" s="2">
        <v>-41.91</v>
      </c>
      <c r="S809">
        <v>1</v>
      </c>
      <c r="T809" t="s">
        <v>58</v>
      </c>
      <c r="U809" t="s">
        <v>359</v>
      </c>
      <c r="V809" s="4">
        <v>0.375</v>
      </c>
      <c r="W809" s="2">
        <v>0</v>
      </c>
      <c r="X809">
        <v>-1</v>
      </c>
      <c r="Y809" t="s">
        <v>60</v>
      </c>
      <c r="Z809" t="s">
        <v>360</v>
      </c>
      <c r="AA809">
        <v>0</v>
      </c>
      <c r="AB809" s="2">
        <v>0</v>
      </c>
      <c r="AC809" s="2">
        <v>0</v>
      </c>
      <c r="AD809" s="3">
        <v>0</v>
      </c>
      <c r="AE809" s="2">
        <v>0</v>
      </c>
      <c r="AF809" s="2">
        <v>0</v>
      </c>
      <c r="AG809" s="2">
        <v>0</v>
      </c>
      <c r="AH809" s="2">
        <v>0</v>
      </c>
      <c r="AI809" s="2">
        <v>0</v>
      </c>
      <c r="AJ809" s="2">
        <v>0</v>
      </c>
      <c r="AK809" s="2">
        <v>0</v>
      </c>
      <c r="AL809" s="2">
        <v>0</v>
      </c>
      <c r="AM809" s="2">
        <v>-15.72</v>
      </c>
      <c r="AN809" s="2">
        <v>-15.72</v>
      </c>
      <c r="AO809" s="2">
        <v>0</v>
      </c>
      <c r="AP809" s="2">
        <v>0</v>
      </c>
      <c r="AQ809" s="2">
        <v>0</v>
      </c>
    </row>
    <row r="810" spans="1:43" x14ac:dyDescent="0.25">
      <c r="A810" s="1">
        <v>45936</v>
      </c>
      <c r="B810" t="s">
        <v>48</v>
      </c>
      <c r="C810">
        <v>649163</v>
      </c>
      <c r="D810">
        <v>2029299956</v>
      </c>
      <c r="E810" t="s">
        <v>419</v>
      </c>
      <c r="F810" t="s">
        <v>420</v>
      </c>
      <c r="G810" t="s">
        <v>51</v>
      </c>
      <c r="H810" t="s">
        <v>52</v>
      </c>
      <c r="I810" t="s">
        <v>243</v>
      </c>
      <c r="J810" t="s">
        <v>244</v>
      </c>
      <c r="K810">
        <v>856824</v>
      </c>
      <c r="L810" t="s">
        <v>298</v>
      </c>
      <c r="M810" t="s">
        <v>299</v>
      </c>
      <c r="N810" t="s">
        <v>57</v>
      </c>
      <c r="O810" s="1">
        <v>45813</v>
      </c>
      <c r="Q810" s="1">
        <v>45966</v>
      </c>
      <c r="R810" s="2">
        <v>19.45</v>
      </c>
      <c r="S810">
        <v>1</v>
      </c>
      <c r="T810" t="s">
        <v>58</v>
      </c>
      <c r="U810" t="s">
        <v>359</v>
      </c>
      <c r="V810" s="4">
        <v>0.375</v>
      </c>
      <c r="W810" s="2">
        <v>0</v>
      </c>
      <c r="X810">
        <v>0</v>
      </c>
      <c r="Y810" t="s">
        <v>60</v>
      </c>
      <c r="Z810" t="s">
        <v>360</v>
      </c>
      <c r="AA810">
        <v>0</v>
      </c>
      <c r="AB810" s="2">
        <v>0</v>
      </c>
      <c r="AC810" s="2">
        <v>0</v>
      </c>
      <c r="AD810" s="3">
        <v>0</v>
      </c>
      <c r="AE810" s="2">
        <v>0</v>
      </c>
      <c r="AF810" s="2">
        <v>0</v>
      </c>
      <c r="AG810" s="2">
        <v>0</v>
      </c>
      <c r="AH810" s="2">
        <v>0</v>
      </c>
      <c r="AI810" s="2">
        <v>0</v>
      </c>
      <c r="AJ810" s="2">
        <v>0</v>
      </c>
      <c r="AK810" s="2">
        <v>0</v>
      </c>
      <c r="AL810" s="2">
        <v>7.29</v>
      </c>
      <c r="AM810" s="2">
        <v>0</v>
      </c>
      <c r="AN810" s="2">
        <v>0</v>
      </c>
      <c r="AO810" s="2">
        <v>0</v>
      </c>
      <c r="AP810" s="2">
        <v>0</v>
      </c>
      <c r="AQ810" s="2">
        <v>0</v>
      </c>
    </row>
    <row r="811" spans="1:43" x14ac:dyDescent="0.25">
      <c r="A811" s="1">
        <v>45936</v>
      </c>
      <c r="B811" t="s">
        <v>48</v>
      </c>
      <c r="C811">
        <v>649163</v>
      </c>
      <c r="D811">
        <v>2029332244</v>
      </c>
      <c r="E811" t="s">
        <v>1113</v>
      </c>
      <c r="F811" t="s">
        <v>745</v>
      </c>
      <c r="G811" t="s">
        <v>51</v>
      </c>
      <c r="H811" t="s">
        <v>52</v>
      </c>
      <c r="I811" t="s">
        <v>243</v>
      </c>
      <c r="J811" t="s">
        <v>244</v>
      </c>
      <c r="K811">
        <v>767312</v>
      </c>
      <c r="L811" t="s">
        <v>283</v>
      </c>
      <c r="M811" t="s">
        <v>284</v>
      </c>
      <c r="N811" t="s">
        <v>57</v>
      </c>
      <c r="O811" s="1">
        <v>45815</v>
      </c>
      <c r="Q811" s="1">
        <v>45968</v>
      </c>
      <c r="R811" s="2">
        <v>32.880000000000003</v>
      </c>
      <c r="S811">
        <v>1</v>
      </c>
      <c r="T811" t="s">
        <v>58</v>
      </c>
      <c r="U811" t="s">
        <v>359</v>
      </c>
      <c r="V811" s="4">
        <v>0.375</v>
      </c>
      <c r="W811" s="2">
        <v>0</v>
      </c>
      <c r="X811">
        <v>0</v>
      </c>
      <c r="Y811" t="s">
        <v>60</v>
      </c>
      <c r="Z811" t="s">
        <v>360</v>
      </c>
      <c r="AA811">
        <v>0</v>
      </c>
      <c r="AB811" s="2">
        <v>0</v>
      </c>
      <c r="AC811" s="2">
        <v>0</v>
      </c>
      <c r="AD811" s="3">
        <v>0</v>
      </c>
      <c r="AE811" s="2">
        <v>0</v>
      </c>
      <c r="AF811" s="2">
        <v>0</v>
      </c>
      <c r="AG811" s="2">
        <v>0</v>
      </c>
      <c r="AH811" s="2">
        <v>0</v>
      </c>
      <c r="AI811" s="2">
        <v>0</v>
      </c>
      <c r="AJ811" s="2">
        <v>0</v>
      </c>
      <c r="AK811" s="2">
        <v>0</v>
      </c>
      <c r="AL811" s="2">
        <v>12.33</v>
      </c>
      <c r="AM811" s="2">
        <v>0</v>
      </c>
      <c r="AN811" s="2">
        <v>0</v>
      </c>
      <c r="AO811" s="2">
        <v>0</v>
      </c>
      <c r="AP811" s="2">
        <v>0</v>
      </c>
      <c r="AQ811" s="2">
        <v>0</v>
      </c>
    </row>
    <row r="812" spans="1:43" x14ac:dyDescent="0.25">
      <c r="A812" s="1">
        <v>45936</v>
      </c>
      <c r="B812" t="s">
        <v>48</v>
      </c>
      <c r="C812">
        <v>649163</v>
      </c>
      <c r="D812">
        <v>2029378240</v>
      </c>
      <c r="E812" t="s">
        <v>1055</v>
      </c>
      <c r="F812" t="s">
        <v>1056</v>
      </c>
      <c r="G812" t="s">
        <v>51</v>
      </c>
      <c r="H812" t="s">
        <v>323</v>
      </c>
      <c r="I812" t="s">
        <v>243</v>
      </c>
      <c r="J812" t="s">
        <v>244</v>
      </c>
      <c r="K812">
        <v>812656</v>
      </c>
      <c r="L812" t="s">
        <v>509</v>
      </c>
      <c r="M812" t="s">
        <v>476</v>
      </c>
      <c r="N812" t="s">
        <v>57</v>
      </c>
      <c r="O812" s="1">
        <v>45818</v>
      </c>
      <c r="Q812" s="1">
        <v>45971</v>
      </c>
      <c r="R812" s="2">
        <v>115.5</v>
      </c>
      <c r="S812">
        <v>1</v>
      </c>
      <c r="T812" t="s">
        <v>58</v>
      </c>
      <c r="U812" t="s">
        <v>359</v>
      </c>
      <c r="V812" s="4">
        <v>0.375</v>
      </c>
      <c r="W812" s="2">
        <v>0</v>
      </c>
      <c r="X812">
        <v>0</v>
      </c>
      <c r="Y812" t="s">
        <v>60</v>
      </c>
      <c r="Z812" t="s">
        <v>360</v>
      </c>
      <c r="AA812">
        <v>0</v>
      </c>
      <c r="AB812" s="2">
        <v>0</v>
      </c>
      <c r="AC812" s="2">
        <v>0</v>
      </c>
      <c r="AD812" s="3">
        <v>0</v>
      </c>
      <c r="AE812" s="2">
        <v>0</v>
      </c>
      <c r="AF812" s="2">
        <v>0</v>
      </c>
      <c r="AG812" s="2">
        <v>0</v>
      </c>
      <c r="AH812" s="2">
        <v>0</v>
      </c>
      <c r="AI812" s="2">
        <v>0</v>
      </c>
      <c r="AJ812" s="2">
        <v>0</v>
      </c>
      <c r="AK812" s="2">
        <v>0</v>
      </c>
      <c r="AL812" s="2">
        <v>43.31</v>
      </c>
      <c r="AM812" s="2">
        <v>0</v>
      </c>
      <c r="AN812" s="2">
        <v>0</v>
      </c>
      <c r="AO812" s="2">
        <v>0</v>
      </c>
      <c r="AP812" s="2">
        <v>0</v>
      </c>
      <c r="AQ812" s="2">
        <v>0</v>
      </c>
    </row>
    <row r="813" spans="1:43" x14ac:dyDescent="0.25">
      <c r="A813" s="1">
        <v>45936</v>
      </c>
      <c r="B813" t="s">
        <v>48</v>
      </c>
      <c r="C813">
        <v>649163</v>
      </c>
      <c r="D813">
        <v>2029407292</v>
      </c>
      <c r="E813" t="s">
        <v>541</v>
      </c>
      <c r="F813" t="s">
        <v>402</v>
      </c>
      <c r="G813" t="s">
        <v>51</v>
      </c>
      <c r="H813" t="s">
        <v>262</v>
      </c>
      <c r="I813" t="s">
        <v>243</v>
      </c>
      <c r="J813" t="s">
        <v>244</v>
      </c>
      <c r="K813">
        <v>651818</v>
      </c>
      <c r="L813" t="s">
        <v>112</v>
      </c>
      <c r="M813" t="s">
        <v>104</v>
      </c>
      <c r="N813" t="s">
        <v>57</v>
      </c>
      <c r="O813" s="1">
        <v>45845</v>
      </c>
      <c r="Q813" s="1">
        <v>45968</v>
      </c>
      <c r="R813" s="2">
        <v>106.85</v>
      </c>
      <c r="S813">
        <v>1</v>
      </c>
      <c r="T813" t="s">
        <v>58</v>
      </c>
      <c r="U813" t="s">
        <v>359</v>
      </c>
      <c r="V813" s="4">
        <v>0.375</v>
      </c>
      <c r="W813" s="2">
        <v>0</v>
      </c>
      <c r="X813">
        <v>0</v>
      </c>
      <c r="Y813" t="s">
        <v>60</v>
      </c>
      <c r="Z813" t="s">
        <v>360</v>
      </c>
      <c r="AA813">
        <v>0</v>
      </c>
      <c r="AB813" s="2">
        <v>0</v>
      </c>
      <c r="AC813" s="2">
        <v>0</v>
      </c>
      <c r="AD813" s="3">
        <v>0</v>
      </c>
      <c r="AE813" s="2">
        <v>0</v>
      </c>
      <c r="AF813" s="2">
        <v>0</v>
      </c>
      <c r="AG813" s="2">
        <v>0</v>
      </c>
      <c r="AH813" s="2">
        <v>0</v>
      </c>
      <c r="AI813" s="2">
        <v>0</v>
      </c>
      <c r="AJ813" s="2">
        <v>0</v>
      </c>
      <c r="AK813" s="2">
        <v>0</v>
      </c>
      <c r="AL813" s="2">
        <v>40.07</v>
      </c>
      <c r="AM813" s="2">
        <v>0</v>
      </c>
      <c r="AN813" s="2">
        <v>0</v>
      </c>
      <c r="AO813" s="2">
        <v>0</v>
      </c>
      <c r="AP813" s="2">
        <v>0</v>
      </c>
      <c r="AQ813" s="2">
        <v>0</v>
      </c>
    </row>
    <row r="814" spans="1:43" x14ac:dyDescent="0.25">
      <c r="A814" s="1">
        <v>45936</v>
      </c>
      <c r="B814" t="s">
        <v>48</v>
      </c>
      <c r="C814">
        <v>649163</v>
      </c>
      <c r="D814">
        <v>2029501868</v>
      </c>
      <c r="E814" t="s">
        <v>1057</v>
      </c>
      <c r="F814" t="s">
        <v>1058</v>
      </c>
      <c r="G814" t="s">
        <v>51</v>
      </c>
      <c r="H814" t="s">
        <v>52</v>
      </c>
      <c r="I814" t="s">
        <v>243</v>
      </c>
      <c r="J814" t="s">
        <v>244</v>
      </c>
      <c r="K814">
        <v>856824</v>
      </c>
      <c r="L814" t="s">
        <v>298</v>
      </c>
      <c r="M814" t="s">
        <v>299</v>
      </c>
      <c r="N814" t="s">
        <v>57</v>
      </c>
      <c r="O814" s="1">
        <v>45839</v>
      </c>
      <c r="Q814" s="1">
        <v>45962</v>
      </c>
      <c r="R814" s="2">
        <v>28.38</v>
      </c>
      <c r="S814">
        <v>1</v>
      </c>
      <c r="T814" t="s">
        <v>58</v>
      </c>
      <c r="U814" t="s">
        <v>359</v>
      </c>
      <c r="V814" s="4">
        <v>0.375</v>
      </c>
      <c r="W814" s="2">
        <v>0</v>
      </c>
      <c r="X814">
        <v>0</v>
      </c>
      <c r="Y814" t="s">
        <v>60</v>
      </c>
      <c r="Z814" t="s">
        <v>360</v>
      </c>
      <c r="AA814">
        <v>0</v>
      </c>
      <c r="AB814" s="2">
        <v>0</v>
      </c>
      <c r="AC814" s="2">
        <v>0</v>
      </c>
      <c r="AD814" s="3">
        <v>0</v>
      </c>
      <c r="AE814" s="2">
        <v>0</v>
      </c>
      <c r="AF814" s="2">
        <v>0</v>
      </c>
      <c r="AG814" s="2">
        <v>0</v>
      </c>
      <c r="AH814" s="2">
        <v>0</v>
      </c>
      <c r="AI814" s="2">
        <v>0</v>
      </c>
      <c r="AJ814" s="2">
        <v>0</v>
      </c>
      <c r="AK814" s="2">
        <v>0</v>
      </c>
      <c r="AL814" s="2">
        <v>10.64</v>
      </c>
      <c r="AM814" s="2">
        <v>0</v>
      </c>
      <c r="AN814" s="2">
        <v>0</v>
      </c>
      <c r="AO814" s="2">
        <v>0</v>
      </c>
      <c r="AP814" s="2">
        <v>0</v>
      </c>
      <c r="AQ814" s="2">
        <v>0</v>
      </c>
    </row>
    <row r="815" spans="1:43" x14ac:dyDescent="0.25">
      <c r="A815" s="1">
        <v>45936</v>
      </c>
      <c r="B815" t="s">
        <v>48</v>
      </c>
      <c r="C815">
        <v>649163</v>
      </c>
      <c r="D815">
        <v>2029694327</v>
      </c>
      <c r="E815" t="s">
        <v>1114</v>
      </c>
      <c r="F815" t="s">
        <v>1115</v>
      </c>
      <c r="G815" t="s">
        <v>51</v>
      </c>
      <c r="H815" t="s">
        <v>64</v>
      </c>
      <c r="I815" t="s">
        <v>243</v>
      </c>
      <c r="J815" t="s">
        <v>244</v>
      </c>
      <c r="K815">
        <v>822865</v>
      </c>
      <c r="L815" t="s">
        <v>146</v>
      </c>
      <c r="M815" t="s">
        <v>147</v>
      </c>
      <c r="N815" t="s">
        <v>57</v>
      </c>
      <c r="O815" s="1">
        <v>45837</v>
      </c>
      <c r="Q815" s="1">
        <v>45959</v>
      </c>
      <c r="R815" s="2">
        <v>27.04</v>
      </c>
      <c r="S815">
        <v>1</v>
      </c>
      <c r="T815" t="s">
        <v>58</v>
      </c>
      <c r="U815" t="s">
        <v>359</v>
      </c>
      <c r="V815" s="4">
        <v>0.375</v>
      </c>
      <c r="W815" s="2">
        <v>0</v>
      </c>
      <c r="X815">
        <v>0</v>
      </c>
      <c r="Y815" t="s">
        <v>60</v>
      </c>
      <c r="Z815" t="s">
        <v>360</v>
      </c>
      <c r="AA815">
        <v>0</v>
      </c>
      <c r="AB815" s="2">
        <v>0</v>
      </c>
      <c r="AC815" s="2">
        <v>0</v>
      </c>
      <c r="AD815" s="3">
        <v>0</v>
      </c>
      <c r="AE815" s="2">
        <v>0</v>
      </c>
      <c r="AF815" s="2">
        <v>0</v>
      </c>
      <c r="AG815" s="2">
        <v>0</v>
      </c>
      <c r="AH815" s="2">
        <v>0</v>
      </c>
      <c r="AI815" s="2">
        <v>0</v>
      </c>
      <c r="AJ815" s="2">
        <v>0</v>
      </c>
      <c r="AK815" s="2">
        <v>0</v>
      </c>
      <c r="AL815" s="2">
        <v>10.14</v>
      </c>
      <c r="AM815" s="2">
        <v>0</v>
      </c>
      <c r="AN815" s="2">
        <v>0</v>
      </c>
      <c r="AO815" s="2">
        <v>0</v>
      </c>
      <c r="AP815" s="2">
        <v>0</v>
      </c>
      <c r="AQ815" s="2">
        <v>0</v>
      </c>
    </row>
    <row r="816" spans="1:43" x14ac:dyDescent="0.25">
      <c r="A816" s="1">
        <v>45936</v>
      </c>
      <c r="B816" t="s">
        <v>48</v>
      </c>
      <c r="C816">
        <v>649163</v>
      </c>
      <c r="D816">
        <v>2029752465</v>
      </c>
      <c r="E816" t="s">
        <v>1062</v>
      </c>
      <c r="F816" t="s">
        <v>1063</v>
      </c>
      <c r="G816" t="s">
        <v>51</v>
      </c>
      <c r="H816" t="s">
        <v>88</v>
      </c>
      <c r="I816" t="s">
        <v>243</v>
      </c>
      <c r="J816" t="s">
        <v>244</v>
      </c>
      <c r="K816">
        <v>767312</v>
      </c>
      <c r="L816" t="s">
        <v>283</v>
      </c>
      <c r="M816" t="s">
        <v>284</v>
      </c>
      <c r="N816" t="s">
        <v>57</v>
      </c>
      <c r="O816" s="1">
        <v>45840</v>
      </c>
      <c r="Q816" s="1">
        <v>45993</v>
      </c>
      <c r="R816" s="2">
        <v>24.54</v>
      </c>
      <c r="S816">
        <v>1</v>
      </c>
      <c r="T816" t="s">
        <v>58</v>
      </c>
      <c r="U816" t="s">
        <v>359</v>
      </c>
      <c r="V816" s="4">
        <v>0.375</v>
      </c>
      <c r="W816" s="2">
        <v>0</v>
      </c>
      <c r="X816">
        <v>0</v>
      </c>
      <c r="Y816" t="s">
        <v>60</v>
      </c>
      <c r="Z816" t="s">
        <v>360</v>
      </c>
      <c r="AA816">
        <v>0</v>
      </c>
      <c r="AB816" s="2">
        <v>0</v>
      </c>
      <c r="AC816" s="2">
        <v>0</v>
      </c>
      <c r="AD816" s="3">
        <v>0</v>
      </c>
      <c r="AE816" s="2">
        <v>0</v>
      </c>
      <c r="AF816" s="2">
        <v>0</v>
      </c>
      <c r="AG816" s="2">
        <v>0</v>
      </c>
      <c r="AH816" s="2">
        <v>0</v>
      </c>
      <c r="AI816" s="2">
        <v>0</v>
      </c>
      <c r="AJ816" s="2">
        <v>0</v>
      </c>
      <c r="AK816" s="2">
        <v>0</v>
      </c>
      <c r="AL816" s="2">
        <v>9.1999999999999993</v>
      </c>
      <c r="AM816" s="2">
        <v>0</v>
      </c>
      <c r="AN816" s="2">
        <v>0</v>
      </c>
      <c r="AO816" s="2">
        <v>0</v>
      </c>
      <c r="AP816" s="2">
        <v>0</v>
      </c>
      <c r="AQ816" s="2">
        <v>0</v>
      </c>
    </row>
    <row r="817" spans="1:43" x14ac:dyDescent="0.25">
      <c r="A817" s="1">
        <v>45936</v>
      </c>
      <c r="B817" t="s">
        <v>48</v>
      </c>
      <c r="C817">
        <v>649163</v>
      </c>
      <c r="D817">
        <v>2029752465</v>
      </c>
      <c r="E817" t="s">
        <v>1062</v>
      </c>
      <c r="F817" t="s">
        <v>1063</v>
      </c>
      <c r="G817" t="s">
        <v>51</v>
      </c>
      <c r="H817" t="s">
        <v>88</v>
      </c>
      <c r="I817" t="s">
        <v>243</v>
      </c>
      <c r="J817" t="s">
        <v>244</v>
      </c>
      <c r="K817">
        <v>767312</v>
      </c>
      <c r="L817" t="s">
        <v>283</v>
      </c>
      <c r="M817" t="s">
        <v>284</v>
      </c>
      <c r="N817" t="s">
        <v>57</v>
      </c>
      <c r="O817" s="1">
        <v>45840</v>
      </c>
      <c r="Q817" s="1">
        <v>45993</v>
      </c>
      <c r="R817" s="2">
        <v>24.54</v>
      </c>
      <c r="S817">
        <v>1</v>
      </c>
      <c r="T817" t="s">
        <v>58</v>
      </c>
      <c r="U817" t="s">
        <v>359</v>
      </c>
      <c r="V817" s="4">
        <v>0.375</v>
      </c>
      <c r="W817" s="2">
        <v>0</v>
      </c>
      <c r="X817">
        <v>0</v>
      </c>
      <c r="Y817" t="s">
        <v>60</v>
      </c>
      <c r="Z817" t="s">
        <v>360</v>
      </c>
      <c r="AA817">
        <v>0</v>
      </c>
      <c r="AB817" s="2">
        <v>0</v>
      </c>
      <c r="AC817" s="2">
        <v>0</v>
      </c>
      <c r="AD817" s="3">
        <v>0</v>
      </c>
      <c r="AE817" s="2">
        <v>0</v>
      </c>
      <c r="AF817" s="2">
        <v>0</v>
      </c>
      <c r="AG817" s="2">
        <v>0</v>
      </c>
      <c r="AH817" s="2">
        <v>0</v>
      </c>
      <c r="AI817" s="2">
        <v>0</v>
      </c>
      <c r="AJ817" s="2">
        <v>0</v>
      </c>
      <c r="AK817" s="2">
        <v>0</v>
      </c>
      <c r="AL817" s="2">
        <v>9.1999999999999993</v>
      </c>
      <c r="AM817" s="2">
        <v>0</v>
      </c>
      <c r="AN817" s="2">
        <v>0</v>
      </c>
      <c r="AO817" s="2">
        <v>0</v>
      </c>
      <c r="AP817" s="2">
        <v>0</v>
      </c>
      <c r="AQ817" s="2">
        <v>0</v>
      </c>
    </row>
    <row r="818" spans="1:43" x14ac:dyDescent="0.25">
      <c r="A818" s="1">
        <v>45936</v>
      </c>
      <c r="B818" t="s">
        <v>48</v>
      </c>
      <c r="C818">
        <v>649163</v>
      </c>
      <c r="D818">
        <v>2029786426</v>
      </c>
      <c r="E818" t="s">
        <v>425</v>
      </c>
      <c r="F818" t="s">
        <v>426</v>
      </c>
      <c r="G818" t="s">
        <v>51</v>
      </c>
      <c r="H818" t="s">
        <v>427</v>
      </c>
      <c r="I818" t="s">
        <v>243</v>
      </c>
      <c r="J818" t="s">
        <v>244</v>
      </c>
      <c r="K818">
        <v>812994</v>
      </c>
      <c r="L818" t="s">
        <v>428</v>
      </c>
      <c r="M818" t="s">
        <v>309</v>
      </c>
      <c r="N818" t="s">
        <v>57</v>
      </c>
      <c r="O818" s="1">
        <v>45842</v>
      </c>
      <c r="Q818" s="1">
        <v>45965</v>
      </c>
      <c r="R818" s="2">
        <v>44.83</v>
      </c>
      <c r="S818">
        <v>1</v>
      </c>
      <c r="T818" t="s">
        <v>58</v>
      </c>
      <c r="U818" t="s">
        <v>359</v>
      </c>
      <c r="V818" s="4">
        <v>0.375</v>
      </c>
      <c r="W818" s="2">
        <v>0</v>
      </c>
      <c r="X818">
        <v>0</v>
      </c>
      <c r="Y818" t="s">
        <v>60</v>
      </c>
      <c r="Z818" t="s">
        <v>360</v>
      </c>
      <c r="AA818">
        <v>0</v>
      </c>
      <c r="AB818" s="2">
        <v>0</v>
      </c>
      <c r="AC818" s="2">
        <v>0</v>
      </c>
      <c r="AD818" s="3">
        <v>0</v>
      </c>
      <c r="AE818" s="2">
        <v>0</v>
      </c>
      <c r="AF818" s="2">
        <v>0</v>
      </c>
      <c r="AG818" s="2">
        <v>0</v>
      </c>
      <c r="AH818" s="2">
        <v>0</v>
      </c>
      <c r="AI818" s="2">
        <v>0</v>
      </c>
      <c r="AJ818" s="2">
        <v>0</v>
      </c>
      <c r="AK818" s="2">
        <v>0</v>
      </c>
      <c r="AL818" s="2">
        <v>16.809999999999999</v>
      </c>
      <c r="AM818" s="2">
        <v>0</v>
      </c>
      <c r="AN818" s="2">
        <v>0</v>
      </c>
      <c r="AO818" s="2">
        <v>0</v>
      </c>
      <c r="AP818" s="2">
        <v>0</v>
      </c>
      <c r="AQ818" s="2">
        <v>0</v>
      </c>
    </row>
    <row r="819" spans="1:43" x14ac:dyDescent="0.25">
      <c r="A819" s="1">
        <v>45936</v>
      </c>
      <c r="B819" t="s">
        <v>48</v>
      </c>
      <c r="C819">
        <v>649163</v>
      </c>
      <c r="D819">
        <v>2029851935</v>
      </c>
      <c r="E819" t="s">
        <v>1066</v>
      </c>
      <c r="F819" t="s">
        <v>1067</v>
      </c>
      <c r="G819" t="s">
        <v>51</v>
      </c>
      <c r="H819" t="s">
        <v>203</v>
      </c>
      <c r="I819" t="s">
        <v>243</v>
      </c>
      <c r="J819" t="s">
        <v>244</v>
      </c>
      <c r="K819">
        <v>824082</v>
      </c>
      <c r="L819" t="s">
        <v>406</v>
      </c>
      <c r="M819" t="s">
        <v>407</v>
      </c>
      <c r="N819" t="s">
        <v>57</v>
      </c>
      <c r="O819" s="1">
        <v>45847</v>
      </c>
      <c r="Q819" s="1">
        <v>45970</v>
      </c>
      <c r="R819" s="2">
        <v>101.89</v>
      </c>
      <c r="S819">
        <v>1</v>
      </c>
      <c r="T819" t="s">
        <v>58</v>
      </c>
      <c r="U819" t="s">
        <v>359</v>
      </c>
      <c r="V819" s="4">
        <v>0.375</v>
      </c>
      <c r="W819" s="2">
        <v>0</v>
      </c>
      <c r="X819">
        <v>0</v>
      </c>
      <c r="Y819" t="s">
        <v>60</v>
      </c>
      <c r="Z819" t="s">
        <v>360</v>
      </c>
      <c r="AA819">
        <v>0</v>
      </c>
      <c r="AB819" s="2">
        <v>0</v>
      </c>
      <c r="AC819" s="2">
        <v>0</v>
      </c>
      <c r="AD819" s="3">
        <v>0</v>
      </c>
      <c r="AE819" s="2">
        <v>0</v>
      </c>
      <c r="AF819" s="2">
        <v>0</v>
      </c>
      <c r="AG819" s="2">
        <v>0</v>
      </c>
      <c r="AH819" s="2">
        <v>0</v>
      </c>
      <c r="AI819" s="2">
        <v>0</v>
      </c>
      <c r="AJ819" s="2">
        <v>0</v>
      </c>
      <c r="AK819" s="2">
        <v>0</v>
      </c>
      <c r="AL819" s="2">
        <v>38.21</v>
      </c>
      <c r="AM819" s="2">
        <v>0</v>
      </c>
      <c r="AN819" s="2">
        <v>0</v>
      </c>
      <c r="AO819" s="2">
        <v>0</v>
      </c>
      <c r="AP819" s="2">
        <v>0</v>
      </c>
      <c r="AQ819" s="2">
        <v>0</v>
      </c>
    </row>
    <row r="820" spans="1:43" x14ac:dyDescent="0.25">
      <c r="A820" s="1">
        <v>45936</v>
      </c>
      <c r="B820" t="s">
        <v>48</v>
      </c>
      <c r="C820">
        <v>649163</v>
      </c>
      <c r="D820">
        <v>2029869955</v>
      </c>
      <c r="E820" t="s">
        <v>1116</v>
      </c>
      <c r="F820" t="s">
        <v>1117</v>
      </c>
      <c r="G820" t="s">
        <v>51</v>
      </c>
      <c r="H820" t="s">
        <v>328</v>
      </c>
      <c r="I820" t="s">
        <v>243</v>
      </c>
      <c r="J820" t="s">
        <v>244</v>
      </c>
      <c r="K820">
        <v>767312</v>
      </c>
      <c r="L820" t="s">
        <v>283</v>
      </c>
      <c r="M820" t="s">
        <v>284</v>
      </c>
      <c r="N820" t="s">
        <v>57</v>
      </c>
      <c r="O820" s="1">
        <v>45848</v>
      </c>
      <c r="Q820" s="1">
        <v>45971</v>
      </c>
      <c r="R820" s="2">
        <v>28.86</v>
      </c>
      <c r="S820">
        <v>1</v>
      </c>
      <c r="T820" t="s">
        <v>58</v>
      </c>
      <c r="U820" t="s">
        <v>359</v>
      </c>
      <c r="V820" s="4">
        <v>0.375</v>
      </c>
      <c r="W820" s="2">
        <v>0</v>
      </c>
      <c r="X820">
        <v>0</v>
      </c>
      <c r="Y820" t="s">
        <v>60</v>
      </c>
      <c r="Z820" t="s">
        <v>360</v>
      </c>
      <c r="AA820">
        <v>0</v>
      </c>
      <c r="AB820" s="2">
        <v>0</v>
      </c>
      <c r="AC820" s="2">
        <v>0</v>
      </c>
      <c r="AD820" s="3">
        <v>0</v>
      </c>
      <c r="AE820" s="2">
        <v>0</v>
      </c>
      <c r="AF820" s="2">
        <v>0</v>
      </c>
      <c r="AG820" s="2">
        <v>0</v>
      </c>
      <c r="AH820" s="2">
        <v>0</v>
      </c>
      <c r="AI820" s="2">
        <v>0</v>
      </c>
      <c r="AJ820" s="2">
        <v>0</v>
      </c>
      <c r="AK820" s="2">
        <v>0</v>
      </c>
      <c r="AL820" s="2">
        <v>10.82</v>
      </c>
      <c r="AM820" s="2">
        <v>0</v>
      </c>
      <c r="AN820" s="2">
        <v>0</v>
      </c>
      <c r="AO820" s="2">
        <v>0</v>
      </c>
      <c r="AP820" s="2">
        <v>0</v>
      </c>
      <c r="AQ820" s="2">
        <v>0</v>
      </c>
    </row>
    <row r="821" spans="1:43" x14ac:dyDescent="0.25">
      <c r="A821" s="1">
        <v>45936</v>
      </c>
      <c r="B821" t="s">
        <v>48</v>
      </c>
      <c r="C821">
        <v>649163</v>
      </c>
      <c r="D821">
        <v>2029877306</v>
      </c>
      <c r="E821" t="s">
        <v>1118</v>
      </c>
      <c r="F821" t="s">
        <v>1119</v>
      </c>
      <c r="G821" t="s">
        <v>51</v>
      </c>
      <c r="H821" t="s">
        <v>203</v>
      </c>
      <c r="I821" t="s">
        <v>243</v>
      </c>
      <c r="J821" t="s">
        <v>244</v>
      </c>
      <c r="K821">
        <v>824082</v>
      </c>
      <c r="L821" t="s">
        <v>406</v>
      </c>
      <c r="M821" t="s">
        <v>407</v>
      </c>
      <c r="N821" t="s">
        <v>57</v>
      </c>
      <c r="O821" s="1">
        <v>45848</v>
      </c>
      <c r="Q821" s="1">
        <v>45971</v>
      </c>
      <c r="R821" s="2">
        <v>189.23</v>
      </c>
      <c r="S821">
        <v>1</v>
      </c>
      <c r="T821" t="s">
        <v>58</v>
      </c>
      <c r="U821" t="s">
        <v>359</v>
      </c>
      <c r="V821" s="4">
        <v>0.375</v>
      </c>
      <c r="W821" s="2">
        <v>0</v>
      </c>
      <c r="X821">
        <v>0</v>
      </c>
      <c r="Y821" t="s">
        <v>60</v>
      </c>
      <c r="Z821" t="s">
        <v>360</v>
      </c>
      <c r="AA821">
        <v>0</v>
      </c>
      <c r="AB821" s="2">
        <v>0</v>
      </c>
      <c r="AC821" s="2">
        <v>0</v>
      </c>
      <c r="AD821" s="3">
        <v>0</v>
      </c>
      <c r="AE821" s="2">
        <v>0</v>
      </c>
      <c r="AF821" s="2">
        <v>0</v>
      </c>
      <c r="AG821" s="2">
        <v>0</v>
      </c>
      <c r="AH821" s="2">
        <v>0</v>
      </c>
      <c r="AI821" s="2">
        <v>0</v>
      </c>
      <c r="AJ821" s="2">
        <v>0</v>
      </c>
      <c r="AK821" s="2">
        <v>0</v>
      </c>
      <c r="AL821" s="2">
        <v>70.959999999999994</v>
      </c>
      <c r="AM821" s="2">
        <v>0</v>
      </c>
      <c r="AN821" s="2">
        <v>0</v>
      </c>
      <c r="AO821" s="2">
        <v>0</v>
      </c>
      <c r="AP821" s="2">
        <v>0</v>
      </c>
      <c r="AQ821" s="2">
        <v>0</v>
      </c>
    </row>
    <row r="822" spans="1:43" x14ac:dyDescent="0.25">
      <c r="A822" s="1">
        <v>45936</v>
      </c>
      <c r="B822" t="s">
        <v>48</v>
      </c>
      <c r="C822">
        <v>649163</v>
      </c>
      <c r="D822">
        <v>2029880669</v>
      </c>
      <c r="E822" t="s">
        <v>1070</v>
      </c>
      <c r="F822" t="s">
        <v>1071</v>
      </c>
      <c r="G822" t="s">
        <v>51</v>
      </c>
      <c r="H822" t="s">
        <v>101</v>
      </c>
      <c r="I822" t="s">
        <v>243</v>
      </c>
      <c r="J822" t="s">
        <v>244</v>
      </c>
      <c r="K822">
        <v>840313</v>
      </c>
      <c r="L822" t="s">
        <v>436</v>
      </c>
      <c r="M822" t="s">
        <v>437</v>
      </c>
      <c r="N822" t="s">
        <v>57</v>
      </c>
      <c r="O822" s="1">
        <v>45848</v>
      </c>
      <c r="Q822" s="1">
        <v>45971</v>
      </c>
      <c r="R822" s="2">
        <v>77.48</v>
      </c>
      <c r="S822">
        <v>1</v>
      </c>
      <c r="T822" t="s">
        <v>58</v>
      </c>
      <c r="U822" t="s">
        <v>359</v>
      </c>
      <c r="V822" s="4">
        <v>0.375</v>
      </c>
      <c r="W822" s="2">
        <v>0</v>
      </c>
      <c r="X822">
        <v>0</v>
      </c>
      <c r="Y822" t="s">
        <v>60</v>
      </c>
      <c r="Z822" t="s">
        <v>360</v>
      </c>
      <c r="AA822">
        <v>0</v>
      </c>
      <c r="AB822" s="2">
        <v>0</v>
      </c>
      <c r="AC822" s="2">
        <v>0</v>
      </c>
      <c r="AD822" s="3">
        <v>0</v>
      </c>
      <c r="AE822" s="2">
        <v>0</v>
      </c>
      <c r="AF822" s="2">
        <v>0</v>
      </c>
      <c r="AG822" s="2">
        <v>0</v>
      </c>
      <c r="AH822" s="2">
        <v>0</v>
      </c>
      <c r="AI822" s="2">
        <v>0</v>
      </c>
      <c r="AJ822" s="2">
        <v>0</v>
      </c>
      <c r="AK822" s="2">
        <v>0</v>
      </c>
      <c r="AL822" s="2">
        <v>29.06</v>
      </c>
      <c r="AM822" s="2">
        <v>0</v>
      </c>
      <c r="AN822" s="2">
        <v>0</v>
      </c>
      <c r="AO822" s="2">
        <v>0</v>
      </c>
      <c r="AP822" s="2">
        <v>0</v>
      </c>
      <c r="AQ822" s="2">
        <v>0</v>
      </c>
    </row>
    <row r="823" spans="1:43" x14ac:dyDescent="0.25">
      <c r="A823" s="1">
        <v>45936</v>
      </c>
      <c r="B823" t="s">
        <v>48</v>
      </c>
      <c r="C823">
        <v>649163</v>
      </c>
      <c r="D823">
        <v>2029880676</v>
      </c>
      <c r="E823" t="s">
        <v>1072</v>
      </c>
      <c r="F823" t="s">
        <v>1073</v>
      </c>
      <c r="G823" t="s">
        <v>51</v>
      </c>
      <c r="H823" t="s">
        <v>101</v>
      </c>
      <c r="I823" t="s">
        <v>243</v>
      </c>
      <c r="J823" t="s">
        <v>244</v>
      </c>
      <c r="K823">
        <v>812994</v>
      </c>
      <c r="L823" t="s">
        <v>428</v>
      </c>
      <c r="M823" t="s">
        <v>309</v>
      </c>
      <c r="N823" t="s">
        <v>57</v>
      </c>
      <c r="O823" s="1">
        <v>45848</v>
      </c>
      <c r="Q823" s="1">
        <v>45971</v>
      </c>
      <c r="R823" s="2">
        <v>77.48</v>
      </c>
      <c r="S823">
        <v>1</v>
      </c>
      <c r="T823" t="s">
        <v>58</v>
      </c>
      <c r="U823" t="s">
        <v>359</v>
      </c>
      <c r="V823" s="4">
        <v>0.375</v>
      </c>
      <c r="W823" s="2">
        <v>0</v>
      </c>
      <c r="X823">
        <v>0</v>
      </c>
      <c r="Y823" t="s">
        <v>60</v>
      </c>
      <c r="Z823" t="s">
        <v>360</v>
      </c>
      <c r="AA823">
        <v>0</v>
      </c>
      <c r="AB823" s="2">
        <v>0</v>
      </c>
      <c r="AC823" s="2">
        <v>0</v>
      </c>
      <c r="AD823" s="3">
        <v>0</v>
      </c>
      <c r="AE823" s="2">
        <v>0</v>
      </c>
      <c r="AF823" s="2">
        <v>0</v>
      </c>
      <c r="AG823" s="2">
        <v>0</v>
      </c>
      <c r="AH823" s="2">
        <v>0</v>
      </c>
      <c r="AI823" s="2">
        <v>0</v>
      </c>
      <c r="AJ823" s="2">
        <v>0</v>
      </c>
      <c r="AK823" s="2">
        <v>0</v>
      </c>
      <c r="AL823" s="2">
        <v>29.06</v>
      </c>
      <c r="AM823" s="2">
        <v>0</v>
      </c>
      <c r="AN823" s="2">
        <v>0</v>
      </c>
      <c r="AO823" s="2">
        <v>0</v>
      </c>
      <c r="AP823" s="2">
        <v>0</v>
      </c>
      <c r="AQ823" s="2">
        <v>0</v>
      </c>
    </row>
    <row r="824" spans="1:43" x14ac:dyDescent="0.25">
      <c r="A824" s="1">
        <v>45936</v>
      </c>
      <c r="B824" t="s">
        <v>48</v>
      </c>
      <c r="C824">
        <v>649163</v>
      </c>
      <c r="D824">
        <v>2029976823</v>
      </c>
      <c r="E824" t="s">
        <v>1120</v>
      </c>
      <c r="F824" t="s">
        <v>1121</v>
      </c>
      <c r="G824" t="s">
        <v>51</v>
      </c>
      <c r="H824" t="s">
        <v>70</v>
      </c>
      <c r="I824" t="s">
        <v>243</v>
      </c>
      <c r="J824" t="s">
        <v>244</v>
      </c>
      <c r="K824">
        <v>702406</v>
      </c>
      <c r="L824" t="s">
        <v>803</v>
      </c>
      <c r="M824" t="s">
        <v>746</v>
      </c>
      <c r="N824" t="s">
        <v>57</v>
      </c>
      <c r="O824" s="1">
        <v>45854</v>
      </c>
      <c r="Q824" s="1">
        <v>45946</v>
      </c>
      <c r="R824" s="2">
        <v>49.12</v>
      </c>
      <c r="S824">
        <v>1</v>
      </c>
      <c r="T824" t="s">
        <v>58</v>
      </c>
      <c r="U824" t="s">
        <v>359</v>
      </c>
      <c r="V824" s="4">
        <v>0.375</v>
      </c>
      <c r="W824" s="2">
        <v>0</v>
      </c>
      <c r="X824">
        <v>0</v>
      </c>
      <c r="Y824" t="s">
        <v>60</v>
      </c>
      <c r="Z824" t="s">
        <v>360</v>
      </c>
      <c r="AA824">
        <v>0</v>
      </c>
      <c r="AB824" s="2">
        <v>0</v>
      </c>
      <c r="AC824" s="2">
        <v>0</v>
      </c>
      <c r="AD824" s="3">
        <v>0</v>
      </c>
      <c r="AE824" s="2">
        <v>0</v>
      </c>
      <c r="AF824" s="2">
        <v>0</v>
      </c>
      <c r="AG824" s="2">
        <v>0</v>
      </c>
      <c r="AH824" s="2">
        <v>0</v>
      </c>
      <c r="AI824" s="2">
        <v>0</v>
      </c>
      <c r="AJ824" s="2">
        <v>0</v>
      </c>
      <c r="AK824" s="2">
        <v>0</v>
      </c>
      <c r="AL824" s="2">
        <v>18.420000000000002</v>
      </c>
      <c r="AM824" s="2">
        <v>0</v>
      </c>
      <c r="AN824" s="2">
        <v>0</v>
      </c>
      <c r="AO824" s="2">
        <v>0</v>
      </c>
      <c r="AP824" s="2">
        <v>0</v>
      </c>
      <c r="AQ824" s="2">
        <v>0</v>
      </c>
    </row>
    <row r="825" spans="1:43" x14ac:dyDescent="0.25">
      <c r="A825" s="1">
        <v>45936</v>
      </c>
      <c r="B825" t="s">
        <v>48</v>
      </c>
      <c r="C825">
        <v>649163</v>
      </c>
      <c r="D825">
        <v>2030189269</v>
      </c>
      <c r="E825" t="s">
        <v>911</v>
      </c>
      <c r="F825" t="s">
        <v>912</v>
      </c>
      <c r="G825" t="s">
        <v>51</v>
      </c>
      <c r="H825" t="s">
        <v>323</v>
      </c>
      <c r="I825" t="s">
        <v>243</v>
      </c>
      <c r="J825" t="s">
        <v>244</v>
      </c>
      <c r="K825">
        <v>651818</v>
      </c>
      <c r="L825" t="s">
        <v>112</v>
      </c>
      <c r="M825" t="s">
        <v>104</v>
      </c>
      <c r="N825" t="s">
        <v>57</v>
      </c>
      <c r="O825" s="1">
        <v>45876</v>
      </c>
      <c r="Q825" s="1">
        <v>45968</v>
      </c>
      <c r="R825" s="2">
        <v>47.06</v>
      </c>
      <c r="S825">
        <v>1</v>
      </c>
      <c r="T825" t="s">
        <v>58</v>
      </c>
      <c r="U825" t="s">
        <v>359</v>
      </c>
      <c r="V825" s="4">
        <v>0.375</v>
      </c>
      <c r="W825" s="2">
        <v>0</v>
      </c>
      <c r="X825">
        <v>0</v>
      </c>
      <c r="Y825" t="s">
        <v>60</v>
      </c>
      <c r="Z825" t="s">
        <v>360</v>
      </c>
      <c r="AA825">
        <v>0</v>
      </c>
      <c r="AB825" s="2">
        <v>0</v>
      </c>
      <c r="AC825" s="2">
        <v>0</v>
      </c>
      <c r="AD825" s="3">
        <v>0</v>
      </c>
      <c r="AE825" s="2">
        <v>0</v>
      </c>
      <c r="AF825" s="2">
        <v>0</v>
      </c>
      <c r="AG825" s="2">
        <v>0</v>
      </c>
      <c r="AH825" s="2">
        <v>0</v>
      </c>
      <c r="AI825" s="2">
        <v>0</v>
      </c>
      <c r="AJ825" s="2">
        <v>0</v>
      </c>
      <c r="AK825" s="2">
        <v>0</v>
      </c>
      <c r="AL825" s="2">
        <v>17.649999999999999</v>
      </c>
      <c r="AM825" s="2">
        <v>0</v>
      </c>
      <c r="AN825" s="2">
        <v>0</v>
      </c>
      <c r="AO825" s="2">
        <v>0</v>
      </c>
      <c r="AP825" s="2">
        <v>0</v>
      </c>
      <c r="AQ825" s="2">
        <v>0</v>
      </c>
    </row>
    <row r="826" spans="1:43" x14ac:dyDescent="0.25">
      <c r="A826" s="1">
        <v>45936</v>
      </c>
      <c r="B826" t="s">
        <v>48</v>
      </c>
      <c r="C826">
        <v>649163</v>
      </c>
      <c r="D826">
        <v>2030340160</v>
      </c>
      <c r="E826" t="s">
        <v>920</v>
      </c>
      <c r="F826" t="s">
        <v>921</v>
      </c>
      <c r="G826" t="s">
        <v>51</v>
      </c>
      <c r="H826" t="s">
        <v>182</v>
      </c>
      <c r="I826" t="s">
        <v>243</v>
      </c>
      <c r="J826" t="s">
        <v>244</v>
      </c>
      <c r="K826">
        <v>673059</v>
      </c>
      <c r="L826" t="s">
        <v>80</v>
      </c>
      <c r="M826" t="s">
        <v>81</v>
      </c>
      <c r="N826" t="s">
        <v>57</v>
      </c>
      <c r="O826" s="1">
        <v>45901</v>
      </c>
      <c r="Q826" s="1">
        <v>45962</v>
      </c>
      <c r="R826" s="2">
        <v>71.37</v>
      </c>
      <c r="S826">
        <v>1</v>
      </c>
      <c r="T826" t="s">
        <v>58</v>
      </c>
      <c r="U826" t="s">
        <v>359</v>
      </c>
      <c r="V826" s="4">
        <v>0.375</v>
      </c>
      <c r="W826" s="2">
        <v>0</v>
      </c>
      <c r="X826">
        <v>0</v>
      </c>
      <c r="Y826" t="s">
        <v>60</v>
      </c>
      <c r="Z826" t="s">
        <v>360</v>
      </c>
      <c r="AA826">
        <v>0</v>
      </c>
      <c r="AB826" s="2">
        <v>0</v>
      </c>
      <c r="AC826" s="2">
        <v>0</v>
      </c>
      <c r="AD826" s="3">
        <v>0</v>
      </c>
      <c r="AE826" s="2">
        <v>0</v>
      </c>
      <c r="AF826" s="2">
        <v>0</v>
      </c>
      <c r="AG826" s="2">
        <v>0</v>
      </c>
      <c r="AH826" s="2">
        <v>0</v>
      </c>
      <c r="AI826" s="2">
        <v>0</v>
      </c>
      <c r="AJ826" s="2">
        <v>0</v>
      </c>
      <c r="AK826" s="2">
        <v>0</v>
      </c>
      <c r="AL826" s="2">
        <v>26.76</v>
      </c>
      <c r="AM826" s="2">
        <v>0</v>
      </c>
      <c r="AN826" s="2">
        <v>0</v>
      </c>
      <c r="AO826" s="2">
        <v>0</v>
      </c>
      <c r="AP826" s="2">
        <v>0</v>
      </c>
      <c r="AQ826" s="2">
        <v>0</v>
      </c>
    </row>
    <row r="827" spans="1:43" x14ac:dyDescent="0.25">
      <c r="A827" s="1">
        <v>45936</v>
      </c>
      <c r="B827" t="s">
        <v>48</v>
      </c>
      <c r="C827">
        <v>649163</v>
      </c>
      <c r="D827">
        <v>2030341641</v>
      </c>
      <c r="E827" t="s">
        <v>1122</v>
      </c>
      <c r="F827" t="s">
        <v>1123</v>
      </c>
      <c r="G827" t="s">
        <v>51</v>
      </c>
      <c r="H827" t="s">
        <v>70</v>
      </c>
      <c r="I827" t="s">
        <v>243</v>
      </c>
      <c r="J827" t="s">
        <v>244</v>
      </c>
      <c r="K827">
        <v>702406</v>
      </c>
      <c r="L827" t="s">
        <v>803</v>
      </c>
      <c r="M827" t="s">
        <v>746</v>
      </c>
      <c r="N827" t="s">
        <v>57</v>
      </c>
      <c r="O827" s="1">
        <v>45875</v>
      </c>
      <c r="Q827" s="1">
        <v>45967</v>
      </c>
      <c r="R827" s="2">
        <v>30.12</v>
      </c>
      <c r="S827">
        <v>1</v>
      </c>
      <c r="T827" t="s">
        <v>58</v>
      </c>
      <c r="U827" t="s">
        <v>359</v>
      </c>
      <c r="V827" s="4">
        <v>0.375</v>
      </c>
      <c r="W827" s="2">
        <v>0</v>
      </c>
      <c r="X827">
        <v>0</v>
      </c>
      <c r="Y827" t="s">
        <v>60</v>
      </c>
      <c r="Z827" t="s">
        <v>360</v>
      </c>
      <c r="AA827">
        <v>0</v>
      </c>
      <c r="AB827" s="2">
        <v>0</v>
      </c>
      <c r="AC827" s="2">
        <v>0</v>
      </c>
      <c r="AD827" s="3">
        <v>0</v>
      </c>
      <c r="AE827" s="2">
        <v>0</v>
      </c>
      <c r="AF827" s="2">
        <v>0</v>
      </c>
      <c r="AG827" s="2">
        <v>0</v>
      </c>
      <c r="AH827" s="2">
        <v>0</v>
      </c>
      <c r="AI827" s="2">
        <v>0</v>
      </c>
      <c r="AJ827" s="2">
        <v>0</v>
      </c>
      <c r="AK827" s="2">
        <v>0</v>
      </c>
      <c r="AL827" s="2">
        <v>11.3</v>
      </c>
      <c r="AM827" s="2">
        <v>0</v>
      </c>
      <c r="AN827" s="2">
        <v>0</v>
      </c>
      <c r="AO827" s="2">
        <v>0</v>
      </c>
      <c r="AP827" s="2">
        <v>0</v>
      </c>
      <c r="AQ827" s="2">
        <v>0</v>
      </c>
    </row>
    <row r="828" spans="1:43" x14ac:dyDescent="0.25">
      <c r="A828" s="1">
        <v>45936</v>
      </c>
      <c r="B828" t="s">
        <v>48</v>
      </c>
      <c r="C828">
        <v>649163</v>
      </c>
      <c r="D828">
        <v>2030367107</v>
      </c>
      <c r="E828" t="s">
        <v>608</v>
      </c>
      <c r="F828" t="s">
        <v>1084</v>
      </c>
      <c r="G828" t="s">
        <v>51</v>
      </c>
      <c r="H828" t="s">
        <v>382</v>
      </c>
      <c r="I828" t="s">
        <v>243</v>
      </c>
      <c r="J828" t="s">
        <v>244</v>
      </c>
      <c r="K828">
        <v>650218</v>
      </c>
      <c r="L828" t="s">
        <v>237</v>
      </c>
      <c r="M828" t="s">
        <v>238</v>
      </c>
      <c r="N828" t="s">
        <v>57</v>
      </c>
      <c r="O828" s="1">
        <v>45877</v>
      </c>
      <c r="Q828" s="1">
        <v>45969</v>
      </c>
      <c r="R828" s="2">
        <v>67.63</v>
      </c>
      <c r="S828">
        <v>1</v>
      </c>
      <c r="T828" t="s">
        <v>58</v>
      </c>
      <c r="U828" t="s">
        <v>359</v>
      </c>
      <c r="V828" s="4">
        <v>0.375</v>
      </c>
      <c r="W828" s="2">
        <v>0</v>
      </c>
      <c r="X828">
        <v>0</v>
      </c>
      <c r="Y828" t="s">
        <v>60</v>
      </c>
      <c r="Z828" t="s">
        <v>360</v>
      </c>
      <c r="AA828">
        <v>0</v>
      </c>
      <c r="AB828" s="2">
        <v>0</v>
      </c>
      <c r="AC828" s="2">
        <v>0</v>
      </c>
      <c r="AD828" s="3">
        <v>0</v>
      </c>
      <c r="AE828" s="2">
        <v>0</v>
      </c>
      <c r="AF828" s="2">
        <v>0</v>
      </c>
      <c r="AG828" s="2">
        <v>0</v>
      </c>
      <c r="AH828" s="2">
        <v>0</v>
      </c>
      <c r="AI828" s="2">
        <v>0</v>
      </c>
      <c r="AJ828" s="2">
        <v>0</v>
      </c>
      <c r="AK828" s="2">
        <v>0</v>
      </c>
      <c r="AL828" s="2">
        <v>25.36</v>
      </c>
      <c r="AM828" s="2">
        <v>0</v>
      </c>
      <c r="AN828" s="2">
        <v>0</v>
      </c>
      <c r="AO828" s="2">
        <v>0</v>
      </c>
      <c r="AP828" s="2">
        <v>0</v>
      </c>
      <c r="AQ828" s="2">
        <v>0</v>
      </c>
    </row>
    <row r="829" spans="1:43" x14ac:dyDescent="0.25">
      <c r="A829" s="1">
        <v>45936</v>
      </c>
      <c r="B829" t="s">
        <v>48</v>
      </c>
      <c r="C829">
        <v>649163</v>
      </c>
      <c r="D829">
        <v>2030380470</v>
      </c>
      <c r="E829" t="s">
        <v>443</v>
      </c>
      <c r="F829" t="s">
        <v>444</v>
      </c>
      <c r="G829" t="s">
        <v>51</v>
      </c>
      <c r="H829" t="s">
        <v>70</v>
      </c>
      <c r="I829" t="s">
        <v>243</v>
      </c>
      <c r="J829" t="s">
        <v>244</v>
      </c>
      <c r="K829">
        <v>650218</v>
      </c>
      <c r="L829" t="s">
        <v>237</v>
      </c>
      <c r="M829" t="s">
        <v>238</v>
      </c>
      <c r="N829" t="s">
        <v>57</v>
      </c>
      <c r="O829" s="1">
        <v>45877</v>
      </c>
      <c r="Q829" s="1">
        <v>45969</v>
      </c>
      <c r="R829" s="2">
        <v>27.11</v>
      </c>
      <c r="S829">
        <v>1</v>
      </c>
      <c r="T829" t="s">
        <v>58</v>
      </c>
      <c r="U829" t="s">
        <v>359</v>
      </c>
      <c r="V829" s="4">
        <v>0.375</v>
      </c>
      <c r="W829" s="2">
        <v>0</v>
      </c>
      <c r="X829">
        <v>0</v>
      </c>
      <c r="Y829" t="s">
        <v>60</v>
      </c>
      <c r="Z829" t="s">
        <v>360</v>
      </c>
      <c r="AA829">
        <v>0</v>
      </c>
      <c r="AB829" s="2">
        <v>0</v>
      </c>
      <c r="AC829" s="2">
        <v>0</v>
      </c>
      <c r="AD829" s="3">
        <v>0</v>
      </c>
      <c r="AE829" s="2">
        <v>0</v>
      </c>
      <c r="AF829" s="2">
        <v>0</v>
      </c>
      <c r="AG829" s="2">
        <v>0</v>
      </c>
      <c r="AH829" s="2">
        <v>0</v>
      </c>
      <c r="AI829" s="2">
        <v>0</v>
      </c>
      <c r="AJ829" s="2">
        <v>0</v>
      </c>
      <c r="AK829" s="2">
        <v>0</v>
      </c>
      <c r="AL829" s="2">
        <v>10.17</v>
      </c>
      <c r="AM829" s="2">
        <v>0</v>
      </c>
      <c r="AN829" s="2">
        <v>0</v>
      </c>
      <c r="AO829" s="2">
        <v>0</v>
      </c>
      <c r="AP829" s="2">
        <v>0</v>
      </c>
      <c r="AQ829" s="2">
        <v>0</v>
      </c>
    </row>
    <row r="830" spans="1:43" x14ac:dyDescent="0.25">
      <c r="A830" s="1">
        <v>45936</v>
      </c>
      <c r="B830" t="s">
        <v>48</v>
      </c>
      <c r="C830">
        <v>649163</v>
      </c>
      <c r="D830">
        <v>2030404320</v>
      </c>
      <c r="E830" t="s">
        <v>1087</v>
      </c>
      <c r="F830" t="s">
        <v>1088</v>
      </c>
      <c r="G830" t="s">
        <v>51</v>
      </c>
      <c r="H830" t="s">
        <v>670</v>
      </c>
      <c r="I830" t="s">
        <v>243</v>
      </c>
      <c r="J830" t="s">
        <v>244</v>
      </c>
      <c r="K830">
        <v>822865</v>
      </c>
      <c r="L830" t="s">
        <v>146</v>
      </c>
      <c r="M830" t="s">
        <v>147</v>
      </c>
      <c r="N830" t="s">
        <v>57</v>
      </c>
      <c r="O830" s="1">
        <v>45878</v>
      </c>
      <c r="Q830" s="1">
        <v>45970</v>
      </c>
      <c r="R830" s="2">
        <v>44.56</v>
      </c>
      <c r="S830">
        <v>1</v>
      </c>
      <c r="T830" t="s">
        <v>58</v>
      </c>
      <c r="U830" t="s">
        <v>359</v>
      </c>
      <c r="V830" s="4">
        <v>0.375</v>
      </c>
      <c r="W830" s="2">
        <v>0</v>
      </c>
      <c r="X830">
        <v>0</v>
      </c>
      <c r="Y830" t="s">
        <v>60</v>
      </c>
      <c r="Z830" t="s">
        <v>360</v>
      </c>
      <c r="AA830">
        <v>0</v>
      </c>
      <c r="AB830" s="2">
        <v>0</v>
      </c>
      <c r="AC830" s="2">
        <v>0</v>
      </c>
      <c r="AD830" s="3">
        <v>0</v>
      </c>
      <c r="AE830" s="2">
        <v>0</v>
      </c>
      <c r="AF830" s="2">
        <v>0</v>
      </c>
      <c r="AG830" s="2">
        <v>0</v>
      </c>
      <c r="AH830" s="2">
        <v>0</v>
      </c>
      <c r="AI830" s="2">
        <v>0</v>
      </c>
      <c r="AJ830" s="2">
        <v>0</v>
      </c>
      <c r="AK830" s="2">
        <v>0</v>
      </c>
      <c r="AL830" s="2">
        <v>16.71</v>
      </c>
      <c r="AM830" s="2">
        <v>0</v>
      </c>
      <c r="AN830" s="2">
        <v>0</v>
      </c>
      <c r="AO830" s="2">
        <v>0</v>
      </c>
      <c r="AP830" s="2">
        <v>0</v>
      </c>
      <c r="AQ830" s="2">
        <v>0</v>
      </c>
    </row>
    <row r="831" spans="1:43" x14ac:dyDescent="0.25">
      <c r="A831" s="1">
        <v>45936</v>
      </c>
      <c r="B831" t="s">
        <v>48</v>
      </c>
      <c r="C831">
        <v>649163</v>
      </c>
      <c r="D831">
        <v>2030406802</v>
      </c>
      <c r="E831" t="s">
        <v>926</v>
      </c>
      <c r="F831" t="s">
        <v>927</v>
      </c>
      <c r="G831" t="s">
        <v>51</v>
      </c>
      <c r="H831" t="s">
        <v>203</v>
      </c>
      <c r="I831" t="s">
        <v>243</v>
      </c>
      <c r="J831" t="s">
        <v>244</v>
      </c>
      <c r="K831">
        <v>796984</v>
      </c>
      <c r="L831" t="s">
        <v>204</v>
      </c>
      <c r="M831" t="s">
        <v>205</v>
      </c>
      <c r="N831" t="s">
        <v>57</v>
      </c>
      <c r="O831" s="1">
        <v>45878</v>
      </c>
      <c r="Q831" s="1">
        <v>45970</v>
      </c>
      <c r="R831" s="2">
        <v>47.28</v>
      </c>
      <c r="S831">
        <v>1</v>
      </c>
      <c r="T831" t="s">
        <v>58</v>
      </c>
      <c r="U831" t="s">
        <v>359</v>
      </c>
      <c r="V831" s="4">
        <v>0.375</v>
      </c>
      <c r="W831" s="2">
        <v>0</v>
      </c>
      <c r="X831">
        <v>0</v>
      </c>
      <c r="Y831" t="s">
        <v>60</v>
      </c>
      <c r="Z831" t="s">
        <v>360</v>
      </c>
      <c r="AA831">
        <v>0</v>
      </c>
      <c r="AB831" s="2">
        <v>0</v>
      </c>
      <c r="AC831" s="2">
        <v>0</v>
      </c>
      <c r="AD831" s="3">
        <v>0</v>
      </c>
      <c r="AE831" s="2">
        <v>0</v>
      </c>
      <c r="AF831" s="2">
        <v>0</v>
      </c>
      <c r="AG831" s="2">
        <v>0</v>
      </c>
      <c r="AH831" s="2">
        <v>0</v>
      </c>
      <c r="AI831" s="2">
        <v>0</v>
      </c>
      <c r="AJ831" s="2">
        <v>0</v>
      </c>
      <c r="AK831" s="2">
        <v>0</v>
      </c>
      <c r="AL831" s="2">
        <v>17.73</v>
      </c>
      <c r="AM831" s="2">
        <v>0</v>
      </c>
      <c r="AN831" s="2">
        <v>0</v>
      </c>
      <c r="AO831" s="2">
        <v>0</v>
      </c>
      <c r="AP831" s="2">
        <v>0</v>
      </c>
      <c r="AQ831" s="2">
        <v>0</v>
      </c>
    </row>
    <row r="832" spans="1:43" x14ac:dyDescent="0.25">
      <c r="A832" s="1">
        <v>45936</v>
      </c>
      <c r="B832" t="s">
        <v>48</v>
      </c>
      <c r="C832">
        <v>649163</v>
      </c>
      <c r="D832">
        <v>2030431211</v>
      </c>
      <c r="E832" t="s">
        <v>1124</v>
      </c>
      <c r="F832" t="s">
        <v>1125</v>
      </c>
      <c r="G832" t="s">
        <v>51</v>
      </c>
      <c r="H832" t="s">
        <v>101</v>
      </c>
      <c r="I832" t="s">
        <v>243</v>
      </c>
      <c r="J832" t="s">
        <v>244</v>
      </c>
      <c r="K832">
        <v>651818</v>
      </c>
      <c r="L832" t="s">
        <v>112</v>
      </c>
      <c r="M832" t="s">
        <v>104</v>
      </c>
      <c r="N832" t="s">
        <v>57</v>
      </c>
      <c r="O832" s="1">
        <v>45907</v>
      </c>
      <c r="Q832" s="1">
        <v>45968</v>
      </c>
      <c r="R832" s="2">
        <v>63.37</v>
      </c>
      <c r="S832">
        <v>1</v>
      </c>
      <c r="T832" t="s">
        <v>58</v>
      </c>
      <c r="U832" t="s">
        <v>359</v>
      </c>
      <c r="V832" s="4">
        <v>0.375</v>
      </c>
      <c r="W832" s="2">
        <v>0</v>
      </c>
      <c r="X832">
        <v>0</v>
      </c>
      <c r="Y832" t="s">
        <v>60</v>
      </c>
      <c r="Z832" t="s">
        <v>360</v>
      </c>
      <c r="AA832">
        <v>0</v>
      </c>
      <c r="AB832" s="2">
        <v>0</v>
      </c>
      <c r="AC832" s="2">
        <v>0</v>
      </c>
      <c r="AD832" s="3">
        <v>0</v>
      </c>
      <c r="AE832" s="2">
        <v>0</v>
      </c>
      <c r="AF832" s="2">
        <v>0</v>
      </c>
      <c r="AG832" s="2">
        <v>0</v>
      </c>
      <c r="AH832" s="2">
        <v>0</v>
      </c>
      <c r="AI832" s="2">
        <v>0</v>
      </c>
      <c r="AJ832" s="2">
        <v>0</v>
      </c>
      <c r="AK832" s="2">
        <v>0</v>
      </c>
      <c r="AL832" s="2">
        <v>23.76</v>
      </c>
      <c r="AM832" s="2">
        <v>0</v>
      </c>
      <c r="AN832" s="2">
        <v>0</v>
      </c>
      <c r="AO832" s="2">
        <v>0</v>
      </c>
      <c r="AP832" s="2">
        <v>0</v>
      </c>
      <c r="AQ832" s="2">
        <v>0</v>
      </c>
    </row>
    <row r="833" spans="1:43" x14ac:dyDescent="0.25">
      <c r="A833" s="1">
        <v>45936</v>
      </c>
      <c r="B833" t="s">
        <v>48</v>
      </c>
      <c r="C833">
        <v>649163</v>
      </c>
      <c r="D833">
        <v>2030517072</v>
      </c>
      <c r="E833" t="s">
        <v>937</v>
      </c>
      <c r="F833" t="s">
        <v>938</v>
      </c>
      <c r="G833" t="s">
        <v>51</v>
      </c>
      <c r="H833" t="s">
        <v>129</v>
      </c>
      <c r="I833" t="s">
        <v>243</v>
      </c>
      <c r="J833" t="s">
        <v>244</v>
      </c>
      <c r="K833">
        <v>651818</v>
      </c>
      <c r="L833" t="s">
        <v>112</v>
      </c>
      <c r="M833" t="s">
        <v>104</v>
      </c>
      <c r="N833" t="s">
        <v>57</v>
      </c>
      <c r="O833" s="1">
        <v>45907</v>
      </c>
      <c r="Q833" s="1">
        <v>45968</v>
      </c>
      <c r="R833" s="2">
        <v>47.83</v>
      </c>
      <c r="S833">
        <v>1</v>
      </c>
      <c r="T833" t="s">
        <v>58</v>
      </c>
      <c r="U833" t="s">
        <v>359</v>
      </c>
      <c r="V833" s="4">
        <v>0.375</v>
      </c>
      <c r="W833" s="2">
        <v>0</v>
      </c>
      <c r="X833">
        <v>0</v>
      </c>
      <c r="Y833" t="s">
        <v>60</v>
      </c>
      <c r="Z833" t="s">
        <v>360</v>
      </c>
      <c r="AA833">
        <v>0</v>
      </c>
      <c r="AB833" s="2">
        <v>0</v>
      </c>
      <c r="AC833" s="2">
        <v>0</v>
      </c>
      <c r="AD833" s="3">
        <v>0</v>
      </c>
      <c r="AE833" s="2">
        <v>0</v>
      </c>
      <c r="AF833" s="2">
        <v>0</v>
      </c>
      <c r="AG833" s="2">
        <v>0</v>
      </c>
      <c r="AH833" s="2">
        <v>0</v>
      </c>
      <c r="AI833" s="2">
        <v>0</v>
      </c>
      <c r="AJ833" s="2">
        <v>0</v>
      </c>
      <c r="AK833" s="2">
        <v>0</v>
      </c>
      <c r="AL833" s="2">
        <v>17.940000000000001</v>
      </c>
      <c r="AM833" s="2">
        <v>0</v>
      </c>
      <c r="AN833" s="2">
        <v>0</v>
      </c>
      <c r="AO833" s="2">
        <v>0</v>
      </c>
      <c r="AP833" s="2">
        <v>0</v>
      </c>
      <c r="AQ833" s="2">
        <v>0</v>
      </c>
    </row>
    <row r="834" spans="1:43" x14ac:dyDescent="0.25">
      <c r="A834" s="1">
        <v>45936</v>
      </c>
      <c r="B834" t="s">
        <v>48</v>
      </c>
      <c r="C834">
        <v>649163</v>
      </c>
      <c r="D834">
        <v>2030518951</v>
      </c>
      <c r="E834" t="s">
        <v>939</v>
      </c>
      <c r="F834" t="s">
        <v>940</v>
      </c>
      <c r="G834" t="s">
        <v>51</v>
      </c>
      <c r="H834" t="s">
        <v>159</v>
      </c>
      <c r="I834" t="s">
        <v>243</v>
      </c>
      <c r="J834" t="s">
        <v>244</v>
      </c>
      <c r="K834">
        <v>651818</v>
      </c>
      <c r="L834" t="s">
        <v>112</v>
      </c>
      <c r="M834" t="s">
        <v>104</v>
      </c>
      <c r="N834" t="s">
        <v>57</v>
      </c>
      <c r="O834" s="1">
        <v>45907</v>
      </c>
      <c r="Q834" s="1">
        <v>45968</v>
      </c>
      <c r="R834" s="2">
        <v>48.69</v>
      </c>
      <c r="S834">
        <v>1</v>
      </c>
      <c r="T834" t="s">
        <v>58</v>
      </c>
      <c r="U834" t="s">
        <v>359</v>
      </c>
      <c r="V834" s="4">
        <v>0.375</v>
      </c>
      <c r="W834" s="2">
        <v>0</v>
      </c>
      <c r="X834">
        <v>0</v>
      </c>
      <c r="Y834" t="s">
        <v>60</v>
      </c>
      <c r="Z834" t="s">
        <v>360</v>
      </c>
      <c r="AA834">
        <v>0</v>
      </c>
      <c r="AB834" s="2">
        <v>0</v>
      </c>
      <c r="AC834" s="2">
        <v>0</v>
      </c>
      <c r="AD834" s="3">
        <v>0</v>
      </c>
      <c r="AE834" s="2">
        <v>0</v>
      </c>
      <c r="AF834" s="2">
        <v>0</v>
      </c>
      <c r="AG834" s="2">
        <v>0</v>
      </c>
      <c r="AH834" s="2">
        <v>0</v>
      </c>
      <c r="AI834" s="2">
        <v>0</v>
      </c>
      <c r="AJ834" s="2">
        <v>0</v>
      </c>
      <c r="AK834" s="2">
        <v>0</v>
      </c>
      <c r="AL834" s="2">
        <v>18.260000000000002</v>
      </c>
      <c r="AM834" s="2">
        <v>0</v>
      </c>
      <c r="AN834" s="2">
        <v>0</v>
      </c>
      <c r="AO834" s="2">
        <v>0</v>
      </c>
      <c r="AP834" s="2">
        <v>0</v>
      </c>
      <c r="AQ834" s="2">
        <v>0</v>
      </c>
    </row>
    <row r="835" spans="1:43" x14ac:dyDescent="0.25">
      <c r="A835" s="1">
        <v>45936</v>
      </c>
      <c r="B835" t="s">
        <v>48</v>
      </c>
      <c r="C835">
        <v>649163</v>
      </c>
      <c r="D835">
        <v>2030658214</v>
      </c>
      <c r="E835" t="s">
        <v>1095</v>
      </c>
      <c r="F835" t="s">
        <v>1096</v>
      </c>
      <c r="G835" t="s">
        <v>51</v>
      </c>
      <c r="H835" t="s">
        <v>79</v>
      </c>
      <c r="I835" t="s">
        <v>243</v>
      </c>
      <c r="J835" t="s">
        <v>244</v>
      </c>
      <c r="K835">
        <v>821015</v>
      </c>
      <c r="L835" t="s">
        <v>325</v>
      </c>
      <c r="M835" t="s">
        <v>326</v>
      </c>
      <c r="N835" t="s">
        <v>57</v>
      </c>
      <c r="O835" s="1">
        <v>45901</v>
      </c>
      <c r="Q835" s="1">
        <v>45962</v>
      </c>
      <c r="R835" s="2">
        <v>-55.96</v>
      </c>
      <c r="S835">
        <v>1</v>
      </c>
      <c r="T835" t="s">
        <v>58</v>
      </c>
      <c r="U835" t="s">
        <v>359</v>
      </c>
      <c r="V835" s="4">
        <v>0.375</v>
      </c>
      <c r="W835" s="2">
        <v>0</v>
      </c>
      <c r="X835">
        <v>-1</v>
      </c>
      <c r="Y835" t="s">
        <v>60</v>
      </c>
      <c r="Z835" t="s">
        <v>360</v>
      </c>
      <c r="AA835">
        <v>0</v>
      </c>
      <c r="AB835" s="2">
        <v>0</v>
      </c>
      <c r="AC835" s="2">
        <v>0</v>
      </c>
      <c r="AD835" s="3">
        <v>0</v>
      </c>
      <c r="AE835" s="2">
        <v>0</v>
      </c>
      <c r="AF835" s="2">
        <v>0</v>
      </c>
      <c r="AG835" s="2">
        <v>0</v>
      </c>
      <c r="AH835" s="2">
        <v>0</v>
      </c>
      <c r="AI835" s="2">
        <v>0</v>
      </c>
      <c r="AJ835" s="2">
        <v>0</v>
      </c>
      <c r="AK835" s="2">
        <v>0</v>
      </c>
      <c r="AL835" s="2">
        <v>0</v>
      </c>
      <c r="AM835" s="2">
        <v>-20.98</v>
      </c>
      <c r="AN835" s="2">
        <v>-20.98</v>
      </c>
      <c r="AO835" s="2">
        <v>0</v>
      </c>
      <c r="AP835" s="2">
        <v>0</v>
      </c>
      <c r="AQ835" s="2">
        <v>0</v>
      </c>
    </row>
    <row r="836" spans="1:43" x14ac:dyDescent="0.25">
      <c r="A836" s="1">
        <v>45936</v>
      </c>
      <c r="B836" t="s">
        <v>48</v>
      </c>
      <c r="C836">
        <v>649163</v>
      </c>
      <c r="D836">
        <v>2030675166</v>
      </c>
      <c r="E836" t="s">
        <v>942</v>
      </c>
      <c r="F836" t="s">
        <v>943</v>
      </c>
      <c r="G836" t="s">
        <v>51</v>
      </c>
      <c r="H836" t="s">
        <v>323</v>
      </c>
      <c r="I836" t="s">
        <v>243</v>
      </c>
      <c r="J836" t="s">
        <v>244</v>
      </c>
      <c r="K836">
        <v>823350</v>
      </c>
      <c r="L836" t="s">
        <v>66</v>
      </c>
      <c r="M836" t="s">
        <v>67</v>
      </c>
      <c r="N836" t="s">
        <v>57</v>
      </c>
      <c r="O836" s="1">
        <v>45901</v>
      </c>
      <c r="Q836" s="1">
        <v>45962</v>
      </c>
      <c r="R836" s="2">
        <v>-64.16</v>
      </c>
      <c r="S836">
        <v>1</v>
      </c>
      <c r="T836" t="s">
        <v>58</v>
      </c>
      <c r="U836" t="s">
        <v>359</v>
      </c>
      <c r="V836" s="4">
        <v>0.375</v>
      </c>
      <c r="W836" s="2">
        <v>0</v>
      </c>
      <c r="X836">
        <v>-1</v>
      </c>
      <c r="Y836" t="s">
        <v>60</v>
      </c>
      <c r="Z836" t="s">
        <v>360</v>
      </c>
      <c r="AA836">
        <v>0</v>
      </c>
      <c r="AB836" s="2">
        <v>0</v>
      </c>
      <c r="AC836" s="2">
        <v>0</v>
      </c>
      <c r="AD836" s="3">
        <v>0</v>
      </c>
      <c r="AE836" s="2">
        <v>0</v>
      </c>
      <c r="AF836" s="2">
        <v>0</v>
      </c>
      <c r="AG836" s="2">
        <v>0</v>
      </c>
      <c r="AH836" s="2">
        <v>0</v>
      </c>
      <c r="AI836" s="2">
        <v>0</v>
      </c>
      <c r="AJ836" s="2">
        <v>0</v>
      </c>
      <c r="AK836" s="2">
        <v>0</v>
      </c>
      <c r="AL836" s="2">
        <v>0</v>
      </c>
      <c r="AM836" s="2">
        <v>-24.06</v>
      </c>
      <c r="AN836" s="2">
        <v>-24.06</v>
      </c>
      <c r="AO836" s="2">
        <v>0</v>
      </c>
      <c r="AP836" s="2">
        <v>0</v>
      </c>
      <c r="AQ836" s="2">
        <v>0</v>
      </c>
    </row>
    <row r="837" spans="1:43" x14ac:dyDescent="0.25">
      <c r="A837" s="1">
        <v>45936</v>
      </c>
      <c r="B837" t="s">
        <v>48</v>
      </c>
      <c r="C837">
        <v>649163</v>
      </c>
      <c r="D837">
        <v>2030703149</v>
      </c>
      <c r="E837" t="s">
        <v>948</v>
      </c>
      <c r="F837" t="s">
        <v>949</v>
      </c>
      <c r="G837" t="s">
        <v>51</v>
      </c>
      <c r="H837" t="s">
        <v>52</v>
      </c>
      <c r="I837" t="s">
        <v>243</v>
      </c>
      <c r="J837" t="s">
        <v>244</v>
      </c>
      <c r="K837">
        <v>673059</v>
      </c>
      <c r="L837" t="s">
        <v>80</v>
      </c>
      <c r="M837" t="s">
        <v>81</v>
      </c>
      <c r="N837" t="s">
        <v>57</v>
      </c>
      <c r="O837" s="1">
        <v>45901</v>
      </c>
      <c r="Q837" s="1">
        <v>45962</v>
      </c>
      <c r="R837" s="2">
        <v>-60.3</v>
      </c>
      <c r="S837">
        <v>1</v>
      </c>
      <c r="T837" t="s">
        <v>58</v>
      </c>
      <c r="U837" t="s">
        <v>359</v>
      </c>
      <c r="V837" s="4">
        <v>0.375</v>
      </c>
      <c r="W837" s="2">
        <v>0</v>
      </c>
      <c r="X837">
        <v>-1</v>
      </c>
      <c r="Y837" t="s">
        <v>60</v>
      </c>
      <c r="Z837" t="s">
        <v>360</v>
      </c>
      <c r="AA837">
        <v>0</v>
      </c>
      <c r="AB837" s="2">
        <v>0</v>
      </c>
      <c r="AC837" s="2">
        <v>0</v>
      </c>
      <c r="AD837" s="3">
        <v>0</v>
      </c>
      <c r="AE837" s="2">
        <v>0</v>
      </c>
      <c r="AF837" s="2">
        <v>0</v>
      </c>
      <c r="AG837" s="2">
        <v>0</v>
      </c>
      <c r="AH837" s="2">
        <v>0</v>
      </c>
      <c r="AI837" s="2">
        <v>0</v>
      </c>
      <c r="AJ837" s="2">
        <v>0</v>
      </c>
      <c r="AK837" s="2">
        <v>0</v>
      </c>
      <c r="AL837" s="2">
        <v>0</v>
      </c>
      <c r="AM837" s="2">
        <v>-22.61</v>
      </c>
      <c r="AN837" s="2">
        <v>-22.61</v>
      </c>
      <c r="AO837" s="2">
        <v>0</v>
      </c>
      <c r="AP837" s="2">
        <v>0</v>
      </c>
      <c r="AQ837" s="2">
        <v>0</v>
      </c>
    </row>
    <row r="838" spans="1:43" x14ac:dyDescent="0.25">
      <c r="A838" s="1">
        <v>45936</v>
      </c>
      <c r="B838" t="s">
        <v>48</v>
      </c>
      <c r="C838">
        <v>649163</v>
      </c>
      <c r="D838">
        <v>2030752804</v>
      </c>
      <c r="E838" t="s">
        <v>953</v>
      </c>
      <c r="F838" t="s">
        <v>954</v>
      </c>
      <c r="G838" t="s">
        <v>51</v>
      </c>
      <c r="H838" t="s">
        <v>110</v>
      </c>
      <c r="I838" t="s">
        <v>243</v>
      </c>
      <c r="J838" t="s">
        <v>244</v>
      </c>
      <c r="K838">
        <v>651818</v>
      </c>
      <c r="L838" t="s">
        <v>112</v>
      </c>
      <c r="M838" t="s">
        <v>104</v>
      </c>
      <c r="N838" t="s">
        <v>57</v>
      </c>
      <c r="O838" s="1">
        <v>45906</v>
      </c>
      <c r="Q838" s="1">
        <v>45967</v>
      </c>
      <c r="R838" s="2">
        <v>91.51</v>
      </c>
      <c r="S838">
        <v>1</v>
      </c>
      <c r="T838" t="s">
        <v>58</v>
      </c>
      <c r="U838" t="s">
        <v>359</v>
      </c>
      <c r="V838" s="4">
        <v>0.375</v>
      </c>
      <c r="W838" s="2">
        <v>0</v>
      </c>
      <c r="X838">
        <v>0</v>
      </c>
      <c r="Y838" t="s">
        <v>60</v>
      </c>
      <c r="Z838" t="s">
        <v>360</v>
      </c>
      <c r="AA838">
        <v>0</v>
      </c>
      <c r="AB838" s="2">
        <v>0</v>
      </c>
      <c r="AC838" s="2">
        <v>0</v>
      </c>
      <c r="AD838" s="3">
        <v>0</v>
      </c>
      <c r="AE838" s="2">
        <v>0</v>
      </c>
      <c r="AF838" s="2">
        <v>0</v>
      </c>
      <c r="AG838" s="2">
        <v>0</v>
      </c>
      <c r="AH838" s="2">
        <v>0</v>
      </c>
      <c r="AI838" s="2">
        <v>0</v>
      </c>
      <c r="AJ838" s="2">
        <v>0</v>
      </c>
      <c r="AK838" s="2">
        <v>0</v>
      </c>
      <c r="AL838" s="2">
        <v>34.32</v>
      </c>
      <c r="AM838" s="2">
        <v>0</v>
      </c>
      <c r="AN838" s="2">
        <v>0</v>
      </c>
      <c r="AO838" s="2">
        <v>0</v>
      </c>
      <c r="AP838" s="2">
        <v>0</v>
      </c>
      <c r="AQ838" s="2">
        <v>0</v>
      </c>
    </row>
    <row r="839" spans="1:43" x14ac:dyDescent="0.25">
      <c r="A839" s="1">
        <v>45936</v>
      </c>
      <c r="B839" t="s">
        <v>48</v>
      </c>
      <c r="C839">
        <v>649163</v>
      </c>
      <c r="D839">
        <v>2021588618</v>
      </c>
      <c r="E839" t="s">
        <v>1126</v>
      </c>
      <c r="F839" t="s">
        <v>1127</v>
      </c>
      <c r="G839" t="s">
        <v>51</v>
      </c>
      <c r="H839" t="s">
        <v>70</v>
      </c>
      <c r="I839" t="s">
        <v>350</v>
      </c>
      <c r="J839" t="s">
        <v>351</v>
      </c>
      <c r="K839">
        <v>728134</v>
      </c>
      <c r="L839" t="s">
        <v>352</v>
      </c>
      <c r="M839" t="s">
        <v>353</v>
      </c>
      <c r="N839" t="s">
        <v>57</v>
      </c>
      <c r="O839" s="1">
        <v>45323</v>
      </c>
      <c r="Q839" s="1">
        <v>45962</v>
      </c>
      <c r="R839" s="2">
        <v>45.54</v>
      </c>
      <c r="S839">
        <v>1</v>
      </c>
      <c r="T839" t="s">
        <v>58</v>
      </c>
      <c r="U839" t="s">
        <v>359</v>
      </c>
      <c r="V839" s="4">
        <v>5.2499999999999998E-2</v>
      </c>
      <c r="W839" s="2">
        <v>0</v>
      </c>
      <c r="X839">
        <v>0</v>
      </c>
      <c r="Y839" t="s">
        <v>214</v>
      </c>
      <c r="Z839" t="s">
        <v>360</v>
      </c>
      <c r="AA839">
        <v>0</v>
      </c>
      <c r="AB839" s="2">
        <v>0</v>
      </c>
      <c r="AC839" s="2">
        <v>0</v>
      </c>
      <c r="AD839" s="3">
        <v>0</v>
      </c>
      <c r="AE839" s="2">
        <v>0</v>
      </c>
      <c r="AF839" s="2">
        <v>0</v>
      </c>
      <c r="AG839" s="2">
        <v>0</v>
      </c>
      <c r="AH839" s="2">
        <v>0</v>
      </c>
      <c r="AI839" s="2">
        <v>0</v>
      </c>
      <c r="AJ839" s="2">
        <v>0</v>
      </c>
      <c r="AK839" s="2">
        <v>0</v>
      </c>
      <c r="AL839" s="2">
        <v>0</v>
      </c>
      <c r="AM839" s="2">
        <v>2.39</v>
      </c>
      <c r="AN839" s="2">
        <v>2.39</v>
      </c>
      <c r="AO839" s="2">
        <v>0</v>
      </c>
      <c r="AP839" s="2">
        <v>0</v>
      </c>
      <c r="AQ839" s="2">
        <v>0</v>
      </c>
    </row>
    <row r="840" spans="1:43" x14ac:dyDescent="0.25">
      <c r="A840" s="1">
        <v>45936</v>
      </c>
      <c r="B840" t="s">
        <v>48</v>
      </c>
      <c r="C840">
        <v>649163</v>
      </c>
      <c r="D840">
        <v>2021795177</v>
      </c>
      <c r="E840" t="s">
        <v>1128</v>
      </c>
      <c r="F840" t="s">
        <v>238</v>
      </c>
      <c r="G840" t="s">
        <v>51</v>
      </c>
      <c r="H840" t="s">
        <v>70</v>
      </c>
      <c r="I840" t="s">
        <v>350</v>
      </c>
      <c r="J840" t="s">
        <v>351</v>
      </c>
      <c r="K840">
        <v>728134</v>
      </c>
      <c r="L840" t="s">
        <v>352</v>
      </c>
      <c r="M840" t="s">
        <v>353</v>
      </c>
      <c r="N840" t="s">
        <v>57</v>
      </c>
      <c r="O840" s="1">
        <v>45383</v>
      </c>
      <c r="Q840" s="1">
        <v>45962</v>
      </c>
      <c r="R840" s="2">
        <v>43.59</v>
      </c>
      <c r="S840">
        <v>1</v>
      </c>
      <c r="T840" t="s">
        <v>58</v>
      </c>
      <c r="U840" t="s">
        <v>359</v>
      </c>
      <c r="V840" s="4">
        <v>5.2499999999999998E-2</v>
      </c>
      <c r="W840" s="2">
        <v>0</v>
      </c>
      <c r="X840">
        <v>0</v>
      </c>
      <c r="Y840" t="s">
        <v>214</v>
      </c>
      <c r="Z840" t="s">
        <v>360</v>
      </c>
      <c r="AA840">
        <v>0</v>
      </c>
      <c r="AB840" s="2">
        <v>0</v>
      </c>
      <c r="AC840" s="2">
        <v>0</v>
      </c>
      <c r="AD840" s="3">
        <v>0</v>
      </c>
      <c r="AE840" s="2">
        <v>0</v>
      </c>
      <c r="AF840" s="2">
        <v>0</v>
      </c>
      <c r="AG840" s="2">
        <v>0</v>
      </c>
      <c r="AH840" s="2">
        <v>0</v>
      </c>
      <c r="AI840" s="2">
        <v>0</v>
      </c>
      <c r="AJ840" s="2">
        <v>0</v>
      </c>
      <c r="AK840" s="2">
        <v>0</v>
      </c>
      <c r="AL840" s="2">
        <v>0</v>
      </c>
      <c r="AM840" s="2">
        <v>2.29</v>
      </c>
      <c r="AN840" s="2">
        <v>2.29</v>
      </c>
      <c r="AO840" s="2">
        <v>0</v>
      </c>
      <c r="AP840" s="2">
        <v>0</v>
      </c>
      <c r="AQ840" s="2">
        <v>0</v>
      </c>
    </row>
    <row r="841" spans="1:43" x14ac:dyDescent="0.25">
      <c r="A841" s="1">
        <v>45936</v>
      </c>
      <c r="B841" t="s">
        <v>48</v>
      </c>
      <c r="C841">
        <v>649163</v>
      </c>
      <c r="D841">
        <v>2022253036</v>
      </c>
      <c r="E841" t="s">
        <v>1129</v>
      </c>
      <c r="F841" t="s">
        <v>1130</v>
      </c>
      <c r="G841" t="s">
        <v>51</v>
      </c>
      <c r="H841" t="s">
        <v>70</v>
      </c>
      <c r="I841" t="s">
        <v>350</v>
      </c>
      <c r="J841" t="s">
        <v>351</v>
      </c>
      <c r="K841">
        <v>728134</v>
      </c>
      <c r="L841" t="s">
        <v>352</v>
      </c>
      <c r="M841" t="s">
        <v>353</v>
      </c>
      <c r="N841" t="s">
        <v>57</v>
      </c>
      <c r="O841" s="1">
        <v>45383</v>
      </c>
      <c r="Q841" s="1">
        <v>45962</v>
      </c>
      <c r="R841" s="2">
        <v>43.59</v>
      </c>
      <c r="S841">
        <v>1</v>
      </c>
      <c r="T841" t="s">
        <v>58</v>
      </c>
      <c r="U841" t="s">
        <v>359</v>
      </c>
      <c r="V841" s="4">
        <v>5.2499999999999998E-2</v>
      </c>
      <c r="W841" s="2">
        <v>0</v>
      </c>
      <c r="X841">
        <v>0</v>
      </c>
      <c r="Y841" t="s">
        <v>214</v>
      </c>
      <c r="Z841" t="s">
        <v>360</v>
      </c>
      <c r="AA841">
        <v>0</v>
      </c>
      <c r="AB841" s="2">
        <v>0</v>
      </c>
      <c r="AC841" s="2">
        <v>0</v>
      </c>
      <c r="AD841" s="3">
        <v>0</v>
      </c>
      <c r="AE841" s="2">
        <v>0</v>
      </c>
      <c r="AF841" s="2">
        <v>0</v>
      </c>
      <c r="AG841" s="2">
        <v>0</v>
      </c>
      <c r="AH841" s="2">
        <v>0</v>
      </c>
      <c r="AI841" s="2">
        <v>0</v>
      </c>
      <c r="AJ841" s="2">
        <v>0</v>
      </c>
      <c r="AK841" s="2">
        <v>0</v>
      </c>
      <c r="AL841" s="2">
        <v>0</v>
      </c>
      <c r="AM841" s="2">
        <v>2.29</v>
      </c>
      <c r="AN841" s="2">
        <v>2.29</v>
      </c>
      <c r="AO841" s="2">
        <v>0</v>
      </c>
      <c r="AP841" s="2">
        <v>0</v>
      </c>
      <c r="AQ841" s="2">
        <v>0</v>
      </c>
    </row>
    <row r="842" spans="1:43" x14ac:dyDescent="0.25">
      <c r="A842" s="1">
        <v>45936</v>
      </c>
      <c r="B842" t="s">
        <v>48</v>
      </c>
      <c r="C842">
        <v>649163</v>
      </c>
      <c r="D842">
        <v>2022273568</v>
      </c>
      <c r="E842" t="s">
        <v>1131</v>
      </c>
      <c r="F842" t="s">
        <v>1132</v>
      </c>
      <c r="G842" t="s">
        <v>51</v>
      </c>
      <c r="H842" t="s">
        <v>70</v>
      </c>
      <c r="I842" t="s">
        <v>350</v>
      </c>
      <c r="J842" t="s">
        <v>351</v>
      </c>
      <c r="K842">
        <v>649164</v>
      </c>
      <c r="L842" t="s">
        <v>211</v>
      </c>
      <c r="M842" t="s">
        <v>212</v>
      </c>
      <c r="N842" t="s">
        <v>57</v>
      </c>
      <c r="O842" s="1">
        <v>45383</v>
      </c>
      <c r="Q842" s="1">
        <v>45962</v>
      </c>
      <c r="R842" s="2">
        <v>51.19</v>
      </c>
      <c r="S842">
        <v>1</v>
      </c>
      <c r="T842" t="s">
        <v>58</v>
      </c>
      <c r="U842" t="s">
        <v>359</v>
      </c>
      <c r="V842" s="4">
        <v>5.2499999999999998E-2</v>
      </c>
      <c r="W842" s="2">
        <v>0</v>
      </c>
      <c r="X842">
        <v>0</v>
      </c>
      <c r="Y842" t="s">
        <v>214</v>
      </c>
      <c r="Z842" t="s">
        <v>360</v>
      </c>
      <c r="AA842">
        <v>0</v>
      </c>
      <c r="AB842" s="2">
        <v>0</v>
      </c>
      <c r="AC842" s="2">
        <v>0</v>
      </c>
      <c r="AD842" s="3">
        <v>0</v>
      </c>
      <c r="AE842" s="2">
        <v>0</v>
      </c>
      <c r="AF842" s="2">
        <v>0</v>
      </c>
      <c r="AG842" s="2">
        <v>0</v>
      </c>
      <c r="AH842" s="2">
        <v>0</v>
      </c>
      <c r="AI842" s="2">
        <v>0</v>
      </c>
      <c r="AJ842" s="2">
        <v>0</v>
      </c>
      <c r="AK842" s="2">
        <v>0</v>
      </c>
      <c r="AL842" s="2">
        <v>0</v>
      </c>
      <c r="AM842" s="2">
        <v>2.69</v>
      </c>
      <c r="AN842" s="2">
        <v>2.69</v>
      </c>
      <c r="AO842" s="2">
        <v>0</v>
      </c>
      <c r="AP842" s="2">
        <v>0</v>
      </c>
      <c r="AQ842" s="2">
        <v>0</v>
      </c>
    </row>
    <row r="843" spans="1:43" x14ac:dyDescent="0.25">
      <c r="A843" s="1">
        <v>45936</v>
      </c>
      <c r="B843" t="s">
        <v>48</v>
      </c>
      <c r="C843">
        <v>649163</v>
      </c>
      <c r="D843">
        <v>2022400717</v>
      </c>
      <c r="E843" t="s">
        <v>1133</v>
      </c>
      <c r="F843" t="s">
        <v>1134</v>
      </c>
      <c r="G843" t="s">
        <v>51</v>
      </c>
      <c r="H843" t="s">
        <v>70</v>
      </c>
      <c r="I843" t="s">
        <v>350</v>
      </c>
      <c r="J843" t="s">
        <v>351</v>
      </c>
      <c r="K843">
        <v>728134</v>
      </c>
      <c r="L843" t="s">
        <v>352</v>
      </c>
      <c r="M843" t="s">
        <v>353</v>
      </c>
      <c r="N843" t="s">
        <v>57</v>
      </c>
      <c r="O843" s="1">
        <v>45383</v>
      </c>
      <c r="Q843" s="1">
        <v>45962</v>
      </c>
      <c r="R843" s="2">
        <v>43.59</v>
      </c>
      <c r="S843">
        <v>1</v>
      </c>
      <c r="T843" t="s">
        <v>58</v>
      </c>
      <c r="U843" t="s">
        <v>359</v>
      </c>
      <c r="V843" s="4">
        <v>5.2499999999999998E-2</v>
      </c>
      <c r="W843" s="2">
        <v>0</v>
      </c>
      <c r="X843">
        <v>0</v>
      </c>
      <c r="Y843" t="s">
        <v>214</v>
      </c>
      <c r="Z843" t="s">
        <v>360</v>
      </c>
      <c r="AA843">
        <v>0</v>
      </c>
      <c r="AB843" s="2">
        <v>0</v>
      </c>
      <c r="AC843" s="2">
        <v>0</v>
      </c>
      <c r="AD843" s="3">
        <v>0</v>
      </c>
      <c r="AE843" s="2">
        <v>0</v>
      </c>
      <c r="AF843" s="2">
        <v>0</v>
      </c>
      <c r="AG843" s="2">
        <v>0</v>
      </c>
      <c r="AH843" s="2">
        <v>0</v>
      </c>
      <c r="AI843" s="2">
        <v>0</v>
      </c>
      <c r="AJ843" s="2">
        <v>0</v>
      </c>
      <c r="AK843" s="2">
        <v>0</v>
      </c>
      <c r="AL843" s="2">
        <v>0</v>
      </c>
      <c r="AM843" s="2">
        <v>2.29</v>
      </c>
      <c r="AN843" s="2">
        <v>2.29</v>
      </c>
      <c r="AO843" s="2">
        <v>0</v>
      </c>
      <c r="AP843" s="2">
        <v>0</v>
      </c>
      <c r="AQ843" s="2">
        <v>0</v>
      </c>
    </row>
    <row r="844" spans="1:43" x14ac:dyDescent="0.25">
      <c r="A844" s="1">
        <v>45936</v>
      </c>
      <c r="B844" t="s">
        <v>48</v>
      </c>
      <c r="C844">
        <v>649163</v>
      </c>
      <c r="D844">
        <v>2022532902</v>
      </c>
      <c r="E844" t="s">
        <v>1135</v>
      </c>
      <c r="F844" t="s">
        <v>600</v>
      </c>
      <c r="G844" t="s">
        <v>51</v>
      </c>
      <c r="H844" t="s">
        <v>70</v>
      </c>
      <c r="I844" t="s">
        <v>350</v>
      </c>
      <c r="J844" t="s">
        <v>351</v>
      </c>
      <c r="K844">
        <v>728134</v>
      </c>
      <c r="L844" t="s">
        <v>352</v>
      </c>
      <c r="M844" t="s">
        <v>353</v>
      </c>
      <c r="N844" t="s">
        <v>57</v>
      </c>
      <c r="O844" s="1">
        <v>45384</v>
      </c>
      <c r="Q844" s="1">
        <v>45963</v>
      </c>
      <c r="R844" s="2">
        <v>50.6</v>
      </c>
      <c r="S844">
        <v>1</v>
      </c>
      <c r="T844" t="s">
        <v>58</v>
      </c>
      <c r="U844" t="s">
        <v>359</v>
      </c>
      <c r="V844" s="4">
        <v>5.2499999999999998E-2</v>
      </c>
      <c r="W844" s="2">
        <v>0</v>
      </c>
      <c r="X844">
        <v>0</v>
      </c>
      <c r="Y844" t="s">
        <v>214</v>
      </c>
      <c r="Z844" t="s">
        <v>360</v>
      </c>
      <c r="AA844">
        <v>0</v>
      </c>
      <c r="AB844" s="2">
        <v>0</v>
      </c>
      <c r="AC844" s="2">
        <v>0</v>
      </c>
      <c r="AD844" s="3">
        <v>0</v>
      </c>
      <c r="AE844" s="2">
        <v>0</v>
      </c>
      <c r="AF844" s="2">
        <v>0</v>
      </c>
      <c r="AG844" s="2">
        <v>0</v>
      </c>
      <c r="AH844" s="2">
        <v>0</v>
      </c>
      <c r="AI844" s="2">
        <v>0</v>
      </c>
      <c r="AJ844" s="2">
        <v>0</v>
      </c>
      <c r="AK844" s="2">
        <v>0</v>
      </c>
      <c r="AL844" s="2">
        <v>0</v>
      </c>
      <c r="AM844" s="2">
        <v>2.66</v>
      </c>
      <c r="AN844" s="2">
        <v>2.66</v>
      </c>
      <c r="AO844" s="2">
        <v>0</v>
      </c>
      <c r="AP844" s="2">
        <v>0</v>
      </c>
      <c r="AQ844" s="2">
        <v>0</v>
      </c>
    </row>
    <row r="845" spans="1:43" x14ac:dyDescent="0.25">
      <c r="A845" s="1">
        <v>45936</v>
      </c>
      <c r="B845" t="s">
        <v>48</v>
      </c>
      <c r="C845">
        <v>649163</v>
      </c>
      <c r="D845">
        <v>2022548915</v>
      </c>
      <c r="E845" t="s">
        <v>623</v>
      </c>
      <c r="F845" t="s">
        <v>727</v>
      </c>
      <c r="G845" t="s">
        <v>51</v>
      </c>
      <c r="H845" t="s">
        <v>70</v>
      </c>
      <c r="I845" t="s">
        <v>350</v>
      </c>
      <c r="J845" t="s">
        <v>351</v>
      </c>
      <c r="K845">
        <v>728134</v>
      </c>
      <c r="L845" t="s">
        <v>352</v>
      </c>
      <c r="M845" t="s">
        <v>353</v>
      </c>
      <c r="N845" t="s">
        <v>57</v>
      </c>
      <c r="O845" s="1">
        <v>45385</v>
      </c>
      <c r="Q845" s="1">
        <v>45964</v>
      </c>
      <c r="R845" s="2">
        <v>56.88</v>
      </c>
      <c r="S845">
        <v>1</v>
      </c>
      <c r="T845" t="s">
        <v>58</v>
      </c>
      <c r="U845" t="s">
        <v>359</v>
      </c>
      <c r="V845" s="4">
        <v>5.2499999999999998E-2</v>
      </c>
      <c r="W845" s="2">
        <v>0</v>
      </c>
      <c r="X845">
        <v>0</v>
      </c>
      <c r="Y845" t="s">
        <v>214</v>
      </c>
      <c r="Z845" t="s">
        <v>360</v>
      </c>
      <c r="AA845">
        <v>0</v>
      </c>
      <c r="AB845" s="2">
        <v>0</v>
      </c>
      <c r="AC845" s="2">
        <v>0</v>
      </c>
      <c r="AD845" s="3">
        <v>0</v>
      </c>
      <c r="AE845" s="2">
        <v>0</v>
      </c>
      <c r="AF845" s="2">
        <v>0</v>
      </c>
      <c r="AG845" s="2">
        <v>0</v>
      </c>
      <c r="AH845" s="2">
        <v>0</v>
      </c>
      <c r="AI845" s="2">
        <v>0</v>
      </c>
      <c r="AJ845" s="2">
        <v>0</v>
      </c>
      <c r="AK845" s="2">
        <v>0</v>
      </c>
      <c r="AL845" s="2">
        <v>0</v>
      </c>
      <c r="AM845" s="2">
        <v>2.99</v>
      </c>
      <c r="AN845" s="2">
        <v>2.99</v>
      </c>
      <c r="AO845" s="2">
        <v>0</v>
      </c>
      <c r="AP845" s="2">
        <v>0</v>
      </c>
      <c r="AQ845" s="2">
        <v>0</v>
      </c>
    </row>
    <row r="846" spans="1:43" x14ac:dyDescent="0.25">
      <c r="A846" s="1">
        <v>45936</v>
      </c>
      <c r="B846" t="s">
        <v>48</v>
      </c>
      <c r="C846">
        <v>649163</v>
      </c>
      <c r="D846">
        <v>2022583396</v>
      </c>
      <c r="E846" t="s">
        <v>1136</v>
      </c>
      <c r="F846" t="s">
        <v>1137</v>
      </c>
      <c r="G846" t="s">
        <v>51</v>
      </c>
      <c r="H846" t="s">
        <v>70</v>
      </c>
      <c r="I846" t="s">
        <v>350</v>
      </c>
      <c r="J846" t="s">
        <v>351</v>
      </c>
      <c r="K846">
        <v>728134</v>
      </c>
      <c r="L846" t="s">
        <v>352</v>
      </c>
      <c r="M846" t="s">
        <v>353</v>
      </c>
      <c r="N846" t="s">
        <v>57</v>
      </c>
      <c r="O846" s="1">
        <v>45387</v>
      </c>
      <c r="Q846" s="1">
        <v>45966</v>
      </c>
      <c r="R846" s="2">
        <v>43.59</v>
      </c>
      <c r="S846">
        <v>1</v>
      </c>
      <c r="T846" t="s">
        <v>58</v>
      </c>
      <c r="U846" t="s">
        <v>359</v>
      </c>
      <c r="V846" s="4">
        <v>5.2499999999999998E-2</v>
      </c>
      <c r="W846" s="2">
        <v>0</v>
      </c>
      <c r="X846">
        <v>0</v>
      </c>
      <c r="Y846" t="s">
        <v>214</v>
      </c>
      <c r="Z846" t="s">
        <v>360</v>
      </c>
      <c r="AA846">
        <v>0</v>
      </c>
      <c r="AB846" s="2">
        <v>0</v>
      </c>
      <c r="AC846" s="2">
        <v>0</v>
      </c>
      <c r="AD846" s="3">
        <v>0</v>
      </c>
      <c r="AE846" s="2">
        <v>0</v>
      </c>
      <c r="AF846" s="2">
        <v>0</v>
      </c>
      <c r="AG846" s="2">
        <v>0</v>
      </c>
      <c r="AH846" s="2">
        <v>0</v>
      </c>
      <c r="AI846" s="2">
        <v>0</v>
      </c>
      <c r="AJ846" s="2">
        <v>0</v>
      </c>
      <c r="AK846" s="2">
        <v>0</v>
      </c>
      <c r="AL846" s="2">
        <v>0</v>
      </c>
      <c r="AM846" s="2">
        <v>2.29</v>
      </c>
      <c r="AN846" s="2">
        <v>2.29</v>
      </c>
      <c r="AO846" s="2">
        <v>0</v>
      </c>
      <c r="AP846" s="2">
        <v>0</v>
      </c>
      <c r="AQ846" s="2">
        <v>0</v>
      </c>
    </row>
    <row r="847" spans="1:43" x14ac:dyDescent="0.25">
      <c r="A847" s="1">
        <v>45936</v>
      </c>
      <c r="B847" t="s">
        <v>48</v>
      </c>
      <c r="C847">
        <v>649163</v>
      </c>
      <c r="D847">
        <v>2022672449</v>
      </c>
      <c r="E847" t="s">
        <v>1138</v>
      </c>
      <c r="F847" t="s">
        <v>991</v>
      </c>
      <c r="G847" t="s">
        <v>51</v>
      </c>
      <c r="H847" t="s">
        <v>70</v>
      </c>
      <c r="I847" t="s">
        <v>350</v>
      </c>
      <c r="J847" t="s">
        <v>351</v>
      </c>
      <c r="K847">
        <v>728134</v>
      </c>
      <c r="L847" t="s">
        <v>352</v>
      </c>
      <c r="M847" t="s">
        <v>353</v>
      </c>
      <c r="N847" t="s">
        <v>57</v>
      </c>
      <c r="O847" s="1">
        <v>45413</v>
      </c>
      <c r="Q847" s="1">
        <v>45962</v>
      </c>
      <c r="R847" s="2">
        <v>43.59</v>
      </c>
      <c r="S847">
        <v>1</v>
      </c>
      <c r="T847" t="s">
        <v>58</v>
      </c>
      <c r="U847" t="s">
        <v>359</v>
      </c>
      <c r="V847" s="4">
        <v>5.2499999999999998E-2</v>
      </c>
      <c r="W847" s="2">
        <v>0</v>
      </c>
      <c r="X847">
        <v>0</v>
      </c>
      <c r="Y847" t="s">
        <v>214</v>
      </c>
      <c r="Z847" t="s">
        <v>360</v>
      </c>
      <c r="AA847">
        <v>0</v>
      </c>
      <c r="AB847" s="2">
        <v>0</v>
      </c>
      <c r="AC847" s="2">
        <v>0</v>
      </c>
      <c r="AD847" s="3">
        <v>0</v>
      </c>
      <c r="AE847" s="2">
        <v>0</v>
      </c>
      <c r="AF847" s="2">
        <v>0</v>
      </c>
      <c r="AG847" s="2">
        <v>0</v>
      </c>
      <c r="AH847" s="2">
        <v>0</v>
      </c>
      <c r="AI847" s="2">
        <v>0</v>
      </c>
      <c r="AJ847" s="2">
        <v>0</v>
      </c>
      <c r="AK847" s="2">
        <v>0</v>
      </c>
      <c r="AL847" s="2">
        <v>0</v>
      </c>
      <c r="AM847" s="2">
        <v>2.29</v>
      </c>
      <c r="AN847" s="2">
        <v>2.29</v>
      </c>
      <c r="AO847" s="2">
        <v>0</v>
      </c>
      <c r="AP847" s="2">
        <v>0</v>
      </c>
      <c r="AQ847" s="2">
        <v>0</v>
      </c>
    </row>
    <row r="848" spans="1:43" x14ac:dyDescent="0.25">
      <c r="A848" s="1">
        <v>45936</v>
      </c>
      <c r="B848" t="s">
        <v>48</v>
      </c>
      <c r="C848">
        <v>649163</v>
      </c>
      <c r="D848">
        <v>2022736430</v>
      </c>
      <c r="E848" t="s">
        <v>1139</v>
      </c>
      <c r="F848" t="s">
        <v>562</v>
      </c>
      <c r="G848" t="s">
        <v>51</v>
      </c>
      <c r="H848" t="s">
        <v>70</v>
      </c>
      <c r="I848" t="s">
        <v>350</v>
      </c>
      <c r="J848" t="s">
        <v>351</v>
      </c>
      <c r="K848">
        <v>649164</v>
      </c>
      <c r="L848" t="s">
        <v>211</v>
      </c>
      <c r="M848" t="s">
        <v>212</v>
      </c>
      <c r="N848" t="s">
        <v>57</v>
      </c>
      <c r="O848" s="1">
        <v>45413</v>
      </c>
      <c r="Q848" s="1">
        <v>45962</v>
      </c>
      <c r="R848" s="2">
        <v>45.54</v>
      </c>
      <c r="S848">
        <v>1</v>
      </c>
      <c r="T848" t="s">
        <v>58</v>
      </c>
      <c r="U848" t="s">
        <v>359</v>
      </c>
      <c r="V848" s="4">
        <v>5.2499999999999998E-2</v>
      </c>
      <c r="W848" s="2">
        <v>0</v>
      </c>
      <c r="X848">
        <v>0</v>
      </c>
      <c r="Y848" t="s">
        <v>214</v>
      </c>
      <c r="Z848" t="s">
        <v>360</v>
      </c>
      <c r="AA848">
        <v>0</v>
      </c>
      <c r="AB848" s="2">
        <v>0</v>
      </c>
      <c r="AC848" s="2">
        <v>0</v>
      </c>
      <c r="AD848" s="3">
        <v>0</v>
      </c>
      <c r="AE848" s="2">
        <v>0</v>
      </c>
      <c r="AF848" s="2">
        <v>0</v>
      </c>
      <c r="AG848" s="2">
        <v>0</v>
      </c>
      <c r="AH848" s="2">
        <v>0</v>
      </c>
      <c r="AI848" s="2">
        <v>0</v>
      </c>
      <c r="AJ848" s="2">
        <v>0</v>
      </c>
      <c r="AK848" s="2">
        <v>0</v>
      </c>
      <c r="AL848" s="2">
        <v>0</v>
      </c>
      <c r="AM848" s="2">
        <v>2.39</v>
      </c>
      <c r="AN848" s="2">
        <v>2.39</v>
      </c>
      <c r="AO848" s="2">
        <v>0</v>
      </c>
      <c r="AP848" s="2">
        <v>0</v>
      </c>
      <c r="AQ848" s="2">
        <v>0</v>
      </c>
    </row>
    <row r="849" spans="1:43" x14ac:dyDescent="0.25">
      <c r="A849" s="1">
        <v>45936</v>
      </c>
      <c r="B849" t="s">
        <v>48</v>
      </c>
      <c r="C849">
        <v>649163</v>
      </c>
      <c r="D849">
        <v>2022802828</v>
      </c>
      <c r="E849" t="s">
        <v>370</v>
      </c>
      <c r="F849" t="s">
        <v>1140</v>
      </c>
      <c r="G849" t="s">
        <v>51</v>
      </c>
      <c r="H849" t="s">
        <v>262</v>
      </c>
      <c r="I849" t="s">
        <v>350</v>
      </c>
      <c r="J849" t="s">
        <v>1141</v>
      </c>
      <c r="K849">
        <v>751867</v>
      </c>
      <c r="L849" t="s">
        <v>71</v>
      </c>
      <c r="M849" t="s">
        <v>72</v>
      </c>
      <c r="N849" t="s">
        <v>57</v>
      </c>
      <c r="O849" s="1">
        <v>45413</v>
      </c>
      <c r="Q849" s="1">
        <v>45962</v>
      </c>
      <c r="R849" s="2">
        <v>35.270000000000003</v>
      </c>
      <c r="S849">
        <v>1</v>
      </c>
      <c r="T849" t="s">
        <v>58</v>
      </c>
      <c r="U849" t="s">
        <v>359</v>
      </c>
      <c r="V849" s="3">
        <v>0.08</v>
      </c>
      <c r="W849" s="2">
        <v>0</v>
      </c>
      <c r="X849">
        <v>0</v>
      </c>
      <c r="Y849" t="s">
        <v>214</v>
      </c>
      <c r="Z849" t="s">
        <v>360</v>
      </c>
      <c r="AA849">
        <v>0</v>
      </c>
      <c r="AB849" s="2">
        <v>0</v>
      </c>
      <c r="AC849" s="2">
        <v>0</v>
      </c>
      <c r="AD849" s="3">
        <v>0</v>
      </c>
      <c r="AE849" s="2">
        <v>0</v>
      </c>
      <c r="AF849" s="2">
        <v>0</v>
      </c>
      <c r="AG849" s="2">
        <v>0</v>
      </c>
      <c r="AH849" s="2">
        <v>0</v>
      </c>
      <c r="AI849" s="2">
        <v>0</v>
      </c>
      <c r="AJ849" s="2">
        <v>0</v>
      </c>
      <c r="AK849" s="2">
        <v>0</v>
      </c>
      <c r="AL849" s="2">
        <v>0</v>
      </c>
      <c r="AM849" s="2">
        <v>2.82</v>
      </c>
      <c r="AN849" s="2">
        <v>2.82</v>
      </c>
      <c r="AO849" s="2">
        <v>0</v>
      </c>
      <c r="AP849" s="2">
        <v>0</v>
      </c>
      <c r="AQ849" s="2">
        <v>0</v>
      </c>
    </row>
    <row r="850" spans="1:43" x14ac:dyDescent="0.25">
      <c r="A850" s="1">
        <v>45936</v>
      </c>
      <c r="B850" t="s">
        <v>48</v>
      </c>
      <c r="C850">
        <v>649163</v>
      </c>
      <c r="D850">
        <v>2022802829</v>
      </c>
      <c r="E850" t="s">
        <v>370</v>
      </c>
      <c r="F850" t="s">
        <v>1140</v>
      </c>
      <c r="G850" t="s">
        <v>51</v>
      </c>
      <c r="H850" t="s">
        <v>262</v>
      </c>
      <c r="I850" t="s">
        <v>350</v>
      </c>
      <c r="J850" t="s">
        <v>1142</v>
      </c>
      <c r="K850">
        <v>751867</v>
      </c>
      <c r="L850" t="s">
        <v>71</v>
      </c>
      <c r="M850" t="s">
        <v>72</v>
      </c>
      <c r="N850" t="s">
        <v>57</v>
      </c>
      <c r="O850" s="1">
        <v>45413</v>
      </c>
      <c r="Q850" s="1">
        <v>45962</v>
      </c>
      <c r="R850" s="2">
        <v>14.95</v>
      </c>
      <c r="S850">
        <v>1</v>
      </c>
      <c r="T850" t="s">
        <v>58</v>
      </c>
      <c r="U850" t="s">
        <v>359</v>
      </c>
      <c r="V850" s="3">
        <v>0.08</v>
      </c>
      <c r="W850" s="2">
        <v>0</v>
      </c>
      <c r="X850">
        <v>0</v>
      </c>
      <c r="Y850" t="s">
        <v>214</v>
      </c>
      <c r="Z850" t="s">
        <v>360</v>
      </c>
      <c r="AA850">
        <v>0</v>
      </c>
      <c r="AB850" s="2">
        <v>0</v>
      </c>
      <c r="AC850" s="2">
        <v>0</v>
      </c>
      <c r="AD850" s="3">
        <v>0</v>
      </c>
      <c r="AE850" s="2">
        <v>0</v>
      </c>
      <c r="AF850" s="2">
        <v>0</v>
      </c>
      <c r="AG850" s="2">
        <v>0</v>
      </c>
      <c r="AH850" s="2">
        <v>0</v>
      </c>
      <c r="AI850" s="2">
        <v>0</v>
      </c>
      <c r="AJ850" s="2">
        <v>0</v>
      </c>
      <c r="AK850" s="2">
        <v>0</v>
      </c>
      <c r="AL850" s="2">
        <v>0</v>
      </c>
      <c r="AM850" s="2">
        <v>1.2</v>
      </c>
      <c r="AN850" s="2">
        <v>1.2</v>
      </c>
      <c r="AO850" s="2">
        <v>0</v>
      </c>
      <c r="AP850" s="2">
        <v>0</v>
      </c>
      <c r="AQ850" s="2">
        <v>0</v>
      </c>
    </row>
    <row r="851" spans="1:43" x14ac:dyDescent="0.25">
      <c r="A851" s="1">
        <v>45936</v>
      </c>
      <c r="B851" t="s">
        <v>48</v>
      </c>
      <c r="C851">
        <v>649163</v>
      </c>
      <c r="D851">
        <v>2022853291</v>
      </c>
      <c r="E851" t="s">
        <v>364</v>
      </c>
      <c r="F851" t="s">
        <v>365</v>
      </c>
      <c r="G851" t="s">
        <v>51</v>
      </c>
      <c r="H851" t="s">
        <v>70</v>
      </c>
      <c r="I851" t="s">
        <v>350</v>
      </c>
      <c r="J851" t="s">
        <v>351</v>
      </c>
      <c r="K851">
        <v>751867</v>
      </c>
      <c r="L851" t="s">
        <v>71</v>
      </c>
      <c r="M851" t="s">
        <v>72</v>
      </c>
      <c r="N851" t="s">
        <v>57</v>
      </c>
      <c r="O851" s="1">
        <v>45413</v>
      </c>
      <c r="Q851" s="1">
        <v>45962</v>
      </c>
      <c r="R851" s="2">
        <v>46.01</v>
      </c>
      <c r="S851">
        <v>1</v>
      </c>
      <c r="T851" t="s">
        <v>58</v>
      </c>
      <c r="U851" t="s">
        <v>359</v>
      </c>
      <c r="V851" s="4">
        <v>5.2499999999999998E-2</v>
      </c>
      <c r="W851" s="2">
        <v>0</v>
      </c>
      <c r="X851">
        <v>0</v>
      </c>
      <c r="Y851" t="s">
        <v>214</v>
      </c>
      <c r="Z851" t="s">
        <v>360</v>
      </c>
      <c r="AA851">
        <v>0</v>
      </c>
      <c r="AB851" s="2">
        <v>0</v>
      </c>
      <c r="AC851" s="2">
        <v>0</v>
      </c>
      <c r="AD851" s="3">
        <v>0</v>
      </c>
      <c r="AE851" s="2">
        <v>0</v>
      </c>
      <c r="AF851" s="2">
        <v>0</v>
      </c>
      <c r="AG851" s="2">
        <v>0</v>
      </c>
      <c r="AH851" s="2">
        <v>0</v>
      </c>
      <c r="AI851" s="2">
        <v>0</v>
      </c>
      <c r="AJ851" s="2">
        <v>0</v>
      </c>
      <c r="AK851" s="2">
        <v>0</v>
      </c>
      <c r="AL851" s="2">
        <v>0</v>
      </c>
      <c r="AM851" s="2">
        <v>2.42</v>
      </c>
      <c r="AN851" s="2">
        <v>2.42</v>
      </c>
      <c r="AO851" s="2">
        <v>0</v>
      </c>
      <c r="AP851" s="2">
        <v>0</v>
      </c>
      <c r="AQ851" s="2">
        <v>0</v>
      </c>
    </row>
    <row r="852" spans="1:43" x14ac:dyDescent="0.25">
      <c r="A852" s="1">
        <v>45936</v>
      </c>
      <c r="B852" t="s">
        <v>48</v>
      </c>
      <c r="C852">
        <v>649163</v>
      </c>
      <c r="D852">
        <v>2023013394</v>
      </c>
      <c r="E852" t="s">
        <v>1143</v>
      </c>
      <c r="F852" t="s">
        <v>886</v>
      </c>
      <c r="G852" t="s">
        <v>51</v>
      </c>
      <c r="H852" t="s">
        <v>70</v>
      </c>
      <c r="I852" t="s">
        <v>350</v>
      </c>
      <c r="J852" t="s">
        <v>351</v>
      </c>
      <c r="K852">
        <v>728134</v>
      </c>
      <c r="L852" t="s">
        <v>352</v>
      </c>
      <c r="M852" t="s">
        <v>353</v>
      </c>
      <c r="N852" t="s">
        <v>57</v>
      </c>
      <c r="O852" s="1">
        <v>45444</v>
      </c>
      <c r="Q852" s="1">
        <v>45962</v>
      </c>
      <c r="R852" s="2">
        <v>33.590000000000003</v>
      </c>
      <c r="S852">
        <v>1</v>
      </c>
      <c r="T852" t="s">
        <v>58</v>
      </c>
      <c r="U852" t="s">
        <v>359</v>
      </c>
      <c r="V852" s="4">
        <v>5.2499999999999998E-2</v>
      </c>
      <c r="W852" s="2">
        <v>0</v>
      </c>
      <c r="X852">
        <v>0</v>
      </c>
      <c r="Y852" t="s">
        <v>214</v>
      </c>
      <c r="Z852" t="s">
        <v>360</v>
      </c>
      <c r="AA852">
        <v>0</v>
      </c>
      <c r="AB852" s="2">
        <v>0</v>
      </c>
      <c r="AC852" s="2">
        <v>0</v>
      </c>
      <c r="AD852" s="3">
        <v>0</v>
      </c>
      <c r="AE852" s="2">
        <v>0</v>
      </c>
      <c r="AF852" s="2">
        <v>0</v>
      </c>
      <c r="AG852" s="2">
        <v>0</v>
      </c>
      <c r="AH852" s="2">
        <v>0</v>
      </c>
      <c r="AI852" s="2">
        <v>0</v>
      </c>
      <c r="AJ852" s="2">
        <v>0</v>
      </c>
      <c r="AK852" s="2">
        <v>0</v>
      </c>
      <c r="AL852" s="2">
        <v>0</v>
      </c>
      <c r="AM852" s="2">
        <v>1.76</v>
      </c>
      <c r="AN852" s="2">
        <v>1.76</v>
      </c>
      <c r="AO852" s="2">
        <v>0</v>
      </c>
      <c r="AP852" s="2">
        <v>0</v>
      </c>
      <c r="AQ852" s="2">
        <v>0</v>
      </c>
    </row>
    <row r="853" spans="1:43" x14ac:dyDescent="0.25">
      <c r="A853" s="1">
        <v>45936</v>
      </c>
      <c r="B853" t="s">
        <v>48</v>
      </c>
      <c r="C853">
        <v>649163</v>
      </c>
      <c r="D853">
        <v>2023035029</v>
      </c>
      <c r="E853" t="s">
        <v>1144</v>
      </c>
      <c r="F853" t="s">
        <v>1145</v>
      </c>
      <c r="G853" t="s">
        <v>51</v>
      </c>
      <c r="H853" t="s">
        <v>70</v>
      </c>
      <c r="I853" t="s">
        <v>350</v>
      </c>
      <c r="J853" t="s">
        <v>351</v>
      </c>
      <c r="K853">
        <v>728134</v>
      </c>
      <c r="L853" t="s">
        <v>352</v>
      </c>
      <c r="M853" t="s">
        <v>353</v>
      </c>
      <c r="N853" t="s">
        <v>57</v>
      </c>
      <c r="O853" s="1">
        <v>45444</v>
      </c>
      <c r="Q853" s="1">
        <v>45962</v>
      </c>
      <c r="R853" s="2">
        <v>33.590000000000003</v>
      </c>
      <c r="S853">
        <v>1</v>
      </c>
      <c r="T853" t="s">
        <v>58</v>
      </c>
      <c r="U853" t="s">
        <v>359</v>
      </c>
      <c r="V853" s="4">
        <v>5.2499999999999998E-2</v>
      </c>
      <c r="W853" s="2">
        <v>0</v>
      </c>
      <c r="X853">
        <v>0</v>
      </c>
      <c r="Y853" t="s">
        <v>214</v>
      </c>
      <c r="Z853" t="s">
        <v>360</v>
      </c>
      <c r="AA853">
        <v>0</v>
      </c>
      <c r="AB853" s="2">
        <v>0</v>
      </c>
      <c r="AC853" s="2">
        <v>0</v>
      </c>
      <c r="AD853" s="3">
        <v>0</v>
      </c>
      <c r="AE853" s="2">
        <v>0</v>
      </c>
      <c r="AF853" s="2">
        <v>0</v>
      </c>
      <c r="AG853" s="2">
        <v>0</v>
      </c>
      <c r="AH853" s="2">
        <v>0</v>
      </c>
      <c r="AI853" s="2">
        <v>0</v>
      </c>
      <c r="AJ853" s="2">
        <v>0</v>
      </c>
      <c r="AK853" s="2">
        <v>0</v>
      </c>
      <c r="AL853" s="2">
        <v>0</v>
      </c>
      <c r="AM853" s="2">
        <v>1.76</v>
      </c>
      <c r="AN853" s="2">
        <v>1.76</v>
      </c>
      <c r="AO853" s="2">
        <v>0</v>
      </c>
      <c r="AP853" s="2">
        <v>0</v>
      </c>
      <c r="AQ853" s="2">
        <v>0</v>
      </c>
    </row>
    <row r="854" spans="1:43" x14ac:dyDescent="0.25">
      <c r="A854" s="1">
        <v>45936</v>
      </c>
      <c r="B854" t="s">
        <v>48</v>
      </c>
      <c r="C854">
        <v>649163</v>
      </c>
      <c r="D854">
        <v>2023183893</v>
      </c>
      <c r="E854" t="s">
        <v>1146</v>
      </c>
      <c r="F854" t="s">
        <v>1147</v>
      </c>
      <c r="G854" t="s">
        <v>51</v>
      </c>
      <c r="H854" t="s">
        <v>70</v>
      </c>
      <c r="I854" t="s">
        <v>350</v>
      </c>
      <c r="J854" t="s">
        <v>351</v>
      </c>
      <c r="K854">
        <v>650218</v>
      </c>
      <c r="L854" t="s">
        <v>237</v>
      </c>
      <c r="M854" t="s">
        <v>238</v>
      </c>
      <c r="N854" t="s">
        <v>57</v>
      </c>
      <c r="O854" s="1">
        <v>45474</v>
      </c>
      <c r="Q854" s="1">
        <v>45962</v>
      </c>
      <c r="R854" s="2">
        <v>142.08000000000001</v>
      </c>
      <c r="S854">
        <v>1</v>
      </c>
      <c r="T854" t="s">
        <v>58</v>
      </c>
      <c r="U854" t="s">
        <v>359</v>
      </c>
      <c r="V854" s="4">
        <v>5.2499999999999998E-2</v>
      </c>
      <c r="W854" s="2">
        <v>0</v>
      </c>
      <c r="X854">
        <v>0</v>
      </c>
      <c r="Y854" t="s">
        <v>214</v>
      </c>
      <c r="Z854" t="s">
        <v>360</v>
      </c>
      <c r="AA854">
        <v>0</v>
      </c>
      <c r="AB854" s="2">
        <v>0</v>
      </c>
      <c r="AC854" s="2">
        <v>0</v>
      </c>
      <c r="AD854" s="3">
        <v>0</v>
      </c>
      <c r="AE854" s="2">
        <v>0</v>
      </c>
      <c r="AF854" s="2">
        <v>0</v>
      </c>
      <c r="AG854" s="2">
        <v>0</v>
      </c>
      <c r="AH854" s="2">
        <v>0</v>
      </c>
      <c r="AI854" s="2">
        <v>0</v>
      </c>
      <c r="AJ854" s="2">
        <v>0</v>
      </c>
      <c r="AK854" s="2">
        <v>0</v>
      </c>
      <c r="AL854" s="2">
        <v>0</v>
      </c>
      <c r="AM854" s="2">
        <v>7.46</v>
      </c>
      <c r="AN854" s="2">
        <v>7.46</v>
      </c>
      <c r="AO854" s="2">
        <v>0</v>
      </c>
      <c r="AP854" s="2">
        <v>0</v>
      </c>
      <c r="AQ854" s="2">
        <v>0</v>
      </c>
    </row>
    <row r="855" spans="1:43" x14ac:dyDescent="0.25">
      <c r="A855" s="1">
        <v>45936</v>
      </c>
      <c r="B855" t="s">
        <v>48</v>
      </c>
      <c r="C855">
        <v>649163</v>
      </c>
      <c r="D855">
        <v>2023280128</v>
      </c>
      <c r="E855" t="s">
        <v>1148</v>
      </c>
      <c r="F855" t="s">
        <v>715</v>
      </c>
      <c r="G855" t="s">
        <v>51</v>
      </c>
      <c r="H855" t="s">
        <v>70</v>
      </c>
      <c r="I855" t="s">
        <v>350</v>
      </c>
      <c r="J855" t="s">
        <v>351</v>
      </c>
      <c r="K855">
        <v>728134</v>
      </c>
      <c r="L855" t="s">
        <v>352</v>
      </c>
      <c r="M855" t="s">
        <v>353</v>
      </c>
      <c r="N855" t="s">
        <v>57</v>
      </c>
      <c r="O855" s="1">
        <v>45444</v>
      </c>
      <c r="Q855" s="1">
        <v>45962</v>
      </c>
      <c r="R855" s="2">
        <v>33.590000000000003</v>
      </c>
      <c r="S855">
        <v>1</v>
      </c>
      <c r="T855" t="s">
        <v>58</v>
      </c>
      <c r="U855" t="s">
        <v>359</v>
      </c>
      <c r="V855" s="4">
        <v>5.2499999999999998E-2</v>
      </c>
      <c r="W855" s="2">
        <v>0</v>
      </c>
      <c r="X855">
        <v>0</v>
      </c>
      <c r="Y855" t="s">
        <v>214</v>
      </c>
      <c r="Z855" t="s">
        <v>360</v>
      </c>
      <c r="AA855">
        <v>0</v>
      </c>
      <c r="AB855" s="2">
        <v>0</v>
      </c>
      <c r="AC855" s="2">
        <v>0</v>
      </c>
      <c r="AD855" s="3">
        <v>0</v>
      </c>
      <c r="AE855" s="2">
        <v>0</v>
      </c>
      <c r="AF855" s="2">
        <v>0</v>
      </c>
      <c r="AG855" s="2">
        <v>0</v>
      </c>
      <c r="AH855" s="2">
        <v>0</v>
      </c>
      <c r="AI855" s="2">
        <v>0</v>
      </c>
      <c r="AJ855" s="2">
        <v>0</v>
      </c>
      <c r="AK855" s="2">
        <v>0</v>
      </c>
      <c r="AL855" s="2">
        <v>0</v>
      </c>
      <c r="AM855" s="2">
        <v>1.76</v>
      </c>
      <c r="AN855" s="2">
        <v>1.76</v>
      </c>
      <c r="AO855" s="2">
        <v>0</v>
      </c>
      <c r="AP855" s="2">
        <v>0</v>
      </c>
      <c r="AQ855" s="2">
        <v>0</v>
      </c>
    </row>
    <row r="856" spans="1:43" x14ac:dyDescent="0.25">
      <c r="A856" s="1">
        <v>45936</v>
      </c>
      <c r="B856" t="s">
        <v>48</v>
      </c>
      <c r="C856">
        <v>649163</v>
      </c>
      <c r="D856">
        <v>2023457499</v>
      </c>
      <c r="E856" t="s">
        <v>1149</v>
      </c>
      <c r="F856" t="s">
        <v>745</v>
      </c>
      <c r="G856" t="s">
        <v>51</v>
      </c>
      <c r="H856" t="s">
        <v>70</v>
      </c>
      <c r="I856" t="s">
        <v>350</v>
      </c>
      <c r="J856" t="s">
        <v>351</v>
      </c>
      <c r="K856">
        <v>728134</v>
      </c>
      <c r="L856" t="s">
        <v>352</v>
      </c>
      <c r="M856" t="s">
        <v>353</v>
      </c>
      <c r="N856" t="s">
        <v>57</v>
      </c>
      <c r="O856" s="1">
        <v>45474</v>
      </c>
      <c r="Q856" s="1">
        <v>45962</v>
      </c>
      <c r="R856" s="2">
        <v>33.590000000000003</v>
      </c>
      <c r="S856">
        <v>1</v>
      </c>
      <c r="T856" t="s">
        <v>58</v>
      </c>
      <c r="U856" t="s">
        <v>359</v>
      </c>
      <c r="V856" s="4">
        <v>5.2499999999999998E-2</v>
      </c>
      <c r="W856" s="2">
        <v>0</v>
      </c>
      <c r="X856">
        <v>0</v>
      </c>
      <c r="Y856" t="s">
        <v>214</v>
      </c>
      <c r="Z856" t="s">
        <v>360</v>
      </c>
      <c r="AA856">
        <v>0</v>
      </c>
      <c r="AB856" s="2">
        <v>0</v>
      </c>
      <c r="AC856" s="2">
        <v>0</v>
      </c>
      <c r="AD856" s="3">
        <v>0</v>
      </c>
      <c r="AE856" s="2">
        <v>0</v>
      </c>
      <c r="AF856" s="2">
        <v>0</v>
      </c>
      <c r="AG856" s="2">
        <v>0</v>
      </c>
      <c r="AH856" s="2">
        <v>0</v>
      </c>
      <c r="AI856" s="2">
        <v>0</v>
      </c>
      <c r="AJ856" s="2">
        <v>0</v>
      </c>
      <c r="AK856" s="2">
        <v>0</v>
      </c>
      <c r="AL856" s="2">
        <v>0</v>
      </c>
      <c r="AM856" s="2">
        <v>1.76</v>
      </c>
      <c r="AN856" s="2">
        <v>1.76</v>
      </c>
      <c r="AO856" s="2">
        <v>0</v>
      </c>
      <c r="AP856" s="2">
        <v>0</v>
      </c>
      <c r="AQ856" s="2">
        <v>0</v>
      </c>
    </row>
    <row r="857" spans="1:43" x14ac:dyDescent="0.25">
      <c r="A857" s="1">
        <v>45936</v>
      </c>
      <c r="B857" t="s">
        <v>48</v>
      </c>
      <c r="C857">
        <v>649163</v>
      </c>
      <c r="D857">
        <v>2023644771</v>
      </c>
      <c r="E857" t="s">
        <v>1150</v>
      </c>
      <c r="F857" t="s">
        <v>301</v>
      </c>
      <c r="G857" t="s">
        <v>51</v>
      </c>
      <c r="H857" t="s">
        <v>70</v>
      </c>
      <c r="I857" t="s">
        <v>350</v>
      </c>
      <c r="J857" t="s">
        <v>351</v>
      </c>
      <c r="K857">
        <v>728134</v>
      </c>
      <c r="L857" t="s">
        <v>352</v>
      </c>
      <c r="M857" t="s">
        <v>353</v>
      </c>
      <c r="N857" t="s">
        <v>57</v>
      </c>
      <c r="O857" s="1">
        <v>45474</v>
      </c>
      <c r="Q857" s="1">
        <v>45962</v>
      </c>
      <c r="R857" s="2">
        <v>57.22</v>
      </c>
      <c r="S857">
        <v>1</v>
      </c>
      <c r="T857" t="s">
        <v>58</v>
      </c>
      <c r="U857" t="s">
        <v>359</v>
      </c>
      <c r="V857" s="4">
        <v>5.2499999999999998E-2</v>
      </c>
      <c r="W857" s="2">
        <v>0</v>
      </c>
      <c r="X857">
        <v>0</v>
      </c>
      <c r="Y857" t="s">
        <v>214</v>
      </c>
      <c r="Z857" t="s">
        <v>360</v>
      </c>
      <c r="AA857">
        <v>0</v>
      </c>
      <c r="AB857" s="2">
        <v>0</v>
      </c>
      <c r="AC857" s="2">
        <v>0</v>
      </c>
      <c r="AD857" s="3">
        <v>0</v>
      </c>
      <c r="AE857" s="2">
        <v>0</v>
      </c>
      <c r="AF857" s="2">
        <v>0</v>
      </c>
      <c r="AG857" s="2">
        <v>0</v>
      </c>
      <c r="AH857" s="2">
        <v>0</v>
      </c>
      <c r="AI857" s="2">
        <v>0</v>
      </c>
      <c r="AJ857" s="2">
        <v>0</v>
      </c>
      <c r="AK857" s="2">
        <v>0</v>
      </c>
      <c r="AL857" s="2">
        <v>0</v>
      </c>
      <c r="AM857" s="2">
        <v>3</v>
      </c>
      <c r="AN857" s="2">
        <v>3</v>
      </c>
      <c r="AO857" s="2">
        <v>0</v>
      </c>
      <c r="AP857" s="2">
        <v>0</v>
      </c>
      <c r="AQ857" s="2">
        <v>0</v>
      </c>
    </row>
    <row r="858" spans="1:43" x14ac:dyDescent="0.25">
      <c r="A858" s="1">
        <v>45936</v>
      </c>
      <c r="B858" t="s">
        <v>48</v>
      </c>
      <c r="C858">
        <v>649163</v>
      </c>
      <c r="D858">
        <v>2023665220</v>
      </c>
      <c r="E858" t="s">
        <v>1151</v>
      </c>
      <c r="F858" t="s">
        <v>924</v>
      </c>
      <c r="G858" t="s">
        <v>51</v>
      </c>
      <c r="H858" t="s">
        <v>70</v>
      </c>
      <c r="I858" t="s">
        <v>350</v>
      </c>
      <c r="J858" t="s">
        <v>351</v>
      </c>
      <c r="K858">
        <v>728134</v>
      </c>
      <c r="L858" t="s">
        <v>352</v>
      </c>
      <c r="M858" t="s">
        <v>353</v>
      </c>
      <c r="N858" t="s">
        <v>57</v>
      </c>
      <c r="O858" s="1">
        <v>45474</v>
      </c>
      <c r="Q858" s="1">
        <v>45962</v>
      </c>
      <c r="R858" s="2">
        <v>102.9</v>
      </c>
      <c r="S858">
        <v>1</v>
      </c>
      <c r="T858" t="s">
        <v>58</v>
      </c>
      <c r="U858" t="s">
        <v>359</v>
      </c>
      <c r="V858" s="4">
        <v>5.2499999999999998E-2</v>
      </c>
      <c r="W858" s="2">
        <v>0</v>
      </c>
      <c r="X858">
        <v>0</v>
      </c>
      <c r="Y858" t="s">
        <v>214</v>
      </c>
      <c r="Z858" t="s">
        <v>360</v>
      </c>
      <c r="AA858">
        <v>0</v>
      </c>
      <c r="AB858" s="2">
        <v>0</v>
      </c>
      <c r="AC858" s="2">
        <v>0</v>
      </c>
      <c r="AD858" s="3">
        <v>0</v>
      </c>
      <c r="AE858" s="2">
        <v>0</v>
      </c>
      <c r="AF858" s="2">
        <v>0</v>
      </c>
      <c r="AG858" s="2">
        <v>0</v>
      </c>
      <c r="AH858" s="2">
        <v>0</v>
      </c>
      <c r="AI858" s="2">
        <v>0</v>
      </c>
      <c r="AJ858" s="2">
        <v>0</v>
      </c>
      <c r="AK858" s="2">
        <v>0</v>
      </c>
      <c r="AL858" s="2">
        <v>0</v>
      </c>
      <c r="AM858" s="2">
        <v>5.4</v>
      </c>
      <c r="AN858" s="2">
        <v>5.4</v>
      </c>
      <c r="AO858" s="2">
        <v>0</v>
      </c>
      <c r="AP858" s="2">
        <v>0</v>
      </c>
      <c r="AQ858" s="2">
        <v>0</v>
      </c>
    </row>
    <row r="859" spans="1:43" x14ac:dyDescent="0.25">
      <c r="A859" s="1">
        <v>45936</v>
      </c>
      <c r="B859" t="s">
        <v>48</v>
      </c>
      <c r="C859">
        <v>649163</v>
      </c>
      <c r="D859">
        <v>2023679652</v>
      </c>
      <c r="E859" t="s">
        <v>1152</v>
      </c>
      <c r="F859" t="s">
        <v>259</v>
      </c>
      <c r="G859" t="s">
        <v>51</v>
      </c>
      <c r="H859" t="s">
        <v>70</v>
      </c>
      <c r="I859" t="s">
        <v>350</v>
      </c>
      <c r="J859" t="s">
        <v>351</v>
      </c>
      <c r="K859">
        <v>728134</v>
      </c>
      <c r="L859" t="s">
        <v>352</v>
      </c>
      <c r="M859" t="s">
        <v>353</v>
      </c>
      <c r="N859" t="s">
        <v>57</v>
      </c>
      <c r="O859" s="1">
        <v>45474</v>
      </c>
      <c r="Q859" s="1">
        <v>45962</v>
      </c>
      <c r="R859" s="2">
        <v>47.32</v>
      </c>
      <c r="S859">
        <v>1</v>
      </c>
      <c r="T859" t="s">
        <v>58</v>
      </c>
      <c r="U859" t="s">
        <v>359</v>
      </c>
      <c r="V859" s="4">
        <v>5.2499999999999998E-2</v>
      </c>
      <c r="W859" s="2">
        <v>0</v>
      </c>
      <c r="X859">
        <v>0</v>
      </c>
      <c r="Y859" t="s">
        <v>214</v>
      </c>
      <c r="Z859" t="s">
        <v>360</v>
      </c>
      <c r="AA859">
        <v>0</v>
      </c>
      <c r="AB859" s="2">
        <v>0</v>
      </c>
      <c r="AC859" s="2">
        <v>0</v>
      </c>
      <c r="AD859" s="3">
        <v>0</v>
      </c>
      <c r="AE859" s="2">
        <v>0</v>
      </c>
      <c r="AF859" s="2">
        <v>0</v>
      </c>
      <c r="AG859" s="2">
        <v>0</v>
      </c>
      <c r="AH859" s="2">
        <v>0</v>
      </c>
      <c r="AI859" s="2">
        <v>0</v>
      </c>
      <c r="AJ859" s="2">
        <v>0</v>
      </c>
      <c r="AK859" s="2">
        <v>0</v>
      </c>
      <c r="AL859" s="2">
        <v>0</v>
      </c>
      <c r="AM859" s="2">
        <v>2.48</v>
      </c>
      <c r="AN859" s="2">
        <v>2.48</v>
      </c>
      <c r="AO859" s="2">
        <v>0</v>
      </c>
      <c r="AP859" s="2">
        <v>0</v>
      </c>
      <c r="AQ859" s="2">
        <v>0</v>
      </c>
    </row>
    <row r="860" spans="1:43" x14ac:dyDescent="0.25">
      <c r="A860" s="1">
        <v>45936</v>
      </c>
      <c r="B860" t="s">
        <v>48</v>
      </c>
      <c r="C860">
        <v>649163</v>
      </c>
      <c r="D860">
        <v>2023688176</v>
      </c>
      <c r="E860" t="s">
        <v>1153</v>
      </c>
      <c r="F860" t="s">
        <v>1154</v>
      </c>
      <c r="G860" t="s">
        <v>51</v>
      </c>
      <c r="H860" t="s">
        <v>70</v>
      </c>
      <c r="I860" t="s">
        <v>350</v>
      </c>
      <c r="J860" t="s">
        <v>351</v>
      </c>
      <c r="K860">
        <v>650218</v>
      </c>
      <c r="L860" t="s">
        <v>237</v>
      </c>
      <c r="M860" t="s">
        <v>238</v>
      </c>
      <c r="N860" t="s">
        <v>57</v>
      </c>
      <c r="O860" s="1">
        <v>45474</v>
      </c>
      <c r="Q860" s="1">
        <v>45962</v>
      </c>
      <c r="R860" s="2">
        <v>142.08000000000001</v>
      </c>
      <c r="S860">
        <v>1</v>
      </c>
      <c r="T860" t="s">
        <v>58</v>
      </c>
      <c r="U860" t="s">
        <v>359</v>
      </c>
      <c r="V860" s="4">
        <v>5.2499999999999998E-2</v>
      </c>
      <c r="W860" s="2">
        <v>0</v>
      </c>
      <c r="X860">
        <v>0</v>
      </c>
      <c r="Y860" t="s">
        <v>214</v>
      </c>
      <c r="Z860" t="s">
        <v>360</v>
      </c>
      <c r="AA860">
        <v>0</v>
      </c>
      <c r="AB860" s="2">
        <v>0</v>
      </c>
      <c r="AC860" s="2">
        <v>0</v>
      </c>
      <c r="AD860" s="3">
        <v>0</v>
      </c>
      <c r="AE860" s="2">
        <v>0</v>
      </c>
      <c r="AF860" s="2">
        <v>0</v>
      </c>
      <c r="AG860" s="2">
        <v>0</v>
      </c>
      <c r="AH860" s="2">
        <v>0</v>
      </c>
      <c r="AI860" s="2">
        <v>0</v>
      </c>
      <c r="AJ860" s="2">
        <v>0</v>
      </c>
      <c r="AK860" s="2">
        <v>0</v>
      </c>
      <c r="AL860" s="2">
        <v>0</v>
      </c>
      <c r="AM860" s="2">
        <v>7.46</v>
      </c>
      <c r="AN860" s="2">
        <v>7.46</v>
      </c>
      <c r="AO860" s="2">
        <v>0</v>
      </c>
      <c r="AP860" s="2">
        <v>0</v>
      </c>
      <c r="AQ860" s="2">
        <v>0</v>
      </c>
    </row>
    <row r="861" spans="1:43" x14ac:dyDescent="0.25">
      <c r="A861" s="1">
        <v>45936</v>
      </c>
      <c r="B861" t="s">
        <v>48</v>
      </c>
      <c r="C861">
        <v>649163</v>
      </c>
      <c r="D861">
        <v>2024244626</v>
      </c>
      <c r="E861" t="s">
        <v>1155</v>
      </c>
      <c r="F861" t="s">
        <v>1156</v>
      </c>
      <c r="G861" t="s">
        <v>51</v>
      </c>
      <c r="H861" t="s">
        <v>70</v>
      </c>
      <c r="I861" t="s">
        <v>350</v>
      </c>
      <c r="J861" t="s">
        <v>351</v>
      </c>
      <c r="K861">
        <v>649247</v>
      </c>
      <c r="L861" t="s">
        <v>75</v>
      </c>
      <c r="M861" t="s">
        <v>76</v>
      </c>
      <c r="N861" t="s">
        <v>57</v>
      </c>
      <c r="O861" s="1">
        <v>45536</v>
      </c>
      <c r="Q861" s="1">
        <v>45962</v>
      </c>
      <c r="R861" s="2">
        <v>56.88</v>
      </c>
      <c r="S861">
        <v>1</v>
      </c>
      <c r="T861" t="s">
        <v>58</v>
      </c>
      <c r="U861" t="s">
        <v>359</v>
      </c>
      <c r="V861" s="4">
        <v>5.2499999999999998E-2</v>
      </c>
      <c r="W861" s="2">
        <v>0</v>
      </c>
      <c r="X861">
        <v>0</v>
      </c>
      <c r="Y861" t="s">
        <v>214</v>
      </c>
      <c r="Z861" t="s">
        <v>360</v>
      </c>
      <c r="AA861">
        <v>0</v>
      </c>
      <c r="AB861" s="2">
        <v>0</v>
      </c>
      <c r="AC861" s="2">
        <v>0</v>
      </c>
      <c r="AD861" s="3">
        <v>0</v>
      </c>
      <c r="AE861" s="2">
        <v>0</v>
      </c>
      <c r="AF861" s="2">
        <v>0</v>
      </c>
      <c r="AG861" s="2">
        <v>0</v>
      </c>
      <c r="AH861" s="2">
        <v>0</v>
      </c>
      <c r="AI861" s="2">
        <v>0</v>
      </c>
      <c r="AJ861" s="2">
        <v>0</v>
      </c>
      <c r="AK861" s="2">
        <v>0</v>
      </c>
      <c r="AL861" s="2">
        <v>0</v>
      </c>
      <c r="AM861" s="2">
        <v>2.99</v>
      </c>
      <c r="AN861" s="2">
        <v>2.99</v>
      </c>
      <c r="AO861" s="2">
        <v>0</v>
      </c>
      <c r="AP861" s="2">
        <v>0</v>
      </c>
      <c r="AQ861" s="2">
        <v>0</v>
      </c>
    </row>
    <row r="862" spans="1:43" x14ac:dyDescent="0.25">
      <c r="A862" s="1">
        <v>45936</v>
      </c>
      <c r="B862" t="s">
        <v>48</v>
      </c>
      <c r="C862">
        <v>649163</v>
      </c>
      <c r="D862">
        <v>2024578754</v>
      </c>
      <c r="E862" t="s">
        <v>1157</v>
      </c>
      <c r="F862" t="s">
        <v>1158</v>
      </c>
      <c r="G862" t="s">
        <v>51</v>
      </c>
      <c r="H862" t="s">
        <v>70</v>
      </c>
      <c r="I862" t="s">
        <v>350</v>
      </c>
      <c r="J862" t="s">
        <v>351</v>
      </c>
      <c r="K862">
        <v>728134</v>
      </c>
      <c r="L862" t="s">
        <v>352</v>
      </c>
      <c r="M862" t="s">
        <v>353</v>
      </c>
      <c r="N862" t="s">
        <v>57</v>
      </c>
      <c r="O862" s="1">
        <v>45566</v>
      </c>
      <c r="Q862" s="1">
        <v>45962</v>
      </c>
      <c r="R862" s="2">
        <v>33.590000000000003</v>
      </c>
      <c r="S862">
        <v>1</v>
      </c>
      <c r="T862" t="s">
        <v>58</v>
      </c>
      <c r="U862" t="s">
        <v>359</v>
      </c>
      <c r="V862" s="4">
        <v>5.2499999999999998E-2</v>
      </c>
      <c r="W862" s="2">
        <v>0</v>
      </c>
      <c r="X862">
        <v>0</v>
      </c>
      <c r="Y862" t="s">
        <v>214</v>
      </c>
      <c r="Z862" t="s">
        <v>360</v>
      </c>
      <c r="AA862">
        <v>0</v>
      </c>
      <c r="AB862" s="2">
        <v>0</v>
      </c>
      <c r="AC862" s="2">
        <v>0</v>
      </c>
      <c r="AD862" s="3">
        <v>0</v>
      </c>
      <c r="AE862" s="2">
        <v>0</v>
      </c>
      <c r="AF862" s="2">
        <v>0</v>
      </c>
      <c r="AG862" s="2">
        <v>0</v>
      </c>
      <c r="AH862" s="2">
        <v>0</v>
      </c>
      <c r="AI862" s="2">
        <v>0</v>
      </c>
      <c r="AJ862" s="2">
        <v>0</v>
      </c>
      <c r="AK862" s="2">
        <v>0</v>
      </c>
      <c r="AL862" s="2">
        <v>0</v>
      </c>
      <c r="AM862" s="2">
        <v>1.76</v>
      </c>
      <c r="AN862" s="2">
        <v>1.76</v>
      </c>
      <c r="AO862" s="2">
        <v>0</v>
      </c>
      <c r="AP862" s="2">
        <v>0</v>
      </c>
      <c r="AQ862" s="2">
        <v>0</v>
      </c>
    </row>
    <row r="863" spans="1:43" x14ac:dyDescent="0.25">
      <c r="A863" s="1">
        <v>45936</v>
      </c>
      <c r="B863" t="s">
        <v>48</v>
      </c>
      <c r="C863">
        <v>649163</v>
      </c>
      <c r="D863">
        <v>2024984249</v>
      </c>
      <c r="E863" t="s">
        <v>1159</v>
      </c>
      <c r="F863" t="s">
        <v>482</v>
      </c>
      <c r="G863" t="s">
        <v>51</v>
      </c>
      <c r="H863" t="s">
        <v>70</v>
      </c>
      <c r="I863" t="s">
        <v>350</v>
      </c>
      <c r="J863" t="s">
        <v>351</v>
      </c>
      <c r="K863">
        <v>728134</v>
      </c>
      <c r="L863" t="s">
        <v>352</v>
      </c>
      <c r="M863" t="s">
        <v>353</v>
      </c>
      <c r="N863" t="s">
        <v>57</v>
      </c>
      <c r="O863" s="1">
        <v>45597</v>
      </c>
      <c r="Q863" s="1">
        <v>45962</v>
      </c>
      <c r="R863" s="2">
        <v>78.83</v>
      </c>
      <c r="S863">
        <v>1</v>
      </c>
      <c r="T863" t="s">
        <v>58</v>
      </c>
      <c r="U863" t="s">
        <v>359</v>
      </c>
      <c r="V863" s="3">
        <v>0.47</v>
      </c>
      <c r="W863" s="2">
        <v>0</v>
      </c>
      <c r="X863">
        <v>0</v>
      </c>
      <c r="Y863" t="s">
        <v>60</v>
      </c>
      <c r="Z863" t="s">
        <v>360</v>
      </c>
      <c r="AA863">
        <v>0</v>
      </c>
      <c r="AB863" s="2">
        <v>0</v>
      </c>
      <c r="AC863" s="2">
        <v>0</v>
      </c>
      <c r="AD863" s="3">
        <v>0</v>
      </c>
      <c r="AE863" s="2">
        <v>0</v>
      </c>
      <c r="AF863" s="2">
        <v>0</v>
      </c>
      <c r="AG863" s="2">
        <v>0</v>
      </c>
      <c r="AH863" s="2">
        <v>0</v>
      </c>
      <c r="AI863" s="2">
        <v>0</v>
      </c>
      <c r="AJ863" s="2">
        <v>0</v>
      </c>
      <c r="AK863" s="2">
        <v>0</v>
      </c>
      <c r="AL863" s="2">
        <v>0</v>
      </c>
      <c r="AM863" s="2">
        <v>37.049999999999997</v>
      </c>
      <c r="AN863" s="2">
        <v>37.049999999999997</v>
      </c>
      <c r="AO863" s="2">
        <v>0</v>
      </c>
      <c r="AP863" s="2">
        <v>0</v>
      </c>
      <c r="AQ863" s="2">
        <v>0</v>
      </c>
    </row>
    <row r="864" spans="1:43" x14ac:dyDescent="0.25">
      <c r="A864" s="1">
        <v>45936</v>
      </c>
      <c r="B864" t="s">
        <v>48</v>
      </c>
      <c r="C864">
        <v>649163</v>
      </c>
      <c r="D864">
        <v>2025510689</v>
      </c>
      <c r="E864" t="s">
        <v>567</v>
      </c>
      <c r="F864" t="s">
        <v>1160</v>
      </c>
      <c r="G864" t="s">
        <v>51</v>
      </c>
      <c r="H864" t="s">
        <v>323</v>
      </c>
      <c r="I864" t="s">
        <v>350</v>
      </c>
      <c r="J864" t="s">
        <v>351</v>
      </c>
      <c r="K864">
        <v>673059</v>
      </c>
      <c r="L864" t="s">
        <v>80</v>
      </c>
      <c r="M864" t="s">
        <v>81</v>
      </c>
      <c r="N864" t="s">
        <v>57</v>
      </c>
      <c r="O864" s="1">
        <v>45627</v>
      </c>
      <c r="Q864" s="1">
        <v>45962</v>
      </c>
      <c r="R864" s="2">
        <v>57.84</v>
      </c>
      <c r="S864">
        <v>1</v>
      </c>
      <c r="T864" t="s">
        <v>58</v>
      </c>
      <c r="U864" t="s">
        <v>359</v>
      </c>
      <c r="V864" s="3">
        <v>0.47</v>
      </c>
      <c r="W864" s="2">
        <v>0</v>
      </c>
      <c r="X864">
        <v>0</v>
      </c>
      <c r="Y864" t="s">
        <v>60</v>
      </c>
      <c r="Z864" t="s">
        <v>360</v>
      </c>
      <c r="AA864">
        <v>0</v>
      </c>
      <c r="AB864" s="2">
        <v>0</v>
      </c>
      <c r="AC864" s="2">
        <v>0</v>
      </c>
      <c r="AD864" s="3">
        <v>0</v>
      </c>
      <c r="AE864" s="2">
        <v>0</v>
      </c>
      <c r="AF864" s="2">
        <v>0</v>
      </c>
      <c r="AG864" s="2">
        <v>0</v>
      </c>
      <c r="AH864" s="2">
        <v>0</v>
      </c>
      <c r="AI864" s="2">
        <v>0</v>
      </c>
      <c r="AJ864" s="2">
        <v>0</v>
      </c>
      <c r="AK864" s="2">
        <v>0</v>
      </c>
      <c r="AL864" s="2">
        <v>0</v>
      </c>
      <c r="AM864" s="2">
        <v>27.18</v>
      </c>
      <c r="AN864" s="2">
        <v>27.18</v>
      </c>
      <c r="AO864" s="2">
        <v>0</v>
      </c>
      <c r="AP864" s="2">
        <v>0</v>
      </c>
      <c r="AQ864" s="2">
        <v>0</v>
      </c>
    </row>
    <row r="865" spans="1:43" x14ac:dyDescent="0.25">
      <c r="A865" s="1">
        <v>45936</v>
      </c>
      <c r="B865" t="s">
        <v>48</v>
      </c>
      <c r="C865">
        <v>649163</v>
      </c>
      <c r="D865">
        <v>2025525110</v>
      </c>
      <c r="E865" t="s">
        <v>1161</v>
      </c>
      <c r="F865" t="s">
        <v>268</v>
      </c>
      <c r="G865" t="s">
        <v>51</v>
      </c>
      <c r="H865" t="s">
        <v>70</v>
      </c>
      <c r="I865" t="s">
        <v>350</v>
      </c>
      <c r="J865" t="s">
        <v>351</v>
      </c>
      <c r="K865">
        <v>649247</v>
      </c>
      <c r="L865" t="s">
        <v>75</v>
      </c>
      <c r="M865" t="s">
        <v>76</v>
      </c>
      <c r="N865" t="s">
        <v>57</v>
      </c>
      <c r="O865" s="1">
        <v>45597</v>
      </c>
      <c r="Q865" s="1">
        <v>45962</v>
      </c>
      <c r="R865" s="2">
        <v>104.08</v>
      </c>
      <c r="S865">
        <v>1</v>
      </c>
      <c r="T865" t="s">
        <v>58</v>
      </c>
      <c r="U865" t="s">
        <v>359</v>
      </c>
      <c r="V865" s="3">
        <v>0.47</v>
      </c>
      <c r="W865" s="2">
        <v>0</v>
      </c>
      <c r="X865">
        <v>0</v>
      </c>
      <c r="Y865" t="s">
        <v>60</v>
      </c>
      <c r="Z865" t="s">
        <v>360</v>
      </c>
      <c r="AA865">
        <v>0</v>
      </c>
      <c r="AB865" s="2">
        <v>0</v>
      </c>
      <c r="AC865" s="2">
        <v>0</v>
      </c>
      <c r="AD865" s="3">
        <v>0</v>
      </c>
      <c r="AE865" s="2">
        <v>0</v>
      </c>
      <c r="AF865" s="2">
        <v>0</v>
      </c>
      <c r="AG865" s="2">
        <v>0</v>
      </c>
      <c r="AH865" s="2">
        <v>0</v>
      </c>
      <c r="AI865" s="2">
        <v>0</v>
      </c>
      <c r="AJ865" s="2">
        <v>0</v>
      </c>
      <c r="AK865" s="2">
        <v>0</v>
      </c>
      <c r="AL865" s="2">
        <v>0</v>
      </c>
      <c r="AM865" s="2">
        <v>48.92</v>
      </c>
      <c r="AN865" s="2">
        <v>48.92</v>
      </c>
      <c r="AO865" s="2">
        <v>0</v>
      </c>
      <c r="AP865" s="2">
        <v>0</v>
      </c>
      <c r="AQ865" s="2">
        <v>0</v>
      </c>
    </row>
    <row r="866" spans="1:43" x14ac:dyDescent="0.25">
      <c r="A866" s="1">
        <v>45936</v>
      </c>
      <c r="B866" t="s">
        <v>48</v>
      </c>
      <c r="C866">
        <v>649163</v>
      </c>
      <c r="D866">
        <v>2025670861</v>
      </c>
      <c r="E866" t="s">
        <v>1162</v>
      </c>
      <c r="F866" t="s">
        <v>194</v>
      </c>
      <c r="G866" t="s">
        <v>51</v>
      </c>
      <c r="H866" t="s">
        <v>70</v>
      </c>
      <c r="I866" t="s">
        <v>350</v>
      </c>
      <c r="J866" t="s">
        <v>351</v>
      </c>
      <c r="K866">
        <v>649247</v>
      </c>
      <c r="L866" t="s">
        <v>75</v>
      </c>
      <c r="M866" t="s">
        <v>76</v>
      </c>
      <c r="N866" t="s">
        <v>57</v>
      </c>
      <c r="O866" s="1">
        <v>45658</v>
      </c>
      <c r="Q866" s="1">
        <v>45962</v>
      </c>
      <c r="R866" s="2">
        <v>56.88</v>
      </c>
      <c r="S866">
        <v>1</v>
      </c>
      <c r="T866" t="s">
        <v>58</v>
      </c>
      <c r="U866" t="s">
        <v>359</v>
      </c>
      <c r="V866" s="3">
        <v>0.47</v>
      </c>
      <c r="W866" s="2">
        <v>0</v>
      </c>
      <c r="X866">
        <v>0</v>
      </c>
      <c r="Y866" t="s">
        <v>60</v>
      </c>
      <c r="Z866" t="s">
        <v>360</v>
      </c>
      <c r="AA866">
        <v>0</v>
      </c>
      <c r="AB866" s="2">
        <v>0</v>
      </c>
      <c r="AC866" s="2">
        <v>0</v>
      </c>
      <c r="AD866" s="3">
        <v>0</v>
      </c>
      <c r="AE866" s="2">
        <v>0</v>
      </c>
      <c r="AF866" s="2">
        <v>0</v>
      </c>
      <c r="AG866" s="2">
        <v>0</v>
      </c>
      <c r="AH866" s="2">
        <v>0</v>
      </c>
      <c r="AI866" s="2">
        <v>0</v>
      </c>
      <c r="AJ866" s="2">
        <v>0</v>
      </c>
      <c r="AK866" s="2">
        <v>0</v>
      </c>
      <c r="AL866" s="2">
        <v>0</v>
      </c>
      <c r="AM866" s="2">
        <v>26.73</v>
      </c>
      <c r="AN866" s="2">
        <v>26.73</v>
      </c>
      <c r="AO866" s="2">
        <v>0</v>
      </c>
      <c r="AP866" s="2">
        <v>0</v>
      </c>
      <c r="AQ866" s="2">
        <v>0</v>
      </c>
    </row>
    <row r="867" spans="1:43" x14ac:dyDescent="0.25">
      <c r="A867" s="1">
        <v>45936</v>
      </c>
      <c r="B867" t="s">
        <v>48</v>
      </c>
      <c r="C867">
        <v>649163</v>
      </c>
      <c r="D867">
        <v>2025735300</v>
      </c>
      <c r="E867" t="s">
        <v>1163</v>
      </c>
      <c r="F867" t="s">
        <v>1164</v>
      </c>
      <c r="G867" t="s">
        <v>51</v>
      </c>
      <c r="H867" t="s">
        <v>70</v>
      </c>
      <c r="I867" t="s">
        <v>350</v>
      </c>
      <c r="J867" t="s">
        <v>351</v>
      </c>
      <c r="K867">
        <v>728134</v>
      </c>
      <c r="L867" t="s">
        <v>352</v>
      </c>
      <c r="M867" t="s">
        <v>353</v>
      </c>
      <c r="N867" t="s">
        <v>57</v>
      </c>
      <c r="O867" s="1">
        <v>45658</v>
      </c>
      <c r="Q867" s="1">
        <v>45962</v>
      </c>
      <c r="R867" s="2">
        <v>78.83</v>
      </c>
      <c r="S867">
        <v>1</v>
      </c>
      <c r="T867" t="s">
        <v>58</v>
      </c>
      <c r="U867" t="s">
        <v>359</v>
      </c>
      <c r="V867" s="3">
        <v>0.47</v>
      </c>
      <c r="W867" s="2">
        <v>0</v>
      </c>
      <c r="X867">
        <v>0</v>
      </c>
      <c r="Y867" t="s">
        <v>60</v>
      </c>
      <c r="Z867" t="s">
        <v>360</v>
      </c>
      <c r="AA867">
        <v>0</v>
      </c>
      <c r="AB867" s="2">
        <v>0</v>
      </c>
      <c r="AC867" s="2">
        <v>0</v>
      </c>
      <c r="AD867" s="3">
        <v>0</v>
      </c>
      <c r="AE867" s="2">
        <v>0</v>
      </c>
      <c r="AF867" s="2">
        <v>0</v>
      </c>
      <c r="AG867" s="2">
        <v>0</v>
      </c>
      <c r="AH867" s="2">
        <v>0</v>
      </c>
      <c r="AI867" s="2">
        <v>0</v>
      </c>
      <c r="AJ867" s="2">
        <v>0</v>
      </c>
      <c r="AK867" s="2">
        <v>0</v>
      </c>
      <c r="AL867" s="2">
        <v>0</v>
      </c>
      <c r="AM867" s="2">
        <v>37.049999999999997</v>
      </c>
      <c r="AN867" s="2">
        <v>37.049999999999997</v>
      </c>
      <c r="AO867" s="2">
        <v>0</v>
      </c>
      <c r="AP867" s="2">
        <v>0</v>
      </c>
      <c r="AQ867" s="2">
        <v>0</v>
      </c>
    </row>
    <row r="868" spans="1:43" x14ac:dyDescent="0.25">
      <c r="A868" s="1">
        <v>45936</v>
      </c>
      <c r="B868" t="s">
        <v>48</v>
      </c>
      <c r="C868">
        <v>649163</v>
      </c>
      <c r="D868">
        <v>2025937347</v>
      </c>
      <c r="E868" t="s">
        <v>1165</v>
      </c>
      <c r="F868" t="s">
        <v>1166</v>
      </c>
      <c r="G868" t="s">
        <v>51</v>
      </c>
      <c r="H868" t="s">
        <v>70</v>
      </c>
      <c r="I868" t="s">
        <v>350</v>
      </c>
      <c r="J868" t="s">
        <v>351</v>
      </c>
      <c r="K868">
        <v>649247</v>
      </c>
      <c r="L868" t="s">
        <v>75</v>
      </c>
      <c r="M868" t="s">
        <v>76</v>
      </c>
      <c r="N868" t="s">
        <v>57</v>
      </c>
      <c r="O868" s="1">
        <v>45658</v>
      </c>
      <c r="Q868" s="1">
        <v>45962</v>
      </c>
      <c r="R868" s="2">
        <v>56.88</v>
      </c>
      <c r="S868">
        <v>1</v>
      </c>
      <c r="T868" t="s">
        <v>58</v>
      </c>
      <c r="U868" t="s">
        <v>359</v>
      </c>
      <c r="V868" s="3">
        <v>0.47</v>
      </c>
      <c r="W868" s="2">
        <v>0</v>
      </c>
      <c r="X868">
        <v>0</v>
      </c>
      <c r="Y868" t="s">
        <v>60</v>
      </c>
      <c r="Z868" t="s">
        <v>360</v>
      </c>
      <c r="AA868">
        <v>0</v>
      </c>
      <c r="AB868" s="2">
        <v>0</v>
      </c>
      <c r="AC868" s="2">
        <v>0</v>
      </c>
      <c r="AD868" s="3">
        <v>0</v>
      </c>
      <c r="AE868" s="2">
        <v>0</v>
      </c>
      <c r="AF868" s="2">
        <v>0</v>
      </c>
      <c r="AG868" s="2">
        <v>0</v>
      </c>
      <c r="AH868" s="2">
        <v>0</v>
      </c>
      <c r="AI868" s="2">
        <v>0</v>
      </c>
      <c r="AJ868" s="2">
        <v>0</v>
      </c>
      <c r="AK868" s="2">
        <v>0</v>
      </c>
      <c r="AL868" s="2">
        <v>0</v>
      </c>
      <c r="AM868" s="2">
        <v>26.73</v>
      </c>
      <c r="AN868" s="2">
        <v>26.73</v>
      </c>
      <c r="AO868" s="2">
        <v>0</v>
      </c>
      <c r="AP868" s="2">
        <v>0</v>
      </c>
      <c r="AQ868" s="2">
        <v>0</v>
      </c>
    </row>
    <row r="869" spans="1:43" x14ac:dyDescent="0.25">
      <c r="A869" s="1">
        <v>45936</v>
      </c>
      <c r="B869" t="s">
        <v>48</v>
      </c>
      <c r="C869">
        <v>649163</v>
      </c>
      <c r="D869">
        <v>2025952183</v>
      </c>
      <c r="E869" t="s">
        <v>1167</v>
      </c>
      <c r="F869" t="s">
        <v>337</v>
      </c>
      <c r="G869" t="s">
        <v>51</v>
      </c>
      <c r="H869" t="s">
        <v>101</v>
      </c>
      <c r="I869" t="s">
        <v>350</v>
      </c>
      <c r="J869" t="s">
        <v>351</v>
      </c>
      <c r="K869">
        <v>792847</v>
      </c>
      <c r="L869" t="s">
        <v>140</v>
      </c>
      <c r="M869" t="s">
        <v>141</v>
      </c>
      <c r="N869" t="s">
        <v>57</v>
      </c>
      <c r="O869" s="1">
        <v>45627</v>
      </c>
      <c r="Q869" s="1">
        <v>45962</v>
      </c>
      <c r="R869" s="2">
        <v>72.010000000000005</v>
      </c>
      <c r="S869">
        <v>1</v>
      </c>
      <c r="T869" t="s">
        <v>58</v>
      </c>
      <c r="U869" t="s">
        <v>359</v>
      </c>
      <c r="V869" s="3">
        <v>0.47</v>
      </c>
      <c r="W869" s="2">
        <v>0</v>
      </c>
      <c r="X869">
        <v>0</v>
      </c>
      <c r="Y869" t="s">
        <v>60</v>
      </c>
      <c r="Z869" t="s">
        <v>360</v>
      </c>
      <c r="AA869">
        <v>0</v>
      </c>
      <c r="AB869" s="2">
        <v>0</v>
      </c>
      <c r="AC869" s="2">
        <v>0</v>
      </c>
      <c r="AD869" s="3">
        <v>0</v>
      </c>
      <c r="AE869" s="2">
        <v>0</v>
      </c>
      <c r="AF869" s="2">
        <v>0</v>
      </c>
      <c r="AG869" s="2">
        <v>0</v>
      </c>
      <c r="AH869" s="2">
        <v>0</v>
      </c>
      <c r="AI869" s="2">
        <v>0</v>
      </c>
      <c r="AJ869" s="2">
        <v>0</v>
      </c>
      <c r="AK869" s="2">
        <v>0</v>
      </c>
      <c r="AL869" s="2">
        <v>0</v>
      </c>
      <c r="AM869" s="2">
        <v>33.840000000000003</v>
      </c>
      <c r="AN869" s="2">
        <v>33.840000000000003</v>
      </c>
      <c r="AO869" s="2">
        <v>0</v>
      </c>
      <c r="AP869" s="2">
        <v>0</v>
      </c>
      <c r="AQ869" s="2">
        <v>0</v>
      </c>
    </row>
    <row r="870" spans="1:43" x14ac:dyDescent="0.25">
      <c r="A870" s="1">
        <v>45936</v>
      </c>
      <c r="B870" t="s">
        <v>48</v>
      </c>
      <c r="C870">
        <v>649163</v>
      </c>
      <c r="D870">
        <v>2026002594</v>
      </c>
      <c r="E870" t="s">
        <v>1168</v>
      </c>
      <c r="F870" t="s">
        <v>971</v>
      </c>
      <c r="G870" t="s">
        <v>51</v>
      </c>
      <c r="H870" t="s">
        <v>70</v>
      </c>
      <c r="I870" t="s">
        <v>350</v>
      </c>
      <c r="J870" t="s">
        <v>1141</v>
      </c>
      <c r="K870">
        <v>751867</v>
      </c>
      <c r="L870" t="s">
        <v>71</v>
      </c>
      <c r="M870" t="s">
        <v>72</v>
      </c>
      <c r="N870" t="s">
        <v>57</v>
      </c>
      <c r="O870" s="1">
        <v>45629</v>
      </c>
      <c r="Q870" s="1">
        <v>45964</v>
      </c>
      <c r="R870" s="2">
        <v>55.2</v>
      </c>
      <c r="S870">
        <v>1</v>
      </c>
      <c r="T870" t="s">
        <v>58</v>
      </c>
      <c r="U870" t="s">
        <v>359</v>
      </c>
      <c r="V870" s="3">
        <v>0.51</v>
      </c>
      <c r="W870" s="2">
        <v>0</v>
      </c>
      <c r="X870">
        <v>0</v>
      </c>
      <c r="Y870" t="s">
        <v>60</v>
      </c>
      <c r="Z870" t="s">
        <v>360</v>
      </c>
      <c r="AA870">
        <v>0</v>
      </c>
      <c r="AB870" s="2">
        <v>0</v>
      </c>
      <c r="AC870" s="2">
        <v>0</v>
      </c>
      <c r="AD870" s="3">
        <v>0</v>
      </c>
      <c r="AE870" s="2">
        <v>0</v>
      </c>
      <c r="AF870" s="2">
        <v>0</v>
      </c>
      <c r="AG870" s="2">
        <v>0</v>
      </c>
      <c r="AH870" s="2">
        <v>0</v>
      </c>
      <c r="AI870" s="2">
        <v>0</v>
      </c>
      <c r="AJ870" s="2">
        <v>0</v>
      </c>
      <c r="AK870" s="2">
        <v>0</v>
      </c>
      <c r="AL870" s="2">
        <v>0</v>
      </c>
      <c r="AM870" s="2">
        <v>28.15</v>
      </c>
      <c r="AN870" s="2">
        <v>28.15</v>
      </c>
      <c r="AO870" s="2">
        <v>0</v>
      </c>
      <c r="AP870" s="2">
        <v>0</v>
      </c>
      <c r="AQ870" s="2">
        <v>0</v>
      </c>
    </row>
    <row r="871" spans="1:43" x14ac:dyDescent="0.25">
      <c r="A871" s="1">
        <v>45936</v>
      </c>
      <c r="B871" t="s">
        <v>48</v>
      </c>
      <c r="C871">
        <v>649163</v>
      </c>
      <c r="D871">
        <v>2026002595</v>
      </c>
      <c r="E871" t="s">
        <v>1168</v>
      </c>
      <c r="F871" t="s">
        <v>971</v>
      </c>
      <c r="G871" t="s">
        <v>51</v>
      </c>
      <c r="H871" t="s">
        <v>70</v>
      </c>
      <c r="I871" t="s">
        <v>350</v>
      </c>
      <c r="J871" t="s">
        <v>351</v>
      </c>
      <c r="K871">
        <v>751867</v>
      </c>
      <c r="L871" t="s">
        <v>71</v>
      </c>
      <c r="M871" t="s">
        <v>72</v>
      </c>
      <c r="N871" t="s">
        <v>57</v>
      </c>
      <c r="O871" s="1">
        <v>45629</v>
      </c>
      <c r="Q871" s="1">
        <v>45964</v>
      </c>
      <c r="R871" s="2">
        <v>25.27</v>
      </c>
      <c r="S871">
        <v>1</v>
      </c>
      <c r="T871" t="s">
        <v>58</v>
      </c>
      <c r="U871" t="s">
        <v>359</v>
      </c>
      <c r="V871" s="3">
        <v>0.47</v>
      </c>
      <c r="W871" s="2">
        <v>0</v>
      </c>
      <c r="X871">
        <v>0</v>
      </c>
      <c r="Y871" t="s">
        <v>60</v>
      </c>
      <c r="Z871" t="s">
        <v>360</v>
      </c>
      <c r="AA871">
        <v>0</v>
      </c>
      <c r="AB871" s="2">
        <v>0</v>
      </c>
      <c r="AC871" s="2">
        <v>0</v>
      </c>
      <c r="AD871" s="3">
        <v>0</v>
      </c>
      <c r="AE871" s="2">
        <v>0</v>
      </c>
      <c r="AF871" s="2">
        <v>0</v>
      </c>
      <c r="AG871" s="2">
        <v>0</v>
      </c>
      <c r="AH871" s="2">
        <v>0</v>
      </c>
      <c r="AI871" s="2">
        <v>0</v>
      </c>
      <c r="AJ871" s="2">
        <v>0</v>
      </c>
      <c r="AK871" s="2">
        <v>0</v>
      </c>
      <c r="AL871" s="2">
        <v>0</v>
      </c>
      <c r="AM871" s="2">
        <v>11.88</v>
      </c>
      <c r="AN871" s="2">
        <v>11.88</v>
      </c>
      <c r="AO871" s="2">
        <v>0</v>
      </c>
      <c r="AP871" s="2">
        <v>0</v>
      </c>
      <c r="AQ871" s="2">
        <v>0</v>
      </c>
    </row>
    <row r="872" spans="1:43" x14ac:dyDescent="0.25">
      <c r="A872" s="1">
        <v>45936</v>
      </c>
      <c r="B872" t="s">
        <v>48</v>
      </c>
      <c r="C872">
        <v>649163</v>
      </c>
      <c r="D872">
        <v>2026023535</v>
      </c>
      <c r="E872" t="s">
        <v>1169</v>
      </c>
      <c r="F872" t="s">
        <v>1170</v>
      </c>
      <c r="G872" t="s">
        <v>51</v>
      </c>
      <c r="H872" t="s">
        <v>70</v>
      </c>
      <c r="I872" t="s">
        <v>350</v>
      </c>
      <c r="J872" t="s">
        <v>351</v>
      </c>
      <c r="K872">
        <v>810052</v>
      </c>
      <c r="L872" t="s">
        <v>1171</v>
      </c>
      <c r="M872" t="s">
        <v>865</v>
      </c>
      <c r="N872" t="s">
        <v>57</v>
      </c>
      <c r="O872" s="1">
        <v>45630</v>
      </c>
      <c r="Q872" s="1">
        <v>45965</v>
      </c>
      <c r="R872" s="2">
        <v>51.19</v>
      </c>
      <c r="S872">
        <v>1</v>
      </c>
      <c r="T872" t="s">
        <v>58</v>
      </c>
      <c r="U872" t="s">
        <v>359</v>
      </c>
      <c r="V872" s="3">
        <v>0.11</v>
      </c>
      <c r="W872" s="2">
        <v>0</v>
      </c>
      <c r="X872">
        <v>0</v>
      </c>
      <c r="Y872" t="s">
        <v>60</v>
      </c>
      <c r="Z872" t="s">
        <v>360</v>
      </c>
      <c r="AA872">
        <v>0</v>
      </c>
      <c r="AB872" s="2">
        <v>0</v>
      </c>
      <c r="AC872" s="2">
        <v>0</v>
      </c>
      <c r="AD872" s="3">
        <v>0</v>
      </c>
      <c r="AE872" s="2">
        <v>0</v>
      </c>
      <c r="AF872" s="2">
        <v>0</v>
      </c>
      <c r="AG872" s="2">
        <v>0</v>
      </c>
      <c r="AH872" s="2">
        <v>0</v>
      </c>
      <c r="AI872" s="2">
        <v>0</v>
      </c>
      <c r="AJ872" s="2">
        <v>0</v>
      </c>
      <c r="AK872" s="2">
        <v>0</v>
      </c>
      <c r="AL872" s="2">
        <v>0</v>
      </c>
      <c r="AM872" s="2">
        <v>5.63</v>
      </c>
      <c r="AN872" s="2">
        <v>5.63</v>
      </c>
      <c r="AO872" s="2">
        <v>0</v>
      </c>
      <c r="AP872" s="2">
        <v>0</v>
      </c>
      <c r="AQ872" s="2">
        <v>0</v>
      </c>
    </row>
    <row r="873" spans="1:43" x14ac:dyDescent="0.25">
      <c r="A873" s="1">
        <v>45936</v>
      </c>
      <c r="B873" t="s">
        <v>48</v>
      </c>
      <c r="C873">
        <v>649163</v>
      </c>
      <c r="D873">
        <v>2026107902</v>
      </c>
      <c r="E873" t="s">
        <v>1172</v>
      </c>
      <c r="F873" t="s">
        <v>1173</v>
      </c>
      <c r="G873" t="s">
        <v>51</v>
      </c>
      <c r="H873" t="s">
        <v>70</v>
      </c>
      <c r="I873" t="s">
        <v>350</v>
      </c>
      <c r="J873" t="s">
        <v>351</v>
      </c>
      <c r="K873">
        <v>728134</v>
      </c>
      <c r="L873" t="s">
        <v>352</v>
      </c>
      <c r="M873" t="s">
        <v>353</v>
      </c>
      <c r="N873" t="s">
        <v>57</v>
      </c>
      <c r="O873" s="1">
        <v>45658</v>
      </c>
      <c r="Q873" s="1">
        <v>45962</v>
      </c>
      <c r="R873" s="2">
        <v>33.590000000000003</v>
      </c>
      <c r="S873">
        <v>1</v>
      </c>
      <c r="T873" t="s">
        <v>58</v>
      </c>
      <c r="U873" t="s">
        <v>359</v>
      </c>
      <c r="V873" s="3">
        <v>0.47</v>
      </c>
      <c r="W873" s="2">
        <v>0</v>
      </c>
      <c r="X873">
        <v>0</v>
      </c>
      <c r="Y873" t="s">
        <v>60</v>
      </c>
      <c r="Z873" t="s">
        <v>360</v>
      </c>
      <c r="AA873">
        <v>0</v>
      </c>
      <c r="AB873" s="2">
        <v>0</v>
      </c>
      <c r="AC873" s="2">
        <v>0</v>
      </c>
      <c r="AD873" s="3">
        <v>0</v>
      </c>
      <c r="AE873" s="2">
        <v>0</v>
      </c>
      <c r="AF873" s="2">
        <v>0</v>
      </c>
      <c r="AG873" s="2">
        <v>0</v>
      </c>
      <c r="AH873" s="2">
        <v>0</v>
      </c>
      <c r="AI873" s="2">
        <v>0</v>
      </c>
      <c r="AJ873" s="2">
        <v>0</v>
      </c>
      <c r="AK873" s="2">
        <v>0</v>
      </c>
      <c r="AL873" s="2">
        <v>0</v>
      </c>
      <c r="AM873" s="2">
        <v>15.79</v>
      </c>
      <c r="AN873" s="2">
        <v>15.79</v>
      </c>
      <c r="AO873" s="2">
        <v>0</v>
      </c>
      <c r="AP873" s="2">
        <v>0</v>
      </c>
      <c r="AQ873" s="2">
        <v>0</v>
      </c>
    </row>
    <row r="874" spans="1:43" x14ac:dyDescent="0.25">
      <c r="A874" s="1">
        <v>45936</v>
      </c>
      <c r="B874" t="s">
        <v>48</v>
      </c>
      <c r="C874">
        <v>649163</v>
      </c>
      <c r="D874">
        <v>2026147450</v>
      </c>
      <c r="E874" t="s">
        <v>1174</v>
      </c>
      <c r="F874" t="s">
        <v>1175</v>
      </c>
      <c r="G874" t="s">
        <v>51</v>
      </c>
      <c r="H874" t="s">
        <v>70</v>
      </c>
      <c r="I874" t="s">
        <v>350</v>
      </c>
      <c r="J874" t="s">
        <v>351</v>
      </c>
      <c r="K874">
        <v>728134</v>
      </c>
      <c r="L874" t="s">
        <v>352</v>
      </c>
      <c r="M874" t="s">
        <v>353</v>
      </c>
      <c r="N874" t="s">
        <v>57</v>
      </c>
      <c r="O874" s="1">
        <v>45658</v>
      </c>
      <c r="Q874" s="1">
        <v>45962</v>
      </c>
      <c r="R874" s="2">
        <v>33.590000000000003</v>
      </c>
      <c r="S874">
        <v>1</v>
      </c>
      <c r="T874" t="s">
        <v>58</v>
      </c>
      <c r="U874" t="s">
        <v>359</v>
      </c>
      <c r="V874" s="3">
        <v>0.47</v>
      </c>
      <c r="W874" s="2">
        <v>0</v>
      </c>
      <c r="X874">
        <v>0</v>
      </c>
      <c r="Y874" t="s">
        <v>60</v>
      </c>
      <c r="Z874" t="s">
        <v>360</v>
      </c>
      <c r="AA874">
        <v>0</v>
      </c>
      <c r="AB874" s="2">
        <v>0</v>
      </c>
      <c r="AC874" s="2">
        <v>0</v>
      </c>
      <c r="AD874" s="3">
        <v>0</v>
      </c>
      <c r="AE874" s="2">
        <v>0</v>
      </c>
      <c r="AF874" s="2">
        <v>0</v>
      </c>
      <c r="AG874" s="2">
        <v>0</v>
      </c>
      <c r="AH874" s="2">
        <v>0</v>
      </c>
      <c r="AI874" s="2">
        <v>0</v>
      </c>
      <c r="AJ874" s="2">
        <v>0</v>
      </c>
      <c r="AK874" s="2">
        <v>0</v>
      </c>
      <c r="AL874" s="2">
        <v>0</v>
      </c>
      <c r="AM874" s="2">
        <v>15.79</v>
      </c>
      <c r="AN874" s="2">
        <v>15.79</v>
      </c>
      <c r="AO874" s="2">
        <v>0</v>
      </c>
      <c r="AP874" s="2">
        <v>0</v>
      </c>
      <c r="AQ874" s="2">
        <v>0</v>
      </c>
    </row>
    <row r="875" spans="1:43" x14ac:dyDescent="0.25">
      <c r="A875" s="1">
        <v>45936</v>
      </c>
      <c r="B875" t="s">
        <v>48</v>
      </c>
      <c r="C875">
        <v>649163</v>
      </c>
      <c r="D875">
        <v>2026488078</v>
      </c>
      <c r="E875" t="s">
        <v>1176</v>
      </c>
      <c r="F875" t="s">
        <v>1177</v>
      </c>
      <c r="G875" t="s">
        <v>51</v>
      </c>
      <c r="H875" t="s">
        <v>70</v>
      </c>
      <c r="I875" t="s">
        <v>350</v>
      </c>
      <c r="J875" t="s">
        <v>351</v>
      </c>
      <c r="K875">
        <v>728134</v>
      </c>
      <c r="L875" t="s">
        <v>352</v>
      </c>
      <c r="M875" t="s">
        <v>353</v>
      </c>
      <c r="N875" t="s">
        <v>57</v>
      </c>
      <c r="O875" s="1">
        <v>45689</v>
      </c>
      <c r="Q875" s="1">
        <v>45962</v>
      </c>
      <c r="R875" s="2">
        <v>33.590000000000003</v>
      </c>
      <c r="S875">
        <v>1</v>
      </c>
      <c r="T875" t="s">
        <v>58</v>
      </c>
      <c r="U875" t="s">
        <v>359</v>
      </c>
      <c r="V875" s="3">
        <v>0.47</v>
      </c>
      <c r="W875" s="2">
        <v>0</v>
      </c>
      <c r="X875">
        <v>0</v>
      </c>
      <c r="Y875" t="s">
        <v>60</v>
      </c>
      <c r="Z875" t="s">
        <v>360</v>
      </c>
      <c r="AA875">
        <v>0</v>
      </c>
      <c r="AB875" s="2">
        <v>0</v>
      </c>
      <c r="AC875" s="2">
        <v>0</v>
      </c>
      <c r="AD875" s="3">
        <v>0</v>
      </c>
      <c r="AE875" s="2">
        <v>0</v>
      </c>
      <c r="AF875" s="2">
        <v>0</v>
      </c>
      <c r="AG875" s="2">
        <v>0</v>
      </c>
      <c r="AH875" s="2">
        <v>0</v>
      </c>
      <c r="AI875" s="2">
        <v>0</v>
      </c>
      <c r="AJ875" s="2">
        <v>0</v>
      </c>
      <c r="AK875" s="2">
        <v>0</v>
      </c>
      <c r="AL875" s="2">
        <v>0</v>
      </c>
      <c r="AM875" s="2">
        <v>15.79</v>
      </c>
      <c r="AN875" s="2">
        <v>15.79</v>
      </c>
      <c r="AO875" s="2">
        <v>0</v>
      </c>
      <c r="AP875" s="2">
        <v>0</v>
      </c>
      <c r="AQ875" s="2">
        <v>0</v>
      </c>
    </row>
    <row r="876" spans="1:43" x14ac:dyDescent="0.25">
      <c r="A876" s="1">
        <v>45936</v>
      </c>
      <c r="B876" t="s">
        <v>48</v>
      </c>
      <c r="C876">
        <v>649163</v>
      </c>
      <c r="D876">
        <v>2026760350</v>
      </c>
      <c r="E876" t="s">
        <v>863</v>
      </c>
      <c r="F876" t="s">
        <v>1178</v>
      </c>
      <c r="G876" t="s">
        <v>51</v>
      </c>
      <c r="H876" t="s">
        <v>203</v>
      </c>
      <c r="I876" t="s">
        <v>350</v>
      </c>
      <c r="J876" t="s">
        <v>351</v>
      </c>
      <c r="K876">
        <v>816021</v>
      </c>
      <c r="L876" t="s">
        <v>265</v>
      </c>
      <c r="M876" t="s">
        <v>266</v>
      </c>
      <c r="N876" t="s">
        <v>57</v>
      </c>
      <c r="O876" s="1">
        <v>45689</v>
      </c>
      <c r="Q876" s="1">
        <v>45962</v>
      </c>
      <c r="R876" s="2">
        <v>76.209999999999994</v>
      </c>
      <c r="S876">
        <v>1</v>
      </c>
      <c r="T876" t="s">
        <v>58</v>
      </c>
      <c r="U876" t="s">
        <v>359</v>
      </c>
      <c r="V876" s="3">
        <v>0.47</v>
      </c>
      <c r="W876" s="2">
        <v>0</v>
      </c>
      <c r="X876">
        <v>0</v>
      </c>
      <c r="Y876" t="s">
        <v>60</v>
      </c>
      <c r="Z876" t="s">
        <v>360</v>
      </c>
      <c r="AA876">
        <v>0</v>
      </c>
      <c r="AB876" s="2">
        <v>0</v>
      </c>
      <c r="AC876" s="2">
        <v>0</v>
      </c>
      <c r="AD876" s="3">
        <v>0</v>
      </c>
      <c r="AE876" s="2">
        <v>0</v>
      </c>
      <c r="AF876" s="2">
        <v>0</v>
      </c>
      <c r="AG876" s="2">
        <v>0</v>
      </c>
      <c r="AH876" s="2">
        <v>0</v>
      </c>
      <c r="AI876" s="2">
        <v>0</v>
      </c>
      <c r="AJ876" s="2">
        <v>0</v>
      </c>
      <c r="AK876" s="2">
        <v>0</v>
      </c>
      <c r="AL876" s="2">
        <v>0</v>
      </c>
      <c r="AM876" s="2">
        <v>35.82</v>
      </c>
      <c r="AN876" s="2">
        <v>35.82</v>
      </c>
      <c r="AO876" s="2">
        <v>0</v>
      </c>
      <c r="AP876" s="2">
        <v>0</v>
      </c>
      <c r="AQ876" s="2">
        <v>0</v>
      </c>
    </row>
    <row r="877" spans="1:43" x14ac:dyDescent="0.25">
      <c r="A877" s="1">
        <v>45936</v>
      </c>
      <c r="B877" t="s">
        <v>48</v>
      </c>
      <c r="C877">
        <v>649163</v>
      </c>
      <c r="D877">
        <v>2027050882</v>
      </c>
      <c r="E877" t="s">
        <v>1179</v>
      </c>
      <c r="F877" t="s">
        <v>1180</v>
      </c>
      <c r="G877" t="s">
        <v>51</v>
      </c>
      <c r="H877" t="s">
        <v>70</v>
      </c>
      <c r="I877" t="s">
        <v>350</v>
      </c>
      <c r="J877" t="s">
        <v>351</v>
      </c>
      <c r="K877">
        <v>728134</v>
      </c>
      <c r="L877" t="s">
        <v>352</v>
      </c>
      <c r="M877" t="s">
        <v>353</v>
      </c>
      <c r="N877" t="s">
        <v>57</v>
      </c>
      <c r="O877" s="1">
        <v>45748</v>
      </c>
      <c r="Q877" s="1">
        <v>45962</v>
      </c>
      <c r="R877" s="2">
        <v>87.59</v>
      </c>
      <c r="S877">
        <v>1</v>
      </c>
      <c r="T877" t="s">
        <v>58</v>
      </c>
      <c r="U877" t="s">
        <v>359</v>
      </c>
      <c r="V877" s="3">
        <v>0.47</v>
      </c>
      <c r="W877" s="2">
        <v>0</v>
      </c>
      <c r="X877">
        <v>0</v>
      </c>
      <c r="Y877" t="s">
        <v>60</v>
      </c>
      <c r="Z877" t="s">
        <v>360</v>
      </c>
      <c r="AA877">
        <v>0</v>
      </c>
      <c r="AB877" s="2">
        <v>0</v>
      </c>
      <c r="AC877" s="2">
        <v>0</v>
      </c>
      <c r="AD877" s="3">
        <v>0</v>
      </c>
      <c r="AE877" s="2">
        <v>0</v>
      </c>
      <c r="AF877" s="2">
        <v>0</v>
      </c>
      <c r="AG877" s="2">
        <v>0</v>
      </c>
      <c r="AH877" s="2">
        <v>0</v>
      </c>
      <c r="AI877" s="2">
        <v>0</v>
      </c>
      <c r="AJ877" s="2">
        <v>0</v>
      </c>
      <c r="AK877" s="2">
        <v>0</v>
      </c>
      <c r="AL877" s="2">
        <v>0</v>
      </c>
      <c r="AM877" s="2">
        <v>41.17</v>
      </c>
      <c r="AN877" s="2">
        <v>41.17</v>
      </c>
      <c r="AO877" s="2">
        <v>0</v>
      </c>
      <c r="AP877" s="2">
        <v>0</v>
      </c>
      <c r="AQ877" s="2">
        <v>0</v>
      </c>
    </row>
    <row r="878" spans="1:43" x14ac:dyDescent="0.25">
      <c r="A878" s="1">
        <v>45936</v>
      </c>
      <c r="B878" t="s">
        <v>48</v>
      </c>
      <c r="C878">
        <v>649163</v>
      </c>
      <c r="D878">
        <v>2027085368</v>
      </c>
      <c r="E878" t="s">
        <v>1181</v>
      </c>
      <c r="F878" t="s">
        <v>901</v>
      </c>
      <c r="G878" t="s">
        <v>51</v>
      </c>
      <c r="H878" t="s">
        <v>101</v>
      </c>
      <c r="I878" t="s">
        <v>350</v>
      </c>
      <c r="J878" t="s">
        <v>1141</v>
      </c>
      <c r="K878">
        <v>768887</v>
      </c>
      <c r="L878" t="s">
        <v>490</v>
      </c>
      <c r="M878" t="s">
        <v>491</v>
      </c>
      <c r="N878" t="s">
        <v>57</v>
      </c>
      <c r="O878" s="1">
        <v>45717</v>
      </c>
      <c r="Q878" s="1">
        <v>45962</v>
      </c>
      <c r="R878" s="2">
        <v>68.599999999999994</v>
      </c>
      <c r="S878">
        <v>1</v>
      </c>
      <c r="T878" t="s">
        <v>58</v>
      </c>
      <c r="U878" t="s">
        <v>359</v>
      </c>
      <c r="V878" s="3">
        <v>0.51</v>
      </c>
      <c r="W878" s="2">
        <v>0</v>
      </c>
      <c r="X878">
        <v>0</v>
      </c>
      <c r="Y878" t="s">
        <v>60</v>
      </c>
      <c r="Z878" t="s">
        <v>360</v>
      </c>
      <c r="AA878">
        <v>0</v>
      </c>
      <c r="AB878" s="2">
        <v>0</v>
      </c>
      <c r="AC878" s="2">
        <v>0</v>
      </c>
      <c r="AD878" s="3">
        <v>0</v>
      </c>
      <c r="AE878" s="2">
        <v>0</v>
      </c>
      <c r="AF878" s="2">
        <v>0</v>
      </c>
      <c r="AG878" s="2">
        <v>0</v>
      </c>
      <c r="AH878" s="2">
        <v>0</v>
      </c>
      <c r="AI878" s="2">
        <v>0</v>
      </c>
      <c r="AJ878" s="2">
        <v>0</v>
      </c>
      <c r="AK878" s="2">
        <v>0</v>
      </c>
      <c r="AL878" s="2">
        <v>0</v>
      </c>
      <c r="AM878" s="2">
        <v>34.99</v>
      </c>
      <c r="AN878" s="2">
        <v>34.99</v>
      </c>
      <c r="AO878" s="2">
        <v>0</v>
      </c>
      <c r="AP878" s="2">
        <v>0</v>
      </c>
      <c r="AQ878" s="2">
        <v>0</v>
      </c>
    </row>
    <row r="879" spans="1:43" x14ac:dyDescent="0.25">
      <c r="A879" s="1">
        <v>45936</v>
      </c>
      <c r="B879" t="s">
        <v>48</v>
      </c>
      <c r="C879">
        <v>649163</v>
      </c>
      <c r="D879">
        <v>2027085369</v>
      </c>
      <c r="E879" t="s">
        <v>1181</v>
      </c>
      <c r="F879" t="s">
        <v>901</v>
      </c>
      <c r="G879" t="s">
        <v>51</v>
      </c>
      <c r="H879" t="s">
        <v>101</v>
      </c>
      <c r="I879" t="s">
        <v>350</v>
      </c>
      <c r="J879" t="s">
        <v>1142</v>
      </c>
      <c r="K879">
        <v>768887</v>
      </c>
      <c r="L879" t="s">
        <v>490</v>
      </c>
      <c r="M879" t="s">
        <v>491</v>
      </c>
      <c r="N879" t="s">
        <v>57</v>
      </c>
      <c r="O879" s="1">
        <v>45717</v>
      </c>
      <c r="Q879" s="1">
        <v>45962</v>
      </c>
      <c r="R879" s="2">
        <v>14.95</v>
      </c>
      <c r="S879">
        <v>1</v>
      </c>
      <c r="T879" t="s">
        <v>58</v>
      </c>
      <c r="U879" t="s">
        <v>359</v>
      </c>
      <c r="V879" s="3">
        <v>0.51</v>
      </c>
      <c r="W879" s="2">
        <v>0</v>
      </c>
      <c r="X879">
        <v>0</v>
      </c>
      <c r="Y879" t="s">
        <v>60</v>
      </c>
      <c r="Z879" t="s">
        <v>360</v>
      </c>
      <c r="AA879">
        <v>0</v>
      </c>
      <c r="AB879" s="2">
        <v>0</v>
      </c>
      <c r="AC879" s="2">
        <v>0</v>
      </c>
      <c r="AD879" s="3">
        <v>0</v>
      </c>
      <c r="AE879" s="2">
        <v>0</v>
      </c>
      <c r="AF879" s="2">
        <v>0</v>
      </c>
      <c r="AG879" s="2">
        <v>0</v>
      </c>
      <c r="AH879" s="2">
        <v>0</v>
      </c>
      <c r="AI879" s="2">
        <v>0</v>
      </c>
      <c r="AJ879" s="2">
        <v>0</v>
      </c>
      <c r="AK879" s="2">
        <v>0</v>
      </c>
      <c r="AL879" s="2">
        <v>0</v>
      </c>
      <c r="AM879" s="2">
        <v>7.62</v>
      </c>
      <c r="AN879" s="2">
        <v>7.62</v>
      </c>
      <c r="AO879" s="2">
        <v>0</v>
      </c>
      <c r="AP879" s="2">
        <v>0</v>
      </c>
      <c r="AQ879" s="2">
        <v>0</v>
      </c>
    </row>
    <row r="880" spans="1:43" x14ac:dyDescent="0.25">
      <c r="A880" s="1">
        <v>45936</v>
      </c>
      <c r="B880" t="s">
        <v>48</v>
      </c>
      <c r="C880">
        <v>649163</v>
      </c>
      <c r="D880">
        <v>2027085370</v>
      </c>
      <c r="E880" t="s">
        <v>1181</v>
      </c>
      <c r="F880" t="s">
        <v>901</v>
      </c>
      <c r="G880" t="s">
        <v>51</v>
      </c>
      <c r="H880" t="s">
        <v>101</v>
      </c>
      <c r="I880" t="s">
        <v>350</v>
      </c>
      <c r="J880" t="s">
        <v>351</v>
      </c>
      <c r="K880">
        <v>768887</v>
      </c>
      <c r="L880" t="s">
        <v>490</v>
      </c>
      <c r="M880" t="s">
        <v>491</v>
      </c>
      <c r="N880" t="s">
        <v>57</v>
      </c>
      <c r="O880" s="1">
        <v>45717</v>
      </c>
      <c r="Q880" s="1">
        <v>45962</v>
      </c>
      <c r="R880" s="2">
        <v>49.02</v>
      </c>
      <c r="S880">
        <v>1</v>
      </c>
      <c r="T880" t="s">
        <v>58</v>
      </c>
      <c r="U880" t="s">
        <v>359</v>
      </c>
      <c r="V880" s="3">
        <v>0.47</v>
      </c>
      <c r="W880" s="2">
        <v>0</v>
      </c>
      <c r="X880">
        <v>0</v>
      </c>
      <c r="Y880" t="s">
        <v>60</v>
      </c>
      <c r="Z880" t="s">
        <v>360</v>
      </c>
      <c r="AA880">
        <v>0</v>
      </c>
      <c r="AB880" s="2">
        <v>0</v>
      </c>
      <c r="AC880" s="2">
        <v>0</v>
      </c>
      <c r="AD880" s="3">
        <v>0</v>
      </c>
      <c r="AE880" s="2">
        <v>0</v>
      </c>
      <c r="AF880" s="2">
        <v>0</v>
      </c>
      <c r="AG880" s="2">
        <v>0</v>
      </c>
      <c r="AH880" s="2">
        <v>0</v>
      </c>
      <c r="AI880" s="2">
        <v>0</v>
      </c>
      <c r="AJ880" s="2">
        <v>0</v>
      </c>
      <c r="AK880" s="2">
        <v>0</v>
      </c>
      <c r="AL880" s="2">
        <v>0</v>
      </c>
      <c r="AM880" s="2">
        <v>23.04</v>
      </c>
      <c r="AN880" s="2">
        <v>23.04</v>
      </c>
      <c r="AO880" s="2">
        <v>0</v>
      </c>
      <c r="AP880" s="2">
        <v>0</v>
      </c>
      <c r="AQ880" s="2">
        <v>0</v>
      </c>
    </row>
    <row r="881" spans="1:43" x14ac:dyDescent="0.25">
      <c r="A881" s="1">
        <v>45936</v>
      </c>
      <c r="B881" t="s">
        <v>48</v>
      </c>
      <c r="C881">
        <v>649163</v>
      </c>
      <c r="D881">
        <v>2027175182</v>
      </c>
      <c r="E881" t="s">
        <v>1182</v>
      </c>
      <c r="F881" t="s">
        <v>569</v>
      </c>
      <c r="G881" t="s">
        <v>51</v>
      </c>
      <c r="H881" t="s">
        <v>70</v>
      </c>
      <c r="I881" t="s">
        <v>350</v>
      </c>
      <c r="J881" t="s">
        <v>351</v>
      </c>
      <c r="K881">
        <v>728134</v>
      </c>
      <c r="L881" t="s">
        <v>352</v>
      </c>
      <c r="M881" t="s">
        <v>353</v>
      </c>
      <c r="N881" t="s">
        <v>57</v>
      </c>
      <c r="O881" s="1">
        <v>45717</v>
      </c>
      <c r="Q881" s="1">
        <v>45962</v>
      </c>
      <c r="R881" s="2">
        <v>43.59</v>
      </c>
      <c r="S881">
        <v>1</v>
      </c>
      <c r="T881" t="s">
        <v>58</v>
      </c>
      <c r="U881" t="s">
        <v>359</v>
      </c>
      <c r="V881" s="3">
        <v>0.47</v>
      </c>
      <c r="W881" s="2">
        <v>0</v>
      </c>
      <c r="X881">
        <v>0</v>
      </c>
      <c r="Y881" t="s">
        <v>60</v>
      </c>
      <c r="Z881" t="s">
        <v>360</v>
      </c>
      <c r="AA881">
        <v>0</v>
      </c>
      <c r="AB881" s="2">
        <v>0</v>
      </c>
      <c r="AC881" s="2">
        <v>0</v>
      </c>
      <c r="AD881" s="3">
        <v>0</v>
      </c>
      <c r="AE881" s="2">
        <v>0</v>
      </c>
      <c r="AF881" s="2">
        <v>0</v>
      </c>
      <c r="AG881" s="2">
        <v>0</v>
      </c>
      <c r="AH881" s="2">
        <v>0</v>
      </c>
      <c r="AI881" s="2">
        <v>0</v>
      </c>
      <c r="AJ881" s="2">
        <v>0</v>
      </c>
      <c r="AK881" s="2">
        <v>0</v>
      </c>
      <c r="AL881" s="2">
        <v>0</v>
      </c>
      <c r="AM881" s="2">
        <v>20.49</v>
      </c>
      <c r="AN881" s="2">
        <v>20.49</v>
      </c>
      <c r="AO881" s="2">
        <v>0</v>
      </c>
      <c r="AP881" s="2">
        <v>0</v>
      </c>
      <c r="AQ881" s="2">
        <v>0</v>
      </c>
    </row>
    <row r="882" spans="1:43" x14ac:dyDescent="0.25">
      <c r="A882" s="1">
        <v>45936</v>
      </c>
      <c r="B882" t="s">
        <v>48</v>
      </c>
      <c r="C882">
        <v>649163</v>
      </c>
      <c r="D882">
        <v>2027202668</v>
      </c>
      <c r="E882" t="s">
        <v>1183</v>
      </c>
      <c r="F882" t="s">
        <v>920</v>
      </c>
      <c r="G882" t="s">
        <v>51</v>
      </c>
      <c r="H882" t="s">
        <v>70</v>
      </c>
      <c r="I882" t="s">
        <v>350</v>
      </c>
      <c r="J882" t="s">
        <v>351</v>
      </c>
      <c r="K882">
        <v>728134</v>
      </c>
      <c r="L882" t="s">
        <v>352</v>
      </c>
      <c r="M882" t="s">
        <v>353</v>
      </c>
      <c r="N882" t="s">
        <v>57</v>
      </c>
      <c r="O882" s="1">
        <v>45778</v>
      </c>
      <c r="Q882" s="1">
        <v>45962</v>
      </c>
      <c r="R882" s="2">
        <v>56.88</v>
      </c>
      <c r="S882">
        <v>1</v>
      </c>
      <c r="T882" t="s">
        <v>58</v>
      </c>
      <c r="U882" t="s">
        <v>359</v>
      </c>
      <c r="V882" s="3">
        <v>0.47</v>
      </c>
      <c r="W882" s="2">
        <v>0</v>
      </c>
      <c r="X882">
        <v>0</v>
      </c>
      <c r="Y882" t="s">
        <v>60</v>
      </c>
      <c r="Z882" t="s">
        <v>360</v>
      </c>
      <c r="AA882">
        <v>0</v>
      </c>
      <c r="AB882" s="2">
        <v>0</v>
      </c>
      <c r="AC882" s="2">
        <v>0</v>
      </c>
      <c r="AD882" s="3">
        <v>0</v>
      </c>
      <c r="AE882" s="2">
        <v>0</v>
      </c>
      <c r="AF882" s="2">
        <v>0</v>
      </c>
      <c r="AG882" s="2">
        <v>0</v>
      </c>
      <c r="AH882" s="2">
        <v>0</v>
      </c>
      <c r="AI882" s="2">
        <v>0</v>
      </c>
      <c r="AJ882" s="2">
        <v>0</v>
      </c>
      <c r="AK882" s="2">
        <v>0</v>
      </c>
      <c r="AL882" s="2">
        <v>0</v>
      </c>
      <c r="AM882" s="2">
        <v>26.73</v>
      </c>
      <c r="AN882" s="2">
        <v>26.73</v>
      </c>
      <c r="AO882" s="2">
        <v>0</v>
      </c>
      <c r="AP882" s="2">
        <v>0</v>
      </c>
      <c r="AQ882" s="2">
        <v>0</v>
      </c>
    </row>
    <row r="883" spans="1:43" x14ac:dyDescent="0.25">
      <c r="A883" s="1">
        <v>45936</v>
      </c>
      <c r="B883" t="s">
        <v>48</v>
      </c>
      <c r="C883">
        <v>649163</v>
      </c>
      <c r="D883">
        <v>2027492023</v>
      </c>
      <c r="E883" t="s">
        <v>1092</v>
      </c>
      <c r="F883" t="s">
        <v>1011</v>
      </c>
      <c r="G883" t="s">
        <v>51</v>
      </c>
      <c r="H883" t="s">
        <v>101</v>
      </c>
      <c r="I883" t="s">
        <v>350</v>
      </c>
      <c r="J883" t="s">
        <v>1141</v>
      </c>
      <c r="K883">
        <v>814033</v>
      </c>
      <c r="L883" t="s">
        <v>256</v>
      </c>
      <c r="M883" t="s">
        <v>165</v>
      </c>
      <c r="N883" t="s">
        <v>57</v>
      </c>
      <c r="O883" s="1">
        <v>45717</v>
      </c>
      <c r="Q883" s="1">
        <v>45962</v>
      </c>
      <c r="R883" s="2">
        <v>52.26</v>
      </c>
      <c r="S883">
        <v>1</v>
      </c>
      <c r="T883" t="s">
        <v>58</v>
      </c>
      <c r="U883" t="s">
        <v>359</v>
      </c>
      <c r="V883" s="3">
        <v>0.51</v>
      </c>
      <c r="W883" s="2">
        <v>0</v>
      </c>
      <c r="X883">
        <v>0</v>
      </c>
      <c r="Y883" t="s">
        <v>60</v>
      </c>
      <c r="Z883" t="s">
        <v>360</v>
      </c>
      <c r="AA883">
        <v>0</v>
      </c>
      <c r="AB883" s="2">
        <v>0</v>
      </c>
      <c r="AC883" s="2">
        <v>0</v>
      </c>
      <c r="AD883" s="3">
        <v>0</v>
      </c>
      <c r="AE883" s="2">
        <v>0</v>
      </c>
      <c r="AF883" s="2">
        <v>0</v>
      </c>
      <c r="AG883" s="2">
        <v>0</v>
      </c>
      <c r="AH883" s="2">
        <v>0</v>
      </c>
      <c r="AI883" s="2">
        <v>0</v>
      </c>
      <c r="AJ883" s="2">
        <v>0</v>
      </c>
      <c r="AK883" s="2">
        <v>0</v>
      </c>
      <c r="AL883" s="2">
        <v>0</v>
      </c>
      <c r="AM883" s="2">
        <v>26.65</v>
      </c>
      <c r="AN883" s="2">
        <v>26.65</v>
      </c>
      <c r="AO883" s="2">
        <v>0</v>
      </c>
      <c r="AP883" s="2">
        <v>0</v>
      </c>
      <c r="AQ883" s="2">
        <v>0</v>
      </c>
    </row>
    <row r="884" spans="1:43" x14ac:dyDescent="0.25">
      <c r="A884" s="1">
        <v>45936</v>
      </c>
      <c r="B884" t="s">
        <v>48</v>
      </c>
      <c r="C884">
        <v>649163</v>
      </c>
      <c r="D884">
        <v>2027492024</v>
      </c>
      <c r="E884" t="s">
        <v>1092</v>
      </c>
      <c r="F884" t="s">
        <v>1011</v>
      </c>
      <c r="G884" t="s">
        <v>51</v>
      </c>
      <c r="H884" t="s">
        <v>101</v>
      </c>
      <c r="I884" t="s">
        <v>350</v>
      </c>
      <c r="J884" t="s">
        <v>1142</v>
      </c>
      <c r="K884">
        <v>814033</v>
      </c>
      <c r="L884" t="s">
        <v>256</v>
      </c>
      <c r="M884" t="s">
        <v>165</v>
      </c>
      <c r="N884" t="s">
        <v>57</v>
      </c>
      <c r="O884" s="1">
        <v>45717</v>
      </c>
      <c r="Q884" s="1">
        <v>45962</v>
      </c>
      <c r="R884" s="2">
        <v>14.95</v>
      </c>
      <c r="S884">
        <v>1</v>
      </c>
      <c r="T884" t="s">
        <v>58</v>
      </c>
      <c r="U884" t="s">
        <v>359</v>
      </c>
      <c r="V884" s="3">
        <v>0.51</v>
      </c>
      <c r="W884" s="2">
        <v>0</v>
      </c>
      <c r="X884">
        <v>0</v>
      </c>
      <c r="Y884" t="s">
        <v>60</v>
      </c>
      <c r="Z884" t="s">
        <v>360</v>
      </c>
      <c r="AA884">
        <v>0</v>
      </c>
      <c r="AB884" s="2">
        <v>0</v>
      </c>
      <c r="AC884" s="2">
        <v>0</v>
      </c>
      <c r="AD884" s="3">
        <v>0</v>
      </c>
      <c r="AE884" s="2">
        <v>0</v>
      </c>
      <c r="AF884" s="2">
        <v>0</v>
      </c>
      <c r="AG884" s="2">
        <v>0</v>
      </c>
      <c r="AH884" s="2">
        <v>0</v>
      </c>
      <c r="AI884" s="2">
        <v>0</v>
      </c>
      <c r="AJ884" s="2">
        <v>0</v>
      </c>
      <c r="AK884" s="2">
        <v>0</v>
      </c>
      <c r="AL884" s="2">
        <v>0</v>
      </c>
      <c r="AM884" s="2">
        <v>7.62</v>
      </c>
      <c r="AN884" s="2">
        <v>7.62</v>
      </c>
      <c r="AO884" s="2">
        <v>0</v>
      </c>
      <c r="AP884" s="2">
        <v>0</v>
      </c>
      <c r="AQ884" s="2">
        <v>0</v>
      </c>
    </row>
    <row r="885" spans="1:43" x14ac:dyDescent="0.25">
      <c r="A885" s="1">
        <v>45936</v>
      </c>
      <c r="B885" t="s">
        <v>48</v>
      </c>
      <c r="C885">
        <v>649163</v>
      </c>
      <c r="D885">
        <v>2027712448</v>
      </c>
      <c r="E885" t="s">
        <v>520</v>
      </c>
      <c r="F885" t="s">
        <v>482</v>
      </c>
      <c r="G885" t="s">
        <v>51</v>
      </c>
      <c r="H885" t="s">
        <v>101</v>
      </c>
      <c r="I885" t="s">
        <v>350</v>
      </c>
      <c r="J885" t="s">
        <v>351</v>
      </c>
      <c r="K885">
        <v>768887</v>
      </c>
      <c r="L885" t="s">
        <v>490</v>
      </c>
      <c r="M885" t="s">
        <v>491</v>
      </c>
      <c r="N885" t="s">
        <v>57</v>
      </c>
      <c r="O885" s="1">
        <v>45748</v>
      </c>
      <c r="Q885" s="1">
        <v>45962</v>
      </c>
      <c r="R885" s="2">
        <v>126.91</v>
      </c>
      <c r="S885">
        <v>1</v>
      </c>
      <c r="T885" t="s">
        <v>58</v>
      </c>
      <c r="U885" t="s">
        <v>359</v>
      </c>
      <c r="V885" s="3">
        <v>0.47</v>
      </c>
      <c r="W885" s="2">
        <v>0</v>
      </c>
      <c r="X885">
        <v>0</v>
      </c>
      <c r="Y885" t="s">
        <v>60</v>
      </c>
      <c r="Z885" t="s">
        <v>360</v>
      </c>
      <c r="AA885">
        <v>0</v>
      </c>
      <c r="AB885" s="2">
        <v>0</v>
      </c>
      <c r="AC885" s="2">
        <v>0</v>
      </c>
      <c r="AD885" s="3">
        <v>0</v>
      </c>
      <c r="AE885" s="2">
        <v>0</v>
      </c>
      <c r="AF885" s="2">
        <v>0</v>
      </c>
      <c r="AG885" s="2">
        <v>0</v>
      </c>
      <c r="AH885" s="2">
        <v>0</v>
      </c>
      <c r="AI885" s="2">
        <v>0</v>
      </c>
      <c r="AJ885" s="2">
        <v>0</v>
      </c>
      <c r="AK885" s="2">
        <v>0</v>
      </c>
      <c r="AL885" s="2">
        <v>0</v>
      </c>
      <c r="AM885" s="2">
        <v>59.65</v>
      </c>
      <c r="AN885" s="2">
        <v>59.65</v>
      </c>
      <c r="AO885" s="2">
        <v>0</v>
      </c>
      <c r="AP885" s="2">
        <v>0</v>
      </c>
      <c r="AQ885" s="2">
        <v>0</v>
      </c>
    </row>
    <row r="886" spans="1:43" x14ac:dyDescent="0.25">
      <c r="A886" s="1">
        <v>45936</v>
      </c>
      <c r="B886" t="s">
        <v>48</v>
      </c>
      <c r="C886">
        <v>649163</v>
      </c>
      <c r="D886">
        <v>2027922861</v>
      </c>
      <c r="E886" t="s">
        <v>523</v>
      </c>
      <c r="F886" t="s">
        <v>220</v>
      </c>
      <c r="G886" t="s">
        <v>51</v>
      </c>
      <c r="H886" t="s">
        <v>101</v>
      </c>
      <c r="I886" t="s">
        <v>350</v>
      </c>
      <c r="J886" t="s">
        <v>351</v>
      </c>
      <c r="K886">
        <v>768887</v>
      </c>
      <c r="L886" t="s">
        <v>490</v>
      </c>
      <c r="M886" t="s">
        <v>491</v>
      </c>
      <c r="N886" t="s">
        <v>57</v>
      </c>
      <c r="O886" s="1">
        <v>45748</v>
      </c>
      <c r="Q886" s="1">
        <v>45962</v>
      </c>
      <c r="R886" s="2">
        <v>112.33</v>
      </c>
      <c r="S886">
        <v>1</v>
      </c>
      <c r="T886" t="s">
        <v>58</v>
      </c>
      <c r="U886" t="s">
        <v>359</v>
      </c>
      <c r="V886" s="3">
        <v>0.47</v>
      </c>
      <c r="W886" s="2">
        <v>0</v>
      </c>
      <c r="X886">
        <v>0</v>
      </c>
      <c r="Y886" t="s">
        <v>60</v>
      </c>
      <c r="Z886" t="s">
        <v>360</v>
      </c>
      <c r="AA886">
        <v>0</v>
      </c>
      <c r="AB886" s="2">
        <v>0</v>
      </c>
      <c r="AC886" s="2">
        <v>0</v>
      </c>
      <c r="AD886" s="3">
        <v>0</v>
      </c>
      <c r="AE886" s="2">
        <v>0</v>
      </c>
      <c r="AF886" s="2">
        <v>0</v>
      </c>
      <c r="AG886" s="2">
        <v>0</v>
      </c>
      <c r="AH886" s="2">
        <v>0</v>
      </c>
      <c r="AI886" s="2">
        <v>0</v>
      </c>
      <c r="AJ886" s="2">
        <v>0</v>
      </c>
      <c r="AK886" s="2">
        <v>0</v>
      </c>
      <c r="AL886" s="2">
        <v>0</v>
      </c>
      <c r="AM886" s="2">
        <v>52.8</v>
      </c>
      <c r="AN886" s="2">
        <v>52.8</v>
      </c>
      <c r="AO886" s="2">
        <v>0</v>
      </c>
      <c r="AP886" s="2">
        <v>0</v>
      </c>
      <c r="AQ886" s="2">
        <v>0</v>
      </c>
    </row>
    <row r="887" spans="1:43" x14ac:dyDescent="0.25">
      <c r="A887" s="1">
        <v>45936</v>
      </c>
      <c r="B887" t="s">
        <v>48</v>
      </c>
      <c r="C887">
        <v>649163</v>
      </c>
      <c r="D887">
        <v>2028025304</v>
      </c>
      <c r="E887" t="s">
        <v>962</v>
      </c>
      <c r="F887" t="s">
        <v>1178</v>
      </c>
      <c r="G887" t="s">
        <v>51</v>
      </c>
      <c r="H887" t="s">
        <v>101</v>
      </c>
      <c r="I887" t="s">
        <v>350</v>
      </c>
      <c r="J887" t="s">
        <v>1141</v>
      </c>
      <c r="K887">
        <v>814033</v>
      </c>
      <c r="L887" t="s">
        <v>256</v>
      </c>
      <c r="M887" t="s">
        <v>165</v>
      </c>
      <c r="N887" t="s">
        <v>57</v>
      </c>
      <c r="O887" s="1">
        <v>45748</v>
      </c>
      <c r="Q887" s="1">
        <v>45962</v>
      </c>
      <c r="R887" s="2">
        <v>104.53</v>
      </c>
      <c r="S887">
        <v>1</v>
      </c>
      <c r="T887" t="s">
        <v>58</v>
      </c>
      <c r="U887" t="s">
        <v>359</v>
      </c>
      <c r="V887" s="3">
        <v>0.51</v>
      </c>
      <c r="W887" s="2">
        <v>0</v>
      </c>
      <c r="X887">
        <v>0</v>
      </c>
      <c r="Y887" t="s">
        <v>60</v>
      </c>
      <c r="Z887" t="s">
        <v>360</v>
      </c>
      <c r="AA887">
        <v>0</v>
      </c>
      <c r="AB887" s="2">
        <v>0</v>
      </c>
      <c r="AC887" s="2">
        <v>0</v>
      </c>
      <c r="AD887" s="3">
        <v>0</v>
      </c>
      <c r="AE887" s="2">
        <v>0</v>
      </c>
      <c r="AF887" s="2">
        <v>0</v>
      </c>
      <c r="AG887" s="2">
        <v>0</v>
      </c>
      <c r="AH887" s="2">
        <v>0</v>
      </c>
      <c r="AI887" s="2">
        <v>0</v>
      </c>
      <c r="AJ887" s="2">
        <v>0</v>
      </c>
      <c r="AK887" s="2">
        <v>0</v>
      </c>
      <c r="AL887" s="2">
        <v>0</v>
      </c>
      <c r="AM887" s="2">
        <v>53.31</v>
      </c>
      <c r="AN887" s="2">
        <v>53.31</v>
      </c>
      <c r="AO887" s="2">
        <v>0</v>
      </c>
      <c r="AP887" s="2">
        <v>0</v>
      </c>
      <c r="AQ887" s="2">
        <v>0</v>
      </c>
    </row>
    <row r="888" spans="1:43" x14ac:dyDescent="0.25">
      <c r="A888" s="1">
        <v>45936</v>
      </c>
      <c r="B888" t="s">
        <v>48</v>
      </c>
      <c r="C888">
        <v>649163</v>
      </c>
      <c r="D888">
        <v>2028025305</v>
      </c>
      <c r="E888" t="s">
        <v>962</v>
      </c>
      <c r="F888" t="s">
        <v>1178</v>
      </c>
      <c r="G888" t="s">
        <v>51</v>
      </c>
      <c r="H888" t="s">
        <v>101</v>
      </c>
      <c r="I888" t="s">
        <v>350</v>
      </c>
      <c r="J888" t="s">
        <v>1142</v>
      </c>
      <c r="K888">
        <v>814033</v>
      </c>
      <c r="L888" t="s">
        <v>256</v>
      </c>
      <c r="M888" t="s">
        <v>165</v>
      </c>
      <c r="N888" t="s">
        <v>57</v>
      </c>
      <c r="O888" s="1">
        <v>45748</v>
      </c>
      <c r="Q888" s="1">
        <v>45962</v>
      </c>
      <c r="R888" s="2">
        <v>14.95</v>
      </c>
      <c r="S888">
        <v>1</v>
      </c>
      <c r="T888" t="s">
        <v>58</v>
      </c>
      <c r="U888" t="s">
        <v>359</v>
      </c>
      <c r="V888" s="3">
        <v>0.51</v>
      </c>
      <c r="W888" s="2">
        <v>0</v>
      </c>
      <c r="X888">
        <v>0</v>
      </c>
      <c r="Y888" t="s">
        <v>60</v>
      </c>
      <c r="Z888" t="s">
        <v>360</v>
      </c>
      <c r="AA888">
        <v>0</v>
      </c>
      <c r="AB888" s="2">
        <v>0</v>
      </c>
      <c r="AC888" s="2">
        <v>0</v>
      </c>
      <c r="AD888" s="3">
        <v>0</v>
      </c>
      <c r="AE888" s="2">
        <v>0</v>
      </c>
      <c r="AF888" s="2">
        <v>0</v>
      </c>
      <c r="AG888" s="2">
        <v>0</v>
      </c>
      <c r="AH888" s="2">
        <v>0</v>
      </c>
      <c r="AI888" s="2">
        <v>0</v>
      </c>
      <c r="AJ888" s="2">
        <v>0</v>
      </c>
      <c r="AK888" s="2">
        <v>0</v>
      </c>
      <c r="AL888" s="2">
        <v>0</v>
      </c>
      <c r="AM888" s="2">
        <v>7.62</v>
      </c>
      <c r="AN888" s="2">
        <v>7.62</v>
      </c>
      <c r="AO888" s="2">
        <v>0</v>
      </c>
      <c r="AP888" s="2">
        <v>0</v>
      </c>
      <c r="AQ888" s="2">
        <v>0</v>
      </c>
    </row>
    <row r="889" spans="1:43" x14ac:dyDescent="0.25">
      <c r="A889" s="1">
        <v>45936</v>
      </c>
      <c r="B889" t="s">
        <v>48</v>
      </c>
      <c r="C889">
        <v>649163</v>
      </c>
      <c r="D889">
        <v>2028038680</v>
      </c>
      <c r="E889" t="s">
        <v>1184</v>
      </c>
      <c r="F889" t="s">
        <v>224</v>
      </c>
      <c r="G889" t="s">
        <v>51</v>
      </c>
      <c r="H889" t="s">
        <v>70</v>
      </c>
      <c r="I889" t="s">
        <v>350</v>
      </c>
      <c r="J889" t="s">
        <v>351</v>
      </c>
      <c r="K889">
        <v>728134</v>
      </c>
      <c r="L889" t="s">
        <v>352</v>
      </c>
      <c r="M889" t="s">
        <v>353</v>
      </c>
      <c r="N889" t="s">
        <v>57</v>
      </c>
      <c r="O889" s="1">
        <v>45748</v>
      </c>
      <c r="Q889" s="1">
        <v>45962</v>
      </c>
      <c r="R889" s="2">
        <v>69.31</v>
      </c>
      <c r="S889">
        <v>1</v>
      </c>
      <c r="T889" t="s">
        <v>58</v>
      </c>
      <c r="U889" t="s">
        <v>359</v>
      </c>
      <c r="V889" s="3">
        <v>0.47</v>
      </c>
      <c r="W889" s="2">
        <v>0</v>
      </c>
      <c r="X889">
        <v>0</v>
      </c>
      <c r="Y889" t="s">
        <v>60</v>
      </c>
      <c r="Z889" t="s">
        <v>360</v>
      </c>
      <c r="AA889">
        <v>0</v>
      </c>
      <c r="AB889" s="2">
        <v>0</v>
      </c>
      <c r="AC889" s="2">
        <v>0</v>
      </c>
      <c r="AD889" s="3">
        <v>0</v>
      </c>
      <c r="AE889" s="2">
        <v>0</v>
      </c>
      <c r="AF889" s="2">
        <v>0</v>
      </c>
      <c r="AG889" s="2">
        <v>0</v>
      </c>
      <c r="AH889" s="2">
        <v>0</v>
      </c>
      <c r="AI889" s="2">
        <v>0</v>
      </c>
      <c r="AJ889" s="2">
        <v>0</v>
      </c>
      <c r="AK889" s="2">
        <v>0</v>
      </c>
      <c r="AL889" s="2">
        <v>0</v>
      </c>
      <c r="AM889" s="2">
        <v>32.58</v>
      </c>
      <c r="AN889" s="2">
        <v>32.58</v>
      </c>
      <c r="AO889" s="2">
        <v>0</v>
      </c>
      <c r="AP889" s="2">
        <v>0</v>
      </c>
      <c r="AQ889" s="2">
        <v>0</v>
      </c>
    </row>
    <row r="890" spans="1:43" x14ac:dyDescent="0.25">
      <c r="A890" s="1">
        <v>45936</v>
      </c>
      <c r="B890" t="s">
        <v>48</v>
      </c>
      <c r="C890">
        <v>649163</v>
      </c>
      <c r="D890">
        <v>2028067361</v>
      </c>
      <c r="E890" t="s">
        <v>1151</v>
      </c>
      <c r="F890" t="s">
        <v>507</v>
      </c>
      <c r="G890" t="s">
        <v>51</v>
      </c>
      <c r="H890" t="s">
        <v>70</v>
      </c>
      <c r="I890" t="s">
        <v>350</v>
      </c>
      <c r="J890" t="s">
        <v>351</v>
      </c>
      <c r="K890">
        <v>728134</v>
      </c>
      <c r="L890" t="s">
        <v>352</v>
      </c>
      <c r="M890" t="s">
        <v>353</v>
      </c>
      <c r="N890" t="s">
        <v>57</v>
      </c>
      <c r="O890" s="1">
        <v>45748</v>
      </c>
      <c r="Q890" s="1">
        <v>45962</v>
      </c>
      <c r="R890" s="2">
        <v>87.59</v>
      </c>
      <c r="S890">
        <v>1</v>
      </c>
      <c r="T890" t="s">
        <v>58</v>
      </c>
      <c r="U890" t="s">
        <v>359</v>
      </c>
      <c r="V890" s="3">
        <v>0.47</v>
      </c>
      <c r="W890" s="2">
        <v>0</v>
      </c>
      <c r="X890">
        <v>0</v>
      </c>
      <c r="Y890" t="s">
        <v>60</v>
      </c>
      <c r="Z890" t="s">
        <v>360</v>
      </c>
      <c r="AA890">
        <v>0</v>
      </c>
      <c r="AB890" s="2">
        <v>0</v>
      </c>
      <c r="AC890" s="2">
        <v>0</v>
      </c>
      <c r="AD890" s="3">
        <v>0</v>
      </c>
      <c r="AE890" s="2">
        <v>0</v>
      </c>
      <c r="AF890" s="2">
        <v>0</v>
      </c>
      <c r="AG890" s="2">
        <v>0</v>
      </c>
      <c r="AH890" s="2">
        <v>0</v>
      </c>
      <c r="AI890" s="2">
        <v>0</v>
      </c>
      <c r="AJ890" s="2">
        <v>0</v>
      </c>
      <c r="AK890" s="2">
        <v>0</v>
      </c>
      <c r="AL890" s="2">
        <v>0</v>
      </c>
      <c r="AM890" s="2">
        <v>41.17</v>
      </c>
      <c r="AN890" s="2">
        <v>41.17</v>
      </c>
      <c r="AO890" s="2">
        <v>0</v>
      </c>
      <c r="AP890" s="2">
        <v>0</v>
      </c>
      <c r="AQ890" s="2">
        <v>0</v>
      </c>
    </row>
    <row r="891" spans="1:43" x14ac:dyDescent="0.25">
      <c r="A891" s="1">
        <v>45936</v>
      </c>
      <c r="B891" t="s">
        <v>48</v>
      </c>
      <c r="C891">
        <v>649163</v>
      </c>
      <c r="D891">
        <v>2028132283</v>
      </c>
      <c r="E891" t="s">
        <v>1185</v>
      </c>
      <c r="F891" t="s">
        <v>959</v>
      </c>
      <c r="G891" t="s">
        <v>51</v>
      </c>
      <c r="H891" t="s">
        <v>247</v>
      </c>
      <c r="I891" t="s">
        <v>350</v>
      </c>
      <c r="J891" t="s">
        <v>351</v>
      </c>
      <c r="K891">
        <v>728134</v>
      </c>
      <c r="L891" t="s">
        <v>352</v>
      </c>
      <c r="M891" t="s">
        <v>353</v>
      </c>
      <c r="N891" t="s">
        <v>57</v>
      </c>
      <c r="O891" s="1">
        <v>45748</v>
      </c>
      <c r="Q891" s="1">
        <v>45962</v>
      </c>
      <c r="R891" s="2">
        <v>36.119999999999997</v>
      </c>
      <c r="S891">
        <v>1</v>
      </c>
      <c r="T891" t="s">
        <v>58</v>
      </c>
      <c r="U891" t="s">
        <v>359</v>
      </c>
      <c r="V891" s="3">
        <v>0.47</v>
      </c>
      <c r="W891" s="2">
        <v>0</v>
      </c>
      <c r="X891">
        <v>0</v>
      </c>
      <c r="Y891" t="s">
        <v>60</v>
      </c>
      <c r="Z891" t="s">
        <v>360</v>
      </c>
      <c r="AA891">
        <v>0</v>
      </c>
      <c r="AB891" s="2">
        <v>0</v>
      </c>
      <c r="AC891" s="2">
        <v>0</v>
      </c>
      <c r="AD891" s="3">
        <v>0</v>
      </c>
      <c r="AE891" s="2">
        <v>0</v>
      </c>
      <c r="AF891" s="2">
        <v>0</v>
      </c>
      <c r="AG891" s="2">
        <v>0</v>
      </c>
      <c r="AH891" s="2">
        <v>0</v>
      </c>
      <c r="AI891" s="2">
        <v>0</v>
      </c>
      <c r="AJ891" s="2">
        <v>0</v>
      </c>
      <c r="AK891" s="2">
        <v>0</v>
      </c>
      <c r="AL891" s="2">
        <v>0</v>
      </c>
      <c r="AM891" s="2">
        <v>16.98</v>
      </c>
      <c r="AN891" s="2">
        <v>16.98</v>
      </c>
      <c r="AO891" s="2">
        <v>0</v>
      </c>
      <c r="AP891" s="2">
        <v>0</v>
      </c>
      <c r="AQ891" s="2">
        <v>0</v>
      </c>
    </row>
    <row r="892" spans="1:43" x14ac:dyDescent="0.25">
      <c r="A892" s="1">
        <v>45936</v>
      </c>
      <c r="B892" t="s">
        <v>48</v>
      </c>
      <c r="C892">
        <v>649163</v>
      </c>
      <c r="D892">
        <v>2028421977</v>
      </c>
      <c r="E892" t="s">
        <v>1186</v>
      </c>
      <c r="F892" t="s">
        <v>600</v>
      </c>
      <c r="G892" t="s">
        <v>51</v>
      </c>
      <c r="H892" t="s">
        <v>101</v>
      </c>
      <c r="I892" t="s">
        <v>350</v>
      </c>
      <c r="J892" t="s">
        <v>351</v>
      </c>
      <c r="K892">
        <v>824062</v>
      </c>
      <c r="L892" t="s">
        <v>273</v>
      </c>
      <c r="M892" t="s">
        <v>274</v>
      </c>
      <c r="N892" t="s">
        <v>57</v>
      </c>
      <c r="O892" s="1">
        <v>45778</v>
      </c>
      <c r="Q892" s="1">
        <v>45962</v>
      </c>
      <c r="R892" s="2">
        <v>73.39</v>
      </c>
      <c r="S892">
        <v>1</v>
      </c>
      <c r="T892" t="s">
        <v>58</v>
      </c>
      <c r="U892" t="s">
        <v>359</v>
      </c>
      <c r="V892" s="3">
        <v>0.47</v>
      </c>
      <c r="W892" s="2">
        <v>0</v>
      </c>
      <c r="X892">
        <v>0</v>
      </c>
      <c r="Y892" t="s">
        <v>60</v>
      </c>
      <c r="Z892" t="s">
        <v>360</v>
      </c>
      <c r="AA892">
        <v>0</v>
      </c>
      <c r="AB892" s="2">
        <v>0</v>
      </c>
      <c r="AC892" s="2">
        <v>0</v>
      </c>
      <c r="AD892" s="3">
        <v>0</v>
      </c>
      <c r="AE892" s="2">
        <v>0</v>
      </c>
      <c r="AF892" s="2">
        <v>0</v>
      </c>
      <c r="AG892" s="2">
        <v>0</v>
      </c>
      <c r="AH892" s="2">
        <v>0</v>
      </c>
      <c r="AI892" s="2">
        <v>0</v>
      </c>
      <c r="AJ892" s="2">
        <v>0</v>
      </c>
      <c r="AK892" s="2">
        <v>0</v>
      </c>
      <c r="AL892" s="2">
        <v>0</v>
      </c>
      <c r="AM892" s="2">
        <v>34.49</v>
      </c>
      <c r="AN892" s="2">
        <v>34.49</v>
      </c>
      <c r="AO892" s="2">
        <v>0</v>
      </c>
      <c r="AP892" s="2">
        <v>0</v>
      </c>
      <c r="AQ892" s="2">
        <v>0</v>
      </c>
    </row>
    <row r="893" spans="1:43" x14ac:dyDescent="0.25">
      <c r="A893" s="1">
        <v>45936</v>
      </c>
      <c r="B893" t="s">
        <v>48</v>
      </c>
      <c r="C893">
        <v>649163</v>
      </c>
      <c r="D893">
        <v>2028813509</v>
      </c>
      <c r="E893" t="s">
        <v>284</v>
      </c>
      <c r="F893" t="s">
        <v>1187</v>
      </c>
      <c r="G893" t="s">
        <v>51</v>
      </c>
      <c r="H893" t="s">
        <v>70</v>
      </c>
      <c r="I893" t="s">
        <v>350</v>
      </c>
      <c r="J893" t="s">
        <v>351</v>
      </c>
      <c r="K893">
        <v>649247</v>
      </c>
      <c r="L893" t="s">
        <v>75</v>
      </c>
      <c r="M893" t="s">
        <v>76</v>
      </c>
      <c r="N893" t="s">
        <v>57</v>
      </c>
      <c r="O893" s="1">
        <v>45839</v>
      </c>
      <c r="Q893" s="1">
        <v>45962</v>
      </c>
      <c r="R893" s="2">
        <v>368.7</v>
      </c>
      <c r="S893">
        <v>1</v>
      </c>
      <c r="T893" t="s">
        <v>58</v>
      </c>
      <c r="U893" t="s">
        <v>359</v>
      </c>
      <c r="V893" s="3">
        <v>0.47</v>
      </c>
      <c r="W893" s="2">
        <v>0</v>
      </c>
      <c r="X893">
        <v>0</v>
      </c>
      <c r="Y893" t="s">
        <v>60</v>
      </c>
      <c r="Z893" t="s">
        <v>360</v>
      </c>
      <c r="AA893">
        <v>0</v>
      </c>
      <c r="AB893" s="2">
        <v>0</v>
      </c>
      <c r="AC893" s="2">
        <v>0</v>
      </c>
      <c r="AD893" s="3">
        <v>0</v>
      </c>
      <c r="AE893" s="2">
        <v>0</v>
      </c>
      <c r="AF893" s="2">
        <v>0</v>
      </c>
      <c r="AG893" s="2">
        <v>0</v>
      </c>
      <c r="AH893" s="2">
        <v>0</v>
      </c>
      <c r="AI893" s="2">
        <v>0</v>
      </c>
      <c r="AJ893" s="2">
        <v>0</v>
      </c>
      <c r="AK893" s="2">
        <v>0</v>
      </c>
      <c r="AL893" s="2">
        <v>173.29</v>
      </c>
      <c r="AM893" s="2">
        <v>0</v>
      </c>
      <c r="AN893" s="2">
        <v>0</v>
      </c>
      <c r="AO893" s="2">
        <v>0</v>
      </c>
      <c r="AP893" s="2">
        <v>0</v>
      </c>
      <c r="AQ893" s="2">
        <v>0</v>
      </c>
    </row>
    <row r="894" spans="1:43" x14ac:dyDescent="0.25">
      <c r="A894" s="1">
        <v>45936</v>
      </c>
      <c r="B894" t="s">
        <v>48</v>
      </c>
      <c r="C894">
        <v>649163</v>
      </c>
      <c r="D894">
        <v>2028915803</v>
      </c>
      <c r="E894" t="s">
        <v>845</v>
      </c>
      <c r="F894" t="s">
        <v>1188</v>
      </c>
      <c r="G894" t="s">
        <v>51</v>
      </c>
      <c r="H894" t="s">
        <v>70</v>
      </c>
      <c r="I894" t="s">
        <v>350</v>
      </c>
      <c r="J894" t="s">
        <v>351</v>
      </c>
      <c r="K894">
        <v>728134</v>
      </c>
      <c r="L894" t="s">
        <v>352</v>
      </c>
      <c r="M894" t="s">
        <v>353</v>
      </c>
      <c r="N894" t="s">
        <v>57</v>
      </c>
      <c r="O894" s="1">
        <v>45839</v>
      </c>
      <c r="Q894" s="1">
        <v>45962</v>
      </c>
      <c r="R894" s="2">
        <v>77.010000000000005</v>
      </c>
      <c r="S894">
        <v>1</v>
      </c>
      <c r="T894" t="s">
        <v>58</v>
      </c>
      <c r="U894" t="s">
        <v>359</v>
      </c>
      <c r="V894" s="3">
        <v>0.47</v>
      </c>
      <c r="W894" s="2">
        <v>0</v>
      </c>
      <c r="X894">
        <v>0</v>
      </c>
      <c r="Y894" t="s">
        <v>60</v>
      </c>
      <c r="Z894" t="s">
        <v>360</v>
      </c>
      <c r="AA894">
        <v>0</v>
      </c>
      <c r="AB894" s="2">
        <v>0</v>
      </c>
      <c r="AC894" s="2">
        <v>0</v>
      </c>
      <c r="AD894" s="3">
        <v>0</v>
      </c>
      <c r="AE894" s="2">
        <v>0</v>
      </c>
      <c r="AF894" s="2">
        <v>0</v>
      </c>
      <c r="AG894" s="2">
        <v>0</v>
      </c>
      <c r="AH894" s="2">
        <v>0</v>
      </c>
      <c r="AI894" s="2">
        <v>0</v>
      </c>
      <c r="AJ894" s="2">
        <v>0</v>
      </c>
      <c r="AK894" s="2">
        <v>0</v>
      </c>
      <c r="AL894" s="2">
        <v>36.19</v>
      </c>
      <c r="AM894" s="2">
        <v>0</v>
      </c>
      <c r="AN894" s="2">
        <v>0</v>
      </c>
      <c r="AO894" s="2">
        <v>0</v>
      </c>
      <c r="AP894" s="2">
        <v>0</v>
      </c>
      <c r="AQ894" s="2">
        <v>0</v>
      </c>
    </row>
    <row r="895" spans="1:43" x14ac:dyDescent="0.25">
      <c r="A895" s="1">
        <v>45936</v>
      </c>
      <c r="B895" t="s">
        <v>48</v>
      </c>
      <c r="C895">
        <v>649163</v>
      </c>
      <c r="D895">
        <v>2029103669</v>
      </c>
      <c r="E895" t="s">
        <v>1189</v>
      </c>
      <c r="F895" t="s">
        <v>94</v>
      </c>
      <c r="G895" t="s">
        <v>51</v>
      </c>
      <c r="H895" t="s">
        <v>101</v>
      </c>
      <c r="I895" t="s">
        <v>350</v>
      </c>
      <c r="J895" t="s">
        <v>351</v>
      </c>
      <c r="K895">
        <v>813184</v>
      </c>
      <c r="L895" t="s">
        <v>408</v>
      </c>
      <c r="M895" t="s">
        <v>410</v>
      </c>
      <c r="N895" t="s">
        <v>57</v>
      </c>
      <c r="O895" s="1">
        <v>45809</v>
      </c>
      <c r="Q895" s="1">
        <v>45962</v>
      </c>
      <c r="R895" s="2">
        <v>92.39</v>
      </c>
      <c r="S895">
        <v>1</v>
      </c>
      <c r="T895" t="s">
        <v>58</v>
      </c>
      <c r="U895" t="s">
        <v>359</v>
      </c>
      <c r="V895" s="3">
        <v>0.47</v>
      </c>
      <c r="W895" s="2">
        <v>0</v>
      </c>
      <c r="X895">
        <v>0</v>
      </c>
      <c r="Y895" t="s">
        <v>60</v>
      </c>
      <c r="Z895" t="s">
        <v>360</v>
      </c>
      <c r="AA895">
        <v>0</v>
      </c>
      <c r="AB895" s="2">
        <v>0</v>
      </c>
      <c r="AC895" s="2">
        <v>0</v>
      </c>
      <c r="AD895" s="3">
        <v>0</v>
      </c>
      <c r="AE895" s="2">
        <v>0</v>
      </c>
      <c r="AF895" s="2">
        <v>0</v>
      </c>
      <c r="AG895" s="2">
        <v>0</v>
      </c>
      <c r="AH895" s="2">
        <v>0</v>
      </c>
      <c r="AI895" s="2">
        <v>0</v>
      </c>
      <c r="AJ895" s="2">
        <v>0</v>
      </c>
      <c r="AK895" s="2">
        <v>0</v>
      </c>
      <c r="AL895" s="2">
        <v>43.42</v>
      </c>
      <c r="AM895" s="2">
        <v>0</v>
      </c>
      <c r="AN895" s="2">
        <v>0</v>
      </c>
      <c r="AO895" s="2">
        <v>0</v>
      </c>
      <c r="AP895" s="2">
        <v>0</v>
      </c>
      <c r="AQ895" s="2">
        <v>0</v>
      </c>
    </row>
    <row r="896" spans="1:43" x14ac:dyDescent="0.25">
      <c r="A896" s="1">
        <v>45936</v>
      </c>
      <c r="B896" t="s">
        <v>48</v>
      </c>
      <c r="C896">
        <v>649163</v>
      </c>
      <c r="D896">
        <v>2029284253</v>
      </c>
      <c r="E896" t="s">
        <v>791</v>
      </c>
      <c r="F896" t="s">
        <v>1190</v>
      </c>
      <c r="G896" t="s">
        <v>51</v>
      </c>
      <c r="H896" t="s">
        <v>70</v>
      </c>
      <c r="I896" t="s">
        <v>350</v>
      </c>
      <c r="J896" t="s">
        <v>351</v>
      </c>
      <c r="K896">
        <v>728134</v>
      </c>
      <c r="L896" t="s">
        <v>352</v>
      </c>
      <c r="M896" t="s">
        <v>353</v>
      </c>
      <c r="N896" t="s">
        <v>57</v>
      </c>
      <c r="O896" s="1">
        <v>45813</v>
      </c>
      <c r="Q896" s="1">
        <v>45966</v>
      </c>
      <c r="R896" s="2">
        <v>75.88</v>
      </c>
      <c r="S896">
        <v>1</v>
      </c>
      <c r="T896" t="s">
        <v>58</v>
      </c>
      <c r="U896" t="s">
        <v>359</v>
      </c>
      <c r="V896" s="3">
        <v>0.47</v>
      </c>
      <c r="W896" s="2">
        <v>0</v>
      </c>
      <c r="X896">
        <v>0</v>
      </c>
      <c r="Y896" t="s">
        <v>60</v>
      </c>
      <c r="Z896" t="s">
        <v>360</v>
      </c>
      <c r="AA896">
        <v>0</v>
      </c>
      <c r="AB896" s="2">
        <v>0</v>
      </c>
      <c r="AC896" s="2">
        <v>0</v>
      </c>
      <c r="AD896" s="3">
        <v>0</v>
      </c>
      <c r="AE896" s="2">
        <v>0</v>
      </c>
      <c r="AF896" s="2">
        <v>0</v>
      </c>
      <c r="AG896" s="2">
        <v>0</v>
      </c>
      <c r="AH896" s="2">
        <v>0</v>
      </c>
      <c r="AI896" s="2">
        <v>0</v>
      </c>
      <c r="AJ896" s="2">
        <v>0</v>
      </c>
      <c r="AK896" s="2">
        <v>0</v>
      </c>
      <c r="AL896" s="2">
        <v>35.659999999999997</v>
      </c>
      <c r="AM896" s="2">
        <v>0</v>
      </c>
      <c r="AN896" s="2">
        <v>0</v>
      </c>
      <c r="AO896" s="2">
        <v>0</v>
      </c>
      <c r="AP896" s="2">
        <v>0</v>
      </c>
      <c r="AQ896" s="2">
        <v>0</v>
      </c>
    </row>
    <row r="897" spans="1:44" x14ac:dyDescent="0.25">
      <c r="A897" s="1">
        <v>45936</v>
      </c>
      <c r="B897" t="s">
        <v>48</v>
      </c>
      <c r="C897">
        <v>649163</v>
      </c>
      <c r="D897">
        <v>2030107691</v>
      </c>
      <c r="E897" t="s">
        <v>569</v>
      </c>
      <c r="F897" t="s">
        <v>1191</v>
      </c>
      <c r="G897" t="s">
        <v>51</v>
      </c>
      <c r="H897" t="s">
        <v>150</v>
      </c>
      <c r="I897" t="s">
        <v>350</v>
      </c>
      <c r="J897" t="s">
        <v>351</v>
      </c>
      <c r="K897">
        <v>877790</v>
      </c>
      <c r="L897" t="s">
        <v>151</v>
      </c>
      <c r="M897" t="s">
        <v>152</v>
      </c>
      <c r="N897" t="s">
        <v>57</v>
      </c>
      <c r="O897" s="1">
        <v>45870</v>
      </c>
      <c r="Q897" s="1">
        <v>45962</v>
      </c>
      <c r="R897" s="2">
        <v>133.13</v>
      </c>
      <c r="S897">
        <v>1</v>
      </c>
      <c r="T897" t="s">
        <v>58</v>
      </c>
      <c r="U897" t="s">
        <v>359</v>
      </c>
      <c r="V897" s="3">
        <v>0.47</v>
      </c>
      <c r="W897" s="2">
        <v>0</v>
      </c>
      <c r="X897">
        <v>0</v>
      </c>
      <c r="Y897" t="s">
        <v>60</v>
      </c>
      <c r="Z897" t="s">
        <v>360</v>
      </c>
      <c r="AA897">
        <v>0</v>
      </c>
      <c r="AB897" s="2">
        <v>0</v>
      </c>
      <c r="AC897" s="2">
        <v>0</v>
      </c>
      <c r="AD897" s="3">
        <v>0</v>
      </c>
      <c r="AE897" s="2">
        <v>0</v>
      </c>
      <c r="AF897" s="2">
        <v>0</v>
      </c>
      <c r="AG897" s="2">
        <v>0</v>
      </c>
      <c r="AH897" s="2">
        <v>0</v>
      </c>
      <c r="AI897" s="2">
        <v>0</v>
      </c>
      <c r="AJ897" s="2">
        <v>0</v>
      </c>
      <c r="AK897" s="2">
        <v>0</v>
      </c>
      <c r="AL897" s="2">
        <v>62.57</v>
      </c>
      <c r="AM897" s="2">
        <v>0</v>
      </c>
      <c r="AN897" s="2">
        <v>0</v>
      </c>
      <c r="AO897" s="2">
        <v>0</v>
      </c>
      <c r="AP897" s="2">
        <v>0</v>
      </c>
      <c r="AQ897" s="2">
        <v>0</v>
      </c>
    </row>
    <row r="898" spans="1:44" x14ac:dyDescent="0.25">
      <c r="A898" s="1">
        <v>45936</v>
      </c>
      <c r="B898" t="s">
        <v>48</v>
      </c>
      <c r="C898">
        <v>649163</v>
      </c>
      <c r="D898">
        <v>2030127609</v>
      </c>
      <c r="E898" t="s">
        <v>1192</v>
      </c>
      <c r="F898" t="s">
        <v>1193</v>
      </c>
      <c r="G898" t="s">
        <v>51</v>
      </c>
      <c r="H898" t="s">
        <v>101</v>
      </c>
      <c r="I898" t="s">
        <v>350</v>
      </c>
      <c r="J898" t="s">
        <v>351</v>
      </c>
      <c r="K898">
        <v>824076</v>
      </c>
      <c r="L898" t="s">
        <v>1032</v>
      </c>
      <c r="M898" t="s">
        <v>1033</v>
      </c>
      <c r="N898" t="s">
        <v>57</v>
      </c>
      <c r="O898" s="1">
        <v>45870</v>
      </c>
      <c r="Q898" s="1">
        <v>45962</v>
      </c>
      <c r="R898" s="2">
        <v>94.04</v>
      </c>
      <c r="S898">
        <v>1</v>
      </c>
      <c r="T898" t="s">
        <v>58</v>
      </c>
      <c r="U898" t="s">
        <v>359</v>
      </c>
      <c r="V898" s="3">
        <v>0.47</v>
      </c>
      <c r="W898" s="2">
        <v>0</v>
      </c>
      <c r="X898">
        <v>0</v>
      </c>
      <c r="Y898" t="s">
        <v>60</v>
      </c>
      <c r="Z898" t="s">
        <v>360</v>
      </c>
      <c r="AA898">
        <v>0</v>
      </c>
      <c r="AB898" s="2">
        <v>0</v>
      </c>
      <c r="AC898" s="2">
        <v>0</v>
      </c>
      <c r="AD898" s="3">
        <v>0</v>
      </c>
      <c r="AE898" s="2">
        <v>0</v>
      </c>
      <c r="AF898" s="2">
        <v>0</v>
      </c>
      <c r="AG898" s="2">
        <v>0</v>
      </c>
      <c r="AH898" s="2">
        <v>0</v>
      </c>
      <c r="AI898" s="2">
        <v>0</v>
      </c>
      <c r="AJ898" s="2">
        <v>0</v>
      </c>
      <c r="AK898" s="2">
        <v>0</v>
      </c>
      <c r="AL898" s="2">
        <v>44.2</v>
      </c>
      <c r="AM898" s="2">
        <v>0</v>
      </c>
      <c r="AN898" s="2">
        <v>0</v>
      </c>
      <c r="AO898" s="2">
        <v>0</v>
      </c>
      <c r="AP898" s="2">
        <v>0</v>
      </c>
      <c r="AQ898" s="2">
        <v>0</v>
      </c>
    </row>
    <row r="899" spans="1:44" x14ac:dyDescent="0.25">
      <c r="A899" s="1">
        <v>45936</v>
      </c>
      <c r="B899" t="s">
        <v>48</v>
      </c>
      <c r="C899">
        <v>649163</v>
      </c>
      <c r="D899">
        <v>2030222256</v>
      </c>
      <c r="E899" t="s">
        <v>544</v>
      </c>
      <c r="F899" t="s">
        <v>1194</v>
      </c>
      <c r="G899" t="s">
        <v>51</v>
      </c>
      <c r="H899" t="s">
        <v>70</v>
      </c>
      <c r="I899" t="s">
        <v>350</v>
      </c>
      <c r="J899" t="s">
        <v>351</v>
      </c>
      <c r="K899">
        <v>885445</v>
      </c>
      <c r="L899" t="s">
        <v>84</v>
      </c>
      <c r="M899" t="s">
        <v>85</v>
      </c>
      <c r="N899" t="s">
        <v>57</v>
      </c>
      <c r="O899" s="1">
        <v>45870</v>
      </c>
      <c r="Q899" s="1">
        <v>45962</v>
      </c>
      <c r="R899" s="2">
        <v>48.22</v>
      </c>
      <c r="S899">
        <v>1</v>
      </c>
      <c r="T899" t="s">
        <v>58</v>
      </c>
      <c r="U899" t="s">
        <v>359</v>
      </c>
      <c r="V899" s="3">
        <v>0.47</v>
      </c>
      <c r="W899" s="2">
        <v>0</v>
      </c>
      <c r="X899">
        <v>0</v>
      </c>
      <c r="Y899" t="s">
        <v>60</v>
      </c>
      <c r="Z899" t="s">
        <v>360</v>
      </c>
      <c r="AA899">
        <v>0</v>
      </c>
      <c r="AB899" s="2">
        <v>0</v>
      </c>
      <c r="AC899" s="2">
        <v>0</v>
      </c>
      <c r="AD899" s="3">
        <v>0</v>
      </c>
      <c r="AE899" s="2">
        <v>0</v>
      </c>
      <c r="AF899" s="2">
        <v>0</v>
      </c>
      <c r="AG899" s="2">
        <v>0</v>
      </c>
      <c r="AH899" s="2">
        <v>0</v>
      </c>
      <c r="AI899" s="2">
        <v>0</v>
      </c>
      <c r="AJ899" s="2">
        <v>0</v>
      </c>
      <c r="AK899" s="2">
        <v>0</v>
      </c>
      <c r="AL899" s="2">
        <v>22.66</v>
      </c>
      <c r="AM899" s="2">
        <v>0</v>
      </c>
      <c r="AN899" s="2">
        <v>0</v>
      </c>
      <c r="AO899" s="2">
        <v>0</v>
      </c>
      <c r="AP899" s="2">
        <v>0</v>
      </c>
      <c r="AQ899" s="2">
        <v>0</v>
      </c>
    </row>
    <row r="900" spans="1:44" x14ac:dyDescent="0.25">
      <c r="A900" s="1">
        <v>45936</v>
      </c>
      <c r="B900" t="s">
        <v>48</v>
      </c>
      <c r="C900">
        <v>649163</v>
      </c>
      <c r="D900">
        <v>2030312965</v>
      </c>
      <c r="E900" t="s">
        <v>1195</v>
      </c>
      <c r="F900" t="s">
        <v>1151</v>
      </c>
      <c r="G900" t="s">
        <v>51</v>
      </c>
      <c r="H900" t="s">
        <v>670</v>
      </c>
      <c r="I900" t="s">
        <v>350</v>
      </c>
      <c r="J900" t="s">
        <v>351</v>
      </c>
      <c r="K900">
        <v>767312</v>
      </c>
      <c r="L900" t="s">
        <v>283</v>
      </c>
      <c r="M900" t="s">
        <v>284</v>
      </c>
      <c r="N900" t="s">
        <v>57</v>
      </c>
      <c r="O900" s="1">
        <v>45874</v>
      </c>
      <c r="Q900" s="1">
        <v>45966</v>
      </c>
      <c r="R900" s="2">
        <v>29.97</v>
      </c>
      <c r="S900">
        <v>1</v>
      </c>
      <c r="T900" t="s">
        <v>58</v>
      </c>
      <c r="U900" t="s">
        <v>359</v>
      </c>
      <c r="V900" s="3">
        <v>0.47</v>
      </c>
      <c r="W900" s="2">
        <v>0</v>
      </c>
      <c r="X900">
        <v>0</v>
      </c>
      <c r="Y900" t="s">
        <v>60</v>
      </c>
      <c r="Z900" t="s">
        <v>360</v>
      </c>
      <c r="AA900">
        <v>0</v>
      </c>
      <c r="AB900" s="2">
        <v>0</v>
      </c>
      <c r="AC900" s="2">
        <v>0</v>
      </c>
      <c r="AD900" s="3">
        <v>0</v>
      </c>
      <c r="AE900" s="2">
        <v>0</v>
      </c>
      <c r="AF900" s="2">
        <v>0</v>
      </c>
      <c r="AG900" s="2">
        <v>0</v>
      </c>
      <c r="AH900" s="2">
        <v>0</v>
      </c>
      <c r="AI900" s="2">
        <v>0</v>
      </c>
      <c r="AJ900" s="2">
        <v>0</v>
      </c>
      <c r="AK900" s="2">
        <v>0</v>
      </c>
      <c r="AL900" s="2">
        <v>14.09</v>
      </c>
      <c r="AM900" s="2">
        <v>0</v>
      </c>
      <c r="AN900" s="2">
        <v>0</v>
      </c>
      <c r="AO900" s="2">
        <v>0</v>
      </c>
      <c r="AP900" s="2">
        <v>0</v>
      </c>
      <c r="AQ900" s="2">
        <v>0</v>
      </c>
    </row>
    <row r="901" spans="1:44" x14ac:dyDescent="0.25">
      <c r="A901" s="1">
        <v>45936</v>
      </c>
      <c r="B901" t="s">
        <v>48</v>
      </c>
      <c r="C901">
        <v>649163</v>
      </c>
      <c r="D901">
        <v>2030716398</v>
      </c>
      <c r="E901" t="s">
        <v>1196</v>
      </c>
      <c r="F901" t="s">
        <v>488</v>
      </c>
      <c r="G901" t="s">
        <v>51</v>
      </c>
      <c r="H901" t="s">
        <v>101</v>
      </c>
      <c r="I901" t="s">
        <v>350</v>
      </c>
      <c r="J901" t="s">
        <v>351</v>
      </c>
      <c r="K901">
        <v>814033</v>
      </c>
      <c r="L901" t="s">
        <v>256</v>
      </c>
      <c r="M901" t="s">
        <v>165</v>
      </c>
      <c r="N901" t="s">
        <v>57</v>
      </c>
      <c r="O901" s="1">
        <v>45901</v>
      </c>
      <c r="Q901" s="1">
        <v>45962</v>
      </c>
      <c r="R901" s="2">
        <v>84.15</v>
      </c>
      <c r="S901">
        <v>1</v>
      </c>
      <c r="T901" t="s">
        <v>58</v>
      </c>
      <c r="U901" t="s">
        <v>359</v>
      </c>
      <c r="V901" s="3">
        <v>0.47</v>
      </c>
      <c r="W901" s="2">
        <v>0</v>
      </c>
      <c r="X901">
        <v>0</v>
      </c>
      <c r="Y901" t="s">
        <v>60</v>
      </c>
      <c r="Z901" t="s">
        <v>360</v>
      </c>
      <c r="AA901">
        <v>0</v>
      </c>
      <c r="AB901" s="2">
        <v>0</v>
      </c>
      <c r="AC901" s="2">
        <v>0</v>
      </c>
      <c r="AD901" s="3">
        <v>0</v>
      </c>
      <c r="AE901" s="2">
        <v>0</v>
      </c>
      <c r="AF901" s="2">
        <v>0</v>
      </c>
      <c r="AG901" s="2">
        <v>0</v>
      </c>
      <c r="AH901" s="2">
        <v>0</v>
      </c>
      <c r="AI901" s="2">
        <v>0</v>
      </c>
      <c r="AJ901" s="2">
        <v>0</v>
      </c>
      <c r="AK901" s="2">
        <v>0</v>
      </c>
      <c r="AL901" s="2">
        <v>0</v>
      </c>
      <c r="AM901" s="2">
        <v>39.549999999999997</v>
      </c>
      <c r="AN901" s="2">
        <v>39.549999999999997</v>
      </c>
      <c r="AO901" s="2">
        <v>0</v>
      </c>
      <c r="AP901" s="2">
        <v>0</v>
      </c>
      <c r="AQ901" s="2">
        <v>0</v>
      </c>
    </row>
    <row r="902" spans="1:44" x14ac:dyDescent="0.25">
      <c r="A902" s="1">
        <v>45936</v>
      </c>
      <c r="B902" t="s">
        <v>48</v>
      </c>
      <c r="C902">
        <v>649163</v>
      </c>
      <c r="D902">
        <v>2030775884</v>
      </c>
      <c r="E902" t="s">
        <v>648</v>
      </c>
      <c r="F902" t="s">
        <v>526</v>
      </c>
      <c r="G902" t="s">
        <v>51</v>
      </c>
      <c r="H902" t="s">
        <v>88</v>
      </c>
      <c r="I902" t="s">
        <v>350</v>
      </c>
      <c r="J902" t="s">
        <v>351</v>
      </c>
      <c r="K902">
        <v>878036</v>
      </c>
      <c r="L902" t="s">
        <v>335</v>
      </c>
      <c r="M902" t="s">
        <v>336</v>
      </c>
      <c r="N902" t="s">
        <v>57</v>
      </c>
      <c r="O902" s="1">
        <v>45901</v>
      </c>
      <c r="Q902" s="1">
        <v>45962</v>
      </c>
      <c r="R902" s="2">
        <v>210.43</v>
      </c>
      <c r="S902">
        <v>1</v>
      </c>
      <c r="T902" t="s">
        <v>58</v>
      </c>
      <c r="U902" t="s">
        <v>359</v>
      </c>
      <c r="V902" s="3">
        <v>0.47</v>
      </c>
      <c r="W902" s="2">
        <v>0</v>
      </c>
      <c r="X902">
        <v>0</v>
      </c>
      <c r="Y902" t="s">
        <v>60</v>
      </c>
      <c r="Z902" t="s">
        <v>360</v>
      </c>
      <c r="AA902">
        <v>0</v>
      </c>
      <c r="AB902" s="2">
        <v>0</v>
      </c>
      <c r="AC902" s="2">
        <v>0</v>
      </c>
      <c r="AD902" s="3">
        <v>0</v>
      </c>
      <c r="AE902" s="2">
        <v>0</v>
      </c>
      <c r="AF902" s="2">
        <v>0</v>
      </c>
      <c r="AG902" s="2">
        <v>0</v>
      </c>
      <c r="AH902" s="2">
        <v>0</v>
      </c>
      <c r="AI902" s="2">
        <v>0</v>
      </c>
      <c r="AJ902" s="2">
        <v>0</v>
      </c>
      <c r="AK902" s="2">
        <v>0</v>
      </c>
      <c r="AL902" s="2">
        <v>98.9</v>
      </c>
      <c r="AM902" s="2">
        <v>0</v>
      </c>
      <c r="AN902" s="2">
        <v>0</v>
      </c>
      <c r="AO902" s="2">
        <v>0</v>
      </c>
      <c r="AP902" s="2">
        <v>0</v>
      </c>
      <c r="AQ902" s="2">
        <v>0</v>
      </c>
    </row>
    <row r="903" spans="1:44" x14ac:dyDescent="0.25">
      <c r="A903" s="1">
        <v>45936</v>
      </c>
      <c r="B903" t="s">
        <v>48</v>
      </c>
      <c r="C903">
        <v>649163</v>
      </c>
      <c r="D903">
        <v>2030806868</v>
      </c>
      <c r="E903" t="s">
        <v>1197</v>
      </c>
      <c r="F903" t="s">
        <v>1198</v>
      </c>
      <c r="G903" t="s">
        <v>51</v>
      </c>
      <c r="H903" t="s">
        <v>101</v>
      </c>
      <c r="I903" t="s">
        <v>350</v>
      </c>
      <c r="J903" t="s">
        <v>351</v>
      </c>
      <c r="K903">
        <v>812994</v>
      </c>
      <c r="L903" t="s">
        <v>428</v>
      </c>
      <c r="M903" t="s">
        <v>309</v>
      </c>
      <c r="N903" t="s">
        <v>57</v>
      </c>
      <c r="O903" s="1">
        <v>45902</v>
      </c>
      <c r="Q903" s="1">
        <v>45963</v>
      </c>
      <c r="R903" s="2">
        <v>49.71</v>
      </c>
      <c r="S903">
        <v>1</v>
      </c>
      <c r="T903" t="s">
        <v>58</v>
      </c>
      <c r="U903" t="s">
        <v>359</v>
      </c>
      <c r="V903" s="3">
        <v>0.47</v>
      </c>
      <c r="W903" s="2">
        <v>0</v>
      </c>
      <c r="X903">
        <v>0</v>
      </c>
      <c r="Y903" t="s">
        <v>60</v>
      </c>
      <c r="Z903" t="s">
        <v>360</v>
      </c>
      <c r="AA903">
        <v>0</v>
      </c>
      <c r="AB903" s="2">
        <v>0</v>
      </c>
      <c r="AC903" s="2">
        <v>0</v>
      </c>
      <c r="AD903" s="3">
        <v>0</v>
      </c>
      <c r="AE903" s="2">
        <v>0</v>
      </c>
      <c r="AF903" s="2">
        <v>0</v>
      </c>
      <c r="AG903" s="2">
        <v>0</v>
      </c>
      <c r="AH903" s="2">
        <v>0</v>
      </c>
      <c r="AI903" s="2">
        <v>0</v>
      </c>
      <c r="AJ903" s="2">
        <v>0</v>
      </c>
      <c r="AK903" s="2">
        <v>0</v>
      </c>
      <c r="AL903" s="2">
        <v>23.36</v>
      </c>
      <c r="AM903" s="2">
        <v>0</v>
      </c>
      <c r="AN903" s="2">
        <v>0</v>
      </c>
      <c r="AO903" s="2">
        <v>0</v>
      </c>
      <c r="AP903" s="2">
        <v>0</v>
      </c>
      <c r="AQ903" s="2">
        <v>0</v>
      </c>
    </row>
    <row r="904" spans="1:44" x14ac:dyDescent="0.25">
      <c r="A904" s="1">
        <v>45936</v>
      </c>
      <c r="B904" t="s">
        <v>48</v>
      </c>
      <c r="C904">
        <v>649163</v>
      </c>
      <c r="D904">
        <v>2030806869</v>
      </c>
      <c r="E904" t="s">
        <v>1197</v>
      </c>
      <c r="F904" t="s">
        <v>1198</v>
      </c>
      <c r="G904" t="s">
        <v>51</v>
      </c>
      <c r="H904" t="s">
        <v>101</v>
      </c>
      <c r="I904" t="s">
        <v>350</v>
      </c>
      <c r="J904" t="s">
        <v>1141</v>
      </c>
      <c r="K904">
        <v>812994</v>
      </c>
      <c r="L904" t="s">
        <v>428</v>
      </c>
      <c r="M904" t="s">
        <v>309</v>
      </c>
      <c r="N904" t="s">
        <v>57</v>
      </c>
      <c r="O904" s="1">
        <v>45902</v>
      </c>
      <c r="Q904" s="1">
        <v>45963</v>
      </c>
      <c r="R904" s="2">
        <v>125.02</v>
      </c>
      <c r="S904">
        <v>1</v>
      </c>
      <c r="T904" t="s">
        <v>58</v>
      </c>
      <c r="U904" t="s">
        <v>359</v>
      </c>
      <c r="V904" s="3">
        <v>0.51</v>
      </c>
      <c r="W904" s="2">
        <v>0</v>
      </c>
      <c r="X904">
        <v>0</v>
      </c>
      <c r="Y904" t="s">
        <v>60</v>
      </c>
      <c r="Z904" t="s">
        <v>360</v>
      </c>
      <c r="AA904">
        <v>0</v>
      </c>
      <c r="AB904" s="2">
        <v>0</v>
      </c>
      <c r="AC904" s="2">
        <v>0</v>
      </c>
      <c r="AD904" s="3">
        <v>0</v>
      </c>
      <c r="AE904" s="2">
        <v>0</v>
      </c>
      <c r="AF904" s="2">
        <v>0</v>
      </c>
      <c r="AG904" s="2">
        <v>0</v>
      </c>
      <c r="AH904" s="2">
        <v>0</v>
      </c>
      <c r="AI904" s="2">
        <v>0</v>
      </c>
      <c r="AJ904" s="2">
        <v>0</v>
      </c>
      <c r="AK904" s="2">
        <v>0</v>
      </c>
      <c r="AL904" s="2">
        <v>63.76</v>
      </c>
      <c r="AM904" s="2">
        <v>0</v>
      </c>
      <c r="AN904" s="2">
        <v>0</v>
      </c>
      <c r="AO904" s="2">
        <v>0</v>
      </c>
      <c r="AP904" s="2">
        <v>0</v>
      </c>
      <c r="AQ904" s="2">
        <v>0</v>
      </c>
    </row>
    <row r="905" spans="1:44" x14ac:dyDescent="0.25">
      <c r="A905" s="1">
        <v>45936</v>
      </c>
      <c r="B905" t="s">
        <v>48</v>
      </c>
      <c r="C905">
        <v>649163</v>
      </c>
      <c r="D905">
        <v>2030806870</v>
      </c>
      <c r="E905" t="s">
        <v>1197</v>
      </c>
      <c r="F905" t="s">
        <v>1198</v>
      </c>
      <c r="G905" t="s">
        <v>51</v>
      </c>
      <c r="H905" t="s">
        <v>101</v>
      </c>
      <c r="I905" t="s">
        <v>350</v>
      </c>
      <c r="J905" t="s">
        <v>1142</v>
      </c>
      <c r="K905">
        <v>812994</v>
      </c>
      <c r="L905" t="s">
        <v>428</v>
      </c>
      <c r="M905" t="s">
        <v>309</v>
      </c>
      <c r="N905" t="s">
        <v>57</v>
      </c>
      <c r="O905" s="1">
        <v>45902</v>
      </c>
      <c r="Q905" s="1">
        <v>45963</v>
      </c>
      <c r="R905" s="2">
        <v>14.95</v>
      </c>
      <c r="S905">
        <v>1</v>
      </c>
      <c r="T905" t="s">
        <v>58</v>
      </c>
      <c r="U905" t="s">
        <v>359</v>
      </c>
      <c r="V905" s="3">
        <v>0.51</v>
      </c>
      <c r="W905" s="2">
        <v>0</v>
      </c>
      <c r="X905">
        <v>0</v>
      </c>
      <c r="Y905" t="s">
        <v>60</v>
      </c>
      <c r="Z905" t="s">
        <v>360</v>
      </c>
      <c r="AA905">
        <v>0</v>
      </c>
      <c r="AB905" s="2">
        <v>0</v>
      </c>
      <c r="AC905" s="2">
        <v>0</v>
      </c>
      <c r="AD905" s="3">
        <v>0</v>
      </c>
      <c r="AE905" s="2">
        <v>0</v>
      </c>
      <c r="AF905" s="2">
        <v>0</v>
      </c>
      <c r="AG905" s="2">
        <v>0</v>
      </c>
      <c r="AH905" s="2">
        <v>0</v>
      </c>
      <c r="AI905" s="2">
        <v>0</v>
      </c>
      <c r="AJ905" s="2">
        <v>0</v>
      </c>
      <c r="AK905" s="2">
        <v>0</v>
      </c>
      <c r="AL905" s="2">
        <v>7.62</v>
      </c>
      <c r="AM905" s="2">
        <v>0</v>
      </c>
      <c r="AN905" s="2">
        <v>0</v>
      </c>
      <c r="AO905" s="2">
        <v>0</v>
      </c>
      <c r="AP905" s="2">
        <v>0</v>
      </c>
      <c r="AQ905" s="2">
        <v>0</v>
      </c>
    </row>
    <row r="906" spans="1:44" x14ac:dyDescent="0.25">
      <c r="A906" s="1">
        <v>45936</v>
      </c>
      <c r="B906" t="s">
        <v>48</v>
      </c>
      <c r="C906">
        <v>649163</v>
      </c>
      <c r="D906">
        <v>2030807230</v>
      </c>
      <c r="E906" t="s">
        <v>1199</v>
      </c>
      <c r="F906" t="s">
        <v>1200</v>
      </c>
      <c r="G906" t="s">
        <v>51</v>
      </c>
      <c r="H906" t="s">
        <v>101</v>
      </c>
      <c r="I906" t="s">
        <v>350</v>
      </c>
      <c r="J906" t="s">
        <v>351</v>
      </c>
      <c r="K906">
        <v>812994</v>
      </c>
      <c r="L906" t="s">
        <v>428</v>
      </c>
      <c r="M906" t="s">
        <v>309</v>
      </c>
      <c r="N906" t="s">
        <v>57</v>
      </c>
      <c r="O906" s="1">
        <v>45902</v>
      </c>
      <c r="Q906" s="1">
        <v>45963</v>
      </c>
      <c r="R906" s="2">
        <v>49.71</v>
      </c>
      <c r="S906">
        <v>1</v>
      </c>
      <c r="T906" t="s">
        <v>58</v>
      </c>
      <c r="U906" t="s">
        <v>359</v>
      </c>
      <c r="V906" s="3">
        <v>0.47</v>
      </c>
      <c r="W906" s="2">
        <v>0</v>
      </c>
      <c r="X906">
        <v>0</v>
      </c>
      <c r="Y906" t="s">
        <v>60</v>
      </c>
      <c r="Z906" t="s">
        <v>360</v>
      </c>
      <c r="AA906">
        <v>0</v>
      </c>
      <c r="AB906" s="2">
        <v>0</v>
      </c>
      <c r="AC906" s="2">
        <v>0</v>
      </c>
      <c r="AD906" s="3">
        <v>0</v>
      </c>
      <c r="AE906" s="2">
        <v>0</v>
      </c>
      <c r="AF906" s="2">
        <v>0</v>
      </c>
      <c r="AG906" s="2">
        <v>0</v>
      </c>
      <c r="AH906" s="2">
        <v>0</v>
      </c>
      <c r="AI906" s="2">
        <v>0</v>
      </c>
      <c r="AJ906" s="2">
        <v>0</v>
      </c>
      <c r="AK906" s="2">
        <v>0</v>
      </c>
      <c r="AL906" s="2">
        <v>23.36</v>
      </c>
      <c r="AM906" s="2">
        <v>0</v>
      </c>
      <c r="AN906" s="2">
        <v>0</v>
      </c>
      <c r="AO906" s="2">
        <v>0</v>
      </c>
      <c r="AP906" s="2">
        <v>0</v>
      </c>
      <c r="AQ906" s="2">
        <v>0</v>
      </c>
    </row>
    <row r="907" spans="1:44" x14ac:dyDescent="0.25">
      <c r="A907" s="1">
        <v>45936</v>
      </c>
      <c r="B907" t="s">
        <v>48</v>
      </c>
      <c r="C907">
        <v>649163</v>
      </c>
      <c r="D907">
        <v>2030807231</v>
      </c>
      <c r="E907" t="s">
        <v>1199</v>
      </c>
      <c r="F907" t="s">
        <v>1200</v>
      </c>
      <c r="G907" t="s">
        <v>51</v>
      </c>
      <c r="H907" t="s">
        <v>101</v>
      </c>
      <c r="I907" t="s">
        <v>350</v>
      </c>
      <c r="J907" t="s">
        <v>1141</v>
      </c>
      <c r="K907">
        <v>812994</v>
      </c>
      <c r="L907" t="s">
        <v>428</v>
      </c>
      <c r="M907" t="s">
        <v>309</v>
      </c>
      <c r="N907" t="s">
        <v>57</v>
      </c>
      <c r="O907" s="1">
        <v>45902</v>
      </c>
      <c r="Q907" s="1">
        <v>45963</v>
      </c>
      <c r="R907" s="2">
        <v>62.51</v>
      </c>
      <c r="S907">
        <v>1</v>
      </c>
      <c r="T907" t="s">
        <v>58</v>
      </c>
      <c r="U907" t="s">
        <v>359</v>
      </c>
      <c r="V907" s="3">
        <v>0.51</v>
      </c>
      <c r="W907" s="2">
        <v>0</v>
      </c>
      <c r="X907">
        <v>0</v>
      </c>
      <c r="Y907" t="s">
        <v>60</v>
      </c>
      <c r="Z907" t="s">
        <v>360</v>
      </c>
      <c r="AA907">
        <v>0</v>
      </c>
      <c r="AB907" s="2">
        <v>0</v>
      </c>
      <c r="AC907" s="2">
        <v>0</v>
      </c>
      <c r="AD907" s="3">
        <v>0</v>
      </c>
      <c r="AE907" s="2">
        <v>0</v>
      </c>
      <c r="AF907" s="2">
        <v>0</v>
      </c>
      <c r="AG907" s="2">
        <v>0</v>
      </c>
      <c r="AH907" s="2">
        <v>0</v>
      </c>
      <c r="AI907" s="2">
        <v>0</v>
      </c>
      <c r="AJ907" s="2">
        <v>0</v>
      </c>
      <c r="AK907" s="2">
        <v>0</v>
      </c>
      <c r="AL907" s="2">
        <v>31.88</v>
      </c>
      <c r="AM907" s="2">
        <v>0</v>
      </c>
      <c r="AN907" s="2">
        <v>0</v>
      </c>
      <c r="AO907" s="2">
        <v>0</v>
      </c>
      <c r="AP907" s="2">
        <v>0</v>
      </c>
      <c r="AQ907" s="2">
        <v>0</v>
      </c>
    </row>
    <row r="908" spans="1:44" x14ac:dyDescent="0.25">
      <c r="A908" s="1">
        <v>45936</v>
      </c>
      <c r="B908" t="s">
        <v>48</v>
      </c>
      <c r="C908">
        <v>649163</v>
      </c>
      <c r="D908">
        <v>2030807232</v>
      </c>
      <c r="E908" t="s">
        <v>1199</v>
      </c>
      <c r="F908" t="s">
        <v>1200</v>
      </c>
      <c r="G908" t="s">
        <v>51</v>
      </c>
      <c r="H908" t="s">
        <v>101</v>
      </c>
      <c r="I908" t="s">
        <v>350</v>
      </c>
      <c r="J908" t="s">
        <v>1142</v>
      </c>
      <c r="K908">
        <v>812994</v>
      </c>
      <c r="L908" t="s">
        <v>428</v>
      </c>
      <c r="M908" t="s">
        <v>309</v>
      </c>
      <c r="N908" t="s">
        <v>57</v>
      </c>
      <c r="O908" s="1">
        <v>45902</v>
      </c>
      <c r="Q908" s="1">
        <v>45963</v>
      </c>
      <c r="R908" s="2">
        <v>14.95</v>
      </c>
      <c r="S908">
        <v>1</v>
      </c>
      <c r="T908" t="s">
        <v>58</v>
      </c>
      <c r="U908" t="s">
        <v>359</v>
      </c>
      <c r="V908" s="3">
        <v>0.51</v>
      </c>
      <c r="W908" s="2">
        <v>0</v>
      </c>
      <c r="X908">
        <v>0</v>
      </c>
      <c r="Y908" t="s">
        <v>60</v>
      </c>
      <c r="Z908" t="s">
        <v>360</v>
      </c>
      <c r="AA908">
        <v>0</v>
      </c>
      <c r="AB908" s="2">
        <v>0</v>
      </c>
      <c r="AC908" s="2">
        <v>0</v>
      </c>
      <c r="AD908" s="3">
        <v>0</v>
      </c>
      <c r="AE908" s="2">
        <v>0</v>
      </c>
      <c r="AF908" s="2">
        <v>0</v>
      </c>
      <c r="AG908" s="2">
        <v>0</v>
      </c>
      <c r="AH908" s="2">
        <v>0</v>
      </c>
      <c r="AI908" s="2">
        <v>0</v>
      </c>
      <c r="AJ908" s="2">
        <v>0</v>
      </c>
      <c r="AK908" s="2">
        <v>0</v>
      </c>
      <c r="AL908" s="2">
        <v>7.62</v>
      </c>
      <c r="AM908" s="2">
        <v>0</v>
      </c>
      <c r="AN908" s="2">
        <v>0</v>
      </c>
      <c r="AO908" s="2">
        <v>0</v>
      </c>
      <c r="AP908" s="2">
        <v>0</v>
      </c>
      <c r="AQ908" s="2">
        <v>0</v>
      </c>
    </row>
    <row r="909" spans="1:44" x14ac:dyDescent="0.25">
      <c r="A909" s="1">
        <v>45936</v>
      </c>
      <c r="B909" t="s">
        <v>1201</v>
      </c>
      <c r="C909">
        <v>20436896</v>
      </c>
      <c r="D909">
        <v>2016921676</v>
      </c>
      <c r="E909" t="s">
        <v>1202</v>
      </c>
      <c r="F909" t="s">
        <v>441</v>
      </c>
      <c r="G909" t="s">
        <v>51</v>
      </c>
      <c r="I909" t="s">
        <v>292</v>
      </c>
      <c r="J909" t="s">
        <v>536</v>
      </c>
      <c r="K909">
        <v>20436896</v>
      </c>
      <c r="L909" t="s">
        <v>80</v>
      </c>
      <c r="M909" t="s">
        <v>537</v>
      </c>
      <c r="N909" t="s">
        <v>456</v>
      </c>
      <c r="O909" s="1">
        <v>44927</v>
      </c>
      <c r="P909" s="1">
        <v>45936</v>
      </c>
      <c r="R909" s="2">
        <v>0</v>
      </c>
      <c r="AB909" s="2">
        <v>0</v>
      </c>
      <c r="AC909" s="2">
        <v>0</v>
      </c>
      <c r="AE909" s="2">
        <v>0</v>
      </c>
      <c r="AF909" s="2">
        <v>0</v>
      </c>
      <c r="AG909" s="2">
        <v>0</v>
      </c>
      <c r="AH909" s="2">
        <v>0</v>
      </c>
      <c r="AI909" s="2">
        <v>0</v>
      </c>
      <c r="AJ909" s="2">
        <v>0</v>
      </c>
      <c r="AK909" s="2">
        <v>0</v>
      </c>
      <c r="AL909" s="2">
        <v>0</v>
      </c>
      <c r="AM909" s="2">
        <v>0</v>
      </c>
      <c r="AN909" s="2">
        <v>0</v>
      </c>
      <c r="AO909" s="2">
        <v>0</v>
      </c>
      <c r="AP909" s="2">
        <v>0</v>
      </c>
      <c r="AQ909" s="2">
        <v>0</v>
      </c>
      <c r="AR909" t="s">
        <v>1203</v>
      </c>
    </row>
    <row r="910" spans="1:44" x14ac:dyDescent="0.25">
      <c r="A910" s="1">
        <v>45936</v>
      </c>
      <c r="B910" t="s">
        <v>1201</v>
      </c>
      <c r="C910">
        <v>18828278</v>
      </c>
      <c r="D910">
        <v>2025305259</v>
      </c>
      <c r="E910" t="s">
        <v>1204</v>
      </c>
      <c r="F910" t="s">
        <v>132</v>
      </c>
      <c r="G910" t="s">
        <v>51</v>
      </c>
      <c r="I910" t="s">
        <v>243</v>
      </c>
      <c r="J910" t="s">
        <v>244</v>
      </c>
      <c r="K910">
        <v>18828278</v>
      </c>
      <c r="L910" t="s">
        <v>815</v>
      </c>
      <c r="M910" t="s">
        <v>482</v>
      </c>
      <c r="N910" t="s">
        <v>456</v>
      </c>
      <c r="O910" s="1">
        <v>45602</v>
      </c>
      <c r="P910" s="1">
        <v>45936</v>
      </c>
      <c r="R910" s="2">
        <v>0</v>
      </c>
      <c r="AB910" s="2">
        <v>0</v>
      </c>
      <c r="AC910" s="2">
        <v>0</v>
      </c>
      <c r="AE910" s="2">
        <v>0</v>
      </c>
      <c r="AF910" s="2">
        <v>0</v>
      </c>
      <c r="AG910" s="2">
        <v>0</v>
      </c>
      <c r="AH910" s="2">
        <v>0</v>
      </c>
      <c r="AI910" s="2">
        <v>0</v>
      </c>
      <c r="AJ910" s="2">
        <v>0</v>
      </c>
      <c r="AK910" s="2">
        <v>0</v>
      </c>
      <c r="AL910" s="2">
        <v>0</v>
      </c>
      <c r="AM910" s="2">
        <v>0</v>
      </c>
      <c r="AN910" s="2">
        <v>0</v>
      </c>
      <c r="AO910" s="2">
        <v>0</v>
      </c>
      <c r="AP910" s="2">
        <v>0</v>
      </c>
      <c r="AQ910" s="2">
        <v>0</v>
      </c>
      <c r="AR910" t="s">
        <v>1203</v>
      </c>
    </row>
    <row r="911" spans="1:44" x14ac:dyDescent="0.25">
      <c r="A911" s="1">
        <v>45936</v>
      </c>
      <c r="B911" t="s">
        <v>1201</v>
      </c>
      <c r="C911">
        <v>371819</v>
      </c>
      <c r="D911">
        <v>2025154617</v>
      </c>
      <c r="E911" t="s">
        <v>1205</v>
      </c>
      <c r="F911" t="s">
        <v>626</v>
      </c>
      <c r="G911" t="s">
        <v>51</v>
      </c>
      <c r="I911" t="s">
        <v>243</v>
      </c>
      <c r="J911" t="s">
        <v>244</v>
      </c>
      <c r="K911">
        <v>371819</v>
      </c>
      <c r="L911" t="s">
        <v>283</v>
      </c>
      <c r="M911" t="s">
        <v>284</v>
      </c>
      <c r="N911" t="s">
        <v>456</v>
      </c>
      <c r="O911" s="1">
        <v>45581</v>
      </c>
      <c r="P911" s="1">
        <v>45936</v>
      </c>
      <c r="R911" s="2">
        <v>0</v>
      </c>
      <c r="AB911" s="2">
        <v>0</v>
      </c>
      <c r="AC911" s="2">
        <v>0</v>
      </c>
      <c r="AE911" s="2">
        <v>0</v>
      </c>
      <c r="AF911" s="2">
        <v>0</v>
      </c>
      <c r="AG911" s="2">
        <v>0</v>
      </c>
      <c r="AH911" s="2">
        <v>0</v>
      </c>
      <c r="AI911" s="2">
        <v>0</v>
      </c>
      <c r="AJ911" s="2">
        <v>0</v>
      </c>
      <c r="AK911" s="2">
        <v>0</v>
      </c>
      <c r="AL911" s="2">
        <v>0</v>
      </c>
      <c r="AM911" s="2">
        <v>0</v>
      </c>
      <c r="AN911" s="2">
        <v>0</v>
      </c>
      <c r="AO911" s="2">
        <v>0</v>
      </c>
      <c r="AP911" s="2">
        <v>0</v>
      </c>
      <c r="AQ911" s="2">
        <v>0</v>
      </c>
      <c r="AR911" t="s">
        <v>1203</v>
      </c>
    </row>
    <row r="912" spans="1:44" x14ac:dyDescent="0.25">
      <c r="A912" s="1">
        <v>45936</v>
      </c>
      <c r="B912" t="s">
        <v>1201</v>
      </c>
      <c r="C912">
        <v>18781057</v>
      </c>
      <c r="D912">
        <v>2023476600</v>
      </c>
      <c r="E912" t="s">
        <v>396</v>
      </c>
      <c r="F912" t="s">
        <v>1206</v>
      </c>
      <c r="G912" t="s">
        <v>51</v>
      </c>
      <c r="I912" t="s">
        <v>209</v>
      </c>
      <c r="J912" t="s">
        <v>222</v>
      </c>
      <c r="K912">
        <v>18781057</v>
      </c>
      <c r="L912" t="s">
        <v>71</v>
      </c>
      <c r="M912" t="s">
        <v>72</v>
      </c>
      <c r="N912" t="s">
        <v>456</v>
      </c>
      <c r="O912" s="1">
        <v>45455</v>
      </c>
      <c r="P912" s="1">
        <v>45936</v>
      </c>
      <c r="R912" s="2">
        <v>0</v>
      </c>
      <c r="AB912" s="2">
        <v>0</v>
      </c>
      <c r="AC912" s="2">
        <v>0</v>
      </c>
      <c r="AE912" s="2">
        <v>0</v>
      </c>
      <c r="AF912" s="2">
        <v>0</v>
      </c>
      <c r="AG912" s="2">
        <v>0</v>
      </c>
      <c r="AH912" s="2">
        <v>0</v>
      </c>
      <c r="AI912" s="2">
        <v>0</v>
      </c>
      <c r="AJ912" s="2">
        <v>0</v>
      </c>
      <c r="AK912" s="2">
        <v>0</v>
      </c>
      <c r="AL912" s="2">
        <v>0</v>
      </c>
      <c r="AM912" s="2">
        <v>0</v>
      </c>
      <c r="AN912" s="2">
        <v>0</v>
      </c>
      <c r="AO912" s="2">
        <v>0</v>
      </c>
      <c r="AP912" s="2">
        <v>0</v>
      </c>
      <c r="AQ912" s="2">
        <v>0</v>
      </c>
      <c r="AR912" t="s">
        <v>1203</v>
      </c>
    </row>
    <row r="913" spans="1:44" x14ac:dyDescent="0.25">
      <c r="A913" s="1">
        <v>45936</v>
      </c>
      <c r="B913" t="s">
        <v>1201</v>
      </c>
      <c r="C913">
        <v>649163</v>
      </c>
      <c r="D913">
        <v>2020895975</v>
      </c>
      <c r="E913" t="s">
        <v>97</v>
      </c>
      <c r="F913" t="s">
        <v>482</v>
      </c>
      <c r="G913" t="s">
        <v>51</v>
      </c>
      <c r="I913" t="s">
        <v>209</v>
      </c>
      <c r="J913" t="s">
        <v>960</v>
      </c>
      <c r="K913">
        <v>649163</v>
      </c>
      <c r="L913" t="s">
        <v>80</v>
      </c>
      <c r="M913" t="s">
        <v>81</v>
      </c>
      <c r="N913" t="s">
        <v>456</v>
      </c>
      <c r="O913" s="1">
        <v>45292</v>
      </c>
      <c r="P913" s="1">
        <v>45936</v>
      </c>
      <c r="R913" s="2">
        <v>0</v>
      </c>
      <c r="AB913" s="2">
        <v>0</v>
      </c>
      <c r="AC913" s="2">
        <v>0</v>
      </c>
      <c r="AE913" s="2">
        <v>0</v>
      </c>
      <c r="AF913" s="2">
        <v>0</v>
      </c>
      <c r="AG913" s="2">
        <v>0</v>
      </c>
      <c r="AH913" s="2">
        <v>0</v>
      </c>
      <c r="AI913" s="2">
        <v>0</v>
      </c>
      <c r="AJ913" s="2">
        <v>0</v>
      </c>
      <c r="AK913" s="2">
        <v>0</v>
      </c>
      <c r="AL913" s="2">
        <v>0</v>
      </c>
      <c r="AM913" s="2">
        <v>0</v>
      </c>
      <c r="AN913" s="2">
        <v>0</v>
      </c>
      <c r="AO913" s="2">
        <v>0</v>
      </c>
      <c r="AP913" s="2">
        <v>0</v>
      </c>
      <c r="AQ913" s="2">
        <v>0</v>
      </c>
      <c r="AR913" t="s">
        <v>1203</v>
      </c>
    </row>
    <row r="914" spans="1:44" x14ac:dyDescent="0.25">
      <c r="A914" s="1">
        <v>45936</v>
      </c>
      <c r="B914" t="s">
        <v>1201</v>
      </c>
      <c r="C914">
        <v>19562245</v>
      </c>
      <c r="D914">
        <v>2019584893</v>
      </c>
      <c r="E914" t="s">
        <v>1207</v>
      </c>
      <c r="F914" t="s">
        <v>1208</v>
      </c>
      <c r="G914" t="s">
        <v>51</v>
      </c>
      <c r="I914" t="s">
        <v>243</v>
      </c>
      <c r="J914" t="s">
        <v>244</v>
      </c>
      <c r="K914">
        <v>19562245</v>
      </c>
      <c r="L914" t="s">
        <v>576</v>
      </c>
      <c r="M914" t="s">
        <v>139</v>
      </c>
      <c r="N914" t="s">
        <v>456</v>
      </c>
      <c r="O914" s="1">
        <v>45141</v>
      </c>
      <c r="P914" s="1">
        <v>45936</v>
      </c>
      <c r="R914" s="2">
        <v>0</v>
      </c>
      <c r="AB914" s="2">
        <v>0</v>
      </c>
      <c r="AC914" s="2">
        <v>0</v>
      </c>
      <c r="AE914" s="2">
        <v>0</v>
      </c>
      <c r="AF914" s="2">
        <v>0</v>
      </c>
      <c r="AG914" s="2">
        <v>0</v>
      </c>
      <c r="AH914" s="2">
        <v>0</v>
      </c>
      <c r="AI914" s="2">
        <v>0</v>
      </c>
      <c r="AJ914" s="2">
        <v>0</v>
      </c>
      <c r="AK914" s="2">
        <v>0</v>
      </c>
      <c r="AL914" s="2">
        <v>0</v>
      </c>
      <c r="AM914" s="2">
        <v>0</v>
      </c>
      <c r="AN914" s="2">
        <v>0</v>
      </c>
      <c r="AO914" s="2">
        <v>0</v>
      </c>
      <c r="AP914" s="2">
        <v>0</v>
      </c>
      <c r="AQ914" s="2">
        <v>0</v>
      </c>
      <c r="AR914" t="s">
        <v>1203</v>
      </c>
    </row>
    <row r="915" spans="1:44" x14ac:dyDescent="0.25">
      <c r="A915" s="1">
        <v>45936</v>
      </c>
      <c r="B915" t="s">
        <v>1201</v>
      </c>
      <c r="C915">
        <v>8307933</v>
      </c>
      <c r="D915">
        <v>2024666422</v>
      </c>
      <c r="E915" t="s">
        <v>1209</v>
      </c>
      <c r="F915" t="s">
        <v>1210</v>
      </c>
      <c r="G915" t="s">
        <v>51</v>
      </c>
      <c r="I915" t="s">
        <v>89</v>
      </c>
      <c r="J915" t="s">
        <v>96</v>
      </c>
      <c r="K915">
        <v>8307933</v>
      </c>
      <c r="L915" t="s">
        <v>112</v>
      </c>
      <c r="M915" t="s">
        <v>104</v>
      </c>
      <c r="N915" t="s">
        <v>456</v>
      </c>
      <c r="O915" s="1">
        <v>45542</v>
      </c>
      <c r="P915" s="1">
        <v>45936</v>
      </c>
      <c r="R915" s="2">
        <v>0</v>
      </c>
      <c r="AB915" s="2">
        <v>0</v>
      </c>
      <c r="AC915" s="2">
        <v>0</v>
      </c>
      <c r="AE915" s="2">
        <v>0</v>
      </c>
      <c r="AF915" s="2">
        <v>0</v>
      </c>
      <c r="AG915" s="2">
        <v>0</v>
      </c>
      <c r="AH915" s="2">
        <v>0</v>
      </c>
      <c r="AI915" s="2">
        <v>0</v>
      </c>
      <c r="AJ915" s="2">
        <v>0</v>
      </c>
      <c r="AK915" s="2">
        <v>0</v>
      </c>
      <c r="AL915" s="2">
        <v>0</v>
      </c>
      <c r="AM915" s="2">
        <v>0</v>
      </c>
      <c r="AN915" s="2">
        <v>0</v>
      </c>
      <c r="AO915" s="2">
        <v>0</v>
      </c>
      <c r="AP915" s="2">
        <v>0</v>
      </c>
      <c r="AQ915" s="2">
        <v>0</v>
      </c>
      <c r="AR915" t="s">
        <v>1203</v>
      </c>
    </row>
    <row r="916" spans="1:44" x14ac:dyDescent="0.25">
      <c r="A916" s="1">
        <v>45936</v>
      </c>
      <c r="B916" t="s">
        <v>1201</v>
      </c>
      <c r="C916">
        <v>371819</v>
      </c>
      <c r="D916">
        <v>2024573703</v>
      </c>
      <c r="E916" t="s">
        <v>1211</v>
      </c>
      <c r="F916" t="s">
        <v>63</v>
      </c>
      <c r="G916" t="s">
        <v>51</v>
      </c>
      <c r="I916" t="s">
        <v>292</v>
      </c>
      <c r="J916" t="s">
        <v>293</v>
      </c>
      <c r="K916">
        <v>371819</v>
      </c>
      <c r="L916" t="s">
        <v>283</v>
      </c>
      <c r="M916" t="s">
        <v>284</v>
      </c>
      <c r="N916" t="s">
        <v>456</v>
      </c>
      <c r="O916" s="1">
        <v>45536</v>
      </c>
      <c r="P916" s="1">
        <v>45936</v>
      </c>
      <c r="R916" s="2">
        <v>0</v>
      </c>
      <c r="AB916" s="2">
        <v>0</v>
      </c>
      <c r="AC916" s="2">
        <v>0</v>
      </c>
      <c r="AE916" s="2">
        <v>0</v>
      </c>
      <c r="AF916" s="2">
        <v>0</v>
      </c>
      <c r="AG916" s="2">
        <v>0</v>
      </c>
      <c r="AH916" s="2">
        <v>0</v>
      </c>
      <c r="AI916" s="2">
        <v>0</v>
      </c>
      <c r="AJ916" s="2">
        <v>0</v>
      </c>
      <c r="AK916" s="2">
        <v>0</v>
      </c>
      <c r="AL916" s="2">
        <v>0</v>
      </c>
      <c r="AM916" s="2">
        <v>0</v>
      </c>
      <c r="AN916" s="2">
        <v>0</v>
      </c>
      <c r="AO916" s="2">
        <v>0</v>
      </c>
      <c r="AP916" s="2">
        <v>0</v>
      </c>
      <c r="AQ916" s="2">
        <v>0</v>
      </c>
      <c r="AR916" t="s">
        <v>1203</v>
      </c>
    </row>
    <row r="917" spans="1:44" x14ac:dyDescent="0.25">
      <c r="A917" s="1">
        <v>45936</v>
      </c>
      <c r="B917" t="s">
        <v>1201</v>
      </c>
      <c r="C917">
        <v>371819</v>
      </c>
      <c r="D917">
        <v>2024573704</v>
      </c>
      <c r="E917" t="s">
        <v>1211</v>
      </c>
      <c r="F917" t="s">
        <v>63</v>
      </c>
      <c r="G917" t="s">
        <v>51</v>
      </c>
      <c r="I917" t="s">
        <v>89</v>
      </c>
      <c r="J917" t="s">
        <v>96</v>
      </c>
      <c r="K917">
        <v>371819</v>
      </c>
      <c r="L917" t="s">
        <v>283</v>
      </c>
      <c r="M917" t="s">
        <v>284</v>
      </c>
      <c r="N917" t="s">
        <v>456</v>
      </c>
      <c r="O917" s="1">
        <v>45536</v>
      </c>
      <c r="P917" s="1">
        <v>45936</v>
      </c>
      <c r="R917" s="2">
        <v>0</v>
      </c>
      <c r="AB917" s="2">
        <v>0</v>
      </c>
      <c r="AC917" s="2">
        <v>0</v>
      </c>
      <c r="AE917" s="2">
        <v>0</v>
      </c>
      <c r="AF917" s="2">
        <v>0</v>
      </c>
      <c r="AG917" s="2">
        <v>0</v>
      </c>
      <c r="AH917" s="2">
        <v>0</v>
      </c>
      <c r="AI917" s="2">
        <v>0</v>
      </c>
      <c r="AJ917" s="2">
        <v>0</v>
      </c>
      <c r="AK917" s="2">
        <v>0</v>
      </c>
      <c r="AL917" s="2">
        <v>0</v>
      </c>
      <c r="AM917" s="2">
        <v>0</v>
      </c>
      <c r="AN917" s="2">
        <v>0</v>
      </c>
      <c r="AO917" s="2">
        <v>0</v>
      </c>
      <c r="AP917" s="2">
        <v>0</v>
      </c>
      <c r="AQ917" s="2">
        <v>0</v>
      </c>
      <c r="AR917" t="s">
        <v>1203</v>
      </c>
    </row>
    <row r="918" spans="1:44" x14ac:dyDescent="0.25">
      <c r="A918" s="1">
        <v>45936</v>
      </c>
      <c r="B918" t="s">
        <v>1201</v>
      </c>
      <c r="C918">
        <v>649163</v>
      </c>
      <c r="D918">
        <v>2016855836</v>
      </c>
      <c r="E918" t="s">
        <v>634</v>
      </c>
      <c r="F918" t="s">
        <v>362</v>
      </c>
      <c r="G918" t="s">
        <v>51</v>
      </c>
      <c r="I918" t="s">
        <v>243</v>
      </c>
      <c r="J918" t="s">
        <v>244</v>
      </c>
      <c r="K918">
        <v>649163</v>
      </c>
      <c r="L918" t="s">
        <v>172</v>
      </c>
      <c r="M918" t="s">
        <v>173</v>
      </c>
      <c r="N918" t="s">
        <v>456</v>
      </c>
      <c r="O918" s="1">
        <v>44896</v>
      </c>
      <c r="P918" s="1">
        <v>45936</v>
      </c>
      <c r="R918" s="2">
        <v>0</v>
      </c>
      <c r="AB918" s="2">
        <v>0</v>
      </c>
      <c r="AC918" s="2">
        <v>0</v>
      </c>
      <c r="AE918" s="2">
        <v>0</v>
      </c>
      <c r="AF918" s="2">
        <v>0</v>
      </c>
      <c r="AG918" s="2">
        <v>0</v>
      </c>
      <c r="AH918" s="2">
        <v>0</v>
      </c>
      <c r="AI918" s="2">
        <v>0</v>
      </c>
      <c r="AJ918" s="2">
        <v>0</v>
      </c>
      <c r="AK918" s="2">
        <v>0</v>
      </c>
      <c r="AL918" s="2">
        <v>0</v>
      </c>
      <c r="AM918" s="2">
        <v>0</v>
      </c>
      <c r="AN918" s="2">
        <v>0</v>
      </c>
      <c r="AO918" s="2">
        <v>0</v>
      </c>
      <c r="AP918" s="2">
        <v>0</v>
      </c>
      <c r="AQ918" s="2">
        <v>0</v>
      </c>
      <c r="AR918" t="s">
        <v>1203</v>
      </c>
    </row>
    <row r="919" spans="1:44" x14ac:dyDescent="0.25">
      <c r="A919" s="1">
        <v>45936</v>
      </c>
      <c r="B919" t="s">
        <v>1201</v>
      </c>
      <c r="C919">
        <v>371819</v>
      </c>
      <c r="D919">
        <v>2025154616</v>
      </c>
      <c r="E919" t="s">
        <v>1205</v>
      </c>
      <c r="F919" t="s">
        <v>626</v>
      </c>
      <c r="G919" t="s">
        <v>51</v>
      </c>
      <c r="I919" t="s">
        <v>292</v>
      </c>
      <c r="J919" t="s">
        <v>293</v>
      </c>
      <c r="K919">
        <v>371819</v>
      </c>
      <c r="L919" t="s">
        <v>283</v>
      </c>
      <c r="M919" t="s">
        <v>284</v>
      </c>
      <c r="N919" t="s">
        <v>456</v>
      </c>
      <c r="O919" s="1">
        <v>45581</v>
      </c>
      <c r="P919" s="1">
        <v>45936</v>
      </c>
      <c r="R919" s="2">
        <v>0</v>
      </c>
      <c r="AB919" s="2">
        <v>0</v>
      </c>
      <c r="AC919" s="2">
        <v>0</v>
      </c>
      <c r="AE919" s="2">
        <v>0</v>
      </c>
      <c r="AF919" s="2">
        <v>0</v>
      </c>
      <c r="AG919" s="2">
        <v>0</v>
      </c>
      <c r="AH919" s="2">
        <v>0</v>
      </c>
      <c r="AI919" s="2">
        <v>0</v>
      </c>
      <c r="AJ919" s="2">
        <v>0</v>
      </c>
      <c r="AK919" s="2">
        <v>0</v>
      </c>
      <c r="AL919" s="2">
        <v>0</v>
      </c>
      <c r="AM919" s="2">
        <v>0</v>
      </c>
      <c r="AN919" s="2">
        <v>0</v>
      </c>
      <c r="AO919" s="2">
        <v>0</v>
      </c>
      <c r="AP919" s="2">
        <v>0</v>
      </c>
      <c r="AQ919" s="2">
        <v>0</v>
      </c>
      <c r="AR919" t="s">
        <v>1203</v>
      </c>
    </row>
    <row r="920" spans="1:44" x14ac:dyDescent="0.25">
      <c r="A920" s="1">
        <v>45936</v>
      </c>
      <c r="B920" t="s">
        <v>1201</v>
      </c>
      <c r="C920">
        <v>649163</v>
      </c>
      <c r="D920">
        <v>2016855834</v>
      </c>
      <c r="E920" t="s">
        <v>634</v>
      </c>
      <c r="F920" t="s">
        <v>362</v>
      </c>
      <c r="G920" t="s">
        <v>51</v>
      </c>
      <c r="I920" t="s">
        <v>53</v>
      </c>
      <c r="J920" t="s">
        <v>635</v>
      </c>
      <c r="K920">
        <v>649163</v>
      </c>
      <c r="L920" t="s">
        <v>172</v>
      </c>
      <c r="M920" t="s">
        <v>173</v>
      </c>
      <c r="N920" t="s">
        <v>456</v>
      </c>
      <c r="O920" s="1">
        <v>44896</v>
      </c>
      <c r="P920" s="1">
        <v>45936</v>
      </c>
      <c r="R920" s="2">
        <v>0</v>
      </c>
      <c r="AB920" s="2">
        <v>0</v>
      </c>
      <c r="AC920" s="2">
        <v>0</v>
      </c>
      <c r="AE920" s="2">
        <v>0</v>
      </c>
      <c r="AF920" s="2">
        <v>0</v>
      </c>
      <c r="AG920" s="2">
        <v>0</v>
      </c>
      <c r="AH920" s="2">
        <v>0</v>
      </c>
      <c r="AI920" s="2">
        <v>0</v>
      </c>
      <c r="AJ920" s="2">
        <v>0</v>
      </c>
      <c r="AK920" s="2">
        <v>0</v>
      </c>
      <c r="AL920" s="2">
        <v>0</v>
      </c>
      <c r="AM920" s="2">
        <v>0</v>
      </c>
      <c r="AN920" s="2">
        <v>0</v>
      </c>
      <c r="AO920" s="2">
        <v>0</v>
      </c>
      <c r="AP920" s="2">
        <v>0</v>
      </c>
      <c r="AQ920" s="2">
        <v>0</v>
      </c>
      <c r="AR920" t="s">
        <v>1203</v>
      </c>
    </row>
    <row r="921" spans="1:44" x14ac:dyDescent="0.25">
      <c r="A921" s="1">
        <v>45936</v>
      </c>
      <c r="B921" t="s">
        <v>1201</v>
      </c>
      <c r="C921">
        <v>20436896</v>
      </c>
      <c r="D921">
        <v>2016921674</v>
      </c>
      <c r="E921" t="s">
        <v>1202</v>
      </c>
      <c r="F921" t="s">
        <v>441</v>
      </c>
      <c r="G921" t="s">
        <v>51</v>
      </c>
      <c r="I921" t="s">
        <v>53</v>
      </c>
      <c r="J921" t="s">
        <v>65</v>
      </c>
      <c r="K921">
        <v>20436896</v>
      </c>
      <c r="L921" t="s">
        <v>80</v>
      </c>
      <c r="M921" t="s">
        <v>537</v>
      </c>
      <c r="N921" t="s">
        <v>456</v>
      </c>
      <c r="O921" s="1">
        <v>44927</v>
      </c>
      <c r="P921" s="1">
        <v>45936</v>
      </c>
      <c r="R921" s="2">
        <v>0</v>
      </c>
      <c r="AB921" s="2">
        <v>0</v>
      </c>
      <c r="AC921" s="2">
        <v>0</v>
      </c>
      <c r="AE921" s="2">
        <v>0</v>
      </c>
      <c r="AF921" s="2">
        <v>0</v>
      </c>
      <c r="AG921" s="2">
        <v>0</v>
      </c>
      <c r="AH921" s="2">
        <v>0</v>
      </c>
      <c r="AI921" s="2">
        <v>0</v>
      </c>
      <c r="AJ921" s="2">
        <v>0</v>
      </c>
      <c r="AK921" s="2">
        <v>0</v>
      </c>
      <c r="AL921" s="2">
        <v>0</v>
      </c>
      <c r="AM921" s="2">
        <v>0</v>
      </c>
      <c r="AN921" s="2">
        <v>0</v>
      </c>
      <c r="AO921" s="2">
        <v>0</v>
      </c>
      <c r="AP921" s="2">
        <v>0</v>
      </c>
      <c r="AQ921" s="2">
        <v>0</v>
      </c>
      <c r="AR921" t="s">
        <v>1203</v>
      </c>
    </row>
    <row r="922" spans="1:44" x14ac:dyDescent="0.25">
      <c r="A922" s="1">
        <v>45936</v>
      </c>
      <c r="B922" t="s">
        <v>1201</v>
      </c>
      <c r="C922">
        <v>18828278</v>
      </c>
      <c r="D922">
        <v>2025305258</v>
      </c>
      <c r="E922" t="s">
        <v>1204</v>
      </c>
      <c r="F922" t="s">
        <v>132</v>
      </c>
      <c r="G922" t="s">
        <v>51</v>
      </c>
      <c r="I922" t="s">
        <v>292</v>
      </c>
      <c r="J922" t="s">
        <v>293</v>
      </c>
      <c r="K922">
        <v>18828278</v>
      </c>
      <c r="L922" t="s">
        <v>815</v>
      </c>
      <c r="M922" t="s">
        <v>482</v>
      </c>
      <c r="N922" t="s">
        <v>456</v>
      </c>
      <c r="O922" s="1">
        <v>45602</v>
      </c>
      <c r="P922" s="1">
        <v>45936</v>
      </c>
      <c r="R922" s="2">
        <v>0</v>
      </c>
      <c r="AB922" s="2">
        <v>0</v>
      </c>
      <c r="AC922" s="2">
        <v>0</v>
      </c>
      <c r="AE922" s="2">
        <v>0</v>
      </c>
      <c r="AF922" s="2">
        <v>0</v>
      </c>
      <c r="AG922" s="2">
        <v>0</v>
      </c>
      <c r="AH922" s="2">
        <v>0</v>
      </c>
      <c r="AI922" s="2">
        <v>0</v>
      </c>
      <c r="AJ922" s="2">
        <v>0</v>
      </c>
      <c r="AK922" s="2">
        <v>0</v>
      </c>
      <c r="AL922" s="2">
        <v>0</v>
      </c>
      <c r="AM922" s="2">
        <v>0</v>
      </c>
      <c r="AN922" s="2">
        <v>0</v>
      </c>
      <c r="AO922" s="2">
        <v>0</v>
      </c>
      <c r="AP922" s="2">
        <v>0</v>
      </c>
      <c r="AQ922" s="2">
        <v>0</v>
      </c>
      <c r="AR922" t="s">
        <v>1203</v>
      </c>
    </row>
    <row r="923" spans="1:44" x14ac:dyDescent="0.25">
      <c r="A923" s="1">
        <v>45936</v>
      </c>
      <c r="B923" t="s">
        <v>1201</v>
      </c>
      <c r="C923">
        <v>649163</v>
      </c>
      <c r="D923">
        <v>2027082733</v>
      </c>
      <c r="E923" t="s">
        <v>1000</v>
      </c>
      <c r="F923" t="s">
        <v>290</v>
      </c>
      <c r="G923" t="s">
        <v>51</v>
      </c>
      <c r="I923" t="s">
        <v>243</v>
      </c>
      <c r="J923" t="s">
        <v>244</v>
      </c>
      <c r="K923">
        <v>649163</v>
      </c>
      <c r="L923" t="s">
        <v>258</v>
      </c>
      <c r="M923" t="s">
        <v>259</v>
      </c>
      <c r="N923" t="s">
        <v>456</v>
      </c>
      <c r="O923" s="1">
        <v>45701</v>
      </c>
      <c r="P923" s="1">
        <v>45936</v>
      </c>
      <c r="R923" s="2">
        <v>0</v>
      </c>
      <c r="AB923" s="2">
        <v>0</v>
      </c>
      <c r="AC923" s="2">
        <v>0</v>
      </c>
      <c r="AE923" s="2">
        <v>0</v>
      </c>
      <c r="AF923" s="2">
        <v>0</v>
      </c>
      <c r="AG923" s="2">
        <v>0</v>
      </c>
      <c r="AH923" s="2">
        <v>0</v>
      </c>
      <c r="AI923" s="2">
        <v>0</v>
      </c>
      <c r="AJ923" s="2">
        <v>0</v>
      </c>
      <c r="AK923" s="2">
        <v>0</v>
      </c>
      <c r="AL923" s="2">
        <v>0</v>
      </c>
      <c r="AM923" s="2">
        <v>0</v>
      </c>
      <c r="AN923" s="2">
        <v>0</v>
      </c>
      <c r="AO923" s="2">
        <v>0</v>
      </c>
      <c r="AP923" s="2">
        <v>0</v>
      </c>
      <c r="AQ923" s="2">
        <v>0</v>
      </c>
      <c r="AR923" t="s">
        <v>1203</v>
      </c>
    </row>
    <row r="924" spans="1:44" x14ac:dyDescent="0.25">
      <c r="A924" s="1">
        <v>45936</v>
      </c>
      <c r="B924" t="s">
        <v>1201</v>
      </c>
      <c r="C924">
        <v>18781057</v>
      </c>
      <c r="D924">
        <v>2023476599</v>
      </c>
      <c r="E924" t="s">
        <v>396</v>
      </c>
      <c r="F924" t="s">
        <v>1206</v>
      </c>
      <c r="G924" t="s">
        <v>51</v>
      </c>
      <c r="I924" t="s">
        <v>287</v>
      </c>
      <c r="J924" t="s">
        <v>288</v>
      </c>
      <c r="K924">
        <v>18781057</v>
      </c>
      <c r="L924" t="s">
        <v>71</v>
      </c>
      <c r="M924" t="s">
        <v>72</v>
      </c>
      <c r="N924" t="s">
        <v>456</v>
      </c>
      <c r="O924" s="1">
        <v>45455</v>
      </c>
      <c r="P924" s="1">
        <v>45936</v>
      </c>
      <c r="R924" s="2">
        <v>0</v>
      </c>
      <c r="AB924" s="2">
        <v>0</v>
      </c>
      <c r="AC924" s="2">
        <v>0</v>
      </c>
      <c r="AE924" s="2">
        <v>0</v>
      </c>
      <c r="AF924" s="2">
        <v>0</v>
      </c>
      <c r="AG924" s="2">
        <v>0</v>
      </c>
      <c r="AH924" s="2">
        <v>0</v>
      </c>
      <c r="AI924" s="2">
        <v>0</v>
      </c>
      <c r="AJ924" s="2">
        <v>0</v>
      </c>
      <c r="AK924" s="2">
        <v>0</v>
      </c>
      <c r="AL924" s="2">
        <v>0</v>
      </c>
      <c r="AM924" s="2">
        <v>0</v>
      </c>
      <c r="AN924" s="2">
        <v>0</v>
      </c>
      <c r="AO924" s="2">
        <v>0</v>
      </c>
      <c r="AP924" s="2">
        <v>0</v>
      </c>
      <c r="AQ924" s="2">
        <v>0</v>
      </c>
      <c r="AR924" t="s">
        <v>1203</v>
      </c>
    </row>
    <row r="925" spans="1:44" x14ac:dyDescent="0.25">
      <c r="A925" s="1">
        <v>45936</v>
      </c>
      <c r="B925" t="s">
        <v>1201</v>
      </c>
      <c r="C925">
        <v>649163</v>
      </c>
      <c r="D925">
        <v>2024095024</v>
      </c>
      <c r="E925" t="s">
        <v>200</v>
      </c>
      <c r="F925" t="s">
        <v>201</v>
      </c>
      <c r="G925" t="s">
        <v>51</v>
      </c>
      <c r="I925" t="s">
        <v>89</v>
      </c>
      <c r="J925" t="s">
        <v>111</v>
      </c>
      <c r="K925">
        <v>649163</v>
      </c>
      <c r="L925" t="s">
        <v>80</v>
      </c>
      <c r="M925" t="s">
        <v>81</v>
      </c>
      <c r="N925" t="s">
        <v>456</v>
      </c>
      <c r="O925" s="1">
        <v>45505</v>
      </c>
      <c r="P925" s="1">
        <v>45936</v>
      </c>
      <c r="R925" s="2">
        <v>0</v>
      </c>
      <c r="AB925" s="2">
        <v>0</v>
      </c>
      <c r="AC925" s="2">
        <v>0</v>
      </c>
      <c r="AE925" s="2">
        <v>0</v>
      </c>
      <c r="AF925" s="2">
        <v>0</v>
      </c>
      <c r="AG925" s="2">
        <v>0</v>
      </c>
      <c r="AH925" s="2">
        <v>0</v>
      </c>
      <c r="AI925" s="2">
        <v>0</v>
      </c>
      <c r="AJ925" s="2">
        <v>0</v>
      </c>
      <c r="AK925" s="2">
        <v>0</v>
      </c>
      <c r="AL925" s="2">
        <v>0</v>
      </c>
      <c r="AM925" s="2">
        <v>0</v>
      </c>
      <c r="AN925" s="2">
        <v>0</v>
      </c>
      <c r="AO925" s="2">
        <v>0</v>
      </c>
      <c r="AP925" s="2">
        <v>0</v>
      </c>
      <c r="AQ925" s="2">
        <v>0</v>
      </c>
      <c r="AR925" t="s">
        <v>1203</v>
      </c>
    </row>
    <row r="926" spans="1:44" x14ac:dyDescent="0.25">
      <c r="A926" s="1">
        <v>45936</v>
      </c>
      <c r="B926" t="s">
        <v>1201</v>
      </c>
      <c r="C926">
        <v>649163</v>
      </c>
      <c r="D926">
        <v>2020895974</v>
      </c>
      <c r="E926" t="s">
        <v>97</v>
      </c>
      <c r="F926" t="s">
        <v>482</v>
      </c>
      <c r="G926" t="s">
        <v>51</v>
      </c>
      <c r="I926" t="s">
        <v>344</v>
      </c>
      <c r="J926" t="s">
        <v>553</v>
      </c>
      <c r="K926">
        <v>649163</v>
      </c>
      <c r="L926" t="s">
        <v>80</v>
      </c>
      <c r="M926" t="s">
        <v>81</v>
      </c>
      <c r="N926" t="s">
        <v>456</v>
      </c>
      <c r="O926" s="1">
        <v>45657</v>
      </c>
      <c r="P926" s="1">
        <v>45936</v>
      </c>
      <c r="R926" s="2">
        <v>0</v>
      </c>
      <c r="AB926" s="2">
        <v>0</v>
      </c>
      <c r="AC926" s="2">
        <v>0</v>
      </c>
      <c r="AE926" s="2">
        <v>0</v>
      </c>
      <c r="AF926" s="2">
        <v>0</v>
      </c>
      <c r="AG926" s="2">
        <v>0</v>
      </c>
      <c r="AH926" s="2">
        <v>0</v>
      </c>
      <c r="AI926" s="2">
        <v>0</v>
      </c>
      <c r="AJ926" s="2">
        <v>0</v>
      </c>
      <c r="AK926" s="2">
        <v>0</v>
      </c>
      <c r="AL926" s="2">
        <v>0</v>
      </c>
      <c r="AM926" s="2">
        <v>0</v>
      </c>
      <c r="AN926" s="2">
        <v>0</v>
      </c>
      <c r="AO926" s="2">
        <v>0</v>
      </c>
      <c r="AP926" s="2">
        <v>0</v>
      </c>
      <c r="AQ926" s="2">
        <v>0</v>
      </c>
      <c r="AR926" t="s">
        <v>1203</v>
      </c>
    </row>
    <row r="927" spans="1:44" x14ac:dyDescent="0.25">
      <c r="A927" s="1">
        <v>45936</v>
      </c>
      <c r="B927" t="s">
        <v>1201</v>
      </c>
      <c r="C927">
        <v>19681796</v>
      </c>
      <c r="D927">
        <v>2026877427</v>
      </c>
      <c r="E927" t="s">
        <v>1212</v>
      </c>
      <c r="F927" t="s">
        <v>482</v>
      </c>
      <c r="G927" t="s">
        <v>51</v>
      </c>
      <c r="I927" t="s">
        <v>292</v>
      </c>
      <c r="J927" t="s">
        <v>293</v>
      </c>
      <c r="K927">
        <v>19681796</v>
      </c>
      <c r="L927" t="s">
        <v>408</v>
      </c>
      <c r="M927" t="s">
        <v>410</v>
      </c>
      <c r="N927" t="s">
        <v>456</v>
      </c>
      <c r="O927" s="1">
        <v>45689</v>
      </c>
      <c r="P927" s="1">
        <v>45936</v>
      </c>
      <c r="R927" s="2">
        <v>0</v>
      </c>
      <c r="AB927" s="2">
        <v>0</v>
      </c>
      <c r="AC927" s="2">
        <v>0</v>
      </c>
      <c r="AE927" s="2">
        <v>0</v>
      </c>
      <c r="AF927" s="2">
        <v>0</v>
      </c>
      <c r="AG927" s="2">
        <v>0</v>
      </c>
      <c r="AH927" s="2">
        <v>0</v>
      </c>
      <c r="AI927" s="2">
        <v>0</v>
      </c>
      <c r="AJ927" s="2">
        <v>0</v>
      </c>
      <c r="AK927" s="2">
        <v>0</v>
      </c>
      <c r="AL927" s="2">
        <v>0</v>
      </c>
      <c r="AM927" s="2">
        <v>0</v>
      </c>
      <c r="AN927" s="2">
        <v>0</v>
      </c>
      <c r="AO927" s="2">
        <v>0</v>
      </c>
      <c r="AP927" s="2">
        <v>0</v>
      </c>
      <c r="AQ927" s="2">
        <v>0</v>
      </c>
      <c r="AR927" t="s">
        <v>1203</v>
      </c>
    </row>
    <row r="928" spans="1:44" x14ac:dyDescent="0.25">
      <c r="A928" s="1">
        <v>45936</v>
      </c>
      <c r="B928" t="s">
        <v>1201</v>
      </c>
      <c r="C928">
        <v>371819</v>
      </c>
      <c r="D928">
        <v>2027012191</v>
      </c>
      <c r="E928" t="s">
        <v>1213</v>
      </c>
      <c r="F928" t="s">
        <v>860</v>
      </c>
      <c r="G928" t="s">
        <v>51</v>
      </c>
      <c r="I928" t="s">
        <v>292</v>
      </c>
      <c r="J928" t="s">
        <v>295</v>
      </c>
      <c r="K928">
        <v>371819</v>
      </c>
      <c r="L928" t="s">
        <v>283</v>
      </c>
      <c r="M928" t="s">
        <v>284</v>
      </c>
      <c r="N928" t="s">
        <v>456</v>
      </c>
      <c r="O928" s="1">
        <v>45696</v>
      </c>
      <c r="P928" s="1">
        <v>45936</v>
      </c>
      <c r="R928" s="2">
        <v>0</v>
      </c>
      <c r="AB928" s="2">
        <v>0</v>
      </c>
      <c r="AC928" s="2">
        <v>0</v>
      </c>
      <c r="AE928" s="2">
        <v>0</v>
      </c>
      <c r="AF928" s="2">
        <v>0</v>
      </c>
      <c r="AG928" s="2">
        <v>0</v>
      </c>
      <c r="AH928" s="2">
        <v>0</v>
      </c>
      <c r="AI928" s="2">
        <v>0</v>
      </c>
      <c r="AJ928" s="2">
        <v>0</v>
      </c>
      <c r="AK928" s="2">
        <v>0</v>
      </c>
      <c r="AL928" s="2">
        <v>0</v>
      </c>
      <c r="AM928" s="2">
        <v>0</v>
      </c>
      <c r="AN928" s="2">
        <v>0</v>
      </c>
      <c r="AO928" s="2">
        <v>0</v>
      </c>
      <c r="AP928" s="2">
        <v>0</v>
      </c>
      <c r="AQ928" s="2">
        <v>0</v>
      </c>
      <c r="AR928" t="s">
        <v>1203</v>
      </c>
    </row>
    <row r="929" spans="1:44" x14ac:dyDescent="0.25">
      <c r="A929" s="1">
        <v>45936</v>
      </c>
      <c r="B929" t="s">
        <v>1201</v>
      </c>
      <c r="C929">
        <v>21435997</v>
      </c>
      <c r="D929">
        <v>2028615204</v>
      </c>
      <c r="E929" t="s">
        <v>1214</v>
      </c>
      <c r="F929" t="s">
        <v>1215</v>
      </c>
      <c r="G929" t="s">
        <v>51</v>
      </c>
      <c r="I929" t="s">
        <v>292</v>
      </c>
      <c r="J929" t="s">
        <v>293</v>
      </c>
      <c r="K929">
        <v>21435997</v>
      </c>
      <c r="L929" t="s">
        <v>269</v>
      </c>
      <c r="M929" t="s">
        <v>270</v>
      </c>
      <c r="N929" t="s">
        <v>456</v>
      </c>
      <c r="O929" s="1">
        <v>45784</v>
      </c>
      <c r="P929" s="1">
        <v>45936</v>
      </c>
      <c r="R929" s="2">
        <v>0</v>
      </c>
      <c r="AB929" s="2">
        <v>0</v>
      </c>
      <c r="AC929" s="2">
        <v>0</v>
      </c>
      <c r="AE929" s="2">
        <v>0</v>
      </c>
      <c r="AF929" s="2">
        <v>0</v>
      </c>
      <c r="AG929" s="2">
        <v>0</v>
      </c>
      <c r="AH929" s="2">
        <v>0</v>
      </c>
      <c r="AI929" s="2">
        <v>0</v>
      </c>
      <c r="AJ929" s="2">
        <v>0</v>
      </c>
      <c r="AK929" s="2">
        <v>0</v>
      </c>
      <c r="AL929" s="2">
        <v>0</v>
      </c>
      <c r="AM929" s="2">
        <v>0</v>
      </c>
      <c r="AN929" s="2">
        <v>0</v>
      </c>
      <c r="AO929" s="2">
        <v>0</v>
      </c>
      <c r="AP929" s="2">
        <v>0</v>
      </c>
      <c r="AQ929" s="2">
        <v>0</v>
      </c>
      <c r="AR929" t="s">
        <v>1203</v>
      </c>
    </row>
    <row r="930" spans="1:44" x14ac:dyDescent="0.25">
      <c r="A930" s="1">
        <v>45936</v>
      </c>
      <c r="B930" t="s">
        <v>1201</v>
      </c>
      <c r="C930">
        <v>371819</v>
      </c>
      <c r="D930">
        <v>2027012190</v>
      </c>
      <c r="E930" t="s">
        <v>1213</v>
      </c>
      <c r="F930" t="s">
        <v>860</v>
      </c>
      <c r="G930" t="s">
        <v>51</v>
      </c>
      <c r="I930" t="s">
        <v>243</v>
      </c>
      <c r="J930" t="s">
        <v>244</v>
      </c>
      <c r="K930">
        <v>371819</v>
      </c>
      <c r="L930" t="s">
        <v>283</v>
      </c>
      <c r="M930" t="s">
        <v>284</v>
      </c>
      <c r="N930" t="s">
        <v>456</v>
      </c>
      <c r="O930" s="1">
        <v>45696</v>
      </c>
      <c r="P930" s="1">
        <v>45936</v>
      </c>
      <c r="R930" s="2">
        <v>0</v>
      </c>
      <c r="AB930" s="2">
        <v>0</v>
      </c>
      <c r="AC930" s="2">
        <v>0</v>
      </c>
      <c r="AE930" s="2">
        <v>0</v>
      </c>
      <c r="AF930" s="2">
        <v>0</v>
      </c>
      <c r="AG930" s="2">
        <v>0</v>
      </c>
      <c r="AH930" s="2">
        <v>0</v>
      </c>
      <c r="AI930" s="2">
        <v>0</v>
      </c>
      <c r="AJ930" s="2">
        <v>0</v>
      </c>
      <c r="AK930" s="2">
        <v>0</v>
      </c>
      <c r="AL930" s="2">
        <v>0</v>
      </c>
      <c r="AM930" s="2">
        <v>0</v>
      </c>
      <c r="AN930" s="2">
        <v>0</v>
      </c>
      <c r="AO930" s="2">
        <v>0</v>
      </c>
      <c r="AP930" s="2">
        <v>0</v>
      </c>
      <c r="AQ930" s="2">
        <v>0</v>
      </c>
      <c r="AR930" t="s">
        <v>1203</v>
      </c>
    </row>
    <row r="931" spans="1:44" x14ac:dyDescent="0.25">
      <c r="A931" s="1">
        <v>45936</v>
      </c>
      <c r="B931" t="s">
        <v>1201</v>
      </c>
      <c r="C931">
        <v>649163</v>
      </c>
      <c r="D931">
        <v>2026682935</v>
      </c>
      <c r="E931" t="s">
        <v>994</v>
      </c>
      <c r="F931" t="s">
        <v>658</v>
      </c>
      <c r="G931" t="s">
        <v>51</v>
      </c>
      <c r="I931" t="s">
        <v>243</v>
      </c>
      <c r="J931" t="s">
        <v>244</v>
      </c>
      <c r="K931">
        <v>649163</v>
      </c>
      <c r="L931" t="s">
        <v>352</v>
      </c>
      <c r="M931" t="s">
        <v>353</v>
      </c>
      <c r="N931" t="s">
        <v>456</v>
      </c>
      <c r="O931" s="1">
        <v>45678</v>
      </c>
      <c r="P931" s="1">
        <v>45936</v>
      </c>
      <c r="R931" s="2">
        <v>0</v>
      </c>
      <c r="AB931" s="2">
        <v>0</v>
      </c>
      <c r="AC931" s="2">
        <v>0</v>
      </c>
      <c r="AE931" s="2">
        <v>0</v>
      </c>
      <c r="AF931" s="2">
        <v>0</v>
      </c>
      <c r="AG931" s="2">
        <v>0</v>
      </c>
      <c r="AH931" s="2">
        <v>0</v>
      </c>
      <c r="AI931" s="2">
        <v>0</v>
      </c>
      <c r="AJ931" s="2">
        <v>0</v>
      </c>
      <c r="AK931" s="2">
        <v>0</v>
      </c>
      <c r="AL931" s="2">
        <v>0</v>
      </c>
      <c r="AM931" s="2">
        <v>0</v>
      </c>
      <c r="AN931" s="2">
        <v>0</v>
      </c>
      <c r="AO931" s="2">
        <v>0</v>
      </c>
      <c r="AP931" s="2">
        <v>0</v>
      </c>
      <c r="AQ931" s="2">
        <v>0</v>
      </c>
      <c r="AR931" t="s">
        <v>1203</v>
      </c>
    </row>
    <row r="932" spans="1:44" x14ac:dyDescent="0.25">
      <c r="A932" s="1">
        <v>45936</v>
      </c>
      <c r="B932" t="s">
        <v>1201</v>
      </c>
      <c r="C932">
        <v>18754354</v>
      </c>
      <c r="D932">
        <v>2026652335</v>
      </c>
      <c r="E932" t="s">
        <v>1216</v>
      </c>
      <c r="F932" t="s">
        <v>235</v>
      </c>
      <c r="G932" t="s">
        <v>51</v>
      </c>
      <c r="I932" t="s">
        <v>243</v>
      </c>
      <c r="J932" t="s">
        <v>244</v>
      </c>
      <c r="K932">
        <v>18754354</v>
      </c>
      <c r="L932" t="s">
        <v>91</v>
      </c>
      <c r="M932" t="s">
        <v>92</v>
      </c>
      <c r="N932" t="s">
        <v>456</v>
      </c>
      <c r="O932" s="1">
        <v>45689</v>
      </c>
      <c r="P932" s="1">
        <v>45936</v>
      </c>
      <c r="R932" s="2">
        <v>0</v>
      </c>
      <c r="AB932" s="2">
        <v>0</v>
      </c>
      <c r="AC932" s="2">
        <v>0</v>
      </c>
      <c r="AE932" s="2">
        <v>0</v>
      </c>
      <c r="AF932" s="2">
        <v>0</v>
      </c>
      <c r="AG932" s="2">
        <v>0</v>
      </c>
      <c r="AH932" s="2">
        <v>0</v>
      </c>
      <c r="AI932" s="2">
        <v>0</v>
      </c>
      <c r="AJ932" s="2">
        <v>0</v>
      </c>
      <c r="AK932" s="2">
        <v>0</v>
      </c>
      <c r="AL932" s="2">
        <v>0</v>
      </c>
      <c r="AM932" s="2">
        <v>0</v>
      </c>
      <c r="AN932" s="2">
        <v>0</v>
      </c>
      <c r="AO932" s="2">
        <v>0</v>
      </c>
      <c r="AP932" s="2">
        <v>0</v>
      </c>
      <c r="AQ932" s="2">
        <v>0</v>
      </c>
      <c r="AR932" t="s">
        <v>1203</v>
      </c>
    </row>
    <row r="933" spans="1:44" x14ac:dyDescent="0.25">
      <c r="A933" s="1">
        <v>45936</v>
      </c>
      <c r="B933" t="s">
        <v>1201</v>
      </c>
      <c r="C933">
        <v>16378851</v>
      </c>
      <c r="D933">
        <v>2028048548</v>
      </c>
      <c r="E933" t="s">
        <v>1217</v>
      </c>
      <c r="F933" t="s">
        <v>362</v>
      </c>
      <c r="G933" t="s">
        <v>51</v>
      </c>
      <c r="I933" t="s">
        <v>292</v>
      </c>
      <c r="J933" t="s">
        <v>293</v>
      </c>
      <c r="K933">
        <v>16378851</v>
      </c>
      <c r="L933" t="s">
        <v>97</v>
      </c>
      <c r="M933" t="s">
        <v>98</v>
      </c>
      <c r="N933" t="s">
        <v>456</v>
      </c>
      <c r="O933" s="1">
        <v>45748</v>
      </c>
      <c r="P933" s="1">
        <v>45936</v>
      </c>
      <c r="R933" s="2">
        <v>0</v>
      </c>
      <c r="AB933" s="2">
        <v>0</v>
      </c>
      <c r="AC933" s="2">
        <v>0</v>
      </c>
      <c r="AE933" s="2">
        <v>0</v>
      </c>
      <c r="AF933" s="2">
        <v>0</v>
      </c>
      <c r="AG933" s="2">
        <v>0</v>
      </c>
      <c r="AH933" s="2">
        <v>0</v>
      </c>
      <c r="AI933" s="2">
        <v>0</v>
      </c>
      <c r="AJ933" s="2">
        <v>0</v>
      </c>
      <c r="AK933" s="2">
        <v>0</v>
      </c>
      <c r="AL933" s="2">
        <v>0</v>
      </c>
      <c r="AM933" s="2">
        <v>0</v>
      </c>
      <c r="AN933" s="2">
        <v>0</v>
      </c>
      <c r="AO933" s="2">
        <v>0</v>
      </c>
      <c r="AP933" s="2">
        <v>0</v>
      </c>
      <c r="AQ933" s="2">
        <v>0</v>
      </c>
      <c r="AR933" t="s">
        <v>1203</v>
      </c>
    </row>
    <row r="934" spans="1:44" x14ac:dyDescent="0.25">
      <c r="A934" s="1">
        <v>45936</v>
      </c>
      <c r="B934" t="s">
        <v>1201</v>
      </c>
      <c r="C934">
        <v>18201929</v>
      </c>
      <c r="D934">
        <v>2029292997</v>
      </c>
      <c r="E934" t="s">
        <v>1218</v>
      </c>
      <c r="F934" t="s">
        <v>1219</v>
      </c>
      <c r="G934" t="s">
        <v>51</v>
      </c>
      <c r="I934" t="s">
        <v>89</v>
      </c>
      <c r="J934" t="s">
        <v>102</v>
      </c>
      <c r="K934">
        <v>18201929</v>
      </c>
      <c r="L934" t="s">
        <v>298</v>
      </c>
      <c r="M934" t="s">
        <v>299</v>
      </c>
      <c r="N934" t="s">
        <v>456</v>
      </c>
      <c r="O934" s="1">
        <v>45839</v>
      </c>
      <c r="P934" s="1">
        <v>45936</v>
      </c>
      <c r="R934" s="2">
        <v>0</v>
      </c>
      <c r="AB934" s="2">
        <v>252.45</v>
      </c>
      <c r="AC934" s="2">
        <v>0</v>
      </c>
      <c r="AE934" s="2">
        <v>0</v>
      </c>
      <c r="AF934" s="2">
        <v>0</v>
      </c>
      <c r="AG934" s="2">
        <v>0</v>
      </c>
      <c r="AH934" s="2">
        <v>0</v>
      </c>
      <c r="AI934" s="2">
        <v>0</v>
      </c>
      <c r="AJ934" s="2">
        <v>0</v>
      </c>
      <c r="AK934" s="2">
        <v>0</v>
      </c>
      <c r="AL934" s="2">
        <v>0</v>
      </c>
      <c r="AM934" s="2">
        <v>168.31</v>
      </c>
      <c r="AN934" s="2">
        <v>-84.14</v>
      </c>
      <c r="AO934" s="2">
        <v>-84.14</v>
      </c>
      <c r="AP934" s="2">
        <v>0</v>
      </c>
      <c r="AQ934" s="2">
        <v>0</v>
      </c>
      <c r="AR934" t="s">
        <v>1203</v>
      </c>
    </row>
    <row r="935" spans="1:44" x14ac:dyDescent="0.25">
      <c r="A935" s="1">
        <v>45936</v>
      </c>
      <c r="B935" t="s">
        <v>1201</v>
      </c>
      <c r="C935">
        <v>19681796</v>
      </c>
      <c r="D935">
        <v>2029949953</v>
      </c>
      <c r="E935" t="s">
        <v>1220</v>
      </c>
      <c r="F935" t="s">
        <v>482</v>
      </c>
      <c r="G935" t="s">
        <v>51</v>
      </c>
      <c r="I935" t="s">
        <v>292</v>
      </c>
      <c r="J935" t="s">
        <v>293</v>
      </c>
      <c r="K935">
        <v>19681796</v>
      </c>
      <c r="L935" t="s">
        <v>408</v>
      </c>
      <c r="M935" t="s">
        <v>410</v>
      </c>
      <c r="N935" t="s">
        <v>456</v>
      </c>
      <c r="O935" s="1">
        <v>45853</v>
      </c>
      <c r="P935" s="1">
        <v>45936</v>
      </c>
      <c r="R935" s="2">
        <v>0</v>
      </c>
      <c r="AB935" s="2">
        <v>130.62</v>
      </c>
      <c r="AC935" s="2">
        <v>0</v>
      </c>
      <c r="AE935" s="2">
        <v>0</v>
      </c>
      <c r="AF935" s="2">
        <v>0</v>
      </c>
      <c r="AG935" s="2">
        <v>0</v>
      </c>
      <c r="AH935" s="2">
        <v>0</v>
      </c>
      <c r="AI935" s="2">
        <v>0</v>
      </c>
      <c r="AJ935" s="2">
        <v>0</v>
      </c>
      <c r="AK935" s="2">
        <v>0</v>
      </c>
      <c r="AL935" s="2">
        <v>0</v>
      </c>
      <c r="AM935" s="2">
        <v>65.31</v>
      </c>
      <c r="AN935" s="2">
        <v>-65.31</v>
      </c>
      <c r="AO935" s="2">
        <v>-65.31</v>
      </c>
      <c r="AP935" s="2">
        <v>0</v>
      </c>
      <c r="AQ935" s="2">
        <v>0</v>
      </c>
      <c r="AR935" t="s">
        <v>1203</v>
      </c>
    </row>
    <row r="936" spans="1:44" x14ac:dyDescent="0.25">
      <c r="A936" s="1">
        <v>45936</v>
      </c>
      <c r="B936" t="s">
        <v>1201</v>
      </c>
      <c r="C936">
        <v>649163</v>
      </c>
      <c r="D936">
        <v>2027965833</v>
      </c>
      <c r="E936" t="s">
        <v>765</v>
      </c>
      <c r="F936" t="s">
        <v>63</v>
      </c>
      <c r="G936" t="s">
        <v>51</v>
      </c>
      <c r="I936" t="s">
        <v>292</v>
      </c>
      <c r="J936" t="s">
        <v>293</v>
      </c>
      <c r="K936">
        <v>649163</v>
      </c>
      <c r="L936" t="s">
        <v>91</v>
      </c>
      <c r="M936" t="s">
        <v>92</v>
      </c>
      <c r="N936" t="s">
        <v>456</v>
      </c>
      <c r="O936" s="1">
        <v>45738</v>
      </c>
      <c r="P936" s="1">
        <v>45936</v>
      </c>
      <c r="R936" s="2">
        <v>0</v>
      </c>
      <c r="AB936" s="2">
        <v>0</v>
      </c>
      <c r="AC936" s="2">
        <v>0</v>
      </c>
      <c r="AE936" s="2">
        <v>0</v>
      </c>
      <c r="AF936" s="2">
        <v>0</v>
      </c>
      <c r="AG936" s="2">
        <v>0</v>
      </c>
      <c r="AH936" s="2">
        <v>0</v>
      </c>
      <c r="AI936" s="2">
        <v>0</v>
      </c>
      <c r="AJ936" s="2">
        <v>0</v>
      </c>
      <c r="AK936" s="2">
        <v>0</v>
      </c>
      <c r="AL936" s="2">
        <v>0</v>
      </c>
      <c r="AM936" s="2">
        <v>0</v>
      </c>
      <c r="AN936" s="2">
        <v>0</v>
      </c>
      <c r="AO936" s="2">
        <v>0</v>
      </c>
      <c r="AP936" s="2">
        <v>0</v>
      </c>
      <c r="AQ936" s="2">
        <v>0</v>
      </c>
      <c r="AR936" t="s">
        <v>1203</v>
      </c>
    </row>
    <row r="937" spans="1:44" x14ac:dyDescent="0.25">
      <c r="A937" s="1">
        <v>45936</v>
      </c>
      <c r="B937" t="s">
        <v>1201</v>
      </c>
      <c r="C937">
        <v>649163</v>
      </c>
      <c r="D937">
        <v>2029290191</v>
      </c>
      <c r="E937" t="s">
        <v>786</v>
      </c>
      <c r="F937" t="s">
        <v>787</v>
      </c>
      <c r="G937" t="s">
        <v>51</v>
      </c>
      <c r="I937" t="s">
        <v>89</v>
      </c>
      <c r="J937" t="s">
        <v>96</v>
      </c>
      <c r="K937">
        <v>649163</v>
      </c>
      <c r="L937" t="s">
        <v>273</v>
      </c>
      <c r="M937" t="s">
        <v>274</v>
      </c>
      <c r="N937" t="s">
        <v>456</v>
      </c>
      <c r="O937" s="1">
        <v>45839</v>
      </c>
      <c r="P937" s="1">
        <v>45936</v>
      </c>
      <c r="R937" s="2">
        <v>0</v>
      </c>
      <c r="AB937" s="2">
        <v>429.35</v>
      </c>
      <c r="AC937" s="2">
        <v>0</v>
      </c>
      <c r="AE937" s="2">
        <v>0</v>
      </c>
      <c r="AF937" s="2">
        <v>0</v>
      </c>
      <c r="AG937" s="2">
        <v>0</v>
      </c>
      <c r="AH937" s="2">
        <v>0</v>
      </c>
      <c r="AI937" s="2">
        <v>0</v>
      </c>
      <c r="AJ937" s="2">
        <v>0</v>
      </c>
      <c r="AK937" s="2">
        <v>0</v>
      </c>
      <c r="AL937" s="2">
        <v>0</v>
      </c>
      <c r="AM937" s="2">
        <v>286.24</v>
      </c>
      <c r="AN937" s="2">
        <v>-143.11000000000001</v>
      </c>
      <c r="AO937" s="2">
        <v>-143.11000000000001</v>
      </c>
      <c r="AP937" s="2">
        <v>0</v>
      </c>
      <c r="AQ937" s="2">
        <v>0</v>
      </c>
      <c r="AR937" t="s">
        <v>1203</v>
      </c>
    </row>
    <row r="938" spans="1:44" x14ac:dyDescent="0.25">
      <c r="A938" s="1">
        <v>45936</v>
      </c>
      <c r="B938" t="s">
        <v>1201</v>
      </c>
      <c r="C938">
        <v>649163</v>
      </c>
      <c r="D938">
        <v>2027965834</v>
      </c>
      <c r="E938" t="s">
        <v>765</v>
      </c>
      <c r="F938" t="s">
        <v>63</v>
      </c>
      <c r="G938" t="s">
        <v>51</v>
      </c>
      <c r="I938" t="s">
        <v>89</v>
      </c>
      <c r="J938" t="s">
        <v>90</v>
      </c>
      <c r="K938">
        <v>649163</v>
      </c>
      <c r="L938" t="s">
        <v>91</v>
      </c>
      <c r="M938" t="s">
        <v>92</v>
      </c>
      <c r="N938" t="s">
        <v>456</v>
      </c>
      <c r="O938" s="1">
        <v>45738</v>
      </c>
      <c r="P938" s="1">
        <v>45936</v>
      </c>
      <c r="R938" s="2">
        <v>0</v>
      </c>
      <c r="AB938" s="2">
        <v>0</v>
      </c>
      <c r="AC938" s="2">
        <v>0</v>
      </c>
      <c r="AE938" s="2">
        <v>0</v>
      </c>
      <c r="AF938" s="2">
        <v>0</v>
      </c>
      <c r="AG938" s="2">
        <v>0</v>
      </c>
      <c r="AH938" s="2">
        <v>0</v>
      </c>
      <c r="AI938" s="2">
        <v>0</v>
      </c>
      <c r="AJ938" s="2">
        <v>0</v>
      </c>
      <c r="AK938" s="2">
        <v>0</v>
      </c>
      <c r="AL938" s="2">
        <v>0</v>
      </c>
      <c r="AM938" s="2">
        <v>0</v>
      </c>
      <c r="AN938" s="2">
        <v>0</v>
      </c>
      <c r="AO938" s="2">
        <v>0</v>
      </c>
      <c r="AP938" s="2">
        <v>0</v>
      </c>
      <c r="AQ938" s="2">
        <v>0</v>
      </c>
      <c r="AR938" t="s">
        <v>1203</v>
      </c>
    </row>
    <row r="939" spans="1:44" x14ac:dyDescent="0.25">
      <c r="A939" s="1">
        <v>45936</v>
      </c>
      <c r="B939" t="s">
        <v>1201</v>
      </c>
      <c r="C939">
        <v>649163</v>
      </c>
      <c r="D939">
        <v>2029290190</v>
      </c>
      <c r="E939" t="s">
        <v>786</v>
      </c>
      <c r="F939" t="s">
        <v>787</v>
      </c>
      <c r="G939" t="s">
        <v>51</v>
      </c>
      <c r="I939" t="s">
        <v>243</v>
      </c>
      <c r="J939" t="s">
        <v>244</v>
      </c>
      <c r="K939">
        <v>649163</v>
      </c>
      <c r="L939" t="s">
        <v>273</v>
      </c>
      <c r="M939" t="s">
        <v>274</v>
      </c>
      <c r="N939" t="s">
        <v>456</v>
      </c>
      <c r="O939" s="1">
        <v>45839</v>
      </c>
      <c r="P939" s="1">
        <v>45936</v>
      </c>
      <c r="R939" s="2">
        <v>0</v>
      </c>
      <c r="AB939" s="2">
        <v>94.3</v>
      </c>
      <c r="AC939" s="2">
        <v>0</v>
      </c>
      <c r="AE939" s="2">
        <v>0</v>
      </c>
      <c r="AF939" s="2">
        <v>0</v>
      </c>
      <c r="AG939" s="2">
        <v>0</v>
      </c>
      <c r="AH939" s="2">
        <v>0</v>
      </c>
      <c r="AI939" s="2">
        <v>0</v>
      </c>
      <c r="AJ939" s="2">
        <v>0</v>
      </c>
      <c r="AK939" s="2">
        <v>0</v>
      </c>
      <c r="AL939" s="2">
        <v>0</v>
      </c>
      <c r="AM939" s="2">
        <v>62.87</v>
      </c>
      <c r="AN939" s="2">
        <v>-31.43</v>
      </c>
      <c r="AO939" s="2">
        <v>-31.43</v>
      </c>
      <c r="AP939" s="2">
        <v>0</v>
      </c>
      <c r="AQ939" s="2">
        <v>0</v>
      </c>
      <c r="AR939" t="s">
        <v>1203</v>
      </c>
    </row>
    <row r="940" spans="1:44" x14ac:dyDescent="0.25">
      <c r="A940" s="1">
        <v>45936</v>
      </c>
      <c r="B940" t="s">
        <v>1201</v>
      </c>
      <c r="C940">
        <v>18581063</v>
      </c>
      <c r="D940">
        <v>2030443049</v>
      </c>
      <c r="E940" t="s">
        <v>1221</v>
      </c>
      <c r="F940" t="s">
        <v>1222</v>
      </c>
      <c r="G940" t="s">
        <v>51</v>
      </c>
      <c r="I940" t="s">
        <v>292</v>
      </c>
      <c r="J940" t="s">
        <v>293</v>
      </c>
      <c r="K940">
        <v>18581063</v>
      </c>
      <c r="L940" t="s">
        <v>1223</v>
      </c>
      <c r="M940" t="s">
        <v>1224</v>
      </c>
      <c r="N940" t="s">
        <v>456</v>
      </c>
      <c r="O940" s="1">
        <v>45881</v>
      </c>
      <c r="P940" s="1">
        <v>45936</v>
      </c>
      <c r="R940" s="2">
        <v>0</v>
      </c>
      <c r="AB940" s="2">
        <v>643.57000000000005</v>
      </c>
      <c r="AC940" s="2">
        <v>0</v>
      </c>
      <c r="AE940" s="2">
        <v>0</v>
      </c>
      <c r="AF940" s="2">
        <v>0</v>
      </c>
      <c r="AG940" s="2">
        <v>0</v>
      </c>
      <c r="AH940" s="2">
        <v>0</v>
      </c>
      <c r="AI940" s="2">
        <v>0</v>
      </c>
      <c r="AJ940" s="2">
        <v>0</v>
      </c>
      <c r="AK940" s="2">
        <v>0</v>
      </c>
      <c r="AL940" s="2">
        <v>0</v>
      </c>
      <c r="AM940" s="2">
        <v>107.26</v>
      </c>
      <c r="AN940" s="2">
        <v>-536.30999999999995</v>
      </c>
      <c r="AO940" s="2">
        <v>-536.30999999999995</v>
      </c>
      <c r="AP940" s="2">
        <v>0</v>
      </c>
      <c r="AQ940" s="2">
        <v>0</v>
      </c>
      <c r="AR940" t="s">
        <v>1203</v>
      </c>
    </row>
    <row r="941" spans="1:44" x14ac:dyDescent="0.25">
      <c r="A941" s="1">
        <v>45936</v>
      </c>
      <c r="B941" t="s">
        <v>1201</v>
      </c>
      <c r="C941">
        <v>649163</v>
      </c>
      <c r="D941">
        <v>2030245942</v>
      </c>
      <c r="E941" t="s">
        <v>1075</v>
      </c>
      <c r="F941" t="s">
        <v>1076</v>
      </c>
      <c r="G941" t="s">
        <v>51</v>
      </c>
      <c r="I941" t="s">
        <v>292</v>
      </c>
      <c r="J941" t="s">
        <v>293</v>
      </c>
      <c r="K941">
        <v>649163</v>
      </c>
      <c r="L941" t="s">
        <v>298</v>
      </c>
      <c r="M941" t="s">
        <v>299</v>
      </c>
      <c r="N941" t="s">
        <v>456</v>
      </c>
      <c r="O941" s="1">
        <v>45870</v>
      </c>
      <c r="P941" s="1">
        <v>45936</v>
      </c>
      <c r="R941" s="2">
        <v>0</v>
      </c>
      <c r="AB941" s="2">
        <v>234.74</v>
      </c>
      <c r="AC941" s="2">
        <v>0</v>
      </c>
      <c r="AE941" s="2">
        <v>0</v>
      </c>
      <c r="AF941" s="2">
        <v>0</v>
      </c>
      <c r="AG941" s="2">
        <v>0</v>
      </c>
      <c r="AH941" s="2">
        <v>0</v>
      </c>
      <c r="AI941" s="2">
        <v>0</v>
      </c>
      <c r="AJ941" s="2">
        <v>0</v>
      </c>
      <c r="AK941" s="2">
        <v>0</v>
      </c>
      <c r="AL941" s="2">
        <v>0</v>
      </c>
      <c r="AM941" s="2">
        <v>117.37</v>
      </c>
      <c r="AN941" s="2">
        <v>-117.37</v>
      </c>
      <c r="AO941" s="2">
        <v>-117.37</v>
      </c>
      <c r="AP941" s="2">
        <v>0</v>
      </c>
      <c r="AQ941" s="2">
        <v>0</v>
      </c>
      <c r="AR941" t="s">
        <v>1203</v>
      </c>
    </row>
    <row r="942" spans="1:44" x14ac:dyDescent="0.25">
      <c r="A942" s="1">
        <v>45936</v>
      </c>
      <c r="B942" t="s">
        <v>1201</v>
      </c>
      <c r="C942">
        <v>16865615</v>
      </c>
      <c r="D942">
        <v>2030336455</v>
      </c>
      <c r="E942" t="s">
        <v>1225</v>
      </c>
      <c r="F942" t="s">
        <v>1226</v>
      </c>
      <c r="G942" t="s">
        <v>51</v>
      </c>
      <c r="I942" t="s">
        <v>292</v>
      </c>
      <c r="J942" t="s">
        <v>293</v>
      </c>
      <c r="K942">
        <v>16865615</v>
      </c>
      <c r="L942" t="s">
        <v>265</v>
      </c>
      <c r="M942" t="s">
        <v>266</v>
      </c>
      <c r="N942" t="s">
        <v>456</v>
      </c>
      <c r="O942" s="1">
        <v>45875</v>
      </c>
      <c r="P942" s="1">
        <v>45936</v>
      </c>
      <c r="R942" s="2">
        <v>0</v>
      </c>
      <c r="AB942" s="2">
        <v>40.74</v>
      </c>
      <c r="AC942" s="2">
        <v>0</v>
      </c>
      <c r="AE942" s="2">
        <v>0</v>
      </c>
      <c r="AF942" s="2">
        <v>0</v>
      </c>
      <c r="AG942" s="2">
        <v>0</v>
      </c>
      <c r="AH942" s="2">
        <v>0</v>
      </c>
      <c r="AI942" s="2">
        <v>0</v>
      </c>
      <c r="AJ942" s="2">
        <v>0</v>
      </c>
      <c r="AK942" s="2">
        <v>0</v>
      </c>
      <c r="AL942" s="2">
        <v>0</v>
      </c>
      <c r="AM942" s="2">
        <v>6.79</v>
      </c>
      <c r="AN942" s="2">
        <v>-33.950000000000003</v>
      </c>
      <c r="AO942" s="2">
        <v>-33.950000000000003</v>
      </c>
      <c r="AP942" s="2">
        <v>0</v>
      </c>
      <c r="AQ942" s="2">
        <v>0</v>
      </c>
      <c r="AR942" t="s">
        <v>1203</v>
      </c>
    </row>
    <row r="943" spans="1:44" x14ac:dyDescent="0.25">
      <c r="A943" s="1">
        <v>45936</v>
      </c>
      <c r="B943" t="s">
        <v>1201</v>
      </c>
      <c r="C943">
        <v>17425766</v>
      </c>
      <c r="D943">
        <v>2030372594</v>
      </c>
      <c r="E943" t="s">
        <v>738</v>
      </c>
      <c r="F943" t="s">
        <v>1001</v>
      </c>
      <c r="G943" t="s">
        <v>51</v>
      </c>
      <c r="I943" t="s">
        <v>243</v>
      </c>
      <c r="J943" t="s">
        <v>244</v>
      </c>
      <c r="K943">
        <v>17425766</v>
      </c>
      <c r="L943" t="s">
        <v>237</v>
      </c>
      <c r="M943" t="s">
        <v>238</v>
      </c>
      <c r="N943" t="s">
        <v>456</v>
      </c>
      <c r="O943" s="1">
        <v>45877</v>
      </c>
      <c r="P943" s="1">
        <v>45936</v>
      </c>
      <c r="R943" s="2">
        <v>0</v>
      </c>
      <c r="AB943" s="2">
        <v>152.16999999999999</v>
      </c>
      <c r="AC943" s="2">
        <v>0</v>
      </c>
      <c r="AE943" s="2">
        <v>0</v>
      </c>
      <c r="AF943" s="2">
        <v>0</v>
      </c>
      <c r="AG943" s="2">
        <v>0</v>
      </c>
      <c r="AH943" s="2">
        <v>0</v>
      </c>
      <c r="AI943" s="2">
        <v>0</v>
      </c>
      <c r="AJ943" s="2">
        <v>0</v>
      </c>
      <c r="AK943" s="2">
        <v>0</v>
      </c>
      <c r="AL943" s="2">
        <v>0</v>
      </c>
      <c r="AM943" s="2">
        <v>25.36</v>
      </c>
      <c r="AN943" s="2">
        <v>-126.81</v>
      </c>
      <c r="AO943" s="2">
        <v>-126.81</v>
      </c>
      <c r="AP943" s="2">
        <v>0</v>
      </c>
      <c r="AQ943" s="2">
        <v>0</v>
      </c>
      <c r="AR943" t="s">
        <v>1203</v>
      </c>
    </row>
    <row r="944" spans="1:44" x14ac:dyDescent="0.25">
      <c r="A944" s="1">
        <v>45936</v>
      </c>
      <c r="B944" t="s">
        <v>1201</v>
      </c>
      <c r="C944">
        <v>7146581</v>
      </c>
      <c r="D944">
        <v>2030382340</v>
      </c>
      <c r="E944" t="s">
        <v>1227</v>
      </c>
      <c r="F944" t="s">
        <v>510</v>
      </c>
      <c r="G944" t="s">
        <v>51</v>
      </c>
      <c r="I944" t="s">
        <v>292</v>
      </c>
      <c r="J944" t="s">
        <v>331</v>
      </c>
      <c r="K944">
        <v>7146581</v>
      </c>
      <c r="L944" t="s">
        <v>436</v>
      </c>
      <c r="M944" t="s">
        <v>437</v>
      </c>
      <c r="N944" t="s">
        <v>456</v>
      </c>
      <c r="O944" s="1">
        <v>45877</v>
      </c>
      <c r="P944" s="1">
        <v>45936</v>
      </c>
      <c r="R944" s="2">
        <v>0</v>
      </c>
      <c r="AB944" s="2">
        <v>257.29000000000002</v>
      </c>
      <c r="AC944" s="2">
        <v>0</v>
      </c>
      <c r="AE944" s="2">
        <v>0</v>
      </c>
      <c r="AF944" s="2">
        <v>0</v>
      </c>
      <c r="AG944" s="2">
        <v>0</v>
      </c>
      <c r="AH944" s="2">
        <v>0</v>
      </c>
      <c r="AI944" s="2">
        <v>0</v>
      </c>
      <c r="AJ944" s="2">
        <v>0</v>
      </c>
      <c r="AK944" s="2">
        <v>0</v>
      </c>
      <c r="AL944" s="2">
        <v>0</v>
      </c>
      <c r="AM944" s="2">
        <v>42.88</v>
      </c>
      <c r="AN944" s="2">
        <v>-214.41</v>
      </c>
      <c r="AO944" s="2">
        <v>-214.41</v>
      </c>
      <c r="AP944" s="2">
        <v>0</v>
      </c>
      <c r="AQ944" s="2">
        <v>0</v>
      </c>
      <c r="AR944" t="s">
        <v>1203</v>
      </c>
    </row>
    <row r="945" spans="1:44" x14ac:dyDescent="0.25">
      <c r="A945" s="1">
        <v>45936</v>
      </c>
      <c r="B945" t="s">
        <v>1201</v>
      </c>
      <c r="C945">
        <v>16865615</v>
      </c>
      <c r="D945">
        <v>2030336457</v>
      </c>
      <c r="E945" t="s">
        <v>1225</v>
      </c>
      <c r="F945" t="s">
        <v>1226</v>
      </c>
      <c r="G945" t="s">
        <v>51</v>
      </c>
      <c r="I945" t="s">
        <v>89</v>
      </c>
      <c r="J945" t="s">
        <v>96</v>
      </c>
      <c r="K945">
        <v>16865615</v>
      </c>
      <c r="L945" t="s">
        <v>265</v>
      </c>
      <c r="M945" t="s">
        <v>266</v>
      </c>
      <c r="N945" t="s">
        <v>456</v>
      </c>
      <c r="O945" s="1">
        <v>45875</v>
      </c>
      <c r="P945" s="1">
        <v>45936</v>
      </c>
      <c r="R945" s="2">
        <v>0</v>
      </c>
      <c r="AB945" s="2">
        <v>162.27000000000001</v>
      </c>
      <c r="AC945" s="2">
        <v>0</v>
      </c>
      <c r="AE945" s="2">
        <v>0</v>
      </c>
      <c r="AF945" s="2">
        <v>0</v>
      </c>
      <c r="AG945" s="2">
        <v>0</v>
      </c>
      <c r="AH945" s="2">
        <v>0</v>
      </c>
      <c r="AI945" s="2">
        <v>0</v>
      </c>
      <c r="AJ945" s="2">
        <v>0</v>
      </c>
      <c r="AK945" s="2">
        <v>0</v>
      </c>
      <c r="AL945" s="2">
        <v>0</v>
      </c>
      <c r="AM945" s="2">
        <v>27.05</v>
      </c>
      <c r="AN945" s="2">
        <v>-135.22</v>
      </c>
      <c r="AO945" s="2">
        <v>-135.22</v>
      </c>
      <c r="AP945" s="2">
        <v>0</v>
      </c>
      <c r="AQ945" s="2">
        <v>0</v>
      </c>
      <c r="AR945" t="s">
        <v>1203</v>
      </c>
    </row>
    <row r="946" spans="1:44" x14ac:dyDescent="0.25">
      <c r="A946" s="1">
        <v>45936</v>
      </c>
      <c r="B946" t="s">
        <v>1201</v>
      </c>
      <c r="C946">
        <v>18201929</v>
      </c>
      <c r="D946">
        <v>2029292996</v>
      </c>
      <c r="E946" t="s">
        <v>1218</v>
      </c>
      <c r="F946" t="s">
        <v>1219</v>
      </c>
      <c r="G946" t="s">
        <v>51</v>
      </c>
      <c r="I946" t="s">
        <v>292</v>
      </c>
      <c r="J946" t="s">
        <v>293</v>
      </c>
      <c r="K946">
        <v>18201929</v>
      </c>
      <c r="L946" t="s">
        <v>298</v>
      </c>
      <c r="M946" t="s">
        <v>299</v>
      </c>
      <c r="N946" t="s">
        <v>456</v>
      </c>
      <c r="O946" s="1">
        <v>45839</v>
      </c>
      <c r="P946" s="1">
        <v>45936</v>
      </c>
      <c r="R946" s="2">
        <v>0</v>
      </c>
      <c r="AB946" s="2">
        <v>348.6</v>
      </c>
      <c r="AC946" s="2">
        <v>0</v>
      </c>
      <c r="AE946" s="2">
        <v>0</v>
      </c>
      <c r="AF946" s="2">
        <v>0</v>
      </c>
      <c r="AG946" s="2">
        <v>0</v>
      </c>
      <c r="AH946" s="2">
        <v>0</v>
      </c>
      <c r="AI946" s="2">
        <v>0</v>
      </c>
      <c r="AJ946" s="2">
        <v>0</v>
      </c>
      <c r="AK946" s="2">
        <v>0</v>
      </c>
      <c r="AL946" s="2">
        <v>0</v>
      </c>
      <c r="AM946" s="2">
        <v>232.4</v>
      </c>
      <c r="AN946" s="2">
        <v>-116.2</v>
      </c>
      <c r="AO946" s="2">
        <v>-116.2</v>
      </c>
      <c r="AP946" s="2">
        <v>0</v>
      </c>
      <c r="AQ946" s="2">
        <v>0</v>
      </c>
      <c r="AR946" t="s">
        <v>1203</v>
      </c>
    </row>
    <row r="947" spans="1:44" x14ac:dyDescent="0.25">
      <c r="A947" s="1">
        <v>45936</v>
      </c>
      <c r="B947" t="s">
        <v>1201</v>
      </c>
      <c r="C947">
        <v>17425766</v>
      </c>
      <c r="D947">
        <v>2029969179</v>
      </c>
      <c r="E947" t="s">
        <v>1137</v>
      </c>
      <c r="F947" t="s">
        <v>1228</v>
      </c>
      <c r="G947" t="s">
        <v>51</v>
      </c>
      <c r="I947" t="s">
        <v>287</v>
      </c>
      <c r="J947" t="s">
        <v>288</v>
      </c>
      <c r="K947">
        <v>17425766</v>
      </c>
      <c r="L947" t="s">
        <v>237</v>
      </c>
      <c r="M947" t="s">
        <v>238</v>
      </c>
      <c r="N947" t="s">
        <v>456</v>
      </c>
      <c r="O947" s="1">
        <v>45870</v>
      </c>
      <c r="P947" s="1">
        <v>45936</v>
      </c>
      <c r="R947" s="2">
        <v>0</v>
      </c>
      <c r="AB947" s="2">
        <v>139.97</v>
      </c>
      <c r="AC947" s="2">
        <v>0</v>
      </c>
      <c r="AE947" s="2">
        <v>0</v>
      </c>
      <c r="AF947" s="2">
        <v>0</v>
      </c>
      <c r="AG947" s="2">
        <v>0</v>
      </c>
      <c r="AH947" s="2">
        <v>0</v>
      </c>
      <c r="AI947" s="2">
        <v>0</v>
      </c>
      <c r="AJ947" s="2">
        <v>0</v>
      </c>
      <c r="AK947" s="2">
        <v>0</v>
      </c>
      <c r="AL947" s="2">
        <v>0</v>
      </c>
      <c r="AM947" s="2">
        <v>69.989999999999995</v>
      </c>
      <c r="AN947" s="2">
        <v>-69.98</v>
      </c>
      <c r="AO947" s="2">
        <v>-69.98</v>
      </c>
      <c r="AP947" s="2">
        <v>0</v>
      </c>
      <c r="AQ947" s="2">
        <v>0</v>
      </c>
      <c r="AR947" t="s">
        <v>1203</v>
      </c>
    </row>
    <row r="948" spans="1:44" x14ac:dyDescent="0.25">
      <c r="A948" s="1">
        <v>45936</v>
      </c>
      <c r="B948" t="s">
        <v>1201</v>
      </c>
      <c r="C948">
        <v>17126004</v>
      </c>
      <c r="D948">
        <v>2029189479</v>
      </c>
      <c r="E948" t="s">
        <v>1229</v>
      </c>
      <c r="F948" t="s">
        <v>63</v>
      </c>
      <c r="G948" t="s">
        <v>51</v>
      </c>
      <c r="I948" t="s">
        <v>243</v>
      </c>
      <c r="J948" t="s">
        <v>244</v>
      </c>
      <c r="K948">
        <v>17126004</v>
      </c>
      <c r="L948" t="s">
        <v>277</v>
      </c>
      <c r="M948" t="s">
        <v>278</v>
      </c>
      <c r="N948" t="s">
        <v>456</v>
      </c>
      <c r="O948" s="1">
        <v>45809</v>
      </c>
      <c r="P948" s="1">
        <v>45936</v>
      </c>
      <c r="R948" s="2">
        <v>0</v>
      </c>
      <c r="AB948" s="2">
        <v>351.61</v>
      </c>
      <c r="AC948" s="2">
        <v>0</v>
      </c>
      <c r="AE948" s="2">
        <v>0</v>
      </c>
      <c r="AF948" s="2">
        <v>0</v>
      </c>
      <c r="AG948" s="2">
        <v>0</v>
      </c>
      <c r="AH948" s="2">
        <v>0</v>
      </c>
      <c r="AI948" s="2">
        <v>0</v>
      </c>
      <c r="AJ948" s="2">
        <v>0</v>
      </c>
      <c r="AK948" s="2">
        <v>0</v>
      </c>
      <c r="AL948" s="2">
        <v>0</v>
      </c>
      <c r="AM948" s="2">
        <v>234.41</v>
      </c>
      <c r="AN948" s="2">
        <v>-117.2</v>
      </c>
      <c r="AO948" s="2">
        <v>-117.2</v>
      </c>
      <c r="AP948" s="2">
        <v>0</v>
      </c>
      <c r="AQ948" s="2">
        <v>0</v>
      </c>
      <c r="AR948" t="s">
        <v>1203</v>
      </c>
    </row>
    <row r="949" spans="1:44" x14ac:dyDescent="0.25">
      <c r="A949" s="1">
        <v>45936</v>
      </c>
      <c r="B949" t="s">
        <v>1201</v>
      </c>
      <c r="C949">
        <v>649163</v>
      </c>
      <c r="D949">
        <v>2029668179</v>
      </c>
      <c r="E949" t="s">
        <v>234</v>
      </c>
      <c r="F949" t="s">
        <v>1061</v>
      </c>
      <c r="G949" t="s">
        <v>51</v>
      </c>
      <c r="I949" t="s">
        <v>292</v>
      </c>
      <c r="J949" t="s">
        <v>293</v>
      </c>
      <c r="K949">
        <v>649163</v>
      </c>
      <c r="L949" t="s">
        <v>283</v>
      </c>
      <c r="M949" t="s">
        <v>284</v>
      </c>
      <c r="N949" t="s">
        <v>456</v>
      </c>
      <c r="O949" s="1">
        <v>45835</v>
      </c>
      <c r="P949" s="1">
        <v>45936</v>
      </c>
      <c r="R949" s="2">
        <v>0</v>
      </c>
      <c r="AB949" s="2">
        <v>222.68</v>
      </c>
      <c r="AC949" s="2">
        <v>0</v>
      </c>
      <c r="AE949" s="2">
        <v>0</v>
      </c>
      <c r="AF949" s="2">
        <v>0</v>
      </c>
      <c r="AG949" s="2">
        <v>0</v>
      </c>
      <c r="AH949" s="2">
        <v>0</v>
      </c>
      <c r="AI949" s="2">
        <v>0</v>
      </c>
      <c r="AJ949" s="2">
        <v>0</v>
      </c>
      <c r="AK949" s="2">
        <v>0</v>
      </c>
      <c r="AL949" s="2">
        <v>0</v>
      </c>
      <c r="AM949" s="2">
        <v>148.44999999999999</v>
      </c>
      <c r="AN949" s="2">
        <v>-74.23</v>
      </c>
      <c r="AO949" s="2">
        <v>-74.23</v>
      </c>
      <c r="AP949" s="2">
        <v>0</v>
      </c>
      <c r="AQ949" s="2">
        <v>0</v>
      </c>
      <c r="AR949" t="s">
        <v>1203</v>
      </c>
    </row>
    <row r="950" spans="1:44" x14ac:dyDescent="0.25">
      <c r="A950" s="1">
        <v>45936</v>
      </c>
      <c r="B950" t="s">
        <v>1201</v>
      </c>
      <c r="C950">
        <v>20003537</v>
      </c>
      <c r="D950">
        <v>2030218379</v>
      </c>
      <c r="E950" t="s">
        <v>740</v>
      </c>
      <c r="F950" t="s">
        <v>1073</v>
      </c>
      <c r="G950" t="s">
        <v>51</v>
      </c>
      <c r="I950" t="s">
        <v>292</v>
      </c>
      <c r="J950" t="s">
        <v>293</v>
      </c>
      <c r="K950">
        <v>20003537</v>
      </c>
      <c r="L950" t="s">
        <v>66</v>
      </c>
      <c r="M950" t="s">
        <v>156</v>
      </c>
      <c r="N950" t="s">
        <v>456</v>
      </c>
      <c r="O950" s="1">
        <v>45870</v>
      </c>
      <c r="P950" s="1">
        <v>45936</v>
      </c>
      <c r="R950" s="2">
        <v>0</v>
      </c>
      <c r="AB950" s="2">
        <v>501.98</v>
      </c>
      <c r="AC950" s="2">
        <v>0</v>
      </c>
      <c r="AE950" s="2">
        <v>0</v>
      </c>
      <c r="AF950" s="2">
        <v>0</v>
      </c>
      <c r="AG950" s="2">
        <v>0</v>
      </c>
      <c r="AH950" s="2">
        <v>0</v>
      </c>
      <c r="AI950" s="2">
        <v>0</v>
      </c>
      <c r="AJ950" s="2">
        <v>0</v>
      </c>
      <c r="AK950" s="2">
        <v>0</v>
      </c>
      <c r="AL950" s="2">
        <v>0</v>
      </c>
      <c r="AM950" s="2">
        <v>167.33</v>
      </c>
      <c r="AN950" s="2">
        <v>-334.65</v>
      </c>
      <c r="AO950" s="2">
        <v>-334.65</v>
      </c>
      <c r="AP950" s="2">
        <v>0</v>
      </c>
      <c r="AQ950" s="2">
        <v>0</v>
      </c>
      <c r="AR950" t="s">
        <v>1203</v>
      </c>
    </row>
    <row r="951" spans="1:44" x14ac:dyDescent="0.25">
      <c r="A951" s="1">
        <v>45936</v>
      </c>
      <c r="B951" t="s">
        <v>1201</v>
      </c>
      <c r="C951">
        <v>16865615</v>
      </c>
      <c r="D951">
        <v>2030336456</v>
      </c>
      <c r="E951" t="s">
        <v>1225</v>
      </c>
      <c r="F951" t="s">
        <v>1226</v>
      </c>
      <c r="G951" t="s">
        <v>51</v>
      </c>
      <c r="I951" t="s">
        <v>287</v>
      </c>
      <c r="J951" t="s">
        <v>288</v>
      </c>
      <c r="K951">
        <v>16865615</v>
      </c>
      <c r="L951" t="s">
        <v>265</v>
      </c>
      <c r="M951" t="s">
        <v>266</v>
      </c>
      <c r="N951" t="s">
        <v>456</v>
      </c>
      <c r="O951" s="1">
        <v>45875</v>
      </c>
      <c r="P951" s="1">
        <v>45936</v>
      </c>
      <c r="R951" s="2">
        <v>0</v>
      </c>
      <c r="AB951" s="2">
        <v>38.549999999999997</v>
      </c>
      <c r="AC951" s="2">
        <v>0</v>
      </c>
      <c r="AE951" s="2">
        <v>0</v>
      </c>
      <c r="AF951" s="2">
        <v>0</v>
      </c>
      <c r="AG951" s="2">
        <v>0</v>
      </c>
      <c r="AH951" s="2">
        <v>0</v>
      </c>
      <c r="AI951" s="2">
        <v>0</v>
      </c>
      <c r="AJ951" s="2">
        <v>0</v>
      </c>
      <c r="AK951" s="2">
        <v>0</v>
      </c>
      <c r="AL951" s="2">
        <v>0</v>
      </c>
      <c r="AM951" s="2">
        <v>6.43</v>
      </c>
      <c r="AN951" s="2">
        <v>-32.119999999999997</v>
      </c>
      <c r="AO951" s="2">
        <v>-32.119999999999997</v>
      </c>
      <c r="AP951" s="2">
        <v>0</v>
      </c>
      <c r="AQ951" s="2">
        <v>0</v>
      </c>
      <c r="AR951" t="s">
        <v>1203</v>
      </c>
    </row>
    <row r="952" spans="1:44" x14ac:dyDescent="0.25">
      <c r="A952" s="1">
        <v>45936</v>
      </c>
      <c r="B952" t="s">
        <v>1201</v>
      </c>
      <c r="C952">
        <v>16378851</v>
      </c>
      <c r="D952">
        <v>2030413756</v>
      </c>
      <c r="E952" t="s">
        <v>1230</v>
      </c>
      <c r="F952" t="s">
        <v>1231</v>
      </c>
      <c r="G952" t="s">
        <v>51</v>
      </c>
      <c r="I952" t="s">
        <v>243</v>
      </c>
      <c r="J952" t="s">
        <v>244</v>
      </c>
      <c r="K952">
        <v>16378851</v>
      </c>
      <c r="L952" t="s">
        <v>97</v>
      </c>
      <c r="M952" t="s">
        <v>98</v>
      </c>
      <c r="N952" t="s">
        <v>456</v>
      </c>
      <c r="O952" s="1">
        <v>45901</v>
      </c>
      <c r="P952" s="1">
        <v>45936</v>
      </c>
      <c r="R952" s="2">
        <v>0</v>
      </c>
      <c r="AB952" s="2">
        <v>67.069999999999993</v>
      </c>
      <c r="AC952" s="2">
        <v>0</v>
      </c>
      <c r="AE952" s="2">
        <v>0</v>
      </c>
      <c r="AF952" s="2">
        <v>0</v>
      </c>
      <c r="AG952" s="2">
        <v>0</v>
      </c>
      <c r="AH952" s="2">
        <v>0</v>
      </c>
      <c r="AI952" s="2">
        <v>0</v>
      </c>
      <c r="AJ952" s="2">
        <v>0</v>
      </c>
      <c r="AK952" s="2">
        <v>0</v>
      </c>
      <c r="AL952" s="2">
        <v>0</v>
      </c>
      <c r="AM952" s="2">
        <v>22.36</v>
      </c>
      <c r="AN952" s="2">
        <v>-44.71</v>
      </c>
      <c r="AO952" s="2">
        <v>-44.71</v>
      </c>
      <c r="AP952" s="2">
        <v>0</v>
      </c>
      <c r="AQ952" s="2">
        <v>0</v>
      </c>
      <c r="AR952" t="s">
        <v>1203</v>
      </c>
    </row>
    <row r="953" spans="1:44" x14ac:dyDescent="0.25">
      <c r="A953" s="1">
        <v>45936</v>
      </c>
      <c r="B953" t="s">
        <v>1201</v>
      </c>
      <c r="C953">
        <v>5442438</v>
      </c>
      <c r="D953">
        <v>2031072180</v>
      </c>
      <c r="E953" t="s">
        <v>1232</v>
      </c>
      <c r="F953" t="s">
        <v>104</v>
      </c>
      <c r="G953" t="s">
        <v>51</v>
      </c>
      <c r="I953" t="s">
        <v>292</v>
      </c>
      <c r="J953" t="s">
        <v>294</v>
      </c>
      <c r="K953">
        <v>5442438</v>
      </c>
      <c r="L953" t="s">
        <v>106</v>
      </c>
      <c r="M953" t="s">
        <v>107</v>
      </c>
      <c r="N953" t="s">
        <v>456</v>
      </c>
      <c r="O953" s="1">
        <v>45919</v>
      </c>
      <c r="P953" s="1">
        <v>45936</v>
      </c>
      <c r="R953" s="2">
        <v>0</v>
      </c>
      <c r="AB953" s="2">
        <v>103.38</v>
      </c>
      <c r="AC953" s="2">
        <v>0</v>
      </c>
      <c r="AE953" s="2">
        <v>0</v>
      </c>
      <c r="AF953" s="2">
        <v>0</v>
      </c>
      <c r="AG953" s="2">
        <v>0</v>
      </c>
      <c r="AH953" s="2">
        <v>0</v>
      </c>
      <c r="AI953" s="2">
        <v>0</v>
      </c>
      <c r="AJ953" s="2">
        <v>0</v>
      </c>
      <c r="AK953" s="2">
        <v>0</v>
      </c>
      <c r="AL953" s="2">
        <v>0</v>
      </c>
      <c r="AM953" s="2">
        <v>17.23</v>
      </c>
      <c r="AN953" s="2">
        <v>-86.15</v>
      </c>
      <c r="AO953" s="2">
        <v>-86.15</v>
      </c>
      <c r="AP953" s="2">
        <v>0</v>
      </c>
      <c r="AQ953" s="2">
        <v>0</v>
      </c>
      <c r="AR953" t="s">
        <v>1203</v>
      </c>
    </row>
    <row r="954" spans="1:44" x14ac:dyDescent="0.25">
      <c r="A954" s="1">
        <v>45936</v>
      </c>
      <c r="B954" t="s">
        <v>1201</v>
      </c>
      <c r="C954">
        <v>5442438</v>
      </c>
      <c r="D954">
        <v>2031072181</v>
      </c>
      <c r="E954" t="s">
        <v>1232</v>
      </c>
      <c r="F954" t="s">
        <v>104</v>
      </c>
      <c r="G954" t="s">
        <v>51</v>
      </c>
      <c r="I954" t="s">
        <v>89</v>
      </c>
      <c r="J954" t="s">
        <v>96</v>
      </c>
      <c r="K954">
        <v>5442438</v>
      </c>
      <c r="L954" t="s">
        <v>106</v>
      </c>
      <c r="M954" t="s">
        <v>107</v>
      </c>
      <c r="N954" t="s">
        <v>456</v>
      </c>
      <c r="O954" s="1">
        <v>45919</v>
      </c>
      <c r="P954" s="1">
        <v>45936</v>
      </c>
      <c r="R954" s="2">
        <v>0</v>
      </c>
      <c r="AB954" s="2">
        <v>171.24</v>
      </c>
      <c r="AC954" s="2">
        <v>0</v>
      </c>
      <c r="AE954" s="2">
        <v>0</v>
      </c>
      <c r="AF954" s="2">
        <v>0</v>
      </c>
      <c r="AG954" s="2">
        <v>0</v>
      </c>
      <c r="AH954" s="2">
        <v>0</v>
      </c>
      <c r="AI954" s="2">
        <v>0</v>
      </c>
      <c r="AJ954" s="2">
        <v>0</v>
      </c>
      <c r="AK954" s="2">
        <v>0</v>
      </c>
      <c r="AL954" s="2">
        <v>0</v>
      </c>
      <c r="AM954" s="2">
        <v>28.54</v>
      </c>
      <c r="AN954" s="2">
        <v>-142.69999999999999</v>
      </c>
      <c r="AO954" s="2">
        <v>-142.69999999999999</v>
      </c>
      <c r="AP954" s="2">
        <v>0</v>
      </c>
      <c r="AQ954" s="2">
        <v>0</v>
      </c>
      <c r="AR954" t="s">
        <v>1203</v>
      </c>
    </row>
    <row r="955" spans="1:44" x14ac:dyDescent="0.25">
      <c r="A955" s="1">
        <v>45936</v>
      </c>
      <c r="B955" t="s">
        <v>1201</v>
      </c>
      <c r="C955">
        <v>17437820</v>
      </c>
      <c r="D955">
        <v>2031079835</v>
      </c>
      <c r="E955" t="s">
        <v>108</v>
      </c>
      <c r="F955" t="s">
        <v>1233</v>
      </c>
      <c r="G955" t="s">
        <v>51</v>
      </c>
      <c r="I955" t="s">
        <v>292</v>
      </c>
      <c r="J955" t="s">
        <v>293</v>
      </c>
      <c r="K955">
        <v>17437820</v>
      </c>
      <c r="L955" t="s">
        <v>258</v>
      </c>
      <c r="M955" t="s">
        <v>259</v>
      </c>
      <c r="N955" t="s">
        <v>456</v>
      </c>
      <c r="O955" s="1">
        <v>45916</v>
      </c>
      <c r="P955" s="1">
        <v>45936</v>
      </c>
      <c r="R955" s="2">
        <v>0</v>
      </c>
      <c r="AB955" s="2">
        <v>121.38</v>
      </c>
      <c r="AC955" s="2">
        <v>0</v>
      </c>
      <c r="AE955" s="2">
        <v>0</v>
      </c>
      <c r="AF955" s="2">
        <v>0</v>
      </c>
      <c r="AG955" s="2">
        <v>0</v>
      </c>
      <c r="AH955" s="2">
        <v>0</v>
      </c>
      <c r="AI955" s="2">
        <v>0</v>
      </c>
      <c r="AJ955" s="2">
        <v>0</v>
      </c>
      <c r="AK955" s="2">
        <v>0</v>
      </c>
      <c r="AL955" s="2">
        <v>0</v>
      </c>
      <c r="AM955" s="2">
        <v>20.23</v>
      </c>
      <c r="AN955" s="2">
        <v>-101.15</v>
      </c>
      <c r="AO955" s="2">
        <v>-101.15</v>
      </c>
      <c r="AP955" s="2">
        <v>0</v>
      </c>
      <c r="AQ955" s="2">
        <v>0</v>
      </c>
      <c r="AR955" t="s">
        <v>1203</v>
      </c>
    </row>
    <row r="956" spans="1:44" x14ac:dyDescent="0.25">
      <c r="A956" s="1">
        <v>45936</v>
      </c>
      <c r="B956" t="s">
        <v>1201</v>
      </c>
      <c r="C956">
        <v>8977234</v>
      </c>
      <c r="D956">
        <v>2030873014</v>
      </c>
      <c r="E956" t="s">
        <v>1234</v>
      </c>
      <c r="F956" t="s">
        <v>562</v>
      </c>
      <c r="G956" t="s">
        <v>51</v>
      </c>
      <c r="I956" t="s">
        <v>292</v>
      </c>
      <c r="J956" t="s">
        <v>293</v>
      </c>
      <c r="K956">
        <v>8977234</v>
      </c>
      <c r="L956" t="s">
        <v>80</v>
      </c>
      <c r="M956" t="s">
        <v>81</v>
      </c>
      <c r="N956" t="s">
        <v>456</v>
      </c>
      <c r="O956" s="1">
        <v>45905</v>
      </c>
      <c r="P956" s="1">
        <v>45936</v>
      </c>
      <c r="R956" s="2">
        <v>0</v>
      </c>
      <c r="AB956" s="2">
        <v>240.53</v>
      </c>
      <c r="AC956" s="2">
        <v>0</v>
      </c>
      <c r="AE956" s="2">
        <v>0</v>
      </c>
      <c r="AF956" s="2">
        <v>0</v>
      </c>
      <c r="AG956" s="2">
        <v>0</v>
      </c>
      <c r="AH956" s="2">
        <v>0</v>
      </c>
      <c r="AI956" s="2">
        <v>0</v>
      </c>
      <c r="AJ956" s="2">
        <v>0</v>
      </c>
      <c r="AK956" s="2">
        <v>0</v>
      </c>
      <c r="AL956" s="2">
        <v>0</v>
      </c>
      <c r="AM956" s="2">
        <v>40.090000000000003</v>
      </c>
      <c r="AN956" s="2">
        <v>-200.44</v>
      </c>
      <c r="AO956" s="2">
        <v>-200.44</v>
      </c>
      <c r="AP956" s="2">
        <v>0</v>
      </c>
      <c r="AQ956" s="2">
        <v>0</v>
      </c>
      <c r="AR956" t="s">
        <v>1203</v>
      </c>
    </row>
    <row r="957" spans="1:44" x14ac:dyDescent="0.25">
      <c r="A957" s="1">
        <v>45936</v>
      </c>
      <c r="B957" t="s">
        <v>1201</v>
      </c>
      <c r="C957">
        <v>649163</v>
      </c>
      <c r="D957">
        <v>2030934309</v>
      </c>
      <c r="E957" t="s">
        <v>556</v>
      </c>
      <c r="F957" t="s">
        <v>557</v>
      </c>
      <c r="G957" t="s">
        <v>51</v>
      </c>
      <c r="I957" t="s">
        <v>344</v>
      </c>
      <c r="J957" t="s">
        <v>346</v>
      </c>
      <c r="K957">
        <v>649163</v>
      </c>
      <c r="L957" t="s">
        <v>428</v>
      </c>
      <c r="M957" t="s">
        <v>309</v>
      </c>
      <c r="N957" t="s">
        <v>456</v>
      </c>
      <c r="O957" s="1">
        <v>45909</v>
      </c>
      <c r="P957" s="1">
        <v>45936</v>
      </c>
      <c r="R957" s="2">
        <v>0</v>
      </c>
      <c r="AB957" s="2">
        <v>1764.9</v>
      </c>
      <c r="AC957" s="2">
        <v>0</v>
      </c>
      <c r="AE957" s="2">
        <v>0</v>
      </c>
      <c r="AF957" s="2">
        <v>0</v>
      </c>
      <c r="AG957" s="2">
        <v>0</v>
      </c>
      <c r="AH957" s="2">
        <v>0</v>
      </c>
      <c r="AI957" s="2">
        <v>0</v>
      </c>
      <c r="AJ957" s="2">
        <v>0</v>
      </c>
      <c r="AK957" s="2">
        <v>0</v>
      </c>
      <c r="AL957" s="2">
        <v>0</v>
      </c>
      <c r="AM957" s="2">
        <v>294.14999999999998</v>
      </c>
      <c r="AN957" s="2">
        <v>-1470.75</v>
      </c>
      <c r="AO957" s="2">
        <v>-1470.75</v>
      </c>
      <c r="AP957" s="2">
        <v>0</v>
      </c>
      <c r="AQ957" s="2">
        <v>0</v>
      </c>
      <c r="AR957" t="s">
        <v>1203</v>
      </c>
    </row>
    <row r="958" spans="1:44" x14ac:dyDescent="0.25">
      <c r="A958" s="1">
        <v>45936</v>
      </c>
      <c r="B958" t="s">
        <v>1201</v>
      </c>
      <c r="C958">
        <v>649163</v>
      </c>
      <c r="D958">
        <v>2030934310</v>
      </c>
      <c r="E958" t="s">
        <v>556</v>
      </c>
      <c r="F958" t="s">
        <v>557</v>
      </c>
      <c r="G958" t="s">
        <v>51</v>
      </c>
      <c r="I958" t="s">
        <v>209</v>
      </c>
      <c r="J958" t="s">
        <v>225</v>
      </c>
      <c r="K958">
        <v>649163</v>
      </c>
      <c r="L958" t="s">
        <v>428</v>
      </c>
      <c r="M958" t="s">
        <v>309</v>
      </c>
      <c r="N958" t="s">
        <v>456</v>
      </c>
      <c r="O958" s="1">
        <v>45909</v>
      </c>
      <c r="P958" s="1">
        <v>45936</v>
      </c>
      <c r="R958" s="2">
        <v>0</v>
      </c>
      <c r="AB958" s="2">
        <v>26.1</v>
      </c>
      <c r="AC958" s="2">
        <v>0</v>
      </c>
      <c r="AE958" s="2">
        <v>0</v>
      </c>
      <c r="AF958" s="2">
        <v>0</v>
      </c>
      <c r="AG958" s="2">
        <v>0</v>
      </c>
      <c r="AH958" s="2">
        <v>0</v>
      </c>
      <c r="AI958" s="2">
        <v>0</v>
      </c>
      <c r="AJ958" s="2">
        <v>0</v>
      </c>
      <c r="AK958" s="2">
        <v>0</v>
      </c>
      <c r="AL958" s="2">
        <v>0</v>
      </c>
      <c r="AM958" s="2">
        <v>4.3499999999999996</v>
      </c>
      <c r="AN958" s="2">
        <v>-21.75</v>
      </c>
      <c r="AO958" s="2">
        <v>-21.75</v>
      </c>
      <c r="AP958" s="2">
        <v>0</v>
      </c>
      <c r="AQ958" s="2">
        <v>0</v>
      </c>
      <c r="AR958" t="s">
        <v>1203</v>
      </c>
    </row>
    <row r="959" spans="1:44" x14ac:dyDescent="0.25">
      <c r="A959" s="1">
        <v>45936</v>
      </c>
      <c r="B959" t="s">
        <v>1201</v>
      </c>
      <c r="C959">
        <v>649163</v>
      </c>
      <c r="D959">
        <v>2030985508</v>
      </c>
      <c r="E959" t="s">
        <v>423</v>
      </c>
      <c r="F959" t="s">
        <v>259</v>
      </c>
      <c r="G959" t="s">
        <v>51</v>
      </c>
      <c r="I959" t="s">
        <v>287</v>
      </c>
      <c r="J959" t="s">
        <v>291</v>
      </c>
      <c r="K959">
        <v>649163</v>
      </c>
      <c r="L959" t="s">
        <v>256</v>
      </c>
      <c r="M959" t="s">
        <v>165</v>
      </c>
      <c r="N959" t="s">
        <v>456</v>
      </c>
      <c r="O959" s="1">
        <v>45912</v>
      </c>
      <c r="P959" s="1">
        <v>45936</v>
      </c>
      <c r="R959" s="2">
        <v>0</v>
      </c>
      <c r="AB959" s="2">
        <v>846.06</v>
      </c>
      <c r="AC959" s="2">
        <v>0</v>
      </c>
      <c r="AE959" s="2">
        <v>0</v>
      </c>
      <c r="AF959" s="2">
        <v>0</v>
      </c>
      <c r="AG959" s="2">
        <v>0</v>
      </c>
      <c r="AH959" s="2">
        <v>0</v>
      </c>
      <c r="AI959" s="2">
        <v>0</v>
      </c>
      <c r="AJ959" s="2">
        <v>0</v>
      </c>
      <c r="AK959" s="2">
        <v>0</v>
      </c>
      <c r="AL959" s="2">
        <v>0</v>
      </c>
      <c r="AM959" s="2">
        <v>141.01</v>
      </c>
      <c r="AN959" s="2">
        <v>-705.05</v>
      </c>
      <c r="AO959" s="2">
        <v>-705.05</v>
      </c>
      <c r="AP959" s="2">
        <v>0</v>
      </c>
      <c r="AQ959" s="2">
        <v>0</v>
      </c>
      <c r="AR959" t="s">
        <v>1203</v>
      </c>
    </row>
    <row r="960" spans="1:44" x14ac:dyDescent="0.25">
      <c r="A960" s="1">
        <v>45936</v>
      </c>
      <c r="B960" t="s">
        <v>1201</v>
      </c>
      <c r="C960">
        <v>649163</v>
      </c>
      <c r="D960">
        <v>2030985509</v>
      </c>
      <c r="E960" t="s">
        <v>423</v>
      </c>
      <c r="F960" t="s">
        <v>259</v>
      </c>
      <c r="G960" t="s">
        <v>51</v>
      </c>
      <c r="I960" t="s">
        <v>209</v>
      </c>
      <c r="J960" t="s">
        <v>232</v>
      </c>
      <c r="K960">
        <v>649163</v>
      </c>
      <c r="L960" t="s">
        <v>256</v>
      </c>
      <c r="M960" t="s">
        <v>165</v>
      </c>
      <c r="N960" t="s">
        <v>456</v>
      </c>
      <c r="O960" s="1">
        <v>45912</v>
      </c>
      <c r="P960" s="1">
        <v>45936</v>
      </c>
      <c r="R960" s="2">
        <v>0</v>
      </c>
      <c r="AB960" s="2">
        <v>34.200000000000003</v>
      </c>
      <c r="AC960" s="2">
        <v>0</v>
      </c>
      <c r="AE960" s="2">
        <v>0</v>
      </c>
      <c r="AF960" s="2">
        <v>0</v>
      </c>
      <c r="AG960" s="2">
        <v>0</v>
      </c>
      <c r="AH960" s="2">
        <v>0</v>
      </c>
      <c r="AI960" s="2">
        <v>0</v>
      </c>
      <c r="AJ960" s="2">
        <v>0</v>
      </c>
      <c r="AK960" s="2">
        <v>0</v>
      </c>
      <c r="AL960" s="2">
        <v>0</v>
      </c>
      <c r="AM960" s="2">
        <v>5.7</v>
      </c>
      <c r="AN960" s="2">
        <v>-28.5</v>
      </c>
      <c r="AO960" s="2">
        <v>-28.5</v>
      </c>
      <c r="AP960" s="2">
        <v>0</v>
      </c>
      <c r="AQ960" s="2">
        <v>0</v>
      </c>
      <c r="AR960" t="s">
        <v>1203</v>
      </c>
    </row>
    <row r="961" spans="1:44" x14ac:dyDescent="0.25">
      <c r="A961" s="1">
        <v>45936</v>
      </c>
      <c r="B961" t="s">
        <v>1201</v>
      </c>
      <c r="C961">
        <v>16865615</v>
      </c>
      <c r="D961">
        <v>2030336454</v>
      </c>
      <c r="E961" t="s">
        <v>1225</v>
      </c>
      <c r="F961" t="s">
        <v>1226</v>
      </c>
      <c r="G961" t="s">
        <v>51</v>
      </c>
      <c r="I961" t="s">
        <v>243</v>
      </c>
      <c r="J961" t="s">
        <v>244</v>
      </c>
      <c r="K961">
        <v>16865615</v>
      </c>
      <c r="L961" t="s">
        <v>265</v>
      </c>
      <c r="M961" t="s">
        <v>266</v>
      </c>
      <c r="N961" t="s">
        <v>456</v>
      </c>
      <c r="O961" s="1">
        <v>45875</v>
      </c>
      <c r="P961" s="1">
        <v>45936</v>
      </c>
      <c r="R961" s="2">
        <v>0</v>
      </c>
      <c r="AB961" s="2">
        <v>67.099999999999994</v>
      </c>
      <c r="AC961" s="2">
        <v>0</v>
      </c>
      <c r="AE961" s="2">
        <v>0</v>
      </c>
      <c r="AF961" s="2">
        <v>0</v>
      </c>
      <c r="AG961" s="2">
        <v>0</v>
      </c>
      <c r="AH961" s="2">
        <v>0</v>
      </c>
      <c r="AI961" s="2">
        <v>0</v>
      </c>
      <c r="AJ961" s="2">
        <v>0</v>
      </c>
      <c r="AK961" s="2">
        <v>0</v>
      </c>
      <c r="AL961" s="2">
        <v>0</v>
      </c>
      <c r="AM961" s="2">
        <v>11.18</v>
      </c>
      <c r="AN961" s="2">
        <v>-55.92</v>
      </c>
      <c r="AO961" s="2">
        <v>-55.92</v>
      </c>
      <c r="AP961" s="2">
        <v>0</v>
      </c>
      <c r="AQ961" s="2">
        <v>0</v>
      </c>
      <c r="AR961" t="s">
        <v>1203</v>
      </c>
    </row>
    <row r="962" spans="1:44" x14ac:dyDescent="0.25">
      <c r="A962" s="1">
        <v>45936</v>
      </c>
      <c r="B962" t="s">
        <v>1201</v>
      </c>
      <c r="C962">
        <v>17425766</v>
      </c>
      <c r="D962">
        <v>2030372595</v>
      </c>
      <c r="E962" t="s">
        <v>738</v>
      </c>
      <c r="F962" t="s">
        <v>1001</v>
      </c>
      <c r="G962" t="s">
        <v>51</v>
      </c>
      <c r="I962" t="s">
        <v>292</v>
      </c>
      <c r="J962" t="s">
        <v>293</v>
      </c>
      <c r="K962">
        <v>17425766</v>
      </c>
      <c r="L962" t="s">
        <v>237</v>
      </c>
      <c r="M962" t="s">
        <v>238</v>
      </c>
      <c r="N962" t="s">
        <v>456</v>
      </c>
      <c r="O962" s="1">
        <v>45877</v>
      </c>
      <c r="P962" s="1">
        <v>45936</v>
      </c>
      <c r="R962" s="2">
        <v>0</v>
      </c>
      <c r="AB962" s="2">
        <v>45.44</v>
      </c>
      <c r="AC962" s="2">
        <v>0</v>
      </c>
      <c r="AE962" s="2">
        <v>0</v>
      </c>
      <c r="AF962" s="2">
        <v>0</v>
      </c>
      <c r="AG962" s="2">
        <v>0</v>
      </c>
      <c r="AH962" s="2">
        <v>0</v>
      </c>
      <c r="AI962" s="2">
        <v>0</v>
      </c>
      <c r="AJ962" s="2">
        <v>0</v>
      </c>
      <c r="AK962" s="2">
        <v>0</v>
      </c>
      <c r="AL962" s="2">
        <v>0</v>
      </c>
      <c r="AM962" s="2">
        <v>7.57</v>
      </c>
      <c r="AN962" s="2">
        <v>-37.869999999999997</v>
      </c>
      <c r="AO962" s="2">
        <v>-37.869999999999997</v>
      </c>
      <c r="AP962" s="2">
        <v>0</v>
      </c>
      <c r="AQ962" s="2">
        <v>0</v>
      </c>
      <c r="AR962" t="s">
        <v>1203</v>
      </c>
    </row>
    <row r="963" spans="1:44" x14ac:dyDescent="0.25">
      <c r="A963" s="1">
        <v>45936</v>
      </c>
      <c r="B963" t="s">
        <v>1201</v>
      </c>
      <c r="C963">
        <v>7146581</v>
      </c>
      <c r="D963">
        <v>2030382339</v>
      </c>
      <c r="E963" t="s">
        <v>1227</v>
      </c>
      <c r="F963" t="s">
        <v>510</v>
      </c>
      <c r="G963" t="s">
        <v>51</v>
      </c>
      <c r="I963" t="s">
        <v>292</v>
      </c>
      <c r="J963" t="s">
        <v>293</v>
      </c>
      <c r="K963">
        <v>7146581</v>
      </c>
      <c r="L963" t="s">
        <v>436</v>
      </c>
      <c r="M963" t="s">
        <v>437</v>
      </c>
      <c r="N963" t="s">
        <v>456</v>
      </c>
      <c r="O963" s="1">
        <v>45877</v>
      </c>
      <c r="P963" s="1">
        <v>45936</v>
      </c>
      <c r="R963" s="2">
        <v>0</v>
      </c>
      <c r="AB963" s="2">
        <v>403.28</v>
      </c>
      <c r="AC963" s="2">
        <v>0</v>
      </c>
      <c r="AE963" s="2">
        <v>0</v>
      </c>
      <c r="AF963" s="2">
        <v>0</v>
      </c>
      <c r="AG963" s="2">
        <v>0</v>
      </c>
      <c r="AH963" s="2">
        <v>0</v>
      </c>
      <c r="AI963" s="2">
        <v>0</v>
      </c>
      <c r="AJ963" s="2">
        <v>0</v>
      </c>
      <c r="AK963" s="2">
        <v>0</v>
      </c>
      <c r="AL963" s="2">
        <v>0</v>
      </c>
      <c r="AM963" s="2">
        <v>67.209999999999994</v>
      </c>
      <c r="AN963" s="2">
        <v>-336.07</v>
      </c>
      <c r="AO963" s="2">
        <v>-336.07</v>
      </c>
      <c r="AP963" s="2">
        <v>0</v>
      </c>
      <c r="AQ963" s="2">
        <v>0</v>
      </c>
      <c r="AR963" t="s">
        <v>1203</v>
      </c>
    </row>
    <row r="964" spans="1:44" x14ac:dyDescent="0.25">
      <c r="A964" s="1">
        <v>45936</v>
      </c>
      <c r="B964" t="s">
        <v>1201</v>
      </c>
      <c r="C964">
        <v>16378851</v>
      </c>
      <c r="D964">
        <v>2030413755</v>
      </c>
      <c r="E964" t="s">
        <v>1230</v>
      </c>
      <c r="F964" t="s">
        <v>1231</v>
      </c>
      <c r="G964" t="s">
        <v>51</v>
      </c>
      <c r="I964" t="s">
        <v>89</v>
      </c>
      <c r="J964" t="s">
        <v>96</v>
      </c>
      <c r="K964">
        <v>16378851</v>
      </c>
      <c r="L964" t="s">
        <v>97</v>
      </c>
      <c r="M964" t="s">
        <v>98</v>
      </c>
      <c r="N964" t="s">
        <v>456</v>
      </c>
      <c r="O964" s="1">
        <v>45901</v>
      </c>
      <c r="P964" s="1">
        <v>45936</v>
      </c>
      <c r="R964" s="2">
        <v>0</v>
      </c>
      <c r="AB964" s="2">
        <v>367.63</v>
      </c>
      <c r="AC964" s="2">
        <v>0</v>
      </c>
      <c r="AE964" s="2">
        <v>0</v>
      </c>
      <c r="AF964" s="2">
        <v>0</v>
      </c>
      <c r="AG964" s="2">
        <v>0</v>
      </c>
      <c r="AH964" s="2">
        <v>0</v>
      </c>
      <c r="AI964" s="2">
        <v>0</v>
      </c>
      <c r="AJ964" s="2">
        <v>0</v>
      </c>
      <c r="AK964" s="2">
        <v>0</v>
      </c>
      <c r="AL964" s="2">
        <v>0</v>
      </c>
      <c r="AM964" s="2">
        <v>122.54</v>
      </c>
      <c r="AN964" s="2">
        <v>-245.09</v>
      </c>
      <c r="AO964" s="2">
        <v>-245.09</v>
      </c>
      <c r="AP964" s="2">
        <v>0</v>
      </c>
      <c r="AQ964" s="2">
        <v>0</v>
      </c>
      <c r="AR964" t="s">
        <v>1203</v>
      </c>
    </row>
    <row r="965" spans="1:44" x14ac:dyDescent="0.25">
      <c r="A965" s="1">
        <v>45936</v>
      </c>
      <c r="B965" t="s">
        <v>1201</v>
      </c>
      <c r="C965">
        <v>8977234</v>
      </c>
      <c r="D965">
        <v>2030873015</v>
      </c>
      <c r="E965" t="s">
        <v>1234</v>
      </c>
      <c r="F965" t="s">
        <v>562</v>
      </c>
      <c r="G965" t="s">
        <v>51</v>
      </c>
      <c r="I965" t="s">
        <v>292</v>
      </c>
      <c r="J965" t="s">
        <v>536</v>
      </c>
      <c r="K965">
        <v>8977234</v>
      </c>
      <c r="L965" t="s">
        <v>80</v>
      </c>
      <c r="M965" t="s">
        <v>81</v>
      </c>
      <c r="N965" t="s">
        <v>456</v>
      </c>
      <c r="O965" s="1">
        <v>45905</v>
      </c>
      <c r="P965" s="1">
        <v>45936</v>
      </c>
      <c r="R965" s="2">
        <v>0</v>
      </c>
      <c r="AB965" s="2">
        <v>108.07</v>
      </c>
      <c r="AC965" s="2">
        <v>0</v>
      </c>
      <c r="AE965" s="2">
        <v>0</v>
      </c>
      <c r="AF965" s="2">
        <v>0</v>
      </c>
      <c r="AG965" s="2">
        <v>0</v>
      </c>
      <c r="AH965" s="2">
        <v>0</v>
      </c>
      <c r="AI965" s="2">
        <v>0</v>
      </c>
      <c r="AJ965" s="2">
        <v>0</v>
      </c>
      <c r="AK965" s="2">
        <v>0</v>
      </c>
      <c r="AL965" s="2">
        <v>0</v>
      </c>
      <c r="AM965" s="2">
        <v>18.010000000000002</v>
      </c>
      <c r="AN965" s="2">
        <v>-90.06</v>
      </c>
      <c r="AO965" s="2">
        <v>-90.06</v>
      </c>
      <c r="AP965" s="2">
        <v>0</v>
      </c>
      <c r="AQ965" s="2">
        <v>0</v>
      </c>
      <c r="AR965" t="s">
        <v>1203</v>
      </c>
    </row>
    <row r="966" spans="1:44" x14ac:dyDescent="0.25">
      <c r="A966" s="1">
        <v>45936</v>
      </c>
      <c r="B966" t="s">
        <v>1201</v>
      </c>
      <c r="C966">
        <v>18201929</v>
      </c>
      <c r="D966">
        <v>2030676913</v>
      </c>
      <c r="E966" t="s">
        <v>1235</v>
      </c>
      <c r="F966" t="s">
        <v>470</v>
      </c>
      <c r="G966" t="s">
        <v>51</v>
      </c>
      <c r="I966" t="s">
        <v>292</v>
      </c>
      <c r="J966" t="s">
        <v>293</v>
      </c>
      <c r="K966">
        <v>18201929</v>
      </c>
      <c r="L966" t="s">
        <v>298</v>
      </c>
      <c r="M966" t="s">
        <v>299</v>
      </c>
      <c r="N966" t="s">
        <v>456</v>
      </c>
      <c r="O966" s="1">
        <v>45931</v>
      </c>
      <c r="P966" s="1">
        <v>45936</v>
      </c>
      <c r="R966" s="2">
        <v>0</v>
      </c>
      <c r="AB966" s="2">
        <v>671.16</v>
      </c>
      <c r="AC966" s="2">
        <v>0</v>
      </c>
      <c r="AE966" s="2">
        <v>0</v>
      </c>
      <c r="AF966" s="2">
        <v>0</v>
      </c>
      <c r="AG966" s="2">
        <v>0</v>
      </c>
      <c r="AH966" s="2">
        <v>0</v>
      </c>
      <c r="AI966" s="2">
        <v>0</v>
      </c>
      <c r="AJ966" s="2">
        <v>0</v>
      </c>
      <c r="AK966" s="2">
        <v>0</v>
      </c>
      <c r="AL966" s="2">
        <v>0</v>
      </c>
      <c r="AM966" s="2">
        <v>111.86</v>
      </c>
      <c r="AN966" s="2">
        <v>-559.29999999999995</v>
      </c>
      <c r="AO966" s="2">
        <v>-559.29999999999995</v>
      </c>
      <c r="AP966" s="2">
        <v>0</v>
      </c>
      <c r="AQ966" s="2">
        <v>0</v>
      </c>
      <c r="AR966" t="s">
        <v>1203</v>
      </c>
    </row>
    <row r="967" spans="1:44" x14ac:dyDescent="0.25">
      <c r="A967" s="1">
        <v>45936</v>
      </c>
      <c r="B967" t="s">
        <v>1201</v>
      </c>
      <c r="C967">
        <v>18201929</v>
      </c>
      <c r="D967">
        <v>2030676914</v>
      </c>
      <c r="E967" t="s">
        <v>1235</v>
      </c>
      <c r="F967" t="s">
        <v>470</v>
      </c>
      <c r="G967" t="s">
        <v>51</v>
      </c>
      <c r="I967" t="s">
        <v>292</v>
      </c>
      <c r="J967" t="s">
        <v>295</v>
      </c>
      <c r="K967">
        <v>18201929</v>
      </c>
      <c r="L967" t="s">
        <v>298</v>
      </c>
      <c r="M967" t="s">
        <v>299</v>
      </c>
      <c r="N967" t="s">
        <v>456</v>
      </c>
      <c r="O967" s="1">
        <v>45931</v>
      </c>
      <c r="P967" s="1">
        <v>45936</v>
      </c>
      <c r="R967" s="2">
        <v>0</v>
      </c>
      <c r="AB967" s="2">
        <v>416.34</v>
      </c>
      <c r="AC967" s="2">
        <v>0</v>
      </c>
      <c r="AE967" s="2">
        <v>0</v>
      </c>
      <c r="AF967" s="2">
        <v>0</v>
      </c>
      <c r="AG967" s="2">
        <v>0</v>
      </c>
      <c r="AH967" s="2">
        <v>0</v>
      </c>
      <c r="AI967" s="2">
        <v>0</v>
      </c>
      <c r="AJ967" s="2">
        <v>0</v>
      </c>
      <c r="AK967" s="2">
        <v>0</v>
      </c>
      <c r="AL967" s="2">
        <v>0</v>
      </c>
      <c r="AM967" s="2">
        <v>69.39</v>
      </c>
      <c r="AN967" s="2">
        <v>-346.95</v>
      </c>
      <c r="AO967" s="2">
        <v>-346.95</v>
      </c>
      <c r="AP967" s="2">
        <v>0</v>
      </c>
      <c r="AQ967" s="2">
        <v>0</v>
      </c>
      <c r="AR967" t="s">
        <v>1203</v>
      </c>
    </row>
    <row r="968" spans="1:44" x14ac:dyDescent="0.25">
      <c r="A968" s="1">
        <v>45936</v>
      </c>
      <c r="B968" t="s">
        <v>1201</v>
      </c>
      <c r="C968">
        <v>649163</v>
      </c>
      <c r="D968">
        <v>2031250518</v>
      </c>
      <c r="E968" t="s">
        <v>457</v>
      </c>
      <c r="F968" t="s">
        <v>458</v>
      </c>
      <c r="G968" t="s">
        <v>51</v>
      </c>
      <c r="I968" t="s">
        <v>287</v>
      </c>
      <c r="J968" t="s">
        <v>291</v>
      </c>
      <c r="K968">
        <v>649163</v>
      </c>
      <c r="L968" t="s">
        <v>80</v>
      </c>
      <c r="M968" t="s">
        <v>81</v>
      </c>
      <c r="N968" t="s">
        <v>456</v>
      </c>
      <c r="O968" s="1">
        <v>45931</v>
      </c>
      <c r="P968" s="1">
        <v>45936</v>
      </c>
      <c r="R968" s="2">
        <v>0</v>
      </c>
      <c r="AB968" s="2">
        <v>0</v>
      </c>
      <c r="AC968" s="2">
        <v>0</v>
      </c>
      <c r="AE968" s="2">
        <v>0</v>
      </c>
      <c r="AF968" s="2">
        <v>0</v>
      </c>
      <c r="AG968" s="2">
        <v>0</v>
      </c>
      <c r="AH968" s="2">
        <v>0</v>
      </c>
      <c r="AI968" s="2">
        <v>0</v>
      </c>
      <c r="AJ968" s="2">
        <v>0</v>
      </c>
      <c r="AK968" s="2">
        <v>0</v>
      </c>
      <c r="AL968" s="2">
        <v>0</v>
      </c>
      <c r="AM968" s="2">
        <v>0</v>
      </c>
      <c r="AN968" s="2">
        <v>0</v>
      </c>
      <c r="AO968" s="2">
        <v>0</v>
      </c>
      <c r="AP968" s="2">
        <v>0</v>
      </c>
      <c r="AQ968" s="2">
        <v>0</v>
      </c>
      <c r="AR968" t="s">
        <v>1203</v>
      </c>
    </row>
    <row r="969" spans="1:44" x14ac:dyDescent="0.25">
      <c r="A969" s="1">
        <v>45936</v>
      </c>
      <c r="B969" t="s">
        <v>1201</v>
      </c>
      <c r="C969">
        <v>649163</v>
      </c>
      <c r="D969">
        <v>2031250519</v>
      </c>
      <c r="E969" t="s">
        <v>457</v>
      </c>
      <c r="F969" t="s">
        <v>458</v>
      </c>
      <c r="G969" t="s">
        <v>51</v>
      </c>
      <c r="I969" t="s">
        <v>287</v>
      </c>
      <c r="J969" t="s">
        <v>424</v>
      </c>
      <c r="K969">
        <v>649163</v>
      </c>
      <c r="L969" t="s">
        <v>80</v>
      </c>
      <c r="M969" t="s">
        <v>81</v>
      </c>
      <c r="N969" t="s">
        <v>456</v>
      </c>
      <c r="O969" s="1">
        <v>45931</v>
      </c>
      <c r="P969" s="1">
        <v>45936</v>
      </c>
      <c r="R969" s="2">
        <v>0</v>
      </c>
      <c r="AB969" s="2">
        <v>0</v>
      </c>
      <c r="AC969" s="2">
        <v>0</v>
      </c>
      <c r="AE969" s="2">
        <v>0</v>
      </c>
      <c r="AF969" s="2">
        <v>0</v>
      </c>
      <c r="AG969" s="2">
        <v>0</v>
      </c>
      <c r="AH969" s="2">
        <v>0</v>
      </c>
      <c r="AI969" s="2">
        <v>0</v>
      </c>
      <c r="AJ969" s="2">
        <v>0</v>
      </c>
      <c r="AK969" s="2">
        <v>0</v>
      </c>
      <c r="AL969" s="2">
        <v>0</v>
      </c>
      <c r="AM969" s="2">
        <v>0</v>
      </c>
      <c r="AN969" s="2">
        <v>0</v>
      </c>
      <c r="AO969" s="2">
        <v>0</v>
      </c>
      <c r="AP969" s="2">
        <v>0</v>
      </c>
      <c r="AQ969" s="2">
        <v>0</v>
      </c>
      <c r="AR969" t="s">
        <v>1203</v>
      </c>
    </row>
    <row r="970" spans="1:44" x14ac:dyDescent="0.25">
      <c r="A970" s="1">
        <v>45936</v>
      </c>
      <c r="B970" t="s">
        <v>1201</v>
      </c>
      <c r="C970">
        <v>8977234</v>
      </c>
      <c r="D970">
        <v>2030873016</v>
      </c>
      <c r="E970" t="s">
        <v>1234</v>
      </c>
      <c r="F970" t="s">
        <v>562</v>
      </c>
      <c r="G970" t="s">
        <v>51</v>
      </c>
      <c r="I970" t="s">
        <v>243</v>
      </c>
      <c r="J970" t="s">
        <v>244</v>
      </c>
      <c r="K970">
        <v>8977234</v>
      </c>
      <c r="L970" t="s">
        <v>80</v>
      </c>
      <c r="M970" t="s">
        <v>81</v>
      </c>
      <c r="N970" t="s">
        <v>456</v>
      </c>
      <c r="O970" s="1">
        <v>45905</v>
      </c>
      <c r="P970" s="1">
        <v>45936</v>
      </c>
      <c r="R970" s="2">
        <v>0</v>
      </c>
      <c r="AB970" s="2">
        <v>164.63</v>
      </c>
      <c r="AC970" s="2">
        <v>0</v>
      </c>
      <c r="AE970" s="2">
        <v>0</v>
      </c>
      <c r="AF970" s="2">
        <v>0</v>
      </c>
      <c r="AG970" s="2">
        <v>0</v>
      </c>
      <c r="AH970" s="2">
        <v>0</v>
      </c>
      <c r="AI970" s="2">
        <v>0</v>
      </c>
      <c r="AJ970" s="2">
        <v>0</v>
      </c>
      <c r="AK970" s="2">
        <v>0</v>
      </c>
      <c r="AL970" s="2">
        <v>0</v>
      </c>
      <c r="AM970" s="2">
        <v>27.44</v>
      </c>
      <c r="AN970" s="2">
        <v>-137.19</v>
      </c>
      <c r="AO970" s="2">
        <v>-137.19</v>
      </c>
      <c r="AP970" s="2">
        <v>0</v>
      </c>
      <c r="AQ970" s="2">
        <v>0</v>
      </c>
      <c r="AR970" t="s">
        <v>1203</v>
      </c>
    </row>
    <row r="971" spans="1:44" x14ac:dyDescent="0.25">
      <c r="A971" s="1">
        <v>45936</v>
      </c>
      <c r="B971" t="s">
        <v>1201</v>
      </c>
      <c r="C971">
        <v>16228684</v>
      </c>
      <c r="D971">
        <v>2031032748</v>
      </c>
      <c r="E971" t="s">
        <v>1236</v>
      </c>
      <c r="F971" t="s">
        <v>1177</v>
      </c>
      <c r="G971" t="s">
        <v>51</v>
      </c>
      <c r="I971" t="s">
        <v>243</v>
      </c>
      <c r="J971" t="s">
        <v>244</v>
      </c>
      <c r="K971">
        <v>16228684</v>
      </c>
      <c r="L971" t="s">
        <v>1237</v>
      </c>
      <c r="M971" t="s">
        <v>1238</v>
      </c>
      <c r="N971" t="s">
        <v>456</v>
      </c>
      <c r="O971" s="1">
        <v>45931</v>
      </c>
      <c r="P971" s="1">
        <v>45936</v>
      </c>
      <c r="R971" s="2">
        <v>0</v>
      </c>
      <c r="AB971" s="2">
        <v>174.36</v>
      </c>
      <c r="AC971" s="2">
        <v>0</v>
      </c>
      <c r="AE971" s="2">
        <v>0</v>
      </c>
      <c r="AF971" s="2">
        <v>0</v>
      </c>
      <c r="AG971" s="2">
        <v>0</v>
      </c>
      <c r="AH971" s="2">
        <v>0</v>
      </c>
      <c r="AI971" s="2">
        <v>0</v>
      </c>
      <c r="AJ971" s="2">
        <v>0</v>
      </c>
      <c r="AK971" s="2">
        <v>0</v>
      </c>
      <c r="AL971" s="2">
        <v>0</v>
      </c>
      <c r="AM971" s="2">
        <v>29.06</v>
      </c>
      <c r="AN971" s="2">
        <v>-145.30000000000001</v>
      </c>
      <c r="AO971" s="2">
        <v>-145.30000000000001</v>
      </c>
      <c r="AP971" s="2">
        <v>0</v>
      </c>
      <c r="AQ971" s="2">
        <v>0</v>
      </c>
      <c r="AR971" t="s">
        <v>1203</v>
      </c>
    </row>
    <row r="972" spans="1:44" x14ac:dyDescent="0.25">
      <c r="A972" s="1">
        <v>45936</v>
      </c>
      <c r="B972" t="s">
        <v>1201</v>
      </c>
      <c r="C972">
        <v>649163</v>
      </c>
      <c r="D972">
        <v>2030841405</v>
      </c>
      <c r="E972" t="s">
        <v>1099</v>
      </c>
      <c r="F972" t="s">
        <v>593</v>
      </c>
      <c r="G972" t="s">
        <v>51</v>
      </c>
      <c r="I972" t="s">
        <v>292</v>
      </c>
      <c r="J972" t="s">
        <v>294</v>
      </c>
      <c r="K972">
        <v>649163</v>
      </c>
      <c r="L972" t="s">
        <v>80</v>
      </c>
      <c r="M972" t="s">
        <v>81</v>
      </c>
      <c r="N972" t="s">
        <v>456</v>
      </c>
      <c r="O972" s="1">
        <v>45927</v>
      </c>
      <c r="P972" s="1">
        <v>45936</v>
      </c>
      <c r="R972" s="2">
        <v>0</v>
      </c>
      <c r="AB972" s="2">
        <v>98.22</v>
      </c>
      <c r="AC972" s="2">
        <v>0</v>
      </c>
      <c r="AE972" s="2">
        <v>0</v>
      </c>
      <c r="AF972" s="2">
        <v>0</v>
      </c>
      <c r="AG972" s="2">
        <v>0</v>
      </c>
      <c r="AH972" s="2">
        <v>0</v>
      </c>
      <c r="AI972" s="2">
        <v>0</v>
      </c>
      <c r="AJ972" s="2">
        <v>0</v>
      </c>
      <c r="AK972" s="2">
        <v>0</v>
      </c>
      <c r="AL972" s="2">
        <v>0</v>
      </c>
      <c r="AM972" s="2">
        <v>16.37</v>
      </c>
      <c r="AN972" s="2">
        <v>-81.849999999999994</v>
      </c>
      <c r="AO972" s="2">
        <v>-81.849999999999994</v>
      </c>
      <c r="AP972" s="2">
        <v>0</v>
      </c>
      <c r="AQ972" s="2">
        <v>0</v>
      </c>
      <c r="AR972" t="s">
        <v>1203</v>
      </c>
    </row>
    <row r="973" spans="1:44" x14ac:dyDescent="0.25">
      <c r="A973" s="1">
        <v>45936</v>
      </c>
      <c r="B973" t="s">
        <v>1201</v>
      </c>
      <c r="C973">
        <v>18201929</v>
      </c>
      <c r="D973">
        <v>2030676912</v>
      </c>
      <c r="E973" t="s">
        <v>1235</v>
      </c>
      <c r="F973" t="s">
        <v>470</v>
      </c>
      <c r="G973" t="s">
        <v>51</v>
      </c>
      <c r="I973" t="s">
        <v>243</v>
      </c>
      <c r="J973" t="s">
        <v>244</v>
      </c>
      <c r="K973">
        <v>18201929</v>
      </c>
      <c r="L973" t="s">
        <v>298</v>
      </c>
      <c r="M973" t="s">
        <v>299</v>
      </c>
      <c r="N973" t="s">
        <v>456</v>
      </c>
      <c r="O973" s="1">
        <v>45931</v>
      </c>
      <c r="P973" s="1">
        <v>45936</v>
      </c>
      <c r="R973" s="2">
        <v>0</v>
      </c>
      <c r="AB973" s="2">
        <v>131.04</v>
      </c>
      <c r="AC973" s="2">
        <v>0</v>
      </c>
      <c r="AE973" s="2">
        <v>0</v>
      </c>
      <c r="AF973" s="2">
        <v>0</v>
      </c>
      <c r="AG973" s="2">
        <v>0</v>
      </c>
      <c r="AH973" s="2">
        <v>0</v>
      </c>
      <c r="AI973" s="2">
        <v>0</v>
      </c>
      <c r="AJ973" s="2">
        <v>0</v>
      </c>
      <c r="AK973" s="2">
        <v>0</v>
      </c>
      <c r="AL973" s="2">
        <v>0</v>
      </c>
      <c r="AM973" s="2">
        <v>21.84</v>
      </c>
      <c r="AN973" s="2">
        <v>-109.2</v>
      </c>
      <c r="AO973" s="2">
        <v>-109.2</v>
      </c>
      <c r="AP973" s="2">
        <v>0</v>
      </c>
      <c r="AQ973" s="2">
        <v>0</v>
      </c>
      <c r="AR973" t="s">
        <v>1203</v>
      </c>
    </row>
    <row r="974" spans="1:44" x14ac:dyDescent="0.25">
      <c r="A974" s="1">
        <v>45936</v>
      </c>
      <c r="B974" t="s">
        <v>1201</v>
      </c>
      <c r="C974">
        <v>649163</v>
      </c>
      <c r="D974">
        <v>2030841404</v>
      </c>
      <c r="E974" t="s">
        <v>1099</v>
      </c>
      <c r="F974" t="s">
        <v>593</v>
      </c>
      <c r="G974" t="s">
        <v>51</v>
      </c>
      <c r="I974" t="s">
        <v>292</v>
      </c>
      <c r="J974" t="s">
        <v>293</v>
      </c>
      <c r="K974">
        <v>649163</v>
      </c>
      <c r="L974" t="s">
        <v>80</v>
      </c>
      <c r="M974" t="s">
        <v>81</v>
      </c>
      <c r="N974" t="s">
        <v>456</v>
      </c>
      <c r="O974" s="1">
        <v>45927</v>
      </c>
      <c r="P974" s="1">
        <v>45936</v>
      </c>
      <c r="R974" s="2">
        <v>0</v>
      </c>
      <c r="AB974" s="2">
        <v>292.56</v>
      </c>
      <c r="AC974" s="2">
        <v>0</v>
      </c>
      <c r="AE974" s="2">
        <v>0</v>
      </c>
      <c r="AF974" s="2">
        <v>0</v>
      </c>
      <c r="AG974" s="2">
        <v>0</v>
      </c>
      <c r="AH974" s="2">
        <v>0</v>
      </c>
      <c r="AI974" s="2">
        <v>0</v>
      </c>
      <c r="AJ974" s="2">
        <v>0</v>
      </c>
      <c r="AK974" s="2">
        <v>0</v>
      </c>
      <c r="AL974" s="2">
        <v>0</v>
      </c>
      <c r="AM974" s="2">
        <v>48.76</v>
      </c>
      <c r="AN974" s="2">
        <v>-243.8</v>
      </c>
      <c r="AO974" s="2">
        <v>-243.8</v>
      </c>
      <c r="AP974" s="2">
        <v>0</v>
      </c>
      <c r="AQ974" s="2">
        <v>0</v>
      </c>
      <c r="AR974" t="s">
        <v>1203</v>
      </c>
    </row>
    <row r="975" spans="1:44" x14ac:dyDescent="0.25">
      <c r="A975" s="1">
        <v>45936</v>
      </c>
      <c r="B975" t="s">
        <v>1201</v>
      </c>
      <c r="C975">
        <v>649163</v>
      </c>
      <c r="D975">
        <v>2031250521</v>
      </c>
      <c r="E975" t="s">
        <v>457</v>
      </c>
      <c r="F975" t="s">
        <v>458</v>
      </c>
      <c r="G975" t="s">
        <v>51</v>
      </c>
      <c r="I975" t="s">
        <v>292</v>
      </c>
      <c r="J975" t="s">
        <v>293</v>
      </c>
      <c r="K975">
        <v>649163</v>
      </c>
      <c r="L975" t="s">
        <v>80</v>
      </c>
      <c r="M975" t="s">
        <v>81</v>
      </c>
      <c r="N975" t="s">
        <v>456</v>
      </c>
      <c r="O975" s="1">
        <v>45931</v>
      </c>
      <c r="P975" s="1">
        <v>45936</v>
      </c>
      <c r="R975" s="2">
        <v>0</v>
      </c>
      <c r="AB975" s="2">
        <v>0</v>
      </c>
      <c r="AC975" s="2">
        <v>0</v>
      </c>
      <c r="AE975" s="2">
        <v>0</v>
      </c>
      <c r="AF975" s="2">
        <v>0</v>
      </c>
      <c r="AG975" s="2">
        <v>0</v>
      </c>
      <c r="AH975" s="2">
        <v>0</v>
      </c>
      <c r="AI975" s="2">
        <v>0</v>
      </c>
      <c r="AJ975" s="2">
        <v>0</v>
      </c>
      <c r="AK975" s="2">
        <v>0</v>
      </c>
      <c r="AL975" s="2">
        <v>0</v>
      </c>
      <c r="AM975" s="2">
        <v>0</v>
      </c>
      <c r="AN975" s="2">
        <v>0</v>
      </c>
      <c r="AO975" s="2">
        <v>0</v>
      </c>
      <c r="AP975" s="2">
        <v>0</v>
      </c>
      <c r="AQ975" s="2">
        <v>0</v>
      </c>
      <c r="AR975" t="s">
        <v>1203</v>
      </c>
    </row>
    <row r="976" spans="1:44" x14ac:dyDescent="0.25">
      <c r="A976" s="1">
        <v>45936</v>
      </c>
      <c r="B976" t="s">
        <v>1201</v>
      </c>
      <c r="C976">
        <v>649163</v>
      </c>
      <c r="D976">
        <v>2031250520</v>
      </c>
      <c r="E976" t="s">
        <v>457</v>
      </c>
      <c r="F976" t="s">
        <v>458</v>
      </c>
      <c r="G976" t="s">
        <v>51</v>
      </c>
      <c r="I976" t="s">
        <v>287</v>
      </c>
      <c r="J976" t="s">
        <v>288</v>
      </c>
      <c r="K976">
        <v>649163</v>
      </c>
      <c r="L976" t="s">
        <v>80</v>
      </c>
      <c r="M976" t="s">
        <v>81</v>
      </c>
      <c r="N976" t="s">
        <v>456</v>
      </c>
      <c r="O976" s="1">
        <v>45931</v>
      </c>
      <c r="P976" s="1">
        <v>45936</v>
      </c>
      <c r="R976" s="2">
        <v>0</v>
      </c>
      <c r="AB976" s="2">
        <v>0</v>
      </c>
      <c r="AC976" s="2">
        <v>0</v>
      </c>
      <c r="AE976" s="2">
        <v>0</v>
      </c>
      <c r="AF976" s="2">
        <v>0</v>
      </c>
      <c r="AG976" s="2">
        <v>0</v>
      </c>
      <c r="AH976" s="2">
        <v>0</v>
      </c>
      <c r="AI976" s="2">
        <v>0</v>
      </c>
      <c r="AJ976" s="2">
        <v>0</v>
      </c>
      <c r="AK976" s="2">
        <v>0</v>
      </c>
      <c r="AL976" s="2">
        <v>0</v>
      </c>
      <c r="AM976" s="2">
        <v>0</v>
      </c>
      <c r="AN976" s="2">
        <v>0</v>
      </c>
      <c r="AO976" s="2">
        <v>0</v>
      </c>
      <c r="AP976" s="2">
        <v>0</v>
      </c>
      <c r="AQ976" s="2">
        <v>0</v>
      </c>
      <c r="AR976" t="s">
        <v>1203</v>
      </c>
    </row>
    <row r="977" spans="1:44" x14ac:dyDescent="0.25">
      <c r="A977" s="1">
        <v>45936</v>
      </c>
      <c r="B977" t="s">
        <v>1201</v>
      </c>
      <c r="C977">
        <v>649163</v>
      </c>
      <c r="D977">
        <v>2031250522</v>
      </c>
      <c r="E977" t="s">
        <v>457</v>
      </c>
      <c r="F977" t="s">
        <v>458</v>
      </c>
      <c r="G977" t="s">
        <v>51</v>
      </c>
      <c r="I977" t="s">
        <v>209</v>
      </c>
      <c r="J977" t="s">
        <v>232</v>
      </c>
      <c r="K977">
        <v>649163</v>
      </c>
      <c r="L977" t="s">
        <v>80</v>
      </c>
      <c r="M977" t="s">
        <v>81</v>
      </c>
      <c r="N977" t="s">
        <v>456</v>
      </c>
      <c r="O977" s="1">
        <v>45931</v>
      </c>
      <c r="P977" s="1">
        <v>45936</v>
      </c>
      <c r="R977" s="2">
        <v>0</v>
      </c>
      <c r="AB977" s="2">
        <v>0</v>
      </c>
      <c r="AC977" s="2">
        <v>0</v>
      </c>
      <c r="AE977" s="2">
        <v>0</v>
      </c>
      <c r="AF977" s="2">
        <v>0</v>
      </c>
      <c r="AG977" s="2">
        <v>0</v>
      </c>
      <c r="AH977" s="2">
        <v>0</v>
      </c>
      <c r="AI977" s="2">
        <v>0</v>
      </c>
      <c r="AJ977" s="2">
        <v>0</v>
      </c>
      <c r="AK977" s="2">
        <v>0</v>
      </c>
      <c r="AL977" s="2">
        <v>0</v>
      </c>
      <c r="AM977" s="2">
        <v>0</v>
      </c>
      <c r="AN977" s="2">
        <v>0</v>
      </c>
      <c r="AO977" s="2">
        <v>0</v>
      </c>
      <c r="AP977" s="2">
        <v>0</v>
      </c>
      <c r="AQ977" s="2">
        <v>0</v>
      </c>
      <c r="AR977" t="s">
        <v>1203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08904-8F49-4225-8C25-844C22E40E96}">
  <dimension ref="A1:AZ871"/>
  <sheetViews>
    <sheetView workbookViewId="0">
      <selection activeCell="H214" sqref="H214"/>
    </sheetView>
  </sheetViews>
  <sheetFormatPr defaultRowHeight="15" x14ac:dyDescent="0.25"/>
  <cols>
    <col min="1" max="1" width="11" bestFit="1" customWidth="1"/>
    <col min="2" max="2" width="13.42578125" customWidth="1"/>
    <col min="3" max="4" width="14.5703125" customWidth="1"/>
    <col min="5" max="5" width="13.140625" customWidth="1"/>
    <col min="6" max="6" width="42.42578125" bestFit="1" customWidth="1"/>
    <col min="7" max="7" width="12.7109375" customWidth="1"/>
    <col min="8" max="8" width="13.7109375" customWidth="1"/>
    <col min="9" max="9" width="9.5703125" customWidth="1"/>
    <col min="10" max="10" width="17.140625" customWidth="1"/>
    <col min="11" max="11" width="8.140625" customWidth="1"/>
    <col min="12" max="12" width="9.85546875" customWidth="1"/>
    <col min="13" max="13" width="12" bestFit="1" customWidth="1"/>
    <col min="14" max="14" width="11.42578125" customWidth="1"/>
    <col min="15" max="17" width="7.28515625" customWidth="1"/>
    <col min="18" max="18" width="9" customWidth="1"/>
    <col min="19" max="19" width="11" customWidth="1"/>
  </cols>
  <sheetData>
    <row r="1" spans="1:52" x14ac:dyDescent="0.25">
      <c r="A1" t="s">
        <v>3</v>
      </c>
      <c r="B1" t="s">
        <v>4</v>
      </c>
      <c r="C1" t="s">
        <v>5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K1" t="s">
        <v>13</v>
      </c>
      <c r="L1" t="s">
        <v>14</v>
      </c>
      <c r="M1" t="s">
        <v>16</v>
      </c>
      <c r="N1" t="s">
        <v>17</v>
      </c>
      <c r="O1" t="s">
        <v>18</v>
      </c>
      <c r="R1" t="s">
        <v>21</v>
      </c>
      <c r="S1" t="s">
        <v>38</v>
      </c>
    </row>
    <row r="2" spans="1:52" x14ac:dyDescent="0.25">
      <c r="A2" s="5">
        <v>2030896174</v>
      </c>
      <c r="B2" s="5" t="s">
        <v>448</v>
      </c>
      <c r="C2" s="5" t="s">
        <v>449</v>
      </c>
      <c r="D2" s="5" t="str">
        <f>CONCATENATE(C2, " ",B2)</f>
        <v>DENIE STOREY</v>
      </c>
      <c r="E2" s="5" t="s">
        <v>287</v>
      </c>
      <c r="F2" s="5" t="s">
        <v>291</v>
      </c>
      <c r="G2" s="5">
        <v>8325282</v>
      </c>
      <c r="H2" s="5" t="s">
        <v>134</v>
      </c>
      <c r="I2" s="5" t="s">
        <v>135</v>
      </c>
      <c r="J2" s="5" t="str">
        <f t="shared" ref="J2:J65" si="0">CONCATENATE(I2, " ",H2)</f>
        <v>Dale Walenga</v>
      </c>
      <c r="K2" s="5" t="s">
        <v>57</v>
      </c>
      <c r="L2" s="6">
        <v>45906</v>
      </c>
      <c r="M2" s="6">
        <v>45967</v>
      </c>
      <c r="N2" s="7">
        <v>139</v>
      </c>
      <c r="O2" s="5">
        <f t="shared" ref="O2:O65" si="1">DATEDIF(L2,M2,"M")</f>
        <v>2</v>
      </c>
      <c r="P2" s="5" t="s">
        <v>214</v>
      </c>
      <c r="Q2" s="5" t="s">
        <v>1273</v>
      </c>
      <c r="R2" s="9">
        <v>0.38</v>
      </c>
      <c r="S2" s="7">
        <v>52.82</v>
      </c>
      <c r="T2" s="5" t="s">
        <v>291</v>
      </c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</row>
    <row r="3" spans="1:52" x14ac:dyDescent="0.25">
      <c r="A3" s="5">
        <v>2030954480</v>
      </c>
      <c r="B3" s="5" t="s">
        <v>454</v>
      </c>
      <c r="C3" s="5" t="s">
        <v>455</v>
      </c>
      <c r="D3" s="5" t="str">
        <f t="shared" ref="D3:D66" si="2">CONCATENATE(C3, " ",B3)</f>
        <v>SAMUEL ISAACSON</v>
      </c>
      <c r="E3" s="5" t="s">
        <v>287</v>
      </c>
      <c r="F3" s="5" t="s">
        <v>291</v>
      </c>
      <c r="G3" s="5">
        <v>18201929</v>
      </c>
      <c r="H3" s="5" t="s">
        <v>298</v>
      </c>
      <c r="I3" s="5" t="s">
        <v>299</v>
      </c>
      <c r="J3" s="5" t="str">
        <f t="shared" si="0"/>
        <v>Jake Shulman</v>
      </c>
      <c r="K3" s="5" t="s">
        <v>57</v>
      </c>
      <c r="L3" s="6">
        <v>45910</v>
      </c>
      <c r="M3" s="6">
        <v>45971</v>
      </c>
      <c r="N3" s="7">
        <v>172.55</v>
      </c>
      <c r="O3" s="5">
        <f t="shared" si="1"/>
        <v>2</v>
      </c>
      <c r="P3" s="5" t="s">
        <v>214</v>
      </c>
      <c r="Q3" s="5" t="s">
        <v>1273</v>
      </c>
      <c r="R3" s="9">
        <v>0.38</v>
      </c>
      <c r="S3" s="7">
        <v>65.569999999999993</v>
      </c>
      <c r="T3" s="5" t="s">
        <v>291</v>
      </c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</row>
    <row r="4" spans="1:52" x14ac:dyDescent="0.25">
      <c r="A4" s="5">
        <v>2030896175</v>
      </c>
      <c r="B4" s="5" t="s">
        <v>448</v>
      </c>
      <c r="C4" s="5" t="s">
        <v>449</v>
      </c>
      <c r="D4" s="5" t="str">
        <f t="shared" si="2"/>
        <v>DENIE STOREY</v>
      </c>
      <c r="E4" s="5" t="s">
        <v>287</v>
      </c>
      <c r="F4" s="5" t="s">
        <v>424</v>
      </c>
      <c r="G4" s="5">
        <v>8325282</v>
      </c>
      <c r="H4" s="5" t="s">
        <v>134</v>
      </c>
      <c r="I4" s="5" t="s">
        <v>135</v>
      </c>
      <c r="J4" s="5" t="str">
        <f t="shared" si="0"/>
        <v>Dale Walenga</v>
      </c>
      <c r="K4" s="5" t="s">
        <v>57</v>
      </c>
      <c r="L4" s="6">
        <v>45906</v>
      </c>
      <c r="M4" s="6">
        <v>45967</v>
      </c>
      <c r="N4" s="7">
        <v>7.09</v>
      </c>
      <c r="O4" s="5">
        <f t="shared" si="1"/>
        <v>2</v>
      </c>
      <c r="P4" s="5" t="s">
        <v>214</v>
      </c>
      <c r="Q4" s="5" t="s">
        <v>1273</v>
      </c>
      <c r="R4" s="9">
        <v>0.38</v>
      </c>
      <c r="S4" s="7">
        <v>2.69</v>
      </c>
      <c r="T4" s="5" t="s">
        <v>291</v>
      </c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</row>
    <row r="5" spans="1:52" x14ac:dyDescent="0.25">
      <c r="A5" s="5">
        <v>2030954481</v>
      </c>
      <c r="B5" s="5" t="s">
        <v>454</v>
      </c>
      <c r="C5" s="5" t="s">
        <v>455</v>
      </c>
      <c r="D5" s="5" t="str">
        <f t="shared" si="2"/>
        <v>SAMUEL ISAACSON</v>
      </c>
      <c r="E5" s="5" t="s">
        <v>287</v>
      </c>
      <c r="F5" s="5" t="s">
        <v>424</v>
      </c>
      <c r="G5" s="5">
        <v>18201929</v>
      </c>
      <c r="H5" s="5" t="s">
        <v>298</v>
      </c>
      <c r="I5" s="5" t="s">
        <v>299</v>
      </c>
      <c r="J5" s="5" t="str">
        <f t="shared" si="0"/>
        <v>Jake Shulman</v>
      </c>
      <c r="K5" s="5" t="s">
        <v>57</v>
      </c>
      <c r="L5" s="6">
        <v>45910</v>
      </c>
      <c r="M5" s="6">
        <v>45971</v>
      </c>
      <c r="N5" s="7">
        <v>7.09</v>
      </c>
      <c r="O5" s="5">
        <f t="shared" si="1"/>
        <v>2</v>
      </c>
      <c r="P5" s="5" t="s">
        <v>214</v>
      </c>
      <c r="Q5" s="5" t="s">
        <v>1273</v>
      </c>
      <c r="R5" s="9">
        <v>0.38</v>
      </c>
      <c r="S5" s="7">
        <v>2.69</v>
      </c>
      <c r="T5" s="5" t="s">
        <v>291</v>
      </c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</row>
    <row r="6" spans="1:52" x14ac:dyDescent="0.25">
      <c r="A6" s="5">
        <v>2030675167</v>
      </c>
      <c r="B6" s="5" t="s">
        <v>942</v>
      </c>
      <c r="C6" s="5" t="s">
        <v>943</v>
      </c>
      <c r="D6" s="5" t="str">
        <f t="shared" si="2"/>
        <v>KRAUTER MELANIE</v>
      </c>
      <c r="E6" s="5" t="s">
        <v>89</v>
      </c>
      <c r="F6" s="5" t="s">
        <v>116</v>
      </c>
      <c r="G6" s="5">
        <v>16633294</v>
      </c>
      <c r="H6" s="5" t="s">
        <v>66</v>
      </c>
      <c r="I6" s="5" t="s">
        <v>67</v>
      </c>
      <c r="J6" s="5" t="str">
        <f t="shared" si="0"/>
        <v>Richard Yale</v>
      </c>
      <c r="K6" s="5" t="s">
        <v>57</v>
      </c>
      <c r="L6" s="6">
        <v>45901</v>
      </c>
      <c r="M6" s="6">
        <v>45962</v>
      </c>
      <c r="N6" s="7">
        <v>-25.65</v>
      </c>
      <c r="O6" s="5">
        <f t="shared" si="1"/>
        <v>2</v>
      </c>
      <c r="P6" s="5" t="s">
        <v>214</v>
      </c>
      <c r="Q6" s="5" t="s">
        <v>1273</v>
      </c>
      <c r="R6" s="9">
        <v>0.75</v>
      </c>
      <c r="S6" s="7">
        <v>-19.239999999999998</v>
      </c>
      <c r="T6" s="5" t="s">
        <v>1257</v>
      </c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</row>
    <row r="7" spans="1:52" x14ac:dyDescent="0.25">
      <c r="A7" s="5">
        <v>2030945124</v>
      </c>
      <c r="B7" s="5" t="s">
        <v>388</v>
      </c>
      <c r="C7" s="5" t="s">
        <v>453</v>
      </c>
      <c r="D7" s="5" t="str">
        <f t="shared" si="2"/>
        <v>RENAE WILLIAMS</v>
      </c>
      <c r="E7" s="5" t="s">
        <v>89</v>
      </c>
      <c r="F7" s="5" t="s">
        <v>102</v>
      </c>
      <c r="G7" s="5">
        <v>8325282</v>
      </c>
      <c r="H7" s="5" t="s">
        <v>134</v>
      </c>
      <c r="I7" s="5" t="s">
        <v>135</v>
      </c>
      <c r="J7" s="5" t="str">
        <f t="shared" si="0"/>
        <v>Dale Walenga</v>
      </c>
      <c r="K7" s="5" t="s">
        <v>57</v>
      </c>
      <c r="L7" s="6">
        <v>45909</v>
      </c>
      <c r="M7" s="6">
        <v>45970</v>
      </c>
      <c r="N7" s="7">
        <v>47.13</v>
      </c>
      <c r="O7" s="5">
        <f t="shared" si="1"/>
        <v>2</v>
      </c>
      <c r="P7" s="5" t="s">
        <v>214</v>
      </c>
      <c r="Q7" s="5" t="s">
        <v>1273</v>
      </c>
      <c r="R7" s="9">
        <v>0.75</v>
      </c>
      <c r="S7" s="7">
        <v>35.35</v>
      </c>
      <c r="T7" s="5" t="s">
        <v>1257</v>
      </c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</row>
    <row r="8" spans="1:52" x14ac:dyDescent="0.25">
      <c r="A8" s="5">
        <v>2030945123</v>
      </c>
      <c r="B8" s="5" t="s">
        <v>388</v>
      </c>
      <c r="C8" s="5" t="s">
        <v>453</v>
      </c>
      <c r="D8" s="5" t="str">
        <f t="shared" si="2"/>
        <v>RENAE WILLIAMS</v>
      </c>
      <c r="E8" s="5" t="s">
        <v>292</v>
      </c>
      <c r="F8" s="5" t="s">
        <v>331</v>
      </c>
      <c r="G8" s="5">
        <v>8325282</v>
      </c>
      <c r="H8" s="5" t="s">
        <v>134</v>
      </c>
      <c r="I8" s="5" t="s">
        <v>135</v>
      </c>
      <c r="J8" s="5" t="str">
        <f t="shared" si="0"/>
        <v>Dale Walenga</v>
      </c>
      <c r="K8" s="5" t="s">
        <v>57</v>
      </c>
      <c r="L8" s="6">
        <v>45909</v>
      </c>
      <c r="M8" s="6">
        <v>45970</v>
      </c>
      <c r="N8" s="7">
        <v>25.08</v>
      </c>
      <c r="O8" s="5">
        <f t="shared" si="1"/>
        <v>2</v>
      </c>
      <c r="P8" s="5" t="s">
        <v>214</v>
      </c>
      <c r="Q8" s="5" t="s">
        <v>1273</v>
      </c>
      <c r="R8" s="9">
        <v>0.42</v>
      </c>
      <c r="S8" s="7">
        <v>10.53</v>
      </c>
      <c r="T8" s="5" t="s">
        <v>331</v>
      </c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</row>
    <row r="9" spans="1:52" x14ac:dyDescent="0.25">
      <c r="A9" s="5">
        <v>2030896176</v>
      </c>
      <c r="B9" s="5" t="s">
        <v>448</v>
      </c>
      <c r="C9" s="5" t="s">
        <v>449</v>
      </c>
      <c r="D9" s="5" t="str">
        <f t="shared" si="2"/>
        <v>DENIE STOREY</v>
      </c>
      <c r="E9" s="5" t="s">
        <v>209</v>
      </c>
      <c r="F9" s="5" t="s">
        <v>232</v>
      </c>
      <c r="G9" s="5">
        <v>8325282</v>
      </c>
      <c r="H9" s="5" t="s">
        <v>134</v>
      </c>
      <c r="I9" s="5" t="s">
        <v>135</v>
      </c>
      <c r="J9" s="5" t="str">
        <f t="shared" si="0"/>
        <v>Dale Walenga</v>
      </c>
      <c r="K9" s="5" t="s">
        <v>57</v>
      </c>
      <c r="L9" s="6">
        <v>45906</v>
      </c>
      <c r="M9" s="6">
        <v>45967</v>
      </c>
      <c r="N9" s="7">
        <v>15</v>
      </c>
      <c r="O9" s="5">
        <f t="shared" si="1"/>
        <v>2</v>
      </c>
      <c r="P9" s="5" t="s">
        <v>214</v>
      </c>
      <c r="Q9" s="5" t="s">
        <v>1273</v>
      </c>
      <c r="R9" s="9">
        <v>0.38</v>
      </c>
      <c r="S9" s="7">
        <v>5.7</v>
      </c>
      <c r="T9" s="5" t="s">
        <v>232</v>
      </c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</row>
    <row r="10" spans="1:52" x14ac:dyDescent="0.25">
      <c r="A10" s="5">
        <v>2030954483</v>
      </c>
      <c r="B10" s="5" t="s">
        <v>454</v>
      </c>
      <c r="C10" s="5" t="s">
        <v>455</v>
      </c>
      <c r="D10" s="5" t="str">
        <f t="shared" si="2"/>
        <v>SAMUEL ISAACSON</v>
      </c>
      <c r="E10" s="5" t="s">
        <v>209</v>
      </c>
      <c r="F10" s="5" t="s">
        <v>232</v>
      </c>
      <c r="G10" s="5">
        <v>18201929</v>
      </c>
      <c r="H10" s="5" t="s">
        <v>298</v>
      </c>
      <c r="I10" s="5" t="s">
        <v>299</v>
      </c>
      <c r="J10" s="5" t="str">
        <f t="shared" si="0"/>
        <v>Jake Shulman</v>
      </c>
      <c r="K10" s="5" t="s">
        <v>57</v>
      </c>
      <c r="L10" s="6">
        <v>45910</v>
      </c>
      <c r="M10" s="6">
        <v>45971</v>
      </c>
      <c r="N10" s="7">
        <v>15</v>
      </c>
      <c r="O10" s="5">
        <f t="shared" si="1"/>
        <v>2</v>
      </c>
      <c r="P10" s="5" t="s">
        <v>214</v>
      </c>
      <c r="Q10" s="5" t="s">
        <v>1273</v>
      </c>
      <c r="R10" s="9">
        <v>0.38</v>
      </c>
      <c r="S10" s="7">
        <v>5.7</v>
      </c>
      <c r="T10" s="5" t="s">
        <v>232</v>
      </c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</row>
    <row r="11" spans="1:52" x14ac:dyDescent="0.25">
      <c r="A11" s="5">
        <v>2030945125</v>
      </c>
      <c r="B11" s="5" t="s">
        <v>388</v>
      </c>
      <c r="C11" s="5" t="s">
        <v>453</v>
      </c>
      <c r="D11" s="5" t="str">
        <f t="shared" si="2"/>
        <v>RENAE WILLIAMS</v>
      </c>
      <c r="E11" s="5" t="s">
        <v>209</v>
      </c>
      <c r="F11" s="5" t="s">
        <v>222</v>
      </c>
      <c r="G11" s="5">
        <v>8325282</v>
      </c>
      <c r="H11" s="5" t="s">
        <v>134</v>
      </c>
      <c r="I11" s="5" t="s">
        <v>135</v>
      </c>
      <c r="J11" s="5" t="str">
        <f t="shared" si="0"/>
        <v>Dale Walenga</v>
      </c>
      <c r="K11" s="5" t="s">
        <v>57</v>
      </c>
      <c r="L11" s="6">
        <v>45909</v>
      </c>
      <c r="M11" s="6">
        <v>45970</v>
      </c>
      <c r="N11" s="7">
        <v>15</v>
      </c>
      <c r="O11" s="5">
        <f t="shared" si="1"/>
        <v>2</v>
      </c>
      <c r="P11" s="5" t="s">
        <v>214</v>
      </c>
      <c r="Q11" s="5" t="s">
        <v>1273</v>
      </c>
      <c r="R11" s="9">
        <v>0.38</v>
      </c>
      <c r="S11" s="7">
        <v>5.7</v>
      </c>
      <c r="T11" s="5" t="s">
        <v>222</v>
      </c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</row>
    <row r="12" spans="1:52" x14ac:dyDescent="0.25">
      <c r="A12" s="5">
        <v>2030716398</v>
      </c>
      <c r="B12" s="5" t="s">
        <v>1196</v>
      </c>
      <c r="C12" s="5" t="s">
        <v>488</v>
      </c>
      <c r="D12" s="5" t="str">
        <f t="shared" si="2"/>
        <v>BARBARA WOODS</v>
      </c>
      <c r="E12" s="5" t="s">
        <v>350</v>
      </c>
      <c r="F12" s="5" t="s">
        <v>351</v>
      </c>
      <c r="G12" s="5">
        <v>8814784</v>
      </c>
      <c r="H12" s="5" t="s">
        <v>256</v>
      </c>
      <c r="I12" s="5" t="s">
        <v>165</v>
      </c>
      <c r="J12" s="5" t="str">
        <f t="shared" si="0"/>
        <v>FRANK LISKOVEC</v>
      </c>
      <c r="K12" s="5" t="s">
        <v>57</v>
      </c>
      <c r="L12" s="6">
        <v>45901</v>
      </c>
      <c r="M12" s="6">
        <v>45962</v>
      </c>
      <c r="N12" s="7">
        <v>84.15</v>
      </c>
      <c r="O12" s="5">
        <f t="shared" si="1"/>
        <v>2</v>
      </c>
      <c r="P12" s="5" t="s">
        <v>214</v>
      </c>
      <c r="Q12" s="5" t="s">
        <v>1273</v>
      </c>
      <c r="R12" s="9">
        <v>0.47</v>
      </c>
      <c r="S12" s="7">
        <v>39.549999999999997</v>
      </c>
      <c r="T12" s="5" t="s">
        <v>351</v>
      </c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</row>
    <row r="13" spans="1:52" x14ac:dyDescent="0.25">
      <c r="A13" s="5">
        <v>2030775884</v>
      </c>
      <c r="B13" s="5" t="s">
        <v>648</v>
      </c>
      <c r="C13" s="5" t="s">
        <v>526</v>
      </c>
      <c r="D13" s="5" t="str">
        <f t="shared" si="2"/>
        <v>REYNOLDS KENNETH</v>
      </c>
      <c r="E13" s="5" t="s">
        <v>350</v>
      </c>
      <c r="F13" s="5" t="s">
        <v>351</v>
      </c>
      <c r="G13" s="5">
        <v>17117649</v>
      </c>
      <c r="H13" s="5" t="s">
        <v>335</v>
      </c>
      <c r="I13" s="5" t="s">
        <v>336</v>
      </c>
      <c r="J13" s="5" t="str">
        <f t="shared" si="0"/>
        <v>Ines Berg</v>
      </c>
      <c r="K13" s="5" t="s">
        <v>57</v>
      </c>
      <c r="L13" s="6">
        <v>45901</v>
      </c>
      <c r="M13" s="6">
        <v>45962</v>
      </c>
      <c r="N13" s="7">
        <v>210.43</v>
      </c>
      <c r="O13" s="5">
        <f t="shared" si="1"/>
        <v>2</v>
      </c>
      <c r="P13" s="5" t="s">
        <v>214</v>
      </c>
      <c r="Q13" s="5" t="s">
        <v>1273</v>
      </c>
      <c r="R13" s="9">
        <v>0.47</v>
      </c>
      <c r="S13" s="7">
        <v>98.9</v>
      </c>
      <c r="T13" s="5" t="s">
        <v>351</v>
      </c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</row>
    <row r="14" spans="1:52" x14ac:dyDescent="0.25">
      <c r="A14" s="5">
        <v>2030806868</v>
      </c>
      <c r="B14" s="5" t="s">
        <v>1197</v>
      </c>
      <c r="C14" s="5" t="s">
        <v>1198</v>
      </c>
      <c r="D14" s="5" t="str">
        <f t="shared" si="2"/>
        <v>FRANCISCO CALDERON</v>
      </c>
      <c r="E14" s="5" t="s">
        <v>350</v>
      </c>
      <c r="F14" s="5" t="s">
        <v>351</v>
      </c>
      <c r="G14" s="5">
        <v>19200754</v>
      </c>
      <c r="H14" s="5" t="s">
        <v>428</v>
      </c>
      <c r="I14" s="5" t="s">
        <v>309</v>
      </c>
      <c r="J14" s="5" t="str">
        <f t="shared" si="0"/>
        <v>RICARDO SANTOS</v>
      </c>
      <c r="K14" s="5" t="s">
        <v>57</v>
      </c>
      <c r="L14" s="6">
        <v>45902</v>
      </c>
      <c r="M14" s="6">
        <v>45963</v>
      </c>
      <c r="N14" s="7">
        <v>49.71</v>
      </c>
      <c r="O14" s="5">
        <f t="shared" si="1"/>
        <v>2</v>
      </c>
      <c r="P14" s="5" t="s">
        <v>214</v>
      </c>
      <c r="Q14" s="5" t="s">
        <v>1273</v>
      </c>
      <c r="R14" s="9">
        <v>0.47</v>
      </c>
      <c r="S14" s="7">
        <v>23.36</v>
      </c>
      <c r="T14" s="5" t="s">
        <v>351</v>
      </c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</row>
    <row r="15" spans="1:52" x14ac:dyDescent="0.25">
      <c r="A15" s="5">
        <v>2030807230</v>
      </c>
      <c r="B15" s="5" t="s">
        <v>1199</v>
      </c>
      <c r="C15" s="5" t="s">
        <v>1200</v>
      </c>
      <c r="D15" s="5" t="str">
        <f t="shared" si="2"/>
        <v>MINDA MAINIT</v>
      </c>
      <c r="E15" s="5" t="s">
        <v>350</v>
      </c>
      <c r="F15" s="5" t="s">
        <v>351</v>
      </c>
      <c r="G15" s="5">
        <v>19200754</v>
      </c>
      <c r="H15" s="5" t="s">
        <v>428</v>
      </c>
      <c r="I15" s="5" t="s">
        <v>309</v>
      </c>
      <c r="J15" s="5" t="str">
        <f t="shared" si="0"/>
        <v>RICARDO SANTOS</v>
      </c>
      <c r="K15" s="5" t="s">
        <v>57</v>
      </c>
      <c r="L15" s="6">
        <v>45902</v>
      </c>
      <c r="M15" s="6">
        <v>45963</v>
      </c>
      <c r="N15" s="7">
        <v>49.71</v>
      </c>
      <c r="O15" s="5">
        <f t="shared" si="1"/>
        <v>2</v>
      </c>
      <c r="P15" s="5" t="s">
        <v>214</v>
      </c>
      <c r="Q15" s="5" t="s">
        <v>1273</v>
      </c>
      <c r="R15" s="9">
        <v>0.47</v>
      </c>
      <c r="S15" s="7">
        <v>23.36</v>
      </c>
      <c r="T15" s="5" t="s">
        <v>351</v>
      </c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</row>
    <row r="16" spans="1:52" x14ac:dyDescent="0.25">
      <c r="A16" s="5">
        <v>2030945122</v>
      </c>
      <c r="B16" s="5" t="s">
        <v>388</v>
      </c>
      <c r="C16" s="5" t="s">
        <v>453</v>
      </c>
      <c r="D16" s="5" t="str">
        <f t="shared" si="2"/>
        <v>RENAE WILLIAMS</v>
      </c>
      <c r="E16" s="5" t="s">
        <v>287</v>
      </c>
      <c r="F16" s="5" t="s">
        <v>288</v>
      </c>
      <c r="G16" s="5">
        <v>8325282</v>
      </c>
      <c r="H16" s="5" t="s">
        <v>134</v>
      </c>
      <c r="I16" s="5" t="s">
        <v>135</v>
      </c>
      <c r="J16" s="5" t="str">
        <f t="shared" si="0"/>
        <v>Dale Walenga</v>
      </c>
      <c r="K16" s="5" t="s">
        <v>57</v>
      </c>
      <c r="L16" s="6">
        <v>45909</v>
      </c>
      <c r="M16" s="6">
        <v>45970</v>
      </c>
      <c r="N16" s="7">
        <v>19.48</v>
      </c>
      <c r="O16" s="5">
        <f t="shared" si="1"/>
        <v>2</v>
      </c>
      <c r="P16" s="5" t="s">
        <v>214</v>
      </c>
      <c r="Q16" s="5" t="s">
        <v>1273</v>
      </c>
      <c r="R16" s="9">
        <v>0.38</v>
      </c>
      <c r="S16" s="7">
        <v>7.4</v>
      </c>
      <c r="T16" s="5" t="s">
        <v>288</v>
      </c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</row>
    <row r="17" spans="1:52" x14ac:dyDescent="0.25">
      <c r="A17" s="5">
        <v>2030954482</v>
      </c>
      <c r="B17" s="5" t="s">
        <v>454</v>
      </c>
      <c r="C17" s="5" t="s">
        <v>455</v>
      </c>
      <c r="D17" s="5" t="str">
        <f t="shared" si="2"/>
        <v>SAMUEL ISAACSON</v>
      </c>
      <c r="E17" s="5" t="s">
        <v>209</v>
      </c>
      <c r="F17" s="5" t="s">
        <v>965</v>
      </c>
      <c r="G17" s="5">
        <v>18201929</v>
      </c>
      <c r="H17" s="5" t="s">
        <v>298</v>
      </c>
      <c r="I17" s="5" t="s">
        <v>299</v>
      </c>
      <c r="J17" s="5" t="str">
        <f t="shared" si="0"/>
        <v>Jake Shulman</v>
      </c>
      <c r="K17" s="5" t="s">
        <v>57</v>
      </c>
      <c r="L17" s="6">
        <v>45910</v>
      </c>
      <c r="M17" s="6">
        <v>45971</v>
      </c>
      <c r="N17" s="7">
        <v>35.04</v>
      </c>
      <c r="O17" s="5">
        <f t="shared" si="1"/>
        <v>2</v>
      </c>
      <c r="P17" s="5" t="s">
        <v>214</v>
      </c>
      <c r="Q17" s="5" t="s">
        <v>1273</v>
      </c>
      <c r="R17" s="9">
        <v>0.38</v>
      </c>
      <c r="S17" s="7">
        <v>13.32</v>
      </c>
      <c r="T17" s="5" t="s">
        <v>288</v>
      </c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</row>
    <row r="18" spans="1:52" x14ac:dyDescent="0.25">
      <c r="A18" s="5">
        <v>2030806870</v>
      </c>
      <c r="B18" s="5" t="s">
        <v>1197</v>
      </c>
      <c r="C18" s="5" t="s">
        <v>1198</v>
      </c>
      <c r="D18" s="5" t="str">
        <f t="shared" si="2"/>
        <v>FRANCISCO CALDERON</v>
      </c>
      <c r="E18" s="5" t="s">
        <v>350</v>
      </c>
      <c r="F18" s="5" t="s">
        <v>1142</v>
      </c>
      <c r="G18" s="5">
        <v>19200754</v>
      </c>
      <c r="H18" s="5" t="s">
        <v>428</v>
      </c>
      <c r="I18" s="5" t="s">
        <v>309</v>
      </c>
      <c r="J18" s="5" t="str">
        <f t="shared" si="0"/>
        <v>RICARDO SANTOS</v>
      </c>
      <c r="K18" s="5" t="s">
        <v>57</v>
      </c>
      <c r="L18" s="6">
        <v>45902</v>
      </c>
      <c r="M18" s="6">
        <v>45963</v>
      </c>
      <c r="N18" s="7">
        <v>14.95</v>
      </c>
      <c r="O18" s="5">
        <f t="shared" si="1"/>
        <v>2</v>
      </c>
      <c r="P18" s="5" t="s">
        <v>214</v>
      </c>
      <c r="Q18" s="5" t="s">
        <v>1273</v>
      </c>
      <c r="R18" s="9">
        <v>0.51</v>
      </c>
      <c r="S18" s="7">
        <v>7.62</v>
      </c>
      <c r="T18" s="5" t="s">
        <v>1141</v>
      </c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</row>
    <row r="19" spans="1:52" s="5" customFormat="1" x14ac:dyDescent="0.25">
      <c r="A19" s="5">
        <v>2030807232</v>
      </c>
      <c r="B19" s="5" t="s">
        <v>1199</v>
      </c>
      <c r="C19" s="5" t="s">
        <v>1200</v>
      </c>
      <c r="D19" s="5" t="str">
        <f t="shared" si="2"/>
        <v>MINDA MAINIT</v>
      </c>
      <c r="E19" s="5" t="s">
        <v>350</v>
      </c>
      <c r="F19" s="5" t="s">
        <v>1142</v>
      </c>
      <c r="G19" s="5">
        <v>19200754</v>
      </c>
      <c r="H19" s="5" t="s">
        <v>428</v>
      </c>
      <c r="I19" s="5" t="s">
        <v>309</v>
      </c>
      <c r="J19" s="5" t="str">
        <f t="shared" si="0"/>
        <v>RICARDO SANTOS</v>
      </c>
      <c r="K19" s="5" t="s">
        <v>57</v>
      </c>
      <c r="L19" s="6">
        <v>45902</v>
      </c>
      <c r="M19" s="6">
        <v>45963</v>
      </c>
      <c r="N19" s="7">
        <v>14.95</v>
      </c>
      <c r="O19" s="5">
        <f t="shared" si="1"/>
        <v>2</v>
      </c>
      <c r="P19" s="5" t="s">
        <v>214</v>
      </c>
      <c r="Q19" s="5" t="s">
        <v>1273</v>
      </c>
      <c r="R19" s="9">
        <v>0.51</v>
      </c>
      <c r="S19" s="7">
        <v>7.62</v>
      </c>
      <c r="T19" s="5" t="s">
        <v>1141</v>
      </c>
    </row>
    <row r="20" spans="1:52" s="5" customFormat="1" x14ac:dyDescent="0.25">
      <c r="A20" s="5">
        <v>2030806869</v>
      </c>
      <c r="B20" s="5" t="s">
        <v>1197</v>
      </c>
      <c r="C20" s="5" t="s">
        <v>1198</v>
      </c>
      <c r="D20" s="5" t="str">
        <f t="shared" si="2"/>
        <v>FRANCISCO CALDERON</v>
      </c>
      <c r="E20" s="5" t="s">
        <v>350</v>
      </c>
      <c r="F20" s="5" t="s">
        <v>1141</v>
      </c>
      <c r="G20" s="5">
        <v>19200754</v>
      </c>
      <c r="H20" s="5" t="s">
        <v>428</v>
      </c>
      <c r="I20" s="5" t="s">
        <v>309</v>
      </c>
      <c r="J20" s="5" t="str">
        <f t="shared" si="0"/>
        <v>RICARDO SANTOS</v>
      </c>
      <c r="K20" s="5" t="s">
        <v>57</v>
      </c>
      <c r="L20" s="6">
        <v>45902</v>
      </c>
      <c r="M20" s="6">
        <v>45963</v>
      </c>
      <c r="N20" s="7">
        <v>125.02</v>
      </c>
      <c r="O20" s="5">
        <f t="shared" si="1"/>
        <v>2</v>
      </c>
      <c r="P20" s="5" t="s">
        <v>214</v>
      </c>
      <c r="Q20" s="5" t="s">
        <v>1273</v>
      </c>
      <c r="R20" s="9">
        <v>0.51</v>
      </c>
      <c r="S20" s="7">
        <v>63.76</v>
      </c>
      <c r="T20" s="5" t="s">
        <v>1141</v>
      </c>
    </row>
    <row r="21" spans="1:52" s="5" customFormat="1" x14ac:dyDescent="0.25">
      <c r="A21" s="5">
        <v>2030807231</v>
      </c>
      <c r="B21" s="5" t="s">
        <v>1199</v>
      </c>
      <c r="C21" s="5" t="s">
        <v>1200</v>
      </c>
      <c r="D21" s="5" t="str">
        <f t="shared" si="2"/>
        <v>MINDA MAINIT</v>
      </c>
      <c r="E21" s="5" t="s">
        <v>350</v>
      </c>
      <c r="F21" s="5" t="s">
        <v>1141</v>
      </c>
      <c r="G21" s="5">
        <v>19200754</v>
      </c>
      <c r="H21" s="5" t="s">
        <v>428</v>
      </c>
      <c r="I21" s="5" t="s">
        <v>309</v>
      </c>
      <c r="J21" s="5" t="str">
        <f t="shared" si="0"/>
        <v>RICARDO SANTOS</v>
      </c>
      <c r="K21" s="5" t="s">
        <v>57</v>
      </c>
      <c r="L21" s="6">
        <v>45902</v>
      </c>
      <c r="M21" s="6">
        <v>45963</v>
      </c>
      <c r="N21" s="7">
        <v>62.51</v>
      </c>
      <c r="O21" s="5">
        <f t="shared" si="1"/>
        <v>2</v>
      </c>
      <c r="P21" s="5" t="s">
        <v>214</v>
      </c>
      <c r="Q21" s="5" t="s">
        <v>1273</v>
      </c>
      <c r="R21" s="9">
        <v>0.51</v>
      </c>
      <c r="S21" s="7">
        <v>31.88</v>
      </c>
      <c r="T21" s="5" t="s">
        <v>1141</v>
      </c>
    </row>
    <row r="22" spans="1:52" s="5" customFormat="1" x14ac:dyDescent="0.25">
      <c r="A22" s="5">
        <v>2030658213</v>
      </c>
      <c r="B22" s="5" t="s">
        <v>1095</v>
      </c>
      <c r="C22" s="5" t="s">
        <v>1096</v>
      </c>
      <c r="D22" s="5" t="str">
        <f t="shared" si="2"/>
        <v>PICKETT JESSICA</v>
      </c>
      <c r="E22" s="5" t="s">
        <v>292</v>
      </c>
      <c r="F22" s="5" t="s">
        <v>293</v>
      </c>
      <c r="G22" s="5">
        <v>19586992</v>
      </c>
      <c r="H22" s="5" t="s">
        <v>325</v>
      </c>
      <c r="I22" s="5" t="s">
        <v>326</v>
      </c>
      <c r="J22" s="5" t="str">
        <f t="shared" si="0"/>
        <v>Barry Schumann</v>
      </c>
      <c r="K22" s="5" t="s">
        <v>57</v>
      </c>
      <c r="L22" s="6">
        <v>45901</v>
      </c>
      <c r="M22" s="6">
        <v>45962</v>
      </c>
      <c r="N22" s="7">
        <v>-22.72</v>
      </c>
      <c r="O22" s="5">
        <f t="shared" si="1"/>
        <v>2</v>
      </c>
      <c r="P22" s="5" t="s">
        <v>214</v>
      </c>
      <c r="Q22" s="5" t="s">
        <v>1273</v>
      </c>
      <c r="R22" s="9">
        <v>0.7</v>
      </c>
      <c r="S22" s="7">
        <v>-15.9</v>
      </c>
      <c r="T22" s="5" t="s">
        <v>293</v>
      </c>
    </row>
    <row r="23" spans="1:52" s="5" customFormat="1" x14ac:dyDescent="0.25">
      <c r="A23" s="5">
        <v>2030725188</v>
      </c>
      <c r="B23" s="5" t="s">
        <v>187</v>
      </c>
      <c r="C23" s="5" t="s">
        <v>970</v>
      </c>
      <c r="D23" s="5" t="str">
        <f t="shared" si="2"/>
        <v>PHILLIPS BONNIE</v>
      </c>
      <c r="E23" s="5" t="s">
        <v>292</v>
      </c>
      <c r="F23" s="5" t="s">
        <v>293</v>
      </c>
      <c r="G23" s="5">
        <v>19586992</v>
      </c>
      <c r="H23" s="5" t="s">
        <v>325</v>
      </c>
      <c r="I23" s="5" t="s">
        <v>326</v>
      </c>
      <c r="J23" s="5" t="str">
        <f t="shared" si="0"/>
        <v>Barry Schumann</v>
      </c>
      <c r="K23" s="5" t="s">
        <v>57</v>
      </c>
      <c r="L23" s="6">
        <v>45898</v>
      </c>
      <c r="M23" s="6">
        <v>45959</v>
      </c>
      <c r="N23" s="7">
        <v>-119.52</v>
      </c>
      <c r="O23" s="5">
        <f t="shared" si="1"/>
        <v>2</v>
      </c>
      <c r="P23" s="5" t="s">
        <v>214</v>
      </c>
      <c r="Q23" s="5" t="s">
        <v>1273</v>
      </c>
      <c r="R23" s="9">
        <v>0.7</v>
      </c>
      <c r="S23" s="7">
        <v>-83.66</v>
      </c>
      <c r="T23" s="5" t="s">
        <v>293</v>
      </c>
    </row>
    <row r="24" spans="1:52" s="5" customFormat="1" x14ac:dyDescent="0.25">
      <c r="A24" s="5">
        <v>2030775883</v>
      </c>
      <c r="B24" s="5" t="s">
        <v>648</v>
      </c>
      <c r="C24" s="5" t="s">
        <v>526</v>
      </c>
      <c r="D24" s="5" t="str">
        <f t="shared" si="2"/>
        <v>REYNOLDS KENNETH</v>
      </c>
      <c r="E24" s="5" t="s">
        <v>292</v>
      </c>
      <c r="F24" s="5" t="s">
        <v>293</v>
      </c>
      <c r="G24" s="5">
        <v>17117649</v>
      </c>
      <c r="H24" s="5" t="s">
        <v>335</v>
      </c>
      <c r="I24" s="5" t="s">
        <v>336</v>
      </c>
      <c r="J24" s="5" t="str">
        <f t="shared" si="0"/>
        <v>Ines Berg</v>
      </c>
      <c r="K24" s="5" t="s">
        <v>57</v>
      </c>
      <c r="L24" s="6">
        <v>45901</v>
      </c>
      <c r="M24" s="6">
        <v>45962</v>
      </c>
      <c r="N24" s="7">
        <v>120.91</v>
      </c>
      <c r="O24" s="5">
        <f t="shared" si="1"/>
        <v>2</v>
      </c>
      <c r="P24" s="5" t="s">
        <v>214</v>
      </c>
      <c r="Q24" s="5" t="s">
        <v>1273</v>
      </c>
      <c r="R24" s="9">
        <v>0.7</v>
      </c>
      <c r="S24" s="7">
        <v>84.64</v>
      </c>
      <c r="T24" s="5" t="s">
        <v>293</v>
      </c>
    </row>
    <row r="25" spans="1:52" s="5" customFormat="1" x14ac:dyDescent="0.25">
      <c r="A25" s="5">
        <v>2030405975</v>
      </c>
      <c r="B25" s="5" t="s">
        <v>839</v>
      </c>
      <c r="C25" s="5" t="s">
        <v>1089</v>
      </c>
      <c r="D25" s="5" t="str">
        <f t="shared" si="2"/>
        <v>MANGELS KATHRYN</v>
      </c>
      <c r="E25" s="5" t="s">
        <v>292</v>
      </c>
      <c r="F25" s="5" t="s">
        <v>293</v>
      </c>
      <c r="G25" s="5">
        <v>18201929</v>
      </c>
      <c r="H25" s="5" t="s">
        <v>298</v>
      </c>
      <c r="I25" s="5" t="s">
        <v>299</v>
      </c>
      <c r="J25" s="5" t="str">
        <f t="shared" si="0"/>
        <v>Jake Shulman</v>
      </c>
      <c r="K25" s="5" t="s">
        <v>57</v>
      </c>
      <c r="L25" s="6">
        <v>45901</v>
      </c>
      <c r="M25" s="6">
        <v>45962</v>
      </c>
      <c r="N25" s="7">
        <v>85.98</v>
      </c>
      <c r="O25" s="5">
        <f t="shared" si="1"/>
        <v>2</v>
      </c>
      <c r="P25" s="5" t="s">
        <v>214</v>
      </c>
      <c r="Q25" s="5" t="s">
        <v>1273</v>
      </c>
      <c r="R25" s="9">
        <v>0.7</v>
      </c>
      <c r="S25" s="7">
        <v>60.19</v>
      </c>
      <c r="T25" s="5" t="s">
        <v>293</v>
      </c>
    </row>
    <row r="26" spans="1:52" s="5" customFormat="1" x14ac:dyDescent="0.25">
      <c r="A26" s="5">
        <v>2030699504</v>
      </c>
      <c r="B26" s="5" t="s">
        <v>1097</v>
      </c>
      <c r="C26" s="5" t="s">
        <v>1098</v>
      </c>
      <c r="D26" s="5" t="str">
        <f t="shared" si="2"/>
        <v>CONLIN WYNNE</v>
      </c>
      <c r="E26" s="5" t="s">
        <v>292</v>
      </c>
      <c r="F26" s="5" t="s">
        <v>293</v>
      </c>
      <c r="G26" s="5">
        <v>16633294</v>
      </c>
      <c r="H26" s="5" t="s">
        <v>66</v>
      </c>
      <c r="I26" s="5" t="s">
        <v>67</v>
      </c>
      <c r="J26" s="5" t="str">
        <f t="shared" si="0"/>
        <v>Richard Yale</v>
      </c>
      <c r="K26" s="5" t="s">
        <v>57</v>
      </c>
      <c r="L26" s="6">
        <v>45909</v>
      </c>
      <c r="M26" s="6">
        <v>45970</v>
      </c>
      <c r="N26" s="7">
        <v>212.26</v>
      </c>
      <c r="O26" s="5">
        <f t="shared" si="1"/>
        <v>2</v>
      </c>
      <c r="P26" s="5" t="s">
        <v>214</v>
      </c>
      <c r="Q26" s="5" t="s">
        <v>1273</v>
      </c>
      <c r="R26" s="9">
        <v>0.7</v>
      </c>
      <c r="S26" s="7">
        <v>148.58000000000001</v>
      </c>
      <c r="T26" s="5" t="s">
        <v>293</v>
      </c>
    </row>
    <row r="27" spans="1:52" s="5" customFormat="1" x14ac:dyDescent="0.25">
      <c r="A27" s="5">
        <v>2030966818</v>
      </c>
      <c r="B27" s="5" t="s">
        <v>361</v>
      </c>
      <c r="C27" s="5" t="s">
        <v>362</v>
      </c>
      <c r="D27" s="5" t="str">
        <f t="shared" si="2"/>
        <v>ANDREW BURLEY</v>
      </c>
      <c r="E27" s="5" t="s">
        <v>292</v>
      </c>
      <c r="F27" s="5" t="s">
        <v>293</v>
      </c>
      <c r="G27" s="5">
        <v>16633294</v>
      </c>
      <c r="H27" s="5" t="s">
        <v>66</v>
      </c>
      <c r="I27" s="5" t="s">
        <v>67</v>
      </c>
      <c r="J27" s="5" t="str">
        <f t="shared" si="0"/>
        <v>Richard Yale</v>
      </c>
      <c r="K27" s="5" t="s">
        <v>57</v>
      </c>
      <c r="L27" s="6">
        <v>45910</v>
      </c>
      <c r="M27" s="6">
        <v>45971</v>
      </c>
      <c r="N27" s="7">
        <v>18.57</v>
      </c>
      <c r="O27" s="5">
        <f t="shared" si="1"/>
        <v>2</v>
      </c>
      <c r="P27" s="5" t="s">
        <v>214</v>
      </c>
      <c r="Q27" s="5" t="s">
        <v>1273</v>
      </c>
      <c r="R27" s="9">
        <v>0.7</v>
      </c>
      <c r="S27" s="7">
        <v>13</v>
      </c>
      <c r="T27" s="5" t="s">
        <v>293</v>
      </c>
    </row>
    <row r="28" spans="1:52" s="5" customFormat="1" x14ac:dyDescent="0.25">
      <c r="A28" s="5">
        <v>2030675165</v>
      </c>
      <c r="B28" s="5" t="s">
        <v>942</v>
      </c>
      <c r="C28" s="5" t="s">
        <v>943</v>
      </c>
      <c r="D28" s="5" t="str">
        <f t="shared" si="2"/>
        <v>KRAUTER MELANIE</v>
      </c>
      <c r="E28" s="5" t="s">
        <v>292</v>
      </c>
      <c r="F28" s="5" t="s">
        <v>293</v>
      </c>
      <c r="G28" s="5">
        <v>16633294</v>
      </c>
      <c r="H28" s="5" t="s">
        <v>66</v>
      </c>
      <c r="I28" s="5" t="s">
        <v>67</v>
      </c>
      <c r="J28" s="5" t="str">
        <f t="shared" si="0"/>
        <v>Richard Yale</v>
      </c>
      <c r="K28" s="5" t="s">
        <v>57</v>
      </c>
      <c r="L28" s="6">
        <v>45901</v>
      </c>
      <c r="M28" s="6">
        <v>45962</v>
      </c>
      <c r="N28" s="7">
        <v>-24.15</v>
      </c>
      <c r="O28" s="5">
        <f t="shared" si="1"/>
        <v>2</v>
      </c>
      <c r="P28" s="5" t="s">
        <v>214</v>
      </c>
      <c r="Q28" s="5" t="s">
        <v>1273</v>
      </c>
      <c r="R28" s="9">
        <v>0.7</v>
      </c>
      <c r="S28" s="7">
        <v>-16.899999999999999</v>
      </c>
      <c r="T28" s="5" t="s">
        <v>293</v>
      </c>
    </row>
    <row r="29" spans="1:52" s="5" customFormat="1" x14ac:dyDescent="0.25">
      <c r="A29" s="5">
        <v>2030658214</v>
      </c>
      <c r="B29" s="5" t="s">
        <v>1095</v>
      </c>
      <c r="C29" s="5" t="s">
        <v>1096</v>
      </c>
      <c r="D29" s="5" t="str">
        <f t="shared" si="2"/>
        <v>PICKETT JESSICA</v>
      </c>
      <c r="E29" s="5" t="s">
        <v>243</v>
      </c>
      <c r="F29" s="5" t="s">
        <v>244</v>
      </c>
      <c r="G29" s="5">
        <v>19586992</v>
      </c>
      <c r="H29" s="5" t="s">
        <v>325</v>
      </c>
      <c r="I29" s="5" t="s">
        <v>326</v>
      </c>
      <c r="J29" s="5" t="str">
        <f t="shared" si="0"/>
        <v>Barry Schumann</v>
      </c>
      <c r="K29" s="5" t="s">
        <v>57</v>
      </c>
      <c r="L29" s="6">
        <v>45901</v>
      </c>
      <c r="M29" s="6">
        <v>45962</v>
      </c>
      <c r="N29" s="7">
        <v>-55.96</v>
      </c>
      <c r="O29" s="5">
        <f t="shared" si="1"/>
        <v>2</v>
      </c>
      <c r="P29" s="5" t="s">
        <v>214</v>
      </c>
      <c r="Q29" s="5" t="s">
        <v>1273</v>
      </c>
      <c r="R29" s="8">
        <v>0.375</v>
      </c>
      <c r="S29" s="7">
        <v>-20.98</v>
      </c>
      <c r="T29" s="5" t="s">
        <v>244</v>
      </c>
    </row>
    <row r="30" spans="1:52" s="5" customFormat="1" x14ac:dyDescent="0.25">
      <c r="A30" s="5">
        <v>2030966817</v>
      </c>
      <c r="B30" s="5" t="s">
        <v>361</v>
      </c>
      <c r="C30" s="5" t="s">
        <v>362</v>
      </c>
      <c r="D30" s="5" t="str">
        <f t="shared" si="2"/>
        <v>ANDREW BURLEY</v>
      </c>
      <c r="E30" s="5" t="s">
        <v>243</v>
      </c>
      <c r="F30" s="5" t="s">
        <v>244</v>
      </c>
      <c r="G30" s="5">
        <v>16633294</v>
      </c>
      <c r="H30" s="5" t="s">
        <v>66</v>
      </c>
      <c r="I30" s="5" t="s">
        <v>67</v>
      </c>
      <c r="J30" s="5" t="str">
        <f t="shared" si="0"/>
        <v>Richard Yale</v>
      </c>
      <c r="K30" s="5" t="s">
        <v>57</v>
      </c>
      <c r="L30" s="6">
        <v>45910</v>
      </c>
      <c r="M30" s="6">
        <v>45971</v>
      </c>
      <c r="N30" s="7">
        <v>61.74</v>
      </c>
      <c r="O30" s="5">
        <f t="shared" si="1"/>
        <v>2</v>
      </c>
      <c r="P30" s="5" t="s">
        <v>214</v>
      </c>
      <c r="Q30" s="5" t="s">
        <v>1273</v>
      </c>
      <c r="R30" s="8">
        <v>0.375</v>
      </c>
      <c r="S30" s="7">
        <v>23.15</v>
      </c>
      <c r="T30" s="5" t="s">
        <v>244</v>
      </c>
    </row>
    <row r="31" spans="1:52" s="5" customFormat="1" x14ac:dyDescent="0.25">
      <c r="A31" s="5">
        <v>2030675166</v>
      </c>
      <c r="B31" s="5" t="s">
        <v>942</v>
      </c>
      <c r="C31" s="5" t="s">
        <v>943</v>
      </c>
      <c r="D31" s="5" t="str">
        <f t="shared" si="2"/>
        <v>KRAUTER MELANIE</v>
      </c>
      <c r="E31" s="5" t="s">
        <v>243</v>
      </c>
      <c r="F31" s="5" t="s">
        <v>244</v>
      </c>
      <c r="G31" s="5">
        <v>16633294</v>
      </c>
      <c r="H31" s="5" t="s">
        <v>66</v>
      </c>
      <c r="I31" s="5" t="s">
        <v>67</v>
      </c>
      <c r="J31" s="5" t="str">
        <f t="shared" si="0"/>
        <v>Richard Yale</v>
      </c>
      <c r="K31" s="5" t="s">
        <v>57</v>
      </c>
      <c r="L31" s="6">
        <v>45901</v>
      </c>
      <c r="M31" s="6">
        <v>45962</v>
      </c>
      <c r="N31" s="7">
        <v>-64.16</v>
      </c>
      <c r="O31" s="5">
        <f t="shared" si="1"/>
        <v>2</v>
      </c>
      <c r="P31" s="5" t="s">
        <v>214</v>
      </c>
      <c r="Q31" s="5" t="s">
        <v>1273</v>
      </c>
      <c r="R31" s="8">
        <v>0.375</v>
      </c>
      <c r="S31" s="7">
        <v>-24.06</v>
      </c>
      <c r="T31" s="5" t="s">
        <v>244</v>
      </c>
    </row>
    <row r="32" spans="1:52" s="5" customFormat="1" x14ac:dyDescent="0.25">
      <c r="A32" s="5">
        <v>2030909014</v>
      </c>
      <c r="B32" s="5" t="s">
        <v>368</v>
      </c>
      <c r="C32" s="5" t="s">
        <v>644</v>
      </c>
      <c r="D32" s="5" t="str">
        <f t="shared" si="2"/>
        <v>KEVIN BROWN</v>
      </c>
      <c r="E32" s="5" t="s">
        <v>53</v>
      </c>
      <c r="F32" s="5" t="s">
        <v>65</v>
      </c>
      <c r="G32" s="5">
        <v>16509456</v>
      </c>
      <c r="H32" s="5" t="s">
        <v>172</v>
      </c>
      <c r="I32" s="5" t="s">
        <v>624</v>
      </c>
      <c r="J32" s="5" t="str">
        <f t="shared" si="0"/>
        <v>PETER RICHTER</v>
      </c>
      <c r="K32" s="5" t="s">
        <v>57</v>
      </c>
      <c r="L32" s="6">
        <v>45906</v>
      </c>
      <c r="M32" s="6">
        <v>45967</v>
      </c>
      <c r="N32" s="7">
        <v>52.69</v>
      </c>
      <c r="O32" s="5">
        <f t="shared" si="1"/>
        <v>2</v>
      </c>
      <c r="P32" s="5" t="s">
        <v>214</v>
      </c>
      <c r="Q32" s="5" t="s">
        <v>1273</v>
      </c>
      <c r="R32" s="9">
        <v>0.6</v>
      </c>
      <c r="S32" s="7">
        <v>31.61</v>
      </c>
      <c r="T32" s="5" t="s">
        <v>65</v>
      </c>
    </row>
    <row r="33" spans="1:52" s="5" customFormat="1" x14ac:dyDescent="0.25">
      <c r="A33" s="5">
        <v>2030399994</v>
      </c>
      <c r="B33" s="5" t="s">
        <v>447</v>
      </c>
      <c r="C33" s="5" t="s">
        <v>139</v>
      </c>
      <c r="D33" s="5" t="str">
        <f t="shared" si="2"/>
        <v>KELLY LOYD</v>
      </c>
      <c r="E33" s="5" t="s">
        <v>287</v>
      </c>
      <c r="F33" s="5" t="s">
        <v>291</v>
      </c>
      <c r="G33" s="5">
        <v>7470776</v>
      </c>
      <c r="H33" s="5" t="s">
        <v>273</v>
      </c>
      <c r="I33" s="5" t="s">
        <v>274</v>
      </c>
      <c r="J33" s="5" t="str">
        <f t="shared" si="0"/>
        <v>Andrew Choi</v>
      </c>
      <c r="K33" s="5" t="s">
        <v>57</v>
      </c>
      <c r="L33" s="6">
        <v>45878</v>
      </c>
      <c r="M33" s="6">
        <v>45970</v>
      </c>
      <c r="N33" s="7">
        <v>758.34</v>
      </c>
      <c r="O33" s="5">
        <f t="shared" si="1"/>
        <v>3</v>
      </c>
      <c r="P33" s="5" t="s">
        <v>214</v>
      </c>
      <c r="Q33" s="5" t="s">
        <v>1273</v>
      </c>
      <c r="R33" s="9">
        <v>0.38</v>
      </c>
      <c r="S33" s="7">
        <v>288.17</v>
      </c>
      <c r="T33" s="5" t="s">
        <v>291</v>
      </c>
    </row>
    <row r="34" spans="1:52" s="5" customFormat="1" x14ac:dyDescent="0.25">
      <c r="A34" s="5">
        <v>2030399997</v>
      </c>
      <c r="B34" s="5" t="s">
        <v>447</v>
      </c>
      <c r="C34" s="5" t="s">
        <v>139</v>
      </c>
      <c r="D34" s="5" t="str">
        <f t="shared" si="2"/>
        <v>KELLY LOYD</v>
      </c>
      <c r="E34" s="5" t="s">
        <v>287</v>
      </c>
      <c r="F34" s="5" t="s">
        <v>424</v>
      </c>
      <c r="G34" s="5">
        <v>7470776</v>
      </c>
      <c r="H34" s="5" t="s">
        <v>273</v>
      </c>
      <c r="I34" s="5" t="s">
        <v>274</v>
      </c>
      <c r="J34" s="5" t="str">
        <f t="shared" si="0"/>
        <v>Andrew Choi</v>
      </c>
      <c r="K34" s="5" t="s">
        <v>57</v>
      </c>
      <c r="L34" s="6">
        <v>45878</v>
      </c>
      <c r="M34" s="6">
        <v>45970</v>
      </c>
      <c r="N34" s="7">
        <v>7.09</v>
      </c>
      <c r="O34" s="5">
        <f t="shared" si="1"/>
        <v>3</v>
      </c>
      <c r="P34" s="5" t="s">
        <v>214</v>
      </c>
      <c r="Q34" s="5" t="s">
        <v>1273</v>
      </c>
      <c r="R34" s="9">
        <v>0.38</v>
      </c>
      <c r="S34" s="7">
        <v>2.69</v>
      </c>
      <c r="T34" s="5" t="s">
        <v>291</v>
      </c>
    </row>
    <row r="35" spans="1:52" s="5" customFormat="1" x14ac:dyDescent="0.25">
      <c r="A35" s="5">
        <v>2030406801</v>
      </c>
      <c r="B35" s="5" t="s">
        <v>926</v>
      </c>
      <c r="C35" s="5" t="s">
        <v>927</v>
      </c>
      <c r="D35" s="5" t="str">
        <f t="shared" si="2"/>
        <v>FARRIS KRISTYN</v>
      </c>
      <c r="E35" s="5" t="s">
        <v>89</v>
      </c>
      <c r="F35" s="5" t="s">
        <v>102</v>
      </c>
      <c r="G35" s="5">
        <v>21313588</v>
      </c>
      <c r="H35" s="5" t="s">
        <v>204</v>
      </c>
      <c r="I35" s="5" t="s">
        <v>205</v>
      </c>
      <c r="J35" s="5" t="str">
        <f t="shared" si="0"/>
        <v>WILLIAM GESKE</v>
      </c>
      <c r="K35" s="5" t="s">
        <v>57</v>
      </c>
      <c r="L35" s="6">
        <v>45878</v>
      </c>
      <c r="M35" s="6">
        <v>45970</v>
      </c>
      <c r="N35" s="7">
        <v>27.28</v>
      </c>
      <c r="O35" s="5">
        <f t="shared" si="1"/>
        <v>3</v>
      </c>
      <c r="P35" s="5" t="s">
        <v>214</v>
      </c>
      <c r="Q35" s="5" t="s">
        <v>1273</v>
      </c>
      <c r="R35" s="9">
        <v>0.75</v>
      </c>
      <c r="S35" s="7">
        <v>20.46</v>
      </c>
      <c r="T35" s="5" t="s">
        <v>1257</v>
      </c>
    </row>
    <row r="36" spans="1:52" s="5" customFormat="1" x14ac:dyDescent="0.25">
      <c r="A36" s="5">
        <v>2030399998</v>
      </c>
      <c r="B36" s="5" t="s">
        <v>447</v>
      </c>
      <c r="C36" s="5" t="s">
        <v>139</v>
      </c>
      <c r="D36" s="5" t="str">
        <f t="shared" si="2"/>
        <v>KELLY LOYD</v>
      </c>
      <c r="E36" s="5" t="s">
        <v>209</v>
      </c>
      <c r="F36" s="5" t="s">
        <v>232</v>
      </c>
      <c r="G36" s="5">
        <v>7470776</v>
      </c>
      <c r="H36" s="5" t="s">
        <v>273</v>
      </c>
      <c r="I36" s="5" t="s">
        <v>274</v>
      </c>
      <c r="J36" s="5" t="str">
        <f t="shared" si="0"/>
        <v>Andrew Choi</v>
      </c>
      <c r="K36" s="5" t="s">
        <v>57</v>
      </c>
      <c r="L36" s="6">
        <v>45878</v>
      </c>
      <c r="M36" s="6">
        <v>45970</v>
      </c>
      <c r="N36" s="7">
        <v>15</v>
      </c>
      <c r="O36" s="5">
        <f t="shared" si="1"/>
        <v>3</v>
      </c>
      <c r="P36" s="5" t="s">
        <v>214</v>
      </c>
      <c r="Q36" s="5" t="s">
        <v>1273</v>
      </c>
      <c r="R36" s="9">
        <v>0.38</v>
      </c>
      <c r="S36" s="7">
        <v>5.7</v>
      </c>
      <c r="T36" s="5" t="s">
        <v>232</v>
      </c>
    </row>
    <row r="37" spans="1:52" s="5" customFormat="1" x14ac:dyDescent="0.25">
      <c r="A37" s="5">
        <v>2030375984</v>
      </c>
      <c r="B37" s="5" t="s">
        <v>94</v>
      </c>
      <c r="C37" s="5" t="s">
        <v>548</v>
      </c>
      <c r="D37" s="5" t="str">
        <f t="shared" si="2"/>
        <v>MOENKHAUS ERIC</v>
      </c>
      <c r="E37" s="5" t="s">
        <v>209</v>
      </c>
      <c r="F37" s="5" t="s">
        <v>217</v>
      </c>
      <c r="G37" s="5">
        <v>20724564</v>
      </c>
      <c r="H37" s="5" t="s">
        <v>151</v>
      </c>
      <c r="I37" s="5" t="s">
        <v>152</v>
      </c>
      <c r="J37" s="5" t="str">
        <f t="shared" si="0"/>
        <v>Marsha Sanderock</v>
      </c>
      <c r="K37" s="5" t="s">
        <v>57</v>
      </c>
      <c r="L37" s="6">
        <v>45877</v>
      </c>
      <c r="M37" s="6">
        <v>45969</v>
      </c>
      <c r="N37" s="7">
        <v>15</v>
      </c>
      <c r="O37" s="5">
        <f t="shared" si="1"/>
        <v>3</v>
      </c>
      <c r="P37" s="5" t="s">
        <v>214</v>
      </c>
      <c r="Q37" s="5" t="s">
        <v>1273</v>
      </c>
      <c r="R37" s="9">
        <v>0.19</v>
      </c>
      <c r="S37" s="7">
        <v>2.85</v>
      </c>
      <c r="T37" s="5" t="s">
        <v>217</v>
      </c>
    </row>
    <row r="38" spans="1:52" s="5" customFormat="1" x14ac:dyDescent="0.25">
      <c r="A38" s="5">
        <v>2030107691</v>
      </c>
      <c r="B38" s="5" t="s">
        <v>569</v>
      </c>
      <c r="C38" s="5" t="s">
        <v>1191</v>
      </c>
      <c r="D38" s="5" t="str">
        <f t="shared" si="2"/>
        <v>WALLS KIMBERLY</v>
      </c>
      <c r="E38" s="5" t="s">
        <v>350</v>
      </c>
      <c r="F38" s="5" t="s">
        <v>351</v>
      </c>
      <c r="G38" s="5">
        <v>20724564</v>
      </c>
      <c r="H38" s="5" t="s">
        <v>151</v>
      </c>
      <c r="I38" s="5" t="s">
        <v>152</v>
      </c>
      <c r="J38" s="5" t="str">
        <f t="shared" si="0"/>
        <v>Marsha Sanderock</v>
      </c>
      <c r="K38" s="5" t="s">
        <v>57</v>
      </c>
      <c r="L38" s="6">
        <v>45870</v>
      </c>
      <c r="M38" s="6">
        <v>45962</v>
      </c>
      <c r="N38" s="7">
        <v>133.13</v>
      </c>
      <c r="O38" s="5">
        <f t="shared" si="1"/>
        <v>3</v>
      </c>
      <c r="P38" s="5" t="s">
        <v>214</v>
      </c>
      <c r="Q38" s="5" t="s">
        <v>1273</v>
      </c>
      <c r="R38" s="9">
        <v>0.47</v>
      </c>
      <c r="S38" s="7">
        <v>62.57</v>
      </c>
      <c r="T38" s="5" t="s">
        <v>351</v>
      </c>
    </row>
    <row r="39" spans="1:52" s="5" customFormat="1" x14ac:dyDescent="0.25">
      <c r="A39" s="5">
        <v>2030312965</v>
      </c>
      <c r="B39" s="5" t="s">
        <v>1195</v>
      </c>
      <c r="C39" s="5" t="s">
        <v>1151</v>
      </c>
      <c r="D39" s="5" t="str">
        <f t="shared" si="2"/>
        <v>DAVIS LOWELL</v>
      </c>
      <c r="E39" s="5" t="s">
        <v>350</v>
      </c>
      <c r="F39" s="5" t="s">
        <v>351</v>
      </c>
      <c r="G39" s="5">
        <v>371819</v>
      </c>
      <c r="H39" s="5" t="s">
        <v>283</v>
      </c>
      <c r="I39" s="5" t="s">
        <v>284</v>
      </c>
      <c r="J39" s="5" t="str">
        <f t="shared" si="0"/>
        <v>THOMAS PARDUE</v>
      </c>
      <c r="K39" s="5" t="s">
        <v>57</v>
      </c>
      <c r="L39" s="6">
        <v>45874</v>
      </c>
      <c r="M39" s="6">
        <v>45966</v>
      </c>
      <c r="N39" s="7">
        <v>29.97</v>
      </c>
      <c r="O39" s="5">
        <f t="shared" si="1"/>
        <v>3</v>
      </c>
      <c r="P39" s="5" t="s">
        <v>214</v>
      </c>
      <c r="Q39" s="5" t="s">
        <v>1273</v>
      </c>
      <c r="R39" s="9">
        <v>0.47</v>
      </c>
      <c r="S39" s="7">
        <v>14.09</v>
      </c>
      <c r="T39" s="5" t="s">
        <v>351</v>
      </c>
    </row>
    <row r="40" spans="1:52" s="5" customFormat="1" x14ac:dyDescent="0.25">
      <c r="A40" s="5">
        <v>2030395014</v>
      </c>
      <c r="B40" s="5" t="s">
        <v>445</v>
      </c>
      <c r="C40" s="5" t="s">
        <v>446</v>
      </c>
      <c r="D40" s="5" t="str">
        <f t="shared" si="2"/>
        <v>KINNEY ERIN</v>
      </c>
      <c r="E40" s="5" t="s">
        <v>287</v>
      </c>
      <c r="F40" s="5" t="s">
        <v>288</v>
      </c>
      <c r="G40" s="5">
        <v>21313588</v>
      </c>
      <c r="H40" s="5" t="s">
        <v>204</v>
      </c>
      <c r="I40" s="5" t="s">
        <v>205</v>
      </c>
      <c r="J40" s="5" t="str">
        <f t="shared" si="0"/>
        <v>WILLIAM GESKE</v>
      </c>
      <c r="K40" s="5" t="s">
        <v>57</v>
      </c>
      <c r="L40" s="6">
        <v>45878</v>
      </c>
      <c r="M40" s="6">
        <v>45970</v>
      </c>
      <c r="N40" s="7">
        <v>23.69</v>
      </c>
      <c r="O40" s="5">
        <f t="shared" si="1"/>
        <v>3</v>
      </c>
      <c r="P40" s="5" t="s">
        <v>214</v>
      </c>
      <c r="Q40" s="5" t="s">
        <v>1273</v>
      </c>
      <c r="R40" s="9">
        <v>0.38</v>
      </c>
      <c r="S40" s="7">
        <v>9</v>
      </c>
      <c r="T40" s="5" t="s">
        <v>288</v>
      </c>
    </row>
    <row r="41" spans="1:52" s="5" customFormat="1" x14ac:dyDescent="0.25">
      <c r="A41" s="5">
        <v>2030375983</v>
      </c>
      <c r="B41" s="5" t="s">
        <v>94</v>
      </c>
      <c r="C41" s="5" t="s">
        <v>548</v>
      </c>
      <c r="D41" s="5" t="str">
        <f t="shared" si="2"/>
        <v>MOENKHAUS ERIC</v>
      </c>
      <c r="E41" s="5" t="s">
        <v>344</v>
      </c>
      <c r="F41" s="5" t="s">
        <v>345</v>
      </c>
      <c r="G41" s="5">
        <v>20724564</v>
      </c>
      <c r="H41" s="5" t="s">
        <v>151</v>
      </c>
      <c r="I41" s="5" t="s">
        <v>152</v>
      </c>
      <c r="J41" s="5" t="str">
        <f t="shared" si="0"/>
        <v>Marsha Sanderock</v>
      </c>
      <c r="K41" s="5" t="s">
        <v>57</v>
      </c>
      <c r="L41" s="6">
        <v>45877</v>
      </c>
      <c r="M41" s="6">
        <v>45969</v>
      </c>
      <c r="N41" s="7">
        <v>123.37</v>
      </c>
      <c r="O41" s="5">
        <f t="shared" si="1"/>
        <v>3</v>
      </c>
      <c r="P41" s="5" t="s">
        <v>214</v>
      </c>
      <c r="Q41" s="5" t="s">
        <v>1273</v>
      </c>
      <c r="R41" s="9">
        <v>0.19</v>
      </c>
      <c r="S41" s="7">
        <v>23.44</v>
      </c>
      <c r="T41" s="5" t="s">
        <v>345</v>
      </c>
    </row>
    <row r="42" spans="1:52" s="5" customFormat="1" x14ac:dyDescent="0.25">
      <c r="A42" s="5">
        <v>2030399995</v>
      </c>
      <c r="B42" s="5" t="s">
        <v>447</v>
      </c>
      <c r="C42" s="5" t="s">
        <v>139</v>
      </c>
      <c r="D42" s="5" t="str">
        <f t="shared" si="2"/>
        <v>KELLY LOYD</v>
      </c>
      <c r="E42" s="5" t="s">
        <v>292</v>
      </c>
      <c r="F42" s="5" t="s">
        <v>293</v>
      </c>
      <c r="G42" s="5">
        <v>7470776</v>
      </c>
      <c r="H42" s="5" t="s">
        <v>273</v>
      </c>
      <c r="I42" s="5" t="s">
        <v>274</v>
      </c>
      <c r="J42" s="5" t="str">
        <f t="shared" si="0"/>
        <v>Andrew Choi</v>
      </c>
      <c r="K42" s="5" t="s">
        <v>57</v>
      </c>
      <c r="L42" s="6">
        <v>45878</v>
      </c>
      <c r="M42" s="6">
        <v>45970</v>
      </c>
      <c r="N42" s="7">
        <v>99.19</v>
      </c>
      <c r="O42" s="5">
        <f t="shared" si="1"/>
        <v>3</v>
      </c>
      <c r="P42" s="5" t="s">
        <v>214</v>
      </c>
      <c r="Q42" s="5" t="s">
        <v>1273</v>
      </c>
      <c r="R42" s="9">
        <v>0.7</v>
      </c>
      <c r="S42" s="7">
        <v>69.430000000000007</v>
      </c>
      <c r="T42" s="5" t="s">
        <v>293</v>
      </c>
    </row>
    <row r="43" spans="1:52" s="5" customFormat="1" x14ac:dyDescent="0.25">
      <c r="A43" s="5">
        <v>2030404321</v>
      </c>
      <c r="B43" s="5" t="s">
        <v>1087</v>
      </c>
      <c r="C43" s="5" t="s">
        <v>1088</v>
      </c>
      <c r="D43" s="5" t="str">
        <f t="shared" si="2"/>
        <v>LUNDY SIDNEY</v>
      </c>
      <c r="E43" s="5" t="s">
        <v>292</v>
      </c>
      <c r="F43" s="5" t="s">
        <v>293</v>
      </c>
      <c r="G43" s="5">
        <v>21421111</v>
      </c>
      <c r="H43" s="5" t="s">
        <v>146</v>
      </c>
      <c r="I43" s="5" t="s">
        <v>147</v>
      </c>
      <c r="J43" s="5" t="str">
        <f t="shared" si="0"/>
        <v>Kirk Tigue</v>
      </c>
      <c r="K43" s="5" t="s">
        <v>57</v>
      </c>
      <c r="L43" s="6">
        <v>45878</v>
      </c>
      <c r="M43" s="6">
        <v>45970</v>
      </c>
      <c r="N43" s="7">
        <v>11.5</v>
      </c>
      <c r="O43" s="5">
        <f t="shared" si="1"/>
        <v>3</v>
      </c>
      <c r="P43" s="5" t="s">
        <v>214</v>
      </c>
      <c r="Q43" s="5" t="s">
        <v>1273</v>
      </c>
      <c r="R43" s="9">
        <v>0.7</v>
      </c>
      <c r="S43" s="7">
        <v>8.0500000000000007</v>
      </c>
      <c r="T43" s="5" t="s">
        <v>293</v>
      </c>
    </row>
    <row r="44" spans="1:52" s="5" customFormat="1" x14ac:dyDescent="0.25">
      <c r="A44" s="5">
        <v>2030359699</v>
      </c>
      <c r="B44" s="5" t="s">
        <v>1082</v>
      </c>
      <c r="C44" s="5" t="s">
        <v>1083</v>
      </c>
      <c r="D44" s="5" t="str">
        <f t="shared" si="2"/>
        <v>GERELTOGTOKH CHOINDONJAMTS</v>
      </c>
      <c r="E44" s="5" t="s">
        <v>292</v>
      </c>
      <c r="F44" s="5" t="s">
        <v>293</v>
      </c>
      <c r="G44" s="5">
        <v>20220688</v>
      </c>
      <c r="H44" s="5" t="s">
        <v>340</v>
      </c>
      <c r="I44" s="5" t="s">
        <v>341</v>
      </c>
      <c r="J44" s="5" t="str">
        <f t="shared" si="0"/>
        <v>NASANDELGER ZANA</v>
      </c>
      <c r="K44" s="5" t="s">
        <v>57</v>
      </c>
      <c r="L44" s="6">
        <v>45876</v>
      </c>
      <c r="M44" s="6">
        <v>45968</v>
      </c>
      <c r="N44" s="7">
        <v>58.24</v>
      </c>
      <c r="O44" s="5">
        <f t="shared" si="1"/>
        <v>3</v>
      </c>
      <c r="P44" s="5" t="s">
        <v>214</v>
      </c>
      <c r="Q44" s="5" t="s">
        <v>1273</v>
      </c>
      <c r="R44" s="9">
        <v>0.7</v>
      </c>
      <c r="S44" s="7">
        <v>40.770000000000003</v>
      </c>
      <c r="T44" s="5" t="s">
        <v>293</v>
      </c>
    </row>
    <row r="45" spans="1:52" s="5" customFormat="1" x14ac:dyDescent="0.25">
      <c r="A45" s="5">
        <v>2030339441</v>
      </c>
      <c r="B45" s="5" t="s">
        <v>1080</v>
      </c>
      <c r="C45" s="5" t="s">
        <v>1081</v>
      </c>
      <c r="D45" s="5" t="str">
        <f t="shared" si="2"/>
        <v>NYAMBAATAR ALTANSOR</v>
      </c>
      <c r="E45" s="5" t="s">
        <v>292</v>
      </c>
      <c r="F45" s="5" t="s">
        <v>293</v>
      </c>
      <c r="G45" s="5">
        <v>20220688</v>
      </c>
      <c r="H45" s="5" t="s">
        <v>340</v>
      </c>
      <c r="I45" s="5" t="s">
        <v>341</v>
      </c>
      <c r="J45" s="5" t="str">
        <f t="shared" si="0"/>
        <v>NASANDELGER ZANA</v>
      </c>
      <c r="K45" s="5" t="s">
        <v>57</v>
      </c>
      <c r="L45" s="6">
        <v>45875</v>
      </c>
      <c r="M45" s="6">
        <v>45967</v>
      </c>
      <c r="N45" s="7">
        <v>49.8</v>
      </c>
      <c r="O45" s="5">
        <f t="shared" si="1"/>
        <v>3</v>
      </c>
      <c r="P45" s="5" t="s">
        <v>214</v>
      </c>
      <c r="Q45" s="5" t="s">
        <v>1273</v>
      </c>
      <c r="R45" s="9">
        <v>0.7</v>
      </c>
      <c r="S45" s="7">
        <v>34.86</v>
      </c>
      <c r="T45" s="5" t="s">
        <v>293</v>
      </c>
    </row>
    <row r="46" spans="1:52" x14ac:dyDescent="0.25">
      <c r="A46" s="5">
        <v>2030395015</v>
      </c>
      <c r="B46" s="5" t="s">
        <v>445</v>
      </c>
      <c r="C46" s="5" t="s">
        <v>446</v>
      </c>
      <c r="D46" s="5" t="str">
        <f t="shared" si="2"/>
        <v>KINNEY ERIN</v>
      </c>
      <c r="E46" s="5" t="s">
        <v>292</v>
      </c>
      <c r="F46" s="5" t="s">
        <v>293</v>
      </c>
      <c r="G46" s="5">
        <v>21313588</v>
      </c>
      <c r="H46" s="5" t="s">
        <v>204</v>
      </c>
      <c r="I46" s="5" t="s">
        <v>205</v>
      </c>
      <c r="J46" s="5" t="str">
        <f t="shared" si="0"/>
        <v>WILLIAM GESKE</v>
      </c>
      <c r="K46" s="5" t="s">
        <v>57</v>
      </c>
      <c r="L46" s="6">
        <v>45878</v>
      </c>
      <c r="M46" s="6">
        <v>45970</v>
      </c>
      <c r="N46" s="7">
        <v>9.1</v>
      </c>
      <c r="O46" s="5">
        <f t="shared" si="1"/>
        <v>3</v>
      </c>
      <c r="P46" s="5" t="s">
        <v>214</v>
      </c>
      <c r="Q46" s="5" t="s">
        <v>1273</v>
      </c>
      <c r="R46" s="9">
        <v>0.7</v>
      </c>
      <c r="S46" s="7">
        <v>6.37</v>
      </c>
      <c r="T46" s="5" t="s">
        <v>293</v>
      </c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</row>
    <row r="47" spans="1:52" x14ac:dyDescent="0.25">
      <c r="A47" s="5">
        <v>2030406800</v>
      </c>
      <c r="B47" s="5" t="s">
        <v>926</v>
      </c>
      <c r="C47" s="5" t="s">
        <v>927</v>
      </c>
      <c r="D47" s="5" t="str">
        <f t="shared" si="2"/>
        <v>FARRIS KRISTYN</v>
      </c>
      <c r="E47" s="5" t="s">
        <v>292</v>
      </c>
      <c r="F47" s="5" t="s">
        <v>293</v>
      </c>
      <c r="G47" s="5">
        <v>21313588</v>
      </c>
      <c r="H47" s="5" t="s">
        <v>204</v>
      </c>
      <c r="I47" s="5" t="s">
        <v>205</v>
      </c>
      <c r="J47" s="5" t="str">
        <f t="shared" si="0"/>
        <v>WILLIAM GESKE</v>
      </c>
      <c r="K47" s="5" t="s">
        <v>57</v>
      </c>
      <c r="L47" s="6">
        <v>45878</v>
      </c>
      <c r="M47" s="6">
        <v>45970</v>
      </c>
      <c r="N47" s="7">
        <v>9.1</v>
      </c>
      <c r="O47" s="5">
        <f t="shared" si="1"/>
        <v>3</v>
      </c>
      <c r="P47" s="5" t="s">
        <v>214</v>
      </c>
      <c r="Q47" s="5" t="s">
        <v>1273</v>
      </c>
      <c r="R47" s="9">
        <v>0.7</v>
      </c>
      <c r="S47" s="7">
        <v>6.37</v>
      </c>
      <c r="T47" s="5" t="s">
        <v>293</v>
      </c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</row>
    <row r="48" spans="1:52" x14ac:dyDescent="0.25">
      <c r="A48" s="5">
        <v>2030404320</v>
      </c>
      <c r="B48" s="5" t="s">
        <v>1087</v>
      </c>
      <c r="C48" s="5" t="s">
        <v>1088</v>
      </c>
      <c r="D48" s="5" t="str">
        <f t="shared" si="2"/>
        <v>LUNDY SIDNEY</v>
      </c>
      <c r="E48" s="5" t="s">
        <v>243</v>
      </c>
      <c r="F48" s="5" t="s">
        <v>244</v>
      </c>
      <c r="G48" s="5">
        <v>21421111</v>
      </c>
      <c r="H48" s="5" t="s">
        <v>146</v>
      </c>
      <c r="I48" s="5" t="s">
        <v>147</v>
      </c>
      <c r="J48" s="5" t="str">
        <f t="shared" si="0"/>
        <v>Kirk Tigue</v>
      </c>
      <c r="K48" s="5" t="s">
        <v>57</v>
      </c>
      <c r="L48" s="6">
        <v>45878</v>
      </c>
      <c r="M48" s="6">
        <v>45970</v>
      </c>
      <c r="N48" s="7">
        <v>44.56</v>
      </c>
      <c r="O48" s="5">
        <f t="shared" si="1"/>
        <v>3</v>
      </c>
      <c r="P48" s="5" t="s">
        <v>214</v>
      </c>
      <c r="Q48" s="5" t="s">
        <v>1273</v>
      </c>
      <c r="R48" s="8">
        <v>0.375</v>
      </c>
      <c r="S48" s="7">
        <v>16.71</v>
      </c>
      <c r="T48" s="5" t="s">
        <v>244</v>
      </c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</row>
    <row r="49" spans="1:52" x14ac:dyDescent="0.25">
      <c r="A49" s="5">
        <v>2030406802</v>
      </c>
      <c r="B49" s="5" t="s">
        <v>926</v>
      </c>
      <c r="C49" s="5" t="s">
        <v>927</v>
      </c>
      <c r="D49" s="5" t="str">
        <f t="shared" si="2"/>
        <v>FARRIS KRISTYN</v>
      </c>
      <c r="E49" s="5" t="s">
        <v>243</v>
      </c>
      <c r="F49" s="5" t="s">
        <v>244</v>
      </c>
      <c r="G49" s="5">
        <v>21313588</v>
      </c>
      <c r="H49" s="5" t="s">
        <v>204</v>
      </c>
      <c r="I49" s="5" t="s">
        <v>205</v>
      </c>
      <c r="J49" s="5" t="str">
        <f t="shared" si="0"/>
        <v>WILLIAM GESKE</v>
      </c>
      <c r="K49" s="5" t="s">
        <v>57</v>
      </c>
      <c r="L49" s="6">
        <v>45878</v>
      </c>
      <c r="M49" s="6">
        <v>45970</v>
      </c>
      <c r="N49" s="7">
        <v>47.28</v>
      </c>
      <c r="O49" s="5">
        <f t="shared" si="1"/>
        <v>3</v>
      </c>
      <c r="P49" s="5" t="s">
        <v>214</v>
      </c>
      <c r="Q49" s="5" t="s">
        <v>1273</v>
      </c>
      <c r="R49" s="8">
        <v>0.375</v>
      </c>
      <c r="S49" s="7">
        <v>17.73</v>
      </c>
      <c r="T49" s="5" t="s">
        <v>244</v>
      </c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</row>
    <row r="50" spans="1:52" x14ac:dyDescent="0.25">
      <c r="A50" s="5">
        <v>2030399996</v>
      </c>
      <c r="B50" s="5" t="s">
        <v>447</v>
      </c>
      <c r="C50" s="5" t="s">
        <v>139</v>
      </c>
      <c r="D50" s="5" t="str">
        <f t="shared" si="2"/>
        <v>KELLY LOYD</v>
      </c>
      <c r="E50" s="5" t="s">
        <v>292</v>
      </c>
      <c r="F50" s="5" t="s">
        <v>295</v>
      </c>
      <c r="G50" s="5">
        <v>7470776</v>
      </c>
      <c r="H50" s="5" t="s">
        <v>273</v>
      </c>
      <c r="I50" s="5" t="s">
        <v>274</v>
      </c>
      <c r="J50" s="5" t="str">
        <f t="shared" si="0"/>
        <v>Andrew Choi</v>
      </c>
      <c r="K50" s="5" t="s">
        <v>57</v>
      </c>
      <c r="L50" s="6">
        <v>45878</v>
      </c>
      <c r="M50" s="6">
        <v>45970</v>
      </c>
      <c r="N50" s="7">
        <v>258.5</v>
      </c>
      <c r="O50" s="5">
        <f t="shared" si="1"/>
        <v>3</v>
      </c>
      <c r="P50" s="5" t="s">
        <v>214</v>
      </c>
      <c r="Q50" s="5" t="s">
        <v>1273</v>
      </c>
      <c r="R50" s="9">
        <v>0.9</v>
      </c>
      <c r="S50" s="7">
        <v>232.65</v>
      </c>
      <c r="T50" s="5" t="s">
        <v>295</v>
      </c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</row>
    <row r="51" spans="1:52" x14ac:dyDescent="0.25">
      <c r="A51" s="5">
        <v>2030376028</v>
      </c>
      <c r="B51" s="5" t="s">
        <v>1085</v>
      </c>
      <c r="C51" s="5" t="s">
        <v>1086</v>
      </c>
      <c r="D51" s="5" t="str">
        <f t="shared" si="2"/>
        <v>SKIPWORTH DONOVAN</v>
      </c>
      <c r="E51" s="5" t="s">
        <v>292</v>
      </c>
      <c r="F51" s="5" t="s">
        <v>295</v>
      </c>
      <c r="G51" s="5">
        <v>16865615</v>
      </c>
      <c r="H51" s="5" t="s">
        <v>265</v>
      </c>
      <c r="I51" s="5" t="s">
        <v>266</v>
      </c>
      <c r="J51" s="5" t="str">
        <f t="shared" si="0"/>
        <v>Heather Geske</v>
      </c>
      <c r="K51" s="5" t="s">
        <v>57</v>
      </c>
      <c r="L51" s="6">
        <v>45877</v>
      </c>
      <c r="M51" s="6">
        <v>45969</v>
      </c>
      <c r="N51" s="7">
        <v>73</v>
      </c>
      <c r="O51" s="5">
        <f t="shared" si="1"/>
        <v>3</v>
      </c>
      <c r="P51" s="5" t="s">
        <v>214</v>
      </c>
      <c r="Q51" s="5" t="s">
        <v>1273</v>
      </c>
      <c r="R51" s="9">
        <v>0.9</v>
      </c>
      <c r="S51" s="7">
        <v>65.7</v>
      </c>
      <c r="T51" s="5" t="s">
        <v>295</v>
      </c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</row>
    <row r="52" spans="1:52" x14ac:dyDescent="0.25">
      <c r="A52" s="5">
        <v>2029838335</v>
      </c>
      <c r="B52" s="5" t="s">
        <v>434</v>
      </c>
      <c r="C52" s="5" t="s">
        <v>435</v>
      </c>
      <c r="D52" s="5" t="str">
        <f t="shared" si="2"/>
        <v>DIECKMANN LYNSEY</v>
      </c>
      <c r="E52" s="5" t="s">
        <v>287</v>
      </c>
      <c r="F52" s="5" t="s">
        <v>291</v>
      </c>
      <c r="G52" s="5">
        <v>7146581</v>
      </c>
      <c r="H52" s="5" t="s">
        <v>436</v>
      </c>
      <c r="I52" s="5" t="s">
        <v>437</v>
      </c>
      <c r="J52" s="5" t="str">
        <f t="shared" si="0"/>
        <v>Anthony Hunsberger</v>
      </c>
      <c r="K52" s="5" t="s">
        <v>57</v>
      </c>
      <c r="L52" s="6">
        <v>45846</v>
      </c>
      <c r="M52" s="6">
        <v>45969</v>
      </c>
      <c r="N52" s="7">
        <v>181.4</v>
      </c>
      <c r="O52" s="5">
        <f t="shared" si="1"/>
        <v>4</v>
      </c>
      <c r="P52" s="5" t="s">
        <v>214</v>
      </c>
      <c r="Q52" s="5" t="s">
        <v>1273</v>
      </c>
      <c r="R52" s="9">
        <v>0.38</v>
      </c>
      <c r="S52" s="7">
        <v>68.930000000000007</v>
      </c>
      <c r="T52" s="5" t="s">
        <v>291</v>
      </c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</row>
    <row r="53" spans="1:52" x14ac:dyDescent="0.25">
      <c r="A53" s="5">
        <v>2029786425</v>
      </c>
      <c r="B53" s="5" t="s">
        <v>425</v>
      </c>
      <c r="C53" s="5" t="s">
        <v>426</v>
      </c>
      <c r="D53" s="5" t="str">
        <f t="shared" si="2"/>
        <v>III EDDIE</v>
      </c>
      <c r="E53" s="5" t="s">
        <v>287</v>
      </c>
      <c r="F53" s="5" t="s">
        <v>291</v>
      </c>
      <c r="G53" s="5">
        <v>19200754</v>
      </c>
      <c r="H53" s="5" t="s">
        <v>428</v>
      </c>
      <c r="I53" s="5" t="s">
        <v>309</v>
      </c>
      <c r="J53" s="5" t="str">
        <f t="shared" si="0"/>
        <v>RICARDO SANTOS</v>
      </c>
      <c r="K53" s="5" t="s">
        <v>57</v>
      </c>
      <c r="L53" s="6">
        <v>45842</v>
      </c>
      <c r="M53" s="6">
        <v>45965</v>
      </c>
      <c r="N53" s="7">
        <v>172.55</v>
      </c>
      <c r="O53" s="5">
        <f t="shared" si="1"/>
        <v>4</v>
      </c>
      <c r="P53" s="5" t="s">
        <v>214</v>
      </c>
      <c r="Q53" s="5" t="s">
        <v>1273</v>
      </c>
      <c r="R53" s="9">
        <v>0.38</v>
      </c>
      <c r="S53" s="7">
        <v>65.569999999999993</v>
      </c>
      <c r="T53" s="5" t="s">
        <v>291</v>
      </c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</row>
    <row r="54" spans="1:52" x14ac:dyDescent="0.25">
      <c r="A54" s="5">
        <v>2029786427</v>
      </c>
      <c r="B54" s="5" t="s">
        <v>425</v>
      </c>
      <c r="C54" s="5" t="s">
        <v>426</v>
      </c>
      <c r="D54" s="5" t="str">
        <f t="shared" si="2"/>
        <v>III EDDIE</v>
      </c>
      <c r="E54" s="5" t="s">
        <v>287</v>
      </c>
      <c r="F54" s="5" t="s">
        <v>424</v>
      </c>
      <c r="G54" s="5">
        <v>19200754</v>
      </c>
      <c r="H54" s="5" t="s">
        <v>428</v>
      </c>
      <c r="I54" s="5" t="s">
        <v>309</v>
      </c>
      <c r="J54" s="5" t="str">
        <f t="shared" si="0"/>
        <v>RICARDO SANTOS</v>
      </c>
      <c r="K54" s="5" t="s">
        <v>57</v>
      </c>
      <c r="L54" s="6">
        <v>45842</v>
      </c>
      <c r="M54" s="6">
        <v>45965</v>
      </c>
      <c r="N54" s="7">
        <v>7.09</v>
      </c>
      <c r="O54" s="5">
        <f t="shared" si="1"/>
        <v>4</v>
      </c>
      <c r="P54" s="5" t="s">
        <v>214</v>
      </c>
      <c r="Q54" s="5" t="s">
        <v>1273</v>
      </c>
      <c r="R54" s="9">
        <v>0.38</v>
      </c>
      <c r="S54" s="7">
        <v>2.69</v>
      </c>
      <c r="T54" s="5" t="s">
        <v>291</v>
      </c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</row>
    <row r="55" spans="1:52" x14ac:dyDescent="0.25">
      <c r="A55" s="5">
        <v>2029838336</v>
      </c>
      <c r="B55" s="5" t="s">
        <v>434</v>
      </c>
      <c r="C55" s="5" t="s">
        <v>435</v>
      </c>
      <c r="D55" s="5" t="str">
        <f t="shared" si="2"/>
        <v>DIECKMANN LYNSEY</v>
      </c>
      <c r="E55" s="5" t="s">
        <v>89</v>
      </c>
      <c r="F55" s="5" t="s">
        <v>102</v>
      </c>
      <c r="G55" s="5">
        <v>7146581</v>
      </c>
      <c r="H55" s="5" t="s">
        <v>436</v>
      </c>
      <c r="I55" s="5" t="s">
        <v>437</v>
      </c>
      <c r="J55" s="5" t="str">
        <f t="shared" si="0"/>
        <v>Anthony Hunsberger</v>
      </c>
      <c r="K55" s="5" t="s">
        <v>57</v>
      </c>
      <c r="L55" s="6">
        <v>45846</v>
      </c>
      <c r="M55" s="6">
        <v>45969</v>
      </c>
      <c r="N55" s="7">
        <v>20.6</v>
      </c>
      <c r="O55" s="5">
        <f t="shared" si="1"/>
        <v>4</v>
      </c>
      <c r="P55" s="5" t="s">
        <v>214</v>
      </c>
      <c r="Q55" s="5" t="s">
        <v>1273</v>
      </c>
      <c r="R55" s="9">
        <v>0.75</v>
      </c>
      <c r="S55" s="7">
        <v>15.45</v>
      </c>
      <c r="T55" s="5" t="s">
        <v>1257</v>
      </c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</row>
    <row r="56" spans="1:52" x14ac:dyDescent="0.25">
      <c r="A56" s="5">
        <v>2029838337</v>
      </c>
      <c r="B56" s="5" t="s">
        <v>434</v>
      </c>
      <c r="C56" s="5" t="s">
        <v>435</v>
      </c>
      <c r="D56" s="5" t="str">
        <f t="shared" si="2"/>
        <v>DIECKMANN LYNSEY</v>
      </c>
      <c r="E56" s="5" t="s">
        <v>209</v>
      </c>
      <c r="F56" s="5" t="s">
        <v>232</v>
      </c>
      <c r="G56" s="5">
        <v>7146581</v>
      </c>
      <c r="H56" s="5" t="s">
        <v>436</v>
      </c>
      <c r="I56" s="5" t="s">
        <v>437</v>
      </c>
      <c r="J56" s="5" t="str">
        <f t="shared" si="0"/>
        <v>Anthony Hunsberger</v>
      </c>
      <c r="K56" s="5" t="s">
        <v>57</v>
      </c>
      <c r="L56" s="6">
        <v>45846</v>
      </c>
      <c r="M56" s="6">
        <v>45969</v>
      </c>
      <c r="N56" s="7">
        <v>15</v>
      </c>
      <c r="O56" s="5">
        <f t="shared" si="1"/>
        <v>4</v>
      </c>
      <c r="P56" s="5" t="s">
        <v>214</v>
      </c>
      <c r="Q56" s="5" t="s">
        <v>1273</v>
      </c>
      <c r="R56" s="9">
        <v>0.38</v>
      </c>
      <c r="S56" s="7">
        <v>5.7</v>
      </c>
      <c r="T56" s="5" t="s">
        <v>232</v>
      </c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</row>
    <row r="57" spans="1:52" x14ac:dyDescent="0.25">
      <c r="A57" s="5">
        <v>2029786428</v>
      </c>
      <c r="B57" s="5" t="s">
        <v>425</v>
      </c>
      <c r="C57" s="5" t="s">
        <v>426</v>
      </c>
      <c r="D57" s="5" t="str">
        <f t="shared" si="2"/>
        <v>III EDDIE</v>
      </c>
      <c r="E57" s="5" t="s">
        <v>209</v>
      </c>
      <c r="F57" s="5" t="s">
        <v>232</v>
      </c>
      <c r="G57" s="5">
        <v>19200754</v>
      </c>
      <c r="H57" s="5" t="s">
        <v>428</v>
      </c>
      <c r="I57" s="5" t="s">
        <v>309</v>
      </c>
      <c r="J57" s="5" t="str">
        <f t="shared" si="0"/>
        <v>RICARDO SANTOS</v>
      </c>
      <c r="K57" s="5" t="s">
        <v>57</v>
      </c>
      <c r="L57" s="6">
        <v>45842</v>
      </c>
      <c r="M57" s="6">
        <v>45965</v>
      </c>
      <c r="N57" s="7">
        <v>15</v>
      </c>
      <c r="O57" s="5">
        <f t="shared" si="1"/>
        <v>4</v>
      </c>
      <c r="P57" s="5" t="s">
        <v>214</v>
      </c>
      <c r="Q57" s="5" t="s">
        <v>1273</v>
      </c>
      <c r="R57" s="9">
        <v>0.38</v>
      </c>
      <c r="S57" s="7">
        <v>5.7</v>
      </c>
      <c r="T57" s="5" t="s">
        <v>232</v>
      </c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</row>
    <row r="58" spans="1:52" x14ac:dyDescent="0.25">
      <c r="A58" s="5">
        <v>2029838334</v>
      </c>
      <c r="B58" s="5" t="s">
        <v>434</v>
      </c>
      <c r="C58" s="5" t="s">
        <v>435</v>
      </c>
      <c r="D58" s="5" t="str">
        <f t="shared" si="2"/>
        <v>DIECKMANN LYNSEY</v>
      </c>
      <c r="E58" s="5" t="s">
        <v>292</v>
      </c>
      <c r="F58" s="5" t="s">
        <v>293</v>
      </c>
      <c r="G58" s="5">
        <v>7146581</v>
      </c>
      <c r="H58" s="5" t="s">
        <v>436</v>
      </c>
      <c r="I58" s="5" t="s">
        <v>437</v>
      </c>
      <c r="J58" s="5" t="str">
        <f t="shared" si="0"/>
        <v>Anthony Hunsberger</v>
      </c>
      <c r="K58" s="5" t="s">
        <v>57</v>
      </c>
      <c r="L58" s="6">
        <v>45846</v>
      </c>
      <c r="M58" s="6">
        <v>45969</v>
      </c>
      <c r="N58" s="7">
        <v>56.5</v>
      </c>
      <c r="O58" s="5">
        <f t="shared" si="1"/>
        <v>4</v>
      </c>
      <c r="P58" s="5" t="s">
        <v>214</v>
      </c>
      <c r="Q58" s="5" t="s">
        <v>1273</v>
      </c>
      <c r="R58" s="9">
        <v>0.7</v>
      </c>
      <c r="S58" s="7">
        <v>39.549999999999997</v>
      </c>
      <c r="T58" s="5" t="s">
        <v>293</v>
      </c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</row>
    <row r="59" spans="1:52" x14ac:dyDescent="0.25">
      <c r="A59" s="5">
        <v>2029880668</v>
      </c>
      <c r="B59" s="5" t="s">
        <v>1070</v>
      </c>
      <c r="C59" s="5" t="s">
        <v>1071</v>
      </c>
      <c r="D59" s="5" t="str">
        <f t="shared" si="2"/>
        <v>OSCAR KLIS</v>
      </c>
      <c r="E59" s="5" t="s">
        <v>292</v>
      </c>
      <c r="F59" s="5" t="s">
        <v>293</v>
      </c>
      <c r="G59" s="5">
        <v>7146581</v>
      </c>
      <c r="H59" s="5" t="s">
        <v>436</v>
      </c>
      <c r="I59" s="5" t="s">
        <v>437</v>
      </c>
      <c r="J59" s="5" t="str">
        <f t="shared" si="0"/>
        <v>Anthony Hunsberger</v>
      </c>
      <c r="K59" s="5" t="s">
        <v>57</v>
      </c>
      <c r="L59" s="6">
        <v>45848</v>
      </c>
      <c r="M59" s="6">
        <v>45971</v>
      </c>
      <c r="N59" s="7">
        <v>56.5</v>
      </c>
      <c r="O59" s="5">
        <f t="shared" si="1"/>
        <v>4</v>
      </c>
      <c r="P59" s="5" t="s">
        <v>214</v>
      </c>
      <c r="Q59" s="5" t="s">
        <v>1273</v>
      </c>
      <c r="R59" s="9">
        <v>0.7</v>
      </c>
      <c r="S59" s="7">
        <v>39.549999999999997</v>
      </c>
      <c r="T59" s="5" t="s">
        <v>293</v>
      </c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</row>
    <row r="60" spans="1:52" x14ac:dyDescent="0.25">
      <c r="A60" s="5">
        <v>2029277784</v>
      </c>
      <c r="B60" s="5" t="s">
        <v>1048</v>
      </c>
      <c r="C60" s="5" t="s">
        <v>1049</v>
      </c>
      <c r="D60" s="5" t="str">
        <f t="shared" si="2"/>
        <v>CONTRERAS CALSIE</v>
      </c>
      <c r="E60" s="5" t="s">
        <v>292</v>
      </c>
      <c r="F60" s="5" t="s">
        <v>293</v>
      </c>
      <c r="G60" s="5">
        <v>21104854</v>
      </c>
      <c r="H60" s="5" t="s">
        <v>880</v>
      </c>
      <c r="I60" s="5" t="s">
        <v>220</v>
      </c>
      <c r="J60" s="5" t="str">
        <f t="shared" si="0"/>
        <v>BRIAN STROHMAN</v>
      </c>
      <c r="K60" s="5" t="s">
        <v>57</v>
      </c>
      <c r="L60" s="6">
        <v>45839</v>
      </c>
      <c r="M60" s="6">
        <v>45962</v>
      </c>
      <c r="N60" s="7">
        <v>49.8</v>
      </c>
      <c r="O60" s="5">
        <f t="shared" si="1"/>
        <v>4</v>
      </c>
      <c r="P60" s="5" t="s">
        <v>214</v>
      </c>
      <c r="Q60" s="5" t="s">
        <v>1273</v>
      </c>
      <c r="R60" s="9">
        <v>0.7</v>
      </c>
      <c r="S60" s="7">
        <v>34.86</v>
      </c>
      <c r="T60" s="5" t="s">
        <v>293</v>
      </c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</row>
    <row r="61" spans="1:52" x14ac:dyDescent="0.25">
      <c r="A61" s="5">
        <v>2029501869</v>
      </c>
      <c r="B61" s="5" t="s">
        <v>1057</v>
      </c>
      <c r="C61" s="5" t="s">
        <v>1058</v>
      </c>
      <c r="D61" s="5" t="str">
        <f t="shared" si="2"/>
        <v>MIRANDA APFEL</v>
      </c>
      <c r="E61" s="5" t="s">
        <v>292</v>
      </c>
      <c r="F61" s="5" t="s">
        <v>293</v>
      </c>
      <c r="G61" s="5">
        <v>18201929</v>
      </c>
      <c r="H61" s="5" t="s">
        <v>298</v>
      </c>
      <c r="I61" s="5" t="s">
        <v>299</v>
      </c>
      <c r="J61" s="5" t="str">
        <f t="shared" si="0"/>
        <v>Jake Shulman</v>
      </c>
      <c r="K61" s="5" t="s">
        <v>57</v>
      </c>
      <c r="L61" s="6">
        <v>45839</v>
      </c>
      <c r="M61" s="6">
        <v>45962</v>
      </c>
      <c r="N61" s="7">
        <v>113.36</v>
      </c>
      <c r="O61" s="5">
        <f t="shared" si="1"/>
        <v>4</v>
      </c>
      <c r="P61" s="5" t="s">
        <v>214</v>
      </c>
      <c r="Q61" s="5" t="s">
        <v>1273</v>
      </c>
      <c r="R61" s="9">
        <v>0.7</v>
      </c>
      <c r="S61" s="7">
        <v>79.349999999999994</v>
      </c>
      <c r="T61" s="5" t="s">
        <v>293</v>
      </c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</row>
    <row r="62" spans="1:52" x14ac:dyDescent="0.25">
      <c r="A62" s="5">
        <v>2029851936</v>
      </c>
      <c r="B62" s="5" t="s">
        <v>1066</v>
      </c>
      <c r="C62" s="5" t="s">
        <v>1067</v>
      </c>
      <c r="D62" s="5" t="str">
        <f t="shared" si="2"/>
        <v>RAINSBERGER MIKE</v>
      </c>
      <c r="E62" s="5" t="s">
        <v>292</v>
      </c>
      <c r="F62" s="5" t="s">
        <v>293</v>
      </c>
      <c r="G62" s="5">
        <v>6634327</v>
      </c>
      <c r="H62" s="5" t="s">
        <v>406</v>
      </c>
      <c r="I62" s="5" t="s">
        <v>407</v>
      </c>
      <c r="J62" s="5" t="str">
        <f t="shared" si="0"/>
        <v>Joel Lee</v>
      </c>
      <c r="K62" s="5" t="s">
        <v>57</v>
      </c>
      <c r="L62" s="6">
        <v>45847</v>
      </c>
      <c r="M62" s="6">
        <v>45970</v>
      </c>
      <c r="N62" s="7">
        <v>11.69</v>
      </c>
      <c r="O62" s="5">
        <f t="shared" si="1"/>
        <v>4</v>
      </c>
      <c r="P62" s="5" t="s">
        <v>214</v>
      </c>
      <c r="Q62" s="5" t="s">
        <v>1273</v>
      </c>
      <c r="R62" s="9">
        <v>0.7</v>
      </c>
      <c r="S62" s="7">
        <v>8.18</v>
      </c>
      <c r="T62" s="5" t="s">
        <v>293</v>
      </c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</row>
    <row r="63" spans="1:52" x14ac:dyDescent="0.25">
      <c r="A63" s="5">
        <v>2029880677</v>
      </c>
      <c r="B63" s="5" t="s">
        <v>1072</v>
      </c>
      <c r="C63" s="5" t="s">
        <v>1073</v>
      </c>
      <c r="D63" s="5" t="str">
        <f t="shared" si="2"/>
        <v>GARCIA FLORDELIZA</v>
      </c>
      <c r="E63" s="5" t="s">
        <v>292</v>
      </c>
      <c r="F63" s="5" t="s">
        <v>293</v>
      </c>
      <c r="G63" s="5">
        <v>19200754</v>
      </c>
      <c r="H63" s="5" t="s">
        <v>428</v>
      </c>
      <c r="I63" s="5" t="s">
        <v>309</v>
      </c>
      <c r="J63" s="5" t="str">
        <f t="shared" si="0"/>
        <v>RICARDO SANTOS</v>
      </c>
      <c r="K63" s="5" t="s">
        <v>57</v>
      </c>
      <c r="L63" s="6">
        <v>45848</v>
      </c>
      <c r="M63" s="6">
        <v>45971</v>
      </c>
      <c r="N63" s="7">
        <v>88.96</v>
      </c>
      <c r="O63" s="5">
        <f t="shared" si="1"/>
        <v>4</v>
      </c>
      <c r="P63" s="5" t="s">
        <v>214</v>
      </c>
      <c r="Q63" s="5" t="s">
        <v>1273</v>
      </c>
      <c r="R63" s="9">
        <v>0.7</v>
      </c>
      <c r="S63" s="7">
        <v>62.27</v>
      </c>
      <c r="T63" s="5" t="s">
        <v>293</v>
      </c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</row>
    <row r="64" spans="1:52" s="5" customFormat="1" x14ac:dyDescent="0.25">
      <c r="A64" s="5">
        <v>2029526294</v>
      </c>
      <c r="B64" s="5" t="s">
        <v>1059</v>
      </c>
      <c r="C64" s="5" t="s">
        <v>1060</v>
      </c>
      <c r="D64" s="5" t="str">
        <f t="shared" si="2"/>
        <v>MORALES MARILYN</v>
      </c>
      <c r="E64" s="5" t="s">
        <v>292</v>
      </c>
      <c r="F64" s="5" t="s">
        <v>293</v>
      </c>
      <c r="G64" s="5">
        <v>19200754</v>
      </c>
      <c r="H64" s="5" t="s">
        <v>428</v>
      </c>
      <c r="I64" s="5" t="s">
        <v>309</v>
      </c>
      <c r="J64" s="5" t="str">
        <f t="shared" si="0"/>
        <v>RICARDO SANTOS</v>
      </c>
      <c r="K64" s="5" t="s">
        <v>57</v>
      </c>
      <c r="L64" s="6">
        <v>45839</v>
      </c>
      <c r="M64" s="6">
        <v>45962</v>
      </c>
      <c r="N64" s="7">
        <v>-60.8</v>
      </c>
      <c r="O64" s="5">
        <f t="shared" si="1"/>
        <v>4</v>
      </c>
      <c r="P64" s="5" t="s">
        <v>214</v>
      </c>
      <c r="Q64" s="5" t="s">
        <v>1273</v>
      </c>
      <c r="R64" s="9">
        <v>0.7</v>
      </c>
      <c r="S64" s="7">
        <v>-42.56</v>
      </c>
      <c r="T64" s="5" t="s">
        <v>293</v>
      </c>
    </row>
    <row r="65" spans="1:52" s="5" customFormat="1" x14ac:dyDescent="0.25">
      <c r="A65" s="5">
        <v>2029872568</v>
      </c>
      <c r="B65" s="5" t="s">
        <v>1068</v>
      </c>
      <c r="C65" s="5" t="s">
        <v>1018</v>
      </c>
      <c r="D65" s="5" t="str">
        <f t="shared" si="2"/>
        <v>MARIA FUSILERO</v>
      </c>
      <c r="E65" s="5" t="s">
        <v>292</v>
      </c>
      <c r="F65" s="5" t="s">
        <v>293</v>
      </c>
      <c r="G65" s="5">
        <v>19200754</v>
      </c>
      <c r="H65" s="5" t="s">
        <v>428</v>
      </c>
      <c r="I65" s="5" t="s">
        <v>309</v>
      </c>
      <c r="J65" s="5" t="str">
        <f t="shared" si="0"/>
        <v>RICARDO SANTOS</v>
      </c>
      <c r="K65" s="5" t="s">
        <v>57</v>
      </c>
      <c r="L65" s="6">
        <v>45848</v>
      </c>
      <c r="M65" s="6">
        <v>45971</v>
      </c>
      <c r="N65" s="7">
        <v>30</v>
      </c>
      <c r="O65" s="5">
        <f t="shared" si="1"/>
        <v>4</v>
      </c>
      <c r="P65" s="5" t="s">
        <v>214</v>
      </c>
      <c r="Q65" s="5" t="s">
        <v>1273</v>
      </c>
      <c r="R65" s="9">
        <v>0.7</v>
      </c>
      <c r="S65" s="7">
        <v>21</v>
      </c>
      <c r="T65" s="5" t="s">
        <v>293</v>
      </c>
    </row>
    <row r="66" spans="1:52" s="5" customFormat="1" x14ac:dyDescent="0.25">
      <c r="A66" s="5">
        <v>2029877132</v>
      </c>
      <c r="B66" s="5" t="s">
        <v>234</v>
      </c>
      <c r="C66" s="5" t="s">
        <v>1069</v>
      </c>
      <c r="D66" s="5" t="str">
        <f t="shared" si="2"/>
        <v>SANTIAGO JOSE</v>
      </c>
      <c r="E66" s="5" t="s">
        <v>292</v>
      </c>
      <c r="F66" s="5" t="s">
        <v>293</v>
      </c>
      <c r="G66" s="5">
        <v>371819</v>
      </c>
      <c r="H66" s="5" t="s">
        <v>283</v>
      </c>
      <c r="I66" s="5" t="s">
        <v>284</v>
      </c>
      <c r="J66" s="5" t="str">
        <f t="shared" ref="J66:J129" si="3">CONCATENATE(I66, " ",H66)</f>
        <v>THOMAS PARDUE</v>
      </c>
      <c r="K66" s="5" t="s">
        <v>57</v>
      </c>
      <c r="L66" s="6">
        <v>45848</v>
      </c>
      <c r="M66" s="6">
        <v>45971</v>
      </c>
      <c r="N66" s="7">
        <v>96</v>
      </c>
      <c r="O66" s="5">
        <f t="shared" ref="O66:O129" si="4">DATEDIF(L66,M66,"M")</f>
        <v>4</v>
      </c>
      <c r="P66" s="5" t="s">
        <v>214</v>
      </c>
      <c r="Q66" s="5" t="s">
        <v>1273</v>
      </c>
      <c r="R66" s="9">
        <v>0.7</v>
      </c>
      <c r="S66" s="7">
        <v>67.2</v>
      </c>
      <c r="T66" s="5" t="s">
        <v>293</v>
      </c>
    </row>
    <row r="67" spans="1:52" s="5" customFormat="1" x14ac:dyDescent="0.25">
      <c r="A67" s="5">
        <v>2029880669</v>
      </c>
      <c r="B67" s="5" t="s">
        <v>1070</v>
      </c>
      <c r="C67" s="5" t="s">
        <v>1071</v>
      </c>
      <c r="D67" s="5" t="str">
        <f t="shared" ref="D67:D130" si="5">CONCATENATE(C67, " ",B67)</f>
        <v>OSCAR KLIS</v>
      </c>
      <c r="E67" s="5" t="s">
        <v>243</v>
      </c>
      <c r="F67" s="5" t="s">
        <v>244</v>
      </c>
      <c r="G67" s="5">
        <v>7146581</v>
      </c>
      <c r="H67" s="5" t="s">
        <v>436</v>
      </c>
      <c r="I67" s="5" t="s">
        <v>437</v>
      </c>
      <c r="J67" s="5" t="str">
        <f t="shared" si="3"/>
        <v>Anthony Hunsberger</v>
      </c>
      <c r="K67" s="5" t="s">
        <v>57</v>
      </c>
      <c r="L67" s="6">
        <v>45848</v>
      </c>
      <c r="M67" s="6">
        <v>45971</v>
      </c>
      <c r="N67" s="7">
        <v>77.48</v>
      </c>
      <c r="O67" s="5">
        <f t="shared" si="4"/>
        <v>4</v>
      </c>
      <c r="P67" s="5" t="s">
        <v>214</v>
      </c>
      <c r="Q67" s="5" t="s">
        <v>1273</v>
      </c>
      <c r="R67" s="8">
        <v>0.375</v>
      </c>
      <c r="S67" s="7">
        <v>29.06</v>
      </c>
      <c r="T67" s="5" t="s">
        <v>244</v>
      </c>
    </row>
    <row r="68" spans="1:52" s="5" customFormat="1" x14ac:dyDescent="0.25">
      <c r="A68" s="5">
        <v>2029501868</v>
      </c>
      <c r="B68" s="5" t="s">
        <v>1057</v>
      </c>
      <c r="C68" s="5" t="s">
        <v>1058</v>
      </c>
      <c r="D68" s="5" t="str">
        <f t="shared" si="5"/>
        <v>MIRANDA APFEL</v>
      </c>
      <c r="E68" s="5" t="s">
        <v>243</v>
      </c>
      <c r="F68" s="5" t="s">
        <v>244</v>
      </c>
      <c r="G68" s="5">
        <v>18201929</v>
      </c>
      <c r="H68" s="5" t="s">
        <v>298</v>
      </c>
      <c r="I68" s="5" t="s">
        <v>299</v>
      </c>
      <c r="J68" s="5" t="str">
        <f t="shared" si="3"/>
        <v>Jake Shulman</v>
      </c>
      <c r="K68" s="5" t="s">
        <v>57</v>
      </c>
      <c r="L68" s="6">
        <v>45839</v>
      </c>
      <c r="M68" s="6">
        <v>45962</v>
      </c>
      <c r="N68" s="7">
        <v>28.38</v>
      </c>
      <c r="O68" s="5">
        <f t="shared" si="4"/>
        <v>4</v>
      </c>
      <c r="P68" s="5" t="s">
        <v>214</v>
      </c>
      <c r="Q68" s="5" t="s">
        <v>1273</v>
      </c>
      <c r="R68" s="8">
        <v>0.375</v>
      </c>
      <c r="S68" s="7">
        <v>10.64</v>
      </c>
      <c r="T68" s="5" t="s">
        <v>244</v>
      </c>
    </row>
    <row r="69" spans="1:52" s="5" customFormat="1" x14ac:dyDescent="0.25">
      <c r="A69" s="5">
        <v>2029877306</v>
      </c>
      <c r="B69" s="5" t="s">
        <v>1118</v>
      </c>
      <c r="C69" s="5" t="s">
        <v>1119</v>
      </c>
      <c r="D69" s="5" t="str">
        <f t="shared" si="5"/>
        <v>SULLIVAN JONAS</v>
      </c>
      <c r="E69" s="5" t="s">
        <v>243</v>
      </c>
      <c r="F69" s="5" t="s">
        <v>244</v>
      </c>
      <c r="G69" s="5">
        <v>6634327</v>
      </c>
      <c r="H69" s="5" t="s">
        <v>406</v>
      </c>
      <c r="I69" s="5" t="s">
        <v>407</v>
      </c>
      <c r="J69" s="5" t="str">
        <f t="shared" si="3"/>
        <v>Joel Lee</v>
      </c>
      <c r="K69" s="5" t="s">
        <v>57</v>
      </c>
      <c r="L69" s="6">
        <v>45848</v>
      </c>
      <c r="M69" s="6">
        <v>45971</v>
      </c>
      <c r="N69" s="7">
        <v>189.23</v>
      </c>
      <c r="O69" s="5">
        <f t="shared" si="4"/>
        <v>4</v>
      </c>
      <c r="P69" s="5" t="s">
        <v>214</v>
      </c>
      <c r="Q69" s="5" t="s">
        <v>1273</v>
      </c>
      <c r="R69" s="8">
        <v>0.375</v>
      </c>
      <c r="S69" s="7">
        <v>70.959999999999994</v>
      </c>
      <c r="T69" s="5" t="s">
        <v>244</v>
      </c>
    </row>
    <row r="70" spans="1:52" s="5" customFormat="1" x14ac:dyDescent="0.25">
      <c r="A70" s="5">
        <v>2029851935</v>
      </c>
      <c r="B70" s="5" t="s">
        <v>1066</v>
      </c>
      <c r="C70" s="5" t="s">
        <v>1067</v>
      </c>
      <c r="D70" s="5" t="str">
        <f t="shared" si="5"/>
        <v>RAINSBERGER MIKE</v>
      </c>
      <c r="E70" s="5" t="s">
        <v>243</v>
      </c>
      <c r="F70" s="5" t="s">
        <v>244</v>
      </c>
      <c r="G70" s="5">
        <v>6634327</v>
      </c>
      <c r="H70" s="5" t="s">
        <v>406</v>
      </c>
      <c r="I70" s="5" t="s">
        <v>407</v>
      </c>
      <c r="J70" s="5" t="str">
        <f t="shared" si="3"/>
        <v>Joel Lee</v>
      </c>
      <c r="K70" s="5" t="s">
        <v>57</v>
      </c>
      <c r="L70" s="6">
        <v>45847</v>
      </c>
      <c r="M70" s="6">
        <v>45970</v>
      </c>
      <c r="N70" s="7">
        <v>101.89</v>
      </c>
      <c r="O70" s="5">
        <f t="shared" si="4"/>
        <v>4</v>
      </c>
      <c r="P70" s="5" t="s">
        <v>214</v>
      </c>
      <c r="Q70" s="5" t="s">
        <v>1273</v>
      </c>
      <c r="R70" s="8">
        <v>0.375</v>
      </c>
      <c r="S70" s="7">
        <v>38.21</v>
      </c>
      <c r="T70" s="5" t="s">
        <v>244</v>
      </c>
    </row>
    <row r="71" spans="1:52" s="5" customFormat="1" x14ac:dyDescent="0.25">
      <c r="A71" s="5">
        <v>2029694327</v>
      </c>
      <c r="B71" s="5" t="s">
        <v>1114</v>
      </c>
      <c r="C71" s="5" t="s">
        <v>1115</v>
      </c>
      <c r="D71" s="5" t="str">
        <f t="shared" si="5"/>
        <v>MORROW CHARLIE</v>
      </c>
      <c r="E71" s="5" t="s">
        <v>243</v>
      </c>
      <c r="F71" s="5" t="s">
        <v>244</v>
      </c>
      <c r="G71" s="5">
        <v>21421111</v>
      </c>
      <c r="H71" s="5" t="s">
        <v>146</v>
      </c>
      <c r="I71" s="5" t="s">
        <v>147</v>
      </c>
      <c r="J71" s="5" t="str">
        <f t="shared" si="3"/>
        <v>Kirk Tigue</v>
      </c>
      <c r="K71" s="5" t="s">
        <v>57</v>
      </c>
      <c r="L71" s="6">
        <v>45837</v>
      </c>
      <c r="M71" s="6">
        <v>45959</v>
      </c>
      <c r="N71" s="7">
        <v>27.04</v>
      </c>
      <c r="O71" s="5">
        <f t="shared" si="4"/>
        <v>4</v>
      </c>
      <c r="P71" s="5" t="s">
        <v>214</v>
      </c>
      <c r="Q71" s="5" t="s">
        <v>1273</v>
      </c>
      <c r="R71" s="8">
        <v>0.375</v>
      </c>
      <c r="S71" s="7">
        <v>10.14</v>
      </c>
      <c r="T71" s="5" t="s">
        <v>244</v>
      </c>
    </row>
    <row r="72" spans="1:52" x14ac:dyDescent="0.25">
      <c r="A72" s="5">
        <v>2029880676</v>
      </c>
      <c r="B72" s="5" t="s">
        <v>1072</v>
      </c>
      <c r="C72" s="5" t="s">
        <v>1073</v>
      </c>
      <c r="D72" s="5" t="str">
        <f t="shared" si="5"/>
        <v>GARCIA FLORDELIZA</v>
      </c>
      <c r="E72" s="5" t="s">
        <v>243</v>
      </c>
      <c r="F72" s="5" t="s">
        <v>244</v>
      </c>
      <c r="G72" s="5">
        <v>19200754</v>
      </c>
      <c r="H72" s="5" t="s">
        <v>428</v>
      </c>
      <c r="I72" s="5" t="s">
        <v>309</v>
      </c>
      <c r="J72" s="5" t="str">
        <f t="shared" si="3"/>
        <v>RICARDO SANTOS</v>
      </c>
      <c r="K72" s="5" t="s">
        <v>57</v>
      </c>
      <c r="L72" s="6">
        <v>45848</v>
      </c>
      <c r="M72" s="6">
        <v>45971</v>
      </c>
      <c r="N72" s="7">
        <v>77.48</v>
      </c>
      <c r="O72" s="5">
        <f t="shared" si="4"/>
        <v>4</v>
      </c>
      <c r="P72" s="5" t="s">
        <v>214</v>
      </c>
      <c r="Q72" s="5" t="s">
        <v>1273</v>
      </c>
      <c r="R72" s="8">
        <v>0.375</v>
      </c>
      <c r="S72" s="7">
        <v>29.06</v>
      </c>
      <c r="T72" s="5" t="s">
        <v>244</v>
      </c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</row>
    <row r="73" spans="1:52" x14ac:dyDescent="0.25">
      <c r="A73" s="5">
        <v>2029786426</v>
      </c>
      <c r="B73" s="5" t="s">
        <v>425</v>
      </c>
      <c r="C73" s="5" t="s">
        <v>426</v>
      </c>
      <c r="D73" s="5" t="str">
        <f t="shared" si="5"/>
        <v>III EDDIE</v>
      </c>
      <c r="E73" s="5" t="s">
        <v>243</v>
      </c>
      <c r="F73" s="5" t="s">
        <v>244</v>
      </c>
      <c r="G73" s="5">
        <v>19200754</v>
      </c>
      <c r="H73" s="5" t="s">
        <v>428</v>
      </c>
      <c r="I73" s="5" t="s">
        <v>309</v>
      </c>
      <c r="J73" s="5" t="str">
        <f t="shared" si="3"/>
        <v>RICARDO SANTOS</v>
      </c>
      <c r="K73" s="5" t="s">
        <v>57</v>
      </c>
      <c r="L73" s="6">
        <v>45842</v>
      </c>
      <c r="M73" s="6">
        <v>45965</v>
      </c>
      <c r="N73" s="7">
        <v>44.83</v>
      </c>
      <c r="O73" s="5">
        <f t="shared" si="4"/>
        <v>4</v>
      </c>
      <c r="P73" s="5" t="s">
        <v>214</v>
      </c>
      <c r="Q73" s="5" t="s">
        <v>1273</v>
      </c>
      <c r="R73" s="8">
        <v>0.375</v>
      </c>
      <c r="S73" s="7">
        <v>16.809999999999999</v>
      </c>
      <c r="T73" s="5" t="s">
        <v>244</v>
      </c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</row>
    <row r="74" spans="1:52" s="5" customFormat="1" x14ac:dyDescent="0.25">
      <c r="A74" s="5">
        <v>2029869955</v>
      </c>
      <c r="B74" s="5" t="s">
        <v>1116</v>
      </c>
      <c r="C74" s="5" t="s">
        <v>1117</v>
      </c>
      <c r="D74" s="5" t="str">
        <f t="shared" si="5"/>
        <v>ROMYN DESARAE</v>
      </c>
      <c r="E74" s="5" t="s">
        <v>243</v>
      </c>
      <c r="F74" s="5" t="s">
        <v>244</v>
      </c>
      <c r="G74" s="5">
        <v>371819</v>
      </c>
      <c r="H74" s="5" t="s">
        <v>283</v>
      </c>
      <c r="I74" s="5" t="s">
        <v>284</v>
      </c>
      <c r="J74" s="5" t="str">
        <f t="shared" si="3"/>
        <v>THOMAS PARDUE</v>
      </c>
      <c r="K74" s="5" t="s">
        <v>57</v>
      </c>
      <c r="L74" s="6">
        <v>45848</v>
      </c>
      <c r="M74" s="6">
        <v>45971</v>
      </c>
      <c r="N74" s="7">
        <v>28.86</v>
      </c>
      <c r="O74" s="5">
        <f t="shared" si="4"/>
        <v>4</v>
      </c>
      <c r="P74" s="5" t="s">
        <v>214</v>
      </c>
      <c r="Q74" s="5" t="s">
        <v>1273</v>
      </c>
      <c r="R74" s="8">
        <v>0.375</v>
      </c>
      <c r="S74" s="7">
        <v>10.82</v>
      </c>
      <c r="T74" s="5" t="s">
        <v>244</v>
      </c>
    </row>
    <row r="75" spans="1:52" s="5" customFormat="1" x14ac:dyDescent="0.25">
      <c r="A75" s="5">
        <v>2029335782</v>
      </c>
      <c r="B75" s="5" t="s">
        <v>421</v>
      </c>
      <c r="C75" s="5" t="s">
        <v>98</v>
      </c>
      <c r="D75" s="5" t="str">
        <f t="shared" si="5"/>
        <v>MATTHEW MURLICK</v>
      </c>
      <c r="E75" s="5" t="s">
        <v>287</v>
      </c>
      <c r="F75" s="5" t="s">
        <v>291</v>
      </c>
      <c r="G75" s="5">
        <v>7470776</v>
      </c>
      <c r="H75" s="5" t="s">
        <v>273</v>
      </c>
      <c r="I75" s="5" t="s">
        <v>274</v>
      </c>
      <c r="J75" s="5" t="str">
        <f t="shared" si="3"/>
        <v>Andrew Choi</v>
      </c>
      <c r="K75" s="5" t="s">
        <v>57</v>
      </c>
      <c r="L75" s="6">
        <v>45815</v>
      </c>
      <c r="M75" s="6">
        <v>45968</v>
      </c>
      <c r="N75" s="7">
        <v>131.32</v>
      </c>
      <c r="O75" s="5">
        <f t="shared" si="4"/>
        <v>5</v>
      </c>
      <c r="P75" s="5" t="s">
        <v>214</v>
      </c>
      <c r="Q75" s="5" t="s">
        <v>1273</v>
      </c>
      <c r="R75" s="9">
        <v>0.38</v>
      </c>
      <c r="S75" s="7">
        <v>49.9</v>
      </c>
      <c r="T75" s="5" t="s">
        <v>291</v>
      </c>
    </row>
    <row r="76" spans="1:52" s="5" customFormat="1" x14ac:dyDescent="0.25">
      <c r="A76" s="5">
        <v>2029275522</v>
      </c>
      <c r="B76" s="5" t="s">
        <v>783</v>
      </c>
      <c r="C76" s="5" t="s">
        <v>145</v>
      </c>
      <c r="D76" s="5" t="str">
        <f t="shared" si="5"/>
        <v>JENNIFER QUESINBERRY</v>
      </c>
      <c r="E76" s="5" t="s">
        <v>89</v>
      </c>
      <c r="F76" s="5" t="s">
        <v>111</v>
      </c>
      <c r="G76" s="5">
        <v>19586992</v>
      </c>
      <c r="H76" s="5" t="s">
        <v>325</v>
      </c>
      <c r="I76" s="5" t="s">
        <v>326</v>
      </c>
      <c r="J76" s="5" t="str">
        <f t="shared" si="3"/>
        <v>Barry Schumann</v>
      </c>
      <c r="K76" s="5" t="s">
        <v>57</v>
      </c>
      <c r="L76" s="6">
        <v>45815</v>
      </c>
      <c r="M76" s="6">
        <v>45968</v>
      </c>
      <c r="N76" s="7">
        <v>76.8</v>
      </c>
      <c r="O76" s="5">
        <f t="shared" si="4"/>
        <v>5</v>
      </c>
      <c r="P76" s="5" t="s">
        <v>214</v>
      </c>
      <c r="Q76" s="5" t="s">
        <v>1273</v>
      </c>
      <c r="R76" s="9">
        <v>0.75</v>
      </c>
      <c r="S76" s="7">
        <v>57.6</v>
      </c>
      <c r="T76" s="5" t="s">
        <v>1257</v>
      </c>
    </row>
    <row r="77" spans="1:52" s="5" customFormat="1" x14ac:dyDescent="0.25">
      <c r="A77" s="5">
        <v>2029335780</v>
      </c>
      <c r="B77" s="5" t="s">
        <v>421</v>
      </c>
      <c r="C77" s="5" t="s">
        <v>98</v>
      </c>
      <c r="D77" s="5" t="str">
        <f t="shared" si="5"/>
        <v>MATTHEW MURLICK</v>
      </c>
      <c r="E77" s="5" t="s">
        <v>89</v>
      </c>
      <c r="F77" s="5" t="s">
        <v>96</v>
      </c>
      <c r="G77" s="5">
        <v>7470776</v>
      </c>
      <c r="H77" s="5" t="s">
        <v>273</v>
      </c>
      <c r="I77" s="5" t="s">
        <v>274</v>
      </c>
      <c r="J77" s="5" t="str">
        <f t="shared" si="3"/>
        <v>Andrew Choi</v>
      </c>
      <c r="K77" s="5" t="s">
        <v>57</v>
      </c>
      <c r="L77" s="6">
        <v>45815</v>
      </c>
      <c r="M77" s="6">
        <v>45968</v>
      </c>
      <c r="N77" s="7">
        <v>82.13</v>
      </c>
      <c r="O77" s="5">
        <f t="shared" si="4"/>
        <v>5</v>
      </c>
      <c r="P77" s="5" t="s">
        <v>214</v>
      </c>
      <c r="Q77" s="5" t="s">
        <v>1273</v>
      </c>
      <c r="R77" s="9">
        <v>0.9</v>
      </c>
      <c r="S77" s="7">
        <v>73.92</v>
      </c>
      <c r="T77" s="5" t="s">
        <v>1259</v>
      </c>
    </row>
    <row r="78" spans="1:52" s="5" customFormat="1" x14ac:dyDescent="0.25">
      <c r="A78" s="5">
        <v>2029335783</v>
      </c>
      <c r="B78" s="5" t="s">
        <v>421</v>
      </c>
      <c r="C78" s="5" t="s">
        <v>98</v>
      </c>
      <c r="D78" s="5" t="str">
        <f t="shared" si="5"/>
        <v>MATTHEW MURLICK</v>
      </c>
      <c r="E78" s="5" t="s">
        <v>209</v>
      </c>
      <c r="F78" s="5" t="s">
        <v>232</v>
      </c>
      <c r="G78" s="5">
        <v>7470776</v>
      </c>
      <c r="H78" s="5" t="s">
        <v>273</v>
      </c>
      <c r="I78" s="5" t="s">
        <v>274</v>
      </c>
      <c r="J78" s="5" t="str">
        <f t="shared" si="3"/>
        <v>Andrew Choi</v>
      </c>
      <c r="K78" s="5" t="s">
        <v>57</v>
      </c>
      <c r="L78" s="6">
        <v>45815</v>
      </c>
      <c r="M78" s="6">
        <v>45968</v>
      </c>
      <c r="N78" s="7">
        <v>15</v>
      </c>
      <c r="O78" s="5">
        <f t="shared" si="4"/>
        <v>5</v>
      </c>
      <c r="P78" s="5" t="s">
        <v>214</v>
      </c>
      <c r="Q78" s="5" t="s">
        <v>1273</v>
      </c>
      <c r="R78" s="9">
        <v>0.38</v>
      </c>
      <c r="S78" s="7">
        <v>5.7</v>
      </c>
      <c r="T78" s="5" t="s">
        <v>232</v>
      </c>
    </row>
    <row r="79" spans="1:52" s="5" customFormat="1" x14ac:dyDescent="0.25">
      <c r="A79" s="5">
        <v>2029299957</v>
      </c>
      <c r="B79" s="5" t="s">
        <v>419</v>
      </c>
      <c r="C79" s="5" t="s">
        <v>420</v>
      </c>
      <c r="D79" s="5" t="str">
        <f t="shared" si="5"/>
        <v>ABIGAIL AMOATENG</v>
      </c>
      <c r="E79" s="5" t="s">
        <v>209</v>
      </c>
      <c r="F79" s="5" t="s">
        <v>222</v>
      </c>
      <c r="G79" s="5">
        <v>18201929</v>
      </c>
      <c r="H79" s="5" t="s">
        <v>298</v>
      </c>
      <c r="I79" s="5" t="s">
        <v>299</v>
      </c>
      <c r="J79" s="5" t="str">
        <f t="shared" si="3"/>
        <v>Jake Shulman</v>
      </c>
      <c r="K79" s="5" t="s">
        <v>57</v>
      </c>
      <c r="L79" s="6">
        <v>45813</v>
      </c>
      <c r="M79" s="6">
        <v>45966</v>
      </c>
      <c r="N79" s="7">
        <v>15</v>
      </c>
      <c r="O79" s="5">
        <f t="shared" si="4"/>
        <v>5</v>
      </c>
      <c r="P79" s="5" t="s">
        <v>214</v>
      </c>
      <c r="Q79" s="5" t="s">
        <v>1273</v>
      </c>
      <c r="R79" s="9">
        <v>0.38</v>
      </c>
      <c r="S79" s="7">
        <v>5.7</v>
      </c>
      <c r="T79" s="5" t="s">
        <v>222</v>
      </c>
    </row>
    <row r="80" spans="1:52" s="5" customFormat="1" x14ac:dyDescent="0.25">
      <c r="A80" s="5">
        <v>2029103669</v>
      </c>
      <c r="B80" s="5" t="s">
        <v>1189</v>
      </c>
      <c r="C80" s="5" t="s">
        <v>94</v>
      </c>
      <c r="D80" s="5" t="str">
        <f t="shared" si="5"/>
        <v>ERIC GOTTUNG</v>
      </c>
      <c r="E80" s="5" t="s">
        <v>350</v>
      </c>
      <c r="F80" s="5" t="s">
        <v>351</v>
      </c>
      <c r="G80" s="5">
        <v>19681796</v>
      </c>
      <c r="H80" s="5" t="s">
        <v>408</v>
      </c>
      <c r="I80" s="5" t="s">
        <v>410</v>
      </c>
      <c r="J80" s="5" t="str">
        <f t="shared" si="3"/>
        <v>CHRISTIAN TAUGNER</v>
      </c>
      <c r="K80" s="5" t="s">
        <v>57</v>
      </c>
      <c r="L80" s="6">
        <v>45809</v>
      </c>
      <c r="M80" s="6">
        <v>45962</v>
      </c>
      <c r="N80" s="7">
        <v>92.39</v>
      </c>
      <c r="O80" s="5">
        <f t="shared" si="4"/>
        <v>5</v>
      </c>
      <c r="P80" s="5" t="s">
        <v>214</v>
      </c>
      <c r="Q80" s="5" t="s">
        <v>1273</v>
      </c>
      <c r="R80" s="9">
        <v>0.47</v>
      </c>
      <c r="S80" s="7">
        <v>43.42</v>
      </c>
      <c r="T80" s="5" t="s">
        <v>351</v>
      </c>
    </row>
    <row r="81" spans="1:52" s="5" customFormat="1" x14ac:dyDescent="0.25">
      <c r="A81" s="5">
        <v>2029299955</v>
      </c>
      <c r="B81" s="5" t="s">
        <v>419</v>
      </c>
      <c r="C81" s="5" t="s">
        <v>420</v>
      </c>
      <c r="D81" s="5" t="str">
        <f t="shared" si="5"/>
        <v>ABIGAIL AMOATENG</v>
      </c>
      <c r="E81" s="5" t="s">
        <v>287</v>
      </c>
      <c r="F81" s="5" t="s">
        <v>288</v>
      </c>
      <c r="G81" s="5">
        <v>18201929</v>
      </c>
      <c r="H81" s="5" t="s">
        <v>298</v>
      </c>
      <c r="I81" s="5" t="s">
        <v>299</v>
      </c>
      <c r="J81" s="5" t="str">
        <f t="shared" si="3"/>
        <v>Jake Shulman</v>
      </c>
      <c r="K81" s="5" t="s">
        <v>57</v>
      </c>
      <c r="L81" s="6">
        <v>45813</v>
      </c>
      <c r="M81" s="6">
        <v>45966</v>
      </c>
      <c r="N81" s="7">
        <v>13.66</v>
      </c>
      <c r="O81" s="5">
        <f t="shared" si="4"/>
        <v>5</v>
      </c>
      <c r="P81" s="5" t="s">
        <v>214</v>
      </c>
      <c r="Q81" s="5" t="s">
        <v>1273</v>
      </c>
      <c r="R81" s="9">
        <v>0.38</v>
      </c>
      <c r="S81" s="7">
        <v>5.19</v>
      </c>
      <c r="T81" s="5" t="s">
        <v>288</v>
      </c>
    </row>
    <row r="82" spans="1:52" s="5" customFormat="1" x14ac:dyDescent="0.25">
      <c r="A82" s="5">
        <v>2029276300</v>
      </c>
      <c r="B82" s="5" t="s">
        <v>1046</v>
      </c>
      <c r="C82" s="5" t="s">
        <v>1047</v>
      </c>
      <c r="D82" s="5" t="str">
        <f t="shared" si="5"/>
        <v>APRIL FERNANDEZ</v>
      </c>
      <c r="E82" s="5" t="s">
        <v>292</v>
      </c>
      <c r="F82" s="5" t="s">
        <v>293</v>
      </c>
      <c r="G82" s="5">
        <v>7470776</v>
      </c>
      <c r="H82" s="5" t="s">
        <v>273</v>
      </c>
      <c r="I82" s="5" t="s">
        <v>274</v>
      </c>
      <c r="J82" s="5" t="str">
        <f t="shared" si="3"/>
        <v>Andrew Choi</v>
      </c>
      <c r="K82" s="5" t="s">
        <v>57</v>
      </c>
      <c r="L82" s="6">
        <v>45812</v>
      </c>
      <c r="M82" s="6">
        <v>45965</v>
      </c>
      <c r="N82" s="7">
        <v>57.35</v>
      </c>
      <c r="O82" s="5">
        <f t="shared" si="4"/>
        <v>5</v>
      </c>
      <c r="P82" s="5" t="s">
        <v>214</v>
      </c>
      <c r="Q82" s="5" t="s">
        <v>1273</v>
      </c>
      <c r="R82" s="9">
        <v>0.7</v>
      </c>
      <c r="S82" s="7">
        <v>40.14</v>
      </c>
      <c r="T82" s="5" t="s">
        <v>293</v>
      </c>
    </row>
    <row r="83" spans="1:52" s="5" customFormat="1" x14ac:dyDescent="0.25">
      <c r="A83" s="5">
        <v>2029335781</v>
      </c>
      <c r="B83" s="5" t="s">
        <v>421</v>
      </c>
      <c r="C83" s="5" t="s">
        <v>98</v>
      </c>
      <c r="D83" s="5" t="str">
        <f t="shared" si="5"/>
        <v>MATTHEW MURLICK</v>
      </c>
      <c r="E83" s="5" t="s">
        <v>292</v>
      </c>
      <c r="F83" s="5" t="s">
        <v>293</v>
      </c>
      <c r="G83" s="5">
        <v>7470776</v>
      </c>
      <c r="H83" s="5" t="s">
        <v>273</v>
      </c>
      <c r="I83" s="5" t="s">
        <v>274</v>
      </c>
      <c r="J83" s="5" t="str">
        <f t="shared" si="3"/>
        <v>Andrew Choi</v>
      </c>
      <c r="K83" s="5" t="s">
        <v>57</v>
      </c>
      <c r="L83" s="6">
        <v>45815</v>
      </c>
      <c r="M83" s="6">
        <v>45968</v>
      </c>
      <c r="N83" s="7">
        <v>11.5</v>
      </c>
      <c r="O83" s="5">
        <f t="shared" si="4"/>
        <v>5</v>
      </c>
      <c r="P83" s="5" t="s">
        <v>214</v>
      </c>
      <c r="Q83" s="5" t="s">
        <v>1273</v>
      </c>
      <c r="R83" s="9">
        <v>0.7</v>
      </c>
      <c r="S83" s="7">
        <v>8.0500000000000007</v>
      </c>
      <c r="T83" s="5" t="s">
        <v>293</v>
      </c>
    </row>
    <row r="84" spans="1:52" s="5" customFormat="1" x14ac:dyDescent="0.25">
      <c r="A84" s="5">
        <v>2029275521</v>
      </c>
      <c r="B84" s="5" t="s">
        <v>783</v>
      </c>
      <c r="C84" s="5" t="s">
        <v>145</v>
      </c>
      <c r="D84" s="5" t="str">
        <f t="shared" si="5"/>
        <v>JENNIFER QUESINBERRY</v>
      </c>
      <c r="E84" s="5" t="s">
        <v>292</v>
      </c>
      <c r="F84" s="5" t="s">
        <v>293</v>
      </c>
      <c r="G84" s="5">
        <v>19586992</v>
      </c>
      <c r="H84" s="5" t="s">
        <v>325</v>
      </c>
      <c r="I84" s="5" t="s">
        <v>326</v>
      </c>
      <c r="J84" s="5" t="str">
        <f t="shared" si="3"/>
        <v>Barry Schumann</v>
      </c>
      <c r="K84" s="5" t="s">
        <v>57</v>
      </c>
      <c r="L84" s="6">
        <v>45815</v>
      </c>
      <c r="M84" s="6">
        <v>45968</v>
      </c>
      <c r="N84" s="7">
        <v>341.13</v>
      </c>
      <c r="O84" s="5">
        <f t="shared" si="4"/>
        <v>5</v>
      </c>
      <c r="P84" s="5" t="s">
        <v>214</v>
      </c>
      <c r="Q84" s="5" t="s">
        <v>1273</v>
      </c>
      <c r="R84" s="9">
        <v>0.7</v>
      </c>
      <c r="S84" s="7">
        <v>238.79</v>
      </c>
      <c r="T84" s="5" t="s">
        <v>293</v>
      </c>
    </row>
    <row r="85" spans="1:52" x14ac:dyDescent="0.25">
      <c r="A85" s="5">
        <v>2029313140</v>
      </c>
      <c r="B85" s="5" t="s">
        <v>1050</v>
      </c>
      <c r="C85" s="5" t="s">
        <v>161</v>
      </c>
      <c r="D85" s="5" t="str">
        <f t="shared" si="5"/>
        <v>NANCY MOSINSKI</v>
      </c>
      <c r="E85" s="5" t="s">
        <v>292</v>
      </c>
      <c r="F85" s="5" t="s">
        <v>293</v>
      </c>
      <c r="G85" s="5">
        <v>19681796</v>
      </c>
      <c r="H85" s="5" t="s">
        <v>408</v>
      </c>
      <c r="I85" s="5" t="s">
        <v>410</v>
      </c>
      <c r="J85" s="5" t="str">
        <f t="shared" si="3"/>
        <v>CHRISTIAN TAUGNER</v>
      </c>
      <c r="K85" s="5" t="s">
        <v>57</v>
      </c>
      <c r="L85" s="6">
        <v>45814</v>
      </c>
      <c r="M85" s="6">
        <v>45967</v>
      </c>
      <c r="N85" s="7">
        <v>80.16</v>
      </c>
      <c r="O85" s="5">
        <f t="shared" si="4"/>
        <v>5</v>
      </c>
      <c r="P85" s="5" t="s">
        <v>214</v>
      </c>
      <c r="Q85" s="5" t="s">
        <v>1273</v>
      </c>
      <c r="R85" s="9">
        <v>0.7</v>
      </c>
      <c r="S85" s="7">
        <v>56.11</v>
      </c>
      <c r="T85" s="5" t="s">
        <v>293</v>
      </c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</row>
    <row r="86" spans="1:52" x14ac:dyDescent="0.25">
      <c r="A86" s="5">
        <v>2028821221</v>
      </c>
      <c r="B86" s="5" t="s">
        <v>1043</v>
      </c>
      <c r="C86" s="5" t="s">
        <v>1044</v>
      </c>
      <c r="D86" s="5" t="str">
        <f t="shared" si="5"/>
        <v>ROSA SIMS</v>
      </c>
      <c r="E86" s="5" t="s">
        <v>292</v>
      </c>
      <c r="F86" s="5" t="s">
        <v>293</v>
      </c>
      <c r="G86" s="5">
        <v>18201929</v>
      </c>
      <c r="H86" s="5" t="s">
        <v>298</v>
      </c>
      <c r="I86" s="5" t="s">
        <v>299</v>
      </c>
      <c r="J86" s="5" t="str">
        <f t="shared" si="3"/>
        <v>Jake Shulman</v>
      </c>
      <c r="K86" s="5" t="s">
        <v>57</v>
      </c>
      <c r="L86" s="6">
        <v>45809</v>
      </c>
      <c r="M86" s="6">
        <v>45962</v>
      </c>
      <c r="N86" s="7">
        <v>46.08</v>
      </c>
      <c r="O86" s="5">
        <f t="shared" si="4"/>
        <v>5</v>
      </c>
      <c r="P86" s="5" t="s">
        <v>214</v>
      </c>
      <c r="Q86" s="5" t="s">
        <v>1273</v>
      </c>
      <c r="R86" s="9">
        <v>0.7</v>
      </c>
      <c r="S86" s="7">
        <v>32.26</v>
      </c>
      <c r="T86" s="5" t="s">
        <v>293</v>
      </c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</row>
    <row r="87" spans="1:52" x14ac:dyDescent="0.25">
      <c r="A87" s="5">
        <v>2029319950</v>
      </c>
      <c r="B87" s="5" t="s">
        <v>1051</v>
      </c>
      <c r="C87" s="5" t="s">
        <v>1052</v>
      </c>
      <c r="D87" s="5" t="str">
        <f t="shared" si="5"/>
        <v>OYUNCHIMEG BALDAN</v>
      </c>
      <c r="E87" s="5" t="s">
        <v>292</v>
      </c>
      <c r="F87" s="5" t="s">
        <v>293</v>
      </c>
      <c r="G87" s="5">
        <v>20220688</v>
      </c>
      <c r="H87" s="5" t="s">
        <v>340</v>
      </c>
      <c r="I87" s="5" t="s">
        <v>341</v>
      </c>
      <c r="J87" s="5" t="str">
        <f t="shared" si="3"/>
        <v>NASANDELGER ZANA</v>
      </c>
      <c r="K87" s="5" t="s">
        <v>57</v>
      </c>
      <c r="L87" s="6">
        <v>45814</v>
      </c>
      <c r="M87" s="6">
        <v>45967</v>
      </c>
      <c r="N87" s="7">
        <v>37.18</v>
      </c>
      <c r="O87" s="5">
        <f t="shared" si="4"/>
        <v>5</v>
      </c>
      <c r="P87" s="5" t="s">
        <v>214</v>
      </c>
      <c r="Q87" s="5" t="s">
        <v>1273</v>
      </c>
      <c r="R87" s="9">
        <v>0.7</v>
      </c>
      <c r="S87" s="7">
        <v>26.03</v>
      </c>
      <c r="T87" s="5" t="s">
        <v>293</v>
      </c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</row>
    <row r="88" spans="1:52" x14ac:dyDescent="0.25">
      <c r="A88" s="5">
        <v>2029752466</v>
      </c>
      <c r="B88" s="5" t="s">
        <v>1062</v>
      </c>
      <c r="C88" s="5" t="s">
        <v>1063</v>
      </c>
      <c r="D88" s="5" t="str">
        <f t="shared" si="5"/>
        <v>ROBINSON TOWANNA</v>
      </c>
      <c r="E88" s="5" t="s">
        <v>292</v>
      </c>
      <c r="F88" s="5" t="s">
        <v>293</v>
      </c>
      <c r="G88" s="5">
        <v>371819</v>
      </c>
      <c r="H88" s="5" t="s">
        <v>283</v>
      </c>
      <c r="I88" s="5" t="s">
        <v>284</v>
      </c>
      <c r="J88" s="5" t="str">
        <f t="shared" si="3"/>
        <v>THOMAS PARDUE</v>
      </c>
      <c r="K88" s="5" t="s">
        <v>57</v>
      </c>
      <c r="L88" s="6">
        <v>45840</v>
      </c>
      <c r="M88" s="6">
        <v>45993</v>
      </c>
      <c r="N88" s="7">
        <v>18.46</v>
      </c>
      <c r="O88" s="5">
        <f t="shared" si="4"/>
        <v>5</v>
      </c>
      <c r="P88" s="5" t="s">
        <v>214</v>
      </c>
      <c r="Q88" s="5" t="s">
        <v>1273</v>
      </c>
      <c r="R88" s="9">
        <v>0.7</v>
      </c>
      <c r="S88" s="7">
        <v>12.92</v>
      </c>
      <c r="T88" s="5" t="s">
        <v>293</v>
      </c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</row>
    <row r="89" spans="1:52" x14ac:dyDescent="0.25">
      <c r="A89" s="5">
        <v>2029752466</v>
      </c>
      <c r="B89" s="5" t="s">
        <v>1062</v>
      </c>
      <c r="C89" s="5" t="s">
        <v>1063</v>
      </c>
      <c r="D89" s="5" t="str">
        <f t="shared" si="5"/>
        <v>ROBINSON TOWANNA</v>
      </c>
      <c r="E89" s="5" t="s">
        <v>292</v>
      </c>
      <c r="F89" s="5" t="s">
        <v>293</v>
      </c>
      <c r="G89" s="5">
        <v>371819</v>
      </c>
      <c r="H89" s="5" t="s">
        <v>283</v>
      </c>
      <c r="I89" s="5" t="s">
        <v>284</v>
      </c>
      <c r="J89" s="5" t="str">
        <f t="shared" si="3"/>
        <v>THOMAS PARDUE</v>
      </c>
      <c r="K89" s="5" t="s">
        <v>57</v>
      </c>
      <c r="L89" s="6">
        <v>45840</v>
      </c>
      <c r="M89" s="6">
        <v>45993</v>
      </c>
      <c r="N89" s="7">
        <v>18.46</v>
      </c>
      <c r="O89" s="5">
        <f t="shared" si="4"/>
        <v>5</v>
      </c>
      <c r="P89" s="5" t="s">
        <v>214</v>
      </c>
      <c r="Q89" s="5" t="s">
        <v>1273</v>
      </c>
      <c r="R89" s="9">
        <v>0.7</v>
      </c>
      <c r="S89" s="7">
        <v>12.92</v>
      </c>
      <c r="T89" s="5" t="s">
        <v>293</v>
      </c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</row>
    <row r="90" spans="1:52" x14ac:dyDescent="0.25">
      <c r="A90" s="5">
        <v>2029276298</v>
      </c>
      <c r="B90" s="5" t="s">
        <v>1046</v>
      </c>
      <c r="C90" s="5" t="s">
        <v>1047</v>
      </c>
      <c r="D90" s="5" t="str">
        <f t="shared" si="5"/>
        <v>APRIL FERNANDEZ</v>
      </c>
      <c r="E90" s="5" t="s">
        <v>243</v>
      </c>
      <c r="F90" s="5" t="s">
        <v>244</v>
      </c>
      <c r="G90" s="5">
        <v>7470776</v>
      </c>
      <c r="H90" s="5" t="s">
        <v>273</v>
      </c>
      <c r="I90" s="5" t="s">
        <v>274</v>
      </c>
      <c r="J90" s="5" t="str">
        <f t="shared" si="3"/>
        <v>Andrew Choi</v>
      </c>
      <c r="K90" s="5" t="s">
        <v>57</v>
      </c>
      <c r="L90" s="6">
        <v>45812</v>
      </c>
      <c r="M90" s="6">
        <v>45965</v>
      </c>
      <c r="N90" s="7">
        <v>41.17</v>
      </c>
      <c r="O90" s="5">
        <f t="shared" si="4"/>
        <v>5</v>
      </c>
      <c r="P90" s="5" t="s">
        <v>214</v>
      </c>
      <c r="Q90" s="5" t="s">
        <v>1273</v>
      </c>
      <c r="R90" s="8">
        <v>0.375</v>
      </c>
      <c r="S90" s="7">
        <v>15.44</v>
      </c>
      <c r="T90" s="5" t="s">
        <v>244</v>
      </c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</row>
    <row r="91" spans="1:52" x14ac:dyDescent="0.25">
      <c r="A91" s="5">
        <v>2029275519</v>
      </c>
      <c r="B91" s="5" t="s">
        <v>783</v>
      </c>
      <c r="C91" s="5" t="s">
        <v>145</v>
      </c>
      <c r="D91" s="5" t="str">
        <f t="shared" si="5"/>
        <v>JENNIFER QUESINBERRY</v>
      </c>
      <c r="E91" s="5" t="s">
        <v>243</v>
      </c>
      <c r="F91" s="5" t="s">
        <v>244</v>
      </c>
      <c r="G91" s="5">
        <v>19586992</v>
      </c>
      <c r="H91" s="5" t="s">
        <v>325</v>
      </c>
      <c r="I91" s="5" t="s">
        <v>326</v>
      </c>
      <c r="J91" s="5" t="str">
        <f t="shared" si="3"/>
        <v>Barry Schumann</v>
      </c>
      <c r="K91" s="5" t="s">
        <v>57</v>
      </c>
      <c r="L91" s="6">
        <v>45815</v>
      </c>
      <c r="M91" s="6">
        <v>45968</v>
      </c>
      <c r="N91" s="7">
        <v>156.16</v>
      </c>
      <c r="O91" s="5">
        <f t="shared" si="4"/>
        <v>5</v>
      </c>
      <c r="P91" s="5" t="s">
        <v>214</v>
      </c>
      <c r="Q91" s="5" t="s">
        <v>1273</v>
      </c>
      <c r="R91" s="8">
        <v>0.375</v>
      </c>
      <c r="S91" s="7">
        <v>58.56</v>
      </c>
      <c r="T91" s="5" t="s">
        <v>244</v>
      </c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</row>
    <row r="92" spans="1:52" x14ac:dyDescent="0.25">
      <c r="A92" s="5">
        <v>2029299956</v>
      </c>
      <c r="B92" s="5" t="s">
        <v>419</v>
      </c>
      <c r="C92" s="5" t="s">
        <v>420</v>
      </c>
      <c r="D92" s="5" t="str">
        <f t="shared" si="5"/>
        <v>ABIGAIL AMOATENG</v>
      </c>
      <c r="E92" s="5" t="s">
        <v>243</v>
      </c>
      <c r="F92" s="5" t="s">
        <v>244</v>
      </c>
      <c r="G92" s="5">
        <v>18201929</v>
      </c>
      <c r="H92" s="5" t="s">
        <v>298</v>
      </c>
      <c r="I92" s="5" t="s">
        <v>299</v>
      </c>
      <c r="J92" s="5" t="str">
        <f t="shared" si="3"/>
        <v>Jake Shulman</v>
      </c>
      <c r="K92" s="5" t="s">
        <v>57</v>
      </c>
      <c r="L92" s="6">
        <v>45813</v>
      </c>
      <c r="M92" s="6">
        <v>45966</v>
      </c>
      <c r="N92" s="7">
        <v>19.45</v>
      </c>
      <c r="O92" s="5">
        <f t="shared" si="4"/>
        <v>5</v>
      </c>
      <c r="P92" s="5" t="s">
        <v>214</v>
      </c>
      <c r="Q92" s="5" t="s">
        <v>1273</v>
      </c>
      <c r="R92" s="8">
        <v>0.375</v>
      </c>
      <c r="S92" s="7">
        <v>7.29</v>
      </c>
      <c r="T92" s="5" t="s">
        <v>244</v>
      </c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</row>
    <row r="93" spans="1:52" x14ac:dyDescent="0.25">
      <c r="A93" s="5">
        <v>2029332244</v>
      </c>
      <c r="B93" s="5" t="s">
        <v>1113</v>
      </c>
      <c r="C93" s="5" t="s">
        <v>745</v>
      </c>
      <c r="D93" s="5" t="str">
        <f t="shared" si="5"/>
        <v>ANGELA PORTER</v>
      </c>
      <c r="E93" s="5" t="s">
        <v>243</v>
      </c>
      <c r="F93" s="5" t="s">
        <v>244</v>
      </c>
      <c r="G93" s="5">
        <v>371819</v>
      </c>
      <c r="H93" s="5" t="s">
        <v>283</v>
      </c>
      <c r="I93" s="5" t="s">
        <v>284</v>
      </c>
      <c r="J93" s="5" t="str">
        <f t="shared" si="3"/>
        <v>THOMAS PARDUE</v>
      </c>
      <c r="K93" s="5" t="s">
        <v>57</v>
      </c>
      <c r="L93" s="6">
        <v>45815</v>
      </c>
      <c r="M93" s="6">
        <v>45968</v>
      </c>
      <c r="N93" s="7">
        <v>32.880000000000003</v>
      </c>
      <c r="O93" s="5">
        <f t="shared" si="4"/>
        <v>5</v>
      </c>
      <c r="P93" s="5" t="s">
        <v>214</v>
      </c>
      <c r="Q93" s="5" t="s">
        <v>1273</v>
      </c>
      <c r="R93" s="8">
        <v>0.375</v>
      </c>
      <c r="S93" s="7">
        <v>12.33</v>
      </c>
      <c r="T93" s="5" t="s">
        <v>244</v>
      </c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</row>
    <row r="94" spans="1:52" x14ac:dyDescent="0.25">
      <c r="A94" s="5">
        <v>2029752465</v>
      </c>
      <c r="B94" s="5" t="s">
        <v>1062</v>
      </c>
      <c r="C94" s="5" t="s">
        <v>1063</v>
      </c>
      <c r="D94" s="5" t="str">
        <f t="shared" si="5"/>
        <v>ROBINSON TOWANNA</v>
      </c>
      <c r="E94" s="5" t="s">
        <v>243</v>
      </c>
      <c r="F94" s="5" t="s">
        <v>244</v>
      </c>
      <c r="G94" s="5">
        <v>371819</v>
      </c>
      <c r="H94" s="5" t="s">
        <v>283</v>
      </c>
      <c r="I94" s="5" t="s">
        <v>284</v>
      </c>
      <c r="J94" s="5" t="str">
        <f t="shared" si="3"/>
        <v>THOMAS PARDUE</v>
      </c>
      <c r="K94" s="5" t="s">
        <v>57</v>
      </c>
      <c r="L94" s="6">
        <v>45840</v>
      </c>
      <c r="M94" s="6">
        <v>45993</v>
      </c>
      <c r="N94" s="7">
        <v>24.54</v>
      </c>
      <c r="O94" s="5">
        <f t="shared" si="4"/>
        <v>5</v>
      </c>
      <c r="P94" s="5" t="s">
        <v>214</v>
      </c>
      <c r="Q94" s="5" t="s">
        <v>1273</v>
      </c>
      <c r="R94" s="8">
        <v>0.375</v>
      </c>
      <c r="S94" s="7">
        <v>9.1999999999999993</v>
      </c>
      <c r="T94" s="5" t="s">
        <v>244</v>
      </c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</row>
    <row r="95" spans="1:52" x14ac:dyDescent="0.25">
      <c r="A95" s="5">
        <v>2029752465</v>
      </c>
      <c r="B95" s="5" t="s">
        <v>1062</v>
      </c>
      <c r="C95" s="5" t="s">
        <v>1063</v>
      </c>
      <c r="D95" s="5" t="str">
        <f t="shared" si="5"/>
        <v>ROBINSON TOWANNA</v>
      </c>
      <c r="E95" s="5" t="s">
        <v>243</v>
      </c>
      <c r="F95" s="5" t="s">
        <v>244</v>
      </c>
      <c r="G95" s="5">
        <v>371819</v>
      </c>
      <c r="H95" s="5" t="s">
        <v>283</v>
      </c>
      <c r="I95" s="5" t="s">
        <v>284</v>
      </c>
      <c r="J95" s="5" t="str">
        <f t="shared" si="3"/>
        <v>THOMAS PARDUE</v>
      </c>
      <c r="K95" s="5" t="s">
        <v>57</v>
      </c>
      <c r="L95" s="6">
        <v>45840</v>
      </c>
      <c r="M95" s="6">
        <v>45993</v>
      </c>
      <c r="N95" s="7">
        <v>24.54</v>
      </c>
      <c r="O95" s="5">
        <f t="shared" si="4"/>
        <v>5</v>
      </c>
      <c r="P95" s="5" t="s">
        <v>214</v>
      </c>
      <c r="Q95" s="5" t="s">
        <v>1273</v>
      </c>
      <c r="R95" s="8">
        <v>0.375</v>
      </c>
      <c r="S95" s="7">
        <v>9.1999999999999993</v>
      </c>
      <c r="T95" s="5" t="s">
        <v>244</v>
      </c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</row>
    <row r="96" spans="1:52" x14ac:dyDescent="0.25">
      <c r="A96" s="5">
        <v>2029276299</v>
      </c>
      <c r="B96" s="5" t="s">
        <v>1046</v>
      </c>
      <c r="C96" s="5" t="s">
        <v>1047</v>
      </c>
      <c r="D96" s="5" t="str">
        <f t="shared" si="5"/>
        <v>APRIL FERNANDEZ</v>
      </c>
      <c r="E96" s="5" t="s">
        <v>292</v>
      </c>
      <c r="F96" s="5" t="s">
        <v>295</v>
      </c>
      <c r="G96" s="5">
        <v>7470776</v>
      </c>
      <c r="H96" s="5" t="s">
        <v>273</v>
      </c>
      <c r="I96" s="5" t="s">
        <v>274</v>
      </c>
      <c r="J96" s="5" t="str">
        <f t="shared" si="3"/>
        <v>Andrew Choi</v>
      </c>
      <c r="K96" s="5" t="s">
        <v>57</v>
      </c>
      <c r="L96" s="6">
        <v>45812</v>
      </c>
      <c r="M96" s="6">
        <v>45965</v>
      </c>
      <c r="N96" s="7">
        <v>44.13</v>
      </c>
      <c r="O96" s="5">
        <f t="shared" si="4"/>
        <v>5</v>
      </c>
      <c r="P96" s="5" t="s">
        <v>214</v>
      </c>
      <c r="Q96" s="5" t="s">
        <v>1273</v>
      </c>
      <c r="R96" s="9">
        <v>0.9</v>
      </c>
      <c r="S96" s="7">
        <v>39.72</v>
      </c>
      <c r="T96" s="5" t="s">
        <v>295</v>
      </c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</row>
    <row r="97" spans="1:52" x14ac:dyDescent="0.25">
      <c r="A97" s="5">
        <v>2029275520</v>
      </c>
      <c r="B97" s="5" t="s">
        <v>783</v>
      </c>
      <c r="C97" s="5" t="s">
        <v>145</v>
      </c>
      <c r="D97" s="5" t="str">
        <f t="shared" si="5"/>
        <v>JENNIFER QUESINBERRY</v>
      </c>
      <c r="E97" s="5" t="s">
        <v>292</v>
      </c>
      <c r="F97" s="5" t="s">
        <v>295</v>
      </c>
      <c r="G97" s="5">
        <v>19586992</v>
      </c>
      <c r="H97" s="5" t="s">
        <v>325</v>
      </c>
      <c r="I97" s="5" t="s">
        <v>326</v>
      </c>
      <c r="J97" s="5" t="str">
        <f t="shared" si="3"/>
        <v>Barry Schumann</v>
      </c>
      <c r="K97" s="5" t="s">
        <v>57</v>
      </c>
      <c r="L97" s="6">
        <v>45815</v>
      </c>
      <c r="M97" s="6">
        <v>45968</v>
      </c>
      <c r="N97" s="7">
        <v>75.75</v>
      </c>
      <c r="O97" s="5">
        <f t="shared" si="4"/>
        <v>5</v>
      </c>
      <c r="P97" s="5" t="s">
        <v>214</v>
      </c>
      <c r="Q97" s="5" t="s">
        <v>1273</v>
      </c>
      <c r="R97" s="9">
        <v>0.9</v>
      </c>
      <c r="S97" s="7">
        <v>68.180000000000007</v>
      </c>
      <c r="T97" s="5" t="s">
        <v>295</v>
      </c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</row>
    <row r="98" spans="1:52" x14ac:dyDescent="0.25">
      <c r="A98" s="5">
        <v>2028777168</v>
      </c>
      <c r="B98" s="5" t="s">
        <v>773</v>
      </c>
      <c r="C98" s="5" t="s">
        <v>774</v>
      </c>
      <c r="D98" s="5" t="str">
        <f t="shared" si="5"/>
        <v>CASIE CARNAHAN</v>
      </c>
      <c r="E98" s="5" t="s">
        <v>89</v>
      </c>
      <c r="F98" s="5" t="s">
        <v>90</v>
      </c>
      <c r="G98" s="5">
        <v>16865615</v>
      </c>
      <c r="H98" s="5" t="s">
        <v>265</v>
      </c>
      <c r="I98" s="5" t="s">
        <v>266</v>
      </c>
      <c r="J98" s="5" t="str">
        <f t="shared" si="3"/>
        <v>Heather Geske</v>
      </c>
      <c r="K98" s="5" t="s">
        <v>57</v>
      </c>
      <c r="L98" s="6">
        <v>45783</v>
      </c>
      <c r="M98" s="6">
        <v>45967</v>
      </c>
      <c r="N98" s="7">
        <v>142.03</v>
      </c>
      <c r="O98" s="5">
        <f t="shared" si="4"/>
        <v>6</v>
      </c>
      <c r="P98" s="5" t="s">
        <v>214</v>
      </c>
      <c r="Q98" s="5" t="s">
        <v>1273</v>
      </c>
      <c r="R98" s="9">
        <v>0.65</v>
      </c>
      <c r="S98" s="7">
        <v>92.32</v>
      </c>
      <c r="T98" s="5" t="s">
        <v>1258</v>
      </c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</row>
    <row r="99" spans="1:52" x14ac:dyDescent="0.25">
      <c r="A99" s="5">
        <v>2028803972</v>
      </c>
      <c r="B99" s="5" t="s">
        <v>775</v>
      </c>
      <c r="C99" s="5" t="s">
        <v>776</v>
      </c>
      <c r="D99" s="5" t="str">
        <f t="shared" si="5"/>
        <v>LATONYA THOMPSON</v>
      </c>
      <c r="E99" s="5" t="s">
        <v>89</v>
      </c>
      <c r="F99" s="5" t="s">
        <v>96</v>
      </c>
      <c r="G99" s="5">
        <v>371819</v>
      </c>
      <c r="H99" s="5" t="s">
        <v>283</v>
      </c>
      <c r="I99" s="5" t="s">
        <v>284</v>
      </c>
      <c r="J99" s="5" t="str">
        <f t="shared" si="3"/>
        <v>THOMAS PARDUE</v>
      </c>
      <c r="K99" s="5" t="s">
        <v>57</v>
      </c>
      <c r="L99" s="6">
        <v>45784</v>
      </c>
      <c r="M99" s="6">
        <v>45968</v>
      </c>
      <c r="N99" s="7">
        <v>205.42</v>
      </c>
      <c r="O99" s="5">
        <f t="shared" si="4"/>
        <v>6</v>
      </c>
      <c r="P99" s="5" t="s">
        <v>214</v>
      </c>
      <c r="Q99" s="5" t="s">
        <v>1273</v>
      </c>
      <c r="R99" s="9">
        <v>0.9</v>
      </c>
      <c r="S99" s="7">
        <v>184.88</v>
      </c>
      <c r="T99" s="5" t="s">
        <v>1259</v>
      </c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</row>
    <row r="100" spans="1:52" x14ac:dyDescent="0.25">
      <c r="A100" s="5">
        <v>2028421977</v>
      </c>
      <c r="B100" s="5" t="s">
        <v>1186</v>
      </c>
      <c r="C100" s="5" t="s">
        <v>600</v>
      </c>
      <c r="D100" s="5" t="str">
        <f t="shared" si="5"/>
        <v>EDWARD LISBERG</v>
      </c>
      <c r="E100" s="5" t="s">
        <v>350</v>
      </c>
      <c r="F100" s="5" t="s">
        <v>351</v>
      </c>
      <c r="G100" s="5">
        <v>7470776</v>
      </c>
      <c r="H100" s="5" t="s">
        <v>273</v>
      </c>
      <c r="I100" s="5" t="s">
        <v>274</v>
      </c>
      <c r="J100" s="5" t="str">
        <f t="shared" si="3"/>
        <v>Andrew Choi</v>
      </c>
      <c r="K100" s="5" t="s">
        <v>57</v>
      </c>
      <c r="L100" s="6">
        <v>45778</v>
      </c>
      <c r="M100" s="6">
        <v>45962</v>
      </c>
      <c r="N100" s="7">
        <v>73.39</v>
      </c>
      <c r="O100" s="5">
        <f t="shared" si="4"/>
        <v>6</v>
      </c>
      <c r="P100" s="5" t="s">
        <v>214</v>
      </c>
      <c r="Q100" s="5" t="s">
        <v>1273</v>
      </c>
      <c r="R100" s="9">
        <v>0.47</v>
      </c>
      <c r="S100" s="7">
        <v>34.49</v>
      </c>
      <c r="T100" s="5" t="s">
        <v>351</v>
      </c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</row>
    <row r="101" spans="1:52" x14ac:dyDescent="0.25">
      <c r="A101" s="5">
        <v>2028166815</v>
      </c>
      <c r="B101" s="5" t="s">
        <v>529</v>
      </c>
      <c r="C101" s="5" t="s">
        <v>530</v>
      </c>
      <c r="D101" s="5" t="str">
        <f t="shared" si="5"/>
        <v>ALAN BAIN</v>
      </c>
      <c r="E101" s="5" t="s">
        <v>467</v>
      </c>
      <c r="F101" s="5" t="s">
        <v>528</v>
      </c>
      <c r="G101" s="5">
        <v>8325282</v>
      </c>
      <c r="H101" s="5" t="s">
        <v>134</v>
      </c>
      <c r="I101" s="5" t="s">
        <v>135</v>
      </c>
      <c r="J101" s="5" t="str">
        <f t="shared" si="3"/>
        <v>Dale Walenga</v>
      </c>
      <c r="K101" s="5" t="s">
        <v>57</v>
      </c>
      <c r="L101" s="6">
        <v>45778</v>
      </c>
      <c r="M101" s="6">
        <v>45962</v>
      </c>
      <c r="N101" s="7">
        <v>106.67</v>
      </c>
      <c r="O101" s="5">
        <f t="shared" si="4"/>
        <v>6</v>
      </c>
      <c r="P101" s="5" t="s">
        <v>214</v>
      </c>
      <c r="Q101" s="5" t="s">
        <v>1273</v>
      </c>
      <c r="R101" s="9">
        <v>0.28000000000000003</v>
      </c>
      <c r="S101" s="7">
        <v>29.87</v>
      </c>
      <c r="T101" s="5" t="s">
        <v>497</v>
      </c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</row>
    <row r="102" spans="1:52" x14ac:dyDescent="0.25">
      <c r="A102" s="5">
        <v>2028361729</v>
      </c>
      <c r="B102" s="5" t="s">
        <v>531</v>
      </c>
      <c r="C102" s="5" t="s">
        <v>476</v>
      </c>
      <c r="D102" s="5" t="str">
        <f t="shared" si="5"/>
        <v>GARY MICHELSEN</v>
      </c>
      <c r="E102" s="5" t="s">
        <v>467</v>
      </c>
      <c r="F102" s="5" t="s">
        <v>528</v>
      </c>
      <c r="G102" s="5">
        <v>8325282</v>
      </c>
      <c r="H102" s="5" t="s">
        <v>134</v>
      </c>
      <c r="I102" s="5" t="s">
        <v>135</v>
      </c>
      <c r="J102" s="5" t="str">
        <f t="shared" si="3"/>
        <v>Dale Walenga</v>
      </c>
      <c r="K102" s="5" t="s">
        <v>57</v>
      </c>
      <c r="L102" s="6">
        <v>45778</v>
      </c>
      <c r="M102" s="6">
        <v>45962</v>
      </c>
      <c r="N102" s="7">
        <v>112.21</v>
      </c>
      <c r="O102" s="5">
        <f t="shared" si="4"/>
        <v>6</v>
      </c>
      <c r="P102" s="5" t="s">
        <v>214</v>
      </c>
      <c r="Q102" s="5" t="s">
        <v>1273</v>
      </c>
      <c r="R102" s="9">
        <v>0.28000000000000003</v>
      </c>
      <c r="S102" s="7">
        <v>31.42</v>
      </c>
      <c r="T102" s="5" t="s">
        <v>497</v>
      </c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</row>
    <row r="103" spans="1:52" x14ac:dyDescent="0.25">
      <c r="A103" s="5">
        <v>2028422101</v>
      </c>
      <c r="B103" s="5" t="s">
        <v>531</v>
      </c>
      <c r="C103" s="5" t="s">
        <v>532</v>
      </c>
      <c r="D103" s="5" t="str">
        <f t="shared" si="5"/>
        <v>SUSAN MICHELSEN</v>
      </c>
      <c r="E103" s="5" t="s">
        <v>467</v>
      </c>
      <c r="F103" s="5" t="s">
        <v>528</v>
      </c>
      <c r="G103" s="5">
        <v>8325282</v>
      </c>
      <c r="H103" s="5" t="s">
        <v>134</v>
      </c>
      <c r="I103" s="5" t="s">
        <v>135</v>
      </c>
      <c r="J103" s="5" t="str">
        <f t="shared" si="3"/>
        <v>Dale Walenga</v>
      </c>
      <c r="K103" s="5" t="s">
        <v>57</v>
      </c>
      <c r="L103" s="6">
        <v>45778</v>
      </c>
      <c r="M103" s="6">
        <v>45962</v>
      </c>
      <c r="N103" s="7">
        <v>143.93</v>
      </c>
      <c r="O103" s="5">
        <f t="shared" si="4"/>
        <v>6</v>
      </c>
      <c r="P103" s="5" t="s">
        <v>214</v>
      </c>
      <c r="Q103" s="5" t="s">
        <v>1273</v>
      </c>
      <c r="R103" s="9">
        <v>0.28000000000000003</v>
      </c>
      <c r="S103" s="7">
        <v>40.299999999999997</v>
      </c>
      <c r="T103" s="5" t="s">
        <v>497</v>
      </c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</row>
    <row r="104" spans="1:52" x14ac:dyDescent="0.25">
      <c r="A104" s="5">
        <v>2028582349</v>
      </c>
      <c r="B104" s="5" t="s">
        <v>396</v>
      </c>
      <c r="C104" s="5" t="s">
        <v>250</v>
      </c>
      <c r="D104" s="5" t="str">
        <f t="shared" si="5"/>
        <v>BRITT MOORE</v>
      </c>
      <c r="E104" s="5" t="s">
        <v>292</v>
      </c>
      <c r="F104" s="5" t="s">
        <v>293</v>
      </c>
      <c r="G104" s="5">
        <v>19586992</v>
      </c>
      <c r="H104" s="5" t="s">
        <v>325</v>
      </c>
      <c r="I104" s="5" t="s">
        <v>326</v>
      </c>
      <c r="J104" s="5" t="str">
        <f t="shared" si="3"/>
        <v>Barry Schumann</v>
      </c>
      <c r="K104" s="5" t="s">
        <v>57</v>
      </c>
      <c r="L104" s="6">
        <v>45784</v>
      </c>
      <c r="M104" s="6">
        <v>45968</v>
      </c>
      <c r="N104" s="7">
        <v>77.52</v>
      </c>
      <c r="O104" s="5">
        <f t="shared" si="4"/>
        <v>6</v>
      </c>
      <c r="P104" s="5" t="s">
        <v>214</v>
      </c>
      <c r="Q104" s="5" t="s">
        <v>1273</v>
      </c>
      <c r="R104" s="9">
        <v>0.7</v>
      </c>
      <c r="S104" s="7">
        <v>54.26</v>
      </c>
      <c r="T104" s="5" t="s">
        <v>293</v>
      </c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</row>
    <row r="105" spans="1:52" x14ac:dyDescent="0.25">
      <c r="A105" s="5">
        <v>2028777167</v>
      </c>
      <c r="B105" s="5" t="s">
        <v>773</v>
      </c>
      <c r="C105" s="5" t="s">
        <v>774</v>
      </c>
      <c r="D105" s="5" t="str">
        <f t="shared" si="5"/>
        <v>CASIE CARNAHAN</v>
      </c>
      <c r="E105" s="5" t="s">
        <v>292</v>
      </c>
      <c r="F105" s="5" t="s">
        <v>293</v>
      </c>
      <c r="G105" s="5">
        <v>16865615</v>
      </c>
      <c r="H105" s="5" t="s">
        <v>265</v>
      </c>
      <c r="I105" s="5" t="s">
        <v>266</v>
      </c>
      <c r="J105" s="5" t="str">
        <f t="shared" si="3"/>
        <v>Heather Geske</v>
      </c>
      <c r="K105" s="5" t="s">
        <v>57</v>
      </c>
      <c r="L105" s="6">
        <v>45783</v>
      </c>
      <c r="M105" s="6">
        <v>45967</v>
      </c>
      <c r="N105" s="7">
        <v>18.2</v>
      </c>
      <c r="O105" s="5">
        <f t="shared" si="4"/>
        <v>6</v>
      </c>
      <c r="P105" s="5" t="s">
        <v>214</v>
      </c>
      <c r="Q105" s="5" t="s">
        <v>1273</v>
      </c>
      <c r="R105" s="9">
        <v>0.7</v>
      </c>
      <c r="S105" s="7">
        <v>12.74</v>
      </c>
      <c r="T105" s="5" t="s">
        <v>293</v>
      </c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</row>
    <row r="106" spans="1:52" x14ac:dyDescent="0.25">
      <c r="A106" s="5">
        <v>2028800280</v>
      </c>
      <c r="B106" s="5" t="s">
        <v>1038</v>
      </c>
      <c r="C106" s="5" t="s">
        <v>721</v>
      </c>
      <c r="D106" s="5" t="str">
        <f t="shared" si="5"/>
        <v>STEPHANIE HALFACRE</v>
      </c>
      <c r="E106" s="5" t="s">
        <v>292</v>
      </c>
      <c r="F106" s="5" t="s">
        <v>293</v>
      </c>
      <c r="G106" s="5">
        <v>17143996</v>
      </c>
      <c r="H106" s="5" t="s">
        <v>1039</v>
      </c>
      <c r="I106" s="5" t="s">
        <v>1040</v>
      </c>
      <c r="J106" s="5" t="str">
        <f t="shared" si="3"/>
        <v>James Allen</v>
      </c>
      <c r="K106" s="5" t="s">
        <v>57</v>
      </c>
      <c r="L106" s="6">
        <v>45785</v>
      </c>
      <c r="M106" s="6">
        <v>45969</v>
      </c>
      <c r="N106" s="7">
        <v>19</v>
      </c>
      <c r="O106" s="5">
        <f t="shared" si="4"/>
        <v>6</v>
      </c>
      <c r="P106" s="5" t="s">
        <v>214</v>
      </c>
      <c r="Q106" s="5" t="s">
        <v>1273</v>
      </c>
      <c r="R106" s="9">
        <v>0.7</v>
      </c>
      <c r="S106" s="7">
        <v>13.3</v>
      </c>
      <c r="T106" s="5" t="s">
        <v>293</v>
      </c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</row>
    <row r="107" spans="1:52" x14ac:dyDescent="0.25">
      <c r="A107" s="5">
        <v>2028775018</v>
      </c>
      <c r="B107" s="5" t="s">
        <v>1108</v>
      </c>
      <c r="C107" s="5" t="s">
        <v>658</v>
      </c>
      <c r="D107" s="5" t="str">
        <f t="shared" si="5"/>
        <v>AMBER RASMUSSEN</v>
      </c>
      <c r="E107" s="5" t="s">
        <v>243</v>
      </c>
      <c r="F107" s="5" t="s">
        <v>244</v>
      </c>
      <c r="G107" s="5">
        <v>18201929</v>
      </c>
      <c r="H107" s="5" t="s">
        <v>298</v>
      </c>
      <c r="I107" s="5" t="s">
        <v>299</v>
      </c>
      <c r="J107" s="5" t="str">
        <f t="shared" si="3"/>
        <v>Jake Shulman</v>
      </c>
      <c r="K107" s="5" t="s">
        <v>57</v>
      </c>
      <c r="L107" s="6">
        <v>45783</v>
      </c>
      <c r="M107" s="6">
        <v>45967</v>
      </c>
      <c r="N107" s="7">
        <v>22.52</v>
      </c>
      <c r="O107" s="5">
        <f t="shared" si="4"/>
        <v>6</v>
      </c>
      <c r="P107" s="5" t="s">
        <v>214</v>
      </c>
      <c r="Q107" s="5" t="s">
        <v>1273</v>
      </c>
      <c r="R107" s="8">
        <v>0.375</v>
      </c>
      <c r="S107" s="7">
        <v>8.44</v>
      </c>
      <c r="T107" s="5" t="s">
        <v>244</v>
      </c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</row>
    <row r="108" spans="1:52" x14ac:dyDescent="0.25">
      <c r="A108" s="5">
        <v>2028775533</v>
      </c>
      <c r="B108" s="5" t="s">
        <v>1109</v>
      </c>
      <c r="C108" s="5" t="s">
        <v>1110</v>
      </c>
      <c r="D108" s="5" t="str">
        <f t="shared" si="5"/>
        <v>KALINA KIRILOVA</v>
      </c>
      <c r="E108" s="5" t="s">
        <v>243</v>
      </c>
      <c r="F108" s="5" t="s">
        <v>244</v>
      </c>
      <c r="G108" s="5">
        <v>18201929</v>
      </c>
      <c r="H108" s="5" t="s">
        <v>298</v>
      </c>
      <c r="I108" s="5" t="s">
        <v>299</v>
      </c>
      <c r="J108" s="5" t="str">
        <f t="shared" si="3"/>
        <v>Jake Shulman</v>
      </c>
      <c r="K108" s="5" t="s">
        <v>57</v>
      </c>
      <c r="L108" s="6">
        <v>45783</v>
      </c>
      <c r="M108" s="6">
        <v>45967</v>
      </c>
      <c r="N108" s="7">
        <v>22.52</v>
      </c>
      <c r="O108" s="5">
        <f t="shared" si="4"/>
        <v>6</v>
      </c>
      <c r="P108" s="5" t="s">
        <v>214</v>
      </c>
      <c r="Q108" s="5" t="s">
        <v>1273</v>
      </c>
      <c r="R108" s="8">
        <v>0.375</v>
      </c>
      <c r="S108" s="7">
        <v>8.44</v>
      </c>
      <c r="T108" s="5" t="s">
        <v>244</v>
      </c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</row>
    <row r="109" spans="1:52" x14ac:dyDescent="0.25">
      <c r="A109" s="5">
        <v>2028831848</v>
      </c>
      <c r="B109" s="5" t="s">
        <v>1111</v>
      </c>
      <c r="C109" s="5" t="s">
        <v>1112</v>
      </c>
      <c r="D109" s="5" t="str">
        <f t="shared" si="5"/>
        <v>COLEEN VELMS</v>
      </c>
      <c r="E109" s="5" t="s">
        <v>243</v>
      </c>
      <c r="F109" s="5" t="s">
        <v>244</v>
      </c>
      <c r="G109" s="5">
        <v>18201929</v>
      </c>
      <c r="H109" s="5" t="s">
        <v>298</v>
      </c>
      <c r="I109" s="5" t="s">
        <v>299</v>
      </c>
      <c r="J109" s="5" t="str">
        <f t="shared" si="3"/>
        <v>Jake Shulman</v>
      </c>
      <c r="K109" s="5" t="s">
        <v>57</v>
      </c>
      <c r="L109" s="6">
        <v>45786</v>
      </c>
      <c r="M109" s="6">
        <v>45970</v>
      </c>
      <c r="N109" s="7">
        <v>43.68</v>
      </c>
      <c r="O109" s="5">
        <f t="shared" si="4"/>
        <v>6</v>
      </c>
      <c r="P109" s="5" t="s">
        <v>214</v>
      </c>
      <c r="Q109" s="5" t="s">
        <v>1273</v>
      </c>
      <c r="R109" s="8">
        <v>0.375</v>
      </c>
      <c r="S109" s="7">
        <v>16.38</v>
      </c>
      <c r="T109" s="5" t="s">
        <v>244</v>
      </c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</row>
    <row r="110" spans="1:52" x14ac:dyDescent="0.25">
      <c r="A110" s="5">
        <v>2028766411</v>
      </c>
      <c r="B110" s="5" t="s">
        <v>1034</v>
      </c>
      <c r="C110" s="5" t="s">
        <v>1035</v>
      </c>
      <c r="D110" s="5" t="str">
        <f t="shared" si="5"/>
        <v>BATBOLD BAYASGALAN</v>
      </c>
      <c r="E110" s="5" t="s">
        <v>292</v>
      </c>
      <c r="F110" s="5" t="s">
        <v>295</v>
      </c>
      <c r="G110" s="5">
        <v>20220688</v>
      </c>
      <c r="H110" s="5" t="s">
        <v>340</v>
      </c>
      <c r="I110" s="5" t="s">
        <v>341</v>
      </c>
      <c r="J110" s="5" t="str">
        <f t="shared" si="3"/>
        <v>NASANDELGER ZANA</v>
      </c>
      <c r="K110" s="5" t="s">
        <v>57</v>
      </c>
      <c r="L110" s="6">
        <v>45782</v>
      </c>
      <c r="M110" s="6">
        <v>45966</v>
      </c>
      <c r="N110" s="7">
        <v>46.58</v>
      </c>
      <c r="O110" s="5">
        <f t="shared" si="4"/>
        <v>6</v>
      </c>
      <c r="P110" s="5" t="s">
        <v>214</v>
      </c>
      <c r="Q110" s="5" t="s">
        <v>1273</v>
      </c>
      <c r="R110" s="9">
        <v>0.9</v>
      </c>
      <c r="S110" s="7">
        <v>41.92</v>
      </c>
      <c r="T110" s="5" t="s">
        <v>295</v>
      </c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</row>
    <row r="111" spans="1:52" x14ac:dyDescent="0.25">
      <c r="A111" s="5">
        <v>2028781143</v>
      </c>
      <c r="B111" s="5" t="s">
        <v>1036</v>
      </c>
      <c r="C111" s="5" t="s">
        <v>1037</v>
      </c>
      <c r="D111" s="5" t="str">
        <f t="shared" si="5"/>
        <v>TSERENBAT BATDELGER</v>
      </c>
      <c r="E111" s="5" t="s">
        <v>292</v>
      </c>
      <c r="F111" s="5" t="s">
        <v>295</v>
      </c>
      <c r="G111" s="5">
        <v>20220688</v>
      </c>
      <c r="H111" s="5" t="s">
        <v>340</v>
      </c>
      <c r="I111" s="5" t="s">
        <v>341</v>
      </c>
      <c r="J111" s="5" t="str">
        <f t="shared" si="3"/>
        <v>NASANDELGER ZANA</v>
      </c>
      <c r="K111" s="5" t="s">
        <v>57</v>
      </c>
      <c r="L111" s="6">
        <v>45783</v>
      </c>
      <c r="M111" s="6">
        <v>45967</v>
      </c>
      <c r="N111" s="7">
        <v>25.29</v>
      </c>
      <c r="O111" s="5">
        <f t="shared" si="4"/>
        <v>6</v>
      </c>
      <c r="P111" s="5" t="s">
        <v>214</v>
      </c>
      <c r="Q111" s="5" t="s">
        <v>1273</v>
      </c>
      <c r="R111" s="9">
        <v>0.9</v>
      </c>
      <c r="S111" s="7">
        <v>22.76</v>
      </c>
      <c r="T111" s="5" t="s">
        <v>295</v>
      </c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</row>
    <row r="112" spans="1:52" x14ac:dyDescent="0.25">
      <c r="A112" s="5">
        <v>2027712448</v>
      </c>
      <c r="B112" s="5" t="s">
        <v>520</v>
      </c>
      <c r="C112" s="5" t="s">
        <v>482</v>
      </c>
      <c r="D112" s="5" t="str">
        <f t="shared" si="5"/>
        <v>MICHAEL CAMPANELLA</v>
      </c>
      <c r="E112" s="5" t="s">
        <v>350</v>
      </c>
      <c r="F112" s="5" t="s">
        <v>351</v>
      </c>
      <c r="G112" s="5">
        <v>16912722</v>
      </c>
      <c r="H112" s="5" t="s">
        <v>490</v>
      </c>
      <c r="I112" s="5" t="s">
        <v>491</v>
      </c>
      <c r="J112" s="5" t="str">
        <f t="shared" si="3"/>
        <v>ANDREA PETRUNGARO</v>
      </c>
      <c r="K112" s="5" t="s">
        <v>57</v>
      </c>
      <c r="L112" s="6">
        <v>45748</v>
      </c>
      <c r="M112" s="6">
        <v>45962</v>
      </c>
      <c r="N112" s="7">
        <v>126.91</v>
      </c>
      <c r="O112" s="5">
        <f t="shared" si="4"/>
        <v>7</v>
      </c>
      <c r="P112" s="5" t="s">
        <v>214</v>
      </c>
      <c r="Q112" s="5" t="s">
        <v>1274</v>
      </c>
      <c r="R112" s="9">
        <v>0.47</v>
      </c>
      <c r="S112" s="7">
        <v>59.65</v>
      </c>
      <c r="T112" s="5" t="s">
        <v>351</v>
      </c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</row>
    <row r="113" spans="1:52" x14ac:dyDescent="0.25">
      <c r="A113" s="5">
        <v>2027922861</v>
      </c>
      <c r="B113" s="5" t="s">
        <v>523</v>
      </c>
      <c r="C113" s="5" t="s">
        <v>220</v>
      </c>
      <c r="D113" s="5" t="str">
        <f t="shared" si="5"/>
        <v>BRIAN BOWIE</v>
      </c>
      <c r="E113" s="5" t="s">
        <v>350</v>
      </c>
      <c r="F113" s="5" t="s">
        <v>351</v>
      </c>
      <c r="G113" s="5">
        <v>16912722</v>
      </c>
      <c r="H113" s="5" t="s">
        <v>490</v>
      </c>
      <c r="I113" s="5" t="s">
        <v>491</v>
      </c>
      <c r="J113" s="5" t="str">
        <f t="shared" si="3"/>
        <v>ANDREA PETRUNGARO</v>
      </c>
      <c r="K113" s="5" t="s">
        <v>57</v>
      </c>
      <c r="L113" s="6">
        <v>45748</v>
      </c>
      <c r="M113" s="6">
        <v>45962</v>
      </c>
      <c r="N113" s="7">
        <v>112.33</v>
      </c>
      <c r="O113" s="5">
        <f t="shared" si="4"/>
        <v>7</v>
      </c>
      <c r="P113" s="5" t="s">
        <v>214</v>
      </c>
      <c r="Q113" s="5" t="s">
        <v>1274</v>
      </c>
      <c r="R113" s="9">
        <v>0.47</v>
      </c>
      <c r="S113" s="7">
        <v>52.8</v>
      </c>
      <c r="T113" s="5" t="s">
        <v>351</v>
      </c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</row>
    <row r="114" spans="1:52" x14ac:dyDescent="0.25">
      <c r="A114" s="5">
        <v>2028025305</v>
      </c>
      <c r="B114" s="5" t="s">
        <v>962</v>
      </c>
      <c r="C114" s="5" t="s">
        <v>1178</v>
      </c>
      <c r="D114" s="5" t="str">
        <f t="shared" si="5"/>
        <v>CRAIG COOK</v>
      </c>
      <c r="E114" s="5" t="s">
        <v>350</v>
      </c>
      <c r="F114" s="5" t="s">
        <v>1142</v>
      </c>
      <c r="G114" s="5">
        <v>8814784</v>
      </c>
      <c r="H114" s="5" t="s">
        <v>256</v>
      </c>
      <c r="I114" s="5" t="s">
        <v>165</v>
      </c>
      <c r="J114" s="5" t="str">
        <f t="shared" si="3"/>
        <v>FRANK LISKOVEC</v>
      </c>
      <c r="K114" s="5" t="s">
        <v>57</v>
      </c>
      <c r="L114" s="6">
        <v>45748</v>
      </c>
      <c r="M114" s="6">
        <v>45962</v>
      </c>
      <c r="N114" s="7">
        <v>14.95</v>
      </c>
      <c r="O114" s="5">
        <f t="shared" si="4"/>
        <v>7</v>
      </c>
      <c r="P114" s="5" t="s">
        <v>214</v>
      </c>
      <c r="Q114" s="5" t="s">
        <v>1274</v>
      </c>
      <c r="R114" s="9">
        <v>0.51</v>
      </c>
      <c r="S114" s="7">
        <v>7.62</v>
      </c>
      <c r="T114" s="5" t="s">
        <v>1141</v>
      </c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</row>
    <row r="115" spans="1:52" x14ac:dyDescent="0.25">
      <c r="A115" s="5">
        <v>2028025304</v>
      </c>
      <c r="B115" s="5" t="s">
        <v>962</v>
      </c>
      <c r="C115" s="5" t="s">
        <v>1178</v>
      </c>
      <c r="D115" s="5" t="str">
        <f t="shared" si="5"/>
        <v>CRAIG COOK</v>
      </c>
      <c r="E115" s="5" t="s">
        <v>350</v>
      </c>
      <c r="F115" s="5" t="s">
        <v>1141</v>
      </c>
      <c r="G115" s="5">
        <v>8814784</v>
      </c>
      <c r="H115" s="5" t="s">
        <v>256</v>
      </c>
      <c r="I115" s="5" t="s">
        <v>165</v>
      </c>
      <c r="J115" s="5" t="str">
        <f t="shared" si="3"/>
        <v>FRANK LISKOVEC</v>
      </c>
      <c r="K115" s="5" t="s">
        <v>57</v>
      </c>
      <c r="L115" s="6">
        <v>45748</v>
      </c>
      <c r="M115" s="6">
        <v>45962</v>
      </c>
      <c r="N115" s="7">
        <v>104.53</v>
      </c>
      <c r="O115" s="5">
        <f t="shared" si="4"/>
        <v>7</v>
      </c>
      <c r="P115" s="5" t="s">
        <v>214</v>
      </c>
      <c r="Q115" s="5" t="s">
        <v>1274</v>
      </c>
      <c r="R115" s="9">
        <v>0.51</v>
      </c>
      <c r="S115" s="7">
        <v>53.31</v>
      </c>
      <c r="T115" s="5" t="s">
        <v>1141</v>
      </c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</row>
    <row r="116" spans="1:52" x14ac:dyDescent="0.25">
      <c r="A116" s="5">
        <v>2027712447</v>
      </c>
      <c r="B116" s="5" t="s">
        <v>520</v>
      </c>
      <c r="C116" s="5" t="s">
        <v>482</v>
      </c>
      <c r="D116" s="5" t="str">
        <f t="shared" si="5"/>
        <v>MICHAEL CAMPANELLA</v>
      </c>
      <c r="E116" s="5" t="s">
        <v>467</v>
      </c>
      <c r="F116" s="5" t="s">
        <v>493</v>
      </c>
      <c r="G116" s="5">
        <v>16912722</v>
      </c>
      <c r="H116" s="5" t="s">
        <v>490</v>
      </c>
      <c r="I116" s="5" t="s">
        <v>491</v>
      </c>
      <c r="J116" s="5" t="str">
        <f t="shared" si="3"/>
        <v>ANDREA PETRUNGARO</v>
      </c>
      <c r="K116" s="5" t="s">
        <v>57</v>
      </c>
      <c r="L116" s="6">
        <v>45748</v>
      </c>
      <c r="M116" s="6">
        <v>45962</v>
      </c>
      <c r="N116" s="7">
        <v>132.22</v>
      </c>
      <c r="O116" s="5">
        <f t="shared" si="4"/>
        <v>7</v>
      </c>
      <c r="P116" s="5" t="s">
        <v>214</v>
      </c>
      <c r="Q116" s="5" t="s">
        <v>1274</v>
      </c>
      <c r="R116" s="9">
        <v>0.26</v>
      </c>
      <c r="S116" s="7">
        <v>34.380000000000003</v>
      </c>
      <c r="T116" s="5" t="s">
        <v>1266</v>
      </c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</row>
    <row r="117" spans="1:52" x14ac:dyDescent="0.25">
      <c r="A117" s="5">
        <v>2027889499</v>
      </c>
      <c r="B117" s="5" t="s">
        <v>521</v>
      </c>
      <c r="C117" s="5" t="s">
        <v>522</v>
      </c>
      <c r="D117" s="5" t="str">
        <f t="shared" si="5"/>
        <v>ALEX DIVITO</v>
      </c>
      <c r="E117" s="5" t="s">
        <v>467</v>
      </c>
      <c r="F117" s="5" t="s">
        <v>493</v>
      </c>
      <c r="G117" s="5">
        <v>16912722</v>
      </c>
      <c r="H117" s="5" t="s">
        <v>490</v>
      </c>
      <c r="I117" s="5" t="s">
        <v>491</v>
      </c>
      <c r="J117" s="5" t="str">
        <f t="shared" si="3"/>
        <v>ANDREA PETRUNGARO</v>
      </c>
      <c r="K117" s="5" t="s">
        <v>57</v>
      </c>
      <c r="L117" s="6">
        <v>45748</v>
      </c>
      <c r="M117" s="6">
        <v>45962</v>
      </c>
      <c r="N117" s="7">
        <v>132.22</v>
      </c>
      <c r="O117" s="5">
        <f t="shared" si="4"/>
        <v>7</v>
      </c>
      <c r="P117" s="5" t="s">
        <v>214</v>
      </c>
      <c r="Q117" s="5" t="s">
        <v>1274</v>
      </c>
      <c r="R117" s="9">
        <v>0.26</v>
      </c>
      <c r="S117" s="7">
        <v>34.380000000000003</v>
      </c>
      <c r="T117" s="5" t="s">
        <v>1266</v>
      </c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</row>
    <row r="118" spans="1:52" x14ac:dyDescent="0.25">
      <c r="A118" s="5">
        <v>2027922845</v>
      </c>
      <c r="B118" s="5" t="s">
        <v>523</v>
      </c>
      <c r="C118" s="5" t="s">
        <v>524</v>
      </c>
      <c r="D118" s="5" t="str">
        <f t="shared" si="5"/>
        <v>SANDRA BOWIE</v>
      </c>
      <c r="E118" s="5" t="s">
        <v>467</v>
      </c>
      <c r="F118" s="5" t="s">
        <v>493</v>
      </c>
      <c r="G118" s="5">
        <v>16912722</v>
      </c>
      <c r="H118" s="5" t="s">
        <v>490</v>
      </c>
      <c r="I118" s="5" t="s">
        <v>491</v>
      </c>
      <c r="J118" s="5" t="str">
        <f t="shared" si="3"/>
        <v>ANDREA PETRUNGARO</v>
      </c>
      <c r="K118" s="5" t="s">
        <v>57</v>
      </c>
      <c r="L118" s="6">
        <v>45748</v>
      </c>
      <c r="M118" s="6">
        <v>45962</v>
      </c>
      <c r="N118" s="7">
        <v>123.21</v>
      </c>
      <c r="O118" s="5">
        <f t="shared" si="4"/>
        <v>7</v>
      </c>
      <c r="P118" s="5" t="s">
        <v>214</v>
      </c>
      <c r="Q118" s="5" t="s">
        <v>1274</v>
      </c>
      <c r="R118" s="9">
        <v>0.26</v>
      </c>
      <c r="S118" s="7">
        <v>32.03</v>
      </c>
      <c r="T118" s="5" t="s">
        <v>1266</v>
      </c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</row>
    <row r="119" spans="1:52" x14ac:dyDescent="0.25">
      <c r="A119" s="5">
        <v>2027922860</v>
      </c>
      <c r="B119" s="5" t="s">
        <v>523</v>
      </c>
      <c r="C119" s="5" t="s">
        <v>220</v>
      </c>
      <c r="D119" s="5" t="str">
        <f t="shared" si="5"/>
        <v>BRIAN BOWIE</v>
      </c>
      <c r="E119" s="5" t="s">
        <v>467</v>
      </c>
      <c r="F119" s="5" t="s">
        <v>493</v>
      </c>
      <c r="G119" s="5">
        <v>16912722</v>
      </c>
      <c r="H119" s="5" t="s">
        <v>490</v>
      </c>
      <c r="I119" s="5" t="s">
        <v>491</v>
      </c>
      <c r="J119" s="5" t="str">
        <f t="shared" si="3"/>
        <v>ANDREA PETRUNGARO</v>
      </c>
      <c r="K119" s="5" t="s">
        <v>57</v>
      </c>
      <c r="L119" s="6">
        <v>45748</v>
      </c>
      <c r="M119" s="6">
        <v>45962</v>
      </c>
      <c r="N119" s="7">
        <v>139.18</v>
      </c>
      <c r="O119" s="5">
        <f t="shared" si="4"/>
        <v>7</v>
      </c>
      <c r="P119" s="5" t="s">
        <v>214</v>
      </c>
      <c r="Q119" s="5" t="s">
        <v>1274</v>
      </c>
      <c r="R119" s="9">
        <v>0.26</v>
      </c>
      <c r="S119" s="7">
        <v>36.19</v>
      </c>
      <c r="T119" s="5" t="s">
        <v>1266</v>
      </c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</row>
    <row r="120" spans="1:52" x14ac:dyDescent="0.25">
      <c r="A120" s="5">
        <v>2027922888</v>
      </c>
      <c r="B120" s="5" t="s">
        <v>521</v>
      </c>
      <c r="C120" s="5" t="s">
        <v>525</v>
      </c>
      <c r="D120" s="5" t="str">
        <f t="shared" si="5"/>
        <v>LINDA DIVITO</v>
      </c>
      <c r="E120" s="5" t="s">
        <v>467</v>
      </c>
      <c r="F120" s="5" t="s">
        <v>493</v>
      </c>
      <c r="G120" s="5">
        <v>16912722</v>
      </c>
      <c r="H120" s="5" t="s">
        <v>490</v>
      </c>
      <c r="I120" s="5" t="s">
        <v>491</v>
      </c>
      <c r="J120" s="5" t="str">
        <f t="shared" si="3"/>
        <v>ANDREA PETRUNGARO</v>
      </c>
      <c r="K120" s="5" t="s">
        <v>57</v>
      </c>
      <c r="L120" s="6">
        <v>45748</v>
      </c>
      <c r="M120" s="6">
        <v>45962</v>
      </c>
      <c r="N120" s="7">
        <v>117.05</v>
      </c>
      <c r="O120" s="5">
        <f t="shared" si="4"/>
        <v>7</v>
      </c>
      <c r="P120" s="5" t="s">
        <v>214</v>
      </c>
      <c r="Q120" s="5" t="s">
        <v>1274</v>
      </c>
      <c r="R120" s="9">
        <v>0.26</v>
      </c>
      <c r="S120" s="7">
        <v>30.43</v>
      </c>
      <c r="T120" s="5" t="s">
        <v>1266</v>
      </c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</row>
    <row r="121" spans="1:52" x14ac:dyDescent="0.25">
      <c r="A121" s="5">
        <v>2028000460</v>
      </c>
      <c r="B121" s="5" t="s">
        <v>526</v>
      </c>
      <c r="C121" s="5" t="s">
        <v>527</v>
      </c>
      <c r="D121" s="5" t="str">
        <f t="shared" si="5"/>
        <v>STEPHEN REYNOLDS</v>
      </c>
      <c r="E121" s="5" t="s">
        <v>467</v>
      </c>
      <c r="F121" s="5" t="s">
        <v>528</v>
      </c>
      <c r="G121" s="5">
        <v>8325282</v>
      </c>
      <c r="H121" s="5" t="s">
        <v>134</v>
      </c>
      <c r="I121" s="5" t="s">
        <v>135</v>
      </c>
      <c r="J121" s="5" t="str">
        <f t="shared" si="3"/>
        <v>Dale Walenga</v>
      </c>
      <c r="K121" s="5" t="s">
        <v>57</v>
      </c>
      <c r="L121" s="6">
        <v>45748</v>
      </c>
      <c r="M121" s="6">
        <v>45962</v>
      </c>
      <c r="N121" s="7">
        <v>114.69</v>
      </c>
      <c r="O121" s="5">
        <f t="shared" si="4"/>
        <v>7</v>
      </c>
      <c r="P121" s="5" t="s">
        <v>214</v>
      </c>
      <c r="Q121" s="5" t="s">
        <v>1274</v>
      </c>
      <c r="R121" s="9">
        <v>0.28000000000000003</v>
      </c>
      <c r="S121" s="7">
        <v>32.11</v>
      </c>
      <c r="T121" s="5" t="s">
        <v>497</v>
      </c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</row>
    <row r="122" spans="1:52" x14ac:dyDescent="0.25">
      <c r="A122" s="5">
        <v>2028192005</v>
      </c>
      <c r="B122" s="5" t="s">
        <v>1017</v>
      </c>
      <c r="C122" s="5" t="s">
        <v>1018</v>
      </c>
      <c r="D122" s="5" t="str">
        <f t="shared" si="5"/>
        <v>MARIA CARR</v>
      </c>
      <c r="E122" s="5" t="s">
        <v>292</v>
      </c>
      <c r="F122" s="5" t="s">
        <v>293</v>
      </c>
      <c r="G122" s="5">
        <v>7146581</v>
      </c>
      <c r="H122" s="5" t="s">
        <v>436</v>
      </c>
      <c r="I122" s="5" t="s">
        <v>437</v>
      </c>
      <c r="J122" s="5" t="str">
        <f t="shared" si="3"/>
        <v>Anthony Hunsberger</v>
      </c>
      <c r="K122" s="5" t="s">
        <v>57</v>
      </c>
      <c r="L122" s="6">
        <v>45755</v>
      </c>
      <c r="M122" s="6">
        <v>45969</v>
      </c>
      <c r="N122" s="7">
        <v>15.75</v>
      </c>
      <c r="O122" s="5">
        <f t="shared" si="4"/>
        <v>7</v>
      </c>
      <c r="P122" s="5" t="s">
        <v>214</v>
      </c>
      <c r="Q122" s="5" t="s">
        <v>1274</v>
      </c>
      <c r="R122" s="9">
        <v>0.7</v>
      </c>
      <c r="S122" s="7">
        <v>11.02</v>
      </c>
      <c r="T122" s="5" t="s">
        <v>293</v>
      </c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</row>
    <row r="123" spans="1:52" x14ac:dyDescent="0.25">
      <c r="A123" s="5">
        <v>2027993138</v>
      </c>
      <c r="B123" s="5" t="s">
        <v>1012</v>
      </c>
      <c r="C123" s="5" t="s">
        <v>145</v>
      </c>
      <c r="D123" s="5" t="str">
        <f t="shared" si="5"/>
        <v>JENNIFER MAGAZINE</v>
      </c>
      <c r="E123" s="5" t="s">
        <v>292</v>
      </c>
      <c r="F123" s="5" t="s">
        <v>293</v>
      </c>
      <c r="G123" s="5">
        <v>19586992</v>
      </c>
      <c r="H123" s="5" t="s">
        <v>325</v>
      </c>
      <c r="I123" s="5" t="s">
        <v>326</v>
      </c>
      <c r="J123" s="5" t="str">
        <f t="shared" si="3"/>
        <v>Barry Schumann</v>
      </c>
      <c r="K123" s="5" t="s">
        <v>57</v>
      </c>
      <c r="L123" s="6">
        <v>45748</v>
      </c>
      <c r="M123" s="6">
        <v>45962</v>
      </c>
      <c r="N123" s="7">
        <v>-50.19</v>
      </c>
      <c r="O123" s="5">
        <f t="shared" si="4"/>
        <v>7</v>
      </c>
      <c r="P123" s="5" t="s">
        <v>214</v>
      </c>
      <c r="Q123" s="5" t="s">
        <v>1274</v>
      </c>
      <c r="R123" s="9">
        <v>0.7</v>
      </c>
      <c r="S123" s="7">
        <v>-35.130000000000003</v>
      </c>
      <c r="T123" s="5" t="s">
        <v>293</v>
      </c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</row>
    <row r="124" spans="1:52" x14ac:dyDescent="0.25">
      <c r="A124" s="5">
        <v>2028281147</v>
      </c>
      <c r="B124" s="5" t="s">
        <v>1024</v>
      </c>
      <c r="C124" s="5" t="s">
        <v>212</v>
      </c>
      <c r="D124" s="5" t="str">
        <f t="shared" si="5"/>
        <v>JASON BOWLES</v>
      </c>
      <c r="E124" s="5" t="s">
        <v>292</v>
      </c>
      <c r="F124" s="5" t="s">
        <v>293</v>
      </c>
      <c r="G124" s="5">
        <v>16865615</v>
      </c>
      <c r="H124" s="5" t="s">
        <v>265</v>
      </c>
      <c r="I124" s="5" t="s">
        <v>266</v>
      </c>
      <c r="J124" s="5" t="str">
        <f t="shared" si="3"/>
        <v>Heather Geske</v>
      </c>
      <c r="K124" s="5" t="s">
        <v>57</v>
      </c>
      <c r="L124" s="6">
        <v>45755</v>
      </c>
      <c r="M124" s="6">
        <v>45969</v>
      </c>
      <c r="N124" s="7">
        <v>18.2</v>
      </c>
      <c r="O124" s="5">
        <f t="shared" si="4"/>
        <v>7</v>
      </c>
      <c r="P124" s="5" t="s">
        <v>214</v>
      </c>
      <c r="Q124" s="5" t="s">
        <v>1274</v>
      </c>
      <c r="R124" s="9">
        <v>0.7</v>
      </c>
      <c r="S124" s="7">
        <v>12.74</v>
      </c>
      <c r="T124" s="5" t="s">
        <v>293</v>
      </c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</row>
    <row r="125" spans="1:52" x14ac:dyDescent="0.25">
      <c r="A125" s="5">
        <v>2028297704</v>
      </c>
      <c r="B125" s="5" t="s">
        <v>1027</v>
      </c>
      <c r="C125" s="5" t="s">
        <v>1028</v>
      </c>
      <c r="D125" s="5" t="str">
        <f t="shared" si="5"/>
        <v>DARCY KOMEN</v>
      </c>
      <c r="E125" s="5" t="s">
        <v>292</v>
      </c>
      <c r="F125" s="5" t="s">
        <v>293</v>
      </c>
      <c r="G125" s="5">
        <v>21421111</v>
      </c>
      <c r="H125" s="5" t="s">
        <v>146</v>
      </c>
      <c r="I125" s="5" t="s">
        <v>147</v>
      </c>
      <c r="J125" s="5" t="str">
        <f t="shared" si="3"/>
        <v>Kirk Tigue</v>
      </c>
      <c r="K125" s="5" t="s">
        <v>57</v>
      </c>
      <c r="L125" s="6">
        <v>45756</v>
      </c>
      <c r="M125" s="6">
        <v>45970</v>
      </c>
      <c r="N125" s="7">
        <v>33.54</v>
      </c>
      <c r="O125" s="5">
        <f t="shared" si="4"/>
        <v>7</v>
      </c>
      <c r="P125" s="5" t="s">
        <v>214</v>
      </c>
      <c r="Q125" s="5" t="s">
        <v>1274</v>
      </c>
      <c r="R125" s="9">
        <v>0.7</v>
      </c>
      <c r="S125" s="7">
        <v>23.48</v>
      </c>
      <c r="T125" s="5" t="s">
        <v>293</v>
      </c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</row>
    <row r="126" spans="1:52" x14ac:dyDescent="0.25">
      <c r="A126" s="5">
        <v>2028286563</v>
      </c>
      <c r="B126" s="5" t="s">
        <v>1025</v>
      </c>
      <c r="C126" s="5" t="s">
        <v>1026</v>
      </c>
      <c r="D126" s="5" t="str">
        <f t="shared" si="5"/>
        <v>NARANZUL BUYANTOGTOKH</v>
      </c>
      <c r="E126" s="5" t="s">
        <v>292</v>
      </c>
      <c r="F126" s="5" t="s">
        <v>293</v>
      </c>
      <c r="G126" s="5">
        <v>20220688</v>
      </c>
      <c r="H126" s="5" t="s">
        <v>340</v>
      </c>
      <c r="I126" s="5" t="s">
        <v>341</v>
      </c>
      <c r="J126" s="5" t="str">
        <f t="shared" si="3"/>
        <v>NASANDELGER ZANA</v>
      </c>
      <c r="K126" s="5" t="s">
        <v>57</v>
      </c>
      <c r="L126" s="6">
        <v>45755</v>
      </c>
      <c r="M126" s="6">
        <v>45969</v>
      </c>
      <c r="N126" s="7">
        <v>56.5</v>
      </c>
      <c r="O126" s="5">
        <f t="shared" si="4"/>
        <v>7</v>
      </c>
      <c r="P126" s="5" t="s">
        <v>214</v>
      </c>
      <c r="Q126" s="5" t="s">
        <v>1274</v>
      </c>
      <c r="R126" s="9">
        <v>0.7</v>
      </c>
      <c r="S126" s="7">
        <v>39.549999999999997</v>
      </c>
      <c r="T126" s="5" t="s">
        <v>293</v>
      </c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</row>
    <row r="127" spans="1:52" x14ac:dyDescent="0.25">
      <c r="A127" s="5">
        <v>2028135305</v>
      </c>
      <c r="B127" s="5" t="s">
        <v>81</v>
      </c>
      <c r="C127" s="5" t="s">
        <v>527</v>
      </c>
      <c r="D127" s="5" t="str">
        <f t="shared" si="5"/>
        <v>STEPHEN RYAN</v>
      </c>
      <c r="E127" s="5" t="s">
        <v>292</v>
      </c>
      <c r="F127" s="5" t="s">
        <v>293</v>
      </c>
      <c r="G127" s="5">
        <v>371819</v>
      </c>
      <c r="H127" s="5" t="s">
        <v>283</v>
      </c>
      <c r="I127" s="5" t="s">
        <v>284</v>
      </c>
      <c r="J127" s="5" t="str">
        <f t="shared" si="3"/>
        <v>THOMAS PARDUE</v>
      </c>
      <c r="K127" s="5" t="s">
        <v>57</v>
      </c>
      <c r="L127" s="6">
        <v>45748</v>
      </c>
      <c r="M127" s="6">
        <v>45962</v>
      </c>
      <c r="N127" s="7">
        <v>17.64</v>
      </c>
      <c r="O127" s="5">
        <f t="shared" si="4"/>
        <v>7</v>
      </c>
      <c r="P127" s="5" t="s">
        <v>214</v>
      </c>
      <c r="Q127" s="5" t="s">
        <v>1274</v>
      </c>
      <c r="R127" s="9">
        <v>0.7</v>
      </c>
      <c r="S127" s="7">
        <v>12.35</v>
      </c>
      <c r="T127" s="5" t="s">
        <v>293</v>
      </c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</row>
    <row r="128" spans="1:52" x14ac:dyDescent="0.25">
      <c r="A128" s="5">
        <v>2028192004</v>
      </c>
      <c r="B128" s="5" t="s">
        <v>1017</v>
      </c>
      <c r="C128" s="5" t="s">
        <v>1018</v>
      </c>
      <c r="D128" s="5" t="str">
        <f t="shared" si="5"/>
        <v>MARIA CARR</v>
      </c>
      <c r="E128" s="5" t="s">
        <v>243</v>
      </c>
      <c r="F128" s="5" t="s">
        <v>244</v>
      </c>
      <c r="G128" s="5">
        <v>7146581</v>
      </c>
      <c r="H128" s="5" t="s">
        <v>436</v>
      </c>
      <c r="I128" s="5" t="s">
        <v>437</v>
      </c>
      <c r="J128" s="5" t="str">
        <f t="shared" si="3"/>
        <v>Anthony Hunsberger</v>
      </c>
      <c r="K128" s="5" t="s">
        <v>57</v>
      </c>
      <c r="L128" s="6">
        <v>45755</v>
      </c>
      <c r="M128" s="6">
        <v>45969</v>
      </c>
      <c r="N128" s="7">
        <v>129.41</v>
      </c>
      <c r="O128" s="5">
        <f t="shared" si="4"/>
        <v>7</v>
      </c>
      <c r="P128" s="5" t="s">
        <v>214</v>
      </c>
      <c r="Q128" s="5" t="s">
        <v>1274</v>
      </c>
      <c r="R128" s="8">
        <v>0.375</v>
      </c>
      <c r="S128" s="7">
        <v>48.53</v>
      </c>
      <c r="T128" s="5" t="s">
        <v>244</v>
      </c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</row>
    <row r="129" spans="1:52" x14ac:dyDescent="0.25">
      <c r="A129" s="5">
        <v>2028281146</v>
      </c>
      <c r="B129" s="5" t="s">
        <v>1024</v>
      </c>
      <c r="C129" s="5" t="s">
        <v>212</v>
      </c>
      <c r="D129" s="5" t="str">
        <f t="shared" si="5"/>
        <v>JASON BOWLES</v>
      </c>
      <c r="E129" s="5" t="s">
        <v>243</v>
      </c>
      <c r="F129" s="5" t="s">
        <v>244</v>
      </c>
      <c r="G129" s="5">
        <v>16865615</v>
      </c>
      <c r="H129" s="5" t="s">
        <v>265</v>
      </c>
      <c r="I129" s="5" t="s">
        <v>266</v>
      </c>
      <c r="J129" s="5" t="str">
        <f t="shared" si="3"/>
        <v>Heather Geske</v>
      </c>
      <c r="K129" s="5" t="s">
        <v>57</v>
      </c>
      <c r="L129" s="6">
        <v>45755</v>
      </c>
      <c r="M129" s="6">
        <v>45969</v>
      </c>
      <c r="N129" s="7">
        <v>120.25</v>
      </c>
      <c r="O129" s="5">
        <f t="shared" si="4"/>
        <v>7</v>
      </c>
      <c r="P129" s="5" t="s">
        <v>214</v>
      </c>
      <c r="Q129" s="5" t="s">
        <v>1274</v>
      </c>
      <c r="R129" s="8">
        <v>0.375</v>
      </c>
      <c r="S129" s="7">
        <v>45.09</v>
      </c>
      <c r="T129" s="5" t="s">
        <v>244</v>
      </c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</row>
    <row r="130" spans="1:52" x14ac:dyDescent="0.25">
      <c r="A130" s="5">
        <v>2028271608</v>
      </c>
      <c r="B130" s="5" t="s">
        <v>1105</v>
      </c>
      <c r="C130" s="5" t="s">
        <v>1106</v>
      </c>
      <c r="D130" s="5" t="str">
        <f t="shared" si="5"/>
        <v>MAHMOUD KASDI</v>
      </c>
      <c r="E130" s="5" t="s">
        <v>243</v>
      </c>
      <c r="F130" s="5" t="s">
        <v>244</v>
      </c>
      <c r="G130" s="5">
        <v>18201929</v>
      </c>
      <c r="H130" s="5" t="s">
        <v>298</v>
      </c>
      <c r="I130" s="5" t="s">
        <v>299</v>
      </c>
      <c r="J130" s="5" t="str">
        <f t="shared" ref="J130:J193" si="6">CONCATENATE(I130, " ",H130)</f>
        <v>Jake Shulman</v>
      </c>
      <c r="K130" s="5" t="s">
        <v>57</v>
      </c>
      <c r="L130" s="6">
        <v>45755</v>
      </c>
      <c r="M130" s="6">
        <v>45969</v>
      </c>
      <c r="N130" s="7">
        <v>81.94</v>
      </c>
      <c r="O130" s="5">
        <f t="shared" ref="O130:O193" si="7">DATEDIF(L130,M130,"M")</f>
        <v>7</v>
      </c>
      <c r="P130" s="5" t="s">
        <v>214</v>
      </c>
      <c r="Q130" s="5" t="s">
        <v>1274</v>
      </c>
      <c r="R130" s="8">
        <v>0.375</v>
      </c>
      <c r="S130" s="7">
        <v>30.73</v>
      </c>
      <c r="T130" s="5" t="s">
        <v>244</v>
      </c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</row>
    <row r="131" spans="1:52" x14ac:dyDescent="0.25">
      <c r="A131" s="5">
        <v>2028297703</v>
      </c>
      <c r="B131" s="5" t="s">
        <v>1027</v>
      </c>
      <c r="C131" s="5" t="s">
        <v>1028</v>
      </c>
      <c r="D131" s="5" t="str">
        <f t="shared" ref="D131:D194" si="8">CONCATENATE(C131, " ",B131)</f>
        <v>DARCY KOMEN</v>
      </c>
      <c r="E131" s="5" t="s">
        <v>243</v>
      </c>
      <c r="F131" s="5" t="s">
        <v>244</v>
      </c>
      <c r="G131" s="5">
        <v>21421111</v>
      </c>
      <c r="H131" s="5" t="s">
        <v>146</v>
      </c>
      <c r="I131" s="5" t="s">
        <v>147</v>
      </c>
      <c r="J131" s="5" t="str">
        <f t="shared" si="6"/>
        <v>Kirk Tigue</v>
      </c>
      <c r="K131" s="5" t="s">
        <v>57</v>
      </c>
      <c r="L131" s="6">
        <v>45756</v>
      </c>
      <c r="M131" s="6">
        <v>45970</v>
      </c>
      <c r="N131" s="7">
        <v>18.62</v>
      </c>
      <c r="O131" s="5">
        <f t="shared" si="7"/>
        <v>7</v>
      </c>
      <c r="P131" s="5" t="s">
        <v>214</v>
      </c>
      <c r="Q131" s="5" t="s">
        <v>1274</v>
      </c>
      <c r="R131" s="8">
        <v>0.375</v>
      </c>
      <c r="S131" s="7">
        <v>6.98</v>
      </c>
      <c r="T131" s="5" t="s">
        <v>244</v>
      </c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</row>
    <row r="132" spans="1:52" x14ac:dyDescent="0.25">
      <c r="A132" s="5">
        <v>2028135306</v>
      </c>
      <c r="B132" s="5" t="s">
        <v>81</v>
      </c>
      <c r="C132" s="5" t="s">
        <v>527</v>
      </c>
      <c r="D132" s="5" t="str">
        <f t="shared" si="8"/>
        <v>STEPHEN RYAN</v>
      </c>
      <c r="E132" s="5" t="s">
        <v>292</v>
      </c>
      <c r="F132" s="5" t="s">
        <v>295</v>
      </c>
      <c r="G132" s="5">
        <v>371819</v>
      </c>
      <c r="H132" s="5" t="s">
        <v>283</v>
      </c>
      <c r="I132" s="5" t="s">
        <v>284</v>
      </c>
      <c r="J132" s="5" t="str">
        <f t="shared" si="6"/>
        <v>THOMAS PARDUE</v>
      </c>
      <c r="K132" s="5" t="s">
        <v>57</v>
      </c>
      <c r="L132" s="6">
        <v>45748</v>
      </c>
      <c r="M132" s="6">
        <v>45962</v>
      </c>
      <c r="N132" s="7">
        <v>43.81</v>
      </c>
      <c r="O132" s="5">
        <f t="shared" si="7"/>
        <v>7</v>
      </c>
      <c r="P132" s="5" t="s">
        <v>214</v>
      </c>
      <c r="Q132" s="5" t="s">
        <v>1274</v>
      </c>
      <c r="R132" s="9">
        <v>0.9</v>
      </c>
      <c r="S132" s="7">
        <v>39.43</v>
      </c>
      <c r="T132" s="5" t="s">
        <v>295</v>
      </c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</row>
    <row r="133" spans="1:52" x14ac:dyDescent="0.25">
      <c r="A133" s="5">
        <v>2028248959</v>
      </c>
      <c r="B133" s="5" t="s">
        <v>1019</v>
      </c>
      <c r="C133" s="5" t="s">
        <v>207</v>
      </c>
      <c r="D133" s="5" t="str">
        <f t="shared" si="8"/>
        <v>RICHARD SECHSER</v>
      </c>
      <c r="E133" s="5" t="s">
        <v>292</v>
      </c>
      <c r="F133" s="5" t="s">
        <v>295</v>
      </c>
      <c r="G133" s="5">
        <v>371819</v>
      </c>
      <c r="H133" s="5" t="s">
        <v>283</v>
      </c>
      <c r="I133" s="5" t="s">
        <v>284</v>
      </c>
      <c r="J133" s="5" t="str">
        <f t="shared" si="6"/>
        <v>THOMAS PARDUE</v>
      </c>
      <c r="K133" s="5" t="s">
        <v>57</v>
      </c>
      <c r="L133" s="6">
        <v>45753</v>
      </c>
      <c r="M133" s="6">
        <v>45967</v>
      </c>
      <c r="N133" s="7">
        <v>20.399999999999999</v>
      </c>
      <c r="O133" s="5">
        <f t="shared" si="7"/>
        <v>7</v>
      </c>
      <c r="P133" s="5" t="s">
        <v>214</v>
      </c>
      <c r="Q133" s="5" t="s">
        <v>1274</v>
      </c>
      <c r="R133" s="9">
        <v>0.9</v>
      </c>
      <c r="S133" s="7">
        <v>18.36</v>
      </c>
      <c r="T133" s="5" t="s">
        <v>295</v>
      </c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</row>
    <row r="134" spans="1:52" x14ac:dyDescent="0.25">
      <c r="A134" s="5">
        <v>2027085370</v>
      </c>
      <c r="B134" s="5" t="s">
        <v>1181</v>
      </c>
      <c r="C134" s="5" t="s">
        <v>901</v>
      </c>
      <c r="D134" s="5" t="str">
        <f t="shared" si="8"/>
        <v>JOANNE HRONOPOULOS</v>
      </c>
      <c r="E134" s="5" t="s">
        <v>350</v>
      </c>
      <c r="F134" s="5" t="s">
        <v>351</v>
      </c>
      <c r="G134" s="5">
        <v>16912722</v>
      </c>
      <c r="H134" s="5" t="s">
        <v>490</v>
      </c>
      <c r="I134" s="5" t="s">
        <v>491</v>
      </c>
      <c r="J134" s="5" t="str">
        <f t="shared" si="6"/>
        <v>ANDREA PETRUNGARO</v>
      </c>
      <c r="K134" s="5" t="s">
        <v>57</v>
      </c>
      <c r="L134" s="6">
        <v>45717</v>
      </c>
      <c r="M134" s="6">
        <v>45962</v>
      </c>
      <c r="N134" s="7">
        <v>49.02</v>
      </c>
      <c r="O134" s="5">
        <f t="shared" si="7"/>
        <v>8</v>
      </c>
      <c r="P134" s="5" t="s">
        <v>214</v>
      </c>
      <c r="Q134" s="5" t="s">
        <v>1274</v>
      </c>
      <c r="R134" s="9">
        <v>0.47</v>
      </c>
      <c r="S134" s="7">
        <v>23.04</v>
      </c>
      <c r="T134" s="5" t="s">
        <v>351</v>
      </c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</row>
    <row r="135" spans="1:52" x14ac:dyDescent="0.25">
      <c r="A135" s="5">
        <v>2027085369</v>
      </c>
      <c r="B135" s="5" t="s">
        <v>1181</v>
      </c>
      <c r="C135" s="5" t="s">
        <v>901</v>
      </c>
      <c r="D135" s="5" t="str">
        <f t="shared" si="8"/>
        <v>JOANNE HRONOPOULOS</v>
      </c>
      <c r="E135" s="5" t="s">
        <v>350</v>
      </c>
      <c r="F135" s="5" t="s">
        <v>1142</v>
      </c>
      <c r="G135" s="5">
        <v>16912722</v>
      </c>
      <c r="H135" s="5" t="s">
        <v>490</v>
      </c>
      <c r="I135" s="5" t="s">
        <v>491</v>
      </c>
      <c r="J135" s="5" t="str">
        <f t="shared" si="6"/>
        <v>ANDREA PETRUNGARO</v>
      </c>
      <c r="K135" s="5" t="s">
        <v>57</v>
      </c>
      <c r="L135" s="6">
        <v>45717</v>
      </c>
      <c r="M135" s="6">
        <v>45962</v>
      </c>
      <c r="N135" s="7">
        <v>14.95</v>
      </c>
      <c r="O135" s="5">
        <f t="shared" si="7"/>
        <v>8</v>
      </c>
      <c r="P135" s="5" t="s">
        <v>214</v>
      </c>
      <c r="Q135" s="5" t="s">
        <v>1274</v>
      </c>
      <c r="R135" s="9">
        <v>0.51</v>
      </c>
      <c r="S135" s="7">
        <v>7.62</v>
      </c>
      <c r="T135" s="5" t="s">
        <v>1141</v>
      </c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</row>
    <row r="136" spans="1:52" x14ac:dyDescent="0.25">
      <c r="A136" s="5">
        <v>2027492024</v>
      </c>
      <c r="B136" s="5" t="s">
        <v>1092</v>
      </c>
      <c r="C136" s="5" t="s">
        <v>1011</v>
      </c>
      <c r="D136" s="5" t="str">
        <f t="shared" si="8"/>
        <v>WILLIE WELLS</v>
      </c>
      <c r="E136" s="5" t="s">
        <v>350</v>
      </c>
      <c r="F136" s="5" t="s">
        <v>1142</v>
      </c>
      <c r="G136" s="5">
        <v>8814784</v>
      </c>
      <c r="H136" s="5" t="s">
        <v>256</v>
      </c>
      <c r="I136" s="5" t="s">
        <v>165</v>
      </c>
      <c r="J136" s="5" t="str">
        <f t="shared" si="6"/>
        <v>FRANK LISKOVEC</v>
      </c>
      <c r="K136" s="5" t="s">
        <v>57</v>
      </c>
      <c r="L136" s="6">
        <v>45717</v>
      </c>
      <c r="M136" s="6">
        <v>45962</v>
      </c>
      <c r="N136" s="7">
        <v>14.95</v>
      </c>
      <c r="O136" s="5">
        <f t="shared" si="7"/>
        <v>8</v>
      </c>
      <c r="P136" s="5" t="s">
        <v>214</v>
      </c>
      <c r="Q136" s="5" t="s">
        <v>1274</v>
      </c>
      <c r="R136" s="9">
        <v>0.51</v>
      </c>
      <c r="S136" s="7">
        <v>7.62</v>
      </c>
      <c r="T136" s="5" t="s">
        <v>1141</v>
      </c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</row>
    <row r="137" spans="1:52" x14ac:dyDescent="0.25">
      <c r="A137" s="5">
        <v>2027085368</v>
      </c>
      <c r="B137" s="5" t="s">
        <v>1181</v>
      </c>
      <c r="C137" s="5" t="s">
        <v>901</v>
      </c>
      <c r="D137" s="5" t="str">
        <f t="shared" si="8"/>
        <v>JOANNE HRONOPOULOS</v>
      </c>
      <c r="E137" s="5" t="s">
        <v>350</v>
      </c>
      <c r="F137" s="5" t="s">
        <v>1141</v>
      </c>
      <c r="G137" s="5">
        <v>16912722</v>
      </c>
      <c r="H137" s="5" t="s">
        <v>490</v>
      </c>
      <c r="I137" s="5" t="s">
        <v>491</v>
      </c>
      <c r="J137" s="5" t="str">
        <f t="shared" si="6"/>
        <v>ANDREA PETRUNGARO</v>
      </c>
      <c r="K137" s="5" t="s">
        <v>57</v>
      </c>
      <c r="L137" s="6">
        <v>45717</v>
      </c>
      <c r="M137" s="6">
        <v>45962</v>
      </c>
      <c r="N137" s="7">
        <v>68.599999999999994</v>
      </c>
      <c r="O137" s="5">
        <f t="shared" si="7"/>
        <v>8</v>
      </c>
      <c r="P137" s="5" t="s">
        <v>214</v>
      </c>
      <c r="Q137" s="5" t="s">
        <v>1274</v>
      </c>
      <c r="R137" s="9">
        <v>0.51</v>
      </c>
      <c r="S137" s="7">
        <v>34.99</v>
      </c>
      <c r="T137" s="5" t="s">
        <v>1141</v>
      </c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</row>
    <row r="138" spans="1:52" x14ac:dyDescent="0.25">
      <c r="A138" s="5">
        <v>2027492023</v>
      </c>
      <c r="B138" s="5" t="s">
        <v>1092</v>
      </c>
      <c r="C138" s="5" t="s">
        <v>1011</v>
      </c>
      <c r="D138" s="5" t="str">
        <f t="shared" si="8"/>
        <v>WILLIE WELLS</v>
      </c>
      <c r="E138" s="5" t="s">
        <v>350</v>
      </c>
      <c r="F138" s="5" t="s">
        <v>1141</v>
      </c>
      <c r="G138" s="5">
        <v>8814784</v>
      </c>
      <c r="H138" s="5" t="s">
        <v>256</v>
      </c>
      <c r="I138" s="5" t="s">
        <v>165</v>
      </c>
      <c r="J138" s="5" t="str">
        <f t="shared" si="6"/>
        <v>FRANK LISKOVEC</v>
      </c>
      <c r="K138" s="5" t="s">
        <v>57</v>
      </c>
      <c r="L138" s="6">
        <v>45717</v>
      </c>
      <c r="M138" s="6">
        <v>45962</v>
      </c>
      <c r="N138" s="7">
        <v>52.26</v>
      </c>
      <c r="O138" s="5">
        <f t="shared" si="7"/>
        <v>8</v>
      </c>
      <c r="P138" s="5" t="s">
        <v>214</v>
      </c>
      <c r="Q138" s="5" t="s">
        <v>1274</v>
      </c>
      <c r="R138" s="9">
        <v>0.51</v>
      </c>
      <c r="S138" s="7">
        <v>26.65</v>
      </c>
      <c r="T138" s="5" t="s">
        <v>1141</v>
      </c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</row>
    <row r="139" spans="1:52" s="5" customFormat="1" x14ac:dyDescent="0.25">
      <c r="A139" s="5">
        <v>2027253361</v>
      </c>
      <c r="B139" s="5" t="s">
        <v>515</v>
      </c>
      <c r="C139" s="5" t="s">
        <v>224</v>
      </c>
      <c r="D139" s="5" t="str">
        <f t="shared" si="8"/>
        <v>JAMES COMBS</v>
      </c>
      <c r="E139" s="5" t="s">
        <v>467</v>
      </c>
      <c r="F139" s="5" t="s">
        <v>516</v>
      </c>
      <c r="G139" s="5">
        <v>16865615</v>
      </c>
      <c r="H139" s="5" t="s">
        <v>265</v>
      </c>
      <c r="I139" s="5" t="s">
        <v>266</v>
      </c>
      <c r="J139" s="5" t="str">
        <f t="shared" si="6"/>
        <v>Heather Geske</v>
      </c>
      <c r="K139" s="5" t="s">
        <v>57</v>
      </c>
      <c r="L139" s="6">
        <v>45717</v>
      </c>
      <c r="M139" s="6">
        <v>45962</v>
      </c>
      <c r="N139" s="7">
        <v>136.72</v>
      </c>
      <c r="O139" s="5">
        <f t="shared" si="7"/>
        <v>8</v>
      </c>
      <c r="P139" s="5" t="s">
        <v>214</v>
      </c>
      <c r="Q139" s="5" t="s">
        <v>1274</v>
      </c>
      <c r="R139" s="9">
        <v>0.26</v>
      </c>
      <c r="S139" s="7">
        <v>35.549999999999997</v>
      </c>
      <c r="T139" s="5" t="s">
        <v>1265</v>
      </c>
    </row>
    <row r="140" spans="1:52" s="5" customFormat="1" x14ac:dyDescent="0.25">
      <c r="A140" s="5">
        <v>2027391406</v>
      </c>
      <c r="B140" s="5" t="s">
        <v>518</v>
      </c>
      <c r="C140" s="5" t="s">
        <v>171</v>
      </c>
      <c r="D140" s="5" t="str">
        <f t="shared" si="8"/>
        <v>JUDITH BOVA</v>
      </c>
      <c r="E140" s="5" t="s">
        <v>467</v>
      </c>
      <c r="F140" s="5" t="s">
        <v>493</v>
      </c>
      <c r="G140" s="5">
        <v>17094718</v>
      </c>
      <c r="H140" s="5" t="s">
        <v>519</v>
      </c>
      <c r="I140" s="5" t="s">
        <v>104</v>
      </c>
      <c r="J140" s="5" t="str">
        <f t="shared" si="6"/>
        <v>GREGORY HANSFORD</v>
      </c>
      <c r="K140" s="5" t="s">
        <v>57</v>
      </c>
      <c r="L140" s="6">
        <v>45717</v>
      </c>
      <c r="M140" s="6">
        <v>45962</v>
      </c>
      <c r="N140" s="7">
        <v>130.76</v>
      </c>
      <c r="O140" s="5">
        <f t="shared" si="7"/>
        <v>8</v>
      </c>
      <c r="P140" s="5" t="s">
        <v>214</v>
      </c>
      <c r="Q140" s="5" t="s">
        <v>1274</v>
      </c>
      <c r="R140" s="9">
        <v>0.26</v>
      </c>
      <c r="S140" s="7">
        <v>34</v>
      </c>
      <c r="T140" s="5" t="s">
        <v>1266</v>
      </c>
    </row>
    <row r="141" spans="1:52" s="5" customFormat="1" x14ac:dyDescent="0.25">
      <c r="A141" s="5">
        <v>2027606915</v>
      </c>
      <c r="B141" s="5" t="s">
        <v>256</v>
      </c>
      <c r="C141" s="5" t="s">
        <v>165</v>
      </c>
      <c r="D141" s="5" t="str">
        <f t="shared" si="8"/>
        <v>FRANK LISKOVEC</v>
      </c>
      <c r="E141" s="5" t="s">
        <v>292</v>
      </c>
      <c r="F141" s="5" t="s">
        <v>293</v>
      </c>
      <c r="G141" s="5">
        <v>8814784</v>
      </c>
      <c r="H141" s="5" t="s">
        <v>256</v>
      </c>
      <c r="I141" s="5" t="s">
        <v>165</v>
      </c>
      <c r="J141" s="5" t="str">
        <f t="shared" si="6"/>
        <v>FRANK LISKOVEC</v>
      </c>
      <c r="K141" s="5" t="s">
        <v>57</v>
      </c>
      <c r="L141" s="6">
        <v>45722</v>
      </c>
      <c r="M141" s="6">
        <v>45967</v>
      </c>
      <c r="N141" s="7">
        <v>11.5</v>
      </c>
      <c r="O141" s="5">
        <f t="shared" si="7"/>
        <v>8</v>
      </c>
      <c r="P141" s="5" t="s">
        <v>214</v>
      </c>
      <c r="Q141" s="5" t="s">
        <v>1274</v>
      </c>
      <c r="R141" s="9">
        <v>0.7</v>
      </c>
      <c r="S141" s="7">
        <v>8.0500000000000007</v>
      </c>
      <c r="T141" s="5" t="s">
        <v>293</v>
      </c>
    </row>
    <row r="142" spans="1:52" s="5" customFormat="1" x14ac:dyDescent="0.25">
      <c r="A142" s="5">
        <v>2027625564</v>
      </c>
      <c r="B142" s="5" t="s">
        <v>1006</v>
      </c>
      <c r="C142" s="5" t="s">
        <v>1007</v>
      </c>
      <c r="D142" s="5" t="str">
        <f t="shared" si="8"/>
        <v>TUNGALAG AYUSH</v>
      </c>
      <c r="E142" s="5" t="s">
        <v>292</v>
      </c>
      <c r="F142" s="5" t="s">
        <v>293</v>
      </c>
      <c r="G142" s="5">
        <v>20999157</v>
      </c>
      <c r="H142" s="5" t="s">
        <v>1008</v>
      </c>
      <c r="I142" s="5" t="s">
        <v>1009</v>
      </c>
      <c r="J142" s="5" t="str">
        <f t="shared" si="6"/>
        <v>ODMAA ENKHTUR</v>
      </c>
      <c r="K142" s="5" t="s">
        <v>57</v>
      </c>
      <c r="L142" s="6">
        <v>45725</v>
      </c>
      <c r="M142" s="6">
        <v>45970</v>
      </c>
      <c r="N142" s="7">
        <v>19</v>
      </c>
      <c r="O142" s="5">
        <f t="shared" si="7"/>
        <v>8</v>
      </c>
      <c r="P142" s="5" t="s">
        <v>214</v>
      </c>
      <c r="Q142" s="5" t="s">
        <v>1274</v>
      </c>
      <c r="R142" s="9">
        <v>0.7</v>
      </c>
      <c r="S142" s="7">
        <v>13.3</v>
      </c>
      <c r="T142" s="5" t="s">
        <v>293</v>
      </c>
    </row>
    <row r="143" spans="1:52" s="5" customFormat="1" x14ac:dyDescent="0.25">
      <c r="A143" s="5">
        <v>2027071859</v>
      </c>
      <c r="B143" s="5" t="s">
        <v>999</v>
      </c>
      <c r="C143" s="5" t="s">
        <v>224</v>
      </c>
      <c r="D143" s="5" t="str">
        <f t="shared" si="8"/>
        <v>JAMES HENDRIX</v>
      </c>
      <c r="E143" s="5" t="s">
        <v>292</v>
      </c>
      <c r="F143" s="5" t="s">
        <v>293</v>
      </c>
      <c r="G143" s="5">
        <v>21313588</v>
      </c>
      <c r="H143" s="5" t="s">
        <v>204</v>
      </c>
      <c r="I143" s="5" t="s">
        <v>205</v>
      </c>
      <c r="J143" s="5" t="str">
        <f t="shared" si="6"/>
        <v>WILLIAM GESKE</v>
      </c>
      <c r="K143" s="5" t="s">
        <v>57</v>
      </c>
      <c r="L143" s="6">
        <v>45717</v>
      </c>
      <c r="M143" s="6">
        <v>45962</v>
      </c>
      <c r="N143" s="7">
        <v>9.1</v>
      </c>
      <c r="O143" s="5">
        <f t="shared" si="7"/>
        <v>8</v>
      </c>
      <c r="P143" s="5" t="s">
        <v>214</v>
      </c>
      <c r="Q143" s="5" t="s">
        <v>1274</v>
      </c>
      <c r="R143" s="9">
        <v>0.7</v>
      </c>
      <c r="S143" s="7">
        <v>6.37</v>
      </c>
      <c r="T143" s="5" t="s">
        <v>293</v>
      </c>
    </row>
    <row r="144" spans="1:52" x14ac:dyDescent="0.25">
      <c r="A144" s="5">
        <v>2027500015</v>
      </c>
      <c r="B144" s="5" t="s">
        <v>1103</v>
      </c>
      <c r="C144" s="5" t="s">
        <v>1104</v>
      </c>
      <c r="D144" s="5" t="str">
        <f t="shared" si="8"/>
        <v>CLEE CHAVIS</v>
      </c>
      <c r="E144" s="5" t="s">
        <v>243</v>
      </c>
      <c r="F144" s="5" t="s">
        <v>244</v>
      </c>
      <c r="G144" s="5">
        <v>21421111</v>
      </c>
      <c r="H144" s="5" t="s">
        <v>146</v>
      </c>
      <c r="I144" s="5" t="s">
        <v>147</v>
      </c>
      <c r="J144" s="5" t="str">
        <f t="shared" si="6"/>
        <v>Kirk Tigue</v>
      </c>
      <c r="K144" s="5" t="s">
        <v>57</v>
      </c>
      <c r="L144" s="6">
        <v>45718</v>
      </c>
      <c r="M144" s="6">
        <v>45963</v>
      </c>
      <c r="N144" s="7">
        <v>36.299999999999997</v>
      </c>
      <c r="O144" s="5">
        <f t="shared" si="7"/>
        <v>8</v>
      </c>
      <c r="P144" s="5" t="s">
        <v>214</v>
      </c>
      <c r="Q144" s="5" t="s">
        <v>1274</v>
      </c>
      <c r="R144" s="8">
        <v>0.375</v>
      </c>
      <c r="S144" s="7">
        <v>13.61</v>
      </c>
      <c r="T144" s="5" t="s">
        <v>244</v>
      </c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</row>
    <row r="145" spans="1:52" x14ac:dyDescent="0.25">
      <c r="A145" s="5">
        <v>2027071860</v>
      </c>
      <c r="B145" s="5" t="s">
        <v>999</v>
      </c>
      <c r="C145" s="5" t="s">
        <v>224</v>
      </c>
      <c r="D145" s="5" t="str">
        <f t="shared" si="8"/>
        <v>JAMES HENDRIX</v>
      </c>
      <c r="E145" s="5" t="s">
        <v>243</v>
      </c>
      <c r="F145" s="5" t="s">
        <v>244</v>
      </c>
      <c r="G145" s="5">
        <v>21313588</v>
      </c>
      <c r="H145" s="5" t="s">
        <v>204</v>
      </c>
      <c r="I145" s="5" t="s">
        <v>205</v>
      </c>
      <c r="J145" s="5" t="str">
        <f t="shared" si="6"/>
        <v>WILLIAM GESKE</v>
      </c>
      <c r="K145" s="5" t="s">
        <v>57</v>
      </c>
      <c r="L145" s="6">
        <v>45717</v>
      </c>
      <c r="M145" s="6">
        <v>45962</v>
      </c>
      <c r="N145" s="7">
        <v>53.08</v>
      </c>
      <c r="O145" s="5">
        <f t="shared" si="7"/>
        <v>8</v>
      </c>
      <c r="P145" s="5" t="s">
        <v>214</v>
      </c>
      <c r="Q145" s="5" t="s">
        <v>1274</v>
      </c>
      <c r="R145" s="8">
        <v>0.375</v>
      </c>
      <c r="S145" s="7">
        <v>19.899999999999999</v>
      </c>
      <c r="T145" s="5" t="s">
        <v>244</v>
      </c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</row>
    <row r="146" spans="1:52" x14ac:dyDescent="0.25">
      <c r="A146" s="5">
        <v>2027003322</v>
      </c>
      <c r="B146" s="5" t="s">
        <v>750</v>
      </c>
      <c r="C146" s="5" t="s">
        <v>751</v>
      </c>
      <c r="D146" s="5" t="str">
        <f t="shared" si="8"/>
        <v>ANNA SUSSMAN</v>
      </c>
      <c r="E146" s="5" t="s">
        <v>292</v>
      </c>
      <c r="F146" s="5" t="s">
        <v>536</v>
      </c>
      <c r="G146" s="5">
        <v>16865615</v>
      </c>
      <c r="H146" s="5" t="s">
        <v>265</v>
      </c>
      <c r="I146" s="5" t="s">
        <v>266</v>
      </c>
      <c r="J146" s="5" t="str">
        <f t="shared" si="6"/>
        <v>Heather Geske</v>
      </c>
      <c r="K146" s="5" t="s">
        <v>57</v>
      </c>
      <c r="L146" s="6">
        <v>45696</v>
      </c>
      <c r="M146" s="6">
        <v>45969</v>
      </c>
      <c r="N146" s="7">
        <v>20.95</v>
      </c>
      <c r="O146" s="5">
        <f t="shared" si="7"/>
        <v>9</v>
      </c>
      <c r="P146" s="5" t="s">
        <v>214</v>
      </c>
      <c r="Q146" s="5" t="s">
        <v>1274</v>
      </c>
      <c r="R146" s="9">
        <v>0.7</v>
      </c>
      <c r="S146" s="7">
        <v>14.66</v>
      </c>
      <c r="T146" s="5" t="s">
        <v>536</v>
      </c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</row>
    <row r="147" spans="1:52" x14ac:dyDescent="0.25">
      <c r="A147" s="5">
        <v>2027010993</v>
      </c>
      <c r="B147" s="5" t="s">
        <v>402</v>
      </c>
      <c r="C147" s="5" t="s">
        <v>403</v>
      </c>
      <c r="D147" s="5" t="str">
        <f t="shared" si="8"/>
        <v>KURT JOHNSON</v>
      </c>
      <c r="E147" s="5" t="s">
        <v>292</v>
      </c>
      <c r="F147" s="5" t="s">
        <v>536</v>
      </c>
      <c r="G147" s="5">
        <v>16865615</v>
      </c>
      <c r="H147" s="5" t="s">
        <v>265</v>
      </c>
      <c r="I147" s="5" t="s">
        <v>266</v>
      </c>
      <c r="J147" s="5" t="str">
        <f t="shared" si="6"/>
        <v>Heather Geske</v>
      </c>
      <c r="K147" s="5" t="s">
        <v>57</v>
      </c>
      <c r="L147" s="6">
        <v>45697</v>
      </c>
      <c r="M147" s="6">
        <v>45970</v>
      </c>
      <c r="N147" s="7">
        <v>6.3</v>
      </c>
      <c r="O147" s="5">
        <f t="shared" si="7"/>
        <v>9</v>
      </c>
      <c r="P147" s="5" t="s">
        <v>214</v>
      </c>
      <c r="Q147" s="5" t="s">
        <v>1274</v>
      </c>
      <c r="R147" s="9">
        <v>0.7</v>
      </c>
      <c r="S147" s="7">
        <v>4.41</v>
      </c>
      <c r="T147" s="5" t="s">
        <v>536</v>
      </c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</row>
    <row r="148" spans="1:52" x14ac:dyDescent="0.25">
      <c r="A148" s="5">
        <v>2027003323</v>
      </c>
      <c r="B148" s="5" t="s">
        <v>750</v>
      </c>
      <c r="C148" s="5" t="s">
        <v>751</v>
      </c>
      <c r="D148" s="5" t="str">
        <f t="shared" si="8"/>
        <v>ANNA SUSSMAN</v>
      </c>
      <c r="E148" s="5" t="s">
        <v>89</v>
      </c>
      <c r="F148" s="5" t="s">
        <v>90</v>
      </c>
      <c r="G148" s="5">
        <v>16865615</v>
      </c>
      <c r="H148" s="5" t="s">
        <v>265</v>
      </c>
      <c r="I148" s="5" t="s">
        <v>266</v>
      </c>
      <c r="J148" s="5" t="str">
        <f t="shared" si="6"/>
        <v>Heather Geske</v>
      </c>
      <c r="K148" s="5" t="s">
        <v>57</v>
      </c>
      <c r="L148" s="6">
        <v>45696</v>
      </c>
      <c r="M148" s="6">
        <v>45969</v>
      </c>
      <c r="N148" s="7">
        <v>133.63</v>
      </c>
      <c r="O148" s="5">
        <f t="shared" si="7"/>
        <v>9</v>
      </c>
      <c r="P148" s="5" t="s">
        <v>214</v>
      </c>
      <c r="Q148" s="5" t="s">
        <v>1274</v>
      </c>
      <c r="R148" s="9">
        <v>0.65</v>
      </c>
      <c r="S148" s="7">
        <v>86.86</v>
      </c>
      <c r="T148" s="5" t="s">
        <v>1258</v>
      </c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</row>
    <row r="149" spans="1:52" x14ac:dyDescent="0.25">
      <c r="A149" s="5">
        <v>2027003554</v>
      </c>
      <c r="B149" s="5" t="s">
        <v>400</v>
      </c>
      <c r="C149" s="5" t="s">
        <v>401</v>
      </c>
      <c r="D149" s="5" t="str">
        <f t="shared" si="8"/>
        <v>TIMOTHY GOLAY</v>
      </c>
      <c r="E149" s="5" t="s">
        <v>89</v>
      </c>
      <c r="F149" s="5" t="s">
        <v>90</v>
      </c>
      <c r="G149" s="5">
        <v>16865615</v>
      </c>
      <c r="H149" s="5" t="s">
        <v>265</v>
      </c>
      <c r="I149" s="5" t="s">
        <v>266</v>
      </c>
      <c r="J149" s="5" t="str">
        <f t="shared" si="6"/>
        <v>Heather Geske</v>
      </c>
      <c r="K149" s="5" t="s">
        <v>57</v>
      </c>
      <c r="L149" s="6">
        <v>45698</v>
      </c>
      <c r="M149" s="6">
        <v>45971</v>
      </c>
      <c r="N149" s="7">
        <v>50.23</v>
      </c>
      <c r="O149" s="5">
        <f t="shared" si="7"/>
        <v>9</v>
      </c>
      <c r="P149" s="5" t="s">
        <v>214</v>
      </c>
      <c r="Q149" s="5" t="s">
        <v>1274</v>
      </c>
      <c r="R149" s="9">
        <v>0.65</v>
      </c>
      <c r="S149" s="7">
        <v>32.65</v>
      </c>
      <c r="T149" s="5" t="s">
        <v>1258</v>
      </c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</row>
    <row r="150" spans="1:52" x14ac:dyDescent="0.25">
      <c r="A150" s="5">
        <v>2027010992</v>
      </c>
      <c r="B150" s="5" t="s">
        <v>402</v>
      </c>
      <c r="C150" s="5" t="s">
        <v>403</v>
      </c>
      <c r="D150" s="5" t="str">
        <f t="shared" si="8"/>
        <v>KURT JOHNSON</v>
      </c>
      <c r="E150" s="5" t="s">
        <v>89</v>
      </c>
      <c r="F150" s="5" t="s">
        <v>90</v>
      </c>
      <c r="G150" s="5">
        <v>16865615</v>
      </c>
      <c r="H150" s="5" t="s">
        <v>265</v>
      </c>
      <c r="I150" s="5" t="s">
        <v>266</v>
      </c>
      <c r="J150" s="5" t="str">
        <f t="shared" si="6"/>
        <v>Heather Geske</v>
      </c>
      <c r="K150" s="5" t="s">
        <v>57</v>
      </c>
      <c r="L150" s="6">
        <v>45697</v>
      </c>
      <c r="M150" s="6">
        <v>45970</v>
      </c>
      <c r="N150" s="7">
        <v>47.01</v>
      </c>
      <c r="O150" s="5">
        <f t="shared" si="7"/>
        <v>9</v>
      </c>
      <c r="P150" s="5" t="s">
        <v>214</v>
      </c>
      <c r="Q150" s="5" t="s">
        <v>1274</v>
      </c>
      <c r="R150" s="9">
        <v>0.65</v>
      </c>
      <c r="S150" s="7">
        <v>30.56</v>
      </c>
      <c r="T150" s="5" t="s">
        <v>1258</v>
      </c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</row>
    <row r="151" spans="1:52" x14ac:dyDescent="0.25">
      <c r="A151" s="5">
        <v>2027025172</v>
      </c>
      <c r="B151" s="5" t="s">
        <v>404</v>
      </c>
      <c r="C151" s="5" t="s">
        <v>405</v>
      </c>
      <c r="D151" s="5" t="str">
        <f t="shared" si="8"/>
        <v>SHAWN LAWVER</v>
      </c>
      <c r="E151" s="5" t="s">
        <v>89</v>
      </c>
      <c r="F151" s="5" t="s">
        <v>90</v>
      </c>
      <c r="G151" s="5">
        <v>6634327</v>
      </c>
      <c r="H151" s="5" t="s">
        <v>406</v>
      </c>
      <c r="I151" s="5" t="s">
        <v>407</v>
      </c>
      <c r="J151" s="5" t="str">
        <f t="shared" si="6"/>
        <v>Joel Lee</v>
      </c>
      <c r="K151" s="5" t="s">
        <v>57</v>
      </c>
      <c r="L151" s="6">
        <v>45697</v>
      </c>
      <c r="M151" s="6">
        <v>45970</v>
      </c>
      <c r="N151" s="7">
        <v>65.08</v>
      </c>
      <c r="O151" s="5">
        <f t="shared" si="7"/>
        <v>9</v>
      </c>
      <c r="P151" s="5" t="s">
        <v>214</v>
      </c>
      <c r="Q151" s="5" t="s">
        <v>1274</v>
      </c>
      <c r="R151" s="9">
        <v>0.65</v>
      </c>
      <c r="S151" s="7">
        <v>42.3</v>
      </c>
      <c r="T151" s="5" t="s">
        <v>1258</v>
      </c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</row>
    <row r="152" spans="1:52" x14ac:dyDescent="0.25">
      <c r="A152" s="5">
        <v>2027001809</v>
      </c>
      <c r="B152" s="5" t="s">
        <v>749</v>
      </c>
      <c r="C152" s="5" t="s">
        <v>585</v>
      </c>
      <c r="D152" s="5" t="str">
        <f t="shared" si="8"/>
        <v>HEIDI SINKLIER</v>
      </c>
      <c r="E152" s="5" t="s">
        <v>89</v>
      </c>
      <c r="F152" s="5" t="s">
        <v>96</v>
      </c>
      <c r="G152" s="5">
        <v>16865615</v>
      </c>
      <c r="H152" s="5" t="s">
        <v>265</v>
      </c>
      <c r="I152" s="5" t="s">
        <v>266</v>
      </c>
      <c r="J152" s="5" t="str">
        <f t="shared" si="6"/>
        <v>Heather Geske</v>
      </c>
      <c r="K152" s="5" t="s">
        <v>57</v>
      </c>
      <c r="L152" s="6">
        <v>45698</v>
      </c>
      <c r="M152" s="6">
        <v>45971</v>
      </c>
      <c r="N152" s="7">
        <v>57.08</v>
      </c>
      <c r="O152" s="5">
        <f t="shared" si="7"/>
        <v>9</v>
      </c>
      <c r="P152" s="5" t="s">
        <v>214</v>
      </c>
      <c r="Q152" s="5" t="s">
        <v>1274</v>
      </c>
      <c r="R152" s="9">
        <v>0.9</v>
      </c>
      <c r="S152" s="7">
        <v>51.37</v>
      </c>
      <c r="T152" s="5" t="s">
        <v>1259</v>
      </c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</row>
    <row r="153" spans="1:52" x14ac:dyDescent="0.25">
      <c r="A153" s="5">
        <v>2026898523</v>
      </c>
      <c r="B153" s="5" t="s">
        <v>459</v>
      </c>
      <c r="C153" s="5" t="s">
        <v>460</v>
      </c>
      <c r="D153" s="5" t="str">
        <f t="shared" si="8"/>
        <v>KHANTHONG PHOOSRISOM</v>
      </c>
      <c r="E153" s="5" t="s">
        <v>461</v>
      </c>
      <c r="F153" s="5" t="s">
        <v>462</v>
      </c>
      <c r="G153" s="5">
        <v>8405446</v>
      </c>
      <c r="H153" s="5" t="s">
        <v>317</v>
      </c>
      <c r="I153" s="5" t="s">
        <v>318</v>
      </c>
      <c r="J153" s="5" t="str">
        <f t="shared" si="6"/>
        <v>PATSAMON THANADABOUTH</v>
      </c>
      <c r="K153" s="5" t="s">
        <v>57</v>
      </c>
      <c r="L153" s="6">
        <v>45691</v>
      </c>
      <c r="M153" s="6">
        <v>45964</v>
      </c>
      <c r="N153" s="7">
        <v>289.33</v>
      </c>
      <c r="O153" s="5">
        <f t="shared" si="7"/>
        <v>9</v>
      </c>
      <c r="P153" s="5" t="s">
        <v>214</v>
      </c>
      <c r="Q153" s="5" t="s">
        <v>1274</v>
      </c>
      <c r="R153" s="9">
        <v>0.96</v>
      </c>
      <c r="S153" s="7">
        <v>277.76</v>
      </c>
      <c r="T153" s="5" t="s">
        <v>1263</v>
      </c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</row>
    <row r="154" spans="1:52" s="5" customFormat="1" x14ac:dyDescent="0.25">
      <c r="A154" s="5">
        <v>2026760350</v>
      </c>
      <c r="B154" s="5" t="s">
        <v>863</v>
      </c>
      <c r="C154" s="5" t="s">
        <v>1178</v>
      </c>
      <c r="D154" s="5" t="str">
        <f t="shared" si="8"/>
        <v>CRAIG DEAN</v>
      </c>
      <c r="E154" s="5" t="s">
        <v>350</v>
      </c>
      <c r="F154" s="5" t="s">
        <v>351</v>
      </c>
      <c r="G154" s="5">
        <v>16865615</v>
      </c>
      <c r="H154" s="5" t="s">
        <v>265</v>
      </c>
      <c r="I154" s="5" t="s">
        <v>266</v>
      </c>
      <c r="J154" s="5" t="str">
        <f t="shared" si="6"/>
        <v>Heather Geske</v>
      </c>
      <c r="K154" s="5" t="s">
        <v>57</v>
      </c>
      <c r="L154" s="6">
        <v>45689</v>
      </c>
      <c r="M154" s="6">
        <v>45962</v>
      </c>
      <c r="N154" s="7">
        <v>76.209999999999994</v>
      </c>
      <c r="O154" s="5">
        <f t="shared" si="7"/>
        <v>9</v>
      </c>
      <c r="P154" s="5" t="s">
        <v>214</v>
      </c>
      <c r="Q154" s="5" t="s">
        <v>1274</v>
      </c>
      <c r="R154" s="9">
        <v>0.47</v>
      </c>
      <c r="S154" s="7">
        <v>35.82</v>
      </c>
      <c r="T154" s="5" t="s">
        <v>351</v>
      </c>
    </row>
    <row r="155" spans="1:52" s="5" customFormat="1" x14ac:dyDescent="0.25">
      <c r="A155" s="5">
        <v>2027035340</v>
      </c>
      <c r="B155" s="5" t="s">
        <v>408</v>
      </c>
      <c r="C155" s="5" t="s">
        <v>409</v>
      </c>
      <c r="D155" s="5" t="str">
        <f t="shared" si="8"/>
        <v>CHRIS TAUGNER</v>
      </c>
      <c r="E155" s="5" t="s">
        <v>287</v>
      </c>
      <c r="F155" s="5" t="s">
        <v>288</v>
      </c>
      <c r="G155" s="5">
        <v>19681796</v>
      </c>
      <c r="H155" s="5" t="s">
        <v>408</v>
      </c>
      <c r="I155" s="5" t="s">
        <v>410</v>
      </c>
      <c r="J155" s="5" t="str">
        <f t="shared" si="6"/>
        <v>CHRISTIAN TAUGNER</v>
      </c>
      <c r="K155" s="5" t="s">
        <v>57</v>
      </c>
      <c r="L155" s="6">
        <v>45698</v>
      </c>
      <c r="M155" s="6">
        <v>45971</v>
      </c>
      <c r="N155" s="7">
        <v>60.11</v>
      </c>
      <c r="O155" s="5">
        <f t="shared" si="7"/>
        <v>9</v>
      </c>
      <c r="P155" s="5" t="s">
        <v>214</v>
      </c>
      <c r="Q155" s="5" t="s">
        <v>1274</v>
      </c>
      <c r="R155" s="9">
        <v>0.38</v>
      </c>
      <c r="S155" s="7">
        <v>22.84</v>
      </c>
      <c r="T155" s="5" t="s">
        <v>288</v>
      </c>
    </row>
    <row r="156" spans="1:52" s="5" customFormat="1" x14ac:dyDescent="0.25">
      <c r="A156" s="5">
        <v>2027003553</v>
      </c>
      <c r="B156" s="5" t="s">
        <v>400</v>
      </c>
      <c r="C156" s="5" t="s">
        <v>401</v>
      </c>
      <c r="D156" s="5" t="str">
        <f t="shared" si="8"/>
        <v>TIMOTHY GOLAY</v>
      </c>
      <c r="E156" s="5" t="s">
        <v>287</v>
      </c>
      <c r="F156" s="5" t="s">
        <v>288</v>
      </c>
      <c r="G156" s="5">
        <v>16865615</v>
      </c>
      <c r="H156" s="5" t="s">
        <v>265</v>
      </c>
      <c r="I156" s="5" t="s">
        <v>266</v>
      </c>
      <c r="J156" s="5" t="str">
        <f t="shared" si="6"/>
        <v>Heather Geske</v>
      </c>
      <c r="K156" s="5" t="s">
        <v>57</v>
      </c>
      <c r="L156" s="6">
        <v>45698</v>
      </c>
      <c r="M156" s="6">
        <v>45971</v>
      </c>
      <c r="N156" s="7">
        <v>60.5</v>
      </c>
      <c r="O156" s="5">
        <f t="shared" si="7"/>
        <v>9</v>
      </c>
      <c r="P156" s="5" t="s">
        <v>214</v>
      </c>
      <c r="Q156" s="5" t="s">
        <v>1274</v>
      </c>
      <c r="R156" s="9">
        <v>0.38</v>
      </c>
      <c r="S156" s="7">
        <v>22.99</v>
      </c>
      <c r="T156" s="5" t="s">
        <v>288</v>
      </c>
    </row>
    <row r="157" spans="1:52" s="5" customFormat="1" x14ac:dyDescent="0.25">
      <c r="A157" s="5">
        <v>2027010990</v>
      </c>
      <c r="B157" s="5" t="s">
        <v>402</v>
      </c>
      <c r="C157" s="5" t="s">
        <v>403</v>
      </c>
      <c r="D157" s="5" t="str">
        <f t="shared" si="8"/>
        <v>KURT JOHNSON</v>
      </c>
      <c r="E157" s="5" t="s">
        <v>287</v>
      </c>
      <c r="F157" s="5" t="s">
        <v>288</v>
      </c>
      <c r="G157" s="5">
        <v>16865615</v>
      </c>
      <c r="H157" s="5" t="s">
        <v>265</v>
      </c>
      <c r="I157" s="5" t="s">
        <v>266</v>
      </c>
      <c r="J157" s="5" t="str">
        <f t="shared" si="6"/>
        <v>Heather Geske</v>
      </c>
      <c r="K157" s="5" t="s">
        <v>57</v>
      </c>
      <c r="L157" s="6">
        <v>45697</v>
      </c>
      <c r="M157" s="6">
        <v>45970</v>
      </c>
      <c r="N157" s="7">
        <v>29.31</v>
      </c>
      <c r="O157" s="5">
        <f t="shared" si="7"/>
        <v>9</v>
      </c>
      <c r="P157" s="5" t="s">
        <v>214</v>
      </c>
      <c r="Q157" s="5" t="s">
        <v>1274</v>
      </c>
      <c r="R157" s="9">
        <v>0.38</v>
      </c>
      <c r="S157" s="7">
        <v>11.14</v>
      </c>
      <c r="T157" s="5" t="s">
        <v>288</v>
      </c>
    </row>
    <row r="158" spans="1:52" s="5" customFormat="1" x14ac:dyDescent="0.25">
      <c r="A158" s="5">
        <v>2027025173</v>
      </c>
      <c r="B158" s="5" t="s">
        <v>404</v>
      </c>
      <c r="C158" s="5" t="s">
        <v>405</v>
      </c>
      <c r="D158" s="5" t="str">
        <f t="shared" si="8"/>
        <v>SHAWN LAWVER</v>
      </c>
      <c r="E158" s="5" t="s">
        <v>287</v>
      </c>
      <c r="F158" s="5" t="s">
        <v>288</v>
      </c>
      <c r="G158" s="5">
        <v>6634327</v>
      </c>
      <c r="H158" s="5" t="s">
        <v>406</v>
      </c>
      <c r="I158" s="5" t="s">
        <v>407</v>
      </c>
      <c r="J158" s="5" t="str">
        <f t="shared" si="6"/>
        <v>Joel Lee</v>
      </c>
      <c r="K158" s="5" t="s">
        <v>57</v>
      </c>
      <c r="L158" s="6">
        <v>45697</v>
      </c>
      <c r="M158" s="6">
        <v>45970</v>
      </c>
      <c r="N158" s="7">
        <v>70.599999999999994</v>
      </c>
      <c r="O158" s="5">
        <f t="shared" si="7"/>
        <v>9</v>
      </c>
      <c r="P158" s="5" t="s">
        <v>214</v>
      </c>
      <c r="Q158" s="5" t="s">
        <v>1274</v>
      </c>
      <c r="R158" s="9">
        <v>0.38</v>
      </c>
      <c r="S158" s="7">
        <v>26.83</v>
      </c>
      <c r="T158" s="5" t="s">
        <v>288</v>
      </c>
    </row>
    <row r="159" spans="1:52" s="5" customFormat="1" x14ac:dyDescent="0.25">
      <c r="A159" s="5">
        <v>2026978805</v>
      </c>
      <c r="B159" s="5" t="s">
        <v>894</v>
      </c>
      <c r="C159" s="5" t="s">
        <v>895</v>
      </c>
      <c r="D159" s="5" t="str">
        <f t="shared" si="8"/>
        <v>MAGDALENA SCIUPIDER</v>
      </c>
      <c r="E159" s="5" t="s">
        <v>292</v>
      </c>
      <c r="F159" s="5" t="s">
        <v>293</v>
      </c>
      <c r="G159" s="5">
        <v>7470776</v>
      </c>
      <c r="H159" s="5" t="s">
        <v>273</v>
      </c>
      <c r="I159" s="5" t="s">
        <v>274</v>
      </c>
      <c r="J159" s="5" t="str">
        <f t="shared" si="6"/>
        <v>Andrew Choi</v>
      </c>
      <c r="K159" s="5" t="s">
        <v>57</v>
      </c>
      <c r="L159" s="6">
        <v>45695</v>
      </c>
      <c r="M159" s="6">
        <v>45968</v>
      </c>
      <c r="N159" s="7">
        <v>15.75</v>
      </c>
      <c r="O159" s="5">
        <f t="shared" si="7"/>
        <v>9</v>
      </c>
      <c r="P159" s="5" t="s">
        <v>214</v>
      </c>
      <c r="Q159" s="5" t="s">
        <v>1274</v>
      </c>
      <c r="R159" s="9">
        <v>0.7</v>
      </c>
      <c r="S159" s="7">
        <v>11.02</v>
      </c>
      <c r="T159" s="5" t="s">
        <v>293</v>
      </c>
    </row>
    <row r="160" spans="1:52" s="5" customFormat="1" x14ac:dyDescent="0.25">
      <c r="A160" s="5">
        <v>2026718142</v>
      </c>
      <c r="B160" s="5" t="s">
        <v>831</v>
      </c>
      <c r="C160" s="5" t="s">
        <v>240</v>
      </c>
      <c r="D160" s="5" t="str">
        <f t="shared" si="8"/>
        <v>DOUGLAS JONES</v>
      </c>
      <c r="E160" s="5" t="s">
        <v>292</v>
      </c>
      <c r="F160" s="5" t="s">
        <v>293</v>
      </c>
      <c r="G160" s="5">
        <v>21104854</v>
      </c>
      <c r="H160" s="5" t="s">
        <v>880</v>
      </c>
      <c r="I160" s="5" t="s">
        <v>220</v>
      </c>
      <c r="J160" s="5" t="str">
        <f t="shared" si="6"/>
        <v>BRIAN STROHMAN</v>
      </c>
      <c r="K160" s="5" t="s">
        <v>57</v>
      </c>
      <c r="L160" s="6">
        <v>45689</v>
      </c>
      <c r="M160" s="6">
        <v>45962</v>
      </c>
      <c r="N160" s="7">
        <v>284.54000000000002</v>
      </c>
      <c r="O160" s="5">
        <f t="shared" si="7"/>
        <v>9</v>
      </c>
      <c r="P160" s="5" t="s">
        <v>214</v>
      </c>
      <c r="Q160" s="5" t="s">
        <v>1274</v>
      </c>
      <c r="R160" s="9">
        <v>0.7</v>
      </c>
      <c r="S160" s="7">
        <v>199.18</v>
      </c>
      <c r="T160" s="5" t="s">
        <v>293</v>
      </c>
    </row>
    <row r="161" spans="1:52" s="5" customFormat="1" x14ac:dyDescent="0.25">
      <c r="A161" s="5">
        <v>2026958511</v>
      </c>
      <c r="B161" s="5" t="s">
        <v>890</v>
      </c>
      <c r="C161" s="5" t="s">
        <v>429</v>
      </c>
      <c r="D161" s="5" t="str">
        <f t="shared" si="8"/>
        <v>BRYAN TIJERINA</v>
      </c>
      <c r="E161" s="5" t="s">
        <v>292</v>
      </c>
      <c r="F161" s="5" t="s">
        <v>293</v>
      </c>
      <c r="G161" s="5">
        <v>19681796</v>
      </c>
      <c r="H161" s="5" t="s">
        <v>408</v>
      </c>
      <c r="I161" s="5" t="s">
        <v>410</v>
      </c>
      <c r="J161" s="5" t="str">
        <f t="shared" si="6"/>
        <v>CHRISTIAN TAUGNER</v>
      </c>
      <c r="K161" s="5" t="s">
        <v>57</v>
      </c>
      <c r="L161" s="6">
        <v>45694</v>
      </c>
      <c r="M161" s="6">
        <v>45967</v>
      </c>
      <c r="N161" s="7">
        <v>89.95</v>
      </c>
      <c r="O161" s="5">
        <f t="shared" si="7"/>
        <v>9</v>
      </c>
      <c r="P161" s="5" t="s">
        <v>214</v>
      </c>
      <c r="Q161" s="5" t="s">
        <v>1274</v>
      </c>
      <c r="R161" s="9">
        <v>0.7</v>
      </c>
      <c r="S161" s="7">
        <v>62.96</v>
      </c>
      <c r="T161" s="5" t="s">
        <v>293</v>
      </c>
    </row>
    <row r="162" spans="1:52" s="5" customFormat="1" x14ac:dyDescent="0.25">
      <c r="A162" s="5">
        <v>2027035339</v>
      </c>
      <c r="B162" s="5" t="s">
        <v>408</v>
      </c>
      <c r="C162" s="5" t="s">
        <v>409</v>
      </c>
      <c r="D162" s="5" t="str">
        <f t="shared" si="8"/>
        <v>CHRIS TAUGNER</v>
      </c>
      <c r="E162" s="5" t="s">
        <v>292</v>
      </c>
      <c r="F162" s="5" t="s">
        <v>293</v>
      </c>
      <c r="G162" s="5">
        <v>19681796</v>
      </c>
      <c r="H162" s="5" t="s">
        <v>408</v>
      </c>
      <c r="I162" s="5" t="s">
        <v>410</v>
      </c>
      <c r="J162" s="5" t="str">
        <f t="shared" si="6"/>
        <v>CHRISTIAN TAUGNER</v>
      </c>
      <c r="K162" s="5" t="s">
        <v>57</v>
      </c>
      <c r="L162" s="6">
        <v>45698</v>
      </c>
      <c r="M162" s="6">
        <v>45971</v>
      </c>
      <c r="N162" s="7">
        <v>39.25</v>
      </c>
      <c r="O162" s="5">
        <f t="shared" si="7"/>
        <v>9</v>
      </c>
      <c r="P162" s="5" t="s">
        <v>214</v>
      </c>
      <c r="Q162" s="5" t="s">
        <v>1274</v>
      </c>
      <c r="R162" s="9">
        <v>0.7</v>
      </c>
      <c r="S162" s="7">
        <v>27.48</v>
      </c>
      <c r="T162" s="5" t="s">
        <v>293</v>
      </c>
    </row>
    <row r="163" spans="1:52" s="5" customFormat="1" x14ac:dyDescent="0.25">
      <c r="A163" s="5">
        <v>2026862484</v>
      </c>
      <c r="B163" s="5" t="s">
        <v>699</v>
      </c>
      <c r="C163" s="5" t="s">
        <v>886</v>
      </c>
      <c r="D163" s="5" t="str">
        <f t="shared" si="8"/>
        <v>REBECCA RICE</v>
      </c>
      <c r="E163" s="5" t="s">
        <v>292</v>
      </c>
      <c r="F163" s="5" t="s">
        <v>293</v>
      </c>
      <c r="G163" s="5">
        <v>17301495</v>
      </c>
      <c r="H163" s="5" t="s">
        <v>887</v>
      </c>
      <c r="I163" s="5" t="s">
        <v>888</v>
      </c>
      <c r="J163" s="5" t="str">
        <f t="shared" si="6"/>
        <v>ESTHER HERRERA-LARSEN</v>
      </c>
      <c r="K163" s="5" t="s">
        <v>57</v>
      </c>
      <c r="L163" s="6">
        <v>45694</v>
      </c>
      <c r="M163" s="6">
        <v>45967</v>
      </c>
      <c r="N163" s="7">
        <v>11.5</v>
      </c>
      <c r="O163" s="5">
        <f t="shared" si="7"/>
        <v>9</v>
      </c>
      <c r="P163" s="5" t="s">
        <v>214</v>
      </c>
      <c r="Q163" s="5" t="s">
        <v>1274</v>
      </c>
      <c r="R163" s="9">
        <v>0.7</v>
      </c>
      <c r="S163" s="7">
        <v>8.0500000000000007</v>
      </c>
      <c r="T163" s="5" t="s">
        <v>293</v>
      </c>
    </row>
    <row r="164" spans="1:52" s="5" customFormat="1" x14ac:dyDescent="0.25">
      <c r="A164" s="5">
        <v>2027001808</v>
      </c>
      <c r="B164" s="5" t="s">
        <v>749</v>
      </c>
      <c r="C164" s="5" t="s">
        <v>585</v>
      </c>
      <c r="D164" s="5" t="str">
        <f t="shared" si="8"/>
        <v>HEIDI SINKLIER</v>
      </c>
      <c r="E164" s="5" t="s">
        <v>292</v>
      </c>
      <c r="F164" s="5" t="s">
        <v>293</v>
      </c>
      <c r="G164" s="5">
        <v>16865615</v>
      </c>
      <c r="H164" s="5" t="s">
        <v>265</v>
      </c>
      <c r="I164" s="5" t="s">
        <v>266</v>
      </c>
      <c r="J164" s="5" t="str">
        <f t="shared" si="6"/>
        <v>Heather Geske</v>
      </c>
      <c r="K164" s="5" t="s">
        <v>57</v>
      </c>
      <c r="L164" s="6">
        <v>45698</v>
      </c>
      <c r="M164" s="6">
        <v>45971</v>
      </c>
      <c r="N164" s="7">
        <v>7.11</v>
      </c>
      <c r="O164" s="5">
        <f t="shared" si="7"/>
        <v>9</v>
      </c>
      <c r="P164" s="5" t="s">
        <v>214</v>
      </c>
      <c r="Q164" s="5" t="s">
        <v>1274</v>
      </c>
      <c r="R164" s="9">
        <v>0.7</v>
      </c>
      <c r="S164" s="7">
        <v>4.9800000000000004</v>
      </c>
      <c r="T164" s="5" t="s">
        <v>293</v>
      </c>
    </row>
    <row r="165" spans="1:52" x14ac:dyDescent="0.25">
      <c r="A165" s="5">
        <v>2027003321</v>
      </c>
      <c r="B165" s="5" t="s">
        <v>750</v>
      </c>
      <c r="C165" s="5" t="s">
        <v>751</v>
      </c>
      <c r="D165" s="5" t="str">
        <f t="shared" si="8"/>
        <v>ANNA SUSSMAN</v>
      </c>
      <c r="E165" s="5" t="s">
        <v>292</v>
      </c>
      <c r="F165" s="5" t="s">
        <v>293</v>
      </c>
      <c r="G165" s="5">
        <v>16865615</v>
      </c>
      <c r="H165" s="5" t="s">
        <v>265</v>
      </c>
      <c r="I165" s="5" t="s">
        <v>266</v>
      </c>
      <c r="J165" s="5" t="str">
        <f t="shared" si="6"/>
        <v>Heather Geske</v>
      </c>
      <c r="K165" s="5" t="s">
        <v>57</v>
      </c>
      <c r="L165" s="6">
        <v>45696</v>
      </c>
      <c r="M165" s="6">
        <v>45969</v>
      </c>
      <c r="N165" s="7">
        <v>29.2</v>
      </c>
      <c r="O165" s="5">
        <f t="shared" si="7"/>
        <v>9</v>
      </c>
      <c r="P165" s="5" t="s">
        <v>214</v>
      </c>
      <c r="Q165" s="5" t="s">
        <v>1274</v>
      </c>
      <c r="R165" s="9">
        <v>0.7</v>
      </c>
      <c r="S165" s="7">
        <v>20.440000000000001</v>
      </c>
      <c r="T165" s="5" t="s">
        <v>293</v>
      </c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</row>
    <row r="166" spans="1:52" x14ac:dyDescent="0.25">
      <c r="A166" s="5">
        <v>2027003552</v>
      </c>
      <c r="B166" s="5" t="s">
        <v>400</v>
      </c>
      <c r="C166" s="5" t="s">
        <v>401</v>
      </c>
      <c r="D166" s="5" t="str">
        <f t="shared" si="8"/>
        <v>TIMOTHY GOLAY</v>
      </c>
      <c r="E166" s="5" t="s">
        <v>292</v>
      </c>
      <c r="F166" s="5" t="s">
        <v>293</v>
      </c>
      <c r="G166" s="5">
        <v>16865615</v>
      </c>
      <c r="H166" s="5" t="s">
        <v>265</v>
      </c>
      <c r="I166" s="5" t="s">
        <v>266</v>
      </c>
      <c r="J166" s="5" t="str">
        <f t="shared" si="6"/>
        <v>Heather Geske</v>
      </c>
      <c r="K166" s="5" t="s">
        <v>57</v>
      </c>
      <c r="L166" s="6">
        <v>45698</v>
      </c>
      <c r="M166" s="6">
        <v>45971</v>
      </c>
      <c r="N166" s="7">
        <v>27.38</v>
      </c>
      <c r="O166" s="5">
        <f t="shared" si="7"/>
        <v>9</v>
      </c>
      <c r="P166" s="5" t="s">
        <v>214</v>
      </c>
      <c r="Q166" s="5" t="s">
        <v>1274</v>
      </c>
      <c r="R166" s="9">
        <v>0.7</v>
      </c>
      <c r="S166" s="7">
        <v>19.170000000000002</v>
      </c>
      <c r="T166" s="5" t="s">
        <v>293</v>
      </c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</row>
    <row r="167" spans="1:52" x14ac:dyDescent="0.25">
      <c r="A167" s="5">
        <v>2027010991</v>
      </c>
      <c r="B167" s="5" t="s">
        <v>402</v>
      </c>
      <c r="C167" s="5" t="s">
        <v>403</v>
      </c>
      <c r="D167" s="5" t="str">
        <f t="shared" si="8"/>
        <v>KURT JOHNSON</v>
      </c>
      <c r="E167" s="5" t="s">
        <v>292</v>
      </c>
      <c r="F167" s="5" t="s">
        <v>293</v>
      </c>
      <c r="G167" s="5">
        <v>16865615</v>
      </c>
      <c r="H167" s="5" t="s">
        <v>265</v>
      </c>
      <c r="I167" s="5" t="s">
        <v>266</v>
      </c>
      <c r="J167" s="5" t="str">
        <f t="shared" si="6"/>
        <v>Heather Geske</v>
      </c>
      <c r="K167" s="5" t="s">
        <v>57</v>
      </c>
      <c r="L167" s="6">
        <v>45697</v>
      </c>
      <c r="M167" s="6">
        <v>45970</v>
      </c>
      <c r="N167" s="7">
        <v>9.6999999999999993</v>
      </c>
      <c r="O167" s="5">
        <f t="shared" si="7"/>
        <v>9</v>
      </c>
      <c r="P167" s="5" t="s">
        <v>214</v>
      </c>
      <c r="Q167" s="5" t="s">
        <v>1274</v>
      </c>
      <c r="R167" s="9">
        <v>0.7</v>
      </c>
      <c r="S167" s="7">
        <v>6.79</v>
      </c>
      <c r="T167" s="5" t="s">
        <v>293</v>
      </c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</row>
    <row r="168" spans="1:52" x14ac:dyDescent="0.25">
      <c r="A168" s="5">
        <v>2027025171</v>
      </c>
      <c r="B168" s="5" t="s">
        <v>404</v>
      </c>
      <c r="C168" s="5" t="s">
        <v>405</v>
      </c>
      <c r="D168" s="5" t="str">
        <f t="shared" si="8"/>
        <v>SHAWN LAWVER</v>
      </c>
      <c r="E168" s="5" t="s">
        <v>292</v>
      </c>
      <c r="F168" s="5" t="s">
        <v>293</v>
      </c>
      <c r="G168" s="5">
        <v>6634327</v>
      </c>
      <c r="H168" s="5" t="s">
        <v>406</v>
      </c>
      <c r="I168" s="5" t="s">
        <v>407</v>
      </c>
      <c r="J168" s="5" t="str">
        <f t="shared" si="6"/>
        <v>Joel Lee</v>
      </c>
      <c r="K168" s="5" t="s">
        <v>57</v>
      </c>
      <c r="L168" s="6">
        <v>45697</v>
      </c>
      <c r="M168" s="6">
        <v>45970</v>
      </c>
      <c r="N168" s="7">
        <v>29.2</v>
      </c>
      <c r="O168" s="5">
        <f t="shared" si="7"/>
        <v>9</v>
      </c>
      <c r="P168" s="5" t="s">
        <v>214</v>
      </c>
      <c r="Q168" s="5" t="s">
        <v>1274</v>
      </c>
      <c r="R168" s="9">
        <v>0.7</v>
      </c>
      <c r="S168" s="7">
        <v>20.440000000000001</v>
      </c>
      <c r="T168" s="5" t="s">
        <v>293</v>
      </c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</row>
    <row r="169" spans="1:52" x14ac:dyDescent="0.25">
      <c r="A169" s="5">
        <v>2026978414</v>
      </c>
      <c r="B169" s="5" t="s">
        <v>891</v>
      </c>
      <c r="C169" s="5" t="s">
        <v>892</v>
      </c>
      <c r="D169" s="5" t="str">
        <f t="shared" si="8"/>
        <v>EVAN GARRETSON</v>
      </c>
      <c r="E169" s="5" t="s">
        <v>292</v>
      </c>
      <c r="F169" s="5" t="s">
        <v>293</v>
      </c>
      <c r="G169" s="5">
        <v>8244481</v>
      </c>
      <c r="H169" s="5" t="s">
        <v>893</v>
      </c>
      <c r="I169" s="5" t="s">
        <v>393</v>
      </c>
      <c r="J169" s="5" t="str">
        <f t="shared" si="6"/>
        <v>PAMELA DEATON</v>
      </c>
      <c r="K169" s="5" t="s">
        <v>57</v>
      </c>
      <c r="L169" s="6">
        <v>45695</v>
      </c>
      <c r="M169" s="6">
        <v>45968</v>
      </c>
      <c r="N169" s="7">
        <v>56.5</v>
      </c>
      <c r="O169" s="5">
        <f t="shared" si="7"/>
        <v>9</v>
      </c>
      <c r="P169" s="5" t="s">
        <v>214</v>
      </c>
      <c r="Q169" s="5" t="s">
        <v>1274</v>
      </c>
      <c r="R169" s="9">
        <v>0.7</v>
      </c>
      <c r="S169" s="7">
        <v>39.549999999999997</v>
      </c>
      <c r="T169" s="5" t="s">
        <v>293</v>
      </c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</row>
    <row r="170" spans="1:52" x14ac:dyDescent="0.25">
      <c r="A170" s="5">
        <v>2026978806</v>
      </c>
      <c r="B170" s="5" t="s">
        <v>894</v>
      </c>
      <c r="C170" s="5" t="s">
        <v>895</v>
      </c>
      <c r="D170" s="5" t="str">
        <f t="shared" si="8"/>
        <v>MAGDALENA SCIUPIDER</v>
      </c>
      <c r="E170" s="5" t="s">
        <v>243</v>
      </c>
      <c r="F170" s="5" t="s">
        <v>244</v>
      </c>
      <c r="G170" s="5">
        <v>7470776</v>
      </c>
      <c r="H170" s="5" t="s">
        <v>273</v>
      </c>
      <c r="I170" s="5" t="s">
        <v>274</v>
      </c>
      <c r="J170" s="5" t="str">
        <f t="shared" si="6"/>
        <v>Andrew Choi</v>
      </c>
      <c r="K170" s="5" t="s">
        <v>57</v>
      </c>
      <c r="L170" s="6">
        <v>45695</v>
      </c>
      <c r="M170" s="6">
        <v>45968</v>
      </c>
      <c r="N170" s="7">
        <v>112.85</v>
      </c>
      <c r="O170" s="5">
        <f t="shared" si="7"/>
        <v>9</v>
      </c>
      <c r="P170" s="5" t="s">
        <v>214</v>
      </c>
      <c r="Q170" s="5" t="s">
        <v>1274</v>
      </c>
      <c r="R170" s="8">
        <v>0.375</v>
      </c>
      <c r="S170" s="7">
        <v>42.32</v>
      </c>
      <c r="T170" s="5" t="s">
        <v>244</v>
      </c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</row>
    <row r="171" spans="1:52" x14ac:dyDescent="0.25">
      <c r="A171" s="5">
        <v>2026862483</v>
      </c>
      <c r="B171" s="5" t="s">
        <v>699</v>
      </c>
      <c r="C171" s="5" t="s">
        <v>886</v>
      </c>
      <c r="D171" s="5" t="str">
        <f t="shared" si="8"/>
        <v>REBECCA RICE</v>
      </c>
      <c r="E171" s="5" t="s">
        <v>243</v>
      </c>
      <c r="F171" s="5" t="s">
        <v>244</v>
      </c>
      <c r="G171" s="5">
        <v>17301495</v>
      </c>
      <c r="H171" s="5" t="s">
        <v>887</v>
      </c>
      <c r="I171" s="5" t="s">
        <v>888</v>
      </c>
      <c r="J171" s="5" t="str">
        <f t="shared" si="6"/>
        <v>ESTHER HERRERA-LARSEN</v>
      </c>
      <c r="K171" s="5" t="s">
        <v>57</v>
      </c>
      <c r="L171" s="6">
        <v>45694</v>
      </c>
      <c r="M171" s="6">
        <v>45967</v>
      </c>
      <c r="N171" s="7">
        <v>64.760000000000005</v>
      </c>
      <c r="O171" s="5">
        <f t="shared" si="7"/>
        <v>9</v>
      </c>
      <c r="P171" s="5" t="s">
        <v>214</v>
      </c>
      <c r="Q171" s="5" t="s">
        <v>1274</v>
      </c>
      <c r="R171" s="8">
        <v>0.375</v>
      </c>
      <c r="S171" s="7">
        <v>24.28</v>
      </c>
      <c r="T171" s="5" t="s">
        <v>244</v>
      </c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</row>
    <row r="172" spans="1:52" x14ac:dyDescent="0.25">
      <c r="A172" s="5">
        <v>2027001807</v>
      </c>
      <c r="B172" s="5" t="s">
        <v>749</v>
      </c>
      <c r="C172" s="5" t="s">
        <v>585</v>
      </c>
      <c r="D172" s="5" t="str">
        <f t="shared" si="8"/>
        <v>HEIDI SINKLIER</v>
      </c>
      <c r="E172" s="5" t="s">
        <v>243</v>
      </c>
      <c r="F172" s="5" t="s">
        <v>244</v>
      </c>
      <c r="G172" s="5">
        <v>16865615</v>
      </c>
      <c r="H172" s="5" t="s">
        <v>265</v>
      </c>
      <c r="I172" s="5" t="s">
        <v>266</v>
      </c>
      <c r="J172" s="5" t="str">
        <f t="shared" si="6"/>
        <v>Heather Geske</v>
      </c>
      <c r="K172" s="5" t="s">
        <v>57</v>
      </c>
      <c r="L172" s="6">
        <v>45698</v>
      </c>
      <c r="M172" s="6">
        <v>45971</v>
      </c>
      <c r="N172" s="7">
        <v>53.08</v>
      </c>
      <c r="O172" s="5">
        <f t="shared" si="7"/>
        <v>9</v>
      </c>
      <c r="P172" s="5" t="s">
        <v>214</v>
      </c>
      <c r="Q172" s="5" t="s">
        <v>1274</v>
      </c>
      <c r="R172" s="8">
        <v>0.375</v>
      </c>
      <c r="S172" s="7">
        <v>19.899999999999999</v>
      </c>
      <c r="T172" s="5" t="s">
        <v>244</v>
      </c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</row>
    <row r="173" spans="1:52" x14ac:dyDescent="0.25">
      <c r="A173" s="5">
        <v>2027001684</v>
      </c>
      <c r="B173" s="5" t="s">
        <v>995</v>
      </c>
      <c r="C173" s="5" t="s">
        <v>996</v>
      </c>
      <c r="D173" s="5" t="str">
        <f t="shared" si="8"/>
        <v>LOUISA KPOGO</v>
      </c>
      <c r="E173" s="5" t="s">
        <v>243</v>
      </c>
      <c r="F173" s="5" t="s">
        <v>244</v>
      </c>
      <c r="G173" s="5">
        <v>371819</v>
      </c>
      <c r="H173" s="5" t="s">
        <v>283</v>
      </c>
      <c r="I173" s="5" t="s">
        <v>284</v>
      </c>
      <c r="J173" s="5" t="str">
        <f t="shared" si="6"/>
        <v>THOMAS PARDUE</v>
      </c>
      <c r="K173" s="5" t="s">
        <v>57</v>
      </c>
      <c r="L173" s="6">
        <v>45696</v>
      </c>
      <c r="M173" s="6">
        <v>45969</v>
      </c>
      <c r="N173" s="7">
        <v>77.2</v>
      </c>
      <c r="O173" s="5">
        <f t="shared" si="7"/>
        <v>9</v>
      </c>
      <c r="P173" s="5" t="s">
        <v>214</v>
      </c>
      <c r="Q173" s="5" t="s">
        <v>1274</v>
      </c>
      <c r="R173" s="8">
        <v>0.375</v>
      </c>
      <c r="S173" s="7">
        <v>28.95</v>
      </c>
      <c r="T173" s="5" t="s">
        <v>244</v>
      </c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</row>
    <row r="174" spans="1:52" x14ac:dyDescent="0.25">
      <c r="A174" s="5">
        <v>2026456394</v>
      </c>
      <c r="B174" s="5" t="s">
        <v>394</v>
      </c>
      <c r="C174" s="5" t="s">
        <v>395</v>
      </c>
      <c r="D174" s="5" t="str">
        <f t="shared" si="8"/>
        <v>LILLIE HUNTER</v>
      </c>
      <c r="E174" s="5" t="s">
        <v>292</v>
      </c>
      <c r="F174" s="5" t="s">
        <v>536</v>
      </c>
      <c r="G174" s="5">
        <v>16865615</v>
      </c>
      <c r="H174" s="5" t="s">
        <v>265</v>
      </c>
      <c r="I174" s="5" t="s">
        <v>266</v>
      </c>
      <c r="J174" s="5" t="str">
        <f t="shared" si="6"/>
        <v>Heather Geske</v>
      </c>
      <c r="K174" s="5" t="s">
        <v>57</v>
      </c>
      <c r="L174" s="6">
        <v>45662</v>
      </c>
      <c r="M174" s="6">
        <v>45966</v>
      </c>
      <c r="N174" s="7">
        <v>12.6</v>
      </c>
      <c r="O174" s="5">
        <f t="shared" si="7"/>
        <v>10</v>
      </c>
      <c r="P174" s="5" t="s">
        <v>214</v>
      </c>
      <c r="Q174" s="5" t="s">
        <v>1274</v>
      </c>
      <c r="R174" s="9">
        <v>0.7</v>
      </c>
      <c r="S174" s="7">
        <v>8.82</v>
      </c>
      <c r="T174" s="5" t="s">
        <v>536</v>
      </c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</row>
    <row r="175" spans="1:52" x14ac:dyDescent="0.25">
      <c r="A175" s="5">
        <v>2026456395</v>
      </c>
      <c r="B175" s="5" t="s">
        <v>394</v>
      </c>
      <c r="C175" s="5" t="s">
        <v>395</v>
      </c>
      <c r="D175" s="5" t="str">
        <f t="shared" si="8"/>
        <v>LILLIE HUNTER</v>
      </c>
      <c r="E175" s="5" t="s">
        <v>89</v>
      </c>
      <c r="F175" s="5" t="s">
        <v>90</v>
      </c>
      <c r="G175" s="5">
        <v>16865615</v>
      </c>
      <c r="H175" s="5" t="s">
        <v>265</v>
      </c>
      <c r="I175" s="5" t="s">
        <v>266</v>
      </c>
      <c r="J175" s="5" t="str">
        <f t="shared" si="6"/>
        <v>Heather Geske</v>
      </c>
      <c r="K175" s="5" t="s">
        <v>57</v>
      </c>
      <c r="L175" s="6">
        <v>45662</v>
      </c>
      <c r="M175" s="6">
        <v>45966</v>
      </c>
      <c r="N175" s="7">
        <v>68.23</v>
      </c>
      <c r="O175" s="5">
        <f t="shared" si="7"/>
        <v>10</v>
      </c>
      <c r="P175" s="5" t="s">
        <v>214</v>
      </c>
      <c r="Q175" s="5" t="s">
        <v>1274</v>
      </c>
      <c r="R175" s="9">
        <v>0.65</v>
      </c>
      <c r="S175" s="7">
        <v>44.35</v>
      </c>
      <c r="T175" s="5" t="s">
        <v>1258</v>
      </c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  <c r="AZ175" s="5"/>
    </row>
    <row r="176" spans="1:52" x14ac:dyDescent="0.25">
      <c r="A176" s="5">
        <v>2026456392</v>
      </c>
      <c r="B176" s="5" t="s">
        <v>394</v>
      </c>
      <c r="C176" s="5" t="s">
        <v>395</v>
      </c>
      <c r="D176" s="5" t="str">
        <f t="shared" si="8"/>
        <v>LILLIE HUNTER</v>
      </c>
      <c r="E176" s="5" t="s">
        <v>287</v>
      </c>
      <c r="F176" s="5" t="s">
        <v>288</v>
      </c>
      <c r="G176" s="5">
        <v>16865615</v>
      </c>
      <c r="H176" s="5" t="s">
        <v>265</v>
      </c>
      <c r="I176" s="5" t="s">
        <v>266</v>
      </c>
      <c r="J176" s="5" t="str">
        <f t="shared" si="6"/>
        <v>Heather Geske</v>
      </c>
      <c r="K176" s="5" t="s">
        <v>57</v>
      </c>
      <c r="L176" s="6">
        <v>45662</v>
      </c>
      <c r="M176" s="6">
        <v>45966</v>
      </c>
      <c r="N176" s="7">
        <v>66.91</v>
      </c>
      <c r="O176" s="5">
        <f t="shared" si="7"/>
        <v>10</v>
      </c>
      <c r="P176" s="5" t="s">
        <v>214</v>
      </c>
      <c r="Q176" s="5" t="s">
        <v>1274</v>
      </c>
      <c r="R176" s="9">
        <v>0.38</v>
      </c>
      <c r="S176" s="7">
        <v>25.43</v>
      </c>
      <c r="T176" s="5" t="s">
        <v>288</v>
      </c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  <c r="AZ176" s="5"/>
    </row>
    <row r="177" spans="1:52" x14ac:dyDescent="0.25">
      <c r="A177" s="5">
        <v>2026492383</v>
      </c>
      <c r="B177" s="5" t="s">
        <v>506</v>
      </c>
      <c r="C177" s="5" t="s">
        <v>507</v>
      </c>
      <c r="D177" s="5" t="str">
        <f t="shared" si="8"/>
        <v>DEBRA KAHLER</v>
      </c>
      <c r="E177" s="5" t="s">
        <v>467</v>
      </c>
      <c r="F177" s="5" t="s">
        <v>508</v>
      </c>
      <c r="G177" s="5">
        <v>19645587</v>
      </c>
      <c r="H177" s="5" t="s">
        <v>509</v>
      </c>
      <c r="I177" s="5" t="s">
        <v>510</v>
      </c>
      <c r="J177" s="5" t="str">
        <f t="shared" si="6"/>
        <v>STACEY PORTUGAL</v>
      </c>
      <c r="K177" s="5" t="s">
        <v>57</v>
      </c>
      <c r="L177" s="6">
        <v>45665</v>
      </c>
      <c r="M177" s="6">
        <v>45969</v>
      </c>
      <c r="N177" s="7">
        <v>105.97</v>
      </c>
      <c r="O177" s="5">
        <f t="shared" si="7"/>
        <v>10</v>
      </c>
      <c r="P177" s="5" t="s">
        <v>214</v>
      </c>
      <c r="Q177" s="5" t="s">
        <v>1274</v>
      </c>
      <c r="R177" s="8">
        <v>0.255</v>
      </c>
      <c r="S177" s="7">
        <v>27.02</v>
      </c>
      <c r="T177" s="5" t="s">
        <v>1265</v>
      </c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  <c r="AZ177" s="5"/>
    </row>
    <row r="178" spans="1:52" x14ac:dyDescent="0.25">
      <c r="A178" s="5">
        <v>2026456393</v>
      </c>
      <c r="B178" s="5" t="s">
        <v>394</v>
      </c>
      <c r="C178" s="5" t="s">
        <v>395</v>
      </c>
      <c r="D178" s="5" t="str">
        <f t="shared" si="8"/>
        <v>LILLIE HUNTER</v>
      </c>
      <c r="E178" s="5" t="s">
        <v>292</v>
      </c>
      <c r="F178" s="5" t="s">
        <v>293</v>
      </c>
      <c r="G178" s="5">
        <v>16865615</v>
      </c>
      <c r="H178" s="5" t="s">
        <v>265</v>
      </c>
      <c r="I178" s="5" t="s">
        <v>266</v>
      </c>
      <c r="J178" s="5" t="str">
        <f t="shared" si="6"/>
        <v>Heather Geske</v>
      </c>
      <c r="K178" s="5" t="s">
        <v>57</v>
      </c>
      <c r="L178" s="6">
        <v>45662</v>
      </c>
      <c r="M178" s="6">
        <v>45966</v>
      </c>
      <c r="N178" s="7">
        <v>19.41</v>
      </c>
      <c r="O178" s="5">
        <f t="shared" si="7"/>
        <v>10</v>
      </c>
      <c r="P178" s="5" t="s">
        <v>214</v>
      </c>
      <c r="Q178" s="5" t="s">
        <v>1274</v>
      </c>
      <c r="R178" s="9">
        <v>0.7</v>
      </c>
      <c r="S178" s="7">
        <v>13.59</v>
      </c>
      <c r="T178" s="5" t="s">
        <v>293</v>
      </c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  <c r="AZ178" s="5"/>
    </row>
    <row r="179" spans="1:52" x14ac:dyDescent="0.25">
      <c r="A179" s="5">
        <v>2026050471</v>
      </c>
      <c r="B179" s="5" t="s">
        <v>704</v>
      </c>
      <c r="C179" s="5" t="s">
        <v>72</v>
      </c>
      <c r="D179" s="5" t="str">
        <f t="shared" si="8"/>
        <v>JOHN GRIGSBY</v>
      </c>
      <c r="E179" s="5" t="s">
        <v>89</v>
      </c>
      <c r="F179" s="5" t="s">
        <v>96</v>
      </c>
      <c r="G179" s="5">
        <v>21313588</v>
      </c>
      <c r="H179" s="5" t="s">
        <v>204</v>
      </c>
      <c r="I179" s="5" t="s">
        <v>205</v>
      </c>
      <c r="J179" s="5" t="str">
        <f t="shared" si="6"/>
        <v>WILLIAM GESKE</v>
      </c>
      <c r="K179" s="5" t="s">
        <v>57</v>
      </c>
      <c r="L179" s="6">
        <v>45632</v>
      </c>
      <c r="M179" s="6">
        <v>45967</v>
      </c>
      <c r="N179" s="7">
        <v>66.75</v>
      </c>
      <c r="O179" s="5">
        <f t="shared" si="7"/>
        <v>11</v>
      </c>
      <c r="P179" s="5" t="s">
        <v>214</v>
      </c>
      <c r="Q179" s="5" t="s">
        <v>1274</v>
      </c>
      <c r="R179" s="9">
        <v>0.9</v>
      </c>
      <c r="S179" s="7">
        <v>60.08</v>
      </c>
      <c r="T179" s="5" t="s">
        <v>1259</v>
      </c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5"/>
      <c r="AZ179" s="5"/>
    </row>
    <row r="180" spans="1:52" x14ac:dyDescent="0.25">
      <c r="A180" s="5">
        <v>2025952183</v>
      </c>
      <c r="B180" s="5" t="s">
        <v>1167</v>
      </c>
      <c r="C180" s="5" t="s">
        <v>337</v>
      </c>
      <c r="D180" s="5" t="str">
        <f t="shared" si="8"/>
        <v>ROBERT FINKE</v>
      </c>
      <c r="E180" s="5" t="s">
        <v>350</v>
      </c>
      <c r="F180" s="5" t="s">
        <v>351</v>
      </c>
      <c r="G180" s="5">
        <v>21283956</v>
      </c>
      <c r="H180" s="5" t="s">
        <v>140</v>
      </c>
      <c r="I180" s="5" t="s">
        <v>141</v>
      </c>
      <c r="J180" s="5" t="str">
        <f t="shared" si="6"/>
        <v>VICTOR FUENTES</v>
      </c>
      <c r="K180" s="5" t="s">
        <v>57</v>
      </c>
      <c r="L180" s="6">
        <v>45627</v>
      </c>
      <c r="M180" s="6">
        <v>45962</v>
      </c>
      <c r="N180" s="7">
        <v>72.010000000000005</v>
      </c>
      <c r="O180" s="5">
        <f t="shared" si="7"/>
        <v>11</v>
      </c>
      <c r="P180" s="5" t="s">
        <v>214</v>
      </c>
      <c r="Q180" s="5" t="s">
        <v>1274</v>
      </c>
      <c r="R180" s="9">
        <v>0.47</v>
      </c>
      <c r="S180" s="7">
        <v>33.840000000000003</v>
      </c>
      <c r="T180" s="5" t="s">
        <v>351</v>
      </c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5"/>
      <c r="AZ180" s="5"/>
    </row>
    <row r="181" spans="1:52" x14ac:dyDescent="0.25">
      <c r="A181" s="5">
        <v>2026050470</v>
      </c>
      <c r="B181" s="5" t="s">
        <v>704</v>
      </c>
      <c r="C181" s="5" t="s">
        <v>72</v>
      </c>
      <c r="D181" s="5" t="str">
        <f t="shared" si="8"/>
        <v>JOHN GRIGSBY</v>
      </c>
      <c r="E181" s="5" t="s">
        <v>292</v>
      </c>
      <c r="F181" s="5" t="s">
        <v>293</v>
      </c>
      <c r="G181" s="5">
        <v>21313588</v>
      </c>
      <c r="H181" s="5" t="s">
        <v>204</v>
      </c>
      <c r="I181" s="5" t="s">
        <v>205</v>
      </c>
      <c r="J181" s="5" t="str">
        <f t="shared" si="6"/>
        <v>WILLIAM GESKE</v>
      </c>
      <c r="K181" s="5" t="s">
        <v>57</v>
      </c>
      <c r="L181" s="6">
        <v>45632</v>
      </c>
      <c r="M181" s="6">
        <v>45967</v>
      </c>
      <c r="N181" s="7">
        <v>9.6999999999999993</v>
      </c>
      <c r="O181" s="5">
        <f t="shared" si="7"/>
        <v>11</v>
      </c>
      <c r="P181" s="5" t="s">
        <v>214</v>
      </c>
      <c r="Q181" s="5" t="s">
        <v>1274</v>
      </c>
      <c r="R181" s="9">
        <v>0.7</v>
      </c>
      <c r="S181" s="7">
        <v>6.79</v>
      </c>
      <c r="T181" s="5" t="s">
        <v>293</v>
      </c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5"/>
      <c r="AZ181" s="5"/>
    </row>
    <row r="182" spans="1:52" x14ac:dyDescent="0.25">
      <c r="A182" s="5">
        <v>2026057641</v>
      </c>
      <c r="B182" s="5" t="s">
        <v>993</v>
      </c>
      <c r="C182" s="5" t="s">
        <v>179</v>
      </c>
      <c r="D182" s="5" t="str">
        <f t="shared" si="8"/>
        <v>MICHELLE ESCALANTE</v>
      </c>
      <c r="E182" s="5" t="s">
        <v>243</v>
      </c>
      <c r="F182" s="5" t="s">
        <v>244</v>
      </c>
      <c r="G182" s="5">
        <v>371819</v>
      </c>
      <c r="H182" s="5" t="s">
        <v>283</v>
      </c>
      <c r="I182" s="5" t="s">
        <v>284</v>
      </c>
      <c r="J182" s="5" t="str">
        <f t="shared" si="6"/>
        <v>THOMAS PARDUE</v>
      </c>
      <c r="K182" s="5" t="s">
        <v>57</v>
      </c>
      <c r="L182" s="6">
        <v>45632</v>
      </c>
      <c r="M182" s="6">
        <v>45967</v>
      </c>
      <c r="N182" s="7">
        <v>32.380000000000003</v>
      </c>
      <c r="O182" s="5">
        <f t="shared" si="7"/>
        <v>11</v>
      </c>
      <c r="P182" s="5" t="s">
        <v>214</v>
      </c>
      <c r="Q182" s="5" t="s">
        <v>1274</v>
      </c>
      <c r="R182" s="8">
        <v>0.375</v>
      </c>
      <c r="S182" s="7">
        <v>12.14</v>
      </c>
      <c r="T182" s="5" t="s">
        <v>244</v>
      </c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/>
      <c r="AZ182" s="5"/>
    </row>
    <row r="183" spans="1:52" x14ac:dyDescent="0.25">
      <c r="A183" s="5">
        <v>2025627646</v>
      </c>
      <c r="B183" s="5" t="s">
        <v>847</v>
      </c>
      <c r="C183" s="5" t="s">
        <v>679</v>
      </c>
      <c r="D183" s="5" t="str">
        <f t="shared" si="8"/>
        <v>NATHAN PECK</v>
      </c>
      <c r="E183" s="5" t="s">
        <v>292</v>
      </c>
      <c r="F183" s="5" t="s">
        <v>293</v>
      </c>
      <c r="G183" s="5">
        <v>17094718</v>
      </c>
      <c r="H183" s="5" t="s">
        <v>519</v>
      </c>
      <c r="I183" s="5" t="s">
        <v>104</v>
      </c>
      <c r="J183" s="5" t="str">
        <f t="shared" si="6"/>
        <v>GREGORY HANSFORD</v>
      </c>
      <c r="K183" s="5" t="s">
        <v>57</v>
      </c>
      <c r="L183" s="6">
        <v>45602</v>
      </c>
      <c r="M183" s="6">
        <v>45967</v>
      </c>
      <c r="N183" s="7">
        <v>46.46</v>
      </c>
      <c r="O183" s="5">
        <f t="shared" si="7"/>
        <v>12</v>
      </c>
      <c r="P183" s="5" t="s">
        <v>214</v>
      </c>
      <c r="Q183" s="5" t="s">
        <v>1274</v>
      </c>
      <c r="R183" s="9">
        <v>0.7</v>
      </c>
      <c r="S183" s="7">
        <v>32.520000000000003</v>
      </c>
      <c r="T183" s="5" t="s">
        <v>293</v>
      </c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5"/>
      <c r="AZ183" s="5"/>
    </row>
    <row r="184" spans="1:52" x14ac:dyDescent="0.25">
      <c r="A184" s="5">
        <v>2025432260</v>
      </c>
      <c r="B184" s="5" t="s">
        <v>844</v>
      </c>
      <c r="C184" s="5" t="s">
        <v>845</v>
      </c>
      <c r="D184" s="5" t="str">
        <f t="shared" si="8"/>
        <v>PATRICIA BUCKLEY</v>
      </c>
      <c r="E184" s="5" t="s">
        <v>292</v>
      </c>
      <c r="F184" s="5" t="s">
        <v>293</v>
      </c>
      <c r="G184" s="5">
        <v>18828278</v>
      </c>
      <c r="H184" s="5" t="s">
        <v>815</v>
      </c>
      <c r="I184" s="5" t="s">
        <v>482</v>
      </c>
      <c r="J184" s="5" t="str">
        <f t="shared" si="6"/>
        <v>MICHAEL DUNAVANT</v>
      </c>
      <c r="K184" s="5" t="s">
        <v>57</v>
      </c>
      <c r="L184" s="6">
        <v>45602</v>
      </c>
      <c r="M184" s="6">
        <v>45967</v>
      </c>
      <c r="N184" s="7">
        <v>11.5</v>
      </c>
      <c r="O184" s="5">
        <f t="shared" si="7"/>
        <v>12</v>
      </c>
      <c r="P184" s="5" t="s">
        <v>214</v>
      </c>
      <c r="Q184" s="5" t="s">
        <v>1274</v>
      </c>
      <c r="R184" s="9">
        <v>0.7</v>
      </c>
      <c r="S184" s="7">
        <v>8.0500000000000007</v>
      </c>
      <c r="T184" s="5" t="s">
        <v>293</v>
      </c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  <c r="AY184" s="5"/>
      <c r="AZ184" s="5"/>
    </row>
    <row r="185" spans="1:52" x14ac:dyDescent="0.25">
      <c r="A185" s="5">
        <v>2025684074</v>
      </c>
      <c r="B185" s="5" t="s">
        <v>140</v>
      </c>
      <c r="C185" s="5" t="s">
        <v>851</v>
      </c>
      <c r="D185" s="5" t="str">
        <f t="shared" si="8"/>
        <v>MARCO FUENTES</v>
      </c>
      <c r="E185" s="5" t="s">
        <v>292</v>
      </c>
      <c r="F185" s="5" t="s">
        <v>293</v>
      </c>
      <c r="G185" s="5">
        <v>21283956</v>
      </c>
      <c r="H185" s="5" t="s">
        <v>140</v>
      </c>
      <c r="I185" s="5" t="s">
        <v>141</v>
      </c>
      <c r="J185" s="5" t="str">
        <f t="shared" si="6"/>
        <v>VICTOR FUENTES</v>
      </c>
      <c r="K185" s="5" t="s">
        <v>57</v>
      </c>
      <c r="L185" s="6">
        <v>45604</v>
      </c>
      <c r="M185" s="6">
        <v>45969</v>
      </c>
      <c r="N185" s="7">
        <v>86.25</v>
      </c>
      <c r="O185" s="5">
        <f t="shared" si="7"/>
        <v>12</v>
      </c>
      <c r="P185" s="5" t="s">
        <v>214</v>
      </c>
      <c r="Q185" s="5" t="s">
        <v>1274</v>
      </c>
      <c r="R185" s="9">
        <v>0.7</v>
      </c>
      <c r="S185" s="7">
        <v>60.38</v>
      </c>
      <c r="T185" s="5" t="s">
        <v>293</v>
      </c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5"/>
      <c r="AZ185" s="5"/>
    </row>
    <row r="186" spans="1:52" x14ac:dyDescent="0.25">
      <c r="A186" s="5">
        <v>2025432259</v>
      </c>
      <c r="B186" s="5" t="s">
        <v>844</v>
      </c>
      <c r="C186" s="5" t="s">
        <v>845</v>
      </c>
      <c r="D186" s="5" t="str">
        <f t="shared" si="8"/>
        <v>PATRICIA BUCKLEY</v>
      </c>
      <c r="E186" s="5" t="s">
        <v>243</v>
      </c>
      <c r="F186" s="5" t="s">
        <v>244</v>
      </c>
      <c r="G186" s="5">
        <v>18828278</v>
      </c>
      <c r="H186" s="5" t="s">
        <v>815</v>
      </c>
      <c r="I186" s="5" t="s">
        <v>482</v>
      </c>
      <c r="J186" s="5" t="str">
        <f t="shared" si="6"/>
        <v>MICHAEL DUNAVANT</v>
      </c>
      <c r="K186" s="5" t="s">
        <v>57</v>
      </c>
      <c r="L186" s="6">
        <v>45602</v>
      </c>
      <c r="M186" s="6">
        <v>45967</v>
      </c>
      <c r="N186" s="7">
        <v>47.56</v>
      </c>
      <c r="O186" s="5">
        <f t="shared" si="7"/>
        <v>12</v>
      </c>
      <c r="P186" s="5" t="s">
        <v>214</v>
      </c>
      <c r="Q186" s="5" t="s">
        <v>1274</v>
      </c>
      <c r="R186" s="8">
        <v>0.375</v>
      </c>
      <c r="S186" s="7">
        <v>17.84</v>
      </c>
      <c r="T186" s="5" t="s">
        <v>244</v>
      </c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  <c r="AY186" s="5"/>
      <c r="AZ186" s="5"/>
    </row>
    <row r="187" spans="1:52" x14ac:dyDescent="0.25">
      <c r="A187" s="5">
        <v>2025677957</v>
      </c>
      <c r="B187" s="5" t="s">
        <v>849</v>
      </c>
      <c r="C187" s="5" t="s">
        <v>850</v>
      </c>
      <c r="D187" s="5" t="str">
        <f t="shared" si="8"/>
        <v>MARTA ROE</v>
      </c>
      <c r="E187" s="5" t="s">
        <v>243</v>
      </c>
      <c r="F187" s="5" t="s">
        <v>244</v>
      </c>
      <c r="G187" s="5">
        <v>371819</v>
      </c>
      <c r="H187" s="5" t="s">
        <v>283</v>
      </c>
      <c r="I187" s="5" t="s">
        <v>284</v>
      </c>
      <c r="J187" s="5" t="str">
        <f t="shared" si="6"/>
        <v>THOMAS PARDUE</v>
      </c>
      <c r="K187" s="5" t="s">
        <v>57</v>
      </c>
      <c r="L187" s="6">
        <v>45604</v>
      </c>
      <c r="M187" s="6">
        <v>45969</v>
      </c>
      <c r="N187" s="7">
        <v>24.36</v>
      </c>
      <c r="O187" s="5">
        <f t="shared" si="7"/>
        <v>12</v>
      </c>
      <c r="P187" s="5" t="s">
        <v>214</v>
      </c>
      <c r="Q187" s="5" t="s">
        <v>1274</v>
      </c>
      <c r="R187" s="8">
        <v>0.375</v>
      </c>
      <c r="S187" s="7">
        <v>9.14</v>
      </c>
      <c r="T187" s="5" t="s">
        <v>244</v>
      </c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  <c r="AY187" s="5"/>
      <c r="AZ187" s="5"/>
    </row>
    <row r="188" spans="1:52" x14ac:dyDescent="0.25">
      <c r="A188" s="5">
        <v>2025703126</v>
      </c>
      <c r="B188" s="5" t="s">
        <v>987</v>
      </c>
      <c r="C188" s="5" t="s">
        <v>988</v>
      </c>
      <c r="D188" s="5" t="str">
        <f t="shared" si="8"/>
        <v>ANGEL REILLY</v>
      </c>
      <c r="E188" s="5" t="s">
        <v>243</v>
      </c>
      <c r="F188" s="5" t="s">
        <v>244</v>
      </c>
      <c r="G188" s="5">
        <v>371819</v>
      </c>
      <c r="H188" s="5" t="s">
        <v>283</v>
      </c>
      <c r="I188" s="5" t="s">
        <v>284</v>
      </c>
      <c r="J188" s="5" t="str">
        <f t="shared" si="6"/>
        <v>THOMAS PARDUE</v>
      </c>
      <c r="K188" s="5" t="s">
        <v>57</v>
      </c>
      <c r="L188" s="6">
        <v>45606</v>
      </c>
      <c r="M188" s="6">
        <v>45971</v>
      </c>
      <c r="N188" s="7">
        <v>21.47</v>
      </c>
      <c r="O188" s="5">
        <f t="shared" si="7"/>
        <v>12</v>
      </c>
      <c r="P188" s="5" t="s">
        <v>214</v>
      </c>
      <c r="Q188" s="5" t="s">
        <v>1274</v>
      </c>
      <c r="R188" s="8">
        <v>0.375</v>
      </c>
      <c r="S188" s="7">
        <v>8.0500000000000007</v>
      </c>
      <c r="T188" s="5" t="s">
        <v>244</v>
      </c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5"/>
      <c r="AZ188" s="5"/>
    </row>
    <row r="189" spans="1:52" x14ac:dyDescent="0.25">
      <c r="A189" s="5">
        <v>2025677958</v>
      </c>
      <c r="B189" s="5" t="s">
        <v>849</v>
      </c>
      <c r="C189" s="5" t="s">
        <v>850</v>
      </c>
      <c r="D189" s="5" t="str">
        <f t="shared" si="8"/>
        <v>MARTA ROE</v>
      </c>
      <c r="E189" s="5" t="s">
        <v>292</v>
      </c>
      <c r="F189" s="5" t="s">
        <v>295</v>
      </c>
      <c r="G189" s="5">
        <v>371819</v>
      </c>
      <c r="H189" s="5" t="s">
        <v>283</v>
      </c>
      <c r="I189" s="5" t="s">
        <v>284</v>
      </c>
      <c r="J189" s="5" t="str">
        <f t="shared" si="6"/>
        <v>THOMAS PARDUE</v>
      </c>
      <c r="K189" s="5" t="s">
        <v>57</v>
      </c>
      <c r="L189" s="6">
        <v>45604</v>
      </c>
      <c r="M189" s="6">
        <v>45969</v>
      </c>
      <c r="N189" s="7">
        <v>31.08</v>
      </c>
      <c r="O189" s="5">
        <f t="shared" si="7"/>
        <v>12</v>
      </c>
      <c r="P189" s="5" t="s">
        <v>214</v>
      </c>
      <c r="Q189" s="5" t="s">
        <v>1274</v>
      </c>
      <c r="R189" s="9">
        <v>0.9</v>
      </c>
      <c r="S189" s="7">
        <v>27.97</v>
      </c>
      <c r="T189" s="5" t="s">
        <v>295</v>
      </c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5"/>
      <c r="AZ189" s="5"/>
    </row>
    <row r="190" spans="1:52" x14ac:dyDescent="0.25">
      <c r="A190" s="5">
        <v>2024680809</v>
      </c>
      <c r="B190" s="5" t="s">
        <v>829</v>
      </c>
      <c r="C190" s="5" t="s">
        <v>830</v>
      </c>
      <c r="D190" s="5" t="str">
        <f t="shared" si="8"/>
        <v>KARA RAGUSA</v>
      </c>
      <c r="E190" s="5" t="s">
        <v>209</v>
      </c>
      <c r="F190" s="5" t="s">
        <v>225</v>
      </c>
      <c r="G190" s="5">
        <v>371819</v>
      </c>
      <c r="H190" s="5" t="s">
        <v>283</v>
      </c>
      <c r="I190" s="5" t="s">
        <v>284</v>
      </c>
      <c r="J190" s="5" t="str">
        <f t="shared" si="6"/>
        <v>THOMAS PARDUE</v>
      </c>
      <c r="K190" s="5" t="s">
        <v>57</v>
      </c>
      <c r="L190" s="6">
        <v>45575</v>
      </c>
      <c r="M190" s="6">
        <v>45971</v>
      </c>
      <c r="N190" s="7">
        <v>15</v>
      </c>
      <c r="O190" s="5">
        <f t="shared" si="7"/>
        <v>13</v>
      </c>
      <c r="P190" s="5" t="s">
        <v>214</v>
      </c>
      <c r="Q190" s="5" t="s">
        <v>1274</v>
      </c>
      <c r="R190" s="9">
        <v>0.28999999999999998</v>
      </c>
      <c r="S190" s="7">
        <v>4.3499999999999996</v>
      </c>
      <c r="T190" s="5" t="s">
        <v>1271</v>
      </c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  <c r="AY190" s="5"/>
      <c r="AZ190" s="5"/>
    </row>
    <row r="191" spans="1:52" x14ac:dyDescent="0.25">
      <c r="A191" s="5">
        <v>2024961805</v>
      </c>
      <c r="B191" s="5" t="s">
        <v>837</v>
      </c>
      <c r="C191" s="5" t="s">
        <v>838</v>
      </c>
      <c r="D191" s="5" t="str">
        <f t="shared" si="8"/>
        <v>LANCE SPIEKER</v>
      </c>
      <c r="E191" s="5" t="s">
        <v>292</v>
      </c>
      <c r="F191" s="5" t="s">
        <v>293</v>
      </c>
      <c r="G191" s="5">
        <v>18828278</v>
      </c>
      <c r="H191" s="5" t="s">
        <v>815</v>
      </c>
      <c r="I191" s="5" t="s">
        <v>482</v>
      </c>
      <c r="J191" s="5" t="str">
        <f t="shared" si="6"/>
        <v>MICHAEL DUNAVANT</v>
      </c>
      <c r="K191" s="5" t="s">
        <v>57</v>
      </c>
      <c r="L191" s="6">
        <v>45571</v>
      </c>
      <c r="M191" s="6">
        <v>45967</v>
      </c>
      <c r="N191" s="7">
        <v>34.68</v>
      </c>
      <c r="O191" s="5">
        <f t="shared" si="7"/>
        <v>13</v>
      </c>
      <c r="P191" s="5" t="s">
        <v>214</v>
      </c>
      <c r="Q191" s="5" t="s">
        <v>1274</v>
      </c>
      <c r="R191" s="9">
        <v>0.15</v>
      </c>
      <c r="S191" s="7">
        <v>5.2</v>
      </c>
      <c r="T191" s="5" t="s">
        <v>293</v>
      </c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5"/>
      <c r="AZ191" s="5"/>
    </row>
    <row r="192" spans="1:52" x14ac:dyDescent="0.25">
      <c r="A192" s="5">
        <v>2025031269</v>
      </c>
      <c r="B192" s="5" t="s">
        <v>840</v>
      </c>
      <c r="C192" s="5" t="s">
        <v>841</v>
      </c>
      <c r="D192" s="5" t="str">
        <f t="shared" si="8"/>
        <v>ANDRII KHOLODOVICH</v>
      </c>
      <c r="E192" s="5" t="s">
        <v>292</v>
      </c>
      <c r="F192" s="5" t="s">
        <v>293</v>
      </c>
      <c r="G192" s="5">
        <v>18828278</v>
      </c>
      <c r="H192" s="5" t="s">
        <v>815</v>
      </c>
      <c r="I192" s="5" t="s">
        <v>482</v>
      </c>
      <c r="J192" s="5" t="str">
        <f t="shared" si="6"/>
        <v>MICHAEL DUNAVANT</v>
      </c>
      <c r="K192" s="5" t="s">
        <v>57</v>
      </c>
      <c r="L192" s="6">
        <v>45571</v>
      </c>
      <c r="M192" s="6">
        <v>45967</v>
      </c>
      <c r="N192" s="7">
        <v>11.5</v>
      </c>
      <c r="O192" s="5">
        <f t="shared" si="7"/>
        <v>13</v>
      </c>
      <c r="P192" s="5" t="s">
        <v>214</v>
      </c>
      <c r="Q192" s="5" t="s">
        <v>1274</v>
      </c>
      <c r="R192" s="9">
        <v>0.15</v>
      </c>
      <c r="S192" s="7">
        <v>1.72</v>
      </c>
      <c r="T192" s="5" t="s">
        <v>293</v>
      </c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  <c r="AY192" s="5"/>
      <c r="AZ192" s="5"/>
    </row>
    <row r="193" spans="1:52" x14ac:dyDescent="0.25">
      <c r="A193" s="5">
        <v>2024680807</v>
      </c>
      <c r="B193" s="5" t="s">
        <v>829</v>
      </c>
      <c r="C193" s="5" t="s">
        <v>830</v>
      </c>
      <c r="D193" s="5" t="str">
        <f t="shared" si="8"/>
        <v>KARA RAGUSA</v>
      </c>
      <c r="E193" s="5" t="s">
        <v>292</v>
      </c>
      <c r="F193" s="5" t="s">
        <v>293</v>
      </c>
      <c r="G193" s="5">
        <v>371819</v>
      </c>
      <c r="H193" s="5" t="s">
        <v>283</v>
      </c>
      <c r="I193" s="5" t="s">
        <v>284</v>
      </c>
      <c r="J193" s="5" t="str">
        <f t="shared" si="6"/>
        <v>THOMAS PARDUE</v>
      </c>
      <c r="K193" s="5" t="s">
        <v>57</v>
      </c>
      <c r="L193" s="6">
        <v>45575</v>
      </c>
      <c r="M193" s="6">
        <v>45971</v>
      </c>
      <c r="N193" s="7">
        <v>89.52</v>
      </c>
      <c r="O193" s="5">
        <f t="shared" si="7"/>
        <v>13</v>
      </c>
      <c r="P193" s="5" t="s">
        <v>214</v>
      </c>
      <c r="Q193" s="5" t="s">
        <v>1274</v>
      </c>
      <c r="R193" s="9">
        <v>0.15</v>
      </c>
      <c r="S193" s="7">
        <v>13.43</v>
      </c>
      <c r="T193" s="5" t="s">
        <v>293</v>
      </c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5"/>
      <c r="AZ193" s="5"/>
    </row>
    <row r="194" spans="1:52" x14ac:dyDescent="0.25">
      <c r="A194" s="5">
        <v>2025031268</v>
      </c>
      <c r="B194" s="5" t="s">
        <v>840</v>
      </c>
      <c r="C194" s="5" t="s">
        <v>841</v>
      </c>
      <c r="D194" s="5" t="str">
        <f t="shared" si="8"/>
        <v>ANDRII KHOLODOVICH</v>
      </c>
      <c r="E194" s="5" t="s">
        <v>243</v>
      </c>
      <c r="F194" s="5" t="s">
        <v>244</v>
      </c>
      <c r="G194" s="5">
        <v>18828278</v>
      </c>
      <c r="H194" s="5" t="s">
        <v>815</v>
      </c>
      <c r="I194" s="5" t="s">
        <v>482</v>
      </c>
      <c r="J194" s="5" t="str">
        <f t="shared" ref="J194:J257" si="9">CONCATENATE(I194, " ",H194)</f>
        <v>MICHAEL DUNAVANT</v>
      </c>
      <c r="K194" s="5" t="s">
        <v>57</v>
      </c>
      <c r="L194" s="6">
        <v>45571</v>
      </c>
      <c r="M194" s="6">
        <v>45967</v>
      </c>
      <c r="N194" s="7">
        <v>47.56</v>
      </c>
      <c r="O194" s="5">
        <f t="shared" ref="O194:O257" si="10">DATEDIF(L194,M194,"M")</f>
        <v>13</v>
      </c>
      <c r="P194" s="5" t="s">
        <v>214</v>
      </c>
      <c r="Q194" s="5" t="s">
        <v>1274</v>
      </c>
      <c r="R194" s="9">
        <v>0.06</v>
      </c>
      <c r="S194" s="7">
        <v>2.85</v>
      </c>
      <c r="T194" s="5" t="s">
        <v>244</v>
      </c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5"/>
      <c r="AZ194" s="5"/>
    </row>
    <row r="195" spans="1:52" x14ac:dyDescent="0.25">
      <c r="A195" s="5">
        <v>2024789928</v>
      </c>
      <c r="B195" s="5" t="s">
        <v>686</v>
      </c>
      <c r="C195" s="5" t="s">
        <v>687</v>
      </c>
      <c r="D195" s="5" t="str">
        <f t="shared" ref="D195:D258" si="11">CONCATENATE(C195, " ",B195)</f>
        <v>ASHLEY TOKAS</v>
      </c>
      <c r="E195" s="5" t="s">
        <v>89</v>
      </c>
      <c r="F195" s="5" t="s">
        <v>90</v>
      </c>
      <c r="G195" s="5">
        <v>371819</v>
      </c>
      <c r="H195" s="5" t="s">
        <v>283</v>
      </c>
      <c r="I195" s="5" t="s">
        <v>284</v>
      </c>
      <c r="J195" s="5" t="str">
        <f t="shared" si="9"/>
        <v>THOMAS PARDUE</v>
      </c>
      <c r="K195" s="5" t="s">
        <v>57</v>
      </c>
      <c r="L195" s="6">
        <v>45545</v>
      </c>
      <c r="M195" s="6">
        <v>45971</v>
      </c>
      <c r="N195" s="7">
        <v>27.12</v>
      </c>
      <c r="O195" s="5">
        <f t="shared" si="10"/>
        <v>14</v>
      </c>
      <c r="P195" s="5" t="s">
        <v>214</v>
      </c>
      <c r="Q195" s="5" t="s">
        <v>1274</v>
      </c>
      <c r="R195" s="9">
        <v>0.1</v>
      </c>
      <c r="S195" s="7">
        <v>2.71</v>
      </c>
      <c r="T195" s="5" t="s">
        <v>1258</v>
      </c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  <c r="AY195" s="5"/>
      <c r="AZ195" s="5"/>
    </row>
    <row r="196" spans="1:52" x14ac:dyDescent="0.25">
      <c r="A196" s="5">
        <v>2024197970</v>
      </c>
      <c r="B196" s="5" t="s">
        <v>819</v>
      </c>
      <c r="C196" s="5" t="s">
        <v>820</v>
      </c>
      <c r="D196" s="5" t="str">
        <f t="shared" si="11"/>
        <v>BREE ABBOTT</v>
      </c>
      <c r="E196" s="5" t="s">
        <v>292</v>
      </c>
      <c r="F196" s="5" t="s">
        <v>293</v>
      </c>
      <c r="G196" s="5">
        <v>18828278</v>
      </c>
      <c r="H196" s="5" t="s">
        <v>815</v>
      </c>
      <c r="I196" s="5" t="s">
        <v>482</v>
      </c>
      <c r="J196" s="5" t="str">
        <f t="shared" si="9"/>
        <v>MICHAEL DUNAVANT</v>
      </c>
      <c r="K196" s="5" t="s">
        <v>57</v>
      </c>
      <c r="L196" s="6">
        <v>45541</v>
      </c>
      <c r="M196" s="6">
        <v>45967</v>
      </c>
      <c r="N196" s="7">
        <v>11.5</v>
      </c>
      <c r="O196" s="5">
        <f t="shared" si="10"/>
        <v>14</v>
      </c>
      <c r="P196" s="5" t="s">
        <v>214</v>
      </c>
      <c r="Q196" s="5" t="s">
        <v>1274</v>
      </c>
      <c r="R196" s="9">
        <v>0.15</v>
      </c>
      <c r="S196" s="7">
        <v>1.72</v>
      </c>
      <c r="T196" s="5" t="s">
        <v>293</v>
      </c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5"/>
      <c r="AZ196" s="5"/>
    </row>
    <row r="197" spans="1:52" x14ac:dyDescent="0.25">
      <c r="A197" s="5">
        <v>2024202345</v>
      </c>
      <c r="B197" s="5" t="s">
        <v>821</v>
      </c>
      <c r="C197" s="5" t="s">
        <v>301</v>
      </c>
      <c r="D197" s="5" t="str">
        <f t="shared" si="11"/>
        <v>DAVID HAMM</v>
      </c>
      <c r="E197" s="5" t="s">
        <v>292</v>
      </c>
      <c r="F197" s="5" t="s">
        <v>293</v>
      </c>
      <c r="G197" s="5">
        <v>18828278</v>
      </c>
      <c r="H197" s="5" t="s">
        <v>815</v>
      </c>
      <c r="I197" s="5" t="s">
        <v>482</v>
      </c>
      <c r="J197" s="5" t="str">
        <f t="shared" si="9"/>
        <v>MICHAEL DUNAVANT</v>
      </c>
      <c r="K197" s="5" t="s">
        <v>57</v>
      </c>
      <c r="L197" s="6">
        <v>45541</v>
      </c>
      <c r="M197" s="6">
        <v>45967</v>
      </c>
      <c r="N197" s="7">
        <v>130.72</v>
      </c>
      <c r="O197" s="5">
        <f t="shared" si="10"/>
        <v>14</v>
      </c>
      <c r="P197" s="5" t="s">
        <v>214</v>
      </c>
      <c r="Q197" s="5" t="s">
        <v>1274</v>
      </c>
      <c r="R197" s="9">
        <v>0.15</v>
      </c>
      <c r="S197" s="7">
        <v>19.61</v>
      </c>
      <c r="T197" s="5" t="s">
        <v>293</v>
      </c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5"/>
      <c r="AZ197" s="5"/>
    </row>
    <row r="198" spans="1:52" x14ac:dyDescent="0.25">
      <c r="A198" s="5">
        <v>2024526717</v>
      </c>
      <c r="B198" s="5" t="s">
        <v>822</v>
      </c>
      <c r="C198" s="5" t="s">
        <v>653</v>
      </c>
      <c r="D198" s="5" t="str">
        <f t="shared" si="11"/>
        <v>KYLE WOOD</v>
      </c>
      <c r="E198" s="5" t="s">
        <v>292</v>
      </c>
      <c r="F198" s="5" t="s">
        <v>293</v>
      </c>
      <c r="G198" s="5">
        <v>18828278</v>
      </c>
      <c r="H198" s="5" t="s">
        <v>815</v>
      </c>
      <c r="I198" s="5" t="s">
        <v>482</v>
      </c>
      <c r="J198" s="5" t="str">
        <f t="shared" si="9"/>
        <v>MICHAEL DUNAVANT</v>
      </c>
      <c r="K198" s="5" t="s">
        <v>57</v>
      </c>
      <c r="L198" s="6">
        <v>45541</v>
      </c>
      <c r="M198" s="6">
        <v>45967</v>
      </c>
      <c r="N198" s="7">
        <v>57.03</v>
      </c>
      <c r="O198" s="5">
        <f t="shared" si="10"/>
        <v>14</v>
      </c>
      <c r="P198" s="5" t="s">
        <v>214</v>
      </c>
      <c r="Q198" s="5" t="s">
        <v>1274</v>
      </c>
      <c r="R198" s="9">
        <v>0.15</v>
      </c>
      <c r="S198" s="7">
        <v>8.5500000000000007</v>
      </c>
      <c r="T198" s="5" t="s">
        <v>293</v>
      </c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5"/>
      <c r="AZ198" s="5"/>
    </row>
    <row r="199" spans="1:52" s="10" customFormat="1" x14ac:dyDescent="0.25">
      <c r="A199" s="5">
        <v>2024529137</v>
      </c>
      <c r="B199" s="5" t="s">
        <v>823</v>
      </c>
      <c r="C199" s="5" t="s">
        <v>824</v>
      </c>
      <c r="D199" s="5" t="str">
        <f t="shared" si="11"/>
        <v>RAFAEL VARGAS</v>
      </c>
      <c r="E199" s="5" t="s">
        <v>292</v>
      </c>
      <c r="F199" s="5" t="s">
        <v>293</v>
      </c>
      <c r="G199" s="5">
        <v>18828278</v>
      </c>
      <c r="H199" s="5" t="s">
        <v>815</v>
      </c>
      <c r="I199" s="5" t="s">
        <v>482</v>
      </c>
      <c r="J199" s="5" t="str">
        <f t="shared" si="9"/>
        <v>MICHAEL DUNAVANT</v>
      </c>
      <c r="K199" s="5" t="s">
        <v>57</v>
      </c>
      <c r="L199" s="6">
        <v>45541</v>
      </c>
      <c r="M199" s="6">
        <v>45967</v>
      </c>
      <c r="N199" s="7">
        <v>34.68</v>
      </c>
      <c r="O199" s="5">
        <f t="shared" si="10"/>
        <v>14</v>
      </c>
      <c r="P199" s="5" t="s">
        <v>214</v>
      </c>
      <c r="Q199" s="5" t="s">
        <v>1274</v>
      </c>
      <c r="R199" s="9">
        <v>0.15</v>
      </c>
      <c r="S199" s="7">
        <v>5.2</v>
      </c>
      <c r="T199" s="5" t="s">
        <v>293</v>
      </c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  <c r="AY199" s="5"/>
      <c r="AZ199" s="5"/>
    </row>
    <row r="200" spans="1:52" s="5" customFormat="1" x14ac:dyDescent="0.25">
      <c r="A200" s="5">
        <v>2024530409</v>
      </c>
      <c r="B200" s="5" t="s">
        <v>825</v>
      </c>
      <c r="C200" s="5" t="s">
        <v>124</v>
      </c>
      <c r="D200" s="5" t="str">
        <f t="shared" si="11"/>
        <v>ZACHARY YUHASZ</v>
      </c>
      <c r="E200" s="5" t="s">
        <v>292</v>
      </c>
      <c r="F200" s="5" t="s">
        <v>293</v>
      </c>
      <c r="G200" s="5">
        <v>18828278</v>
      </c>
      <c r="H200" s="5" t="s">
        <v>815</v>
      </c>
      <c r="I200" s="5" t="s">
        <v>482</v>
      </c>
      <c r="J200" s="5" t="str">
        <f t="shared" si="9"/>
        <v>MICHAEL DUNAVANT</v>
      </c>
      <c r="K200" s="5" t="s">
        <v>57</v>
      </c>
      <c r="L200" s="6">
        <v>45541</v>
      </c>
      <c r="M200" s="6">
        <v>45967</v>
      </c>
      <c r="N200" s="7">
        <v>121.18</v>
      </c>
      <c r="O200" s="5">
        <f t="shared" si="10"/>
        <v>14</v>
      </c>
      <c r="P200" s="5" t="s">
        <v>214</v>
      </c>
      <c r="Q200" s="5" t="s">
        <v>1274</v>
      </c>
      <c r="R200" s="9">
        <v>0.15</v>
      </c>
      <c r="S200" s="7">
        <v>18.18</v>
      </c>
      <c r="T200" s="5" t="s">
        <v>293</v>
      </c>
    </row>
    <row r="201" spans="1:52" s="5" customFormat="1" x14ac:dyDescent="0.25">
      <c r="A201" s="5">
        <v>2024630488</v>
      </c>
      <c r="B201" s="5" t="s">
        <v>828</v>
      </c>
      <c r="C201" s="5" t="s">
        <v>687</v>
      </c>
      <c r="D201" s="5" t="str">
        <f t="shared" si="11"/>
        <v>ASHLEY BOEYEN</v>
      </c>
      <c r="E201" s="5" t="s">
        <v>292</v>
      </c>
      <c r="F201" s="5" t="s">
        <v>293</v>
      </c>
      <c r="G201" s="5">
        <v>18828278</v>
      </c>
      <c r="H201" s="5" t="s">
        <v>815</v>
      </c>
      <c r="I201" s="5" t="s">
        <v>482</v>
      </c>
      <c r="J201" s="5" t="str">
        <f t="shared" si="9"/>
        <v>MICHAEL DUNAVANT</v>
      </c>
      <c r="K201" s="5" t="s">
        <v>57</v>
      </c>
      <c r="L201" s="6">
        <v>45541</v>
      </c>
      <c r="M201" s="6">
        <v>45967</v>
      </c>
      <c r="N201" s="7">
        <v>15.75</v>
      </c>
      <c r="O201" s="5">
        <f t="shared" si="10"/>
        <v>14</v>
      </c>
      <c r="P201" s="5" t="s">
        <v>214</v>
      </c>
      <c r="Q201" s="5" t="s">
        <v>1274</v>
      </c>
      <c r="R201" s="9">
        <v>0.15</v>
      </c>
      <c r="S201" s="7">
        <v>2.36</v>
      </c>
      <c r="T201" s="5" t="s">
        <v>293</v>
      </c>
    </row>
    <row r="202" spans="1:52" s="5" customFormat="1" x14ac:dyDescent="0.25">
      <c r="A202" s="5">
        <v>2024778647</v>
      </c>
      <c r="B202" s="5" t="s">
        <v>833</v>
      </c>
      <c r="C202" s="5" t="s">
        <v>834</v>
      </c>
      <c r="D202" s="5" t="str">
        <f t="shared" si="11"/>
        <v>MARZIPAN EYRIE</v>
      </c>
      <c r="E202" s="5" t="s">
        <v>292</v>
      </c>
      <c r="F202" s="5" t="s">
        <v>293</v>
      </c>
      <c r="G202" s="5">
        <v>18828278</v>
      </c>
      <c r="H202" s="5" t="s">
        <v>815</v>
      </c>
      <c r="I202" s="5" t="s">
        <v>482</v>
      </c>
      <c r="J202" s="5" t="str">
        <f t="shared" si="9"/>
        <v>MICHAEL DUNAVANT</v>
      </c>
      <c r="K202" s="5" t="s">
        <v>57</v>
      </c>
      <c r="L202" s="6">
        <v>45545</v>
      </c>
      <c r="M202" s="6">
        <v>45971</v>
      </c>
      <c r="N202" s="7">
        <v>11.5</v>
      </c>
      <c r="O202" s="5">
        <f t="shared" si="10"/>
        <v>14</v>
      </c>
      <c r="P202" s="5" t="s">
        <v>214</v>
      </c>
      <c r="Q202" s="5" t="s">
        <v>1274</v>
      </c>
      <c r="R202" s="9">
        <v>0.15</v>
      </c>
      <c r="S202" s="7">
        <v>1.72</v>
      </c>
      <c r="T202" s="5" t="s">
        <v>293</v>
      </c>
    </row>
    <row r="203" spans="1:52" s="5" customFormat="1" x14ac:dyDescent="0.25">
      <c r="A203" s="5">
        <v>2024789926</v>
      </c>
      <c r="B203" s="5" t="s">
        <v>686</v>
      </c>
      <c r="C203" s="5" t="s">
        <v>687</v>
      </c>
      <c r="D203" s="5" t="str">
        <f t="shared" si="11"/>
        <v>ASHLEY TOKAS</v>
      </c>
      <c r="E203" s="5" t="s">
        <v>292</v>
      </c>
      <c r="F203" s="5" t="s">
        <v>293</v>
      </c>
      <c r="G203" s="5">
        <v>371819</v>
      </c>
      <c r="H203" s="5" t="s">
        <v>283</v>
      </c>
      <c r="I203" s="5" t="s">
        <v>284</v>
      </c>
      <c r="J203" s="5" t="str">
        <f t="shared" si="9"/>
        <v>THOMAS PARDUE</v>
      </c>
      <c r="K203" s="5" t="s">
        <v>57</v>
      </c>
      <c r="L203" s="6">
        <v>45545</v>
      </c>
      <c r="M203" s="6">
        <v>45971</v>
      </c>
      <c r="N203" s="7">
        <v>18.920000000000002</v>
      </c>
      <c r="O203" s="5">
        <f t="shared" si="10"/>
        <v>14</v>
      </c>
      <c r="P203" s="5" t="s">
        <v>214</v>
      </c>
      <c r="Q203" s="5" t="s">
        <v>1274</v>
      </c>
      <c r="R203" s="9">
        <v>0.15</v>
      </c>
      <c r="S203" s="7">
        <v>2.84</v>
      </c>
      <c r="T203" s="5" t="s">
        <v>293</v>
      </c>
    </row>
    <row r="204" spans="1:52" s="5" customFormat="1" x14ac:dyDescent="0.25">
      <c r="A204" s="5">
        <v>2024197969</v>
      </c>
      <c r="B204" s="5" t="s">
        <v>819</v>
      </c>
      <c r="C204" s="5" t="s">
        <v>820</v>
      </c>
      <c r="D204" s="5" t="str">
        <f t="shared" si="11"/>
        <v>BREE ABBOTT</v>
      </c>
      <c r="E204" s="5" t="s">
        <v>243</v>
      </c>
      <c r="F204" s="5" t="s">
        <v>244</v>
      </c>
      <c r="G204" s="5">
        <v>18828278</v>
      </c>
      <c r="H204" s="5" t="s">
        <v>815</v>
      </c>
      <c r="I204" s="5" t="s">
        <v>482</v>
      </c>
      <c r="J204" s="5" t="str">
        <f t="shared" si="9"/>
        <v>MICHAEL DUNAVANT</v>
      </c>
      <c r="K204" s="5" t="s">
        <v>57</v>
      </c>
      <c r="L204" s="6">
        <v>45541</v>
      </c>
      <c r="M204" s="6">
        <v>45967</v>
      </c>
      <c r="N204" s="7">
        <v>18.72</v>
      </c>
      <c r="O204" s="5">
        <f t="shared" si="10"/>
        <v>14</v>
      </c>
      <c r="P204" s="5" t="s">
        <v>214</v>
      </c>
      <c r="Q204" s="5" t="s">
        <v>1274</v>
      </c>
      <c r="R204" s="9">
        <v>0.06</v>
      </c>
      <c r="S204" s="7">
        <v>1.1200000000000001</v>
      </c>
      <c r="T204" s="5" t="s">
        <v>244</v>
      </c>
    </row>
    <row r="205" spans="1:52" s="5" customFormat="1" x14ac:dyDescent="0.25">
      <c r="A205" s="5">
        <v>2024529138</v>
      </c>
      <c r="B205" s="5" t="s">
        <v>823</v>
      </c>
      <c r="C205" s="5" t="s">
        <v>824</v>
      </c>
      <c r="D205" s="5" t="str">
        <f t="shared" si="11"/>
        <v>RAFAEL VARGAS</v>
      </c>
      <c r="E205" s="5" t="s">
        <v>243</v>
      </c>
      <c r="F205" s="5" t="s">
        <v>244</v>
      </c>
      <c r="G205" s="5">
        <v>18828278</v>
      </c>
      <c r="H205" s="5" t="s">
        <v>815</v>
      </c>
      <c r="I205" s="5" t="s">
        <v>482</v>
      </c>
      <c r="J205" s="5" t="str">
        <f t="shared" si="9"/>
        <v>MICHAEL DUNAVANT</v>
      </c>
      <c r="K205" s="5" t="s">
        <v>57</v>
      </c>
      <c r="L205" s="6">
        <v>45541</v>
      </c>
      <c r="M205" s="6">
        <v>45967</v>
      </c>
      <c r="N205" s="7">
        <v>47.56</v>
      </c>
      <c r="O205" s="5">
        <f t="shared" si="10"/>
        <v>14</v>
      </c>
      <c r="P205" s="5" t="s">
        <v>214</v>
      </c>
      <c r="Q205" s="5" t="s">
        <v>1274</v>
      </c>
      <c r="R205" s="9">
        <v>0.06</v>
      </c>
      <c r="S205" s="7">
        <v>2.85</v>
      </c>
      <c r="T205" s="5" t="s">
        <v>244</v>
      </c>
    </row>
    <row r="206" spans="1:52" s="5" customFormat="1" x14ac:dyDescent="0.25">
      <c r="A206" s="5">
        <v>2024630487</v>
      </c>
      <c r="B206" s="5" t="s">
        <v>828</v>
      </c>
      <c r="C206" s="5" t="s">
        <v>687</v>
      </c>
      <c r="D206" s="5" t="str">
        <f t="shared" si="11"/>
        <v>ASHLEY BOEYEN</v>
      </c>
      <c r="E206" s="5" t="s">
        <v>243</v>
      </c>
      <c r="F206" s="5" t="s">
        <v>244</v>
      </c>
      <c r="G206" s="5">
        <v>18828278</v>
      </c>
      <c r="H206" s="5" t="s">
        <v>815</v>
      </c>
      <c r="I206" s="5" t="s">
        <v>482</v>
      </c>
      <c r="J206" s="5" t="str">
        <f t="shared" si="9"/>
        <v>MICHAEL DUNAVANT</v>
      </c>
      <c r="K206" s="5" t="s">
        <v>57</v>
      </c>
      <c r="L206" s="6">
        <v>45541</v>
      </c>
      <c r="M206" s="6">
        <v>45967</v>
      </c>
      <c r="N206" s="7">
        <v>90.98</v>
      </c>
      <c r="O206" s="5">
        <f t="shared" si="10"/>
        <v>14</v>
      </c>
      <c r="P206" s="5" t="s">
        <v>214</v>
      </c>
      <c r="Q206" s="5" t="s">
        <v>1274</v>
      </c>
      <c r="R206" s="9">
        <v>0.06</v>
      </c>
      <c r="S206" s="7">
        <v>5.46</v>
      </c>
      <c r="T206" s="5" t="s">
        <v>244</v>
      </c>
    </row>
    <row r="207" spans="1:52" s="5" customFormat="1" x14ac:dyDescent="0.25">
      <c r="A207" s="5">
        <v>2024792045</v>
      </c>
      <c r="B207" s="5" t="s">
        <v>388</v>
      </c>
      <c r="C207" s="5" t="s">
        <v>648</v>
      </c>
      <c r="D207" s="5" t="str">
        <f t="shared" si="11"/>
        <v>KENNETH WILLIAMS</v>
      </c>
      <c r="E207" s="5" t="s">
        <v>243</v>
      </c>
      <c r="F207" s="5" t="s">
        <v>244</v>
      </c>
      <c r="G207" s="5">
        <v>371819</v>
      </c>
      <c r="H207" s="5" t="s">
        <v>283</v>
      </c>
      <c r="I207" s="5" t="s">
        <v>284</v>
      </c>
      <c r="J207" s="5" t="str">
        <f t="shared" si="9"/>
        <v>THOMAS PARDUE</v>
      </c>
      <c r="K207" s="5" t="s">
        <v>57</v>
      </c>
      <c r="L207" s="6">
        <v>45545</v>
      </c>
      <c r="M207" s="6">
        <v>45971</v>
      </c>
      <c r="N207" s="7">
        <v>15.04</v>
      </c>
      <c r="O207" s="5">
        <f t="shared" si="10"/>
        <v>14</v>
      </c>
      <c r="P207" s="5" t="s">
        <v>214</v>
      </c>
      <c r="Q207" s="5" t="s">
        <v>1274</v>
      </c>
      <c r="R207" s="9">
        <v>0.06</v>
      </c>
      <c r="S207" s="7">
        <v>0.9</v>
      </c>
      <c r="T207" s="5" t="s">
        <v>244</v>
      </c>
    </row>
    <row r="208" spans="1:52" x14ac:dyDescent="0.25">
      <c r="A208" s="5">
        <v>2024754200</v>
      </c>
      <c r="B208" s="5" t="s">
        <v>831</v>
      </c>
      <c r="C208" s="5" t="s">
        <v>832</v>
      </c>
      <c r="D208" s="5" t="str">
        <f t="shared" si="11"/>
        <v>DEREK JONES</v>
      </c>
      <c r="E208" s="5" t="s">
        <v>292</v>
      </c>
      <c r="F208" s="5" t="s">
        <v>295</v>
      </c>
      <c r="G208" s="5">
        <v>371819</v>
      </c>
      <c r="H208" s="5" t="s">
        <v>283</v>
      </c>
      <c r="I208" s="5" t="s">
        <v>284</v>
      </c>
      <c r="J208" s="5" t="str">
        <f t="shared" si="9"/>
        <v>THOMAS PARDUE</v>
      </c>
      <c r="K208" s="5" t="s">
        <v>57</v>
      </c>
      <c r="L208" s="6">
        <v>45542</v>
      </c>
      <c r="M208" s="6">
        <v>45968</v>
      </c>
      <c r="N208" s="7">
        <v>29.25</v>
      </c>
      <c r="O208" s="5">
        <f t="shared" si="10"/>
        <v>14</v>
      </c>
      <c r="P208" s="5" t="s">
        <v>214</v>
      </c>
      <c r="Q208" s="5" t="s">
        <v>1274</v>
      </c>
      <c r="R208" s="9">
        <v>0.1</v>
      </c>
      <c r="S208" s="7">
        <v>2.92</v>
      </c>
      <c r="T208" s="5" t="s">
        <v>295</v>
      </c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  <c r="AX208" s="5"/>
      <c r="AY208" s="5"/>
      <c r="AZ208" s="5"/>
    </row>
    <row r="209" spans="1:52" x14ac:dyDescent="0.25">
      <c r="A209" s="5">
        <v>2024789927</v>
      </c>
      <c r="B209" s="5" t="s">
        <v>686</v>
      </c>
      <c r="C209" s="5" t="s">
        <v>687</v>
      </c>
      <c r="D209" s="5" t="str">
        <f t="shared" si="11"/>
        <v>ASHLEY TOKAS</v>
      </c>
      <c r="E209" s="5" t="s">
        <v>292</v>
      </c>
      <c r="F209" s="5" t="s">
        <v>295</v>
      </c>
      <c r="G209" s="5">
        <v>371819</v>
      </c>
      <c r="H209" s="5" t="s">
        <v>283</v>
      </c>
      <c r="I209" s="5" t="s">
        <v>284</v>
      </c>
      <c r="J209" s="5" t="str">
        <f t="shared" si="9"/>
        <v>THOMAS PARDUE</v>
      </c>
      <c r="K209" s="5" t="s">
        <v>57</v>
      </c>
      <c r="L209" s="6">
        <v>45545</v>
      </c>
      <c r="M209" s="6">
        <v>45971</v>
      </c>
      <c r="N209" s="7">
        <v>18.23</v>
      </c>
      <c r="O209" s="5">
        <f t="shared" si="10"/>
        <v>14</v>
      </c>
      <c r="P209" s="5" t="s">
        <v>214</v>
      </c>
      <c r="Q209" s="5" t="s">
        <v>1274</v>
      </c>
      <c r="R209" s="9">
        <v>0.1</v>
      </c>
      <c r="S209" s="7">
        <v>1.82</v>
      </c>
      <c r="T209" s="5" t="s">
        <v>295</v>
      </c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  <c r="AX209" s="5"/>
      <c r="AY209" s="5"/>
      <c r="AZ209" s="5"/>
    </row>
    <row r="210" spans="1:52" x14ac:dyDescent="0.25">
      <c r="A210" s="5">
        <v>2024792046</v>
      </c>
      <c r="B210" s="5" t="s">
        <v>388</v>
      </c>
      <c r="C210" s="5" t="s">
        <v>648</v>
      </c>
      <c r="D210" s="5" t="str">
        <f t="shared" si="11"/>
        <v>KENNETH WILLIAMS</v>
      </c>
      <c r="E210" s="5" t="s">
        <v>292</v>
      </c>
      <c r="F210" s="5" t="s">
        <v>295</v>
      </c>
      <c r="G210" s="5">
        <v>371819</v>
      </c>
      <c r="H210" s="5" t="s">
        <v>283</v>
      </c>
      <c r="I210" s="5" t="s">
        <v>284</v>
      </c>
      <c r="J210" s="5" t="str">
        <f t="shared" si="9"/>
        <v>THOMAS PARDUE</v>
      </c>
      <c r="K210" s="5" t="s">
        <v>57</v>
      </c>
      <c r="L210" s="6">
        <v>45545</v>
      </c>
      <c r="M210" s="6">
        <v>45971</v>
      </c>
      <c r="N210" s="7">
        <v>51.78</v>
      </c>
      <c r="O210" s="5">
        <f t="shared" si="10"/>
        <v>14</v>
      </c>
      <c r="P210" s="5" t="s">
        <v>214</v>
      </c>
      <c r="Q210" s="5" t="s">
        <v>1274</v>
      </c>
      <c r="R210" s="9">
        <v>0.1</v>
      </c>
      <c r="S210" s="7">
        <v>5.18</v>
      </c>
      <c r="T210" s="5" t="s">
        <v>295</v>
      </c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  <c r="AX210" s="5"/>
      <c r="AY210" s="5"/>
      <c r="AZ210" s="5"/>
    </row>
    <row r="211" spans="1:52" x14ac:dyDescent="0.25">
      <c r="A211" s="5">
        <v>2024314175</v>
      </c>
      <c r="B211" s="5" t="s">
        <v>682</v>
      </c>
      <c r="C211" s="5" t="s">
        <v>683</v>
      </c>
      <c r="D211" s="5" t="str">
        <f t="shared" si="11"/>
        <v>MANUELA YOUMBI</v>
      </c>
      <c r="E211" s="5" t="s">
        <v>89</v>
      </c>
      <c r="F211" s="5" t="s">
        <v>96</v>
      </c>
      <c r="G211" s="5">
        <v>371819</v>
      </c>
      <c r="H211" s="5" t="s">
        <v>283</v>
      </c>
      <c r="I211" s="5" t="s">
        <v>284</v>
      </c>
      <c r="J211" s="5" t="str">
        <f t="shared" si="9"/>
        <v>THOMAS PARDUE</v>
      </c>
      <c r="K211" s="5" t="s">
        <v>57</v>
      </c>
      <c r="L211" s="6">
        <v>45514</v>
      </c>
      <c r="M211" s="6">
        <v>45971</v>
      </c>
      <c r="N211" s="7">
        <v>15.23</v>
      </c>
      <c r="O211" s="5">
        <f t="shared" si="10"/>
        <v>15</v>
      </c>
      <c r="P211" s="5" t="s">
        <v>214</v>
      </c>
      <c r="Q211" s="5" t="s">
        <v>1274</v>
      </c>
      <c r="R211" s="9">
        <v>0.1</v>
      </c>
      <c r="S211" s="7">
        <v>1.52</v>
      </c>
      <c r="T211" s="5" t="s">
        <v>1259</v>
      </c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  <c r="AX211" s="5"/>
      <c r="AY211" s="5"/>
      <c r="AZ211" s="5"/>
    </row>
    <row r="212" spans="1:52" x14ac:dyDescent="0.25">
      <c r="A212" s="5">
        <v>2023921112</v>
      </c>
      <c r="B212" s="5" t="s">
        <v>487</v>
      </c>
      <c r="C212" s="5" t="s">
        <v>488</v>
      </c>
      <c r="D212" s="5" t="str">
        <f t="shared" si="11"/>
        <v>BARBARA BRABEC</v>
      </c>
      <c r="E212" s="5" t="s">
        <v>467</v>
      </c>
      <c r="F212" s="5" t="s">
        <v>489</v>
      </c>
      <c r="G212" s="5">
        <v>16912722</v>
      </c>
      <c r="H212" s="5" t="s">
        <v>490</v>
      </c>
      <c r="I212" s="5" t="s">
        <v>491</v>
      </c>
      <c r="J212" s="5" t="str">
        <f t="shared" si="9"/>
        <v>ANDREA PETRUNGARO</v>
      </c>
      <c r="K212" s="5" t="s">
        <v>57</v>
      </c>
      <c r="L212" s="6">
        <v>45505</v>
      </c>
      <c r="M212" s="6">
        <v>45962</v>
      </c>
      <c r="N212" s="7">
        <v>218.74</v>
      </c>
      <c r="O212" s="5">
        <f t="shared" si="10"/>
        <v>15</v>
      </c>
      <c r="P212" s="5" t="s">
        <v>214</v>
      </c>
      <c r="Q212" s="5" t="s">
        <v>1274</v>
      </c>
      <c r="R212" s="9">
        <v>0.13</v>
      </c>
      <c r="S212" s="7">
        <v>28.44</v>
      </c>
      <c r="T212" s="5" t="s">
        <v>1267</v>
      </c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  <c r="AX212" s="5"/>
      <c r="AY212" s="5"/>
      <c r="AZ212" s="5"/>
    </row>
    <row r="213" spans="1:52" x14ac:dyDescent="0.25">
      <c r="A213" s="5">
        <v>2023981104</v>
      </c>
      <c r="B213" s="5" t="s">
        <v>492</v>
      </c>
      <c r="C213" s="5" t="s">
        <v>238</v>
      </c>
      <c r="D213" s="5" t="str">
        <f t="shared" si="11"/>
        <v>CAROL LU</v>
      </c>
      <c r="E213" s="5" t="s">
        <v>467</v>
      </c>
      <c r="F213" s="5" t="s">
        <v>493</v>
      </c>
      <c r="G213" s="5">
        <v>16912722</v>
      </c>
      <c r="H213" s="5" t="s">
        <v>490</v>
      </c>
      <c r="I213" s="5" t="s">
        <v>491</v>
      </c>
      <c r="J213" s="5" t="str">
        <f t="shared" si="9"/>
        <v>ANDREA PETRUNGARO</v>
      </c>
      <c r="K213" s="5" t="s">
        <v>57</v>
      </c>
      <c r="L213" s="6">
        <v>45505</v>
      </c>
      <c r="M213" s="6">
        <v>45962</v>
      </c>
      <c r="N213" s="7">
        <v>132.85</v>
      </c>
      <c r="O213" s="5">
        <f t="shared" si="10"/>
        <v>15</v>
      </c>
      <c r="P213" s="5" t="s">
        <v>214</v>
      </c>
      <c r="Q213" s="5" t="s">
        <v>1274</v>
      </c>
      <c r="R213" s="9">
        <v>0.26</v>
      </c>
      <c r="S213" s="7">
        <v>34.54</v>
      </c>
      <c r="T213" s="5" t="s">
        <v>1266</v>
      </c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  <c r="AX213" s="5"/>
      <c r="AY213" s="5"/>
      <c r="AZ213" s="5"/>
    </row>
    <row r="214" spans="1:52" s="5" customFormat="1" x14ac:dyDescent="0.25">
      <c r="A214" s="5">
        <v>2024000491</v>
      </c>
      <c r="B214" s="5" t="s">
        <v>813</v>
      </c>
      <c r="C214" s="5" t="s">
        <v>814</v>
      </c>
      <c r="D214" s="5" t="str">
        <f t="shared" si="11"/>
        <v>BILLIE PARROTT</v>
      </c>
      <c r="E214" s="5" t="s">
        <v>292</v>
      </c>
      <c r="F214" s="5" t="s">
        <v>293</v>
      </c>
      <c r="G214" s="5">
        <v>18828278</v>
      </c>
      <c r="H214" s="5" t="s">
        <v>815</v>
      </c>
      <c r="I214" s="5" t="s">
        <v>482</v>
      </c>
      <c r="J214" s="5" t="str">
        <f t="shared" si="9"/>
        <v>MICHAEL DUNAVANT</v>
      </c>
      <c r="K214" s="5" t="s">
        <v>57</v>
      </c>
      <c r="L214" s="6">
        <v>45510</v>
      </c>
      <c r="M214" s="6">
        <v>45967</v>
      </c>
      <c r="N214" s="7">
        <v>49.92</v>
      </c>
      <c r="O214" s="5">
        <f t="shared" si="10"/>
        <v>15</v>
      </c>
      <c r="P214" s="5" t="s">
        <v>214</v>
      </c>
      <c r="Q214" s="5" t="s">
        <v>1274</v>
      </c>
      <c r="R214" s="9">
        <v>0.15</v>
      </c>
      <c r="S214" s="7">
        <v>7.49</v>
      </c>
      <c r="T214" s="5" t="s">
        <v>293</v>
      </c>
    </row>
    <row r="215" spans="1:52" s="5" customFormat="1" x14ac:dyDescent="0.25">
      <c r="A215" s="5">
        <v>2024027343</v>
      </c>
      <c r="B215" s="5" t="s">
        <v>816</v>
      </c>
      <c r="C215" s="5" t="s">
        <v>507</v>
      </c>
      <c r="D215" s="5" t="str">
        <f t="shared" si="11"/>
        <v>DEBRA SCHUMANN</v>
      </c>
      <c r="E215" s="5" t="s">
        <v>292</v>
      </c>
      <c r="F215" s="5" t="s">
        <v>293</v>
      </c>
      <c r="G215" s="5">
        <v>18828278</v>
      </c>
      <c r="H215" s="5" t="s">
        <v>815</v>
      </c>
      <c r="I215" s="5" t="s">
        <v>482</v>
      </c>
      <c r="J215" s="5" t="str">
        <f t="shared" si="9"/>
        <v>MICHAEL DUNAVANT</v>
      </c>
      <c r="K215" s="5" t="s">
        <v>57</v>
      </c>
      <c r="L215" s="6">
        <v>45510</v>
      </c>
      <c r="M215" s="6">
        <v>45967</v>
      </c>
      <c r="N215" s="7">
        <v>110.16</v>
      </c>
      <c r="O215" s="5">
        <f t="shared" si="10"/>
        <v>15</v>
      </c>
      <c r="P215" s="5" t="s">
        <v>214</v>
      </c>
      <c r="Q215" s="5" t="s">
        <v>1274</v>
      </c>
      <c r="R215" s="9">
        <v>0.15</v>
      </c>
      <c r="S215" s="7">
        <v>16.52</v>
      </c>
      <c r="T215" s="5" t="s">
        <v>293</v>
      </c>
    </row>
    <row r="216" spans="1:52" x14ac:dyDescent="0.25">
      <c r="A216" s="5">
        <v>2024314176</v>
      </c>
      <c r="B216" s="5" t="s">
        <v>682</v>
      </c>
      <c r="C216" s="5" t="s">
        <v>683</v>
      </c>
      <c r="D216" s="5" t="str">
        <f t="shared" si="11"/>
        <v>MANUELA YOUMBI</v>
      </c>
      <c r="E216" s="5" t="s">
        <v>292</v>
      </c>
      <c r="F216" s="5" t="s">
        <v>293</v>
      </c>
      <c r="G216" s="5">
        <v>371819</v>
      </c>
      <c r="H216" s="5" t="s">
        <v>283</v>
      </c>
      <c r="I216" s="5" t="s">
        <v>284</v>
      </c>
      <c r="J216" s="5" t="str">
        <f t="shared" si="9"/>
        <v>THOMAS PARDUE</v>
      </c>
      <c r="K216" s="5" t="s">
        <v>57</v>
      </c>
      <c r="L216" s="6">
        <v>45514</v>
      </c>
      <c r="M216" s="6">
        <v>45971</v>
      </c>
      <c r="N216" s="7">
        <v>15.75</v>
      </c>
      <c r="O216" s="5">
        <f t="shared" si="10"/>
        <v>15</v>
      </c>
      <c r="P216" s="5" t="s">
        <v>214</v>
      </c>
      <c r="Q216" s="5" t="s">
        <v>1274</v>
      </c>
      <c r="R216" s="9">
        <v>0.15</v>
      </c>
      <c r="S216" s="7">
        <v>2.36</v>
      </c>
      <c r="T216" s="5" t="s">
        <v>293</v>
      </c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  <c r="AX216" s="5"/>
      <c r="AY216" s="5"/>
      <c r="AZ216" s="5"/>
    </row>
    <row r="217" spans="1:52" x14ac:dyDescent="0.25">
      <c r="A217" s="5">
        <v>2024178503</v>
      </c>
      <c r="B217" s="5" t="s">
        <v>981</v>
      </c>
      <c r="C217" s="5" t="s">
        <v>982</v>
      </c>
      <c r="D217" s="5" t="str">
        <f t="shared" si="11"/>
        <v>SAMANTHA WOLDEN</v>
      </c>
      <c r="E217" s="5" t="s">
        <v>243</v>
      </c>
      <c r="F217" s="5" t="s">
        <v>244</v>
      </c>
      <c r="G217" s="5">
        <v>18828278</v>
      </c>
      <c r="H217" s="5" t="s">
        <v>815</v>
      </c>
      <c r="I217" s="5" t="s">
        <v>482</v>
      </c>
      <c r="J217" s="5" t="str">
        <f t="shared" si="9"/>
        <v>MICHAEL DUNAVANT</v>
      </c>
      <c r="K217" s="5" t="s">
        <v>57</v>
      </c>
      <c r="L217" s="6">
        <v>45510</v>
      </c>
      <c r="M217" s="6">
        <v>45967</v>
      </c>
      <c r="N217" s="7">
        <v>80.16</v>
      </c>
      <c r="O217" s="5">
        <f t="shared" si="10"/>
        <v>15</v>
      </c>
      <c r="P217" s="5" t="s">
        <v>214</v>
      </c>
      <c r="Q217" s="5" t="s">
        <v>1274</v>
      </c>
      <c r="R217" s="9">
        <v>0.06</v>
      </c>
      <c r="S217" s="7">
        <v>4.8099999999999996</v>
      </c>
      <c r="T217" s="5" t="s">
        <v>244</v>
      </c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  <c r="AX217" s="5"/>
      <c r="AY217" s="5"/>
      <c r="AZ217" s="5"/>
    </row>
    <row r="218" spans="1:52" x14ac:dyDescent="0.25">
      <c r="A218" s="5">
        <v>2023849739</v>
      </c>
      <c r="B218" s="5" t="s">
        <v>623</v>
      </c>
      <c r="C218" s="5" t="s">
        <v>680</v>
      </c>
      <c r="D218" s="5" t="str">
        <f t="shared" si="11"/>
        <v>TERI FOSTER</v>
      </c>
      <c r="E218" s="5" t="s">
        <v>89</v>
      </c>
      <c r="F218" s="5" t="s">
        <v>111</v>
      </c>
      <c r="G218" s="5">
        <v>20098658</v>
      </c>
      <c r="H218" s="5" t="s">
        <v>623</v>
      </c>
      <c r="I218" s="5" t="s">
        <v>680</v>
      </c>
      <c r="J218" s="5" t="str">
        <f t="shared" si="9"/>
        <v>TERI FOSTER</v>
      </c>
      <c r="K218" s="5" t="s">
        <v>57</v>
      </c>
      <c r="L218" s="6">
        <v>45482</v>
      </c>
      <c r="M218" s="6">
        <v>45970</v>
      </c>
      <c r="N218" s="7">
        <v>99.45</v>
      </c>
      <c r="O218" s="5">
        <f t="shared" si="10"/>
        <v>16</v>
      </c>
      <c r="P218" s="5" t="s">
        <v>214</v>
      </c>
      <c r="Q218" s="5" t="s">
        <v>1274</v>
      </c>
      <c r="R218" s="9">
        <v>0.1</v>
      </c>
      <c r="S218" s="7">
        <v>9.94</v>
      </c>
      <c r="T218" s="5" t="s">
        <v>1257</v>
      </c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  <c r="AX218" s="5"/>
      <c r="AY218" s="5"/>
      <c r="AZ218" s="5"/>
    </row>
    <row r="219" spans="1:52" x14ac:dyDescent="0.25">
      <c r="A219" s="5">
        <v>2017624589</v>
      </c>
      <c r="B219" s="5" t="s">
        <v>637</v>
      </c>
      <c r="C219" s="5" t="s">
        <v>224</v>
      </c>
      <c r="D219" s="5" t="str">
        <f t="shared" si="11"/>
        <v>JAMES LIPPOLIS</v>
      </c>
      <c r="E219" s="5" t="s">
        <v>243</v>
      </c>
      <c r="F219" s="5" t="s">
        <v>244</v>
      </c>
      <c r="G219" s="5">
        <v>16509456</v>
      </c>
      <c r="H219" s="5" t="s">
        <v>172</v>
      </c>
      <c r="I219" s="5" t="s">
        <v>624</v>
      </c>
      <c r="J219" s="5" t="str">
        <f t="shared" si="9"/>
        <v>PETER RICHTER</v>
      </c>
      <c r="K219" s="5" t="s">
        <v>57</v>
      </c>
      <c r="L219" s="6">
        <v>44967</v>
      </c>
      <c r="M219" s="6">
        <v>45971</v>
      </c>
      <c r="N219" s="7">
        <v>53.08</v>
      </c>
      <c r="O219" s="5">
        <f t="shared" si="10"/>
        <v>33</v>
      </c>
      <c r="P219" s="5" t="s">
        <v>214</v>
      </c>
      <c r="Q219" s="5" t="s">
        <v>1274</v>
      </c>
      <c r="R219" s="9">
        <v>0.06</v>
      </c>
      <c r="S219" s="7">
        <v>3.18</v>
      </c>
      <c r="T219" s="5" t="s">
        <v>244</v>
      </c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  <c r="AX219" s="5"/>
      <c r="AY219" s="5"/>
      <c r="AZ219" s="5"/>
    </row>
    <row r="220" spans="1:52" x14ac:dyDescent="0.25">
      <c r="A220" s="5">
        <v>2017624587</v>
      </c>
      <c r="B220" s="5" t="s">
        <v>637</v>
      </c>
      <c r="C220" s="5" t="s">
        <v>224</v>
      </c>
      <c r="D220" s="5" t="str">
        <f t="shared" si="11"/>
        <v>JAMES LIPPOLIS</v>
      </c>
      <c r="E220" s="5" t="s">
        <v>53</v>
      </c>
      <c r="F220" s="5" t="s">
        <v>54</v>
      </c>
      <c r="G220" s="5">
        <v>16509456</v>
      </c>
      <c r="H220" s="5" t="s">
        <v>172</v>
      </c>
      <c r="I220" s="5" t="s">
        <v>624</v>
      </c>
      <c r="J220" s="5" t="str">
        <f t="shared" si="9"/>
        <v>PETER RICHTER</v>
      </c>
      <c r="K220" s="5" t="s">
        <v>57</v>
      </c>
      <c r="L220" s="6">
        <v>44967</v>
      </c>
      <c r="M220" s="6">
        <v>45971</v>
      </c>
      <c r="N220" s="7">
        <v>61.81</v>
      </c>
      <c r="O220" s="5">
        <f t="shared" si="10"/>
        <v>33</v>
      </c>
      <c r="P220" s="5" t="s">
        <v>214</v>
      </c>
      <c r="Q220" s="5" t="s">
        <v>1274</v>
      </c>
      <c r="R220" s="8">
        <v>6.5000000000000002E-2</v>
      </c>
      <c r="S220" s="7">
        <v>4.0199999999999996</v>
      </c>
      <c r="T220" s="5" t="s">
        <v>54</v>
      </c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  <c r="AX220" s="5"/>
      <c r="AY220" s="5"/>
      <c r="AZ220" s="5"/>
    </row>
    <row r="221" spans="1:52" x14ac:dyDescent="0.25">
      <c r="A221" s="5">
        <v>2017003447</v>
      </c>
      <c r="B221" s="5" t="s">
        <v>967</v>
      </c>
      <c r="C221" s="5" t="s">
        <v>72</v>
      </c>
      <c r="D221" s="5" t="str">
        <f t="shared" si="11"/>
        <v>JOHN ROGALSKY</v>
      </c>
      <c r="E221" s="5" t="s">
        <v>243</v>
      </c>
      <c r="F221" s="5" t="s">
        <v>244</v>
      </c>
      <c r="G221" s="5">
        <v>16509456</v>
      </c>
      <c r="H221" s="5" t="s">
        <v>172</v>
      </c>
      <c r="I221" s="5" t="s">
        <v>624</v>
      </c>
      <c r="J221" s="5" t="str">
        <f t="shared" si="9"/>
        <v>PETER RICHTER</v>
      </c>
      <c r="K221" s="5" t="s">
        <v>57</v>
      </c>
      <c r="L221" s="6">
        <v>44902</v>
      </c>
      <c r="M221" s="6">
        <v>45968</v>
      </c>
      <c r="N221" s="7">
        <v>39.979999999999997</v>
      </c>
      <c r="O221" s="5">
        <f t="shared" si="10"/>
        <v>35</v>
      </c>
      <c r="P221" s="5" t="s">
        <v>214</v>
      </c>
      <c r="Q221" s="5" t="s">
        <v>1274</v>
      </c>
      <c r="R221" s="9">
        <v>0.06</v>
      </c>
      <c r="S221" s="7">
        <v>2.4</v>
      </c>
      <c r="T221" s="5" t="s">
        <v>244</v>
      </c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  <c r="AX221" s="5"/>
      <c r="AY221" s="5"/>
      <c r="AZ221" s="5"/>
    </row>
    <row r="222" spans="1:52" x14ac:dyDescent="0.25">
      <c r="A222">
        <v>2030435038</v>
      </c>
      <c r="B222" t="s">
        <v>368</v>
      </c>
      <c r="C222" t="s">
        <v>928</v>
      </c>
      <c r="D222" t="str">
        <f t="shared" si="11"/>
        <v>DAKOTA BROWN</v>
      </c>
      <c r="E222" t="s">
        <v>292</v>
      </c>
      <c r="F222" t="s">
        <v>536</v>
      </c>
      <c r="G222">
        <v>8307933</v>
      </c>
      <c r="H222" t="s">
        <v>112</v>
      </c>
      <c r="I222" t="s">
        <v>104</v>
      </c>
      <c r="J222" t="str">
        <f t="shared" si="9"/>
        <v>GREGORY TEIPEL</v>
      </c>
      <c r="K222" t="s">
        <v>57</v>
      </c>
      <c r="L222" s="1">
        <v>45907</v>
      </c>
      <c r="M222" s="1">
        <v>45968</v>
      </c>
      <c r="N222" s="2">
        <v>21.44</v>
      </c>
      <c r="O222">
        <f t="shared" si="10"/>
        <v>2</v>
      </c>
      <c r="P222" t="s">
        <v>214</v>
      </c>
      <c r="Q222" t="s">
        <v>1274</v>
      </c>
      <c r="R222" s="3">
        <v>0.7</v>
      </c>
      <c r="S222" s="2">
        <v>15.01</v>
      </c>
      <c r="T222" t="s">
        <v>536</v>
      </c>
    </row>
    <row r="223" spans="1:52" x14ac:dyDescent="0.25">
      <c r="A223">
        <v>2030518949</v>
      </c>
      <c r="B223" t="s">
        <v>939</v>
      </c>
      <c r="C223" t="s">
        <v>940</v>
      </c>
      <c r="D223" t="str">
        <f t="shared" si="11"/>
        <v>ALYSSA MIELKE</v>
      </c>
      <c r="E223" t="s">
        <v>292</v>
      </c>
      <c r="F223" t="s">
        <v>536</v>
      </c>
      <c r="G223">
        <v>8307933</v>
      </c>
      <c r="H223" t="s">
        <v>112</v>
      </c>
      <c r="I223" t="s">
        <v>104</v>
      </c>
      <c r="J223" t="str">
        <f t="shared" si="9"/>
        <v>GREGORY TEIPEL</v>
      </c>
      <c r="K223" t="s">
        <v>57</v>
      </c>
      <c r="L223" s="1">
        <v>45907</v>
      </c>
      <c r="M223" s="1">
        <v>45968</v>
      </c>
      <c r="N223" s="2">
        <v>21.44</v>
      </c>
      <c r="O223">
        <f t="shared" si="10"/>
        <v>2</v>
      </c>
      <c r="P223" t="s">
        <v>214</v>
      </c>
      <c r="Q223" t="s">
        <v>1274</v>
      </c>
      <c r="R223" s="3">
        <v>0.7</v>
      </c>
      <c r="S223" s="2">
        <v>15.01</v>
      </c>
      <c r="T223" t="s">
        <v>536</v>
      </c>
    </row>
    <row r="224" spans="1:52" x14ac:dyDescent="0.25">
      <c r="A224">
        <v>2030735251</v>
      </c>
      <c r="B224" t="s">
        <v>951</v>
      </c>
      <c r="C224" t="s">
        <v>952</v>
      </c>
      <c r="D224" t="str">
        <f t="shared" si="11"/>
        <v>EDELENBOS BEATRIX</v>
      </c>
      <c r="E224" t="s">
        <v>292</v>
      </c>
      <c r="F224" t="s">
        <v>536</v>
      </c>
      <c r="G224">
        <v>5442438</v>
      </c>
      <c r="H224" t="s">
        <v>106</v>
      </c>
      <c r="I224" t="s">
        <v>107</v>
      </c>
      <c r="J224" t="str">
        <f t="shared" si="9"/>
        <v>Ronald Max</v>
      </c>
      <c r="K224" t="s">
        <v>57</v>
      </c>
      <c r="L224" s="1">
        <v>45906</v>
      </c>
      <c r="M224" s="1">
        <v>45967</v>
      </c>
      <c r="N224" s="2">
        <v>24.61</v>
      </c>
      <c r="O224">
        <f t="shared" si="10"/>
        <v>2</v>
      </c>
      <c r="P224" t="s">
        <v>214</v>
      </c>
      <c r="Q224" t="s">
        <v>1274</v>
      </c>
      <c r="R224" s="3">
        <v>0.7</v>
      </c>
      <c r="S224" s="2">
        <v>17.23</v>
      </c>
      <c r="T224" t="s">
        <v>536</v>
      </c>
    </row>
    <row r="225" spans="1:20" x14ac:dyDescent="0.25">
      <c r="A225">
        <v>2030933672</v>
      </c>
      <c r="B225" t="s">
        <v>955</v>
      </c>
      <c r="C225" t="s">
        <v>956</v>
      </c>
      <c r="D225" t="str">
        <f t="shared" si="11"/>
        <v>NATALIA GORSKI</v>
      </c>
      <c r="E225" t="s">
        <v>292</v>
      </c>
      <c r="F225" t="s">
        <v>294</v>
      </c>
      <c r="G225">
        <v>5442438</v>
      </c>
      <c r="H225" t="s">
        <v>106</v>
      </c>
      <c r="I225" t="s">
        <v>107</v>
      </c>
      <c r="J225" t="str">
        <f t="shared" si="9"/>
        <v>Ronald Max</v>
      </c>
      <c r="K225" t="s">
        <v>57</v>
      </c>
      <c r="L225" s="1">
        <v>45909</v>
      </c>
      <c r="M225" s="1">
        <v>45970</v>
      </c>
      <c r="N225" s="2">
        <v>24.61</v>
      </c>
      <c r="O225">
        <f t="shared" si="10"/>
        <v>2</v>
      </c>
      <c r="P225" t="s">
        <v>214</v>
      </c>
      <c r="Q225" t="s">
        <v>1274</v>
      </c>
      <c r="R225" s="3">
        <v>0.7</v>
      </c>
      <c r="S225" s="2">
        <v>17.23</v>
      </c>
      <c r="T225" t="s">
        <v>536</v>
      </c>
    </row>
    <row r="226" spans="1:20" x14ac:dyDescent="0.25">
      <c r="A226">
        <v>2030517071</v>
      </c>
      <c r="B226" t="s">
        <v>937</v>
      </c>
      <c r="C226" t="s">
        <v>938</v>
      </c>
      <c r="D226" t="str">
        <f t="shared" si="11"/>
        <v>CORTNEY BLACKWELL</v>
      </c>
      <c r="E226" t="s">
        <v>89</v>
      </c>
      <c r="F226" t="s">
        <v>111</v>
      </c>
      <c r="G226">
        <v>8307933</v>
      </c>
      <c r="H226" t="s">
        <v>112</v>
      </c>
      <c r="I226" t="s">
        <v>104</v>
      </c>
      <c r="J226" t="str">
        <f t="shared" si="9"/>
        <v>GREGORY TEIPEL</v>
      </c>
      <c r="K226" t="s">
        <v>57</v>
      </c>
      <c r="L226" s="1">
        <v>45907</v>
      </c>
      <c r="M226" s="1">
        <v>45968</v>
      </c>
      <c r="N226" s="2">
        <v>41.58</v>
      </c>
      <c r="O226">
        <f t="shared" si="10"/>
        <v>2</v>
      </c>
      <c r="P226" t="s">
        <v>214</v>
      </c>
      <c r="Q226" t="s">
        <v>1274</v>
      </c>
      <c r="R226" s="3">
        <v>0.75</v>
      </c>
      <c r="S226" s="2">
        <v>31.18</v>
      </c>
      <c r="T226" t="s">
        <v>1257</v>
      </c>
    </row>
    <row r="227" spans="1:20" x14ac:dyDescent="0.25">
      <c r="A227">
        <v>2030477513</v>
      </c>
      <c r="B227" t="s">
        <v>933</v>
      </c>
      <c r="C227" t="s">
        <v>934</v>
      </c>
      <c r="D227" t="str">
        <f t="shared" si="11"/>
        <v>JASMINE RICHARDS</v>
      </c>
      <c r="E227" t="s">
        <v>89</v>
      </c>
      <c r="F227" t="s">
        <v>111</v>
      </c>
      <c r="G227">
        <v>8307933</v>
      </c>
      <c r="H227" t="s">
        <v>112</v>
      </c>
      <c r="I227" t="s">
        <v>104</v>
      </c>
      <c r="J227" t="str">
        <f t="shared" si="9"/>
        <v>GREGORY TEIPEL</v>
      </c>
      <c r="K227" t="s">
        <v>57</v>
      </c>
      <c r="L227" s="1">
        <v>45906</v>
      </c>
      <c r="M227" s="1">
        <v>45967</v>
      </c>
      <c r="N227" s="2">
        <v>24.48</v>
      </c>
      <c r="O227">
        <f t="shared" si="10"/>
        <v>2</v>
      </c>
      <c r="P227" t="s">
        <v>214</v>
      </c>
      <c r="Q227" t="s">
        <v>1274</v>
      </c>
      <c r="R227" s="3">
        <v>0.75</v>
      </c>
      <c r="S227" s="2">
        <v>18.36</v>
      </c>
      <c r="T227" t="s">
        <v>1257</v>
      </c>
    </row>
    <row r="228" spans="1:20" x14ac:dyDescent="0.25">
      <c r="A228">
        <v>2030752805</v>
      </c>
      <c r="B228" t="s">
        <v>953</v>
      </c>
      <c r="C228" t="s">
        <v>954</v>
      </c>
      <c r="D228" t="str">
        <f t="shared" si="11"/>
        <v>ERO WALLI</v>
      </c>
      <c r="E228" t="s">
        <v>89</v>
      </c>
      <c r="F228" t="s">
        <v>102</v>
      </c>
      <c r="G228">
        <v>8307933</v>
      </c>
      <c r="H228" t="s">
        <v>112</v>
      </c>
      <c r="I228" t="s">
        <v>104</v>
      </c>
      <c r="J228" t="str">
        <f t="shared" si="9"/>
        <v>GREGORY TEIPEL</v>
      </c>
      <c r="K228" t="s">
        <v>57</v>
      </c>
      <c r="L228" s="1">
        <v>45906</v>
      </c>
      <c r="M228" s="1">
        <v>45967</v>
      </c>
      <c r="N228" s="2">
        <v>74.11</v>
      </c>
      <c r="O228">
        <f t="shared" si="10"/>
        <v>2</v>
      </c>
      <c r="P228" t="s">
        <v>214</v>
      </c>
      <c r="Q228" t="s">
        <v>1274</v>
      </c>
      <c r="R228" s="3">
        <v>0.75</v>
      </c>
      <c r="S228" s="2">
        <v>55.58</v>
      </c>
      <c r="T228" t="s">
        <v>1257</v>
      </c>
    </row>
    <row r="229" spans="1:20" x14ac:dyDescent="0.25">
      <c r="A229">
        <v>2030317596</v>
      </c>
      <c r="B229" t="s">
        <v>916</v>
      </c>
      <c r="C229" t="s">
        <v>745</v>
      </c>
      <c r="D229" t="str">
        <f t="shared" si="11"/>
        <v>ANGELA DOWDLE</v>
      </c>
      <c r="E229" t="s">
        <v>89</v>
      </c>
      <c r="F229" t="s">
        <v>102</v>
      </c>
      <c r="G229">
        <v>8307933</v>
      </c>
      <c r="H229" t="s">
        <v>112</v>
      </c>
      <c r="I229" t="s">
        <v>104</v>
      </c>
      <c r="J229" t="str">
        <f t="shared" si="9"/>
        <v>GREGORY TEIPEL</v>
      </c>
      <c r="K229" t="s">
        <v>57</v>
      </c>
      <c r="L229" s="1">
        <v>45906</v>
      </c>
      <c r="M229" s="1">
        <v>45967</v>
      </c>
      <c r="N229" s="2">
        <v>69.3</v>
      </c>
      <c r="O229">
        <f t="shared" si="10"/>
        <v>2</v>
      </c>
      <c r="P229" t="s">
        <v>214</v>
      </c>
      <c r="Q229" t="s">
        <v>1274</v>
      </c>
      <c r="R229" s="3">
        <v>0.75</v>
      </c>
      <c r="S229" s="2">
        <v>51.98</v>
      </c>
      <c r="T229" t="s">
        <v>1257</v>
      </c>
    </row>
    <row r="230" spans="1:20" x14ac:dyDescent="0.25">
      <c r="A230">
        <v>2030917278</v>
      </c>
      <c r="B230" t="s">
        <v>551</v>
      </c>
      <c r="C230" t="s">
        <v>552</v>
      </c>
      <c r="D230" t="str">
        <f t="shared" si="11"/>
        <v>ALICJA MATUSIAK</v>
      </c>
      <c r="E230" t="s">
        <v>89</v>
      </c>
      <c r="F230" t="s">
        <v>102</v>
      </c>
      <c r="G230">
        <v>21564088</v>
      </c>
      <c r="H230" t="s">
        <v>554</v>
      </c>
      <c r="I230" t="s">
        <v>555</v>
      </c>
      <c r="J230" t="str">
        <f t="shared" si="9"/>
        <v>Jennifer Halsaver</v>
      </c>
      <c r="K230" t="s">
        <v>57</v>
      </c>
      <c r="L230" s="1">
        <v>45910</v>
      </c>
      <c r="M230" s="1">
        <v>45971</v>
      </c>
      <c r="N230" s="2">
        <v>32.380000000000003</v>
      </c>
      <c r="O230">
        <f t="shared" si="10"/>
        <v>2</v>
      </c>
      <c r="P230" t="s">
        <v>214</v>
      </c>
      <c r="Q230" t="s">
        <v>1274</v>
      </c>
      <c r="R230" s="3">
        <v>0.75</v>
      </c>
      <c r="S230" s="2">
        <v>24.28</v>
      </c>
      <c r="T230" t="s">
        <v>1257</v>
      </c>
    </row>
    <row r="231" spans="1:20" x14ac:dyDescent="0.25">
      <c r="A231">
        <v>2030675271</v>
      </c>
      <c r="B231" t="s">
        <v>944</v>
      </c>
      <c r="C231" t="s">
        <v>945</v>
      </c>
      <c r="D231" t="str">
        <f t="shared" si="11"/>
        <v>RAMSEY JEANNIE</v>
      </c>
      <c r="E231" t="s">
        <v>89</v>
      </c>
      <c r="F231" t="s">
        <v>102</v>
      </c>
      <c r="G231">
        <v>1706194</v>
      </c>
      <c r="H231" t="s">
        <v>97</v>
      </c>
      <c r="I231" t="s">
        <v>98</v>
      </c>
      <c r="J231" t="str">
        <f t="shared" si="9"/>
        <v>MATTHEW DAUGHERTY</v>
      </c>
      <c r="K231" t="s">
        <v>57</v>
      </c>
      <c r="L231" s="1">
        <v>45901</v>
      </c>
      <c r="M231" s="1">
        <v>45962</v>
      </c>
      <c r="N231" s="2">
        <v>-58.93</v>
      </c>
      <c r="O231">
        <f t="shared" si="10"/>
        <v>2</v>
      </c>
      <c r="P231" t="s">
        <v>214</v>
      </c>
      <c r="Q231" t="s">
        <v>1274</v>
      </c>
      <c r="R231" s="3">
        <v>0.75</v>
      </c>
      <c r="S231" s="2">
        <v>-44.2</v>
      </c>
      <c r="T231" t="s">
        <v>1257</v>
      </c>
    </row>
    <row r="232" spans="1:20" x14ac:dyDescent="0.25">
      <c r="A232">
        <v>2030963809</v>
      </c>
      <c r="B232" t="s">
        <v>958</v>
      </c>
      <c r="C232" t="s">
        <v>959</v>
      </c>
      <c r="D232" t="str">
        <f t="shared" si="11"/>
        <v>GLENN ALBERT</v>
      </c>
      <c r="E232" t="s">
        <v>89</v>
      </c>
      <c r="F232" t="s">
        <v>102</v>
      </c>
      <c r="G232">
        <v>8977234</v>
      </c>
      <c r="H232" t="s">
        <v>80</v>
      </c>
      <c r="I232" t="s">
        <v>81</v>
      </c>
      <c r="J232" t="str">
        <f t="shared" si="9"/>
        <v>RYAN CALTAGIRONE</v>
      </c>
      <c r="K232" t="s">
        <v>57</v>
      </c>
      <c r="L232" s="1">
        <v>45910</v>
      </c>
      <c r="M232" s="1">
        <v>45971</v>
      </c>
      <c r="N232" s="2">
        <v>74.290000000000006</v>
      </c>
      <c r="O232">
        <f t="shared" si="10"/>
        <v>2</v>
      </c>
      <c r="P232" t="s">
        <v>214</v>
      </c>
      <c r="Q232" t="s">
        <v>1274</v>
      </c>
      <c r="R232" s="3">
        <v>0.75</v>
      </c>
      <c r="S232" s="2">
        <v>55.72</v>
      </c>
      <c r="T232" t="s">
        <v>1257</v>
      </c>
    </row>
    <row r="233" spans="1:20" x14ac:dyDescent="0.25">
      <c r="A233">
        <v>2030703147</v>
      </c>
      <c r="B233" t="s">
        <v>948</v>
      </c>
      <c r="C233" t="s">
        <v>949</v>
      </c>
      <c r="D233" t="str">
        <f t="shared" si="11"/>
        <v>HANNIBAL QUILLAN</v>
      </c>
      <c r="E233" t="s">
        <v>89</v>
      </c>
      <c r="F233" t="s">
        <v>102</v>
      </c>
      <c r="G233">
        <v>8977234</v>
      </c>
      <c r="H233" t="s">
        <v>80</v>
      </c>
      <c r="I233" t="s">
        <v>81</v>
      </c>
      <c r="J233" t="str">
        <f t="shared" si="9"/>
        <v>RYAN CALTAGIRONE</v>
      </c>
      <c r="K233" t="s">
        <v>57</v>
      </c>
      <c r="L233" s="1">
        <v>45901</v>
      </c>
      <c r="M233" s="1">
        <v>45962</v>
      </c>
      <c r="N233" s="2">
        <v>-22.15</v>
      </c>
      <c r="O233">
        <f t="shared" si="10"/>
        <v>2</v>
      </c>
      <c r="P233" t="s">
        <v>214</v>
      </c>
      <c r="Q233" t="s">
        <v>1274</v>
      </c>
      <c r="R233" s="3">
        <v>0.75</v>
      </c>
      <c r="S233" s="2">
        <v>-16.61</v>
      </c>
      <c r="T233" t="s">
        <v>1257</v>
      </c>
    </row>
    <row r="234" spans="1:20" x14ac:dyDescent="0.25">
      <c r="A234">
        <v>2030641191</v>
      </c>
      <c r="B234" t="s">
        <v>941</v>
      </c>
      <c r="C234" t="s">
        <v>593</v>
      </c>
      <c r="D234" t="str">
        <f t="shared" si="11"/>
        <v>LISA PERRY</v>
      </c>
      <c r="E234" t="s">
        <v>89</v>
      </c>
      <c r="F234" t="s">
        <v>90</v>
      </c>
      <c r="G234">
        <v>8307933</v>
      </c>
      <c r="H234" t="s">
        <v>112</v>
      </c>
      <c r="I234" t="s">
        <v>104</v>
      </c>
      <c r="J234" t="str">
        <f t="shared" si="9"/>
        <v>GREGORY TEIPEL</v>
      </c>
      <c r="K234" t="s">
        <v>57</v>
      </c>
      <c r="L234" s="1">
        <v>45906</v>
      </c>
      <c r="M234" s="1">
        <v>45967</v>
      </c>
      <c r="N234" s="2">
        <v>57.54</v>
      </c>
      <c r="O234">
        <f t="shared" si="10"/>
        <v>2</v>
      </c>
      <c r="P234" t="s">
        <v>214</v>
      </c>
      <c r="Q234" t="s">
        <v>1274</v>
      </c>
      <c r="R234" s="3">
        <v>0.65</v>
      </c>
      <c r="S234" s="2">
        <v>37.4</v>
      </c>
      <c r="T234" t="s">
        <v>1258</v>
      </c>
    </row>
    <row r="235" spans="1:20" x14ac:dyDescent="0.25">
      <c r="A235">
        <v>2030951715</v>
      </c>
      <c r="B235" t="s">
        <v>957</v>
      </c>
      <c r="C235" t="s">
        <v>708</v>
      </c>
      <c r="D235" t="str">
        <f t="shared" si="11"/>
        <v>SARAH FULLERTON</v>
      </c>
      <c r="E235" t="s">
        <v>89</v>
      </c>
      <c r="F235" t="s">
        <v>96</v>
      </c>
      <c r="G235">
        <v>9079571</v>
      </c>
      <c r="H235" t="s">
        <v>172</v>
      </c>
      <c r="I235" t="s">
        <v>173</v>
      </c>
      <c r="J235" t="str">
        <f t="shared" si="9"/>
        <v>ADAM RICHTER</v>
      </c>
      <c r="K235" t="s">
        <v>57</v>
      </c>
      <c r="L235" s="1">
        <v>45910</v>
      </c>
      <c r="M235" s="1">
        <v>45971</v>
      </c>
      <c r="N235" s="2">
        <v>38.67</v>
      </c>
      <c r="O235">
        <f t="shared" si="10"/>
        <v>2</v>
      </c>
      <c r="P235" t="s">
        <v>214</v>
      </c>
      <c r="Q235" t="s">
        <v>1274</v>
      </c>
      <c r="R235" s="3">
        <v>0.9</v>
      </c>
      <c r="S235" s="2">
        <v>34.799999999999997</v>
      </c>
      <c r="T235" t="s">
        <v>1259</v>
      </c>
    </row>
    <row r="236" spans="1:20" x14ac:dyDescent="0.25">
      <c r="A236">
        <v>2030336751</v>
      </c>
      <c r="B236" t="s">
        <v>918</v>
      </c>
      <c r="C236" t="s">
        <v>919</v>
      </c>
      <c r="D236" t="str">
        <f t="shared" si="11"/>
        <v>LAUREN SLOSS</v>
      </c>
      <c r="E236" t="s">
        <v>89</v>
      </c>
      <c r="F236" t="s">
        <v>96</v>
      </c>
      <c r="G236">
        <v>8307933</v>
      </c>
      <c r="H236" t="s">
        <v>112</v>
      </c>
      <c r="I236" t="s">
        <v>104</v>
      </c>
      <c r="J236" t="str">
        <f t="shared" si="9"/>
        <v>GREGORY TEIPEL</v>
      </c>
      <c r="K236" t="s">
        <v>57</v>
      </c>
      <c r="L236" s="1">
        <v>45906</v>
      </c>
      <c r="M236" s="1">
        <v>45967</v>
      </c>
      <c r="N236" s="2">
        <v>216.41</v>
      </c>
      <c r="O236">
        <f t="shared" si="10"/>
        <v>2</v>
      </c>
      <c r="P236" t="s">
        <v>214</v>
      </c>
      <c r="Q236" t="s">
        <v>1274</v>
      </c>
      <c r="R236" s="3">
        <v>0.9</v>
      </c>
      <c r="S236" s="2">
        <v>194.77</v>
      </c>
      <c r="T236" t="s">
        <v>1259</v>
      </c>
    </row>
    <row r="237" spans="1:20" x14ac:dyDescent="0.25">
      <c r="A237">
        <v>2030443828</v>
      </c>
      <c r="B237" t="s">
        <v>930</v>
      </c>
      <c r="C237" t="s">
        <v>931</v>
      </c>
      <c r="D237" t="str">
        <f t="shared" si="11"/>
        <v>TATYANA MUKHIN</v>
      </c>
      <c r="E237" t="s">
        <v>89</v>
      </c>
      <c r="F237" t="s">
        <v>96</v>
      </c>
      <c r="G237">
        <v>8307933</v>
      </c>
      <c r="H237" t="s">
        <v>112</v>
      </c>
      <c r="I237" t="s">
        <v>104</v>
      </c>
      <c r="J237" t="str">
        <f t="shared" si="9"/>
        <v>GREGORY TEIPEL</v>
      </c>
      <c r="K237" t="s">
        <v>57</v>
      </c>
      <c r="L237" s="1">
        <v>45907</v>
      </c>
      <c r="M237" s="1">
        <v>45968</v>
      </c>
      <c r="N237" s="2">
        <v>176.63</v>
      </c>
      <c r="O237">
        <f t="shared" si="10"/>
        <v>2</v>
      </c>
      <c r="P237" t="s">
        <v>214</v>
      </c>
      <c r="Q237" t="s">
        <v>1274</v>
      </c>
      <c r="R237" s="3">
        <v>0.9</v>
      </c>
      <c r="S237" s="2">
        <v>158.97</v>
      </c>
      <c r="T237" t="s">
        <v>1259</v>
      </c>
    </row>
    <row r="238" spans="1:20" x14ac:dyDescent="0.25">
      <c r="A238">
        <v>2030719341</v>
      </c>
      <c r="B238" t="s">
        <v>950</v>
      </c>
      <c r="C238" t="s">
        <v>570</v>
      </c>
      <c r="D238" t="str">
        <f t="shared" si="11"/>
        <v>SHELLEY SPICER</v>
      </c>
      <c r="E238" t="s">
        <v>89</v>
      </c>
      <c r="F238" t="s">
        <v>96</v>
      </c>
      <c r="G238">
        <v>8307933</v>
      </c>
      <c r="H238" t="s">
        <v>112</v>
      </c>
      <c r="I238" t="s">
        <v>104</v>
      </c>
      <c r="J238" t="str">
        <f t="shared" si="9"/>
        <v>GREGORY TEIPEL</v>
      </c>
      <c r="K238" t="s">
        <v>57</v>
      </c>
      <c r="L238" s="1">
        <v>45906</v>
      </c>
      <c r="M238" s="1">
        <v>45967</v>
      </c>
      <c r="N238" s="2">
        <v>167.21</v>
      </c>
      <c r="O238">
        <f t="shared" si="10"/>
        <v>2</v>
      </c>
      <c r="P238" t="s">
        <v>214</v>
      </c>
      <c r="Q238" t="s">
        <v>1274</v>
      </c>
      <c r="R238" s="3">
        <v>0.9</v>
      </c>
      <c r="S238" s="2">
        <v>150.49</v>
      </c>
      <c r="T238" t="s">
        <v>1259</v>
      </c>
    </row>
    <row r="239" spans="1:20" x14ac:dyDescent="0.25">
      <c r="A239">
        <v>2030441006</v>
      </c>
      <c r="B239" t="s">
        <v>929</v>
      </c>
      <c r="C239" t="s">
        <v>593</v>
      </c>
      <c r="D239" t="str">
        <f t="shared" si="11"/>
        <v>LISA JIMENEZ</v>
      </c>
      <c r="E239" t="s">
        <v>89</v>
      </c>
      <c r="F239" t="s">
        <v>96</v>
      </c>
      <c r="G239">
        <v>8307933</v>
      </c>
      <c r="H239" t="s">
        <v>112</v>
      </c>
      <c r="I239" t="s">
        <v>104</v>
      </c>
      <c r="J239" t="str">
        <f t="shared" si="9"/>
        <v>GREGORY TEIPEL</v>
      </c>
      <c r="K239" t="s">
        <v>57</v>
      </c>
      <c r="L239" s="1">
        <v>45907</v>
      </c>
      <c r="M239" s="1">
        <v>45968</v>
      </c>
      <c r="N239" s="2">
        <v>101.93</v>
      </c>
      <c r="O239">
        <f t="shared" si="10"/>
        <v>2</v>
      </c>
      <c r="P239" t="s">
        <v>214</v>
      </c>
      <c r="Q239" t="s">
        <v>1274</v>
      </c>
      <c r="R239" s="3">
        <v>0.9</v>
      </c>
      <c r="S239" s="2">
        <v>91.74</v>
      </c>
      <c r="T239" t="s">
        <v>1259</v>
      </c>
    </row>
    <row r="240" spans="1:20" x14ac:dyDescent="0.25">
      <c r="A240">
        <v>2030435037</v>
      </c>
      <c r="B240" t="s">
        <v>368</v>
      </c>
      <c r="C240" t="s">
        <v>928</v>
      </c>
      <c r="D240" t="str">
        <f t="shared" si="11"/>
        <v>DAKOTA BROWN</v>
      </c>
      <c r="E240" t="s">
        <v>89</v>
      </c>
      <c r="F240" t="s">
        <v>96</v>
      </c>
      <c r="G240">
        <v>8307933</v>
      </c>
      <c r="H240" t="s">
        <v>112</v>
      </c>
      <c r="I240" t="s">
        <v>104</v>
      </c>
      <c r="J240" t="str">
        <f t="shared" si="9"/>
        <v>GREGORY TEIPEL</v>
      </c>
      <c r="K240" t="s">
        <v>57</v>
      </c>
      <c r="L240" s="1">
        <v>45907</v>
      </c>
      <c r="M240" s="1">
        <v>45968</v>
      </c>
      <c r="N240" s="2">
        <v>87.13</v>
      </c>
      <c r="O240">
        <f t="shared" si="10"/>
        <v>2</v>
      </c>
      <c r="P240" t="s">
        <v>214</v>
      </c>
      <c r="Q240" t="s">
        <v>1274</v>
      </c>
      <c r="R240" s="3">
        <v>0.9</v>
      </c>
      <c r="S240" s="2">
        <v>78.42</v>
      </c>
      <c r="T240" t="s">
        <v>1259</v>
      </c>
    </row>
    <row r="241" spans="1:20" x14ac:dyDescent="0.25">
      <c r="A241">
        <v>2030678711</v>
      </c>
      <c r="B241" t="s">
        <v>946</v>
      </c>
      <c r="C241" t="s">
        <v>947</v>
      </c>
      <c r="D241" t="str">
        <f t="shared" si="11"/>
        <v>OLHA NOVAKOVSKA</v>
      </c>
      <c r="E241" t="s">
        <v>89</v>
      </c>
      <c r="F241" t="s">
        <v>96</v>
      </c>
      <c r="G241">
        <v>8307933</v>
      </c>
      <c r="H241" t="s">
        <v>112</v>
      </c>
      <c r="I241" t="s">
        <v>104</v>
      </c>
      <c r="J241" t="str">
        <f t="shared" si="9"/>
        <v>GREGORY TEIPEL</v>
      </c>
      <c r="K241" t="s">
        <v>57</v>
      </c>
      <c r="L241" s="1">
        <v>45906</v>
      </c>
      <c r="M241" s="1">
        <v>45967</v>
      </c>
      <c r="N241" s="2">
        <v>87.08</v>
      </c>
      <c r="O241">
        <f t="shared" si="10"/>
        <v>2</v>
      </c>
      <c r="P241" t="s">
        <v>214</v>
      </c>
      <c r="Q241" t="s">
        <v>1274</v>
      </c>
      <c r="R241" s="3">
        <v>0.9</v>
      </c>
      <c r="S241" s="2">
        <v>78.37</v>
      </c>
      <c r="T241" t="s">
        <v>1259</v>
      </c>
    </row>
    <row r="242" spans="1:20" x14ac:dyDescent="0.25">
      <c r="A242">
        <v>2030518950</v>
      </c>
      <c r="B242" t="s">
        <v>939</v>
      </c>
      <c r="C242" t="s">
        <v>940</v>
      </c>
      <c r="D242" t="str">
        <f t="shared" si="11"/>
        <v>ALYSSA MIELKE</v>
      </c>
      <c r="E242" t="s">
        <v>89</v>
      </c>
      <c r="F242" t="s">
        <v>96</v>
      </c>
      <c r="G242">
        <v>8307933</v>
      </c>
      <c r="H242" t="s">
        <v>112</v>
      </c>
      <c r="I242" t="s">
        <v>104</v>
      </c>
      <c r="J242" t="str">
        <f t="shared" si="9"/>
        <v>GREGORY TEIPEL</v>
      </c>
      <c r="K242" t="s">
        <v>57</v>
      </c>
      <c r="L242" s="1">
        <v>45907</v>
      </c>
      <c r="M242" s="1">
        <v>45968</v>
      </c>
      <c r="N242" s="2">
        <v>68.25</v>
      </c>
      <c r="O242">
        <f t="shared" si="10"/>
        <v>2</v>
      </c>
      <c r="P242" t="s">
        <v>214</v>
      </c>
      <c r="Q242" t="s">
        <v>1274</v>
      </c>
      <c r="R242" s="3">
        <v>0.9</v>
      </c>
      <c r="S242" s="2">
        <v>61.42</v>
      </c>
      <c r="T242" t="s">
        <v>1259</v>
      </c>
    </row>
    <row r="243" spans="1:20" x14ac:dyDescent="0.25">
      <c r="A243">
        <v>2030933673</v>
      </c>
      <c r="B243" t="s">
        <v>955</v>
      </c>
      <c r="C243" t="s">
        <v>956</v>
      </c>
      <c r="D243" t="str">
        <f t="shared" si="11"/>
        <v>NATALIA GORSKI</v>
      </c>
      <c r="E243" t="s">
        <v>89</v>
      </c>
      <c r="F243" t="s">
        <v>96</v>
      </c>
      <c r="G243">
        <v>5442438</v>
      </c>
      <c r="H243" t="s">
        <v>106</v>
      </c>
      <c r="I243" t="s">
        <v>107</v>
      </c>
      <c r="J243" t="str">
        <f t="shared" si="9"/>
        <v>Ronald Max</v>
      </c>
      <c r="K243" t="s">
        <v>57</v>
      </c>
      <c r="L243" s="1">
        <v>45909</v>
      </c>
      <c r="M243" s="1">
        <v>45970</v>
      </c>
      <c r="N243" s="2">
        <v>76.5</v>
      </c>
      <c r="O243">
        <f t="shared" si="10"/>
        <v>2</v>
      </c>
      <c r="P243" t="s">
        <v>214</v>
      </c>
      <c r="Q243" t="s">
        <v>1274</v>
      </c>
      <c r="R243" s="3">
        <v>0.9</v>
      </c>
      <c r="S243" s="2">
        <v>68.849999999999994</v>
      </c>
      <c r="T243" t="s">
        <v>1259</v>
      </c>
    </row>
    <row r="244" spans="1:20" x14ac:dyDescent="0.25">
      <c r="A244">
        <v>2030735252</v>
      </c>
      <c r="B244" t="s">
        <v>951</v>
      </c>
      <c r="C244" t="s">
        <v>952</v>
      </c>
      <c r="D244" t="str">
        <f t="shared" si="11"/>
        <v>EDELENBOS BEATRIX</v>
      </c>
      <c r="E244" t="s">
        <v>89</v>
      </c>
      <c r="F244" t="s">
        <v>96</v>
      </c>
      <c r="G244">
        <v>5442438</v>
      </c>
      <c r="H244" t="s">
        <v>106</v>
      </c>
      <c r="I244" t="s">
        <v>107</v>
      </c>
      <c r="J244" t="str">
        <f t="shared" si="9"/>
        <v>Ronald Max</v>
      </c>
      <c r="K244" t="s">
        <v>57</v>
      </c>
      <c r="L244" s="1">
        <v>45906</v>
      </c>
      <c r="M244" s="1">
        <v>45967</v>
      </c>
      <c r="N244" s="2">
        <v>41.32</v>
      </c>
      <c r="O244">
        <f t="shared" si="10"/>
        <v>2</v>
      </c>
      <c r="P244" t="s">
        <v>214</v>
      </c>
      <c r="Q244" t="s">
        <v>1274</v>
      </c>
      <c r="R244" s="3">
        <v>0.9</v>
      </c>
      <c r="S244" s="2">
        <v>37.19</v>
      </c>
      <c r="T244" t="s">
        <v>1259</v>
      </c>
    </row>
    <row r="245" spans="1:20" x14ac:dyDescent="0.25">
      <c r="A245">
        <v>2030469387</v>
      </c>
      <c r="B245" t="s">
        <v>478</v>
      </c>
      <c r="C245" t="s">
        <v>932</v>
      </c>
      <c r="D245" t="str">
        <f t="shared" si="11"/>
        <v>ROGERS MARIE</v>
      </c>
      <c r="E245" t="s">
        <v>89</v>
      </c>
      <c r="F245" t="s">
        <v>96</v>
      </c>
      <c r="G245">
        <v>5442438</v>
      </c>
      <c r="H245" t="s">
        <v>106</v>
      </c>
      <c r="I245" t="s">
        <v>107</v>
      </c>
      <c r="J245" t="str">
        <f t="shared" si="9"/>
        <v>Ronald Max</v>
      </c>
      <c r="K245" t="s">
        <v>57</v>
      </c>
      <c r="L245" s="1">
        <v>45901</v>
      </c>
      <c r="M245" s="1">
        <v>45962</v>
      </c>
      <c r="N245" s="2">
        <v>35.17</v>
      </c>
      <c r="O245">
        <f t="shared" si="10"/>
        <v>2</v>
      </c>
      <c r="P245" t="s">
        <v>214</v>
      </c>
      <c r="Q245" t="s">
        <v>1274</v>
      </c>
      <c r="R245" s="3">
        <v>0.9</v>
      </c>
      <c r="S245" s="2">
        <v>31.65</v>
      </c>
      <c r="T245" t="s">
        <v>1259</v>
      </c>
    </row>
    <row r="246" spans="1:20" x14ac:dyDescent="0.25">
      <c r="A246">
        <v>2030340158</v>
      </c>
      <c r="B246" t="s">
        <v>920</v>
      </c>
      <c r="C246" t="s">
        <v>921</v>
      </c>
      <c r="D246" t="str">
        <f t="shared" si="11"/>
        <v>REYES-GUTIERREZ ELIZABETH</v>
      </c>
      <c r="E246" t="s">
        <v>89</v>
      </c>
      <c r="F246" t="s">
        <v>96</v>
      </c>
      <c r="G246">
        <v>8977234</v>
      </c>
      <c r="H246" t="s">
        <v>80</v>
      </c>
      <c r="I246" t="s">
        <v>81</v>
      </c>
      <c r="J246" t="str">
        <f t="shared" si="9"/>
        <v>RYAN CALTAGIRONE</v>
      </c>
      <c r="K246" t="s">
        <v>57</v>
      </c>
      <c r="L246" s="1">
        <v>45901</v>
      </c>
      <c r="M246" s="1">
        <v>45962</v>
      </c>
      <c r="N246" s="2">
        <v>96.5</v>
      </c>
      <c r="O246">
        <f t="shared" si="10"/>
        <v>2</v>
      </c>
      <c r="P246" t="s">
        <v>214</v>
      </c>
      <c r="Q246" t="s">
        <v>1274</v>
      </c>
      <c r="R246" s="3">
        <v>0.9</v>
      </c>
      <c r="S246" s="2">
        <v>86.85</v>
      </c>
      <c r="T246" t="s">
        <v>1259</v>
      </c>
    </row>
    <row r="247" spans="1:20" x14ac:dyDescent="0.25">
      <c r="A247">
        <v>2030500797</v>
      </c>
      <c r="B247" t="s">
        <v>935</v>
      </c>
      <c r="C247" t="s">
        <v>936</v>
      </c>
      <c r="D247" t="str">
        <f t="shared" si="11"/>
        <v>TALARICO CHELSEA</v>
      </c>
      <c r="E247" t="s">
        <v>89</v>
      </c>
      <c r="F247" t="s">
        <v>96</v>
      </c>
      <c r="G247">
        <v>8977234</v>
      </c>
      <c r="H247" t="s">
        <v>80</v>
      </c>
      <c r="I247" t="s">
        <v>81</v>
      </c>
      <c r="J247" t="str">
        <f t="shared" si="9"/>
        <v>RYAN CALTAGIRONE</v>
      </c>
      <c r="K247" t="s">
        <v>57</v>
      </c>
      <c r="L247" s="1">
        <v>45901</v>
      </c>
      <c r="M247" s="1">
        <v>45962</v>
      </c>
      <c r="N247" s="2">
        <v>68.08</v>
      </c>
      <c r="O247">
        <f t="shared" si="10"/>
        <v>2</v>
      </c>
      <c r="P247" t="s">
        <v>214</v>
      </c>
      <c r="Q247" t="s">
        <v>1274</v>
      </c>
      <c r="R247" s="3">
        <v>0.9</v>
      </c>
      <c r="S247" s="2">
        <v>61.27</v>
      </c>
      <c r="T247" t="s">
        <v>1259</v>
      </c>
    </row>
    <row r="248" spans="1:20" x14ac:dyDescent="0.25">
      <c r="A248">
        <v>2030933671</v>
      </c>
      <c r="B248" t="s">
        <v>955</v>
      </c>
      <c r="C248" t="s">
        <v>956</v>
      </c>
      <c r="D248" t="str">
        <f t="shared" si="11"/>
        <v>NATALIA GORSKI</v>
      </c>
      <c r="E248" t="s">
        <v>292</v>
      </c>
      <c r="F248" t="s">
        <v>331</v>
      </c>
      <c r="G248">
        <v>5442438</v>
      </c>
      <c r="H248" t="s">
        <v>106</v>
      </c>
      <c r="I248" t="s">
        <v>107</v>
      </c>
      <c r="J248" t="str">
        <f t="shared" si="9"/>
        <v>Ronald Max</v>
      </c>
      <c r="K248" t="s">
        <v>57</v>
      </c>
      <c r="L248" s="1">
        <v>45909</v>
      </c>
      <c r="M248" s="1">
        <v>45970</v>
      </c>
      <c r="N248" s="2">
        <v>27.8</v>
      </c>
      <c r="O248">
        <f t="shared" si="10"/>
        <v>2</v>
      </c>
      <c r="P248" t="s">
        <v>214</v>
      </c>
      <c r="Q248" t="s">
        <v>1274</v>
      </c>
      <c r="R248" s="3">
        <v>0.42</v>
      </c>
      <c r="S248" s="2">
        <v>11.68</v>
      </c>
      <c r="T248" t="s">
        <v>331</v>
      </c>
    </row>
    <row r="249" spans="1:20" x14ac:dyDescent="0.25">
      <c r="A249">
        <v>2030905165</v>
      </c>
      <c r="B249" t="s">
        <v>549</v>
      </c>
      <c r="C249" t="s">
        <v>550</v>
      </c>
      <c r="D249" t="str">
        <f t="shared" si="11"/>
        <v>BARRETT JASO</v>
      </c>
      <c r="E249" t="s">
        <v>209</v>
      </c>
      <c r="F249" t="s">
        <v>225</v>
      </c>
      <c r="G249">
        <v>1706194</v>
      </c>
      <c r="H249" t="s">
        <v>97</v>
      </c>
      <c r="I249" t="s">
        <v>98</v>
      </c>
      <c r="J249" t="str">
        <f t="shared" si="9"/>
        <v>MATTHEW DAUGHERTY</v>
      </c>
      <c r="K249" t="s">
        <v>57</v>
      </c>
      <c r="L249" s="1">
        <v>45906</v>
      </c>
      <c r="M249" s="1">
        <v>45967</v>
      </c>
      <c r="N249" s="2">
        <v>15</v>
      </c>
      <c r="O249">
        <f t="shared" si="10"/>
        <v>2</v>
      </c>
      <c r="P249" t="s">
        <v>214</v>
      </c>
      <c r="Q249" t="s">
        <v>1274</v>
      </c>
      <c r="R249" s="3">
        <v>0.28999999999999998</v>
      </c>
      <c r="S249" s="2">
        <v>4.3499999999999996</v>
      </c>
      <c r="T249" t="s">
        <v>1271</v>
      </c>
    </row>
    <row r="250" spans="1:20" x14ac:dyDescent="0.25">
      <c r="A250">
        <v>2030917279</v>
      </c>
      <c r="B250" t="s">
        <v>551</v>
      </c>
      <c r="C250" t="s">
        <v>552</v>
      </c>
      <c r="D250" t="str">
        <f t="shared" si="11"/>
        <v>ALICJA MATUSIAK</v>
      </c>
      <c r="E250" t="s">
        <v>209</v>
      </c>
      <c r="F250" t="s">
        <v>960</v>
      </c>
      <c r="G250">
        <v>21564088</v>
      </c>
      <c r="H250" t="s">
        <v>554</v>
      </c>
      <c r="I250" t="s">
        <v>555</v>
      </c>
      <c r="J250" t="str">
        <f t="shared" si="9"/>
        <v>Jennifer Halsaver</v>
      </c>
      <c r="K250" t="s">
        <v>57</v>
      </c>
      <c r="L250" s="1">
        <v>45910</v>
      </c>
      <c r="M250" s="1">
        <v>45971</v>
      </c>
      <c r="N250" s="2">
        <v>15</v>
      </c>
      <c r="O250">
        <f t="shared" si="10"/>
        <v>2</v>
      </c>
      <c r="P250" t="s">
        <v>214</v>
      </c>
      <c r="Q250" t="s">
        <v>1274</v>
      </c>
      <c r="R250" s="3">
        <v>0.19</v>
      </c>
      <c r="S250" s="2">
        <v>2.85</v>
      </c>
      <c r="T250" t="s">
        <v>960</v>
      </c>
    </row>
    <row r="251" spans="1:20" x14ac:dyDescent="0.25">
      <c r="A251">
        <v>2030933674</v>
      </c>
      <c r="B251" t="s">
        <v>955</v>
      </c>
      <c r="C251" t="s">
        <v>956</v>
      </c>
      <c r="D251" t="str">
        <f t="shared" si="11"/>
        <v>NATALIA GORSKI</v>
      </c>
      <c r="E251" t="s">
        <v>209</v>
      </c>
      <c r="F251" t="s">
        <v>963</v>
      </c>
      <c r="G251">
        <v>5442438</v>
      </c>
      <c r="H251" t="s">
        <v>106</v>
      </c>
      <c r="I251" t="s">
        <v>107</v>
      </c>
      <c r="J251" t="str">
        <f t="shared" si="9"/>
        <v>Ronald Max</v>
      </c>
      <c r="K251" t="s">
        <v>57</v>
      </c>
      <c r="L251" s="1">
        <v>45909</v>
      </c>
      <c r="M251" s="1">
        <v>45970</v>
      </c>
      <c r="N251" s="2">
        <v>19.5</v>
      </c>
      <c r="O251">
        <f t="shared" si="10"/>
        <v>2</v>
      </c>
      <c r="P251" t="s">
        <v>214</v>
      </c>
      <c r="Q251" t="s">
        <v>1274</v>
      </c>
      <c r="R251" s="3">
        <v>0.39</v>
      </c>
      <c r="S251" s="2">
        <v>7.6</v>
      </c>
      <c r="T251" t="s">
        <v>1262</v>
      </c>
    </row>
    <row r="252" spans="1:20" x14ac:dyDescent="0.25">
      <c r="A252">
        <v>2030937252</v>
      </c>
      <c r="B252" t="s">
        <v>450</v>
      </c>
      <c r="C252" t="s">
        <v>412</v>
      </c>
      <c r="D252" t="str">
        <f t="shared" si="11"/>
        <v>JORDAN WHITNEY</v>
      </c>
      <c r="E252" t="s">
        <v>287</v>
      </c>
      <c r="F252" t="s">
        <v>288</v>
      </c>
      <c r="G252">
        <v>18781057</v>
      </c>
      <c r="H252" t="s">
        <v>71</v>
      </c>
      <c r="I252" t="s">
        <v>72</v>
      </c>
      <c r="J252" t="str">
        <f t="shared" si="9"/>
        <v>JOHN ROKEN</v>
      </c>
      <c r="K252" t="s">
        <v>57</v>
      </c>
      <c r="L252" s="1">
        <v>45909</v>
      </c>
      <c r="M252" s="1">
        <v>45970</v>
      </c>
      <c r="N252" s="2">
        <v>19.309999999999999</v>
      </c>
      <c r="O252">
        <f t="shared" si="10"/>
        <v>2</v>
      </c>
      <c r="P252" t="s">
        <v>214</v>
      </c>
      <c r="Q252" t="s">
        <v>1274</v>
      </c>
      <c r="R252" s="3">
        <v>0.38</v>
      </c>
      <c r="S252" s="2">
        <v>7.34</v>
      </c>
      <c r="T252" t="s">
        <v>288</v>
      </c>
    </row>
    <row r="253" spans="1:20" x14ac:dyDescent="0.25">
      <c r="A253">
        <v>2030941927</v>
      </c>
      <c r="B253" t="s">
        <v>451</v>
      </c>
      <c r="C253" t="s">
        <v>452</v>
      </c>
      <c r="D253" t="str">
        <f t="shared" si="11"/>
        <v>KELBY MURPHREE</v>
      </c>
      <c r="E253" t="s">
        <v>287</v>
      </c>
      <c r="F253" t="s">
        <v>288</v>
      </c>
      <c r="G253">
        <v>18781057</v>
      </c>
      <c r="H253" t="s">
        <v>71</v>
      </c>
      <c r="I253" t="s">
        <v>72</v>
      </c>
      <c r="J253" t="str">
        <f t="shared" si="9"/>
        <v>JOHN ROKEN</v>
      </c>
      <c r="K253" t="s">
        <v>57</v>
      </c>
      <c r="L253" s="1">
        <v>45909</v>
      </c>
      <c r="M253" s="1">
        <v>45970</v>
      </c>
      <c r="N253" s="2">
        <v>15.06</v>
      </c>
      <c r="O253">
        <f t="shared" si="10"/>
        <v>2</v>
      </c>
      <c r="P253" t="s">
        <v>214</v>
      </c>
      <c r="Q253" t="s">
        <v>1274</v>
      </c>
      <c r="R253" s="3">
        <v>0.38</v>
      </c>
      <c r="S253" s="2">
        <v>5.72</v>
      </c>
      <c r="T253" t="s">
        <v>288</v>
      </c>
    </row>
    <row r="254" spans="1:20" x14ac:dyDescent="0.25">
      <c r="A254">
        <v>2030917276</v>
      </c>
      <c r="B254" t="s">
        <v>551</v>
      </c>
      <c r="C254" t="s">
        <v>552</v>
      </c>
      <c r="D254" t="str">
        <f t="shared" si="11"/>
        <v>ALICJA MATUSIAK</v>
      </c>
      <c r="E254" t="s">
        <v>344</v>
      </c>
      <c r="F254" t="s">
        <v>553</v>
      </c>
      <c r="G254">
        <v>21564088</v>
      </c>
      <c r="H254" t="s">
        <v>554</v>
      </c>
      <c r="I254" t="s">
        <v>555</v>
      </c>
      <c r="J254" t="str">
        <f t="shared" si="9"/>
        <v>Jennifer Halsaver</v>
      </c>
      <c r="K254" t="s">
        <v>57</v>
      </c>
      <c r="L254" s="1">
        <v>45910</v>
      </c>
      <c r="M254" s="1">
        <v>45971</v>
      </c>
      <c r="N254" s="2">
        <v>247.54</v>
      </c>
      <c r="O254">
        <f t="shared" si="10"/>
        <v>2</v>
      </c>
      <c r="P254" t="s">
        <v>214</v>
      </c>
      <c r="Q254" t="s">
        <v>1274</v>
      </c>
      <c r="R254" s="3">
        <v>0.19</v>
      </c>
      <c r="S254" s="2">
        <v>47.03</v>
      </c>
      <c r="T254" t="s">
        <v>553</v>
      </c>
    </row>
    <row r="255" spans="1:20" x14ac:dyDescent="0.25">
      <c r="A255">
        <v>2030905164</v>
      </c>
      <c r="B255" t="s">
        <v>549</v>
      </c>
      <c r="C255" t="s">
        <v>550</v>
      </c>
      <c r="D255" t="str">
        <f t="shared" si="11"/>
        <v>BARRETT JASO</v>
      </c>
      <c r="E255" t="s">
        <v>344</v>
      </c>
      <c r="F255" t="s">
        <v>346</v>
      </c>
      <c r="G255">
        <v>1706194</v>
      </c>
      <c r="H255" t="s">
        <v>97</v>
      </c>
      <c r="I255" t="s">
        <v>98</v>
      </c>
      <c r="J255" t="str">
        <f t="shared" si="9"/>
        <v>MATTHEW DAUGHERTY</v>
      </c>
      <c r="K255" t="s">
        <v>57</v>
      </c>
      <c r="L255" s="1">
        <v>45906</v>
      </c>
      <c r="M255" s="1">
        <v>45967</v>
      </c>
      <c r="N255" s="2">
        <v>256.08999999999997</v>
      </c>
      <c r="O255">
        <f t="shared" si="10"/>
        <v>2</v>
      </c>
      <c r="P255" t="s">
        <v>214</v>
      </c>
      <c r="Q255" t="s">
        <v>1274</v>
      </c>
      <c r="R255" s="3">
        <v>0.28999999999999998</v>
      </c>
      <c r="S255" s="2">
        <v>74.27</v>
      </c>
      <c r="T255" t="s">
        <v>346</v>
      </c>
    </row>
    <row r="256" spans="1:20" x14ac:dyDescent="0.25">
      <c r="A256">
        <v>2030886486</v>
      </c>
      <c r="B256" t="s">
        <v>1100</v>
      </c>
      <c r="C256" t="s">
        <v>92</v>
      </c>
      <c r="D256" t="str">
        <f t="shared" si="11"/>
        <v>JACOB BEKEMEYER</v>
      </c>
      <c r="E256" t="s">
        <v>292</v>
      </c>
      <c r="F256" t="s">
        <v>293</v>
      </c>
      <c r="G256">
        <v>20003537</v>
      </c>
      <c r="H256" t="s">
        <v>66</v>
      </c>
      <c r="I256" t="s">
        <v>156</v>
      </c>
      <c r="J256" t="str">
        <f t="shared" si="9"/>
        <v>Chad Yale</v>
      </c>
      <c r="K256" t="s">
        <v>57</v>
      </c>
      <c r="L256" s="1">
        <v>45906</v>
      </c>
      <c r="M256" s="1">
        <v>45967</v>
      </c>
      <c r="N256" s="2">
        <v>35.04</v>
      </c>
      <c r="O256">
        <f t="shared" si="10"/>
        <v>2</v>
      </c>
      <c r="P256" t="s">
        <v>214</v>
      </c>
      <c r="Q256" t="s">
        <v>1274</v>
      </c>
      <c r="R256" s="3">
        <v>0.7</v>
      </c>
      <c r="S256" s="2">
        <v>24.53</v>
      </c>
      <c r="T256" t="s">
        <v>293</v>
      </c>
    </row>
    <row r="257" spans="1:20" x14ac:dyDescent="0.25">
      <c r="A257">
        <v>2030317595</v>
      </c>
      <c r="B257" t="s">
        <v>916</v>
      </c>
      <c r="C257" t="s">
        <v>745</v>
      </c>
      <c r="D257" t="str">
        <f t="shared" si="11"/>
        <v>ANGELA DOWDLE</v>
      </c>
      <c r="E257" t="s">
        <v>292</v>
      </c>
      <c r="F257" t="s">
        <v>293</v>
      </c>
      <c r="G257">
        <v>8307933</v>
      </c>
      <c r="H257" t="s">
        <v>112</v>
      </c>
      <c r="I257" t="s">
        <v>104</v>
      </c>
      <c r="J257" t="str">
        <f t="shared" si="9"/>
        <v>GREGORY TEIPEL</v>
      </c>
      <c r="K257" t="s">
        <v>57</v>
      </c>
      <c r="L257" s="1">
        <v>45906</v>
      </c>
      <c r="M257" s="1">
        <v>45967</v>
      </c>
      <c r="N257" s="2">
        <v>115.38</v>
      </c>
      <c r="O257">
        <f t="shared" si="10"/>
        <v>2</v>
      </c>
      <c r="P257" t="s">
        <v>214</v>
      </c>
      <c r="Q257" t="s">
        <v>1274</v>
      </c>
      <c r="R257" s="3">
        <v>0.7</v>
      </c>
      <c r="S257" s="2">
        <v>80.77</v>
      </c>
      <c r="T257" t="s">
        <v>293</v>
      </c>
    </row>
    <row r="258" spans="1:20" x14ac:dyDescent="0.25">
      <c r="A258">
        <v>2030443827</v>
      </c>
      <c r="B258" t="s">
        <v>930</v>
      </c>
      <c r="C258" t="s">
        <v>931</v>
      </c>
      <c r="D258" t="str">
        <f t="shared" si="11"/>
        <v>TATYANA MUKHIN</v>
      </c>
      <c r="E258" t="s">
        <v>292</v>
      </c>
      <c r="F258" t="s">
        <v>293</v>
      </c>
      <c r="G258">
        <v>8307933</v>
      </c>
      <c r="H258" t="s">
        <v>112</v>
      </c>
      <c r="I258" t="s">
        <v>104</v>
      </c>
      <c r="J258" t="str">
        <f t="shared" ref="J258:J321" si="12">CONCATENATE(I258, " ",H258)</f>
        <v>GREGORY TEIPEL</v>
      </c>
      <c r="K258" t="s">
        <v>57</v>
      </c>
      <c r="L258" s="1">
        <v>45907</v>
      </c>
      <c r="M258" s="1">
        <v>45968</v>
      </c>
      <c r="N258" s="2">
        <v>101.25</v>
      </c>
      <c r="O258">
        <f t="shared" ref="O258:O321" si="13">DATEDIF(L258,M258,"M")</f>
        <v>2</v>
      </c>
      <c r="P258" t="s">
        <v>214</v>
      </c>
      <c r="Q258" t="s">
        <v>1274</v>
      </c>
      <c r="R258" s="3">
        <v>0.7</v>
      </c>
      <c r="S258" s="2">
        <v>70.88</v>
      </c>
      <c r="T258" t="s">
        <v>293</v>
      </c>
    </row>
    <row r="259" spans="1:20" x14ac:dyDescent="0.25">
      <c r="A259">
        <v>2030334040</v>
      </c>
      <c r="B259" t="s">
        <v>1079</v>
      </c>
      <c r="C259" t="s">
        <v>118</v>
      </c>
      <c r="D259" t="str">
        <f t="shared" ref="D259:D322" si="14">CONCATENATE(C259, " ",B259)</f>
        <v>GRACE SWEENEY</v>
      </c>
      <c r="E259" t="s">
        <v>292</v>
      </c>
      <c r="F259" t="s">
        <v>293</v>
      </c>
      <c r="G259">
        <v>8307933</v>
      </c>
      <c r="H259" t="s">
        <v>112</v>
      </c>
      <c r="I259" t="s">
        <v>104</v>
      </c>
      <c r="J259" t="str">
        <f t="shared" si="12"/>
        <v>GREGORY TEIPEL</v>
      </c>
      <c r="K259" t="s">
        <v>57</v>
      </c>
      <c r="L259" s="1">
        <v>45906</v>
      </c>
      <c r="M259" s="1">
        <v>45967</v>
      </c>
      <c r="N259" s="2">
        <v>47.89</v>
      </c>
      <c r="O259">
        <f t="shared" si="13"/>
        <v>2</v>
      </c>
      <c r="P259" t="s">
        <v>214</v>
      </c>
      <c r="Q259" t="s">
        <v>1274</v>
      </c>
      <c r="R259" s="3">
        <v>0.7</v>
      </c>
      <c r="S259" s="2">
        <v>33.520000000000003</v>
      </c>
      <c r="T259" t="s">
        <v>293</v>
      </c>
    </row>
    <row r="260" spans="1:20" x14ac:dyDescent="0.25">
      <c r="A260">
        <v>2030479537</v>
      </c>
      <c r="B260" t="s">
        <v>1090</v>
      </c>
      <c r="C260" t="s">
        <v>971</v>
      </c>
      <c r="D260" t="str">
        <f t="shared" si="14"/>
        <v>MARK ANNON</v>
      </c>
      <c r="E260" t="s">
        <v>292</v>
      </c>
      <c r="F260" t="s">
        <v>293</v>
      </c>
      <c r="G260">
        <v>8307933</v>
      </c>
      <c r="H260" t="s">
        <v>112</v>
      </c>
      <c r="I260" t="s">
        <v>104</v>
      </c>
      <c r="J260" t="str">
        <f t="shared" si="12"/>
        <v>GREGORY TEIPEL</v>
      </c>
      <c r="K260" t="s">
        <v>57</v>
      </c>
      <c r="L260" s="1">
        <v>45906</v>
      </c>
      <c r="M260" s="1">
        <v>45967</v>
      </c>
      <c r="N260" s="2">
        <v>38.31</v>
      </c>
      <c r="O260">
        <f t="shared" si="13"/>
        <v>2</v>
      </c>
      <c r="P260" t="s">
        <v>214</v>
      </c>
      <c r="Q260" t="s">
        <v>1274</v>
      </c>
      <c r="R260" s="3">
        <v>0.7</v>
      </c>
      <c r="S260" s="2">
        <v>26.82</v>
      </c>
      <c r="T260" t="s">
        <v>293</v>
      </c>
    </row>
    <row r="261" spans="1:20" x14ac:dyDescent="0.25">
      <c r="A261">
        <v>2030336752</v>
      </c>
      <c r="B261" t="s">
        <v>918</v>
      </c>
      <c r="C261" t="s">
        <v>919</v>
      </c>
      <c r="D261" t="str">
        <f t="shared" si="14"/>
        <v>LAUREN SLOSS</v>
      </c>
      <c r="E261" t="s">
        <v>292</v>
      </c>
      <c r="F261" t="s">
        <v>293</v>
      </c>
      <c r="G261">
        <v>8307933</v>
      </c>
      <c r="H261" t="s">
        <v>112</v>
      </c>
      <c r="I261" t="s">
        <v>104</v>
      </c>
      <c r="J261" t="str">
        <f t="shared" si="12"/>
        <v>GREGORY TEIPEL</v>
      </c>
      <c r="K261" t="s">
        <v>57</v>
      </c>
      <c r="L261" s="1">
        <v>45906</v>
      </c>
      <c r="M261" s="1">
        <v>45967</v>
      </c>
      <c r="N261" s="2">
        <v>31.88</v>
      </c>
      <c r="O261">
        <f t="shared" si="13"/>
        <v>2</v>
      </c>
      <c r="P261" t="s">
        <v>214</v>
      </c>
      <c r="Q261" t="s">
        <v>1274</v>
      </c>
      <c r="R261" s="3">
        <v>0.7</v>
      </c>
      <c r="S261" s="2">
        <v>22.32</v>
      </c>
      <c r="T261" t="s">
        <v>293</v>
      </c>
    </row>
    <row r="262" spans="1:20" x14ac:dyDescent="0.25">
      <c r="A262">
        <v>2030517070</v>
      </c>
      <c r="B262" t="s">
        <v>937</v>
      </c>
      <c r="C262" t="s">
        <v>938</v>
      </c>
      <c r="D262" t="str">
        <f t="shared" si="14"/>
        <v>CORTNEY BLACKWELL</v>
      </c>
      <c r="E262" t="s">
        <v>292</v>
      </c>
      <c r="F262" t="s">
        <v>293</v>
      </c>
      <c r="G262">
        <v>8307933</v>
      </c>
      <c r="H262" t="s">
        <v>112</v>
      </c>
      <c r="I262" t="s">
        <v>104</v>
      </c>
      <c r="J262" t="str">
        <f t="shared" si="12"/>
        <v>GREGORY TEIPEL</v>
      </c>
      <c r="K262" t="s">
        <v>57</v>
      </c>
      <c r="L262" s="1">
        <v>45907</v>
      </c>
      <c r="M262" s="1">
        <v>45968</v>
      </c>
      <c r="N262" s="2">
        <v>20.420000000000002</v>
      </c>
      <c r="O262">
        <f t="shared" si="13"/>
        <v>2</v>
      </c>
      <c r="P262" t="s">
        <v>214</v>
      </c>
      <c r="Q262" t="s">
        <v>1274</v>
      </c>
      <c r="R262" s="3">
        <v>0.7</v>
      </c>
      <c r="S262" s="2">
        <v>14.29</v>
      </c>
      <c r="T262" t="s">
        <v>293</v>
      </c>
    </row>
    <row r="263" spans="1:20" x14ac:dyDescent="0.25">
      <c r="A263">
        <v>2030641192</v>
      </c>
      <c r="B263" t="s">
        <v>941</v>
      </c>
      <c r="C263" t="s">
        <v>593</v>
      </c>
      <c r="D263" t="str">
        <f t="shared" si="14"/>
        <v>LISA PERRY</v>
      </c>
      <c r="E263" t="s">
        <v>292</v>
      </c>
      <c r="F263" t="s">
        <v>293</v>
      </c>
      <c r="G263">
        <v>8307933</v>
      </c>
      <c r="H263" t="s">
        <v>112</v>
      </c>
      <c r="I263" t="s">
        <v>104</v>
      </c>
      <c r="J263" t="str">
        <f t="shared" si="12"/>
        <v>GREGORY TEIPEL</v>
      </c>
      <c r="K263" t="s">
        <v>57</v>
      </c>
      <c r="L263" s="1">
        <v>45906</v>
      </c>
      <c r="M263" s="1">
        <v>45967</v>
      </c>
      <c r="N263" s="2">
        <v>19.100000000000001</v>
      </c>
      <c r="O263">
        <f t="shared" si="13"/>
        <v>2</v>
      </c>
      <c r="P263" t="s">
        <v>214</v>
      </c>
      <c r="Q263" t="s">
        <v>1274</v>
      </c>
      <c r="R263" s="3">
        <v>0.7</v>
      </c>
      <c r="S263" s="2">
        <v>13.37</v>
      </c>
      <c r="T263" t="s">
        <v>293</v>
      </c>
    </row>
    <row r="264" spans="1:20" x14ac:dyDescent="0.25">
      <c r="A264">
        <v>2030477514</v>
      </c>
      <c r="B264" t="s">
        <v>933</v>
      </c>
      <c r="C264" t="s">
        <v>934</v>
      </c>
      <c r="D264" t="str">
        <f t="shared" si="14"/>
        <v>JASMINE RICHARDS</v>
      </c>
      <c r="E264" t="s">
        <v>292</v>
      </c>
      <c r="F264" t="s">
        <v>293</v>
      </c>
      <c r="G264">
        <v>8307933</v>
      </c>
      <c r="H264" t="s">
        <v>112</v>
      </c>
      <c r="I264" t="s">
        <v>104</v>
      </c>
      <c r="J264" t="str">
        <f t="shared" si="12"/>
        <v>GREGORY TEIPEL</v>
      </c>
      <c r="K264" t="s">
        <v>57</v>
      </c>
      <c r="L264" s="1">
        <v>45906</v>
      </c>
      <c r="M264" s="1">
        <v>45967</v>
      </c>
      <c r="N264" s="2">
        <v>19</v>
      </c>
      <c r="O264">
        <f t="shared" si="13"/>
        <v>2</v>
      </c>
      <c r="P264" t="s">
        <v>214</v>
      </c>
      <c r="Q264" t="s">
        <v>1274</v>
      </c>
      <c r="R264" s="3">
        <v>0.7</v>
      </c>
      <c r="S264" s="2">
        <v>13.3</v>
      </c>
      <c r="T264" t="s">
        <v>293</v>
      </c>
    </row>
    <row r="265" spans="1:20" x14ac:dyDescent="0.25">
      <c r="A265">
        <v>2030917277</v>
      </c>
      <c r="B265" t="s">
        <v>551</v>
      </c>
      <c r="C265" t="s">
        <v>552</v>
      </c>
      <c r="D265" t="str">
        <f t="shared" si="14"/>
        <v>ALICJA MATUSIAK</v>
      </c>
      <c r="E265" t="s">
        <v>292</v>
      </c>
      <c r="F265" t="s">
        <v>293</v>
      </c>
      <c r="G265">
        <v>21564088</v>
      </c>
      <c r="H265" t="s">
        <v>554</v>
      </c>
      <c r="I265" t="s">
        <v>555</v>
      </c>
      <c r="J265" t="str">
        <f t="shared" si="12"/>
        <v>Jennifer Halsaver</v>
      </c>
      <c r="K265" t="s">
        <v>57</v>
      </c>
      <c r="L265" s="1">
        <v>45910</v>
      </c>
      <c r="M265" s="1">
        <v>45971</v>
      </c>
      <c r="N265" s="2">
        <v>79.58</v>
      </c>
      <c r="O265">
        <f t="shared" si="13"/>
        <v>2</v>
      </c>
      <c r="P265" t="s">
        <v>214</v>
      </c>
      <c r="Q265" t="s">
        <v>1274</v>
      </c>
      <c r="R265" s="3">
        <v>0.7</v>
      </c>
      <c r="S265" s="2">
        <v>55.71</v>
      </c>
      <c r="T265" t="s">
        <v>293</v>
      </c>
    </row>
    <row r="266" spans="1:20" x14ac:dyDescent="0.25">
      <c r="A266">
        <v>2030543058</v>
      </c>
      <c r="B266" t="s">
        <v>1091</v>
      </c>
      <c r="C266" t="s">
        <v>1092</v>
      </c>
      <c r="D266" t="str">
        <f t="shared" si="14"/>
        <v>WELLS BRITTANY</v>
      </c>
      <c r="E266" t="s">
        <v>292</v>
      </c>
      <c r="F266" t="s">
        <v>293</v>
      </c>
      <c r="G266">
        <v>17516272</v>
      </c>
      <c r="H266" t="s">
        <v>1093</v>
      </c>
      <c r="I266" t="s">
        <v>1094</v>
      </c>
      <c r="J266" t="str">
        <f t="shared" si="12"/>
        <v>Kenneth Weitzman</v>
      </c>
      <c r="K266" t="s">
        <v>57</v>
      </c>
      <c r="L266" s="1">
        <v>45901</v>
      </c>
      <c r="M266" s="1">
        <v>45962</v>
      </c>
      <c r="N266" s="2">
        <v>-39.03</v>
      </c>
      <c r="O266">
        <f t="shared" si="13"/>
        <v>2</v>
      </c>
      <c r="P266" t="s">
        <v>214</v>
      </c>
      <c r="Q266" t="s">
        <v>1274</v>
      </c>
      <c r="R266" s="3">
        <v>0.7</v>
      </c>
      <c r="S266" s="2">
        <v>-27.32</v>
      </c>
      <c r="T266" t="s">
        <v>293</v>
      </c>
    </row>
    <row r="267" spans="1:20" x14ac:dyDescent="0.25">
      <c r="A267">
        <v>2030675272</v>
      </c>
      <c r="B267" t="s">
        <v>944</v>
      </c>
      <c r="C267" t="s">
        <v>945</v>
      </c>
      <c r="D267" t="str">
        <f t="shared" si="14"/>
        <v>RAMSEY JEANNIE</v>
      </c>
      <c r="E267" t="s">
        <v>292</v>
      </c>
      <c r="F267" t="s">
        <v>293</v>
      </c>
      <c r="G267">
        <v>1706194</v>
      </c>
      <c r="H267" t="s">
        <v>97</v>
      </c>
      <c r="I267" t="s">
        <v>98</v>
      </c>
      <c r="J267" t="str">
        <f t="shared" si="12"/>
        <v>MATTHEW DAUGHERTY</v>
      </c>
      <c r="K267" t="s">
        <v>57</v>
      </c>
      <c r="L267" s="1">
        <v>45901</v>
      </c>
      <c r="M267" s="1">
        <v>45962</v>
      </c>
      <c r="N267" s="2">
        <v>-18.57</v>
      </c>
      <c r="O267">
        <f t="shared" si="13"/>
        <v>2</v>
      </c>
      <c r="P267" t="s">
        <v>214</v>
      </c>
      <c r="Q267" t="s">
        <v>1274</v>
      </c>
      <c r="R267" s="3">
        <v>0.7</v>
      </c>
      <c r="S267" s="2">
        <v>-13</v>
      </c>
      <c r="T267" t="s">
        <v>293</v>
      </c>
    </row>
    <row r="268" spans="1:20" x14ac:dyDescent="0.25">
      <c r="A268">
        <v>2030940127</v>
      </c>
      <c r="B268" t="s">
        <v>1101</v>
      </c>
      <c r="C268" t="s">
        <v>1102</v>
      </c>
      <c r="D268" t="str">
        <f t="shared" si="14"/>
        <v>SHERRI CORPORON</v>
      </c>
      <c r="E268" t="s">
        <v>292</v>
      </c>
      <c r="F268" t="s">
        <v>293</v>
      </c>
      <c r="G268">
        <v>8977234</v>
      </c>
      <c r="H268" t="s">
        <v>80</v>
      </c>
      <c r="I268" t="s">
        <v>81</v>
      </c>
      <c r="J268" t="str">
        <f t="shared" si="12"/>
        <v>RYAN CALTAGIRONE</v>
      </c>
      <c r="K268" t="s">
        <v>57</v>
      </c>
      <c r="L268" s="1">
        <v>45909</v>
      </c>
      <c r="M268" s="1">
        <v>45970</v>
      </c>
      <c r="N268" s="2">
        <v>147.4</v>
      </c>
      <c r="O268">
        <f t="shared" si="13"/>
        <v>2</v>
      </c>
      <c r="P268" t="s">
        <v>214</v>
      </c>
      <c r="Q268" t="s">
        <v>1274</v>
      </c>
      <c r="R268" s="3">
        <v>0.7</v>
      </c>
      <c r="S268" s="2">
        <v>103.18</v>
      </c>
      <c r="T268" t="s">
        <v>293</v>
      </c>
    </row>
    <row r="269" spans="1:20" x14ac:dyDescent="0.25">
      <c r="A269">
        <v>2030500796</v>
      </c>
      <c r="B269" t="s">
        <v>935</v>
      </c>
      <c r="C269" t="s">
        <v>936</v>
      </c>
      <c r="D269" t="str">
        <f t="shared" si="14"/>
        <v>TALARICO CHELSEA</v>
      </c>
      <c r="E269" t="s">
        <v>292</v>
      </c>
      <c r="F269" t="s">
        <v>293</v>
      </c>
      <c r="G269">
        <v>8977234</v>
      </c>
      <c r="H269" t="s">
        <v>80</v>
      </c>
      <c r="I269" t="s">
        <v>81</v>
      </c>
      <c r="J269" t="str">
        <f t="shared" si="12"/>
        <v>RYAN CALTAGIRONE</v>
      </c>
      <c r="K269" t="s">
        <v>57</v>
      </c>
      <c r="L269" s="1">
        <v>45901</v>
      </c>
      <c r="M269" s="1">
        <v>45962</v>
      </c>
      <c r="N269" s="2">
        <v>119.57</v>
      </c>
      <c r="O269">
        <f t="shared" si="13"/>
        <v>2</v>
      </c>
      <c r="P269" t="s">
        <v>214</v>
      </c>
      <c r="Q269" t="s">
        <v>1274</v>
      </c>
      <c r="R269" s="3">
        <v>0.7</v>
      </c>
      <c r="S269" s="2">
        <v>83.7</v>
      </c>
      <c r="T269" t="s">
        <v>293</v>
      </c>
    </row>
    <row r="270" spans="1:20" x14ac:dyDescent="0.25">
      <c r="A270">
        <v>2030340159</v>
      </c>
      <c r="B270" t="s">
        <v>920</v>
      </c>
      <c r="C270" t="s">
        <v>921</v>
      </c>
      <c r="D270" t="str">
        <f t="shared" si="14"/>
        <v>REYES-GUTIERREZ ELIZABETH</v>
      </c>
      <c r="E270" t="s">
        <v>292</v>
      </c>
      <c r="F270" t="s">
        <v>293</v>
      </c>
      <c r="G270">
        <v>8977234</v>
      </c>
      <c r="H270" t="s">
        <v>80</v>
      </c>
      <c r="I270" t="s">
        <v>81</v>
      </c>
      <c r="J270" t="str">
        <f t="shared" si="12"/>
        <v>RYAN CALTAGIRONE</v>
      </c>
      <c r="K270" t="s">
        <v>57</v>
      </c>
      <c r="L270" s="1">
        <v>45901</v>
      </c>
      <c r="M270" s="1">
        <v>45962</v>
      </c>
      <c r="N270" s="2">
        <v>101.15</v>
      </c>
      <c r="O270">
        <f t="shared" si="13"/>
        <v>2</v>
      </c>
      <c r="P270" t="s">
        <v>214</v>
      </c>
      <c r="Q270" t="s">
        <v>1274</v>
      </c>
      <c r="R270" s="3">
        <v>0.7</v>
      </c>
      <c r="S270" s="2">
        <v>70.8</v>
      </c>
      <c r="T270" t="s">
        <v>293</v>
      </c>
    </row>
    <row r="271" spans="1:20" x14ac:dyDescent="0.25">
      <c r="A271">
        <v>2030963808</v>
      </c>
      <c r="B271" t="s">
        <v>958</v>
      </c>
      <c r="C271" t="s">
        <v>959</v>
      </c>
      <c r="D271" t="str">
        <f t="shared" si="14"/>
        <v>GLENN ALBERT</v>
      </c>
      <c r="E271" t="s">
        <v>292</v>
      </c>
      <c r="F271" t="s">
        <v>293</v>
      </c>
      <c r="G271">
        <v>8977234</v>
      </c>
      <c r="H271" t="s">
        <v>80</v>
      </c>
      <c r="I271" t="s">
        <v>81</v>
      </c>
      <c r="J271" t="str">
        <f t="shared" si="12"/>
        <v>RYAN CALTAGIRONE</v>
      </c>
      <c r="K271" t="s">
        <v>57</v>
      </c>
      <c r="L271" s="1">
        <v>45910</v>
      </c>
      <c r="M271" s="1">
        <v>45971</v>
      </c>
      <c r="N271" s="2">
        <v>57.27</v>
      </c>
      <c r="O271">
        <f t="shared" si="13"/>
        <v>2</v>
      </c>
      <c r="P271" t="s">
        <v>214</v>
      </c>
      <c r="Q271" t="s">
        <v>1274</v>
      </c>
      <c r="R271" s="3">
        <v>0.7</v>
      </c>
      <c r="S271" s="2">
        <v>40.090000000000003</v>
      </c>
      <c r="T271" t="s">
        <v>293</v>
      </c>
    </row>
    <row r="272" spans="1:20" x14ac:dyDescent="0.25">
      <c r="A272">
        <v>2030703148</v>
      </c>
      <c r="B272" t="s">
        <v>948</v>
      </c>
      <c r="C272" t="s">
        <v>949</v>
      </c>
      <c r="D272" t="str">
        <f t="shared" si="14"/>
        <v>HANNIBAL QUILLAN</v>
      </c>
      <c r="E272" t="s">
        <v>292</v>
      </c>
      <c r="F272" t="s">
        <v>293</v>
      </c>
      <c r="G272">
        <v>8977234</v>
      </c>
      <c r="H272" t="s">
        <v>80</v>
      </c>
      <c r="I272" t="s">
        <v>81</v>
      </c>
      <c r="J272" t="str">
        <f t="shared" si="12"/>
        <v>RYAN CALTAGIRONE</v>
      </c>
      <c r="K272" t="s">
        <v>57</v>
      </c>
      <c r="L272" s="1">
        <v>45901</v>
      </c>
      <c r="M272" s="1">
        <v>45962</v>
      </c>
      <c r="N272" s="2">
        <v>-74.44</v>
      </c>
      <c r="O272">
        <f t="shared" si="13"/>
        <v>2</v>
      </c>
      <c r="P272" t="s">
        <v>214</v>
      </c>
      <c r="Q272" t="s">
        <v>1274</v>
      </c>
      <c r="R272" s="3">
        <v>0.7</v>
      </c>
      <c r="S272" s="2">
        <v>-52.11</v>
      </c>
      <c r="T272" t="s">
        <v>293</v>
      </c>
    </row>
    <row r="273" spans="1:20" x14ac:dyDescent="0.25">
      <c r="A273">
        <v>2030752804</v>
      </c>
      <c r="B273" t="s">
        <v>953</v>
      </c>
      <c r="C273" t="s">
        <v>954</v>
      </c>
      <c r="D273" t="str">
        <f t="shared" si="14"/>
        <v>ERO WALLI</v>
      </c>
      <c r="E273" t="s">
        <v>243</v>
      </c>
      <c r="F273" t="s">
        <v>244</v>
      </c>
      <c r="G273">
        <v>8307933</v>
      </c>
      <c r="H273" t="s">
        <v>112</v>
      </c>
      <c r="I273" t="s">
        <v>104</v>
      </c>
      <c r="J273" t="str">
        <f t="shared" si="12"/>
        <v>GREGORY TEIPEL</v>
      </c>
      <c r="K273" t="s">
        <v>57</v>
      </c>
      <c r="L273" s="1">
        <v>45906</v>
      </c>
      <c r="M273" s="1">
        <v>45967</v>
      </c>
      <c r="N273" s="2">
        <v>91.51</v>
      </c>
      <c r="O273">
        <f t="shared" si="13"/>
        <v>2</v>
      </c>
      <c r="P273" t="s">
        <v>214</v>
      </c>
      <c r="Q273" t="s">
        <v>1274</v>
      </c>
      <c r="R273" s="4">
        <v>0.375</v>
      </c>
      <c r="S273" s="2">
        <v>34.32</v>
      </c>
      <c r="T273" t="s">
        <v>244</v>
      </c>
    </row>
    <row r="274" spans="1:20" x14ac:dyDescent="0.25">
      <c r="A274">
        <v>2030431211</v>
      </c>
      <c r="B274" t="s">
        <v>1124</v>
      </c>
      <c r="C274" t="s">
        <v>1125</v>
      </c>
      <c r="D274" t="str">
        <f t="shared" si="14"/>
        <v>MIRTA BARTOLOME</v>
      </c>
      <c r="E274" t="s">
        <v>243</v>
      </c>
      <c r="F274" t="s">
        <v>244</v>
      </c>
      <c r="G274">
        <v>8307933</v>
      </c>
      <c r="H274" t="s">
        <v>112</v>
      </c>
      <c r="I274" t="s">
        <v>104</v>
      </c>
      <c r="J274" t="str">
        <f t="shared" si="12"/>
        <v>GREGORY TEIPEL</v>
      </c>
      <c r="K274" t="s">
        <v>57</v>
      </c>
      <c r="L274" s="1">
        <v>45907</v>
      </c>
      <c r="M274" s="1">
        <v>45968</v>
      </c>
      <c r="N274" s="2">
        <v>63.37</v>
      </c>
      <c r="O274">
        <f t="shared" si="13"/>
        <v>2</v>
      </c>
      <c r="P274" t="s">
        <v>214</v>
      </c>
      <c r="Q274" t="s">
        <v>1274</v>
      </c>
      <c r="R274" s="4">
        <v>0.375</v>
      </c>
      <c r="S274" s="2">
        <v>23.76</v>
      </c>
      <c r="T274" t="s">
        <v>244</v>
      </c>
    </row>
    <row r="275" spans="1:20" x14ac:dyDescent="0.25">
      <c r="A275">
        <v>2030518951</v>
      </c>
      <c r="B275" t="s">
        <v>939</v>
      </c>
      <c r="C275" t="s">
        <v>940</v>
      </c>
      <c r="D275" t="str">
        <f t="shared" si="14"/>
        <v>ALYSSA MIELKE</v>
      </c>
      <c r="E275" t="s">
        <v>243</v>
      </c>
      <c r="F275" t="s">
        <v>244</v>
      </c>
      <c r="G275">
        <v>8307933</v>
      </c>
      <c r="H275" t="s">
        <v>112</v>
      </c>
      <c r="I275" t="s">
        <v>104</v>
      </c>
      <c r="J275" t="str">
        <f t="shared" si="12"/>
        <v>GREGORY TEIPEL</v>
      </c>
      <c r="K275" t="s">
        <v>57</v>
      </c>
      <c r="L275" s="1">
        <v>45907</v>
      </c>
      <c r="M275" s="1">
        <v>45968</v>
      </c>
      <c r="N275" s="2">
        <v>48.69</v>
      </c>
      <c r="O275">
        <f t="shared" si="13"/>
        <v>2</v>
      </c>
      <c r="P275" t="s">
        <v>214</v>
      </c>
      <c r="Q275" t="s">
        <v>1274</v>
      </c>
      <c r="R275" s="4">
        <v>0.375</v>
      </c>
      <c r="S275" s="2">
        <v>18.260000000000002</v>
      </c>
      <c r="T275" t="s">
        <v>244</v>
      </c>
    </row>
    <row r="276" spans="1:20" x14ac:dyDescent="0.25">
      <c r="A276">
        <v>2030517072</v>
      </c>
      <c r="B276" t="s">
        <v>937</v>
      </c>
      <c r="C276" t="s">
        <v>938</v>
      </c>
      <c r="D276" t="str">
        <f t="shared" si="14"/>
        <v>CORTNEY BLACKWELL</v>
      </c>
      <c r="E276" t="s">
        <v>243</v>
      </c>
      <c r="F276" t="s">
        <v>244</v>
      </c>
      <c r="G276">
        <v>8307933</v>
      </c>
      <c r="H276" t="s">
        <v>112</v>
      </c>
      <c r="I276" t="s">
        <v>104</v>
      </c>
      <c r="J276" t="str">
        <f t="shared" si="12"/>
        <v>GREGORY TEIPEL</v>
      </c>
      <c r="K276" t="s">
        <v>57</v>
      </c>
      <c r="L276" s="1">
        <v>45907</v>
      </c>
      <c r="M276" s="1">
        <v>45968</v>
      </c>
      <c r="N276" s="2">
        <v>47.83</v>
      </c>
      <c r="O276">
        <f t="shared" si="13"/>
        <v>2</v>
      </c>
      <c r="P276" t="s">
        <v>214</v>
      </c>
      <c r="Q276" t="s">
        <v>1274</v>
      </c>
      <c r="R276" s="4">
        <v>0.375</v>
      </c>
      <c r="S276" s="2">
        <v>17.940000000000001</v>
      </c>
      <c r="T276" t="s">
        <v>244</v>
      </c>
    </row>
    <row r="277" spans="1:20" x14ac:dyDescent="0.25">
      <c r="A277">
        <v>2030340160</v>
      </c>
      <c r="B277" t="s">
        <v>920</v>
      </c>
      <c r="C277" t="s">
        <v>921</v>
      </c>
      <c r="D277" t="str">
        <f t="shared" si="14"/>
        <v>REYES-GUTIERREZ ELIZABETH</v>
      </c>
      <c r="E277" t="s">
        <v>243</v>
      </c>
      <c r="F277" t="s">
        <v>244</v>
      </c>
      <c r="G277">
        <v>8977234</v>
      </c>
      <c r="H277" t="s">
        <v>80</v>
      </c>
      <c r="I277" t="s">
        <v>81</v>
      </c>
      <c r="J277" t="str">
        <f t="shared" si="12"/>
        <v>RYAN CALTAGIRONE</v>
      </c>
      <c r="K277" t="s">
        <v>57</v>
      </c>
      <c r="L277" s="1">
        <v>45901</v>
      </c>
      <c r="M277" s="1">
        <v>45962</v>
      </c>
      <c r="N277" s="2">
        <v>71.37</v>
      </c>
      <c r="O277">
        <f t="shared" si="13"/>
        <v>2</v>
      </c>
      <c r="P277" t="s">
        <v>214</v>
      </c>
      <c r="Q277" t="s">
        <v>1274</v>
      </c>
      <c r="R277" s="4">
        <v>0.375</v>
      </c>
      <c r="S277" s="2">
        <v>26.76</v>
      </c>
      <c r="T277" t="s">
        <v>244</v>
      </c>
    </row>
    <row r="278" spans="1:20" x14ac:dyDescent="0.25">
      <c r="A278">
        <v>2030703149</v>
      </c>
      <c r="B278" t="s">
        <v>948</v>
      </c>
      <c r="C278" t="s">
        <v>949</v>
      </c>
      <c r="D278" t="str">
        <f t="shared" si="14"/>
        <v>HANNIBAL QUILLAN</v>
      </c>
      <c r="E278" t="s">
        <v>243</v>
      </c>
      <c r="F278" t="s">
        <v>244</v>
      </c>
      <c r="G278">
        <v>8977234</v>
      </c>
      <c r="H278" t="s">
        <v>80</v>
      </c>
      <c r="I278" t="s">
        <v>81</v>
      </c>
      <c r="J278" t="str">
        <f t="shared" si="12"/>
        <v>RYAN CALTAGIRONE</v>
      </c>
      <c r="K278" t="s">
        <v>57</v>
      </c>
      <c r="L278" s="1">
        <v>45901</v>
      </c>
      <c r="M278" s="1">
        <v>45962</v>
      </c>
      <c r="N278" s="2">
        <v>-60.3</v>
      </c>
      <c r="O278">
        <f t="shared" si="13"/>
        <v>2</v>
      </c>
      <c r="P278" t="s">
        <v>214</v>
      </c>
      <c r="Q278" t="s">
        <v>1274</v>
      </c>
      <c r="R278" s="4">
        <v>0.375</v>
      </c>
      <c r="S278" s="2">
        <v>-22.61</v>
      </c>
      <c r="T278" t="s">
        <v>244</v>
      </c>
    </row>
    <row r="279" spans="1:20" x14ac:dyDescent="0.25">
      <c r="A279">
        <v>2030334039</v>
      </c>
      <c r="B279" t="s">
        <v>1079</v>
      </c>
      <c r="C279" t="s">
        <v>118</v>
      </c>
      <c r="D279" t="str">
        <f t="shared" si="14"/>
        <v>GRACE SWEENEY</v>
      </c>
      <c r="E279" t="s">
        <v>292</v>
      </c>
      <c r="F279" t="s">
        <v>295</v>
      </c>
      <c r="G279">
        <v>8307933</v>
      </c>
      <c r="H279" t="s">
        <v>112</v>
      </c>
      <c r="I279" t="s">
        <v>104</v>
      </c>
      <c r="J279" t="str">
        <f t="shared" si="12"/>
        <v>GREGORY TEIPEL</v>
      </c>
      <c r="K279" t="s">
        <v>57</v>
      </c>
      <c r="L279" s="1">
        <v>45906</v>
      </c>
      <c r="M279" s="1">
        <v>45967</v>
      </c>
      <c r="N279" s="2">
        <v>47.08</v>
      </c>
      <c r="O279">
        <f t="shared" si="13"/>
        <v>2</v>
      </c>
      <c r="P279" t="s">
        <v>214</v>
      </c>
      <c r="Q279" t="s">
        <v>1274</v>
      </c>
      <c r="R279" s="3">
        <v>0.9</v>
      </c>
      <c r="S279" s="2">
        <v>42.37</v>
      </c>
      <c r="T279" t="s">
        <v>295</v>
      </c>
    </row>
    <row r="280" spans="1:20" x14ac:dyDescent="0.25">
      <c r="A280">
        <v>2030517073</v>
      </c>
      <c r="B280" t="s">
        <v>937</v>
      </c>
      <c r="C280" t="s">
        <v>938</v>
      </c>
      <c r="D280" t="str">
        <f t="shared" si="14"/>
        <v>CORTNEY BLACKWELL</v>
      </c>
      <c r="E280" t="s">
        <v>292</v>
      </c>
      <c r="F280" t="s">
        <v>295</v>
      </c>
      <c r="G280">
        <v>8307933</v>
      </c>
      <c r="H280" t="s">
        <v>112</v>
      </c>
      <c r="I280" t="s">
        <v>104</v>
      </c>
      <c r="J280" t="str">
        <f t="shared" si="12"/>
        <v>GREGORY TEIPEL</v>
      </c>
      <c r="K280" t="s">
        <v>57</v>
      </c>
      <c r="L280" s="1">
        <v>45907</v>
      </c>
      <c r="M280" s="1">
        <v>45968</v>
      </c>
      <c r="N280" s="2">
        <v>25</v>
      </c>
      <c r="O280">
        <f t="shared" si="13"/>
        <v>2</v>
      </c>
      <c r="P280" t="s">
        <v>214</v>
      </c>
      <c r="Q280" t="s">
        <v>1274</v>
      </c>
      <c r="R280" s="3">
        <v>0.9</v>
      </c>
      <c r="S280" s="2">
        <v>22.5</v>
      </c>
      <c r="T280" t="s">
        <v>295</v>
      </c>
    </row>
    <row r="281" spans="1:20" x14ac:dyDescent="0.25">
      <c r="A281">
        <v>2030641193</v>
      </c>
      <c r="B281" t="s">
        <v>941</v>
      </c>
      <c r="C281" t="s">
        <v>593</v>
      </c>
      <c r="D281" t="str">
        <f t="shared" si="14"/>
        <v>LISA PERRY</v>
      </c>
      <c r="E281" t="s">
        <v>292</v>
      </c>
      <c r="F281" t="s">
        <v>295</v>
      </c>
      <c r="G281">
        <v>8307933</v>
      </c>
      <c r="H281" t="s">
        <v>112</v>
      </c>
      <c r="I281" t="s">
        <v>104</v>
      </c>
      <c r="J281" t="str">
        <f t="shared" si="12"/>
        <v>GREGORY TEIPEL</v>
      </c>
      <c r="K281" t="s">
        <v>57</v>
      </c>
      <c r="L281" s="1">
        <v>45906</v>
      </c>
      <c r="M281" s="1">
        <v>45967</v>
      </c>
      <c r="N281" s="2">
        <v>22.88</v>
      </c>
      <c r="O281">
        <f t="shared" si="13"/>
        <v>2</v>
      </c>
      <c r="P281" t="s">
        <v>214</v>
      </c>
      <c r="Q281" t="s">
        <v>1274</v>
      </c>
      <c r="R281" s="3">
        <v>0.9</v>
      </c>
      <c r="S281" s="2">
        <v>20.59</v>
      </c>
      <c r="T281" t="s">
        <v>295</v>
      </c>
    </row>
    <row r="282" spans="1:20" x14ac:dyDescent="0.25">
      <c r="A282">
        <v>2030675270</v>
      </c>
      <c r="B282" t="s">
        <v>944</v>
      </c>
      <c r="C282" t="s">
        <v>945</v>
      </c>
      <c r="D282" t="str">
        <f t="shared" si="14"/>
        <v>RAMSEY JEANNIE</v>
      </c>
      <c r="E282" t="s">
        <v>292</v>
      </c>
      <c r="F282" t="s">
        <v>295</v>
      </c>
      <c r="G282">
        <v>1706194</v>
      </c>
      <c r="H282" t="s">
        <v>97</v>
      </c>
      <c r="I282" t="s">
        <v>98</v>
      </c>
      <c r="J282" t="str">
        <f t="shared" si="12"/>
        <v>MATTHEW DAUGHERTY</v>
      </c>
      <c r="K282" t="s">
        <v>57</v>
      </c>
      <c r="L282" s="1">
        <v>45901</v>
      </c>
      <c r="M282" s="1">
        <v>45962</v>
      </c>
      <c r="N282" s="2">
        <v>-101.63</v>
      </c>
      <c r="O282">
        <f t="shared" si="13"/>
        <v>2</v>
      </c>
      <c r="P282" t="s">
        <v>214</v>
      </c>
      <c r="Q282" t="s">
        <v>1274</v>
      </c>
      <c r="R282" s="3">
        <v>0.9</v>
      </c>
      <c r="S282" s="2">
        <v>-91.47</v>
      </c>
      <c r="T282" t="s">
        <v>295</v>
      </c>
    </row>
    <row r="283" spans="1:20" x14ac:dyDescent="0.25">
      <c r="A283">
        <v>2030937253</v>
      </c>
      <c r="B283" t="s">
        <v>450</v>
      </c>
      <c r="C283" t="s">
        <v>412</v>
      </c>
      <c r="D283" t="str">
        <f t="shared" si="14"/>
        <v>JORDAN WHITNEY</v>
      </c>
      <c r="E283" t="s">
        <v>53</v>
      </c>
      <c r="F283" t="s">
        <v>54</v>
      </c>
      <c r="G283">
        <v>18781057</v>
      </c>
      <c r="H283" t="s">
        <v>71</v>
      </c>
      <c r="I283" t="s">
        <v>72</v>
      </c>
      <c r="J283" t="str">
        <f t="shared" si="12"/>
        <v>JOHN ROKEN</v>
      </c>
      <c r="K283" t="s">
        <v>57</v>
      </c>
      <c r="L283" s="1">
        <v>45909</v>
      </c>
      <c r="M283" s="1">
        <v>45970</v>
      </c>
      <c r="N283" s="2">
        <v>41.81</v>
      </c>
      <c r="O283">
        <f t="shared" si="13"/>
        <v>2</v>
      </c>
      <c r="P283" t="s">
        <v>214</v>
      </c>
      <c r="Q283" t="s">
        <v>1274</v>
      </c>
      <c r="R283" s="3">
        <v>0.6</v>
      </c>
      <c r="S283" s="2">
        <v>25.09</v>
      </c>
      <c r="T283" t="s">
        <v>54</v>
      </c>
    </row>
    <row r="284" spans="1:20" x14ac:dyDescent="0.25">
      <c r="A284">
        <v>2030941928</v>
      </c>
      <c r="B284" t="s">
        <v>451</v>
      </c>
      <c r="C284" t="s">
        <v>452</v>
      </c>
      <c r="D284" t="str">
        <f t="shared" si="14"/>
        <v>KELBY MURPHREE</v>
      </c>
      <c r="E284" t="s">
        <v>53</v>
      </c>
      <c r="F284" t="s">
        <v>65</v>
      </c>
      <c r="G284">
        <v>18781057</v>
      </c>
      <c r="H284" t="s">
        <v>71</v>
      </c>
      <c r="I284" t="s">
        <v>72</v>
      </c>
      <c r="J284" t="str">
        <f t="shared" si="12"/>
        <v>JOHN ROKEN</v>
      </c>
      <c r="K284" t="s">
        <v>57</v>
      </c>
      <c r="L284" s="1">
        <v>45909</v>
      </c>
      <c r="M284" s="1">
        <v>45970</v>
      </c>
      <c r="N284" s="2">
        <v>56.69</v>
      </c>
      <c r="O284">
        <f t="shared" si="13"/>
        <v>2</v>
      </c>
      <c r="P284" t="s">
        <v>214</v>
      </c>
      <c r="Q284" t="s">
        <v>1274</v>
      </c>
      <c r="R284" s="3">
        <v>0.6</v>
      </c>
      <c r="S284" s="2">
        <v>34.01</v>
      </c>
      <c r="T284" t="s">
        <v>65</v>
      </c>
    </row>
    <row r="285" spans="1:20" x14ac:dyDescent="0.25">
      <c r="A285">
        <v>2030189267</v>
      </c>
      <c r="B285" t="s">
        <v>911</v>
      </c>
      <c r="C285" t="s">
        <v>912</v>
      </c>
      <c r="D285" t="str">
        <f t="shared" si="14"/>
        <v>BEAKE JAYSON</v>
      </c>
      <c r="E285" t="s">
        <v>292</v>
      </c>
      <c r="F285" t="s">
        <v>536</v>
      </c>
      <c r="G285">
        <v>8307933</v>
      </c>
      <c r="H285" t="s">
        <v>112</v>
      </c>
      <c r="I285" t="s">
        <v>104</v>
      </c>
      <c r="J285" t="str">
        <f t="shared" si="12"/>
        <v>GREGORY TEIPEL</v>
      </c>
      <c r="K285" t="s">
        <v>57</v>
      </c>
      <c r="L285" s="1">
        <v>45876</v>
      </c>
      <c r="M285" s="1">
        <v>45968</v>
      </c>
      <c r="N285" s="2">
        <v>25.73</v>
      </c>
      <c r="O285">
        <f t="shared" si="13"/>
        <v>3</v>
      </c>
      <c r="P285" t="s">
        <v>214</v>
      </c>
      <c r="Q285" t="s">
        <v>1274</v>
      </c>
      <c r="R285" s="3">
        <v>0.7</v>
      </c>
      <c r="S285" s="2">
        <v>18.010000000000002</v>
      </c>
      <c r="T285" t="s">
        <v>536</v>
      </c>
    </row>
    <row r="286" spans="1:20" x14ac:dyDescent="0.25">
      <c r="A286">
        <v>2030329364</v>
      </c>
      <c r="B286" t="s">
        <v>648</v>
      </c>
      <c r="C286" t="s">
        <v>917</v>
      </c>
      <c r="D286" t="str">
        <f t="shared" si="14"/>
        <v>HEDGESPETH KENNETH</v>
      </c>
      <c r="E286" t="s">
        <v>292</v>
      </c>
      <c r="F286" t="s">
        <v>536</v>
      </c>
      <c r="G286">
        <v>5442438</v>
      </c>
      <c r="H286" t="s">
        <v>106</v>
      </c>
      <c r="I286" t="s">
        <v>107</v>
      </c>
      <c r="J286" t="str">
        <f t="shared" si="12"/>
        <v>Ronald Max</v>
      </c>
      <c r="K286" t="s">
        <v>57</v>
      </c>
      <c r="L286" s="1">
        <v>45878</v>
      </c>
      <c r="M286" s="1">
        <v>45970</v>
      </c>
      <c r="N286" s="2">
        <v>24.61</v>
      </c>
      <c r="O286">
        <f t="shared" si="13"/>
        <v>3</v>
      </c>
      <c r="P286" t="s">
        <v>214</v>
      </c>
      <c r="Q286" t="s">
        <v>1274</v>
      </c>
      <c r="R286" s="3">
        <v>0.7</v>
      </c>
      <c r="S286" s="2">
        <v>17.23</v>
      </c>
      <c r="T286" t="s">
        <v>536</v>
      </c>
    </row>
    <row r="287" spans="1:20" x14ac:dyDescent="0.25">
      <c r="A287">
        <v>2030345986</v>
      </c>
      <c r="B287" t="s">
        <v>94</v>
      </c>
      <c r="C287" t="s">
        <v>922</v>
      </c>
      <c r="D287" t="str">
        <f t="shared" si="14"/>
        <v>DOMAROTSKY ERIC</v>
      </c>
      <c r="E287" t="s">
        <v>292</v>
      </c>
      <c r="F287" t="s">
        <v>536</v>
      </c>
      <c r="G287">
        <v>5442438</v>
      </c>
      <c r="H287" t="s">
        <v>106</v>
      </c>
      <c r="I287" t="s">
        <v>107</v>
      </c>
      <c r="J287" t="str">
        <f t="shared" si="12"/>
        <v>Ronald Max</v>
      </c>
      <c r="K287" t="s">
        <v>57</v>
      </c>
      <c r="L287" s="1">
        <v>45876</v>
      </c>
      <c r="M287" s="1">
        <v>45968</v>
      </c>
      <c r="N287" s="2">
        <v>24.61</v>
      </c>
      <c r="O287">
        <f t="shared" si="13"/>
        <v>3</v>
      </c>
      <c r="P287" t="s">
        <v>214</v>
      </c>
      <c r="Q287" t="s">
        <v>1274</v>
      </c>
      <c r="R287" s="3">
        <v>0.7</v>
      </c>
      <c r="S287" s="2">
        <v>17.23</v>
      </c>
      <c r="T287" t="s">
        <v>536</v>
      </c>
    </row>
    <row r="288" spans="1:20" x14ac:dyDescent="0.25">
      <c r="A288">
        <v>2030277548</v>
      </c>
      <c r="B288" t="s">
        <v>439</v>
      </c>
      <c r="C288" t="s">
        <v>440</v>
      </c>
      <c r="D288" t="str">
        <f t="shared" si="14"/>
        <v>REINHART TAMMIE</v>
      </c>
      <c r="E288" t="s">
        <v>292</v>
      </c>
      <c r="F288" t="s">
        <v>536</v>
      </c>
      <c r="G288">
        <v>8977234</v>
      </c>
      <c r="H288" t="s">
        <v>80</v>
      </c>
      <c r="I288" t="s">
        <v>81</v>
      </c>
      <c r="J288" t="str">
        <f t="shared" si="12"/>
        <v>RYAN CALTAGIRONE</v>
      </c>
      <c r="K288" t="s">
        <v>57</v>
      </c>
      <c r="L288" s="1">
        <v>45878</v>
      </c>
      <c r="M288" s="1">
        <v>45970</v>
      </c>
      <c r="N288" s="2">
        <v>49.83</v>
      </c>
      <c r="O288">
        <f t="shared" si="13"/>
        <v>3</v>
      </c>
      <c r="P288" t="s">
        <v>214</v>
      </c>
      <c r="Q288" t="s">
        <v>1274</v>
      </c>
      <c r="R288" s="3">
        <v>0.7</v>
      </c>
      <c r="S288" s="2">
        <v>34.880000000000003</v>
      </c>
      <c r="T288" t="s">
        <v>536</v>
      </c>
    </row>
    <row r="289" spans="1:20" x14ac:dyDescent="0.25">
      <c r="A289">
        <v>2030228488</v>
      </c>
      <c r="B289" t="s">
        <v>524</v>
      </c>
      <c r="C289" t="s">
        <v>915</v>
      </c>
      <c r="D289" t="str">
        <f t="shared" si="14"/>
        <v>NAMIO SANDRA</v>
      </c>
      <c r="E289" t="s">
        <v>292</v>
      </c>
      <c r="F289" t="s">
        <v>536</v>
      </c>
      <c r="G289">
        <v>8977234</v>
      </c>
      <c r="H289" t="s">
        <v>80</v>
      </c>
      <c r="I289" t="s">
        <v>81</v>
      </c>
      <c r="J289" t="str">
        <f t="shared" si="12"/>
        <v>RYAN CALTAGIRONE</v>
      </c>
      <c r="K289" t="s">
        <v>57</v>
      </c>
      <c r="L289" s="1">
        <v>45875</v>
      </c>
      <c r="M289" s="1">
        <v>45967</v>
      </c>
      <c r="N289" s="2">
        <v>25.73</v>
      </c>
      <c r="O289">
        <f t="shared" si="13"/>
        <v>3</v>
      </c>
      <c r="P289" t="s">
        <v>214</v>
      </c>
      <c r="Q289" t="s">
        <v>1274</v>
      </c>
      <c r="R289" s="3">
        <v>0.7</v>
      </c>
      <c r="S289" s="2">
        <v>18.010000000000002</v>
      </c>
      <c r="T289" t="s">
        <v>536</v>
      </c>
    </row>
    <row r="290" spans="1:20" x14ac:dyDescent="0.25">
      <c r="A290">
        <v>2030277546</v>
      </c>
      <c r="B290" t="s">
        <v>439</v>
      </c>
      <c r="C290" t="s">
        <v>440</v>
      </c>
      <c r="D290" t="str">
        <f t="shared" si="14"/>
        <v>REINHART TAMMIE</v>
      </c>
      <c r="E290" t="s">
        <v>287</v>
      </c>
      <c r="F290" t="s">
        <v>424</v>
      </c>
      <c r="G290">
        <v>8977234</v>
      </c>
      <c r="H290" t="s">
        <v>80</v>
      </c>
      <c r="I290" t="s">
        <v>81</v>
      </c>
      <c r="J290" t="str">
        <f t="shared" si="12"/>
        <v>RYAN CALTAGIRONE</v>
      </c>
      <c r="K290" t="s">
        <v>57</v>
      </c>
      <c r="L290" s="1">
        <v>45878</v>
      </c>
      <c r="M290" s="1">
        <v>45970</v>
      </c>
      <c r="N290" s="2">
        <v>7.09</v>
      </c>
      <c r="O290">
        <f t="shared" si="13"/>
        <v>3</v>
      </c>
      <c r="P290" t="s">
        <v>214</v>
      </c>
      <c r="Q290" t="s">
        <v>1274</v>
      </c>
      <c r="R290" s="3">
        <v>0.38</v>
      </c>
      <c r="S290" s="2">
        <v>2.69</v>
      </c>
      <c r="T290" t="s">
        <v>291</v>
      </c>
    </row>
    <row r="291" spans="1:20" x14ac:dyDescent="0.25">
      <c r="A291">
        <v>2029919053</v>
      </c>
      <c r="B291" t="s">
        <v>901</v>
      </c>
      <c r="C291" t="s">
        <v>902</v>
      </c>
      <c r="D291" t="str">
        <f t="shared" si="14"/>
        <v>WEBER JOANNE</v>
      </c>
      <c r="E291" t="s">
        <v>89</v>
      </c>
      <c r="F291" t="s">
        <v>111</v>
      </c>
      <c r="G291">
        <v>8307933</v>
      </c>
      <c r="H291" t="s">
        <v>112</v>
      </c>
      <c r="I291" t="s">
        <v>104</v>
      </c>
      <c r="J291" t="str">
        <f t="shared" si="12"/>
        <v>GREGORY TEIPEL</v>
      </c>
      <c r="K291" t="s">
        <v>57</v>
      </c>
      <c r="L291" s="1">
        <v>45876</v>
      </c>
      <c r="M291" s="1">
        <v>45968</v>
      </c>
      <c r="N291" s="2">
        <v>219.55</v>
      </c>
      <c r="O291">
        <f t="shared" si="13"/>
        <v>3</v>
      </c>
      <c r="P291" t="s">
        <v>214</v>
      </c>
      <c r="Q291" t="s">
        <v>1274</v>
      </c>
      <c r="R291" s="3">
        <v>0.75</v>
      </c>
      <c r="S291" s="2">
        <v>164.66</v>
      </c>
      <c r="T291" t="s">
        <v>1257</v>
      </c>
    </row>
    <row r="292" spans="1:20" x14ac:dyDescent="0.25">
      <c r="A292">
        <v>2029842749</v>
      </c>
      <c r="B292" t="s">
        <v>896</v>
      </c>
      <c r="C292" t="s">
        <v>897</v>
      </c>
      <c r="D292" t="str">
        <f t="shared" si="14"/>
        <v>JARVIS TAMECIA</v>
      </c>
      <c r="E292" t="s">
        <v>89</v>
      </c>
      <c r="F292" t="s">
        <v>111</v>
      </c>
      <c r="G292">
        <v>8307933</v>
      </c>
      <c r="H292" t="s">
        <v>112</v>
      </c>
      <c r="I292" t="s">
        <v>104</v>
      </c>
      <c r="J292" t="str">
        <f t="shared" si="12"/>
        <v>GREGORY TEIPEL</v>
      </c>
      <c r="K292" t="s">
        <v>57</v>
      </c>
      <c r="L292" s="1">
        <v>45876</v>
      </c>
      <c r="M292" s="1">
        <v>45968</v>
      </c>
      <c r="N292" s="2">
        <v>191.89</v>
      </c>
      <c r="O292">
        <f t="shared" si="13"/>
        <v>3</v>
      </c>
      <c r="P292" t="s">
        <v>214</v>
      </c>
      <c r="Q292" t="s">
        <v>1274</v>
      </c>
      <c r="R292" s="3">
        <v>0.75</v>
      </c>
      <c r="S292" s="2">
        <v>143.91999999999999</v>
      </c>
      <c r="T292" t="s">
        <v>1257</v>
      </c>
    </row>
    <row r="293" spans="1:20" x14ac:dyDescent="0.25">
      <c r="A293">
        <v>2029959146</v>
      </c>
      <c r="B293" t="s">
        <v>903</v>
      </c>
      <c r="C293" t="s">
        <v>904</v>
      </c>
      <c r="D293" t="str">
        <f t="shared" si="14"/>
        <v>PELEGCOHEN ESTER</v>
      </c>
      <c r="E293" t="s">
        <v>89</v>
      </c>
      <c r="F293" t="s">
        <v>111</v>
      </c>
      <c r="G293">
        <v>8307933</v>
      </c>
      <c r="H293" t="s">
        <v>112</v>
      </c>
      <c r="I293" t="s">
        <v>104</v>
      </c>
      <c r="J293" t="str">
        <f t="shared" si="12"/>
        <v>GREGORY TEIPEL</v>
      </c>
      <c r="K293" t="s">
        <v>57</v>
      </c>
      <c r="L293" s="1">
        <v>45876</v>
      </c>
      <c r="M293" s="1">
        <v>45968</v>
      </c>
      <c r="N293" s="2">
        <v>187</v>
      </c>
      <c r="O293">
        <f t="shared" si="13"/>
        <v>3</v>
      </c>
      <c r="P293" t="s">
        <v>214</v>
      </c>
      <c r="Q293" t="s">
        <v>1274</v>
      </c>
      <c r="R293" s="3">
        <v>0.75</v>
      </c>
      <c r="S293" s="2">
        <v>140.25</v>
      </c>
      <c r="T293" t="s">
        <v>1257</v>
      </c>
    </row>
    <row r="294" spans="1:20" x14ac:dyDescent="0.25">
      <c r="A294">
        <v>2030047485</v>
      </c>
      <c r="B294" t="s">
        <v>713</v>
      </c>
      <c r="C294" t="s">
        <v>240</v>
      </c>
      <c r="D294" t="str">
        <f t="shared" si="14"/>
        <v>DOUGLAS WENDY</v>
      </c>
      <c r="E294" t="s">
        <v>89</v>
      </c>
      <c r="F294" t="s">
        <v>111</v>
      </c>
      <c r="G294">
        <v>8307933</v>
      </c>
      <c r="H294" t="s">
        <v>112</v>
      </c>
      <c r="I294" t="s">
        <v>104</v>
      </c>
      <c r="J294" t="str">
        <f t="shared" si="12"/>
        <v>GREGORY TEIPEL</v>
      </c>
      <c r="K294" t="s">
        <v>57</v>
      </c>
      <c r="L294" s="1">
        <v>45876</v>
      </c>
      <c r="M294" s="1">
        <v>45968</v>
      </c>
      <c r="N294" s="2">
        <v>152.19999999999999</v>
      </c>
      <c r="O294">
        <f t="shared" si="13"/>
        <v>3</v>
      </c>
      <c r="P294" t="s">
        <v>214</v>
      </c>
      <c r="Q294" t="s">
        <v>1274</v>
      </c>
      <c r="R294" s="3">
        <v>0.75</v>
      </c>
      <c r="S294" s="2">
        <v>114.15</v>
      </c>
      <c r="T294" t="s">
        <v>1257</v>
      </c>
    </row>
    <row r="295" spans="1:20" x14ac:dyDescent="0.25">
      <c r="A295">
        <v>2030013622</v>
      </c>
      <c r="B295" t="s">
        <v>906</v>
      </c>
      <c r="C295" t="s">
        <v>907</v>
      </c>
      <c r="D295" t="str">
        <f t="shared" si="14"/>
        <v>HATELY NOAH</v>
      </c>
      <c r="E295" t="s">
        <v>89</v>
      </c>
      <c r="F295" t="s">
        <v>111</v>
      </c>
      <c r="G295">
        <v>8307933</v>
      </c>
      <c r="H295" t="s">
        <v>112</v>
      </c>
      <c r="I295" t="s">
        <v>104</v>
      </c>
      <c r="J295" t="str">
        <f t="shared" si="12"/>
        <v>GREGORY TEIPEL</v>
      </c>
      <c r="K295" t="s">
        <v>57</v>
      </c>
      <c r="L295" s="1">
        <v>45876</v>
      </c>
      <c r="M295" s="1">
        <v>45968</v>
      </c>
      <c r="N295" s="2">
        <v>59.5</v>
      </c>
      <c r="O295">
        <f t="shared" si="13"/>
        <v>3</v>
      </c>
      <c r="P295" t="s">
        <v>214</v>
      </c>
      <c r="Q295" t="s">
        <v>1274</v>
      </c>
      <c r="R295" s="3">
        <v>0.75</v>
      </c>
      <c r="S295" s="2">
        <v>44.62</v>
      </c>
      <c r="T295" t="s">
        <v>1257</v>
      </c>
    </row>
    <row r="296" spans="1:20" x14ac:dyDescent="0.25">
      <c r="A296">
        <v>2030090690</v>
      </c>
      <c r="B296" t="s">
        <v>476</v>
      </c>
      <c r="C296" t="s">
        <v>910</v>
      </c>
      <c r="D296" t="str">
        <f t="shared" si="14"/>
        <v>SHIPLEY GARY</v>
      </c>
      <c r="E296" t="s">
        <v>89</v>
      </c>
      <c r="F296" t="s">
        <v>111</v>
      </c>
      <c r="G296">
        <v>8307933</v>
      </c>
      <c r="H296" t="s">
        <v>112</v>
      </c>
      <c r="I296" t="s">
        <v>104</v>
      </c>
      <c r="J296" t="str">
        <f t="shared" si="12"/>
        <v>GREGORY TEIPEL</v>
      </c>
      <c r="K296" t="s">
        <v>57</v>
      </c>
      <c r="L296" s="1">
        <v>45876</v>
      </c>
      <c r="M296" s="1">
        <v>45968</v>
      </c>
      <c r="N296" s="2">
        <v>52.6</v>
      </c>
      <c r="O296">
        <f t="shared" si="13"/>
        <v>3</v>
      </c>
      <c r="P296" t="s">
        <v>214</v>
      </c>
      <c r="Q296" t="s">
        <v>1274</v>
      </c>
      <c r="R296" s="3">
        <v>0.75</v>
      </c>
      <c r="S296" s="2">
        <v>39.450000000000003</v>
      </c>
      <c r="T296" t="s">
        <v>1257</v>
      </c>
    </row>
    <row r="297" spans="1:20" x14ac:dyDescent="0.25">
      <c r="A297">
        <v>2030192141</v>
      </c>
      <c r="B297" t="s">
        <v>913</v>
      </c>
      <c r="C297" t="s">
        <v>914</v>
      </c>
      <c r="D297" t="str">
        <f t="shared" si="14"/>
        <v>FLEMING-SIEBENALER BECKY</v>
      </c>
      <c r="E297" t="s">
        <v>89</v>
      </c>
      <c r="F297" t="s">
        <v>102</v>
      </c>
      <c r="G297">
        <v>8307933</v>
      </c>
      <c r="H297" t="s">
        <v>112</v>
      </c>
      <c r="I297" t="s">
        <v>104</v>
      </c>
      <c r="J297" t="str">
        <f t="shared" si="12"/>
        <v>GREGORY TEIPEL</v>
      </c>
      <c r="K297" t="s">
        <v>57</v>
      </c>
      <c r="L297" s="1">
        <v>45876</v>
      </c>
      <c r="M297" s="1">
        <v>45968</v>
      </c>
      <c r="N297" s="2">
        <v>76.45</v>
      </c>
      <c r="O297">
        <f t="shared" si="13"/>
        <v>3</v>
      </c>
      <c r="P297" t="s">
        <v>214</v>
      </c>
      <c r="Q297" t="s">
        <v>1274</v>
      </c>
      <c r="R297" s="3">
        <v>0.75</v>
      </c>
      <c r="S297" s="2">
        <v>57.34</v>
      </c>
      <c r="T297" t="s">
        <v>1257</v>
      </c>
    </row>
    <row r="298" spans="1:20" x14ac:dyDescent="0.25">
      <c r="A298">
        <v>2030228486</v>
      </c>
      <c r="B298" t="s">
        <v>524</v>
      </c>
      <c r="C298" t="s">
        <v>915</v>
      </c>
      <c r="D298" t="str">
        <f t="shared" si="14"/>
        <v>NAMIO SANDRA</v>
      </c>
      <c r="E298" t="s">
        <v>89</v>
      </c>
      <c r="F298" t="s">
        <v>102</v>
      </c>
      <c r="G298">
        <v>8977234</v>
      </c>
      <c r="H298" t="s">
        <v>80</v>
      </c>
      <c r="I298" t="s">
        <v>81</v>
      </c>
      <c r="J298" t="str">
        <f t="shared" si="12"/>
        <v>RYAN CALTAGIRONE</v>
      </c>
      <c r="K298" t="s">
        <v>57</v>
      </c>
      <c r="L298" s="1">
        <v>45875</v>
      </c>
      <c r="M298" s="1">
        <v>45967</v>
      </c>
      <c r="N298" s="2">
        <v>81.099999999999994</v>
      </c>
      <c r="O298">
        <f t="shared" si="13"/>
        <v>3</v>
      </c>
      <c r="P298" t="s">
        <v>214</v>
      </c>
      <c r="Q298" t="s">
        <v>1274</v>
      </c>
      <c r="R298" s="3">
        <v>0.75</v>
      </c>
      <c r="S298" s="2">
        <v>60.82</v>
      </c>
      <c r="T298" t="s">
        <v>1257</v>
      </c>
    </row>
    <row r="299" spans="1:20" x14ac:dyDescent="0.25">
      <c r="A299">
        <v>2030277547</v>
      </c>
      <c r="B299" t="s">
        <v>439</v>
      </c>
      <c r="C299" t="s">
        <v>440</v>
      </c>
      <c r="D299" t="str">
        <f t="shared" si="14"/>
        <v>REINHART TAMMIE</v>
      </c>
      <c r="E299" t="s">
        <v>89</v>
      </c>
      <c r="F299" t="s">
        <v>102</v>
      </c>
      <c r="G299">
        <v>8977234</v>
      </c>
      <c r="H299" t="s">
        <v>80</v>
      </c>
      <c r="I299" t="s">
        <v>81</v>
      </c>
      <c r="J299" t="str">
        <f t="shared" si="12"/>
        <v>RYAN CALTAGIRONE</v>
      </c>
      <c r="K299" t="s">
        <v>57</v>
      </c>
      <c r="L299" s="1">
        <v>45878</v>
      </c>
      <c r="M299" s="1">
        <v>45970</v>
      </c>
      <c r="N299" s="2">
        <v>37.18</v>
      </c>
      <c r="O299">
        <f t="shared" si="13"/>
        <v>3</v>
      </c>
      <c r="P299" t="s">
        <v>214</v>
      </c>
      <c r="Q299" t="s">
        <v>1274</v>
      </c>
      <c r="R299" s="3">
        <v>0.75</v>
      </c>
      <c r="S299" s="2">
        <v>27.88</v>
      </c>
      <c r="T299" t="s">
        <v>1257</v>
      </c>
    </row>
    <row r="300" spans="1:20" x14ac:dyDescent="0.25">
      <c r="A300">
        <v>2030189268</v>
      </c>
      <c r="B300" t="s">
        <v>911</v>
      </c>
      <c r="C300" t="s">
        <v>912</v>
      </c>
      <c r="D300" t="str">
        <f t="shared" si="14"/>
        <v>BEAKE JAYSON</v>
      </c>
      <c r="E300" t="s">
        <v>89</v>
      </c>
      <c r="F300" t="s">
        <v>90</v>
      </c>
      <c r="G300">
        <v>8307933</v>
      </c>
      <c r="H300" t="s">
        <v>112</v>
      </c>
      <c r="I300" t="s">
        <v>104</v>
      </c>
      <c r="J300" t="str">
        <f t="shared" si="12"/>
        <v>GREGORY TEIPEL</v>
      </c>
      <c r="K300" t="s">
        <v>57</v>
      </c>
      <c r="L300" s="1">
        <v>45876</v>
      </c>
      <c r="M300" s="1">
        <v>45968</v>
      </c>
      <c r="N300" s="2">
        <v>24.4</v>
      </c>
      <c r="O300">
        <f t="shared" si="13"/>
        <v>3</v>
      </c>
      <c r="P300" t="s">
        <v>214</v>
      </c>
      <c r="Q300" t="s">
        <v>1274</v>
      </c>
      <c r="R300" s="3">
        <v>0.65</v>
      </c>
      <c r="S300" s="2">
        <v>15.86</v>
      </c>
      <c r="T300" t="s">
        <v>1258</v>
      </c>
    </row>
    <row r="301" spans="1:20" x14ac:dyDescent="0.25">
      <c r="A301">
        <v>2030386535</v>
      </c>
      <c r="B301" t="s">
        <v>924</v>
      </c>
      <c r="C301" t="s">
        <v>925</v>
      </c>
      <c r="D301" t="str">
        <f t="shared" si="14"/>
        <v>BATTS ANDRE</v>
      </c>
      <c r="E301" t="s">
        <v>89</v>
      </c>
      <c r="F301" t="s">
        <v>96</v>
      </c>
      <c r="G301">
        <v>9079571</v>
      </c>
      <c r="H301" t="s">
        <v>172</v>
      </c>
      <c r="I301" t="s">
        <v>173</v>
      </c>
      <c r="J301" t="str">
        <f t="shared" si="12"/>
        <v>ADAM RICHTER</v>
      </c>
      <c r="K301" t="s">
        <v>57</v>
      </c>
      <c r="L301" s="1">
        <v>45878</v>
      </c>
      <c r="M301" s="1">
        <v>45970</v>
      </c>
      <c r="N301" s="2">
        <v>124.88</v>
      </c>
      <c r="O301">
        <f t="shared" si="13"/>
        <v>3</v>
      </c>
      <c r="P301" t="s">
        <v>214</v>
      </c>
      <c r="Q301" t="s">
        <v>1274</v>
      </c>
      <c r="R301" s="3">
        <v>0.9</v>
      </c>
      <c r="S301" s="2">
        <v>112.39</v>
      </c>
      <c r="T301" t="s">
        <v>1259</v>
      </c>
    </row>
    <row r="302" spans="1:20" x14ac:dyDescent="0.25">
      <c r="A302">
        <v>2029963806</v>
      </c>
      <c r="B302" t="s">
        <v>94</v>
      </c>
      <c r="C302" t="s">
        <v>905</v>
      </c>
      <c r="D302" t="str">
        <f t="shared" si="14"/>
        <v>SHAW ERIC</v>
      </c>
      <c r="E302" t="s">
        <v>89</v>
      </c>
      <c r="F302" t="s">
        <v>96</v>
      </c>
      <c r="G302">
        <v>8307933</v>
      </c>
      <c r="H302" t="s">
        <v>112</v>
      </c>
      <c r="I302" t="s">
        <v>104</v>
      </c>
      <c r="J302" t="str">
        <f t="shared" si="12"/>
        <v>GREGORY TEIPEL</v>
      </c>
      <c r="K302" t="s">
        <v>57</v>
      </c>
      <c r="L302" s="1">
        <v>45876</v>
      </c>
      <c r="M302" s="1">
        <v>45968</v>
      </c>
      <c r="N302" s="2">
        <v>92.65</v>
      </c>
      <c r="O302">
        <f t="shared" si="13"/>
        <v>3</v>
      </c>
      <c r="P302" t="s">
        <v>214</v>
      </c>
      <c r="Q302" t="s">
        <v>1274</v>
      </c>
      <c r="R302" s="3">
        <v>0.9</v>
      </c>
      <c r="S302" s="2">
        <v>83.38</v>
      </c>
      <c r="T302" t="s">
        <v>1259</v>
      </c>
    </row>
    <row r="303" spans="1:20" x14ac:dyDescent="0.25">
      <c r="A303">
        <v>2030047734</v>
      </c>
      <c r="B303" t="s">
        <v>908</v>
      </c>
      <c r="C303" t="s">
        <v>909</v>
      </c>
      <c r="D303" t="str">
        <f t="shared" si="14"/>
        <v>BYRD RACHEL</v>
      </c>
      <c r="E303" t="s">
        <v>89</v>
      </c>
      <c r="F303" t="s">
        <v>96</v>
      </c>
      <c r="G303">
        <v>8307933</v>
      </c>
      <c r="H303" t="s">
        <v>112</v>
      </c>
      <c r="I303" t="s">
        <v>104</v>
      </c>
      <c r="J303" t="str">
        <f t="shared" si="12"/>
        <v>GREGORY TEIPEL</v>
      </c>
      <c r="K303" t="s">
        <v>57</v>
      </c>
      <c r="L303" s="1">
        <v>45876</v>
      </c>
      <c r="M303" s="1">
        <v>45968</v>
      </c>
      <c r="N303" s="2">
        <v>70.959999999999994</v>
      </c>
      <c r="O303">
        <f t="shared" si="13"/>
        <v>3</v>
      </c>
      <c r="P303" t="s">
        <v>214</v>
      </c>
      <c r="Q303" t="s">
        <v>1274</v>
      </c>
      <c r="R303" s="3">
        <v>0.9</v>
      </c>
      <c r="S303" s="2">
        <v>63.86</v>
      </c>
      <c r="T303" t="s">
        <v>1259</v>
      </c>
    </row>
    <row r="304" spans="1:20" x14ac:dyDescent="0.25">
      <c r="A304">
        <v>2030366107</v>
      </c>
      <c r="B304" t="s">
        <v>377</v>
      </c>
      <c r="C304" t="s">
        <v>923</v>
      </c>
      <c r="D304" t="str">
        <f t="shared" si="14"/>
        <v>LOVETT DIXON</v>
      </c>
      <c r="E304" t="s">
        <v>89</v>
      </c>
      <c r="F304" t="s">
        <v>96</v>
      </c>
      <c r="G304">
        <v>8307933</v>
      </c>
      <c r="H304" t="s">
        <v>112</v>
      </c>
      <c r="I304" t="s">
        <v>104</v>
      </c>
      <c r="J304" t="str">
        <f t="shared" si="12"/>
        <v>GREGORY TEIPEL</v>
      </c>
      <c r="K304" t="s">
        <v>57</v>
      </c>
      <c r="L304" s="1">
        <v>45878</v>
      </c>
      <c r="M304" s="1">
        <v>45970</v>
      </c>
      <c r="N304" s="2">
        <v>59.42</v>
      </c>
      <c r="O304">
        <f t="shared" si="13"/>
        <v>3</v>
      </c>
      <c r="P304" t="s">
        <v>214</v>
      </c>
      <c r="Q304" t="s">
        <v>1274</v>
      </c>
      <c r="R304" s="3">
        <v>0.9</v>
      </c>
      <c r="S304" s="2">
        <v>53.48</v>
      </c>
      <c r="T304" t="s">
        <v>1259</v>
      </c>
    </row>
    <row r="305" spans="1:20" x14ac:dyDescent="0.25">
      <c r="A305">
        <v>2029887594</v>
      </c>
      <c r="B305" t="s">
        <v>510</v>
      </c>
      <c r="C305" t="s">
        <v>900</v>
      </c>
      <c r="D305" t="str">
        <f t="shared" si="14"/>
        <v>GEORGE STACEY</v>
      </c>
      <c r="E305" t="s">
        <v>89</v>
      </c>
      <c r="F305" t="s">
        <v>96</v>
      </c>
      <c r="G305">
        <v>1706194</v>
      </c>
      <c r="H305" t="s">
        <v>97</v>
      </c>
      <c r="I305" t="s">
        <v>98</v>
      </c>
      <c r="J305" t="str">
        <f t="shared" si="12"/>
        <v>MATTHEW DAUGHERTY</v>
      </c>
      <c r="K305" t="s">
        <v>57</v>
      </c>
      <c r="L305" s="1">
        <v>45870</v>
      </c>
      <c r="M305" s="1">
        <v>45962</v>
      </c>
      <c r="N305" s="2">
        <v>-305.58</v>
      </c>
      <c r="O305">
        <f t="shared" si="13"/>
        <v>3</v>
      </c>
      <c r="P305" t="s">
        <v>214</v>
      </c>
      <c r="Q305" t="s">
        <v>1274</v>
      </c>
      <c r="R305" s="3">
        <v>0.9</v>
      </c>
      <c r="S305" s="2">
        <v>-275.02</v>
      </c>
      <c r="T305" t="s">
        <v>1259</v>
      </c>
    </row>
    <row r="306" spans="1:20" x14ac:dyDescent="0.25">
      <c r="A306">
        <v>2030329365</v>
      </c>
      <c r="B306" t="s">
        <v>648</v>
      </c>
      <c r="C306" t="s">
        <v>917</v>
      </c>
      <c r="D306" t="str">
        <f t="shared" si="14"/>
        <v>HEDGESPETH KENNETH</v>
      </c>
      <c r="E306" t="s">
        <v>89</v>
      </c>
      <c r="F306" t="s">
        <v>96</v>
      </c>
      <c r="G306">
        <v>5442438</v>
      </c>
      <c r="H306" t="s">
        <v>106</v>
      </c>
      <c r="I306" t="s">
        <v>107</v>
      </c>
      <c r="J306" t="str">
        <f t="shared" si="12"/>
        <v>Ronald Max</v>
      </c>
      <c r="K306" t="s">
        <v>57</v>
      </c>
      <c r="L306" s="1">
        <v>45878</v>
      </c>
      <c r="M306" s="1">
        <v>45970</v>
      </c>
      <c r="N306" s="2">
        <v>84.56</v>
      </c>
      <c r="O306">
        <f t="shared" si="13"/>
        <v>3</v>
      </c>
      <c r="P306" t="s">
        <v>214</v>
      </c>
      <c r="Q306" t="s">
        <v>1274</v>
      </c>
      <c r="R306" s="3">
        <v>0.9</v>
      </c>
      <c r="S306" s="2">
        <v>76.099999999999994</v>
      </c>
      <c r="T306" t="s">
        <v>1259</v>
      </c>
    </row>
    <row r="307" spans="1:20" x14ac:dyDescent="0.25">
      <c r="A307">
        <v>2030345987</v>
      </c>
      <c r="B307" t="s">
        <v>94</v>
      </c>
      <c r="C307" t="s">
        <v>922</v>
      </c>
      <c r="D307" t="str">
        <f t="shared" si="14"/>
        <v>DOMAROTSKY ERIC</v>
      </c>
      <c r="E307" t="s">
        <v>89</v>
      </c>
      <c r="F307" t="s">
        <v>96</v>
      </c>
      <c r="G307">
        <v>5442438</v>
      </c>
      <c r="H307" t="s">
        <v>106</v>
      </c>
      <c r="I307" t="s">
        <v>107</v>
      </c>
      <c r="J307" t="str">
        <f t="shared" si="12"/>
        <v>Ronald Max</v>
      </c>
      <c r="K307" t="s">
        <v>57</v>
      </c>
      <c r="L307" s="1">
        <v>45876</v>
      </c>
      <c r="M307" s="1">
        <v>45968</v>
      </c>
      <c r="N307" s="2">
        <v>51.46</v>
      </c>
      <c r="O307">
        <f t="shared" si="13"/>
        <v>3</v>
      </c>
      <c r="P307" t="s">
        <v>214</v>
      </c>
      <c r="Q307" t="s">
        <v>1274</v>
      </c>
      <c r="R307" s="3">
        <v>0.9</v>
      </c>
      <c r="S307" s="2">
        <v>46.31</v>
      </c>
      <c r="T307" t="s">
        <v>1259</v>
      </c>
    </row>
    <row r="308" spans="1:20" x14ac:dyDescent="0.25">
      <c r="A308">
        <v>2030329363</v>
      </c>
      <c r="B308" t="s">
        <v>648</v>
      </c>
      <c r="C308" t="s">
        <v>917</v>
      </c>
      <c r="D308" t="str">
        <f t="shared" si="14"/>
        <v>HEDGESPETH KENNETH</v>
      </c>
      <c r="E308" t="s">
        <v>292</v>
      </c>
      <c r="F308" t="s">
        <v>331</v>
      </c>
      <c r="G308">
        <v>5442438</v>
      </c>
      <c r="H308" t="s">
        <v>106</v>
      </c>
      <c r="I308" t="s">
        <v>107</v>
      </c>
      <c r="J308" t="str">
        <f t="shared" si="12"/>
        <v>Ronald Max</v>
      </c>
      <c r="K308" t="s">
        <v>57</v>
      </c>
      <c r="L308" s="1">
        <v>45878</v>
      </c>
      <c r="M308" s="1">
        <v>45970</v>
      </c>
      <c r="N308" s="2">
        <v>43.86</v>
      </c>
      <c r="O308">
        <f t="shared" si="13"/>
        <v>3</v>
      </c>
      <c r="P308" t="s">
        <v>214</v>
      </c>
      <c r="Q308" t="s">
        <v>1274</v>
      </c>
      <c r="R308" s="3">
        <v>0.42</v>
      </c>
      <c r="S308" s="2">
        <v>18.420000000000002</v>
      </c>
      <c r="T308" t="s">
        <v>331</v>
      </c>
    </row>
    <row r="309" spans="1:20" x14ac:dyDescent="0.25">
      <c r="A309">
        <v>2030277550</v>
      </c>
      <c r="B309" t="s">
        <v>439</v>
      </c>
      <c r="C309" t="s">
        <v>440</v>
      </c>
      <c r="D309" t="str">
        <f t="shared" si="14"/>
        <v>REINHART TAMMIE</v>
      </c>
      <c r="E309" t="s">
        <v>209</v>
      </c>
      <c r="F309" t="s">
        <v>961</v>
      </c>
      <c r="G309">
        <v>8977234</v>
      </c>
      <c r="H309" t="s">
        <v>80</v>
      </c>
      <c r="I309" t="s">
        <v>81</v>
      </c>
      <c r="J309" t="str">
        <f t="shared" si="12"/>
        <v>RYAN CALTAGIRONE</v>
      </c>
      <c r="K309" t="s">
        <v>57</v>
      </c>
      <c r="L309" s="1">
        <v>45878</v>
      </c>
      <c r="M309" s="1">
        <v>45970</v>
      </c>
      <c r="N309" s="2">
        <v>15</v>
      </c>
      <c r="O309">
        <f t="shared" si="13"/>
        <v>3</v>
      </c>
      <c r="P309" t="s">
        <v>214</v>
      </c>
      <c r="Q309" t="s">
        <v>1274</v>
      </c>
      <c r="R309" s="3">
        <v>0.19</v>
      </c>
      <c r="S309" s="2">
        <v>2.85</v>
      </c>
      <c r="T309" t="s">
        <v>960</v>
      </c>
    </row>
    <row r="310" spans="1:20" x14ac:dyDescent="0.25">
      <c r="A310">
        <v>2030339161</v>
      </c>
      <c r="B310" t="s">
        <v>627</v>
      </c>
      <c r="C310" t="s">
        <v>964</v>
      </c>
      <c r="D310" t="str">
        <f t="shared" si="14"/>
        <v>HANSON LAURA</v>
      </c>
      <c r="E310" t="s">
        <v>209</v>
      </c>
      <c r="F310" t="s">
        <v>960</v>
      </c>
      <c r="G310">
        <v>21564088</v>
      </c>
      <c r="H310" t="s">
        <v>554</v>
      </c>
      <c r="I310" t="s">
        <v>555</v>
      </c>
      <c r="J310" t="str">
        <f t="shared" si="12"/>
        <v>Jennifer Halsaver</v>
      </c>
      <c r="K310" t="s">
        <v>57</v>
      </c>
      <c r="L310" s="1">
        <v>45875</v>
      </c>
      <c r="M310" s="1">
        <v>45967</v>
      </c>
      <c r="N310" s="2">
        <v>15</v>
      </c>
      <c r="O310">
        <f t="shared" si="13"/>
        <v>3</v>
      </c>
      <c r="P310" t="s">
        <v>214</v>
      </c>
      <c r="Q310" t="s">
        <v>1274</v>
      </c>
      <c r="R310" s="3">
        <v>0.19</v>
      </c>
      <c r="S310" s="2">
        <v>2.85</v>
      </c>
      <c r="T310" t="s">
        <v>960</v>
      </c>
    </row>
    <row r="311" spans="1:20" x14ac:dyDescent="0.25">
      <c r="A311">
        <v>2030290667</v>
      </c>
      <c r="B311" t="s">
        <v>441</v>
      </c>
      <c r="C311" t="s">
        <v>442</v>
      </c>
      <c r="D311" t="str">
        <f t="shared" si="14"/>
        <v>AYMOND PATRICK</v>
      </c>
      <c r="E311" t="s">
        <v>209</v>
      </c>
      <c r="F311" t="s">
        <v>222</v>
      </c>
      <c r="G311">
        <v>17425766</v>
      </c>
      <c r="H311" t="s">
        <v>237</v>
      </c>
      <c r="I311" t="s">
        <v>238</v>
      </c>
      <c r="J311" t="str">
        <f t="shared" si="12"/>
        <v>CAROL FOLEY</v>
      </c>
      <c r="K311" t="s">
        <v>57</v>
      </c>
      <c r="L311" s="1">
        <v>45872</v>
      </c>
      <c r="M311" s="1">
        <v>45964</v>
      </c>
      <c r="N311" s="2">
        <v>15</v>
      </c>
      <c r="O311">
        <f t="shared" si="13"/>
        <v>3</v>
      </c>
      <c r="P311" t="s">
        <v>214</v>
      </c>
      <c r="Q311" t="s">
        <v>1274</v>
      </c>
      <c r="R311" s="3">
        <v>0.38</v>
      </c>
      <c r="S311" s="2">
        <v>5.7</v>
      </c>
      <c r="T311" t="s">
        <v>222</v>
      </c>
    </row>
    <row r="312" spans="1:20" x14ac:dyDescent="0.25">
      <c r="A312">
        <v>2030277545</v>
      </c>
      <c r="B312" t="s">
        <v>439</v>
      </c>
      <c r="C312" t="s">
        <v>440</v>
      </c>
      <c r="D312" t="str">
        <f t="shared" si="14"/>
        <v>REINHART TAMMIE</v>
      </c>
      <c r="E312" t="s">
        <v>287</v>
      </c>
      <c r="F312" t="s">
        <v>363</v>
      </c>
      <c r="G312">
        <v>8977234</v>
      </c>
      <c r="H312" t="s">
        <v>80</v>
      </c>
      <c r="I312" t="s">
        <v>81</v>
      </c>
      <c r="J312" t="str">
        <f t="shared" si="12"/>
        <v>RYAN CALTAGIRONE</v>
      </c>
      <c r="K312" t="s">
        <v>57</v>
      </c>
      <c r="L312" s="1">
        <v>45878</v>
      </c>
      <c r="M312" s="1">
        <v>45970</v>
      </c>
      <c r="N312" s="2">
        <v>118.65</v>
      </c>
      <c r="O312">
        <f t="shared" si="13"/>
        <v>3</v>
      </c>
      <c r="P312" t="s">
        <v>214</v>
      </c>
      <c r="Q312" t="s">
        <v>1274</v>
      </c>
      <c r="R312" s="3">
        <v>0.19</v>
      </c>
      <c r="S312" s="2">
        <v>22.54</v>
      </c>
      <c r="T312" t="s">
        <v>1272</v>
      </c>
    </row>
    <row r="313" spans="1:20" x14ac:dyDescent="0.25">
      <c r="A313">
        <v>2030222256</v>
      </c>
      <c r="B313" t="s">
        <v>544</v>
      </c>
      <c r="C313" t="s">
        <v>1194</v>
      </c>
      <c r="D313" t="str">
        <f t="shared" si="14"/>
        <v>FURRY RUSSELL</v>
      </c>
      <c r="E313" t="s">
        <v>350</v>
      </c>
      <c r="F313" t="s">
        <v>351</v>
      </c>
      <c r="G313">
        <v>15950276</v>
      </c>
      <c r="H313" t="s">
        <v>84</v>
      </c>
      <c r="I313" t="s">
        <v>85</v>
      </c>
      <c r="J313" t="str">
        <f t="shared" si="12"/>
        <v>Ryan Stocker</v>
      </c>
      <c r="K313" t="s">
        <v>57</v>
      </c>
      <c r="L313" s="1">
        <v>45870</v>
      </c>
      <c r="M313" s="1">
        <v>45962</v>
      </c>
      <c r="N313" s="2">
        <v>48.22</v>
      </c>
      <c r="O313">
        <f t="shared" si="13"/>
        <v>3</v>
      </c>
      <c r="P313" t="s">
        <v>214</v>
      </c>
      <c r="Q313" t="s">
        <v>1274</v>
      </c>
      <c r="R313" s="3">
        <v>0.47</v>
      </c>
      <c r="S313" s="2">
        <v>22.66</v>
      </c>
      <c r="T313" t="s">
        <v>351</v>
      </c>
    </row>
    <row r="314" spans="1:20" x14ac:dyDescent="0.25">
      <c r="A314">
        <v>2030127609</v>
      </c>
      <c r="B314" t="s">
        <v>1192</v>
      </c>
      <c r="C314" t="s">
        <v>1193</v>
      </c>
      <c r="D314" t="str">
        <f t="shared" si="14"/>
        <v>SULTANA RAFAT</v>
      </c>
      <c r="E314" t="s">
        <v>350</v>
      </c>
      <c r="F314" t="s">
        <v>351</v>
      </c>
      <c r="G314">
        <v>19396223</v>
      </c>
      <c r="H314" t="s">
        <v>1032</v>
      </c>
      <c r="I314" t="s">
        <v>1033</v>
      </c>
      <c r="J314" t="str">
        <f t="shared" si="12"/>
        <v>Saadia Abdul</v>
      </c>
      <c r="K314" t="s">
        <v>57</v>
      </c>
      <c r="L314" s="1">
        <v>45870</v>
      </c>
      <c r="M314" s="1">
        <v>45962</v>
      </c>
      <c r="N314" s="2">
        <v>94.04</v>
      </c>
      <c r="O314">
        <f t="shared" si="13"/>
        <v>3</v>
      </c>
      <c r="P314" t="s">
        <v>214</v>
      </c>
      <c r="Q314" t="s">
        <v>1274</v>
      </c>
      <c r="R314" s="3">
        <v>0.47</v>
      </c>
      <c r="S314" s="2">
        <v>44.2</v>
      </c>
      <c r="T314" t="s">
        <v>351</v>
      </c>
    </row>
    <row r="315" spans="1:20" x14ac:dyDescent="0.25">
      <c r="A315">
        <v>2030290666</v>
      </c>
      <c r="B315" t="s">
        <v>441</v>
      </c>
      <c r="C315" t="s">
        <v>442</v>
      </c>
      <c r="D315" t="str">
        <f t="shared" si="14"/>
        <v>AYMOND PATRICK</v>
      </c>
      <c r="E315" t="s">
        <v>287</v>
      </c>
      <c r="F315" t="s">
        <v>288</v>
      </c>
      <c r="G315">
        <v>17425766</v>
      </c>
      <c r="H315" t="s">
        <v>237</v>
      </c>
      <c r="I315" t="s">
        <v>238</v>
      </c>
      <c r="J315" t="str">
        <f t="shared" si="12"/>
        <v>CAROL FOLEY</v>
      </c>
      <c r="K315" t="s">
        <v>57</v>
      </c>
      <c r="L315" s="1">
        <v>45872</v>
      </c>
      <c r="M315" s="1">
        <v>45964</v>
      </c>
      <c r="N315" s="2">
        <v>31.43</v>
      </c>
      <c r="O315">
        <f t="shared" si="13"/>
        <v>3</v>
      </c>
      <c r="P315" t="s">
        <v>214</v>
      </c>
      <c r="Q315" t="s">
        <v>1274</v>
      </c>
      <c r="R315" s="3">
        <v>0.38</v>
      </c>
      <c r="S315" s="2">
        <v>11.94</v>
      </c>
      <c r="T315" t="s">
        <v>288</v>
      </c>
    </row>
    <row r="316" spans="1:20" x14ac:dyDescent="0.25">
      <c r="A316">
        <v>2030380471</v>
      </c>
      <c r="B316" t="s">
        <v>443</v>
      </c>
      <c r="C316" t="s">
        <v>444</v>
      </c>
      <c r="D316" t="str">
        <f t="shared" si="14"/>
        <v>BRANNAN KAWAND</v>
      </c>
      <c r="E316" t="s">
        <v>287</v>
      </c>
      <c r="F316" t="s">
        <v>288</v>
      </c>
      <c r="G316">
        <v>17425766</v>
      </c>
      <c r="H316" t="s">
        <v>237</v>
      </c>
      <c r="I316" t="s">
        <v>238</v>
      </c>
      <c r="J316" t="str">
        <f t="shared" si="12"/>
        <v>CAROL FOLEY</v>
      </c>
      <c r="K316" t="s">
        <v>57</v>
      </c>
      <c r="L316" s="1">
        <v>45877</v>
      </c>
      <c r="M316" s="1">
        <v>45969</v>
      </c>
      <c r="N316" s="2">
        <v>47.17</v>
      </c>
      <c r="O316">
        <f t="shared" si="13"/>
        <v>3</v>
      </c>
      <c r="P316" t="s">
        <v>214</v>
      </c>
      <c r="Q316" t="s">
        <v>1274</v>
      </c>
      <c r="R316" s="3">
        <v>0.38</v>
      </c>
      <c r="S316" s="2">
        <v>17.920000000000002</v>
      </c>
      <c r="T316" t="s">
        <v>288</v>
      </c>
    </row>
    <row r="317" spans="1:20" x14ac:dyDescent="0.25">
      <c r="A317">
        <v>2029829958</v>
      </c>
      <c r="B317" t="s">
        <v>432</v>
      </c>
      <c r="C317" t="s">
        <v>433</v>
      </c>
      <c r="D317" t="str">
        <f t="shared" si="14"/>
        <v>SCIBLO CHRISTIE</v>
      </c>
      <c r="E317" t="s">
        <v>287</v>
      </c>
      <c r="F317" t="s">
        <v>288</v>
      </c>
      <c r="G317">
        <v>18781057</v>
      </c>
      <c r="H317" t="s">
        <v>71</v>
      </c>
      <c r="I317" t="s">
        <v>72</v>
      </c>
      <c r="J317" t="str">
        <f t="shared" si="12"/>
        <v>JOHN ROKEN</v>
      </c>
      <c r="K317" t="s">
        <v>57</v>
      </c>
      <c r="L317" s="1">
        <v>45870</v>
      </c>
      <c r="M317" s="1">
        <v>45962</v>
      </c>
      <c r="N317" s="2">
        <v>43.5</v>
      </c>
      <c r="O317">
        <f t="shared" si="13"/>
        <v>3</v>
      </c>
      <c r="P317" t="s">
        <v>214</v>
      </c>
      <c r="Q317" t="s">
        <v>1274</v>
      </c>
      <c r="R317" s="3">
        <v>0.38</v>
      </c>
      <c r="S317" s="2">
        <v>16.53</v>
      </c>
      <c r="T317" t="s">
        <v>288</v>
      </c>
    </row>
    <row r="318" spans="1:20" x14ac:dyDescent="0.25">
      <c r="A318">
        <v>2030247772</v>
      </c>
      <c r="B318" t="s">
        <v>438</v>
      </c>
      <c r="C318" t="s">
        <v>410</v>
      </c>
      <c r="D318" t="str">
        <f t="shared" si="14"/>
        <v>CHRISTIAN SHAMAR</v>
      </c>
      <c r="E318" t="s">
        <v>287</v>
      </c>
      <c r="F318" t="s">
        <v>288</v>
      </c>
      <c r="G318">
        <v>18781057</v>
      </c>
      <c r="H318" t="s">
        <v>71</v>
      </c>
      <c r="I318" t="s">
        <v>72</v>
      </c>
      <c r="J318" t="str">
        <f t="shared" si="12"/>
        <v>JOHN ROKEN</v>
      </c>
      <c r="K318" t="s">
        <v>57</v>
      </c>
      <c r="L318" s="1">
        <v>45870</v>
      </c>
      <c r="M318" s="1">
        <v>45962</v>
      </c>
      <c r="N318" s="2">
        <v>-27.15</v>
      </c>
      <c r="O318">
        <f t="shared" si="13"/>
        <v>3</v>
      </c>
      <c r="P318" t="s">
        <v>214</v>
      </c>
      <c r="Q318" t="s">
        <v>1274</v>
      </c>
      <c r="R318" s="3">
        <v>0.38</v>
      </c>
      <c r="S318" s="2">
        <v>-10.32</v>
      </c>
      <c r="T318" t="s">
        <v>288</v>
      </c>
    </row>
    <row r="319" spans="1:20" x14ac:dyDescent="0.25">
      <c r="A319">
        <v>2030367108</v>
      </c>
      <c r="B319" t="s">
        <v>608</v>
      </c>
      <c r="C319" t="s">
        <v>1084</v>
      </c>
      <c r="D319" t="str">
        <f t="shared" si="14"/>
        <v>VICKERS CHARLES</v>
      </c>
      <c r="E319" t="s">
        <v>292</v>
      </c>
      <c r="F319" t="s">
        <v>293</v>
      </c>
      <c r="G319">
        <v>17425766</v>
      </c>
      <c r="H319" t="s">
        <v>237</v>
      </c>
      <c r="I319" t="s">
        <v>238</v>
      </c>
      <c r="J319" t="str">
        <f t="shared" si="12"/>
        <v>CAROL FOLEY</v>
      </c>
      <c r="K319" t="s">
        <v>57</v>
      </c>
      <c r="L319" s="1">
        <v>45877</v>
      </c>
      <c r="M319" s="1">
        <v>45969</v>
      </c>
      <c r="N319" s="2">
        <v>10.82</v>
      </c>
      <c r="O319">
        <f t="shared" si="13"/>
        <v>3</v>
      </c>
      <c r="P319" t="s">
        <v>214</v>
      </c>
      <c r="Q319" t="s">
        <v>1274</v>
      </c>
      <c r="R319" s="3">
        <v>0.7</v>
      </c>
      <c r="S319" s="2">
        <v>7.57</v>
      </c>
      <c r="T319" t="s">
        <v>293</v>
      </c>
    </row>
    <row r="320" spans="1:20" x14ac:dyDescent="0.25">
      <c r="A320">
        <v>2030302641</v>
      </c>
      <c r="B320" t="s">
        <v>94</v>
      </c>
      <c r="C320" t="s">
        <v>1077</v>
      </c>
      <c r="D320" t="str">
        <f t="shared" si="14"/>
        <v>SCHAENZER ERIC</v>
      </c>
      <c r="E320" t="s">
        <v>292</v>
      </c>
      <c r="F320" t="s">
        <v>293</v>
      </c>
      <c r="G320">
        <v>21435997</v>
      </c>
      <c r="H320" t="s">
        <v>269</v>
      </c>
      <c r="I320" t="s">
        <v>270</v>
      </c>
      <c r="J320" t="str">
        <f t="shared" si="12"/>
        <v>Christopher Brousseau</v>
      </c>
      <c r="K320" t="s">
        <v>57</v>
      </c>
      <c r="L320" s="1">
        <v>45876</v>
      </c>
      <c r="M320" s="1">
        <v>45968</v>
      </c>
      <c r="N320" s="2">
        <v>45.46</v>
      </c>
      <c r="O320">
        <f t="shared" si="13"/>
        <v>3</v>
      </c>
      <c r="P320" t="s">
        <v>214</v>
      </c>
      <c r="Q320" t="s">
        <v>1274</v>
      </c>
      <c r="R320" s="3">
        <v>0.7</v>
      </c>
      <c r="S320" s="2">
        <v>31.82</v>
      </c>
      <c r="T320" t="s">
        <v>293</v>
      </c>
    </row>
    <row r="321" spans="1:20" x14ac:dyDescent="0.25">
      <c r="A321">
        <v>2030308661</v>
      </c>
      <c r="B321" t="s">
        <v>1078</v>
      </c>
      <c r="C321" t="s">
        <v>463</v>
      </c>
      <c r="D321" t="str">
        <f t="shared" si="14"/>
        <v>PATEL HIMANSHA</v>
      </c>
      <c r="E321" t="s">
        <v>292</v>
      </c>
      <c r="F321" t="s">
        <v>293</v>
      </c>
      <c r="G321">
        <v>9213293</v>
      </c>
      <c r="H321" t="s">
        <v>509</v>
      </c>
      <c r="I321" t="s">
        <v>476</v>
      </c>
      <c r="J321" t="str">
        <f t="shared" si="12"/>
        <v>GARY PORTUGAL</v>
      </c>
      <c r="K321" t="s">
        <v>57</v>
      </c>
      <c r="L321" s="1">
        <v>45874</v>
      </c>
      <c r="M321" s="1">
        <v>45966</v>
      </c>
      <c r="N321" s="2">
        <v>190.44</v>
      </c>
      <c r="O321">
        <f t="shared" si="13"/>
        <v>3</v>
      </c>
      <c r="P321" t="s">
        <v>214</v>
      </c>
      <c r="Q321" t="s">
        <v>1274</v>
      </c>
      <c r="R321" s="3">
        <v>0.7</v>
      </c>
      <c r="S321" s="2">
        <v>133.31</v>
      </c>
      <c r="T321" t="s">
        <v>293</v>
      </c>
    </row>
    <row r="322" spans="1:20" x14ac:dyDescent="0.25">
      <c r="A322">
        <v>2029959147</v>
      </c>
      <c r="B322" t="s">
        <v>903</v>
      </c>
      <c r="C322" t="s">
        <v>904</v>
      </c>
      <c r="D322" t="str">
        <f t="shared" si="14"/>
        <v>PELEGCOHEN ESTER</v>
      </c>
      <c r="E322" t="s">
        <v>292</v>
      </c>
      <c r="F322" t="s">
        <v>293</v>
      </c>
      <c r="G322">
        <v>8307933</v>
      </c>
      <c r="H322" t="s">
        <v>112</v>
      </c>
      <c r="I322" t="s">
        <v>104</v>
      </c>
      <c r="J322" t="str">
        <f t="shared" ref="J322:J385" si="15">CONCATENATE(I322, " ",H322)</f>
        <v>GREGORY TEIPEL</v>
      </c>
      <c r="K322" t="s">
        <v>57</v>
      </c>
      <c r="L322" s="1">
        <v>45876</v>
      </c>
      <c r="M322" s="1">
        <v>45968</v>
      </c>
      <c r="N322" s="2">
        <v>122.32</v>
      </c>
      <c r="O322">
        <f t="shared" ref="O322:O385" si="16">DATEDIF(L322,M322,"M")</f>
        <v>3</v>
      </c>
      <c r="P322" t="s">
        <v>214</v>
      </c>
      <c r="Q322" t="s">
        <v>1274</v>
      </c>
      <c r="R322" s="3">
        <v>0.7</v>
      </c>
      <c r="S322" s="2">
        <v>85.62</v>
      </c>
      <c r="T322" t="s">
        <v>293</v>
      </c>
    </row>
    <row r="323" spans="1:20" x14ac:dyDescent="0.25">
      <c r="A323">
        <v>2030193265</v>
      </c>
      <c r="B323" t="s">
        <v>478</v>
      </c>
      <c r="C323" t="s">
        <v>1074</v>
      </c>
      <c r="D323" t="str">
        <f t="shared" ref="D323:D386" si="17">CONCATENATE(C323, " ",B323)</f>
        <v>WASHINGTON MARIE</v>
      </c>
      <c r="E323" t="s">
        <v>292</v>
      </c>
      <c r="F323" t="s">
        <v>293</v>
      </c>
      <c r="G323">
        <v>8307933</v>
      </c>
      <c r="H323" t="s">
        <v>112</v>
      </c>
      <c r="I323" t="s">
        <v>104</v>
      </c>
      <c r="J323" t="str">
        <f t="shared" si="15"/>
        <v>GREGORY TEIPEL</v>
      </c>
      <c r="K323" t="s">
        <v>57</v>
      </c>
      <c r="L323" s="1">
        <v>45875</v>
      </c>
      <c r="M323" s="1">
        <v>45967</v>
      </c>
      <c r="N323" s="2">
        <v>117.94</v>
      </c>
      <c r="O323">
        <f t="shared" si="16"/>
        <v>3</v>
      </c>
      <c r="P323" t="s">
        <v>214</v>
      </c>
      <c r="Q323" t="s">
        <v>1274</v>
      </c>
      <c r="R323" s="3">
        <v>0.7</v>
      </c>
      <c r="S323" s="2">
        <v>82.56</v>
      </c>
      <c r="T323" t="s">
        <v>293</v>
      </c>
    </row>
    <row r="324" spans="1:20" x14ac:dyDescent="0.25">
      <c r="A324">
        <v>2030047486</v>
      </c>
      <c r="B324" t="s">
        <v>713</v>
      </c>
      <c r="C324" t="s">
        <v>240</v>
      </c>
      <c r="D324" t="str">
        <f t="shared" si="17"/>
        <v>DOUGLAS WENDY</v>
      </c>
      <c r="E324" t="s">
        <v>292</v>
      </c>
      <c r="F324" t="s">
        <v>293</v>
      </c>
      <c r="G324">
        <v>8307933</v>
      </c>
      <c r="H324" t="s">
        <v>112</v>
      </c>
      <c r="I324" t="s">
        <v>104</v>
      </c>
      <c r="J324" t="str">
        <f t="shared" si="15"/>
        <v>GREGORY TEIPEL</v>
      </c>
      <c r="K324" t="s">
        <v>57</v>
      </c>
      <c r="L324" s="1">
        <v>45876</v>
      </c>
      <c r="M324" s="1">
        <v>45968</v>
      </c>
      <c r="N324" s="2">
        <v>94.38</v>
      </c>
      <c r="O324">
        <f t="shared" si="16"/>
        <v>3</v>
      </c>
      <c r="P324" t="s">
        <v>214</v>
      </c>
      <c r="Q324" t="s">
        <v>1274</v>
      </c>
      <c r="R324" s="3">
        <v>0.7</v>
      </c>
      <c r="S324" s="2">
        <v>66.069999999999993</v>
      </c>
      <c r="T324" t="s">
        <v>293</v>
      </c>
    </row>
    <row r="325" spans="1:20" x14ac:dyDescent="0.25">
      <c r="A325">
        <v>2030047733</v>
      </c>
      <c r="B325" t="s">
        <v>908</v>
      </c>
      <c r="C325" t="s">
        <v>909</v>
      </c>
      <c r="D325" t="str">
        <f t="shared" si="17"/>
        <v>BYRD RACHEL</v>
      </c>
      <c r="E325" t="s">
        <v>292</v>
      </c>
      <c r="F325" t="s">
        <v>293</v>
      </c>
      <c r="G325">
        <v>8307933</v>
      </c>
      <c r="H325" t="s">
        <v>112</v>
      </c>
      <c r="I325" t="s">
        <v>104</v>
      </c>
      <c r="J325" t="str">
        <f t="shared" si="15"/>
        <v>GREGORY TEIPEL</v>
      </c>
      <c r="K325" t="s">
        <v>57</v>
      </c>
      <c r="L325" s="1">
        <v>45876</v>
      </c>
      <c r="M325" s="1">
        <v>45968</v>
      </c>
      <c r="N325" s="2">
        <v>75.459999999999994</v>
      </c>
      <c r="O325">
        <f t="shared" si="16"/>
        <v>3</v>
      </c>
      <c r="P325" t="s">
        <v>214</v>
      </c>
      <c r="Q325" t="s">
        <v>1274</v>
      </c>
      <c r="R325" s="3">
        <v>0.7</v>
      </c>
      <c r="S325" s="2">
        <v>52.82</v>
      </c>
      <c r="T325" t="s">
        <v>293</v>
      </c>
    </row>
    <row r="326" spans="1:20" x14ac:dyDescent="0.25">
      <c r="A326">
        <v>2029919052</v>
      </c>
      <c r="B326" t="s">
        <v>901</v>
      </c>
      <c r="C326" t="s">
        <v>902</v>
      </c>
      <c r="D326" t="str">
        <f t="shared" si="17"/>
        <v>WEBER JOANNE</v>
      </c>
      <c r="E326" t="s">
        <v>292</v>
      </c>
      <c r="F326" t="s">
        <v>293</v>
      </c>
      <c r="G326">
        <v>8307933</v>
      </c>
      <c r="H326" t="s">
        <v>112</v>
      </c>
      <c r="I326" t="s">
        <v>104</v>
      </c>
      <c r="J326" t="str">
        <f t="shared" si="15"/>
        <v>GREGORY TEIPEL</v>
      </c>
      <c r="K326" t="s">
        <v>57</v>
      </c>
      <c r="L326" s="1">
        <v>45876</v>
      </c>
      <c r="M326" s="1">
        <v>45968</v>
      </c>
      <c r="N326" s="2">
        <v>69.37</v>
      </c>
      <c r="O326">
        <f t="shared" si="16"/>
        <v>3</v>
      </c>
      <c r="P326" t="s">
        <v>214</v>
      </c>
      <c r="Q326" t="s">
        <v>1274</v>
      </c>
      <c r="R326" s="3">
        <v>0.7</v>
      </c>
      <c r="S326" s="2">
        <v>48.56</v>
      </c>
      <c r="T326" t="s">
        <v>293</v>
      </c>
    </row>
    <row r="327" spans="1:20" x14ac:dyDescent="0.25">
      <c r="A327">
        <v>2030013620</v>
      </c>
      <c r="B327" t="s">
        <v>906</v>
      </c>
      <c r="C327" t="s">
        <v>907</v>
      </c>
      <c r="D327" t="str">
        <f t="shared" si="17"/>
        <v>HATELY NOAH</v>
      </c>
      <c r="E327" t="s">
        <v>292</v>
      </c>
      <c r="F327" t="s">
        <v>293</v>
      </c>
      <c r="G327">
        <v>8307933</v>
      </c>
      <c r="H327" t="s">
        <v>112</v>
      </c>
      <c r="I327" t="s">
        <v>104</v>
      </c>
      <c r="J327" t="str">
        <f t="shared" si="15"/>
        <v>GREGORY TEIPEL</v>
      </c>
      <c r="K327" t="s">
        <v>57</v>
      </c>
      <c r="L327" s="1">
        <v>45876</v>
      </c>
      <c r="M327" s="1">
        <v>45968</v>
      </c>
      <c r="N327" s="2">
        <v>64.63</v>
      </c>
      <c r="O327">
        <f t="shared" si="16"/>
        <v>3</v>
      </c>
      <c r="P327" t="s">
        <v>214</v>
      </c>
      <c r="Q327" t="s">
        <v>1274</v>
      </c>
      <c r="R327" s="3">
        <v>0.7</v>
      </c>
      <c r="S327" s="2">
        <v>45.24</v>
      </c>
      <c r="T327" t="s">
        <v>293</v>
      </c>
    </row>
    <row r="328" spans="1:20" x14ac:dyDescent="0.25">
      <c r="A328">
        <v>2029842748</v>
      </c>
      <c r="B328" t="s">
        <v>896</v>
      </c>
      <c r="C328" t="s">
        <v>897</v>
      </c>
      <c r="D328" t="str">
        <f t="shared" si="17"/>
        <v>JARVIS TAMECIA</v>
      </c>
      <c r="E328" t="s">
        <v>292</v>
      </c>
      <c r="F328" t="s">
        <v>293</v>
      </c>
      <c r="G328">
        <v>8307933</v>
      </c>
      <c r="H328" t="s">
        <v>112</v>
      </c>
      <c r="I328" t="s">
        <v>104</v>
      </c>
      <c r="J328" t="str">
        <f t="shared" si="15"/>
        <v>GREGORY TEIPEL</v>
      </c>
      <c r="K328" t="s">
        <v>57</v>
      </c>
      <c r="L328" s="1">
        <v>45876</v>
      </c>
      <c r="M328" s="1">
        <v>45968</v>
      </c>
      <c r="N328" s="2">
        <v>51</v>
      </c>
      <c r="O328">
        <f t="shared" si="16"/>
        <v>3</v>
      </c>
      <c r="P328" t="s">
        <v>214</v>
      </c>
      <c r="Q328" t="s">
        <v>1274</v>
      </c>
      <c r="R328" s="3">
        <v>0.7</v>
      </c>
      <c r="S328" s="2">
        <v>35.700000000000003</v>
      </c>
      <c r="T328" t="s">
        <v>293</v>
      </c>
    </row>
    <row r="329" spans="1:20" x14ac:dyDescent="0.25">
      <c r="A329">
        <v>2030192140</v>
      </c>
      <c r="B329" t="s">
        <v>913</v>
      </c>
      <c r="C329" t="s">
        <v>914</v>
      </c>
      <c r="D329" t="str">
        <f t="shared" si="17"/>
        <v>FLEMING-SIEBENALER BECKY</v>
      </c>
      <c r="E329" t="s">
        <v>292</v>
      </c>
      <c r="F329" t="s">
        <v>293</v>
      </c>
      <c r="G329">
        <v>8307933</v>
      </c>
      <c r="H329" t="s">
        <v>112</v>
      </c>
      <c r="I329" t="s">
        <v>104</v>
      </c>
      <c r="J329" t="str">
        <f t="shared" si="15"/>
        <v>GREGORY TEIPEL</v>
      </c>
      <c r="K329" t="s">
        <v>57</v>
      </c>
      <c r="L329" s="1">
        <v>45876</v>
      </c>
      <c r="M329" s="1">
        <v>45968</v>
      </c>
      <c r="N329" s="2">
        <v>34</v>
      </c>
      <c r="O329">
        <f t="shared" si="16"/>
        <v>3</v>
      </c>
      <c r="P329" t="s">
        <v>214</v>
      </c>
      <c r="Q329" t="s">
        <v>1274</v>
      </c>
      <c r="R329" s="3">
        <v>0.7</v>
      </c>
      <c r="S329" s="2">
        <v>23.8</v>
      </c>
      <c r="T329" t="s">
        <v>293</v>
      </c>
    </row>
    <row r="330" spans="1:20" x14ac:dyDescent="0.25">
      <c r="A330">
        <v>2030366106</v>
      </c>
      <c r="B330" t="s">
        <v>377</v>
      </c>
      <c r="C330" t="s">
        <v>923</v>
      </c>
      <c r="D330" t="str">
        <f t="shared" si="17"/>
        <v>LOVETT DIXON</v>
      </c>
      <c r="E330" t="s">
        <v>292</v>
      </c>
      <c r="F330" t="s">
        <v>293</v>
      </c>
      <c r="G330">
        <v>8307933</v>
      </c>
      <c r="H330" t="s">
        <v>112</v>
      </c>
      <c r="I330" t="s">
        <v>104</v>
      </c>
      <c r="J330" t="str">
        <f t="shared" si="15"/>
        <v>GREGORY TEIPEL</v>
      </c>
      <c r="K330" t="s">
        <v>57</v>
      </c>
      <c r="L330" s="1">
        <v>45878</v>
      </c>
      <c r="M330" s="1">
        <v>45970</v>
      </c>
      <c r="N330" s="2">
        <v>28.38</v>
      </c>
      <c r="O330">
        <f t="shared" si="16"/>
        <v>3</v>
      </c>
      <c r="P330" t="s">
        <v>214</v>
      </c>
      <c r="Q330" t="s">
        <v>1274</v>
      </c>
      <c r="R330" s="3">
        <v>0.7</v>
      </c>
      <c r="S330" s="2">
        <v>19.87</v>
      </c>
      <c r="T330" t="s">
        <v>293</v>
      </c>
    </row>
    <row r="331" spans="1:20" x14ac:dyDescent="0.25">
      <c r="A331">
        <v>2029887595</v>
      </c>
      <c r="B331" t="s">
        <v>510</v>
      </c>
      <c r="C331" t="s">
        <v>900</v>
      </c>
      <c r="D331" t="str">
        <f t="shared" si="17"/>
        <v>GEORGE STACEY</v>
      </c>
      <c r="E331" t="s">
        <v>292</v>
      </c>
      <c r="F331" t="s">
        <v>293</v>
      </c>
      <c r="G331">
        <v>1706194</v>
      </c>
      <c r="H331" t="s">
        <v>97</v>
      </c>
      <c r="I331" t="s">
        <v>98</v>
      </c>
      <c r="J331" t="str">
        <f t="shared" si="15"/>
        <v>MATTHEW DAUGHERTY</v>
      </c>
      <c r="K331" t="s">
        <v>57</v>
      </c>
      <c r="L331" s="1">
        <v>45870</v>
      </c>
      <c r="M331" s="1">
        <v>45962</v>
      </c>
      <c r="N331" s="2">
        <v>-141.47</v>
      </c>
      <c r="O331">
        <f t="shared" si="16"/>
        <v>3</v>
      </c>
      <c r="P331" t="s">
        <v>214</v>
      </c>
      <c r="Q331" t="s">
        <v>1274</v>
      </c>
      <c r="R331" s="3">
        <v>0.7</v>
      </c>
      <c r="S331" s="2">
        <v>-99.03</v>
      </c>
      <c r="T331" t="s">
        <v>293</v>
      </c>
    </row>
    <row r="332" spans="1:20" x14ac:dyDescent="0.25">
      <c r="A332">
        <v>2030277549</v>
      </c>
      <c r="B332" t="s">
        <v>439</v>
      </c>
      <c r="C332" t="s">
        <v>440</v>
      </c>
      <c r="D332" t="str">
        <f t="shared" si="17"/>
        <v>REINHART TAMMIE</v>
      </c>
      <c r="E332" t="s">
        <v>292</v>
      </c>
      <c r="F332" t="s">
        <v>293</v>
      </c>
      <c r="G332">
        <v>8977234</v>
      </c>
      <c r="H332" t="s">
        <v>80</v>
      </c>
      <c r="I332" t="s">
        <v>81</v>
      </c>
      <c r="J332" t="str">
        <f t="shared" si="15"/>
        <v>RYAN CALTAGIRONE</v>
      </c>
      <c r="K332" t="s">
        <v>57</v>
      </c>
      <c r="L332" s="1">
        <v>45878</v>
      </c>
      <c r="M332" s="1">
        <v>45970</v>
      </c>
      <c r="N332" s="2">
        <v>188.08</v>
      </c>
      <c r="O332">
        <f t="shared" si="16"/>
        <v>3</v>
      </c>
      <c r="P332" t="s">
        <v>214</v>
      </c>
      <c r="Q332" t="s">
        <v>1274</v>
      </c>
      <c r="R332" s="3">
        <v>0.7</v>
      </c>
      <c r="S332" s="2">
        <v>131.66</v>
      </c>
      <c r="T332" t="s">
        <v>293</v>
      </c>
    </row>
    <row r="333" spans="1:20" x14ac:dyDescent="0.25">
      <c r="A333">
        <v>2030228487</v>
      </c>
      <c r="B333" t="s">
        <v>524</v>
      </c>
      <c r="C333" t="s">
        <v>915</v>
      </c>
      <c r="D333" t="str">
        <f t="shared" si="17"/>
        <v>NAMIO SANDRA</v>
      </c>
      <c r="E333" t="s">
        <v>292</v>
      </c>
      <c r="F333" t="s">
        <v>293</v>
      </c>
      <c r="G333">
        <v>8977234</v>
      </c>
      <c r="H333" t="s">
        <v>80</v>
      </c>
      <c r="I333" t="s">
        <v>81</v>
      </c>
      <c r="J333" t="str">
        <f t="shared" si="15"/>
        <v>RYAN CALTAGIRONE</v>
      </c>
      <c r="K333" t="s">
        <v>57</v>
      </c>
      <c r="L333" s="1">
        <v>45875</v>
      </c>
      <c r="M333" s="1">
        <v>45967</v>
      </c>
      <c r="N333" s="2">
        <v>103.76</v>
      </c>
      <c r="O333">
        <f t="shared" si="16"/>
        <v>3</v>
      </c>
      <c r="P333" t="s">
        <v>214</v>
      </c>
      <c r="Q333" t="s">
        <v>1274</v>
      </c>
      <c r="R333" s="3">
        <v>0.7</v>
      </c>
      <c r="S333" s="2">
        <v>72.63</v>
      </c>
      <c r="T333" t="s">
        <v>293</v>
      </c>
    </row>
    <row r="334" spans="1:20" x14ac:dyDescent="0.25">
      <c r="A334">
        <v>2030367107</v>
      </c>
      <c r="B334" t="s">
        <v>608</v>
      </c>
      <c r="C334" t="s">
        <v>1084</v>
      </c>
      <c r="D334" t="str">
        <f t="shared" si="17"/>
        <v>VICKERS CHARLES</v>
      </c>
      <c r="E334" t="s">
        <v>243</v>
      </c>
      <c r="F334" t="s">
        <v>244</v>
      </c>
      <c r="G334">
        <v>17425766</v>
      </c>
      <c r="H334" t="s">
        <v>237</v>
      </c>
      <c r="I334" t="s">
        <v>238</v>
      </c>
      <c r="J334" t="str">
        <f t="shared" si="15"/>
        <v>CAROL FOLEY</v>
      </c>
      <c r="K334" t="s">
        <v>57</v>
      </c>
      <c r="L334" s="1">
        <v>45877</v>
      </c>
      <c r="M334" s="1">
        <v>45969</v>
      </c>
      <c r="N334" s="2">
        <v>67.63</v>
      </c>
      <c r="O334">
        <f t="shared" si="16"/>
        <v>3</v>
      </c>
      <c r="P334" t="s">
        <v>214</v>
      </c>
      <c r="Q334" t="s">
        <v>1274</v>
      </c>
      <c r="R334" s="4">
        <v>0.375</v>
      </c>
      <c r="S334" s="2">
        <v>25.36</v>
      </c>
      <c r="T334" t="s">
        <v>244</v>
      </c>
    </row>
    <row r="335" spans="1:20" x14ac:dyDescent="0.25">
      <c r="A335">
        <v>2030380470</v>
      </c>
      <c r="B335" t="s">
        <v>443</v>
      </c>
      <c r="C335" t="s">
        <v>444</v>
      </c>
      <c r="D335" t="str">
        <f t="shared" si="17"/>
        <v>BRANNAN KAWAND</v>
      </c>
      <c r="E335" t="s">
        <v>243</v>
      </c>
      <c r="F335" t="s">
        <v>244</v>
      </c>
      <c r="G335">
        <v>17425766</v>
      </c>
      <c r="H335" t="s">
        <v>237</v>
      </c>
      <c r="I335" t="s">
        <v>238</v>
      </c>
      <c r="J335" t="str">
        <f t="shared" si="15"/>
        <v>CAROL FOLEY</v>
      </c>
      <c r="K335" t="s">
        <v>57</v>
      </c>
      <c r="L335" s="1">
        <v>45877</v>
      </c>
      <c r="M335" s="1">
        <v>45969</v>
      </c>
      <c r="N335" s="2">
        <v>27.11</v>
      </c>
      <c r="O335">
        <f t="shared" si="16"/>
        <v>3</v>
      </c>
      <c r="P335" t="s">
        <v>214</v>
      </c>
      <c r="Q335" t="s">
        <v>1274</v>
      </c>
      <c r="R335" s="4">
        <v>0.375</v>
      </c>
      <c r="S335" s="2">
        <v>10.17</v>
      </c>
      <c r="T335" t="s">
        <v>244</v>
      </c>
    </row>
    <row r="336" spans="1:20" x14ac:dyDescent="0.25">
      <c r="A336">
        <v>2030189269</v>
      </c>
      <c r="B336" t="s">
        <v>911</v>
      </c>
      <c r="C336" t="s">
        <v>912</v>
      </c>
      <c r="D336" t="str">
        <f t="shared" si="17"/>
        <v>BEAKE JAYSON</v>
      </c>
      <c r="E336" t="s">
        <v>243</v>
      </c>
      <c r="F336" t="s">
        <v>244</v>
      </c>
      <c r="G336">
        <v>8307933</v>
      </c>
      <c r="H336" t="s">
        <v>112</v>
      </c>
      <c r="I336" t="s">
        <v>104</v>
      </c>
      <c r="J336" t="str">
        <f t="shared" si="15"/>
        <v>GREGORY TEIPEL</v>
      </c>
      <c r="K336" t="s">
        <v>57</v>
      </c>
      <c r="L336" s="1">
        <v>45876</v>
      </c>
      <c r="M336" s="1">
        <v>45968</v>
      </c>
      <c r="N336" s="2">
        <v>47.06</v>
      </c>
      <c r="O336">
        <f t="shared" si="16"/>
        <v>3</v>
      </c>
      <c r="P336" t="s">
        <v>214</v>
      </c>
      <c r="Q336" t="s">
        <v>1274</v>
      </c>
      <c r="R336" s="4">
        <v>0.375</v>
      </c>
      <c r="S336" s="2">
        <v>17.649999999999999</v>
      </c>
      <c r="T336" t="s">
        <v>244</v>
      </c>
    </row>
    <row r="337" spans="1:20" x14ac:dyDescent="0.25">
      <c r="A337">
        <v>2029976823</v>
      </c>
      <c r="B337" t="s">
        <v>1120</v>
      </c>
      <c r="C337" t="s">
        <v>1121</v>
      </c>
      <c r="D337" t="str">
        <f t="shared" si="17"/>
        <v>MANIGAULT DAIONA</v>
      </c>
      <c r="E337" t="s">
        <v>243</v>
      </c>
      <c r="F337" t="s">
        <v>244</v>
      </c>
      <c r="G337">
        <v>8971826</v>
      </c>
      <c r="H337" t="s">
        <v>803</v>
      </c>
      <c r="I337" t="s">
        <v>746</v>
      </c>
      <c r="J337" t="str">
        <f t="shared" si="15"/>
        <v>SCOTT AGUGLIA</v>
      </c>
      <c r="K337" t="s">
        <v>57</v>
      </c>
      <c r="L337" s="1">
        <v>45854</v>
      </c>
      <c r="M337" s="1">
        <v>45946</v>
      </c>
      <c r="N337" s="2">
        <v>49.12</v>
      </c>
      <c r="O337">
        <f t="shared" si="16"/>
        <v>3</v>
      </c>
      <c r="P337" t="s">
        <v>214</v>
      </c>
      <c r="Q337" t="s">
        <v>1274</v>
      </c>
      <c r="R337" s="4">
        <v>0.375</v>
      </c>
      <c r="S337" s="2">
        <v>18.420000000000002</v>
      </c>
      <c r="T337" t="s">
        <v>244</v>
      </c>
    </row>
    <row r="338" spans="1:20" x14ac:dyDescent="0.25">
      <c r="A338">
        <v>2030341641</v>
      </c>
      <c r="B338" t="s">
        <v>1122</v>
      </c>
      <c r="C338" t="s">
        <v>1123</v>
      </c>
      <c r="D338" t="str">
        <f t="shared" si="17"/>
        <v>INGABIRE ROSINE</v>
      </c>
      <c r="E338" t="s">
        <v>243</v>
      </c>
      <c r="F338" t="s">
        <v>244</v>
      </c>
      <c r="G338">
        <v>8971826</v>
      </c>
      <c r="H338" t="s">
        <v>803</v>
      </c>
      <c r="I338" t="s">
        <v>746</v>
      </c>
      <c r="J338" t="str">
        <f t="shared" si="15"/>
        <v>SCOTT AGUGLIA</v>
      </c>
      <c r="K338" t="s">
        <v>57</v>
      </c>
      <c r="L338" s="1">
        <v>45875</v>
      </c>
      <c r="M338" s="1">
        <v>45967</v>
      </c>
      <c r="N338" s="2">
        <v>30.12</v>
      </c>
      <c r="O338">
        <f t="shared" si="16"/>
        <v>3</v>
      </c>
      <c r="P338" t="s">
        <v>214</v>
      </c>
      <c r="Q338" t="s">
        <v>1274</v>
      </c>
      <c r="R338" s="4">
        <v>0.375</v>
      </c>
      <c r="S338" s="2">
        <v>11.3</v>
      </c>
      <c r="T338" t="s">
        <v>244</v>
      </c>
    </row>
    <row r="339" spans="1:20" x14ac:dyDescent="0.25">
      <c r="A339">
        <v>2030013621</v>
      </c>
      <c r="B339" t="s">
        <v>906</v>
      </c>
      <c r="C339" t="s">
        <v>907</v>
      </c>
      <c r="D339" t="str">
        <f t="shared" si="17"/>
        <v>HATELY NOAH</v>
      </c>
      <c r="E339" t="s">
        <v>292</v>
      </c>
      <c r="F339" t="s">
        <v>295</v>
      </c>
      <c r="G339">
        <v>8307933</v>
      </c>
      <c r="H339" t="s">
        <v>112</v>
      </c>
      <c r="I339" t="s">
        <v>104</v>
      </c>
      <c r="J339" t="str">
        <f t="shared" si="15"/>
        <v>GREGORY TEIPEL</v>
      </c>
      <c r="K339" t="s">
        <v>57</v>
      </c>
      <c r="L339" s="1">
        <v>45876</v>
      </c>
      <c r="M339" s="1">
        <v>45968</v>
      </c>
      <c r="N339" s="2">
        <v>47.08</v>
      </c>
      <c r="O339">
        <f t="shared" si="16"/>
        <v>3</v>
      </c>
      <c r="P339" t="s">
        <v>214</v>
      </c>
      <c r="Q339" t="s">
        <v>1274</v>
      </c>
      <c r="R339" s="3">
        <v>0.9</v>
      </c>
      <c r="S339" s="2">
        <v>42.37</v>
      </c>
      <c r="T339" t="s">
        <v>295</v>
      </c>
    </row>
    <row r="340" spans="1:20" x14ac:dyDescent="0.25">
      <c r="A340">
        <v>2030090691</v>
      </c>
      <c r="B340" t="s">
        <v>476</v>
      </c>
      <c r="C340" t="s">
        <v>910</v>
      </c>
      <c r="D340" t="str">
        <f t="shared" si="17"/>
        <v>SHIPLEY GARY</v>
      </c>
      <c r="E340" t="s">
        <v>292</v>
      </c>
      <c r="F340" t="s">
        <v>295</v>
      </c>
      <c r="G340">
        <v>8307933</v>
      </c>
      <c r="H340" t="s">
        <v>112</v>
      </c>
      <c r="I340" t="s">
        <v>104</v>
      </c>
      <c r="J340" t="str">
        <f t="shared" si="15"/>
        <v>GREGORY TEIPEL</v>
      </c>
      <c r="K340" t="s">
        <v>57</v>
      </c>
      <c r="L340" s="1">
        <v>45876</v>
      </c>
      <c r="M340" s="1">
        <v>45968</v>
      </c>
      <c r="N340" s="2">
        <v>13.31</v>
      </c>
      <c r="O340">
        <f t="shared" si="16"/>
        <v>3</v>
      </c>
      <c r="P340" t="s">
        <v>214</v>
      </c>
      <c r="Q340" t="s">
        <v>1274</v>
      </c>
      <c r="R340" s="3">
        <v>0.9</v>
      </c>
      <c r="S340" s="2">
        <v>11.98</v>
      </c>
      <c r="T340" t="s">
        <v>295</v>
      </c>
    </row>
    <row r="341" spans="1:20" x14ac:dyDescent="0.25">
      <c r="A341">
        <v>2030380472</v>
      </c>
      <c r="B341" t="s">
        <v>443</v>
      </c>
      <c r="C341" t="s">
        <v>444</v>
      </c>
      <c r="D341" t="str">
        <f t="shared" si="17"/>
        <v>BRANNAN KAWAND</v>
      </c>
      <c r="E341" t="s">
        <v>53</v>
      </c>
      <c r="F341" t="s">
        <v>65</v>
      </c>
      <c r="G341">
        <v>17425766</v>
      </c>
      <c r="H341" t="s">
        <v>237</v>
      </c>
      <c r="I341" t="s">
        <v>238</v>
      </c>
      <c r="J341" t="str">
        <f t="shared" si="15"/>
        <v>CAROL FOLEY</v>
      </c>
      <c r="K341" t="s">
        <v>57</v>
      </c>
      <c r="L341" s="1">
        <v>45877</v>
      </c>
      <c r="M341" s="1">
        <v>45969</v>
      </c>
      <c r="N341" s="2">
        <v>56.69</v>
      </c>
      <c r="O341">
        <f t="shared" si="16"/>
        <v>3</v>
      </c>
      <c r="P341" t="s">
        <v>214</v>
      </c>
      <c r="Q341" t="s">
        <v>1274</v>
      </c>
      <c r="R341" s="3">
        <v>0.6</v>
      </c>
      <c r="S341" s="2">
        <v>34.01</v>
      </c>
      <c r="T341" t="s">
        <v>65</v>
      </c>
    </row>
    <row r="342" spans="1:20" x14ac:dyDescent="0.25">
      <c r="A342">
        <v>2029829959</v>
      </c>
      <c r="B342" t="s">
        <v>432</v>
      </c>
      <c r="C342" t="s">
        <v>433</v>
      </c>
      <c r="D342" t="str">
        <f t="shared" si="17"/>
        <v>SCIBLO CHRISTIE</v>
      </c>
      <c r="E342" t="s">
        <v>53</v>
      </c>
      <c r="F342" t="s">
        <v>65</v>
      </c>
      <c r="G342">
        <v>18781057</v>
      </c>
      <c r="H342" t="s">
        <v>71</v>
      </c>
      <c r="I342" t="s">
        <v>72</v>
      </c>
      <c r="J342" t="str">
        <f t="shared" si="15"/>
        <v>JOHN ROKEN</v>
      </c>
      <c r="K342" t="s">
        <v>57</v>
      </c>
      <c r="L342" s="1">
        <v>45870</v>
      </c>
      <c r="M342" s="1">
        <v>45962</v>
      </c>
      <c r="N342" s="2">
        <v>59.41</v>
      </c>
      <c r="O342">
        <f t="shared" si="16"/>
        <v>3</v>
      </c>
      <c r="P342" t="s">
        <v>214</v>
      </c>
      <c r="Q342" t="s">
        <v>1274</v>
      </c>
      <c r="R342" s="3">
        <v>0.6</v>
      </c>
      <c r="S342" s="2">
        <v>35.65</v>
      </c>
      <c r="T342" t="s">
        <v>65</v>
      </c>
    </row>
    <row r="343" spans="1:20" x14ac:dyDescent="0.25">
      <c r="A343">
        <v>2029738918</v>
      </c>
      <c r="B343" t="s">
        <v>422</v>
      </c>
      <c r="C343" t="s">
        <v>423</v>
      </c>
      <c r="D343" t="str">
        <f t="shared" si="17"/>
        <v>MURPHY KELLE</v>
      </c>
      <c r="E343" t="s">
        <v>287</v>
      </c>
      <c r="F343" t="s">
        <v>291</v>
      </c>
      <c r="G343">
        <v>8977234</v>
      </c>
      <c r="H343" t="s">
        <v>80</v>
      </c>
      <c r="I343" t="s">
        <v>81</v>
      </c>
      <c r="J343" t="str">
        <f t="shared" si="15"/>
        <v>RYAN CALTAGIRONE</v>
      </c>
      <c r="K343" t="s">
        <v>57</v>
      </c>
      <c r="L343" s="1">
        <v>45846</v>
      </c>
      <c r="M343" s="1">
        <v>45969</v>
      </c>
      <c r="N343" s="2">
        <v>192.49</v>
      </c>
      <c r="O343">
        <f t="shared" si="16"/>
        <v>4</v>
      </c>
      <c r="P343" t="s">
        <v>214</v>
      </c>
      <c r="Q343" t="s">
        <v>1274</v>
      </c>
      <c r="R343" s="3">
        <v>0.38</v>
      </c>
      <c r="S343" s="2">
        <v>73.150000000000006</v>
      </c>
      <c r="T343" t="s">
        <v>291</v>
      </c>
    </row>
    <row r="344" spans="1:20" x14ac:dyDescent="0.25">
      <c r="A344">
        <v>2029738919</v>
      </c>
      <c r="B344" t="s">
        <v>422</v>
      </c>
      <c r="C344" t="s">
        <v>423</v>
      </c>
      <c r="D344" t="str">
        <f t="shared" si="17"/>
        <v>MURPHY KELLE</v>
      </c>
      <c r="E344" t="s">
        <v>287</v>
      </c>
      <c r="F344" t="s">
        <v>424</v>
      </c>
      <c r="G344">
        <v>8977234</v>
      </c>
      <c r="H344" t="s">
        <v>80</v>
      </c>
      <c r="I344" t="s">
        <v>81</v>
      </c>
      <c r="J344" t="str">
        <f t="shared" si="15"/>
        <v>RYAN CALTAGIRONE</v>
      </c>
      <c r="K344" t="s">
        <v>57</v>
      </c>
      <c r="L344" s="1">
        <v>45846</v>
      </c>
      <c r="M344" s="1">
        <v>45969</v>
      </c>
      <c r="N344" s="2">
        <v>7.09</v>
      </c>
      <c r="O344">
        <f t="shared" si="16"/>
        <v>4</v>
      </c>
      <c r="P344" t="s">
        <v>214</v>
      </c>
      <c r="Q344" t="s">
        <v>1274</v>
      </c>
      <c r="R344" s="3">
        <v>0.38</v>
      </c>
      <c r="S344" s="2">
        <v>2.69</v>
      </c>
      <c r="T344" t="s">
        <v>291</v>
      </c>
    </row>
    <row r="345" spans="1:20" x14ac:dyDescent="0.25">
      <c r="A345">
        <v>2029501025</v>
      </c>
      <c r="B345" t="s">
        <v>740</v>
      </c>
      <c r="C345" t="s">
        <v>788</v>
      </c>
      <c r="D345" t="str">
        <f t="shared" si="17"/>
        <v>MCPHEETERS MARY</v>
      </c>
      <c r="E345" t="s">
        <v>89</v>
      </c>
      <c r="F345" t="s">
        <v>111</v>
      </c>
      <c r="G345">
        <v>8307933</v>
      </c>
      <c r="H345" t="s">
        <v>112</v>
      </c>
      <c r="I345" t="s">
        <v>104</v>
      </c>
      <c r="J345" t="str">
        <f t="shared" si="15"/>
        <v>GREGORY TEIPEL</v>
      </c>
      <c r="K345" t="s">
        <v>57</v>
      </c>
      <c r="L345" s="1">
        <v>45845</v>
      </c>
      <c r="M345" s="1">
        <v>45968</v>
      </c>
      <c r="N345" s="2">
        <v>329.4</v>
      </c>
      <c r="O345">
        <f t="shared" si="16"/>
        <v>4</v>
      </c>
      <c r="P345" t="s">
        <v>214</v>
      </c>
      <c r="Q345" t="s">
        <v>1274</v>
      </c>
      <c r="R345" s="3">
        <v>0.75</v>
      </c>
      <c r="S345" s="2">
        <v>247.05</v>
      </c>
      <c r="T345" t="s">
        <v>1257</v>
      </c>
    </row>
    <row r="346" spans="1:20" x14ac:dyDescent="0.25">
      <c r="A346">
        <v>2029242158</v>
      </c>
      <c r="B346" t="s">
        <v>781</v>
      </c>
      <c r="C346" t="s">
        <v>782</v>
      </c>
      <c r="D346" t="str">
        <f t="shared" si="17"/>
        <v>CARTER DONA</v>
      </c>
      <c r="E346" t="s">
        <v>89</v>
      </c>
      <c r="F346" t="s">
        <v>111</v>
      </c>
      <c r="G346">
        <v>8307933</v>
      </c>
      <c r="H346" t="s">
        <v>112</v>
      </c>
      <c r="I346" t="s">
        <v>104</v>
      </c>
      <c r="J346" t="str">
        <f t="shared" si="15"/>
        <v>GREGORY TEIPEL</v>
      </c>
      <c r="K346" t="s">
        <v>57</v>
      </c>
      <c r="L346" s="1">
        <v>45845</v>
      </c>
      <c r="M346" s="1">
        <v>45968</v>
      </c>
      <c r="N346" s="2">
        <v>119.7</v>
      </c>
      <c r="O346">
        <f t="shared" si="16"/>
        <v>4</v>
      </c>
      <c r="P346" t="s">
        <v>214</v>
      </c>
      <c r="Q346" t="s">
        <v>1274</v>
      </c>
      <c r="R346" s="3">
        <v>0.75</v>
      </c>
      <c r="S346" s="2">
        <v>89.78</v>
      </c>
      <c r="T346" t="s">
        <v>1257</v>
      </c>
    </row>
    <row r="347" spans="1:20" x14ac:dyDescent="0.25">
      <c r="A347">
        <v>2029609655</v>
      </c>
      <c r="B347" t="s">
        <v>72</v>
      </c>
      <c r="C347" t="s">
        <v>791</v>
      </c>
      <c r="D347" t="str">
        <f t="shared" si="17"/>
        <v>HARPER JOHN</v>
      </c>
      <c r="E347" t="s">
        <v>89</v>
      </c>
      <c r="F347" t="s">
        <v>102</v>
      </c>
      <c r="G347">
        <v>8307933</v>
      </c>
      <c r="H347" t="s">
        <v>112</v>
      </c>
      <c r="I347" t="s">
        <v>104</v>
      </c>
      <c r="J347" t="str">
        <f t="shared" si="15"/>
        <v>GREGORY TEIPEL</v>
      </c>
      <c r="K347" t="s">
        <v>57</v>
      </c>
      <c r="L347" s="1">
        <v>45845</v>
      </c>
      <c r="M347" s="1">
        <v>45968</v>
      </c>
      <c r="N347" s="2">
        <v>120.19</v>
      </c>
      <c r="O347">
        <f t="shared" si="16"/>
        <v>4</v>
      </c>
      <c r="P347" t="s">
        <v>214</v>
      </c>
      <c r="Q347" t="s">
        <v>1274</v>
      </c>
      <c r="R347" s="3">
        <v>0.75</v>
      </c>
      <c r="S347" s="2">
        <v>90.14</v>
      </c>
      <c r="T347" t="s">
        <v>1257</v>
      </c>
    </row>
    <row r="348" spans="1:20" x14ac:dyDescent="0.25">
      <c r="A348">
        <v>2029866851</v>
      </c>
      <c r="B348" t="s">
        <v>898</v>
      </c>
      <c r="C348" t="s">
        <v>899</v>
      </c>
      <c r="D348" t="str">
        <f t="shared" si="17"/>
        <v>URIAS SHAHIN</v>
      </c>
      <c r="E348" t="s">
        <v>89</v>
      </c>
      <c r="F348" t="s">
        <v>102</v>
      </c>
      <c r="G348">
        <v>8977234</v>
      </c>
      <c r="H348" t="s">
        <v>80</v>
      </c>
      <c r="I348" t="s">
        <v>81</v>
      </c>
      <c r="J348" t="str">
        <f t="shared" si="15"/>
        <v>RYAN CALTAGIRONE</v>
      </c>
      <c r="K348" t="s">
        <v>57</v>
      </c>
      <c r="L348" s="1">
        <v>45848</v>
      </c>
      <c r="M348" s="1">
        <v>45971</v>
      </c>
      <c r="N348" s="2">
        <v>160.22999999999999</v>
      </c>
      <c r="O348">
        <f t="shared" si="16"/>
        <v>4</v>
      </c>
      <c r="P348" t="s">
        <v>214</v>
      </c>
      <c r="Q348" t="s">
        <v>1274</v>
      </c>
      <c r="R348" s="3">
        <v>0.75</v>
      </c>
      <c r="S348" s="2">
        <v>120.17</v>
      </c>
      <c r="T348" t="s">
        <v>1257</v>
      </c>
    </row>
    <row r="349" spans="1:20" x14ac:dyDescent="0.25">
      <c r="A349">
        <v>2029531079</v>
      </c>
      <c r="B349" t="s">
        <v>789</v>
      </c>
      <c r="C349" t="s">
        <v>790</v>
      </c>
      <c r="D349" t="str">
        <f t="shared" si="17"/>
        <v>SCHUTJER CISSIE</v>
      </c>
      <c r="E349" t="s">
        <v>89</v>
      </c>
      <c r="F349" t="s">
        <v>102</v>
      </c>
      <c r="G349">
        <v>8977234</v>
      </c>
      <c r="H349" t="s">
        <v>80</v>
      </c>
      <c r="I349" t="s">
        <v>81</v>
      </c>
      <c r="J349" t="str">
        <f t="shared" si="15"/>
        <v>RYAN CALTAGIRONE</v>
      </c>
      <c r="K349" t="s">
        <v>57</v>
      </c>
      <c r="L349" s="1">
        <v>45847</v>
      </c>
      <c r="M349" s="1">
        <v>45970</v>
      </c>
      <c r="N349" s="2">
        <v>82.36</v>
      </c>
      <c r="O349">
        <f t="shared" si="16"/>
        <v>4</v>
      </c>
      <c r="P349" t="s">
        <v>214</v>
      </c>
      <c r="Q349" t="s">
        <v>1274</v>
      </c>
      <c r="R349" s="3">
        <v>0.75</v>
      </c>
      <c r="S349" s="2">
        <v>61.77</v>
      </c>
      <c r="T349" t="s">
        <v>1257</v>
      </c>
    </row>
    <row r="350" spans="1:20" x14ac:dyDescent="0.25">
      <c r="A350">
        <v>2029738920</v>
      </c>
      <c r="B350" t="s">
        <v>422</v>
      </c>
      <c r="C350" t="s">
        <v>423</v>
      </c>
      <c r="D350" t="str">
        <f t="shared" si="17"/>
        <v>MURPHY KELLE</v>
      </c>
      <c r="E350" t="s">
        <v>89</v>
      </c>
      <c r="F350" t="s">
        <v>102</v>
      </c>
      <c r="G350">
        <v>8977234</v>
      </c>
      <c r="H350" t="s">
        <v>80</v>
      </c>
      <c r="I350" t="s">
        <v>81</v>
      </c>
      <c r="J350" t="str">
        <f t="shared" si="15"/>
        <v>RYAN CALTAGIRONE</v>
      </c>
      <c r="K350" t="s">
        <v>57</v>
      </c>
      <c r="L350" s="1">
        <v>45846</v>
      </c>
      <c r="M350" s="1">
        <v>45969</v>
      </c>
      <c r="N350" s="2">
        <v>53.6</v>
      </c>
      <c r="O350">
        <f t="shared" si="16"/>
        <v>4</v>
      </c>
      <c r="P350" t="s">
        <v>214</v>
      </c>
      <c r="Q350" t="s">
        <v>1274</v>
      </c>
      <c r="R350" s="3">
        <v>0.75</v>
      </c>
      <c r="S350" s="2">
        <v>40.200000000000003</v>
      </c>
      <c r="T350" t="s">
        <v>1257</v>
      </c>
    </row>
    <row r="351" spans="1:20" x14ac:dyDescent="0.25">
      <c r="A351">
        <v>2029738922</v>
      </c>
      <c r="B351" t="s">
        <v>422</v>
      </c>
      <c r="C351" t="s">
        <v>423</v>
      </c>
      <c r="D351" t="str">
        <f t="shared" si="17"/>
        <v>MURPHY KELLE</v>
      </c>
      <c r="E351" t="s">
        <v>209</v>
      </c>
      <c r="F351" t="s">
        <v>232</v>
      </c>
      <c r="G351">
        <v>8977234</v>
      </c>
      <c r="H351" t="s">
        <v>80</v>
      </c>
      <c r="I351" t="s">
        <v>81</v>
      </c>
      <c r="J351" t="str">
        <f t="shared" si="15"/>
        <v>RYAN CALTAGIRONE</v>
      </c>
      <c r="K351" t="s">
        <v>57</v>
      </c>
      <c r="L351" s="1">
        <v>45846</v>
      </c>
      <c r="M351" s="1">
        <v>45969</v>
      </c>
      <c r="N351" s="2">
        <v>15</v>
      </c>
      <c r="O351">
        <f t="shared" si="16"/>
        <v>4</v>
      </c>
      <c r="P351" t="s">
        <v>214</v>
      </c>
      <c r="Q351" t="s">
        <v>1274</v>
      </c>
      <c r="R351" s="3">
        <v>0.38</v>
      </c>
      <c r="S351" s="2">
        <v>5.7</v>
      </c>
      <c r="T351" t="s">
        <v>232</v>
      </c>
    </row>
    <row r="352" spans="1:20" x14ac:dyDescent="0.25">
      <c r="A352">
        <v>2029786839</v>
      </c>
      <c r="B352" t="s">
        <v>429</v>
      </c>
      <c r="C352" t="s">
        <v>430</v>
      </c>
      <c r="D352" t="str">
        <f t="shared" si="17"/>
        <v>GRUBB BRYAN</v>
      </c>
      <c r="E352" t="s">
        <v>209</v>
      </c>
      <c r="F352" t="s">
        <v>222</v>
      </c>
      <c r="G352">
        <v>18781057</v>
      </c>
      <c r="H352" t="s">
        <v>71</v>
      </c>
      <c r="I352" t="s">
        <v>72</v>
      </c>
      <c r="J352" t="str">
        <f t="shared" si="15"/>
        <v>JOHN ROKEN</v>
      </c>
      <c r="K352" t="s">
        <v>57</v>
      </c>
      <c r="L352" s="1">
        <v>45842</v>
      </c>
      <c r="M352" s="1">
        <v>45965</v>
      </c>
      <c r="N352" s="2">
        <v>15</v>
      </c>
      <c r="O352">
        <f t="shared" si="16"/>
        <v>4</v>
      </c>
      <c r="P352" t="s">
        <v>214</v>
      </c>
      <c r="Q352" t="s">
        <v>1274</v>
      </c>
      <c r="R352" s="3">
        <v>0.38</v>
      </c>
      <c r="S352" s="2">
        <v>5.7</v>
      </c>
      <c r="T352" t="s">
        <v>222</v>
      </c>
    </row>
    <row r="353" spans="1:20" x14ac:dyDescent="0.25">
      <c r="A353">
        <v>2028813509</v>
      </c>
      <c r="B353" t="s">
        <v>284</v>
      </c>
      <c r="C353" t="s">
        <v>1187</v>
      </c>
      <c r="D353" t="str">
        <f t="shared" si="17"/>
        <v>SCHANTZ THOMAS</v>
      </c>
      <c r="E353" t="s">
        <v>350</v>
      </c>
      <c r="F353" t="s">
        <v>351</v>
      </c>
      <c r="G353">
        <v>19278370</v>
      </c>
      <c r="H353" t="s">
        <v>75</v>
      </c>
      <c r="I353" t="s">
        <v>76</v>
      </c>
      <c r="J353" t="str">
        <f t="shared" si="15"/>
        <v>ANNE MARIE KOZACHECK</v>
      </c>
      <c r="K353" t="s">
        <v>57</v>
      </c>
      <c r="L353" s="1">
        <v>45839</v>
      </c>
      <c r="M353" s="1">
        <v>45962</v>
      </c>
      <c r="N353" s="2">
        <v>368.7</v>
      </c>
      <c r="O353">
        <f t="shared" si="16"/>
        <v>4</v>
      </c>
      <c r="P353" t="s">
        <v>214</v>
      </c>
      <c r="Q353" t="s">
        <v>1274</v>
      </c>
      <c r="R353" s="3">
        <v>0.47</v>
      </c>
      <c r="S353" s="2">
        <v>173.29</v>
      </c>
      <c r="T353" t="s">
        <v>351</v>
      </c>
    </row>
    <row r="354" spans="1:20" x14ac:dyDescent="0.25">
      <c r="A354">
        <v>2028915803</v>
      </c>
      <c r="B354" t="s">
        <v>845</v>
      </c>
      <c r="C354" t="s">
        <v>1188</v>
      </c>
      <c r="D354" t="str">
        <f t="shared" si="17"/>
        <v>CIPA PATRICIA</v>
      </c>
      <c r="E354" t="s">
        <v>350</v>
      </c>
      <c r="F354" t="s">
        <v>351</v>
      </c>
      <c r="G354" t="s">
        <v>1261</v>
      </c>
      <c r="H354" t="s">
        <v>352</v>
      </c>
      <c r="I354" t="s">
        <v>353</v>
      </c>
      <c r="J354" t="str">
        <f t="shared" si="15"/>
        <v>DEBORAH INSKIPT</v>
      </c>
      <c r="K354" t="s">
        <v>57</v>
      </c>
      <c r="L354" s="1">
        <v>45839</v>
      </c>
      <c r="M354" s="1">
        <v>45962</v>
      </c>
      <c r="N354" s="2">
        <v>77.010000000000005</v>
      </c>
      <c r="O354">
        <f t="shared" si="16"/>
        <v>4</v>
      </c>
      <c r="P354" t="s">
        <v>214</v>
      </c>
      <c r="Q354" t="s">
        <v>1274</v>
      </c>
      <c r="R354" s="3">
        <v>0.47</v>
      </c>
      <c r="S354" s="2">
        <v>36.19</v>
      </c>
      <c r="T354" t="s">
        <v>351</v>
      </c>
    </row>
    <row r="355" spans="1:20" x14ac:dyDescent="0.25">
      <c r="A355">
        <v>2029786838</v>
      </c>
      <c r="B355" t="s">
        <v>429</v>
      </c>
      <c r="C355" t="s">
        <v>430</v>
      </c>
      <c r="D355" t="str">
        <f t="shared" si="17"/>
        <v>GRUBB BRYAN</v>
      </c>
      <c r="E355" t="s">
        <v>287</v>
      </c>
      <c r="F355" t="s">
        <v>288</v>
      </c>
      <c r="G355">
        <v>18781057</v>
      </c>
      <c r="H355" t="s">
        <v>71</v>
      </c>
      <c r="I355" t="s">
        <v>72</v>
      </c>
      <c r="J355" t="str">
        <f t="shared" si="15"/>
        <v>JOHN ROKEN</v>
      </c>
      <c r="K355" t="s">
        <v>57</v>
      </c>
      <c r="L355" s="1">
        <v>45842</v>
      </c>
      <c r="M355" s="1">
        <v>45965</v>
      </c>
      <c r="N355" s="2">
        <v>25.53</v>
      </c>
      <c r="O355">
        <f t="shared" si="16"/>
        <v>4</v>
      </c>
      <c r="P355" t="s">
        <v>214</v>
      </c>
      <c r="Q355" t="s">
        <v>1274</v>
      </c>
      <c r="R355" s="3">
        <v>0.38</v>
      </c>
      <c r="S355" s="2">
        <v>9.6999999999999993</v>
      </c>
      <c r="T355" t="s">
        <v>288</v>
      </c>
    </row>
    <row r="356" spans="1:20" x14ac:dyDescent="0.25">
      <c r="A356">
        <v>2029841553</v>
      </c>
      <c r="B356" t="s">
        <v>1064</v>
      </c>
      <c r="C356" t="s">
        <v>1065</v>
      </c>
      <c r="D356" t="str">
        <f t="shared" si="17"/>
        <v>ZACHARIAH PHENU</v>
      </c>
      <c r="E356" t="s">
        <v>292</v>
      </c>
      <c r="F356" t="s">
        <v>293</v>
      </c>
      <c r="G356">
        <v>9213293</v>
      </c>
      <c r="H356" t="s">
        <v>509</v>
      </c>
      <c r="I356" t="s">
        <v>476</v>
      </c>
      <c r="J356" t="str">
        <f t="shared" si="15"/>
        <v>GARY PORTUGAL</v>
      </c>
      <c r="K356" t="s">
        <v>57</v>
      </c>
      <c r="L356" s="1">
        <v>45846</v>
      </c>
      <c r="M356" s="1">
        <v>45969</v>
      </c>
      <c r="N356" s="2">
        <v>89.52</v>
      </c>
      <c r="O356">
        <f t="shared" si="16"/>
        <v>4</v>
      </c>
      <c r="P356" t="s">
        <v>214</v>
      </c>
      <c r="Q356" t="s">
        <v>1274</v>
      </c>
      <c r="R356" s="3">
        <v>0.7</v>
      </c>
      <c r="S356" s="2">
        <v>62.66</v>
      </c>
      <c r="T356" t="s">
        <v>293</v>
      </c>
    </row>
    <row r="357" spans="1:20" x14ac:dyDescent="0.25">
      <c r="A357">
        <v>2029658015</v>
      </c>
      <c r="B357" t="s">
        <v>220</v>
      </c>
      <c r="C357" t="s">
        <v>831</v>
      </c>
      <c r="D357" t="str">
        <f t="shared" si="17"/>
        <v>JONES BRIAN</v>
      </c>
      <c r="E357" t="s">
        <v>292</v>
      </c>
      <c r="F357" t="s">
        <v>293</v>
      </c>
      <c r="G357">
        <v>18754354</v>
      </c>
      <c r="H357" t="s">
        <v>91</v>
      </c>
      <c r="I357" t="s">
        <v>92</v>
      </c>
      <c r="J357" t="str">
        <f t="shared" si="15"/>
        <v>JACOB YALE</v>
      </c>
      <c r="K357" t="s">
        <v>57</v>
      </c>
      <c r="L357" s="1">
        <v>45845</v>
      </c>
      <c r="M357" s="1">
        <v>45968</v>
      </c>
      <c r="N357" s="2">
        <v>22.72</v>
      </c>
      <c r="O357">
        <f t="shared" si="16"/>
        <v>4</v>
      </c>
      <c r="P357" t="s">
        <v>214</v>
      </c>
      <c r="Q357" t="s">
        <v>1274</v>
      </c>
      <c r="R357" s="3">
        <v>0.7</v>
      </c>
      <c r="S357" s="2">
        <v>15.9</v>
      </c>
      <c r="T357" t="s">
        <v>293</v>
      </c>
    </row>
    <row r="358" spans="1:20" x14ac:dyDescent="0.25">
      <c r="A358">
        <v>2029866852</v>
      </c>
      <c r="B358" t="s">
        <v>898</v>
      </c>
      <c r="C358" t="s">
        <v>899</v>
      </c>
      <c r="D358" t="str">
        <f t="shared" si="17"/>
        <v>URIAS SHAHIN</v>
      </c>
      <c r="E358" t="s">
        <v>292</v>
      </c>
      <c r="F358" t="s">
        <v>293</v>
      </c>
      <c r="G358">
        <v>8977234</v>
      </c>
      <c r="H358" t="s">
        <v>80</v>
      </c>
      <c r="I358" t="s">
        <v>81</v>
      </c>
      <c r="J358" t="str">
        <f t="shared" si="15"/>
        <v>RYAN CALTAGIRONE</v>
      </c>
      <c r="K358" t="s">
        <v>57</v>
      </c>
      <c r="L358" s="1">
        <v>45848</v>
      </c>
      <c r="M358" s="1">
        <v>45971</v>
      </c>
      <c r="N358" s="2">
        <v>144.69999999999999</v>
      </c>
      <c r="O358">
        <f t="shared" si="16"/>
        <v>4</v>
      </c>
      <c r="P358" t="s">
        <v>214</v>
      </c>
      <c r="Q358" t="s">
        <v>1274</v>
      </c>
      <c r="R358" s="3">
        <v>0.7</v>
      </c>
      <c r="S358" s="2">
        <v>101.29</v>
      </c>
      <c r="T358" t="s">
        <v>293</v>
      </c>
    </row>
    <row r="359" spans="1:20" x14ac:dyDescent="0.25">
      <c r="A359">
        <v>2029531080</v>
      </c>
      <c r="B359" t="s">
        <v>789</v>
      </c>
      <c r="C359" t="s">
        <v>790</v>
      </c>
      <c r="D359" t="str">
        <f t="shared" si="17"/>
        <v>SCHUTJER CISSIE</v>
      </c>
      <c r="E359" t="s">
        <v>292</v>
      </c>
      <c r="F359" t="s">
        <v>293</v>
      </c>
      <c r="G359">
        <v>8977234</v>
      </c>
      <c r="H359" t="s">
        <v>80</v>
      </c>
      <c r="I359" t="s">
        <v>81</v>
      </c>
      <c r="J359" t="str">
        <f t="shared" si="15"/>
        <v>RYAN CALTAGIRONE</v>
      </c>
      <c r="K359" t="s">
        <v>57</v>
      </c>
      <c r="L359" s="1">
        <v>45847</v>
      </c>
      <c r="M359" s="1">
        <v>45970</v>
      </c>
      <c r="N359" s="2">
        <v>120.5</v>
      </c>
      <c r="O359">
        <f t="shared" si="16"/>
        <v>4</v>
      </c>
      <c r="P359" t="s">
        <v>214</v>
      </c>
      <c r="Q359" t="s">
        <v>1274</v>
      </c>
      <c r="R359" s="3">
        <v>0.7</v>
      </c>
      <c r="S359" s="2">
        <v>84.35</v>
      </c>
      <c r="T359" t="s">
        <v>293</v>
      </c>
    </row>
    <row r="360" spans="1:20" x14ac:dyDescent="0.25">
      <c r="A360">
        <v>2029738921</v>
      </c>
      <c r="B360" t="s">
        <v>422</v>
      </c>
      <c r="C360" t="s">
        <v>423</v>
      </c>
      <c r="D360" t="str">
        <f t="shared" si="17"/>
        <v>MURPHY KELLE</v>
      </c>
      <c r="E360" t="s">
        <v>292</v>
      </c>
      <c r="F360" t="s">
        <v>293</v>
      </c>
      <c r="G360">
        <v>8977234</v>
      </c>
      <c r="H360" t="s">
        <v>80</v>
      </c>
      <c r="I360" t="s">
        <v>81</v>
      </c>
      <c r="J360" t="str">
        <f t="shared" si="15"/>
        <v>RYAN CALTAGIRONE</v>
      </c>
      <c r="K360" t="s">
        <v>57</v>
      </c>
      <c r="L360" s="1">
        <v>45846</v>
      </c>
      <c r="M360" s="1">
        <v>45969</v>
      </c>
      <c r="N360" s="2">
        <v>69.88</v>
      </c>
      <c r="O360">
        <f t="shared" si="16"/>
        <v>4</v>
      </c>
      <c r="P360" t="s">
        <v>214</v>
      </c>
      <c r="Q360" t="s">
        <v>1274</v>
      </c>
      <c r="R360" s="3">
        <v>0.7</v>
      </c>
      <c r="S360" s="2">
        <v>48.92</v>
      </c>
      <c r="T360" t="s">
        <v>293</v>
      </c>
    </row>
    <row r="361" spans="1:20" x14ac:dyDescent="0.25">
      <c r="A361">
        <v>2029407292</v>
      </c>
      <c r="B361" t="s">
        <v>541</v>
      </c>
      <c r="C361" t="s">
        <v>402</v>
      </c>
      <c r="D361" t="str">
        <f t="shared" si="17"/>
        <v>JOHNSON DANIEL</v>
      </c>
      <c r="E361" t="s">
        <v>243</v>
      </c>
      <c r="F361" t="s">
        <v>244</v>
      </c>
      <c r="G361">
        <v>8307933</v>
      </c>
      <c r="H361" t="s">
        <v>112</v>
      </c>
      <c r="I361" t="s">
        <v>104</v>
      </c>
      <c r="J361" t="str">
        <f t="shared" si="15"/>
        <v>GREGORY TEIPEL</v>
      </c>
      <c r="K361" t="s">
        <v>57</v>
      </c>
      <c r="L361" s="1">
        <v>45845</v>
      </c>
      <c r="M361" s="1">
        <v>45968</v>
      </c>
      <c r="N361" s="2">
        <v>106.85</v>
      </c>
      <c r="O361">
        <f t="shared" si="16"/>
        <v>4</v>
      </c>
      <c r="P361" t="s">
        <v>214</v>
      </c>
      <c r="Q361" t="s">
        <v>1274</v>
      </c>
      <c r="R361" s="4">
        <v>0.375</v>
      </c>
      <c r="S361" s="2">
        <v>40.07</v>
      </c>
      <c r="T361" t="s">
        <v>244</v>
      </c>
    </row>
    <row r="362" spans="1:20" x14ac:dyDescent="0.25">
      <c r="A362">
        <v>2029242159</v>
      </c>
      <c r="B362" t="s">
        <v>781</v>
      </c>
      <c r="C362" t="s">
        <v>782</v>
      </c>
      <c r="D362" t="str">
        <f t="shared" si="17"/>
        <v>CARTER DONA</v>
      </c>
      <c r="E362" t="s">
        <v>243</v>
      </c>
      <c r="F362" t="s">
        <v>244</v>
      </c>
      <c r="G362">
        <v>8307933</v>
      </c>
      <c r="H362" t="s">
        <v>112</v>
      </c>
      <c r="I362" t="s">
        <v>104</v>
      </c>
      <c r="J362" t="str">
        <f t="shared" si="15"/>
        <v>GREGORY TEIPEL</v>
      </c>
      <c r="K362" t="s">
        <v>57</v>
      </c>
      <c r="L362" s="1">
        <v>45845</v>
      </c>
      <c r="M362" s="1">
        <v>45968</v>
      </c>
      <c r="N362" s="2">
        <v>48.23</v>
      </c>
      <c r="O362">
        <f t="shared" si="16"/>
        <v>4</v>
      </c>
      <c r="P362" t="s">
        <v>214</v>
      </c>
      <c r="Q362" t="s">
        <v>1274</v>
      </c>
      <c r="R362" s="4">
        <v>0.375</v>
      </c>
      <c r="S362" s="2">
        <v>18.09</v>
      </c>
      <c r="T362" t="s">
        <v>244</v>
      </c>
    </row>
    <row r="363" spans="1:20" x14ac:dyDescent="0.25">
      <c r="A363">
        <v>2029407291</v>
      </c>
      <c r="B363" t="s">
        <v>541</v>
      </c>
      <c r="C363" t="s">
        <v>402</v>
      </c>
      <c r="D363" t="str">
        <f t="shared" si="17"/>
        <v>JOHNSON DANIEL</v>
      </c>
      <c r="E363" t="s">
        <v>292</v>
      </c>
      <c r="F363" t="s">
        <v>295</v>
      </c>
      <c r="G363">
        <v>8307933</v>
      </c>
      <c r="H363" t="s">
        <v>112</v>
      </c>
      <c r="I363" t="s">
        <v>104</v>
      </c>
      <c r="J363" t="str">
        <f t="shared" si="15"/>
        <v>GREGORY TEIPEL</v>
      </c>
      <c r="K363" t="s">
        <v>57</v>
      </c>
      <c r="L363" s="1">
        <v>45845</v>
      </c>
      <c r="M363" s="1">
        <v>45968</v>
      </c>
      <c r="N363" s="2">
        <v>41.88</v>
      </c>
      <c r="O363">
        <f t="shared" si="16"/>
        <v>4</v>
      </c>
      <c r="P363" t="s">
        <v>214</v>
      </c>
      <c r="Q363" t="s">
        <v>1274</v>
      </c>
      <c r="R363" s="3">
        <v>0.9</v>
      </c>
      <c r="S363" s="2">
        <v>37.69</v>
      </c>
      <c r="T363" t="s">
        <v>295</v>
      </c>
    </row>
    <row r="364" spans="1:20" x14ac:dyDescent="0.25">
      <c r="A364">
        <v>2029609656</v>
      </c>
      <c r="B364" t="s">
        <v>72</v>
      </c>
      <c r="C364" t="s">
        <v>791</v>
      </c>
      <c r="D364" t="str">
        <f t="shared" si="17"/>
        <v>HARPER JOHN</v>
      </c>
      <c r="E364" t="s">
        <v>292</v>
      </c>
      <c r="F364" t="s">
        <v>295</v>
      </c>
      <c r="G364">
        <v>8307933</v>
      </c>
      <c r="H364" t="s">
        <v>112</v>
      </c>
      <c r="I364" t="s">
        <v>104</v>
      </c>
      <c r="J364" t="str">
        <f t="shared" si="15"/>
        <v>GREGORY TEIPEL</v>
      </c>
      <c r="K364" t="s">
        <v>57</v>
      </c>
      <c r="L364" s="1">
        <v>45845</v>
      </c>
      <c r="M364" s="1">
        <v>45968</v>
      </c>
      <c r="N364" s="2">
        <v>35.85</v>
      </c>
      <c r="O364">
        <f t="shared" si="16"/>
        <v>4</v>
      </c>
      <c r="P364" t="s">
        <v>214</v>
      </c>
      <c r="Q364" t="s">
        <v>1274</v>
      </c>
      <c r="R364" s="3">
        <v>0.9</v>
      </c>
      <c r="S364" s="2">
        <v>32.26</v>
      </c>
      <c r="T364" t="s">
        <v>295</v>
      </c>
    </row>
    <row r="365" spans="1:20" x14ac:dyDescent="0.25">
      <c r="A365">
        <v>2029283859</v>
      </c>
      <c r="B365" t="s">
        <v>784</v>
      </c>
      <c r="C365" t="s">
        <v>785</v>
      </c>
      <c r="D365" t="str">
        <f t="shared" si="17"/>
        <v>BRETT BLIZZARD</v>
      </c>
      <c r="E365" t="s">
        <v>292</v>
      </c>
      <c r="F365" t="s">
        <v>294</v>
      </c>
      <c r="G365">
        <v>5442438</v>
      </c>
      <c r="H365" t="s">
        <v>106</v>
      </c>
      <c r="I365" t="s">
        <v>107</v>
      </c>
      <c r="J365" t="str">
        <f t="shared" si="15"/>
        <v>Ronald Max</v>
      </c>
      <c r="K365" t="s">
        <v>57</v>
      </c>
      <c r="L365" s="1">
        <v>45818</v>
      </c>
      <c r="M365" s="1">
        <v>45971</v>
      </c>
      <c r="N365" s="2">
        <v>24.61</v>
      </c>
      <c r="O365">
        <f t="shared" si="16"/>
        <v>5</v>
      </c>
      <c r="P365" t="s">
        <v>214</v>
      </c>
      <c r="Q365" t="s">
        <v>1274</v>
      </c>
      <c r="R365" s="3">
        <v>0.7</v>
      </c>
      <c r="S365" s="2">
        <v>17.23</v>
      </c>
      <c r="T365" t="s">
        <v>536</v>
      </c>
    </row>
    <row r="366" spans="1:20" x14ac:dyDescent="0.25">
      <c r="A366">
        <v>2028643639</v>
      </c>
      <c r="B366" t="s">
        <v>533</v>
      </c>
      <c r="C366" t="s">
        <v>259</v>
      </c>
      <c r="D366" t="str">
        <f t="shared" si="17"/>
        <v>COLLEEN SCHULZE</v>
      </c>
      <c r="E366" t="s">
        <v>467</v>
      </c>
      <c r="F366" t="s">
        <v>471</v>
      </c>
      <c r="G366">
        <v>18134413</v>
      </c>
      <c r="H366" t="s">
        <v>479</v>
      </c>
      <c r="I366" t="s">
        <v>480</v>
      </c>
      <c r="J366" t="str">
        <f t="shared" si="15"/>
        <v>LORI TUNSTALL</v>
      </c>
      <c r="K366" t="s">
        <v>57</v>
      </c>
      <c r="L366" s="1">
        <v>45809</v>
      </c>
      <c r="M366" s="1">
        <v>45962</v>
      </c>
      <c r="N366" s="2">
        <v>4.33</v>
      </c>
      <c r="O366">
        <f t="shared" si="16"/>
        <v>5</v>
      </c>
      <c r="P366" t="s">
        <v>214</v>
      </c>
      <c r="Q366" t="s">
        <v>1274</v>
      </c>
      <c r="R366" s="3">
        <v>0.04</v>
      </c>
      <c r="S366" s="2">
        <v>4.33</v>
      </c>
      <c r="T366" t="s">
        <v>1269</v>
      </c>
    </row>
    <row r="367" spans="1:20" x14ac:dyDescent="0.25">
      <c r="A367">
        <v>2029031424</v>
      </c>
      <c r="B367" t="s">
        <v>778</v>
      </c>
      <c r="C367" t="s">
        <v>779</v>
      </c>
      <c r="D367" t="str">
        <f t="shared" si="17"/>
        <v>RAGEN THIGPEN</v>
      </c>
      <c r="E367" t="s">
        <v>89</v>
      </c>
      <c r="F367" t="s">
        <v>111</v>
      </c>
      <c r="G367">
        <v>8307933</v>
      </c>
      <c r="H367" t="s">
        <v>112</v>
      </c>
      <c r="I367" t="s">
        <v>104</v>
      </c>
      <c r="J367" t="str">
        <f t="shared" si="15"/>
        <v>GREGORY TEIPEL</v>
      </c>
      <c r="K367" t="s">
        <v>57</v>
      </c>
      <c r="L367" s="1">
        <v>45815</v>
      </c>
      <c r="M367" s="1">
        <v>45968</v>
      </c>
      <c r="N367" s="2">
        <v>163.80000000000001</v>
      </c>
      <c r="O367">
        <f t="shared" si="16"/>
        <v>5</v>
      </c>
      <c r="P367" t="s">
        <v>214</v>
      </c>
      <c r="Q367" t="s">
        <v>1274</v>
      </c>
      <c r="R367" s="3">
        <v>0.75</v>
      </c>
      <c r="S367" s="2">
        <v>122.85</v>
      </c>
      <c r="T367" t="s">
        <v>1257</v>
      </c>
    </row>
    <row r="368" spans="1:20" x14ac:dyDescent="0.25">
      <c r="A368">
        <v>2028773699</v>
      </c>
      <c r="B368" t="s">
        <v>772</v>
      </c>
      <c r="C368" t="s">
        <v>81</v>
      </c>
      <c r="D368" t="str">
        <f t="shared" si="17"/>
        <v>RYAN COVERDELL</v>
      </c>
      <c r="E368" t="s">
        <v>89</v>
      </c>
      <c r="F368" t="s">
        <v>111</v>
      </c>
      <c r="G368">
        <v>8307933</v>
      </c>
      <c r="H368" t="s">
        <v>112</v>
      </c>
      <c r="I368" t="s">
        <v>104</v>
      </c>
      <c r="J368" t="str">
        <f t="shared" si="15"/>
        <v>GREGORY TEIPEL</v>
      </c>
      <c r="K368" t="s">
        <v>57</v>
      </c>
      <c r="L368" s="1">
        <v>45815</v>
      </c>
      <c r="M368" s="1">
        <v>45968</v>
      </c>
      <c r="N368" s="2">
        <v>123.55</v>
      </c>
      <c r="O368">
        <f t="shared" si="16"/>
        <v>5</v>
      </c>
      <c r="P368" t="s">
        <v>214</v>
      </c>
      <c r="Q368" t="s">
        <v>1274</v>
      </c>
      <c r="R368" s="3">
        <v>0.75</v>
      </c>
      <c r="S368" s="2">
        <v>92.66</v>
      </c>
      <c r="T368" t="s">
        <v>1257</v>
      </c>
    </row>
    <row r="369" spans="1:20" x14ac:dyDescent="0.25">
      <c r="A369">
        <v>2028859180</v>
      </c>
      <c r="B369" t="s">
        <v>777</v>
      </c>
      <c r="C369" t="s">
        <v>94</v>
      </c>
      <c r="D369" t="str">
        <f t="shared" si="17"/>
        <v>ERIC SINATRA</v>
      </c>
      <c r="E369" t="s">
        <v>89</v>
      </c>
      <c r="F369" t="s">
        <v>96</v>
      </c>
      <c r="G369">
        <v>8307933</v>
      </c>
      <c r="H369" t="s">
        <v>112</v>
      </c>
      <c r="I369" t="s">
        <v>104</v>
      </c>
      <c r="J369" t="str">
        <f t="shared" si="15"/>
        <v>GREGORY TEIPEL</v>
      </c>
      <c r="K369" t="s">
        <v>57</v>
      </c>
      <c r="L369" s="1">
        <v>45815</v>
      </c>
      <c r="M369" s="1">
        <v>45968</v>
      </c>
      <c r="N369" s="2">
        <v>57.67</v>
      </c>
      <c r="O369">
        <f t="shared" si="16"/>
        <v>5</v>
      </c>
      <c r="P369" t="s">
        <v>214</v>
      </c>
      <c r="Q369" t="s">
        <v>1274</v>
      </c>
      <c r="R369" s="3">
        <v>0.9</v>
      </c>
      <c r="S369" s="2">
        <v>51.9</v>
      </c>
      <c r="T369" t="s">
        <v>1259</v>
      </c>
    </row>
    <row r="370" spans="1:20" x14ac:dyDescent="0.25">
      <c r="A370">
        <v>2029168180</v>
      </c>
      <c r="B370" t="s">
        <v>780</v>
      </c>
      <c r="C370" t="s">
        <v>671</v>
      </c>
      <c r="D370" t="str">
        <f t="shared" si="17"/>
        <v>STEVEN BILLY</v>
      </c>
      <c r="E370" t="s">
        <v>89</v>
      </c>
      <c r="F370" t="s">
        <v>96</v>
      </c>
      <c r="G370">
        <v>1706194</v>
      </c>
      <c r="H370" t="s">
        <v>97</v>
      </c>
      <c r="I370" t="s">
        <v>98</v>
      </c>
      <c r="J370" t="str">
        <f t="shared" si="15"/>
        <v>MATTHEW DAUGHERTY</v>
      </c>
      <c r="K370" t="s">
        <v>57</v>
      </c>
      <c r="L370" s="1">
        <v>45809</v>
      </c>
      <c r="M370" s="1">
        <v>45962</v>
      </c>
      <c r="N370" s="2">
        <v>-192.25</v>
      </c>
      <c r="O370">
        <f t="shared" si="16"/>
        <v>5</v>
      </c>
      <c r="P370" t="s">
        <v>214</v>
      </c>
      <c r="Q370" t="s">
        <v>1274</v>
      </c>
      <c r="R370" s="3">
        <v>0.9</v>
      </c>
      <c r="S370" s="2">
        <v>-173.02</v>
      </c>
      <c r="T370" t="s">
        <v>1259</v>
      </c>
    </row>
    <row r="371" spans="1:20" x14ac:dyDescent="0.25">
      <c r="A371">
        <v>2029283860</v>
      </c>
      <c r="B371" t="s">
        <v>784</v>
      </c>
      <c r="C371" t="s">
        <v>785</v>
      </c>
      <c r="D371" t="str">
        <f t="shared" si="17"/>
        <v>BRETT BLIZZARD</v>
      </c>
      <c r="E371" t="s">
        <v>89</v>
      </c>
      <c r="F371" t="s">
        <v>96</v>
      </c>
      <c r="G371">
        <v>5442438</v>
      </c>
      <c r="H371" t="s">
        <v>106</v>
      </c>
      <c r="I371" t="s">
        <v>107</v>
      </c>
      <c r="J371" t="str">
        <f t="shared" si="15"/>
        <v>Ronald Max</v>
      </c>
      <c r="K371" t="s">
        <v>57</v>
      </c>
      <c r="L371" s="1">
        <v>45818</v>
      </c>
      <c r="M371" s="1">
        <v>45971</v>
      </c>
      <c r="N371" s="2">
        <v>69.75</v>
      </c>
      <c r="O371">
        <f t="shared" si="16"/>
        <v>5</v>
      </c>
      <c r="P371" t="s">
        <v>214</v>
      </c>
      <c r="Q371" t="s">
        <v>1274</v>
      </c>
      <c r="R371" s="3">
        <v>0.9</v>
      </c>
      <c r="S371" s="2">
        <v>62.78</v>
      </c>
      <c r="T371" t="s">
        <v>1259</v>
      </c>
    </row>
    <row r="372" spans="1:20" x14ac:dyDescent="0.25">
      <c r="A372">
        <v>2029284253</v>
      </c>
      <c r="B372" t="s">
        <v>791</v>
      </c>
      <c r="C372" t="s">
        <v>1190</v>
      </c>
      <c r="D372" t="str">
        <f t="shared" si="17"/>
        <v>LYNNE HARPER</v>
      </c>
      <c r="E372" t="s">
        <v>350</v>
      </c>
      <c r="F372" t="s">
        <v>351</v>
      </c>
      <c r="G372" t="s">
        <v>1261</v>
      </c>
      <c r="H372" t="s">
        <v>352</v>
      </c>
      <c r="I372" t="s">
        <v>353</v>
      </c>
      <c r="J372" t="str">
        <f t="shared" si="15"/>
        <v>DEBORAH INSKIPT</v>
      </c>
      <c r="K372" t="s">
        <v>57</v>
      </c>
      <c r="L372" s="1">
        <v>45813</v>
      </c>
      <c r="M372" s="1">
        <v>45966</v>
      </c>
      <c r="N372" s="2">
        <v>75.88</v>
      </c>
      <c r="O372">
        <f t="shared" si="16"/>
        <v>5</v>
      </c>
      <c r="P372" t="s">
        <v>214</v>
      </c>
      <c r="Q372" t="s">
        <v>1274</v>
      </c>
      <c r="R372" s="3">
        <v>0.47</v>
      </c>
      <c r="S372" s="2">
        <v>35.659999999999997</v>
      </c>
      <c r="T372" t="s">
        <v>351</v>
      </c>
    </row>
    <row r="373" spans="1:20" x14ac:dyDescent="0.25">
      <c r="A373">
        <v>2028803828</v>
      </c>
      <c r="B373" t="s">
        <v>831</v>
      </c>
      <c r="C373" t="s">
        <v>1041</v>
      </c>
      <c r="D373" t="str">
        <f t="shared" si="17"/>
        <v>ISAIAH JONES</v>
      </c>
      <c r="E373" t="s">
        <v>292</v>
      </c>
      <c r="F373" t="s">
        <v>293</v>
      </c>
      <c r="G373">
        <v>17437820</v>
      </c>
      <c r="H373" t="s">
        <v>258</v>
      </c>
      <c r="I373" t="s">
        <v>259</v>
      </c>
      <c r="J373" t="str">
        <f t="shared" si="15"/>
        <v>COLLEEN FINNIGAN</v>
      </c>
      <c r="K373" t="s">
        <v>57</v>
      </c>
      <c r="L373" s="1">
        <v>45809</v>
      </c>
      <c r="M373" s="1">
        <v>45962</v>
      </c>
      <c r="N373" s="2">
        <v>-66.510000000000005</v>
      </c>
      <c r="O373">
        <f t="shared" si="16"/>
        <v>5</v>
      </c>
      <c r="P373" t="s">
        <v>214</v>
      </c>
      <c r="Q373" t="s">
        <v>1274</v>
      </c>
      <c r="R373" s="3">
        <v>0.7</v>
      </c>
      <c r="S373" s="2">
        <v>-46.56</v>
      </c>
      <c r="T373" t="s">
        <v>293</v>
      </c>
    </row>
    <row r="374" spans="1:20" x14ac:dyDescent="0.25">
      <c r="A374">
        <v>2029331330</v>
      </c>
      <c r="B374" t="s">
        <v>1053</v>
      </c>
      <c r="C374" t="s">
        <v>1054</v>
      </c>
      <c r="D374" t="str">
        <f t="shared" si="17"/>
        <v>LENA PITTS</v>
      </c>
      <c r="E374" t="s">
        <v>292</v>
      </c>
      <c r="F374" t="s">
        <v>293</v>
      </c>
      <c r="G374">
        <v>9213293</v>
      </c>
      <c r="H374" t="s">
        <v>509</v>
      </c>
      <c r="I374" t="s">
        <v>476</v>
      </c>
      <c r="J374" t="str">
        <f t="shared" si="15"/>
        <v>GARY PORTUGAL</v>
      </c>
      <c r="K374" t="s">
        <v>57</v>
      </c>
      <c r="L374" s="1">
        <v>45815</v>
      </c>
      <c r="M374" s="1">
        <v>45968</v>
      </c>
      <c r="N374" s="2">
        <v>100.21</v>
      </c>
      <c r="O374">
        <f t="shared" si="16"/>
        <v>5</v>
      </c>
      <c r="P374" t="s">
        <v>214</v>
      </c>
      <c r="Q374" t="s">
        <v>1274</v>
      </c>
      <c r="R374" s="3">
        <v>0.7</v>
      </c>
      <c r="S374" s="2">
        <v>70.150000000000006</v>
      </c>
      <c r="T374" t="s">
        <v>293</v>
      </c>
    </row>
    <row r="375" spans="1:20" x14ac:dyDescent="0.25">
      <c r="A375">
        <v>2029378241</v>
      </c>
      <c r="B375" t="s">
        <v>1055</v>
      </c>
      <c r="C375" t="s">
        <v>1056</v>
      </c>
      <c r="D375" t="str">
        <f t="shared" si="17"/>
        <v>ABRAHAM VINITSKI</v>
      </c>
      <c r="E375" t="s">
        <v>292</v>
      </c>
      <c r="F375" t="s">
        <v>293</v>
      </c>
      <c r="G375">
        <v>9213293</v>
      </c>
      <c r="H375" t="s">
        <v>509</v>
      </c>
      <c r="I375" t="s">
        <v>476</v>
      </c>
      <c r="J375" t="str">
        <f t="shared" si="15"/>
        <v>GARY PORTUGAL</v>
      </c>
      <c r="K375" t="s">
        <v>57</v>
      </c>
      <c r="L375" s="1">
        <v>45818</v>
      </c>
      <c r="M375" s="1">
        <v>45971</v>
      </c>
      <c r="N375" s="2">
        <v>42.15</v>
      </c>
      <c r="O375">
        <f t="shared" si="16"/>
        <v>5</v>
      </c>
      <c r="P375" t="s">
        <v>214</v>
      </c>
      <c r="Q375" t="s">
        <v>1274</v>
      </c>
      <c r="R375" s="3">
        <v>0.7</v>
      </c>
      <c r="S375" s="2">
        <v>29.5</v>
      </c>
      <c r="T375" t="s">
        <v>293</v>
      </c>
    </row>
    <row r="376" spans="1:20" x14ac:dyDescent="0.25">
      <c r="A376">
        <v>2029031423</v>
      </c>
      <c r="B376" t="s">
        <v>778</v>
      </c>
      <c r="C376" t="s">
        <v>779</v>
      </c>
      <c r="D376" t="str">
        <f t="shared" si="17"/>
        <v>RAGEN THIGPEN</v>
      </c>
      <c r="E376" t="s">
        <v>292</v>
      </c>
      <c r="F376" t="s">
        <v>293</v>
      </c>
      <c r="G376">
        <v>8307933</v>
      </c>
      <c r="H376" t="s">
        <v>112</v>
      </c>
      <c r="I376" t="s">
        <v>104</v>
      </c>
      <c r="J376" t="str">
        <f t="shared" si="15"/>
        <v>GREGORY TEIPEL</v>
      </c>
      <c r="K376" t="s">
        <v>57</v>
      </c>
      <c r="L376" s="1">
        <v>45815</v>
      </c>
      <c r="M376" s="1">
        <v>45968</v>
      </c>
      <c r="N376" s="2">
        <v>103.5</v>
      </c>
      <c r="O376">
        <f t="shared" si="16"/>
        <v>5</v>
      </c>
      <c r="P376" t="s">
        <v>214</v>
      </c>
      <c r="Q376" t="s">
        <v>1274</v>
      </c>
      <c r="R376" s="3">
        <v>0.7</v>
      </c>
      <c r="S376" s="2">
        <v>72.45</v>
      </c>
      <c r="T376" t="s">
        <v>293</v>
      </c>
    </row>
    <row r="377" spans="1:20" x14ac:dyDescent="0.25">
      <c r="A377">
        <v>2028982416</v>
      </c>
      <c r="B377" t="s">
        <v>1045</v>
      </c>
      <c r="C377" t="s">
        <v>532</v>
      </c>
      <c r="D377" t="str">
        <f t="shared" si="17"/>
        <v>SUSAN BURGENER</v>
      </c>
      <c r="E377" t="s">
        <v>292</v>
      </c>
      <c r="F377" t="s">
        <v>293</v>
      </c>
      <c r="G377">
        <v>8307933</v>
      </c>
      <c r="H377" t="s">
        <v>112</v>
      </c>
      <c r="I377" t="s">
        <v>104</v>
      </c>
      <c r="J377" t="str">
        <f t="shared" si="15"/>
        <v>GREGORY TEIPEL</v>
      </c>
      <c r="K377" t="s">
        <v>57</v>
      </c>
      <c r="L377" s="1">
        <v>45815</v>
      </c>
      <c r="M377" s="1">
        <v>45968</v>
      </c>
      <c r="N377" s="2">
        <v>101.38</v>
      </c>
      <c r="O377">
        <f t="shared" si="16"/>
        <v>5</v>
      </c>
      <c r="P377" t="s">
        <v>214</v>
      </c>
      <c r="Q377" t="s">
        <v>1274</v>
      </c>
      <c r="R377" s="3">
        <v>0.7</v>
      </c>
      <c r="S377" s="2">
        <v>70.97</v>
      </c>
      <c r="T377" t="s">
        <v>293</v>
      </c>
    </row>
    <row r="378" spans="1:20" x14ac:dyDescent="0.25">
      <c r="A378">
        <v>2028803827</v>
      </c>
      <c r="B378" t="s">
        <v>831</v>
      </c>
      <c r="C378" t="s">
        <v>1041</v>
      </c>
      <c r="D378" t="str">
        <f t="shared" si="17"/>
        <v>ISAIAH JONES</v>
      </c>
      <c r="E378" t="s">
        <v>243</v>
      </c>
      <c r="F378" t="s">
        <v>244</v>
      </c>
      <c r="G378">
        <v>17437820</v>
      </c>
      <c r="H378" t="s">
        <v>258</v>
      </c>
      <c r="I378" t="s">
        <v>259</v>
      </c>
      <c r="J378" t="str">
        <f t="shared" si="15"/>
        <v>COLLEEN FINNIGAN</v>
      </c>
      <c r="K378" t="s">
        <v>57</v>
      </c>
      <c r="L378" s="1">
        <v>45809</v>
      </c>
      <c r="M378" s="1">
        <v>45962</v>
      </c>
      <c r="N378" s="2">
        <v>-51.86</v>
      </c>
      <c r="O378">
        <f t="shared" si="16"/>
        <v>5</v>
      </c>
      <c r="P378" t="s">
        <v>214</v>
      </c>
      <c r="Q378" t="s">
        <v>1274</v>
      </c>
      <c r="R378" s="4">
        <v>0.375</v>
      </c>
      <c r="S378" s="2">
        <v>-19.45</v>
      </c>
      <c r="T378" t="s">
        <v>244</v>
      </c>
    </row>
    <row r="379" spans="1:20" x14ac:dyDescent="0.25">
      <c r="A379">
        <v>2029378240</v>
      </c>
      <c r="B379" t="s">
        <v>1055</v>
      </c>
      <c r="C379" t="s">
        <v>1056</v>
      </c>
      <c r="D379" t="str">
        <f t="shared" si="17"/>
        <v>ABRAHAM VINITSKI</v>
      </c>
      <c r="E379" t="s">
        <v>243</v>
      </c>
      <c r="F379" t="s">
        <v>244</v>
      </c>
      <c r="G379">
        <v>9213293</v>
      </c>
      <c r="H379" t="s">
        <v>509</v>
      </c>
      <c r="I379" t="s">
        <v>476</v>
      </c>
      <c r="J379" t="str">
        <f t="shared" si="15"/>
        <v>GARY PORTUGAL</v>
      </c>
      <c r="K379" t="s">
        <v>57</v>
      </c>
      <c r="L379" s="1">
        <v>45818</v>
      </c>
      <c r="M379" s="1">
        <v>45971</v>
      </c>
      <c r="N379" s="2">
        <v>115.5</v>
      </c>
      <c r="O379">
        <f t="shared" si="16"/>
        <v>5</v>
      </c>
      <c r="P379" t="s">
        <v>214</v>
      </c>
      <c r="Q379" t="s">
        <v>1274</v>
      </c>
      <c r="R379" s="4">
        <v>0.375</v>
      </c>
      <c r="S379" s="2">
        <v>43.31</v>
      </c>
      <c r="T379" t="s">
        <v>244</v>
      </c>
    </row>
    <row r="380" spans="1:20" x14ac:dyDescent="0.25">
      <c r="A380">
        <v>2028982417</v>
      </c>
      <c r="B380" t="s">
        <v>1045</v>
      </c>
      <c r="C380" t="s">
        <v>532</v>
      </c>
      <c r="D380" t="str">
        <f t="shared" si="17"/>
        <v>SUSAN BURGENER</v>
      </c>
      <c r="E380" t="s">
        <v>292</v>
      </c>
      <c r="F380" t="s">
        <v>295</v>
      </c>
      <c r="G380">
        <v>8307933</v>
      </c>
      <c r="H380" t="s">
        <v>112</v>
      </c>
      <c r="I380" t="s">
        <v>104</v>
      </c>
      <c r="J380" t="str">
        <f t="shared" si="15"/>
        <v>GREGORY TEIPEL</v>
      </c>
      <c r="K380" t="s">
        <v>57</v>
      </c>
      <c r="L380" s="1">
        <v>45815</v>
      </c>
      <c r="M380" s="1">
        <v>45968</v>
      </c>
      <c r="N380" s="2">
        <v>146.88</v>
      </c>
      <c r="O380">
        <f t="shared" si="16"/>
        <v>5</v>
      </c>
      <c r="P380" t="s">
        <v>214</v>
      </c>
      <c r="Q380" t="s">
        <v>1274</v>
      </c>
      <c r="R380" s="3">
        <v>0.9</v>
      </c>
      <c r="S380" s="2">
        <v>132.19</v>
      </c>
      <c r="T380" t="s">
        <v>295</v>
      </c>
    </row>
    <row r="381" spans="1:20" x14ac:dyDescent="0.25">
      <c r="A381">
        <v>2029031425</v>
      </c>
      <c r="B381" t="s">
        <v>778</v>
      </c>
      <c r="C381" t="s">
        <v>779</v>
      </c>
      <c r="D381" t="str">
        <f t="shared" si="17"/>
        <v>RAGEN THIGPEN</v>
      </c>
      <c r="E381" t="s">
        <v>292</v>
      </c>
      <c r="F381" t="s">
        <v>295</v>
      </c>
      <c r="G381">
        <v>8307933</v>
      </c>
      <c r="H381" t="s">
        <v>112</v>
      </c>
      <c r="I381" t="s">
        <v>104</v>
      </c>
      <c r="J381" t="str">
        <f t="shared" si="15"/>
        <v>GREGORY TEIPEL</v>
      </c>
      <c r="K381" t="s">
        <v>57</v>
      </c>
      <c r="L381" s="1">
        <v>45815</v>
      </c>
      <c r="M381" s="1">
        <v>45968</v>
      </c>
      <c r="N381" s="2">
        <v>134.16999999999999</v>
      </c>
      <c r="O381">
        <f t="shared" si="16"/>
        <v>5</v>
      </c>
      <c r="P381" t="s">
        <v>214</v>
      </c>
      <c r="Q381" t="s">
        <v>1274</v>
      </c>
      <c r="R381" s="3">
        <v>0.9</v>
      </c>
      <c r="S381" s="2">
        <v>120.75</v>
      </c>
      <c r="T381" t="s">
        <v>295</v>
      </c>
    </row>
    <row r="382" spans="1:20" x14ac:dyDescent="0.25">
      <c r="A382">
        <v>2028773700</v>
      </c>
      <c r="B382" t="s">
        <v>772</v>
      </c>
      <c r="C382" t="s">
        <v>81</v>
      </c>
      <c r="D382" t="str">
        <f t="shared" si="17"/>
        <v>RYAN COVERDELL</v>
      </c>
      <c r="E382" t="s">
        <v>292</v>
      </c>
      <c r="F382" t="s">
        <v>295</v>
      </c>
      <c r="G382">
        <v>8307933</v>
      </c>
      <c r="H382" t="s">
        <v>112</v>
      </c>
      <c r="I382" t="s">
        <v>104</v>
      </c>
      <c r="J382" t="str">
        <f t="shared" si="15"/>
        <v>GREGORY TEIPEL</v>
      </c>
      <c r="K382" t="s">
        <v>57</v>
      </c>
      <c r="L382" s="1">
        <v>45815</v>
      </c>
      <c r="M382" s="1">
        <v>45968</v>
      </c>
      <c r="N382" s="2">
        <v>33.25</v>
      </c>
      <c r="O382">
        <f t="shared" si="16"/>
        <v>5</v>
      </c>
      <c r="P382" t="s">
        <v>214</v>
      </c>
      <c r="Q382" t="s">
        <v>1274</v>
      </c>
      <c r="R382" s="3">
        <v>0.9</v>
      </c>
      <c r="S382" s="2">
        <v>29.92</v>
      </c>
      <c r="T382" t="s">
        <v>295</v>
      </c>
    </row>
    <row r="383" spans="1:20" x14ac:dyDescent="0.25">
      <c r="A383">
        <v>2028819908</v>
      </c>
      <c r="B383" t="s">
        <v>417</v>
      </c>
      <c r="C383" t="s">
        <v>418</v>
      </c>
      <c r="D383" t="str">
        <f t="shared" si="17"/>
        <v>JEREMY ESTES</v>
      </c>
      <c r="E383" t="s">
        <v>292</v>
      </c>
      <c r="F383" t="s">
        <v>536</v>
      </c>
      <c r="G383">
        <v>17425766</v>
      </c>
      <c r="H383" t="s">
        <v>237</v>
      </c>
      <c r="I383" t="s">
        <v>238</v>
      </c>
      <c r="J383" t="str">
        <f t="shared" si="15"/>
        <v>CAROL FOLEY</v>
      </c>
      <c r="K383" t="s">
        <v>57</v>
      </c>
      <c r="L383" s="1">
        <v>45785</v>
      </c>
      <c r="M383" s="1">
        <v>45969</v>
      </c>
      <c r="N383" s="2">
        <v>25.73</v>
      </c>
      <c r="O383">
        <f t="shared" si="16"/>
        <v>6</v>
      </c>
      <c r="P383" t="s">
        <v>214</v>
      </c>
      <c r="Q383" t="s">
        <v>1274</v>
      </c>
      <c r="R383" s="3">
        <v>0.7</v>
      </c>
      <c r="S383" s="2">
        <v>18.010000000000002</v>
      </c>
      <c r="T383" t="s">
        <v>536</v>
      </c>
    </row>
    <row r="384" spans="1:20" x14ac:dyDescent="0.25">
      <c r="A384">
        <v>2028605533</v>
      </c>
      <c r="B384" t="s">
        <v>770</v>
      </c>
      <c r="C384" t="s">
        <v>98</v>
      </c>
      <c r="D384" t="str">
        <f t="shared" si="17"/>
        <v>MATTHEW LOPEZ</v>
      </c>
      <c r="E384" t="s">
        <v>292</v>
      </c>
      <c r="F384" t="s">
        <v>536</v>
      </c>
      <c r="G384">
        <v>5442438</v>
      </c>
      <c r="H384" t="s">
        <v>106</v>
      </c>
      <c r="I384" t="s">
        <v>107</v>
      </c>
      <c r="J384" t="str">
        <f t="shared" si="15"/>
        <v>Ronald Max</v>
      </c>
      <c r="K384" t="s">
        <v>57</v>
      </c>
      <c r="L384" s="1">
        <v>45778</v>
      </c>
      <c r="M384" s="1">
        <v>45962</v>
      </c>
      <c r="N384" s="2">
        <v>24.61</v>
      </c>
      <c r="O384">
        <f t="shared" si="16"/>
        <v>6</v>
      </c>
      <c r="P384" t="s">
        <v>214</v>
      </c>
      <c r="Q384" t="s">
        <v>1274</v>
      </c>
      <c r="R384" s="3">
        <v>0.7</v>
      </c>
      <c r="S384" s="2">
        <v>17.23</v>
      </c>
      <c r="T384" t="s">
        <v>536</v>
      </c>
    </row>
    <row r="385" spans="1:20" x14ac:dyDescent="0.25">
      <c r="A385">
        <v>2028670284</v>
      </c>
      <c r="B385" t="s">
        <v>643</v>
      </c>
      <c r="C385" t="s">
        <v>207</v>
      </c>
      <c r="D385" t="str">
        <f t="shared" si="17"/>
        <v>RICHARD ZAPP</v>
      </c>
      <c r="E385" t="s">
        <v>53</v>
      </c>
      <c r="F385" t="s">
        <v>65</v>
      </c>
      <c r="G385">
        <v>17886092</v>
      </c>
      <c r="H385" t="s">
        <v>415</v>
      </c>
      <c r="I385" t="s">
        <v>401</v>
      </c>
      <c r="J385" t="str">
        <f t="shared" si="15"/>
        <v>TIMOTHY POWERS</v>
      </c>
      <c r="K385" t="s">
        <v>57</v>
      </c>
      <c r="L385" s="1">
        <v>45786</v>
      </c>
      <c r="M385" s="1">
        <v>45970</v>
      </c>
      <c r="N385" s="2">
        <v>10.54</v>
      </c>
      <c r="O385">
        <f t="shared" si="16"/>
        <v>6</v>
      </c>
      <c r="P385" t="s">
        <v>214</v>
      </c>
      <c r="Q385" t="s">
        <v>1274</v>
      </c>
      <c r="R385" s="3">
        <v>0.2</v>
      </c>
      <c r="S385" s="2">
        <v>10.54</v>
      </c>
      <c r="T385" t="s">
        <v>1269</v>
      </c>
    </row>
    <row r="386" spans="1:20" x14ac:dyDescent="0.25">
      <c r="A386">
        <v>2028248980</v>
      </c>
      <c r="B386" t="s">
        <v>767</v>
      </c>
      <c r="C386" t="s">
        <v>671</v>
      </c>
      <c r="D386" t="str">
        <f t="shared" si="17"/>
        <v>STEVEN SUDTELGTE</v>
      </c>
      <c r="E386" t="s">
        <v>89</v>
      </c>
      <c r="F386" t="s">
        <v>111</v>
      </c>
      <c r="G386">
        <v>8307933</v>
      </c>
      <c r="H386" t="s">
        <v>112</v>
      </c>
      <c r="I386" t="s">
        <v>104</v>
      </c>
      <c r="J386" t="str">
        <f t="shared" ref="J386:J449" si="18">CONCATENATE(I386, " ",H386)</f>
        <v>GREGORY TEIPEL</v>
      </c>
      <c r="K386" t="s">
        <v>57</v>
      </c>
      <c r="L386" s="1">
        <v>45784</v>
      </c>
      <c r="M386" s="1">
        <v>45968</v>
      </c>
      <c r="N386" s="2">
        <v>316.83</v>
      </c>
      <c r="O386">
        <f t="shared" ref="O386:O449" si="19">DATEDIF(L386,M386,"M")</f>
        <v>6</v>
      </c>
      <c r="P386" t="s">
        <v>214</v>
      </c>
      <c r="Q386" t="s">
        <v>1274</v>
      </c>
      <c r="R386" s="3">
        <v>0.75</v>
      </c>
      <c r="S386" s="2">
        <v>237.62</v>
      </c>
      <c r="T386" t="s">
        <v>1257</v>
      </c>
    </row>
    <row r="387" spans="1:20" x14ac:dyDescent="0.25">
      <c r="A387">
        <v>2028412598</v>
      </c>
      <c r="B387" t="s">
        <v>768</v>
      </c>
      <c r="C387" t="s">
        <v>205</v>
      </c>
      <c r="D387" t="str">
        <f t="shared" ref="D387:D450" si="20">CONCATENATE(C387, " ",B387)</f>
        <v>WILLIAM JUNGE</v>
      </c>
      <c r="E387" t="s">
        <v>89</v>
      </c>
      <c r="F387" t="s">
        <v>111</v>
      </c>
      <c r="G387">
        <v>8307933</v>
      </c>
      <c r="H387" t="s">
        <v>112</v>
      </c>
      <c r="I387" t="s">
        <v>104</v>
      </c>
      <c r="J387" t="str">
        <f t="shared" si="18"/>
        <v>GREGORY TEIPEL</v>
      </c>
      <c r="K387" t="s">
        <v>57</v>
      </c>
      <c r="L387" s="1">
        <v>45784</v>
      </c>
      <c r="M387" s="1">
        <v>45968</v>
      </c>
      <c r="N387" s="2">
        <v>125.83</v>
      </c>
      <c r="O387">
        <f t="shared" si="19"/>
        <v>6</v>
      </c>
      <c r="P387" t="s">
        <v>214</v>
      </c>
      <c r="Q387" t="s">
        <v>1274</v>
      </c>
      <c r="R387" s="3">
        <v>0.75</v>
      </c>
      <c r="S387" s="2">
        <v>94.37</v>
      </c>
      <c r="T387" t="s">
        <v>1257</v>
      </c>
    </row>
    <row r="388" spans="1:20" x14ac:dyDescent="0.25">
      <c r="A388">
        <v>2028549155</v>
      </c>
      <c r="B388" t="s">
        <v>764</v>
      </c>
      <c r="C388" t="s">
        <v>769</v>
      </c>
      <c r="D388" t="str">
        <f t="shared" si="20"/>
        <v>ALEXIS OBERG</v>
      </c>
      <c r="E388" t="s">
        <v>89</v>
      </c>
      <c r="F388" t="s">
        <v>111</v>
      </c>
      <c r="G388">
        <v>8307933</v>
      </c>
      <c r="H388" t="s">
        <v>112</v>
      </c>
      <c r="I388" t="s">
        <v>104</v>
      </c>
      <c r="J388" t="str">
        <f t="shared" si="18"/>
        <v>GREGORY TEIPEL</v>
      </c>
      <c r="K388" t="s">
        <v>57</v>
      </c>
      <c r="L388" s="1">
        <v>45784</v>
      </c>
      <c r="M388" s="1">
        <v>45968</v>
      </c>
      <c r="N388" s="2">
        <v>31.75</v>
      </c>
      <c r="O388">
        <f t="shared" si="19"/>
        <v>6</v>
      </c>
      <c r="P388" t="s">
        <v>214</v>
      </c>
      <c r="Q388" t="s">
        <v>1274</v>
      </c>
      <c r="R388" s="3">
        <v>0.75</v>
      </c>
      <c r="S388" s="2">
        <v>23.81</v>
      </c>
      <c r="T388" t="s">
        <v>1257</v>
      </c>
    </row>
    <row r="389" spans="1:20" x14ac:dyDescent="0.25">
      <c r="A389">
        <v>2028692689</v>
      </c>
      <c r="B389" t="s">
        <v>771</v>
      </c>
      <c r="C389" t="s">
        <v>220</v>
      </c>
      <c r="D389" t="str">
        <f t="shared" si="20"/>
        <v>BRIAN PIAZZA</v>
      </c>
      <c r="E389" t="s">
        <v>89</v>
      </c>
      <c r="F389" t="s">
        <v>111</v>
      </c>
      <c r="G389">
        <v>8307933</v>
      </c>
      <c r="H389" t="s">
        <v>112</v>
      </c>
      <c r="I389" t="s">
        <v>104</v>
      </c>
      <c r="J389" t="str">
        <f t="shared" si="18"/>
        <v>GREGORY TEIPEL</v>
      </c>
      <c r="K389" t="s">
        <v>57</v>
      </c>
      <c r="L389" s="1">
        <v>45784</v>
      </c>
      <c r="M389" s="1">
        <v>45968</v>
      </c>
      <c r="N389" s="2">
        <v>72.38</v>
      </c>
      <c r="O389">
        <f t="shared" si="19"/>
        <v>6</v>
      </c>
      <c r="P389" t="s">
        <v>214</v>
      </c>
      <c r="Q389" t="s">
        <v>1274</v>
      </c>
      <c r="R389" s="3">
        <v>0.75</v>
      </c>
      <c r="S389" s="2">
        <v>54.28</v>
      </c>
      <c r="T389" t="s">
        <v>1257</v>
      </c>
    </row>
    <row r="390" spans="1:20" x14ac:dyDescent="0.25">
      <c r="A390">
        <v>2028605534</v>
      </c>
      <c r="B390" t="s">
        <v>770</v>
      </c>
      <c r="C390" t="s">
        <v>98</v>
      </c>
      <c r="D390" t="str">
        <f t="shared" si="20"/>
        <v>MATTHEW LOPEZ</v>
      </c>
      <c r="E390" t="s">
        <v>89</v>
      </c>
      <c r="F390" t="s">
        <v>96</v>
      </c>
      <c r="G390">
        <v>5442438</v>
      </c>
      <c r="H390" t="s">
        <v>106</v>
      </c>
      <c r="I390" t="s">
        <v>107</v>
      </c>
      <c r="J390" t="str">
        <f t="shared" si="18"/>
        <v>Ronald Max</v>
      </c>
      <c r="K390" t="s">
        <v>57</v>
      </c>
      <c r="L390" s="1">
        <v>45778</v>
      </c>
      <c r="M390" s="1">
        <v>45962</v>
      </c>
      <c r="N390" s="2">
        <v>109.06</v>
      </c>
      <c r="O390">
        <f t="shared" si="19"/>
        <v>6</v>
      </c>
      <c r="P390" t="s">
        <v>214</v>
      </c>
      <c r="Q390" t="s">
        <v>1274</v>
      </c>
      <c r="R390" s="3">
        <v>0.9</v>
      </c>
      <c r="S390" s="2">
        <v>98.15</v>
      </c>
      <c r="T390" t="s">
        <v>1259</v>
      </c>
    </row>
    <row r="391" spans="1:20" x14ac:dyDescent="0.25">
      <c r="A391">
        <v>2028722200</v>
      </c>
      <c r="B391" t="s">
        <v>463</v>
      </c>
      <c r="C391" t="s">
        <v>464</v>
      </c>
      <c r="D391" t="str">
        <f t="shared" si="20"/>
        <v>SUSHILABEN PATEL</v>
      </c>
      <c r="E391" t="s">
        <v>461</v>
      </c>
      <c r="F391" t="s">
        <v>465</v>
      </c>
      <c r="G391">
        <v>8307933</v>
      </c>
      <c r="H391" t="s">
        <v>112</v>
      </c>
      <c r="I391" t="s">
        <v>104</v>
      </c>
      <c r="J391" t="str">
        <f t="shared" si="18"/>
        <v>GREGORY TEIPEL</v>
      </c>
      <c r="K391" t="s">
        <v>57</v>
      </c>
      <c r="L391" s="1">
        <v>45779</v>
      </c>
      <c r="M391" s="1">
        <v>45963</v>
      </c>
      <c r="N391" s="2">
        <v>93.29</v>
      </c>
      <c r="O391">
        <f t="shared" si="19"/>
        <v>6</v>
      </c>
      <c r="P391" t="s">
        <v>214</v>
      </c>
      <c r="Q391" t="s">
        <v>1274</v>
      </c>
      <c r="R391" s="3">
        <v>1.3</v>
      </c>
      <c r="S391" s="2">
        <v>121.28</v>
      </c>
      <c r="T391" t="s">
        <v>1264</v>
      </c>
    </row>
    <row r="392" spans="1:20" x14ac:dyDescent="0.25">
      <c r="A392">
        <v>2028565358</v>
      </c>
      <c r="B392" t="s">
        <v>139</v>
      </c>
      <c r="C392" t="s">
        <v>416</v>
      </c>
      <c r="D392" t="str">
        <f t="shared" si="20"/>
        <v>GALEN KELLY</v>
      </c>
      <c r="E392" t="s">
        <v>209</v>
      </c>
      <c r="F392" t="s">
        <v>222</v>
      </c>
      <c r="G392">
        <v>17425766</v>
      </c>
      <c r="H392" t="s">
        <v>237</v>
      </c>
      <c r="I392" t="s">
        <v>238</v>
      </c>
      <c r="J392" t="str">
        <f t="shared" si="18"/>
        <v>CAROL FOLEY</v>
      </c>
      <c r="K392" t="s">
        <v>57</v>
      </c>
      <c r="L392" s="1">
        <v>45777</v>
      </c>
      <c r="M392" s="1">
        <v>45960</v>
      </c>
      <c r="N392" s="2">
        <v>-15</v>
      </c>
      <c r="O392">
        <f t="shared" si="19"/>
        <v>6</v>
      </c>
      <c r="P392" t="s">
        <v>214</v>
      </c>
      <c r="Q392" t="s">
        <v>1274</v>
      </c>
      <c r="R392" s="3">
        <v>0.38</v>
      </c>
      <c r="S392" s="2">
        <v>-5.7</v>
      </c>
      <c r="T392" t="s">
        <v>222</v>
      </c>
    </row>
    <row r="393" spans="1:20" x14ac:dyDescent="0.25">
      <c r="A393">
        <v>2028605535</v>
      </c>
      <c r="B393" t="s">
        <v>770</v>
      </c>
      <c r="C393" t="s">
        <v>98</v>
      </c>
      <c r="D393" t="str">
        <f t="shared" si="20"/>
        <v>MATTHEW LOPEZ</v>
      </c>
      <c r="E393" t="s">
        <v>209</v>
      </c>
      <c r="F393" t="s">
        <v>963</v>
      </c>
      <c r="G393">
        <v>5442438</v>
      </c>
      <c r="H393" t="s">
        <v>106</v>
      </c>
      <c r="I393" t="s">
        <v>107</v>
      </c>
      <c r="J393" t="str">
        <f t="shared" si="18"/>
        <v>Ronald Max</v>
      </c>
      <c r="K393" t="s">
        <v>57</v>
      </c>
      <c r="L393" s="1">
        <v>45778</v>
      </c>
      <c r="M393" s="1">
        <v>45962</v>
      </c>
      <c r="N393" s="2">
        <v>19.5</v>
      </c>
      <c r="O393">
        <f t="shared" si="19"/>
        <v>6</v>
      </c>
      <c r="P393" t="s">
        <v>214</v>
      </c>
      <c r="Q393" t="s">
        <v>1274</v>
      </c>
      <c r="R393" s="3">
        <v>0.39</v>
      </c>
      <c r="S393" s="2">
        <v>7.6</v>
      </c>
      <c r="T393" t="s">
        <v>1262</v>
      </c>
    </row>
    <row r="394" spans="1:20" x14ac:dyDescent="0.25">
      <c r="A394">
        <v>2027202668</v>
      </c>
      <c r="B394" t="s">
        <v>1183</v>
      </c>
      <c r="C394" t="s">
        <v>920</v>
      </c>
      <c r="D394" t="str">
        <f t="shared" si="20"/>
        <v>ELIZABETH REESE</v>
      </c>
      <c r="E394" t="s">
        <v>350</v>
      </c>
      <c r="F394" t="s">
        <v>351</v>
      </c>
      <c r="G394" t="s">
        <v>1261</v>
      </c>
      <c r="H394" t="s">
        <v>352</v>
      </c>
      <c r="I394" t="s">
        <v>353</v>
      </c>
      <c r="J394" t="str">
        <f t="shared" si="18"/>
        <v>DEBORAH INSKIPT</v>
      </c>
      <c r="K394" t="s">
        <v>57</v>
      </c>
      <c r="L394" s="1">
        <v>45778</v>
      </c>
      <c r="M394" s="1">
        <v>45962</v>
      </c>
      <c r="N394" s="2">
        <v>56.88</v>
      </c>
      <c r="O394">
        <f t="shared" si="19"/>
        <v>6</v>
      </c>
      <c r="P394" t="s">
        <v>214</v>
      </c>
      <c r="Q394" t="s">
        <v>1274</v>
      </c>
      <c r="R394" s="3">
        <v>0.47</v>
      </c>
      <c r="S394" s="2">
        <v>26.73</v>
      </c>
      <c r="T394" t="s">
        <v>351</v>
      </c>
    </row>
    <row r="395" spans="1:20" x14ac:dyDescent="0.25">
      <c r="A395">
        <v>2028565356</v>
      </c>
      <c r="B395" t="s">
        <v>139</v>
      </c>
      <c r="C395" t="s">
        <v>416</v>
      </c>
      <c r="D395" t="str">
        <f t="shared" si="20"/>
        <v>GALEN KELLY</v>
      </c>
      <c r="E395" t="s">
        <v>287</v>
      </c>
      <c r="F395" t="s">
        <v>288</v>
      </c>
      <c r="G395">
        <v>17425766</v>
      </c>
      <c r="H395" t="s">
        <v>237</v>
      </c>
      <c r="I395" t="s">
        <v>238</v>
      </c>
      <c r="J395" t="str">
        <f t="shared" si="18"/>
        <v>CAROL FOLEY</v>
      </c>
      <c r="K395" t="s">
        <v>57</v>
      </c>
      <c r="L395" s="1">
        <v>45777</v>
      </c>
      <c r="M395" s="1">
        <v>45960</v>
      </c>
      <c r="N395" s="2">
        <v>-39.340000000000003</v>
      </c>
      <c r="O395">
        <f t="shared" si="19"/>
        <v>6</v>
      </c>
      <c r="P395" t="s">
        <v>214</v>
      </c>
      <c r="Q395" t="s">
        <v>1274</v>
      </c>
      <c r="R395" s="3">
        <v>0.38</v>
      </c>
      <c r="S395" s="2">
        <v>-14.95</v>
      </c>
      <c r="T395" t="s">
        <v>288</v>
      </c>
    </row>
    <row r="396" spans="1:20" x14ac:dyDescent="0.25">
      <c r="A396">
        <v>2028819907</v>
      </c>
      <c r="B396" t="s">
        <v>417</v>
      </c>
      <c r="C396" t="s">
        <v>418</v>
      </c>
      <c r="D396" t="str">
        <f t="shared" si="20"/>
        <v>JEREMY ESTES</v>
      </c>
      <c r="E396" t="s">
        <v>287</v>
      </c>
      <c r="F396" t="s">
        <v>288</v>
      </c>
      <c r="G396">
        <v>17425766</v>
      </c>
      <c r="H396" t="s">
        <v>237</v>
      </c>
      <c r="I396" t="s">
        <v>238</v>
      </c>
      <c r="J396" t="str">
        <f t="shared" si="18"/>
        <v>CAROL FOLEY</v>
      </c>
      <c r="K396" t="s">
        <v>57</v>
      </c>
      <c r="L396" s="1">
        <v>45785</v>
      </c>
      <c r="M396" s="1">
        <v>45969</v>
      </c>
      <c r="N396" s="2">
        <v>21.97</v>
      </c>
      <c r="O396">
        <f t="shared" si="19"/>
        <v>6</v>
      </c>
      <c r="P396" t="s">
        <v>214</v>
      </c>
      <c r="Q396" t="s">
        <v>1274</v>
      </c>
      <c r="R396" s="3">
        <v>0.38</v>
      </c>
      <c r="S396" s="2">
        <v>8.35</v>
      </c>
      <c r="T396" t="s">
        <v>288</v>
      </c>
    </row>
    <row r="397" spans="1:20" x14ac:dyDescent="0.25">
      <c r="A397">
        <v>2028565355</v>
      </c>
      <c r="B397" t="s">
        <v>139</v>
      </c>
      <c r="C397" t="s">
        <v>416</v>
      </c>
      <c r="D397" t="str">
        <f t="shared" si="20"/>
        <v>GALEN KELLY</v>
      </c>
      <c r="E397" t="s">
        <v>292</v>
      </c>
      <c r="F397" t="s">
        <v>293</v>
      </c>
      <c r="G397">
        <v>17425766</v>
      </c>
      <c r="H397" t="s">
        <v>237</v>
      </c>
      <c r="I397" t="s">
        <v>238</v>
      </c>
      <c r="J397" t="str">
        <f t="shared" si="18"/>
        <v>CAROL FOLEY</v>
      </c>
      <c r="K397" t="s">
        <v>57</v>
      </c>
      <c r="L397" s="1">
        <v>45777</v>
      </c>
      <c r="M397" s="1">
        <v>45960</v>
      </c>
      <c r="N397" s="2">
        <v>-30.16</v>
      </c>
      <c r="O397">
        <f t="shared" si="19"/>
        <v>6</v>
      </c>
      <c r="P397" t="s">
        <v>214</v>
      </c>
      <c r="Q397" t="s">
        <v>1274</v>
      </c>
      <c r="R397" s="3">
        <v>0.7</v>
      </c>
      <c r="S397" s="2">
        <v>-21.11</v>
      </c>
      <c r="T397" t="s">
        <v>293</v>
      </c>
    </row>
    <row r="398" spans="1:20" x14ac:dyDescent="0.25">
      <c r="A398">
        <v>2028818487</v>
      </c>
      <c r="B398" t="s">
        <v>1042</v>
      </c>
      <c r="C398" t="s">
        <v>532</v>
      </c>
      <c r="D398" t="str">
        <f t="shared" si="20"/>
        <v>SUSAN HODGSON</v>
      </c>
      <c r="E398" t="s">
        <v>292</v>
      </c>
      <c r="F398" t="s">
        <v>293</v>
      </c>
      <c r="G398">
        <v>20003537</v>
      </c>
      <c r="H398" t="s">
        <v>66</v>
      </c>
      <c r="I398" t="s">
        <v>156</v>
      </c>
      <c r="J398" t="str">
        <f t="shared" si="18"/>
        <v>Chad Yale</v>
      </c>
      <c r="K398" t="s">
        <v>57</v>
      </c>
      <c r="L398" s="1">
        <v>45785</v>
      </c>
      <c r="M398" s="1">
        <v>45969</v>
      </c>
      <c r="N398" s="2">
        <v>24.65</v>
      </c>
      <c r="O398">
        <f t="shared" si="19"/>
        <v>6</v>
      </c>
      <c r="P398" t="s">
        <v>214</v>
      </c>
      <c r="Q398" t="s">
        <v>1274</v>
      </c>
      <c r="R398" s="3">
        <v>0.7</v>
      </c>
      <c r="S398" s="2">
        <v>17.260000000000002</v>
      </c>
      <c r="T398" t="s">
        <v>293</v>
      </c>
    </row>
    <row r="399" spans="1:20" x14ac:dyDescent="0.25">
      <c r="A399">
        <v>2028368523</v>
      </c>
      <c r="B399" t="s">
        <v>1029</v>
      </c>
      <c r="C399" t="s">
        <v>740</v>
      </c>
      <c r="D399" t="str">
        <f t="shared" si="20"/>
        <v>MARY REGAN</v>
      </c>
      <c r="E399" t="s">
        <v>292</v>
      </c>
      <c r="F399" t="s">
        <v>293</v>
      </c>
      <c r="G399">
        <v>21435997</v>
      </c>
      <c r="H399" t="s">
        <v>269</v>
      </c>
      <c r="I399" t="s">
        <v>270</v>
      </c>
      <c r="J399" t="str">
        <f t="shared" si="18"/>
        <v>Christopher Brousseau</v>
      </c>
      <c r="K399" t="s">
        <v>57</v>
      </c>
      <c r="L399" s="1">
        <v>45784</v>
      </c>
      <c r="M399" s="1">
        <v>45968</v>
      </c>
      <c r="N399" s="2">
        <v>48.76</v>
      </c>
      <c r="O399">
        <f t="shared" si="19"/>
        <v>6</v>
      </c>
      <c r="P399" t="s">
        <v>214</v>
      </c>
      <c r="Q399" t="s">
        <v>1274</v>
      </c>
      <c r="R399" s="3">
        <v>0.7</v>
      </c>
      <c r="S399" s="2">
        <v>34.130000000000003</v>
      </c>
      <c r="T399" t="s">
        <v>293</v>
      </c>
    </row>
    <row r="400" spans="1:20" x14ac:dyDescent="0.25">
      <c r="A400">
        <v>2028248979</v>
      </c>
      <c r="B400" t="s">
        <v>767</v>
      </c>
      <c r="C400" t="s">
        <v>671</v>
      </c>
      <c r="D400" t="str">
        <f t="shared" si="20"/>
        <v>STEVEN SUDTELGTE</v>
      </c>
      <c r="E400" t="s">
        <v>292</v>
      </c>
      <c r="F400" t="s">
        <v>293</v>
      </c>
      <c r="G400">
        <v>8307933</v>
      </c>
      <c r="H400" t="s">
        <v>112</v>
      </c>
      <c r="I400" t="s">
        <v>104</v>
      </c>
      <c r="J400" t="str">
        <f t="shared" si="18"/>
        <v>GREGORY TEIPEL</v>
      </c>
      <c r="K400" t="s">
        <v>57</v>
      </c>
      <c r="L400" s="1">
        <v>45784</v>
      </c>
      <c r="M400" s="1">
        <v>45968</v>
      </c>
      <c r="N400" s="2">
        <v>120.5</v>
      </c>
      <c r="O400">
        <f t="shared" si="19"/>
        <v>6</v>
      </c>
      <c r="P400" t="s">
        <v>214</v>
      </c>
      <c r="Q400" t="s">
        <v>1274</v>
      </c>
      <c r="R400" s="3">
        <v>0.7</v>
      </c>
      <c r="S400" s="2">
        <v>84.35</v>
      </c>
      <c r="T400" t="s">
        <v>293</v>
      </c>
    </row>
    <row r="401" spans="1:20" x14ac:dyDescent="0.25">
      <c r="A401">
        <v>2028412597</v>
      </c>
      <c r="B401" t="s">
        <v>768</v>
      </c>
      <c r="C401" t="s">
        <v>205</v>
      </c>
      <c r="D401" t="str">
        <f t="shared" si="20"/>
        <v>WILLIAM JUNGE</v>
      </c>
      <c r="E401" t="s">
        <v>292</v>
      </c>
      <c r="F401" t="s">
        <v>293</v>
      </c>
      <c r="G401">
        <v>8307933</v>
      </c>
      <c r="H401" t="s">
        <v>112</v>
      </c>
      <c r="I401" t="s">
        <v>104</v>
      </c>
      <c r="J401" t="str">
        <f t="shared" si="18"/>
        <v>GREGORY TEIPEL</v>
      </c>
      <c r="K401" t="s">
        <v>57</v>
      </c>
      <c r="L401" s="1">
        <v>45784</v>
      </c>
      <c r="M401" s="1">
        <v>45968</v>
      </c>
      <c r="N401" s="2">
        <v>80.14</v>
      </c>
      <c r="O401">
        <f t="shared" si="19"/>
        <v>6</v>
      </c>
      <c r="P401" t="s">
        <v>214</v>
      </c>
      <c r="Q401" t="s">
        <v>1274</v>
      </c>
      <c r="R401" s="3">
        <v>0.7</v>
      </c>
      <c r="S401" s="2">
        <v>56.1</v>
      </c>
      <c r="T401" t="s">
        <v>293</v>
      </c>
    </row>
    <row r="402" spans="1:20" x14ac:dyDescent="0.25">
      <c r="A402">
        <v>2028436941</v>
      </c>
      <c r="B402" t="s">
        <v>412</v>
      </c>
      <c r="C402" t="s">
        <v>1030</v>
      </c>
      <c r="D402" t="str">
        <f t="shared" si="20"/>
        <v>CASEY JORDAN</v>
      </c>
      <c r="E402" t="s">
        <v>292</v>
      </c>
      <c r="F402" t="s">
        <v>293</v>
      </c>
      <c r="G402">
        <v>8307933</v>
      </c>
      <c r="H402" t="s">
        <v>112</v>
      </c>
      <c r="I402" t="s">
        <v>104</v>
      </c>
      <c r="J402" t="str">
        <f t="shared" si="18"/>
        <v>GREGORY TEIPEL</v>
      </c>
      <c r="K402" t="s">
        <v>57</v>
      </c>
      <c r="L402" s="1">
        <v>45784</v>
      </c>
      <c r="M402" s="1">
        <v>45968</v>
      </c>
      <c r="N402" s="2">
        <v>77.12</v>
      </c>
      <c r="O402">
        <f t="shared" si="19"/>
        <v>6</v>
      </c>
      <c r="P402" t="s">
        <v>214</v>
      </c>
      <c r="Q402" t="s">
        <v>1274</v>
      </c>
      <c r="R402" s="3">
        <v>0.7</v>
      </c>
      <c r="S402" s="2">
        <v>53.98</v>
      </c>
      <c r="T402" t="s">
        <v>293</v>
      </c>
    </row>
    <row r="403" spans="1:20" x14ac:dyDescent="0.25">
      <c r="A403">
        <v>2028683415</v>
      </c>
      <c r="B403" t="s">
        <v>1031</v>
      </c>
      <c r="C403" t="s">
        <v>1031</v>
      </c>
      <c r="D403" t="str">
        <f t="shared" si="20"/>
        <v>MANSOUR MANSOUR</v>
      </c>
      <c r="E403" t="s">
        <v>292</v>
      </c>
      <c r="F403" t="s">
        <v>293</v>
      </c>
      <c r="G403">
        <v>19396223</v>
      </c>
      <c r="H403" t="s">
        <v>1032</v>
      </c>
      <c r="I403" t="s">
        <v>1033</v>
      </c>
      <c r="J403" t="str">
        <f t="shared" si="18"/>
        <v>Saadia Abdul</v>
      </c>
      <c r="K403" t="s">
        <v>57</v>
      </c>
      <c r="L403" s="1">
        <v>45778</v>
      </c>
      <c r="M403" s="1">
        <v>45962</v>
      </c>
      <c r="N403" s="2">
        <v>56.62</v>
      </c>
      <c r="O403">
        <f t="shared" si="19"/>
        <v>6</v>
      </c>
      <c r="P403" t="s">
        <v>214</v>
      </c>
      <c r="Q403" t="s">
        <v>1274</v>
      </c>
      <c r="R403" s="3">
        <v>0.7</v>
      </c>
      <c r="S403" s="2">
        <v>39.630000000000003</v>
      </c>
      <c r="T403" t="s">
        <v>293</v>
      </c>
    </row>
    <row r="404" spans="1:20" x14ac:dyDescent="0.25">
      <c r="A404">
        <v>2028641305</v>
      </c>
      <c r="B404" t="s">
        <v>1107</v>
      </c>
      <c r="C404" t="s">
        <v>63</v>
      </c>
      <c r="D404" t="str">
        <f t="shared" si="20"/>
        <v>ANTHONY REGULUS</v>
      </c>
      <c r="E404" t="s">
        <v>243</v>
      </c>
      <c r="F404" t="s">
        <v>244</v>
      </c>
      <c r="G404">
        <v>9079571</v>
      </c>
      <c r="H404" t="s">
        <v>172</v>
      </c>
      <c r="I404" t="s">
        <v>173</v>
      </c>
      <c r="J404" t="str">
        <f t="shared" si="18"/>
        <v>ADAM RICHTER</v>
      </c>
      <c r="K404" t="s">
        <v>57</v>
      </c>
      <c r="L404" s="1">
        <v>45778</v>
      </c>
      <c r="M404" s="1">
        <v>45962</v>
      </c>
      <c r="N404" s="2">
        <v>85.49</v>
      </c>
      <c r="O404">
        <f t="shared" si="19"/>
        <v>6</v>
      </c>
      <c r="P404" t="s">
        <v>214</v>
      </c>
      <c r="Q404" t="s">
        <v>1274</v>
      </c>
      <c r="R404" s="4">
        <v>0.375</v>
      </c>
      <c r="S404" s="2">
        <v>32.06</v>
      </c>
      <c r="T404" t="s">
        <v>244</v>
      </c>
    </row>
    <row r="405" spans="1:20" x14ac:dyDescent="0.25">
      <c r="A405">
        <v>2028565357</v>
      </c>
      <c r="B405" t="s">
        <v>139</v>
      </c>
      <c r="C405" t="s">
        <v>416</v>
      </c>
      <c r="D405" t="str">
        <f t="shared" si="20"/>
        <v>GALEN KELLY</v>
      </c>
      <c r="E405" t="s">
        <v>243</v>
      </c>
      <c r="F405" t="s">
        <v>244</v>
      </c>
      <c r="G405">
        <v>17425766</v>
      </c>
      <c r="H405" t="s">
        <v>237</v>
      </c>
      <c r="I405" t="s">
        <v>238</v>
      </c>
      <c r="J405" t="str">
        <f t="shared" si="18"/>
        <v>CAROL FOLEY</v>
      </c>
      <c r="K405" t="s">
        <v>57</v>
      </c>
      <c r="L405" s="1">
        <v>45777</v>
      </c>
      <c r="M405" s="1">
        <v>45960</v>
      </c>
      <c r="N405" s="2">
        <v>-99.89</v>
      </c>
      <c r="O405">
        <f t="shared" si="19"/>
        <v>6</v>
      </c>
      <c r="P405" t="s">
        <v>214</v>
      </c>
      <c r="Q405" t="s">
        <v>1274</v>
      </c>
      <c r="R405" s="4">
        <v>0.375</v>
      </c>
      <c r="S405" s="2">
        <v>-37.46</v>
      </c>
      <c r="T405" t="s">
        <v>244</v>
      </c>
    </row>
    <row r="406" spans="1:20" x14ac:dyDescent="0.25">
      <c r="A406">
        <v>2028819906</v>
      </c>
      <c r="B406" t="s">
        <v>417</v>
      </c>
      <c r="C406" t="s">
        <v>418</v>
      </c>
      <c r="D406" t="str">
        <f t="shared" si="20"/>
        <v>JEREMY ESTES</v>
      </c>
      <c r="E406" t="s">
        <v>243</v>
      </c>
      <c r="F406" t="s">
        <v>244</v>
      </c>
      <c r="G406">
        <v>17425766</v>
      </c>
      <c r="H406" t="s">
        <v>237</v>
      </c>
      <c r="I406" t="s">
        <v>238</v>
      </c>
      <c r="J406" t="str">
        <f t="shared" si="18"/>
        <v>CAROL FOLEY</v>
      </c>
      <c r="K406" t="s">
        <v>57</v>
      </c>
      <c r="L406" s="1">
        <v>45785</v>
      </c>
      <c r="M406" s="1">
        <v>45969</v>
      </c>
      <c r="N406" s="2">
        <v>32.979999999999997</v>
      </c>
      <c r="O406">
        <f t="shared" si="19"/>
        <v>6</v>
      </c>
      <c r="P406" t="s">
        <v>214</v>
      </c>
      <c r="Q406" t="s">
        <v>1274</v>
      </c>
      <c r="R406" s="4">
        <v>0.375</v>
      </c>
      <c r="S406" s="2">
        <v>12.37</v>
      </c>
      <c r="T406" t="s">
        <v>244</v>
      </c>
    </row>
    <row r="407" spans="1:20" x14ac:dyDescent="0.25">
      <c r="A407">
        <v>2028683414</v>
      </c>
      <c r="B407" t="s">
        <v>1031</v>
      </c>
      <c r="C407" t="s">
        <v>1031</v>
      </c>
      <c r="D407" t="str">
        <f t="shared" si="20"/>
        <v>MANSOUR MANSOUR</v>
      </c>
      <c r="E407" t="s">
        <v>243</v>
      </c>
      <c r="F407" t="s">
        <v>244</v>
      </c>
      <c r="G407">
        <v>19396223</v>
      </c>
      <c r="H407" t="s">
        <v>1032</v>
      </c>
      <c r="I407" t="s">
        <v>1033</v>
      </c>
      <c r="J407" t="str">
        <f t="shared" si="18"/>
        <v>Saadia Abdul</v>
      </c>
      <c r="K407" t="s">
        <v>57</v>
      </c>
      <c r="L407" s="1">
        <v>45778</v>
      </c>
      <c r="M407" s="1">
        <v>45962</v>
      </c>
      <c r="N407" s="2">
        <v>176.99</v>
      </c>
      <c r="O407">
        <f t="shared" si="19"/>
        <v>6</v>
      </c>
      <c r="P407" t="s">
        <v>214</v>
      </c>
      <c r="Q407" t="s">
        <v>1274</v>
      </c>
      <c r="R407" s="4">
        <v>0.375</v>
      </c>
      <c r="S407" s="2">
        <v>66.37</v>
      </c>
      <c r="T407" t="s">
        <v>244</v>
      </c>
    </row>
    <row r="408" spans="1:20" x14ac:dyDescent="0.25">
      <c r="A408">
        <v>2028801870</v>
      </c>
      <c r="B408" t="s">
        <v>861</v>
      </c>
      <c r="C408" t="s">
        <v>137</v>
      </c>
      <c r="D408" t="str">
        <f t="shared" si="20"/>
        <v>JUSTIN HAMILTON</v>
      </c>
      <c r="E408" t="s">
        <v>243</v>
      </c>
      <c r="F408" t="s">
        <v>244</v>
      </c>
      <c r="G408">
        <v>19396223</v>
      </c>
      <c r="H408" t="s">
        <v>1032</v>
      </c>
      <c r="I408" t="s">
        <v>1033</v>
      </c>
      <c r="J408" t="str">
        <f t="shared" si="18"/>
        <v>Saadia Abdul</v>
      </c>
      <c r="K408" t="s">
        <v>57</v>
      </c>
      <c r="L408" s="1">
        <v>45784</v>
      </c>
      <c r="M408" s="1">
        <v>45968</v>
      </c>
      <c r="N408" s="2">
        <v>38.44</v>
      </c>
      <c r="O408">
        <f t="shared" si="19"/>
        <v>6</v>
      </c>
      <c r="P408" t="s">
        <v>214</v>
      </c>
      <c r="Q408" t="s">
        <v>1274</v>
      </c>
      <c r="R408" s="4">
        <v>0.375</v>
      </c>
      <c r="S408" s="2">
        <v>14.42</v>
      </c>
      <c r="T408" t="s">
        <v>244</v>
      </c>
    </row>
    <row r="409" spans="1:20" x14ac:dyDescent="0.25">
      <c r="A409">
        <v>2028549154</v>
      </c>
      <c r="B409" t="s">
        <v>764</v>
      </c>
      <c r="C409" t="s">
        <v>769</v>
      </c>
      <c r="D409" t="str">
        <f t="shared" si="20"/>
        <v>ALEXIS OBERG</v>
      </c>
      <c r="E409" t="s">
        <v>292</v>
      </c>
      <c r="F409" t="s">
        <v>295</v>
      </c>
      <c r="G409">
        <v>8307933</v>
      </c>
      <c r="H409" t="s">
        <v>112</v>
      </c>
      <c r="I409" t="s">
        <v>104</v>
      </c>
      <c r="J409" t="str">
        <f t="shared" si="18"/>
        <v>GREGORY TEIPEL</v>
      </c>
      <c r="K409" t="s">
        <v>57</v>
      </c>
      <c r="L409" s="1">
        <v>45784</v>
      </c>
      <c r="M409" s="1">
        <v>45968</v>
      </c>
      <c r="N409" s="2">
        <v>26.25</v>
      </c>
      <c r="O409">
        <f t="shared" si="19"/>
        <v>6</v>
      </c>
      <c r="P409" t="s">
        <v>214</v>
      </c>
      <c r="Q409" t="s">
        <v>1274</v>
      </c>
      <c r="R409" s="3">
        <v>0.9</v>
      </c>
      <c r="S409" s="2">
        <v>23.62</v>
      </c>
      <c r="T409" t="s">
        <v>295</v>
      </c>
    </row>
    <row r="410" spans="1:20" x14ac:dyDescent="0.25">
      <c r="A410">
        <v>2027642346</v>
      </c>
      <c r="B410" t="s">
        <v>411</v>
      </c>
      <c r="C410" t="s">
        <v>412</v>
      </c>
      <c r="D410" t="str">
        <f t="shared" si="20"/>
        <v>JORDAN PERSON</v>
      </c>
      <c r="E410" t="s">
        <v>292</v>
      </c>
      <c r="F410" t="s">
        <v>536</v>
      </c>
      <c r="G410">
        <v>8307933</v>
      </c>
      <c r="H410" t="s">
        <v>112</v>
      </c>
      <c r="I410" t="s">
        <v>104</v>
      </c>
      <c r="J410" t="str">
        <f t="shared" si="18"/>
        <v>GREGORY TEIPEL</v>
      </c>
      <c r="K410" t="s">
        <v>57</v>
      </c>
      <c r="L410" s="1">
        <v>45754</v>
      </c>
      <c r="M410" s="1">
        <v>45968</v>
      </c>
      <c r="N410" s="2">
        <v>21.44</v>
      </c>
      <c r="O410">
        <f t="shared" si="19"/>
        <v>7</v>
      </c>
      <c r="P410" t="s">
        <v>214</v>
      </c>
      <c r="Q410" t="s">
        <v>1274</v>
      </c>
      <c r="R410" s="3">
        <v>0.7</v>
      </c>
      <c r="S410" s="2">
        <v>15.01</v>
      </c>
      <c r="T410" t="s">
        <v>536</v>
      </c>
    </row>
    <row r="411" spans="1:20" x14ac:dyDescent="0.25">
      <c r="A411">
        <v>2028313186</v>
      </c>
      <c r="B411" t="s">
        <v>281</v>
      </c>
      <c r="C411" t="s">
        <v>414</v>
      </c>
      <c r="D411" t="str">
        <f t="shared" si="20"/>
        <v>MAGGIE KING</v>
      </c>
      <c r="E411" t="s">
        <v>287</v>
      </c>
      <c r="F411" t="s">
        <v>291</v>
      </c>
      <c r="G411">
        <v>17886092</v>
      </c>
      <c r="H411" t="s">
        <v>415</v>
      </c>
      <c r="I411" t="s">
        <v>401</v>
      </c>
      <c r="J411" t="str">
        <f t="shared" si="18"/>
        <v>TIMOTHY POWERS</v>
      </c>
      <c r="K411" t="s">
        <v>57</v>
      </c>
      <c r="L411" s="1">
        <v>45757</v>
      </c>
      <c r="M411" s="1">
        <v>45971</v>
      </c>
      <c r="N411" s="2">
        <v>58.33</v>
      </c>
      <c r="O411">
        <f t="shared" si="19"/>
        <v>7</v>
      </c>
      <c r="P411" t="s">
        <v>214</v>
      </c>
      <c r="Q411" t="s">
        <v>1274</v>
      </c>
      <c r="R411" s="3">
        <v>0.12</v>
      </c>
      <c r="S411" s="2">
        <v>58.33</v>
      </c>
      <c r="T411" t="s">
        <v>1269</v>
      </c>
    </row>
    <row r="412" spans="1:20" x14ac:dyDescent="0.25">
      <c r="A412">
        <v>2027354636</v>
      </c>
      <c r="B412" t="s">
        <v>517</v>
      </c>
      <c r="C412" t="s">
        <v>353</v>
      </c>
      <c r="D412" t="str">
        <f t="shared" si="20"/>
        <v>DEBORAH LANZIDELLE</v>
      </c>
      <c r="E412" t="s">
        <v>467</v>
      </c>
      <c r="F412" t="s">
        <v>505</v>
      </c>
      <c r="G412">
        <v>18134413</v>
      </c>
      <c r="H412" t="s">
        <v>479</v>
      </c>
      <c r="I412" t="s">
        <v>480</v>
      </c>
      <c r="J412" t="str">
        <f t="shared" si="18"/>
        <v>LORI TUNSTALL</v>
      </c>
      <c r="K412" t="s">
        <v>57</v>
      </c>
      <c r="L412" s="1">
        <v>45748</v>
      </c>
      <c r="M412" s="1">
        <v>45962</v>
      </c>
      <c r="N412" s="2">
        <v>8.52</v>
      </c>
      <c r="O412">
        <f t="shared" si="19"/>
        <v>7</v>
      </c>
      <c r="P412" t="s">
        <v>214</v>
      </c>
      <c r="Q412" t="s">
        <v>1274</v>
      </c>
      <c r="R412" s="3">
        <v>0.04</v>
      </c>
      <c r="S412" s="2">
        <v>8.52</v>
      </c>
      <c r="T412" t="s">
        <v>1269</v>
      </c>
    </row>
    <row r="413" spans="1:20" x14ac:dyDescent="0.25">
      <c r="A413">
        <v>2027361177</v>
      </c>
      <c r="B413" t="s">
        <v>756</v>
      </c>
      <c r="C413" t="s">
        <v>480</v>
      </c>
      <c r="D413" t="str">
        <f t="shared" si="20"/>
        <v>LORI BENSON</v>
      </c>
      <c r="E413" t="s">
        <v>89</v>
      </c>
      <c r="F413" t="s">
        <v>111</v>
      </c>
      <c r="G413">
        <v>8307933</v>
      </c>
      <c r="H413" t="s">
        <v>112</v>
      </c>
      <c r="I413" t="s">
        <v>104</v>
      </c>
      <c r="J413" t="str">
        <f t="shared" si="18"/>
        <v>GREGORY TEIPEL</v>
      </c>
      <c r="K413" t="s">
        <v>57</v>
      </c>
      <c r="L413" s="1">
        <v>45754</v>
      </c>
      <c r="M413" s="1">
        <v>45968</v>
      </c>
      <c r="N413" s="2">
        <v>202.87</v>
      </c>
      <c r="O413">
        <f t="shared" si="19"/>
        <v>7</v>
      </c>
      <c r="P413" t="s">
        <v>214</v>
      </c>
      <c r="Q413" t="s">
        <v>1274</v>
      </c>
      <c r="R413" s="3">
        <v>0.75</v>
      </c>
      <c r="S413" s="2">
        <v>152.15</v>
      </c>
      <c r="T413" t="s">
        <v>1257</v>
      </c>
    </row>
    <row r="414" spans="1:20" x14ac:dyDescent="0.25">
      <c r="A414">
        <v>2027859845</v>
      </c>
      <c r="B414" t="s">
        <v>759</v>
      </c>
      <c r="C414" t="s">
        <v>760</v>
      </c>
      <c r="D414" t="str">
        <f t="shared" si="20"/>
        <v>DONALD BARTRAM</v>
      </c>
      <c r="E414" t="s">
        <v>89</v>
      </c>
      <c r="F414" t="s">
        <v>111</v>
      </c>
      <c r="G414">
        <v>8307933</v>
      </c>
      <c r="H414" t="s">
        <v>112</v>
      </c>
      <c r="I414" t="s">
        <v>104</v>
      </c>
      <c r="J414" t="str">
        <f t="shared" si="18"/>
        <v>GREGORY TEIPEL</v>
      </c>
      <c r="K414" t="s">
        <v>57</v>
      </c>
      <c r="L414" s="1">
        <v>45754</v>
      </c>
      <c r="M414" s="1">
        <v>45968</v>
      </c>
      <c r="N414" s="2">
        <v>154.30000000000001</v>
      </c>
      <c r="O414">
        <f t="shared" si="19"/>
        <v>7</v>
      </c>
      <c r="P414" t="s">
        <v>214</v>
      </c>
      <c r="Q414" t="s">
        <v>1274</v>
      </c>
      <c r="R414" s="3">
        <v>0.75</v>
      </c>
      <c r="S414" s="2">
        <v>115.72</v>
      </c>
      <c r="T414" t="s">
        <v>1257</v>
      </c>
    </row>
    <row r="415" spans="1:20" x14ac:dyDescent="0.25">
      <c r="A415">
        <v>2027862508</v>
      </c>
      <c r="B415" t="s">
        <v>761</v>
      </c>
      <c r="C415" t="s">
        <v>762</v>
      </c>
      <c r="D415" t="str">
        <f t="shared" si="20"/>
        <v>ELVIRA BORODINA</v>
      </c>
      <c r="E415" t="s">
        <v>89</v>
      </c>
      <c r="F415" t="s">
        <v>111</v>
      </c>
      <c r="G415">
        <v>8307933</v>
      </c>
      <c r="H415" t="s">
        <v>112</v>
      </c>
      <c r="I415" t="s">
        <v>104</v>
      </c>
      <c r="J415" t="str">
        <f t="shared" si="18"/>
        <v>GREGORY TEIPEL</v>
      </c>
      <c r="K415" t="s">
        <v>57</v>
      </c>
      <c r="L415" s="1">
        <v>45754</v>
      </c>
      <c r="M415" s="1">
        <v>45968</v>
      </c>
      <c r="N415" s="2">
        <v>63.28</v>
      </c>
      <c r="O415">
        <f t="shared" si="19"/>
        <v>7</v>
      </c>
      <c r="P415" t="s">
        <v>214</v>
      </c>
      <c r="Q415" t="s">
        <v>1274</v>
      </c>
      <c r="R415" s="3">
        <v>0.75</v>
      </c>
      <c r="S415" s="2">
        <v>47.46</v>
      </c>
      <c r="T415" t="s">
        <v>1257</v>
      </c>
    </row>
    <row r="416" spans="1:20" x14ac:dyDescent="0.25">
      <c r="A416">
        <v>2027863478</v>
      </c>
      <c r="B416" t="s">
        <v>759</v>
      </c>
      <c r="C416" t="s">
        <v>763</v>
      </c>
      <c r="D416" t="str">
        <f t="shared" si="20"/>
        <v>BRIDGER BARTRAM</v>
      </c>
      <c r="E416" t="s">
        <v>89</v>
      </c>
      <c r="F416" t="s">
        <v>111</v>
      </c>
      <c r="G416">
        <v>8307933</v>
      </c>
      <c r="H416" t="s">
        <v>112</v>
      </c>
      <c r="I416" t="s">
        <v>104</v>
      </c>
      <c r="J416" t="str">
        <f t="shared" si="18"/>
        <v>GREGORY TEIPEL</v>
      </c>
      <c r="K416" t="s">
        <v>57</v>
      </c>
      <c r="L416" s="1">
        <v>45754</v>
      </c>
      <c r="M416" s="1">
        <v>45968</v>
      </c>
      <c r="N416" s="2">
        <v>25</v>
      </c>
      <c r="O416">
        <f t="shared" si="19"/>
        <v>7</v>
      </c>
      <c r="P416" t="s">
        <v>214</v>
      </c>
      <c r="Q416" t="s">
        <v>1274</v>
      </c>
      <c r="R416" s="3">
        <v>0.75</v>
      </c>
      <c r="S416" s="2">
        <v>18.75</v>
      </c>
      <c r="T416" t="s">
        <v>1257</v>
      </c>
    </row>
    <row r="417" spans="1:20" x14ac:dyDescent="0.25">
      <c r="A417">
        <v>2027887270</v>
      </c>
      <c r="B417" t="s">
        <v>764</v>
      </c>
      <c r="C417" t="s">
        <v>81</v>
      </c>
      <c r="D417" t="str">
        <f t="shared" si="20"/>
        <v>RYAN OBERG</v>
      </c>
      <c r="E417" t="s">
        <v>89</v>
      </c>
      <c r="F417" t="s">
        <v>111</v>
      </c>
      <c r="G417">
        <v>8307933</v>
      </c>
      <c r="H417" t="s">
        <v>112</v>
      </c>
      <c r="I417" t="s">
        <v>104</v>
      </c>
      <c r="J417" t="str">
        <f t="shared" si="18"/>
        <v>GREGORY TEIPEL</v>
      </c>
      <c r="K417" t="s">
        <v>57</v>
      </c>
      <c r="L417" s="1">
        <v>45754</v>
      </c>
      <c r="M417" s="1">
        <v>45968</v>
      </c>
      <c r="N417" s="2">
        <v>88.8</v>
      </c>
      <c r="O417">
        <f t="shared" si="19"/>
        <v>7</v>
      </c>
      <c r="P417" t="s">
        <v>214</v>
      </c>
      <c r="Q417" t="s">
        <v>1274</v>
      </c>
      <c r="R417" s="3">
        <v>0.75</v>
      </c>
      <c r="S417" s="2">
        <v>66.599999999999994</v>
      </c>
      <c r="T417" t="s">
        <v>1257</v>
      </c>
    </row>
    <row r="418" spans="1:20" x14ac:dyDescent="0.25">
      <c r="A418">
        <v>2028108470</v>
      </c>
      <c r="B418" t="s">
        <v>766</v>
      </c>
      <c r="C418" t="s">
        <v>314</v>
      </c>
      <c r="D418" t="str">
        <f t="shared" si="20"/>
        <v>CORY BLAIR</v>
      </c>
      <c r="E418" t="s">
        <v>89</v>
      </c>
      <c r="F418" t="s">
        <v>111</v>
      </c>
      <c r="G418">
        <v>8307933</v>
      </c>
      <c r="H418" t="s">
        <v>112</v>
      </c>
      <c r="I418" t="s">
        <v>104</v>
      </c>
      <c r="J418" t="str">
        <f t="shared" si="18"/>
        <v>GREGORY TEIPEL</v>
      </c>
      <c r="K418" t="s">
        <v>57</v>
      </c>
      <c r="L418" s="1">
        <v>45754</v>
      </c>
      <c r="M418" s="1">
        <v>45968</v>
      </c>
      <c r="N418" s="2">
        <v>104.83</v>
      </c>
      <c r="O418">
        <f t="shared" si="19"/>
        <v>7</v>
      </c>
      <c r="P418" t="s">
        <v>214</v>
      </c>
      <c r="Q418" t="s">
        <v>1274</v>
      </c>
      <c r="R418" s="3">
        <v>0.75</v>
      </c>
      <c r="S418" s="2">
        <v>78.62</v>
      </c>
      <c r="T418" t="s">
        <v>1257</v>
      </c>
    </row>
    <row r="419" spans="1:20" x14ac:dyDescent="0.25">
      <c r="A419">
        <v>2027642345</v>
      </c>
      <c r="B419" t="s">
        <v>411</v>
      </c>
      <c r="C419" t="s">
        <v>412</v>
      </c>
      <c r="D419" t="str">
        <f t="shared" si="20"/>
        <v>JORDAN PERSON</v>
      </c>
      <c r="E419" t="s">
        <v>89</v>
      </c>
      <c r="F419" t="s">
        <v>96</v>
      </c>
      <c r="G419">
        <v>8307933</v>
      </c>
      <c r="H419" t="s">
        <v>112</v>
      </c>
      <c r="I419" t="s">
        <v>104</v>
      </c>
      <c r="J419" t="str">
        <f t="shared" si="18"/>
        <v>GREGORY TEIPEL</v>
      </c>
      <c r="K419" t="s">
        <v>57</v>
      </c>
      <c r="L419" s="1">
        <v>45754</v>
      </c>
      <c r="M419" s="1">
        <v>45968</v>
      </c>
      <c r="N419" s="2">
        <v>119.92</v>
      </c>
      <c r="O419">
        <f t="shared" si="19"/>
        <v>7</v>
      </c>
      <c r="P419" t="s">
        <v>214</v>
      </c>
      <c r="Q419" t="s">
        <v>1274</v>
      </c>
      <c r="R419" s="3">
        <v>0.9</v>
      </c>
      <c r="S419" s="2">
        <v>107.93</v>
      </c>
      <c r="T419" t="s">
        <v>1259</v>
      </c>
    </row>
    <row r="420" spans="1:20" x14ac:dyDescent="0.25">
      <c r="A420">
        <v>2027887273</v>
      </c>
      <c r="B420" t="s">
        <v>764</v>
      </c>
      <c r="C420" t="s">
        <v>81</v>
      </c>
      <c r="D420" t="str">
        <f t="shared" si="20"/>
        <v>RYAN OBERG</v>
      </c>
      <c r="E420" t="s">
        <v>292</v>
      </c>
      <c r="F420" t="s">
        <v>331</v>
      </c>
      <c r="G420">
        <v>8307933</v>
      </c>
      <c r="H420" t="s">
        <v>112</v>
      </c>
      <c r="I420" t="s">
        <v>104</v>
      </c>
      <c r="J420" t="str">
        <f t="shared" si="18"/>
        <v>GREGORY TEIPEL</v>
      </c>
      <c r="K420" t="s">
        <v>57</v>
      </c>
      <c r="L420" s="1">
        <v>45754</v>
      </c>
      <c r="M420" s="1">
        <v>45968</v>
      </c>
      <c r="N420" s="2">
        <v>22.53</v>
      </c>
      <c r="O420">
        <f t="shared" si="19"/>
        <v>7</v>
      </c>
      <c r="P420" t="s">
        <v>214</v>
      </c>
      <c r="Q420" t="s">
        <v>1274</v>
      </c>
      <c r="R420" s="3">
        <v>0.42</v>
      </c>
      <c r="S420" s="2">
        <v>9.4600000000000009</v>
      </c>
      <c r="T420" t="s">
        <v>331</v>
      </c>
    </row>
    <row r="421" spans="1:20" x14ac:dyDescent="0.25">
      <c r="A421">
        <v>2027050882</v>
      </c>
      <c r="B421" t="s">
        <v>1179</v>
      </c>
      <c r="C421" t="s">
        <v>1180</v>
      </c>
      <c r="D421" t="str">
        <f t="shared" si="20"/>
        <v>BONITA SKIDMORE</v>
      </c>
      <c r="E421" t="s">
        <v>350</v>
      </c>
      <c r="F421" t="s">
        <v>351</v>
      </c>
      <c r="G421" t="s">
        <v>1261</v>
      </c>
      <c r="H421" t="s">
        <v>352</v>
      </c>
      <c r="I421" t="s">
        <v>353</v>
      </c>
      <c r="J421" t="str">
        <f t="shared" si="18"/>
        <v>DEBORAH INSKIPT</v>
      </c>
      <c r="K421" t="s">
        <v>57</v>
      </c>
      <c r="L421" s="1">
        <v>45748</v>
      </c>
      <c r="M421" s="1">
        <v>45962</v>
      </c>
      <c r="N421" s="2">
        <v>87.59</v>
      </c>
      <c r="O421">
        <f t="shared" si="19"/>
        <v>7</v>
      </c>
      <c r="P421" t="s">
        <v>214</v>
      </c>
      <c r="Q421" t="s">
        <v>1274</v>
      </c>
      <c r="R421" s="3">
        <v>0.47</v>
      </c>
      <c r="S421" s="2">
        <v>41.17</v>
      </c>
      <c r="T421" t="s">
        <v>351</v>
      </c>
    </row>
    <row r="422" spans="1:20" x14ac:dyDescent="0.25">
      <c r="A422">
        <v>2028038680</v>
      </c>
      <c r="B422" t="s">
        <v>1184</v>
      </c>
      <c r="C422" t="s">
        <v>224</v>
      </c>
      <c r="D422" t="str">
        <f t="shared" si="20"/>
        <v>JAMES SNIVELY</v>
      </c>
      <c r="E422" t="s">
        <v>350</v>
      </c>
      <c r="F422" t="s">
        <v>351</v>
      </c>
      <c r="G422" t="s">
        <v>1261</v>
      </c>
      <c r="H422" t="s">
        <v>352</v>
      </c>
      <c r="I422" t="s">
        <v>353</v>
      </c>
      <c r="J422" t="str">
        <f t="shared" si="18"/>
        <v>DEBORAH INSKIPT</v>
      </c>
      <c r="K422" t="s">
        <v>57</v>
      </c>
      <c r="L422" s="1">
        <v>45748</v>
      </c>
      <c r="M422" s="1">
        <v>45962</v>
      </c>
      <c r="N422" s="2">
        <v>69.31</v>
      </c>
      <c r="O422">
        <f t="shared" si="19"/>
        <v>7</v>
      </c>
      <c r="P422" t="s">
        <v>214</v>
      </c>
      <c r="Q422" t="s">
        <v>1274</v>
      </c>
      <c r="R422" s="3">
        <v>0.47</v>
      </c>
      <c r="S422" s="2">
        <v>32.58</v>
      </c>
      <c r="T422" t="s">
        <v>351</v>
      </c>
    </row>
    <row r="423" spans="1:20" x14ac:dyDescent="0.25">
      <c r="A423">
        <v>2028067361</v>
      </c>
      <c r="B423" t="s">
        <v>1151</v>
      </c>
      <c r="C423" t="s">
        <v>507</v>
      </c>
      <c r="D423" t="str">
        <f t="shared" si="20"/>
        <v>DEBRA DAVIS</v>
      </c>
      <c r="E423" t="s">
        <v>350</v>
      </c>
      <c r="F423" t="s">
        <v>351</v>
      </c>
      <c r="G423" t="s">
        <v>1261</v>
      </c>
      <c r="H423" t="s">
        <v>352</v>
      </c>
      <c r="I423" t="s">
        <v>353</v>
      </c>
      <c r="J423" t="str">
        <f t="shared" si="18"/>
        <v>DEBORAH INSKIPT</v>
      </c>
      <c r="K423" t="s">
        <v>57</v>
      </c>
      <c r="L423" s="1">
        <v>45748</v>
      </c>
      <c r="M423" s="1">
        <v>45962</v>
      </c>
      <c r="N423" s="2">
        <v>87.59</v>
      </c>
      <c r="O423">
        <f t="shared" si="19"/>
        <v>7</v>
      </c>
      <c r="P423" t="s">
        <v>214</v>
      </c>
      <c r="Q423" t="s">
        <v>1274</v>
      </c>
      <c r="R423" s="3">
        <v>0.47</v>
      </c>
      <c r="S423" s="2">
        <v>41.17</v>
      </c>
      <c r="T423" t="s">
        <v>351</v>
      </c>
    </row>
    <row r="424" spans="1:20" x14ac:dyDescent="0.25">
      <c r="A424">
        <v>2028132283</v>
      </c>
      <c r="B424" t="s">
        <v>1185</v>
      </c>
      <c r="C424" t="s">
        <v>959</v>
      </c>
      <c r="D424" t="str">
        <f t="shared" si="20"/>
        <v>GLENN HUNKELE</v>
      </c>
      <c r="E424" t="s">
        <v>350</v>
      </c>
      <c r="F424" t="s">
        <v>351</v>
      </c>
      <c r="G424" t="s">
        <v>1261</v>
      </c>
      <c r="H424" t="s">
        <v>352</v>
      </c>
      <c r="I424" t="s">
        <v>353</v>
      </c>
      <c r="J424" t="str">
        <f t="shared" si="18"/>
        <v>DEBORAH INSKIPT</v>
      </c>
      <c r="K424" t="s">
        <v>57</v>
      </c>
      <c r="L424" s="1">
        <v>45748</v>
      </c>
      <c r="M424" s="1">
        <v>45962</v>
      </c>
      <c r="N424" s="2">
        <v>36.119999999999997</v>
      </c>
      <c r="O424">
        <f t="shared" si="19"/>
        <v>7</v>
      </c>
      <c r="P424" t="s">
        <v>214</v>
      </c>
      <c r="Q424" t="s">
        <v>1274</v>
      </c>
      <c r="R424" s="3">
        <v>0.47</v>
      </c>
      <c r="S424" s="2">
        <v>16.98</v>
      </c>
      <c r="T424" t="s">
        <v>351</v>
      </c>
    </row>
    <row r="425" spans="1:20" x14ac:dyDescent="0.25">
      <c r="A425">
        <v>2027763444</v>
      </c>
      <c r="B425" t="s">
        <v>413</v>
      </c>
      <c r="C425" t="s">
        <v>100</v>
      </c>
      <c r="D425" t="str">
        <f t="shared" si="20"/>
        <v>AMANDA TEMPLE</v>
      </c>
      <c r="E425" t="s">
        <v>287</v>
      </c>
      <c r="F425" t="s">
        <v>288</v>
      </c>
      <c r="G425">
        <v>17425766</v>
      </c>
      <c r="H425" t="s">
        <v>237</v>
      </c>
      <c r="I425" t="s">
        <v>238</v>
      </c>
      <c r="J425" t="str">
        <f t="shared" si="18"/>
        <v>CAROL FOLEY</v>
      </c>
      <c r="K425" t="s">
        <v>57</v>
      </c>
      <c r="L425" s="1">
        <v>45748</v>
      </c>
      <c r="M425" s="1">
        <v>45962</v>
      </c>
      <c r="N425" s="2">
        <v>51.55</v>
      </c>
      <c r="O425">
        <f t="shared" si="19"/>
        <v>7</v>
      </c>
      <c r="P425" t="s">
        <v>214</v>
      </c>
      <c r="Q425" t="s">
        <v>1274</v>
      </c>
      <c r="R425" s="3">
        <v>0.38</v>
      </c>
      <c r="S425" s="2">
        <v>19.59</v>
      </c>
      <c r="T425" t="s">
        <v>288</v>
      </c>
    </row>
    <row r="426" spans="1:20" x14ac:dyDescent="0.25">
      <c r="A426">
        <v>2027642347</v>
      </c>
      <c r="B426" t="s">
        <v>411</v>
      </c>
      <c r="C426" t="s">
        <v>412</v>
      </c>
      <c r="D426" t="str">
        <f t="shared" si="20"/>
        <v>JORDAN PERSON</v>
      </c>
      <c r="E426" t="s">
        <v>287</v>
      </c>
      <c r="F426" t="s">
        <v>288</v>
      </c>
      <c r="G426">
        <v>8307933</v>
      </c>
      <c r="H426" t="s">
        <v>112</v>
      </c>
      <c r="I426" t="s">
        <v>104</v>
      </c>
      <c r="J426" t="str">
        <f t="shared" si="18"/>
        <v>GREGORY TEIPEL</v>
      </c>
      <c r="K426" t="s">
        <v>57</v>
      </c>
      <c r="L426" s="1">
        <v>45754</v>
      </c>
      <c r="M426" s="1">
        <v>45968</v>
      </c>
      <c r="N426" s="2">
        <v>21.53</v>
      </c>
      <c r="O426">
        <f t="shared" si="19"/>
        <v>7</v>
      </c>
      <c r="P426" t="s">
        <v>214</v>
      </c>
      <c r="Q426" t="s">
        <v>1274</v>
      </c>
      <c r="R426" s="3">
        <v>0.38</v>
      </c>
      <c r="S426" s="2">
        <v>8.18</v>
      </c>
      <c r="T426" t="s">
        <v>288</v>
      </c>
    </row>
    <row r="427" spans="1:20" x14ac:dyDescent="0.25">
      <c r="A427">
        <v>2027097219</v>
      </c>
      <c r="B427" t="s">
        <v>237</v>
      </c>
      <c r="C427" t="s">
        <v>238</v>
      </c>
      <c r="D427" t="str">
        <f t="shared" si="20"/>
        <v>CAROL FOLEY</v>
      </c>
      <c r="E427" t="s">
        <v>467</v>
      </c>
      <c r="F427" t="s">
        <v>471</v>
      </c>
      <c r="G427">
        <v>17425766</v>
      </c>
      <c r="H427" t="s">
        <v>237</v>
      </c>
      <c r="I427" t="s">
        <v>238</v>
      </c>
      <c r="J427" t="str">
        <f t="shared" si="18"/>
        <v>CAROL FOLEY</v>
      </c>
      <c r="K427" t="s">
        <v>57</v>
      </c>
      <c r="L427" s="1">
        <v>45748</v>
      </c>
      <c r="M427" s="1">
        <v>45962</v>
      </c>
      <c r="N427" s="2">
        <v>147.77000000000001</v>
      </c>
      <c r="O427">
        <f t="shared" si="19"/>
        <v>7</v>
      </c>
      <c r="P427" t="s">
        <v>214</v>
      </c>
      <c r="Q427" t="s">
        <v>1274</v>
      </c>
      <c r="R427" s="3">
        <v>0.26</v>
      </c>
      <c r="S427" s="2">
        <v>38.42</v>
      </c>
      <c r="T427" t="s">
        <v>1266</v>
      </c>
    </row>
    <row r="428" spans="1:20" x14ac:dyDescent="0.25">
      <c r="A428">
        <v>2028281048</v>
      </c>
      <c r="B428" t="s">
        <v>1020</v>
      </c>
      <c r="C428" t="s">
        <v>1021</v>
      </c>
      <c r="D428" t="str">
        <f t="shared" si="20"/>
        <v>NICOLE BOERSMA</v>
      </c>
      <c r="E428" t="s">
        <v>292</v>
      </c>
      <c r="F428" t="s">
        <v>293</v>
      </c>
      <c r="G428">
        <v>21348299</v>
      </c>
      <c r="H428" t="s">
        <v>1022</v>
      </c>
      <c r="I428" t="s">
        <v>1023</v>
      </c>
      <c r="J428" t="str">
        <f t="shared" si="18"/>
        <v>BARRY BRENNER</v>
      </c>
      <c r="K428" t="s">
        <v>57</v>
      </c>
      <c r="L428" s="1">
        <v>45755</v>
      </c>
      <c r="M428" s="1">
        <v>45969</v>
      </c>
      <c r="N428" s="2">
        <v>24.65</v>
      </c>
      <c r="O428">
        <f t="shared" si="19"/>
        <v>7</v>
      </c>
      <c r="P428" t="s">
        <v>214</v>
      </c>
      <c r="Q428" t="s">
        <v>1274</v>
      </c>
      <c r="R428" s="3">
        <v>0.7</v>
      </c>
      <c r="S428" s="2">
        <v>17.260000000000002</v>
      </c>
      <c r="T428" t="s">
        <v>293</v>
      </c>
    </row>
    <row r="429" spans="1:20" x14ac:dyDescent="0.25">
      <c r="A429">
        <v>2028073917</v>
      </c>
      <c r="B429" t="s">
        <v>1013</v>
      </c>
      <c r="C429" t="s">
        <v>1014</v>
      </c>
      <c r="D429" t="str">
        <f t="shared" si="20"/>
        <v>SHERYL CASILHAS</v>
      </c>
      <c r="E429" t="s">
        <v>292</v>
      </c>
      <c r="F429" t="s">
        <v>293</v>
      </c>
      <c r="G429">
        <v>21435997</v>
      </c>
      <c r="H429" t="s">
        <v>269</v>
      </c>
      <c r="I429" t="s">
        <v>270</v>
      </c>
      <c r="J429" t="str">
        <f t="shared" si="18"/>
        <v>Christopher Brousseau</v>
      </c>
      <c r="K429" t="s">
        <v>57</v>
      </c>
      <c r="L429" s="1">
        <v>45754</v>
      </c>
      <c r="M429" s="1">
        <v>45968</v>
      </c>
      <c r="N429" s="2">
        <v>129.22</v>
      </c>
      <c r="O429">
        <f t="shared" si="19"/>
        <v>7</v>
      </c>
      <c r="P429" t="s">
        <v>214</v>
      </c>
      <c r="Q429" t="s">
        <v>1274</v>
      </c>
      <c r="R429" s="3">
        <v>0.7</v>
      </c>
      <c r="S429" s="2">
        <v>90.45</v>
      </c>
      <c r="T429" t="s">
        <v>293</v>
      </c>
    </row>
    <row r="430" spans="1:20" x14ac:dyDescent="0.25">
      <c r="A430">
        <v>2028143929</v>
      </c>
      <c r="B430" t="s">
        <v>267</v>
      </c>
      <c r="C430" t="s">
        <v>1015</v>
      </c>
      <c r="D430" t="str">
        <f t="shared" si="20"/>
        <v>IFEANYICHUKWU METUIWE</v>
      </c>
      <c r="E430" t="s">
        <v>292</v>
      </c>
      <c r="F430" t="s">
        <v>293</v>
      </c>
      <c r="G430">
        <v>21435997</v>
      </c>
      <c r="H430" t="s">
        <v>269</v>
      </c>
      <c r="I430" t="s">
        <v>270</v>
      </c>
      <c r="J430" t="str">
        <f t="shared" si="18"/>
        <v>Christopher Brousseau</v>
      </c>
      <c r="K430" t="s">
        <v>57</v>
      </c>
      <c r="L430" s="1">
        <v>45754</v>
      </c>
      <c r="M430" s="1">
        <v>45968</v>
      </c>
      <c r="N430" s="2">
        <v>48.76</v>
      </c>
      <c r="O430">
        <f t="shared" si="19"/>
        <v>7</v>
      </c>
      <c r="P430" t="s">
        <v>214</v>
      </c>
      <c r="Q430" t="s">
        <v>1274</v>
      </c>
      <c r="R430" s="3">
        <v>0.7</v>
      </c>
      <c r="S430" s="2">
        <v>34.130000000000003</v>
      </c>
      <c r="T430" t="s">
        <v>293</v>
      </c>
    </row>
    <row r="431" spans="1:20" x14ac:dyDescent="0.25">
      <c r="A431">
        <v>2028182786</v>
      </c>
      <c r="B431" t="s">
        <v>233</v>
      </c>
      <c r="C431" t="s">
        <v>1016</v>
      </c>
      <c r="D431" t="str">
        <f t="shared" si="20"/>
        <v>CRISTIAN TORRES</v>
      </c>
      <c r="E431" t="s">
        <v>292</v>
      </c>
      <c r="F431" t="s">
        <v>293</v>
      </c>
      <c r="G431">
        <v>21435997</v>
      </c>
      <c r="H431" t="s">
        <v>269</v>
      </c>
      <c r="I431" t="s">
        <v>270</v>
      </c>
      <c r="J431" t="str">
        <f t="shared" si="18"/>
        <v>Christopher Brousseau</v>
      </c>
      <c r="K431" t="s">
        <v>57</v>
      </c>
      <c r="L431" s="1">
        <v>45754</v>
      </c>
      <c r="M431" s="1">
        <v>45968</v>
      </c>
      <c r="N431" s="2">
        <v>92.47</v>
      </c>
      <c r="O431">
        <f t="shared" si="19"/>
        <v>7</v>
      </c>
      <c r="P431" t="s">
        <v>214</v>
      </c>
      <c r="Q431" t="s">
        <v>1274</v>
      </c>
      <c r="R431" s="3">
        <v>0.7</v>
      </c>
      <c r="S431" s="2">
        <v>64.73</v>
      </c>
      <c r="T431" t="s">
        <v>293</v>
      </c>
    </row>
    <row r="432" spans="1:20" x14ac:dyDescent="0.25">
      <c r="A432">
        <v>2027859847</v>
      </c>
      <c r="B432" t="s">
        <v>759</v>
      </c>
      <c r="C432" t="s">
        <v>760</v>
      </c>
      <c r="D432" t="str">
        <f t="shared" si="20"/>
        <v>DONALD BARTRAM</v>
      </c>
      <c r="E432" t="s">
        <v>292</v>
      </c>
      <c r="F432" t="s">
        <v>293</v>
      </c>
      <c r="G432">
        <v>8307933</v>
      </c>
      <c r="H432" t="s">
        <v>112</v>
      </c>
      <c r="I432" t="s">
        <v>104</v>
      </c>
      <c r="J432" t="str">
        <f t="shared" si="18"/>
        <v>GREGORY TEIPEL</v>
      </c>
      <c r="K432" t="s">
        <v>57</v>
      </c>
      <c r="L432" s="1">
        <v>45754</v>
      </c>
      <c r="M432" s="1">
        <v>45968</v>
      </c>
      <c r="N432" s="2">
        <v>51</v>
      </c>
      <c r="O432">
        <f t="shared" si="19"/>
        <v>7</v>
      </c>
      <c r="P432" t="s">
        <v>214</v>
      </c>
      <c r="Q432" t="s">
        <v>1274</v>
      </c>
      <c r="R432" s="3">
        <v>0.7</v>
      </c>
      <c r="S432" s="2">
        <v>35.700000000000003</v>
      </c>
      <c r="T432" t="s">
        <v>293</v>
      </c>
    </row>
    <row r="433" spans="1:20" x14ac:dyDescent="0.25">
      <c r="A433">
        <v>2027862507</v>
      </c>
      <c r="B433" t="s">
        <v>761</v>
      </c>
      <c r="C433" t="s">
        <v>762</v>
      </c>
      <c r="D433" t="str">
        <f t="shared" si="20"/>
        <v>ELVIRA BORODINA</v>
      </c>
      <c r="E433" t="s">
        <v>292</v>
      </c>
      <c r="F433" t="s">
        <v>293</v>
      </c>
      <c r="G433">
        <v>8307933</v>
      </c>
      <c r="H433" t="s">
        <v>112</v>
      </c>
      <c r="I433" t="s">
        <v>104</v>
      </c>
      <c r="J433" t="str">
        <f t="shared" si="18"/>
        <v>GREGORY TEIPEL</v>
      </c>
      <c r="K433" t="s">
        <v>57</v>
      </c>
      <c r="L433" s="1">
        <v>45754</v>
      </c>
      <c r="M433" s="1">
        <v>45968</v>
      </c>
      <c r="N433" s="2">
        <v>89.52</v>
      </c>
      <c r="O433">
        <f t="shared" si="19"/>
        <v>7</v>
      </c>
      <c r="P433" t="s">
        <v>214</v>
      </c>
      <c r="Q433" t="s">
        <v>1274</v>
      </c>
      <c r="R433" s="3">
        <v>0.7</v>
      </c>
      <c r="S433" s="2">
        <v>62.66</v>
      </c>
      <c r="T433" t="s">
        <v>293</v>
      </c>
    </row>
    <row r="434" spans="1:20" x14ac:dyDescent="0.25">
      <c r="A434">
        <v>2027863480</v>
      </c>
      <c r="B434" t="s">
        <v>759</v>
      </c>
      <c r="C434" t="s">
        <v>763</v>
      </c>
      <c r="D434" t="str">
        <f t="shared" si="20"/>
        <v>BRIDGER BARTRAM</v>
      </c>
      <c r="E434" t="s">
        <v>292</v>
      </c>
      <c r="F434" t="s">
        <v>293</v>
      </c>
      <c r="G434">
        <v>8307933</v>
      </c>
      <c r="H434" t="s">
        <v>112</v>
      </c>
      <c r="I434" t="s">
        <v>104</v>
      </c>
      <c r="J434" t="str">
        <f t="shared" si="18"/>
        <v>GREGORY TEIPEL</v>
      </c>
      <c r="K434" t="s">
        <v>57</v>
      </c>
      <c r="L434" s="1">
        <v>45754</v>
      </c>
      <c r="M434" s="1">
        <v>45968</v>
      </c>
      <c r="N434" s="2">
        <v>34</v>
      </c>
      <c r="O434">
        <f t="shared" si="19"/>
        <v>7</v>
      </c>
      <c r="P434" t="s">
        <v>214</v>
      </c>
      <c r="Q434" t="s">
        <v>1274</v>
      </c>
      <c r="R434" s="3">
        <v>0.7</v>
      </c>
      <c r="S434" s="2">
        <v>23.8</v>
      </c>
      <c r="T434" t="s">
        <v>293</v>
      </c>
    </row>
    <row r="435" spans="1:20" x14ac:dyDescent="0.25">
      <c r="A435">
        <v>2027887272</v>
      </c>
      <c r="B435" t="s">
        <v>764</v>
      </c>
      <c r="C435" t="s">
        <v>81</v>
      </c>
      <c r="D435" t="str">
        <f t="shared" si="20"/>
        <v>RYAN OBERG</v>
      </c>
      <c r="E435" t="s">
        <v>292</v>
      </c>
      <c r="F435" t="s">
        <v>293</v>
      </c>
      <c r="G435">
        <v>8307933</v>
      </c>
      <c r="H435" t="s">
        <v>112</v>
      </c>
      <c r="I435" t="s">
        <v>104</v>
      </c>
      <c r="J435" t="str">
        <f t="shared" si="18"/>
        <v>GREGORY TEIPEL</v>
      </c>
      <c r="K435" t="s">
        <v>57</v>
      </c>
      <c r="L435" s="1">
        <v>45754</v>
      </c>
      <c r="M435" s="1">
        <v>45968</v>
      </c>
      <c r="N435" s="2">
        <v>34</v>
      </c>
      <c r="O435">
        <f t="shared" si="19"/>
        <v>7</v>
      </c>
      <c r="P435" t="s">
        <v>214</v>
      </c>
      <c r="Q435" t="s">
        <v>1274</v>
      </c>
      <c r="R435" s="3">
        <v>0.7</v>
      </c>
      <c r="S435" s="2">
        <v>23.8</v>
      </c>
      <c r="T435" t="s">
        <v>293</v>
      </c>
    </row>
    <row r="436" spans="1:20" x14ac:dyDescent="0.25">
      <c r="A436">
        <v>2028108469</v>
      </c>
      <c r="B436" t="s">
        <v>766</v>
      </c>
      <c r="C436" t="s">
        <v>314</v>
      </c>
      <c r="D436" t="str">
        <f t="shared" si="20"/>
        <v>CORY BLAIR</v>
      </c>
      <c r="E436" t="s">
        <v>292</v>
      </c>
      <c r="F436" t="s">
        <v>293</v>
      </c>
      <c r="G436">
        <v>8307933</v>
      </c>
      <c r="H436" t="s">
        <v>112</v>
      </c>
      <c r="I436" t="s">
        <v>104</v>
      </c>
      <c r="J436" t="str">
        <f t="shared" si="18"/>
        <v>GREGORY TEIPEL</v>
      </c>
      <c r="K436" t="s">
        <v>57</v>
      </c>
      <c r="L436" s="1">
        <v>45754</v>
      </c>
      <c r="M436" s="1">
        <v>45968</v>
      </c>
      <c r="N436" s="2">
        <v>198.36</v>
      </c>
      <c r="O436">
        <f t="shared" si="19"/>
        <v>7</v>
      </c>
      <c r="P436" t="s">
        <v>214</v>
      </c>
      <c r="Q436" t="s">
        <v>1274</v>
      </c>
      <c r="R436" s="3">
        <v>0.7</v>
      </c>
      <c r="S436" s="2">
        <v>138.85</v>
      </c>
      <c r="T436" t="s">
        <v>293</v>
      </c>
    </row>
    <row r="437" spans="1:20" x14ac:dyDescent="0.25">
      <c r="A437">
        <v>2027573958</v>
      </c>
      <c r="B437" t="s">
        <v>1005</v>
      </c>
      <c r="C437" t="s">
        <v>673</v>
      </c>
      <c r="D437" t="str">
        <f t="shared" si="20"/>
        <v>LARRY WILLIS</v>
      </c>
      <c r="E437" t="s">
        <v>292</v>
      </c>
      <c r="F437" t="s">
        <v>293</v>
      </c>
      <c r="G437">
        <v>8977234</v>
      </c>
      <c r="H437" t="s">
        <v>80</v>
      </c>
      <c r="I437" t="s">
        <v>81</v>
      </c>
      <c r="J437" t="str">
        <f t="shared" si="18"/>
        <v>RYAN CALTAGIRONE</v>
      </c>
      <c r="K437" t="s">
        <v>57</v>
      </c>
      <c r="L437" s="1">
        <v>45757</v>
      </c>
      <c r="M437" s="1">
        <v>45971</v>
      </c>
      <c r="N437" s="2">
        <v>130.27000000000001</v>
      </c>
      <c r="O437">
        <f t="shared" si="19"/>
        <v>7</v>
      </c>
      <c r="P437" t="s">
        <v>214</v>
      </c>
      <c r="Q437" t="s">
        <v>1274</v>
      </c>
      <c r="R437" s="3">
        <v>0.7</v>
      </c>
      <c r="S437" s="2">
        <v>91.19</v>
      </c>
      <c r="T437" t="s">
        <v>293</v>
      </c>
    </row>
    <row r="438" spans="1:20" x14ac:dyDescent="0.25">
      <c r="A438">
        <v>2028281047</v>
      </c>
      <c r="B438" t="s">
        <v>1020</v>
      </c>
      <c r="C438" t="s">
        <v>1021</v>
      </c>
      <c r="D438" t="str">
        <f t="shared" si="20"/>
        <v>NICOLE BOERSMA</v>
      </c>
      <c r="E438" t="s">
        <v>243</v>
      </c>
      <c r="F438" t="s">
        <v>244</v>
      </c>
      <c r="G438">
        <v>21348299</v>
      </c>
      <c r="H438" t="s">
        <v>1022</v>
      </c>
      <c r="I438" t="s">
        <v>1023</v>
      </c>
      <c r="J438" t="str">
        <f t="shared" si="18"/>
        <v>BARRY BRENNER</v>
      </c>
      <c r="K438" t="s">
        <v>57</v>
      </c>
      <c r="L438" s="1">
        <v>45755</v>
      </c>
      <c r="M438" s="1">
        <v>45969</v>
      </c>
      <c r="N438" s="2">
        <v>59.51</v>
      </c>
      <c r="O438">
        <f t="shared" si="19"/>
        <v>7</v>
      </c>
      <c r="P438" t="s">
        <v>214</v>
      </c>
      <c r="Q438" t="s">
        <v>1274</v>
      </c>
      <c r="R438" s="4">
        <v>0.375</v>
      </c>
      <c r="S438" s="2">
        <v>22.32</v>
      </c>
      <c r="T438" t="s">
        <v>244</v>
      </c>
    </row>
    <row r="439" spans="1:20" x14ac:dyDescent="0.25">
      <c r="A439">
        <v>2027763445</v>
      </c>
      <c r="B439" t="s">
        <v>413</v>
      </c>
      <c r="C439" t="s">
        <v>100</v>
      </c>
      <c r="D439" t="str">
        <f t="shared" si="20"/>
        <v>AMANDA TEMPLE</v>
      </c>
      <c r="E439" t="s">
        <v>243</v>
      </c>
      <c r="F439" t="s">
        <v>244</v>
      </c>
      <c r="G439">
        <v>17425766</v>
      </c>
      <c r="H439" t="s">
        <v>237</v>
      </c>
      <c r="I439" t="s">
        <v>238</v>
      </c>
      <c r="J439" t="str">
        <f t="shared" si="18"/>
        <v>CAROL FOLEY</v>
      </c>
      <c r="K439" t="s">
        <v>57</v>
      </c>
      <c r="L439" s="1">
        <v>45748</v>
      </c>
      <c r="M439" s="1">
        <v>45962</v>
      </c>
      <c r="N439" s="2">
        <v>57.79</v>
      </c>
      <c r="O439">
        <f t="shared" si="19"/>
        <v>7</v>
      </c>
      <c r="P439" t="s">
        <v>214</v>
      </c>
      <c r="Q439" t="s">
        <v>1274</v>
      </c>
      <c r="R439" s="4">
        <v>0.375</v>
      </c>
      <c r="S439" s="2">
        <v>21.67</v>
      </c>
      <c r="T439" t="s">
        <v>244</v>
      </c>
    </row>
    <row r="440" spans="1:20" x14ac:dyDescent="0.25">
      <c r="A440">
        <v>2027573959</v>
      </c>
      <c r="B440" t="s">
        <v>1005</v>
      </c>
      <c r="C440" t="s">
        <v>673</v>
      </c>
      <c r="D440" t="str">
        <f t="shared" si="20"/>
        <v>LARRY WILLIS</v>
      </c>
      <c r="E440" t="s">
        <v>243</v>
      </c>
      <c r="F440" t="s">
        <v>244</v>
      </c>
      <c r="G440">
        <v>8977234</v>
      </c>
      <c r="H440" t="s">
        <v>80</v>
      </c>
      <c r="I440" t="s">
        <v>81</v>
      </c>
      <c r="J440" t="str">
        <f t="shared" si="18"/>
        <v>RYAN CALTAGIRONE</v>
      </c>
      <c r="K440" t="s">
        <v>57</v>
      </c>
      <c r="L440" s="1">
        <v>45757</v>
      </c>
      <c r="M440" s="1">
        <v>45971</v>
      </c>
      <c r="N440" s="2">
        <v>23.34</v>
      </c>
      <c r="O440">
        <f t="shared" si="19"/>
        <v>7</v>
      </c>
      <c r="P440" t="s">
        <v>214</v>
      </c>
      <c r="Q440" t="s">
        <v>1274</v>
      </c>
      <c r="R440" s="4">
        <v>0.375</v>
      </c>
      <c r="S440" s="2">
        <v>8.75</v>
      </c>
      <c r="T440" t="s">
        <v>244</v>
      </c>
    </row>
    <row r="441" spans="1:20" x14ac:dyDescent="0.25">
      <c r="A441">
        <v>2027712307</v>
      </c>
      <c r="B441" t="s">
        <v>1010</v>
      </c>
      <c r="C441" t="s">
        <v>1011</v>
      </c>
      <c r="D441" t="str">
        <f t="shared" si="20"/>
        <v>WILLIE ANDERSON</v>
      </c>
      <c r="E441" t="s">
        <v>292</v>
      </c>
      <c r="F441" t="s">
        <v>295</v>
      </c>
      <c r="G441">
        <v>8307933</v>
      </c>
      <c r="H441" t="s">
        <v>112</v>
      </c>
      <c r="I441" t="s">
        <v>104</v>
      </c>
      <c r="J441" t="str">
        <f t="shared" si="18"/>
        <v>GREGORY TEIPEL</v>
      </c>
      <c r="K441" t="s">
        <v>57</v>
      </c>
      <c r="L441" s="1">
        <v>45727</v>
      </c>
      <c r="M441" s="1">
        <v>45941</v>
      </c>
      <c r="N441" s="2">
        <v>123.44</v>
      </c>
      <c r="O441">
        <f t="shared" si="19"/>
        <v>7</v>
      </c>
      <c r="P441" t="s">
        <v>214</v>
      </c>
      <c r="Q441" t="s">
        <v>1274</v>
      </c>
      <c r="R441" s="3">
        <v>0.9</v>
      </c>
      <c r="S441" s="2">
        <v>111.1</v>
      </c>
      <c r="T441" t="s">
        <v>295</v>
      </c>
    </row>
    <row r="442" spans="1:20" x14ac:dyDescent="0.25">
      <c r="A442">
        <v>2027859846</v>
      </c>
      <c r="B442" t="s">
        <v>759</v>
      </c>
      <c r="C442" t="s">
        <v>760</v>
      </c>
      <c r="D442" t="str">
        <f t="shared" si="20"/>
        <v>DONALD BARTRAM</v>
      </c>
      <c r="E442" t="s">
        <v>292</v>
      </c>
      <c r="F442" t="s">
        <v>295</v>
      </c>
      <c r="G442">
        <v>8307933</v>
      </c>
      <c r="H442" t="s">
        <v>112</v>
      </c>
      <c r="I442" t="s">
        <v>104</v>
      </c>
      <c r="J442" t="str">
        <f t="shared" si="18"/>
        <v>GREGORY TEIPEL</v>
      </c>
      <c r="K442" t="s">
        <v>57</v>
      </c>
      <c r="L442" s="1">
        <v>45754</v>
      </c>
      <c r="M442" s="1">
        <v>45968</v>
      </c>
      <c r="N442" s="2">
        <v>248.92</v>
      </c>
      <c r="O442">
        <f t="shared" si="19"/>
        <v>7</v>
      </c>
      <c r="P442" t="s">
        <v>214</v>
      </c>
      <c r="Q442" t="s">
        <v>1274</v>
      </c>
      <c r="R442" s="3">
        <v>0.9</v>
      </c>
      <c r="S442" s="2">
        <v>224.03</v>
      </c>
      <c r="T442" t="s">
        <v>295</v>
      </c>
    </row>
    <row r="443" spans="1:20" x14ac:dyDescent="0.25">
      <c r="A443">
        <v>2027863479</v>
      </c>
      <c r="B443" t="s">
        <v>759</v>
      </c>
      <c r="C443" t="s">
        <v>763</v>
      </c>
      <c r="D443" t="str">
        <f t="shared" si="20"/>
        <v>BRIDGER BARTRAM</v>
      </c>
      <c r="E443" t="s">
        <v>292</v>
      </c>
      <c r="F443" t="s">
        <v>295</v>
      </c>
      <c r="G443">
        <v>8307933</v>
      </c>
      <c r="H443" t="s">
        <v>112</v>
      </c>
      <c r="I443" t="s">
        <v>104</v>
      </c>
      <c r="J443" t="str">
        <f t="shared" si="18"/>
        <v>GREGORY TEIPEL</v>
      </c>
      <c r="K443" t="s">
        <v>57</v>
      </c>
      <c r="L443" s="1">
        <v>45754</v>
      </c>
      <c r="M443" s="1">
        <v>45968</v>
      </c>
      <c r="N443" s="2">
        <v>26.25</v>
      </c>
      <c r="O443">
        <f t="shared" si="19"/>
        <v>7</v>
      </c>
      <c r="P443" t="s">
        <v>214</v>
      </c>
      <c r="Q443" t="s">
        <v>1274</v>
      </c>
      <c r="R443" s="3">
        <v>0.9</v>
      </c>
      <c r="S443" s="2">
        <v>23.62</v>
      </c>
      <c r="T443" t="s">
        <v>295</v>
      </c>
    </row>
    <row r="444" spans="1:20" x14ac:dyDescent="0.25">
      <c r="A444">
        <v>2027887271</v>
      </c>
      <c r="B444" t="s">
        <v>764</v>
      </c>
      <c r="C444" t="s">
        <v>81</v>
      </c>
      <c r="D444" t="str">
        <f t="shared" si="20"/>
        <v>RYAN OBERG</v>
      </c>
      <c r="E444" t="s">
        <v>292</v>
      </c>
      <c r="F444" t="s">
        <v>295</v>
      </c>
      <c r="G444">
        <v>8307933</v>
      </c>
      <c r="H444" t="s">
        <v>112</v>
      </c>
      <c r="I444" t="s">
        <v>104</v>
      </c>
      <c r="J444" t="str">
        <f t="shared" si="18"/>
        <v>GREGORY TEIPEL</v>
      </c>
      <c r="K444" t="s">
        <v>57</v>
      </c>
      <c r="L444" s="1">
        <v>45754</v>
      </c>
      <c r="M444" s="1">
        <v>45968</v>
      </c>
      <c r="N444" s="2">
        <v>35.46</v>
      </c>
      <c r="O444">
        <f t="shared" si="19"/>
        <v>7</v>
      </c>
      <c r="P444" t="s">
        <v>214</v>
      </c>
      <c r="Q444" t="s">
        <v>1274</v>
      </c>
      <c r="R444" s="3">
        <v>0.9</v>
      </c>
      <c r="S444" s="2">
        <v>31.91</v>
      </c>
      <c r="T444" t="s">
        <v>295</v>
      </c>
    </row>
    <row r="445" spans="1:20" x14ac:dyDescent="0.25">
      <c r="A445">
        <v>2026646040</v>
      </c>
      <c r="B445" t="s">
        <v>511</v>
      </c>
      <c r="C445" t="s">
        <v>512</v>
      </c>
      <c r="D445" t="str">
        <f t="shared" si="20"/>
        <v>NEAL BIEBER</v>
      </c>
      <c r="E445" t="s">
        <v>467</v>
      </c>
      <c r="F445" t="s">
        <v>505</v>
      </c>
      <c r="G445">
        <v>18134413</v>
      </c>
      <c r="H445" t="s">
        <v>479</v>
      </c>
      <c r="I445" t="s">
        <v>480</v>
      </c>
      <c r="J445" t="str">
        <f t="shared" si="18"/>
        <v>LORI TUNSTALL</v>
      </c>
      <c r="K445" t="s">
        <v>57</v>
      </c>
      <c r="L445" s="1">
        <v>45717</v>
      </c>
      <c r="M445" s="1">
        <v>45962</v>
      </c>
      <c r="N445" s="2">
        <v>8.7899999999999991</v>
      </c>
      <c r="O445">
        <f t="shared" si="19"/>
        <v>8</v>
      </c>
      <c r="P445" t="s">
        <v>214</v>
      </c>
      <c r="Q445" t="s">
        <v>1274</v>
      </c>
      <c r="R445" s="3">
        <v>0.04</v>
      </c>
      <c r="S445" s="2">
        <v>8.7899999999999991</v>
      </c>
      <c r="T445" t="s">
        <v>1269</v>
      </c>
    </row>
    <row r="446" spans="1:20" x14ac:dyDescent="0.25">
      <c r="A446">
        <v>2026970603</v>
      </c>
      <c r="B446" t="s">
        <v>188</v>
      </c>
      <c r="C446" t="s">
        <v>571</v>
      </c>
      <c r="D446" t="str">
        <f t="shared" si="20"/>
        <v>TRACY LEE</v>
      </c>
      <c r="E446" t="s">
        <v>89</v>
      </c>
      <c r="F446" t="s">
        <v>111</v>
      </c>
      <c r="G446">
        <v>8307933</v>
      </c>
      <c r="H446" t="s">
        <v>112</v>
      </c>
      <c r="I446" t="s">
        <v>104</v>
      </c>
      <c r="J446" t="str">
        <f t="shared" si="18"/>
        <v>GREGORY TEIPEL</v>
      </c>
      <c r="K446" t="s">
        <v>57</v>
      </c>
      <c r="L446" s="1">
        <v>45723</v>
      </c>
      <c r="M446" s="1">
        <v>45968</v>
      </c>
      <c r="N446" s="2">
        <v>132.5</v>
      </c>
      <c r="O446">
        <f t="shared" si="19"/>
        <v>8</v>
      </c>
      <c r="P446" t="s">
        <v>214</v>
      </c>
      <c r="Q446" t="s">
        <v>1274</v>
      </c>
      <c r="R446" s="3">
        <v>0.75</v>
      </c>
      <c r="S446" s="2">
        <v>99.38</v>
      </c>
      <c r="T446" t="s">
        <v>1257</v>
      </c>
    </row>
    <row r="447" spans="1:20" x14ac:dyDescent="0.25">
      <c r="A447">
        <v>2027235546</v>
      </c>
      <c r="B447" t="s">
        <v>752</v>
      </c>
      <c r="C447" t="s">
        <v>753</v>
      </c>
      <c r="D447" t="str">
        <f t="shared" si="20"/>
        <v>TROY CUPPLES</v>
      </c>
      <c r="E447" t="s">
        <v>89</v>
      </c>
      <c r="F447" t="s">
        <v>111</v>
      </c>
      <c r="G447">
        <v>8307933</v>
      </c>
      <c r="H447" t="s">
        <v>112</v>
      </c>
      <c r="I447" t="s">
        <v>104</v>
      </c>
      <c r="J447" t="str">
        <f t="shared" si="18"/>
        <v>GREGORY TEIPEL</v>
      </c>
      <c r="K447" t="s">
        <v>57</v>
      </c>
      <c r="L447" s="1">
        <v>45723</v>
      </c>
      <c r="M447" s="1">
        <v>45968</v>
      </c>
      <c r="N447" s="2">
        <v>107.07</v>
      </c>
      <c r="O447">
        <f t="shared" si="19"/>
        <v>8</v>
      </c>
      <c r="P447" t="s">
        <v>214</v>
      </c>
      <c r="Q447" t="s">
        <v>1274</v>
      </c>
      <c r="R447" s="3">
        <v>0.75</v>
      </c>
      <c r="S447" s="2">
        <v>80.3</v>
      </c>
      <c r="T447" t="s">
        <v>1257</v>
      </c>
    </row>
    <row r="448" spans="1:20" x14ac:dyDescent="0.25">
      <c r="A448">
        <v>2027298069</v>
      </c>
      <c r="B448" t="s">
        <v>754</v>
      </c>
      <c r="C448" t="s">
        <v>755</v>
      </c>
      <c r="D448" t="str">
        <f t="shared" si="20"/>
        <v>TYSON OWEN</v>
      </c>
      <c r="E448" t="s">
        <v>89</v>
      </c>
      <c r="F448" t="s">
        <v>111</v>
      </c>
      <c r="G448">
        <v>8307933</v>
      </c>
      <c r="H448" t="s">
        <v>112</v>
      </c>
      <c r="I448" t="s">
        <v>104</v>
      </c>
      <c r="J448" t="str">
        <f t="shared" si="18"/>
        <v>GREGORY TEIPEL</v>
      </c>
      <c r="K448" t="s">
        <v>57</v>
      </c>
      <c r="L448" s="1">
        <v>45723</v>
      </c>
      <c r="M448" s="1">
        <v>45968</v>
      </c>
      <c r="N448" s="2">
        <v>45.28</v>
      </c>
      <c r="O448">
        <f t="shared" si="19"/>
        <v>8</v>
      </c>
      <c r="P448" t="s">
        <v>214</v>
      </c>
      <c r="Q448" t="s">
        <v>1274</v>
      </c>
      <c r="R448" s="3">
        <v>0.75</v>
      </c>
      <c r="S448" s="2">
        <v>33.96</v>
      </c>
      <c r="T448" t="s">
        <v>1257</v>
      </c>
    </row>
    <row r="449" spans="1:20" x14ac:dyDescent="0.25">
      <c r="A449">
        <v>2027429540</v>
      </c>
      <c r="B449" t="s">
        <v>757</v>
      </c>
      <c r="C449" t="s">
        <v>527</v>
      </c>
      <c r="D449" t="str">
        <f t="shared" si="20"/>
        <v>STEPHEN NARRELL</v>
      </c>
      <c r="E449" t="s">
        <v>89</v>
      </c>
      <c r="F449" t="s">
        <v>111</v>
      </c>
      <c r="G449">
        <v>8307933</v>
      </c>
      <c r="H449" t="s">
        <v>112</v>
      </c>
      <c r="I449" t="s">
        <v>104</v>
      </c>
      <c r="J449" t="str">
        <f t="shared" si="18"/>
        <v>GREGORY TEIPEL</v>
      </c>
      <c r="K449" t="s">
        <v>57</v>
      </c>
      <c r="L449" s="1">
        <v>45723</v>
      </c>
      <c r="M449" s="1">
        <v>45968</v>
      </c>
      <c r="N449" s="2">
        <v>161.83000000000001</v>
      </c>
      <c r="O449">
        <f t="shared" si="19"/>
        <v>8</v>
      </c>
      <c r="P449" t="s">
        <v>214</v>
      </c>
      <c r="Q449" t="s">
        <v>1274</v>
      </c>
      <c r="R449" s="3">
        <v>0.75</v>
      </c>
      <c r="S449" s="2">
        <v>121.37</v>
      </c>
      <c r="T449" t="s">
        <v>1257</v>
      </c>
    </row>
    <row r="450" spans="1:20" x14ac:dyDescent="0.25">
      <c r="A450">
        <v>2027482814</v>
      </c>
      <c r="B450" t="s">
        <v>758</v>
      </c>
      <c r="C450" t="s">
        <v>224</v>
      </c>
      <c r="D450" t="str">
        <f t="shared" si="20"/>
        <v>JAMES BENNETT</v>
      </c>
      <c r="E450" t="s">
        <v>89</v>
      </c>
      <c r="F450" t="s">
        <v>111</v>
      </c>
      <c r="G450">
        <v>8307933</v>
      </c>
      <c r="H450" t="s">
        <v>112</v>
      </c>
      <c r="I450" t="s">
        <v>104</v>
      </c>
      <c r="J450" t="str">
        <f t="shared" ref="J450:J513" si="21">CONCATENATE(I450, " ",H450)</f>
        <v>GREGORY TEIPEL</v>
      </c>
      <c r="K450" t="s">
        <v>57</v>
      </c>
      <c r="L450" s="1">
        <v>45723</v>
      </c>
      <c r="M450" s="1">
        <v>45968</v>
      </c>
      <c r="N450" s="2">
        <v>28.75</v>
      </c>
      <c r="O450">
        <f t="shared" ref="O450:O513" si="22">DATEDIF(L450,M450,"M")</f>
        <v>8</v>
      </c>
      <c r="P450" t="s">
        <v>214</v>
      </c>
      <c r="Q450" t="s">
        <v>1274</v>
      </c>
      <c r="R450" s="3">
        <v>0.75</v>
      </c>
      <c r="S450" s="2">
        <v>21.56</v>
      </c>
      <c r="T450" t="s">
        <v>1257</v>
      </c>
    </row>
    <row r="451" spans="1:20" x14ac:dyDescent="0.25">
      <c r="A451">
        <v>2027175182</v>
      </c>
      <c r="B451" t="s">
        <v>1182</v>
      </c>
      <c r="C451" t="s">
        <v>569</v>
      </c>
      <c r="D451" t="str">
        <f t="shared" ref="D451:D514" si="23">CONCATENATE(C451, " ",B451)</f>
        <v>KIMBERLY LAUFF</v>
      </c>
      <c r="E451" t="s">
        <v>350</v>
      </c>
      <c r="F451" t="s">
        <v>351</v>
      </c>
      <c r="G451" t="s">
        <v>1261</v>
      </c>
      <c r="H451" t="s">
        <v>352</v>
      </c>
      <c r="I451" t="s">
        <v>353</v>
      </c>
      <c r="J451" t="str">
        <f t="shared" si="21"/>
        <v>DEBORAH INSKIPT</v>
      </c>
      <c r="K451" t="s">
        <v>57</v>
      </c>
      <c r="L451" s="1">
        <v>45717</v>
      </c>
      <c r="M451" s="1">
        <v>45962</v>
      </c>
      <c r="N451" s="2">
        <v>43.59</v>
      </c>
      <c r="O451">
        <f t="shared" si="22"/>
        <v>8</v>
      </c>
      <c r="P451" t="s">
        <v>214</v>
      </c>
      <c r="Q451" t="s">
        <v>1274</v>
      </c>
      <c r="R451" s="3">
        <v>0.47</v>
      </c>
      <c r="S451" s="2">
        <v>20.49</v>
      </c>
      <c r="T451" t="s">
        <v>351</v>
      </c>
    </row>
    <row r="452" spans="1:20" x14ac:dyDescent="0.25">
      <c r="A452">
        <v>2027380471</v>
      </c>
      <c r="B452" t="s">
        <v>1001</v>
      </c>
      <c r="C452" t="s">
        <v>1002</v>
      </c>
      <c r="D452" t="str">
        <f t="shared" si="23"/>
        <v>ALDWIN AUSTIN</v>
      </c>
      <c r="E452" t="s">
        <v>292</v>
      </c>
      <c r="F452" t="s">
        <v>293</v>
      </c>
      <c r="G452">
        <v>21435997</v>
      </c>
      <c r="H452" t="s">
        <v>269</v>
      </c>
      <c r="I452" t="s">
        <v>270</v>
      </c>
      <c r="J452" t="str">
        <f t="shared" si="21"/>
        <v>Christopher Brousseau</v>
      </c>
      <c r="K452" t="s">
        <v>57</v>
      </c>
      <c r="L452" s="1">
        <v>45723</v>
      </c>
      <c r="M452" s="1">
        <v>45968</v>
      </c>
      <c r="N452" s="2">
        <v>11.5</v>
      </c>
      <c r="O452">
        <f t="shared" si="22"/>
        <v>8</v>
      </c>
      <c r="P452" t="s">
        <v>214</v>
      </c>
      <c r="Q452" t="s">
        <v>1274</v>
      </c>
      <c r="R452" s="3">
        <v>0.7</v>
      </c>
      <c r="S452" s="2">
        <v>8.0500000000000007</v>
      </c>
      <c r="T452" t="s">
        <v>293</v>
      </c>
    </row>
    <row r="453" spans="1:20" x14ac:dyDescent="0.25">
      <c r="A453">
        <v>2027235545</v>
      </c>
      <c r="B453" t="s">
        <v>752</v>
      </c>
      <c r="C453" t="s">
        <v>753</v>
      </c>
      <c r="D453" t="str">
        <f t="shared" si="23"/>
        <v>TROY CUPPLES</v>
      </c>
      <c r="E453" t="s">
        <v>292</v>
      </c>
      <c r="F453" t="s">
        <v>293</v>
      </c>
      <c r="G453">
        <v>8307933</v>
      </c>
      <c r="H453" t="s">
        <v>112</v>
      </c>
      <c r="I453" t="s">
        <v>104</v>
      </c>
      <c r="J453" t="str">
        <f t="shared" si="21"/>
        <v>GREGORY TEIPEL</v>
      </c>
      <c r="K453" t="s">
        <v>57</v>
      </c>
      <c r="L453" s="1">
        <v>45723</v>
      </c>
      <c r="M453" s="1">
        <v>45968</v>
      </c>
      <c r="N453" s="2">
        <v>122.53</v>
      </c>
      <c r="O453">
        <f t="shared" si="22"/>
        <v>8</v>
      </c>
      <c r="P453" t="s">
        <v>214</v>
      </c>
      <c r="Q453" t="s">
        <v>1274</v>
      </c>
      <c r="R453" s="3">
        <v>0.7</v>
      </c>
      <c r="S453" s="2">
        <v>85.77</v>
      </c>
      <c r="T453" t="s">
        <v>293</v>
      </c>
    </row>
    <row r="454" spans="1:20" x14ac:dyDescent="0.25">
      <c r="A454">
        <v>2027298067</v>
      </c>
      <c r="B454" t="s">
        <v>754</v>
      </c>
      <c r="C454" t="s">
        <v>755</v>
      </c>
      <c r="D454" t="str">
        <f t="shared" si="23"/>
        <v>TYSON OWEN</v>
      </c>
      <c r="E454" t="s">
        <v>292</v>
      </c>
      <c r="F454" t="s">
        <v>293</v>
      </c>
      <c r="G454">
        <v>8307933</v>
      </c>
      <c r="H454" t="s">
        <v>112</v>
      </c>
      <c r="I454" t="s">
        <v>104</v>
      </c>
      <c r="J454" t="str">
        <f t="shared" si="21"/>
        <v>GREGORY TEIPEL</v>
      </c>
      <c r="K454" t="s">
        <v>57</v>
      </c>
      <c r="L454" s="1">
        <v>45723</v>
      </c>
      <c r="M454" s="1">
        <v>45968</v>
      </c>
      <c r="N454" s="2">
        <v>73.56</v>
      </c>
      <c r="O454">
        <f t="shared" si="22"/>
        <v>8</v>
      </c>
      <c r="P454" t="s">
        <v>214</v>
      </c>
      <c r="Q454" t="s">
        <v>1274</v>
      </c>
      <c r="R454" s="3">
        <v>0.7</v>
      </c>
      <c r="S454" s="2">
        <v>51.49</v>
      </c>
      <c r="T454" t="s">
        <v>293</v>
      </c>
    </row>
    <row r="455" spans="1:20" x14ac:dyDescent="0.25">
      <c r="A455">
        <v>2027429539</v>
      </c>
      <c r="B455" t="s">
        <v>757</v>
      </c>
      <c r="C455" t="s">
        <v>527</v>
      </c>
      <c r="D455" t="str">
        <f t="shared" si="23"/>
        <v>STEPHEN NARRELL</v>
      </c>
      <c r="E455" t="s">
        <v>292</v>
      </c>
      <c r="F455" t="s">
        <v>293</v>
      </c>
      <c r="G455">
        <v>8307933</v>
      </c>
      <c r="H455" t="s">
        <v>112</v>
      </c>
      <c r="I455" t="s">
        <v>104</v>
      </c>
      <c r="J455" t="str">
        <f t="shared" si="21"/>
        <v>GREGORY TEIPEL</v>
      </c>
      <c r="K455" t="s">
        <v>57</v>
      </c>
      <c r="L455" s="1">
        <v>45723</v>
      </c>
      <c r="M455" s="1">
        <v>45968</v>
      </c>
      <c r="N455" s="2">
        <v>161.30000000000001</v>
      </c>
      <c r="O455">
        <f t="shared" si="22"/>
        <v>8</v>
      </c>
      <c r="P455" t="s">
        <v>214</v>
      </c>
      <c r="Q455" t="s">
        <v>1274</v>
      </c>
      <c r="R455" s="3">
        <v>0.7</v>
      </c>
      <c r="S455" s="2">
        <v>112.91</v>
      </c>
      <c r="T455" t="s">
        <v>293</v>
      </c>
    </row>
    <row r="456" spans="1:20" x14ac:dyDescent="0.25">
      <c r="A456">
        <v>2027482812</v>
      </c>
      <c r="B456" t="s">
        <v>758</v>
      </c>
      <c r="C456" t="s">
        <v>224</v>
      </c>
      <c r="D456" t="str">
        <f t="shared" si="23"/>
        <v>JAMES BENNETT</v>
      </c>
      <c r="E456" t="s">
        <v>292</v>
      </c>
      <c r="F456" t="s">
        <v>293</v>
      </c>
      <c r="G456">
        <v>8307933</v>
      </c>
      <c r="H456" t="s">
        <v>112</v>
      </c>
      <c r="I456" t="s">
        <v>104</v>
      </c>
      <c r="J456" t="str">
        <f t="shared" si="21"/>
        <v>GREGORY TEIPEL</v>
      </c>
      <c r="K456" t="s">
        <v>57</v>
      </c>
      <c r="L456" s="1">
        <v>45723</v>
      </c>
      <c r="M456" s="1">
        <v>45968</v>
      </c>
      <c r="N456" s="2">
        <v>28.73</v>
      </c>
      <c r="O456">
        <f t="shared" si="22"/>
        <v>8</v>
      </c>
      <c r="P456" t="s">
        <v>214</v>
      </c>
      <c r="Q456" t="s">
        <v>1274</v>
      </c>
      <c r="R456" s="3">
        <v>0.7</v>
      </c>
      <c r="S456" s="2">
        <v>20.11</v>
      </c>
      <c r="T456" t="s">
        <v>293</v>
      </c>
    </row>
    <row r="457" spans="1:20" x14ac:dyDescent="0.25">
      <c r="A457">
        <v>2027380470</v>
      </c>
      <c r="B457" t="s">
        <v>1001</v>
      </c>
      <c r="C457" t="s">
        <v>1002</v>
      </c>
      <c r="D457" t="str">
        <f t="shared" si="23"/>
        <v>ALDWIN AUSTIN</v>
      </c>
      <c r="E457" t="s">
        <v>243</v>
      </c>
      <c r="F457" t="s">
        <v>244</v>
      </c>
      <c r="G457">
        <v>21435997</v>
      </c>
      <c r="H457" t="s">
        <v>269</v>
      </c>
      <c r="I457" t="s">
        <v>270</v>
      </c>
      <c r="J457" t="str">
        <f t="shared" si="21"/>
        <v>Christopher Brousseau</v>
      </c>
      <c r="K457" t="s">
        <v>57</v>
      </c>
      <c r="L457" s="1">
        <v>45723</v>
      </c>
      <c r="M457" s="1">
        <v>45968</v>
      </c>
      <c r="N457" s="2">
        <v>60.3</v>
      </c>
      <c r="O457">
        <f t="shared" si="22"/>
        <v>8</v>
      </c>
      <c r="P457" t="s">
        <v>214</v>
      </c>
      <c r="Q457" t="s">
        <v>1274</v>
      </c>
      <c r="R457" s="4">
        <v>0.375</v>
      </c>
      <c r="S457" s="2">
        <v>22.61</v>
      </c>
      <c r="T457" t="s">
        <v>244</v>
      </c>
    </row>
    <row r="458" spans="1:20" x14ac:dyDescent="0.25">
      <c r="A458">
        <v>2027482811</v>
      </c>
      <c r="B458" t="s">
        <v>758</v>
      </c>
      <c r="C458" t="s">
        <v>224</v>
      </c>
      <c r="D458" t="str">
        <f t="shared" si="23"/>
        <v>JAMES BENNETT</v>
      </c>
      <c r="E458" t="s">
        <v>243</v>
      </c>
      <c r="F458" t="s">
        <v>244</v>
      </c>
      <c r="G458">
        <v>8307933</v>
      </c>
      <c r="H458" t="s">
        <v>112</v>
      </c>
      <c r="I458" t="s">
        <v>104</v>
      </c>
      <c r="J458" t="str">
        <f t="shared" si="21"/>
        <v>GREGORY TEIPEL</v>
      </c>
      <c r="K458" t="s">
        <v>57</v>
      </c>
      <c r="L458" s="1">
        <v>45723</v>
      </c>
      <c r="M458" s="1">
        <v>45968</v>
      </c>
      <c r="N458" s="2">
        <v>40.1</v>
      </c>
      <c r="O458">
        <f t="shared" si="22"/>
        <v>8</v>
      </c>
      <c r="P458" t="s">
        <v>214</v>
      </c>
      <c r="Q458" t="s">
        <v>1274</v>
      </c>
      <c r="R458" s="4">
        <v>0.375</v>
      </c>
      <c r="S458" s="2">
        <v>15.04</v>
      </c>
      <c r="T458" t="s">
        <v>244</v>
      </c>
    </row>
    <row r="459" spans="1:20" x14ac:dyDescent="0.25">
      <c r="A459">
        <v>2027545460</v>
      </c>
      <c r="B459" t="s">
        <v>1003</v>
      </c>
      <c r="C459" t="s">
        <v>1004</v>
      </c>
      <c r="D459" t="str">
        <f t="shared" si="23"/>
        <v>FRANCHESCA GATZ</v>
      </c>
      <c r="E459" t="s">
        <v>243</v>
      </c>
      <c r="F459" t="s">
        <v>244</v>
      </c>
      <c r="G459">
        <v>8307933</v>
      </c>
      <c r="H459" t="s">
        <v>112</v>
      </c>
      <c r="I459" t="s">
        <v>104</v>
      </c>
      <c r="J459" t="str">
        <f t="shared" si="21"/>
        <v>GREGORY TEIPEL</v>
      </c>
      <c r="K459" t="s">
        <v>57</v>
      </c>
      <c r="L459" s="1">
        <v>45723</v>
      </c>
      <c r="M459" s="1">
        <v>45968</v>
      </c>
      <c r="N459" s="2">
        <v>48.61</v>
      </c>
      <c r="O459">
        <f t="shared" si="22"/>
        <v>8</v>
      </c>
      <c r="P459" t="s">
        <v>214</v>
      </c>
      <c r="Q459" t="s">
        <v>1274</v>
      </c>
      <c r="R459" s="4">
        <v>0.375</v>
      </c>
      <c r="S459" s="2">
        <v>18.23</v>
      </c>
      <c r="T459" t="s">
        <v>244</v>
      </c>
    </row>
    <row r="460" spans="1:20" x14ac:dyDescent="0.25">
      <c r="A460">
        <v>2026970604</v>
      </c>
      <c r="B460" t="s">
        <v>188</v>
      </c>
      <c r="C460" t="s">
        <v>571</v>
      </c>
      <c r="D460" t="str">
        <f t="shared" si="23"/>
        <v>TRACY LEE</v>
      </c>
      <c r="E460" t="s">
        <v>292</v>
      </c>
      <c r="F460" t="s">
        <v>295</v>
      </c>
      <c r="G460">
        <v>8307933</v>
      </c>
      <c r="H460" t="s">
        <v>112</v>
      </c>
      <c r="I460" t="s">
        <v>104</v>
      </c>
      <c r="J460" t="str">
        <f t="shared" si="21"/>
        <v>GREGORY TEIPEL</v>
      </c>
      <c r="K460" t="s">
        <v>57</v>
      </c>
      <c r="L460" s="1">
        <v>45723</v>
      </c>
      <c r="M460" s="1">
        <v>45968</v>
      </c>
      <c r="N460" s="2">
        <v>99.25</v>
      </c>
      <c r="O460">
        <f t="shared" si="22"/>
        <v>8</v>
      </c>
      <c r="P460" t="s">
        <v>214</v>
      </c>
      <c r="Q460" t="s">
        <v>1274</v>
      </c>
      <c r="R460" s="3">
        <v>0.9</v>
      </c>
      <c r="S460" s="2">
        <v>89.32</v>
      </c>
      <c r="T460" t="s">
        <v>295</v>
      </c>
    </row>
    <row r="461" spans="1:20" x14ac:dyDescent="0.25">
      <c r="A461">
        <v>2027298068</v>
      </c>
      <c r="B461" t="s">
        <v>754</v>
      </c>
      <c r="C461" t="s">
        <v>755</v>
      </c>
      <c r="D461" t="str">
        <f t="shared" si="23"/>
        <v>TYSON OWEN</v>
      </c>
      <c r="E461" t="s">
        <v>292</v>
      </c>
      <c r="F461" t="s">
        <v>295</v>
      </c>
      <c r="G461">
        <v>8307933</v>
      </c>
      <c r="H461" t="s">
        <v>112</v>
      </c>
      <c r="I461" t="s">
        <v>104</v>
      </c>
      <c r="J461" t="str">
        <f t="shared" si="21"/>
        <v>GREGORY TEIPEL</v>
      </c>
      <c r="K461" t="s">
        <v>57</v>
      </c>
      <c r="L461" s="1">
        <v>45723</v>
      </c>
      <c r="M461" s="1">
        <v>45968</v>
      </c>
      <c r="N461" s="2">
        <v>64.92</v>
      </c>
      <c r="O461">
        <f t="shared" si="22"/>
        <v>8</v>
      </c>
      <c r="P461" t="s">
        <v>214</v>
      </c>
      <c r="Q461" t="s">
        <v>1274</v>
      </c>
      <c r="R461" s="3">
        <v>0.9</v>
      </c>
      <c r="S461" s="2">
        <v>58.43</v>
      </c>
      <c r="T461" t="s">
        <v>295</v>
      </c>
    </row>
    <row r="462" spans="1:20" x14ac:dyDescent="0.25">
      <c r="A462">
        <v>2027482813</v>
      </c>
      <c r="B462" t="s">
        <v>758</v>
      </c>
      <c r="C462" t="s">
        <v>224</v>
      </c>
      <c r="D462" t="str">
        <f t="shared" si="23"/>
        <v>JAMES BENNETT</v>
      </c>
      <c r="E462" t="s">
        <v>292</v>
      </c>
      <c r="F462" t="s">
        <v>295</v>
      </c>
      <c r="G462">
        <v>8307933</v>
      </c>
      <c r="H462" t="s">
        <v>112</v>
      </c>
      <c r="I462" t="s">
        <v>104</v>
      </c>
      <c r="J462" t="str">
        <f t="shared" si="21"/>
        <v>GREGORY TEIPEL</v>
      </c>
      <c r="K462" t="s">
        <v>57</v>
      </c>
      <c r="L462" s="1">
        <v>45723</v>
      </c>
      <c r="M462" s="1">
        <v>45968</v>
      </c>
      <c r="N462" s="2">
        <v>29.25</v>
      </c>
      <c r="O462">
        <f t="shared" si="22"/>
        <v>8</v>
      </c>
      <c r="P462" t="s">
        <v>214</v>
      </c>
      <c r="Q462" t="s">
        <v>1274</v>
      </c>
      <c r="R462" s="3">
        <v>0.9</v>
      </c>
      <c r="S462" s="2">
        <v>26.32</v>
      </c>
      <c r="T462" t="s">
        <v>295</v>
      </c>
    </row>
    <row r="463" spans="1:20" x14ac:dyDescent="0.25">
      <c r="A463">
        <v>2027545459</v>
      </c>
      <c r="B463" t="s">
        <v>1003</v>
      </c>
      <c r="C463" t="s">
        <v>1004</v>
      </c>
      <c r="D463" t="str">
        <f t="shared" si="23"/>
        <v>FRANCHESCA GATZ</v>
      </c>
      <c r="E463" t="s">
        <v>292</v>
      </c>
      <c r="F463" t="s">
        <v>295</v>
      </c>
      <c r="G463">
        <v>8307933</v>
      </c>
      <c r="H463" t="s">
        <v>112</v>
      </c>
      <c r="I463" t="s">
        <v>104</v>
      </c>
      <c r="J463" t="str">
        <f t="shared" si="21"/>
        <v>GREGORY TEIPEL</v>
      </c>
      <c r="K463" t="s">
        <v>57</v>
      </c>
      <c r="L463" s="1">
        <v>45723</v>
      </c>
      <c r="M463" s="1">
        <v>45968</v>
      </c>
      <c r="N463" s="2">
        <v>25</v>
      </c>
      <c r="O463">
        <f t="shared" si="22"/>
        <v>8</v>
      </c>
      <c r="P463" t="s">
        <v>214</v>
      </c>
      <c r="Q463" t="s">
        <v>1274</v>
      </c>
      <c r="R463" s="3">
        <v>0.9</v>
      </c>
      <c r="S463" s="2">
        <v>22.5</v>
      </c>
      <c r="T463" t="s">
        <v>295</v>
      </c>
    </row>
    <row r="464" spans="1:20" x14ac:dyDescent="0.25">
      <c r="A464">
        <v>2026698497</v>
      </c>
      <c r="B464" t="s">
        <v>398</v>
      </c>
      <c r="C464" t="s">
        <v>399</v>
      </c>
      <c r="D464" t="str">
        <f t="shared" si="23"/>
        <v>LINDSAY OTT</v>
      </c>
      <c r="E464" t="s">
        <v>287</v>
      </c>
      <c r="F464" t="s">
        <v>291</v>
      </c>
      <c r="G464">
        <v>8307933</v>
      </c>
      <c r="H464" t="s">
        <v>112</v>
      </c>
      <c r="I464" t="s">
        <v>104</v>
      </c>
      <c r="J464" t="str">
        <f t="shared" si="21"/>
        <v>GREGORY TEIPEL</v>
      </c>
      <c r="K464" t="s">
        <v>57</v>
      </c>
      <c r="L464" s="1">
        <v>45695</v>
      </c>
      <c r="M464" s="1">
        <v>45968</v>
      </c>
      <c r="N464" s="2">
        <v>79.13</v>
      </c>
      <c r="O464">
        <f t="shared" si="22"/>
        <v>9</v>
      </c>
      <c r="P464" t="s">
        <v>214</v>
      </c>
      <c r="Q464" t="s">
        <v>1274</v>
      </c>
      <c r="R464" s="3">
        <v>0.38</v>
      </c>
      <c r="S464" s="2">
        <v>30.07</v>
      </c>
      <c r="T464" t="s">
        <v>291</v>
      </c>
    </row>
    <row r="465" spans="1:20" x14ac:dyDescent="0.25">
      <c r="A465">
        <v>2026119470</v>
      </c>
      <c r="B465" t="s">
        <v>284</v>
      </c>
      <c r="C465" t="s">
        <v>716</v>
      </c>
      <c r="D465" t="str">
        <f t="shared" si="23"/>
        <v>TAMBORIA THOMAS</v>
      </c>
      <c r="E465" t="s">
        <v>89</v>
      </c>
      <c r="F465" t="s">
        <v>111</v>
      </c>
      <c r="G465">
        <v>8307933</v>
      </c>
      <c r="H465" t="s">
        <v>112</v>
      </c>
      <c r="I465" t="s">
        <v>104</v>
      </c>
      <c r="J465" t="str">
        <f t="shared" si="21"/>
        <v>GREGORY TEIPEL</v>
      </c>
      <c r="K465" t="s">
        <v>57</v>
      </c>
      <c r="L465" s="1">
        <v>45664</v>
      </c>
      <c r="M465" s="1">
        <v>45937</v>
      </c>
      <c r="N465" s="2">
        <v>-19.89</v>
      </c>
      <c r="O465">
        <f t="shared" si="22"/>
        <v>9</v>
      </c>
      <c r="P465" t="s">
        <v>214</v>
      </c>
      <c r="Q465" t="s">
        <v>1274</v>
      </c>
      <c r="R465" s="3">
        <v>0.75</v>
      </c>
      <c r="S465" s="2">
        <v>-14.92</v>
      </c>
      <c r="T465" t="s">
        <v>1257</v>
      </c>
    </row>
    <row r="466" spans="1:20" x14ac:dyDescent="0.25">
      <c r="A466">
        <v>2026498048</v>
      </c>
      <c r="B466" t="s">
        <v>733</v>
      </c>
      <c r="C466" t="s">
        <v>734</v>
      </c>
      <c r="D466" t="str">
        <f t="shared" si="23"/>
        <v>YVETTE BECERRA</v>
      </c>
      <c r="E466" t="s">
        <v>89</v>
      </c>
      <c r="F466" t="s">
        <v>111</v>
      </c>
      <c r="G466">
        <v>8307933</v>
      </c>
      <c r="H466" t="s">
        <v>112</v>
      </c>
      <c r="I466" t="s">
        <v>104</v>
      </c>
      <c r="J466" t="str">
        <f t="shared" si="21"/>
        <v>GREGORY TEIPEL</v>
      </c>
      <c r="K466" t="s">
        <v>57</v>
      </c>
      <c r="L466" s="1">
        <v>45695</v>
      </c>
      <c r="M466" s="1">
        <v>45968</v>
      </c>
      <c r="N466" s="2">
        <v>160.30000000000001</v>
      </c>
      <c r="O466">
        <f t="shared" si="22"/>
        <v>9</v>
      </c>
      <c r="P466" t="s">
        <v>214</v>
      </c>
      <c r="Q466" t="s">
        <v>1274</v>
      </c>
      <c r="R466" s="3">
        <v>0.75</v>
      </c>
      <c r="S466" s="2">
        <v>120.22</v>
      </c>
      <c r="T466" t="s">
        <v>1257</v>
      </c>
    </row>
    <row r="467" spans="1:20" x14ac:dyDescent="0.25">
      <c r="A467">
        <v>2026544306</v>
      </c>
      <c r="B467" t="s">
        <v>735</v>
      </c>
      <c r="C467" t="s">
        <v>736</v>
      </c>
      <c r="D467" t="str">
        <f t="shared" si="23"/>
        <v>LARA VAUGHN</v>
      </c>
      <c r="E467" t="s">
        <v>89</v>
      </c>
      <c r="F467" t="s">
        <v>111</v>
      </c>
      <c r="G467">
        <v>8307933</v>
      </c>
      <c r="H467" t="s">
        <v>112</v>
      </c>
      <c r="I467" t="s">
        <v>104</v>
      </c>
      <c r="J467" t="str">
        <f t="shared" si="21"/>
        <v>GREGORY TEIPEL</v>
      </c>
      <c r="K467" t="s">
        <v>57</v>
      </c>
      <c r="L467" s="1">
        <v>45695</v>
      </c>
      <c r="M467" s="1">
        <v>45968</v>
      </c>
      <c r="N467" s="2">
        <v>189.31</v>
      </c>
      <c r="O467">
        <f t="shared" si="22"/>
        <v>9</v>
      </c>
      <c r="P467" t="s">
        <v>214</v>
      </c>
      <c r="Q467" t="s">
        <v>1274</v>
      </c>
      <c r="R467" s="3">
        <v>0.75</v>
      </c>
      <c r="S467" s="2">
        <v>141.97999999999999</v>
      </c>
      <c r="T467" t="s">
        <v>1257</v>
      </c>
    </row>
    <row r="468" spans="1:20" x14ac:dyDescent="0.25">
      <c r="A468">
        <v>2026599464</v>
      </c>
      <c r="B468" t="s">
        <v>737</v>
      </c>
      <c r="C468" t="s">
        <v>738</v>
      </c>
      <c r="D468" t="str">
        <f t="shared" si="23"/>
        <v>CARLOS VALENZUELA</v>
      </c>
      <c r="E468" t="s">
        <v>89</v>
      </c>
      <c r="F468" t="s">
        <v>111</v>
      </c>
      <c r="G468">
        <v>8307933</v>
      </c>
      <c r="H468" t="s">
        <v>112</v>
      </c>
      <c r="I468" t="s">
        <v>104</v>
      </c>
      <c r="J468" t="str">
        <f t="shared" si="21"/>
        <v>GREGORY TEIPEL</v>
      </c>
      <c r="K468" t="s">
        <v>57</v>
      </c>
      <c r="L468" s="1">
        <v>45695</v>
      </c>
      <c r="M468" s="1">
        <v>45968</v>
      </c>
      <c r="N468" s="2">
        <v>64.23</v>
      </c>
      <c r="O468">
        <f t="shared" si="22"/>
        <v>9</v>
      </c>
      <c r="P468" t="s">
        <v>214</v>
      </c>
      <c r="Q468" t="s">
        <v>1274</v>
      </c>
      <c r="R468" s="3">
        <v>0.75</v>
      </c>
      <c r="S468" s="2">
        <v>48.17</v>
      </c>
      <c r="T468" t="s">
        <v>1257</v>
      </c>
    </row>
    <row r="469" spans="1:20" x14ac:dyDescent="0.25">
      <c r="A469">
        <v>2026617927</v>
      </c>
      <c r="B469" t="s">
        <v>739</v>
      </c>
      <c r="C469" t="s">
        <v>740</v>
      </c>
      <c r="D469" t="str">
        <f t="shared" si="23"/>
        <v>MARY HARRIS-HERNANDEZ</v>
      </c>
      <c r="E469" t="s">
        <v>89</v>
      </c>
      <c r="F469" t="s">
        <v>111</v>
      </c>
      <c r="G469">
        <v>8307933</v>
      </c>
      <c r="H469" t="s">
        <v>112</v>
      </c>
      <c r="I469" t="s">
        <v>104</v>
      </c>
      <c r="J469" t="str">
        <f t="shared" si="21"/>
        <v>GREGORY TEIPEL</v>
      </c>
      <c r="K469" t="s">
        <v>57</v>
      </c>
      <c r="L469" s="1">
        <v>45695</v>
      </c>
      <c r="M469" s="1">
        <v>45968</v>
      </c>
      <c r="N469" s="2">
        <v>71.63</v>
      </c>
      <c r="O469">
        <f t="shared" si="22"/>
        <v>9</v>
      </c>
      <c r="P469" t="s">
        <v>214</v>
      </c>
      <c r="Q469" t="s">
        <v>1274</v>
      </c>
      <c r="R469" s="3">
        <v>0.75</v>
      </c>
      <c r="S469" s="2">
        <v>53.72</v>
      </c>
      <c r="T469" t="s">
        <v>1257</v>
      </c>
    </row>
    <row r="470" spans="1:20" x14ac:dyDescent="0.25">
      <c r="A470">
        <v>2026628668</v>
      </c>
      <c r="B470" t="s">
        <v>741</v>
      </c>
      <c r="C470" t="s">
        <v>81</v>
      </c>
      <c r="D470" t="str">
        <f t="shared" si="23"/>
        <v>RYAN HERRICK</v>
      </c>
      <c r="E470" t="s">
        <v>89</v>
      </c>
      <c r="F470" t="s">
        <v>111</v>
      </c>
      <c r="G470">
        <v>8307933</v>
      </c>
      <c r="H470" t="s">
        <v>112</v>
      </c>
      <c r="I470" t="s">
        <v>104</v>
      </c>
      <c r="J470" t="str">
        <f t="shared" si="21"/>
        <v>GREGORY TEIPEL</v>
      </c>
      <c r="K470" t="s">
        <v>57</v>
      </c>
      <c r="L470" s="1">
        <v>45695</v>
      </c>
      <c r="M470" s="1">
        <v>45968</v>
      </c>
      <c r="N470" s="2">
        <v>39.4</v>
      </c>
      <c r="O470">
        <f t="shared" si="22"/>
        <v>9</v>
      </c>
      <c r="P470" t="s">
        <v>214</v>
      </c>
      <c r="Q470" t="s">
        <v>1274</v>
      </c>
      <c r="R470" s="3">
        <v>0.75</v>
      </c>
      <c r="S470" s="2">
        <v>29.55</v>
      </c>
      <c r="T470" t="s">
        <v>1257</v>
      </c>
    </row>
    <row r="471" spans="1:20" x14ac:dyDescent="0.25">
      <c r="A471">
        <v>2026637122</v>
      </c>
      <c r="B471" t="s">
        <v>402</v>
      </c>
      <c r="C471" t="s">
        <v>94</v>
      </c>
      <c r="D471" t="str">
        <f t="shared" si="23"/>
        <v>ERIC JOHNSON</v>
      </c>
      <c r="E471" t="s">
        <v>89</v>
      </c>
      <c r="F471" t="s">
        <v>111</v>
      </c>
      <c r="G471">
        <v>8307933</v>
      </c>
      <c r="H471" t="s">
        <v>112</v>
      </c>
      <c r="I471" t="s">
        <v>104</v>
      </c>
      <c r="J471" t="str">
        <f t="shared" si="21"/>
        <v>GREGORY TEIPEL</v>
      </c>
      <c r="K471" t="s">
        <v>57</v>
      </c>
      <c r="L471" s="1">
        <v>45695</v>
      </c>
      <c r="M471" s="1">
        <v>45968</v>
      </c>
      <c r="N471" s="2">
        <v>92.48</v>
      </c>
      <c r="O471">
        <f t="shared" si="22"/>
        <v>9</v>
      </c>
      <c r="P471" t="s">
        <v>214</v>
      </c>
      <c r="Q471" t="s">
        <v>1274</v>
      </c>
      <c r="R471" s="3">
        <v>0.75</v>
      </c>
      <c r="S471" s="2">
        <v>69.36</v>
      </c>
      <c r="T471" t="s">
        <v>1257</v>
      </c>
    </row>
    <row r="472" spans="1:20" x14ac:dyDescent="0.25">
      <c r="A472">
        <v>2026655555</v>
      </c>
      <c r="B472" t="s">
        <v>742</v>
      </c>
      <c r="C472" t="s">
        <v>224</v>
      </c>
      <c r="D472" t="str">
        <f t="shared" si="23"/>
        <v>JAMES MARIS</v>
      </c>
      <c r="E472" t="s">
        <v>89</v>
      </c>
      <c r="F472" t="s">
        <v>111</v>
      </c>
      <c r="G472">
        <v>8307933</v>
      </c>
      <c r="H472" t="s">
        <v>112</v>
      </c>
      <c r="I472" t="s">
        <v>104</v>
      </c>
      <c r="J472" t="str">
        <f t="shared" si="21"/>
        <v>GREGORY TEIPEL</v>
      </c>
      <c r="K472" t="s">
        <v>57</v>
      </c>
      <c r="L472" s="1">
        <v>45695</v>
      </c>
      <c r="M472" s="1">
        <v>45968</v>
      </c>
      <c r="N472" s="2">
        <v>193.9</v>
      </c>
      <c r="O472">
        <f t="shared" si="22"/>
        <v>9</v>
      </c>
      <c r="P472" t="s">
        <v>214</v>
      </c>
      <c r="Q472" t="s">
        <v>1274</v>
      </c>
      <c r="R472" s="3">
        <v>0.75</v>
      </c>
      <c r="S472" s="2">
        <v>145.41999999999999</v>
      </c>
      <c r="T472" t="s">
        <v>1257</v>
      </c>
    </row>
    <row r="473" spans="1:20" x14ac:dyDescent="0.25">
      <c r="A473">
        <v>2026680615</v>
      </c>
      <c r="B473" t="s">
        <v>402</v>
      </c>
      <c r="C473" t="s">
        <v>743</v>
      </c>
      <c r="D473" t="str">
        <f t="shared" si="23"/>
        <v>JERRI JOHNSON</v>
      </c>
      <c r="E473" t="s">
        <v>89</v>
      </c>
      <c r="F473" t="s">
        <v>111</v>
      </c>
      <c r="G473">
        <v>8307933</v>
      </c>
      <c r="H473" t="s">
        <v>112</v>
      </c>
      <c r="I473" t="s">
        <v>104</v>
      </c>
      <c r="J473" t="str">
        <f t="shared" si="21"/>
        <v>GREGORY TEIPEL</v>
      </c>
      <c r="K473" t="s">
        <v>57</v>
      </c>
      <c r="L473" s="1">
        <v>45695</v>
      </c>
      <c r="M473" s="1">
        <v>45968</v>
      </c>
      <c r="N473" s="2">
        <v>31.75</v>
      </c>
      <c r="O473">
        <f t="shared" si="22"/>
        <v>9</v>
      </c>
      <c r="P473" t="s">
        <v>214</v>
      </c>
      <c r="Q473" t="s">
        <v>1274</v>
      </c>
      <c r="R473" s="3">
        <v>0.75</v>
      </c>
      <c r="S473" s="2">
        <v>23.81</v>
      </c>
      <c r="T473" t="s">
        <v>1257</v>
      </c>
    </row>
    <row r="474" spans="1:20" x14ac:dyDescent="0.25">
      <c r="A474">
        <v>2026682347</v>
      </c>
      <c r="B474" t="s">
        <v>744</v>
      </c>
      <c r="C474" t="s">
        <v>745</v>
      </c>
      <c r="D474" t="str">
        <f t="shared" si="23"/>
        <v>ANGELA MARKSBERRY</v>
      </c>
      <c r="E474" t="s">
        <v>89</v>
      </c>
      <c r="F474" t="s">
        <v>111</v>
      </c>
      <c r="G474">
        <v>8307933</v>
      </c>
      <c r="H474" t="s">
        <v>112</v>
      </c>
      <c r="I474" t="s">
        <v>104</v>
      </c>
      <c r="J474" t="str">
        <f t="shared" si="21"/>
        <v>GREGORY TEIPEL</v>
      </c>
      <c r="K474" t="s">
        <v>57</v>
      </c>
      <c r="L474" s="1">
        <v>45695</v>
      </c>
      <c r="M474" s="1">
        <v>45968</v>
      </c>
      <c r="N474" s="2">
        <v>21.78</v>
      </c>
      <c r="O474">
        <f t="shared" si="22"/>
        <v>9</v>
      </c>
      <c r="P474" t="s">
        <v>214</v>
      </c>
      <c r="Q474" t="s">
        <v>1274</v>
      </c>
      <c r="R474" s="3">
        <v>0.75</v>
      </c>
      <c r="S474" s="2">
        <v>16.34</v>
      </c>
      <c r="T474" t="s">
        <v>1257</v>
      </c>
    </row>
    <row r="475" spans="1:20" x14ac:dyDescent="0.25">
      <c r="A475">
        <v>2026698496</v>
      </c>
      <c r="B475" t="s">
        <v>398</v>
      </c>
      <c r="C475" t="s">
        <v>399</v>
      </c>
      <c r="D475" t="str">
        <f t="shared" si="23"/>
        <v>LINDSAY OTT</v>
      </c>
      <c r="E475" t="s">
        <v>89</v>
      </c>
      <c r="F475" t="s">
        <v>111</v>
      </c>
      <c r="G475">
        <v>8307933</v>
      </c>
      <c r="H475" t="s">
        <v>112</v>
      </c>
      <c r="I475" t="s">
        <v>104</v>
      </c>
      <c r="J475" t="str">
        <f t="shared" si="21"/>
        <v>GREGORY TEIPEL</v>
      </c>
      <c r="K475" t="s">
        <v>57</v>
      </c>
      <c r="L475" s="1">
        <v>45695</v>
      </c>
      <c r="M475" s="1">
        <v>45968</v>
      </c>
      <c r="N475" s="2">
        <v>37.979999999999997</v>
      </c>
      <c r="O475">
        <f t="shared" si="22"/>
        <v>9</v>
      </c>
      <c r="P475" t="s">
        <v>214</v>
      </c>
      <c r="Q475" t="s">
        <v>1274</v>
      </c>
      <c r="R475" s="3">
        <v>0.75</v>
      </c>
      <c r="S475" s="2">
        <v>28.48</v>
      </c>
      <c r="T475" t="s">
        <v>1257</v>
      </c>
    </row>
    <row r="476" spans="1:20" x14ac:dyDescent="0.25">
      <c r="A476">
        <v>2026832449</v>
      </c>
      <c r="B476" t="s">
        <v>97</v>
      </c>
      <c r="C476" t="s">
        <v>173</v>
      </c>
      <c r="D476" t="str">
        <f t="shared" si="23"/>
        <v>ADAM DAUGHERTY</v>
      </c>
      <c r="E476" t="s">
        <v>89</v>
      </c>
      <c r="F476" t="s">
        <v>111</v>
      </c>
      <c r="G476">
        <v>8307933</v>
      </c>
      <c r="H476" t="s">
        <v>112</v>
      </c>
      <c r="I476" t="s">
        <v>104</v>
      </c>
      <c r="J476" t="str">
        <f t="shared" si="21"/>
        <v>GREGORY TEIPEL</v>
      </c>
      <c r="K476" t="s">
        <v>57</v>
      </c>
      <c r="L476" s="1">
        <v>45695</v>
      </c>
      <c r="M476" s="1">
        <v>45968</v>
      </c>
      <c r="N476" s="2">
        <v>33.159999999999997</v>
      </c>
      <c r="O476">
        <f t="shared" si="22"/>
        <v>9</v>
      </c>
      <c r="P476" t="s">
        <v>214</v>
      </c>
      <c r="Q476" t="s">
        <v>1274</v>
      </c>
      <c r="R476" s="3">
        <v>0.75</v>
      </c>
      <c r="S476" s="2">
        <v>24.87</v>
      </c>
      <c r="T476" t="s">
        <v>1257</v>
      </c>
    </row>
    <row r="477" spans="1:20" x14ac:dyDescent="0.25">
      <c r="A477">
        <v>2026521339</v>
      </c>
      <c r="B477" t="s">
        <v>219</v>
      </c>
      <c r="C477" t="s">
        <v>100</v>
      </c>
      <c r="D477" t="str">
        <f t="shared" si="23"/>
        <v>AMANDA LEWIS</v>
      </c>
      <c r="E477" t="s">
        <v>89</v>
      </c>
      <c r="F477" t="s">
        <v>96</v>
      </c>
      <c r="G477">
        <v>8307933</v>
      </c>
      <c r="H477" t="s">
        <v>112</v>
      </c>
      <c r="I477" t="s">
        <v>104</v>
      </c>
      <c r="J477" t="str">
        <f t="shared" si="21"/>
        <v>GREGORY TEIPEL</v>
      </c>
      <c r="K477" t="s">
        <v>57</v>
      </c>
      <c r="L477" s="1">
        <v>45695</v>
      </c>
      <c r="M477" s="1">
        <v>45968</v>
      </c>
      <c r="N477" s="2">
        <v>171.34</v>
      </c>
      <c r="O477">
        <f t="shared" si="22"/>
        <v>9</v>
      </c>
      <c r="P477" t="s">
        <v>214</v>
      </c>
      <c r="Q477" t="s">
        <v>1274</v>
      </c>
      <c r="R477" s="3">
        <v>0.9</v>
      </c>
      <c r="S477" s="2">
        <v>154.21</v>
      </c>
      <c r="T477" t="s">
        <v>1259</v>
      </c>
    </row>
    <row r="478" spans="1:20" x14ac:dyDescent="0.25">
      <c r="A478">
        <v>2026683722</v>
      </c>
      <c r="B478" t="s">
        <v>678</v>
      </c>
      <c r="C478" t="s">
        <v>746</v>
      </c>
      <c r="D478" t="str">
        <f t="shared" si="23"/>
        <v>SCOTT BLACKLEDGE</v>
      </c>
      <c r="E478" t="s">
        <v>89</v>
      </c>
      <c r="F478" t="s">
        <v>96</v>
      </c>
      <c r="G478">
        <v>8307933</v>
      </c>
      <c r="H478" t="s">
        <v>112</v>
      </c>
      <c r="I478" t="s">
        <v>104</v>
      </c>
      <c r="J478" t="str">
        <f t="shared" si="21"/>
        <v>GREGORY TEIPEL</v>
      </c>
      <c r="K478" t="s">
        <v>57</v>
      </c>
      <c r="L478" s="1">
        <v>45695</v>
      </c>
      <c r="M478" s="1">
        <v>45968</v>
      </c>
      <c r="N478" s="2">
        <v>194.91</v>
      </c>
      <c r="O478">
        <f t="shared" si="22"/>
        <v>9</v>
      </c>
      <c r="P478" t="s">
        <v>214</v>
      </c>
      <c r="Q478" t="s">
        <v>1274</v>
      </c>
      <c r="R478" s="3">
        <v>0.9</v>
      </c>
      <c r="S478" s="2">
        <v>175.42</v>
      </c>
      <c r="T478" t="s">
        <v>1259</v>
      </c>
    </row>
    <row r="479" spans="1:20" x14ac:dyDescent="0.25">
      <c r="A479">
        <v>2026685116</v>
      </c>
      <c r="B479" t="s">
        <v>747</v>
      </c>
      <c r="C479" t="s">
        <v>507</v>
      </c>
      <c r="D479" t="str">
        <f t="shared" si="23"/>
        <v>DEBRA SCHAEFER</v>
      </c>
      <c r="E479" t="s">
        <v>89</v>
      </c>
      <c r="F479" t="s">
        <v>96</v>
      </c>
      <c r="G479">
        <v>8307933</v>
      </c>
      <c r="H479" t="s">
        <v>112</v>
      </c>
      <c r="I479" t="s">
        <v>104</v>
      </c>
      <c r="J479" t="str">
        <f t="shared" si="21"/>
        <v>GREGORY TEIPEL</v>
      </c>
      <c r="K479" t="s">
        <v>57</v>
      </c>
      <c r="L479" s="1">
        <v>45695</v>
      </c>
      <c r="M479" s="1">
        <v>45968</v>
      </c>
      <c r="N479" s="2">
        <v>93.13</v>
      </c>
      <c r="O479">
        <f t="shared" si="22"/>
        <v>9</v>
      </c>
      <c r="P479" t="s">
        <v>214</v>
      </c>
      <c r="Q479" t="s">
        <v>1274</v>
      </c>
      <c r="R479" s="3">
        <v>0.9</v>
      </c>
      <c r="S479" s="2">
        <v>83.82</v>
      </c>
      <c r="T479" t="s">
        <v>1259</v>
      </c>
    </row>
    <row r="480" spans="1:20" x14ac:dyDescent="0.25">
      <c r="A480">
        <v>2026844912</v>
      </c>
      <c r="B480" t="s">
        <v>748</v>
      </c>
      <c r="C480" t="s">
        <v>132</v>
      </c>
      <c r="D480" t="str">
        <f t="shared" si="23"/>
        <v>CHRISTOPHER JENKINS</v>
      </c>
      <c r="E480" t="s">
        <v>89</v>
      </c>
      <c r="F480" t="s">
        <v>96</v>
      </c>
      <c r="G480">
        <v>8307933</v>
      </c>
      <c r="H480" t="s">
        <v>112</v>
      </c>
      <c r="I480" t="s">
        <v>104</v>
      </c>
      <c r="J480" t="str">
        <f t="shared" si="21"/>
        <v>GREGORY TEIPEL</v>
      </c>
      <c r="K480" t="s">
        <v>57</v>
      </c>
      <c r="L480" s="1">
        <v>45695</v>
      </c>
      <c r="M480" s="1">
        <v>45968</v>
      </c>
      <c r="N480" s="2">
        <v>121.92</v>
      </c>
      <c r="O480">
        <f t="shared" si="22"/>
        <v>9</v>
      </c>
      <c r="P480" t="s">
        <v>214</v>
      </c>
      <c r="Q480" t="s">
        <v>1274</v>
      </c>
      <c r="R480" s="3">
        <v>0.9</v>
      </c>
      <c r="S480" s="2">
        <v>109.73</v>
      </c>
      <c r="T480" t="s">
        <v>1259</v>
      </c>
    </row>
    <row r="481" spans="1:20" x14ac:dyDescent="0.25">
      <c r="A481">
        <v>2026619726</v>
      </c>
      <c r="B481" t="s">
        <v>188</v>
      </c>
      <c r="C481" t="s">
        <v>337</v>
      </c>
      <c r="D481" t="str">
        <f t="shared" si="23"/>
        <v>ROBERT LEE</v>
      </c>
      <c r="E481" t="s">
        <v>89</v>
      </c>
      <c r="F481" t="s">
        <v>96</v>
      </c>
      <c r="G481">
        <v>1706194</v>
      </c>
      <c r="H481" t="s">
        <v>97</v>
      </c>
      <c r="I481" t="s">
        <v>98</v>
      </c>
      <c r="J481" t="str">
        <f t="shared" si="21"/>
        <v>MATTHEW DAUGHERTY</v>
      </c>
      <c r="K481" t="s">
        <v>57</v>
      </c>
      <c r="L481" s="1">
        <v>45689</v>
      </c>
      <c r="M481" s="1">
        <v>45962</v>
      </c>
      <c r="N481" s="2">
        <v>-239.84</v>
      </c>
      <c r="O481">
        <f t="shared" si="22"/>
        <v>9</v>
      </c>
      <c r="P481" t="s">
        <v>214</v>
      </c>
      <c r="Q481" t="s">
        <v>1274</v>
      </c>
      <c r="R481" s="3">
        <v>0.9</v>
      </c>
      <c r="S481" s="2">
        <v>-215.86</v>
      </c>
      <c r="T481" t="s">
        <v>1259</v>
      </c>
    </row>
    <row r="482" spans="1:20" x14ac:dyDescent="0.25">
      <c r="A482">
        <v>2026488078</v>
      </c>
      <c r="B482" t="s">
        <v>1176</v>
      </c>
      <c r="C482" t="s">
        <v>1177</v>
      </c>
      <c r="D482" t="str">
        <f t="shared" si="23"/>
        <v>BRUCE BAGGIANI</v>
      </c>
      <c r="E482" t="s">
        <v>350</v>
      </c>
      <c r="F482" t="s">
        <v>351</v>
      </c>
      <c r="G482" t="s">
        <v>1261</v>
      </c>
      <c r="H482" t="s">
        <v>352</v>
      </c>
      <c r="I482" t="s">
        <v>353</v>
      </c>
      <c r="J482" t="str">
        <f t="shared" si="21"/>
        <v>DEBORAH INSKIPT</v>
      </c>
      <c r="K482" t="s">
        <v>57</v>
      </c>
      <c r="L482" s="1">
        <v>45689</v>
      </c>
      <c r="M482" s="1">
        <v>45962</v>
      </c>
      <c r="N482" s="2">
        <v>33.590000000000003</v>
      </c>
      <c r="O482">
        <f t="shared" si="22"/>
        <v>9</v>
      </c>
      <c r="P482" t="s">
        <v>214</v>
      </c>
      <c r="Q482" t="s">
        <v>1274</v>
      </c>
      <c r="R482" s="3">
        <v>0.47</v>
      </c>
      <c r="S482" s="2">
        <v>15.79</v>
      </c>
      <c r="T482" t="s">
        <v>351</v>
      </c>
    </row>
    <row r="483" spans="1:20" x14ac:dyDescent="0.25">
      <c r="A483">
        <v>2026952797</v>
      </c>
      <c r="B483" t="s">
        <v>889</v>
      </c>
      <c r="C483" t="s">
        <v>72</v>
      </c>
      <c r="D483" t="str">
        <f t="shared" si="23"/>
        <v>JOHN STERGIOU</v>
      </c>
      <c r="E483" t="s">
        <v>292</v>
      </c>
      <c r="F483" t="s">
        <v>293</v>
      </c>
      <c r="G483">
        <v>9213293</v>
      </c>
      <c r="H483" t="s">
        <v>509</v>
      </c>
      <c r="I483" t="s">
        <v>476</v>
      </c>
      <c r="J483" t="str">
        <f t="shared" si="21"/>
        <v>GARY PORTUGAL</v>
      </c>
      <c r="K483" t="s">
        <v>57</v>
      </c>
      <c r="L483" s="1">
        <v>45693</v>
      </c>
      <c r="M483" s="1">
        <v>45966</v>
      </c>
      <c r="N483" s="2">
        <v>341.13</v>
      </c>
      <c r="O483">
        <f t="shared" si="22"/>
        <v>9</v>
      </c>
      <c r="P483" t="s">
        <v>214</v>
      </c>
      <c r="Q483" t="s">
        <v>1274</v>
      </c>
      <c r="R483" s="3">
        <v>0.7</v>
      </c>
      <c r="S483" s="2">
        <v>238.79</v>
      </c>
      <c r="T483" t="s">
        <v>293</v>
      </c>
    </row>
    <row r="484" spans="1:20" x14ac:dyDescent="0.25">
      <c r="A484">
        <v>2026521340</v>
      </c>
      <c r="B484" t="s">
        <v>219</v>
      </c>
      <c r="C484" t="s">
        <v>100</v>
      </c>
      <c r="D484" t="str">
        <f t="shared" si="23"/>
        <v>AMANDA LEWIS</v>
      </c>
      <c r="E484" t="s">
        <v>292</v>
      </c>
      <c r="F484" t="s">
        <v>293</v>
      </c>
      <c r="G484">
        <v>8307933</v>
      </c>
      <c r="H484" t="s">
        <v>112</v>
      </c>
      <c r="I484" t="s">
        <v>104</v>
      </c>
      <c r="J484" t="str">
        <f t="shared" si="21"/>
        <v>GREGORY TEIPEL</v>
      </c>
      <c r="K484" t="s">
        <v>57</v>
      </c>
      <c r="L484" s="1">
        <v>45695</v>
      </c>
      <c r="M484" s="1">
        <v>45968</v>
      </c>
      <c r="N484" s="2">
        <v>31.28</v>
      </c>
      <c r="O484">
        <f t="shared" si="22"/>
        <v>9</v>
      </c>
      <c r="P484" t="s">
        <v>214</v>
      </c>
      <c r="Q484" t="s">
        <v>1274</v>
      </c>
      <c r="R484" s="3">
        <v>0.7</v>
      </c>
      <c r="S484" s="2">
        <v>21.9</v>
      </c>
      <c r="T484" t="s">
        <v>293</v>
      </c>
    </row>
    <row r="485" spans="1:20" x14ac:dyDescent="0.25">
      <c r="A485">
        <v>2026599465</v>
      </c>
      <c r="B485" t="s">
        <v>737</v>
      </c>
      <c r="C485" t="s">
        <v>738</v>
      </c>
      <c r="D485" t="str">
        <f t="shared" si="23"/>
        <v>CARLOS VALENZUELA</v>
      </c>
      <c r="E485" t="s">
        <v>292</v>
      </c>
      <c r="F485" t="s">
        <v>293</v>
      </c>
      <c r="G485">
        <v>8307933</v>
      </c>
      <c r="H485" t="s">
        <v>112</v>
      </c>
      <c r="I485" t="s">
        <v>104</v>
      </c>
      <c r="J485" t="str">
        <f t="shared" si="21"/>
        <v>GREGORY TEIPEL</v>
      </c>
      <c r="K485" t="s">
        <v>57</v>
      </c>
      <c r="L485" s="1">
        <v>45695</v>
      </c>
      <c r="M485" s="1">
        <v>45968</v>
      </c>
      <c r="N485" s="2">
        <v>103.64</v>
      </c>
      <c r="O485">
        <f t="shared" si="22"/>
        <v>9</v>
      </c>
      <c r="P485" t="s">
        <v>214</v>
      </c>
      <c r="Q485" t="s">
        <v>1274</v>
      </c>
      <c r="R485" s="3">
        <v>0.7</v>
      </c>
      <c r="S485" s="2">
        <v>72.55</v>
      </c>
      <c r="T485" t="s">
        <v>293</v>
      </c>
    </row>
    <row r="486" spans="1:20" x14ac:dyDescent="0.25">
      <c r="A486">
        <v>2026617926</v>
      </c>
      <c r="B486" t="s">
        <v>739</v>
      </c>
      <c r="C486" t="s">
        <v>740</v>
      </c>
      <c r="D486" t="str">
        <f t="shared" si="23"/>
        <v>MARY HARRIS-HERNANDEZ</v>
      </c>
      <c r="E486" t="s">
        <v>292</v>
      </c>
      <c r="F486" t="s">
        <v>293</v>
      </c>
      <c r="G486">
        <v>8307933</v>
      </c>
      <c r="H486" t="s">
        <v>112</v>
      </c>
      <c r="I486" t="s">
        <v>104</v>
      </c>
      <c r="J486" t="str">
        <f t="shared" si="21"/>
        <v>GREGORY TEIPEL</v>
      </c>
      <c r="K486" t="s">
        <v>57</v>
      </c>
      <c r="L486" s="1">
        <v>45695</v>
      </c>
      <c r="M486" s="1">
        <v>45968</v>
      </c>
      <c r="N486" s="2">
        <v>129.22</v>
      </c>
      <c r="O486">
        <f t="shared" si="22"/>
        <v>9</v>
      </c>
      <c r="P486" t="s">
        <v>214</v>
      </c>
      <c r="Q486" t="s">
        <v>1274</v>
      </c>
      <c r="R486" s="3">
        <v>0.7</v>
      </c>
      <c r="S486" s="2">
        <v>90.45</v>
      </c>
      <c r="T486" t="s">
        <v>293</v>
      </c>
    </row>
    <row r="487" spans="1:20" x14ac:dyDescent="0.25">
      <c r="A487">
        <v>2026628666</v>
      </c>
      <c r="B487" t="s">
        <v>741</v>
      </c>
      <c r="C487" t="s">
        <v>81</v>
      </c>
      <c r="D487" t="str">
        <f t="shared" si="23"/>
        <v>RYAN HERRICK</v>
      </c>
      <c r="E487" t="s">
        <v>292</v>
      </c>
      <c r="F487" t="s">
        <v>293</v>
      </c>
      <c r="G487">
        <v>8307933</v>
      </c>
      <c r="H487" t="s">
        <v>112</v>
      </c>
      <c r="I487" t="s">
        <v>104</v>
      </c>
      <c r="J487" t="str">
        <f t="shared" si="21"/>
        <v>GREGORY TEIPEL</v>
      </c>
      <c r="K487" t="s">
        <v>57</v>
      </c>
      <c r="L487" s="1">
        <v>45695</v>
      </c>
      <c r="M487" s="1">
        <v>45968</v>
      </c>
      <c r="N487" s="2">
        <v>58.24</v>
      </c>
      <c r="O487">
        <f t="shared" si="22"/>
        <v>9</v>
      </c>
      <c r="P487" t="s">
        <v>214</v>
      </c>
      <c r="Q487" t="s">
        <v>1274</v>
      </c>
      <c r="R487" s="3">
        <v>0.7</v>
      </c>
      <c r="S487" s="2">
        <v>40.770000000000003</v>
      </c>
      <c r="T487" t="s">
        <v>293</v>
      </c>
    </row>
    <row r="488" spans="1:20" x14ac:dyDescent="0.25">
      <c r="A488">
        <v>2026655556</v>
      </c>
      <c r="B488" t="s">
        <v>742</v>
      </c>
      <c r="C488" t="s">
        <v>224</v>
      </c>
      <c r="D488" t="str">
        <f t="shared" si="23"/>
        <v>JAMES MARIS</v>
      </c>
      <c r="E488" t="s">
        <v>292</v>
      </c>
      <c r="F488" t="s">
        <v>293</v>
      </c>
      <c r="G488">
        <v>8307933</v>
      </c>
      <c r="H488" t="s">
        <v>112</v>
      </c>
      <c r="I488" t="s">
        <v>104</v>
      </c>
      <c r="J488" t="str">
        <f t="shared" si="21"/>
        <v>GREGORY TEIPEL</v>
      </c>
      <c r="K488" t="s">
        <v>57</v>
      </c>
      <c r="L488" s="1">
        <v>45695</v>
      </c>
      <c r="M488" s="1">
        <v>45968</v>
      </c>
      <c r="N488" s="2">
        <v>52</v>
      </c>
      <c r="O488">
        <f t="shared" si="22"/>
        <v>9</v>
      </c>
      <c r="P488" t="s">
        <v>214</v>
      </c>
      <c r="Q488" t="s">
        <v>1274</v>
      </c>
      <c r="R488" s="3">
        <v>0.7</v>
      </c>
      <c r="S488" s="2">
        <v>36.4</v>
      </c>
      <c r="T488" t="s">
        <v>293</v>
      </c>
    </row>
    <row r="489" spans="1:20" x14ac:dyDescent="0.25">
      <c r="A489">
        <v>2026680616</v>
      </c>
      <c r="B489" t="s">
        <v>402</v>
      </c>
      <c r="C489" t="s">
        <v>743</v>
      </c>
      <c r="D489" t="str">
        <f t="shared" si="23"/>
        <v>JERRI JOHNSON</v>
      </c>
      <c r="E489" t="s">
        <v>292</v>
      </c>
      <c r="F489" t="s">
        <v>293</v>
      </c>
      <c r="G489">
        <v>8307933</v>
      </c>
      <c r="H489" t="s">
        <v>112</v>
      </c>
      <c r="I489" t="s">
        <v>104</v>
      </c>
      <c r="J489" t="str">
        <f t="shared" si="21"/>
        <v>GREGORY TEIPEL</v>
      </c>
      <c r="K489" t="s">
        <v>57</v>
      </c>
      <c r="L489" s="1">
        <v>45695</v>
      </c>
      <c r="M489" s="1">
        <v>45968</v>
      </c>
      <c r="N489" s="2">
        <v>40.78</v>
      </c>
      <c r="O489">
        <f t="shared" si="22"/>
        <v>9</v>
      </c>
      <c r="P489" t="s">
        <v>214</v>
      </c>
      <c r="Q489" t="s">
        <v>1274</v>
      </c>
      <c r="R489" s="3">
        <v>0.7</v>
      </c>
      <c r="S489" s="2">
        <v>28.55</v>
      </c>
      <c r="T489" t="s">
        <v>293</v>
      </c>
    </row>
    <row r="490" spans="1:20" x14ac:dyDescent="0.25">
      <c r="A490">
        <v>2026682346</v>
      </c>
      <c r="B490" t="s">
        <v>744</v>
      </c>
      <c r="C490" t="s">
        <v>745</v>
      </c>
      <c r="D490" t="str">
        <f t="shared" si="23"/>
        <v>ANGELA MARKSBERRY</v>
      </c>
      <c r="E490" t="s">
        <v>292</v>
      </c>
      <c r="F490" t="s">
        <v>293</v>
      </c>
      <c r="G490">
        <v>8307933</v>
      </c>
      <c r="H490" t="s">
        <v>112</v>
      </c>
      <c r="I490" t="s">
        <v>104</v>
      </c>
      <c r="J490" t="str">
        <f t="shared" si="21"/>
        <v>GREGORY TEIPEL</v>
      </c>
      <c r="K490" t="s">
        <v>57</v>
      </c>
      <c r="L490" s="1">
        <v>45695</v>
      </c>
      <c r="M490" s="1">
        <v>45968</v>
      </c>
      <c r="N490" s="2">
        <v>58.24</v>
      </c>
      <c r="O490">
        <f t="shared" si="22"/>
        <v>9</v>
      </c>
      <c r="P490" t="s">
        <v>214</v>
      </c>
      <c r="Q490" t="s">
        <v>1274</v>
      </c>
      <c r="R490" s="3">
        <v>0.7</v>
      </c>
      <c r="S490" s="2">
        <v>40.770000000000003</v>
      </c>
      <c r="T490" t="s">
        <v>293</v>
      </c>
    </row>
    <row r="491" spans="1:20" x14ac:dyDescent="0.25">
      <c r="A491">
        <v>2026683721</v>
      </c>
      <c r="B491" t="s">
        <v>678</v>
      </c>
      <c r="C491" t="s">
        <v>746</v>
      </c>
      <c r="D491" t="str">
        <f t="shared" si="23"/>
        <v>SCOTT BLACKLEDGE</v>
      </c>
      <c r="E491" t="s">
        <v>292</v>
      </c>
      <c r="F491" t="s">
        <v>293</v>
      </c>
      <c r="G491">
        <v>8307933</v>
      </c>
      <c r="H491" t="s">
        <v>112</v>
      </c>
      <c r="I491" t="s">
        <v>104</v>
      </c>
      <c r="J491" t="str">
        <f t="shared" si="21"/>
        <v>GREGORY TEIPEL</v>
      </c>
      <c r="K491" t="s">
        <v>57</v>
      </c>
      <c r="L491" s="1">
        <v>45695</v>
      </c>
      <c r="M491" s="1">
        <v>45968</v>
      </c>
      <c r="N491" s="2">
        <v>46.72</v>
      </c>
      <c r="O491">
        <f t="shared" si="22"/>
        <v>9</v>
      </c>
      <c r="P491" t="s">
        <v>214</v>
      </c>
      <c r="Q491" t="s">
        <v>1274</v>
      </c>
      <c r="R491" s="3">
        <v>0.7</v>
      </c>
      <c r="S491" s="2">
        <v>32.700000000000003</v>
      </c>
      <c r="T491" t="s">
        <v>293</v>
      </c>
    </row>
    <row r="492" spans="1:20" x14ac:dyDescent="0.25">
      <c r="A492">
        <v>2026698495</v>
      </c>
      <c r="B492" t="s">
        <v>398</v>
      </c>
      <c r="C492" t="s">
        <v>399</v>
      </c>
      <c r="D492" t="str">
        <f t="shared" si="23"/>
        <v>LINDSAY OTT</v>
      </c>
      <c r="E492" t="s">
        <v>292</v>
      </c>
      <c r="F492" t="s">
        <v>293</v>
      </c>
      <c r="G492">
        <v>8307933</v>
      </c>
      <c r="H492" t="s">
        <v>112</v>
      </c>
      <c r="I492" t="s">
        <v>104</v>
      </c>
      <c r="J492" t="str">
        <f t="shared" si="21"/>
        <v>GREGORY TEIPEL</v>
      </c>
      <c r="K492" t="s">
        <v>57</v>
      </c>
      <c r="L492" s="1">
        <v>45695</v>
      </c>
      <c r="M492" s="1">
        <v>45968</v>
      </c>
      <c r="N492" s="2">
        <v>17.64</v>
      </c>
      <c r="O492">
        <f t="shared" si="22"/>
        <v>9</v>
      </c>
      <c r="P492" t="s">
        <v>214</v>
      </c>
      <c r="Q492" t="s">
        <v>1274</v>
      </c>
      <c r="R492" s="3">
        <v>0.7</v>
      </c>
      <c r="S492" s="2">
        <v>12.35</v>
      </c>
      <c r="T492" t="s">
        <v>293</v>
      </c>
    </row>
    <row r="493" spans="1:20" x14ac:dyDescent="0.25">
      <c r="A493">
        <v>2026733978</v>
      </c>
      <c r="B493" t="s">
        <v>882</v>
      </c>
      <c r="C493" t="s">
        <v>128</v>
      </c>
      <c r="D493" t="str">
        <f t="shared" si="23"/>
        <v>DOMINIQUE CHASE</v>
      </c>
      <c r="E493" t="s">
        <v>292</v>
      </c>
      <c r="F493" t="s">
        <v>293</v>
      </c>
      <c r="G493">
        <v>8307933</v>
      </c>
      <c r="H493" t="s">
        <v>112</v>
      </c>
      <c r="I493" t="s">
        <v>104</v>
      </c>
      <c r="J493" t="str">
        <f t="shared" si="21"/>
        <v>GREGORY TEIPEL</v>
      </c>
      <c r="K493" t="s">
        <v>57</v>
      </c>
      <c r="L493" s="1">
        <v>45695</v>
      </c>
      <c r="M493" s="1">
        <v>45968</v>
      </c>
      <c r="N493" s="2">
        <v>122.22</v>
      </c>
      <c r="O493">
        <f t="shared" si="22"/>
        <v>9</v>
      </c>
      <c r="P493" t="s">
        <v>214</v>
      </c>
      <c r="Q493" t="s">
        <v>1274</v>
      </c>
      <c r="R493" s="3">
        <v>0.7</v>
      </c>
      <c r="S493" s="2">
        <v>85.55</v>
      </c>
      <c r="T493" t="s">
        <v>293</v>
      </c>
    </row>
    <row r="494" spans="1:20" x14ac:dyDescent="0.25">
      <c r="A494">
        <v>2026737140</v>
      </c>
      <c r="B494" t="s">
        <v>883</v>
      </c>
      <c r="C494" t="s">
        <v>884</v>
      </c>
      <c r="D494" t="str">
        <f t="shared" si="23"/>
        <v>MATT ABNEY</v>
      </c>
      <c r="E494" t="s">
        <v>292</v>
      </c>
      <c r="F494" t="s">
        <v>293</v>
      </c>
      <c r="G494">
        <v>8307933</v>
      </c>
      <c r="H494" t="s">
        <v>112</v>
      </c>
      <c r="I494" t="s">
        <v>104</v>
      </c>
      <c r="J494" t="str">
        <f t="shared" si="21"/>
        <v>GREGORY TEIPEL</v>
      </c>
      <c r="K494" t="s">
        <v>57</v>
      </c>
      <c r="L494" s="1">
        <v>45695</v>
      </c>
      <c r="M494" s="1">
        <v>45968</v>
      </c>
      <c r="N494" s="2">
        <v>124.72</v>
      </c>
      <c r="O494">
        <f t="shared" si="22"/>
        <v>9</v>
      </c>
      <c r="P494" t="s">
        <v>214</v>
      </c>
      <c r="Q494" t="s">
        <v>1274</v>
      </c>
      <c r="R494" s="3">
        <v>0.7</v>
      </c>
      <c r="S494" s="2">
        <v>87.3</v>
      </c>
      <c r="T494" t="s">
        <v>293</v>
      </c>
    </row>
    <row r="495" spans="1:20" x14ac:dyDescent="0.25">
      <c r="A495">
        <v>2026807823</v>
      </c>
      <c r="B495" t="s">
        <v>123</v>
      </c>
      <c r="C495" t="s">
        <v>507</v>
      </c>
      <c r="D495" t="str">
        <f t="shared" si="23"/>
        <v>DEBRA ELLIOTT</v>
      </c>
      <c r="E495" t="s">
        <v>292</v>
      </c>
      <c r="F495" t="s">
        <v>293</v>
      </c>
      <c r="G495">
        <v>8307933</v>
      </c>
      <c r="H495" t="s">
        <v>112</v>
      </c>
      <c r="I495" t="s">
        <v>104</v>
      </c>
      <c r="J495" t="str">
        <f t="shared" si="21"/>
        <v>GREGORY TEIPEL</v>
      </c>
      <c r="K495" t="s">
        <v>57</v>
      </c>
      <c r="L495" s="1">
        <v>45695</v>
      </c>
      <c r="M495" s="1">
        <v>45968</v>
      </c>
      <c r="N495" s="2">
        <v>129.22</v>
      </c>
      <c r="O495">
        <f t="shared" si="22"/>
        <v>9</v>
      </c>
      <c r="P495" t="s">
        <v>214</v>
      </c>
      <c r="Q495" t="s">
        <v>1274</v>
      </c>
      <c r="R495" s="3">
        <v>0.7</v>
      </c>
      <c r="S495" s="2">
        <v>90.45</v>
      </c>
      <c r="T495" t="s">
        <v>293</v>
      </c>
    </row>
    <row r="496" spans="1:20" x14ac:dyDescent="0.25">
      <c r="A496">
        <v>2026827011</v>
      </c>
      <c r="B496" t="s">
        <v>885</v>
      </c>
      <c r="C496" t="s">
        <v>845</v>
      </c>
      <c r="D496" t="str">
        <f t="shared" si="23"/>
        <v>PATRICIA PURCELL</v>
      </c>
      <c r="E496" t="s">
        <v>292</v>
      </c>
      <c r="F496" t="s">
        <v>293</v>
      </c>
      <c r="G496">
        <v>8307933</v>
      </c>
      <c r="H496" t="s">
        <v>112</v>
      </c>
      <c r="I496" t="s">
        <v>104</v>
      </c>
      <c r="J496" t="str">
        <f t="shared" si="21"/>
        <v>GREGORY TEIPEL</v>
      </c>
      <c r="K496" t="s">
        <v>57</v>
      </c>
      <c r="L496" s="1">
        <v>45695</v>
      </c>
      <c r="M496" s="1">
        <v>45968</v>
      </c>
      <c r="N496" s="2">
        <v>122.32</v>
      </c>
      <c r="O496">
        <f t="shared" si="22"/>
        <v>9</v>
      </c>
      <c r="P496" t="s">
        <v>214</v>
      </c>
      <c r="Q496" t="s">
        <v>1274</v>
      </c>
      <c r="R496" s="3">
        <v>0.7</v>
      </c>
      <c r="S496" s="2">
        <v>85.62</v>
      </c>
      <c r="T496" t="s">
        <v>293</v>
      </c>
    </row>
    <row r="497" spans="1:20" x14ac:dyDescent="0.25">
      <c r="A497">
        <v>2026832448</v>
      </c>
      <c r="B497" t="s">
        <v>97</v>
      </c>
      <c r="C497" t="s">
        <v>173</v>
      </c>
      <c r="D497" t="str">
        <f t="shared" si="23"/>
        <v>ADAM DAUGHERTY</v>
      </c>
      <c r="E497" t="s">
        <v>292</v>
      </c>
      <c r="F497" t="s">
        <v>293</v>
      </c>
      <c r="G497">
        <v>8307933</v>
      </c>
      <c r="H497" t="s">
        <v>112</v>
      </c>
      <c r="I497" t="s">
        <v>104</v>
      </c>
      <c r="J497" t="str">
        <f t="shared" si="21"/>
        <v>GREGORY TEIPEL</v>
      </c>
      <c r="K497" t="s">
        <v>57</v>
      </c>
      <c r="L497" s="1">
        <v>45695</v>
      </c>
      <c r="M497" s="1">
        <v>45968</v>
      </c>
      <c r="N497" s="2">
        <v>32.979999999999997</v>
      </c>
      <c r="O497">
        <f t="shared" si="22"/>
        <v>9</v>
      </c>
      <c r="P497" t="s">
        <v>214</v>
      </c>
      <c r="Q497" t="s">
        <v>1274</v>
      </c>
      <c r="R497" s="3">
        <v>0.7</v>
      </c>
      <c r="S497" s="2">
        <v>23.09</v>
      </c>
      <c r="T497" t="s">
        <v>293</v>
      </c>
    </row>
    <row r="498" spans="1:20" x14ac:dyDescent="0.25">
      <c r="A498">
        <v>2026844913</v>
      </c>
      <c r="B498" t="s">
        <v>748</v>
      </c>
      <c r="C498" t="s">
        <v>132</v>
      </c>
      <c r="D498" t="str">
        <f t="shared" si="23"/>
        <v>CHRISTOPHER JENKINS</v>
      </c>
      <c r="E498" t="s">
        <v>292</v>
      </c>
      <c r="F498" t="s">
        <v>293</v>
      </c>
      <c r="G498">
        <v>8307933</v>
      </c>
      <c r="H498" t="s">
        <v>112</v>
      </c>
      <c r="I498" t="s">
        <v>104</v>
      </c>
      <c r="J498" t="str">
        <f t="shared" si="21"/>
        <v>GREGORY TEIPEL</v>
      </c>
      <c r="K498" t="s">
        <v>57</v>
      </c>
      <c r="L498" s="1">
        <v>45695</v>
      </c>
      <c r="M498" s="1">
        <v>45968</v>
      </c>
      <c r="N498" s="2">
        <v>78.400000000000006</v>
      </c>
      <c r="O498">
        <f t="shared" si="22"/>
        <v>9</v>
      </c>
      <c r="P498" t="s">
        <v>214</v>
      </c>
      <c r="Q498" t="s">
        <v>1274</v>
      </c>
      <c r="R498" s="3">
        <v>0.7</v>
      </c>
      <c r="S498" s="2">
        <v>54.88</v>
      </c>
      <c r="T498" t="s">
        <v>293</v>
      </c>
    </row>
    <row r="499" spans="1:20" x14ac:dyDescent="0.25">
      <c r="A499">
        <v>2026860056</v>
      </c>
      <c r="B499" t="s">
        <v>733</v>
      </c>
      <c r="C499" t="s">
        <v>734</v>
      </c>
      <c r="D499" t="str">
        <f t="shared" si="23"/>
        <v>YVETTE BECERRA</v>
      </c>
      <c r="E499" t="s">
        <v>292</v>
      </c>
      <c r="F499" t="s">
        <v>293</v>
      </c>
      <c r="G499">
        <v>8307933</v>
      </c>
      <c r="H499" t="s">
        <v>112</v>
      </c>
      <c r="I499" t="s">
        <v>104</v>
      </c>
      <c r="J499" t="str">
        <f t="shared" si="21"/>
        <v>GREGORY TEIPEL</v>
      </c>
      <c r="K499" t="s">
        <v>57</v>
      </c>
      <c r="L499" s="1">
        <v>45695</v>
      </c>
      <c r="M499" s="1">
        <v>45968</v>
      </c>
      <c r="N499" s="2">
        <v>13</v>
      </c>
      <c r="O499">
        <f t="shared" si="22"/>
        <v>9</v>
      </c>
      <c r="P499" t="s">
        <v>214</v>
      </c>
      <c r="Q499" t="s">
        <v>1274</v>
      </c>
      <c r="R499" s="3">
        <v>0.7</v>
      </c>
      <c r="S499" s="2">
        <v>9.1</v>
      </c>
      <c r="T499" t="s">
        <v>293</v>
      </c>
    </row>
    <row r="500" spans="1:20" x14ac:dyDescent="0.25">
      <c r="A500">
        <v>2026619727</v>
      </c>
      <c r="B500" t="s">
        <v>188</v>
      </c>
      <c r="C500" t="s">
        <v>337</v>
      </c>
      <c r="D500" t="str">
        <f t="shared" si="23"/>
        <v>ROBERT LEE</v>
      </c>
      <c r="E500" t="s">
        <v>292</v>
      </c>
      <c r="F500" t="s">
        <v>293</v>
      </c>
      <c r="G500">
        <v>1706194</v>
      </c>
      <c r="H500" t="s">
        <v>97</v>
      </c>
      <c r="I500" t="s">
        <v>98</v>
      </c>
      <c r="J500" t="str">
        <f t="shared" si="21"/>
        <v>MATTHEW DAUGHERTY</v>
      </c>
      <c r="K500" t="s">
        <v>57</v>
      </c>
      <c r="L500" s="1">
        <v>45689</v>
      </c>
      <c r="M500" s="1">
        <v>45962</v>
      </c>
      <c r="N500" s="2">
        <v>-28.38</v>
      </c>
      <c r="O500">
        <f t="shared" si="22"/>
        <v>9</v>
      </c>
      <c r="P500" t="s">
        <v>214</v>
      </c>
      <c r="Q500" t="s">
        <v>1274</v>
      </c>
      <c r="R500" s="3">
        <v>0.7</v>
      </c>
      <c r="S500" s="2">
        <v>-19.87</v>
      </c>
      <c r="T500" t="s">
        <v>293</v>
      </c>
    </row>
    <row r="501" spans="1:20" x14ac:dyDescent="0.25">
      <c r="A501">
        <v>2027014990</v>
      </c>
      <c r="B501" t="s">
        <v>997</v>
      </c>
      <c r="C501" t="s">
        <v>998</v>
      </c>
      <c r="D501" t="str">
        <f t="shared" si="23"/>
        <v>MONICA CRISSINGER</v>
      </c>
      <c r="E501" t="s">
        <v>292</v>
      </c>
      <c r="F501" t="s">
        <v>293</v>
      </c>
      <c r="G501">
        <v>8977234</v>
      </c>
      <c r="H501" t="s">
        <v>80</v>
      </c>
      <c r="I501" t="s">
        <v>81</v>
      </c>
      <c r="J501" t="str">
        <f t="shared" si="21"/>
        <v>RYAN CALTAGIRONE</v>
      </c>
      <c r="K501" t="s">
        <v>57</v>
      </c>
      <c r="L501" s="1">
        <v>45696</v>
      </c>
      <c r="M501" s="1">
        <v>45969</v>
      </c>
      <c r="N501" s="2">
        <v>10.82</v>
      </c>
      <c r="O501">
        <f t="shared" si="22"/>
        <v>9</v>
      </c>
      <c r="P501" t="s">
        <v>214</v>
      </c>
      <c r="Q501" t="s">
        <v>1274</v>
      </c>
      <c r="R501" s="3">
        <v>0.7</v>
      </c>
      <c r="S501" s="2">
        <v>7.57</v>
      </c>
      <c r="T501" t="s">
        <v>293</v>
      </c>
    </row>
    <row r="502" spans="1:20" x14ac:dyDescent="0.25">
      <c r="A502">
        <v>2026617925</v>
      </c>
      <c r="B502" t="s">
        <v>739</v>
      </c>
      <c r="C502" t="s">
        <v>740</v>
      </c>
      <c r="D502" t="str">
        <f t="shared" si="23"/>
        <v>MARY HARRIS-HERNANDEZ</v>
      </c>
      <c r="E502" t="s">
        <v>243</v>
      </c>
      <c r="F502" t="s">
        <v>244</v>
      </c>
      <c r="G502">
        <v>8307933</v>
      </c>
      <c r="H502" t="s">
        <v>112</v>
      </c>
      <c r="I502" t="s">
        <v>104</v>
      </c>
      <c r="J502" t="str">
        <f t="shared" si="21"/>
        <v>GREGORY TEIPEL</v>
      </c>
      <c r="K502" t="s">
        <v>57</v>
      </c>
      <c r="L502" s="1">
        <v>45695</v>
      </c>
      <c r="M502" s="1">
        <v>45968</v>
      </c>
      <c r="N502" s="2">
        <v>48.88</v>
      </c>
      <c r="O502">
        <f t="shared" si="22"/>
        <v>9</v>
      </c>
      <c r="P502" t="s">
        <v>214</v>
      </c>
      <c r="Q502" t="s">
        <v>1274</v>
      </c>
      <c r="R502" s="4">
        <v>0.375</v>
      </c>
      <c r="S502" s="2">
        <v>18.329999999999998</v>
      </c>
      <c r="T502" t="s">
        <v>244</v>
      </c>
    </row>
    <row r="503" spans="1:20" x14ac:dyDescent="0.25">
      <c r="A503">
        <v>2026628667</v>
      </c>
      <c r="B503" t="s">
        <v>741</v>
      </c>
      <c r="C503" t="s">
        <v>81</v>
      </c>
      <c r="D503" t="str">
        <f t="shared" si="23"/>
        <v>RYAN HERRICK</v>
      </c>
      <c r="E503" t="s">
        <v>243</v>
      </c>
      <c r="F503" t="s">
        <v>244</v>
      </c>
      <c r="G503">
        <v>8307933</v>
      </c>
      <c r="H503" t="s">
        <v>112</v>
      </c>
      <c r="I503" t="s">
        <v>104</v>
      </c>
      <c r="J503" t="str">
        <f t="shared" si="21"/>
        <v>GREGORY TEIPEL</v>
      </c>
      <c r="K503" t="s">
        <v>57</v>
      </c>
      <c r="L503" s="1">
        <v>45695</v>
      </c>
      <c r="M503" s="1">
        <v>45968</v>
      </c>
      <c r="N503" s="2">
        <v>43.36</v>
      </c>
      <c r="O503">
        <f t="shared" si="22"/>
        <v>9</v>
      </c>
      <c r="P503" t="s">
        <v>214</v>
      </c>
      <c r="Q503" t="s">
        <v>1274</v>
      </c>
      <c r="R503" s="4">
        <v>0.375</v>
      </c>
      <c r="S503" s="2">
        <v>16.260000000000002</v>
      </c>
      <c r="T503" t="s">
        <v>244</v>
      </c>
    </row>
    <row r="504" spans="1:20" x14ac:dyDescent="0.25">
      <c r="A504">
        <v>2026680614</v>
      </c>
      <c r="B504" t="s">
        <v>402</v>
      </c>
      <c r="C504" t="s">
        <v>743</v>
      </c>
      <c r="D504" t="str">
        <f t="shared" si="23"/>
        <v>JERRI JOHNSON</v>
      </c>
      <c r="E504" t="s">
        <v>243</v>
      </c>
      <c r="F504" t="s">
        <v>244</v>
      </c>
      <c r="G504">
        <v>8307933</v>
      </c>
      <c r="H504" t="s">
        <v>112</v>
      </c>
      <c r="I504" t="s">
        <v>104</v>
      </c>
      <c r="J504" t="str">
        <f t="shared" si="21"/>
        <v>GREGORY TEIPEL</v>
      </c>
      <c r="K504" t="s">
        <v>57</v>
      </c>
      <c r="L504" s="1">
        <v>45695</v>
      </c>
      <c r="M504" s="1">
        <v>45968</v>
      </c>
      <c r="N504" s="2">
        <v>42.23</v>
      </c>
      <c r="O504">
        <f t="shared" si="22"/>
        <v>9</v>
      </c>
      <c r="P504" t="s">
        <v>214</v>
      </c>
      <c r="Q504" t="s">
        <v>1274</v>
      </c>
      <c r="R504" s="4">
        <v>0.375</v>
      </c>
      <c r="S504" s="2">
        <v>15.84</v>
      </c>
      <c r="T504" t="s">
        <v>244</v>
      </c>
    </row>
    <row r="505" spans="1:20" x14ac:dyDescent="0.25">
      <c r="A505">
        <v>2026860055</v>
      </c>
      <c r="B505" t="s">
        <v>733</v>
      </c>
      <c r="C505" t="s">
        <v>734</v>
      </c>
      <c r="D505" t="str">
        <f t="shared" si="23"/>
        <v>YVETTE BECERRA</v>
      </c>
      <c r="E505" t="s">
        <v>243</v>
      </c>
      <c r="F505" t="s">
        <v>244</v>
      </c>
      <c r="G505">
        <v>8307933</v>
      </c>
      <c r="H505" t="s">
        <v>112</v>
      </c>
      <c r="I505" t="s">
        <v>104</v>
      </c>
      <c r="J505" t="str">
        <f t="shared" si="21"/>
        <v>GREGORY TEIPEL</v>
      </c>
      <c r="K505" t="s">
        <v>57</v>
      </c>
      <c r="L505" s="1">
        <v>45695</v>
      </c>
      <c r="M505" s="1">
        <v>45968</v>
      </c>
      <c r="N505" s="2">
        <v>57.96</v>
      </c>
      <c r="O505">
        <f t="shared" si="22"/>
        <v>9</v>
      </c>
      <c r="P505" t="s">
        <v>214</v>
      </c>
      <c r="Q505" t="s">
        <v>1274</v>
      </c>
      <c r="R505" s="4">
        <v>0.375</v>
      </c>
      <c r="S505" s="2">
        <v>21.74</v>
      </c>
      <c r="T505" t="s">
        <v>244</v>
      </c>
    </row>
    <row r="506" spans="1:20" x14ac:dyDescent="0.25">
      <c r="A506">
        <v>2027014989</v>
      </c>
      <c r="B506" t="s">
        <v>997</v>
      </c>
      <c r="C506" t="s">
        <v>998</v>
      </c>
      <c r="D506" t="str">
        <f t="shared" si="23"/>
        <v>MONICA CRISSINGER</v>
      </c>
      <c r="E506" t="s">
        <v>243</v>
      </c>
      <c r="F506" t="s">
        <v>244</v>
      </c>
      <c r="G506">
        <v>8977234</v>
      </c>
      <c r="H506" t="s">
        <v>80</v>
      </c>
      <c r="I506" t="s">
        <v>81</v>
      </c>
      <c r="J506" t="str">
        <f t="shared" si="21"/>
        <v>RYAN CALTAGIRONE</v>
      </c>
      <c r="K506" t="s">
        <v>57</v>
      </c>
      <c r="L506" s="1">
        <v>45696</v>
      </c>
      <c r="M506" s="1">
        <v>45969</v>
      </c>
      <c r="N506" s="2">
        <v>59.58</v>
      </c>
      <c r="O506">
        <f t="shared" si="22"/>
        <v>9</v>
      </c>
      <c r="P506" t="s">
        <v>214</v>
      </c>
      <c r="Q506" t="s">
        <v>1274</v>
      </c>
      <c r="R506" s="4">
        <v>0.375</v>
      </c>
      <c r="S506" s="2">
        <v>22.34</v>
      </c>
      <c r="T506" t="s">
        <v>244</v>
      </c>
    </row>
    <row r="507" spans="1:20" x14ac:dyDescent="0.25">
      <c r="A507">
        <v>2026589574</v>
      </c>
      <c r="B507" t="s">
        <v>879</v>
      </c>
      <c r="C507" t="s">
        <v>482</v>
      </c>
      <c r="D507" t="str">
        <f t="shared" si="23"/>
        <v>MICHAEL DILLON</v>
      </c>
      <c r="E507" t="s">
        <v>292</v>
      </c>
      <c r="F507" t="s">
        <v>295</v>
      </c>
      <c r="G507">
        <v>8307933</v>
      </c>
      <c r="H507" t="s">
        <v>112</v>
      </c>
      <c r="I507" t="s">
        <v>104</v>
      </c>
      <c r="J507" t="str">
        <f t="shared" si="21"/>
        <v>GREGORY TEIPEL</v>
      </c>
      <c r="K507" t="s">
        <v>57</v>
      </c>
      <c r="L507" s="1">
        <v>45695</v>
      </c>
      <c r="M507" s="1">
        <v>45968</v>
      </c>
      <c r="N507" s="2">
        <v>83.63</v>
      </c>
      <c r="O507">
        <f t="shared" si="22"/>
        <v>9</v>
      </c>
      <c r="P507" t="s">
        <v>214</v>
      </c>
      <c r="Q507" t="s">
        <v>1274</v>
      </c>
      <c r="R507" s="3">
        <v>0.9</v>
      </c>
      <c r="S507" s="2">
        <v>75.27</v>
      </c>
      <c r="T507" t="s">
        <v>295</v>
      </c>
    </row>
    <row r="508" spans="1:20" x14ac:dyDescent="0.25">
      <c r="A508">
        <v>2026599463</v>
      </c>
      <c r="B508" t="s">
        <v>737</v>
      </c>
      <c r="C508" t="s">
        <v>738</v>
      </c>
      <c r="D508" t="str">
        <f t="shared" si="23"/>
        <v>CARLOS VALENZUELA</v>
      </c>
      <c r="E508" t="s">
        <v>292</v>
      </c>
      <c r="F508" t="s">
        <v>295</v>
      </c>
      <c r="G508">
        <v>8307933</v>
      </c>
      <c r="H508" t="s">
        <v>112</v>
      </c>
      <c r="I508" t="s">
        <v>104</v>
      </c>
      <c r="J508" t="str">
        <f t="shared" si="21"/>
        <v>GREGORY TEIPEL</v>
      </c>
      <c r="K508" t="s">
        <v>57</v>
      </c>
      <c r="L508" s="1">
        <v>45695</v>
      </c>
      <c r="M508" s="1">
        <v>45968</v>
      </c>
      <c r="N508" s="2">
        <v>48.08</v>
      </c>
      <c r="O508">
        <f t="shared" si="22"/>
        <v>9</v>
      </c>
      <c r="P508" t="s">
        <v>214</v>
      </c>
      <c r="Q508" t="s">
        <v>1274</v>
      </c>
      <c r="R508" s="3">
        <v>0.9</v>
      </c>
      <c r="S508" s="2">
        <v>43.27</v>
      </c>
      <c r="T508" t="s">
        <v>295</v>
      </c>
    </row>
    <row r="509" spans="1:20" x14ac:dyDescent="0.25">
      <c r="A509">
        <v>2026637123</v>
      </c>
      <c r="B509" t="s">
        <v>402</v>
      </c>
      <c r="C509" t="s">
        <v>94</v>
      </c>
      <c r="D509" t="str">
        <f t="shared" si="23"/>
        <v>ERIC JOHNSON</v>
      </c>
      <c r="E509" t="s">
        <v>292</v>
      </c>
      <c r="F509" t="s">
        <v>295</v>
      </c>
      <c r="G509">
        <v>8307933</v>
      </c>
      <c r="H509" t="s">
        <v>112</v>
      </c>
      <c r="I509" t="s">
        <v>104</v>
      </c>
      <c r="J509" t="str">
        <f t="shared" si="21"/>
        <v>GREGORY TEIPEL</v>
      </c>
      <c r="K509" t="s">
        <v>57</v>
      </c>
      <c r="L509" s="1">
        <v>45695</v>
      </c>
      <c r="M509" s="1">
        <v>45968</v>
      </c>
      <c r="N509" s="2">
        <v>145.08000000000001</v>
      </c>
      <c r="O509">
        <f t="shared" si="22"/>
        <v>9</v>
      </c>
      <c r="P509" t="s">
        <v>214</v>
      </c>
      <c r="Q509" t="s">
        <v>1274</v>
      </c>
      <c r="R509" s="3">
        <v>0.9</v>
      </c>
      <c r="S509" s="2">
        <v>130.57</v>
      </c>
      <c r="T509" t="s">
        <v>295</v>
      </c>
    </row>
    <row r="510" spans="1:20" x14ac:dyDescent="0.25">
      <c r="A510">
        <v>2026721808</v>
      </c>
      <c r="B510" t="s">
        <v>881</v>
      </c>
      <c r="C510" t="s">
        <v>367</v>
      </c>
      <c r="D510" t="str">
        <f t="shared" si="23"/>
        <v>TERRI EZNACK</v>
      </c>
      <c r="E510" t="s">
        <v>292</v>
      </c>
      <c r="F510" t="s">
        <v>295</v>
      </c>
      <c r="G510">
        <v>8307933</v>
      </c>
      <c r="H510" t="s">
        <v>112</v>
      </c>
      <c r="I510" t="s">
        <v>104</v>
      </c>
      <c r="J510" t="str">
        <f t="shared" si="21"/>
        <v>GREGORY TEIPEL</v>
      </c>
      <c r="K510" t="s">
        <v>57</v>
      </c>
      <c r="L510" s="1">
        <v>45695</v>
      </c>
      <c r="M510" s="1">
        <v>45968</v>
      </c>
      <c r="N510" s="2">
        <v>23.05</v>
      </c>
      <c r="O510">
        <f t="shared" si="22"/>
        <v>9</v>
      </c>
      <c r="P510" t="s">
        <v>214</v>
      </c>
      <c r="Q510" t="s">
        <v>1274</v>
      </c>
      <c r="R510" s="3">
        <v>0.9</v>
      </c>
      <c r="S510" s="2">
        <v>20.74</v>
      </c>
      <c r="T510" t="s">
        <v>295</v>
      </c>
    </row>
    <row r="511" spans="1:20" x14ac:dyDescent="0.25">
      <c r="A511">
        <v>2026832450</v>
      </c>
      <c r="B511" t="s">
        <v>97</v>
      </c>
      <c r="C511" t="s">
        <v>173</v>
      </c>
      <c r="D511" t="str">
        <f t="shared" si="23"/>
        <v>ADAM DAUGHERTY</v>
      </c>
      <c r="E511" t="s">
        <v>292</v>
      </c>
      <c r="F511" t="s">
        <v>295</v>
      </c>
      <c r="G511">
        <v>8307933</v>
      </c>
      <c r="H511" t="s">
        <v>112</v>
      </c>
      <c r="I511" t="s">
        <v>104</v>
      </c>
      <c r="J511" t="str">
        <f t="shared" si="21"/>
        <v>GREGORY TEIPEL</v>
      </c>
      <c r="K511" t="s">
        <v>57</v>
      </c>
      <c r="L511" s="1">
        <v>45695</v>
      </c>
      <c r="M511" s="1">
        <v>45968</v>
      </c>
      <c r="N511" s="2">
        <v>41.25</v>
      </c>
      <c r="O511">
        <f t="shared" si="22"/>
        <v>9</v>
      </c>
      <c r="P511" t="s">
        <v>214</v>
      </c>
      <c r="Q511" t="s">
        <v>1274</v>
      </c>
      <c r="R511" s="3">
        <v>0.9</v>
      </c>
      <c r="S511" s="2">
        <v>37.119999999999997</v>
      </c>
      <c r="T511" t="s">
        <v>295</v>
      </c>
    </row>
    <row r="512" spans="1:20" x14ac:dyDescent="0.25">
      <c r="A512">
        <v>2025660998</v>
      </c>
      <c r="B512" t="s">
        <v>848</v>
      </c>
      <c r="C512" t="s">
        <v>158</v>
      </c>
      <c r="D512" t="str">
        <f t="shared" si="23"/>
        <v>TAMMY RUSH</v>
      </c>
      <c r="E512" t="s">
        <v>292</v>
      </c>
      <c r="F512" t="s">
        <v>536</v>
      </c>
      <c r="G512">
        <v>8977234</v>
      </c>
      <c r="H512" t="s">
        <v>80</v>
      </c>
      <c r="I512" t="s">
        <v>81</v>
      </c>
      <c r="J512" t="str">
        <f t="shared" si="21"/>
        <v>RYAN CALTAGIRONE</v>
      </c>
      <c r="K512" t="s">
        <v>57</v>
      </c>
      <c r="L512" s="1">
        <v>45665</v>
      </c>
      <c r="M512" s="1">
        <v>45969</v>
      </c>
      <c r="N512" s="2">
        <v>42.88</v>
      </c>
      <c r="O512">
        <f t="shared" si="22"/>
        <v>10</v>
      </c>
      <c r="P512" t="s">
        <v>214</v>
      </c>
      <c r="Q512" t="s">
        <v>1274</v>
      </c>
      <c r="R512" s="3">
        <v>0.7</v>
      </c>
      <c r="S512" s="2">
        <v>30.02</v>
      </c>
      <c r="T512" t="s">
        <v>536</v>
      </c>
    </row>
    <row r="513" spans="1:20" x14ac:dyDescent="0.25">
      <c r="A513">
        <v>2025878148</v>
      </c>
      <c r="B513" t="s">
        <v>496</v>
      </c>
      <c r="C513" t="s">
        <v>224</v>
      </c>
      <c r="D513" t="str">
        <f t="shared" si="23"/>
        <v>JAMES REEDER</v>
      </c>
      <c r="E513" t="s">
        <v>467</v>
      </c>
      <c r="F513" t="s">
        <v>497</v>
      </c>
      <c r="G513">
        <v>16865242</v>
      </c>
      <c r="H513" t="s">
        <v>498</v>
      </c>
      <c r="I513" t="s">
        <v>499</v>
      </c>
      <c r="J513" t="str">
        <f t="shared" si="21"/>
        <v>MARINA OBRIEN</v>
      </c>
      <c r="K513" t="s">
        <v>57</v>
      </c>
      <c r="L513" s="1">
        <v>45658</v>
      </c>
      <c r="M513" s="1">
        <v>45962</v>
      </c>
      <c r="N513" s="2">
        <v>6.41</v>
      </c>
      <c r="O513">
        <f t="shared" si="22"/>
        <v>10</v>
      </c>
      <c r="P513" t="s">
        <v>214</v>
      </c>
      <c r="Q513" t="s">
        <v>1274</v>
      </c>
      <c r="R513" s="3">
        <v>0.04</v>
      </c>
      <c r="S513" s="2">
        <v>6.41</v>
      </c>
      <c r="T513" t="s">
        <v>1269</v>
      </c>
    </row>
    <row r="514" spans="1:20" x14ac:dyDescent="0.25">
      <c r="A514">
        <v>2025690377</v>
      </c>
      <c r="B514" t="s">
        <v>693</v>
      </c>
      <c r="C514" t="s">
        <v>137</v>
      </c>
      <c r="D514" t="str">
        <f t="shared" si="23"/>
        <v>JUSTIN REITER</v>
      </c>
      <c r="E514" t="s">
        <v>89</v>
      </c>
      <c r="F514" t="s">
        <v>111</v>
      </c>
      <c r="G514">
        <v>8307933</v>
      </c>
      <c r="H514" t="s">
        <v>112</v>
      </c>
      <c r="I514" t="s">
        <v>104</v>
      </c>
      <c r="J514" t="str">
        <f t="shared" ref="J514:J577" si="24">CONCATENATE(I514, " ",H514)</f>
        <v>GREGORY TEIPEL</v>
      </c>
      <c r="K514" t="s">
        <v>57</v>
      </c>
      <c r="L514" s="1">
        <v>45664</v>
      </c>
      <c r="M514" s="1">
        <v>45968</v>
      </c>
      <c r="N514" s="2">
        <v>19.63</v>
      </c>
      <c r="O514">
        <f t="shared" ref="O514:O577" si="25">DATEDIF(L514,M514,"M")</f>
        <v>10</v>
      </c>
      <c r="P514" t="s">
        <v>214</v>
      </c>
      <c r="Q514" t="s">
        <v>1274</v>
      </c>
      <c r="R514" s="3">
        <v>0.75</v>
      </c>
      <c r="S514" s="2">
        <v>14.72</v>
      </c>
      <c r="T514" t="s">
        <v>1257</v>
      </c>
    </row>
    <row r="515" spans="1:20" x14ac:dyDescent="0.25">
      <c r="A515">
        <v>2025708570</v>
      </c>
      <c r="B515" t="s">
        <v>694</v>
      </c>
      <c r="C515" t="s">
        <v>179</v>
      </c>
      <c r="D515" t="str">
        <f t="shared" ref="D515:D578" si="26">CONCATENATE(C515, " ",B515)</f>
        <v>MICHELLE VOLLAND</v>
      </c>
      <c r="E515" t="s">
        <v>89</v>
      </c>
      <c r="F515" t="s">
        <v>111</v>
      </c>
      <c r="G515">
        <v>8307933</v>
      </c>
      <c r="H515" t="s">
        <v>112</v>
      </c>
      <c r="I515" t="s">
        <v>104</v>
      </c>
      <c r="J515" t="str">
        <f t="shared" si="24"/>
        <v>GREGORY TEIPEL</v>
      </c>
      <c r="K515" t="s">
        <v>57</v>
      </c>
      <c r="L515" s="1">
        <v>45664</v>
      </c>
      <c r="M515" s="1">
        <v>45968</v>
      </c>
      <c r="N515" s="2">
        <v>200.35</v>
      </c>
      <c r="O515">
        <f t="shared" si="25"/>
        <v>10</v>
      </c>
      <c r="P515" t="s">
        <v>214</v>
      </c>
      <c r="Q515" t="s">
        <v>1274</v>
      </c>
      <c r="R515" s="3">
        <v>0.75</v>
      </c>
      <c r="S515" s="2">
        <v>150.26</v>
      </c>
      <c r="T515" t="s">
        <v>1257</v>
      </c>
    </row>
    <row r="516" spans="1:20" x14ac:dyDescent="0.25">
      <c r="A516">
        <v>2025732432</v>
      </c>
      <c r="B516" t="s">
        <v>695</v>
      </c>
      <c r="C516" t="s">
        <v>353</v>
      </c>
      <c r="D516" t="str">
        <f t="shared" si="26"/>
        <v>DEBORAH HANNA</v>
      </c>
      <c r="E516" t="s">
        <v>89</v>
      </c>
      <c r="F516" t="s">
        <v>111</v>
      </c>
      <c r="G516">
        <v>8307933</v>
      </c>
      <c r="H516" t="s">
        <v>112</v>
      </c>
      <c r="I516" t="s">
        <v>104</v>
      </c>
      <c r="J516" t="str">
        <f t="shared" si="24"/>
        <v>GREGORY TEIPEL</v>
      </c>
      <c r="K516" t="s">
        <v>57</v>
      </c>
      <c r="L516" s="1">
        <v>45664</v>
      </c>
      <c r="M516" s="1">
        <v>45968</v>
      </c>
      <c r="N516" s="2">
        <v>93.93</v>
      </c>
      <c r="O516">
        <f t="shared" si="25"/>
        <v>10</v>
      </c>
      <c r="P516" t="s">
        <v>214</v>
      </c>
      <c r="Q516" t="s">
        <v>1274</v>
      </c>
      <c r="R516" s="3">
        <v>0.75</v>
      </c>
      <c r="S516" s="2">
        <v>70.45</v>
      </c>
      <c r="T516" t="s">
        <v>1257</v>
      </c>
    </row>
    <row r="517" spans="1:20" x14ac:dyDescent="0.25">
      <c r="A517">
        <v>2026053293</v>
      </c>
      <c r="B517" t="s">
        <v>705</v>
      </c>
      <c r="C517" t="s">
        <v>393</v>
      </c>
      <c r="D517" t="str">
        <f t="shared" si="26"/>
        <v>PAMELA CREASBAUM</v>
      </c>
      <c r="E517" t="s">
        <v>89</v>
      </c>
      <c r="F517" t="s">
        <v>111</v>
      </c>
      <c r="G517">
        <v>8307933</v>
      </c>
      <c r="H517" t="s">
        <v>112</v>
      </c>
      <c r="I517" t="s">
        <v>104</v>
      </c>
      <c r="J517" t="str">
        <f t="shared" si="24"/>
        <v>GREGORY TEIPEL</v>
      </c>
      <c r="K517" t="s">
        <v>57</v>
      </c>
      <c r="L517" s="1">
        <v>45664</v>
      </c>
      <c r="M517" s="1">
        <v>45968</v>
      </c>
      <c r="N517" s="2">
        <v>78.430000000000007</v>
      </c>
      <c r="O517">
        <f t="shared" si="25"/>
        <v>10</v>
      </c>
      <c r="P517" t="s">
        <v>214</v>
      </c>
      <c r="Q517" t="s">
        <v>1274</v>
      </c>
      <c r="R517" s="3">
        <v>0.75</v>
      </c>
      <c r="S517" s="2">
        <v>58.82</v>
      </c>
      <c r="T517" t="s">
        <v>1257</v>
      </c>
    </row>
    <row r="518" spans="1:20" x14ac:dyDescent="0.25">
      <c r="A518">
        <v>2026082703</v>
      </c>
      <c r="B518" t="s">
        <v>706</v>
      </c>
      <c r="C518" t="s">
        <v>194</v>
      </c>
      <c r="D518" t="str">
        <f t="shared" si="26"/>
        <v>KAREN FOWLER</v>
      </c>
      <c r="E518" t="s">
        <v>89</v>
      </c>
      <c r="F518" t="s">
        <v>111</v>
      </c>
      <c r="G518">
        <v>8307933</v>
      </c>
      <c r="H518" t="s">
        <v>112</v>
      </c>
      <c r="I518" t="s">
        <v>104</v>
      </c>
      <c r="J518" t="str">
        <f t="shared" si="24"/>
        <v>GREGORY TEIPEL</v>
      </c>
      <c r="K518" t="s">
        <v>57</v>
      </c>
      <c r="L518" s="1">
        <v>45664</v>
      </c>
      <c r="M518" s="1">
        <v>45968</v>
      </c>
      <c r="N518" s="2">
        <v>148.53</v>
      </c>
      <c r="O518">
        <f t="shared" si="25"/>
        <v>10</v>
      </c>
      <c r="P518" t="s">
        <v>214</v>
      </c>
      <c r="Q518" t="s">
        <v>1274</v>
      </c>
      <c r="R518" s="3">
        <v>0.75</v>
      </c>
      <c r="S518" s="2">
        <v>111.4</v>
      </c>
      <c r="T518" t="s">
        <v>1257</v>
      </c>
    </row>
    <row r="519" spans="1:20" x14ac:dyDescent="0.25">
      <c r="A519">
        <v>2026100108</v>
      </c>
      <c r="B519" t="s">
        <v>709</v>
      </c>
      <c r="C519" t="s">
        <v>671</v>
      </c>
      <c r="D519" t="str">
        <f t="shared" si="26"/>
        <v>STEVEN LAVY</v>
      </c>
      <c r="E519" t="s">
        <v>89</v>
      </c>
      <c r="F519" t="s">
        <v>111</v>
      </c>
      <c r="G519">
        <v>8307933</v>
      </c>
      <c r="H519" t="s">
        <v>112</v>
      </c>
      <c r="I519" t="s">
        <v>104</v>
      </c>
      <c r="J519" t="str">
        <f t="shared" si="24"/>
        <v>GREGORY TEIPEL</v>
      </c>
      <c r="K519" t="s">
        <v>57</v>
      </c>
      <c r="L519" s="1">
        <v>45664</v>
      </c>
      <c r="M519" s="1">
        <v>45968</v>
      </c>
      <c r="N519" s="2">
        <v>110</v>
      </c>
      <c r="O519">
        <f t="shared" si="25"/>
        <v>10</v>
      </c>
      <c r="P519" t="s">
        <v>214</v>
      </c>
      <c r="Q519" t="s">
        <v>1274</v>
      </c>
      <c r="R519" s="3">
        <v>0.75</v>
      </c>
      <c r="S519" s="2">
        <v>82.5</v>
      </c>
      <c r="T519" t="s">
        <v>1257</v>
      </c>
    </row>
    <row r="520" spans="1:20" x14ac:dyDescent="0.25">
      <c r="A520">
        <v>2026103479</v>
      </c>
      <c r="B520" t="s">
        <v>712</v>
      </c>
      <c r="C520" t="s">
        <v>713</v>
      </c>
      <c r="D520" t="str">
        <f t="shared" si="26"/>
        <v>WENDY RAMBOLDT</v>
      </c>
      <c r="E520" t="s">
        <v>89</v>
      </c>
      <c r="F520" t="s">
        <v>111</v>
      </c>
      <c r="G520">
        <v>8307933</v>
      </c>
      <c r="H520" t="s">
        <v>112</v>
      </c>
      <c r="I520" t="s">
        <v>104</v>
      </c>
      <c r="J520" t="str">
        <f t="shared" si="24"/>
        <v>GREGORY TEIPEL</v>
      </c>
      <c r="K520" t="s">
        <v>57</v>
      </c>
      <c r="L520" s="1">
        <v>45664</v>
      </c>
      <c r="M520" s="1">
        <v>45968</v>
      </c>
      <c r="N520" s="2">
        <v>45.3</v>
      </c>
      <c r="O520">
        <f t="shared" si="25"/>
        <v>10</v>
      </c>
      <c r="P520" t="s">
        <v>214</v>
      </c>
      <c r="Q520" t="s">
        <v>1274</v>
      </c>
      <c r="R520" s="3">
        <v>0.75</v>
      </c>
      <c r="S520" s="2">
        <v>33.979999999999997</v>
      </c>
      <c r="T520" t="s">
        <v>1257</v>
      </c>
    </row>
    <row r="521" spans="1:20" x14ac:dyDescent="0.25">
      <c r="A521">
        <v>2026113524</v>
      </c>
      <c r="B521" t="s">
        <v>714</v>
      </c>
      <c r="C521" t="s">
        <v>715</v>
      </c>
      <c r="D521" t="str">
        <f t="shared" si="26"/>
        <v>TRINA FUHRHOP</v>
      </c>
      <c r="E521" t="s">
        <v>89</v>
      </c>
      <c r="F521" t="s">
        <v>111</v>
      </c>
      <c r="G521">
        <v>8307933</v>
      </c>
      <c r="H521" t="s">
        <v>112</v>
      </c>
      <c r="I521" t="s">
        <v>104</v>
      </c>
      <c r="J521" t="str">
        <f t="shared" si="24"/>
        <v>GREGORY TEIPEL</v>
      </c>
      <c r="K521" t="s">
        <v>57</v>
      </c>
      <c r="L521" s="1">
        <v>45664</v>
      </c>
      <c r="M521" s="1">
        <v>45968</v>
      </c>
      <c r="N521" s="2">
        <v>144.18</v>
      </c>
      <c r="O521">
        <f t="shared" si="25"/>
        <v>10</v>
      </c>
      <c r="P521" t="s">
        <v>214</v>
      </c>
      <c r="Q521" t="s">
        <v>1274</v>
      </c>
      <c r="R521" s="3">
        <v>0.75</v>
      </c>
      <c r="S521" s="2">
        <v>108.14</v>
      </c>
      <c r="T521" t="s">
        <v>1257</v>
      </c>
    </row>
    <row r="522" spans="1:20" x14ac:dyDescent="0.25">
      <c r="A522">
        <v>2026126661</v>
      </c>
      <c r="B522" t="s">
        <v>696</v>
      </c>
      <c r="C522" t="s">
        <v>717</v>
      </c>
      <c r="D522" t="str">
        <f t="shared" si="26"/>
        <v>SHANNON WEST</v>
      </c>
      <c r="E522" t="s">
        <v>89</v>
      </c>
      <c r="F522" t="s">
        <v>111</v>
      </c>
      <c r="G522">
        <v>8307933</v>
      </c>
      <c r="H522" t="s">
        <v>112</v>
      </c>
      <c r="I522" t="s">
        <v>104</v>
      </c>
      <c r="J522" t="str">
        <f t="shared" si="24"/>
        <v>GREGORY TEIPEL</v>
      </c>
      <c r="K522" t="s">
        <v>57</v>
      </c>
      <c r="L522" s="1">
        <v>45664</v>
      </c>
      <c r="M522" s="1">
        <v>45968</v>
      </c>
      <c r="N522" s="2">
        <v>107.5</v>
      </c>
      <c r="O522">
        <f t="shared" si="25"/>
        <v>10</v>
      </c>
      <c r="P522" t="s">
        <v>214</v>
      </c>
      <c r="Q522" t="s">
        <v>1274</v>
      </c>
      <c r="R522" s="3">
        <v>0.75</v>
      </c>
      <c r="S522" s="2">
        <v>80.62</v>
      </c>
      <c r="T522" t="s">
        <v>1257</v>
      </c>
    </row>
    <row r="523" spans="1:20" x14ac:dyDescent="0.25">
      <c r="A523">
        <v>2026154681</v>
      </c>
      <c r="B523" t="s">
        <v>720</v>
      </c>
      <c r="C523" t="s">
        <v>721</v>
      </c>
      <c r="D523" t="str">
        <f t="shared" si="26"/>
        <v>STEPHANIE CLANCY</v>
      </c>
      <c r="E523" t="s">
        <v>89</v>
      </c>
      <c r="F523" t="s">
        <v>111</v>
      </c>
      <c r="G523">
        <v>8307933</v>
      </c>
      <c r="H523" t="s">
        <v>112</v>
      </c>
      <c r="I523" t="s">
        <v>104</v>
      </c>
      <c r="J523" t="str">
        <f t="shared" si="24"/>
        <v>GREGORY TEIPEL</v>
      </c>
      <c r="K523" t="s">
        <v>57</v>
      </c>
      <c r="L523" s="1">
        <v>45664</v>
      </c>
      <c r="M523" s="1">
        <v>45968</v>
      </c>
      <c r="N523" s="2">
        <v>119.95</v>
      </c>
      <c r="O523">
        <f t="shared" si="25"/>
        <v>10</v>
      </c>
      <c r="P523" t="s">
        <v>214</v>
      </c>
      <c r="Q523" t="s">
        <v>1274</v>
      </c>
      <c r="R523" s="3">
        <v>0.75</v>
      </c>
      <c r="S523" s="2">
        <v>89.96</v>
      </c>
      <c r="T523" t="s">
        <v>1257</v>
      </c>
    </row>
    <row r="524" spans="1:20" x14ac:dyDescent="0.25">
      <c r="A524">
        <v>2026155453</v>
      </c>
      <c r="B524" t="s">
        <v>722</v>
      </c>
      <c r="C524" t="s">
        <v>723</v>
      </c>
      <c r="D524" t="str">
        <f t="shared" si="26"/>
        <v>VIRGIL HENRY</v>
      </c>
      <c r="E524" t="s">
        <v>89</v>
      </c>
      <c r="F524" t="s">
        <v>111</v>
      </c>
      <c r="G524">
        <v>8307933</v>
      </c>
      <c r="H524" t="s">
        <v>112</v>
      </c>
      <c r="I524" t="s">
        <v>104</v>
      </c>
      <c r="J524" t="str">
        <f t="shared" si="24"/>
        <v>GREGORY TEIPEL</v>
      </c>
      <c r="K524" t="s">
        <v>57</v>
      </c>
      <c r="L524" s="1">
        <v>45664</v>
      </c>
      <c r="M524" s="1">
        <v>45968</v>
      </c>
      <c r="N524" s="2">
        <v>67.3</v>
      </c>
      <c r="O524">
        <f t="shared" si="25"/>
        <v>10</v>
      </c>
      <c r="P524" t="s">
        <v>214</v>
      </c>
      <c r="Q524" t="s">
        <v>1274</v>
      </c>
      <c r="R524" s="3">
        <v>0.75</v>
      </c>
      <c r="S524" s="2">
        <v>50.48</v>
      </c>
      <c r="T524" t="s">
        <v>1257</v>
      </c>
    </row>
    <row r="525" spans="1:20" x14ac:dyDescent="0.25">
      <c r="A525">
        <v>2026166108</v>
      </c>
      <c r="B525" t="s">
        <v>725</v>
      </c>
      <c r="C525" t="s">
        <v>527</v>
      </c>
      <c r="D525" t="str">
        <f t="shared" si="26"/>
        <v>STEPHEN FREY</v>
      </c>
      <c r="E525" t="s">
        <v>89</v>
      </c>
      <c r="F525" t="s">
        <v>111</v>
      </c>
      <c r="G525">
        <v>8307933</v>
      </c>
      <c r="H525" t="s">
        <v>112</v>
      </c>
      <c r="I525" t="s">
        <v>104</v>
      </c>
      <c r="J525" t="str">
        <f t="shared" si="24"/>
        <v>GREGORY TEIPEL</v>
      </c>
      <c r="K525" t="s">
        <v>57</v>
      </c>
      <c r="L525" s="1">
        <v>45664</v>
      </c>
      <c r="M525" s="1">
        <v>45968</v>
      </c>
      <c r="N525" s="2">
        <v>129.13</v>
      </c>
      <c r="O525">
        <f t="shared" si="25"/>
        <v>10</v>
      </c>
      <c r="P525" t="s">
        <v>214</v>
      </c>
      <c r="Q525" t="s">
        <v>1274</v>
      </c>
      <c r="R525" s="3">
        <v>0.75</v>
      </c>
      <c r="S525" s="2">
        <v>96.85</v>
      </c>
      <c r="T525" t="s">
        <v>1257</v>
      </c>
    </row>
    <row r="526" spans="1:20" x14ac:dyDescent="0.25">
      <c r="A526">
        <v>2026175249</v>
      </c>
      <c r="B526" t="s">
        <v>726</v>
      </c>
      <c r="C526" t="s">
        <v>727</v>
      </c>
      <c r="D526" t="str">
        <f t="shared" si="26"/>
        <v>MICHELE SZAPIELAK</v>
      </c>
      <c r="E526" t="s">
        <v>89</v>
      </c>
      <c r="F526" t="s">
        <v>111</v>
      </c>
      <c r="G526">
        <v>8307933</v>
      </c>
      <c r="H526" t="s">
        <v>112</v>
      </c>
      <c r="I526" t="s">
        <v>104</v>
      </c>
      <c r="J526" t="str">
        <f t="shared" si="24"/>
        <v>GREGORY TEIPEL</v>
      </c>
      <c r="K526" t="s">
        <v>57</v>
      </c>
      <c r="L526" s="1">
        <v>45664</v>
      </c>
      <c r="M526" s="1">
        <v>45968</v>
      </c>
      <c r="N526" s="2">
        <v>61.27</v>
      </c>
      <c r="O526">
        <f t="shared" si="25"/>
        <v>10</v>
      </c>
      <c r="P526" t="s">
        <v>214</v>
      </c>
      <c r="Q526" t="s">
        <v>1274</v>
      </c>
      <c r="R526" s="3">
        <v>0.75</v>
      </c>
      <c r="S526" s="2">
        <v>45.95</v>
      </c>
      <c r="T526" t="s">
        <v>1257</v>
      </c>
    </row>
    <row r="527" spans="1:20" x14ac:dyDescent="0.25">
      <c r="A527">
        <v>2026236140</v>
      </c>
      <c r="B527" t="s">
        <v>729</v>
      </c>
      <c r="C527" t="s">
        <v>482</v>
      </c>
      <c r="D527" t="str">
        <f t="shared" si="26"/>
        <v>MICHAEL RUSS</v>
      </c>
      <c r="E527" t="s">
        <v>89</v>
      </c>
      <c r="F527" t="s">
        <v>111</v>
      </c>
      <c r="G527">
        <v>8307933</v>
      </c>
      <c r="H527" t="s">
        <v>112</v>
      </c>
      <c r="I527" t="s">
        <v>104</v>
      </c>
      <c r="J527" t="str">
        <f t="shared" si="24"/>
        <v>GREGORY TEIPEL</v>
      </c>
      <c r="K527" t="s">
        <v>57</v>
      </c>
      <c r="L527" s="1">
        <v>45664</v>
      </c>
      <c r="M527" s="1">
        <v>45968</v>
      </c>
      <c r="N527" s="2">
        <v>127.21</v>
      </c>
      <c r="O527">
        <f t="shared" si="25"/>
        <v>10</v>
      </c>
      <c r="P527" t="s">
        <v>214</v>
      </c>
      <c r="Q527" t="s">
        <v>1274</v>
      </c>
      <c r="R527" s="3">
        <v>0.75</v>
      </c>
      <c r="S527" s="2">
        <v>95.41</v>
      </c>
      <c r="T527" t="s">
        <v>1257</v>
      </c>
    </row>
    <row r="528" spans="1:20" x14ac:dyDescent="0.25">
      <c r="A528">
        <v>2026298483</v>
      </c>
      <c r="B528" t="s">
        <v>730</v>
      </c>
      <c r="C528" t="s">
        <v>220</v>
      </c>
      <c r="D528" t="str">
        <f t="shared" si="26"/>
        <v>BRIAN ANDRASEK</v>
      </c>
      <c r="E528" t="s">
        <v>89</v>
      </c>
      <c r="F528" t="s">
        <v>111</v>
      </c>
      <c r="G528">
        <v>8307933</v>
      </c>
      <c r="H528" t="s">
        <v>112</v>
      </c>
      <c r="I528" t="s">
        <v>104</v>
      </c>
      <c r="J528" t="str">
        <f t="shared" si="24"/>
        <v>GREGORY TEIPEL</v>
      </c>
      <c r="K528" t="s">
        <v>57</v>
      </c>
      <c r="L528" s="1">
        <v>45664</v>
      </c>
      <c r="M528" s="1">
        <v>45968</v>
      </c>
      <c r="N528" s="2">
        <v>25.6</v>
      </c>
      <c r="O528">
        <f t="shared" si="25"/>
        <v>10</v>
      </c>
      <c r="P528" t="s">
        <v>214</v>
      </c>
      <c r="Q528" t="s">
        <v>1274</v>
      </c>
      <c r="R528" s="3">
        <v>0.75</v>
      </c>
      <c r="S528" s="2">
        <v>19.2</v>
      </c>
      <c r="T528" t="s">
        <v>1257</v>
      </c>
    </row>
    <row r="529" spans="1:20" x14ac:dyDescent="0.25">
      <c r="A529">
        <v>2026443517</v>
      </c>
      <c r="B529" t="s">
        <v>731</v>
      </c>
      <c r="C529" t="s">
        <v>732</v>
      </c>
      <c r="D529" t="str">
        <f t="shared" si="26"/>
        <v>CHARLOTTE WASSER</v>
      </c>
      <c r="E529" t="s">
        <v>89</v>
      </c>
      <c r="F529" t="s">
        <v>111</v>
      </c>
      <c r="G529">
        <v>8307933</v>
      </c>
      <c r="H529" t="s">
        <v>112</v>
      </c>
      <c r="I529" t="s">
        <v>104</v>
      </c>
      <c r="J529" t="str">
        <f t="shared" si="24"/>
        <v>GREGORY TEIPEL</v>
      </c>
      <c r="K529" t="s">
        <v>57</v>
      </c>
      <c r="L529" s="1">
        <v>45661</v>
      </c>
      <c r="M529" s="1">
        <v>45965</v>
      </c>
      <c r="N529" s="2">
        <v>36.65</v>
      </c>
      <c r="O529">
        <f t="shared" si="25"/>
        <v>10</v>
      </c>
      <c r="P529" t="s">
        <v>214</v>
      </c>
      <c r="Q529" t="s">
        <v>1274</v>
      </c>
      <c r="R529" s="3">
        <v>0.75</v>
      </c>
      <c r="S529" s="2">
        <v>27.49</v>
      </c>
      <c r="T529" t="s">
        <v>1257</v>
      </c>
    </row>
    <row r="530" spans="1:20" x14ac:dyDescent="0.25">
      <c r="A530">
        <v>2026036711</v>
      </c>
      <c r="B530" t="s">
        <v>703</v>
      </c>
      <c r="C530" t="s">
        <v>63</v>
      </c>
      <c r="D530" t="str">
        <f t="shared" si="26"/>
        <v>ANTHONY CASTRO</v>
      </c>
      <c r="E530" t="s">
        <v>89</v>
      </c>
      <c r="F530" t="s">
        <v>96</v>
      </c>
      <c r="G530">
        <v>8307933</v>
      </c>
      <c r="H530" t="s">
        <v>112</v>
      </c>
      <c r="I530" t="s">
        <v>104</v>
      </c>
      <c r="J530" t="str">
        <f t="shared" si="24"/>
        <v>GREGORY TEIPEL</v>
      </c>
      <c r="K530" t="s">
        <v>57</v>
      </c>
      <c r="L530" s="1">
        <v>45664</v>
      </c>
      <c r="M530" s="1">
        <v>45968</v>
      </c>
      <c r="N530" s="2">
        <v>152.33000000000001</v>
      </c>
      <c r="O530">
        <f t="shared" si="25"/>
        <v>10</v>
      </c>
      <c r="P530" t="s">
        <v>214</v>
      </c>
      <c r="Q530" t="s">
        <v>1274</v>
      </c>
      <c r="R530" s="3">
        <v>0.9</v>
      </c>
      <c r="S530" s="2">
        <v>137.1</v>
      </c>
      <c r="T530" t="s">
        <v>1259</v>
      </c>
    </row>
    <row r="531" spans="1:20" x14ac:dyDescent="0.25">
      <c r="A531">
        <v>2026099502</v>
      </c>
      <c r="B531" t="s">
        <v>707</v>
      </c>
      <c r="C531" t="s">
        <v>708</v>
      </c>
      <c r="D531" t="str">
        <f t="shared" si="26"/>
        <v>SARAH LEVY</v>
      </c>
      <c r="E531" t="s">
        <v>89</v>
      </c>
      <c r="F531" t="s">
        <v>96</v>
      </c>
      <c r="G531">
        <v>8307933</v>
      </c>
      <c r="H531" t="s">
        <v>112</v>
      </c>
      <c r="I531" t="s">
        <v>104</v>
      </c>
      <c r="J531" t="str">
        <f t="shared" si="24"/>
        <v>GREGORY TEIPEL</v>
      </c>
      <c r="K531" t="s">
        <v>57</v>
      </c>
      <c r="L531" s="1">
        <v>45664</v>
      </c>
      <c r="M531" s="1">
        <v>45968</v>
      </c>
      <c r="N531" s="2">
        <v>234.17</v>
      </c>
      <c r="O531">
        <f t="shared" si="25"/>
        <v>10</v>
      </c>
      <c r="P531" t="s">
        <v>214</v>
      </c>
      <c r="Q531" t="s">
        <v>1274</v>
      </c>
      <c r="R531" s="3">
        <v>0.9</v>
      </c>
      <c r="S531" s="2">
        <v>210.75</v>
      </c>
      <c r="T531" t="s">
        <v>1259</v>
      </c>
    </row>
    <row r="532" spans="1:20" x14ac:dyDescent="0.25">
      <c r="A532">
        <v>2026102876</v>
      </c>
      <c r="B532" t="s">
        <v>710</v>
      </c>
      <c r="C532" t="s">
        <v>711</v>
      </c>
      <c r="D532" t="str">
        <f t="shared" si="26"/>
        <v>JEROME SPENCER</v>
      </c>
      <c r="E532" t="s">
        <v>89</v>
      </c>
      <c r="F532" t="s">
        <v>96</v>
      </c>
      <c r="G532">
        <v>8307933</v>
      </c>
      <c r="H532" t="s">
        <v>112</v>
      </c>
      <c r="I532" t="s">
        <v>104</v>
      </c>
      <c r="J532" t="str">
        <f t="shared" si="24"/>
        <v>GREGORY TEIPEL</v>
      </c>
      <c r="K532" t="s">
        <v>57</v>
      </c>
      <c r="L532" s="1">
        <v>45664</v>
      </c>
      <c r="M532" s="1">
        <v>45968</v>
      </c>
      <c r="N532" s="2">
        <v>180.88</v>
      </c>
      <c r="O532">
        <f t="shared" si="25"/>
        <v>10</v>
      </c>
      <c r="P532" t="s">
        <v>214</v>
      </c>
      <c r="Q532" t="s">
        <v>1274</v>
      </c>
      <c r="R532" s="3">
        <v>0.9</v>
      </c>
      <c r="S532" s="2">
        <v>162.79</v>
      </c>
      <c r="T532" t="s">
        <v>1259</v>
      </c>
    </row>
    <row r="533" spans="1:20" x14ac:dyDescent="0.25">
      <c r="A533">
        <v>2026145113</v>
      </c>
      <c r="B533" t="s">
        <v>718</v>
      </c>
      <c r="C533" t="s">
        <v>482</v>
      </c>
      <c r="D533" t="str">
        <f t="shared" si="26"/>
        <v>MICHAEL HOCHERL</v>
      </c>
      <c r="E533" t="s">
        <v>89</v>
      </c>
      <c r="F533" t="s">
        <v>96</v>
      </c>
      <c r="G533">
        <v>8307933</v>
      </c>
      <c r="H533" t="s">
        <v>112</v>
      </c>
      <c r="I533" t="s">
        <v>104</v>
      </c>
      <c r="J533" t="str">
        <f t="shared" si="24"/>
        <v>GREGORY TEIPEL</v>
      </c>
      <c r="K533" t="s">
        <v>57</v>
      </c>
      <c r="L533" s="1">
        <v>45664</v>
      </c>
      <c r="M533" s="1">
        <v>45968</v>
      </c>
      <c r="N533" s="2">
        <v>128.61000000000001</v>
      </c>
      <c r="O533">
        <f t="shared" si="25"/>
        <v>10</v>
      </c>
      <c r="P533" t="s">
        <v>214</v>
      </c>
      <c r="Q533" t="s">
        <v>1274</v>
      </c>
      <c r="R533" s="3">
        <v>0.9</v>
      </c>
      <c r="S533" s="2">
        <v>115.75</v>
      </c>
      <c r="T533" t="s">
        <v>1259</v>
      </c>
    </row>
    <row r="534" spans="1:20" x14ac:dyDescent="0.25">
      <c r="A534">
        <v>2026150038</v>
      </c>
      <c r="B534" t="s">
        <v>719</v>
      </c>
      <c r="C534" t="s">
        <v>276</v>
      </c>
      <c r="D534" t="str">
        <f t="shared" si="26"/>
        <v>JULIE BEILFUSS</v>
      </c>
      <c r="E534" t="s">
        <v>89</v>
      </c>
      <c r="F534" t="s">
        <v>96</v>
      </c>
      <c r="G534">
        <v>8307933</v>
      </c>
      <c r="H534" t="s">
        <v>112</v>
      </c>
      <c r="I534" t="s">
        <v>104</v>
      </c>
      <c r="J534" t="str">
        <f t="shared" si="24"/>
        <v>GREGORY TEIPEL</v>
      </c>
      <c r="K534" t="s">
        <v>57</v>
      </c>
      <c r="L534" s="1">
        <v>45664</v>
      </c>
      <c r="M534" s="1">
        <v>45968</v>
      </c>
      <c r="N534" s="2">
        <v>59</v>
      </c>
      <c r="O534">
        <f t="shared" si="25"/>
        <v>10</v>
      </c>
      <c r="P534" t="s">
        <v>214</v>
      </c>
      <c r="Q534" t="s">
        <v>1274</v>
      </c>
      <c r="R534" s="3">
        <v>0.9</v>
      </c>
      <c r="S534" s="2">
        <v>53.1</v>
      </c>
      <c r="T534" t="s">
        <v>1259</v>
      </c>
    </row>
    <row r="535" spans="1:20" x14ac:dyDescent="0.25">
      <c r="A535">
        <v>2026185573</v>
      </c>
      <c r="B535" t="s">
        <v>463</v>
      </c>
      <c r="C535" t="s">
        <v>728</v>
      </c>
      <c r="D535" t="str">
        <f t="shared" si="26"/>
        <v>NILAY PATEL</v>
      </c>
      <c r="E535" t="s">
        <v>89</v>
      </c>
      <c r="F535" t="s">
        <v>96</v>
      </c>
      <c r="G535">
        <v>8307933</v>
      </c>
      <c r="H535" t="s">
        <v>112</v>
      </c>
      <c r="I535" t="s">
        <v>104</v>
      </c>
      <c r="J535" t="str">
        <f t="shared" si="24"/>
        <v>GREGORY TEIPEL</v>
      </c>
      <c r="K535" t="s">
        <v>57</v>
      </c>
      <c r="L535" s="1">
        <v>45664</v>
      </c>
      <c r="M535" s="1">
        <v>45968</v>
      </c>
      <c r="N535" s="2">
        <v>135.59</v>
      </c>
      <c r="O535">
        <f t="shared" si="25"/>
        <v>10</v>
      </c>
      <c r="P535" t="s">
        <v>214</v>
      </c>
      <c r="Q535" t="s">
        <v>1274</v>
      </c>
      <c r="R535" s="3">
        <v>0.9</v>
      </c>
      <c r="S535" s="2">
        <v>122.03</v>
      </c>
      <c r="T535" t="s">
        <v>1259</v>
      </c>
    </row>
    <row r="536" spans="1:20" x14ac:dyDescent="0.25">
      <c r="A536">
        <v>2025670861</v>
      </c>
      <c r="B536" t="s">
        <v>1162</v>
      </c>
      <c r="C536" t="s">
        <v>194</v>
      </c>
      <c r="D536" t="str">
        <f t="shared" si="26"/>
        <v>KAREN CHURCHVILLE</v>
      </c>
      <c r="E536" t="s">
        <v>350</v>
      </c>
      <c r="F536" t="s">
        <v>351</v>
      </c>
      <c r="G536">
        <v>19278370</v>
      </c>
      <c r="H536" t="s">
        <v>75</v>
      </c>
      <c r="I536" t="s">
        <v>76</v>
      </c>
      <c r="J536" t="str">
        <f t="shared" si="24"/>
        <v>ANNE MARIE KOZACHECK</v>
      </c>
      <c r="K536" t="s">
        <v>57</v>
      </c>
      <c r="L536" s="1">
        <v>45658</v>
      </c>
      <c r="M536" s="1">
        <v>45962</v>
      </c>
      <c r="N536" s="2">
        <v>56.88</v>
      </c>
      <c r="O536">
        <f t="shared" si="25"/>
        <v>10</v>
      </c>
      <c r="P536" t="s">
        <v>214</v>
      </c>
      <c r="Q536" t="s">
        <v>1274</v>
      </c>
      <c r="R536" s="3">
        <v>0.47</v>
      </c>
      <c r="S536" s="2">
        <v>26.73</v>
      </c>
      <c r="T536" t="s">
        <v>351</v>
      </c>
    </row>
    <row r="537" spans="1:20" x14ac:dyDescent="0.25">
      <c r="A537">
        <v>2025937347</v>
      </c>
      <c r="B537" t="s">
        <v>1165</v>
      </c>
      <c r="C537" t="s">
        <v>1166</v>
      </c>
      <c r="D537" t="str">
        <f t="shared" si="26"/>
        <v>LYNN LYMAN</v>
      </c>
      <c r="E537" t="s">
        <v>350</v>
      </c>
      <c r="F537" t="s">
        <v>351</v>
      </c>
      <c r="G537">
        <v>19278370</v>
      </c>
      <c r="H537" t="s">
        <v>75</v>
      </c>
      <c r="I537" t="s">
        <v>76</v>
      </c>
      <c r="J537" t="str">
        <f t="shared" si="24"/>
        <v>ANNE MARIE KOZACHECK</v>
      </c>
      <c r="K537" t="s">
        <v>57</v>
      </c>
      <c r="L537" s="1">
        <v>45658</v>
      </c>
      <c r="M537" s="1">
        <v>45962</v>
      </c>
      <c r="N537" s="2">
        <v>56.88</v>
      </c>
      <c r="O537">
        <f t="shared" si="25"/>
        <v>10</v>
      </c>
      <c r="P537" t="s">
        <v>214</v>
      </c>
      <c r="Q537" t="s">
        <v>1274</v>
      </c>
      <c r="R537" s="3">
        <v>0.47</v>
      </c>
      <c r="S537" s="2">
        <v>26.73</v>
      </c>
      <c r="T537" t="s">
        <v>351</v>
      </c>
    </row>
    <row r="538" spans="1:20" x14ac:dyDescent="0.25">
      <c r="A538">
        <v>2025735300</v>
      </c>
      <c r="B538" t="s">
        <v>1163</v>
      </c>
      <c r="C538" t="s">
        <v>1164</v>
      </c>
      <c r="D538" t="str">
        <f t="shared" si="26"/>
        <v>LUCIANA LOOMIS</v>
      </c>
      <c r="E538" t="s">
        <v>350</v>
      </c>
      <c r="F538" t="s">
        <v>351</v>
      </c>
      <c r="G538">
        <v>17528908</v>
      </c>
      <c r="H538" t="s">
        <v>352</v>
      </c>
      <c r="I538" t="s">
        <v>353</v>
      </c>
      <c r="J538" t="str">
        <f t="shared" si="24"/>
        <v>DEBORAH INSKIPT</v>
      </c>
      <c r="K538" t="s">
        <v>57</v>
      </c>
      <c r="L538" s="1">
        <v>45658</v>
      </c>
      <c r="M538" s="1">
        <v>45962</v>
      </c>
      <c r="N538" s="2">
        <v>78.83</v>
      </c>
      <c r="O538">
        <f t="shared" si="25"/>
        <v>10</v>
      </c>
      <c r="P538" t="s">
        <v>214</v>
      </c>
      <c r="Q538" t="s">
        <v>1274</v>
      </c>
      <c r="R538" s="3">
        <v>0.47</v>
      </c>
      <c r="S538" s="2">
        <v>37.049999999999997</v>
      </c>
      <c r="T538" t="s">
        <v>351</v>
      </c>
    </row>
    <row r="539" spans="1:20" x14ac:dyDescent="0.25">
      <c r="A539">
        <v>2026107902</v>
      </c>
      <c r="B539" t="s">
        <v>1172</v>
      </c>
      <c r="C539" t="s">
        <v>1173</v>
      </c>
      <c r="D539" t="str">
        <f t="shared" si="26"/>
        <v>TAWNI BECK</v>
      </c>
      <c r="E539" t="s">
        <v>350</v>
      </c>
      <c r="F539" t="s">
        <v>351</v>
      </c>
      <c r="G539">
        <v>17528908</v>
      </c>
      <c r="H539" t="s">
        <v>352</v>
      </c>
      <c r="I539" t="s">
        <v>353</v>
      </c>
      <c r="J539" t="str">
        <f t="shared" si="24"/>
        <v>DEBORAH INSKIPT</v>
      </c>
      <c r="K539" t="s">
        <v>57</v>
      </c>
      <c r="L539" s="1">
        <v>45658</v>
      </c>
      <c r="M539" s="1">
        <v>45962</v>
      </c>
      <c r="N539" s="2">
        <v>33.590000000000003</v>
      </c>
      <c r="O539">
        <f t="shared" si="25"/>
        <v>10</v>
      </c>
      <c r="P539" t="s">
        <v>214</v>
      </c>
      <c r="Q539" t="s">
        <v>1274</v>
      </c>
      <c r="R539" s="3">
        <v>0.47</v>
      </c>
      <c r="S539" s="2">
        <v>15.79</v>
      </c>
      <c r="T539" t="s">
        <v>351</v>
      </c>
    </row>
    <row r="540" spans="1:20" x14ac:dyDescent="0.25">
      <c r="A540">
        <v>2026147450</v>
      </c>
      <c r="B540" t="s">
        <v>1174</v>
      </c>
      <c r="C540" t="s">
        <v>1175</v>
      </c>
      <c r="D540" t="str">
        <f t="shared" si="26"/>
        <v>EDITH FENTON</v>
      </c>
      <c r="E540" t="s">
        <v>350</v>
      </c>
      <c r="F540" t="s">
        <v>351</v>
      </c>
      <c r="G540">
        <v>17528908</v>
      </c>
      <c r="H540" t="s">
        <v>352</v>
      </c>
      <c r="I540" t="s">
        <v>353</v>
      </c>
      <c r="J540" t="str">
        <f t="shared" si="24"/>
        <v>DEBORAH INSKIPT</v>
      </c>
      <c r="K540" t="s">
        <v>57</v>
      </c>
      <c r="L540" s="1">
        <v>45658</v>
      </c>
      <c r="M540" s="1">
        <v>45962</v>
      </c>
      <c r="N540" s="2">
        <v>33.590000000000003</v>
      </c>
      <c r="O540">
        <f t="shared" si="25"/>
        <v>10</v>
      </c>
      <c r="P540" t="s">
        <v>214</v>
      </c>
      <c r="Q540" t="s">
        <v>1274</v>
      </c>
      <c r="R540" s="3">
        <v>0.47</v>
      </c>
      <c r="S540" s="2">
        <v>15.79</v>
      </c>
      <c r="T540" t="s">
        <v>351</v>
      </c>
    </row>
    <row r="541" spans="1:20" x14ac:dyDescent="0.25">
      <c r="A541">
        <v>2026485483</v>
      </c>
      <c r="B541" t="s">
        <v>396</v>
      </c>
      <c r="C541" t="s">
        <v>397</v>
      </c>
      <c r="D541" t="str">
        <f t="shared" si="26"/>
        <v>WAYNE MOORE</v>
      </c>
      <c r="E541" t="s">
        <v>287</v>
      </c>
      <c r="F541" t="s">
        <v>288</v>
      </c>
      <c r="G541">
        <v>17425766</v>
      </c>
      <c r="H541" t="s">
        <v>237</v>
      </c>
      <c r="I541" t="s">
        <v>238</v>
      </c>
      <c r="J541" t="str">
        <f t="shared" si="24"/>
        <v>CAROL FOLEY</v>
      </c>
      <c r="K541" t="s">
        <v>57</v>
      </c>
      <c r="L541" s="1">
        <v>45665</v>
      </c>
      <c r="M541" s="1">
        <v>45969</v>
      </c>
      <c r="N541" s="2">
        <v>39.28</v>
      </c>
      <c r="O541">
        <f t="shared" si="25"/>
        <v>10</v>
      </c>
      <c r="P541" t="s">
        <v>214</v>
      </c>
      <c r="Q541" t="s">
        <v>1274</v>
      </c>
      <c r="R541" s="3">
        <v>0.38</v>
      </c>
      <c r="S541" s="2">
        <v>14.93</v>
      </c>
      <c r="T541" t="s">
        <v>288</v>
      </c>
    </row>
    <row r="542" spans="1:20" x14ac:dyDescent="0.25">
      <c r="A542">
        <v>2025892048</v>
      </c>
      <c r="B542" t="s">
        <v>368</v>
      </c>
      <c r="C542" t="s">
        <v>500</v>
      </c>
      <c r="D542" t="str">
        <f t="shared" si="26"/>
        <v>RONNIE BROWN</v>
      </c>
      <c r="E542" t="s">
        <v>467</v>
      </c>
      <c r="F542" t="s">
        <v>501</v>
      </c>
      <c r="G542">
        <v>17425766</v>
      </c>
      <c r="H542" t="s">
        <v>237</v>
      </c>
      <c r="I542" t="s">
        <v>238</v>
      </c>
      <c r="J542" t="str">
        <f t="shared" si="24"/>
        <v>CAROL FOLEY</v>
      </c>
      <c r="K542" t="s">
        <v>57</v>
      </c>
      <c r="L542" s="1">
        <v>45658</v>
      </c>
      <c r="M542" s="1">
        <v>45962</v>
      </c>
      <c r="N542" s="2">
        <v>214.75</v>
      </c>
      <c r="O542">
        <f t="shared" si="25"/>
        <v>10</v>
      </c>
      <c r="P542" t="s">
        <v>214</v>
      </c>
      <c r="Q542" t="s">
        <v>1274</v>
      </c>
      <c r="R542" s="3">
        <v>0.13</v>
      </c>
      <c r="S542" s="2">
        <v>27.92</v>
      </c>
      <c r="T542" t="s">
        <v>1267</v>
      </c>
    </row>
    <row r="543" spans="1:20" x14ac:dyDescent="0.25">
      <c r="A543">
        <v>2026055881</v>
      </c>
      <c r="B543" t="s">
        <v>502</v>
      </c>
      <c r="C543" t="s">
        <v>503</v>
      </c>
      <c r="D543" t="str">
        <f t="shared" si="26"/>
        <v>GLORIA VERANO</v>
      </c>
      <c r="E543" t="s">
        <v>467</v>
      </c>
      <c r="F543" t="s">
        <v>471</v>
      </c>
      <c r="G543">
        <v>17425766</v>
      </c>
      <c r="H543" t="s">
        <v>237</v>
      </c>
      <c r="I543" t="s">
        <v>238</v>
      </c>
      <c r="J543" t="str">
        <f t="shared" si="24"/>
        <v>CAROL FOLEY</v>
      </c>
      <c r="K543" t="s">
        <v>57</v>
      </c>
      <c r="L543" s="1">
        <v>45658</v>
      </c>
      <c r="M543" s="1">
        <v>45962</v>
      </c>
      <c r="N543" s="2">
        <v>126.58</v>
      </c>
      <c r="O543">
        <f t="shared" si="25"/>
        <v>10</v>
      </c>
      <c r="P543" t="s">
        <v>214</v>
      </c>
      <c r="Q543" t="s">
        <v>1274</v>
      </c>
      <c r="R543" s="3">
        <v>0.26</v>
      </c>
      <c r="S543" s="2">
        <v>32.909999999999997</v>
      </c>
      <c r="T543" t="s">
        <v>1266</v>
      </c>
    </row>
    <row r="544" spans="1:20" x14ac:dyDescent="0.25">
      <c r="A544">
        <v>2026055288</v>
      </c>
      <c r="B544" t="s">
        <v>502</v>
      </c>
      <c r="C544" t="s">
        <v>165</v>
      </c>
      <c r="D544" t="str">
        <f t="shared" si="26"/>
        <v>FRANK VERANO</v>
      </c>
      <c r="E544" t="s">
        <v>467</v>
      </c>
      <c r="F544" t="s">
        <v>497</v>
      </c>
      <c r="G544">
        <v>17425766</v>
      </c>
      <c r="H544" t="s">
        <v>237</v>
      </c>
      <c r="I544" t="s">
        <v>238</v>
      </c>
      <c r="J544" t="str">
        <f t="shared" si="24"/>
        <v>CAROL FOLEY</v>
      </c>
      <c r="K544" t="s">
        <v>57</v>
      </c>
      <c r="L544" s="1">
        <v>45658</v>
      </c>
      <c r="M544" s="1">
        <v>45962</v>
      </c>
      <c r="N544" s="2">
        <v>110.69</v>
      </c>
      <c r="O544">
        <f t="shared" si="25"/>
        <v>10</v>
      </c>
      <c r="P544" t="s">
        <v>214</v>
      </c>
      <c r="Q544" t="s">
        <v>1274</v>
      </c>
      <c r="R544" s="3">
        <v>0.28000000000000003</v>
      </c>
      <c r="S544" s="2">
        <v>30.99</v>
      </c>
      <c r="T544" t="s">
        <v>497</v>
      </c>
    </row>
    <row r="545" spans="1:20" x14ac:dyDescent="0.25">
      <c r="A545">
        <v>2026189683</v>
      </c>
      <c r="B545" t="s">
        <v>875</v>
      </c>
      <c r="C545" t="s">
        <v>671</v>
      </c>
      <c r="D545" t="str">
        <f t="shared" si="26"/>
        <v>STEVEN ADLER</v>
      </c>
      <c r="E545" t="s">
        <v>292</v>
      </c>
      <c r="F545" t="s">
        <v>293</v>
      </c>
      <c r="G545">
        <v>593918</v>
      </c>
      <c r="H545" t="s">
        <v>876</v>
      </c>
      <c r="I545" t="s">
        <v>362</v>
      </c>
      <c r="J545" t="str">
        <f t="shared" si="24"/>
        <v>ANDREW GOODMAN</v>
      </c>
      <c r="K545" t="s">
        <v>57</v>
      </c>
      <c r="L545" s="1">
        <v>45658</v>
      </c>
      <c r="M545" s="1">
        <v>45962</v>
      </c>
      <c r="N545" s="2">
        <v>17.809999999999999</v>
      </c>
      <c r="O545">
        <f t="shared" si="25"/>
        <v>10</v>
      </c>
      <c r="P545" t="s">
        <v>214</v>
      </c>
      <c r="Q545" t="s">
        <v>1274</v>
      </c>
      <c r="R545" s="3">
        <v>0.7</v>
      </c>
      <c r="S545" s="2">
        <v>12.47</v>
      </c>
      <c r="T545" t="s">
        <v>293</v>
      </c>
    </row>
    <row r="546" spans="1:20" x14ac:dyDescent="0.25">
      <c r="A546">
        <v>2025690376</v>
      </c>
      <c r="B546" t="s">
        <v>693</v>
      </c>
      <c r="C546" t="s">
        <v>137</v>
      </c>
      <c r="D546" t="str">
        <f t="shared" si="26"/>
        <v>JUSTIN REITER</v>
      </c>
      <c r="E546" t="s">
        <v>292</v>
      </c>
      <c r="F546" t="s">
        <v>293</v>
      </c>
      <c r="G546">
        <v>8307933</v>
      </c>
      <c r="H546" t="s">
        <v>112</v>
      </c>
      <c r="I546" t="s">
        <v>104</v>
      </c>
      <c r="J546" t="str">
        <f t="shared" si="24"/>
        <v>GREGORY TEIPEL</v>
      </c>
      <c r="K546" t="s">
        <v>57</v>
      </c>
      <c r="L546" s="1">
        <v>45664</v>
      </c>
      <c r="M546" s="1">
        <v>45968</v>
      </c>
      <c r="N546" s="2">
        <v>31.28</v>
      </c>
      <c r="O546">
        <f t="shared" si="25"/>
        <v>10</v>
      </c>
      <c r="P546" t="s">
        <v>214</v>
      </c>
      <c r="Q546" t="s">
        <v>1274</v>
      </c>
      <c r="R546" s="3">
        <v>0.7</v>
      </c>
      <c r="S546" s="2">
        <v>21.9</v>
      </c>
      <c r="T546" t="s">
        <v>293</v>
      </c>
    </row>
    <row r="547" spans="1:20" x14ac:dyDescent="0.25">
      <c r="A547">
        <v>2025732433</v>
      </c>
      <c r="B547" t="s">
        <v>695</v>
      </c>
      <c r="C547" t="s">
        <v>353</v>
      </c>
      <c r="D547" t="str">
        <f t="shared" si="26"/>
        <v>DEBORAH HANNA</v>
      </c>
      <c r="E547" t="s">
        <v>292</v>
      </c>
      <c r="F547" t="s">
        <v>293</v>
      </c>
      <c r="G547">
        <v>8307933</v>
      </c>
      <c r="H547" t="s">
        <v>112</v>
      </c>
      <c r="I547" t="s">
        <v>104</v>
      </c>
      <c r="J547" t="str">
        <f t="shared" si="24"/>
        <v>GREGORY TEIPEL</v>
      </c>
      <c r="K547" t="s">
        <v>57</v>
      </c>
      <c r="L547" s="1">
        <v>45664</v>
      </c>
      <c r="M547" s="1">
        <v>45968</v>
      </c>
      <c r="N547" s="2">
        <v>98.64</v>
      </c>
      <c r="O547">
        <f t="shared" si="25"/>
        <v>10</v>
      </c>
      <c r="P547" t="s">
        <v>214</v>
      </c>
      <c r="Q547" t="s">
        <v>1274</v>
      </c>
      <c r="R547" s="3">
        <v>0.7</v>
      </c>
      <c r="S547" s="2">
        <v>69.05</v>
      </c>
      <c r="T547" t="s">
        <v>293</v>
      </c>
    </row>
    <row r="548" spans="1:20" x14ac:dyDescent="0.25">
      <c r="A548">
        <v>2026028784</v>
      </c>
      <c r="B548" t="s">
        <v>861</v>
      </c>
      <c r="C548" t="s">
        <v>862</v>
      </c>
      <c r="D548" t="str">
        <f t="shared" si="26"/>
        <v>LEAH HAMILTON</v>
      </c>
      <c r="E548" t="s">
        <v>292</v>
      </c>
      <c r="F548" t="s">
        <v>293</v>
      </c>
      <c r="G548">
        <v>8307933</v>
      </c>
      <c r="H548" t="s">
        <v>112</v>
      </c>
      <c r="I548" t="s">
        <v>104</v>
      </c>
      <c r="J548" t="str">
        <f t="shared" si="24"/>
        <v>GREGORY TEIPEL</v>
      </c>
      <c r="K548" t="s">
        <v>57</v>
      </c>
      <c r="L548" s="1">
        <v>45664</v>
      </c>
      <c r="M548" s="1">
        <v>45968</v>
      </c>
      <c r="N548" s="2">
        <v>96</v>
      </c>
      <c r="O548">
        <f t="shared" si="25"/>
        <v>10</v>
      </c>
      <c r="P548" t="s">
        <v>214</v>
      </c>
      <c r="Q548" t="s">
        <v>1274</v>
      </c>
      <c r="R548" s="3">
        <v>0.7</v>
      </c>
      <c r="S548" s="2">
        <v>67.2</v>
      </c>
      <c r="T548" t="s">
        <v>293</v>
      </c>
    </row>
    <row r="549" spans="1:20" x14ac:dyDescent="0.25">
      <c r="A549">
        <v>2026036712</v>
      </c>
      <c r="B549" t="s">
        <v>703</v>
      </c>
      <c r="C549" t="s">
        <v>63</v>
      </c>
      <c r="D549" t="str">
        <f t="shared" si="26"/>
        <v>ANTHONY CASTRO</v>
      </c>
      <c r="E549" t="s">
        <v>292</v>
      </c>
      <c r="F549" t="s">
        <v>293</v>
      </c>
      <c r="G549">
        <v>8307933</v>
      </c>
      <c r="H549" t="s">
        <v>112</v>
      </c>
      <c r="I549" t="s">
        <v>104</v>
      </c>
      <c r="J549" t="str">
        <f t="shared" si="24"/>
        <v>GREGORY TEIPEL</v>
      </c>
      <c r="K549" t="s">
        <v>57</v>
      </c>
      <c r="L549" s="1">
        <v>45664</v>
      </c>
      <c r="M549" s="1">
        <v>45968</v>
      </c>
      <c r="N549" s="2">
        <v>74.58</v>
      </c>
      <c r="O549">
        <f t="shared" si="25"/>
        <v>10</v>
      </c>
      <c r="P549" t="s">
        <v>214</v>
      </c>
      <c r="Q549" t="s">
        <v>1274</v>
      </c>
      <c r="R549" s="3">
        <v>0.7</v>
      </c>
      <c r="S549" s="2">
        <v>52.21</v>
      </c>
      <c r="T549" t="s">
        <v>293</v>
      </c>
    </row>
    <row r="550" spans="1:20" x14ac:dyDescent="0.25">
      <c r="A550">
        <v>2026043419</v>
      </c>
      <c r="B550" t="s">
        <v>863</v>
      </c>
      <c r="C550" t="s">
        <v>74</v>
      </c>
      <c r="D550" t="str">
        <f t="shared" si="26"/>
        <v>DYLAN DEAN</v>
      </c>
      <c r="E550" t="s">
        <v>292</v>
      </c>
      <c r="F550" t="s">
        <v>293</v>
      </c>
      <c r="G550">
        <v>8307933</v>
      </c>
      <c r="H550" t="s">
        <v>112</v>
      </c>
      <c r="I550" t="s">
        <v>104</v>
      </c>
      <c r="J550" t="str">
        <f t="shared" si="24"/>
        <v>GREGORY TEIPEL</v>
      </c>
      <c r="K550" t="s">
        <v>57</v>
      </c>
      <c r="L550" s="1">
        <v>45664</v>
      </c>
      <c r="M550" s="1">
        <v>45968</v>
      </c>
      <c r="N550" s="2">
        <v>79.33</v>
      </c>
      <c r="O550">
        <f t="shared" si="25"/>
        <v>10</v>
      </c>
      <c r="P550" t="s">
        <v>214</v>
      </c>
      <c r="Q550" t="s">
        <v>1274</v>
      </c>
      <c r="R550" s="3">
        <v>0.7</v>
      </c>
      <c r="S550" s="2">
        <v>55.53</v>
      </c>
      <c r="T550" t="s">
        <v>293</v>
      </c>
    </row>
    <row r="551" spans="1:20" x14ac:dyDescent="0.25">
      <c r="A551">
        <v>2026047071</v>
      </c>
      <c r="B551" t="s">
        <v>601</v>
      </c>
      <c r="C551" t="s">
        <v>169</v>
      </c>
      <c r="D551" t="str">
        <f t="shared" si="26"/>
        <v>SHEILA BOYD</v>
      </c>
      <c r="E551" t="s">
        <v>292</v>
      </c>
      <c r="F551" t="s">
        <v>293</v>
      </c>
      <c r="G551">
        <v>8307933</v>
      </c>
      <c r="H551" t="s">
        <v>112</v>
      </c>
      <c r="I551" t="s">
        <v>104</v>
      </c>
      <c r="J551" t="str">
        <f t="shared" si="24"/>
        <v>GREGORY TEIPEL</v>
      </c>
      <c r="K551" t="s">
        <v>57</v>
      </c>
      <c r="L551" s="1">
        <v>45664</v>
      </c>
      <c r="M551" s="1">
        <v>45968</v>
      </c>
      <c r="N551" s="2">
        <v>323.26</v>
      </c>
      <c r="O551">
        <f t="shared" si="25"/>
        <v>10</v>
      </c>
      <c r="P551" t="s">
        <v>214</v>
      </c>
      <c r="Q551" t="s">
        <v>1274</v>
      </c>
      <c r="R551" s="3">
        <v>0.7</v>
      </c>
      <c r="S551" s="2">
        <v>226.28</v>
      </c>
      <c r="T551" t="s">
        <v>293</v>
      </c>
    </row>
    <row r="552" spans="1:20" x14ac:dyDescent="0.25">
      <c r="A552">
        <v>2026053294</v>
      </c>
      <c r="B552" t="s">
        <v>705</v>
      </c>
      <c r="C552" t="s">
        <v>393</v>
      </c>
      <c r="D552" t="str">
        <f t="shared" si="26"/>
        <v>PAMELA CREASBAUM</v>
      </c>
      <c r="E552" t="s">
        <v>292</v>
      </c>
      <c r="F552" t="s">
        <v>293</v>
      </c>
      <c r="G552">
        <v>8307933</v>
      </c>
      <c r="H552" t="s">
        <v>112</v>
      </c>
      <c r="I552" t="s">
        <v>104</v>
      </c>
      <c r="J552" t="str">
        <f t="shared" si="24"/>
        <v>GREGORY TEIPEL</v>
      </c>
      <c r="K552" t="s">
        <v>57</v>
      </c>
      <c r="L552" s="1">
        <v>45664</v>
      </c>
      <c r="M552" s="1">
        <v>45968</v>
      </c>
      <c r="N552" s="2">
        <v>124.72</v>
      </c>
      <c r="O552">
        <f t="shared" si="25"/>
        <v>10</v>
      </c>
      <c r="P552" t="s">
        <v>214</v>
      </c>
      <c r="Q552" t="s">
        <v>1274</v>
      </c>
      <c r="R552" s="3">
        <v>0.7</v>
      </c>
      <c r="S552" s="2">
        <v>87.3</v>
      </c>
      <c r="T552" t="s">
        <v>293</v>
      </c>
    </row>
    <row r="553" spans="1:20" x14ac:dyDescent="0.25">
      <c r="A553">
        <v>2026056484</v>
      </c>
      <c r="B553" t="s">
        <v>864</v>
      </c>
      <c r="C553" t="s">
        <v>571</v>
      </c>
      <c r="D553" t="str">
        <f t="shared" si="26"/>
        <v>TRACY SKIBINSKI</v>
      </c>
      <c r="E553" t="s">
        <v>292</v>
      </c>
      <c r="F553" t="s">
        <v>293</v>
      </c>
      <c r="G553">
        <v>8307933</v>
      </c>
      <c r="H553" t="s">
        <v>112</v>
      </c>
      <c r="I553" t="s">
        <v>104</v>
      </c>
      <c r="J553" t="str">
        <f t="shared" si="24"/>
        <v>GREGORY TEIPEL</v>
      </c>
      <c r="K553" t="s">
        <v>57</v>
      </c>
      <c r="L553" s="1">
        <v>45664</v>
      </c>
      <c r="M553" s="1">
        <v>45968</v>
      </c>
      <c r="N553" s="2">
        <v>46.72</v>
      </c>
      <c r="O553">
        <f t="shared" si="25"/>
        <v>10</v>
      </c>
      <c r="P553" t="s">
        <v>214</v>
      </c>
      <c r="Q553" t="s">
        <v>1274</v>
      </c>
      <c r="R553" s="3">
        <v>0.7</v>
      </c>
      <c r="S553" s="2">
        <v>32.700000000000003</v>
      </c>
      <c r="T553" t="s">
        <v>293</v>
      </c>
    </row>
    <row r="554" spans="1:20" x14ac:dyDescent="0.25">
      <c r="A554">
        <v>2026077464</v>
      </c>
      <c r="B554" t="s">
        <v>865</v>
      </c>
      <c r="C554" t="s">
        <v>740</v>
      </c>
      <c r="D554" t="str">
        <f t="shared" si="26"/>
        <v>MARY DIANA</v>
      </c>
      <c r="E554" t="s">
        <v>292</v>
      </c>
      <c r="F554" t="s">
        <v>293</v>
      </c>
      <c r="G554">
        <v>8307933</v>
      </c>
      <c r="H554" t="s">
        <v>112</v>
      </c>
      <c r="I554" t="s">
        <v>104</v>
      </c>
      <c r="J554" t="str">
        <f t="shared" si="24"/>
        <v>GREGORY TEIPEL</v>
      </c>
      <c r="K554" t="s">
        <v>57</v>
      </c>
      <c r="L554" s="1">
        <v>45664</v>
      </c>
      <c r="M554" s="1">
        <v>45968</v>
      </c>
      <c r="N554" s="2">
        <v>198.36</v>
      </c>
      <c r="O554">
        <f t="shared" si="25"/>
        <v>10</v>
      </c>
      <c r="P554" t="s">
        <v>214</v>
      </c>
      <c r="Q554" t="s">
        <v>1274</v>
      </c>
      <c r="R554" s="3">
        <v>0.7</v>
      </c>
      <c r="S554" s="2">
        <v>138.85</v>
      </c>
      <c r="T554" t="s">
        <v>293</v>
      </c>
    </row>
    <row r="555" spans="1:20" x14ac:dyDescent="0.25">
      <c r="A555">
        <v>2026082702</v>
      </c>
      <c r="B555" t="s">
        <v>706</v>
      </c>
      <c r="C555" t="s">
        <v>194</v>
      </c>
      <c r="D555" t="str">
        <f t="shared" si="26"/>
        <v>KAREN FOWLER</v>
      </c>
      <c r="E555" t="s">
        <v>292</v>
      </c>
      <c r="F555" t="s">
        <v>293</v>
      </c>
      <c r="G555">
        <v>8307933</v>
      </c>
      <c r="H555" t="s">
        <v>112</v>
      </c>
      <c r="I555" t="s">
        <v>104</v>
      </c>
      <c r="J555" t="str">
        <f t="shared" si="24"/>
        <v>GREGORY TEIPEL</v>
      </c>
      <c r="K555" t="s">
        <v>57</v>
      </c>
      <c r="L555" s="1">
        <v>45664</v>
      </c>
      <c r="M555" s="1">
        <v>45968</v>
      </c>
      <c r="N555" s="2">
        <v>32.979999999999997</v>
      </c>
      <c r="O555">
        <f t="shared" si="25"/>
        <v>10</v>
      </c>
      <c r="P555" t="s">
        <v>214</v>
      </c>
      <c r="Q555" t="s">
        <v>1274</v>
      </c>
      <c r="R555" s="3">
        <v>0.7</v>
      </c>
      <c r="S555" s="2">
        <v>23.09</v>
      </c>
      <c r="T555" t="s">
        <v>293</v>
      </c>
    </row>
    <row r="556" spans="1:20" x14ac:dyDescent="0.25">
      <c r="A556">
        <v>2026083912</v>
      </c>
      <c r="B556" t="s">
        <v>866</v>
      </c>
      <c r="C556" t="s">
        <v>867</v>
      </c>
      <c r="D556" t="str">
        <f t="shared" si="26"/>
        <v>CHAMAIPORN SWAIN</v>
      </c>
      <c r="E556" t="s">
        <v>292</v>
      </c>
      <c r="F556" t="s">
        <v>293</v>
      </c>
      <c r="G556">
        <v>8307933</v>
      </c>
      <c r="H556" t="s">
        <v>112</v>
      </c>
      <c r="I556" t="s">
        <v>104</v>
      </c>
      <c r="J556" t="str">
        <f t="shared" si="24"/>
        <v>GREGORY TEIPEL</v>
      </c>
      <c r="K556" t="s">
        <v>57</v>
      </c>
      <c r="L556" s="1">
        <v>45664</v>
      </c>
      <c r="M556" s="1">
        <v>45968</v>
      </c>
      <c r="N556" s="2">
        <v>210.64</v>
      </c>
      <c r="O556">
        <f t="shared" si="25"/>
        <v>10</v>
      </c>
      <c r="P556" t="s">
        <v>214</v>
      </c>
      <c r="Q556" t="s">
        <v>1274</v>
      </c>
      <c r="R556" s="3">
        <v>0.7</v>
      </c>
      <c r="S556" s="2">
        <v>147.44999999999999</v>
      </c>
      <c r="T556" t="s">
        <v>293</v>
      </c>
    </row>
    <row r="557" spans="1:20" x14ac:dyDescent="0.25">
      <c r="A557">
        <v>2026084802</v>
      </c>
      <c r="B557" t="s">
        <v>868</v>
      </c>
      <c r="C557" t="s">
        <v>708</v>
      </c>
      <c r="D557" t="str">
        <f t="shared" si="26"/>
        <v>SARAH HOWELL</v>
      </c>
      <c r="E557" t="s">
        <v>292</v>
      </c>
      <c r="F557" t="s">
        <v>293</v>
      </c>
      <c r="G557">
        <v>8307933</v>
      </c>
      <c r="H557" t="s">
        <v>112</v>
      </c>
      <c r="I557" t="s">
        <v>104</v>
      </c>
      <c r="J557" t="str">
        <f t="shared" si="24"/>
        <v>GREGORY TEIPEL</v>
      </c>
      <c r="K557" t="s">
        <v>57</v>
      </c>
      <c r="L557" s="1">
        <v>45664</v>
      </c>
      <c r="M557" s="1">
        <v>45968</v>
      </c>
      <c r="N557" s="2">
        <v>105.02</v>
      </c>
      <c r="O557">
        <f t="shared" si="25"/>
        <v>10</v>
      </c>
      <c r="P557" t="s">
        <v>214</v>
      </c>
      <c r="Q557" t="s">
        <v>1274</v>
      </c>
      <c r="R557" s="3">
        <v>0.7</v>
      </c>
      <c r="S557" s="2">
        <v>73.510000000000005</v>
      </c>
      <c r="T557" t="s">
        <v>293</v>
      </c>
    </row>
    <row r="558" spans="1:20" x14ac:dyDescent="0.25">
      <c r="A558">
        <v>2026099501</v>
      </c>
      <c r="B558" t="s">
        <v>707</v>
      </c>
      <c r="C558" t="s">
        <v>708</v>
      </c>
      <c r="D558" t="str">
        <f t="shared" si="26"/>
        <v>SARAH LEVY</v>
      </c>
      <c r="E558" t="s">
        <v>292</v>
      </c>
      <c r="F558" t="s">
        <v>293</v>
      </c>
      <c r="G558">
        <v>8307933</v>
      </c>
      <c r="H558" t="s">
        <v>112</v>
      </c>
      <c r="I558" t="s">
        <v>104</v>
      </c>
      <c r="J558" t="str">
        <f t="shared" si="24"/>
        <v>GREGORY TEIPEL</v>
      </c>
      <c r="K558" t="s">
        <v>57</v>
      </c>
      <c r="L558" s="1">
        <v>45664</v>
      </c>
      <c r="M558" s="1">
        <v>45968</v>
      </c>
      <c r="N558" s="2">
        <v>31.28</v>
      </c>
      <c r="O558">
        <f t="shared" si="25"/>
        <v>10</v>
      </c>
      <c r="P558" t="s">
        <v>214</v>
      </c>
      <c r="Q558" t="s">
        <v>1274</v>
      </c>
      <c r="R558" s="3">
        <v>0.7</v>
      </c>
      <c r="S558" s="2">
        <v>21.9</v>
      </c>
      <c r="T558" t="s">
        <v>293</v>
      </c>
    </row>
    <row r="559" spans="1:20" x14ac:dyDescent="0.25">
      <c r="A559">
        <v>2026103478</v>
      </c>
      <c r="B559" t="s">
        <v>712</v>
      </c>
      <c r="C559" t="s">
        <v>713</v>
      </c>
      <c r="D559" t="str">
        <f t="shared" si="26"/>
        <v>WENDY RAMBOLDT</v>
      </c>
      <c r="E559" t="s">
        <v>292</v>
      </c>
      <c r="F559" t="s">
        <v>293</v>
      </c>
      <c r="G559">
        <v>8307933</v>
      </c>
      <c r="H559" t="s">
        <v>112</v>
      </c>
      <c r="I559" t="s">
        <v>104</v>
      </c>
      <c r="J559" t="str">
        <f t="shared" si="24"/>
        <v>GREGORY TEIPEL</v>
      </c>
      <c r="K559" t="s">
        <v>57</v>
      </c>
      <c r="L559" s="1">
        <v>45664</v>
      </c>
      <c r="M559" s="1">
        <v>45968</v>
      </c>
      <c r="N559" s="2">
        <v>46.72</v>
      </c>
      <c r="O559">
        <f t="shared" si="25"/>
        <v>10</v>
      </c>
      <c r="P559" t="s">
        <v>214</v>
      </c>
      <c r="Q559" t="s">
        <v>1274</v>
      </c>
      <c r="R559" s="3">
        <v>0.7</v>
      </c>
      <c r="S559" s="2">
        <v>32.700000000000003</v>
      </c>
      <c r="T559" t="s">
        <v>293</v>
      </c>
    </row>
    <row r="560" spans="1:20" x14ac:dyDescent="0.25">
      <c r="A560">
        <v>2026113523</v>
      </c>
      <c r="B560" t="s">
        <v>714</v>
      </c>
      <c r="C560" t="s">
        <v>715</v>
      </c>
      <c r="D560" t="str">
        <f t="shared" si="26"/>
        <v>TRINA FUHRHOP</v>
      </c>
      <c r="E560" t="s">
        <v>292</v>
      </c>
      <c r="F560" t="s">
        <v>293</v>
      </c>
      <c r="G560">
        <v>8307933</v>
      </c>
      <c r="H560" t="s">
        <v>112</v>
      </c>
      <c r="I560" t="s">
        <v>104</v>
      </c>
      <c r="J560" t="str">
        <f t="shared" si="24"/>
        <v>GREGORY TEIPEL</v>
      </c>
      <c r="K560" t="s">
        <v>57</v>
      </c>
      <c r="L560" s="1">
        <v>45664</v>
      </c>
      <c r="M560" s="1">
        <v>45968</v>
      </c>
      <c r="N560" s="2">
        <v>284.54000000000002</v>
      </c>
      <c r="O560">
        <f t="shared" si="25"/>
        <v>10</v>
      </c>
      <c r="P560" t="s">
        <v>214</v>
      </c>
      <c r="Q560" t="s">
        <v>1274</v>
      </c>
      <c r="R560" s="3">
        <v>0.7</v>
      </c>
      <c r="S560" s="2">
        <v>199.18</v>
      </c>
      <c r="T560" t="s">
        <v>293</v>
      </c>
    </row>
    <row r="561" spans="1:20" x14ac:dyDescent="0.25">
      <c r="A561">
        <v>2026119932</v>
      </c>
      <c r="B561" t="s">
        <v>869</v>
      </c>
      <c r="C561" t="s">
        <v>648</v>
      </c>
      <c r="D561" t="str">
        <f t="shared" si="26"/>
        <v>KENNETH HUNT</v>
      </c>
      <c r="E561" t="s">
        <v>292</v>
      </c>
      <c r="F561" t="s">
        <v>293</v>
      </c>
      <c r="G561">
        <v>8307933</v>
      </c>
      <c r="H561" t="s">
        <v>112</v>
      </c>
      <c r="I561" t="s">
        <v>104</v>
      </c>
      <c r="J561" t="str">
        <f t="shared" si="24"/>
        <v>GREGORY TEIPEL</v>
      </c>
      <c r="K561" t="s">
        <v>57</v>
      </c>
      <c r="L561" s="1">
        <v>45664</v>
      </c>
      <c r="M561" s="1">
        <v>45968</v>
      </c>
      <c r="N561" s="2">
        <v>110.16</v>
      </c>
      <c r="O561">
        <f t="shared" si="25"/>
        <v>10</v>
      </c>
      <c r="P561" t="s">
        <v>214</v>
      </c>
      <c r="Q561" t="s">
        <v>1274</v>
      </c>
      <c r="R561" s="3">
        <v>0.7</v>
      </c>
      <c r="S561" s="2">
        <v>77.11</v>
      </c>
      <c r="T561" t="s">
        <v>293</v>
      </c>
    </row>
    <row r="562" spans="1:20" x14ac:dyDescent="0.25">
      <c r="A562">
        <v>2026126660</v>
      </c>
      <c r="B562" t="s">
        <v>696</v>
      </c>
      <c r="C562" t="s">
        <v>717</v>
      </c>
      <c r="D562" t="str">
        <f t="shared" si="26"/>
        <v>SHANNON WEST</v>
      </c>
      <c r="E562" t="s">
        <v>292</v>
      </c>
      <c r="F562" t="s">
        <v>293</v>
      </c>
      <c r="G562">
        <v>8307933</v>
      </c>
      <c r="H562" t="s">
        <v>112</v>
      </c>
      <c r="I562" t="s">
        <v>104</v>
      </c>
      <c r="J562" t="str">
        <f t="shared" si="24"/>
        <v>GREGORY TEIPEL</v>
      </c>
      <c r="K562" t="s">
        <v>57</v>
      </c>
      <c r="L562" s="1">
        <v>45664</v>
      </c>
      <c r="M562" s="1">
        <v>45968</v>
      </c>
      <c r="N562" s="2">
        <v>140.6</v>
      </c>
      <c r="O562">
        <f t="shared" si="25"/>
        <v>10</v>
      </c>
      <c r="P562" t="s">
        <v>214</v>
      </c>
      <c r="Q562" t="s">
        <v>1274</v>
      </c>
      <c r="R562" s="3">
        <v>0.7</v>
      </c>
      <c r="S562" s="2">
        <v>98.42</v>
      </c>
      <c r="T562" t="s">
        <v>293</v>
      </c>
    </row>
    <row r="563" spans="1:20" x14ac:dyDescent="0.25">
      <c r="A563">
        <v>2026131288</v>
      </c>
      <c r="B563" t="s">
        <v>870</v>
      </c>
      <c r="C563" t="s">
        <v>871</v>
      </c>
      <c r="D563" t="str">
        <f t="shared" si="26"/>
        <v>SYLENA MANES</v>
      </c>
      <c r="E563" t="s">
        <v>292</v>
      </c>
      <c r="F563" t="s">
        <v>293</v>
      </c>
      <c r="G563">
        <v>8307933</v>
      </c>
      <c r="H563" t="s">
        <v>112</v>
      </c>
      <c r="I563" t="s">
        <v>104</v>
      </c>
      <c r="J563" t="str">
        <f t="shared" si="24"/>
        <v>GREGORY TEIPEL</v>
      </c>
      <c r="K563" t="s">
        <v>57</v>
      </c>
      <c r="L563" s="1">
        <v>45664</v>
      </c>
      <c r="M563" s="1">
        <v>45968</v>
      </c>
      <c r="N563" s="2">
        <v>176.94</v>
      </c>
      <c r="O563">
        <f t="shared" si="25"/>
        <v>10</v>
      </c>
      <c r="P563" t="s">
        <v>214</v>
      </c>
      <c r="Q563" t="s">
        <v>1274</v>
      </c>
      <c r="R563" s="3">
        <v>0.7</v>
      </c>
      <c r="S563" s="2">
        <v>123.86</v>
      </c>
      <c r="T563" t="s">
        <v>293</v>
      </c>
    </row>
    <row r="564" spans="1:20" x14ac:dyDescent="0.25">
      <c r="A564">
        <v>2026145112</v>
      </c>
      <c r="B564" t="s">
        <v>718</v>
      </c>
      <c r="C564" t="s">
        <v>482</v>
      </c>
      <c r="D564" t="str">
        <f t="shared" si="26"/>
        <v>MICHAEL HOCHERL</v>
      </c>
      <c r="E564" t="s">
        <v>292</v>
      </c>
      <c r="F564" t="s">
        <v>293</v>
      </c>
      <c r="G564">
        <v>8307933</v>
      </c>
      <c r="H564" t="s">
        <v>112</v>
      </c>
      <c r="I564" t="s">
        <v>104</v>
      </c>
      <c r="J564" t="str">
        <f t="shared" si="24"/>
        <v>GREGORY TEIPEL</v>
      </c>
      <c r="K564" t="s">
        <v>57</v>
      </c>
      <c r="L564" s="1">
        <v>45664</v>
      </c>
      <c r="M564" s="1">
        <v>45968</v>
      </c>
      <c r="N564" s="2">
        <v>50.48</v>
      </c>
      <c r="O564">
        <f t="shared" si="25"/>
        <v>10</v>
      </c>
      <c r="P564" t="s">
        <v>214</v>
      </c>
      <c r="Q564" t="s">
        <v>1274</v>
      </c>
      <c r="R564" s="3">
        <v>0.7</v>
      </c>
      <c r="S564" s="2">
        <v>35.340000000000003</v>
      </c>
      <c r="T564" t="s">
        <v>293</v>
      </c>
    </row>
    <row r="565" spans="1:20" x14ac:dyDescent="0.25">
      <c r="A565">
        <v>2026150039</v>
      </c>
      <c r="B565" t="s">
        <v>719</v>
      </c>
      <c r="C565" t="s">
        <v>276</v>
      </c>
      <c r="D565" t="str">
        <f t="shared" si="26"/>
        <v>JULIE BEILFUSS</v>
      </c>
      <c r="E565" t="s">
        <v>292</v>
      </c>
      <c r="F565" t="s">
        <v>293</v>
      </c>
      <c r="G565">
        <v>8307933</v>
      </c>
      <c r="H565" t="s">
        <v>112</v>
      </c>
      <c r="I565" t="s">
        <v>104</v>
      </c>
      <c r="J565" t="str">
        <f t="shared" si="24"/>
        <v>GREGORY TEIPEL</v>
      </c>
      <c r="K565" t="s">
        <v>57</v>
      </c>
      <c r="L565" s="1">
        <v>45664</v>
      </c>
      <c r="M565" s="1">
        <v>45968</v>
      </c>
      <c r="N565" s="2">
        <v>72.760000000000005</v>
      </c>
      <c r="O565">
        <f t="shared" si="25"/>
        <v>10</v>
      </c>
      <c r="P565" t="s">
        <v>214</v>
      </c>
      <c r="Q565" t="s">
        <v>1274</v>
      </c>
      <c r="R565" s="3">
        <v>0.7</v>
      </c>
      <c r="S565" s="2">
        <v>50.93</v>
      </c>
      <c r="T565" t="s">
        <v>293</v>
      </c>
    </row>
    <row r="566" spans="1:20" x14ac:dyDescent="0.25">
      <c r="A566">
        <v>2026153413</v>
      </c>
      <c r="B566" t="s">
        <v>872</v>
      </c>
      <c r="C566" t="s">
        <v>740</v>
      </c>
      <c r="D566" t="str">
        <f t="shared" si="26"/>
        <v>MARY ESPINOZA</v>
      </c>
      <c r="E566" t="s">
        <v>292</v>
      </c>
      <c r="F566" t="s">
        <v>293</v>
      </c>
      <c r="G566">
        <v>8307933</v>
      </c>
      <c r="H566" t="s">
        <v>112</v>
      </c>
      <c r="I566" t="s">
        <v>104</v>
      </c>
      <c r="J566" t="str">
        <f t="shared" si="24"/>
        <v>GREGORY TEIPEL</v>
      </c>
      <c r="K566" t="s">
        <v>57</v>
      </c>
      <c r="L566" s="1">
        <v>45664</v>
      </c>
      <c r="M566" s="1">
        <v>45968</v>
      </c>
      <c r="N566" s="2">
        <v>223.92</v>
      </c>
      <c r="O566">
        <f t="shared" si="25"/>
        <v>10</v>
      </c>
      <c r="P566" t="s">
        <v>214</v>
      </c>
      <c r="Q566" t="s">
        <v>1274</v>
      </c>
      <c r="R566" s="3">
        <v>0.7</v>
      </c>
      <c r="S566" s="2">
        <v>156.74</v>
      </c>
      <c r="T566" t="s">
        <v>293</v>
      </c>
    </row>
    <row r="567" spans="1:20" x14ac:dyDescent="0.25">
      <c r="A567">
        <v>2026153889</v>
      </c>
      <c r="B567" t="s">
        <v>872</v>
      </c>
      <c r="C567" t="s">
        <v>873</v>
      </c>
      <c r="D567" t="str">
        <f t="shared" si="26"/>
        <v>JAZZMINE ESPINOZA</v>
      </c>
      <c r="E567" t="s">
        <v>292</v>
      </c>
      <c r="F567" t="s">
        <v>293</v>
      </c>
      <c r="G567">
        <v>8307933</v>
      </c>
      <c r="H567" t="s">
        <v>112</v>
      </c>
      <c r="I567" t="s">
        <v>104</v>
      </c>
      <c r="J567" t="str">
        <f t="shared" si="24"/>
        <v>GREGORY TEIPEL</v>
      </c>
      <c r="K567" t="s">
        <v>57</v>
      </c>
      <c r="L567" s="1">
        <v>45664</v>
      </c>
      <c r="M567" s="1">
        <v>45968</v>
      </c>
      <c r="N567" s="2">
        <v>60.76</v>
      </c>
      <c r="O567">
        <f t="shared" si="25"/>
        <v>10</v>
      </c>
      <c r="P567" t="s">
        <v>214</v>
      </c>
      <c r="Q567" t="s">
        <v>1274</v>
      </c>
      <c r="R567" s="3">
        <v>0.7</v>
      </c>
      <c r="S567" s="2">
        <v>42.53</v>
      </c>
      <c r="T567" t="s">
        <v>293</v>
      </c>
    </row>
    <row r="568" spans="1:20" x14ac:dyDescent="0.25">
      <c r="A568">
        <v>2026154680</v>
      </c>
      <c r="B568" t="s">
        <v>720</v>
      </c>
      <c r="C568" t="s">
        <v>721</v>
      </c>
      <c r="D568" t="str">
        <f t="shared" si="26"/>
        <v>STEPHANIE CLANCY</v>
      </c>
      <c r="E568" t="s">
        <v>292</v>
      </c>
      <c r="F568" t="s">
        <v>293</v>
      </c>
      <c r="G568">
        <v>8307933</v>
      </c>
      <c r="H568" t="s">
        <v>112</v>
      </c>
      <c r="I568" t="s">
        <v>104</v>
      </c>
      <c r="J568" t="str">
        <f t="shared" si="24"/>
        <v>GREGORY TEIPEL</v>
      </c>
      <c r="K568" t="s">
        <v>57</v>
      </c>
      <c r="L568" s="1">
        <v>45664</v>
      </c>
      <c r="M568" s="1">
        <v>45968</v>
      </c>
      <c r="N568" s="2">
        <v>46.72</v>
      </c>
      <c r="O568">
        <f t="shared" si="25"/>
        <v>10</v>
      </c>
      <c r="P568" t="s">
        <v>214</v>
      </c>
      <c r="Q568" t="s">
        <v>1274</v>
      </c>
      <c r="R568" s="3">
        <v>0.7</v>
      </c>
      <c r="S568" s="2">
        <v>32.700000000000003</v>
      </c>
      <c r="T568" t="s">
        <v>293</v>
      </c>
    </row>
    <row r="569" spans="1:20" x14ac:dyDescent="0.25">
      <c r="A569">
        <v>2026155452</v>
      </c>
      <c r="B569" t="s">
        <v>722</v>
      </c>
      <c r="C569" t="s">
        <v>723</v>
      </c>
      <c r="D569" t="str">
        <f t="shared" si="26"/>
        <v>VIRGIL HENRY</v>
      </c>
      <c r="E569" t="s">
        <v>292</v>
      </c>
      <c r="F569" t="s">
        <v>293</v>
      </c>
      <c r="G569">
        <v>8307933</v>
      </c>
      <c r="H569" t="s">
        <v>112</v>
      </c>
      <c r="I569" t="s">
        <v>104</v>
      </c>
      <c r="J569" t="str">
        <f t="shared" si="24"/>
        <v>GREGORY TEIPEL</v>
      </c>
      <c r="K569" t="s">
        <v>57</v>
      </c>
      <c r="L569" s="1">
        <v>45664</v>
      </c>
      <c r="M569" s="1">
        <v>45968</v>
      </c>
      <c r="N569" s="2">
        <v>135.84</v>
      </c>
      <c r="O569">
        <f t="shared" si="25"/>
        <v>10</v>
      </c>
      <c r="P569" t="s">
        <v>214</v>
      </c>
      <c r="Q569" t="s">
        <v>1274</v>
      </c>
      <c r="R569" s="3">
        <v>0.7</v>
      </c>
      <c r="S569" s="2">
        <v>95.09</v>
      </c>
      <c r="T569" t="s">
        <v>293</v>
      </c>
    </row>
    <row r="570" spans="1:20" x14ac:dyDescent="0.25">
      <c r="A570">
        <v>2026175248</v>
      </c>
      <c r="B570" t="s">
        <v>726</v>
      </c>
      <c r="C570" t="s">
        <v>727</v>
      </c>
      <c r="D570" t="str">
        <f t="shared" si="26"/>
        <v>MICHELE SZAPIELAK</v>
      </c>
      <c r="E570" t="s">
        <v>292</v>
      </c>
      <c r="F570" t="s">
        <v>293</v>
      </c>
      <c r="G570">
        <v>8307933</v>
      </c>
      <c r="H570" t="s">
        <v>112</v>
      </c>
      <c r="I570" t="s">
        <v>104</v>
      </c>
      <c r="J570" t="str">
        <f t="shared" si="24"/>
        <v>GREGORY TEIPEL</v>
      </c>
      <c r="K570" t="s">
        <v>57</v>
      </c>
      <c r="L570" s="1">
        <v>45664</v>
      </c>
      <c r="M570" s="1">
        <v>45968</v>
      </c>
      <c r="N570" s="2">
        <v>52</v>
      </c>
      <c r="O570">
        <f t="shared" si="25"/>
        <v>10</v>
      </c>
      <c r="P570" t="s">
        <v>214</v>
      </c>
      <c r="Q570" t="s">
        <v>1274</v>
      </c>
      <c r="R570" s="3">
        <v>0.7</v>
      </c>
      <c r="S570" s="2">
        <v>36.4</v>
      </c>
      <c r="T570" t="s">
        <v>293</v>
      </c>
    </row>
    <row r="571" spans="1:20" x14ac:dyDescent="0.25">
      <c r="A571">
        <v>2026298484</v>
      </c>
      <c r="B571" t="s">
        <v>730</v>
      </c>
      <c r="C571" t="s">
        <v>220</v>
      </c>
      <c r="D571" t="str">
        <f t="shared" si="26"/>
        <v>BRIAN ANDRASEK</v>
      </c>
      <c r="E571" t="s">
        <v>292</v>
      </c>
      <c r="F571" t="s">
        <v>293</v>
      </c>
      <c r="G571">
        <v>8307933</v>
      </c>
      <c r="H571" t="s">
        <v>112</v>
      </c>
      <c r="I571" t="s">
        <v>104</v>
      </c>
      <c r="J571" t="str">
        <f t="shared" si="24"/>
        <v>GREGORY TEIPEL</v>
      </c>
      <c r="K571" t="s">
        <v>57</v>
      </c>
      <c r="L571" s="1">
        <v>45664</v>
      </c>
      <c r="M571" s="1">
        <v>45968</v>
      </c>
      <c r="N571" s="2">
        <v>58.24</v>
      </c>
      <c r="O571">
        <f t="shared" si="25"/>
        <v>10</v>
      </c>
      <c r="P571" t="s">
        <v>214</v>
      </c>
      <c r="Q571" t="s">
        <v>1274</v>
      </c>
      <c r="R571" s="3">
        <v>0.7</v>
      </c>
      <c r="S571" s="2">
        <v>40.770000000000003</v>
      </c>
      <c r="T571" t="s">
        <v>293</v>
      </c>
    </row>
    <row r="572" spans="1:20" x14ac:dyDescent="0.25">
      <c r="A572">
        <v>2025661000</v>
      </c>
      <c r="B572" t="s">
        <v>848</v>
      </c>
      <c r="C572" t="s">
        <v>158</v>
      </c>
      <c r="D572" t="str">
        <f t="shared" si="26"/>
        <v>TAMMY RUSH</v>
      </c>
      <c r="E572" t="s">
        <v>292</v>
      </c>
      <c r="F572" t="s">
        <v>293</v>
      </c>
      <c r="G572">
        <v>8977234</v>
      </c>
      <c r="H572" t="s">
        <v>80</v>
      </c>
      <c r="I572" t="s">
        <v>81</v>
      </c>
      <c r="J572" t="str">
        <f t="shared" si="24"/>
        <v>RYAN CALTAGIRONE</v>
      </c>
      <c r="K572" t="s">
        <v>57</v>
      </c>
      <c r="L572" s="1">
        <v>45665</v>
      </c>
      <c r="M572" s="1">
        <v>45969</v>
      </c>
      <c r="N572" s="2">
        <v>128.65</v>
      </c>
      <c r="O572">
        <f t="shared" si="25"/>
        <v>10</v>
      </c>
      <c r="P572" t="s">
        <v>214</v>
      </c>
      <c r="Q572" t="s">
        <v>1274</v>
      </c>
      <c r="R572" s="3">
        <v>0.7</v>
      </c>
      <c r="S572" s="2">
        <v>90.06</v>
      </c>
      <c r="T572" t="s">
        <v>293</v>
      </c>
    </row>
    <row r="573" spans="1:20" x14ac:dyDescent="0.25">
      <c r="A573">
        <v>2026485485</v>
      </c>
      <c r="B573" t="s">
        <v>396</v>
      </c>
      <c r="C573" t="s">
        <v>397</v>
      </c>
      <c r="D573" t="str">
        <f t="shared" si="26"/>
        <v>WAYNE MOORE</v>
      </c>
      <c r="E573" t="s">
        <v>243</v>
      </c>
      <c r="F573" t="s">
        <v>244</v>
      </c>
      <c r="G573">
        <v>17425766</v>
      </c>
      <c r="H573" t="s">
        <v>237</v>
      </c>
      <c r="I573" t="s">
        <v>238</v>
      </c>
      <c r="J573" t="str">
        <f t="shared" si="24"/>
        <v>CAROL FOLEY</v>
      </c>
      <c r="K573" t="s">
        <v>57</v>
      </c>
      <c r="L573" s="1">
        <v>45665</v>
      </c>
      <c r="M573" s="1">
        <v>45969</v>
      </c>
      <c r="N573" s="2">
        <v>55.63</v>
      </c>
      <c r="O573">
        <f t="shared" si="25"/>
        <v>10</v>
      </c>
      <c r="P573" t="s">
        <v>214</v>
      </c>
      <c r="Q573" t="s">
        <v>1274</v>
      </c>
      <c r="R573" s="4">
        <v>0.375</v>
      </c>
      <c r="S573" s="2">
        <v>20.86</v>
      </c>
      <c r="T573" t="s">
        <v>244</v>
      </c>
    </row>
    <row r="574" spans="1:20" x14ac:dyDescent="0.25">
      <c r="A574">
        <v>2025732434</v>
      </c>
      <c r="B574" t="s">
        <v>695</v>
      </c>
      <c r="C574" t="s">
        <v>353</v>
      </c>
      <c r="D574" t="str">
        <f t="shared" si="26"/>
        <v>DEBORAH HANNA</v>
      </c>
      <c r="E574" t="s">
        <v>243</v>
      </c>
      <c r="F574" t="s">
        <v>244</v>
      </c>
      <c r="G574">
        <v>8307933</v>
      </c>
      <c r="H574" t="s">
        <v>112</v>
      </c>
      <c r="I574" t="s">
        <v>104</v>
      </c>
      <c r="J574" t="str">
        <f t="shared" si="24"/>
        <v>GREGORY TEIPEL</v>
      </c>
      <c r="K574" t="s">
        <v>57</v>
      </c>
      <c r="L574" s="1">
        <v>45664</v>
      </c>
      <c r="M574" s="1">
        <v>45968</v>
      </c>
      <c r="N574" s="2">
        <v>103.36</v>
      </c>
      <c r="O574">
        <f t="shared" si="25"/>
        <v>10</v>
      </c>
      <c r="P574" t="s">
        <v>214</v>
      </c>
      <c r="Q574" t="s">
        <v>1274</v>
      </c>
      <c r="R574" s="4">
        <v>0.375</v>
      </c>
      <c r="S574" s="2">
        <v>38.76</v>
      </c>
      <c r="T574" t="s">
        <v>244</v>
      </c>
    </row>
    <row r="575" spans="1:20" x14ac:dyDescent="0.25">
      <c r="A575">
        <v>2026048649</v>
      </c>
      <c r="B575" t="s">
        <v>992</v>
      </c>
      <c r="C575" t="s">
        <v>845</v>
      </c>
      <c r="D575" t="str">
        <f t="shared" si="26"/>
        <v>PATRICIA BLAKE</v>
      </c>
      <c r="E575" t="s">
        <v>243</v>
      </c>
      <c r="F575" t="s">
        <v>244</v>
      </c>
      <c r="G575">
        <v>8307933</v>
      </c>
      <c r="H575" t="s">
        <v>112</v>
      </c>
      <c r="I575" t="s">
        <v>104</v>
      </c>
      <c r="J575" t="str">
        <f t="shared" si="24"/>
        <v>GREGORY TEIPEL</v>
      </c>
      <c r="K575" t="s">
        <v>57</v>
      </c>
      <c r="L575" s="1">
        <v>45664</v>
      </c>
      <c r="M575" s="1">
        <v>45968</v>
      </c>
      <c r="N575" s="2">
        <v>190.54</v>
      </c>
      <c r="O575">
        <f t="shared" si="25"/>
        <v>10</v>
      </c>
      <c r="P575" t="s">
        <v>214</v>
      </c>
      <c r="Q575" t="s">
        <v>1274</v>
      </c>
      <c r="R575" s="4">
        <v>0.375</v>
      </c>
      <c r="S575" s="2">
        <v>71.45</v>
      </c>
      <c r="T575" t="s">
        <v>244</v>
      </c>
    </row>
    <row r="576" spans="1:20" x14ac:dyDescent="0.25">
      <c r="A576">
        <v>2026119931</v>
      </c>
      <c r="B576" t="s">
        <v>869</v>
      </c>
      <c r="C576" t="s">
        <v>648</v>
      </c>
      <c r="D576" t="str">
        <f t="shared" si="26"/>
        <v>KENNETH HUNT</v>
      </c>
      <c r="E576" t="s">
        <v>243</v>
      </c>
      <c r="F576" t="s">
        <v>244</v>
      </c>
      <c r="G576">
        <v>8307933</v>
      </c>
      <c r="H576" t="s">
        <v>112</v>
      </c>
      <c r="I576" t="s">
        <v>104</v>
      </c>
      <c r="J576" t="str">
        <f t="shared" si="24"/>
        <v>GREGORY TEIPEL</v>
      </c>
      <c r="K576" t="s">
        <v>57</v>
      </c>
      <c r="L576" s="1">
        <v>45664</v>
      </c>
      <c r="M576" s="1">
        <v>45968</v>
      </c>
      <c r="N576" s="2">
        <v>58.32</v>
      </c>
      <c r="O576">
        <f t="shared" si="25"/>
        <v>10</v>
      </c>
      <c r="P576" t="s">
        <v>214</v>
      </c>
      <c r="Q576" t="s">
        <v>1274</v>
      </c>
      <c r="R576" s="4">
        <v>0.375</v>
      </c>
      <c r="S576" s="2">
        <v>21.87</v>
      </c>
      <c r="T576" t="s">
        <v>244</v>
      </c>
    </row>
    <row r="577" spans="1:20" x14ac:dyDescent="0.25">
      <c r="A577">
        <v>2026443518</v>
      </c>
      <c r="B577" t="s">
        <v>731</v>
      </c>
      <c r="C577" t="s">
        <v>732</v>
      </c>
      <c r="D577" t="str">
        <f t="shared" si="26"/>
        <v>CHARLOTTE WASSER</v>
      </c>
      <c r="E577" t="s">
        <v>243</v>
      </c>
      <c r="F577" t="s">
        <v>244</v>
      </c>
      <c r="G577">
        <v>8307933</v>
      </c>
      <c r="H577" t="s">
        <v>112</v>
      </c>
      <c r="I577" t="s">
        <v>104</v>
      </c>
      <c r="J577" t="str">
        <f t="shared" si="24"/>
        <v>GREGORY TEIPEL</v>
      </c>
      <c r="K577" t="s">
        <v>57</v>
      </c>
      <c r="L577" s="1">
        <v>45661</v>
      </c>
      <c r="M577" s="1">
        <v>45965</v>
      </c>
      <c r="N577" s="2">
        <v>50.64</v>
      </c>
      <c r="O577">
        <f t="shared" si="25"/>
        <v>10</v>
      </c>
      <c r="P577" t="s">
        <v>214</v>
      </c>
      <c r="Q577" t="s">
        <v>1274</v>
      </c>
      <c r="R577" s="4">
        <v>0.375</v>
      </c>
      <c r="S577" s="2">
        <v>18.989999999999998</v>
      </c>
      <c r="T577" t="s">
        <v>244</v>
      </c>
    </row>
    <row r="578" spans="1:20" x14ac:dyDescent="0.25">
      <c r="A578">
        <v>2025660999</v>
      </c>
      <c r="B578" t="s">
        <v>848</v>
      </c>
      <c r="C578" t="s">
        <v>158</v>
      </c>
      <c r="D578" t="str">
        <f t="shared" si="26"/>
        <v>TAMMY RUSH</v>
      </c>
      <c r="E578" t="s">
        <v>243</v>
      </c>
      <c r="F578" t="s">
        <v>244</v>
      </c>
      <c r="G578">
        <v>8977234</v>
      </c>
      <c r="H578" t="s">
        <v>80</v>
      </c>
      <c r="I578" t="s">
        <v>81</v>
      </c>
      <c r="J578" t="str">
        <f t="shared" ref="J578:J641" si="27">CONCATENATE(I578, " ",H578)</f>
        <v>RYAN CALTAGIRONE</v>
      </c>
      <c r="K578" t="s">
        <v>57</v>
      </c>
      <c r="L578" s="1">
        <v>45665</v>
      </c>
      <c r="M578" s="1">
        <v>45969</v>
      </c>
      <c r="N578" s="2">
        <v>89.53</v>
      </c>
      <c r="O578">
        <f t="shared" ref="O578:O641" si="28">DATEDIF(L578,M578,"M")</f>
        <v>10</v>
      </c>
      <c r="P578" t="s">
        <v>214</v>
      </c>
      <c r="Q578" t="s">
        <v>1274</v>
      </c>
      <c r="R578" s="4">
        <v>0.375</v>
      </c>
      <c r="S578" s="2">
        <v>33.57</v>
      </c>
      <c r="T578" t="s">
        <v>244</v>
      </c>
    </row>
    <row r="579" spans="1:20" x14ac:dyDescent="0.25">
      <c r="A579">
        <v>2026080915</v>
      </c>
      <c r="B579" t="s">
        <v>504</v>
      </c>
      <c r="C579" t="s">
        <v>224</v>
      </c>
      <c r="D579" t="str">
        <f t="shared" ref="D579:D642" si="29">CONCATENATE(C579, " ",B579)</f>
        <v>JAMES DUNHAM</v>
      </c>
      <c r="E579" t="s">
        <v>467</v>
      </c>
      <c r="F579" t="s">
        <v>505</v>
      </c>
      <c r="G579">
        <v>17425766</v>
      </c>
      <c r="H579" t="s">
        <v>237</v>
      </c>
      <c r="I579" t="s">
        <v>238</v>
      </c>
      <c r="J579" t="str">
        <f t="shared" si="27"/>
        <v>CAROL FOLEY</v>
      </c>
      <c r="K579" t="s">
        <v>57</v>
      </c>
      <c r="L579" s="1">
        <v>45658</v>
      </c>
      <c r="M579" s="1">
        <v>45962</v>
      </c>
      <c r="N579" s="2">
        <v>322.48</v>
      </c>
      <c r="O579">
        <f t="shared" si="28"/>
        <v>10</v>
      </c>
      <c r="P579" t="s">
        <v>214</v>
      </c>
      <c r="Q579" t="s">
        <v>1274</v>
      </c>
      <c r="R579" s="3">
        <v>0.24</v>
      </c>
      <c r="S579" s="2">
        <v>77.400000000000006</v>
      </c>
      <c r="T579" t="s">
        <v>1270</v>
      </c>
    </row>
    <row r="580" spans="1:20" x14ac:dyDescent="0.25">
      <c r="A580">
        <v>2025708571</v>
      </c>
      <c r="B580" t="s">
        <v>694</v>
      </c>
      <c r="C580" t="s">
        <v>179</v>
      </c>
      <c r="D580" t="str">
        <f t="shared" si="29"/>
        <v>MICHELLE VOLLAND</v>
      </c>
      <c r="E580" t="s">
        <v>292</v>
      </c>
      <c r="F580" t="s">
        <v>295</v>
      </c>
      <c r="G580">
        <v>8307933</v>
      </c>
      <c r="H580" t="s">
        <v>112</v>
      </c>
      <c r="I580" t="s">
        <v>104</v>
      </c>
      <c r="J580" t="str">
        <f t="shared" si="27"/>
        <v>GREGORY TEIPEL</v>
      </c>
      <c r="K580" t="s">
        <v>57</v>
      </c>
      <c r="L580" s="1">
        <v>45664</v>
      </c>
      <c r="M580" s="1">
        <v>45968</v>
      </c>
      <c r="N580" s="2">
        <v>131.25</v>
      </c>
      <c r="O580">
        <f t="shared" si="28"/>
        <v>10</v>
      </c>
      <c r="P580" t="s">
        <v>214</v>
      </c>
      <c r="Q580" t="s">
        <v>1274</v>
      </c>
      <c r="R580" s="3">
        <v>0.9</v>
      </c>
      <c r="S580" s="2">
        <v>118.12</v>
      </c>
      <c r="T580" t="s">
        <v>295</v>
      </c>
    </row>
    <row r="581" spans="1:20" x14ac:dyDescent="0.25">
      <c r="A581">
        <v>2026082701</v>
      </c>
      <c r="B581" t="s">
        <v>706</v>
      </c>
      <c r="C581" t="s">
        <v>194</v>
      </c>
      <c r="D581" t="str">
        <f t="shared" si="29"/>
        <v>KAREN FOWLER</v>
      </c>
      <c r="E581" t="s">
        <v>292</v>
      </c>
      <c r="F581" t="s">
        <v>295</v>
      </c>
      <c r="G581">
        <v>8307933</v>
      </c>
      <c r="H581" t="s">
        <v>112</v>
      </c>
      <c r="I581" t="s">
        <v>104</v>
      </c>
      <c r="J581" t="str">
        <f t="shared" si="27"/>
        <v>GREGORY TEIPEL</v>
      </c>
      <c r="K581" t="s">
        <v>57</v>
      </c>
      <c r="L581" s="1">
        <v>45664</v>
      </c>
      <c r="M581" s="1">
        <v>45968</v>
      </c>
      <c r="N581" s="2">
        <v>74</v>
      </c>
      <c r="O581">
        <f t="shared" si="28"/>
        <v>10</v>
      </c>
      <c r="P581" t="s">
        <v>214</v>
      </c>
      <c r="Q581" t="s">
        <v>1274</v>
      </c>
      <c r="R581" s="3">
        <v>0.9</v>
      </c>
      <c r="S581" s="2">
        <v>66.599999999999994</v>
      </c>
      <c r="T581" t="s">
        <v>295</v>
      </c>
    </row>
    <row r="582" spans="1:20" x14ac:dyDescent="0.25">
      <c r="A582">
        <v>2026100107</v>
      </c>
      <c r="B582" t="s">
        <v>709</v>
      </c>
      <c r="C582" t="s">
        <v>671</v>
      </c>
      <c r="D582" t="str">
        <f t="shared" si="29"/>
        <v>STEVEN LAVY</v>
      </c>
      <c r="E582" t="s">
        <v>292</v>
      </c>
      <c r="F582" t="s">
        <v>295</v>
      </c>
      <c r="G582">
        <v>8307933</v>
      </c>
      <c r="H582" t="s">
        <v>112</v>
      </c>
      <c r="I582" t="s">
        <v>104</v>
      </c>
      <c r="J582" t="str">
        <f t="shared" si="27"/>
        <v>GREGORY TEIPEL</v>
      </c>
      <c r="K582" t="s">
        <v>57</v>
      </c>
      <c r="L582" s="1">
        <v>45664</v>
      </c>
      <c r="M582" s="1">
        <v>45968</v>
      </c>
      <c r="N582" s="2">
        <v>163.25</v>
      </c>
      <c r="O582">
        <f t="shared" si="28"/>
        <v>10</v>
      </c>
      <c r="P582" t="s">
        <v>214</v>
      </c>
      <c r="Q582" t="s">
        <v>1274</v>
      </c>
      <c r="R582" s="3">
        <v>0.9</v>
      </c>
      <c r="S582" s="2">
        <v>146.91999999999999</v>
      </c>
      <c r="T582" t="s">
        <v>295</v>
      </c>
    </row>
    <row r="583" spans="1:20" x14ac:dyDescent="0.25">
      <c r="A583">
        <v>2026103480</v>
      </c>
      <c r="B583" t="s">
        <v>712</v>
      </c>
      <c r="C583" t="s">
        <v>713</v>
      </c>
      <c r="D583" t="str">
        <f t="shared" si="29"/>
        <v>WENDY RAMBOLDT</v>
      </c>
      <c r="E583" t="s">
        <v>292</v>
      </c>
      <c r="F583" t="s">
        <v>295</v>
      </c>
      <c r="G583">
        <v>8307933</v>
      </c>
      <c r="H583" t="s">
        <v>112</v>
      </c>
      <c r="I583" t="s">
        <v>104</v>
      </c>
      <c r="J583" t="str">
        <f t="shared" si="27"/>
        <v>GREGORY TEIPEL</v>
      </c>
      <c r="K583" t="s">
        <v>57</v>
      </c>
      <c r="L583" s="1">
        <v>45664</v>
      </c>
      <c r="M583" s="1">
        <v>45968</v>
      </c>
      <c r="N583" s="2">
        <v>30.75</v>
      </c>
      <c r="O583">
        <f t="shared" si="28"/>
        <v>10</v>
      </c>
      <c r="P583" t="s">
        <v>214</v>
      </c>
      <c r="Q583" t="s">
        <v>1274</v>
      </c>
      <c r="R583" s="3">
        <v>0.9</v>
      </c>
      <c r="S583" s="2">
        <v>27.68</v>
      </c>
      <c r="T583" t="s">
        <v>295</v>
      </c>
    </row>
    <row r="584" spans="1:20" x14ac:dyDescent="0.25">
      <c r="A584">
        <v>2026185826</v>
      </c>
      <c r="B584" t="s">
        <v>463</v>
      </c>
      <c r="C584" t="s">
        <v>874</v>
      </c>
      <c r="D584" t="str">
        <f t="shared" si="29"/>
        <v>PANNA PATEL</v>
      </c>
      <c r="E584" t="s">
        <v>292</v>
      </c>
      <c r="F584" t="s">
        <v>295</v>
      </c>
      <c r="G584">
        <v>8307933</v>
      </c>
      <c r="H584" t="s">
        <v>112</v>
      </c>
      <c r="I584" t="s">
        <v>104</v>
      </c>
      <c r="J584" t="str">
        <f t="shared" si="27"/>
        <v>GREGORY TEIPEL</v>
      </c>
      <c r="K584" t="s">
        <v>57</v>
      </c>
      <c r="L584" s="1">
        <v>45664</v>
      </c>
      <c r="M584" s="1">
        <v>45968</v>
      </c>
      <c r="N584" s="2">
        <v>99.25</v>
      </c>
      <c r="O584">
        <f t="shared" si="28"/>
        <v>10</v>
      </c>
      <c r="P584" t="s">
        <v>214</v>
      </c>
      <c r="Q584" t="s">
        <v>1274</v>
      </c>
      <c r="R584" s="3">
        <v>0.9</v>
      </c>
      <c r="S584" s="2">
        <v>89.32</v>
      </c>
      <c r="T584" t="s">
        <v>295</v>
      </c>
    </row>
    <row r="585" spans="1:20" x14ac:dyDescent="0.25">
      <c r="A585">
        <v>2026221487</v>
      </c>
      <c r="B585" t="s">
        <v>426</v>
      </c>
      <c r="C585" t="s">
        <v>877</v>
      </c>
      <c r="D585" t="str">
        <f t="shared" si="29"/>
        <v>RUBEN III</v>
      </c>
      <c r="E585" t="s">
        <v>292</v>
      </c>
      <c r="F585" t="s">
        <v>295</v>
      </c>
      <c r="G585">
        <v>8307933</v>
      </c>
      <c r="H585" t="s">
        <v>112</v>
      </c>
      <c r="I585" t="s">
        <v>104</v>
      </c>
      <c r="J585" t="str">
        <f t="shared" si="27"/>
        <v>GREGORY TEIPEL</v>
      </c>
      <c r="K585" t="s">
        <v>57</v>
      </c>
      <c r="L585" s="1">
        <v>45663</v>
      </c>
      <c r="M585" s="1">
        <v>45967</v>
      </c>
      <c r="N585" s="2">
        <v>51.78</v>
      </c>
      <c r="O585">
        <f t="shared" si="28"/>
        <v>10</v>
      </c>
      <c r="P585" t="s">
        <v>214</v>
      </c>
      <c r="Q585" t="s">
        <v>1274</v>
      </c>
      <c r="R585" s="3">
        <v>0.9</v>
      </c>
      <c r="S585" s="2">
        <v>46.6</v>
      </c>
      <c r="T585" t="s">
        <v>295</v>
      </c>
    </row>
    <row r="586" spans="1:20" x14ac:dyDescent="0.25">
      <c r="A586">
        <v>2026443516</v>
      </c>
      <c r="B586" t="s">
        <v>731</v>
      </c>
      <c r="C586" t="s">
        <v>732</v>
      </c>
      <c r="D586" t="str">
        <f t="shared" si="29"/>
        <v>CHARLOTTE WASSER</v>
      </c>
      <c r="E586" t="s">
        <v>292</v>
      </c>
      <c r="F586" t="s">
        <v>295</v>
      </c>
      <c r="G586">
        <v>8307933</v>
      </c>
      <c r="H586" t="s">
        <v>112</v>
      </c>
      <c r="I586" t="s">
        <v>104</v>
      </c>
      <c r="J586" t="str">
        <f t="shared" si="27"/>
        <v>GREGORY TEIPEL</v>
      </c>
      <c r="K586" t="s">
        <v>57</v>
      </c>
      <c r="L586" s="1">
        <v>45661</v>
      </c>
      <c r="M586" s="1">
        <v>45965</v>
      </c>
      <c r="N586" s="2">
        <v>32.58</v>
      </c>
      <c r="O586">
        <f t="shared" si="28"/>
        <v>10</v>
      </c>
      <c r="P586" t="s">
        <v>214</v>
      </c>
      <c r="Q586" t="s">
        <v>1274</v>
      </c>
      <c r="R586" s="3">
        <v>0.9</v>
      </c>
      <c r="S586" s="2">
        <v>29.32</v>
      </c>
      <c r="T586" t="s">
        <v>295</v>
      </c>
    </row>
    <row r="587" spans="1:20" x14ac:dyDescent="0.25">
      <c r="A587">
        <v>2025973879</v>
      </c>
      <c r="B587" t="s">
        <v>859</v>
      </c>
      <c r="C587" t="s">
        <v>860</v>
      </c>
      <c r="D587" t="str">
        <f t="shared" si="29"/>
        <v>JIMMY EAVES</v>
      </c>
      <c r="E587" t="s">
        <v>292</v>
      </c>
      <c r="F587" t="s">
        <v>295</v>
      </c>
      <c r="G587">
        <v>1706194</v>
      </c>
      <c r="H587" t="s">
        <v>97</v>
      </c>
      <c r="I587" t="s">
        <v>98</v>
      </c>
      <c r="J587" t="str">
        <f t="shared" si="27"/>
        <v>MATTHEW DAUGHERTY</v>
      </c>
      <c r="K587" t="s">
        <v>57</v>
      </c>
      <c r="L587" s="1">
        <v>45658</v>
      </c>
      <c r="M587" s="1">
        <v>45962</v>
      </c>
      <c r="N587" s="2">
        <v>83.63</v>
      </c>
      <c r="O587">
        <f t="shared" si="28"/>
        <v>10</v>
      </c>
      <c r="P587" t="s">
        <v>214</v>
      </c>
      <c r="Q587" t="s">
        <v>1274</v>
      </c>
      <c r="R587" s="3">
        <v>0.9</v>
      </c>
      <c r="S587" s="2">
        <v>75.27</v>
      </c>
      <c r="T587" t="s">
        <v>295</v>
      </c>
    </row>
    <row r="588" spans="1:20" x14ac:dyDescent="0.25">
      <c r="A588">
        <v>2026515689</v>
      </c>
      <c r="B588" t="s">
        <v>818</v>
      </c>
      <c r="C588" t="s">
        <v>878</v>
      </c>
      <c r="D588" t="str">
        <f t="shared" si="29"/>
        <v>LONNA WILSON</v>
      </c>
      <c r="E588" t="s">
        <v>292</v>
      </c>
      <c r="F588" t="s">
        <v>295</v>
      </c>
      <c r="G588">
        <v>8971826</v>
      </c>
      <c r="H588" t="s">
        <v>803</v>
      </c>
      <c r="I588" t="s">
        <v>746</v>
      </c>
      <c r="J588" t="str">
        <f t="shared" si="27"/>
        <v>SCOTT AGUGLIA</v>
      </c>
      <c r="K588" t="s">
        <v>57</v>
      </c>
      <c r="L588" s="1">
        <v>45666</v>
      </c>
      <c r="M588" s="1">
        <v>45970</v>
      </c>
      <c r="N588" s="2">
        <v>99.25</v>
      </c>
      <c r="O588">
        <f t="shared" si="28"/>
        <v>10</v>
      </c>
      <c r="P588" t="s">
        <v>214</v>
      </c>
      <c r="Q588" t="s">
        <v>1274</v>
      </c>
      <c r="R588" s="3">
        <v>0.9</v>
      </c>
      <c r="S588" s="2">
        <v>89.32</v>
      </c>
      <c r="T588" t="s">
        <v>295</v>
      </c>
    </row>
    <row r="589" spans="1:20" x14ac:dyDescent="0.25">
      <c r="A589">
        <v>2026485484</v>
      </c>
      <c r="B589" t="s">
        <v>396</v>
      </c>
      <c r="C589" t="s">
        <v>397</v>
      </c>
      <c r="D589" t="str">
        <f t="shared" si="29"/>
        <v>WAYNE MOORE</v>
      </c>
      <c r="E589" t="s">
        <v>53</v>
      </c>
      <c r="F589" t="s">
        <v>65</v>
      </c>
      <c r="G589">
        <v>17425766</v>
      </c>
      <c r="H589" t="s">
        <v>237</v>
      </c>
      <c r="I589" t="s">
        <v>238</v>
      </c>
      <c r="J589" t="str">
        <f t="shared" si="27"/>
        <v>CAROL FOLEY</v>
      </c>
      <c r="K589" t="s">
        <v>57</v>
      </c>
      <c r="L589" s="1">
        <v>45665</v>
      </c>
      <c r="M589" s="1">
        <v>45969</v>
      </c>
      <c r="N589" s="2">
        <v>50.06</v>
      </c>
      <c r="O589">
        <f t="shared" si="28"/>
        <v>10</v>
      </c>
      <c r="P589" t="s">
        <v>214</v>
      </c>
      <c r="Q589" t="s">
        <v>1274</v>
      </c>
      <c r="R589" s="3">
        <v>0.6</v>
      </c>
      <c r="S589" s="2">
        <v>30.04</v>
      </c>
      <c r="T589" t="s">
        <v>65</v>
      </c>
    </row>
    <row r="590" spans="1:20" x14ac:dyDescent="0.25">
      <c r="A590">
        <v>2026023535</v>
      </c>
      <c r="B590" t="s">
        <v>1169</v>
      </c>
      <c r="C590" t="s">
        <v>1170</v>
      </c>
      <c r="D590" t="str">
        <f t="shared" si="29"/>
        <v>PEDRO JAQUEZ</v>
      </c>
      <c r="E590" t="s">
        <v>350</v>
      </c>
      <c r="F590" t="s">
        <v>351</v>
      </c>
      <c r="G590">
        <v>17640026</v>
      </c>
      <c r="H590" t="s">
        <v>1171</v>
      </c>
      <c r="I590" t="s">
        <v>865</v>
      </c>
      <c r="J590" t="str">
        <f t="shared" si="27"/>
        <v>DIANA ZIMMERMAN</v>
      </c>
      <c r="K590" t="s">
        <v>57</v>
      </c>
      <c r="L590" s="1">
        <v>45630</v>
      </c>
      <c r="M590" s="1">
        <v>45965</v>
      </c>
      <c r="N590" s="2">
        <v>5.63</v>
      </c>
      <c r="O590">
        <f t="shared" si="28"/>
        <v>11</v>
      </c>
      <c r="P590" t="s">
        <v>214</v>
      </c>
      <c r="Q590" t="s">
        <v>1274</v>
      </c>
      <c r="R590" s="3">
        <v>0.11</v>
      </c>
      <c r="S590" s="2">
        <v>5.63</v>
      </c>
      <c r="T590" t="s">
        <v>1269</v>
      </c>
    </row>
    <row r="591" spans="1:20" x14ac:dyDescent="0.25">
      <c r="A591">
        <v>2025772485</v>
      </c>
      <c r="B591" t="s">
        <v>526</v>
      </c>
      <c r="C591" t="s">
        <v>429</v>
      </c>
      <c r="D591" t="str">
        <f t="shared" si="29"/>
        <v>BRYAN REYNOLDS</v>
      </c>
      <c r="E591" t="s">
        <v>89</v>
      </c>
      <c r="F591" t="s">
        <v>111</v>
      </c>
      <c r="G591">
        <v>8307933</v>
      </c>
      <c r="H591" t="s">
        <v>112</v>
      </c>
      <c r="I591" t="s">
        <v>104</v>
      </c>
      <c r="J591" t="str">
        <f t="shared" si="27"/>
        <v>GREGORY TEIPEL</v>
      </c>
      <c r="K591" t="s">
        <v>57</v>
      </c>
      <c r="L591" s="1">
        <v>45633</v>
      </c>
      <c r="M591" s="1">
        <v>45968</v>
      </c>
      <c r="N591" s="2">
        <v>157.47999999999999</v>
      </c>
      <c r="O591">
        <f t="shared" si="28"/>
        <v>11</v>
      </c>
      <c r="P591" t="s">
        <v>214</v>
      </c>
      <c r="Q591" t="s">
        <v>1274</v>
      </c>
      <c r="R591" s="3">
        <v>0.75</v>
      </c>
      <c r="S591" s="2">
        <v>118.11</v>
      </c>
      <c r="T591" t="s">
        <v>1257</v>
      </c>
    </row>
    <row r="592" spans="1:20" x14ac:dyDescent="0.25">
      <c r="A592">
        <v>2025815280</v>
      </c>
      <c r="B592" t="s">
        <v>696</v>
      </c>
      <c r="C592" t="s">
        <v>697</v>
      </c>
      <c r="D592" t="str">
        <f t="shared" si="29"/>
        <v>CARLEE WEST</v>
      </c>
      <c r="E592" t="s">
        <v>89</v>
      </c>
      <c r="F592" t="s">
        <v>111</v>
      </c>
      <c r="G592">
        <v>8307933</v>
      </c>
      <c r="H592" t="s">
        <v>112</v>
      </c>
      <c r="I592" t="s">
        <v>104</v>
      </c>
      <c r="J592" t="str">
        <f t="shared" si="27"/>
        <v>GREGORY TEIPEL</v>
      </c>
      <c r="K592" t="s">
        <v>57</v>
      </c>
      <c r="L592" s="1">
        <v>45633</v>
      </c>
      <c r="M592" s="1">
        <v>45968</v>
      </c>
      <c r="N592" s="2">
        <v>12.1</v>
      </c>
      <c r="O592">
        <f t="shared" si="28"/>
        <v>11</v>
      </c>
      <c r="P592" t="s">
        <v>214</v>
      </c>
      <c r="Q592" t="s">
        <v>1274</v>
      </c>
      <c r="R592" s="3">
        <v>0.75</v>
      </c>
      <c r="S592" s="2">
        <v>9.08</v>
      </c>
      <c r="T592" t="s">
        <v>1257</v>
      </c>
    </row>
    <row r="593" spans="1:20" x14ac:dyDescent="0.25">
      <c r="A593">
        <v>2025863139</v>
      </c>
      <c r="B593" t="s">
        <v>699</v>
      </c>
      <c r="C593" t="s">
        <v>700</v>
      </c>
      <c r="D593" t="str">
        <f t="shared" si="29"/>
        <v>JACKY RICE</v>
      </c>
      <c r="E593" t="s">
        <v>89</v>
      </c>
      <c r="F593" t="s">
        <v>111</v>
      </c>
      <c r="G593">
        <v>8307933</v>
      </c>
      <c r="H593" t="s">
        <v>112</v>
      </c>
      <c r="I593" t="s">
        <v>104</v>
      </c>
      <c r="J593" t="str">
        <f t="shared" si="27"/>
        <v>GREGORY TEIPEL</v>
      </c>
      <c r="K593" t="s">
        <v>57</v>
      </c>
      <c r="L593" s="1">
        <v>45633</v>
      </c>
      <c r="M593" s="1">
        <v>45968</v>
      </c>
      <c r="N593" s="2">
        <v>107.02</v>
      </c>
      <c r="O593">
        <f t="shared" si="28"/>
        <v>11</v>
      </c>
      <c r="P593" t="s">
        <v>214</v>
      </c>
      <c r="Q593" t="s">
        <v>1274</v>
      </c>
      <c r="R593" s="3">
        <v>0.75</v>
      </c>
      <c r="S593" s="2">
        <v>80.260000000000005</v>
      </c>
      <c r="T593" t="s">
        <v>1257</v>
      </c>
    </row>
    <row r="594" spans="1:20" x14ac:dyDescent="0.25">
      <c r="A594">
        <v>2025884355</v>
      </c>
      <c r="B594" t="s">
        <v>148</v>
      </c>
      <c r="C594" t="s">
        <v>535</v>
      </c>
      <c r="D594" t="str">
        <f t="shared" si="29"/>
        <v>KIM SMITH</v>
      </c>
      <c r="E594" t="s">
        <v>89</v>
      </c>
      <c r="F594" t="s">
        <v>111</v>
      </c>
      <c r="G594">
        <v>8307933</v>
      </c>
      <c r="H594" t="s">
        <v>112</v>
      </c>
      <c r="I594" t="s">
        <v>104</v>
      </c>
      <c r="J594" t="str">
        <f t="shared" si="27"/>
        <v>GREGORY TEIPEL</v>
      </c>
      <c r="K594" t="s">
        <v>57</v>
      </c>
      <c r="L594" s="1">
        <v>45633</v>
      </c>
      <c r="M594" s="1">
        <v>45968</v>
      </c>
      <c r="N594" s="2">
        <v>113.85</v>
      </c>
      <c r="O594">
        <f t="shared" si="28"/>
        <v>11</v>
      </c>
      <c r="P594" t="s">
        <v>214</v>
      </c>
      <c r="Q594" t="s">
        <v>1274</v>
      </c>
      <c r="R594" s="3">
        <v>0.75</v>
      </c>
      <c r="S594" s="2">
        <v>85.39</v>
      </c>
      <c r="T594" t="s">
        <v>1257</v>
      </c>
    </row>
    <row r="595" spans="1:20" x14ac:dyDescent="0.25">
      <c r="A595">
        <v>2025887935</v>
      </c>
      <c r="B595" t="s">
        <v>701</v>
      </c>
      <c r="C595" t="s">
        <v>337</v>
      </c>
      <c r="D595" t="str">
        <f t="shared" si="29"/>
        <v>ROBERT WHITE</v>
      </c>
      <c r="E595" t="s">
        <v>89</v>
      </c>
      <c r="F595" t="s">
        <v>111</v>
      </c>
      <c r="G595">
        <v>8307933</v>
      </c>
      <c r="H595" t="s">
        <v>112</v>
      </c>
      <c r="I595" t="s">
        <v>104</v>
      </c>
      <c r="J595" t="str">
        <f t="shared" si="27"/>
        <v>GREGORY TEIPEL</v>
      </c>
      <c r="K595" t="s">
        <v>57</v>
      </c>
      <c r="L595" s="1">
        <v>45633</v>
      </c>
      <c r="M595" s="1">
        <v>45968</v>
      </c>
      <c r="N595" s="2">
        <v>95.25</v>
      </c>
      <c r="O595">
        <f t="shared" si="28"/>
        <v>11</v>
      </c>
      <c r="P595" t="s">
        <v>214</v>
      </c>
      <c r="Q595" t="s">
        <v>1274</v>
      </c>
      <c r="R595" s="3">
        <v>0.75</v>
      </c>
      <c r="S595" s="2">
        <v>71.44</v>
      </c>
      <c r="T595" t="s">
        <v>1257</v>
      </c>
    </row>
    <row r="596" spans="1:20" x14ac:dyDescent="0.25">
      <c r="A596">
        <v>2025896510</v>
      </c>
      <c r="B596" t="s">
        <v>702</v>
      </c>
      <c r="C596" t="s">
        <v>227</v>
      </c>
      <c r="D596" t="str">
        <f t="shared" si="29"/>
        <v>JOSEPH SABOT</v>
      </c>
      <c r="E596" t="s">
        <v>89</v>
      </c>
      <c r="F596" t="s">
        <v>111</v>
      </c>
      <c r="G596">
        <v>8307933</v>
      </c>
      <c r="H596" t="s">
        <v>112</v>
      </c>
      <c r="I596" t="s">
        <v>104</v>
      </c>
      <c r="J596" t="str">
        <f t="shared" si="27"/>
        <v>GREGORY TEIPEL</v>
      </c>
      <c r="K596" t="s">
        <v>57</v>
      </c>
      <c r="L596" s="1">
        <v>45633</v>
      </c>
      <c r="M596" s="1">
        <v>45968</v>
      </c>
      <c r="N596" s="2">
        <v>131.94999999999999</v>
      </c>
      <c r="O596">
        <f t="shared" si="28"/>
        <v>11</v>
      </c>
      <c r="P596" t="s">
        <v>214</v>
      </c>
      <c r="Q596" t="s">
        <v>1274</v>
      </c>
      <c r="R596" s="3">
        <v>0.75</v>
      </c>
      <c r="S596" s="2">
        <v>98.96</v>
      </c>
      <c r="T596" t="s">
        <v>1257</v>
      </c>
    </row>
    <row r="597" spans="1:20" x14ac:dyDescent="0.25">
      <c r="A597">
        <v>2025839021</v>
      </c>
      <c r="B597" t="s">
        <v>698</v>
      </c>
      <c r="C597" t="s">
        <v>139</v>
      </c>
      <c r="D597" t="str">
        <f t="shared" si="29"/>
        <v>KELLY BANKS</v>
      </c>
      <c r="E597" t="s">
        <v>89</v>
      </c>
      <c r="F597" t="s">
        <v>96</v>
      </c>
      <c r="G597">
        <v>8307933</v>
      </c>
      <c r="H597" t="s">
        <v>112</v>
      </c>
      <c r="I597" t="s">
        <v>104</v>
      </c>
      <c r="J597" t="str">
        <f t="shared" si="27"/>
        <v>GREGORY TEIPEL</v>
      </c>
      <c r="K597" t="s">
        <v>57</v>
      </c>
      <c r="L597" s="1">
        <v>45633</v>
      </c>
      <c r="M597" s="1">
        <v>45968</v>
      </c>
      <c r="N597" s="2">
        <v>104.44</v>
      </c>
      <c r="O597">
        <f t="shared" si="28"/>
        <v>11</v>
      </c>
      <c r="P597" t="s">
        <v>214</v>
      </c>
      <c r="Q597" t="s">
        <v>1274</v>
      </c>
      <c r="R597" s="3">
        <v>0.9</v>
      </c>
      <c r="S597" s="2">
        <v>94</v>
      </c>
      <c r="T597" t="s">
        <v>1259</v>
      </c>
    </row>
    <row r="598" spans="1:20" x14ac:dyDescent="0.25">
      <c r="A598">
        <v>2026002595</v>
      </c>
      <c r="B598" t="s">
        <v>1168</v>
      </c>
      <c r="C598" t="s">
        <v>971</v>
      </c>
      <c r="D598" t="str">
        <f t="shared" si="29"/>
        <v>MARK HAYES</v>
      </c>
      <c r="E598" t="s">
        <v>350</v>
      </c>
      <c r="F598" t="s">
        <v>351</v>
      </c>
      <c r="G598">
        <v>18781057</v>
      </c>
      <c r="H598" t="s">
        <v>71</v>
      </c>
      <c r="I598" t="s">
        <v>72</v>
      </c>
      <c r="J598" t="str">
        <f t="shared" si="27"/>
        <v>JOHN ROKEN</v>
      </c>
      <c r="K598" t="s">
        <v>57</v>
      </c>
      <c r="L598" s="1">
        <v>45629</v>
      </c>
      <c r="M598" s="1">
        <v>45964</v>
      </c>
      <c r="N598" s="2">
        <v>25.27</v>
      </c>
      <c r="O598">
        <f t="shared" si="28"/>
        <v>11</v>
      </c>
      <c r="P598" t="s">
        <v>214</v>
      </c>
      <c r="Q598" t="s">
        <v>1274</v>
      </c>
      <c r="R598" s="3">
        <v>0.47</v>
      </c>
      <c r="S598" s="2">
        <v>11.88</v>
      </c>
      <c r="T598" t="s">
        <v>351</v>
      </c>
    </row>
    <row r="599" spans="1:20" x14ac:dyDescent="0.25">
      <c r="A599">
        <v>2025510689</v>
      </c>
      <c r="B599" t="s">
        <v>567</v>
      </c>
      <c r="C599" t="s">
        <v>1160</v>
      </c>
      <c r="D599" t="str">
        <f t="shared" si="29"/>
        <v>JANEY MOSAKOSKI</v>
      </c>
      <c r="E599" t="s">
        <v>350</v>
      </c>
      <c r="F599" t="s">
        <v>351</v>
      </c>
      <c r="G599">
        <v>8977234</v>
      </c>
      <c r="H599" t="s">
        <v>80</v>
      </c>
      <c r="I599" t="s">
        <v>81</v>
      </c>
      <c r="J599" t="str">
        <f t="shared" si="27"/>
        <v>RYAN CALTAGIRONE</v>
      </c>
      <c r="K599" t="s">
        <v>57</v>
      </c>
      <c r="L599" s="1">
        <v>45627</v>
      </c>
      <c r="M599" s="1">
        <v>45962</v>
      </c>
      <c r="N599" s="2">
        <v>57.84</v>
      </c>
      <c r="O599">
        <f t="shared" si="28"/>
        <v>11</v>
      </c>
      <c r="P599" t="s">
        <v>214</v>
      </c>
      <c r="Q599" t="s">
        <v>1274</v>
      </c>
      <c r="R599" s="3">
        <v>0.47</v>
      </c>
      <c r="S599" s="2">
        <v>27.18</v>
      </c>
      <c r="T599" t="s">
        <v>351</v>
      </c>
    </row>
    <row r="600" spans="1:20" x14ac:dyDescent="0.25">
      <c r="A600">
        <v>2026002594</v>
      </c>
      <c r="B600" t="s">
        <v>1168</v>
      </c>
      <c r="C600" t="s">
        <v>971</v>
      </c>
      <c r="D600" t="str">
        <f t="shared" si="29"/>
        <v>MARK HAYES</v>
      </c>
      <c r="E600" t="s">
        <v>350</v>
      </c>
      <c r="F600" t="s">
        <v>1141</v>
      </c>
      <c r="G600">
        <v>18781057</v>
      </c>
      <c r="H600" t="s">
        <v>71</v>
      </c>
      <c r="I600" t="s">
        <v>72</v>
      </c>
      <c r="J600" t="str">
        <f t="shared" si="27"/>
        <v>JOHN ROKEN</v>
      </c>
      <c r="K600" t="s">
        <v>57</v>
      </c>
      <c r="L600" s="1">
        <v>45629</v>
      </c>
      <c r="M600" s="1">
        <v>45964</v>
      </c>
      <c r="N600" s="2">
        <v>55.2</v>
      </c>
      <c r="O600">
        <f t="shared" si="28"/>
        <v>11</v>
      </c>
      <c r="P600" t="s">
        <v>214</v>
      </c>
      <c r="Q600" t="s">
        <v>1274</v>
      </c>
      <c r="R600" s="3">
        <v>0.51</v>
      </c>
      <c r="S600" s="2">
        <v>28.15</v>
      </c>
      <c r="T600" t="s">
        <v>1141</v>
      </c>
    </row>
    <row r="601" spans="1:20" x14ac:dyDescent="0.25">
      <c r="A601">
        <v>2025612850</v>
      </c>
      <c r="B601" t="s">
        <v>846</v>
      </c>
      <c r="C601" t="s">
        <v>169</v>
      </c>
      <c r="D601" t="str">
        <f t="shared" si="29"/>
        <v>SHEILA GRUNHURD</v>
      </c>
      <c r="E601" t="s">
        <v>292</v>
      </c>
      <c r="F601" t="s">
        <v>293</v>
      </c>
      <c r="G601">
        <v>8307933</v>
      </c>
      <c r="H601" t="s">
        <v>112</v>
      </c>
      <c r="I601" t="s">
        <v>104</v>
      </c>
      <c r="J601" t="str">
        <f t="shared" si="27"/>
        <v>GREGORY TEIPEL</v>
      </c>
      <c r="K601" t="s">
        <v>57</v>
      </c>
      <c r="L601" s="1">
        <v>45633</v>
      </c>
      <c r="M601" s="1">
        <v>45968</v>
      </c>
      <c r="N601" s="2">
        <v>237.74</v>
      </c>
      <c r="O601">
        <f t="shared" si="28"/>
        <v>11</v>
      </c>
      <c r="P601" t="s">
        <v>214</v>
      </c>
      <c r="Q601" t="s">
        <v>1274</v>
      </c>
      <c r="R601" s="3">
        <v>0.7</v>
      </c>
      <c r="S601" s="2">
        <v>166.42</v>
      </c>
      <c r="T601" t="s">
        <v>293</v>
      </c>
    </row>
    <row r="602" spans="1:20" x14ac:dyDescent="0.25">
      <c r="A602">
        <v>2025707626</v>
      </c>
      <c r="B602" t="s">
        <v>852</v>
      </c>
      <c r="C602" t="s">
        <v>853</v>
      </c>
      <c r="D602" t="str">
        <f t="shared" si="29"/>
        <v>JEFFREY BLUHM</v>
      </c>
      <c r="E602" t="s">
        <v>292</v>
      </c>
      <c r="F602" t="s">
        <v>293</v>
      </c>
      <c r="G602">
        <v>8307933</v>
      </c>
      <c r="H602" t="s">
        <v>112</v>
      </c>
      <c r="I602" t="s">
        <v>104</v>
      </c>
      <c r="J602" t="str">
        <f t="shared" si="27"/>
        <v>GREGORY TEIPEL</v>
      </c>
      <c r="K602" t="s">
        <v>57</v>
      </c>
      <c r="L602" s="1">
        <v>45633</v>
      </c>
      <c r="M602" s="1">
        <v>45968</v>
      </c>
      <c r="N602" s="2">
        <v>51</v>
      </c>
      <c r="O602">
        <f t="shared" si="28"/>
        <v>11</v>
      </c>
      <c r="P602" t="s">
        <v>214</v>
      </c>
      <c r="Q602" t="s">
        <v>1274</v>
      </c>
      <c r="R602" s="3">
        <v>0.7</v>
      </c>
      <c r="S602" s="2">
        <v>35.700000000000003</v>
      </c>
      <c r="T602" t="s">
        <v>293</v>
      </c>
    </row>
    <row r="603" spans="1:20" x14ac:dyDescent="0.25">
      <c r="A603">
        <v>2025772484</v>
      </c>
      <c r="B603" t="s">
        <v>526</v>
      </c>
      <c r="C603" t="s">
        <v>429</v>
      </c>
      <c r="D603" t="str">
        <f t="shared" si="29"/>
        <v>BRYAN REYNOLDS</v>
      </c>
      <c r="E603" t="s">
        <v>292</v>
      </c>
      <c r="F603" t="s">
        <v>293</v>
      </c>
      <c r="G603">
        <v>8307933</v>
      </c>
      <c r="H603" t="s">
        <v>112</v>
      </c>
      <c r="I603" t="s">
        <v>104</v>
      </c>
      <c r="J603" t="str">
        <f t="shared" si="27"/>
        <v>GREGORY TEIPEL</v>
      </c>
      <c r="K603" t="s">
        <v>57</v>
      </c>
      <c r="L603" s="1">
        <v>45633</v>
      </c>
      <c r="M603" s="1">
        <v>45968</v>
      </c>
      <c r="N603" s="2">
        <v>261</v>
      </c>
      <c r="O603">
        <f t="shared" si="28"/>
        <v>11</v>
      </c>
      <c r="P603" t="s">
        <v>214</v>
      </c>
      <c r="Q603" t="s">
        <v>1274</v>
      </c>
      <c r="R603" s="3">
        <v>0.7</v>
      </c>
      <c r="S603" s="2">
        <v>182.7</v>
      </c>
      <c r="T603" t="s">
        <v>293</v>
      </c>
    </row>
    <row r="604" spans="1:20" x14ac:dyDescent="0.25">
      <c r="A604">
        <v>2025803166</v>
      </c>
      <c r="B604" t="s">
        <v>854</v>
      </c>
      <c r="C604" t="s">
        <v>855</v>
      </c>
      <c r="D604" t="str">
        <f t="shared" si="29"/>
        <v>DARREN PYLE</v>
      </c>
      <c r="E604" t="s">
        <v>292</v>
      </c>
      <c r="F604" t="s">
        <v>293</v>
      </c>
      <c r="G604">
        <v>8307933</v>
      </c>
      <c r="H604" t="s">
        <v>112</v>
      </c>
      <c r="I604" t="s">
        <v>104</v>
      </c>
      <c r="J604" t="str">
        <f t="shared" si="27"/>
        <v>GREGORY TEIPEL</v>
      </c>
      <c r="K604" t="s">
        <v>57</v>
      </c>
      <c r="L604" s="1">
        <v>45633</v>
      </c>
      <c r="M604" s="1">
        <v>45968</v>
      </c>
      <c r="N604" s="2">
        <v>140.6</v>
      </c>
      <c r="O604">
        <f t="shared" si="28"/>
        <v>11</v>
      </c>
      <c r="P604" t="s">
        <v>214</v>
      </c>
      <c r="Q604" t="s">
        <v>1274</v>
      </c>
      <c r="R604" s="3">
        <v>0.7</v>
      </c>
      <c r="S604" s="2">
        <v>98.42</v>
      </c>
      <c r="T604" t="s">
        <v>293</v>
      </c>
    </row>
    <row r="605" spans="1:20" x14ac:dyDescent="0.25">
      <c r="A605">
        <v>2025805896</v>
      </c>
      <c r="B605" t="s">
        <v>856</v>
      </c>
      <c r="C605" t="s">
        <v>194</v>
      </c>
      <c r="D605" t="str">
        <f t="shared" si="29"/>
        <v>KAREN MOSS</v>
      </c>
      <c r="E605" t="s">
        <v>292</v>
      </c>
      <c r="F605" t="s">
        <v>293</v>
      </c>
      <c r="G605">
        <v>8307933</v>
      </c>
      <c r="H605" t="s">
        <v>112</v>
      </c>
      <c r="I605" t="s">
        <v>104</v>
      </c>
      <c r="J605" t="str">
        <f t="shared" si="27"/>
        <v>GREGORY TEIPEL</v>
      </c>
      <c r="K605" t="s">
        <v>57</v>
      </c>
      <c r="L605" s="1">
        <v>45633</v>
      </c>
      <c r="M605" s="1">
        <v>45968</v>
      </c>
      <c r="N605" s="2">
        <v>111.68</v>
      </c>
      <c r="O605">
        <f t="shared" si="28"/>
        <v>11</v>
      </c>
      <c r="P605" t="s">
        <v>214</v>
      </c>
      <c r="Q605" t="s">
        <v>1274</v>
      </c>
      <c r="R605" s="3">
        <v>0.7</v>
      </c>
      <c r="S605" s="2">
        <v>78.180000000000007</v>
      </c>
      <c r="T605" t="s">
        <v>293</v>
      </c>
    </row>
    <row r="606" spans="1:20" x14ac:dyDescent="0.25">
      <c r="A606">
        <v>2025815282</v>
      </c>
      <c r="B606" t="s">
        <v>696</v>
      </c>
      <c r="C606" t="s">
        <v>697</v>
      </c>
      <c r="D606" t="str">
        <f t="shared" si="29"/>
        <v>CARLEE WEST</v>
      </c>
      <c r="E606" t="s">
        <v>292</v>
      </c>
      <c r="F606" t="s">
        <v>293</v>
      </c>
      <c r="G606">
        <v>8307933</v>
      </c>
      <c r="H606" t="s">
        <v>112</v>
      </c>
      <c r="I606" t="s">
        <v>104</v>
      </c>
      <c r="J606" t="str">
        <f t="shared" si="27"/>
        <v>GREGORY TEIPEL</v>
      </c>
      <c r="K606" t="s">
        <v>57</v>
      </c>
      <c r="L606" s="1">
        <v>45633</v>
      </c>
      <c r="M606" s="1">
        <v>45968</v>
      </c>
      <c r="N606" s="2">
        <v>31.28</v>
      </c>
      <c r="O606">
        <f t="shared" si="28"/>
        <v>11</v>
      </c>
      <c r="P606" t="s">
        <v>214</v>
      </c>
      <c r="Q606" t="s">
        <v>1274</v>
      </c>
      <c r="R606" s="3">
        <v>0.7</v>
      </c>
      <c r="S606" s="2">
        <v>21.9</v>
      </c>
      <c r="T606" t="s">
        <v>293</v>
      </c>
    </row>
    <row r="607" spans="1:20" x14ac:dyDescent="0.25">
      <c r="A607">
        <v>2025863138</v>
      </c>
      <c r="B607" t="s">
        <v>699</v>
      </c>
      <c r="C607" t="s">
        <v>700</v>
      </c>
      <c r="D607" t="str">
        <f t="shared" si="29"/>
        <v>JACKY RICE</v>
      </c>
      <c r="E607" t="s">
        <v>292</v>
      </c>
      <c r="F607" t="s">
        <v>293</v>
      </c>
      <c r="G607">
        <v>8307933</v>
      </c>
      <c r="H607" t="s">
        <v>112</v>
      </c>
      <c r="I607" t="s">
        <v>104</v>
      </c>
      <c r="J607" t="str">
        <f t="shared" si="27"/>
        <v>GREGORY TEIPEL</v>
      </c>
      <c r="K607" t="s">
        <v>57</v>
      </c>
      <c r="L607" s="1">
        <v>45633</v>
      </c>
      <c r="M607" s="1">
        <v>45968</v>
      </c>
      <c r="N607" s="2">
        <v>129.22</v>
      </c>
      <c r="O607">
        <f t="shared" si="28"/>
        <v>11</v>
      </c>
      <c r="P607" t="s">
        <v>214</v>
      </c>
      <c r="Q607" t="s">
        <v>1274</v>
      </c>
      <c r="R607" s="3">
        <v>0.7</v>
      </c>
      <c r="S607" s="2">
        <v>90.45</v>
      </c>
      <c r="T607" t="s">
        <v>293</v>
      </c>
    </row>
    <row r="608" spans="1:20" x14ac:dyDescent="0.25">
      <c r="A608">
        <v>2025884354</v>
      </c>
      <c r="B608" t="s">
        <v>148</v>
      </c>
      <c r="C608" t="s">
        <v>535</v>
      </c>
      <c r="D608" t="str">
        <f t="shared" si="29"/>
        <v>KIM SMITH</v>
      </c>
      <c r="E608" t="s">
        <v>292</v>
      </c>
      <c r="F608" t="s">
        <v>293</v>
      </c>
      <c r="G608">
        <v>8307933</v>
      </c>
      <c r="H608" t="s">
        <v>112</v>
      </c>
      <c r="I608" t="s">
        <v>104</v>
      </c>
      <c r="J608" t="str">
        <f t="shared" si="27"/>
        <v>GREGORY TEIPEL</v>
      </c>
      <c r="K608" t="s">
        <v>57</v>
      </c>
      <c r="L608" s="1">
        <v>45633</v>
      </c>
      <c r="M608" s="1">
        <v>45968</v>
      </c>
      <c r="N608" s="2">
        <v>83</v>
      </c>
      <c r="O608">
        <f t="shared" si="28"/>
        <v>11</v>
      </c>
      <c r="P608" t="s">
        <v>214</v>
      </c>
      <c r="Q608" t="s">
        <v>1274</v>
      </c>
      <c r="R608" s="3">
        <v>0.7</v>
      </c>
      <c r="S608" s="2">
        <v>58.1</v>
      </c>
      <c r="T608" t="s">
        <v>293</v>
      </c>
    </row>
    <row r="609" spans="1:20" x14ac:dyDescent="0.25">
      <c r="A609">
        <v>2025885800</v>
      </c>
      <c r="B609" t="s">
        <v>857</v>
      </c>
      <c r="C609" t="s">
        <v>858</v>
      </c>
      <c r="D609" t="str">
        <f t="shared" si="29"/>
        <v>JAVIER LUGO</v>
      </c>
      <c r="E609" t="s">
        <v>292</v>
      </c>
      <c r="F609" t="s">
        <v>293</v>
      </c>
      <c r="G609">
        <v>8307933</v>
      </c>
      <c r="H609" t="s">
        <v>112</v>
      </c>
      <c r="I609" t="s">
        <v>104</v>
      </c>
      <c r="J609" t="str">
        <f t="shared" si="27"/>
        <v>GREGORY TEIPEL</v>
      </c>
      <c r="K609" t="s">
        <v>57</v>
      </c>
      <c r="L609" s="1">
        <v>45633</v>
      </c>
      <c r="M609" s="1">
        <v>45968</v>
      </c>
      <c r="N609" s="2">
        <v>187.04</v>
      </c>
      <c r="O609">
        <f t="shared" si="28"/>
        <v>11</v>
      </c>
      <c r="P609" t="s">
        <v>214</v>
      </c>
      <c r="Q609" t="s">
        <v>1274</v>
      </c>
      <c r="R609" s="3">
        <v>0.7</v>
      </c>
      <c r="S609" s="2">
        <v>130.93</v>
      </c>
      <c r="T609" t="s">
        <v>293</v>
      </c>
    </row>
    <row r="610" spans="1:20" x14ac:dyDescent="0.25">
      <c r="A610">
        <v>2025887934</v>
      </c>
      <c r="B610" t="s">
        <v>701</v>
      </c>
      <c r="C610" t="s">
        <v>337</v>
      </c>
      <c r="D610" t="str">
        <f t="shared" si="29"/>
        <v>ROBERT WHITE</v>
      </c>
      <c r="E610" t="s">
        <v>292</v>
      </c>
      <c r="F610" t="s">
        <v>293</v>
      </c>
      <c r="G610">
        <v>8307933</v>
      </c>
      <c r="H610" t="s">
        <v>112</v>
      </c>
      <c r="I610" t="s">
        <v>104</v>
      </c>
      <c r="J610" t="str">
        <f t="shared" si="27"/>
        <v>GREGORY TEIPEL</v>
      </c>
      <c r="K610" t="s">
        <v>57</v>
      </c>
      <c r="L610" s="1">
        <v>45633</v>
      </c>
      <c r="M610" s="1">
        <v>45968</v>
      </c>
      <c r="N610" s="2">
        <v>122.32</v>
      </c>
      <c r="O610">
        <f t="shared" si="28"/>
        <v>11</v>
      </c>
      <c r="P610" t="s">
        <v>214</v>
      </c>
      <c r="Q610" t="s">
        <v>1274</v>
      </c>
      <c r="R610" s="3">
        <v>0.7</v>
      </c>
      <c r="S610" s="2">
        <v>85.62</v>
      </c>
      <c r="T610" t="s">
        <v>293</v>
      </c>
    </row>
    <row r="611" spans="1:20" x14ac:dyDescent="0.25">
      <c r="A611">
        <v>2025896511</v>
      </c>
      <c r="B611" t="s">
        <v>702</v>
      </c>
      <c r="C611" t="s">
        <v>227</v>
      </c>
      <c r="D611" t="str">
        <f t="shared" si="29"/>
        <v>JOSEPH SABOT</v>
      </c>
      <c r="E611" t="s">
        <v>292</v>
      </c>
      <c r="F611" t="s">
        <v>293</v>
      </c>
      <c r="G611">
        <v>8307933</v>
      </c>
      <c r="H611" t="s">
        <v>112</v>
      </c>
      <c r="I611" t="s">
        <v>104</v>
      </c>
      <c r="J611" t="str">
        <f t="shared" si="27"/>
        <v>GREGORY TEIPEL</v>
      </c>
      <c r="K611" t="s">
        <v>57</v>
      </c>
      <c r="L611" s="1">
        <v>45633</v>
      </c>
      <c r="M611" s="1">
        <v>45968</v>
      </c>
      <c r="N611" s="2">
        <v>40</v>
      </c>
      <c r="O611">
        <f t="shared" si="28"/>
        <v>11</v>
      </c>
      <c r="P611" t="s">
        <v>214</v>
      </c>
      <c r="Q611" t="s">
        <v>1274</v>
      </c>
      <c r="R611" s="3">
        <v>0.7</v>
      </c>
      <c r="S611" s="2">
        <v>28</v>
      </c>
      <c r="T611" t="s">
        <v>293</v>
      </c>
    </row>
    <row r="612" spans="1:20" x14ac:dyDescent="0.25">
      <c r="A612">
        <v>2025815451</v>
      </c>
      <c r="B612" t="s">
        <v>696</v>
      </c>
      <c r="C612" t="s">
        <v>697</v>
      </c>
      <c r="D612" t="str">
        <f t="shared" si="29"/>
        <v>CARLEE WEST</v>
      </c>
      <c r="E612" t="s">
        <v>243</v>
      </c>
      <c r="F612" t="s">
        <v>244</v>
      </c>
      <c r="G612">
        <v>8307933</v>
      </c>
      <c r="H612" t="s">
        <v>112</v>
      </c>
      <c r="I612" t="s">
        <v>104</v>
      </c>
      <c r="J612" t="str">
        <f t="shared" si="27"/>
        <v>GREGORY TEIPEL</v>
      </c>
      <c r="K612" t="s">
        <v>57</v>
      </c>
      <c r="L612" s="1">
        <v>45633</v>
      </c>
      <c r="M612" s="1">
        <v>45968</v>
      </c>
      <c r="N612" s="2">
        <v>40.07</v>
      </c>
      <c r="O612">
        <f t="shared" si="28"/>
        <v>11</v>
      </c>
      <c r="P612" t="s">
        <v>214</v>
      </c>
      <c r="Q612" t="s">
        <v>1274</v>
      </c>
      <c r="R612" s="4">
        <v>0.375</v>
      </c>
      <c r="S612" s="2">
        <v>15.03</v>
      </c>
      <c r="T612" t="s">
        <v>244</v>
      </c>
    </row>
    <row r="613" spans="1:20" x14ac:dyDescent="0.25">
      <c r="A613">
        <v>2025863140</v>
      </c>
      <c r="B613" t="s">
        <v>699</v>
      </c>
      <c r="C613" t="s">
        <v>700</v>
      </c>
      <c r="D613" t="str">
        <f t="shared" si="29"/>
        <v>JACKY RICE</v>
      </c>
      <c r="E613" t="s">
        <v>243</v>
      </c>
      <c r="F613" t="s">
        <v>244</v>
      </c>
      <c r="G613">
        <v>8307933</v>
      </c>
      <c r="H613" t="s">
        <v>112</v>
      </c>
      <c r="I613" t="s">
        <v>104</v>
      </c>
      <c r="J613" t="str">
        <f t="shared" si="27"/>
        <v>GREGORY TEIPEL</v>
      </c>
      <c r="K613" t="s">
        <v>57</v>
      </c>
      <c r="L613" s="1">
        <v>45633</v>
      </c>
      <c r="M613" s="1">
        <v>45968</v>
      </c>
      <c r="N613" s="2">
        <v>55.66</v>
      </c>
      <c r="O613">
        <f t="shared" si="28"/>
        <v>11</v>
      </c>
      <c r="P613" t="s">
        <v>214</v>
      </c>
      <c r="Q613" t="s">
        <v>1274</v>
      </c>
      <c r="R613" s="4">
        <v>0.375</v>
      </c>
      <c r="S613" s="2">
        <v>20.87</v>
      </c>
      <c r="T613" t="s">
        <v>244</v>
      </c>
    </row>
    <row r="614" spans="1:20" x14ac:dyDescent="0.25">
      <c r="A614">
        <v>2025884356</v>
      </c>
      <c r="B614" t="s">
        <v>148</v>
      </c>
      <c r="C614" t="s">
        <v>535</v>
      </c>
      <c r="D614" t="str">
        <f t="shared" si="29"/>
        <v>KIM SMITH</v>
      </c>
      <c r="E614" t="s">
        <v>243</v>
      </c>
      <c r="F614" t="s">
        <v>244</v>
      </c>
      <c r="G614">
        <v>8307933</v>
      </c>
      <c r="H614" t="s">
        <v>112</v>
      </c>
      <c r="I614" t="s">
        <v>104</v>
      </c>
      <c r="J614" t="str">
        <f t="shared" si="27"/>
        <v>GREGORY TEIPEL</v>
      </c>
      <c r="K614" t="s">
        <v>57</v>
      </c>
      <c r="L614" s="1">
        <v>45633</v>
      </c>
      <c r="M614" s="1">
        <v>45968</v>
      </c>
      <c r="N614" s="2">
        <v>55.66</v>
      </c>
      <c r="O614">
        <f t="shared" si="28"/>
        <v>11</v>
      </c>
      <c r="P614" t="s">
        <v>214</v>
      </c>
      <c r="Q614" t="s">
        <v>1274</v>
      </c>
      <c r="R614" s="4">
        <v>0.375</v>
      </c>
      <c r="S614" s="2">
        <v>20.87</v>
      </c>
      <c r="T614" t="s">
        <v>244</v>
      </c>
    </row>
    <row r="615" spans="1:20" x14ac:dyDescent="0.25">
      <c r="A615">
        <v>2026038650</v>
      </c>
      <c r="B615" t="s">
        <v>989</v>
      </c>
      <c r="C615" t="s">
        <v>482</v>
      </c>
      <c r="D615" t="str">
        <f t="shared" si="29"/>
        <v>MICHAEL TREADWELL</v>
      </c>
      <c r="E615" t="s">
        <v>243</v>
      </c>
      <c r="F615" t="s">
        <v>244</v>
      </c>
      <c r="G615">
        <v>8307933</v>
      </c>
      <c r="H615" t="s">
        <v>112</v>
      </c>
      <c r="I615" t="s">
        <v>104</v>
      </c>
      <c r="J615" t="str">
        <f t="shared" si="27"/>
        <v>GREGORY TEIPEL</v>
      </c>
      <c r="K615" t="s">
        <v>57</v>
      </c>
      <c r="L615" s="1">
        <v>45633</v>
      </c>
      <c r="M615" s="1">
        <v>45968</v>
      </c>
      <c r="N615" s="2">
        <v>65.48</v>
      </c>
      <c r="O615">
        <f t="shared" si="28"/>
        <v>11</v>
      </c>
      <c r="P615" t="s">
        <v>214</v>
      </c>
      <c r="Q615" t="s">
        <v>1274</v>
      </c>
      <c r="R615" s="4">
        <v>0.375</v>
      </c>
      <c r="S615" s="2">
        <v>24.56</v>
      </c>
      <c r="T615" t="s">
        <v>244</v>
      </c>
    </row>
    <row r="616" spans="1:20" x14ac:dyDescent="0.25">
      <c r="A616">
        <v>2026047881</v>
      </c>
      <c r="B616" t="s">
        <v>990</v>
      </c>
      <c r="C616" t="s">
        <v>991</v>
      </c>
      <c r="D616" t="str">
        <f t="shared" si="29"/>
        <v>HOWARD SHIPWASH</v>
      </c>
      <c r="E616" t="s">
        <v>243</v>
      </c>
      <c r="F616" t="s">
        <v>244</v>
      </c>
      <c r="G616">
        <v>8307933</v>
      </c>
      <c r="H616" t="s">
        <v>112</v>
      </c>
      <c r="I616" t="s">
        <v>104</v>
      </c>
      <c r="J616" t="str">
        <f t="shared" si="27"/>
        <v>GREGORY TEIPEL</v>
      </c>
      <c r="K616" t="s">
        <v>57</v>
      </c>
      <c r="L616" s="1">
        <v>45633</v>
      </c>
      <c r="M616" s="1">
        <v>45968</v>
      </c>
      <c r="N616" s="2">
        <v>40.07</v>
      </c>
      <c r="O616">
        <f t="shared" si="28"/>
        <v>11</v>
      </c>
      <c r="P616" t="s">
        <v>214</v>
      </c>
      <c r="Q616" t="s">
        <v>1274</v>
      </c>
      <c r="R616" s="4">
        <v>0.375</v>
      </c>
      <c r="S616" s="2">
        <v>15.03</v>
      </c>
      <c r="T616" t="s">
        <v>244</v>
      </c>
    </row>
    <row r="617" spans="1:20" x14ac:dyDescent="0.25">
      <c r="A617">
        <v>2025805895</v>
      </c>
      <c r="B617" t="s">
        <v>856</v>
      </c>
      <c r="C617" t="s">
        <v>194</v>
      </c>
      <c r="D617" t="str">
        <f t="shared" si="29"/>
        <v>KAREN MOSS</v>
      </c>
      <c r="E617" t="s">
        <v>292</v>
      </c>
      <c r="F617" t="s">
        <v>295</v>
      </c>
      <c r="G617">
        <v>8307933</v>
      </c>
      <c r="H617" t="s">
        <v>112</v>
      </c>
      <c r="I617" t="s">
        <v>104</v>
      </c>
      <c r="J617" t="str">
        <f t="shared" si="27"/>
        <v>GREGORY TEIPEL</v>
      </c>
      <c r="K617" t="s">
        <v>57</v>
      </c>
      <c r="L617" s="1">
        <v>45633</v>
      </c>
      <c r="M617" s="1">
        <v>45968</v>
      </c>
      <c r="N617" s="2">
        <v>80.349999999999994</v>
      </c>
      <c r="O617">
        <f t="shared" si="28"/>
        <v>11</v>
      </c>
      <c r="P617" t="s">
        <v>214</v>
      </c>
      <c r="Q617" t="s">
        <v>1274</v>
      </c>
      <c r="R617" s="3">
        <v>0.9</v>
      </c>
      <c r="S617" s="2">
        <v>72.319999999999993</v>
      </c>
      <c r="T617" t="s">
        <v>295</v>
      </c>
    </row>
    <row r="618" spans="1:20" x14ac:dyDescent="0.25">
      <c r="A618">
        <v>2025815281</v>
      </c>
      <c r="B618" t="s">
        <v>696</v>
      </c>
      <c r="C618" t="s">
        <v>697</v>
      </c>
      <c r="D618" t="str">
        <f t="shared" si="29"/>
        <v>CARLEE WEST</v>
      </c>
      <c r="E618" t="s">
        <v>292</v>
      </c>
      <c r="F618" t="s">
        <v>295</v>
      </c>
      <c r="G618">
        <v>8307933</v>
      </c>
      <c r="H618" t="s">
        <v>112</v>
      </c>
      <c r="I618" t="s">
        <v>104</v>
      </c>
      <c r="J618" t="str">
        <f t="shared" si="27"/>
        <v>GREGORY TEIPEL</v>
      </c>
      <c r="K618" t="s">
        <v>57</v>
      </c>
      <c r="L618" s="1">
        <v>45633</v>
      </c>
      <c r="M618" s="1">
        <v>45968</v>
      </c>
      <c r="N618" s="2">
        <v>21.83</v>
      </c>
      <c r="O618">
        <f t="shared" si="28"/>
        <v>11</v>
      </c>
      <c r="P618" t="s">
        <v>214</v>
      </c>
      <c r="Q618" t="s">
        <v>1274</v>
      </c>
      <c r="R618" s="3">
        <v>0.9</v>
      </c>
      <c r="S618" s="2">
        <v>19.649999999999999</v>
      </c>
      <c r="T618" t="s">
        <v>295</v>
      </c>
    </row>
    <row r="619" spans="1:20" x14ac:dyDescent="0.25">
      <c r="A619">
        <v>2025678172</v>
      </c>
      <c r="B619" t="s">
        <v>692</v>
      </c>
      <c r="C619" t="s">
        <v>441</v>
      </c>
      <c r="D619" t="str">
        <f t="shared" si="29"/>
        <v>PATRICK FOGO</v>
      </c>
      <c r="E619" t="s">
        <v>292</v>
      </c>
      <c r="F619" t="s">
        <v>536</v>
      </c>
      <c r="G619">
        <v>17425766</v>
      </c>
      <c r="H619" t="s">
        <v>237</v>
      </c>
      <c r="I619" t="s">
        <v>238</v>
      </c>
      <c r="J619" t="str">
        <f t="shared" si="27"/>
        <v>CAROL FOLEY</v>
      </c>
      <c r="K619" t="s">
        <v>57</v>
      </c>
      <c r="L619" s="1">
        <v>45604</v>
      </c>
      <c r="M619" s="1">
        <v>45969</v>
      </c>
      <c r="N619" s="2">
        <v>24.61</v>
      </c>
      <c r="O619">
        <f t="shared" si="28"/>
        <v>12</v>
      </c>
      <c r="P619" t="s">
        <v>214</v>
      </c>
      <c r="Q619" t="s">
        <v>1274</v>
      </c>
      <c r="R619" s="3">
        <v>0.7</v>
      </c>
      <c r="S619" s="2">
        <v>17.23</v>
      </c>
      <c r="T619" t="s">
        <v>536</v>
      </c>
    </row>
    <row r="620" spans="1:20" x14ac:dyDescent="0.25">
      <c r="A620">
        <v>2025639664</v>
      </c>
      <c r="B620" t="s">
        <v>690</v>
      </c>
      <c r="C620" t="s">
        <v>224</v>
      </c>
      <c r="D620" t="str">
        <f t="shared" si="29"/>
        <v>JAMES LIGON</v>
      </c>
      <c r="E620" t="s">
        <v>292</v>
      </c>
      <c r="F620" t="s">
        <v>536</v>
      </c>
      <c r="G620">
        <v>8977234</v>
      </c>
      <c r="H620" t="s">
        <v>80</v>
      </c>
      <c r="I620" t="s">
        <v>81</v>
      </c>
      <c r="J620" t="str">
        <f t="shared" si="27"/>
        <v>RYAN CALTAGIRONE</v>
      </c>
      <c r="K620" t="s">
        <v>57</v>
      </c>
      <c r="L620" s="1">
        <v>45602</v>
      </c>
      <c r="M620" s="1">
        <v>45967</v>
      </c>
      <c r="N620" s="2">
        <v>23.39</v>
      </c>
      <c r="O620">
        <f t="shared" si="28"/>
        <v>12</v>
      </c>
      <c r="P620" t="s">
        <v>214</v>
      </c>
      <c r="Q620" t="s">
        <v>1274</v>
      </c>
      <c r="R620" s="3">
        <v>0.7</v>
      </c>
      <c r="S620" s="2">
        <v>16.37</v>
      </c>
      <c r="T620" t="s">
        <v>536</v>
      </c>
    </row>
    <row r="621" spans="1:20" x14ac:dyDescent="0.25">
      <c r="A621">
        <v>2025260278</v>
      </c>
      <c r="B621" t="s">
        <v>688</v>
      </c>
      <c r="C621" t="s">
        <v>301</v>
      </c>
      <c r="D621" t="str">
        <f t="shared" si="29"/>
        <v>DAVID KUHN</v>
      </c>
      <c r="E621" t="s">
        <v>89</v>
      </c>
      <c r="F621" t="s">
        <v>111</v>
      </c>
      <c r="G621">
        <v>8307933</v>
      </c>
      <c r="H621" t="s">
        <v>112</v>
      </c>
      <c r="I621" t="s">
        <v>104</v>
      </c>
      <c r="J621" t="str">
        <f t="shared" si="27"/>
        <v>GREGORY TEIPEL</v>
      </c>
      <c r="K621" t="s">
        <v>57</v>
      </c>
      <c r="L621" s="1">
        <v>45603</v>
      </c>
      <c r="M621" s="1">
        <v>45968</v>
      </c>
      <c r="N621" s="2">
        <v>267.5</v>
      </c>
      <c r="O621">
        <f t="shared" si="28"/>
        <v>12</v>
      </c>
      <c r="P621" t="s">
        <v>214</v>
      </c>
      <c r="Q621" t="s">
        <v>1274</v>
      </c>
      <c r="R621" s="3">
        <v>0.75</v>
      </c>
      <c r="S621" s="2">
        <v>200.62</v>
      </c>
      <c r="T621" t="s">
        <v>1257</v>
      </c>
    </row>
    <row r="622" spans="1:20" x14ac:dyDescent="0.25">
      <c r="A622">
        <v>2025655085</v>
      </c>
      <c r="B622" t="s">
        <v>691</v>
      </c>
      <c r="C622" t="s">
        <v>158</v>
      </c>
      <c r="D622" t="str">
        <f t="shared" si="29"/>
        <v>TAMMY LAROUX</v>
      </c>
      <c r="E622" t="s">
        <v>89</v>
      </c>
      <c r="F622" t="s">
        <v>111</v>
      </c>
      <c r="G622">
        <v>8307933</v>
      </c>
      <c r="H622" t="s">
        <v>112</v>
      </c>
      <c r="I622" t="s">
        <v>104</v>
      </c>
      <c r="J622" t="str">
        <f t="shared" si="27"/>
        <v>GREGORY TEIPEL</v>
      </c>
      <c r="K622" t="s">
        <v>57</v>
      </c>
      <c r="L622" s="1">
        <v>45604</v>
      </c>
      <c r="M622" s="1">
        <v>45969</v>
      </c>
      <c r="N622" s="2">
        <v>68.25</v>
      </c>
      <c r="O622">
        <f t="shared" si="28"/>
        <v>12</v>
      </c>
      <c r="P622" t="s">
        <v>214</v>
      </c>
      <c r="Q622" t="s">
        <v>1274</v>
      </c>
      <c r="R622" s="3">
        <v>0.75</v>
      </c>
      <c r="S622" s="2">
        <v>51.19</v>
      </c>
      <c r="T622" t="s">
        <v>1257</v>
      </c>
    </row>
    <row r="623" spans="1:20" x14ac:dyDescent="0.25">
      <c r="A623">
        <v>2025639663</v>
      </c>
      <c r="B623" t="s">
        <v>690</v>
      </c>
      <c r="C623" t="s">
        <v>224</v>
      </c>
      <c r="D623" t="str">
        <f t="shared" si="29"/>
        <v>JAMES LIGON</v>
      </c>
      <c r="E623" t="s">
        <v>89</v>
      </c>
      <c r="F623" t="s">
        <v>111</v>
      </c>
      <c r="G623">
        <v>8977234</v>
      </c>
      <c r="H623" t="s">
        <v>80</v>
      </c>
      <c r="I623" t="s">
        <v>81</v>
      </c>
      <c r="J623" t="str">
        <f t="shared" si="27"/>
        <v>RYAN CALTAGIRONE</v>
      </c>
      <c r="K623" t="s">
        <v>57</v>
      </c>
      <c r="L623" s="1">
        <v>45602</v>
      </c>
      <c r="M623" s="1">
        <v>45967</v>
      </c>
      <c r="N623" s="2">
        <v>94.78</v>
      </c>
      <c r="O623">
        <f t="shared" si="28"/>
        <v>12</v>
      </c>
      <c r="P623" t="s">
        <v>214</v>
      </c>
      <c r="Q623" t="s">
        <v>1274</v>
      </c>
      <c r="R623" s="3">
        <v>0.75</v>
      </c>
      <c r="S623" s="2">
        <v>71.08</v>
      </c>
      <c r="T623" t="s">
        <v>1257</v>
      </c>
    </row>
    <row r="624" spans="1:20" x14ac:dyDescent="0.25">
      <c r="A624">
        <v>2025678173</v>
      </c>
      <c r="B624" t="s">
        <v>692</v>
      </c>
      <c r="C624" t="s">
        <v>441</v>
      </c>
      <c r="D624" t="str">
        <f t="shared" si="29"/>
        <v>PATRICK FOGO</v>
      </c>
      <c r="E624" t="s">
        <v>89</v>
      </c>
      <c r="F624" t="s">
        <v>96</v>
      </c>
      <c r="G624">
        <v>17425766</v>
      </c>
      <c r="H624" t="s">
        <v>237</v>
      </c>
      <c r="I624" t="s">
        <v>238</v>
      </c>
      <c r="J624" t="str">
        <f t="shared" si="27"/>
        <v>CAROL FOLEY</v>
      </c>
      <c r="K624" t="s">
        <v>57</v>
      </c>
      <c r="L624" s="1">
        <v>45604</v>
      </c>
      <c r="M624" s="1">
        <v>45969</v>
      </c>
      <c r="N624" s="2">
        <v>98.92</v>
      </c>
      <c r="O624">
        <f t="shared" si="28"/>
        <v>12</v>
      </c>
      <c r="P624" t="s">
        <v>214</v>
      </c>
      <c r="Q624" t="s">
        <v>1274</v>
      </c>
      <c r="R624" s="3">
        <v>0.9</v>
      </c>
      <c r="S624" s="2">
        <v>89.03</v>
      </c>
      <c r="T624" t="s">
        <v>1259</v>
      </c>
    </row>
    <row r="625" spans="1:20" x14ac:dyDescent="0.25">
      <c r="A625">
        <v>2025546356</v>
      </c>
      <c r="B625" t="s">
        <v>689</v>
      </c>
      <c r="C625" t="s">
        <v>606</v>
      </c>
      <c r="D625" t="str">
        <f t="shared" si="29"/>
        <v>LESLIE BRUMFIELD</v>
      </c>
      <c r="E625" t="s">
        <v>89</v>
      </c>
      <c r="F625" t="s">
        <v>96</v>
      </c>
      <c r="G625">
        <v>8307933</v>
      </c>
      <c r="H625" t="s">
        <v>112</v>
      </c>
      <c r="I625" t="s">
        <v>104</v>
      </c>
      <c r="J625" t="str">
        <f t="shared" si="27"/>
        <v>GREGORY TEIPEL</v>
      </c>
      <c r="K625" t="s">
        <v>57</v>
      </c>
      <c r="L625" s="1">
        <v>45603</v>
      </c>
      <c r="M625" s="1">
        <v>45968</v>
      </c>
      <c r="N625" s="2">
        <v>234.5</v>
      </c>
      <c r="O625">
        <f t="shared" si="28"/>
        <v>12</v>
      </c>
      <c r="P625" t="s">
        <v>214</v>
      </c>
      <c r="Q625" t="s">
        <v>1274</v>
      </c>
      <c r="R625" s="3">
        <v>0.9</v>
      </c>
      <c r="S625" s="2">
        <v>211.05</v>
      </c>
      <c r="T625" t="s">
        <v>1259</v>
      </c>
    </row>
    <row r="626" spans="1:20" x14ac:dyDescent="0.25">
      <c r="A626">
        <v>2025678171</v>
      </c>
      <c r="B626" t="s">
        <v>692</v>
      </c>
      <c r="C626" t="s">
        <v>441</v>
      </c>
      <c r="D626" t="str">
        <f t="shared" si="29"/>
        <v>PATRICK FOGO</v>
      </c>
      <c r="E626" t="s">
        <v>292</v>
      </c>
      <c r="F626" t="s">
        <v>331</v>
      </c>
      <c r="G626">
        <v>17425766</v>
      </c>
      <c r="H626" t="s">
        <v>237</v>
      </c>
      <c r="I626" t="s">
        <v>238</v>
      </c>
      <c r="J626" t="str">
        <f t="shared" si="27"/>
        <v>CAROL FOLEY</v>
      </c>
      <c r="K626" t="s">
        <v>57</v>
      </c>
      <c r="L626" s="1">
        <v>45604</v>
      </c>
      <c r="M626" s="1">
        <v>45969</v>
      </c>
      <c r="N626" s="2">
        <v>-7.77</v>
      </c>
      <c r="O626">
        <f t="shared" si="28"/>
        <v>12</v>
      </c>
      <c r="P626" t="s">
        <v>214</v>
      </c>
      <c r="Q626" t="s">
        <v>1274</v>
      </c>
      <c r="R626" s="3">
        <v>0.42</v>
      </c>
      <c r="S626" s="2">
        <v>-3.26</v>
      </c>
      <c r="T626" t="s">
        <v>331</v>
      </c>
    </row>
    <row r="627" spans="1:20" x14ac:dyDescent="0.25">
      <c r="A627">
        <v>2025698058</v>
      </c>
      <c r="B627" t="s">
        <v>139</v>
      </c>
      <c r="C627" t="s">
        <v>393</v>
      </c>
      <c r="D627" t="str">
        <f t="shared" si="29"/>
        <v>PAMELA KELLY</v>
      </c>
      <c r="E627" t="s">
        <v>209</v>
      </c>
      <c r="F627" t="s">
        <v>222</v>
      </c>
      <c r="G627">
        <v>17425766</v>
      </c>
      <c r="H627" t="s">
        <v>237</v>
      </c>
      <c r="I627" t="s">
        <v>238</v>
      </c>
      <c r="J627" t="str">
        <f t="shared" si="27"/>
        <v>CAROL FOLEY</v>
      </c>
      <c r="K627" t="s">
        <v>57</v>
      </c>
      <c r="L627" s="1">
        <v>45605</v>
      </c>
      <c r="M627" s="1">
        <v>45970</v>
      </c>
      <c r="N627" s="2">
        <v>15</v>
      </c>
      <c r="O627">
        <f t="shared" si="28"/>
        <v>12</v>
      </c>
      <c r="P627" t="s">
        <v>214</v>
      </c>
      <c r="Q627" t="s">
        <v>1274</v>
      </c>
      <c r="R627" s="3">
        <v>0.38</v>
      </c>
      <c r="S627" s="2">
        <v>5.7</v>
      </c>
      <c r="T627" t="s">
        <v>222</v>
      </c>
    </row>
    <row r="628" spans="1:20" x14ac:dyDescent="0.25">
      <c r="A628">
        <v>2025525110</v>
      </c>
      <c r="B628" t="s">
        <v>1161</v>
      </c>
      <c r="C628" t="s">
        <v>268</v>
      </c>
      <c r="D628" t="str">
        <f t="shared" si="29"/>
        <v>GERALD O'NEILL</v>
      </c>
      <c r="E628" t="s">
        <v>350</v>
      </c>
      <c r="F628" t="s">
        <v>351</v>
      </c>
      <c r="G628">
        <v>19278370</v>
      </c>
      <c r="H628" t="s">
        <v>75</v>
      </c>
      <c r="I628" t="s">
        <v>76</v>
      </c>
      <c r="J628" t="str">
        <f t="shared" si="27"/>
        <v>ANNE MARIE KOZACHECK</v>
      </c>
      <c r="K628" t="s">
        <v>57</v>
      </c>
      <c r="L628" s="1">
        <v>45597</v>
      </c>
      <c r="M628" s="1">
        <v>45962</v>
      </c>
      <c r="N628" s="2">
        <v>104.08</v>
      </c>
      <c r="O628">
        <f t="shared" si="28"/>
        <v>12</v>
      </c>
      <c r="P628" t="s">
        <v>214</v>
      </c>
      <c r="Q628" t="s">
        <v>1274</v>
      </c>
      <c r="R628" s="3">
        <v>0.47</v>
      </c>
      <c r="S628" s="2">
        <v>48.92</v>
      </c>
      <c r="T628" t="s">
        <v>351</v>
      </c>
    </row>
    <row r="629" spans="1:20" x14ac:dyDescent="0.25">
      <c r="A629">
        <v>2024984249</v>
      </c>
      <c r="B629" t="s">
        <v>1159</v>
      </c>
      <c r="C629" t="s">
        <v>482</v>
      </c>
      <c r="D629" t="str">
        <f t="shared" si="29"/>
        <v>MICHAEL MASSUCCI</v>
      </c>
      <c r="E629" t="s">
        <v>350</v>
      </c>
      <c r="F629" t="s">
        <v>351</v>
      </c>
      <c r="G629">
        <v>17528908</v>
      </c>
      <c r="H629" t="s">
        <v>352</v>
      </c>
      <c r="I629" t="s">
        <v>353</v>
      </c>
      <c r="J629" t="str">
        <f t="shared" si="27"/>
        <v>DEBORAH INSKIPT</v>
      </c>
      <c r="K629" t="s">
        <v>57</v>
      </c>
      <c r="L629" s="1">
        <v>45597</v>
      </c>
      <c r="M629" s="1">
        <v>45962</v>
      </c>
      <c r="N629" s="2">
        <v>78.83</v>
      </c>
      <c r="O629">
        <f t="shared" si="28"/>
        <v>12</v>
      </c>
      <c r="P629" t="s">
        <v>214</v>
      </c>
      <c r="Q629" t="s">
        <v>1274</v>
      </c>
      <c r="R629" s="3">
        <v>0.47</v>
      </c>
      <c r="S629" s="2">
        <v>37.049999999999997</v>
      </c>
      <c r="T629" t="s">
        <v>351</v>
      </c>
    </row>
    <row r="630" spans="1:20" x14ac:dyDescent="0.25">
      <c r="A630">
        <v>2025655643</v>
      </c>
      <c r="B630" t="s">
        <v>391</v>
      </c>
      <c r="C630" t="s">
        <v>392</v>
      </c>
      <c r="D630" t="str">
        <f t="shared" si="29"/>
        <v>ROSEANN CONSTANTINO</v>
      </c>
      <c r="E630" t="s">
        <v>287</v>
      </c>
      <c r="F630" t="s">
        <v>288</v>
      </c>
      <c r="G630">
        <v>17425766</v>
      </c>
      <c r="H630" t="s">
        <v>237</v>
      </c>
      <c r="I630" t="s">
        <v>238</v>
      </c>
      <c r="J630" t="str">
        <f t="shared" si="27"/>
        <v>CAROL FOLEY</v>
      </c>
      <c r="K630" t="s">
        <v>57</v>
      </c>
      <c r="L630" s="1">
        <v>45603</v>
      </c>
      <c r="M630" s="1">
        <v>45968</v>
      </c>
      <c r="N630" s="2">
        <v>55.16</v>
      </c>
      <c r="O630">
        <f t="shared" si="28"/>
        <v>12</v>
      </c>
      <c r="P630" t="s">
        <v>214</v>
      </c>
      <c r="Q630" t="s">
        <v>1274</v>
      </c>
      <c r="R630" s="3">
        <v>0.38</v>
      </c>
      <c r="S630" s="2">
        <v>20.96</v>
      </c>
      <c r="T630" t="s">
        <v>288</v>
      </c>
    </row>
    <row r="631" spans="1:20" x14ac:dyDescent="0.25">
      <c r="A631">
        <v>2025698056</v>
      </c>
      <c r="B631" t="s">
        <v>139</v>
      </c>
      <c r="C631" t="s">
        <v>393</v>
      </c>
      <c r="D631" t="str">
        <f t="shared" si="29"/>
        <v>PAMELA KELLY</v>
      </c>
      <c r="E631" t="s">
        <v>287</v>
      </c>
      <c r="F631" t="s">
        <v>288</v>
      </c>
      <c r="G631">
        <v>17425766</v>
      </c>
      <c r="H631" t="s">
        <v>237</v>
      </c>
      <c r="I631" t="s">
        <v>238</v>
      </c>
      <c r="J631" t="str">
        <f t="shared" si="27"/>
        <v>CAROL FOLEY</v>
      </c>
      <c r="K631" t="s">
        <v>57</v>
      </c>
      <c r="L631" s="1">
        <v>45605</v>
      </c>
      <c r="M631" s="1">
        <v>45970</v>
      </c>
      <c r="N631" s="2">
        <v>26.12</v>
      </c>
      <c r="O631">
        <f t="shared" si="28"/>
        <v>12</v>
      </c>
      <c r="P631" t="s">
        <v>214</v>
      </c>
      <c r="Q631" t="s">
        <v>1274</v>
      </c>
      <c r="R631" s="3">
        <v>0.38</v>
      </c>
      <c r="S631" s="2">
        <v>9.93</v>
      </c>
      <c r="T631" t="s">
        <v>288</v>
      </c>
    </row>
    <row r="632" spans="1:20" x14ac:dyDescent="0.25">
      <c r="A632">
        <v>2025118592</v>
      </c>
      <c r="B632" t="s">
        <v>494</v>
      </c>
      <c r="C632" t="s">
        <v>495</v>
      </c>
      <c r="D632" t="str">
        <f t="shared" si="29"/>
        <v>AMY KAMINSKI</v>
      </c>
      <c r="E632" t="s">
        <v>467</v>
      </c>
      <c r="F632" t="s">
        <v>471</v>
      </c>
      <c r="G632">
        <v>17425766</v>
      </c>
      <c r="H632" t="s">
        <v>237</v>
      </c>
      <c r="I632" t="s">
        <v>238</v>
      </c>
      <c r="J632" t="str">
        <f t="shared" si="27"/>
        <v>CAROL FOLEY</v>
      </c>
      <c r="K632" t="s">
        <v>57</v>
      </c>
      <c r="L632" s="1">
        <v>45597</v>
      </c>
      <c r="M632" s="1">
        <v>45962</v>
      </c>
      <c r="N632" s="2">
        <v>102.08</v>
      </c>
      <c r="O632">
        <f t="shared" si="28"/>
        <v>12</v>
      </c>
      <c r="P632" t="s">
        <v>214</v>
      </c>
      <c r="Q632" t="s">
        <v>1274</v>
      </c>
      <c r="R632" s="3">
        <v>0.26</v>
      </c>
      <c r="S632" s="2">
        <v>26.54</v>
      </c>
      <c r="T632" t="s">
        <v>1266</v>
      </c>
    </row>
    <row r="633" spans="1:20" x14ac:dyDescent="0.25">
      <c r="A633">
        <v>2025639665</v>
      </c>
      <c r="B633" t="s">
        <v>690</v>
      </c>
      <c r="C633" t="s">
        <v>224</v>
      </c>
      <c r="D633" t="str">
        <f t="shared" si="29"/>
        <v>JAMES LIGON</v>
      </c>
      <c r="E633" t="s">
        <v>292</v>
      </c>
      <c r="F633" t="s">
        <v>293</v>
      </c>
      <c r="G633">
        <v>8977234</v>
      </c>
      <c r="H633" t="s">
        <v>80</v>
      </c>
      <c r="I633" t="s">
        <v>81</v>
      </c>
      <c r="J633" t="str">
        <f t="shared" si="27"/>
        <v>RYAN CALTAGIRONE</v>
      </c>
      <c r="K633" t="s">
        <v>57</v>
      </c>
      <c r="L633" s="1">
        <v>45602</v>
      </c>
      <c r="M633" s="1">
        <v>45967</v>
      </c>
      <c r="N633" s="2">
        <v>29.1</v>
      </c>
      <c r="O633">
        <f t="shared" si="28"/>
        <v>12</v>
      </c>
      <c r="P633" t="s">
        <v>214</v>
      </c>
      <c r="Q633" t="s">
        <v>1274</v>
      </c>
      <c r="R633" s="3">
        <v>0.7</v>
      </c>
      <c r="S633" s="2">
        <v>20.37</v>
      </c>
      <c r="T633" t="s">
        <v>293</v>
      </c>
    </row>
    <row r="634" spans="1:20" x14ac:dyDescent="0.25">
      <c r="A634">
        <v>2025698057</v>
      </c>
      <c r="B634" t="s">
        <v>139</v>
      </c>
      <c r="C634" t="s">
        <v>393</v>
      </c>
      <c r="D634" t="str">
        <f t="shared" si="29"/>
        <v>PAMELA KELLY</v>
      </c>
      <c r="E634" t="s">
        <v>243</v>
      </c>
      <c r="F634" t="s">
        <v>244</v>
      </c>
      <c r="G634">
        <v>17425766</v>
      </c>
      <c r="H634" t="s">
        <v>237</v>
      </c>
      <c r="I634" t="s">
        <v>238</v>
      </c>
      <c r="J634" t="str">
        <f t="shared" si="27"/>
        <v>CAROL FOLEY</v>
      </c>
      <c r="K634" t="s">
        <v>57</v>
      </c>
      <c r="L634" s="1">
        <v>45605</v>
      </c>
      <c r="M634" s="1">
        <v>45970</v>
      </c>
      <c r="N634" s="2">
        <v>36.119999999999997</v>
      </c>
      <c r="O634">
        <f t="shared" si="28"/>
        <v>12</v>
      </c>
      <c r="P634" t="s">
        <v>214</v>
      </c>
      <c r="Q634" t="s">
        <v>1274</v>
      </c>
      <c r="R634" s="4">
        <v>0.375</v>
      </c>
      <c r="S634" s="2">
        <v>13.54</v>
      </c>
      <c r="T634" t="s">
        <v>244</v>
      </c>
    </row>
    <row r="635" spans="1:20" x14ac:dyDescent="0.25">
      <c r="A635">
        <v>2025655084</v>
      </c>
      <c r="B635" t="s">
        <v>691</v>
      </c>
      <c r="C635" t="s">
        <v>158</v>
      </c>
      <c r="D635" t="str">
        <f t="shared" si="29"/>
        <v>TAMMY LAROUX</v>
      </c>
      <c r="E635" t="s">
        <v>292</v>
      </c>
      <c r="F635" t="s">
        <v>295</v>
      </c>
      <c r="G635">
        <v>8307933</v>
      </c>
      <c r="H635" t="s">
        <v>112</v>
      </c>
      <c r="I635" t="s">
        <v>104</v>
      </c>
      <c r="J635" t="str">
        <f t="shared" si="27"/>
        <v>GREGORY TEIPEL</v>
      </c>
      <c r="K635" t="s">
        <v>57</v>
      </c>
      <c r="L635" s="1">
        <v>45604</v>
      </c>
      <c r="M635" s="1">
        <v>45969</v>
      </c>
      <c r="N635" s="2">
        <v>99.25</v>
      </c>
      <c r="O635">
        <f t="shared" si="28"/>
        <v>12</v>
      </c>
      <c r="P635" t="s">
        <v>214</v>
      </c>
      <c r="Q635" t="s">
        <v>1274</v>
      </c>
      <c r="R635" s="3">
        <v>0.9</v>
      </c>
      <c r="S635" s="2">
        <v>89.32</v>
      </c>
      <c r="T635" t="s">
        <v>295</v>
      </c>
    </row>
    <row r="636" spans="1:20" x14ac:dyDescent="0.25">
      <c r="A636">
        <v>2025222898</v>
      </c>
      <c r="B636" t="s">
        <v>388</v>
      </c>
      <c r="C636" t="s">
        <v>389</v>
      </c>
      <c r="D636" t="str">
        <f t="shared" si="29"/>
        <v>EARNEST WILLIAMS</v>
      </c>
      <c r="E636" t="s">
        <v>209</v>
      </c>
      <c r="F636" t="s">
        <v>222</v>
      </c>
      <c r="G636">
        <v>18781057</v>
      </c>
      <c r="H636" t="s">
        <v>71</v>
      </c>
      <c r="I636" t="s">
        <v>72</v>
      </c>
      <c r="J636" t="str">
        <f t="shared" si="27"/>
        <v>JOHN ROKEN</v>
      </c>
      <c r="K636" t="s">
        <v>57</v>
      </c>
      <c r="L636" s="1">
        <v>45574</v>
      </c>
      <c r="M636" s="1">
        <v>45970</v>
      </c>
      <c r="N636" s="2">
        <v>15</v>
      </c>
      <c r="O636">
        <f t="shared" si="28"/>
        <v>13</v>
      </c>
      <c r="P636" t="s">
        <v>214</v>
      </c>
      <c r="Q636" t="s">
        <v>1274</v>
      </c>
      <c r="R636" s="3">
        <v>0.1</v>
      </c>
      <c r="S636" s="2">
        <v>1.5</v>
      </c>
      <c r="T636" t="s">
        <v>222</v>
      </c>
    </row>
    <row r="637" spans="1:20" x14ac:dyDescent="0.25">
      <c r="A637">
        <v>2024578754</v>
      </c>
      <c r="B637" t="s">
        <v>1157</v>
      </c>
      <c r="C637" t="s">
        <v>1158</v>
      </c>
      <c r="D637" t="str">
        <f t="shared" si="29"/>
        <v>JEANNE FORBES-SNIVELY</v>
      </c>
      <c r="E637" t="s">
        <v>350</v>
      </c>
      <c r="F637" t="s">
        <v>351</v>
      </c>
      <c r="G637">
        <v>17528908</v>
      </c>
      <c r="H637" t="s">
        <v>352</v>
      </c>
      <c r="I637" t="s">
        <v>353</v>
      </c>
      <c r="J637" t="str">
        <f t="shared" si="27"/>
        <v>DEBORAH INSKIPT</v>
      </c>
      <c r="K637" t="s">
        <v>57</v>
      </c>
      <c r="L637" s="1">
        <v>45566</v>
      </c>
      <c r="M637" s="1">
        <v>45962</v>
      </c>
      <c r="N637" s="2">
        <v>33.590000000000003</v>
      </c>
      <c r="O637">
        <f t="shared" si="28"/>
        <v>13</v>
      </c>
      <c r="P637" t="s">
        <v>214</v>
      </c>
      <c r="Q637" t="s">
        <v>1274</v>
      </c>
      <c r="R637" s="4">
        <v>5.2499999999999998E-2</v>
      </c>
      <c r="S637" s="2">
        <v>1.76</v>
      </c>
      <c r="T637" t="s">
        <v>351</v>
      </c>
    </row>
    <row r="638" spans="1:20" x14ac:dyDescent="0.25">
      <c r="A638">
        <v>2025222896</v>
      </c>
      <c r="B638" t="s">
        <v>388</v>
      </c>
      <c r="C638" t="s">
        <v>389</v>
      </c>
      <c r="D638" t="str">
        <f t="shared" si="29"/>
        <v>EARNEST WILLIAMS</v>
      </c>
      <c r="E638" t="s">
        <v>287</v>
      </c>
      <c r="F638" t="s">
        <v>288</v>
      </c>
      <c r="G638">
        <v>18781057</v>
      </c>
      <c r="H638" t="s">
        <v>71</v>
      </c>
      <c r="I638" t="s">
        <v>72</v>
      </c>
      <c r="J638" t="str">
        <f t="shared" si="27"/>
        <v>JOHN ROKEN</v>
      </c>
      <c r="K638" t="s">
        <v>57</v>
      </c>
      <c r="L638" s="1">
        <v>45574</v>
      </c>
      <c r="M638" s="1">
        <v>45970</v>
      </c>
      <c r="N638" s="2">
        <v>31.64</v>
      </c>
      <c r="O638">
        <f t="shared" si="28"/>
        <v>13</v>
      </c>
      <c r="P638" t="s">
        <v>214</v>
      </c>
      <c r="Q638" t="s">
        <v>1274</v>
      </c>
      <c r="R638" s="3">
        <v>0.1</v>
      </c>
      <c r="S638" s="2">
        <v>3.16</v>
      </c>
      <c r="T638" t="s">
        <v>288</v>
      </c>
    </row>
    <row r="639" spans="1:20" x14ac:dyDescent="0.25">
      <c r="A639">
        <v>2024899507</v>
      </c>
      <c r="B639" t="s">
        <v>835</v>
      </c>
      <c r="C639" t="s">
        <v>836</v>
      </c>
      <c r="D639" t="str">
        <f t="shared" si="29"/>
        <v>MARIANO DOBLE</v>
      </c>
      <c r="E639" t="s">
        <v>292</v>
      </c>
      <c r="F639" t="s">
        <v>293</v>
      </c>
      <c r="G639">
        <v>8307933</v>
      </c>
      <c r="H639" t="s">
        <v>112</v>
      </c>
      <c r="I639" t="s">
        <v>104</v>
      </c>
      <c r="J639" t="str">
        <f t="shared" si="27"/>
        <v>GREGORY TEIPEL</v>
      </c>
      <c r="K639" t="s">
        <v>57</v>
      </c>
      <c r="L639" s="1">
        <v>45571</v>
      </c>
      <c r="M639" s="1">
        <v>45967</v>
      </c>
      <c r="N639" s="2">
        <v>34.340000000000003</v>
      </c>
      <c r="O639">
        <f t="shared" si="28"/>
        <v>13</v>
      </c>
      <c r="P639" t="s">
        <v>214</v>
      </c>
      <c r="Q639" t="s">
        <v>1274</v>
      </c>
      <c r="R639" s="3">
        <v>0.15</v>
      </c>
      <c r="S639" s="2">
        <v>5.15</v>
      </c>
      <c r="T639" t="s">
        <v>293</v>
      </c>
    </row>
    <row r="640" spans="1:20" x14ac:dyDescent="0.25">
      <c r="A640">
        <v>2025049457</v>
      </c>
      <c r="B640" t="s">
        <v>842</v>
      </c>
      <c r="C640" t="s">
        <v>843</v>
      </c>
      <c r="D640" t="str">
        <f t="shared" si="29"/>
        <v>DAWOOD HANASH</v>
      </c>
      <c r="E640" t="s">
        <v>292</v>
      </c>
      <c r="F640" t="s">
        <v>293</v>
      </c>
      <c r="G640">
        <v>8307933</v>
      </c>
      <c r="H640" t="s">
        <v>112</v>
      </c>
      <c r="I640" t="s">
        <v>104</v>
      </c>
      <c r="J640" t="str">
        <f t="shared" si="27"/>
        <v>GREGORY TEIPEL</v>
      </c>
      <c r="K640" t="s">
        <v>57</v>
      </c>
      <c r="L640" s="1">
        <v>45572</v>
      </c>
      <c r="M640" s="1">
        <v>45968</v>
      </c>
      <c r="N640" s="2">
        <v>59.4</v>
      </c>
      <c r="O640">
        <f t="shared" si="28"/>
        <v>13</v>
      </c>
      <c r="P640" t="s">
        <v>214</v>
      </c>
      <c r="Q640" t="s">
        <v>1274</v>
      </c>
      <c r="R640" s="3">
        <v>0.15</v>
      </c>
      <c r="S640" s="2">
        <v>8.91</v>
      </c>
      <c r="T640" t="s">
        <v>293</v>
      </c>
    </row>
    <row r="641" spans="1:20" x14ac:dyDescent="0.25">
      <c r="A641">
        <v>2025222897</v>
      </c>
      <c r="B641" t="s">
        <v>388</v>
      </c>
      <c r="C641" t="s">
        <v>389</v>
      </c>
      <c r="D641" t="str">
        <f t="shared" si="29"/>
        <v>EARNEST WILLIAMS</v>
      </c>
      <c r="E641" t="s">
        <v>292</v>
      </c>
      <c r="F641" t="s">
        <v>293</v>
      </c>
      <c r="G641">
        <v>18781057</v>
      </c>
      <c r="H641" t="s">
        <v>71</v>
      </c>
      <c r="I641" t="s">
        <v>72</v>
      </c>
      <c r="J641" t="str">
        <f t="shared" si="27"/>
        <v>JOHN ROKEN</v>
      </c>
      <c r="K641" t="s">
        <v>57</v>
      </c>
      <c r="L641" s="1">
        <v>45574</v>
      </c>
      <c r="M641" s="1">
        <v>45970</v>
      </c>
      <c r="N641" s="2">
        <v>22</v>
      </c>
      <c r="O641">
        <f t="shared" si="28"/>
        <v>13</v>
      </c>
      <c r="P641" t="s">
        <v>214</v>
      </c>
      <c r="Q641" t="s">
        <v>1274</v>
      </c>
      <c r="R641" s="3">
        <v>0.15</v>
      </c>
      <c r="S641" s="2">
        <v>3.3</v>
      </c>
      <c r="T641" t="s">
        <v>293</v>
      </c>
    </row>
    <row r="642" spans="1:20" x14ac:dyDescent="0.25">
      <c r="A642">
        <v>2024984937</v>
      </c>
      <c r="B642" t="s">
        <v>99</v>
      </c>
      <c r="C642" t="s">
        <v>839</v>
      </c>
      <c r="D642" t="str">
        <f t="shared" si="29"/>
        <v>KATHRYN COPPLE</v>
      </c>
      <c r="E642" t="s">
        <v>292</v>
      </c>
      <c r="F642" t="s">
        <v>293</v>
      </c>
      <c r="G642">
        <v>8977234</v>
      </c>
      <c r="H642" t="s">
        <v>80</v>
      </c>
      <c r="I642" t="s">
        <v>81</v>
      </c>
      <c r="J642" t="str">
        <f t="shared" ref="J642:J705" si="30">CONCATENATE(I642, " ",H642)</f>
        <v>RYAN CALTAGIRONE</v>
      </c>
      <c r="K642" t="s">
        <v>57</v>
      </c>
      <c r="L642" s="1">
        <v>45575</v>
      </c>
      <c r="M642" s="1">
        <v>45971</v>
      </c>
      <c r="N642" s="2">
        <v>98.07</v>
      </c>
      <c r="O642">
        <f t="shared" ref="O642:O705" si="31">DATEDIF(L642,M642,"M")</f>
        <v>13</v>
      </c>
      <c r="P642" t="s">
        <v>214</v>
      </c>
      <c r="Q642" t="s">
        <v>1274</v>
      </c>
      <c r="R642" s="3">
        <v>0.15</v>
      </c>
      <c r="S642" s="2">
        <v>14.71</v>
      </c>
      <c r="T642" t="s">
        <v>293</v>
      </c>
    </row>
    <row r="643" spans="1:20" x14ac:dyDescent="0.25">
      <c r="A643">
        <v>2024899509</v>
      </c>
      <c r="B643" t="s">
        <v>835</v>
      </c>
      <c r="C643" t="s">
        <v>836</v>
      </c>
      <c r="D643" t="str">
        <f t="shared" ref="D643:D706" si="32">CONCATENATE(C643, " ",B643)</f>
        <v>MARIANO DOBLE</v>
      </c>
      <c r="E643" t="s">
        <v>243</v>
      </c>
      <c r="F643" t="s">
        <v>244</v>
      </c>
      <c r="G643">
        <v>8307933</v>
      </c>
      <c r="H643" t="s">
        <v>112</v>
      </c>
      <c r="I643" t="s">
        <v>104</v>
      </c>
      <c r="J643" t="str">
        <f t="shared" si="30"/>
        <v>GREGORY TEIPEL</v>
      </c>
      <c r="K643" t="s">
        <v>57</v>
      </c>
      <c r="L643" s="1">
        <v>45571</v>
      </c>
      <c r="M643" s="1">
        <v>45967</v>
      </c>
      <c r="N643" s="2">
        <v>49.55</v>
      </c>
      <c r="O643">
        <f t="shared" si="31"/>
        <v>13</v>
      </c>
      <c r="P643" t="s">
        <v>214</v>
      </c>
      <c r="Q643" t="s">
        <v>1274</v>
      </c>
      <c r="R643" s="3">
        <v>0.06</v>
      </c>
      <c r="S643" s="2">
        <v>2.97</v>
      </c>
      <c r="T643" t="s">
        <v>244</v>
      </c>
    </row>
    <row r="644" spans="1:20" x14ac:dyDescent="0.25">
      <c r="A644">
        <v>2024984936</v>
      </c>
      <c r="B644" t="s">
        <v>99</v>
      </c>
      <c r="C644" t="s">
        <v>839</v>
      </c>
      <c r="D644" t="str">
        <f t="shared" si="32"/>
        <v>KATHRYN COPPLE</v>
      </c>
      <c r="E644" t="s">
        <v>243</v>
      </c>
      <c r="F644" t="s">
        <v>244</v>
      </c>
      <c r="G644">
        <v>8977234</v>
      </c>
      <c r="H644" t="s">
        <v>80</v>
      </c>
      <c r="I644" t="s">
        <v>81</v>
      </c>
      <c r="J644" t="str">
        <f t="shared" si="30"/>
        <v>RYAN CALTAGIRONE</v>
      </c>
      <c r="K644" t="s">
        <v>57</v>
      </c>
      <c r="L644" s="1">
        <v>45575</v>
      </c>
      <c r="M644" s="1">
        <v>45971</v>
      </c>
      <c r="N644" s="2">
        <v>107.98</v>
      </c>
      <c r="O644">
        <f t="shared" si="31"/>
        <v>13</v>
      </c>
      <c r="P644" t="s">
        <v>214</v>
      </c>
      <c r="Q644" t="s">
        <v>1274</v>
      </c>
      <c r="R644" s="3">
        <v>0.06</v>
      </c>
      <c r="S644" s="2">
        <v>6.48</v>
      </c>
      <c r="T644" t="s">
        <v>244</v>
      </c>
    </row>
    <row r="645" spans="1:20" x14ac:dyDescent="0.25">
      <c r="A645">
        <v>2024899508</v>
      </c>
      <c r="B645" t="s">
        <v>835</v>
      </c>
      <c r="C645" t="s">
        <v>836</v>
      </c>
      <c r="D645" t="str">
        <f t="shared" si="32"/>
        <v>MARIANO DOBLE</v>
      </c>
      <c r="E645" t="s">
        <v>292</v>
      </c>
      <c r="F645" t="s">
        <v>295</v>
      </c>
      <c r="G645">
        <v>8307933</v>
      </c>
      <c r="H645" t="s">
        <v>112</v>
      </c>
      <c r="I645" t="s">
        <v>104</v>
      </c>
      <c r="J645" t="str">
        <f t="shared" si="30"/>
        <v>GREGORY TEIPEL</v>
      </c>
      <c r="K645" t="s">
        <v>57</v>
      </c>
      <c r="L645" s="1">
        <v>45571</v>
      </c>
      <c r="M645" s="1">
        <v>45967</v>
      </c>
      <c r="N645" s="2">
        <v>29.25</v>
      </c>
      <c r="O645">
        <f t="shared" si="31"/>
        <v>13</v>
      </c>
      <c r="P645" t="s">
        <v>214</v>
      </c>
      <c r="Q645" t="s">
        <v>1274</v>
      </c>
      <c r="R645" s="3">
        <v>0.1</v>
      </c>
      <c r="S645" s="2">
        <v>2.92</v>
      </c>
      <c r="T645" t="s">
        <v>295</v>
      </c>
    </row>
    <row r="646" spans="1:20" x14ac:dyDescent="0.25">
      <c r="A646">
        <v>2024598450</v>
      </c>
      <c r="B646" t="s">
        <v>684</v>
      </c>
      <c r="C646" t="s">
        <v>685</v>
      </c>
      <c r="D646" t="str">
        <f t="shared" si="32"/>
        <v>KIMBERLEIGH MOTYKA</v>
      </c>
      <c r="E646" t="s">
        <v>89</v>
      </c>
      <c r="F646" t="s">
        <v>111</v>
      </c>
      <c r="G646">
        <v>8307933</v>
      </c>
      <c r="H646" t="s">
        <v>112</v>
      </c>
      <c r="I646" t="s">
        <v>104</v>
      </c>
      <c r="J646" t="str">
        <f t="shared" si="30"/>
        <v>GREGORY TEIPEL</v>
      </c>
      <c r="K646" t="s">
        <v>57</v>
      </c>
      <c r="L646" s="1">
        <v>45542</v>
      </c>
      <c r="M646" s="1">
        <v>45968</v>
      </c>
      <c r="N646" s="2">
        <v>90.76</v>
      </c>
      <c r="O646">
        <f t="shared" si="31"/>
        <v>14</v>
      </c>
      <c r="P646" t="s">
        <v>214</v>
      </c>
      <c r="Q646" t="s">
        <v>1274</v>
      </c>
      <c r="R646" s="3">
        <v>0.1</v>
      </c>
      <c r="S646" s="2">
        <v>9.08</v>
      </c>
      <c r="T646" t="s">
        <v>1257</v>
      </c>
    </row>
    <row r="647" spans="1:20" x14ac:dyDescent="0.25">
      <c r="A647">
        <v>2024244626</v>
      </c>
      <c r="B647" t="s">
        <v>1155</v>
      </c>
      <c r="C647" t="s">
        <v>1156</v>
      </c>
      <c r="D647" t="str">
        <f t="shared" si="32"/>
        <v>JODIE MEROW</v>
      </c>
      <c r="E647" t="s">
        <v>350</v>
      </c>
      <c r="F647" t="s">
        <v>351</v>
      </c>
      <c r="G647">
        <v>19278370</v>
      </c>
      <c r="H647" t="s">
        <v>75</v>
      </c>
      <c r="I647" t="s">
        <v>76</v>
      </c>
      <c r="J647" t="str">
        <f t="shared" si="30"/>
        <v>ANNE MARIE KOZACHECK</v>
      </c>
      <c r="K647" t="s">
        <v>57</v>
      </c>
      <c r="L647" s="1">
        <v>45536</v>
      </c>
      <c r="M647" s="1">
        <v>45962</v>
      </c>
      <c r="N647" s="2">
        <v>56.88</v>
      </c>
      <c r="O647">
        <f t="shared" si="31"/>
        <v>14</v>
      </c>
      <c r="P647" t="s">
        <v>214</v>
      </c>
      <c r="Q647" t="s">
        <v>1274</v>
      </c>
      <c r="R647" s="4">
        <v>5.2499999999999998E-2</v>
      </c>
      <c r="S647" s="2">
        <v>2.99</v>
      </c>
      <c r="T647" t="s">
        <v>351</v>
      </c>
    </row>
    <row r="648" spans="1:20" x14ac:dyDescent="0.25">
      <c r="A648">
        <v>2024737147</v>
      </c>
      <c r="B648" t="s">
        <v>383</v>
      </c>
      <c r="C648" t="s">
        <v>384</v>
      </c>
      <c r="D648" t="str">
        <f t="shared" si="32"/>
        <v>JACLYN SHACKELFORD</v>
      </c>
      <c r="E648" t="s">
        <v>287</v>
      </c>
      <c r="F648" t="s">
        <v>288</v>
      </c>
      <c r="G648">
        <v>18781057</v>
      </c>
      <c r="H648" t="s">
        <v>71</v>
      </c>
      <c r="I648" t="s">
        <v>72</v>
      </c>
      <c r="J648" t="str">
        <f t="shared" si="30"/>
        <v>JOHN ROKEN</v>
      </c>
      <c r="K648" t="s">
        <v>57</v>
      </c>
      <c r="L648" s="1">
        <v>45541</v>
      </c>
      <c r="M648" s="1">
        <v>45967</v>
      </c>
      <c r="N648" s="2">
        <v>43.39</v>
      </c>
      <c r="O648">
        <f t="shared" si="31"/>
        <v>14</v>
      </c>
      <c r="P648" t="s">
        <v>214</v>
      </c>
      <c r="Q648" t="s">
        <v>1274</v>
      </c>
      <c r="R648" s="3">
        <v>0.1</v>
      </c>
      <c r="S648" s="2">
        <v>4.34</v>
      </c>
      <c r="T648" t="s">
        <v>288</v>
      </c>
    </row>
    <row r="649" spans="1:20" x14ac:dyDescent="0.25">
      <c r="A649">
        <v>2024752409</v>
      </c>
      <c r="B649" t="s">
        <v>386</v>
      </c>
      <c r="C649" t="s">
        <v>387</v>
      </c>
      <c r="D649" t="str">
        <f t="shared" si="32"/>
        <v>BRIANA WRIGHT</v>
      </c>
      <c r="E649" t="s">
        <v>287</v>
      </c>
      <c r="F649" t="s">
        <v>288</v>
      </c>
      <c r="G649">
        <v>18781057</v>
      </c>
      <c r="H649" t="s">
        <v>71</v>
      </c>
      <c r="I649" t="s">
        <v>72</v>
      </c>
      <c r="J649" t="str">
        <f t="shared" si="30"/>
        <v>JOHN ROKEN</v>
      </c>
      <c r="K649" t="s">
        <v>57</v>
      </c>
      <c r="L649" s="1">
        <v>45544</v>
      </c>
      <c r="M649" s="1">
        <v>45970</v>
      </c>
      <c r="N649" s="2">
        <v>20.76</v>
      </c>
      <c r="O649">
        <f t="shared" si="31"/>
        <v>14</v>
      </c>
      <c r="P649" t="s">
        <v>214</v>
      </c>
      <c r="Q649" t="s">
        <v>1274</v>
      </c>
      <c r="R649" s="3">
        <v>0.1</v>
      </c>
      <c r="S649" s="2">
        <v>2.08</v>
      </c>
      <c r="T649" t="s">
        <v>288</v>
      </c>
    </row>
    <row r="650" spans="1:20" x14ac:dyDescent="0.25">
      <c r="A650">
        <v>2024569206</v>
      </c>
      <c r="B650" t="s">
        <v>826</v>
      </c>
      <c r="C650" t="s">
        <v>827</v>
      </c>
      <c r="D650" t="str">
        <f t="shared" si="32"/>
        <v>CAROLINA CASILLAS</v>
      </c>
      <c r="E650" t="s">
        <v>292</v>
      </c>
      <c r="F650" t="s">
        <v>293</v>
      </c>
      <c r="G650">
        <v>19278370</v>
      </c>
      <c r="H650" t="s">
        <v>75</v>
      </c>
      <c r="I650" t="s">
        <v>76</v>
      </c>
      <c r="J650" t="str">
        <f t="shared" si="30"/>
        <v>ANNE MARIE KOZACHECK</v>
      </c>
      <c r="K650" t="s">
        <v>57</v>
      </c>
      <c r="L650" s="1">
        <v>45531</v>
      </c>
      <c r="M650" s="1">
        <v>45957</v>
      </c>
      <c r="N650" s="2">
        <v>10.82</v>
      </c>
      <c r="O650">
        <f t="shared" si="31"/>
        <v>14</v>
      </c>
      <c r="P650" t="s">
        <v>214</v>
      </c>
      <c r="Q650" t="s">
        <v>1274</v>
      </c>
      <c r="R650" s="3">
        <v>0.15</v>
      </c>
      <c r="S650" s="2">
        <v>1.62</v>
      </c>
      <c r="T650" t="s">
        <v>293</v>
      </c>
    </row>
    <row r="651" spans="1:20" x14ac:dyDescent="0.25">
      <c r="A651">
        <v>2024569205</v>
      </c>
      <c r="B651" t="s">
        <v>826</v>
      </c>
      <c r="C651" t="s">
        <v>827</v>
      </c>
      <c r="D651" t="str">
        <f t="shared" si="32"/>
        <v>CAROLINA CASILLAS</v>
      </c>
      <c r="E651" t="s">
        <v>243</v>
      </c>
      <c r="F651" t="s">
        <v>244</v>
      </c>
      <c r="G651">
        <v>19278370</v>
      </c>
      <c r="H651" t="s">
        <v>75</v>
      </c>
      <c r="I651" t="s">
        <v>76</v>
      </c>
      <c r="J651" t="str">
        <f t="shared" si="30"/>
        <v>ANNE MARIE KOZACHECK</v>
      </c>
      <c r="K651" t="s">
        <v>57</v>
      </c>
      <c r="L651" s="1">
        <v>45531</v>
      </c>
      <c r="M651" s="1">
        <v>45957</v>
      </c>
      <c r="N651" s="2">
        <v>60.87</v>
      </c>
      <c r="O651">
        <f t="shared" si="31"/>
        <v>14</v>
      </c>
      <c r="P651" t="s">
        <v>214</v>
      </c>
      <c r="Q651" t="s">
        <v>1274</v>
      </c>
      <c r="R651" s="3">
        <v>0.06</v>
      </c>
      <c r="S651" s="2">
        <v>3.65</v>
      </c>
      <c r="T651" t="s">
        <v>244</v>
      </c>
    </row>
    <row r="652" spans="1:20" x14ac:dyDescent="0.25">
      <c r="A652">
        <v>2024779716</v>
      </c>
      <c r="B652" t="s">
        <v>985</v>
      </c>
      <c r="C652" t="s">
        <v>986</v>
      </c>
      <c r="D652" t="str">
        <f t="shared" si="32"/>
        <v>LUCY SHEN</v>
      </c>
      <c r="E652" t="s">
        <v>243</v>
      </c>
      <c r="F652" t="s">
        <v>244</v>
      </c>
      <c r="G652">
        <v>17528908</v>
      </c>
      <c r="H652" t="s">
        <v>352</v>
      </c>
      <c r="I652" t="s">
        <v>353</v>
      </c>
      <c r="J652" t="str">
        <f t="shared" si="30"/>
        <v>DEBORAH INSKIPT</v>
      </c>
      <c r="K652" t="s">
        <v>57</v>
      </c>
      <c r="L652" s="1">
        <v>45545</v>
      </c>
      <c r="M652" s="1">
        <v>45971</v>
      </c>
      <c r="N652" s="2">
        <v>49.98</v>
      </c>
      <c r="O652">
        <f t="shared" si="31"/>
        <v>14</v>
      </c>
      <c r="P652" t="s">
        <v>214</v>
      </c>
      <c r="Q652" t="s">
        <v>1274</v>
      </c>
      <c r="R652" s="3">
        <v>0.06</v>
      </c>
      <c r="S652" s="2">
        <v>3</v>
      </c>
      <c r="T652" t="s">
        <v>244</v>
      </c>
    </row>
    <row r="653" spans="1:20" x14ac:dyDescent="0.25">
      <c r="A653">
        <v>2024598451</v>
      </c>
      <c r="B653" t="s">
        <v>684</v>
      </c>
      <c r="C653" t="s">
        <v>685</v>
      </c>
      <c r="D653" t="str">
        <f t="shared" si="32"/>
        <v>KIMBERLEIGH MOTYKA</v>
      </c>
      <c r="E653" t="s">
        <v>292</v>
      </c>
      <c r="F653" t="s">
        <v>295</v>
      </c>
      <c r="G653">
        <v>8307933</v>
      </c>
      <c r="H653" t="s">
        <v>112</v>
      </c>
      <c r="I653" t="s">
        <v>104</v>
      </c>
      <c r="J653" t="str">
        <f t="shared" si="30"/>
        <v>GREGORY TEIPEL</v>
      </c>
      <c r="K653" t="s">
        <v>57</v>
      </c>
      <c r="L653" s="1">
        <v>45542</v>
      </c>
      <c r="M653" s="1">
        <v>45968</v>
      </c>
      <c r="N653" s="2">
        <v>51.63</v>
      </c>
      <c r="O653">
        <f t="shared" si="31"/>
        <v>14</v>
      </c>
      <c r="P653" t="s">
        <v>214</v>
      </c>
      <c r="Q653" t="s">
        <v>1274</v>
      </c>
      <c r="R653" s="3">
        <v>0.1</v>
      </c>
      <c r="S653" s="2">
        <v>5.16</v>
      </c>
      <c r="T653" t="s">
        <v>295</v>
      </c>
    </row>
    <row r="654" spans="1:20" x14ac:dyDescent="0.25">
      <c r="A654">
        <v>2024737148</v>
      </c>
      <c r="B654" t="s">
        <v>383</v>
      </c>
      <c r="C654" t="s">
        <v>384</v>
      </c>
      <c r="D654" t="str">
        <f t="shared" si="32"/>
        <v>JACLYN SHACKELFORD</v>
      </c>
      <c r="E654" t="s">
        <v>53</v>
      </c>
      <c r="F654" t="s">
        <v>65</v>
      </c>
      <c r="G654">
        <v>18781057</v>
      </c>
      <c r="H654" t="s">
        <v>71</v>
      </c>
      <c r="I654" t="s">
        <v>72</v>
      </c>
      <c r="J654" t="str">
        <f t="shared" si="30"/>
        <v>JOHN ROKEN</v>
      </c>
      <c r="K654" t="s">
        <v>57</v>
      </c>
      <c r="L654" s="1">
        <v>45541</v>
      </c>
      <c r="M654" s="1">
        <v>45967</v>
      </c>
      <c r="N654" s="2">
        <v>96.55</v>
      </c>
      <c r="O654">
        <f t="shared" si="31"/>
        <v>14</v>
      </c>
      <c r="P654" t="s">
        <v>214</v>
      </c>
      <c r="Q654" t="s">
        <v>1274</v>
      </c>
      <c r="R654" s="4">
        <v>6.5000000000000002E-2</v>
      </c>
      <c r="S654" s="2">
        <v>6.28</v>
      </c>
      <c r="T654" t="s">
        <v>65</v>
      </c>
    </row>
    <row r="655" spans="1:20" x14ac:dyDescent="0.25">
      <c r="A655">
        <v>2024752410</v>
      </c>
      <c r="B655" t="s">
        <v>386</v>
      </c>
      <c r="C655" t="s">
        <v>387</v>
      </c>
      <c r="D655" t="str">
        <f t="shared" si="32"/>
        <v>BRIANA WRIGHT</v>
      </c>
      <c r="E655" t="s">
        <v>53</v>
      </c>
      <c r="F655" t="s">
        <v>65</v>
      </c>
      <c r="G655">
        <v>18781057</v>
      </c>
      <c r="H655" t="s">
        <v>71</v>
      </c>
      <c r="I655" t="s">
        <v>72</v>
      </c>
      <c r="J655" t="str">
        <f t="shared" si="30"/>
        <v>JOHN ROKEN</v>
      </c>
      <c r="K655" t="s">
        <v>57</v>
      </c>
      <c r="L655" s="1">
        <v>45544</v>
      </c>
      <c r="M655" s="1">
        <v>45970</v>
      </c>
      <c r="N655" s="2">
        <v>40.159999999999997</v>
      </c>
      <c r="O655">
        <f t="shared" si="31"/>
        <v>14</v>
      </c>
      <c r="P655" t="s">
        <v>214</v>
      </c>
      <c r="Q655" t="s">
        <v>1274</v>
      </c>
      <c r="R655" s="4">
        <v>6.5000000000000002E-2</v>
      </c>
      <c r="S655" s="2">
        <v>2.61</v>
      </c>
      <c r="T655" t="s">
        <v>65</v>
      </c>
    </row>
    <row r="656" spans="1:20" x14ac:dyDescent="0.25">
      <c r="A656">
        <v>2024001564</v>
      </c>
      <c r="B656" t="s">
        <v>148</v>
      </c>
      <c r="C656" t="s">
        <v>212</v>
      </c>
      <c r="D656" t="str">
        <f t="shared" si="32"/>
        <v>JASON SMITH</v>
      </c>
      <c r="E656" t="s">
        <v>89</v>
      </c>
      <c r="F656" t="s">
        <v>96</v>
      </c>
      <c r="G656">
        <v>8307933</v>
      </c>
      <c r="H656" t="s">
        <v>112</v>
      </c>
      <c r="I656" t="s">
        <v>104</v>
      </c>
      <c r="J656" t="str">
        <f t="shared" si="30"/>
        <v>GREGORY TEIPEL</v>
      </c>
      <c r="K656" t="s">
        <v>57</v>
      </c>
      <c r="L656" s="1">
        <v>45510</v>
      </c>
      <c r="M656" s="1">
        <v>45967</v>
      </c>
      <c r="N656" s="2">
        <v>90.33</v>
      </c>
      <c r="O656">
        <f t="shared" si="31"/>
        <v>15</v>
      </c>
      <c r="P656" t="s">
        <v>214</v>
      </c>
      <c r="Q656" t="s">
        <v>1274</v>
      </c>
      <c r="R656" s="3">
        <v>0.1</v>
      </c>
      <c r="S656" s="2">
        <v>9.0299999999999994</v>
      </c>
      <c r="T656" t="s">
        <v>1259</v>
      </c>
    </row>
    <row r="657" spans="1:20" x14ac:dyDescent="0.25">
      <c r="A657">
        <v>2024153178</v>
      </c>
      <c r="B657" t="s">
        <v>681</v>
      </c>
      <c r="C657" t="s">
        <v>177</v>
      </c>
      <c r="D657" t="str">
        <f t="shared" si="32"/>
        <v>DANIELLE SCHILL</v>
      </c>
      <c r="E657" t="s">
        <v>89</v>
      </c>
      <c r="F657" t="s">
        <v>96</v>
      </c>
      <c r="G657">
        <v>8307933</v>
      </c>
      <c r="H657" t="s">
        <v>112</v>
      </c>
      <c r="I657" t="s">
        <v>104</v>
      </c>
      <c r="J657" t="str">
        <f t="shared" si="30"/>
        <v>GREGORY TEIPEL</v>
      </c>
      <c r="K657" t="s">
        <v>57</v>
      </c>
      <c r="L657" s="1">
        <v>45510</v>
      </c>
      <c r="M657" s="1">
        <v>45967</v>
      </c>
      <c r="N657" s="2">
        <v>61.75</v>
      </c>
      <c r="O657">
        <f t="shared" si="31"/>
        <v>15</v>
      </c>
      <c r="P657" t="s">
        <v>214</v>
      </c>
      <c r="Q657" t="s">
        <v>1274</v>
      </c>
      <c r="R657" s="3">
        <v>0.1</v>
      </c>
      <c r="S657" s="2">
        <v>6.18</v>
      </c>
      <c r="T657" t="s">
        <v>1259</v>
      </c>
    </row>
    <row r="658" spans="1:20" x14ac:dyDescent="0.25">
      <c r="A658">
        <v>2024324041</v>
      </c>
      <c r="B658" t="s">
        <v>380</v>
      </c>
      <c r="C658" t="s">
        <v>381</v>
      </c>
      <c r="D658" t="str">
        <f t="shared" si="32"/>
        <v>JOSEPHINE ADAMS</v>
      </c>
      <c r="E658" t="s">
        <v>209</v>
      </c>
      <c r="F658" t="s">
        <v>222</v>
      </c>
      <c r="G658">
        <v>17425766</v>
      </c>
      <c r="H658" t="s">
        <v>237</v>
      </c>
      <c r="I658" t="s">
        <v>238</v>
      </c>
      <c r="J658" t="str">
        <f t="shared" si="30"/>
        <v>CAROL FOLEY</v>
      </c>
      <c r="K658" t="s">
        <v>57</v>
      </c>
      <c r="L658" s="1">
        <v>45514</v>
      </c>
      <c r="M658" s="1">
        <v>45971</v>
      </c>
      <c r="N658" s="2">
        <v>15</v>
      </c>
      <c r="O658">
        <f t="shared" si="31"/>
        <v>15</v>
      </c>
      <c r="P658" t="s">
        <v>214</v>
      </c>
      <c r="Q658" t="s">
        <v>1274</v>
      </c>
      <c r="R658" s="3">
        <v>0.1</v>
      </c>
      <c r="S658" s="2">
        <v>1.5</v>
      </c>
      <c r="T658" t="s">
        <v>222</v>
      </c>
    </row>
    <row r="659" spans="1:20" x14ac:dyDescent="0.25">
      <c r="A659">
        <v>2024320118</v>
      </c>
      <c r="B659" t="s">
        <v>379</v>
      </c>
      <c r="C659" t="s">
        <v>224</v>
      </c>
      <c r="D659" t="str">
        <f t="shared" si="32"/>
        <v>JAMES OLIVER</v>
      </c>
      <c r="E659" t="s">
        <v>287</v>
      </c>
      <c r="F659" t="s">
        <v>288</v>
      </c>
      <c r="G659">
        <v>17425766</v>
      </c>
      <c r="H659" t="s">
        <v>237</v>
      </c>
      <c r="I659" t="s">
        <v>238</v>
      </c>
      <c r="J659" t="str">
        <f t="shared" si="30"/>
        <v>CAROL FOLEY</v>
      </c>
      <c r="K659" t="s">
        <v>57</v>
      </c>
      <c r="L659" s="1">
        <v>45514</v>
      </c>
      <c r="M659" s="1">
        <v>45971</v>
      </c>
      <c r="N659" s="2">
        <v>19.309999999999999</v>
      </c>
      <c r="O659">
        <f t="shared" si="31"/>
        <v>15</v>
      </c>
      <c r="P659" t="s">
        <v>214</v>
      </c>
      <c r="Q659" t="s">
        <v>1274</v>
      </c>
      <c r="R659" s="3">
        <v>0.1</v>
      </c>
      <c r="S659" s="2">
        <v>1.93</v>
      </c>
      <c r="T659" t="s">
        <v>288</v>
      </c>
    </row>
    <row r="660" spans="1:20" x14ac:dyDescent="0.25">
      <c r="A660">
        <v>2024324039</v>
      </c>
      <c r="B660" t="s">
        <v>380</v>
      </c>
      <c r="C660" t="s">
        <v>381</v>
      </c>
      <c r="D660" t="str">
        <f t="shared" si="32"/>
        <v>JOSEPHINE ADAMS</v>
      </c>
      <c r="E660" t="s">
        <v>287</v>
      </c>
      <c r="F660" t="s">
        <v>288</v>
      </c>
      <c r="G660">
        <v>17425766</v>
      </c>
      <c r="H660" t="s">
        <v>237</v>
      </c>
      <c r="I660" t="s">
        <v>238</v>
      </c>
      <c r="J660" t="str">
        <f t="shared" si="30"/>
        <v>CAROL FOLEY</v>
      </c>
      <c r="K660" t="s">
        <v>57</v>
      </c>
      <c r="L660" s="1">
        <v>45514</v>
      </c>
      <c r="M660" s="1">
        <v>45971</v>
      </c>
      <c r="N660" s="2">
        <v>11.03</v>
      </c>
      <c r="O660">
        <f t="shared" si="31"/>
        <v>15</v>
      </c>
      <c r="P660" t="s">
        <v>214</v>
      </c>
      <c r="Q660" t="s">
        <v>1274</v>
      </c>
      <c r="R660" s="3">
        <v>0.1</v>
      </c>
      <c r="S660" s="2">
        <v>1.1000000000000001</v>
      </c>
      <c r="T660" t="s">
        <v>288</v>
      </c>
    </row>
    <row r="661" spans="1:20" x14ac:dyDescent="0.25">
      <c r="A661">
        <v>2024324040</v>
      </c>
      <c r="B661" t="s">
        <v>380</v>
      </c>
      <c r="C661" t="s">
        <v>381</v>
      </c>
      <c r="D661" t="str">
        <f t="shared" si="32"/>
        <v>JOSEPHINE ADAMS</v>
      </c>
      <c r="E661" t="s">
        <v>292</v>
      </c>
      <c r="F661" t="s">
        <v>293</v>
      </c>
      <c r="G661">
        <v>17425766</v>
      </c>
      <c r="H661" t="s">
        <v>237</v>
      </c>
      <c r="I661" t="s">
        <v>238</v>
      </c>
      <c r="J661" t="str">
        <f t="shared" si="30"/>
        <v>CAROL FOLEY</v>
      </c>
      <c r="K661" t="s">
        <v>57</v>
      </c>
      <c r="L661" s="1">
        <v>45514</v>
      </c>
      <c r="M661" s="1">
        <v>45971</v>
      </c>
      <c r="N661" s="2">
        <v>25.55</v>
      </c>
      <c r="O661">
        <f t="shared" si="31"/>
        <v>15</v>
      </c>
      <c r="P661" t="s">
        <v>214</v>
      </c>
      <c r="Q661" t="s">
        <v>1274</v>
      </c>
      <c r="R661" s="3">
        <v>0.15</v>
      </c>
      <c r="S661" s="2">
        <v>3.83</v>
      </c>
      <c r="T661" t="s">
        <v>293</v>
      </c>
    </row>
    <row r="662" spans="1:20" x14ac:dyDescent="0.25">
      <c r="A662">
        <v>2024001565</v>
      </c>
      <c r="B662" t="s">
        <v>148</v>
      </c>
      <c r="C662" t="s">
        <v>212</v>
      </c>
      <c r="D662" t="str">
        <f t="shared" si="32"/>
        <v>JASON SMITH</v>
      </c>
      <c r="E662" t="s">
        <v>292</v>
      </c>
      <c r="F662" t="s">
        <v>293</v>
      </c>
      <c r="G662">
        <v>8307933</v>
      </c>
      <c r="H662" t="s">
        <v>112</v>
      </c>
      <c r="I662" t="s">
        <v>104</v>
      </c>
      <c r="J662" t="str">
        <f t="shared" si="30"/>
        <v>GREGORY TEIPEL</v>
      </c>
      <c r="K662" t="s">
        <v>57</v>
      </c>
      <c r="L662" s="1">
        <v>45510</v>
      </c>
      <c r="M662" s="1">
        <v>45967</v>
      </c>
      <c r="N662" s="2">
        <v>40.65</v>
      </c>
      <c r="O662">
        <f t="shared" si="31"/>
        <v>15</v>
      </c>
      <c r="P662" t="s">
        <v>214</v>
      </c>
      <c r="Q662" t="s">
        <v>1274</v>
      </c>
      <c r="R662" s="3">
        <v>0.15</v>
      </c>
      <c r="S662" s="2">
        <v>6.1</v>
      </c>
      <c r="T662" t="s">
        <v>293</v>
      </c>
    </row>
    <row r="663" spans="1:20" x14ac:dyDescent="0.25">
      <c r="A663">
        <v>2024054708</v>
      </c>
      <c r="B663" t="s">
        <v>817</v>
      </c>
      <c r="C663" t="s">
        <v>812</v>
      </c>
      <c r="D663" t="str">
        <f t="shared" si="32"/>
        <v>RITA MAK</v>
      </c>
      <c r="E663" t="s">
        <v>292</v>
      </c>
      <c r="F663" t="s">
        <v>293</v>
      </c>
      <c r="G663">
        <v>8307933</v>
      </c>
      <c r="H663" t="s">
        <v>112</v>
      </c>
      <c r="I663" t="s">
        <v>104</v>
      </c>
      <c r="J663" t="str">
        <f t="shared" si="30"/>
        <v>GREGORY TEIPEL</v>
      </c>
      <c r="K663" t="s">
        <v>57</v>
      </c>
      <c r="L663" s="1">
        <v>45510</v>
      </c>
      <c r="M663" s="1">
        <v>45967</v>
      </c>
      <c r="N663" s="2">
        <v>118.88</v>
      </c>
      <c r="O663">
        <f t="shared" si="31"/>
        <v>15</v>
      </c>
      <c r="P663" t="s">
        <v>214</v>
      </c>
      <c r="Q663" t="s">
        <v>1274</v>
      </c>
      <c r="R663" s="3">
        <v>0.15</v>
      </c>
      <c r="S663" s="2">
        <v>17.829999999999998</v>
      </c>
      <c r="T663" t="s">
        <v>293</v>
      </c>
    </row>
    <row r="664" spans="1:20" x14ac:dyDescent="0.25">
      <c r="A664">
        <v>2024153179</v>
      </c>
      <c r="B664" t="s">
        <v>681</v>
      </c>
      <c r="C664" t="s">
        <v>177</v>
      </c>
      <c r="D664" t="str">
        <f t="shared" si="32"/>
        <v>DANIELLE SCHILL</v>
      </c>
      <c r="E664" t="s">
        <v>292</v>
      </c>
      <c r="F664" t="s">
        <v>293</v>
      </c>
      <c r="G664">
        <v>8307933</v>
      </c>
      <c r="H664" t="s">
        <v>112</v>
      </c>
      <c r="I664" t="s">
        <v>104</v>
      </c>
      <c r="J664" t="str">
        <f t="shared" si="30"/>
        <v>GREGORY TEIPEL</v>
      </c>
      <c r="K664" t="s">
        <v>57</v>
      </c>
      <c r="L664" s="1">
        <v>45510</v>
      </c>
      <c r="M664" s="1">
        <v>45967</v>
      </c>
      <c r="N664" s="2">
        <v>89.52</v>
      </c>
      <c r="O664">
        <f t="shared" si="31"/>
        <v>15</v>
      </c>
      <c r="P664" t="s">
        <v>214</v>
      </c>
      <c r="Q664" t="s">
        <v>1274</v>
      </c>
      <c r="R664" s="3">
        <v>0.15</v>
      </c>
      <c r="S664" s="2">
        <v>13.43</v>
      </c>
      <c r="T664" t="s">
        <v>293</v>
      </c>
    </row>
    <row r="665" spans="1:20" x14ac:dyDescent="0.25">
      <c r="A665">
        <v>2024320117</v>
      </c>
      <c r="B665" t="s">
        <v>379</v>
      </c>
      <c r="C665" t="s">
        <v>224</v>
      </c>
      <c r="D665" t="str">
        <f t="shared" si="32"/>
        <v>JAMES OLIVER</v>
      </c>
      <c r="E665" t="s">
        <v>243</v>
      </c>
      <c r="F665" t="s">
        <v>244</v>
      </c>
      <c r="G665">
        <v>17425766</v>
      </c>
      <c r="H665" t="s">
        <v>237</v>
      </c>
      <c r="I665" t="s">
        <v>238</v>
      </c>
      <c r="J665" t="str">
        <f t="shared" si="30"/>
        <v>CAROL FOLEY</v>
      </c>
      <c r="K665" t="s">
        <v>57</v>
      </c>
      <c r="L665" s="1">
        <v>45514</v>
      </c>
      <c r="M665" s="1">
        <v>45971</v>
      </c>
      <c r="N665" s="2">
        <v>44.21</v>
      </c>
      <c r="O665">
        <f t="shared" si="31"/>
        <v>15</v>
      </c>
      <c r="P665" t="s">
        <v>214</v>
      </c>
      <c r="Q665" t="s">
        <v>1274</v>
      </c>
      <c r="R665" s="3">
        <v>0.06</v>
      </c>
      <c r="S665" s="2">
        <v>2.65</v>
      </c>
      <c r="T665" t="s">
        <v>244</v>
      </c>
    </row>
    <row r="666" spans="1:20" x14ac:dyDescent="0.25">
      <c r="A666">
        <v>2024307282</v>
      </c>
      <c r="B666" t="s">
        <v>983</v>
      </c>
      <c r="C666" t="s">
        <v>984</v>
      </c>
      <c r="D666" t="str">
        <f t="shared" si="32"/>
        <v>DOMINIC GAGLIARDOTTO</v>
      </c>
      <c r="E666" t="s">
        <v>243</v>
      </c>
      <c r="F666" t="s">
        <v>244</v>
      </c>
      <c r="G666">
        <v>17437820</v>
      </c>
      <c r="H666" t="s">
        <v>258</v>
      </c>
      <c r="I666" t="s">
        <v>259</v>
      </c>
      <c r="J666" t="str">
        <f t="shared" si="30"/>
        <v>COLLEEN FINNIGAN</v>
      </c>
      <c r="K666" t="s">
        <v>57</v>
      </c>
      <c r="L666" s="1">
        <v>45513</v>
      </c>
      <c r="M666" s="1">
        <v>45970</v>
      </c>
      <c r="N666" s="2">
        <v>137.19</v>
      </c>
      <c r="O666">
        <f t="shared" si="31"/>
        <v>15</v>
      </c>
      <c r="P666" t="s">
        <v>214</v>
      </c>
      <c r="Q666" t="s">
        <v>1274</v>
      </c>
      <c r="R666" s="3">
        <v>0.06</v>
      </c>
      <c r="S666" s="2">
        <v>8.23</v>
      </c>
      <c r="T666" t="s">
        <v>244</v>
      </c>
    </row>
    <row r="667" spans="1:20" x14ac:dyDescent="0.25">
      <c r="A667">
        <v>2024117993</v>
      </c>
      <c r="B667" t="s">
        <v>818</v>
      </c>
      <c r="C667" t="s">
        <v>593</v>
      </c>
      <c r="D667" t="str">
        <f t="shared" si="32"/>
        <v>LISA WILSON</v>
      </c>
      <c r="E667" t="s">
        <v>292</v>
      </c>
      <c r="F667" t="s">
        <v>295</v>
      </c>
      <c r="G667">
        <v>8307933</v>
      </c>
      <c r="H667" t="s">
        <v>112</v>
      </c>
      <c r="I667" t="s">
        <v>104</v>
      </c>
      <c r="J667" t="str">
        <f t="shared" si="30"/>
        <v>GREGORY TEIPEL</v>
      </c>
      <c r="K667" t="s">
        <v>57</v>
      </c>
      <c r="L667" s="1">
        <v>45510</v>
      </c>
      <c r="M667" s="1">
        <v>45967</v>
      </c>
      <c r="N667" s="2">
        <v>19.38</v>
      </c>
      <c r="O667">
        <f t="shared" si="31"/>
        <v>15</v>
      </c>
      <c r="P667" t="s">
        <v>214</v>
      </c>
      <c r="Q667" t="s">
        <v>1274</v>
      </c>
      <c r="R667" s="3">
        <v>0.1</v>
      </c>
      <c r="S667" s="2">
        <v>1.94</v>
      </c>
      <c r="T667" t="s">
        <v>295</v>
      </c>
    </row>
    <row r="668" spans="1:20" x14ac:dyDescent="0.25">
      <c r="A668">
        <v>2024320119</v>
      </c>
      <c r="B668" t="s">
        <v>379</v>
      </c>
      <c r="C668" t="s">
        <v>224</v>
      </c>
      <c r="D668" t="str">
        <f t="shared" si="32"/>
        <v>JAMES OLIVER</v>
      </c>
      <c r="E668" t="s">
        <v>53</v>
      </c>
      <c r="F668" t="s">
        <v>65</v>
      </c>
      <c r="G668">
        <v>17425766</v>
      </c>
      <c r="H668" t="s">
        <v>237</v>
      </c>
      <c r="I668" t="s">
        <v>238</v>
      </c>
      <c r="J668" t="str">
        <f t="shared" si="30"/>
        <v>CAROL FOLEY</v>
      </c>
      <c r="K668" t="s">
        <v>57</v>
      </c>
      <c r="L668" s="1">
        <v>45514</v>
      </c>
      <c r="M668" s="1">
        <v>45971</v>
      </c>
      <c r="N668" s="2">
        <v>46.45</v>
      </c>
      <c r="O668">
        <f t="shared" si="31"/>
        <v>15</v>
      </c>
      <c r="P668" t="s">
        <v>214</v>
      </c>
      <c r="Q668" t="s">
        <v>1274</v>
      </c>
      <c r="R668" s="4">
        <v>6.5000000000000002E-2</v>
      </c>
      <c r="S668" s="2">
        <v>3.02</v>
      </c>
      <c r="T668" t="s">
        <v>65</v>
      </c>
    </row>
    <row r="669" spans="1:20" x14ac:dyDescent="0.25">
      <c r="A669">
        <v>2024326700</v>
      </c>
      <c r="B669" t="s">
        <v>642</v>
      </c>
      <c r="C669" t="s">
        <v>165</v>
      </c>
      <c r="D669" t="str">
        <f t="shared" si="32"/>
        <v>FRANK BAKER</v>
      </c>
      <c r="E669" t="s">
        <v>53</v>
      </c>
      <c r="F669" t="s">
        <v>65</v>
      </c>
      <c r="G669">
        <v>17425766</v>
      </c>
      <c r="H669" t="s">
        <v>237</v>
      </c>
      <c r="I669" t="s">
        <v>238</v>
      </c>
      <c r="J669" t="str">
        <f t="shared" si="30"/>
        <v>CAROL FOLEY</v>
      </c>
      <c r="K669" t="s">
        <v>57</v>
      </c>
      <c r="L669" s="1">
        <v>45514</v>
      </c>
      <c r="M669" s="1">
        <v>45971</v>
      </c>
      <c r="N669" s="2">
        <v>52.69</v>
      </c>
      <c r="O669">
        <f t="shared" si="31"/>
        <v>15</v>
      </c>
      <c r="P669" t="s">
        <v>214</v>
      </c>
      <c r="Q669" t="s">
        <v>1274</v>
      </c>
      <c r="R669" s="4">
        <v>6.5000000000000002E-2</v>
      </c>
      <c r="S669" s="2">
        <v>3.42</v>
      </c>
      <c r="T669" t="s">
        <v>65</v>
      </c>
    </row>
    <row r="670" spans="1:20" x14ac:dyDescent="0.25">
      <c r="A670">
        <v>2023183893</v>
      </c>
      <c r="B670" t="s">
        <v>1146</v>
      </c>
      <c r="C670" t="s">
        <v>1147</v>
      </c>
      <c r="D670" t="str">
        <f t="shared" si="32"/>
        <v>RASHID AWAN</v>
      </c>
      <c r="E670" t="s">
        <v>350</v>
      </c>
      <c r="F670" t="s">
        <v>351</v>
      </c>
      <c r="G670">
        <v>17425766</v>
      </c>
      <c r="H670" t="s">
        <v>237</v>
      </c>
      <c r="I670" t="s">
        <v>238</v>
      </c>
      <c r="J670" t="str">
        <f t="shared" si="30"/>
        <v>CAROL FOLEY</v>
      </c>
      <c r="K670" t="s">
        <v>57</v>
      </c>
      <c r="L670" s="1">
        <v>45474</v>
      </c>
      <c r="M670" s="1">
        <v>45962</v>
      </c>
      <c r="N670" s="2">
        <v>142.08000000000001</v>
      </c>
      <c r="O670">
        <f t="shared" si="31"/>
        <v>16</v>
      </c>
      <c r="P670" t="s">
        <v>214</v>
      </c>
      <c r="Q670" t="s">
        <v>1274</v>
      </c>
      <c r="R670" s="4">
        <v>5.2499999999999998E-2</v>
      </c>
      <c r="S670" s="2">
        <v>7.46</v>
      </c>
      <c r="T670" t="s">
        <v>351</v>
      </c>
    </row>
    <row r="671" spans="1:20" x14ac:dyDescent="0.25">
      <c r="A671">
        <v>2023688176</v>
      </c>
      <c r="B671" t="s">
        <v>1153</v>
      </c>
      <c r="C671" t="s">
        <v>1154</v>
      </c>
      <c r="D671" t="str">
        <f t="shared" si="32"/>
        <v>RUDOLPH SCHATZ</v>
      </c>
      <c r="E671" t="s">
        <v>350</v>
      </c>
      <c r="F671" t="s">
        <v>351</v>
      </c>
      <c r="G671">
        <v>17425766</v>
      </c>
      <c r="H671" t="s">
        <v>237</v>
      </c>
      <c r="I671" t="s">
        <v>238</v>
      </c>
      <c r="J671" t="str">
        <f t="shared" si="30"/>
        <v>CAROL FOLEY</v>
      </c>
      <c r="K671" t="s">
        <v>57</v>
      </c>
      <c r="L671" s="1">
        <v>45474</v>
      </c>
      <c r="M671" s="1">
        <v>45962</v>
      </c>
      <c r="N671" s="2">
        <v>142.08000000000001</v>
      </c>
      <c r="O671">
        <f t="shared" si="31"/>
        <v>16</v>
      </c>
      <c r="P671" t="s">
        <v>214</v>
      </c>
      <c r="Q671" t="s">
        <v>1274</v>
      </c>
      <c r="R671" s="4">
        <v>5.2499999999999998E-2</v>
      </c>
      <c r="S671" s="2">
        <v>7.46</v>
      </c>
      <c r="T671" t="s">
        <v>351</v>
      </c>
    </row>
    <row r="672" spans="1:20" x14ac:dyDescent="0.25">
      <c r="A672">
        <v>2023457499</v>
      </c>
      <c r="B672" t="s">
        <v>1149</v>
      </c>
      <c r="C672" t="s">
        <v>745</v>
      </c>
      <c r="D672" t="str">
        <f t="shared" si="32"/>
        <v>ANGELA RICCIARDI</v>
      </c>
      <c r="E672" t="s">
        <v>350</v>
      </c>
      <c r="F672" t="s">
        <v>351</v>
      </c>
      <c r="G672">
        <v>17528908</v>
      </c>
      <c r="H672" t="s">
        <v>352</v>
      </c>
      <c r="I672" t="s">
        <v>353</v>
      </c>
      <c r="J672" t="str">
        <f t="shared" si="30"/>
        <v>DEBORAH INSKIPT</v>
      </c>
      <c r="K672" t="s">
        <v>57</v>
      </c>
      <c r="L672" s="1">
        <v>45474</v>
      </c>
      <c r="M672" s="1">
        <v>45962</v>
      </c>
      <c r="N672" s="2">
        <v>33.590000000000003</v>
      </c>
      <c r="O672">
        <f t="shared" si="31"/>
        <v>16</v>
      </c>
      <c r="P672" t="s">
        <v>214</v>
      </c>
      <c r="Q672" t="s">
        <v>1274</v>
      </c>
      <c r="R672" s="4">
        <v>5.2499999999999998E-2</v>
      </c>
      <c r="S672" s="2">
        <v>1.76</v>
      </c>
      <c r="T672" t="s">
        <v>351</v>
      </c>
    </row>
    <row r="673" spans="1:20" x14ac:dyDescent="0.25">
      <c r="A673">
        <v>2023644771</v>
      </c>
      <c r="B673" t="s">
        <v>1150</v>
      </c>
      <c r="C673" t="s">
        <v>301</v>
      </c>
      <c r="D673" t="str">
        <f t="shared" si="32"/>
        <v>DAVID HOLETS</v>
      </c>
      <c r="E673" t="s">
        <v>350</v>
      </c>
      <c r="F673" t="s">
        <v>351</v>
      </c>
      <c r="G673">
        <v>17528908</v>
      </c>
      <c r="H673" t="s">
        <v>352</v>
      </c>
      <c r="I673" t="s">
        <v>353</v>
      </c>
      <c r="J673" t="str">
        <f t="shared" si="30"/>
        <v>DEBORAH INSKIPT</v>
      </c>
      <c r="K673" t="s">
        <v>57</v>
      </c>
      <c r="L673" s="1">
        <v>45474</v>
      </c>
      <c r="M673" s="1">
        <v>45962</v>
      </c>
      <c r="N673" s="2">
        <v>57.22</v>
      </c>
      <c r="O673">
        <f t="shared" si="31"/>
        <v>16</v>
      </c>
      <c r="P673" t="s">
        <v>214</v>
      </c>
      <c r="Q673" t="s">
        <v>1274</v>
      </c>
      <c r="R673" s="4">
        <v>5.2499999999999998E-2</v>
      </c>
      <c r="S673" s="2">
        <v>3</v>
      </c>
      <c r="T673" t="s">
        <v>351</v>
      </c>
    </row>
    <row r="674" spans="1:20" x14ac:dyDescent="0.25">
      <c r="A674">
        <v>2023665220</v>
      </c>
      <c r="B674" t="s">
        <v>1151</v>
      </c>
      <c r="C674" t="s">
        <v>924</v>
      </c>
      <c r="D674" t="str">
        <f t="shared" si="32"/>
        <v>ANDRE DAVIS</v>
      </c>
      <c r="E674" t="s">
        <v>350</v>
      </c>
      <c r="F674" t="s">
        <v>351</v>
      </c>
      <c r="G674">
        <v>17528908</v>
      </c>
      <c r="H674" t="s">
        <v>352</v>
      </c>
      <c r="I674" t="s">
        <v>353</v>
      </c>
      <c r="J674" t="str">
        <f t="shared" si="30"/>
        <v>DEBORAH INSKIPT</v>
      </c>
      <c r="K674" t="s">
        <v>57</v>
      </c>
      <c r="L674" s="1">
        <v>45474</v>
      </c>
      <c r="M674" s="1">
        <v>45962</v>
      </c>
      <c r="N674" s="2">
        <v>102.9</v>
      </c>
      <c r="O674">
        <f t="shared" si="31"/>
        <v>16</v>
      </c>
      <c r="P674" t="s">
        <v>214</v>
      </c>
      <c r="Q674" t="s">
        <v>1274</v>
      </c>
      <c r="R674" s="4">
        <v>5.2499999999999998E-2</v>
      </c>
      <c r="S674" s="2">
        <v>5.4</v>
      </c>
      <c r="T674" t="s">
        <v>351</v>
      </c>
    </row>
    <row r="675" spans="1:20" x14ac:dyDescent="0.25">
      <c r="A675">
        <v>2023679652</v>
      </c>
      <c r="B675" t="s">
        <v>1152</v>
      </c>
      <c r="C675" t="s">
        <v>259</v>
      </c>
      <c r="D675" t="str">
        <f t="shared" si="32"/>
        <v>COLLEEN MCKEE</v>
      </c>
      <c r="E675" t="s">
        <v>350</v>
      </c>
      <c r="F675" t="s">
        <v>351</v>
      </c>
      <c r="G675">
        <v>17528908</v>
      </c>
      <c r="H675" t="s">
        <v>352</v>
      </c>
      <c r="I675" t="s">
        <v>353</v>
      </c>
      <c r="J675" t="str">
        <f t="shared" si="30"/>
        <v>DEBORAH INSKIPT</v>
      </c>
      <c r="K675" t="s">
        <v>57</v>
      </c>
      <c r="L675" s="1">
        <v>45474</v>
      </c>
      <c r="M675" s="1">
        <v>45962</v>
      </c>
      <c r="N675" s="2">
        <v>47.32</v>
      </c>
      <c r="O675">
        <f t="shared" si="31"/>
        <v>16</v>
      </c>
      <c r="P675" t="s">
        <v>214</v>
      </c>
      <c r="Q675" t="s">
        <v>1274</v>
      </c>
      <c r="R675" s="4">
        <v>5.2499999999999998E-2</v>
      </c>
      <c r="S675" s="2">
        <v>2.48</v>
      </c>
      <c r="T675" t="s">
        <v>351</v>
      </c>
    </row>
    <row r="676" spans="1:20" x14ac:dyDescent="0.25">
      <c r="A676">
        <v>2022779367</v>
      </c>
      <c r="B676" t="s">
        <v>483</v>
      </c>
      <c r="C676" t="s">
        <v>401</v>
      </c>
      <c r="D676" t="str">
        <f t="shared" si="32"/>
        <v>TIMOTHY POPE</v>
      </c>
      <c r="E676" t="s">
        <v>467</v>
      </c>
      <c r="F676" t="s">
        <v>484</v>
      </c>
      <c r="G676">
        <v>17425766</v>
      </c>
      <c r="H676" t="s">
        <v>237</v>
      </c>
      <c r="I676" t="s">
        <v>238</v>
      </c>
      <c r="J676" t="str">
        <f t="shared" si="30"/>
        <v>CAROL FOLEY</v>
      </c>
      <c r="K676" t="s">
        <v>57</v>
      </c>
      <c r="L676" s="1">
        <v>45474</v>
      </c>
      <c r="M676" s="1">
        <v>45962</v>
      </c>
      <c r="N676" s="2">
        <v>131.93</v>
      </c>
      <c r="O676">
        <f t="shared" si="31"/>
        <v>16</v>
      </c>
      <c r="P676" t="s">
        <v>214</v>
      </c>
      <c r="Q676" t="s">
        <v>1274</v>
      </c>
      <c r="R676" s="4">
        <v>1.4999999999999999E-2</v>
      </c>
      <c r="S676" s="2">
        <v>1.98</v>
      </c>
      <c r="T676" t="s">
        <v>1268</v>
      </c>
    </row>
    <row r="677" spans="1:20" x14ac:dyDescent="0.25">
      <c r="A677">
        <v>2023710953</v>
      </c>
      <c r="B677" t="s">
        <v>811</v>
      </c>
      <c r="C677" t="s">
        <v>812</v>
      </c>
      <c r="D677" t="str">
        <f t="shared" si="32"/>
        <v>RITA CABAN</v>
      </c>
      <c r="E677" t="s">
        <v>292</v>
      </c>
      <c r="F677" t="s">
        <v>293</v>
      </c>
      <c r="G677">
        <v>8307933</v>
      </c>
      <c r="H677" t="s">
        <v>112</v>
      </c>
      <c r="I677" t="s">
        <v>104</v>
      </c>
      <c r="J677" t="str">
        <f t="shared" si="30"/>
        <v>GREGORY TEIPEL</v>
      </c>
      <c r="K677" t="s">
        <v>57</v>
      </c>
      <c r="L677" s="1">
        <v>45479</v>
      </c>
      <c r="M677" s="1">
        <v>45967</v>
      </c>
      <c r="N677" s="2">
        <v>132.86000000000001</v>
      </c>
      <c r="O677">
        <f t="shared" si="31"/>
        <v>16</v>
      </c>
      <c r="P677" t="s">
        <v>214</v>
      </c>
      <c r="Q677" t="s">
        <v>1274</v>
      </c>
      <c r="R677" s="3">
        <v>0.15</v>
      </c>
      <c r="S677" s="2">
        <v>19.93</v>
      </c>
      <c r="T677" t="s">
        <v>293</v>
      </c>
    </row>
    <row r="678" spans="1:20" x14ac:dyDescent="0.25">
      <c r="A678">
        <v>2023217203</v>
      </c>
      <c r="B678" t="s">
        <v>809</v>
      </c>
      <c r="C678" t="s">
        <v>717</v>
      </c>
      <c r="D678" t="str">
        <f t="shared" si="32"/>
        <v>SHANNON RIGGAN</v>
      </c>
      <c r="E678" t="s">
        <v>292</v>
      </c>
      <c r="F678" t="s">
        <v>536</v>
      </c>
      <c r="G678">
        <v>8977234</v>
      </c>
      <c r="H678" t="s">
        <v>80</v>
      </c>
      <c r="I678" t="s">
        <v>81</v>
      </c>
      <c r="J678" t="str">
        <f t="shared" si="30"/>
        <v>RYAN CALTAGIRONE</v>
      </c>
      <c r="K678" t="s">
        <v>57</v>
      </c>
      <c r="L678" s="1">
        <v>45444</v>
      </c>
      <c r="M678" s="1">
        <v>45962</v>
      </c>
      <c r="N678" s="2">
        <v>25.73</v>
      </c>
      <c r="O678">
        <f t="shared" si="31"/>
        <v>17</v>
      </c>
      <c r="P678" t="s">
        <v>214</v>
      </c>
      <c r="Q678" t="s">
        <v>1274</v>
      </c>
      <c r="R678" s="3">
        <v>0.15</v>
      </c>
      <c r="S678" s="2">
        <v>3.86</v>
      </c>
      <c r="T678" t="s">
        <v>536</v>
      </c>
    </row>
    <row r="679" spans="1:20" x14ac:dyDescent="0.25">
      <c r="A679">
        <v>2023184015</v>
      </c>
      <c r="B679" t="s">
        <v>675</v>
      </c>
      <c r="C679" t="s">
        <v>276</v>
      </c>
      <c r="D679" t="str">
        <f t="shared" si="32"/>
        <v>JULIE KINKAID</v>
      </c>
      <c r="E679" t="s">
        <v>89</v>
      </c>
      <c r="F679" t="s">
        <v>111</v>
      </c>
      <c r="G679">
        <v>8307933</v>
      </c>
      <c r="H679" t="s">
        <v>112</v>
      </c>
      <c r="I679" t="s">
        <v>104</v>
      </c>
      <c r="J679" t="str">
        <f t="shared" si="30"/>
        <v>GREGORY TEIPEL</v>
      </c>
      <c r="K679" t="s">
        <v>57</v>
      </c>
      <c r="L679" s="1">
        <v>45449</v>
      </c>
      <c r="M679" s="1">
        <v>45967</v>
      </c>
      <c r="N679" s="2">
        <v>142.85</v>
      </c>
      <c r="O679">
        <f t="shared" si="31"/>
        <v>17</v>
      </c>
      <c r="P679" t="s">
        <v>214</v>
      </c>
      <c r="Q679" t="s">
        <v>1274</v>
      </c>
      <c r="R679" s="3">
        <v>0.1</v>
      </c>
      <c r="S679" s="2">
        <v>14.28</v>
      </c>
      <c r="T679" t="s">
        <v>1257</v>
      </c>
    </row>
    <row r="680" spans="1:20" x14ac:dyDescent="0.25">
      <c r="A680">
        <v>2023297034</v>
      </c>
      <c r="B680" t="s">
        <v>678</v>
      </c>
      <c r="C680" t="s">
        <v>679</v>
      </c>
      <c r="D680" t="str">
        <f t="shared" si="32"/>
        <v>NATHAN BLACKLEDGE</v>
      </c>
      <c r="E680" t="s">
        <v>89</v>
      </c>
      <c r="F680" t="s">
        <v>111</v>
      </c>
      <c r="G680">
        <v>8307933</v>
      </c>
      <c r="H680" t="s">
        <v>112</v>
      </c>
      <c r="I680" t="s">
        <v>104</v>
      </c>
      <c r="J680" t="str">
        <f t="shared" si="30"/>
        <v>GREGORY TEIPEL</v>
      </c>
      <c r="K680" t="s">
        <v>57</v>
      </c>
      <c r="L680" s="1">
        <v>45449</v>
      </c>
      <c r="M680" s="1">
        <v>45967</v>
      </c>
      <c r="N680" s="2">
        <v>149.5</v>
      </c>
      <c r="O680">
        <f t="shared" si="31"/>
        <v>17</v>
      </c>
      <c r="P680" t="s">
        <v>214</v>
      </c>
      <c r="Q680" t="s">
        <v>1274</v>
      </c>
      <c r="R680" s="3">
        <v>0.1</v>
      </c>
      <c r="S680" s="2">
        <v>14.95</v>
      </c>
      <c r="T680" t="s">
        <v>1257</v>
      </c>
    </row>
    <row r="681" spans="1:20" x14ac:dyDescent="0.25">
      <c r="A681">
        <v>2023294111</v>
      </c>
      <c r="B681" t="s">
        <v>676</v>
      </c>
      <c r="C681" t="s">
        <v>677</v>
      </c>
      <c r="D681" t="str">
        <f t="shared" si="32"/>
        <v>BRENT ARP</v>
      </c>
      <c r="E681" t="s">
        <v>89</v>
      </c>
      <c r="F681" t="s">
        <v>96</v>
      </c>
      <c r="G681">
        <v>8307933</v>
      </c>
      <c r="H681" t="s">
        <v>112</v>
      </c>
      <c r="I681" t="s">
        <v>104</v>
      </c>
      <c r="J681" t="str">
        <f t="shared" si="30"/>
        <v>GREGORY TEIPEL</v>
      </c>
      <c r="K681" t="s">
        <v>57</v>
      </c>
      <c r="L681" s="1">
        <v>45449</v>
      </c>
      <c r="M681" s="1">
        <v>45967</v>
      </c>
      <c r="N681" s="2">
        <v>191.17</v>
      </c>
      <c r="O681">
        <f t="shared" si="31"/>
        <v>17</v>
      </c>
      <c r="P681" t="s">
        <v>214</v>
      </c>
      <c r="Q681" t="s">
        <v>1274</v>
      </c>
      <c r="R681" s="3">
        <v>0.1</v>
      </c>
      <c r="S681" s="2">
        <v>19.12</v>
      </c>
      <c r="T681" t="s">
        <v>1259</v>
      </c>
    </row>
    <row r="682" spans="1:20" x14ac:dyDescent="0.25">
      <c r="A682">
        <v>2023372600</v>
      </c>
      <c r="B682" t="s">
        <v>374</v>
      </c>
      <c r="C682" t="s">
        <v>375</v>
      </c>
      <c r="D682" t="str">
        <f t="shared" si="32"/>
        <v>KEEVA GARNETT</v>
      </c>
      <c r="E682" t="s">
        <v>209</v>
      </c>
      <c r="F682" t="s">
        <v>222</v>
      </c>
      <c r="G682">
        <v>17425766</v>
      </c>
      <c r="H682" t="s">
        <v>237</v>
      </c>
      <c r="I682" t="s">
        <v>238</v>
      </c>
      <c r="J682" t="str">
        <f t="shared" si="30"/>
        <v>CAROL FOLEY</v>
      </c>
      <c r="K682" t="s">
        <v>57</v>
      </c>
      <c r="L682" s="1">
        <v>45447</v>
      </c>
      <c r="M682" s="1">
        <v>45965</v>
      </c>
      <c r="N682" s="2">
        <v>15</v>
      </c>
      <c r="O682">
        <f t="shared" si="31"/>
        <v>17</v>
      </c>
      <c r="P682" t="s">
        <v>214</v>
      </c>
      <c r="Q682" t="s">
        <v>1274</v>
      </c>
      <c r="R682" s="3">
        <v>0.1</v>
      </c>
      <c r="S682" s="2">
        <v>1.5</v>
      </c>
      <c r="T682" t="s">
        <v>222</v>
      </c>
    </row>
    <row r="683" spans="1:20" x14ac:dyDescent="0.25">
      <c r="A683">
        <v>2023402088</v>
      </c>
      <c r="B683" t="s">
        <v>377</v>
      </c>
      <c r="C683" t="s">
        <v>378</v>
      </c>
      <c r="D683" t="str">
        <f t="shared" si="32"/>
        <v>TIMESEE DIXON</v>
      </c>
      <c r="E683" t="s">
        <v>209</v>
      </c>
      <c r="F683" t="s">
        <v>222</v>
      </c>
      <c r="G683">
        <v>8977234</v>
      </c>
      <c r="H683" t="s">
        <v>80</v>
      </c>
      <c r="I683" t="s">
        <v>81</v>
      </c>
      <c r="J683" t="str">
        <f t="shared" si="30"/>
        <v>RYAN CALTAGIRONE</v>
      </c>
      <c r="K683" t="s">
        <v>57</v>
      </c>
      <c r="L683" s="1">
        <v>45449</v>
      </c>
      <c r="M683" s="1">
        <v>45967</v>
      </c>
      <c r="N683" s="2">
        <v>15</v>
      </c>
      <c r="O683">
        <f t="shared" si="31"/>
        <v>17</v>
      </c>
      <c r="P683" t="s">
        <v>214</v>
      </c>
      <c r="Q683" t="s">
        <v>1274</v>
      </c>
      <c r="R683" s="3">
        <v>0.1</v>
      </c>
      <c r="S683" s="2">
        <v>1.5</v>
      </c>
      <c r="T683" t="s">
        <v>222</v>
      </c>
    </row>
    <row r="684" spans="1:20" x14ac:dyDescent="0.25">
      <c r="A684">
        <v>2023013394</v>
      </c>
      <c r="B684" t="s">
        <v>1143</v>
      </c>
      <c r="C684" t="s">
        <v>886</v>
      </c>
      <c r="D684" t="str">
        <f t="shared" si="32"/>
        <v>REBECCA MAYHEW</v>
      </c>
      <c r="E684" t="s">
        <v>350</v>
      </c>
      <c r="F684" t="s">
        <v>351</v>
      </c>
      <c r="G684">
        <v>17528908</v>
      </c>
      <c r="H684" t="s">
        <v>352</v>
      </c>
      <c r="I684" t="s">
        <v>353</v>
      </c>
      <c r="J684" t="str">
        <f t="shared" si="30"/>
        <v>DEBORAH INSKIPT</v>
      </c>
      <c r="K684" t="s">
        <v>57</v>
      </c>
      <c r="L684" s="1">
        <v>45444</v>
      </c>
      <c r="M684" s="1">
        <v>45962</v>
      </c>
      <c r="N684" s="2">
        <v>33.590000000000003</v>
      </c>
      <c r="O684">
        <f t="shared" si="31"/>
        <v>17</v>
      </c>
      <c r="P684" t="s">
        <v>214</v>
      </c>
      <c r="Q684" t="s">
        <v>1274</v>
      </c>
      <c r="R684" s="4">
        <v>5.2499999999999998E-2</v>
      </c>
      <c r="S684" s="2">
        <v>1.76</v>
      </c>
      <c r="T684" t="s">
        <v>351</v>
      </c>
    </row>
    <row r="685" spans="1:20" x14ac:dyDescent="0.25">
      <c r="A685">
        <v>2023035029</v>
      </c>
      <c r="B685" t="s">
        <v>1144</v>
      </c>
      <c r="C685" t="s">
        <v>1145</v>
      </c>
      <c r="D685" t="str">
        <f t="shared" si="32"/>
        <v>MAUREEN KOHNE</v>
      </c>
      <c r="E685" t="s">
        <v>350</v>
      </c>
      <c r="F685" t="s">
        <v>351</v>
      </c>
      <c r="G685">
        <v>17528908</v>
      </c>
      <c r="H685" t="s">
        <v>352</v>
      </c>
      <c r="I685" t="s">
        <v>353</v>
      </c>
      <c r="J685" t="str">
        <f t="shared" si="30"/>
        <v>DEBORAH INSKIPT</v>
      </c>
      <c r="K685" t="s">
        <v>57</v>
      </c>
      <c r="L685" s="1">
        <v>45444</v>
      </c>
      <c r="M685" s="1">
        <v>45962</v>
      </c>
      <c r="N685" s="2">
        <v>33.590000000000003</v>
      </c>
      <c r="O685">
        <f t="shared" si="31"/>
        <v>17</v>
      </c>
      <c r="P685" t="s">
        <v>214</v>
      </c>
      <c r="Q685" t="s">
        <v>1274</v>
      </c>
      <c r="R685" s="4">
        <v>5.2499999999999998E-2</v>
      </c>
      <c r="S685" s="2">
        <v>1.76</v>
      </c>
      <c r="T685" t="s">
        <v>351</v>
      </c>
    </row>
    <row r="686" spans="1:20" x14ac:dyDescent="0.25">
      <c r="A686">
        <v>2023280128</v>
      </c>
      <c r="B686" t="s">
        <v>1148</v>
      </c>
      <c r="C686" t="s">
        <v>715</v>
      </c>
      <c r="D686" t="str">
        <f t="shared" si="32"/>
        <v>TRINA ALFORD</v>
      </c>
      <c r="E686" t="s">
        <v>350</v>
      </c>
      <c r="F686" t="s">
        <v>351</v>
      </c>
      <c r="G686">
        <v>17528908</v>
      </c>
      <c r="H686" t="s">
        <v>352</v>
      </c>
      <c r="I686" t="s">
        <v>353</v>
      </c>
      <c r="J686" t="str">
        <f t="shared" si="30"/>
        <v>DEBORAH INSKIPT</v>
      </c>
      <c r="K686" t="s">
        <v>57</v>
      </c>
      <c r="L686" s="1">
        <v>45444</v>
      </c>
      <c r="M686" s="1">
        <v>45962</v>
      </c>
      <c r="N686" s="2">
        <v>33.590000000000003</v>
      </c>
      <c r="O686">
        <f t="shared" si="31"/>
        <v>17</v>
      </c>
      <c r="P686" t="s">
        <v>214</v>
      </c>
      <c r="Q686" t="s">
        <v>1274</v>
      </c>
      <c r="R686" s="4">
        <v>5.2499999999999998E-2</v>
      </c>
      <c r="S686" s="2">
        <v>1.76</v>
      </c>
      <c r="T686" t="s">
        <v>351</v>
      </c>
    </row>
    <row r="687" spans="1:20" x14ac:dyDescent="0.25">
      <c r="A687">
        <v>2023245976</v>
      </c>
      <c r="B687" t="s">
        <v>372</v>
      </c>
      <c r="C687" t="s">
        <v>373</v>
      </c>
      <c r="D687" t="str">
        <f t="shared" si="32"/>
        <v>CLARITA WHEATLEY</v>
      </c>
      <c r="E687" t="s">
        <v>287</v>
      </c>
      <c r="F687" t="s">
        <v>288</v>
      </c>
      <c r="G687" t="s">
        <v>1260</v>
      </c>
      <c r="H687" t="s">
        <v>237</v>
      </c>
      <c r="I687" t="s">
        <v>238</v>
      </c>
      <c r="J687" t="str">
        <f t="shared" si="30"/>
        <v>CAROL FOLEY</v>
      </c>
      <c r="K687" t="s">
        <v>57</v>
      </c>
      <c r="L687" s="1">
        <v>45444</v>
      </c>
      <c r="M687" s="1">
        <v>45962</v>
      </c>
      <c r="N687" s="2">
        <v>22.77</v>
      </c>
      <c r="O687">
        <f t="shared" si="31"/>
        <v>17</v>
      </c>
      <c r="P687" t="s">
        <v>214</v>
      </c>
      <c r="Q687" t="s">
        <v>1274</v>
      </c>
      <c r="R687" s="3">
        <v>0.1</v>
      </c>
      <c r="S687" s="2">
        <v>2.2799999999999998</v>
      </c>
      <c r="T687" t="s">
        <v>288</v>
      </c>
    </row>
    <row r="688" spans="1:20" x14ac:dyDescent="0.25">
      <c r="A688">
        <v>2023372598</v>
      </c>
      <c r="B688" t="s">
        <v>374</v>
      </c>
      <c r="C688" t="s">
        <v>375</v>
      </c>
      <c r="D688" t="str">
        <f t="shared" si="32"/>
        <v>KEEVA GARNETT</v>
      </c>
      <c r="E688" t="s">
        <v>287</v>
      </c>
      <c r="F688" t="s">
        <v>288</v>
      </c>
      <c r="G688">
        <v>17425766</v>
      </c>
      <c r="H688" t="s">
        <v>237</v>
      </c>
      <c r="I688" t="s">
        <v>238</v>
      </c>
      <c r="J688" t="str">
        <f t="shared" si="30"/>
        <v>CAROL FOLEY</v>
      </c>
      <c r="K688" t="s">
        <v>57</v>
      </c>
      <c r="L688" s="1">
        <v>45447</v>
      </c>
      <c r="M688" s="1">
        <v>45965</v>
      </c>
      <c r="N688" s="2">
        <v>30.89</v>
      </c>
      <c r="O688">
        <f t="shared" si="31"/>
        <v>17</v>
      </c>
      <c r="P688" t="s">
        <v>214</v>
      </c>
      <c r="Q688" t="s">
        <v>1274</v>
      </c>
      <c r="R688" s="3">
        <v>0.1</v>
      </c>
      <c r="S688" s="2">
        <v>3.09</v>
      </c>
      <c r="T688" t="s">
        <v>288</v>
      </c>
    </row>
    <row r="689" spans="1:20" x14ac:dyDescent="0.25">
      <c r="A689">
        <v>2023402087</v>
      </c>
      <c r="B689" t="s">
        <v>377</v>
      </c>
      <c r="C689" t="s">
        <v>378</v>
      </c>
      <c r="D689" t="str">
        <f t="shared" si="32"/>
        <v>TIMESEE DIXON</v>
      </c>
      <c r="E689" t="s">
        <v>287</v>
      </c>
      <c r="F689" t="s">
        <v>288</v>
      </c>
      <c r="G689">
        <v>8977234</v>
      </c>
      <c r="H689" t="s">
        <v>80</v>
      </c>
      <c r="I689" t="s">
        <v>81</v>
      </c>
      <c r="J689" t="str">
        <f t="shared" si="30"/>
        <v>RYAN CALTAGIRONE</v>
      </c>
      <c r="K689" t="s">
        <v>57</v>
      </c>
      <c r="L689" s="1">
        <v>45449</v>
      </c>
      <c r="M689" s="1">
        <v>45967</v>
      </c>
      <c r="N689" s="2">
        <v>15.77</v>
      </c>
      <c r="O689">
        <f t="shared" si="31"/>
        <v>17</v>
      </c>
      <c r="P689" t="s">
        <v>214</v>
      </c>
      <c r="Q689" t="s">
        <v>1274</v>
      </c>
      <c r="R689" s="3">
        <v>0.1</v>
      </c>
      <c r="S689" s="2">
        <v>1.58</v>
      </c>
      <c r="T689" t="s">
        <v>288</v>
      </c>
    </row>
    <row r="690" spans="1:20" x14ac:dyDescent="0.25">
      <c r="A690">
        <v>2023297035</v>
      </c>
      <c r="B690" t="s">
        <v>678</v>
      </c>
      <c r="C690" t="s">
        <v>679</v>
      </c>
      <c r="D690" t="str">
        <f t="shared" si="32"/>
        <v>NATHAN BLACKLEDGE</v>
      </c>
      <c r="E690" t="s">
        <v>292</v>
      </c>
      <c r="F690" t="s">
        <v>293</v>
      </c>
      <c r="G690">
        <v>8307933</v>
      </c>
      <c r="H690" t="s">
        <v>112</v>
      </c>
      <c r="I690" t="s">
        <v>104</v>
      </c>
      <c r="J690" t="str">
        <f t="shared" si="30"/>
        <v>GREGORY TEIPEL</v>
      </c>
      <c r="K690" t="s">
        <v>57</v>
      </c>
      <c r="L690" s="1">
        <v>45449</v>
      </c>
      <c r="M690" s="1">
        <v>45967</v>
      </c>
      <c r="N690" s="2">
        <v>86.91</v>
      </c>
      <c r="O690">
        <f t="shared" si="31"/>
        <v>17</v>
      </c>
      <c r="P690" t="s">
        <v>214</v>
      </c>
      <c r="Q690" t="s">
        <v>1274</v>
      </c>
      <c r="R690" s="3">
        <v>0.15</v>
      </c>
      <c r="S690" s="2">
        <v>13.04</v>
      </c>
      <c r="T690" t="s">
        <v>293</v>
      </c>
    </row>
    <row r="691" spans="1:20" x14ac:dyDescent="0.25">
      <c r="A691">
        <v>2023217202</v>
      </c>
      <c r="B691" t="s">
        <v>809</v>
      </c>
      <c r="C691" t="s">
        <v>717</v>
      </c>
      <c r="D691" t="str">
        <f t="shared" si="32"/>
        <v>SHANNON RIGGAN</v>
      </c>
      <c r="E691" t="s">
        <v>292</v>
      </c>
      <c r="F691" t="s">
        <v>293</v>
      </c>
      <c r="G691">
        <v>8977234</v>
      </c>
      <c r="H691" t="s">
        <v>80</v>
      </c>
      <c r="I691" t="s">
        <v>81</v>
      </c>
      <c r="J691" t="str">
        <f t="shared" si="30"/>
        <v>RYAN CALTAGIRONE</v>
      </c>
      <c r="K691" t="s">
        <v>57</v>
      </c>
      <c r="L691" s="1">
        <v>45444</v>
      </c>
      <c r="M691" s="1">
        <v>45962</v>
      </c>
      <c r="N691" s="2">
        <v>80.8</v>
      </c>
      <c r="O691">
        <f t="shared" si="31"/>
        <v>17</v>
      </c>
      <c r="P691" t="s">
        <v>214</v>
      </c>
      <c r="Q691" t="s">
        <v>1274</v>
      </c>
      <c r="R691" s="3">
        <v>0.15</v>
      </c>
      <c r="S691" s="2">
        <v>12.12</v>
      </c>
      <c r="T691" t="s">
        <v>293</v>
      </c>
    </row>
    <row r="692" spans="1:20" x14ac:dyDescent="0.25">
      <c r="A692">
        <v>2023245977</v>
      </c>
      <c r="B692" t="s">
        <v>372</v>
      </c>
      <c r="C692" t="s">
        <v>373</v>
      </c>
      <c r="D692" t="str">
        <f t="shared" si="32"/>
        <v>CLARITA WHEATLEY</v>
      </c>
      <c r="E692" t="s">
        <v>243</v>
      </c>
      <c r="F692" t="s">
        <v>244</v>
      </c>
      <c r="G692" t="s">
        <v>1260</v>
      </c>
      <c r="H692" t="s">
        <v>237</v>
      </c>
      <c r="I692" t="s">
        <v>238</v>
      </c>
      <c r="J692" t="str">
        <f t="shared" si="30"/>
        <v>CAROL FOLEY</v>
      </c>
      <c r="K692" t="s">
        <v>57</v>
      </c>
      <c r="L692" s="1">
        <v>45444</v>
      </c>
      <c r="M692" s="1">
        <v>45962</v>
      </c>
      <c r="N692" s="2">
        <v>24.88</v>
      </c>
      <c r="O692">
        <f t="shared" si="31"/>
        <v>17</v>
      </c>
      <c r="P692" t="s">
        <v>214</v>
      </c>
      <c r="Q692" t="s">
        <v>1274</v>
      </c>
      <c r="R692" s="3">
        <v>0.06</v>
      </c>
      <c r="S692" s="2">
        <v>1.49</v>
      </c>
      <c r="T692" t="s">
        <v>244</v>
      </c>
    </row>
    <row r="693" spans="1:20" x14ac:dyDescent="0.25">
      <c r="A693">
        <v>2023372599</v>
      </c>
      <c r="B693" t="s">
        <v>374</v>
      </c>
      <c r="C693" t="s">
        <v>375</v>
      </c>
      <c r="D693" t="str">
        <f t="shared" si="32"/>
        <v>KEEVA GARNETT</v>
      </c>
      <c r="E693" t="s">
        <v>243</v>
      </c>
      <c r="F693" t="s">
        <v>244</v>
      </c>
      <c r="G693">
        <v>17425766</v>
      </c>
      <c r="H693" t="s">
        <v>237</v>
      </c>
      <c r="I693" t="s">
        <v>238</v>
      </c>
      <c r="J693" t="str">
        <f t="shared" si="30"/>
        <v>CAROL FOLEY</v>
      </c>
      <c r="K693" t="s">
        <v>57</v>
      </c>
      <c r="L693" s="1">
        <v>45447</v>
      </c>
      <c r="M693" s="1">
        <v>45965</v>
      </c>
      <c r="N693" s="2">
        <v>136.15</v>
      </c>
      <c r="O693">
        <f t="shared" si="31"/>
        <v>17</v>
      </c>
      <c r="P693" t="s">
        <v>214</v>
      </c>
      <c r="Q693" t="s">
        <v>1274</v>
      </c>
      <c r="R693" s="3">
        <v>0.06</v>
      </c>
      <c r="S693" s="2">
        <v>8.17</v>
      </c>
      <c r="T693" t="s">
        <v>244</v>
      </c>
    </row>
    <row r="694" spans="1:20" x14ac:dyDescent="0.25">
      <c r="A694">
        <v>2023294110</v>
      </c>
      <c r="B694" t="s">
        <v>676</v>
      </c>
      <c r="C694" t="s">
        <v>677</v>
      </c>
      <c r="D694" t="str">
        <f t="shared" si="32"/>
        <v>BRENT ARP</v>
      </c>
      <c r="E694" t="s">
        <v>243</v>
      </c>
      <c r="F694" t="s">
        <v>244</v>
      </c>
      <c r="G694">
        <v>8307933</v>
      </c>
      <c r="H694" t="s">
        <v>112</v>
      </c>
      <c r="I694" t="s">
        <v>104</v>
      </c>
      <c r="J694" t="str">
        <f t="shared" si="30"/>
        <v>GREGORY TEIPEL</v>
      </c>
      <c r="K694" t="s">
        <v>57</v>
      </c>
      <c r="L694" s="1">
        <v>45449</v>
      </c>
      <c r="M694" s="1">
        <v>45967</v>
      </c>
      <c r="N694" s="2">
        <v>40.07</v>
      </c>
      <c r="O694">
        <f t="shared" si="31"/>
        <v>17</v>
      </c>
      <c r="P694" t="s">
        <v>214</v>
      </c>
      <c r="Q694" t="s">
        <v>1274</v>
      </c>
      <c r="R694" s="3">
        <v>0.06</v>
      </c>
      <c r="S694" s="2">
        <v>2.4</v>
      </c>
      <c r="T694" t="s">
        <v>244</v>
      </c>
    </row>
    <row r="695" spans="1:20" x14ac:dyDescent="0.25">
      <c r="A695">
        <v>2023399790</v>
      </c>
      <c r="B695" t="s">
        <v>980</v>
      </c>
      <c r="C695" t="s">
        <v>72</v>
      </c>
      <c r="D695" t="str">
        <f t="shared" si="32"/>
        <v>JOHN JR</v>
      </c>
      <c r="E695" t="s">
        <v>243</v>
      </c>
      <c r="F695" t="s">
        <v>244</v>
      </c>
      <c r="G695">
        <v>8307933</v>
      </c>
      <c r="H695" t="s">
        <v>112</v>
      </c>
      <c r="I695" t="s">
        <v>104</v>
      </c>
      <c r="J695" t="str">
        <f t="shared" si="30"/>
        <v>GREGORY TEIPEL</v>
      </c>
      <c r="K695" t="s">
        <v>57</v>
      </c>
      <c r="L695" s="1">
        <v>45449</v>
      </c>
      <c r="M695" s="1">
        <v>45967</v>
      </c>
      <c r="N695" s="2">
        <v>67.84</v>
      </c>
      <c r="O695">
        <f t="shared" si="31"/>
        <v>17</v>
      </c>
      <c r="P695" t="s">
        <v>214</v>
      </c>
      <c r="Q695" t="s">
        <v>1274</v>
      </c>
      <c r="R695" s="3">
        <v>0.06</v>
      </c>
      <c r="S695" s="2">
        <v>4.07</v>
      </c>
      <c r="T695" t="s">
        <v>244</v>
      </c>
    </row>
    <row r="696" spans="1:20" x14ac:dyDescent="0.25">
      <c r="A696">
        <v>2023217204</v>
      </c>
      <c r="B696" t="s">
        <v>809</v>
      </c>
      <c r="C696" t="s">
        <v>717</v>
      </c>
      <c r="D696" t="str">
        <f t="shared" si="32"/>
        <v>SHANNON RIGGAN</v>
      </c>
      <c r="E696" t="s">
        <v>243</v>
      </c>
      <c r="F696" t="s">
        <v>244</v>
      </c>
      <c r="G696">
        <v>8977234</v>
      </c>
      <c r="H696" t="s">
        <v>80</v>
      </c>
      <c r="I696" t="s">
        <v>81</v>
      </c>
      <c r="J696" t="str">
        <f t="shared" si="30"/>
        <v>RYAN CALTAGIRONE</v>
      </c>
      <c r="K696" t="s">
        <v>57</v>
      </c>
      <c r="L696" s="1">
        <v>45444</v>
      </c>
      <c r="M696" s="1">
        <v>45962</v>
      </c>
      <c r="N696" s="2">
        <v>35.39</v>
      </c>
      <c r="O696">
        <f t="shared" si="31"/>
        <v>17</v>
      </c>
      <c r="P696" t="s">
        <v>214</v>
      </c>
      <c r="Q696" t="s">
        <v>1274</v>
      </c>
      <c r="R696" s="3">
        <v>0.06</v>
      </c>
      <c r="S696" s="2">
        <v>2.12</v>
      </c>
      <c r="T696" t="s">
        <v>244</v>
      </c>
    </row>
    <row r="697" spans="1:20" x14ac:dyDescent="0.25">
      <c r="A697">
        <v>2023402086</v>
      </c>
      <c r="B697" t="s">
        <v>377</v>
      </c>
      <c r="C697" t="s">
        <v>378</v>
      </c>
      <c r="D697" t="str">
        <f t="shared" si="32"/>
        <v>TIMESEE DIXON</v>
      </c>
      <c r="E697" t="s">
        <v>243</v>
      </c>
      <c r="F697" t="s">
        <v>244</v>
      </c>
      <c r="G697">
        <v>8977234</v>
      </c>
      <c r="H697" t="s">
        <v>80</v>
      </c>
      <c r="I697" t="s">
        <v>81</v>
      </c>
      <c r="J697" t="str">
        <f t="shared" si="30"/>
        <v>RYAN CALTAGIRONE</v>
      </c>
      <c r="K697" t="s">
        <v>57</v>
      </c>
      <c r="L697" s="1">
        <v>45449</v>
      </c>
      <c r="M697" s="1">
        <v>45967</v>
      </c>
      <c r="N697" s="2">
        <v>52.03</v>
      </c>
      <c r="O697">
        <f t="shared" si="31"/>
        <v>17</v>
      </c>
      <c r="P697" t="s">
        <v>214</v>
      </c>
      <c r="Q697" t="s">
        <v>1274</v>
      </c>
      <c r="R697" s="3">
        <v>0.06</v>
      </c>
      <c r="S697" s="2">
        <v>3.12</v>
      </c>
      <c r="T697" t="s">
        <v>244</v>
      </c>
    </row>
    <row r="698" spans="1:20" x14ac:dyDescent="0.25">
      <c r="A698">
        <v>2023217694</v>
      </c>
      <c r="B698" t="s">
        <v>810</v>
      </c>
      <c r="C698" t="s">
        <v>721</v>
      </c>
      <c r="D698" t="str">
        <f t="shared" si="32"/>
        <v>STEPHANIE BAXTER</v>
      </c>
      <c r="E698" t="s">
        <v>292</v>
      </c>
      <c r="F698" t="s">
        <v>295</v>
      </c>
      <c r="G698">
        <v>8307933</v>
      </c>
      <c r="H698" t="s">
        <v>112</v>
      </c>
      <c r="I698" t="s">
        <v>104</v>
      </c>
      <c r="J698" t="str">
        <f t="shared" si="30"/>
        <v>GREGORY TEIPEL</v>
      </c>
      <c r="K698" t="s">
        <v>57</v>
      </c>
      <c r="L698" s="1">
        <v>45449</v>
      </c>
      <c r="M698" s="1">
        <v>45967</v>
      </c>
      <c r="N698" s="2">
        <v>29.42</v>
      </c>
      <c r="O698">
        <f t="shared" si="31"/>
        <v>17</v>
      </c>
      <c r="P698" t="s">
        <v>214</v>
      </c>
      <c r="Q698" t="s">
        <v>1274</v>
      </c>
      <c r="R698" s="3">
        <v>0.1</v>
      </c>
      <c r="S698" s="2">
        <v>2.94</v>
      </c>
      <c r="T698" t="s">
        <v>295</v>
      </c>
    </row>
    <row r="699" spans="1:20" x14ac:dyDescent="0.25">
      <c r="A699">
        <v>2022892790</v>
      </c>
      <c r="B699" t="s">
        <v>485</v>
      </c>
      <c r="C699" t="s">
        <v>284</v>
      </c>
      <c r="D699" t="str">
        <f t="shared" si="32"/>
        <v>THOMAS AMBROSE</v>
      </c>
      <c r="E699" t="s">
        <v>467</v>
      </c>
      <c r="F699" t="s">
        <v>471</v>
      </c>
      <c r="G699">
        <v>18134413</v>
      </c>
      <c r="H699" t="s">
        <v>479</v>
      </c>
      <c r="I699" t="s">
        <v>480</v>
      </c>
      <c r="J699" t="str">
        <f t="shared" si="30"/>
        <v>LORI TUNSTALL</v>
      </c>
      <c r="K699" t="s">
        <v>57</v>
      </c>
      <c r="L699" s="1">
        <v>45413</v>
      </c>
      <c r="M699" s="1">
        <v>45962</v>
      </c>
      <c r="N699" s="2">
        <v>5.1100000000000003</v>
      </c>
      <c r="O699">
        <f t="shared" si="31"/>
        <v>18</v>
      </c>
      <c r="P699" t="s">
        <v>214</v>
      </c>
      <c r="Q699" t="s">
        <v>1274</v>
      </c>
      <c r="R699" s="3">
        <v>0.04</v>
      </c>
      <c r="S699" s="2">
        <v>5.1100000000000003</v>
      </c>
      <c r="T699" t="s">
        <v>1269</v>
      </c>
    </row>
    <row r="700" spans="1:20" x14ac:dyDescent="0.25">
      <c r="A700">
        <v>2022892794</v>
      </c>
      <c r="B700" t="s">
        <v>485</v>
      </c>
      <c r="C700" t="s">
        <v>486</v>
      </c>
      <c r="D700" t="str">
        <f t="shared" si="32"/>
        <v>DONNA AMBROSE</v>
      </c>
      <c r="E700" t="s">
        <v>467</v>
      </c>
      <c r="F700" t="s">
        <v>471</v>
      </c>
      <c r="G700">
        <v>18134413</v>
      </c>
      <c r="H700" t="s">
        <v>479</v>
      </c>
      <c r="I700" t="s">
        <v>480</v>
      </c>
      <c r="J700" t="str">
        <f t="shared" si="30"/>
        <v>LORI TUNSTALL</v>
      </c>
      <c r="K700" t="s">
        <v>57</v>
      </c>
      <c r="L700" s="1">
        <v>45413</v>
      </c>
      <c r="M700" s="1">
        <v>45962</v>
      </c>
      <c r="N700" s="2">
        <v>4.5199999999999996</v>
      </c>
      <c r="O700">
        <f t="shared" si="31"/>
        <v>18</v>
      </c>
      <c r="P700" t="s">
        <v>214</v>
      </c>
      <c r="Q700" t="s">
        <v>1274</v>
      </c>
      <c r="R700" s="3">
        <v>0.04</v>
      </c>
      <c r="S700" s="2">
        <v>4.5199999999999996</v>
      </c>
      <c r="T700" t="s">
        <v>1269</v>
      </c>
    </row>
    <row r="701" spans="1:20" x14ac:dyDescent="0.25">
      <c r="A701">
        <v>2022657266</v>
      </c>
      <c r="B701" t="s">
        <v>674</v>
      </c>
      <c r="C701" t="s">
        <v>187</v>
      </c>
      <c r="D701" t="str">
        <f t="shared" si="32"/>
        <v>BONNIE CAFFEY</v>
      </c>
      <c r="E701" t="s">
        <v>89</v>
      </c>
      <c r="F701" t="s">
        <v>96</v>
      </c>
      <c r="G701">
        <v>8307933</v>
      </c>
      <c r="H701" t="s">
        <v>112</v>
      </c>
      <c r="I701" t="s">
        <v>104</v>
      </c>
      <c r="J701" t="str">
        <f t="shared" si="30"/>
        <v>GREGORY TEIPEL</v>
      </c>
      <c r="K701" t="s">
        <v>57</v>
      </c>
      <c r="L701" s="1">
        <v>45418</v>
      </c>
      <c r="M701" s="1">
        <v>45967</v>
      </c>
      <c r="N701" s="2">
        <v>139.25</v>
      </c>
      <c r="O701">
        <f t="shared" si="31"/>
        <v>18</v>
      </c>
      <c r="P701" t="s">
        <v>214</v>
      </c>
      <c r="Q701" t="s">
        <v>1274</v>
      </c>
      <c r="R701" s="3">
        <v>0.1</v>
      </c>
      <c r="S701" s="2">
        <v>13.92</v>
      </c>
      <c r="T701" t="s">
        <v>1259</v>
      </c>
    </row>
    <row r="702" spans="1:20" x14ac:dyDescent="0.25">
      <c r="A702">
        <v>2023010065</v>
      </c>
      <c r="B702" t="s">
        <v>368</v>
      </c>
      <c r="C702" t="s">
        <v>369</v>
      </c>
      <c r="D702" t="str">
        <f t="shared" si="32"/>
        <v>CARL BROWN</v>
      </c>
      <c r="E702" t="s">
        <v>209</v>
      </c>
      <c r="F702" t="s">
        <v>222</v>
      </c>
      <c r="G702">
        <v>18781057</v>
      </c>
      <c r="H702" t="s">
        <v>71</v>
      </c>
      <c r="I702" t="s">
        <v>72</v>
      </c>
      <c r="J702" t="str">
        <f t="shared" si="30"/>
        <v>JOHN ROKEN</v>
      </c>
      <c r="K702" t="s">
        <v>57</v>
      </c>
      <c r="L702" s="1">
        <v>45419</v>
      </c>
      <c r="M702" s="1">
        <v>45968</v>
      </c>
      <c r="N702" s="2">
        <v>15</v>
      </c>
      <c r="O702">
        <f t="shared" si="31"/>
        <v>18</v>
      </c>
      <c r="P702" t="s">
        <v>214</v>
      </c>
      <c r="Q702" t="s">
        <v>1274</v>
      </c>
      <c r="R702" s="3">
        <v>0.1</v>
      </c>
      <c r="S702" s="2">
        <v>1.5</v>
      </c>
      <c r="T702" t="s">
        <v>222</v>
      </c>
    </row>
    <row r="703" spans="1:20" x14ac:dyDescent="0.25">
      <c r="A703">
        <v>2023048532</v>
      </c>
      <c r="B703" t="s">
        <v>370</v>
      </c>
      <c r="C703" t="s">
        <v>371</v>
      </c>
      <c r="D703" t="str">
        <f t="shared" si="32"/>
        <v>RANDY RUBINFELD</v>
      </c>
      <c r="E703" t="s">
        <v>209</v>
      </c>
      <c r="F703" t="s">
        <v>222</v>
      </c>
      <c r="G703">
        <v>18781057</v>
      </c>
      <c r="H703" t="s">
        <v>71</v>
      </c>
      <c r="I703" t="s">
        <v>72</v>
      </c>
      <c r="J703" t="str">
        <f t="shared" si="30"/>
        <v>JOHN ROKEN</v>
      </c>
      <c r="K703" t="s">
        <v>57</v>
      </c>
      <c r="L703" s="1">
        <v>45422</v>
      </c>
      <c r="M703" s="1">
        <v>45971</v>
      </c>
      <c r="N703" s="2">
        <v>15</v>
      </c>
      <c r="O703">
        <f t="shared" si="31"/>
        <v>18</v>
      </c>
      <c r="P703" t="s">
        <v>214</v>
      </c>
      <c r="Q703" t="s">
        <v>1274</v>
      </c>
      <c r="R703" s="3">
        <v>0.1</v>
      </c>
      <c r="S703" s="2">
        <v>1.5</v>
      </c>
      <c r="T703" t="s">
        <v>222</v>
      </c>
    </row>
    <row r="704" spans="1:20" x14ac:dyDescent="0.25">
      <c r="A704">
        <v>2022672449</v>
      </c>
      <c r="B704" t="s">
        <v>1138</v>
      </c>
      <c r="C704" t="s">
        <v>991</v>
      </c>
      <c r="D704" t="str">
        <f t="shared" si="32"/>
        <v>HOWARD BELLAIRE</v>
      </c>
      <c r="E704" t="s">
        <v>350</v>
      </c>
      <c r="F704" t="s">
        <v>351</v>
      </c>
      <c r="G704">
        <v>17528908</v>
      </c>
      <c r="H704" t="s">
        <v>352</v>
      </c>
      <c r="I704" t="s">
        <v>353</v>
      </c>
      <c r="J704" t="str">
        <f t="shared" si="30"/>
        <v>DEBORAH INSKIPT</v>
      </c>
      <c r="K704" t="s">
        <v>57</v>
      </c>
      <c r="L704" s="1">
        <v>45413</v>
      </c>
      <c r="M704" s="1">
        <v>45962</v>
      </c>
      <c r="N704" s="2">
        <v>43.59</v>
      </c>
      <c r="O704">
        <f t="shared" si="31"/>
        <v>18</v>
      </c>
      <c r="P704" t="s">
        <v>214</v>
      </c>
      <c r="Q704" t="s">
        <v>1274</v>
      </c>
      <c r="R704" s="4">
        <v>5.2499999999999998E-2</v>
      </c>
      <c r="S704" s="2">
        <v>2.29</v>
      </c>
      <c r="T704" t="s">
        <v>351</v>
      </c>
    </row>
    <row r="705" spans="1:20" x14ac:dyDescent="0.25">
      <c r="A705">
        <v>2022736430</v>
      </c>
      <c r="B705" t="s">
        <v>1139</v>
      </c>
      <c r="C705" t="s">
        <v>562</v>
      </c>
      <c r="D705" t="str">
        <f t="shared" si="32"/>
        <v>DIANE BRYANT</v>
      </c>
      <c r="E705" t="s">
        <v>350</v>
      </c>
      <c r="F705" t="s">
        <v>351</v>
      </c>
      <c r="G705">
        <v>15278437</v>
      </c>
      <c r="H705" t="s">
        <v>211</v>
      </c>
      <c r="I705" t="s">
        <v>212</v>
      </c>
      <c r="J705" t="str">
        <f t="shared" si="30"/>
        <v>JASON HOFFMANN</v>
      </c>
      <c r="K705" t="s">
        <v>57</v>
      </c>
      <c r="L705" s="1">
        <v>45413</v>
      </c>
      <c r="M705" s="1">
        <v>45962</v>
      </c>
      <c r="N705" s="2">
        <v>45.54</v>
      </c>
      <c r="O705">
        <f t="shared" si="31"/>
        <v>18</v>
      </c>
      <c r="P705" t="s">
        <v>214</v>
      </c>
      <c r="Q705" t="s">
        <v>1274</v>
      </c>
      <c r="R705" s="4">
        <v>5.2499999999999998E-2</v>
      </c>
      <c r="S705" s="2">
        <v>2.39</v>
      </c>
      <c r="T705" t="s">
        <v>351</v>
      </c>
    </row>
    <row r="706" spans="1:20" x14ac:dyDescent="0.25">
      <c r="A706">
        <v>2022853291</v>
      </c>
      <c r="B706" t="s">
        <v>364</v>
      </c>
      <c r="C706" t="s">
        <v>365</v>
      </c>
      <c r="D706" t="str">
        <f t="shared" si="32"/>
        <v>GREG BERLACHER</v>
      </c>
      <c r="E706" t="s">
        <v>350</v>
      </c>
      <c r="F706" t="s">
        <v>351</v>
      </c>
      <c r="G706">
        <v>18781057</v>
      </c>
      <c r="H706" t="s">
        <v>71</v>
      </c>
      <c r="I706" t="s">
        <v>72</v>
      </c>
      <c r="J706" t="str">
        <f t="shared" ref="J706:J769" si="33">CONCATENATE(I706, " ",H706)</f>
        <v>JOHN ROKEN</v>
      </c>
      <c r="K706" t="s">
        <v>57</v>
      </c>
      <c r="L706" s="1">
        <v>45413</v>
      </c>
      <c r="M706" s="1">
        <v>45962</v>
      </c>
      <c r="N706" s="2">
        <v>46.01</v>
      </c>
      <c r="O706">
        <f t="shared" ref="O706:O769" si="34">DATEDIF(L706,M706,"M")</f>
        <v>18</v>
      </c>
      <c r="P706" t="s">
        <v>214</v>
      </c>
      <c r="Q706" t="s">
        <v>1274</v>
      </c>
      <c r="R706" s="4">
        <v>5.2499999999999998E-2</v>
      </c>
      <c r="S706" s="2">
        <v>2.42</v>
      </c>
      <c r="T706" t="s">
        <v>351</v>
      </c>
    </row>
    <row r="707" spans="1:20" x14ac:dyDescent="0.25">
      <c r="A707">
        <v>2022853292</v>
      </c>
      <c r="B707" t="s">
        <v>364</v>
      </c>
      <c r="C707" t="s">
        <v>365</v>
      </c>
      <c r="D707" t="str">
        <f t="shared" ref="D707:D770" si="35">CONCATENATE(C707, " ",B707)</f>
        <v>GREG BERLACHER</v>
      </c>
      <c r="E707" t="s">
        <v>287</v>
      </c>
      <c r="F707" t="s">
        <v>288</v>
      </c>
      <c r="G707">
        <v>18781057</v>
      </c>
      <c r="H707" t="s">
        <v>71</v>
      </c>
      <c r="I707" t="s">
        <v>72</v>
      </c>
      <c r="J707" t="str">
        <f t="shared" si="33"/>
        <v>JOHN ROKEN</v>
      </c>
      <c r="K707" t="s">
        <v>57</v>
      </c>
      <c r="L707" s="1">
        <v>45413</v>
      </c>
      <c r="M707" s="1">
        <v>45962</v>
      </c>
      <c r="N707" s="2">
        <v>116.64</v>
      </c>
      <c r="O707">
        <f t="shared" si="34"/>
        <v>18</v>
      </c>
      <c r="P707" t="s">
        <v>214</v>
      </c>
      <c r="Q707" t="s">
        <v>1274</v>
      </c>
      <c r="R707" s="3">
        <v>0.1</v>
      </c>
      <c r="S707" s="2">
        <v>11.66</v>
      </c>
      <c r="T707" t="s">
        <v>288</v>
      </c>
    </row>
    <row r="708" spans="1:20" x14ac:dyDescent="0.25">
      <c r="A708">
        <v>2022874966</v>
      </c>
      <c r="B708" t="s">
        <v>366</v>
      </c>
      <c r="C708" t="s">
        <v>367</v>
      </c>
      <c r="D708" t="str">
        <f t="shared" si="35"/>
        <v>TERRI SHUMINSKY</v>
      </c>
      <c r="E708" t="s">
        <v>287</v>
      </c>
      <c r="F708" t="s">
        <v>288</v>
      </c>
      <c r="G708">
        <v>18781057</v>
      </c>
      <c r="H708" t="s">
        <v>71</v>
      </c>
      <c r="I708" t="s">
        <v>72</v>
      </c>
      <c r="J708" t="str">
        <f t="shared" si="33"/>
        <v>JOHN ROKEN</v>
      </c>
      <c r="K708" t="s">
        <v>57</v>
      </c>
      <c r="L708" s="1">
        <v>45413</v>
      </c>
      <c r="M708" s="1">
        <v>45962</v>
      </c>
      <c r="N708" s="2">
        <v>69.63</v>
      </c>
      <c r="O708">
        <f t="shared" si="34"/>
        <v>18</v>
      </c>
      <c r="P708" t="s">
        <v>214</v>
      </c>
      <c r="Q708" t="s">
        <v>1274</v>
      </c>
      <c r="R708" s="3">
        <v>0.1</v>
      </c>
      <c r="S708" s="2">
        <v>6.96</v>
      </c>
      <c r="T708" t="s">
        <v>288</v>
      </c>
    </row>
    <row r="709" spans="1:20" x14ac:dyDescent="0.25">
      <c r="A709">
        <v>2023010064</v>
      </c>
      <c r="B709" t="s">
        <v>368</v>
      </c>
      <c r="C709" t="s">
        <v>369</v>
      </c>
      <c r="D709" t="str">
        <f t="shared" si="35"/>
        <v>CARL BROWN</v>
      </c>
      <c r="E709" t="s">
        <v>287</v>
      </c>
      <c r="F709" t="s">
        <v>288</v>
      </c>
      <c r="G709">
        <v>18781057</v>
      </c>
      <c r="H709" t="s">
        <v>71</v>
      </c>
      <c r="I709" t="s">
        <v>72</v>
      </c>
      <c r="J709" t="str">
        <f t="shared" si="33"/>
        <v>JOHN ROKEN</v>
      </c>
      <c r="K709" t="s">
        <v>57</v>
      </c>
      <c r="L709" s="1">
        <v>45419</v>
      </c>
      <c r="M709" s="1">
        <v>45968</v>
      </c>
      <c r="N709" s="2">
        <v>17.34</v>
      </c>
      <c r="O709">
        <f t="shared" si="34"/>
        <v>18</v>
      </c>
      <c r="P709" t="s">
        <v>214</v>
      </c>
      <c r="Q709" t="s">
        <v>1274</v>
      </c>
      <c r="R709" s="3">
        <v>0.1</v>
      </c>
      <c r="S709" s="2">
        <v>1.73</v>
      </c>
      <c r="T709" t="s">
        <v>288</v>
      </c>
    </row>
    <row r="710" spans="1:20" x14ac:dyDescent="0.25">
      <c r="A710">
        <v>2023048531</v>
      </c>
      <c r="B710" t="s">
        <v>370</v>
      </c>
      <c r="C710" t="s">
        <v>371</v>
      </c>
      <c r="D710" t="str">
        <f t="shared" si="35"/>
        <v>RANDY RUBINFELD</v>
      </c>
      <c r="E710" t="s">
        <v>287</v>
      </c>
      <c r="F710" t="s">
        <v>288</v>
      </c>
      <c r="G710">
        <v>18781057</v>
      </c>
      <c r="H710" t="s">
        <v>71</v>
      </c>
      <c r="I710" t="s">
        <v>72</v>
      </c>
      <c r="J710" t="str">
        <f t="shared" si="33"/>
        <v>JOHN ROKEN</v>
      </c>
      <c r="K710" t="s">
        <v>57</v>
      </c>
      <c r="L710" s="1">
        <v>45422</v>
      </c>
      <c r="M710" s="1">
        <v>45971</v>
      </c>
      <c r="N710" s="2">
        <v>55.07</v>
      </c>
      <c r="O710">
        <f t="shared" si="34"/>
        <v>18</v>
      </c>
      <c r="P710" t="s">
        <v>214</v>
      </c>
      <c r="Q710" t="s">
        <v>1274</v>
      </c>
      <c r="R710" s="3">
        <v>0.1</v>
      </c>
      <c r="S710" s="2">
        <v>5.51</v>
      </c>
      <c r="T710" t="s">
        <v>288</v>
      </c>
    </row>
    <row r="711" spans="1:20" x14ac:dyDescent="0.25">
      <c r="A711">
        <v>2022802829</v>
      </c>
      <c r="B711" t="s">
        <v>370</v>
      </c>
      <c r="C711" t="s">
        <v>1140</v>
      </c>
      <c r="D711" t="str">
        <f t="shared" si="35"/>
        <v>ANA RUBINFELD</v>
      </c>
      <c r="E711" t="s">
        <v>350</v>
      </c>
      <c r="F711" t="s">
        <v>1142</v>
      </c>
      <c r="G711">
        <v>18781057</v>
      </c>
      <c r="H711" t="s">
        <v>71</v>
      </c>
      <c r="I711" t="s">
        <v>72</v>
      </c>
      <c r="J711" t="str">
        <f t="shared" si="33"/>
        <v>JOHN ROKEN</v>
      </c>
      <c r="K711" t="s">
        <v>57</v>
      </c>
      <c r="L711" s="1">
        <v>45413</v>
      </c>
      <c r="M711" s="1">
        <v>45962</v>
      </c>
      <c r="N711" s="2">
        <v>14.95</v>
      </c>
      <c r="O711">
        <f t="shared" si="34"/>
        <v>18</v>
      </c>
      <c r="P711" t="s">
        <v>214</v>
      </c>
      <c r="Q711" t="s">
        <v>1274</v>
      </c>
      <c r="R711" s="3">
        <v>0.08</v>
      </c>
      <c r="S711" s="2">
        <v>1.2</v>
      </c>
      <c r="T711" t="s">
        <v>1141</v>
      </c>
    </row>
    <row r="712" spans="1:20" x14ac:dyDescent="0.25">
      <c r="A712">
        <v>2022802828</v>
      </c>
      <c r="B712" t="s">
        <v>370</v>
      </c>
      <c r="C712" t="s">
        <v>1140</v>
      </c>
      <c r="D712" t="str">
        <f t="shared" si="35"/>
        <v>ANA RUBINFELD</v>
      </c>
      <c r="E712" t="s">
        <v>350</v>
      </c>
      <c r="F712" t="s">
        <v>1141</v>
      </c>
      <c r="G712">
        <v>18781057</v>
      </c>
      <c r="H712" t="s">
        <v>71</v>
      </c>
      <c r="I712" t="s">
        <v>72</v>
      </c>
      <c r="J712" t="str">
        <f t="shared" si="33"/>
        <v>JOHN ROKEN</v>
      </c>
      <c r="K712" t="s">
        <v>57</v>
      </c>
      <c r="L712" s="1">
        <v>45413</v>
      </c>
      <c r="M712" s="1">
        <v>45962</v>
      </c>
      <c r="N712" s="2">
        <v>35.270000000000003</v>
      </c>
      <c r="O712">
        <f t="shared" si="34"/>
        <v>18</v>
      </c>
      <c r="P712" t="s">
        <v>214</v>
      </c>
      <c r="Q712" t="s">
        <v>1274</v>
      </c>
      <c r="R712" s="3">
        <v>0.08</v>
      </c>
      <c r="S712" s="2">
        <v>2.82</v>
      </c>
      <c r="T712" t="s">
        <v>1141</v>
      </c>
    </row>
    <row r="713" spans="1:20" x14ac:dyDescent="0.25">
      <c r="A713">
        <v>2022807452</v>
      </c>
      <c r="B713" t="s">
        <v>808</v>
      </c>
      <c r="C713" t="s">
        <v>72</v>
      </c>
      <c r="D713" t="str">
        <f t="shared" si="35"/>
        <v>JOHN ZURAITIS</v>
      </c>
      <c r="E713" t="s">
        <v>292</v>
      </c>
      <c r="F713" t="s">
        <v>293</v>
      </c>
      <c r="G713">
        <v>8307933</v>
      </c>
      <c r="H713" t="s">
        <v>112</v>
      </c>
      <c r="I713" t="s">
        <v>104</v>
      </c>
      <c r="J713" t="str">
        <f t="shared" si="33"/>
        <v>GREGORY TEIPEL</v>
      </c>
      <c r="K713" t="s">
        <v>57</v>
      </c>
      <c r="L713" s="1">
        <v>45418</v>
      </c>
      <c r="M713" s="1">
        <v>45967</v>
      </c>
      <c r="N713" s="2">
        <v>148.27000000000001</v>
      </c>
      <c r="O713">
        <f t="shared" si="34"/>
        <v>18</v>
      </c>
      <c r="P713" t="s">
        <v>214</v>
      </c>
      <c r="Q713" t="s">
        <v>1274</v>
      </c>
      <c r="R713" s="3">
        <v>0.15</v>
      </c>
      <c r="S713" s="2">
        <v>22.24</v>
      </c>
      <c r="T713" t="s">
        <v>293</v>
      </c>
    </row>
    <row r="714" spans="1:20" x14ac:dyDescent="0.25">
      <c r="A714">
        <v>2023048530</v>
      </c>
      <c r="B714" t="s">
        <v>370</v>
      </c>
      <c r="C714" t="s">
        <v>371</v>
      </c>
      <c r="D714" t="str">
        <f t="shared" si="35"/>
        <v>RANDY RUBINFELD</v>
      </c>
      <c r="E714" t="s">
        <v>243</v>
      </c>
      <c r="F714" t="s">
        <v>244</v>
      </c>
      <c r="G714">
        <v>18781057</v>
      </c>
      <c r="H714" t="s">
        <v>71</v>
      </c>
      <c r="I714" t="s">
        <v>72</v>
      </c>
      <c r="J714" t="str">
        <f t="shared" si="33"/>
        <v>JOHN ROKEN</v>
      </c>
      <c r="K714" t="s">
        <v>57</v>
      </c>
      <c r="L714" s="1">
        <v>45422</v>
      </c>
      <c r="M714" s="1">
        <v>45971</v>
      </c>
      <c r="N714" s="2">
        <v>119.64</v>
      </c>
      <c r="O714">
        <f t="shared" si="34"/>
        <v>18</v>
      </c>
      <c r="P714" t="s">
        <v>214</v>
      </c>
      <c r="Q714" t="s">
        <v>1274</v>
      </c>
      <c r="R714" s="3">
        <v>0.06</v>
      </c>
      <c r="S714" s="2">
        <v>7.18</v>
      </c>
      <c r="T714" t="s">
        <v>244</v>
      </c>
    </row>
    <row r="715" spans="1:20" x14ac:dyDescent="0.25">
      <c r="A715">
        <v>2022853293</v>
      </c>
      <c r="B715" t="s">
        <v>364</v>
      </c>
      <c r="C715" t="s">
        <v>365</v>
      </c>
      <c r="D715" t="str">
        <f t="shared" si="35"/>
        <v>GREG BERLACHER</v>
      </c>
      <c r="E715" t="s">
        <v>53</v>
      </c>
      <c r="F715" t="s">
        <v>65</v>
      </c>
      <c r="G715">
        <v>18781057</v>
      </c>
      <c r="H715" t="s">
        <v>71</v>
      </c>
      <c r="I715" t="s">
        <v>72</v>
      </c>
      <c r="J715" t="str">
        <f t="shared" si="33"/>
        <v>JOHN ROKEN</v>
      </c>
      <c r="K715" t="s">
        <v>57</v>
      </c>
      <c r="L715" s="1">
        <v>45413</v>
      </c>
      <c r="M715" s="1">
        <v>45962</v>
      </c>
      <c r="N715" s="2">
        <v>79.75</v>
      </c>
      <c r="O715">
        <f t="shared" si="34"/>
        <v>18</v>
      </c>
      <c r="P715" t="s">
        <v>214</v>
      </c>
      <c r="Q715" t="s">
        <v>1274</v>
      </c>
      <c r="R715" s="4">
        <v>6.5000000000000002E-2</v>
      </c>
      <c r="S715" s="2">
        <v>5.18</v>
      </c>
      <c r="T715" t="s">
        <v>65</v>
      </c>
    </row>
    <row r="716" spans="1:20" x14ac:dyDescent="0.25">
      <c r="A716">
        <v>2022351125</v>
      </c>
      <c r="B716" t="s">
        <v>477</v>
      </c>
      <c r="C716" t="s">
        <v>478</v>
      </c>
      <c r="D716" t="str">
        <f t="shared" si="35"/>
        <v>MARIE LATTANZE</v>
      </c>
      <c r="E716" t="s">
        <v>467</v>
      </c>
      <c r="F716" t="s">
        <v>471</v>
      </c>
      <c r="G716">
        <v>18134413</v>
      </c>
      <c r="H716" t="s">
        <v>479</v>
      </c>
      <c r="I716" t="s">
        <v>480</v>
      </c>
      <c r="J716" t="str">
        <f t="shared" si="33"/>
        <v>LORI TUNSTALL</v>
      </c>
      <c r="K716" t="s">
        <v>57</v>
      </c>
      <c r="L716" s="1">
        <v>45383</v>
      </c>
      <c r="M716" s="1">
        <v>45962</v>
      </c>
      <c r="N716" s="2">
        <v>6.52</v>
      </c>
      <c r="O716">
        <f t="shared" si="34"/>
        <v>19</v>
      </c>
      <c r="P716" t="s">
        <v>214</v>
      </c>
      <c r="Q716" t="s">
        <v>1274</v>
      </c>
      <c r="R716" s="3">
        <v>0.04</v>
      </c>
      <c r="S716" s="2">
        <v>6.52</v>
      </c>
      <c r="T716" t="s">
        <v>1269</v>
      </c>
    </row>
    <row r="717" spans="1:20" x14ac:dyDescent="0.25">
      <c r="A717">
        <v>2022385257</v>
      </c>
      <c r="B717" t="s">
        <v>402</v>
      </c>
      <c r="C717" t="s">
        <v>671</v>
      </c>
      <c r="D717" t="str">
        <f t="shared" si="35"/>
        <v>STEVEN JOHNSON</v>
      </c>
      <c r="E717" t="s">
        <v>89</v>
      </c>
      <c r="F717" t="s">
        <v>90</v>
      </c>
      <c r="G717">
        <v>8307933</v>
      </c>
      <c r="H717" t="s">
        <v>112</v>
      </c>
      <c r="I717" t="s">
        <v>104</v>
      </c>
      <c r="J717" t="str">
        <f t="shared" si="33"/>
        <v>GREGORY TEIPEL</v>
      </c>
      <c r="K717" t="s">
        <v>57</v>
      </c>
      <c r="L717" s="1">
        <v>45388</v>
      </c>
      <c r="M717" s="1">
        <v>45967</v>
      </c>
      <c r="N717" s="2">
        <v>17.86</v>
      </c>
      <c r="O717">
        <f t="shared" si="34"/>
        <v>19</v>
      </c>
      <c r="P717" t="s">
        <v>214</v>
      </c>
      <c r="Q717" t="s">
        <v>1274</v>
      </c>
      <c r="R717" s="3">
        <v>0.1</v>
      </c>
      <c r="S717" s="2">
        <v>1.79</v>
      </c>
      <c r="T717" t="s">
        <v>1258</v>
      </c>
    </row>
    <row r="718" spans="1:20" x14ac:dyDescent="0.25">
      <c r="A718">
        <v>2022505612</v>
      </c>
      <c r="B718" t="s">
        <v>672</v>
      </c>
      <c r="C718" t="s">
        <v>673</v>
      </c>
      <c r="D718" t="str">
        <f t="shared" si="35"/>
        <v>LARRY MORRISON</v>
      </c>
      <c r="E718" t="s">
        <v>89</v>
      </c>
      <c r="F718" t="s">
        <v>96</v>
      </c>
      <c r="G718">
        <v>8307933</v>
      </c>
      <c r="H718" t="s">
        <v>112</v>
      </c>
      <c r="I718" t="s">
        <v>104</v>
      </c>
      <c r="J718" t="str">
        <f t="shared" si="33"/>
        <v>GREGORY TEIPEL</v>
      </c>
      <c r="K718" t="s">
        <v>57</v>
      </c>
      <c r="L718" s="1">
        <v>45389</v>
      </c>
      <c r="M718" s="1">
        <v>45968</v>
      </c>
      <c r="N718" s="2">
        <v>180.88</v>
      </c>
      <c r="O718">
        <f t="shared" si="34"/>
        <v>19</v>
      </c>
      <c r="P718" t="s">
        <v>214</v>
      </c>
      <c r="Q718" t="s">
        <v>1274</v>
      </c>
      <c r="R718" s="3">
        <v>0.1</v>
      </c>
      <c r="S718" s="2">
        <v>18.09</v>
      </c>
      <c r="T718" t="s">
        <v>1259</v>
      </c>
    </row>
    <row r="719" spans="1:20" x14ac:dyDescent="0.25">
      <c r="A719">
        <v>2021795177</v>
      </c>
      <c r="B719" t="s">
        <v>1128</v>
      </c>
      <c r="C719" t="s">
        <v>238</v>
      </c>
      <c r="D719" t="str">
        <f t="shared" si="35"/>
        <v>CAROL TAGUE</v>
      </c>
      <c r="E719" t="s">
        <v>350</v>
      </c>
      <c r="F719" t="s">
        <v>351</v>
      </c>
      <c r="G719">
        <v>17528908</v>
      </c>
      <c r="H719" t="s">
        <v>352</v>
      </c>
      <c r="I719" t="s">
        <v>353</v>
      </c>
      <c r="J719" t="str">
        <f t="shared" si="33"/>
        <v>DEBORAH INSKIPT</v>
      </c>
      <c r="K719" t="s">
        <v>57</v>
      </c>
      <c r="L719" s="1">
        <v>45383</v>
      </c>
      <c r="M719" s="1">
        <v>45962</v>
      </c>
      <c r="N719" s="2">
        <v>43.59</v>
      </c>
      <c r="O719">
        <f t="shared" si="34"/>
        <v>19</v>
      </c>
      <c r="P719" t="s">
        <v>214</v>
      </c>
      <c r="Q719" t="s">
        <v>1274</v>
      </c>
      <c r="R719" s="4">
        <v>5.2499999999999998E-2</v>
      </c>
      <c r="S719" s="2">
        <v>2.29</v>
      </c>
      <c r="T719" t="s">
        <v>351</v>
      </c>
    </row>
    <row r="720" spans="1:20" x14ac:dyDescent="0.25">
      <c r="A720">
        <v>2022253036</v>
      </c>
      <c r="B720" t="s">
        <v>1129</v>
      </c>
      <c r="C720" t="s">
        <v>1130</v>
      </c>
      <c r="D720" t="str">
        <f t="shared" si="35"/>
        <v>CHERYL KENST</v>
      </c>
      <c r="E720" t="s">
        <v>350</v>
      </c>
      <c r="F720" t="s">
        <v>351</v>
      </c>
      <c r="G720">
        <v>17528908</v>
      </c>
      <c r="H720" t="s">
        <v>352</v>
      </c>
      <c r="I720" t="s">
        <v>353</v>
      </c>
      <c r="J720" t="str">
        <f t="shared" si="33"/>
        <v>DEBORAH INSKIPT</v>
      </c>
      <c r="K720" t="s">
        <v>57</v>
      </c>
      <c r="L720" s="1">
        <v>45383</v>
      </c>
      <c r="M720" s="1">
        <v>45962</v>
      </c>
      <c r="N720" s="2">
        <v>43.59</v>
      </c>
      <c r="O720">
        <f t="shared" si="34"/>
        <v>19</v>
      </c>
      <c r="P720" t="s">
        <v>214</v>
      </c>
      <c r="Q720" t="s">
        <v>1274</v>
      </c>
      <c r="R720" s="4">
        <v>5.2499999999999998E-2</v>
      </c>
      <c r="S720" s="2">
        <v>2.29</v>
      </c>
      <c r="T720" t="s">
        <v>351</v>
      </c>
    </row>
    <row r="721" spans="1:20" x14ac:dyDescent="0.25">
      <c r="A721">
        <v>2022400717</v>
      </c>
      <c r="B721" t="s">
        <v>1133</v>
      </c>
      <c r="C721" t="s">
        <v>1134</v>
      </c>
      <c r="D721" t="str">
        <f t="shared" si="35"/>
        <v>THERESA LANE</v>
      </c>
      <c r="E721" t="s">
        <v>350</v>
      </c>
      <c r="F721" t="s">
        <v>351</v>
      </c>
      <c r="G721">
        <v>17528908</v>
      </c>
      <c r="H721" t="s">
        <v>352</v>
      </c>
      <c r="I721" t="s">
        <v>353</v>
      </c>
      <c r="J721" t="str">
        <f t="shared" si="33"/>
        <v>DEBORAH INSKIPT</v>
      </c>
      <c r="K721" t="s">
        <v>57</v>
      </c>
      <c r="L721" s="1">
        <v>45383</v>
      </c>
      <c r="M721" s="1">
        <v>45962</v>
      </c>
      <c r="N721" s="2">
        <v>43.59</v>
      </c>
      <c r="O721">
        <f t="shared" si="34"/>
        <v>19</v>
      </c>
      <c r="P721" t="s">
        <v>214</v>
      </c>
      <c r="Q721" t="s">
        <v>1274</v>
      </c>
      <c r="R721" s="4">
        <v>5.2499999999999998E-2</v>
      </c>
      <c r="S721" s="2">
        <v>2.29</v>
      </c>
      <c r="T721" t="s">
        <v>351</v>
      </c>
    </row>
    <row r="722" spans="1:20" x14ac:dyDescent="0.25">
      <c r="A722">
        <v>2022532902</v>
      </c>
      <c r="B722" t="s">
        <v>1135</v>
      </c>
      <c r="C722" t="s">
        <v>600</v>
      </c>
      <c r="D722" t="str">
        <f t="shared" si="35"/>
        <v>EDWARD CHISMAR</v>
      </c>
      <c r="E722" t="s">
        <v>350</v>
      </c>
      <c r="F722" t="s">
        <v>351</v>
      </c>
      <c r="G722">
        <v>17528908</v>
      </c>
      <c r="H722" t="s">
        <v>352</v>
      </c>
      <c r="I722" t="s">
        <v>353</v>
      </c>
      <c r="J722" t="str">
        <f t="shared" si="33"/>
        <v>DEBORAH INSKIPT</v>
      </c>
      <c r="K722" t="s">
        <v>57</v>
      </c>
      <c r="L722" s="1">
        <v>45384</v>
      </c>
      <c r="M722" s="1">
        <v>45963</v>
      </c>
      <c r="N722" s="2">
        <v>50.6</v>
      </c>
      <c r="O722">
        <f t="shared" si="34"/>
        <v>19</v>
      </c>
      <c r="P722" t="s">
        <v>214</v>
      </c>
      <c r="Q722" t="s">
        <v>1274</v>
      </c>
      <c r="R722" s="4">
        <v>5.2499999999999998E-2</v>
      </c>
      <c r="S722" s="2">
        <v>2.66</v>
      </c>
      <c r="T722" t="s">
        <v>351</v>
      </c>
    </row>
    <row r="723" spans="1:20" x14ac:dyDescent="0.25">
      <c r="A723">
        <v>2022548915</v>
      </c>
      <c r="B723" t="s">
        <v>623</v>
      </c>
      <c r="C723" t="s">
        <v>727</v>
      </c>
      <c r="D723" t="str">
        <f t="shared" si="35"/>
        <v>MICHELE FOSTER</v>
      </c>
      <c r="E723" t="s">
        <v>350</v>
      </c>
      <c r="F723" t="s">
        <v>351</v>
      </c>
      <c r="G723">
        <v>17528908</v>
      </c>
      <c r="H723" t="s">
        <v>352</v>
      </c>
      <c r="I723" t="s">
        <v>353</v>
      </c>
      <c r="J723" t="str">
        <f t="shared" si="33"/>
        <v>DEBORAH INSKIPT</v>
      </c>
      <c r="K723" t="s">
        <v>57</v>
      </c>
      <c r="L723" s="1">
        <v>45385</v>
      </c>
      <c r="M723" s="1">
        <v>45964</v>
      </c>
      <c r="N723" s="2">
        <v>56.88</v>
      </c>
      <c r="O723">
        <f t="shared" si="34"/>
        <v>19</v>
      </c>
      <c r="P723" t="s">
        <v>214</v>
      </c>
      <c r="Q723" t="s">
        <v>1274</v>
      </c>
      <c r="R723" s="4">
        <v>5.2499999999999998E-2</v>
      </c>
      <c r="S723" s="2">
        <v>2.99</v>
      </c>
      <c r="T723" t="s">
        <v>351</v>
      </c>
    </row>
    <row r="724" spans="1:20" x14ac:dyDescent="0.25">
      <c r="A724">
        <v>2022583396</v>
      </c>
      <c r="B724" t="s">
        <v>1136</v>
      </c>
      <c r="C724" t="s">
        <v>1137</v>
      </c>
      <c r="D724" t="str">
        <f t="shared" si="35"/>
        <v>JOYCE COSTANZO</v>
      </c>
      <c r="E724" t="s">
        <v>350</v>
      </c>
      <c r="F724" t="s">
        <v>351</v>
      </c>
      <c r="G724">
        <v>17528908</v>
      </c>
      <c r="H724" t="s">
        <v>352</v>
      </c>
      <c r="I724" t="s">
        <v>353</v>
      </c>
      <c r="J724" t="str">
        <f t="shared" si="33"/>
        <v>DEBORAH INSKIPT</v>
      </c>
      <c r="K724" t="s">
        <v>57</v>
      </c>
      <c r="L724" s="1">
        <v>45387</v>
      </c>
      <c r="M724" s="1">
        <v>45966</v>
      </c>
      <c r="N724" s="2">
        <v>43.59</v>
      </c>
      <c r="O724">
        <f t="shared" si="34"/>
        <v>19</v>
      </c>
      <c r="P724" t="s">
        <v>214</v>
      </c>
      <c r="Q724" t="s">
        <v>1274</v>
      </c>
      <c r="R724" s="4">
        <v>5.2499999999999998E-2</v>
      </c>
      <c r="S724" s="2">
        <v>2.29</v>
      </c>
      <c r="T724" t="s">
        <v>351</v>
      </c>
    </row>
    <row r="725" spans="1:20" x14ac:dyDescent="0.25">
      <c r="A725">
        <v>2022273568</v>
      </c>
      <c r="B725" t="s">
        <v>1131</v>
      </c>
      <c r="C725" t="s">
        <v>1132</v>
      </c>
      <c r="D725" t="str">
        <f t="shared" si="35"/>
        <v>TRINIDAD BETINOL</v>
      </c>
      <c r="E725" t="s">
        <v>350</v>
      </c>
      <c r="F725" t="s">
        <v>351</v>
      </c>
      <c r="G725">
        <v>15278437</v>
      </c>
      <c r="H725" t="s">
        <v>211</v>
      </c>
      <c r="I725" t="s">
        <v>212</v>
      </c>
      <c r="J725" t="str">
        <f t="shared" si="33"/>
        <v>JASON HOFFMANN</v>
      </c>
      <c r="K725" t="s">
        <v>57</v>
      </c>
      <c r="L725" s="1">
        <v>45383</v>
      </c>
      <c r="M725" s="1">
        <v>45962</v>
      </c>
      <c r="N725" s="2">
        <v>51.19</v>
      </c>
      <c r="O725">
        <f t="shared" si="34"/>
        <v>19</v>
      </c>
      <c r="P725" t="s">
        <v>214</v>
      </c>
      <c r="Q725" t="s">
        <v>1274</v>
      </c>
      <c r="R725" s="4">
        <v>5.2499999999999998E-2</v>
      </c>
      <c r="S725" s="2">
        <v>2.69</v>
      </c>
      <c r="T725" t="s">
        <v>351</v>
      </c>
    </row>
    <row r="726" spans="1:20" x14ac:dyDescent="0.25">
      <c r="A726">
        <v>2022484796</v>
      </c>
      <c r="B726" t="s">
        <v>481</v>
      </c>
      <c r="C726" t="s">
        <v>482</v>
      </c>
      <c r="D726" t="str">
        <f t="shared" si="35"/>
        <v>MICHAEL SPROAT</v>
      </c>
      <c r="E726" t="s">
        <v>467</v>
      </c>
      <c r="F726" t="s">
        <v>471</v>
      </c>
      <c r="G726" t="s">
        <v>1260</v>
      </c>
      <c r="H726" t="s">
        <v>237</v>
      </c>
      <c r="I726" t="s">
        <v>238</v>
      </c>
      <c r="J726" t="str">
        <f t="shared" si="33"/>
        <v>CAROL FOLEY</v>
      </c>
      <c r="K726" t="s">
        <v>57</v>
      </c>
      <c r="L726" s="1">
        <v>45383</v>
      </c>
      <c r="M726" s="1">
        <v>45962</v>
      </c>
      <c r="N726" s="2">
        <v>131.93</v>
      </c>
      <c r="O726">
        <f t="shared" si="34"/>
        <v>19</v>
      </c>
      <c r="P726" t="s">
        <v>214</v>
      </c>
      <c r="Q726" t="s">
        <v>1274</v>
      </c>
      <c r="R726" s="3">
        <v>0.26</v>
      </c>
      <c r="S726" s="2">
        <v>34.299999999999997</v>
      </c>
      <c r="T726" t="s">
        <v>1266</v>
      </c>
    </row>
    <row r="727" spans="1:20" x14ac:dyDescent="0.25">
      <c r="A727">
        <v>2022385258</v>
      </c>
      <c r="B727" t="s">
        <v>402</v>
      </c>
      <c r="C727" t="s">
        <v>671</v>
      </c>
      <c r="D727" t="str">
        <f t="shared" si="35"/>
        <v>STEVEN JOHNSON</v>
      </c>
      <c r="E727" t="s">
        <v>292</v>
      </c>
      <c r="F727" t="s">
        <v>293</v>
      </c>
      <c r="G727">
        <v>8307933</v>
      </c>
      <c r="H727" t="s">
        <v>112</v>
      </c>
      <c r="I727" t="s">
        <v>104</v>
      </c>
      <c r="J727" t="str">
        <f t="shared" si="33"/>
        <v>GREGORY TEIPEL</v>
      </c>
      <c r="K727" t="s">
        <v>57</v>
      </c>
      <c r="L727" s="1">
        <v>45388</v>
      </c>
      <c r="M727" s="1">
        <v>45967</v>
      </c>
      <c r="N727" s="2">
        <v>2.8</v>
      </c>
      <c r="O727">
        <f t="shared" si="34"/>
        <v>19</v>
      </c>
      <c r="P727" t="s">
        <v>214</v>
      </c>
      <c r="Q727" t="s">
        <v>1274</v>
      </c>
      <c r="R727" s="3">
        <v>0.15</v>
      </c>
      <c r="S727" s="2">
        <v>0.42</v>
      </c>
      <c r="T727" t="s">
        <v>293</v>
      </c>
    </row>
    <row r="728" spans="1:20" x14ac:dyDescent="0.25">
      <c r="A728">
        <v>2022623337</v>
      </c>
      <c r="B728" t="s">
        <v>807</v>
      </c>
      <c r="C728" t="s">
        <v>746</v>
      </c>
      <c r="D728" t="str">
        <f t="shared" si="35"/>
        <v>SCOTT OLSON</v>
      </c>
      <c r="E728" t="s">
        <v>292</v>
      </c>
      <c r="F728" t="s">
        <v>293</v>
      </c>
      <c r="G728">
        <v>8307933</v>
      </c>
      <c r="H728" t="s">
        <v>112</v>
      </c>
      <c r="I728" t="s">
        <v>104</v>
      </c>
      <c r="J728" t="str">
        <f t="shared" si="33"/>
        <v>GREGORY TEIPEL</v>
      </c>
      <c r="K728" t="s">
        <v>57</v>
      </c>
      <c r="L728" s="1">
        <v>45392</v>
      </c>
      <c r="M728" s="1">
        <v>45971</v>
      </c>
      <c r="N728" s="2">
        <v>388.92</v>
      </c>
      <c r="O728">
        <f t="shared" si="34"/>
        <v>19</v>
      </c>
      <c r="P728" t="s">
        <v>214</v>
      </c>
      <c r="Q728" t="s">
        <v>1274</v>
      </c>
      <c r="R728" s="3">
        <v>0.15</v>
      </c>
      <c r="S728" s="2">
        <v>58.34</v>
      </c>
      <c r="T728" t="s">
        <v>293</v>
      </c>
    </row>
    <row r="729" spans="1:20" x14ac:dyDescent="0.25">
      <c r="A729">
        <v>2022645069</v>
      </c>
      <c r="B729" t="s">
        <v>707</v>
      </c>
      <c r="C729" t="s">
        <v>132</v>
      </c>
      <c r="D729" t="str">
        <f t="shared" si="35"/>
        <v>CHRISTOPHER LEVY</v>
      </c>
      <c r="E729" t="s">
        <v>243</v>
      </c>
      <c r="F729" t="s">
        <v>244</v>
      </c>
      <c r="G729">
        <v>19278370</v>
      </c>
      <c r="H729" t="s">
        <v>75</v>
      </c>
      <c r="I729" t="s">
        <v>76</v>
      </c>
      <c r="J729" t="str">
        <f t="shared" si="33"/>
        <v>ANNE MARIE KOZACHECK</v>
      </c>
      <c r="K729" t="s">
        <v>57</v>
      </c>
      <c r="L729" s="1">
        <v>45392</v>
      </c>
      <c r="M729" s="1">
        <v>45971</v>
      </c>
      <c r="N729" s="2">
        <v>39.979999999999997</v>
      </c>
      <c r="O729">
        <f t="shared" si="34"/>
        <v>19</v>
      </c>
      <c r="P729" t="s">
        <v>214</v>
      </c>
      <c r="Q729" t="s">
        <v>1274</v>
      </c>
      <c r="R729" s="3">
        <v>0.06</v>
      </c>
      <c r="S729" s="2">
        <v>2.4</v>
      </c>
      <c r="T729" t="s">
        <v>244</v>
      </c>
    </row>
    <row r="730" spans="1:20" x14ac:dyDescent="0.25">
      <c r="A730">
        <v>2022273838</v>
      </c>
      <c r="B730" t="s">
        <v>640</v>
      </c>
      <c r="C730" t="s">
        <v>641</v>
      </c>
      <c r="D730" t="str">
        <f t="shared" si="35"/>
        <v>GERALDINE STROUPHAR</v>
      </c>
      <c r="E730" t="s">
        <v>243</v>
      </c>
      <c r="F730" t="s">
        <v>244</v>
      </c>
      <c r="G730">
        <v>15278437</v>
      </c>
      <c r="H730" t="s">
        <v>211</v>
      </c>
      <c r="I730" t="s">
        <v>212</v>
      </c>
      <c r="J730" t="str">
        <f t="shared" si="33"/>
        <v>JASON HOFFMANN</v>
      </c>
      <c r="K730" t="s">
        <v>57</v>
      </c>
      <c r="L730" s="1">
        <v>45383</v>
      </c>
      <c r="M730" s="1">
        <v>45962</v>
      </c>
      <c r="N730" s="2">
        <v>35.979999999999997</v>
      </c>
      <c r="O730">
        <f t="shared" si="34"/>
        <v>19</v>
      </c>
      <c r="P730" t="s">
        <v>214</v>
      </c>
      <c r="Q730" t="s">
        <v>1274</v>
      </c>
      <c r="R730" s="3">
        <v>0.06</v>
      </c>
      <c r="S730" s="2">
        <v>2.16</v>
      </c>
      <c r="T730" t="s">
        <v>244</v>
      </c>
    </row>
    <row r="731" spans="1:20" x14ac:dyDescent="0.25">
      <c r="A731">
        <v>2022273839</v>
      </c>
      <c r="B731" t="s">
        <v>640</v>
      </c>
      <c r="C731" t="s">
        <v>641</v>
      </c>
      <c r="D731" t="str">
        <f t="shared" si="35"/>
        <v>GERALDINE STROUPHAR</v>
      </c>
      <c r="E731" t="s">
        <v>53</v>
      </c>
      <c r="F731" t="s">
        <v>65</v>
      </c>
      <c r="G731">
        <v>15278437</v>
      </c>
      <c r="H731" t="s">
        <v>211</v>
      </c>
      <c r="I731" t="s">
        <v>212</v>
      </c>
      <c r="J731" t="str">
        <f t="shared" si="33"/>
        <v>JASON HOFFMANN</v>
      </c>
      <c r="K731" t="s">
        <v>57</v>
      </c>
      <c r="L731" s="1">
        <v>45383</v>
      </c>
      <c r="M731" s="1">
        <v>45962</v>
      </c>
      <c r="N731" s="2">
        <v>52.69</v>
      </c>
      <c r="O731">
        <f t="shared" si="34"/>
        <v>19</v>
      </c>
      <c r="P731" t="s">
        <v>214</v>
      </c>
      <c r="Q731" t="s">
        <v>1274</v>
      </c>
      <c r="R731" s="4">
        <v>6.5000000000000002E-2</v>
      </c>
      <c r="S731" s="2">
        <v>3.42</v>
      </c>
      <c r="T731" t="s">
        <v>65</v>
      </c>
    </row>
    <row r="732" spans="1:20" x14ac:dyDescent="0.25">
      <c r="A732">
        <v>2022351125</v>
      </c>
      <c r="B732" t="s">
        <v>477</v>
      </c>
      <c r="C732" t="s">
        <v>478</v>
      </c>
      <c r="D732" t="str">
        <f t="shared" si="35"/>
        <v>MARIE LATTANZE</v>
      </c>
      <c r="E732" t="s">
        <v>467</v>
      </c>
      <c r="F732" t="s">
        <v>471</v>
      </c>
      <c r="G732">
        <v>18134413</v>
      </c>
      <c r="H732" t="s">
        <v>479</v>
      </c>
      <c r="I732" t="s">
        <v>480</v>
      </c>
      <c r="J732" t="str">
        <f t="shared" si="33"/>
        <v>LORI TUNSTALL</v>
      </c>
      <c r="K732" t="s">
        <v>57</v>
      </c>
      <c r="L732" s="1">
        <v>45383</v>
      </c>
      <c r="M732" s="1">
        <v>45992</v>
      </c>
      <c r="N732" s="2">
        <v>6.52</v>
      </c>
      <c r="O732">
        <f t="shared" si="34"/>
        <v>20</v>
      </c>
      <c r="P732" t="s">
        <v>214</v>
      </c>
      <c r="Q732" t="s">
        <v>1274</v>
      </c>
      <c r="R732" s="3">
        <v>0.04</v>
      </c>
      <c r="S732" s="2">
        <v>6.52</v>
      </c>
      <c r="T732" t="s">
        <v>1269</v>
      </c>
    </row>
    <row r="733" spans="1:20" x14ac:dyDescent="0.25">
      <c r="A733">
        <v>2021802310</v>
      </c>
      <c r="B733" t="s">
        <v>668</v>
      </c>
      <c r="C733" t="s">
        <v>224</v>
      </c>
      <c r="D733" t="str">
        <f t="shared" si="35"/>
        <v>JAMES CAVE</v>
      </c>
      <c r="E733" t="s">
        <v>89</v>
      </c>
      <c r="F733" t="s">
        <v>111</v>
      </c>
      <c r="G733">
        <v>8307933</v>
      </c>
      <c r="H733" t="s">
        <v>112</v>
      </c>
      <c r="I733" t="s">
        <v>104</v>
      </c>
      <c r="J733" t="str">
        <f t="shared" si="33"/>
        <v>GREGORY TEIPEL</v>
      </c>
      <c r="K733" t="s">
        <v>57</v>
      </c>
      <c r="L733" s="1">
        <v>45357</v>
      </c>
      <c r="M733" s="1">
        <v>45967</v>
      </c>
      <c r="N733" s="2">
        <v>113.5</v>
      </c>
      <c r="O733">
        <f t="shared" si="34"/>
        <v>20</v>
      </c>
      <c r="P733" t="s">
        <v>214</v>
      </c>
      <c r="Q733" t="s">
        <v>1274</v>
      </c>
      <c r="R733" s="3">
        <v>0.1</v>
      </c>
      <c r="S733" s="2">
        <v>11.35</v>
      </c>
      <c r="T733" t="s">
        <v>1257</v>
      </c>
    </row>
    <row r="734" spans="1:20" x14ac:dyDescent="0.25">
      <c r="A734">
        <v>2021765999</v>
      </c>
      <c r="B734" t="s">
        <v>666</v>
      </c>
      <c r="C734" t="s">
        <v>667</v>
      </c>
      <c r="D734" t="str">
        <f t="shared" si="35"/>
        <v>BUNNY ROBERTSON</v>
      </c>
      <c r="E734" t="s">
        <v>89</v>
      </c>
      <c r="F734" t="s">
        <v>96</v>
      </c>
      <c r="G734">
        <v>8307933</v>
      </c>
      <c r="H734" t="s">
        <v>112</v>
      </c>
      <c r="I734" t="s">
        <v>104</v>
      </c>
      <c r="J734" t="str">
        <f t="shared" si="33"/>
        <v>GREGORY TEIPEL</v>
      </c>
      <c r="K734" t="s">
        <v>57</v>
      </c>
      <c r="L734" s="1">
        <v>45357</v>
      </c>
      <c r="M734" s="1">
        <v>45967</v>
      </c>
      <c r="N734" s="2">
        <v>70.959999999999994</v>
      </c>
      <c r="O734">
        <f t="shared" si="34"/>
        <v>20</v>
      </c>
      <c r="P734" t="s">
        <v>214</v>
      </c>
      <c r="Q734" t="s">
        <v>1274</v>
      </c>
      <c r="R734" s="3">
        <v>0.1</v>
      </c>
      <c r="S734" s="2">
        <v>7.1</v>
      </c>
      <c r="T734" t="s">
        <v>1259</v>
      </c>
    </row>
    <row r="735" spans="1:20" x14ac:dyDescent="0.25">
      <c r="A735">
        <v>2021815679</v>
      </c>
      <c r="B735" t="s">
        <v>669</v>
      </c>
      <c r="C735" t="s">
        <v>482</v>
      </c>
      <c r="D735" t="str">
        <f t="shared" si="35"/>
        <v>MICHAEL HILLMAN</v>
      </c>
      <c r="E735" t="s">
        <v>89</v>
      </c>
      <c r="F735" t="s">
        <v>96</v>
      </c>
      <c r="G735">
        <v>8307933</v>
      </c>
      <c r="H735" t="s">
        <v>112</v>
      </c>
      <c r="I735" t="s">
        <v>104</v>
      </c>
      <c r="J735" t="str">
        <f t="shared" si="33"/>
        <v>GREGORY TEIPEL</v>
      </c>
      <c r="K735" t="s">
        <v>57</v>
      </c>
      <c r="L735" s="1">
        <v>45357</v>
      </c>
      <c r="M735" s="1">
        <v>45967</v>
      </c>
      <c r="N735" s="2">
        <v>185.36</v>
      </c>
      <c r="O735">
        <f t="shared" si="34"/>
        <v>20</v>
      </c>
      <c r="P735" t="s">
        <v>214</v>
      </c>
      <c r="Q735" t="s">
        <v>1274</v>
      </c>
      <c r="R735" s="3">
        <v>0.1</v>
      </c>
      <c r="S735" s="2">
        <v>18.54</v>
      </c>
      <c r="T735" t="s">
        <v>1259</v>
      </c>
    </row>
    <row r="736" spans="1:20" x14ac:dyDescent="0.25">
      <c r="A736">
        <v>2021785654</v>
      </c>
      <c r="B736" t="s">
        <v>174</v>
      </c>
      <c r="C736" t="s">
        <v>562</v>
      </c>
      <c r="D736" t="str">
        <f t="shared" si="35"/>
        <v>DIANE MORRIS</v>
      </c>
      <c r="E736" t="s">
        <v>292</v>
      </c>
      <c r="F736" t="s">
        <v>293</v>
      </c>
      <c r="G736">
        <v>8307933</v>
      </c>
      <c r="H736" t="s">
        <v>112</v>
      </c>
      <c r="I736" t="s">
        <v>104</v>
      </c>
      <c r="J736" t="str">
        <f t="shared" si="33"/>
        <v>GREGORY TEIPEL</v>
      </c>
      <c r="K736" t="s">
        <v>57</v>
      </c>
      <c r="L736" s="1">
        <v>45357</v>
      </c>
      <c r="M736" s="1">
        <v>45967</v>
      </c>
      <c r="N736" s="2">
        <v>67</v>
      </c>
      <c r="O736">
        <f t="shared" si="34"/>
        <v>20</v>
      </c>
      <c r="P736" t="s">
        <v>214</v>
      </c>
      <c r="Q736" t="s">
        <v>1274</v>
      </c>
      <c r="R736" s="3">
        <v>0.15</v>
      </c>
      <c r="S736" s="2">
        <v>10.050000000000001</v>
      </c>
      <c r="T736" t="s">
        <v>293</v>
      </c>
    </row>
    <row r="737" spans="1:20" x14ac:dyDescent="0.25">
      <c r="A737">
        <v>2022025992</v>
      </c>
      <c r="B737" t="s">
        <v>806</v>
      </c>
      <c r="C737" t="s">
        <v>63</v>
      </c>
      <c r="D737" t="str">
        <f t="shared" si="35"/>
        <v>ANTHONY AUDINO</v>
      </c>
      <c r="E737" t="s">
        <v>292</v>
      </c>
      <c r="F737" t="s">
        <v>293</v>
      </c>
      <c r="G737">
        <v>8307933</v>
      </c>
      <c r="H737" t="s">
        <v>112</v>
      </c>
      <c r="I737" t="s">
        <v>104</v>
      </c>
      <c r="J737" t="str">
        <f t="shared" si="33"/>
        <v>GREGORY TEIPEL</v>
      </c>
      <c r="K737" t="s">
        <v>57</v>
      </c>
      <c r="L737" s="1">
        <v>45357</v>
      </c>
      <c r="M737" s="1">
        <v>45967</v>
      </c>
      <c r="N737" s="2">
        <v>28</v>
      </c>
      <c r="O737">
        <f t="shared" si="34"/>
        <v>20</v>
      </c>
      <c r="P737" t="s">
        <v>214</v>
      </c>
      <c r="Q737" t="s">
        <v>1274</v>
      </c>
      <c r="R737" s="3">
        <v>0.15</v>
      </c>
      <c r="S737" s="2">
        <v>4.2</v>
      </c>
      <c r="T737" t="s">
        <v>293</v>
      </c>
    </row>
    <row r="738" spans="1:20" x14ac:dyDescent="0.25">
      <c r="A738">
        <v>2021645073</v>
      </c>
      <c r="B738" t="s">
        <v>979</v>
      </c>
      <c r="C738" t="s">
        <v>562</v>
      </c>
      <c r="D738" t="str">
        <f t="shared" si="35"/>
        <v>DIANE DIDONATO</v>
      </c>
      <c r="E738" t="s">
        <v>243</v>
      </c>
      <c r="F738" t="s">
        <v>244</v>
      </c>
      <c r="G738" t="s">
        <v>1260</v>
      </c>
      <c r="H738" t="s">
        <v>237</v>
      </c>
      <c r="I738" t="s">
        <v>238</v>
      </c>
      <c r="J738" t="str">
        <f t="shared" si="33"/>
        <v>CAROL FOLEY</v>
      </c>
      <c r="K738" t="s">
        <v>57</v>
      </c>
      <c r="L738" s="1">
        <v>45356</v>
      </c>
      <c r="M738" s="1">
        <v>45966</v>
      </c>
      <c r="N738" s="2">
        <v>39.979999999999997</v>
      </c>
      <c r="O738">
        <f t="shared" si="34"/>
        <v>20</v>
      </c>
      <c r="P738" t="s">
        <v>214</v>
      </c>
      <c r="Q738" t="s">
        <v>1274</v>
      </c>
      <c r="R738" s="3">
        <v>0.06</v>
      </c>
      <c r="S738" s="2">
        <v>2.4</v>
      </c>
      <c r="T738" t="s">
        <v>244</v>
      </c>
    </row>
    <row r="739" spans="1:20" x14ac:dyDescent="0.25">
      <c r="A739">
        <v>2021802311</v>
      </c>
      <c r="B739" t="s">
        <v>668</v>
      </c>
      <c r="C739" t="s">
        <v>224</v>
      </c>
      <c r="D739" t="str">
        <f t="shared" si="35"/>
        <v>JAMES CAVE</v>
      </c>
      <c r="E739" t="s">
        <v>292</v>
      </c>
      <c r="F739" t="s">
        <v>295</v>
      </c>
      <c r="G739">
        <v>8307933</v>
      </c>
      <c r="H739" t="s">
        <v>112</v>
      </c>
      <c r="I739" t="s">
        <v>104</v>
      </c>
      <c r="J739" t="str">
        <f t="shared" si="33"/>
        <v>GREGORY TEIPEL</v>
      </c>
      <c r="K739" t="s">
        <v>57</v>
      </c>
      <c r="L739" s="1">
        <v>45357</v>
      </c>
      <c r="M739" s="1">
        <v>45967</v>
      </c>
      <c r="N739" s="2">
        <v>83.63</v>
      </c>
      <c r="O739">
        <f t="shared" si="34"/>
        <v>20</v>
      </c>
      <c r="P739" t="s">
        <v>214</v>
      </c>
      <c r="Q739" t="s">
        <v>1274</v>
      </c>
      <c r="R739" s="3">
        <v>0.1</v>
      </c>
      <c r="S739" s="2">
        <v>8.36</v>
      </c>
      <c r="T739" t="s">
        <v>295</v>
      </c>
    </row>
    <row r="740" spans="1:20" x14ac:dyDescent="0.25">
      <c r="A740">
        <v>2021875118</v>
      </c>
      <c r="B740" t="s">
        <v>804</v>
      </c>
      <c r="C740" t="s">
        <v>805</v>
      </c>
      <c r="D740" t="str">
        <f t="shared" si="35"/>
        <v>CLIFTON PALMER</v>
      </c>
      <c r="E740" t="s">
        <v>292</v>
      </c>
      <c r="F740" t="s">
        <v>295</v>
      </c>
      <c r="G740">
        <v>8307933</v>
      </c>
      <c r="H740" t="s">
        <v>112</v>
      </c>
      <c r="I740" t="s">
        <v>104</v>
      </c>
      <c r="J740" t="str">
        <f t="shared" si="33"/>
        <v>GREGORY TEIPEL</v>
      </c>
      <c r="K740" t="s">
        <v>57</v>
      </c>
      <c r="L740" s="1">
        <v>45357</v>
      </c>
      <c r="M740" s="1">
        <v>45967</v>
      </c>
      <c r="N740" s="2">
        <v>107.33</v>
      </c>
      <c r="O740">
        <f t="shared" si="34"/>
        <v>20</v>
      </c>
      <c r="P740" t="s">
        <v>214</v>
      </c>
      <c r="Q740" t="s">
        <v>1274</v>
      </c>
      <c r="R740" s="3">
        <v>0.1</v>
      </c>
      <c r="S740" s="2">
        <v>10.73</v>
      </c>
      <c r="T740" t="s">
        <v>295</v>
      </c>
    </row>
    <row r="741" spans="1:20" x14ac:dyDescent="0.25">
      <c r="A741">
        <v>2021391379</v>
      </c>
      <c r="B741" t="s">
        <v>663</v>
      </c>
      <c r="C741" t="s">
        <v>664</v>
      </c>
      <c r="D741" t="str">
        <f t="shared" si="35"/>
        <v>RONALD MORGAN</v>
      </c>
      <c r="E741" t="s">
        <v>292</v>
      </c>
      <c r="F741" t="s">
        <v>536</v>
      </c>
      <c r="G741">
        <v>8977234</v>
      </c>
      <c r="H741" t="s">
        <v>80</v>
      </c>
      <c r="I741" t="s">
        <v>81</v>
      </c>
      <c r="J741" t="str">
        <f t="shared" si="33"/>
        <v>RYAN CALTAGIRONE</v>
      </c>
      <c r="K741" t="s">
        <v>57</v>
      </c>
      <c r="L741" s="1">
        <v>45323</v>
      </c>
      <c r="M741" s="1">
        <v>45962</v>
      </c>
      <c r="N741" s="2">
        <v>85.53</v>
      </c>
      <c r="O741">
        <f t="shared" si="34"/>
        <v>21</v>
      </c>
      <c r="P741" t="s">
        <v>214</v>
      </c>
      <c r="Q741" t="s">
        <v>1274</v>
      </c>
      <c r="R741" s="3">
        <v>0.15</v>
      </c>
      <c r="S741" s="2">
        <v>12.83</v>
      </c>
      <c r="T741" t="s">
        <v>536</v>
      </c>
    </row>
    <row r="742" spans="1:20" x14ac:dyDescent="0.25">
      <c r="A742">
        <v>2022351125</v>
      </c>
      <c r="B742" t="s">
        <v>477</v>
      </c>
      <c r="C742" t="s">
        <v>478</v>
      </c>
      <c r="D742" t="str">
        <f t="shared" si="35"/>
        <v>MARIE LATTANZE</v>
      </c>
      <c r="E742" t="s">
        <v>467</v>
      </c>
      <c r="F742" t="s">
        <v>471</v>
      </c>
      <c r="G742">
        <v>18134413</v>
      </c>
      <c r="H742" t="s">
        <v>479</v>
      </c>
      <c r="I742" t="s">
        <v>480</v>
      </c>
      <c r="J742" t="str">
        <f t="shared" si="33"/>
        <v>LORI TUNSTALL</v>
      </c>
      <c r="K742" t="s">
        <v>57</v>
      </c>
      <c r="L742" s="1">
        <v>45383</v>
      </c>
      <c r="M742" s="1">
        <v>46023</v>
      </c>
      <c r="N742" s="2">
        <v>6.52</v>
      </c>
      <c r="O742">
        <f t="shared" si="34"/>
        <v>21</v>
      </c>
      <c r="P742" t="s">
        <v>214</v>
      </c>
      <c r="Q742" t="s">
        <v>1274</v>
      </c>
      <c r="R742" s="3">
        <v>0.04</v>
      </c>
      <c r="S742" s="2">
        <v>6.52</v>
      </c>
      <c r="T742" t="s">
        <v>1269</v>
      </c>
    </row>
    <row r="743" spans="1:20" x14ac:dyDescent="0.25">
      <c r="A743">
        <v>2021391380</v>
      </c>
      <c r="B743" t="s">
        <v>663</v>
      </c>
      <c r="C743" t="s">
        <v>664</v>
      </c>
      <c r="D743" t="str">
        <f t="shared" si="35"/>
        <v>RONALD MORGAN</v>
      </c>
      <c r="E743" t="s">
        <v>89</v>
      </c>
      <c r="F743" t="s">
        <v>90</v>
      </c>
      <c r="G743">
        <v>8977234</v>
      </c>
      <c r="H743" t="s">
        <v>80</v>
      </c>
      <c r="I743" t="s">
        <v>81</v>
      </c>
      <c r="J743" t="str">
        <f t="shared" si="33"/>
        <v>RYAN CALTAGIRONE</v>
      </c>
      <c r="K743" t="s">
        <v>57</v>
      </c>
      <c r="L743" s="1">
        <v>45323</v>
      </c>
      <c r="M743" s="1">
        <v>45962</v>
      </c>
      <c r="N743" s="2">
        <v>28.67</v>
      </c>
      <c r="O743">
        <f t="shared" si="34"/>
        <v>21</v>
      </c>
      <c r="P743" t="s">
        <v>214</v>
      </c>
      <c r="Q743" t="s">
        <v>1274</v>
      </c>
      <c r="R743" s="3">
        <v>0.1</v>
      </c>
      <c r="S743" s="2">
        <v>2.87</v>
      </c>
      <c r="T743" t="s">
        <v>1258</v>
      </c>
    </row>
    <row r="744" spans="1:20" x14ac:dyDescent="0.25">
      <c r="A744">
        <v>2021281141</v>
      </c>
      <c r="B744" t="s">
        <v>661</v>
      </c>
      <c r="C744" t="s">
        <v>662</v>
      </c>
      <c r="D744" t="str">
        <f t="shared" si="35"/>
        <v>ANGELIA JACKSON</v>
      </c>
      <c r="E744" t="s">
        <v>89</v>
      </c>
      <c r="F744" t="s">
        <v>96</v>
      </c>
      <c r="G744">
        <v>8307933</v>
      </c>
      <c r="H744" t="s">
        <v>112</v>
      </c>
      <c r="I744" t="s">
        <v>104</v>
      </c>
      <c r="J744" t="str">
        <f t="shared" si="33"/>
        <v>GREGORY TEIPEL</v>
      </c>
      <c r="K744" t="s">
        <v>57</v>
      </c>
      <c r="L744" s="1">
        <v>45323</v>
      </c>
      <c r="M744" s="1">
        <v>45962</v>
      </c>
      <c r="N744" s="2">
        <v>78.27</v>
      </c>
      <c r="O744">
        <f t="shared" si="34"/>
        <v>21</v>
      </c>
      <c r="P744" t="s">
        <v>214</v>
      </c>
      <c r="Q744" t="s">
        <v>1274</v>
      </c>
      <c r="R744" s="3">
        <v>0.1</v>
      </c>
      <c r="S744" s="2">
        <v>7.83</v>
      </c>
      <c r="T744" t="s">
        <v>1259</v>
      </c>
    </row>
    <row r="745" spans="1:20" x14ac:dyDescent="0.25">
      <c r="A745">
        <v>2021613758</v>
      </c>
      <c r="B745" t="s">
        <v>665</v>
      </c>
      <c r="C745" t="s">
        <v>627</v>
      </c>
      <c r="D745" t="str">
        <f t="shared" si="35"/>
        <v>LAURA QUINLAN</v>
      </c>
      <c r="E745" t="s">
        <v>89</v>
      </c>
      <c r="F745" t="s">
        <v>96</v>
      </c>
      <c r="G745">
        <v>8307933</v>
      </c>
      <c r="H745" t="s">
        <v>112</v>
      </c>
      <c r="I745" t="s">
        <v>104</v>
      </c>
      <c r="J745" t="str">
        <f t="shared" si="33"/>
        <v>GREGORY TEIPEL</v>
      </c>
      <c r="K745" t="s">
        <v>57</v>
      </c>
      <c r="L745" s="1">
        <v>45328</v>
      </c>
      <c r="M745" s="1">
        <v>45967</v>
      </c>
      <c r="N745" s="2">
        <v>175.46</v>
      </c>
      <c r="O745">
        <f t="shared" si="34"/>
        <v>21</v>
      </c>
      <c r="P745" t="s">
        <v>214</v>
      </c>
      <c r="Q745" t="s">
        <v>1274</v>
      </c>
      <c r="R745" s="3">
        <v>0.1</v>
      </c>
      <c r="S745" s="2">
        <v>17.55</v>
      </c>
      <c r="T745" t="s">
        <v>1259</v>
      </c>
    </row>
    <row r="746" spans="1:20" x14ac:dyDescent="0.25">
      <c r="A746">
        <v>2021646245</v>
      </c>
      <c r="B746" t="s">
        <v>962</v>
      </c>
      <c r="C746" t="s">
        <v>337</v>
      </c>
      <c r="D746" t="str">
        <f t="shared" si="35"/>
        <v>ROBERT COOK</v>
      </c>
      <c r="E746" t="s">
        <v>209</v>
      </c>
      <c r="F746" t="s">
        <v>225</v>
      </c>
      <c r="G746">
        <v>8977234</v>
      </c>
      <c r="H746" t="s">
        <v>80</v>
      </c>
      <c r="I746" t="s">
        <v>81</v>
      </c>
      <c r="J746" t="str">
        <f t="shared" si="33"/>
        <v>RYAN CALTAGIRONE</v>
      </c>
      <c r="K746" t="s">
        <v>57</v>
      </c>
      <c r="L746" s="1">
        <v>45329</v>
      </c>
      <c r="M746" s="1">
        <v>45968</v>
      </c>
      <c r="N746" s="2">
        <v>15</v>
      </c>
      <c r="O746">
        <f t="shared" si="34"/>
        <v>21</v>
      </c>
      <c r="P746" t="s">
        <v>214</v>
      </c>
      <c r="Q746" t="s">
        <v>1274</v>
      </c>
      <c r="R746" s="3">
        <v>0.28999999999999998</v>
      </c>
      <c r="S746" s="2">
        <v>4.3499999999999996</v>
      </c>
      <c r="T746" t="s">
        <v>1271</v>
      </c>
    </row>
    <row r="747" spans="1:20" x14ac:dyDescent="0.25">
      <c r="A747">
        <v>2021511833</v>
      </c>
      <c r="B747" t="s">
        <v>632</v>
      </c>
      <c r="C747" t="s">
        <v>633</v>
      </c>
      <c r="D747" t="str">
        <f t="shared" si="35"/>
        <v>DENI CARISE</v>
      </c>
      <c r="E747" t="s">
        <v>350</v>
      </c>
      <c r="F747" t="s">
        <v>351</v>
      </c>
      <c r="G747">
        <v>19278370</v>
      </c>
      <c r="H747" t="s">
        <v>75</v>
      </c>
      <c r="I747" t="s">
        <v>76</v>
      </c>
      <c r="J747" t="str">
        <f t="shared" si="33"/>
        <v>ANNE MARIE KOZACHECK</v>
      </c>
      <c r="K747" t="s">
        <v>57</v>
      </c>
      <c r="L747" s="1">
        <v>45323</v>
      </c>
      <c r="M747" s="1">
        <v>45962</v>
      </c>
      <c r="N747" s="2">
        <v>69.599999999999994</v>
      </c>
      <c r="O747">
        <f t="shared" si="34"/>
        <v>21</v>
      </c>
      <c r="P747" t="s">
        <v>214</v>
      </c>
      <c r="Q747" t="s">
        <v>1274</v>
      </c>
      <c r="R747" s="4">
        <v>5.2499999999999998E-2</v>
      </c>
      <c r="S747" s="2">
        <v>3.65</v>
      </c>
      <c r="T747" t="s">
        <v>351</v>
      </c>
    </row>
    <row r="748" spans="1:20" x14ac:dyDescent="0.25">
      <c r="A748">
        <v>2021194025</v>
      </c>
      <c r="B748" t="s">
        <v>596</v>
      </c>
      <c r="C748" t="s">
        <v>593</v>
      </c>
      <c r="D748" t="str">
        <f t="shared" si="35"/>
        <v>LISA HOFFMAN</v>
      </c>
      <c r="E748" t="s">
        <v>350</v>
      </c>
      <c r="F748" t="s">
        <v>351</v>
      </c>
      <c r="G748">
        <v>17528908</v>
      </c>
      <c r="H748" t="s">
        <v>352</v>
      </c>
      <c r="I748" t="s">
        <v>353</v>
      </c>
      <c r="J748" t="str">
        <f t="shared" si="33"/>
        <v>DEBORAH INSKIPT</v>
      </c>
      <c r="K748" t="s">
        <v>57</v>
      </c>
      <c r="L748" s="1">
        <v>45323</v>
      </c>
      <c r="M748" s="1">
        <v>45962</v>
      </c>
      <c r="N748" s="2">
        <v>43.59</v>
      </c>
      <c r="O748">
        <f t="shared" si="34"/>
        <v>21</v>
      </c>
      <c r="P748" t="s">
        <v>214</v>
      </c>
      <c r="Q748" t="s">
        <v>1274</v>
      </c>
      <c r="R748" s="4">
        <v>5.2499999999999998E-2</v>
      </c>
      <c r="S748" s="2">
        <v>2.29</v>
      </c>
      <c r="T748" t="s">
        <v>351</v>
      </c>
    </row>
    <row r="749" spans="1:20" x14ac:dyDescent="0.25">
      <c r="A749">
        <v>2021588618</v>
      </c>
      <c r="B749" t="s">
        <v>1126</v>
      </c>
      <c r="C749" t="s">
        <v>1127</v>
      </c>
      <c r="D749" t="str">
        <f t="shared" si="35"/>
        <v>JOAN KAUPINIS</v>
      </c>
      <c r="E749" t="s">
        <v>350</v>
      </c>
      <c r="F749" t="s">
        <v>351</v>
      </c>
      <c r="G749">
        <v>17528908</v>
      </c>
      <c r="H749" t="s">
        <v>352</v>
      </c>
      <c r="I749" t="s">
        <v>353</v>
      </c>
      <c r="J749" t="str">
        <f t="shared" si="33"/>
        <v>DEBORAH INSKIPT</v>
      </c>
      <c r="K749" t="s">
        <v>57</v>
      </c>
      <c r="L749" s="1">
        <v>45323</v>
      </c>
      <c r="M749" s="1">
        <v>45962</v>
      </c>
      <c r="N749" s="2">
        <v>45.54</v>
      </c>
      <c r="O749">
        <f t="shared" si="34"/>
        <v>21</v>
      </c>
      <c r="P749" t="s">
        <v>214</v>
      </c>
      <c r="Q749" t="s">
        <v>1274</v>
      </c>
      <c r="R749" s="4">
        <v>5.2499999999999998E-2</v>
      </c>
      <c r="S749" s="2">
        <v>2.39</v>
      </c>
      <c r="T749" t="s">
        <v>351</v>
      </c>
    </row>
    <row r="750" spans="1:20" x14ac:dyDescent="0.25">
      <c r="A750">
        <v>2021391381</v>
      </c>
      <c r="B750" t="s">
        <v>663</v>
      </c>
      <c r="C750" t="s">
        <v>664</v>
      </c>
      <c r="D750" t="str">
        <f t="shared" si="35"/>
        <v>RONALD MORGAN</v>
      </c>
      <c r="E750" t="s">
        <v>292</v>
      </c>
      <c r="F750" t="s">
        <v>293</v>
      </c>
      <c r="G750">
        <v>8977234</v>
      </c>
      <c r="H750" t="s">
        <v>80</v>
      </c>
      <c r="I750" t="s">
        <v>81</v>
      </c>
      <c r="J750" t="str">
        <f t="shared" si="33"/>
        <v>RYAN CALTAGIRONE</v>
      </c>
      <c r="K750" t="s">
        <v>57</v>
      </c>
      <c r="L750" s="1">
        <v>45323</v>
      </c>
      <c r="M750" s="1">
        <v>45962</v>
      </c>
      <c r="N750" s="2">
        <v>68.41</v>
      </c>
      <c r="O750">
        <f t="shared" si="34"/>
        <v>21</v>
      </c>
      <c r="P750" t="s">
        <v>214</v>
      </c>
      <c r="Q750" t="s">
        <v>1274</v>
      </c>
      <c r="R750" s="3">
        <v>0.15</v>
      </c>
      <c r="S750" s="2">
        <v>10.26</v>
      </c>
      <c r="T750" t="s">
        <v>293</v>
      </c>
    </row>
    <row r="751" spans="1:20" x14ac:dyDescent="0.25">
      <c r="A751">
        <v>2021391382</v>
      </c>
      <c r="B751" t="s">
        <v>663</v>
      </c>
      <c r="C751" t="s">
        <v>664</v>
      </c>
      <c r="D751" t="str">
        <f t="shared" si="35"/>
        <v>RONALD MORGAN</v>
      </c>
      <c r="E751" t="s">
        <v>243</v>
      </c>
      <c r="F751" t="s">
        <v>244</v>
      </c>
      <c r="G751">
        <v>8977234</v>
      </c>
      <c r="H751" t="s">
        <v>80</v>
      </c>
      <c r="I751" t="s">
        <v>81</v>
      </c>
      <c r="J751" t="str">
        <f t="shared" si="33"/>
        <v>RYAN CALTAGIRONE</v>
      </c>
      <c r="K751" t="s">
        <v>57</v>
      </c>
      <c r="L751" s="1">
        <v>45323</v>
      </c>
      <c r="M751" s="1">
        <v>45962</v>
      </c>
      <c r="N751" s="2">
        <v>78.12</v>
      </c>
      <c r="O751">
        <f t="shared" si="34"/>
        <v>21</v>
      </c>
      <c r="P751" t="s">
        <v>214</v>
      </c>
      <c r="Q751" t="s">
        <v>1274</v>
      </c>
      <c r="R751" s="3">
        <v>0.06</v>
      </c>
      <c r="S751" s="2">
        <v>4.6900000000000004</v>
      </c>
      <c r="T751" t="s">
        <v>244</v>
      </c>
    </row>
    <row r="752" spans="1:20" x14ac:dyDescent="0.25">
      <c r="A752">
        <v>2021166477</v>
      </c>
      <c r="B752" t="s">
        <v>638</v>
      </c>
      <c r="C752" t="s">
        <v>639</v>
      </c>
      <c r="D752" t="str">
        <f t="shared" si="35"/>
        <v>SYUNGYONG CHOI</v>
      </c>
      <c r="E752" t="s">
        <v>292</v>
      </c>
      <c r="F752" t="s">
        <v>536</v>
      </c>
      <c r="G752">
        <v>15278437</v>
      </c>
      <c r="H752" t="s">
        <v>211</v>
      </c>
      <c r="I752" t="s">
        <v>212</v>
      </c>
      <c r="J752" t="str">
        <f t="shared" si="33"/>
        <v>JASON HOFFMANN</v>
      </c>
      <c r="K752" t="s">
        <v>57</v>
      </c>
      <c r="L752" s="1">
        <v>45292</v>
      </c>
      <c r="M752" s="1">
        <v>45962</v>
      </c>
      <c r="N752" s="2">
        <v>25.73</v>
      </c>
      <c r="O752">
        <f t="shared" si="34"/>
        <v>22</v>
      </c>
      <c r="P752" t="s">
        <v>214</v>
      </c>
      <c r="Q752" t="s">
        <v>1274</v>
      </c>
      <c r="R752" s="3">
        <v>0.15</v>
      </c>
      <c r="S752" s="2">
        <v>3.86</v>
      </c>
      <c r="T752" t="s">
        <v>536</v>
      </c>
    </row>
    <row r="753" spans="1:20" x14ac:dyDescent="0.25">
      <c r="A753">
        <v>2021092886</v>
      </c>
      <c r="B753" t="s">
        <v>659</v>
      </c>
      <c r="C753" t="s">
        <v>660</v>
      </c>
      <c r="D753" t="str">
        <f t="shared" si="35"/>
        <v>LUCINDA PENA</v>
      </c>
      <c r="E753" t="s">
        <v>89</v>
      </c>
      <c r="F753" t="s">
        <v>96</v>
      </c>
      <c r="G753">
        <v>8307933</v>
      </c>
      <c r="H753" t="s">
        <v>112</v>
      </c>
      <c r="I753" t="s">
        <v>104</v>
      </c>
      <c r="J753" t="str">
        <f t="shared" si="33"/>
        <v>GREGORY TEIPEL</v>
      </c>
      <c r="K753" t="s">
        <v>57</v>
      </c>
      <c r="L753" s="1">
        <v>45295</v>
      </c>
      <c r="M753" s="1">
        <v>45965</v>
      </c>
      <c r="N753" s="2">
        <v>167.21</v>
      </c>
      <c r="O753">
        <f t="shared" si="34"/>
        <v>22</v>
      </c>
      <c r="P753" t="s">
        <v>214</v>
      </c>
      <c r="Q753" t="s">
        <v>1274</v>
      </c>
      <c r="R753" s="3">
        <v>0.1</v>
      </c>
      <c r="S753" s="2">
        <v>16.72</v>
      </c>
      <c r="T753" t="s">
        <v>1259</v>
      </c>
    </row>
    <row r="754" spans="1:20" x14ac:dyDescent="0.25">
      <c r="A754">
        <v>2021138605</v>
      </c>
      <c r="B754" t="s">
        <v>224</v>
      </c>
      <c r="C754" t="s">
        <v>627</v>
      </c>
      <c r="D754" t="str">
        <f t="shared" si="35"/>
        <v>LAURA JAMES</v>
      </c>
      <c r="E754" t="s">
        <v>350</v>
      </c>
      <c r="F754" t="s">
        <v>351</v>
      </c>
      <c r="G754">
        <v>19278370</v>
      </c>
      <c r="H754" t="s">
        <v>75</v>
      </c>
      <c r="I754" t="s">
        <v>76</v>
      </c>
      <c r="J754" t="str">
        <f t="shared" si="33"/>
        <v>ANNE MARIE KOZACHECK</v>
      </c>
      <c r="K754" t="s">
        <v>57</v>
      </c>
      <c r="L754" s="1">
        <v>45292</v>
      </c>
      <c r="M754" s="1">
        <v>45962</v>
      </c>
      <c r="N754" s="2">
        <v>50.6</v>
      </c>
      <c r="O754">
        <f t="shared" si="34"/>
        <v>22</v>
      </c>
      <c r="P754" t="s">
        <v>214</v>
      </c>
      <c r="Q754" t="s">
        <v>1274</v>
      </c>
      <c r="R754" s="4">
        <v>5.2499999999999998E-2</v>
      </c>
      <c r="S754" s="2">
        <v>2.66</v>
      </c>
      <c r="T754" t="s">
        <v>351</v>
      </c>
    </row>
    <row r="755" spans="1:20" x14ac:dyDescent="0.25">
      <c r="A755">
        <v>2021180346</v>
      </c>
      <c r="B755" t="s">
        <v>629</v>
      </c>
      <c r="C755" t="s">
        <v>630</v>
      </c>
      <c r="D755" t="str">
        <f t="shared" si="35"/>
        <v>LEONARD DIMIDIO</v>
      </c>
      <c r="E755" t="s">
        <v>350</v>
      </c>
      <c r="F755" t="s">
        <v>351</v>
      </c>
      <c r="G755">
        <v>19278370</v>
      </c>
      <c r="H755" t="s">
        <v>75</v>
      </c>
      <c r="I755" t="s">
        <v>76</v>
      </c>
      <c r="J755" t="str">
        <f t="shared" si="33"/>
        <v>ANNE MARIE KOZACHECK</v>
      </c>
      <c r="K755" t="s">
        <v>57</v>
      </c>
      <c r="L755" s="1">
        <v>45292</v>
      </c>
      <c r="M755" s="1">
        <v>45962</v>
      </c>
      <c r="N755" s="2">
        <v>104.08</v>
      </c>
      <c r="O755">
        <f t="shared" si="34"/>
        <v>22</v>
      </c>
      <c r="P755" t="s">
        <v>214</v>
      </c>
      <c r="Q755" t="s">
        <v>1274</v>
      </c>
      <c r="R755" s="4">
        <v>5.2499999999999998E-2</v>
      </c>
      <c r="S755" s="2">
        <v>5.46</v>
      </c>
      <c r="T755" t="s">
        <v>351</v>
      </c>
    </row>
    <row r="756" spans="1:20" x14ac:dyDescent="0.25">
      <c r="A756">
        <v>2020966338</v>
      </c>
      <c r="B756" t="s">
        <v>620</v>
      </c>
      <c r="C756" t="s">
        <v>482</v>
      </c>
      <c r="D756" t="str">
        <f t="shared" si="35"/>
        <v>MICHAEL YOCHUM</v>
      </c>
      <c r="E756" t="s">
        <v>350</v>
      </c>
      <c r="F756" t="s">
        <v>351</v>
      </c>
      <c r="G756">
        <v>17528908</v>
      </c>
      <c r="H756" t="s">
        <v>352</v>
      </c>
      <c r="I756" t="s">
        <v>353</v>
      </c>
      <c r="J756" t="str">
        <f t="shared" si="33"/>
        <v>DEBORAH INSKIPT</v>
      </c>
      <c r="K756" t="s">
        <v>57</v>
      </c>
      <c r="L756" s="1">
        <v>45292</v>
      </c>
      <c r="M756" s="1">
        <v>45962</v>
      </c>
      <c r="N756" s="2">
        <v>48.22</v>
      </c>
      <c r="O756">
        <f t="shared" si="34"/>
        <v>22</v>
      </c>
      <c r="P756" t="s">
        <v>214</v>
      </c>
      <c r="Q756" t="s">
        <v>1274</v>
      </c>
      <c r="R756" s="4">
        <v>5.2499999999999998E-2</v>
      </c>
      <c r="S756" s="2">
        <v>2.5299999999999998</v>
      </c>
      <c r="T756" t="s">
        <v>351</v>
      </c>
    </row>
    <row r="757" spans="1:20" x14ac:dyDescent="0.25">
      <c r="A757">
        <v>2021160584</v>
      </c>
      <c r="B757" t="s">
        <v>628</v>
      </c>
      <c r="C757" t="s">
        <v>569</v>
      </c>
      <c r="D757" t="str">
        <f t="shared" si="35"/>
        <v>KIMBERLY WHIGHAM</v>
      </c>
      <c r="E757" t="s">
        <v>350</v>
      </c>
      <c r="F757" t="s">
        <v>351</v>
      </c>
      <c r="G757">
        <v>17528908</v>
      </c>
      <c r="H757" t="s">
        <v>352</v>
      </c>
      <c r="I757" t="s">
        <v>353</v>
      </c>
      <c r="J757" t="str">
        <f t="shared" si="33"/>
        <v>DEBORAH INSKIPT</v>
      </c>
      <c r="K757" t="s">
        <v>57</v>
      </c>
      <c r="L757" s="1">
        <v>45292</v>
      </c>
      <c r="M757" s="1">
        <v>45962</v>
      </c>
      <c r="N757" s="2">
        <v>33.590000000000003</v>
      </c>
      <c r="O757">
        <f t="shared" si="34"/>
        <v>22</v>
      </c>
      <c r="P757" t="s">
        <v>214</v>
      </c>
      <c r="Q757" t="s">
        <v>1274</v>
      </c>
      <c r="R757" s="4">
        <v>5.2499999999999998E-2</v>
      </c>
      <c r="S757" s="2">
        <v>1.76</v>
      </c>
      <c r="T757" t="s">
        <v>351</v>
      </c>
    </row>
    <row r="758" spans="1:20" x14ac:dyDescent="0.25">
      <c r="A758">
        <v>2020599250</v>
      </c>
      <c r="B758" t="s">
        <v>605</v>
      </c>
      <c r="C758" t="s">
        <v>606</v>
      </c>
      <c r="D758" t="str">
        <f t="shared" si="35"/>
        <v>LESLIE BRIGHTBILL</v>
      </c>
      <c r="E758" t="s">
        <v>350</v>
      </c>
      <c r="F758" t="s">
        <v>351</v>
      </c>
      <c r="G758">
        <v>15278437</v>
      </c>
      <c r="H758" t="s">
        <v>211</v>
      </c>
      <c r="I758" t="s">
        <v>212</v>
      </c>
      <c r="J758" t="str">
        <f t="shared" si="33"/>
        <v>JASON HOFFMANN</v>
      </c>
      <c r="K758" t="s">
        <v>57</v>
      </c>
      <c r="L758" s="1">
        <v>45292</v>
      </c>
      <c r="M758" s="1">
        <v>45962</v>
      </c>
      <c r="N758" s="2">
        <v>45.54</v>
      </c>
      <c r="O758">
        <f t="shared" si="34"/>
        <v>22</v>
      </c>
      <c r="P758" t="s">
        <v>214</v>
      </c>
      <c r="Q758" t="s">
        <v>1274</v>
      </c>
      <c r="R758" s="4">
        <v>5.2499999999999998E-2</v>
      </c>
      <c r="S758" s="2">
        <v>2.39</v>
      </c>
      <c r="T758" t="s">
        <v>351</v>
      </c>
    </row>
    <row r="759" spans="1:20" x14ac:dyDescent="0.25">
      <c r="A759">
        <v>2020919882</v>
      </c>
      <c r="B759" t="s">
        <v>618</v>
      </c>
      <c r="C759" t="s">
        <v>619</v>
      </c>
      <c r="D759" t="str">
        <f t="shared" si="35"/>
        <v>EVONNE SNYDER</v>
      </c>
      <c r="E759" t="s">
        <v>350</v>
      </c>
      <c r="F759" t="s">
        <v>351</v>
      </c>
      <c r="G759">
        <v>15278437</v>
      </c>
      <c r="H759" t="s">
        <v>211</v>
      </c>
      <c r="I759" t="s">
        <v>212</v>
      </c>
      <c r="J759" t="str">
        <f t="shared" si="33"/>
        <v>JASON HOFFMANN</v>
      </c>
      <c r="K759" t="s">
        <v>57</v>
      </c>
      <c r="L759" s="1">
        <v>45292</v>
      </c>
      <c r="M759" s="1">
        <v>45962</v>
      </c>
      <c r="N759" s="2">
        <v>83.35</v>
      </c>
      <c r="O759">
        <f t="shared" si="34"/>
        <v>22</v>
      </c>
      <c r="P759" t="s">
        <v>214</v>
      </c>
      <c r="Q759" t="s">
        <v>1274</v>
      </c>
      <c r="R759" s="4">
        <v>5.2499999999999998E-2</v>
      </c>
      <c r="S759" s="2">
        <v>4.38</v>
      </c>
      <c r="T759" t="s">
        <v>351</v>
      </c>
    </row>
    <row r="760" spans="1:20" x14ac:dyDescent="0.25">
      <c r="A760">
        <v>2020974703</v>
      </c>
      <c r="B760" t="s">
        <v>621</v>
      </c>
      <c r="C760" t="s">
        <v>622</v>
      </c>
      <c r="D760" t="str">
        <f t="shared" si="35"/>
        <v>REGINA VILLANO</v>
      </c>
      <c r="E760" t="s">
        <v>350</v>
      </c>
      <c r="F760" t="s">
        <v>351</v>
      </c>
      <c r="G760">
        <v>15278437</v>
      </c>
      <c r="H760" t="s">
        <v>211</v>
      </c>
      <c r="I760" t="s">
        <v>212</v>
      </c>
      <c r="J760" t="str">
        <f t="shared" si="33"/>
        <v>JASON HOFFMANN</v>
      </c>
      <c r="K760" t="s">
        <v>57</v>
      </c>
      <c r="L760" s="1">
        <v>45292</v>
      </c>
      <c r="M760" s="1">
        <v>45962</v>
      </c>
      <c r="N760" s="2">
        <v>40.99</v>
      </c>
      <c r="O760">
        <f t="shared" si="34"/>
        <v>22</v>
      </c>
      <c r="P760" t="s">
        <v>214</v>
      </c>
      <c r="Q760" t="s">
        <v>1274</v>
      </c>
      <c r="R760" s="4">
        <v>5.2499999999999998E-2</v>
      </c>
      <c r="S760" s="2">
        <v>2.15</v>
      </c>
      <c r="T760" t="s">
        <v>351</v>
      </c>
    </row>
    <row r="761" spans="1:20" x14ac:dyDescent="0.25">
      <c r="A761">
        <v>2021089952</v>
      </c>
      <c r="B761" t="s">
        <v>625</v>
      </c>
      <c r="C761" t="s">
        <v>626</v>
      </c>
      <c r="D761" t="str">
        <f t="shared" si="35"/>
        <v>JACQUELINE TRAINOR</v>
      </c>
      <c r="E761" t="s">
        <v>350</v>
      </c>
      <c r="F761" t="s">
        <v>351</v>
      </c>
      <c r="G761">
        <v>15278437</v>
      </c>
      <c r="H761" t="s">
        <v>211</v>
      </c>
      <c r="I761" t="s">
        <v>212</v>
      </c>
      <c r="J761" t="str">
        <f t="shared" si="33"/>
        <v>JASON HOFFMANN</v>
      </c>
      <c r="K761" t="s">
        <v>57</v>
      </c>
      <c r="L761" s="1">
        <v>45292</v>
      </c>
      <c r="M761" s="1">
        <v>45962</v>
      </c>
      <c r="N761" s="2">
        <v>78.83</v>
      </c>
      <c r="O761">
        <f t="shared" si="34"/>
        <v>22</v>
      </c>
      <c r="P761" t="s">
        <v>214</v>
      </c>
      <c r="Q761" t="s">
        <v>1274</v>
      </c>
      <c r="R761" s="4">
        <v>5.2499999999999998E-2</v>
      </c>
      <c r="S761" s="2">
        <v>4.1399999999999997</v>
      </c>
      <c r="T761" t="s">
        <v>351</v>
      </c>
    </row>
    <row r="762" spans="1:20" x14ac:dyDescent="0.25">
      <c r="A762">
        <v>2021206448</v>
      </c>
      <c r="B762" t="s">
        <v>631</v>
      </c>
      <c r="C762" t="s">
        <v>507</v>
      </c>
      <c r="D762" t="str">
        <f t="shared" si="35"/>
        <v>DEBRA SUMMERS</v>
      </c>
      <c r="E762" t="s">
        <v>350</v>
      </c>
      <c r="F762" t="s">
        <v>351</v>
      </c>
      <c r="G762">
        <v>15278437</v>
      </c>
      <c r="H762" t="s">
        <v>211</v>
      </c>
      <c r="I762" t="s">
        <v>212</v>
      </c>
      <c r="J762" t="str">
        <f t="shared" si="33"/>
        <v>JASON HOFFMANN</v>
      </c>
      <c r="K762" t="s">
        <v>57</v>
      </c>
      <c r="L762" s="1">
        <v>45292</v>
      </c>
      <c r="M762" s="1">
        <v>45962</v>
      </c>
      <c r="N762" s="2">
        <v>104.08</v>
      </c>
      <c r="O762">
        <f t="shared" si="34"/>
        <v>22</v>
      </c>
      <c r="P762" t="s">
        <v>214</v>
      </c>
      <c r="Q762" t="s">
        <v>1274</v>
      </c>
      <c r="R762" s="4">
        <v>5.2499999999999998E-2</v>
      </c>
      <c r="S762" s="2">
        <v>5.46</v>
      </c>
      <c r="T762" t="s">
        <v>351</v>
      </c>
    </row>
    <row r="763" spans="1:20" x14ac:dyDescent="0.25">
      <c r="A763">
        <v>2020623230</v>
      </c>
      <c r="B763" t="s">
        <v>607</v>
      </c>
      <c r="C763" t="s">
        <v>608</v>
      </c>
      <c r="D763" t="str">
        <f t="shared" si="35"/>
        <v>CHARLES WOLF</v>
      </c>
      <c r="E763" t="s">
        <v>350</v>
      </c>
      <c r="F763" t="s">
        <v>351</v>
      </c>
      <c r="G763">
        <v>19562245</v>
      </c>
      <c r="H763" t="s">
        <v>576</v>
      </c>
      <c r="I763" t="s">
        <v>139</v>
      </c>
      <c r="J763" t="str">
        <f t="shared" si="33"/>
        <v>KELLY CARRYER</v>
      </c>
      <c r="K763" t="s">
        <v>57</v>
      </c>
      <c r="L763" s="1">
        <v>45292</v>
      </c>
      <c r="M763" s="1">
        <v>45962</v>
      </c>
      <c r="N763" s="2">
        <v>43.59</v>
      </c>
      <c r="O763">
        <f t="shared" si="34"/>
        <v>22</v>
      </c>
      <c r="P763" t="s">
        <v>214</v>
      </c>
      <c r="Q763" t="s">
        <v>1274</v>
      </c>
      <c r="R763" s="4">
        <v>5.2499999999999998E-2</v>
      </c>
      <c r="S763" s="2">
        <v>2.29</v>
      </c>
      <c r="T763" t="s">
        <v>351</v>
      </c>
    </row>
    <row r="764" spans="1:20" x14ac:dyDescent="0.25">
      <c r="A764">
        <v>2020799011</v>
      </c>
      <c r="B764" t="s">
        <v>613</v>
      </c>
      <c r="C764" t="s">
        <v>486</v>
      </c>
      <c r="D764" t="str">
        <f t="shared" si="35"/>
        <v>DONNA BATTAGLIA</v>
      </c>
      <c r="E764" t="s">
        <v>350</v>
      </c>
      <c r="F764" t="s">
        <v>351</v>
      </c>
      <c r="G764">
        <v>19562245</v>
      </c>
      <c r="H764" t="s">
        <v>576</v>
      </c>
      <c r="I764" t="s">
        <v>139</v>
      </c>
      <c r="J764" t="str">
        <f t="shared" si="33"/>
        <v>KELLY CARRYER</v>
      </c>
      <c r="K764" t="s">
        <v>57</v>
      </c>
      <c r="L764" s="1">
        <v>45292</v>
      </c>
      <c r="M764" s="1">
        <v>45962</v>
      </c>
      <c r="N764" s="2">
        <v>104.08</v>
      </c>
      <c r="O764">
        <f t="shared" si="34"/>
        <v>22</v>
      </c>
      <c r="P764" t="s">
        <v>214</v>
      </c>
      <c r="Q764" t="s">
        <v>1274</v>
      </c>
      <c r="R764" s="4">
        <v>5.2499999999999998E-2</v>
      </c>
      <c r="S764" s="2">
        <v>5.46</v>
      </c>
      <c r="T764" t="s">
        <v>351</v>
      </c>
    </row>
    <row r="765" spans="1:20" x14ac:dyDescent="0.25">
      <c r="A765">
        <v>2020783044</v>
      </c>
      <c r="B765" t="s">
        <v>474</v>
      </c>
      <c r="C765" t="s">
        <v>276</v>
      </c>
      <c r="D765" t="str">
        <f t="shared" si="35"/>
        <v>JULIE MOUNT</v>
      </c>
      <c r="E765" t="s">
        <v>467</v>
      </c>
      <c r="F765" t="s">
        <v>471</v>
      </c>
      <c r="G765" t="s">
        <v>1260</v>
      </c>
      <c r="H765" t="s">
        <v>237</v>
      </c>
      <c r="I765" t="s">
        <v>238</v>
      </c>
      <c r="J765" t="str">
        <f t="shared" si="33"/>
        <v>CAROL FOLEY</v>
      </c>
      <c r="K765" t="s">
        <v>57</v>
      </c>
      <c r="L765" s="1">
        <v>45292</v>
      </c>
      <c r="M765" s="1">
        <v>45962</v>
      </c>
      <c r="N765" s="2">
        <v>128.22999999999999</v>
      </c>
      <c r="O765">
        <f t="shared" si="34"/>
        <v>22</v>
      </c>
      <c r="P765" t="s">
        <v>214</v>
      </c>
      <c r="Q765" t="s">
        <v>1274</v>
      </c>
      <c r="R765" s="3">
        <v>0.26</v>
      </c>
      <c r="S765" s="2">
        <v>33.340000000000003</v>
      </c>
      <c r="T765" t="s">
        <v>1266</v>
      </c>
    </row>
    <row r="766" spans="1:20" x14ac:dyDescent="0.25">
      <c r="A766">
        <v>2020851074</v>
      </c>
      <c r="B766" t="s">
        <v>475</v>
      </c>
      <c r="C766" t="s">
        <v>476</v>
      </c>
      <c r="D766" t="str">
        <f t="shared" si="35"/>
        <v>GARY LISIVICK</v>
      </c>
      <c r="E766" t="s">
        <v>467</v>
      </c>
      <c r="F766" t="s">
        <v>471</v>
      </c>
      <c r="G766">
        <v>17528908</v>
      </c>
      <c r="H766" t="s">
        <v>352</v>
      </c>
      <c r="I766" t="s">
        <v>353</v>
      </c>
      <c r="J766" t="str">
        <f t="shared" si="33"/>
        <v>DEBORAH INSKIPT</v>
      </c>
      <c r="K766" t="s">
        <v>57</v>
      </c>
      <c r="L766" s="1">
        <v>45292</v>
      </c>
      <c r="M766" s="1">
        <v>45962</v>
      </c>
      <c r="N766" s="2">
        <v>124.29</v>
      </c>
      <c r="O766">
        <f t="shared" si="34"/>
        <v>22</v>
      </c>
      <c r="P766" t="s">
        <v>214</v>
      </c>
      <c r="Q766" t="s">
        <v>1274</v>
      </c>
      <c r="R766" s="3">
        <v>0.26</v>
      </c>
      <c r="S766" s="2">
        <v>32.32</v>
      </c>
      <c r="T766" t="s">
        <v>1266</v>
      </c>
    </row>
    <row r="767" spans="1:20" x14ac:dyDescent="0.25">
      <c r="A767">
        <v>2021350310</v>
      </c>
      <c r="B767" t="s">
        <v>977</v>
      </c>
      <c r="C767" t="s">
        <v>978</v>
      </c>
      <c r="D767" t="str">
        <f t="shared" si="35"/>
        <v>ANTONIO MASSIMINO</v>
      </c>
      <c r="E767" t="s">
        <v>243</v>
      </c>
      <c r="F767" t="s">
        <v>244</v>
      </c>
      <c r="G767">
        <v>19562245</v>
      </c>
      <c r="H767" t="s">
        <v>576</v>
      </c>
      <c r="I767" t="s">
        <v>139</v>
      </c>
      <c r="J767" t="str">
        <f t="shared" si="33"/>
        <v>KELLY CARRYER</v>
      </c>
      <c r="K767" t="s">
        <v>57</v>
      </c>
      <c r="L767" s="1">
        <v>45301</v>
      </c>
      <c r="M767" s="1">
        <v>45971</v>
      </c>
      <c r="N767" s="2">
        <v>49.98</v>
      </c>
      <c r="O767">
        <f t="shared" si="34"/>
        <v>22</v>
      </c>
      <c r="P767" t="s">
        <v>214</v>
      </c>
      <c r="Q767" t="s">
        <v>1274</v>
      </c>
      <c r="R767" s="3">
        <v>0.06</v>
      </c>
      <c r="S767" s="2">
        <v>3</v>
      </c>
      <c r="T767" t="s">
        <v>244</v>
      </c>
    </row>
    <row r="768" spans="1:20" x14ac:dyDescent="0.25">
      <c r="A768">
        <v>2020953073</v>
      </c>
      <c r="B768" t="s">
        <v>976</v>
      </c>
      <c r="C768" t="s">
        <v>740</v>
      </c>
      <c r="D768" t="str">
        <f t="shared" si="35"/>
        <v>MARY D'ORSANEO</v>
      </c>
      <c r="E768" t="s">
        <v>243</v>
      </c>
      <c r="F768" t="s">
        <v>244</v>
      </c>
      <c r="G768">
        <v>8977234</v>
      </c>
      <c r="H768" t="s">
        <v>80</v>
      </c>
      <c r="I768" t="s">
        <v>81</v>
      </c>
      <c r="J768" t="str">
        <f t="shared" si="33"/>
        <v>RYAN CALTAGIRONE</v>
      </c>
      <c r="K768" t="s">
        <v>57</v>
      </c>
      <c r="L768" s="1">
        <v>45292</v>
      </c>
      <c r="M768" s="1">
        <v>45962</v>
      </c>
      <c r="N768" s="2">
        <v>85.6</v>
      </c>
      <c r="O768">
        <f t="shared" si="34"/>
        <v>22</v>
      </c>
      <c r="P768" t="s">
        <v>214</v>
      </c>
      <c r="Q768" t="s">
        <v>1274</v>
      </c>
      <c r="R768" s="3">
        <v>0.06</v>
      </c>
      <c r="S768" s="2">
        <v>5.14</v>
      </c>
      <c r="T768" t="s">
        <v>244</v>
      </c>
    </row>
    <row r="769" spans="1:20" x14ac:dyDescent="0.25">
      <c r="A769">
        <v>2021092887</v>
      </c>
      <c r="B769" t="s">
        <v>659</v>
      </c>
      <c r="C769" t="s">
        <v>660</v>
      </c>
      <c r="D769" t="str">
        <f t="shared" si="35"/>
        <v>LUCINDA PENA</v>
      </c>
      <c r="E769" t="s">
        <v>292</v>
      </c>
      <c r="F769" t="s">
        <v>295</v>
      </c>
      <c r="G769">
        <v>8307933</v>
      </c>
      <c r="H769" t="s">
        <v>112</v>
      </c>
      <c r="I769" t="s">
        <v>104</v>
      </c>
      <c r="J769" t="str">
        <f t="shared" si="33"/>
        <v>GREGORY TEIPEL</v>
      </c>
      <c r="K769" t="s">
        <v>57</v>
      </c>
      <c r="L769" s="1">
        <v>45295</v>
      </c>
      <c r="M769" s="1">
        <v>45965</v>
      </c>
      <c r="N769" s="2">
        <v>32.58</v>
      </c>
      <c r="O769">
        <f t="shared" si="34"/>
        <v>22</v>
      </c>
      <c r="P769" t="s">
        <v>214</v>
      </c>
      <c r="Q769" t="s">
        <v>1274</v>
      </c>
      <c r="R769" s="3">
        <v>0.1</v>
      </c>
      <c r="S769" s="2">
        <v>3.26</v>
      </c>
      <c r="T769" t="s">
        <v>295</v>
      </c>
    </row>
    <row r="770" spans="1:20" x14ac:dyDescent="0.25">
      <c r="A770">
        <v>2020974702</v>
      </c>
      <c r="B770" t="s">
        <v>621</v>
      </c>
      <c r="C770" t="s">
        <v>622</v>
      </c>
      <c r="D770" t="str">
        <f t="shared" si="35"/>
        <v>REGINA VILLANO</v>
      </c>
      <c r="E770" t="s">
        <v>53</v>
      </c>
      <c r="F770" t="s">
        <v>65</v>
      </c>
      <c r="G770">
        <v>15278437</v>
      </c>
      <c r="H770" t="s">
        <v>211</v>
      </c>
      <c r="I770" t="s">
        <v>212</v>
      </c>
      <c r="J770" t="str">
        <f t="shared" ref="J770:J833" si="36">CONCATENATE(I770, " ",H770)</f>
        <v>JASON HOFFMANN</v>
      </c>
      <c r="K770" t="s">
        <v>57</v>
      </c>
      <c r="L770" s="1">
        <v>45292</v>
      </c>
      <c r="M770" s="1">
        <v>45962</v>
      </c>
      <c r="N770" s="2">
        <v>52.69</v>
      </c>
      <c r="O770">
        <f t="shared" ref="O770:O833" si="37">DATEDIF(L770,M770,"M")</f>
        <v>22</v>
      </c>
      <c r="P770" t="s">
        <v>214</v>
      </c>
      <c r="Q770" t="s">
        <v>1274</v>
      </c>
      <c r="R770" s="4">
        <v>6.5000000000000002E-2</v>
      </c>
      <c r="S770" s="2">
        <v>3.42</v>
      </c>
      <c r="T770" t="s">
        <v>65</v>
      </c>
    </row>
    <row r="771" spans="1:20" x14ac:dyDescent="0.25">
      <c r="A771">
        <v>2021166476</v>
      </c>
      <c r="B771" t="s">
        <v>638</v>
      </c>
      <c r="C771" t="s">
        <v>639</v>
      </c>
      <c r="D771" t="str">
        <f t="shared" ref="D771:D834" si="38">CONCATENATE(C771, " ",B771)</f>
        <v>SYUNGYONG CHOI</v>
      </c>
      <c r="E771" t="s">
        <v>53</v>
      </c>
      <c r="F771" t="s">
        <v>65</v>
      </c>
      <c r="G771">
        <v>15278437</v>
      </c>
      <c r="H771" t="s">
        <v>211</v>
      </c>
      <c r="I771" t="s">
        <v>212</v>
      </c>
      <c r="J771" t="str">
        <f t="shared" si="36"/>
        <v>JASON HOFFMANN</v>
      </c>
      <c r="K771" t="s">
        <v>57</v>
      </c>
      <c r="L771" s="1">
        <v>45292</v>
      </c>
      <c r="M771" s="1">
        <v>45962</v>
      </c>
      <c r="N771" s="2">
        <v>52.69</v>
      </c>
      <c r="O771">
        <f t="shared" si="37"/>
        <v>22</v>
      </c>
      <c r="P771" t="s">
        <v>214</v>
      </c>
      <c r="Q771" t="s">
        <v>1274</v>
      </c>
      <c r="R771" s="4">
        <v>6.5000000000000002E-2</v>
      </c>
      <c r="S771" s="2">
        <v>3.42</v>
      </c>
      <c r="T771" t="s">
        <v>65</v>
      </c>
    </row>
    <row r="772" spans="1:20" x14ac:dyDescent="0.25">
      <c r="A772">
        <v>2020736331</v>
      </c>
      <c r="B772" t="s">
        <v>611</v>
      </c>
      <c r="C772" t="s">
        <v>612</v>
      </c>
      <c r="D772" t="str">
        <f t="shared" si="38"/>
        <v>JACK SCAVICCHIO</v>
      </c>
      <c r="E772" t="s">
        <v>292</v>
      </c>
      <c r="F772" t="s">
        <v>536</v>
      </c>
      <c r="G772">
        <v>15278437</v>
      </c>
      <c r="H772" t="s">
        <v>211</v>
      </c>
      <c r="I772" t="s">
        <v>212</v>
      </c>
      <c r="J772" t="str">
        <f t="shared" si="36"/>
        <v>JASON HOFFMANN</v>
      </c>
      <c r="K772" t="s">
        <v>57</v>
      </c>
      <c r="L772" s="1">
        <v>45261</v>
      </c>
      <c r="M772" s="1">
        <v>45962</v>
      </c>
      <c r="N772" s="2">
        <v>25.73</v>
      </c>
      <c r="O772">
        <f t="shared" si="37"/>
        <v>23</v>
      </c>
      <c r="P772" t="s">
        <v>214</v>
      </c>
      <c r="Q772" t="s">
        <v>1274</v>
      </c>
      <c r="R772" s="3">
        <v>0.15</v>
      </c>
      <c r="S772" s="2">
        <v>3.86</v>
      </c>
      <c r="T772" t="s">
        <v>536</v>
      </c>
    </row>
    <row r="773" spans="1:20" x14ac:dyDescent="0.25">
      <c r="A773">
        <v>2020855629</v>
      </c>
      <c r="B773" t="s">
        <v>657</v>
      </c>
      <c r="C773" t="s">
        <v>658</v>
      </c>
      <c r="D773" t="str">
        <f t="shared" si="38"/>
        <v>AMBER DEALESSANDRO</v>
      </c>
      <c r="E773" t="s">
        <v>89</v>
      </c>
      <c r="F773" t="s">
        <v>111</v>
      </c>
      <c r="G773">
        <v>8307933</v>
      </c>
      <c r="H773" t="s">
        <v>112</v>
      </c>
      <c r="I773" t="s">
        <v>104</v>
      </c>
      <c r="J773" t="str">
        <f t="shared" si="36"/>
        <v>GREGORY TEIPEL</v>
      </c>
      <c r="K773" t="s">
        <v>57</v>
      </c>
      <c r="L773" s="1">
        <v>45265</v>
      </c>
      <c r="M773" s="1">
        <v>45966</v>
      </c>
      <c r="N773" s="2">
        <v>64.599999999999994</v>
      </c>
      <c r="O773">
        <f t="shared" si="37"/>
        <v>23</v>
      </c>
      <c r="P773" t="s">
        <v>214</v>
      </c>
      <c r="Q773" t="s">
        <v>1274</v>
      </c>
      <c r="R773" s="3">
        <v>0.1</v>
      </c>
      <c r="S773" s="2">
        <v>6.46</v>
      </c>
      <c r="T773" t="s">
        <v>1257</v>
      </c>
    </row>
    <row r="774" spans="1:20" x14ac:dyDescent="0.25">
      <c r="A774">
        <v>2020801924</v>
      </c>
      <c r="B774" t="s">
        <v>614</v>
      </c>
      <c r="C774" t="s">
        <v>615</v>
      </c>
      <c r="D774" t="str">
        <f t="shared" si="38"/>
        <v>AVITAL MENTEL</v>
      </c>
      <c r="E774" t="s">
        <v>350</v>
      </c>
      <c r="F774" t="s">
        <v>351</v>
      </c>
      <c r="G774">
        <v>19278370</v>
      </c>
      <c r="H774" t="s">
        <v>75</v>
      </c>
      <c r="I774" t="s">
        <v>76</v>
      </c>
      <c r="J774" t="str">
        <f t="shared" si="36"/>
        <v>ANNE MARIE KOZACHECK</v>
      </c>
      <c r="K774" t="s">
        <v>57</v>
      </c>
      <c r="L774" s="1">
        <v>45261</v>
      </c>
      <c r="M774" s="1">
        <v>45962</v>
      </c>
      <c r="N774" s="2">
        <v>122.9</v>
      </c>
      <c r="O774">
        <f t="shared" si="37"/>
        <v>23</v>
      </c>
      <c r="P774" t="s">
        <v>214</v>
      </c>
      <c r="Q774" t="s">
        <v>1274</v>
      </c>
      <c r="R774" s="4">
        <v>5.2499999999999998E-2</v>
      </c>
      <c r="S774" s="2">
        <v>6.45</v>
      </c>
      <c r="T774" t="s">
        <v>351</v>
      </c>
    </row>
    <row r="775" spans="1:20" x14ac:dyDescent="0.25">
      <c r="A775">
        <v>2020977489</v>
      </c>
      <c r="B775" t="s">
        <v>623</v>
      </c>
      <c r="C775" t="s">
        <v>624</v>
      </c>
      <c r="D775" t="str">
        <f t="shared" si="38"/>
        <v>PETER FOSTER</v>
      </c>
      <c r="E775" t="s">
        <v>350</v>
      </c>
      <c r="F775" t="s">
        <v>351</v>
      </c>
      <c r="G775">
        <v>19278370</v>
      </c>
      <c r="H775" t="s">
        <v>75</v>
      </c>
      <c r="I775" t="s">
        <v>76</v>
      </c>
      <c r="J775" t="str">
        <f t="shared" si="36"/>
        <v>ANNE MARIE KOZACHECK</v>
      </c>
      <c r="K775" t="s">
        <v>57</v>
      </c>
      <c r="L775" s="1">
        <v>45262</v>
      </c>
      <c r="M775" s="1">
        <v>45963</v>
      </c>
      <c r="N775" s="2">
        <v>115.64</v>
      </c>
      <c r="O775">
        <f t="shared" si="37"/>
        <v>23</v>
      </c>
      <c r="P775" t="s">
        <v>214</v>
      </c>
      <c r="Q775" t="s">
        <v>1274</v>
      </c>
      <c r="R775" s="4">
        <v>5.2499999999999998E-2</v>
      </c>
      <c r="S775" s="2">
        <v>6.07</v>
      </c>
      <c r="T775" t="s">
        <v>351</v>
      </c>
    </row>
    <row r="776" spans="1:20" x14ac:dyDescent="0.25">
      <c r="A776">
        <v>2020720597</v>
      </c>
      <c r="B776" t="s">
        <v>611</v>
      </c>
      <c r="C776" t="s">
        <v>63</v>
      </c>
      <c r="D776" t="str">
        <f t="shared" si="38"/>
        <v>ANTHONY SCAVICCHIO</v>
      </c>
      <c r="E776" t="s">
        <v>350</v>
      </c>
      <c r="F776" t="s">
        <v>351</v>
      </c>
      <c r="G776">
        <v>15278437</v>
      </c>
      <c r="H776" t="s">
        <v>211</v>
      </c>
      <c r="I776" t="s">
        <v>212</v>
      </c>
      <c r="J776" t="str">
        <f t="shared" si="36"/>
        <v>JASON HOFFMANN</v>
      </c>
      <c r="K776" t="s">
        <v>57</v>
      </c>
      <c r="L776" s="1">
        <v>45261</v>
      </c>
      <c r="M776" s="1">
        <v>45962</v>
      </c>
      <c r="N776" s="2">
        <v>117.55</v>
      </c>
      <c r="O776">
        <f t="shared" si="37"/>
        <v>23</v>
      </c>
      <c r="P776" t="s">
        <v>214</v>
      </c>
      <c r="Q776" t="s">
        <v>1274</v>
      </c>
      <c r="R776" s="4">
        <v>5.2499999999999998E-2</v>
      </c>
      <c r="S776" s="2">
        <v>6.17</v>
      </c>
      <c r="T776" t="s">
        <v>351</v>
      </c>
    </row>
    <row r="777" spans="1:20" x14ac:dyDescent="0.25">
      <c r="A777">
        <v>2020736329</v>
      </c>
      <c r="B777" t="s">
        <v>611</v>
      </c>
      <c r="C777" t="s">
        <v>612</v>
      </c>
      <c r="D777" t="str">
        <f t="shared" si="38"/>
        <v>JACK SCAVICCHIO</v>
      </c>
      <c r="E777" t="s">
        <v>350</v>
      </c>
      <c r="F777" t="s">
        <v>351</v>
      </c>
      <c r="G777">
        <v>15278437</v>
      </c>
      <c r="H777" t="s">
        <v>211</v>
      </c>
      <c r="I777" t="s">
        <v>212</v>
      </c>
      <c r="J777" t="str">
        <f t="shared" si="36"/>
        <v>JASON HOFFMANN</v>
      </c>
      <c r="K777" t="s">
        <v>57</v>
      </c>
      <c r="L777" s="1">
        <v>45261</v>
      </c>
      <c r="M777" s="1">
        <v>45962</v>
      </c>
      <c r="N777" s="2">
        <v>58.09</v>
      </c>
      <c r="O777">
        <f t="shared" si="37"/>
        <v>23</v>
      </c>
      <c r="P777" t="s">
        <v>214</v>
      </c>
      <c r="Q777" t="s">
        <v>1274</v>
      </c>
      <c r="R777" s="4">
        <v>5.2499999999999998E-2</v>
      </c>
      <c r="S777" s="2">
        <v>3.05</v>
      </c>
      <c r="T777" t="s">
        <v>351</v>
      </c>
    </row>
    <row r="778" spans="1:20" x14ac:dyDescent="0.25">
      <c r="A778">
        <v>2020891510</v>
      </c>
      <c r="B778" t="s">
        <v>616</v>
      </c>
      <c r="C778" t="s">
        <v>486</v>
      </c>
      <c r="D778" t="str">
        <f t="shared" si="38"/>
        <v>DONNA CLOGSTON</v>
      </c>
      <c r="E778" t="s">
        <v>350</v>
      </c>
      <c r="F778" t="s">
        <v>351</v>
      </c>
      <c r="G778">
        <v>15278437</v>
      </c>
      <c r="H778" t="s">
        <v>211</v>
      </c>
      <c r="I778" t="s">
        <v>212</v>
      </c>
      <c r="J778" t="str">
        <f t="shared" si="36"/>
        <v>JASON HOFFMANN</v>
      </c>
      <c r="K778" t="s">
        <v>57</v>
      </c>
      <c r="L778" s="1">
        <v>45261</v>
      </c>
      <c r="M778" s="1">
        <v>45962</v>
      </c>
      <c r="N778" s="2">
        <v>13.07</v>
      </c>
      <c r="O778">
        <f t="shared" si="37"/>
        <v>23</v>
      </c>
      <c r="P778" t="s">
        <v>214</v>
      </c>
      <c r="Q778" t="s">
        <v>1274</v>
      </c>
      <c r="R778" s="4">
        <v>5.2499999999999998E-2</v>
      </c>
      <c r="S778" s="2">
        <v>0.69</v>
      </c>
      <c r="T778" t="s">
        <v>351</v>
      </c>
    </row>
    <row r="779" spans="1:20" x14ac:dyDescent="0.25">
      <c r="A779">
        <v>2020902469</v>
      </c>
      <c r="B779" t="s">
        <v>617</v>
      </c>
      <c r="C779" t="s">
        <v>143</v>
      </c>
      <c r="D779" t="str">
        <f t="shared" si="38"/>
        <v>ANNE HADDAD</v>
      </c>
      <c r="E779" t="s">
        <v>350</v>
      </c>
      <c r="F779" t="s">
        <v>351</v>
      </c>
      <c r="G779">
        <v>15278437</v>
      </c>
      <c r="H779" t="s">
        <v>211</v>
      </c>
      <c r="I779" t="s">
        <v>212</v>
      </c>
      <c r="J779" t="str">
        <f t="shared" si="36"/>
        <v>JASON HOFFMANN</v>
      </c>
      <c r="K779" t="s">
        <v>57</v>
      </c>
      <c r="L779" s="1">
        <v>45261</v>
      </c>
      <c r="M779" s="1">
        <v>45962</v>
      </c>
      <c r="N779" s="2">
        <v>61.19</v>
      </c>
      <c r="O779">
        <f t="shared" si="37"/>
        <v>23</v>
      </c>
      <c r="P779" t="s">
        <v>214</v>
      </c>
      <c r="Q779" t="s">
        <v>1274</v>
      </c>
      <c r="R779" s="4">
        <v>5.2499999999999998E-2</v>
      </c>
      <c r="S779" s="2">
        <v>3.21</v>
      </c>
      <c r="T779" t="s">
        <v>351</v>
      </c>
    </row>
    <row r="780" spans="1:20" x14ac:dyDescent="0.25">
      <c r="A780">
        <v>2020472287</v>
      </c>
      <c r="B780" t="s">
        <v>601</v>
      </c>
      <c r="C780" t="s">
        <v>488</v>
      </c>
      <c r="D780" t="str">
        <f t="shared" si="38"/>
        <v>BARBARA BOYD</v>
      </c>
      <c r="E780" t="s">
        <v>350</v>
      </c>
      <c r="F780" t="s">
        <v>351</v>
      </c>
      <c r="G780">
        <v>19562245</v>
      </c>
      <c r="H780" t="s">
        <v>576</v>
      </c>
      <c r="I780" t="s">
        <v>139</v>
      </c>
      <c r="J780" t="str">
        <f t="shared" si="36"/>
        <v>KELLY CARRYER</v>
      </c>
      <c r="K780" t="s">
        <v>57</v>
      </c>
      <c r="L780" s="1">
        <v>45261</v>
      </c>
      <c r="M780" s="1">
        <v>45962</v>
      </c>
      <c r="N780" s="2">
        <v>33.590000000000003</v>
      </c>
      <c r="O780">
        <f t="shared" si="37"/>
        <v>23</v>
      </c>
      <c r="P780" t="s">
        <v>214</v>
      </c>
      <c r="Q780" t="s">
        <v>1274</v>
      </c>
      <c r="R780" s="4">
        <v>5.2499999999999998E-2</v>
      </c>
      <c r="S780" s="2">
        <v>1.76</v>
      </c>
      <c r="T780" t="s">
        <v>351</v>
      </c>
    </row>
    <row r="781" spans="1:20" x14ac:dyDescent="0.25">
      <c r="A781">
        <v>2020639704</v>
      </c>
      <c r="B781" t="s">
        <v>610</v>
      </c>
      <c r="C781" t="s">
        <v>466</v>
      </c>
      <c r="D781" t="str">
        <f t="shared" si="38"/>
        <v>KATHLEEN ROKES</v>
      </c>
      <c r="E781" t="s">
        <v>350</v>
      </c>
      <c r="F781" t="s">
        <v>351</v>
      </c>
      <c r="G781">
        <v>8977234</v>
      </c>
      <c r="H781" t="s">
        <v>80</v>
      </c>
      <c r="I781" t="s">
        <v>81</v>
      </c>
      <c r="J781" t="str">
        <f t="shared" si="36"/>
        <v>RYAN CALTAGIRONE</v>
      </c>
      <c r="K781" t="s">
        <v>57</v>
      </c>
      <c r="L781" s="1">
        <v>45261</v>
      </c>
      <c r="M781" s="1">
        <v>45962</v>
      </c>
      <c r="N781" s="2">
        <v>30.04</v>
      </c>
      <c r="O781">
        <f t="shared" si="37"/>
        <v>23</v>
      </c>
      <c r="P781" t="s">
        <v>214</v>
      </c>
      <c r="Q781" t="s">
        <v>1274</v>
      </c>
      <c r="R781" s="4">
        <v>5.2499999999999998E-2</v>
      </c>
      <c r="S781" s="2">
        <v>1.58</v>
      </c>
      <c r="T781" t="s">
        <v>351</v>
      </c>
    </row>
    <row r="782" spans="1:20" x14ac:dyDescent="0.25">
      <c r="A782">
        <v>2020542149</v>
      </c>
      <c r="B782" t="s">
        <v>469</v>
      </c>
      <c r="C782" t="s">
        <v>470</v>
      </c>
      <c r="D782" t="str">
        <f t="shared" si="38"/>
        <v>CYNTHIA CROWE</v>
      </c>
      <c r="E782" t="s">
        <v>467</v>
      </c>
      <c r="F782" t="s">
        <v>471</v>
      </c>
      <c r="G782">
        <v>19278370</v>
      </c>
      <c r="H782" t="s">
        <v>75</v>
      </c>
      <c r="I782" t="s">
        <v>76</v>
      </c>
      <c r="J782" t="str">
        <f t="shared" si="36"/>
        <v>ANNE MARIE KOZACHECK</v>
      </c>
      <c r="K782" t="s">
        <v>57</v>
      </c>
      <c r="L782" s="1">
        <v>45261</v>
      </c>
      <c r="M782" s="1">
        <v>45962</v>
      </c>
      <c r="N782" s="2">
        <v>116.79</v>
      </c>
      <c r="O782">
        <f t="shared" si="37"/>
        <v>23</v>
      </c>
      <c r="P782" t="s">
        <v>214</v>
      </c>
      <c r="Q782" t="s">
        <v>1274</v>
      </c>
      <c r="R782" s="3">
        <v>0.26</v>
      </c>
      <c r="S782" s="2">
        <v>30.37</v>
      </c>
      <c r="T782" t="s">
        <v>1266</v>
      </c>
    </row>
    <row r="783" spans="1:20" x14ac:dyDescent="0.25">
      <c r="A783">
        <v>2020855630</v>
      </c>
      <c r="B783" t="s">
        <v>657</v>
      </c>
      <c r="C783" t="s">
        <v>658</v>
      </c>
      <c r="D783" t="str">
        <f t="shared" si="38"/>
        <v>AMBER DEALESSANDRO</v>
      </c>
      <c r="E783" t="s">
        <v>292</v>
      </c>
      <c r="F783" t="s">
        <v>295</v>
      </c>
      <c r="G783">
        <v>8307933</v>
      </c>
      <c r="H783" t="s">
        <v>112</v>
      </c>
      <c r="I783" t="s">
        <v>104</v>
      </c>
      <c r="J783" t="str">
        <f t="shared" si="36"/>
        <v>GREGORY TEIPEL</v>
      </c>
      <c r="K783" t="s">
        <v>57</v>
      </c>
      <c r="L783" s="1">
        <v>45265</v>
      </c>
      <c r="M783" s="1">
        <v>45966</v>
      </c>
      <c r="N783" s="2">
        <v>31.67</v>
      </c>
      <c r="O783">
        <f t="shared" si="37"/>
        <v>23</v>
      </c>
      <c r="P783" t="s">
        <v>214</v>
      </c>
      <c r="Q783" t="s">
        <v>1274</v>
      </c>
      <c r="R783" s="3">
        <v>0.1</v>
      </c>
      <c r="S783" s="2">
        <v>3.17</v>
      </c>
      <c r="T783" t="s">
        <v>295</v>
      </c>
    </row>
    <row r="784" spans="1:20" x14ac:dyDescent="0.25">
      <c r="A784">
        <v>2020736330</v>
      </c>
      <c r="B784" t="s">
        <v>611</v>
      </c>
      <c r="C784" t="s">
        <v>612</v>
      </c>
      <c r="D784" t="str">
        <f t="shared" si="38"/>
        <v>JACK SCAVICCHIO</v>
      </c>
      <c r="E784" t="s">
        <v>53</v>
      </c>
      <c r="F784" t="s">
        <v>635</v>
      </c>
      <c r="G784">
        <v>15278437</v>
      </c>
      <c r="H784" t="s">
        <v>211</v>
      </c>
      <c r="I784" t="s">
        <v>212</v>
      </c>
      <c r="J784" t="str">
        <f t="shared" si="36"/>
        <v>JASON HOFFMANN</v>
      </c>
      <c r="K784" t="s">
        <v>57</v>
      </c>
      <c r="L784" s="1">
        <v>45261</v>
      </c>
      <c r="M784" s="1">
        <v>45962</v>
      </c>
      <c r="N784" s="2">
        <v>105.84</v>
      </c>
      <c r="O784">
        <f t="shared" si="37"/>
        <v>23</v>
      </c>
      <c r="P784" t="s">
        <v>214</v>
      </c>
      <c r="Q784" t="s">
        <v>1274</v>
      </c>
      <c r="R784" s="4">
        <v>6.5000000000000002E-2</v>
      </c>
      <c r="S784" s="2">
        <v>6.88</v>
      </c>
      <c r="T784" t="s">
        <v>635</v>
      </c>
    </row>
    <row r="785" spans="1:20" x14ac:dyDescent="0.25">
      <c r="A785">
        <v>2020720598</v>
      </c>
      <c r="B785" t="s">
        <v>611</v>
      </c>
      <c r="C785" t="s">
        <v>63</v>
      </c>
      <c r="D785" t="str">
        <f t="shared" si="38"/>
        <v>ANTHONY SCAVICCHIO</v>
      </c>
      <c r="E785" t="s">
        <v>53</v>
      </c>
      <c r="F785" t="s">
        <v>65</v>
      </c>
      <c r="G785">
        <v>15278437</v>
      </c>
      <c r="H785" t="s">
        <v>211</v>
      </c>
      <c r="I785" t="s">
        <v>212</v>
      </c>
      <c r="J785" t="str">
        <f t="shared" si="36"/>
        <v>JASON HOFFMANN</v>
      </c>
      <c r="K785" t="s">
        <v>57</v>
      </c>
      <c r="L785" s="1">
        <v>45261</v>
      </c>
      <c r="M785" s="1">
        <v>45962</v>
      </c>
      <c r="N785" s="2">
        <v>92.55</v>
      </c>
      <c r="O785">
        <f t="shared" si="37"/>
        <v>23</v>
      </c>
      <c r="P785" t="s">
        <v>214</v>
      </c>
      <c r="Q785" t="s">
        <v>1274</v>
      </c>
      <c r="R785" s="4">
        <v>6.5000000000000002E-2</v>
      </c>
      <c r="S785" s="2">
        <v>6.02</v>
      </c>
      <c r="T785" t="s">
        <v>65</v>
      </c>
    </row>
    <row r="786" spans="1:20" x14ac:dyDescent="0.25">
      <c r="A786">
        <v>2020891511</v>
      </c>
      <c r="B786" t="s">
        <v>616</v>
      </c>
      <c r="C786" t="s">
        <v>486</v>
      </c>
      <c r="D786" t="str">
        <f t="shared" si="38"/>
        <v>DONNA CLOGSTON</v>
      </c>
      <c r="E786" t="s">
        <v>53</v>
      </c>
      <c r="F786" t="s">
        <v>65</v>
      </c>
      <c r="G786">
        <v>15278437</v>
      </c>
      <c r="H786" t="s">
        <v>211</v>
      </c>
      <c r="I786" t="s">
        <v>212</v>
      </c>
      <c r="J786" t="str">
        <f t="shared" si="36"/>
        <v>JASON HOFFMANN</v>
      </c>
      <c r="K786" t="s">
        <v>57</v>
      </c>
      <c r="L786" s="1">
        <v>45261</v>
      </c>
      <c r="M786" s="1">
        <v>45962</v>
      </c>
      <c r="N786" s="2">
        <v>52.69</v>
      </c>
      <c r="O786">
        <f t="shared" si="37"/>
        <v>23</v>
      </c>
      <c r="P786" t="s">
        <v>214</v>
      </c>
      <c r="Q786" t="s">
        <v>1274</v>
      </c>
      <c r="R786" s="4">
        <v>6.5000000000000002E-2</v>
      </c>
      <c r="S786" s="2">
        <v>3.42</v>
      </c>
      <c r="T786" t="s">
        <v>65</v>
      </c>
    </row>
    <row r="787" spans="1:20" x14ac:dyDescent="0.25">
      <c r="A787">
        <v>2020435110</v>
      </c>
      <c r="B787" t="s">
        <v>148</v>
      </c>
      <c r="C787" t="s">
        <v>194</v>
      </c>
      <c r="D787" t="str">
        <f t="shared" si="38"/>
        <v>KAREN SMITH</v>
      </c>
      <c r="E787" t="s">
        <v>287</v>
      </c>
      <c r="F787" t="s">
        <v>363</v>
      </c>
      <c r="G787">
        <v>8307933</v>
      </c>
      <c r="H787" t="s">
        <v>112</v>
      </c>
      <c r="I787" t="s">
        <v>104</v>
      </c>
      <c r="J787" t="str">
        <f t="shared" si="36"/>
        <v>GREGORY TEIPEL</v>
      </c>
      <c r="K787" t="s">
        <v>57</v>
      </c>
      <c r="L787" s="1">
        <v>45231</v>
      </c>
      <c r="M787" s="1">
        <v>45962</v>
      </c>
      <c r="N787" s="2">
        <v>-132.06</v>
      </c>
      <c r="O787">
        <f t="shared" si="37"/>
        <v>24</v>
      </c>
      <c r="P787" t="s">
        <v>214</v>
      </c>
      <c r="Q787" t="s">
        <v>1274</v>
      </c>
      <c r="R787" s="3">
        <v>0.05</v>
      </c>
      <c r="S787" s="2">
        <v>-6.6</v>
      </c>
      <c r="T787" t="s">
        <v>1272</v>
      </c>
    </row>
    <row r="788" spans="1:20" x14ac:dyDescent="0.25">
      <c r="A788">
        <v>2020435111</v>
      </c>
      <c r="B788" t="s">
        <v>148</v>
      </c>
      <c r="C788" t="s">
        <v>194</v>
      </c>
      <c r="D788" t="str">
        <f t="shared" si="38"/>
        <v>KAREN SMITH</v>
      </c>
      <c r="E788" t="s">
        <v>209</v>
      </c>
      <c r="F788" t="s">
        <v>961</v>
      </c>
      <c r="G788">
        <v>8307933</v>
      </c>
      <c r="H788" t="s">
        <v>112</v>
      </c>
      <c r="I788" t="s">
        <v>104</v>
      </c>
      <c r="J788" t="str">
        <f t="shared" si="36"/>
        <v>GREGORY TEIPEL</v>
      </c>
      <c r="K788" t="s">
        <v>57</v>
      </c>
      <c r="L788" s="1">
        <v>45231</v>
      </c>
      <c r="M788" s="1">
        <v>45962</v>
      </c>
      <c r="N788" s="2">
        <v>-15</v>
      </c>
      <c r="O788">
        <f t="shared" si="37"/>
        <v>24</v>
      </c>
      <c r="P788" t="s">
        <v>214</v>
      </c>
      <c r="Q788" t="s">
        <v>1274</v>
      </c>
      <c r="R788" s="3">
        <v>0.05</v>
      </c>
      <c r="S788" s="2">
        <v>-0.75</v>
      </c>
      <c r="T788" t="s">
        <v>1272</v>
      </c>
    </row>
    <row r="789" spans="1:20" x14ac:dyDescent="0.25">
      <c r="A789">
        <v>2020450119</v>
      </c>
      <c r="B789" t="s">
        <v>599</v>
      </c>
      <c r="C789" t="s">
        <v>600</v>
      </c>
      <c r="D789" t="str">
        <f t="shared" si="38"/>
        <v>EDWARD GREENHOW</v>
      </c>
      <c r="E789" t="s">
        <v>350</v>
      </c>
      <c r="F789" t="s">
        <v>351</v>
      </c>
      <c r="G789">
        <v>19278370</v>
      </c>
      <c r="H789" t="s">
        <v>75</v>
      </c>
      <c r="I789" t="s">
        <v>76</v>
      </c>
      <c r="J789" t="str">
        <f t="shared" si="36"/>
        <v>ANNE MARIE KOZACHECK</v>
      </c>
      <c r="K789" t="s">
        <v>57</v>
      </c>
      <c r="L789" s="1">
        <v>45231</v>
      </c>
      <c r="M789" s="1">
        <v>45962</v>
      </c>
      <c r="N789" s="2">
        <v>115.64</v>
      </c>
      <c r="O789">
        <f t="shared" si="37"/>
        <v>24</v>
      </c>
      <c r="P789" t="s">
        <v>214</v>
      </c>
      <c r="Q789" t="s">
        <v>1274</v>
      </c>
      <c r="R789" s="4">
        <v>5.2499999999999998E-2</v>
      </c>
      <c r="S789" s="2">
        <v>6.07</v>
      </c>
      <c r="T789" t="s">
        <v>351</v>
      </c>
    </row>
    <row r="790" spans="1:20" x14ac:dyDescent="0.25">
      <c r="A790">
        <v>2020564068</v>
      </c>
      <c r="B790" t="s">
        <v>604</v>
      </c>
      <c r="C790" t="s">
        <v>163</v>
      </c>
      <c r="D790" t="str">
        <f t="shared" si="38"/>
        <v>SUZANNE KERSTEN</v>
      </c>
      <c r="E790" t="s">
        <v>350</v>
      </c>
      <c r="F790" t="s">
        <v>351</v>
      </c>
      <c r="G790">
        <v>19278370</v>
      </c>
      <c r="H790" t="s">
        <v>75</v>
      </c>
      <c r="I790" t="s">
        <v>76</v>
      </c>
      <c r="J790" t="str">
        <f t="shared" si="36"/>
        <v>ANNE MARIE KOZACHECK</v>
      </c>
      <c r="K790" t="s">
        <v>57</v>
      </c>
      <c r="L790" s="1">
        <v>45231</v>
      </c>
      <c r="M790" s="1">
        <v>45962</v>
      </c>
      <c r="N790" s="2">
        <v>56.88</v>
      </c>
      <c r="O790">
        <f t="shared" si="37"/>
        <v>24</v>
      </c>
      <c r="P790" t="s">
        <v>214</v>
      </c>
      <c r="Q790" t="s">
        <v>1274</v>
      </c>
      <c r="R790" s="4">
        <v>5.2499999999999998E-2</v>
      </c>
      <c r="S790" s="2">
        <v>2.99</v>
      </c>
      <c r="T790" t="s">
        <v>351</v>
      </c>
    </row>
    <row r="791" spans="1:20" x14ac:dyDescent="0.25">
      <c r="A791">
        <v>2020488528</v>
      </c>
      <c r="B791" t="s">
        <v>208</v>
      </c>
      <c r="C791" t="s">
        <v>207</v>
      </c>
      <c r="D791" t="str">
        <f t="shared" si="38"/>
        <v>RICHARD SWOGER</v>
      </c>
      <c r="E791" t="s">
        <v>350</v>
      </c>
      <c r="F791" t="s">
        <v>351</v>
      </c>
      <c r="G791">
        <v>15278437</v>
      </c>
      <c r="H791" t="s">
        <v>211</v>
      </c>
      <c r="I791" t="s">
        <v>212</v>
      </c>
      <c r="J791" t="str">
        <f t="shared" si="36"/>
        <v>JASON HOFFMANN</v>
      </c>
      <c r="K791" t="s">
        <v>57</v>
      </c>
      <c r="L791" s="1">
        <v>45231</v>
      </c>
      <c r="M791" s="1">
        <v>45962</v>
      </c>
      <c r="N791" s="2">
        <v>46.01</v>
      </c>
      <c r="O791">
        <f t="shared" si="37"/>
        <v>24</v>
      </c>
      <c r="P791" t="s">
        <v>214</v>
      </c>
      <c r="Q791" t="s">
        <v>1274</v>
      </c>
      <c r="R791" s="4">
        <v>5.2499999999999998E-2</v>
      </c>
      <c r="S791" s="2">
        <v>2.42</v>
      </c>
      <c r="T791" t="s">
        <v>351</v>
      </c>
    </row>
    <row r="792" spans="1:20" x14ac:dyDescent="0.25">
      <c r="A792">
        <v>2020623869</v>
      </c>
      <c r="B792" t="s">
        <v>609</v>
      </c>
      <c r="C792" t="s">
        <v>161</v>
      </c>
      <c r="D792" t="str">
        <f t="shared" si="38"/>
        <v>NANCY GARDNER</v>
      </c>
      <c r="E792" t="s">
        <v>350</v>
      </c>
      <c r="F792" t="s">
        <v>351</v>
      </c>
      <c r="G792">
        <v>15278437</v>
      </c>
      <c r="H792" t="s">
        <v>211</v>
      </c>
      <c r="I792" t="s">
        <v>212</v>
      </c>
      <c r="J792" t="str">
        <f t="shared" si="36"/>
        <v>JASON HOFFMANN</v>
      </c>
      <c r="K792" t="s">
        <v>57</v>
      </c>
      <c r="L792" s="1">
        <v>45232</v>
      </c>
      <c r="M792" s="1">
        <v>45963</v>
      </c>
      <c r="N792" s="2">
        <v>51.19</v>
      </c>
      <c r="O792">
        <f t="shared" si="37"/>
        <v>24</v>
      </c>
      <c r="P792" t="s">
        <v>214</v>
      </c>
      <c r="Q792" t="s">
        <v>1274</v>
      </c>
      <c r="R792" s="4">
        <v>5.2499999999999998E-2</v>
      </c>
      <c r="S792" s="2">
        <v>2.69</v>
      </c>
      <c r="T792" t="s">
        <v>351</v>
      </c>
    </row>
    <row r="793" spans="1:20" x14ac:dyDescent="0.25">
      <c r="A793">
        <v>2020478111</v>
      </c>
      <c r="B793" t="s">
        <v>602</v>
      </c>
      <c r="C793" t="s">
        <v>603</v>
      </c>
      <c r="D793" t="str">
        <f t="shared" si="38"/>
        <v>JANINE RAUBAUGH</v>
      </c>
      <c r="E793" t="s">
        <v>350</v>
      </c>
      <c r="F793" t="s">
        <v>351</v>
      </c>
      <c r="G793">
        <v>19562245</v>
      </c>
      <c r="H793" t="s">
        <v>576</v>
      </c>
      <c r="I793" t="s">
        <v>139</v>
      </c>
      <c r="J793" t="str">
        <f t="shared" si="36"/>
        <v>KELLY CARRYER</v>
      </c>
      <c r="K793" t="s">
        <v>57</v>
      </c>
      <c r="L793" s="1">
        <v>45231</v>
      </c>
      <c r="M793" s="1">
        <v>45962</v>
      </c>
      <c r="N793" s="2">
        <v>43.59</v>
      </c>
      <c r="O793">
        <f t="shared" si="37"/>
        <v>24</v>
      </c>
      <c r="P793" t="s">
        <v>214</v>
      </c>
      <c r="Q793" t="s">
        <v>1274</v>
      </c>
      <c r="R793" s="4">
        <v>5.2499999999999998E-2</v>
      </c>
      <c r="S793" s="2">
        <v>2.29</v>
      </c>
      <c r="T793" t="s">
        <v>351</v>
      </c>
    </row>
    <row r="794" spans="1:20" x14ac:dyDescent="0.25">
      <c r="A794">
        <v>2020622534</v>
      </c>
      <c r="B794" t="s">
        <v>472</v>
      </c>
      <c r="C794" t="s">
        <v>473</v>
      </c>
      <c r="D794" t="str">
        <f t="shared" si="38"/>
        <v>R AMRAVANESWAREN</v>
      </c>
      <c r="E794" t="s">
        <v>467</v>
      </c>
      <c r="F794" t="s">
        <v>471</v>
      </c>
      <c r="G794">
        <v>19278370</v>
      </c>
      <c r="H794" t="s">
        <v>75</v>
      </c>
      <c r="I794" t="s">
        <v>76</v>
      </c>
      <c r="J794" t="str">
        <f t="shared" si="36"/>
        <v>ANNE MARIE KOZACHECK</v>
      </c>
      <c r="K794" t="s">
        <v>57</v>
      </c>
      <c r="L794" s="1">
        <v>45231</v>
      </c>
      <c r="M794" s="1">
        <v>45962</v>
      </c>
      <c r="N794" s="2">
        <v>125.33</v>
      </c>
      <c r="O794">
        <f t="shared" si="37"/>
        <v>24</v>
      </c>
      <c r="P794" t="s">
        <v>214</v>
      </c>
      <c r="Q794" t="s">
        <v>1274</v>
      </c>
      <c r="R794" s="3">
        <v>0.26</v>
      </c>
      <c r="S794" s="2">
        <v>32.590000000000003</v>
      </c>
      <c r="T794" t="s">
        <v>1266</v>
      </c>
    </row>
    <row r="795" spans="1:20" x14ac:dyDescent="0.25">
      <c r="A795">
        <v>2020685017</v>
      </c>
      <c r="B795" t="s">
        <v>974</v>
      </c>
      <c r="C795" t="s">
        <v>975</v>
      </c>
      <c r="D795" t="str">
        <f t="shared" si="38"/>
        <v>SHILOH SOMOGIE</v>
      </c>
      <c r="E795" t="s">
        <v>243</v>
      </c>
      <c r="F795" t="s">
        <v>244</v>
      </c>
      <c r="G795">
        <v>8971826</v>
      </c>
      <c r="H795" t="s">
        <v>803</v>
      </c>
      <c r="I795" t="s">
        <v>746</v>
      </c>
      <c r="J795" t="str">
        <f t="shared" si="36"/>
        <v>SCOTT AGUGLIA</v>
      </c>
      <c r="K795" t="s">
        <v>57</v>
      </c>
      <c r="L795" s="1">
        <v>45237</v>
      </c>
      <c r="M795" s="1">
        <v>45968</v>
      </c>
      <c r="N795" s="2">
        <v>57.29</v>
      </c>
      <c r="O795">
        <f t="shared" si="37"/>
        <v>24</v>
      </c>
      <c r="P795" t="s">
        <v>214</v>
      </c>
      <c r="Q795" t="s">
        <v>1274</v>
      </c>
      <c r="R795" s="3">
        <v>0.06</v>
      </c>
      <c r="S795" s="2">
        <v>3.44</v>
      </c>
      <c r="T795" t="s">
        <v>244</v>
      </c>
    </row>
    <row r="796" spans="1:20" x14ac:dyDescent="0.25">
      <c r="A796">
        <v>2020617793</v>
      </c>
      <c r="B796" t="s">
        <v>799</v>
      </c>
      <c r="C796" t="s">
        <v>800</v>
      </c>
      <c r="D796" t="str">
        <f t="shared" si="38"/>
        <v>EDWAR GIRON</v>
      </c>
      <c r="E796" t="s">
        <v>292</v>
      </c>
      <c r="F796" t="s">
        <v>295</v>
      </c>
      <c r="G796">
        <v>9079571</v>
      </c>
      <c r="H796" t="s">
        <v>172</v>
      </c>
      <c r="I796" t="s">
        <v>173</v>
      </c>
      <c r="J796" t="str">
        <f t="shared" si="36"/>
        <v>ADAM RICHTER</v>
      </c>
      <c r="K796" t="s">
        <v>57</v>
      </c>
      <c r="L796" s="1">
        <v>45231</v>
      </c>
      <c r="M796" s="1">
        <v>45962</v>
      </c>
      <c r="N796" s="2">
        <v>76.17</v>
      </c>
      <c r="O796">
        <f t="shared" si="37"/>
        <v>24</v>
      </c>
      <c r="P796" t="s">
        <v>214</v>
      </c>
      <c r="Q796" t="s">
        <v>1274</v>
      </c>
      <c r="R796" s="3">
        <v>0.1</v>
      </c>
      <c r="S796" s="2">
        <v>7.62</v>
      </c>
      <c r="T796" t="s">
        <v>295</v>
      </c>
    </row>
    <row r="797" spans="1:20" x14ac:dyDescent="0.25">
      <c r="A797">
        <v>2020737470</v>
      </c>
      <c r="B797" t="s">
        <v>802</v>
      </c>
      <c r="C797" t="s">
        <v>207</v>
      </c>
      <c r="D797" t="str">
        <f t="shared" si="38"/>
        <v>RICHARD VULJANIC</v>
      </c>
      <c r="E797" t="s">
        <v>292</v>
      </c>
      <c r="F797" t="s">
        <v>295</v>
      </c>
      <c r="G797">
        <v>8971826</v>
      </c>
      <c r="H797" t="s">
        <v>803</v>
      </c>
      <c r="I797" t="s">
        <v>746</v>
      </c>
      <c r="J797" t="str">
        <f t="shared" si="36"/>
        <v>SCOTT AGUGLIA</v>
      </c>
      <c r="K797" t="s">
        <v>57</v>
      </c>
      <c r="L797" s="1">
        <v>45240</v>
      </c>
      <c r="M797" s="1">
        <v>45971</v>
      </c>
      <c r="N797" s="2">
        <v>123.44</v>
      </c>
      <c r="O797">
        <f t="shared" si="37"/>
        <v>24</v>
      </c>
      <c r="P797" t="s">
        <v>214</v>
      </c>
      <c r="Q797" t="s">
        <v>1274</v>
      </c>
      <c r="R797" s="3">
        <v>0.1</v>
      </c>
      <c r="S797" s="2">
        <v>12.34</v>
      </c>
      <c r="T797" t="s">
        <v>295</v>
      </c>
    </row>
    <row r="798" spans="1:20" x14ac:dyDescent="0.25">
      <c r="A798">
        <v>2020488529</v>
      </c>
      <c r="B798" t="s">
        <v>208</v>
      </c>
      <c r="C798" t="s">
        <v>207</v>
      </c>
      <c r="D798" t="str">
        <f t="shared" si="38"/>
        <v>RICHARD SWOGER</v>
      </c>
      <c r="E798" t="s">
        <v>53</v>
      </c>
      <c r="F798" t="s">
        <v>65</v>
      </c>
      <c r="G798">
        <v>15278437</v>
      </c>
      <c r="H798" t="s">
        <v>211</v>
      </c>
      <c r="I798" t="s">
        <v>212</v>
      </c>
      <c r="J798" t="str">
        <f t="shared" si="36"/>
        <v>JASON HOFFMANN</v>
      </c>
      <c r="K798" t="s">
        <v>57</v>
      </c>
      <c r="L798" s="1">
        <v>45231</v>
      </c>
      <c r="M798" s="1">
        <v>45962</v>
      </c>
      <c r="N798" s="2">
        <v>75.75</v>
      </c>
      <c r="O798">
        <f t="shared" si="37"/>
        <v>24</v>
      </c>
      <c r="P798" t="s">
        <v>214</v>
      </c>
      <c r="Q798" t="s">
        <v>1274</v>
      </c>
      <c r="R798" s="4">
        <v>6.5000000000000002E-2</v>
      </c>
      <c r="S798" s="2">
        <v>4.92</v>
      </c>
      <c r="T798" t="s">
        <v>65</v>
      </c>
    </row>
    <row r="799" spans="1:20" x14ac:dyDescent="0.25">
      <c r="A799">
        <v>2020148911</v>
      </c>
      <c r="B799" t="s">
        <v>598</v>
      </c>
      <c r="C799" t="s">
        <v>524</v>
      </c>
      <c r="D799" t="str">
        <f t="shared" si="38"/>
        <v>SANDRA KLINE</v>
      </c>
      <c r="E799" t="s">
        <v>350</v>
      </c>
      <c r="F799" t="s">
        <v>351</v>
      </c>
      <c r="G799">
        <v>19562245</v>
      </c>
      <c r="H799" t="s">
        <v>576</v>
      </c>
      <c r="I799" t="s">
        <v>139</v>
      </c>
      <c r="J799" t="str">
        <f t="shared" si="36"/>
        <v>KELLY CARRYER</v>
      </c>
      <c r="K799" t="s">
        <v>57</v>
      </c>
      <c r="L799" s="1">
        <v>45200</v>
      </c>
      <c r="M799" s="1">
        <v>45962</v>
      </c>
      <c r="N799" s="2">
        <v>30.23</v>
      </c>
      <c r="O799">
        <f t="shared" si="37"/>
        <v>25</v>
      </c>
      <c r="P799" t="s">
        <v>214</v>
      </c>
      <c r="Q799" t="s">
        <v>1274</v>
      </c>
      <c r="R799" s="4">
        <v>5.2499999999999998E-2</v>
      </c>
      <c r="S799" s="2">
        <v>1.59</v>
      </c>
      <c r="T799" t="s">
        <v>351</v>
      </c>
    </row>
    <row r="800" spans="1:20" x14ac:dyDescent="0.25">
      <c r="A800">
        <v>2019602458</v>
      </c>
      <c r="B800" t="s">
        <v>594</v>
      </c>
      <c r="C800" t="s">
        <v>595</v>
      </c>
      <c r="D800" t="str">
        <f t="shared" si="38"/>
        <v>LORRIE TURNER</v>
      </c>
      <c r="E800" t="s">
        <v>350</v>
      </c>
      <c r="F800" t="s">
        <v>351</v>
      </c>
      <c r="G800">
        <v>17886092</v>
      </c>
      <c r="H800" t="s">
        <v>415</v>
      </c>
      <c r="I800" t="s">
        <v>401</v>
      </c>
      <c r="J800" t="str">
        <f t="shared" si="36"/>
        <v>TIMOTHY POWERS</v>
      </c>
      <c r="K800" t="s">
        <v>57</v>
      </c>
      <c r="L800" s="1">
        <v>45170</v>
      </c>
      <c r="M800" s="1">
        <v>45962</v>
      </c>
      <c r="N800" s="2">
        <v>0.38</v>
      </c>
      <c r="O800">
        <f t="shared" si="37"/>
        <v>26</v>
      </c>
      <c r="P800" t="s">
        <v>214</v>
      </c>
      <c r="Q800" t="s">
        <v>1274</v>
      </c>
      <c r="R800" s="3">
        <v>0</v>
      </c>
      <c r="S800" s="2">
        <v>0.38</v>
      </c>
      <c r="T800" t="s">
        <v>1269</v>
      </c>
    </row>
    <row r="801" spans="1:20" x14ac:dyDescent="0.25">
      <c r="A801">
        <v>2019741130</v>
      </c>
      <c r="B801" t="s">
        <v>596</v>
      </c>
      <c r="C801" t="s">
        <v>597</v>
      </c>
      <c r="D801" t="str">
        <f t="shared" si="38"/>
        <v>SHARON HOFFMAN</v>
      </c>
      <c r="E801" t="s">
        <v>350</v>
      </c>
      <c r="F801" t="s">
        <v>351</v>
      </c>
      <c r="G801">
        <v>15278437</v>
      </c>
      <c r="H801" t="s">
        <v>211</v>
      </c>
      <c r="I801" t="s">
        <v>212</v>
      </c>
      <c r="J801" t="str">
        <f t="shared" si="36"/>
        <v>JASON HOFFMANN</v>
      </c>
      <c r="K801" t="s">
        <v>57</v>
      </c>
      <c r="L801" s="1">
        <v>45170</v>
      </c>
      <c r="M801" s="1">
        <v>45962</v>
      </c>
      <c r="N801" s="2">
        <v>64.540000000000006</v>
      </c>
      <c r="O801">
        <f t="shared" si="37"/>
        <v>26</v>
      </c>
      <c r="P801" t="s">
        <v>214</v>
      </c>
      <c r="Q801" t="s">
        <v>1274</v>
      </c>
      <c r="R801" s="4">
        <v>5.2499999999999998E-2</v>
      </c>
      <c r="S801" s="2">
        <v>3.39</v>
      </c>
      <c r="T801" t="s">
        <v>351</v>
      </c>
    </row>
    <row r="802" spans="1:20" x14ac:dyDescent="0.25">
      <c r="A802">
        <v>2019958314</v>
      </c>
      <c r="B802" t="s">
        <v>972</v>
      </c>
      <c r="C802" t="s">
        <v>973</v>
      </c>
      <c r="D802" t="str">
        <f t="shared" si="38"/>
        <v>NIKKI SPALARIS</v>
      </c>
      <c r="E802" t="s">
        <v>243</v>
      </c>
      <c r="F802" t="s">
        <v>244</v>
      </c>
      <c r="G802">
        <v>19562245</v>
      </c>
      <c r="H802" t="s">
        <v>576</v>
      </c>
      <c r="I802" t="s">
        <v>139</v>
      </c>
      <c r="J802" t="str">
        <f t="shared" si="36"/>
        <v>KELLY CARRYER</v>
      </c>
      <c r="K802" t="s">
        <v>57</v>
      </c>
      <c r="L802" s="1">
        <v>45175</v>
      </c>
      <c r="M802" s="1">
        <v>45967</v>
      </c>
      <c r="N802" s="2">
        <v>49.12</v>
      </c>
      <c r="O802">
        <f t="shared" si="37"/>
        <v>26</v>
      </c>
      <c r="P802" t="s">
        <v>214</v>
      </c>
      <c r="Q802" t="s">
        <v>1274</v>
      </c>
      <c r="R802" s="3">
        <v>0.06</v>
      </c>
      <c r="S802" s="2">
        <v>2.95</v>
      </c>
      <c r="T802" t="s">
        <v>244</v>
      </c>
    </row>
    <row r="803" spans="1:20" x14ac:dyDescent="0.25">
      <c r="A803">
        <v>2019345387</v>
      </c>
      <c r="B803" t="s">
        <v>591</v>
      </c>
      <c r="C803" t="s">
        <v>301</v>
      </c>
      <c r="D803" t="str">
        <f t="shared" si="38"/>
        <v>DAVID FONDA</v>
      </c>
      <c r="E803" t="s">
        <v>350</v>
      </c>
      <c r="F803" t="s">
        <v>351</v>
      </c>
      <c r="G803">
        <v>18134413</v>
      </c>
      <c r="H803" t="s">
        <v>479</v>
      </c>
      <c r="I803" t="s">
        <v>480</v>
      </c>
      <c r="J803" t="str">
        <f t="shared" si="36"/>
        <v>LORI TUNSTALL</v>
      </c>
      <c r="K803" t="s">
        <v>57</v>
      </c>
      <c r="L803" s="1">
        <v>45139</v>
      </c>
      <c r="M803" s="1">
        <v>45962</v>
      </c>
      <c r="N803" s="2">
        <v>0.69</v>
      </c>
      <c r="O803">
        <f t="shared" si="37"/>
        <v>27</v>
      </c>
      <c r="P803" t="s">
        <v>214</v>
      </c>
      <c r="Q803" t="s">
        <v>1274</v>
      </c>
      <c r="R803" s="3">
        <v>0</v>
      </c>
      <c r="S803" s="2">
        <v>0.69</v>
      </c>
      <c r="T803" t="s">
        <v>1269</v>
      </c>
    </row>
    <row r="804" spans="1:20" x14ac:dyDescent="0.25">
      <c r="A804">
        <v>2019484024</v>
      </c>
      <c r="B804" t="s">
        <v>656</v>
      </c>
      <c r="C804" t="s">
        <v>429</v>
      </c>
      <c r="D804" t="str">
        <f t="shared" si="38"/>
        <v>BRYAN TREHERN</v>
      </c>
      <c r="E804" t="s">
        <v>89</v>
      </c>
      <c r="F804" t="s">
        <v>96</v>
      </c>
      <c r="G804">
        <v>8307933</v>
      </c>
      <c r="H804" t="s">
        <v>112</v>
      </c>
      <c r="I804" t="s">
        <v>104</v>
      </c>
      <c r="J804" t="str">
        <f t="shared" si="36"/>
        <v>GREGORY TEIPEL</v>
      </c>
      <c r="K804" t="s">
        <v>57</v>
      </c>
      <c r="L804" s="1">
        <v>45144</v>
      </c>
      <c r="M804" s="1">
        <v>45967</v>
      </c>
      <c r="N804" s="2">
        <v>141.33000000000001</v>
      </c>
      <c r="O804">
        <f t="shared" si="37"/>
        <v>27</v>
      </c>
      <c r="P804" t="s">
        <v>214</v>
      </c>
      <c r="Q804" t="s">
        <v>1274</v>
      </c>
      <c r="R804" s="3">
        <v>0.1</v>
      </c>
      <c r="S804" s="2">
        <v>14.13</v>
      </c>
      <c r="T804" t="s">
        <v>1259</v>
      </c>
    </row>
    <row r="805" spans="1:20" x14ac:dyDescent="0.25">
      <c r="A805">
        <v>2019324243</v>
      </c>
      <c r="B805" t="s">
        <v>590</v>
      </c>
      <c r="C805" t="s">
        <v>72</v>
      </c>
      <c r="D805" t="str">
        <f t="shared" si="38"/>
        <v>JOHN WOODALL</v>
      </c>
      <c r="E805" t="s">
        <v>350</v>
      </c>
      <c r="F805" t="s">
        <v>351</v>
      </c>
      <c r="G805">
        <v>8977234</v>
      </c>
      <c r="H805" t="s">
        <v>80</v>
      </c>
      <c r="I805" t="s">
        <v>81</v>
      </c>
      <c r="J805" t="str">
        <f t="shared" si="36"/>
        <v>RYAN CALTAGIRONE</v>
      </c>
      <c r="K805" t="s">
        <v>57</v>
      </c>
      <c r="L805" s="1">
        <v>45139</v>
      </c>
      <c r="M805" s="1">
        <v>45962</v>
      </c>
      <c r="N805" s="2">
        <v>14.86</v>
      </c>
      <c r="O805">
        <f t="shared" si="37"/>
        <v>27</v>
      </c>
      <c r="P805" t="s">
        <v>214</v>
      </c>
      <c r="Q805" t="s">
        <v>1274</v>
      </c>
      <c r="R805" s="4">
        <v>5.2499999999999998E-2</v>
      </c>
      <c r="S805" s="2">
        <v>0.78</v>
      </c>
      <c r="T805" t="s">
        <v>351</v>
      </c>
    </row>
    <row r="806" spans="1:20" x14ac:dyDescent="0.25">
      <c r="A806">
        <v>2019422323</v>
      </c>
      <c r="B806" t="s">
        <v>592</v>
      </c>
      <c r="C806" t="s">
        <v>593</v>
      </c>
      <c r="D806" t="str">
        <f t="shared" si="38"/>
        <v>LISA CHRISTIANSEN</v>
      </c>
      <c r="E806" t="s">
        <v>350</v>
      </c>
      <c r="F806" t="s">
        <v>351</v>
      </c>
      <c r="G806">
        <v>8977234</v>
      </c>
      <c r="H806" t="s">
        <v>80</v>
      </c>
      <c r="I806" t="s">
        <v>81</v>
      </c>
      <c r="J806" t="str">
        <f t="shared" si="36"/>
        <v>RYAN CALTAGIRONE</v>
      </c>
      <c r="K806" t="s">
        <v>57</v>
      </c>
      <c r="L806" s="1">
        <v>45139</v>
      </c>
      <c r="M806" s="1">
        <v>45962</v>
      </c>
      <c r="N806" s="2">
        <v>42.84</v>
      </c>
      <c r="O806">
        <f t="shared" si="37"/>
        <v>27</v>
      </c>
      <c r="P806" t="s">
        <v>214</v>
      </c>
      <c r="Q806" t="s">
        <v>1274</v>
      </c>
      <c r="R806" s="4">
        <v>5.2499999999999998E-2</v>
      </c>
      <c r="S806" s="2">
        <v>2.25</v>
      </c>
      <c r="T806" t="s">
        <v>351</v>
      </c>
    </row>
    <row r="807" spans="1:20" x14ac:dyDescent="0.25">
      <c r="A807">
        <v>2019496534</v>
      </c>
      <c r="B807" t="s">
        <v>797</v>
      </c>
      <c r="C807" t="s">
        <v>798</v>
      </c>
      <c r="D807" t="str">
        <f t="shared" si="38"/>
        <v>CORBIN HABICH</v>
      </c>
      <c r="E807" t="s">
        <v>292</v>
      </c>
      <c r="F807" t="s">
        <v>293</v>
      </c>
      <c r="G807">
        <v>8307933</v>
      </c>
      <c r="H807" t="s">
        <v>112</v>
      </c>
      <c r="I807" t="s">
        <v>104</v>
      </c>
      <c r="J807" t="str">
        <f t="shared" si="36"/>
        <v>GREGORY TEIPEL</v>
      </c>
      <c r="K807" t="s">
        <v>57</v>
      </c>
      <c r="L807" s="1">
        <v>45143</v>
      </c>
      <c r="M807" s="1">
        <v>45966</v>
      </c>
      <c r="N807" s="2">
        <v>87.95</v>
      </c>
      <c r="O807">
        <f t="shared" si="37"/>
        <v>27</v>
      </c>
      <c r="P807" t="s">
        <v>214</v>
      </c>
      <c r="Q807" t="s">
        <v>1274</v>
      </c>
      <c r="R807" s="3">
        <v>0.15</v>
      </c>
      <c r="S807" s="2">
        <v>13.19</v>
      </c>
      <c r="T807" t="s">
        <v>293</v>
      </c>
    </row>
    <row r="808" spans="1:20" x14ac:dyDescent="0.25">
      <c r="A808">
        <v>2019638944</v>
      </c>
      <c r="B808" t="s">
        <v>970</v>
      </c>
      <c r="C808" t="s">
        <v>971</v>
      </c>
      <c r="D808" t="str">
        <f t="shared" si="38"/>
        <v>MARK PHILLIPS</v>
      </c>
      <c r="E808" t="s">
        <v>243</v>
      </c>
      <c r="F808" t="s">
        <v>244</v>
      </c>
      <c r="G808">
        <v>8307933</v>
      </c>
      <c r="H808" t="s">
        <v>112</v>
      </c>
      <c r="I808" t="s">
        <v>104</v>
      </c>
      <c r="J808" t="str">
        <f t="shared" si="36"/>
        <v>GREGORY TEIPEL</v>
      </c>
      <c r="K808" t="s">
        <v>57</v>
      </c>
      <c r="L808" s="1">
        <v>45146</v>
      </c>
      <c r="M808" s="1">
        <v>45969</v>
      </c>
      <c r="N808" s="2">
        <v>40.07</v>
      </c>
      <c r="O808">
        <f t="shared" si="37"/>
        <v>27</v>
      </c>
      <c r="P808" t="s">
        <v>214</v>
      </c>
      <c r="Q808" t="s">
        <v>1274</v>
      </c>
      <c r="R808" s="3">
        <v>0.06</v>
      </c>
      <c r="S808" s="2">
        <v>2.4</v>
      </c>
      <c r="T808" t="s">
        <v>244</v>
      </c>
    </row>
    <row r="809" spans="1:20" x14ac:dyDescent="0.25">
      <c r="A809">
        <v>2018920321</v>
      </c>
      <c r="B809" t="s">
        <v>654</v>
      </c>
      <c r="C809" t="s">
        <v>655</v>
      </c>
      <c r="D809" t="str">
        <f t="shared" si="38"/>
        <v>DEVIN PARMER</v>
      </c>
      <c r="E809" t="s">
        <v>89</v>
      </c>
      <c r="F809" t="s">
        <v>90</v>
      </c>
      <c r="G809">
        <v>8307933</v>
      </c>
      <c r="H809" t="s">
        <v>112</v>
      </c>
      <c r="I809" t="s">
        <v>104</v>
      </c>
      <c r="J809" t="str">
        <f t="shared" si="36"/>
        <v>GREGORY TEIPEL</v>
      </c>
      <c r="K809" t="s">
        <v>57</v>
      </c>
      <c r="L809" s="1">
        <v>45112</v>
      </c>
      <c r="M809" s="1">
        <v>45966</v>
      </c>
      <c r="N809" s="2">
        <v>65.41</v>
      </c>
      <c r="O809">
        <f t="shared" si="37"/>
        <v>28</v>
      </c>
      <c r="P809" t="s">
        <v>214</v>
      </c>
      <c r="Q809" t="s">
        <v>1274</v>
      </c>
      <c r="R809" s="3">
        <v>0.1</v>
      </c>
      <c r="S809" s="2">
        <v>6.54</v>
      </c>
      <c r="T809" t="s">
        <v>1258</v>
      </c>
    </row>
    <row r="810" spans="1:20" x14ac:dyDescent="0.25">
      <c r="A810">
        <v>2018908125</v>
      </c>
      <c r="B810" t="s">
        <v>584</v>
      </c>
      <c r="C810" t="s">
        <v>585</v>
      </c>
      <c r="D810" t="str">
        <f t="shared" si="38"/>
        <v>HEIDI RUEFENACHT</v>
      </c>
      <c r="E810" t="s">
        <v>350</v>
      </c>
      <c r="F810" t="s">
        <v>351</v>
      </c>
      <c r="G810">
        <v>19562245</v>
      </c>
      <c r="H810" t="s">
        <v>576</v>
      </c>
      <c r="I810" t="s">
        <v>139</v>
      </c>
      <c r="J810" t="str">
        <f t="shared" si="36"/>
        <v>KELLY CARRYER</v>
      </c>
      <c r="K810" t="s">
        <v>57</v>
      </c>
      <c r="L810" s="1">
        <v>45108</v>
      </c>
      <c r="M810" s="1">
        <v>45962</v>
      </c>
      <c r="N810" s="2">
        <v>48.22</v>
      </c>
      <c r="O810">
        <f t="shared" si="37"/>
        <v>28</v>
      </c>
      <c r="P810" t="s">
        <v>214</v>
      </c>
      <c r="Q810" t="s">
        <v>1274</v>
      </c>
      <c r="R810" s="4">
        <v>5.2499999999999998E-2</v>
      </c>
      <c r="S810" s="2">
        <v>2.5299999999999998</v>
      </c>
      <c r="T810" t="s">
        <v>351</v>
      </c>
    </row>
    <row r="811" spans="1:20" x14ac:dyDescent="0.25">
      <c r="A811">
        <v>2019101129</v>
      </c>
      <c r="B811" t="s">
        <v>586</v>
      </c>
      <c r="C811" t="s">
        <v>224</v>
      </c>
      <c r="D811" t="str">
        <f t="shared" si="38"/>
        <v>JAMES MILLER</v>
      </c>
      <c r="E811" t="s">
        <v>350</v>
      </c>
      <c r="F811" t="s">
        <v>351</v>
      </c>
      <c r="G811">
        <v>19562245</v>
      </c>
      <c r="H811" t="s">
        <v>576</v>
      </c>
      <c r="I811" t="s">
        <v>139</v>
      </c>
      <c r="J811" t="str">
        <f t="shared" si="36"/>
        <v>KELLY CARRYER</v>
      </c>
      <c r="K811" t="s">
        <v>57</v>
      </c>
      <c r="L811" s="1">
        <v>45108</v>
      </c>
      <c r="M811" s="1">
        <v>45962</v>
      </c>
      <c r="N811" s="2">
        <v>43.59</v>
      </c>
      <c r="O811">
        <f t="shared" si="37"/>
        <v>28</v>
      </c>
      <c r="P811" t="s">
        <v>214</v>
      </c>
      <c r="Q811" t="s">
        <v>1274</v>
      </c>
      <c r="R811" s="4">
        <v>5.2499999999999998E-2</v>
      </c>
      <c r="S811" s="2">
        <v>2.29</v>
      </c>
      <c r="T811" t="s">
        <v>351</v>
      </c>
    </row>
    <row r="812" spans="1:20" x14ac:dyDescent="0.25">
      <c r="A812">
        <v>2019170689</v>
      </c>
      <c r="B812" t="s">
        <v>587</v>
      </c>
      <c r="C812" t="s">
        <v>588</v>
      </c>
      <c r="D812" t="str">
        <f t="shared" si="38"/>
        <v>ROBIN LAICHALK</v>
      </c>
      <c r="E812" t="s">
        <v>350</v>
      </c>
      <c r="F812" t="s">
        <v>351</v>
      </c>
      <c r="G812">
        <v>8977234</v>
      </c>
      <c r="H812" t="s">
        <v>80</v>
      </c>
      <c r="I812" t="s">
        <v>81</v>
      </c>
      <c r="J812" t="str">
        <f t="shared" si="36"/>
        <v>RYAN CALTAGIRONE</v>
      </c>
      <c r="K812" t="s">
        <v>57</v>
      </c>
      <c r="L812" s="1">
        <v>45108</v>
      </c>
      <c r="M812" s="1">
        <v>45962</v>
      </c>
      <c r="N812" s="2">
        <v>32.770000000000003</v>
      </c>
      <c r="O812">
        <f t="shared" si="37"/>
        <v>28</v>
      </c>
      <c r="P812" t="s">
        <v>214</v>
      </c>
      <c r="Q812" t="s">
        <v>1274</v>
      </c>
      <c r="R812" s="4">
        <v>5.2499999999999998E-2</v>
      </c>
      <c r="S812" s="2">
        <v>1.72</v>
      </c>
      <c r="T812" t="s">
        <v>351</v>
      </c>
    </row>
    <row r="813" spans="1:20" x14ac:dyDescent="0.25">
      <c r="A813">
        <v>2019202915</v>
      </c>
      <c r="B813" t="s">
        <v>589</v>
      </c>
      <c r="C813" t="s">
        <v>238</v>
      </c>
      <c r="D813" t="str">
        <f t="shared" si="38"/>
        <v>CAROL BOTTOMS</v>
      </c>
      <c r="E813" t="s">
        <v>350</v>
      </c>
      <c r="F813" t="s">
        <v>351</v>
      </c>
      <c r="G813">
        <v>8977234</v>
      </c>
      <c r="H813" t="s">
        <v>80</v>
      </c>
      <c r="I813" t="s">
        <v>81</v>
      </c>
      <c r="J813" t="str">
        <f t="shared" si="36"/>
        <v>RYAN CALTAGIRONE</v>
      </c>
      <c r="K813" t="s">
        <v>57</v>
      </c>
      <c r="L813" s="1">
        <v>45108</v>
      </c>
      <c r="M813" s="1">
        <v>45962</v>
      </c>
      <c r="N813" s="2">
        <v>47.55</v>
      </c>
      <c r="O813">
        <f t="shared" si="37"/>
        <v>28</v>
      </c>
      <c r="P813" t="s">
        <v>214</v>
      </c>
      <c r="Q813" t="s">
        <v>1274</v>
      </c>
      <c r="R813" s="4">
        <v>5.2499999999999998E-2</v>
      </c>
      <c r="S813" s="2">
        <v>2.5</v>
      </c>
      <c r="T813" t="s">
        <v>351</v>
      </c>
    </row>
    <row r="814" spans="1:20" x14ac:dyDescent="0.25">
      <c r="A814">
        <v>2018924838</v>
      </c>
      <c r="B814" t="s">
        <v>793</v>
      </c>
      <c r="C814" t="s">
        <v>205</v>
      </c>
      <c r="D814" t="str">
        <f t="shared" si="38"/>
        <v>WILLIAM NEMETHY</v>
      </c>
      <c r="E814" t="s">
        <v>292</v>
      </c>
      <c r="F814" t="s">
        <v>536</v>
      </c>
      <c r="G814">
        <v>9079571</v>
      </c>
      <c r="H814" t="s">
        <v>172</v>
      </c>
      <c r="I814" t="s">
        <v>173</v>
      </c>
      <c r="J814" t="str">
        <f t="shared" si="36"/>
        <v>ADAM RICHTER</v>
      </c>
      <c r="K814" t="s">
        <v>57</v>
      </c>
      <c r="L814" s="1">
        <v>45084</v>
      </c>
      <c r="M814" s="1">
        <v>45968</v>
      </c>
      <c r="N814" s="2">
        <v>24.61</v>
      </c>
      <c r="O814">
        <f t="shared" si="37"/>
        <v>29</v>
      </c>
      <c r="P814" t="s">
        <v>214</v>
      </c>
      <c r="Q814" t="s">
        <v>1274</v>
      </c>
      <c r="R814" s="3">
        <v>0.15</v>
      </c>
      <c r="S814" s="2">
        <v>3.69</v>
      </c>
      <c r="T814" t="s">
        <v>536</v>
      </c>
    </row>
    <row r="815" spans="1:20" x14ac:dyDescent="0.25">
      <c r="A815">
        <v>2018961065</v>
      </c>
      <c r="B815" t="s">
        <v>402</v>
      </c>
      <c r="C815" t="s">
        <v>794</v>
      </c>
      <c r="D815" t="str">
        <f t="shared" si="38"/>
        <v>SOPHONIA JOHNSON</v>
      </c>
      <c r="E815" t="s">
        <v>292</v>
      </c>
      <c r="F815" t="s">
        <v>536</v>
      </c>
      <c r="G815">
        <v>9079571</v>
      </c>
      <c r="H815" t="s">
        <v>172</v>
      </c>
      <c r="I815" t="s">
        <v>173</v>
      </c>
      <c r="J815" t="str">
        <f t="shared" si="36"/>
        <v>ADAM RICHTER</v>
      </c>
      <c r="K815" t="s">
        <v>57</v>
      </c>
      <c r="L815" s="1">
        <v>45086</v>
      </c>
      <c r="M815" s="1">
        <v>45970</v>
      </c>
      <c r="N815" s="2">
        <v>24.61</v>
      </c>
      <c r="O815">
        <f t="shared" si="37"/>
        <v>29</v>
      </c>
      <c r="P815" t="s">
        <v>214</v>
      </c>
      <c r="Q815" t="s">
        <v>1274</v>
      </c>
      <c r="R815" s="3">
        <v>0.15</v>
      </c>
      <c r="S815" s="2">
        <v>3.69</v>
      </c>
      <c r="T815" t="s">
        <v>536</v>
      </c>
    </row>
    <row r="816" spans="1:20" x14ac:dyDescent="0.25">
      <c r="A816">
        <v>2018966124</v>
      </c>
      <c r="B816" t="s">
        <v>795</v>
      </c>
      <c r="C816" t="s">
        <v>796</v>
      </c>
      <c r="D816" t="str">
        <f t="shared" si="38"/>
        <v>NAKKIARA POWELL</v>
      </c>
      <c r="E816" t="s">
        <v>292</v>
      </c>
      <c r="F816" t="s">
        <v>536</v>
      </c>
      <c r="G816">
        <v>9079571</v>
      </c>
      <c r="H816" t="s">
        <v>172</v>
      </c>
      <c r="I816" t="s">
        <v>173</v>
      </c>
      <c r="J816" t="str">
        <f t="shared" si="36"/>
        <v>ADAM RICHTER</v>
      </c>
      <c r="K816" t="s">
        <v>57</v>
      </c>
      <c r="L816" s="1">
        <v>45087</v>
      </c>
      <c r="M816" s="1">
        <v>45971</v>
      </c>
      <c r="N816" s="2">
        <v>24.61</v>
      </c>
      <c r="O816">
        <f t="shared" si="37"/>
        <v>29</v>
      </c>
      <c r="P816" t="s">
        <v>214</v>
      </c>
      <c r="Q816" t="s">
        <v>1274</v>
      </c>
      <c r="R816" s="3">
        <v>0.15</v>
      </c>
      <c r="S816" s="2">
        <v>3.69</v>
      </c>
      <c r="T816" t="s">
        <v>536</v>
      </c>
    </row>
    <row r="817" spans="1:20" x14ac:dyDescent="0.25">
      <c r="A817">
        <v>2018855164</v>
      </c>
      <c r="B817" t="s">
        <v>582</v>
      </c>
      <c r="C817" t="s">
        <v>441</v>
      </c>
      <c r="D817" t="str">
        <f t="shared" si="38"/>
        <v>PATRICK EARLY</v>
      </c>
      <c r="E817" t="s">
        <v>89</v>
      </c>
      <c r="F817" t="s">
        <v>96</v>
      </c>
      <c r="G817">
        <v>8977234</v>
      </c>
      <c r="H817" t="s">
        <v>80</v>
      </c>
      <c r="I817" t="s">
        <v>81</v>
      </c>
      <c r="J817" t="str">
        <f t="shared" si="36"/>
        <v>RYAN CALTAGIRONE</v>
      </c>
      <c r="K817" t="s">
        <v>57</v>
      </c>
      <c r="L817" s="1">
        <v>45078</v>
      </c>
      <c r="M817" s="1">
        <v>45962</v>
      </c>
      <c r="N817" s="2">
        <v>157.61000000000001</v>
      </c>
      <c r="O817">
        <f t="shared" si="37"/>
        <v>29</v>
      </c>
      <c r="P817" t="s">
        <v>214</v>
      </c>
      <c r="Q817" t="s">
        <v>1274</v>
      </c>
      <c r="R817" s="3">
        <v>0.1</v>
      </c>
      <c r="S817" s="2">
        <v>15.76</v>
      </c>
      <c r="T817" t="s">
        <v>1259</v>
      </c>
    </row>
    <row r="818" spans="1:20" x14ac:dyDescent="0.25">
      <c r="A818">
        <v>2018775433</v>
      </c>
      <c r="B818" t="s">
        <v>581</v>
      </c>
      <c r="C818" t="s">
        <v>132</v>
      </c>
      <c r="D818" t="str">
        <f t="shared" si="38"/>
        <v>CHRISTOPHER STEVANUS</v>
      </c>
      <c r="E818" t="s">
        <v>209</v>
      </c>
      <c r="F818" t="s">
        <v>960</v>
      </c>
      <c r="G818">
        <v>8977234</v>
      </c>
      <c r="H818" t="s">
        <v>80</v>
      </c>
      <c r="I818" t="s">
        <v>81</v>
      </c>
      <c r="J818" t="str">
        <f t="shared" si="36"/>
        <v>RYAN CALTAGIRONE</v>
      </c>
      <c r="K818" t="s">
        <v>57</v>
      </c>
      <c r="L818" s="1">
        <v>45078</v>
      </c>
      <c r="M818" s="1">
        <v>45962</v>
      </c>
      <c r="N818" s="2">
        <v>15</v>
      </c>
      <c r="O818">
        <f t="shared" si="37"/>
        <v>29</v>
      </c>
      <c r="P818" t="s">
        <v>214</v>
      </c>
      <c r="Q818" t="s">
        <v>1274</v>
      </c>
      <c r="R818" s="3">
        <v>0.19</v>
      </c>
      <c r="S818" s="2">
        <v>2.85</v>
      </c>
      <c r="T818" t="s">
        <v>960</v>
      </c>
    </row>
    <row r="819" spans="1:20" x14ac:dyDescent="0.25">
      <c r="A819">
        <v>2018753089</v>
      </c>
      <c r="B819" t="s">
        <v>580</v>
      </c>
      <c r="C819" t="s">
        <v>482</v>
      </c>
      <c r="D819" t="str">
        <f t="shared" si="38"/>
        <v>MICHAEL GEHRON</v>
      </c>
      <c r="E819" t="s">
        <v>350</v>
      </c>
      <c r="F819" t="s">
        <v>351</v>
      </c>
      <c r="G819">
        <v>15278437</v>
      </c>
      <c r="H819" t="s">
        <v>211</v>
      </c>
      <c r="I819" t="s">
        <v>212</v>
      </c>
      <c r="J819" t="str">
        <f t="shared" si="36"/>
        <v>JASON HOFFMANN</v>
      </c>
      <c r="K819" t="s">
        <v>57</v>
      </c>
      <c r="L819" s="1">
        <v>45078</v>
      </c>
      <c r="M819" s="1">
        <v>45962</v>
      </c>
      <c r="N819" s="2">
        <v>51.19</v>
      </c>
      <c r="O819">
        <f t="shared" si="37"/>
        <v>29</v>
      </c>
      <c r="P819" t="s">
        <v>214</v>
      </c>
      <c r="Q819" t="s">
        <v>1274</v>
      </c>
      <c r="R819" s="4">
        <v>5.2499999999999998E-2</v>
      </c>
      <c r="S819" s="2">
        <v>2.69</v>
      </c>
      <c r="T819" t="s">
        <v>351</v>
      </c>
    </row>
    <row r="820" spans="1:20" x14ac:dyDescent="0.25">
      <c r="A820">
        <v>2018775434</v>
      </c>
      <c r="B820" t="s">
        <v>581</v>
      </c>
      <c r="C820" t="s">
        <v>132</v>
      </c>
      <c r="D820" t="str">
        <f t="shared" si="38"/>
        <v>CHRISTOPHER STEVANUS</v>
      </c>
      <c r="E820" t="s">
        <v>350</v>
      </c>
      <c r="F820" t="s">
        <v>351</v>
      </c>
      <c r="G820">
        <v>8977234</v>
      </c>
      <c r="H820" t="s">
        <v>80</v>
      </c>
      <c r="I820" t="s">
        <v>81</v>
      </c>
      <c r="J820" t="str">
        <f t="shared" si="36"/>
        <v>RYAN CALTAGIRONE</v>
      </c>
      <c r="K820" t="s">
        <v>57</v>
      </c>
      <c r="L820" s="1">
        <v>45078</v>
      </c>
      <c r="M820" s="1">
        <v>45962</v>
      </c>
      <c r="N820" s="2">
        <v>29.77</v>
      </c>
      <c r="O820">
        <f t="shared" si="37"/>
        <v>29</v>
      </c>
      <c r="P820" t="s">
        <v>214</v>
      </c>
      <c r="Q820" t="s">
        <v>1274</v>
      </c>
      <c r="R820" s="4">
        <v>5.2499999999999998E-2</v>
      </c>
      <c r="S820" s="2">
        <v>1.56</v>
      </c>
      <c r="T820" t="s">
        <v>351</v>
      </c>
    </row>
    <row r="821" spans="1:20" x14ac:dyDescent="0.25">
      <c r="A821">
        <v>2018854836</v>
      </c>
      <c r="B821" t="s">
        <v>582</v>
      </c>
      <c r="C821" t="s">
        <v>583</v>
      </c>
      <c r="D821" t="str">
        <f t="shared" si="38"/>
        <v>LYNDA EARLY</v>
      </c>
      <c r="E821" t="s">
        <v>350</v>
      </c>
      <c r="F821" t="s">
        <v>351</v>
      </c>
      <c r="G821">
        <v>8977234</v>
      </c>
      <c r="H821" t="s">
        <v>80</v>
      </c>
      <c r="I821" t="s">
        <v>81</v>
      </c>
      <c r="J821" t="str">
        <f t="shared" si="36"/>
        <v>RYAN CALTAGIRONE</v>
      </c>
      <c r="K821" t="s">
        <v>57</v>
      </c>
      <c r="L821" s="1">
        <v>45078</v>
      </c>
      <c r="M821" s="1">
        <v>45962</v>
      </c>
      <c r="N821" s="2">
        <v>38.909999999999997</v>
      </c>
      <c r="O821">
        <f t="shared" si="37"/>
        <v>29</v>
      </c>
      <c r="P821" t="s">
        <v>214</v>
      </c>
      <c r="Q821" t="s">
        <v>1274</v>
      </c>
      <c r="R821" s="4">
        <v>5.2499999999999998E-2</v>
      </c>
      <c r="S821" s="2">
        <v>2.04</v>
      </c>
      <c r="T821" t="s">
        <v>351</v>
      </c>
    </row>
    <row r="822" spans="1:20" x14ac:dyDescent="0.25">
      <c r="A822">
        <v>2018855162</v>
      </c>
      <c r="B822" t="s">
        <v>582</v>
      </c>
      <c r="C822" t="s">
        <v>441</v>
      </c>
      <c r="D822" t="str">
        <f t="shared" si="38"/>
        <v>PATRICK EARLY</v>
      </c>
      <c r="E822" t="s">
        <v>350</v>
      </c>
      <c r="F822" t="s">
        <v>351</v>
      </c>
      <c r="G822">
        <v>8977234</v>
      </c>
      <c r="H822" t="s">
        <v>80</v>
      </c>
      <c r="I822" t="s">
        <v>81</v>
      </c>
      <c r="J822" t="str">
        <f t="shared" si="36"/>
        <v>RYAN CALTAGIRONE</v>
      </c>
      <c r="K822" t="s">
        <v>57</v>
      </c>
      <c r="L822" s="1">
        <v>45078</v>
      </c>
      <c r="M822" s="1">
        <v>45962</v>
      </c>
      <c r="N822" s="2">
        <v>38.909999999999997</v>
      </c>
      <c r="O822">
        <f t="shared" si="37"/>
        <v>29</v>
      </c>
      <c r="P822" t="s">
        <v>214</v>
      </c>
      <c r="Q822" t="s">
        <v>1274</v>
      </c>
      <c r="R822" s="4">
        <v>5.2499999999999998E-2</v>
      </c>
      <c r="S822" s="2">
        <v>2.04</v>
      </c>
      <c r="T822" t="s">
        <v>351</v>
      </c>
    </row>
    <row r="823" spans="1:20" x14ac:dyDescent="0.25">
      <c r="A823">
        <v>2018775436</v>
      </c>
      <c r="B823" t="s">
        <v>581</v>
      </c>
      <c r="C823" t="s">
        <v>132</v>
      </c>
      <c r="D823" t="str">
        <f t="shared" si="38"/>
        <v>CHRISTOPHER STEVANUS</v>
      </c>
      <c r="E823" t="s">
        <v>292</v>
      </c>
      <c r="F823" t="s">
        <v>293</v>
      </c>
      <c r="G823">
        <v>8977234</v>
      </c>
      <c r="H823" t="s">
        <v>80</v>
      </c>
      <c r="I823" t="s">
        <v>81</v>
      </c>
      <c r="J823" t="str">
        <f t="shared" si="36"/>
        <v>RYAN CALTAGIRONE</v>
      </c>
      <c r="K823" t="s">
        <v>57</v>
      </c>
      <c r="L823" s="1">
        <v>45078</v>
      </c>
      <c r="M823" s="1">
        <v>45962</v>
      </c>
      <c r="N823" s="2">
        <v>75.56</v>
      </c>
      <c r="O823">
        <f t="shared" si="37"/>
        <v>29</v>
      </c>
      <c r="P823" t="s">
        <v>214</v>
      </c>
      <c r="Q823" t="s">
        <v>1274</v>
      </c>
      <c r="R823" s="3">
        <v>0.15</v>
      </c>
      <c r="S823" s="2">
        <v>11.33</v>
      </c>
      <c r="T823" t="s">
        <v>293</v>
      </c>
    </row>
    <row r="824" spans="1:20" x14ac:dyDescent="0.25">
      <c r="A824">
        <v>2018854837</v>
      </c>
      <c r="B824" t="s">
        <v>582</v>
      </c>
      <c r="C824" t="s">
        <v>583</v>
      </c>
      <c r="D824" t="str">
        <f t="shared" si="38"/>
        <v>LYNDA EARLY</v>
      </c>
      <c r="E824" t="s">
        <v>292</v>
      </c>
      <c r="F824" t="s">
        <v>293</v>
      </c>
      <c r="G824">
        <v>8977234</v>
      </c>
      <c r="H824" t="s">
        <v>80</v>
      </c>
      <c r="I824" t="s">
        <v>81</v>
      </c>
      <c r="J824" t="str">
        <f t="shared" si="36"/>
        <v>RYAN CALTAGIRONE</v>
      </c>
      <c r="K824" t="s">
        <v>57</v>
      </c>
      <c r="L824" s="1">
        <v>45078</v>
      </c>
      <c r="M824" s="1">
        <v>45962</v>
      </c>
      <c r="N824" s="2">
        <v>35.369999999999997</v>
      </c>
      <c r="O824">
        <f t="shared" si="37"/>
        <v>29</v>
      </c>
      <c r="P824" t="s">
        <v>214</v>
      </c>
      <c r="Q824" t="s">
        <v>1274</v>
      </c>
      <c r="R824" s="3">
        <v>0.15</v>
      </c>
      <c r="S824" s="2">
        <v>5.31</v>
      </c>
      <c r="T824" t="s">
        <v>293</v>
      </c>
    </row>
    <row r="825" spans="1:20" x14ac:dyDescent="0.25">
      <c r="A825">
        <v>2018855163</v>
      </c>
      <c r="B825" t="s">
        <v>582</v>
      </c>
      <c r="C825" t="s">
        <v>441</v>
      </c>
      <c r="D825" t="str">
        <f t="shared" si="38"/>
        <v>PATRICK EARLY</v>
      </c>
      <c r="E825" t="s">
        <v>292</v>
      </c>
      <c r="F825" t="s">
        <v>293</v>
      </c>
      <c r="G825">
        <v>8977234</v>
      </c>
      <c r="H825" t="s">
        <v>80</v>
      </c>
      <c r="I825" t="s">
        <v>81</v>
      </c>
      <c r="J825" t="str">
        <f t="shared" si="36"/>
        <v>RYAN CALTAGIRONE</v>
      </c>
      <c r="K825" t="s">
        <v>57</v>
      </c>
      <c r="L825" s="1">
        <v>45078</v>
      </c>
      <c r="M825" s="1">
        <v>45962</v>
      </c>
      <c r="N825" s="2">
        <v>97.89</v>
      </c>
      <c r="O825">
        <f t="shared" si="37"/>
        <v>29</v>
      </c>
      <c r="P825" t="s">
        <v>214</v>
      </c>
      <c r="Q825" t="s">
        <v>1274</v>
      </c>
      <c r="R825" s="3">
        <v>0.15</v>
      </c>
      <c r="S825" s="2">
        <v>14.68</v>
      </c>
      <c r="T825" t="s">
        <v>293</v>
      </c>
    </row>
    <row r="826" spans="1:20" x14ac:dyDescent="0.25">
      <c r="A826">
        <v>2018695482</v>
      </c>
      <c r="B826" t="s">
        <v>969</v>
      </c>
      <c r="C826" t="s">
        <v>482</v>
      </c>
      <c r="D826" t="str">
        <f t="shared" si="38"/>
        <v>MICHAEL FIGUEROA</v>
      </c>
      <c r="E826" t="s">
        <v>243</v>
      </c>
      <c r="F826" t="s">
        <v>244</v>
      </c>
      <c r="G826" t="s">
        <v>1260</v>
      </c>
      <c r="H826" t="s">
        <v>237</v>
      </c>
      <c r="I826" t="s">
        <v>238</v>
      </c>
      <c r="J826" t="str">
        <f t="shared" si="36"/>
        <v>CAROL FOLEY</v>
      </c>
      <c r="K826" t="s">
        <v>57</v>
      </c>
      <c r="L826" s="1">
        <v>45078</v>
      </c>
      <c r="M826" s="1">
        <v>45962</v>
      </c>
      <c r="N826" s="2">
        <v>57.29</v>
      </c>
      <c r="O826">
        <f t="shared" si="37"/>
        <v>29</v>
      </c>
      <c r="P826" t="s">
        <v>214</v>
      </c>
      <c r="Q826" t="s">
        <v>1274</v>
      </c>
      <c r="R826" s="3">
        <v>0.06</v>
      </c>
      <c r="S826" s="2">
        <v>3.44</v>
      </c>
      <c r="T826" t="s">
        <v>244</v>
      </c>
    </row>
    <row r="827" spans="1:20" x14ac:dyDescent="0.25">
      <c r="A827">
        <v>2018462892</v>
      </c>
      <c r="B827" t="s">
        <v>650</v>
      </c>
      <c r="C827" t="s">
        <v>651</v>
      </c>
      <c r="D827" t="str">
        <f t="shared" si="38"/>
        <v>TANYA LINSLEY</v>
      </c>
      <c r="E827" t="s">
        <v>292</v>
      </c>
      <c r="F827" t="s">
        <v>536</v>
      </c>
      <c r="G827">
        <v>8307933</v>
      </c>
      <c r="H827" t="s">
        <v>112</v>
      </c>
      <c r="I827" t="s">
        <v>104</v>
      </c>
      <c r="J827" t="str">
        <f t="shared" si="36"/>
        <v>GREGORY TEIPEL</v>
      </c>
      <c r="K827" t="s">
        <v>57</v>
      </c>
      <c r="L827" s="1">
        <v>45052</v>
      </c>
      <c r="M827" s="1">
        <v>45967</v>
      </c>
      <c r="N827" s="2">
        <v>51.46</v>
      </c>
      <c r="O827">
        <f t="shared" si="37"/>
        <v>30</v>
      </c>
      <c r="P827" t="s">
        <v>214</v>
      </c>
      <c r="Q827" t="s">
        <v>1274</v>
      </c>
      <c r="R827" s="3">
        <v>0.15</v>
      </c>
      <c r="S827" s="2">
        <v>7.72</v>
      </c>
      <c r="T827" t="s">
        <v>536</v>
      </c>
    </row>
    <row r="828" spans="1:20" x14ac:dyDescent="0.25">
      <c r="A828">
        <v>2018514897</v>
      </c>
      <c r="B828" t="s">
        <v>652</v>
      </c>
      <c r="C828" t="s">
        <v>653</v>
      </c>
      <c r="D828" t="str">
        <f t="shared" si="38"/>
        <v>KYLE WICKS</v>
      </c>
      <c r="E828" t="s">
        <v>292</v>
      </c>
      <c r="F828" t="s">
        <v>536</v>
      </c>
      <c r="G828">
        <v>8307933</v>
      </c>
      <c r="H828" t="s">
        <v>112</v>
      </c>
      <c r="I828" t="s">
        <v>104</v>
      </c>
      <c r="J828" t="str">
        <f t="shared" si="36"/>
        <v>GREGORY TEIPEL</v>
      </c>
      <c r="K828" t="s">
        <v>57</v>
      </c>
      <c r="L828" s="1">
        <v>45052</v>
      </c>
      <c r="M828" s="1">
        <v>45967</v>
      </c>
      <c r="N828" s="2">
        <v>25.73</v>
      </c>
      <c r="O828">
        <f t="shared" si="37"/>
        <v>30</v>
      </c>
      <c r="P828" t="s">
        <v>214</v>
      </c>
      <c r="Q828" t="s">
        <v>1274</v>
      </c>
      <c r="R828" s="3">
        <v>0.15</v>
      </c>
      <c r="S828" s="2">
        <v>3.86</v>
      </c>
      <c r="T828" t="s">
        <v>536</v>
      </c>
    </row>
    <row r="829" spans="1:20" x14ac:dyDescent="0.25">
      <c r="A829">
        <v>2018434794</v>
      </c>
      <c r="B829" t="s">
        <v>572</v>
      </c>
      <c r="C829" t="s">
        <v>573</v>
      </c>
      <c r="D829" t="str">
        <f t="shared" si="38"/>
        <v>DWIGHT WAGNER</v>
      </c>
      <c r="E829" t="s">
        <v>292</v>
      </c>
      <c r="F829" t="s">
        <v>536</v>
      </c>
      <c r="G829">
        <v>8977234</v>
      </c>
      <c r="H829" t="s">
        <v>80</v>
      </c>
      <c r="I829" t="s">
        <v>81</v>
      </c>
      <c r="J829" t="str">
        <f t="shared" si="36"/>
        <v>RYAN CALTAGIRONE</v>
      </c>
      <c r="K829" t="s">
        <v>57</v>
      </c>
      <c r="L829" s="1">
        <v>45047</v>
      </c>
      <c r="M829" s="1">
        <v>45962</v>
      </c>
      <c r="N829" s="2">
        <v>25.73</v>
      </c>
      <c r="O829">
        <f t="shared" si="37"/>
        <v>30</v>
      </c>
      <c r="P829" t="s">
        <v>214</v>
      </c>
      <c r="Q829" t="s">
        <v>1274</v>
      </c>
      <c r="R829" s="3">
        <v>0.15</v>
      </c>
      <c r="S829" s="2">
        <v>3.86</v>
      </c>
      <c r="T829" t="s">
        <v>536</v>
      </c>
    </row>
    <row r="830" spans="1:20" x14ac:dyDescent="0.25">
      <c r="A830">
        <v>2018365034</v>
      </c>
      <c r="B830" t="s">
        <v>647</v>
      </c>
      <c r="C830" t="s">
        <v>648</v>
      </c>
      <c r="D830" t="str">
        <f t="shared" si="38"/>
        <v>KENNETH WHITTAKER</v>
      </c>
      <c r="E830" t="s">
        <v>89</v>
      </c>
      <c r="F830" t="s">
        <v>111</v>
      </c>
      <c r="G830">
        <v>8307933</v>
      </c>
      <c r="H830" t="s">
        <v>112</v>
      </c>
      <c r="I830" t="s">
        <v>104</v>
      </c>
      <c r="J830" t="str">
        <f t="shared" si="36"/>
        <v>GREGORY TEIPEL</v>
      </c>
      <c r="K830" t="s">
        <v>57</v>
      </c>
      <c r="L830" s="1">
        <v>45054</v>
      </c>
      <c r="M830" s="1">
        <v>45969</v>
      </c>
      <c r="N830" s="2">
        <v>171.06</v>
      </c>
      <c r="O830">
        <f t="shared" si="37"/>
        <v>30</v>
      </c>
      <c r="P830" t="s">
        <v>214</v>
      </c>
      <c r="Q830" t="s">
        <v>1274</v>
      </c>
      <c r="R830" s="3">
        <v>0.1</v>
      </c>
      <c r="S830" s="2">
        <v>17.11</v>
      </c>
      <c r="T830" t="s">
        <v>1257</v>
      </c>
    </row>
    <row r="831" spans="1:20" x14ac:dyDescent="0.25">
      <c r="A831">
        <v>2018514896</v>
      </c>
      <c r="B831" t="s">
        <v>652</v>
      </c>
      <c r="C831" t="s">
        <v>653</v>
      </c>
      <c r="D831" t="str">
        <f t="shared" si="38"/>
        <v>KYLE WICKS</v>
      </c>
      <c r="E831" t="s">
        <v>89</v>
      </c>
      <c r="F831" t="s">
        <v>90</v>
      </c>
      <c r="G831">
        <v>8307933</v>
      </c>
      <c r="H831" t="s">
        <v>112</v>
      </c>
      <c r="I831" t="s">
        <v>104</v>
      </c>
      <c r="J831" t="str">
        <f t="shared" si="36"/>
        <v>GREGORY TEIPEL</v>
      </c>
      <c r="K831" t="s">
        <v>57</v>
      </c>
      <c r="L831" s="1">
        <v>45052</v>
      </c>
      <c r="M831" s="1">
        <v>45967</v>
      </c>
      <c r="N831" s="2">
        <v>23.88</v>
      </c>
      <c r="O831">
        <f t="shared" si="37"/>
        <v>30</v>
      </c>
      <c r="P831" t="s">
        <v>214</v>
      </c>
      <c r="Q831" t="s">
        <v>1274</v>
      </c>
      <c r="R831" s="3">
        <v>0.1</v>
      </c>
      <c r="S831" s="2">
        <v>2.39</v>
      </c>
      <c r="T831" t="s">
        <v>1258</v>
      </c>
    </row>
    <row r="832" spans="1:20" x14ac:dyDescent="0.25">
      <c r="A832">
        <v>2018382555</v>
      </c>
      <c r="B832" t="s">
        <v>649</v>
      </c>
      <c r="C832" t="s">
        <v>161</v>
      </c>
      <c r="D832" t="str">
        <f t="shared" si="38"/>
        <v>NANCY MCNARY</v>
      </c>
      <c r="E832" t="s">
        <v>89</v>
      </c>
      <c r="F832" t="s">
        <v>96</v>
      </c>
      <c r="G832">
        <v>8307933</v>
      </c>
      <c r="H832" t="s">
        <v>112</v>
      </c>
      <c r="I832" t="s">
        <v>104</v>
      </c>
      <c r="J832" t="str">
        <f t="shared" si="36"/>
        <v>GREGORY TEIPEL</v>
      </c>
      <c r="K832" t="s">
        <v>57</v>
      </c>
      <c r="L832" s="1">
        <v>45052</v>
      </c>
      <c r="M832" s="1">
        <v>45967</v>
      </c>
      <c r="N832" s="2">
        <v>188.94</v>
      </c>
      <c r="O832">
        <f t="shared" si="37"/>
        <v>30</v>
      </c>
      <c r="P832" t="s">
        <v>214</v>
      </c>
      <c r="Q832" t="s">
        <v>1274</v>
      </c>
      <c r="R832" s="3">
        <v>0.1</v>
      </c>
      <c r="S832" s="2">
        <v>18.89</v>
      </c>
      <c r="T832" t="s">
        <v>1259</v>
      </c>
    </row>
    <row r="833" spans="1:20" x14ac:dyDescent="0.25">
      <c r="A833">
        <v>2018462891</v>
      </c>
      <c r="B833" t="s">
        <v>650</v>
      </c>
      <c r="C833" t="s">
        <v>651</v>
      </c>
      <c r="D833" t="str">
        <f t="shared" si="38"/>
        <v>TANYA LINSLEY</v>
      </c>
      <c r="E833" t="s">
        <v>89</v>
      </c>
      <c r="F833" t="s">
        <v>96</v>
      </c>
      <c r="G833">
        <v>8307933</v>
      </c>
      <c r="H833" t="s">
        <v>112</v>
      </c>
      <c r="I833" t="s">
        <v>104</v>
      </c>
      <c r="J833" t="str">
        <f t="shared" si="36"/>
        <v>GREGORY TEIPEL</v>
      </c>
      <c r="K833" t="s">
        <v>57</v>
      </c>
      <c r="L833" s="1">
        <v>45052</v>
      </c>
      <c r="M833" s="1">
        <v>45967</v>
      </c>
      <c r="N833" s="2">
        <v>213.41</v>
      </c>
      <c r="O833">
        <f t="shared" si="37"/>
        <v>30</v>
      </c>
      <c r="P833" t="s">
        <v>214</v>
      </c>
      <c r="Q833" t="s">
        <v>1274</v>
      </c>
      <c r="R833" s="3">
        <v>0.1</v>
      </c>
      <c r="S833" s="2">
        <v>21.34</v>
      </c>
      <c r="T833" t="s">
        <v>1259</v>
      </c>
    </row>
    <row r="834" spans="1:20" x14ac:dyDescent="0.25">
      <c r="A834">
        <v>2018439351</v>
      </c>
      <c r="B834" t="s">
        <v>574</v>
      </c>
      <c r="C834" t="s">
        <v>575</v>
      </c>
      <c r="D834" t="str">
        <f t="shared" si="38"/>
        <v>BILL PIENIADZ</v>
      </c>
      <c r="E834" t="s">
        <v>350</v>
      </c>
      <c r="F834" t="s">
        <v>351</v>
      </c>
      <c r="G834">
        <v>19562245</v>
      </c>
      <c r="H834" t="s">
        <v>576</v>
      </c>
      <c r="I834" t="s">
        <v>139</v>
      </c>
      <c r="J834" t="str">
        <f t="shared" ref="J834:J871" si="39">CONCATENATE(I834, " ",H834)</f>
        <v>KELLY CARRYER</v>
      </c>
      <c r="K834" t="s">
        <v>57</v>
      </c>
      <c r="L834" s="1">
        <v>45047</v>
      </c>
      <c r="M834" s="1">
        <v>45962</v>
      </c>
      <c r="N834" s="2">
        <v>92.61</v>
      </c>
      <c r="O834">
        <f t="shared" ref="O834:O871" si="40">DATEDIF(L834,M834,"M")</f>
        <v>30</v>
      </c>
      <c r="P834" t="s">
        <v>214</v>
      </c>
      <c r="Q834" t="s">
        <v>1274</v>
      </c>
      <c r="R834" s="4">
        <v>5.2499999999999998E-2</v>
      </c>
      <c r="S834" s="2">
        <v>4.8600000000000003</v>
      </c>
      <c r="T834" t="s">
        <v>351</v>
      </c>
    </row>
    <row r="835" spans="1:20" x14ac:dyDescent="0.25">
      <c r="A835">
        <v>2018472291</v>
      </c>
      <c r="B835" t="s">
        <v>577</v>
      </c>
      <c r="C835" t="s">
        <v>578</v>
      </c>
      <c r="D835" t="str">
        <f t="shared" ref="D835:D871" si="41">CONCATENATE(C835, " ",B835)</f>
        <v>KATHY POPA</v>
      </c>
      <c r="E835" t="s">
        <v>350</v>
      </c>
      <c r="F835" t="s">
        <v>351</v>
      </c>
      <c r="G835">
        <v>19562245</v>
      </c>
      <c r="H835" t="s">
        <v>576</v>
      </c>
      <c r="I835" t="s">
        <v>139</v>
      </c>
      <c r="J835" t="str">
        <f t="shared" si="39"/>
        <v>KELLY CARRYER</v>
      </c>
      <c r="K835" t="s">
        <v>57</v>
      </c>
      <c r="L835" s="1">
        <v>45047</v>
      </c>
      <c r="M835" s="1">
        <v>45962</v>
      </c>
      <c r="N835" s="2">
        <v>87.31</v>
      </c>
      <c r="O835">
        <f t="shared" si="40"/>
        <v>30</v>
      </c>
      <c r="P835" t="s">
        <v>214</v>
      </c>
      <c r="Q835" t="s">
        <v>1274</v>
      </c>
      <c r="R835" s="4">
        <v>5.2499999999999998E-2</v>
      </c>
      <c r="S835" s="2">
        <v>4.58</v>
      </c>
      <c r="T835" t="s">
        <v>351</v>
      </c>
    </row>
    <row r="836" spans="1:20" x14ac:dyDescent="0.25">
      <c r="A836">
        <v>2018522516</v>
      </c>
      <c r="B836" t="s">
        <v>426</v>
      </c>
      <c r="C836" t="s">
        <v>579</v>
      </c>
      <c r="D836" t="str">
        <f t="shared" si="41"/>
        <v>LAWRENCE III</v>
      </c>
      <c r="E836" t="s">
        <v>350</v>
      </c>
      <c r="F836" t="s">
        <v>351</v>
      </c>
      <c r="G836">
        <v>19562245</v>
      </c>
      <c r="H836" t="s">
        <v>576</v>
      </c>
      <c r="I836" t="s">
        <v>139</v>
      </c>
      <c r="J836" t="str">
        <f t="shared" si="39"/>
        <v>KELLY CARRYER</v>
      </c>
      <c r="K836" t="s">
        <v>57</v>
      </c>
      <c r="L836" s="1">
        <v>45048</v>
      </c>
      <c r="M836" s="1">
        <v>45963</v>
      </c>
      <c r="N836" s="2">
        <v>50.6</v>
      </c>
      <c r="O836">
        <f t="shared" si="40"/>
        <v>30</v>
      </c>
      <c r="P836" t="s">
        <v>214</v>
      </c>
      <c r="Q836" t="s">
        <v>1274</v>
      </c>
      <c r="R836" s="4">
        <v>5.2499999999999998E-2</v>
      </c>
      <c r="S836" s="2">
        <v>2.66</v>
      </c>
      <c r="T836" t="s">
        <v>351</v>
      </c>
    </row>
    <row r="837" spans="1:20" x14ac:dyDescent="0.25">
      <c r="A837">
        <v>2018276908</v>
      </c>
      <c r="B837" t="s">
        <v>570</v>
      </c>
      <c r="C837" t="s">
        <v>571</v>
      </c>
      <c r="D837" t="str">
        <f t="shared" si="41"/>
        <v>TRACY SHELLEY</v>
      </c>
      <c r="E837" t="s">
        <v>350</v>
      </c>
      <c r="F837" t="s">
        <v>351</v>
      </c>
      <c r="G837">
        <v>8977234</v>
      </c>
      <c r="H837" t="s">
        <v>80</v>
      </c>
      <c r="I837" t="s">
        <v>81</v>
      </c>
      <c r="J837" t="str">
        <f t="shared" si="39"/>
        <v>RYAN CALTAGIRONE</v>
      </c>
      <c r="K837" t="s">
        <v>57</v>
      </c>
      <c r="L837" s="1">
        <v>45047</v>
      </c>
      <c r="M837" s="1">
        <v>45962</v>
      </c>
      <c r="N837" s="2">
        <v>101.73</v>
      </c>
      <c r="O837">
        <f t="shared" si="40"/>
        <v>30</v>
      </c>
      <c r="P837" t="s">
        <v>214</v>
      </c>
      <c r="Q837" t="s">
        <v>1274</v>
      </c>
      <c r="R837" s="4">
        <v>5.2499999999999998E-2</v>
      </c>
      <c r="S837" s="2">
        <v>5.34</v>
      </c>
      <c r="T837" t="s">
        <v>351</v>
      </c>
    </row>
    <row r="838" spans="1:20" x14ac:dyDescent="0.25">
      <c r="A838">
        <v>2018434791</v>
      </c>
      <c r="B838" t="s">
        <v>572</v>
      </c>
      <c r="C838" t="s">
        <v>573</v>
      </c>
      <c r="D838" t="str">
        <f t="shared" si="41"/>
        <v>DWIGHT WAGNER</v>
      </c>
      <c r="E838" t="s">
        <v>350</v>
      </c>
      <c r="F838" t="s">
        <v>351</v>
      </c>
      <c r="G838">
        <v>8977234</v>
      </c>
      <c r="H838" t="s">
        <v>80</v>
      </c>
      <c r="I838" t="s">
        <v>81</v>
      </c>
      <c r="J838" t="str">
        <f t="shared" si="39"/>
        <v>RYAN CALTAGIRONE</v>
      </c>
      <c r="K838" t="s">
        <v>57</v>
      </c>
      <c r="L838" s="1">
        <v>45047</v>
      </c>
      <c r="M838" s="1">
        <v>45962</v>
      </c>
      <c r="N838" s="2">
        <v>46.65</v>
      </c>
      <c r="O838">
        <f t="shared" si="40"/>
        <v>30</v>
      </c>
      <c r="P838" t="s">
        <v>214</v>
      </c>
      <c r="Q838" t="s">
        <v>1274</v>
      </c>
      <c r="R838" s="4">
        <v>5.2499999999999998E-2</v>
      </c>
      <c r="S838" s="2">
        <v>2.4500000000000002</v>
      </c>
      <c r="T838" t="s">
        <v>351</v>
      </c>
    </row>
    <row r="839" spans="1:20" x14ac:dyDescent="0.25">
      <c r="A839">
        <v>2018264457</v>
      </c>
      <c r="B839" t="s">
        <v>968</v>
      </c>
      <c r="C839" t="s">
        <v>259</v>
      </c>
      <c r="D839" t="str">
        <f t="shared" si="41"/>
        <v>COLLEEN KOHLER</v>
      </c>
      <c r="E839" t="s">
        <v>243</v>
      </c>
      <c r="F839" t="s">
        <v>244</v>
      </c>
      <c r="G839">
        <v>8307933</v>
      </c>
      <c r="H839" t="s">
        <v>112</v>
      </c>
      <c r="I839" t="s">
        <v>104</v>
      </c>
      <c r="J839" t="str">
        <f t="shared" si="39"/>
        <v>GREGORY TEIPEL</v>
      </c>
      <c r="K839" t="s">
        <v>57</v>
      </c>
      <c r="L839" s="1">
        <v>45052</v>
      </c>
      <c r="M839" s="1">
        <v>45967</v>
      </c>
      <c r="N839" s="2">
        <v>47.79</v>
      </c>
      <c r="O839">
        <f t="shared" si="40"/>
        <v>30</v>
      </c>
      <c r="P839" t="s">
        <v>214</v>
      </c>
      <c r="Q839" t="s">
        <v>1274</v>
      </c>
      <c r="R839" s="3">
        <v>0.06</v>
      </c>
      <c r="S839" s="2">
        <v>2.87</v>
      </c>
      <c r="T839" t="s">
        <v>244</v>
      </c>
    </row>
    <row r="840" spans="1:20" x14ac:dyDescent="0.25">
      <c r="A840">
        <v>2018472292</v>
      </c>
      <c r="B840" t="s">
        <v>577</v>
      </c>
      <c r="C840" t="s">
        <v>578</v>
      </c>
      <c r="D840" t="str">
        <f t="shared" si="41"/>
        <v>KATHY POPA</v>
      </c>
      <c r="E840" t="s">
        <v>53</v>
      </c>
      <c r="F840" t="s">
        <v>54</v>
      </c>
      <c r="G840">
        <v>19562245</v>
      </c>
      <c r="H840" t="s">
        <v>576</v>
      </c>
      <c r="I840" t="s">
        <v>139</v>
      </c>
      <c r="J840" t="str">
        <f t="shared" si="39"/>
        <v>KELLY CARRYER</v>
      </c>
      <c r="K840" t="s">
        <v>57</v>
      </c>
      <c r="L840" s="1">
        <v>45047</v>
      </c>
      <c r="M840" s="1">
        <v>45962</v>
      </c>
      <c r="N840" s="2">
        <v>97.45</v>
      </c>
      <c r="O840">
        <f t="shared" si="40"/>
        <v>30</v>
      </c>
      <c r="P840" t="s">
        <v>214</v>
      </c>
      <c r="Q840" t="s">
        <v>1274</v>
      </c>
      <c r="R840" s="4">
        <v>6.5000000000000002E-2</v>
      </c>
      <c r="S840" s="2">
        <v>6.33</v>
      </c>
      <c r="T840" t="s">
        <v>54</v>
      </c>
    </row>
    <row r="841" spans="1:20" x14ac:dyDescent="0.25">
      <c r="A841">
        <v>2018439352</v>
      </c>
      <c r="B841" t="s">
        <v>574</v>
      </c>
      <c r="C841" t="s">
        <v>575</v>
      </c>
      <c r="D841" t="str">
        <f t="shared" si="41"/>
        <v>BILL PIENIADZ</v>
      </c>
      <c r="E841" t="s">
        <v>53</v>
      </c>
      <c r="F841" t="s">
        <v>65</v>
      </c>
      <c r="G841">
        <v>19562245</v>
      </c>
      <c r="H841" t="s">
        <v>576</v>
      </c>
      <c r="I841" t="s">
        <v>139</v>
      </c>
      <c r="J841" t="str">
        <f t="shared" si="39"/>
        <v>KELLY CARRYER</v>
      </c>
      <c r="K841" t="s">
        <v>57</v>
      </c>
      <c r="L841" s="1">
        <v>45047</v>
      </c>
      <c r="M841" s="1">
        <v>45962</v>
      </c>
      <c r="N841" s="2">
        <v>75.75</v>
      </c>
      <c r="O841">
        <f t="shared" si="40"/>
        <v>30</v>
      </c>
      <c r="P841" t="s">
        <v>214</v>
      </c>
      <c r="Q841" t="s">
        <v>1274</v>
      </c>
      <c r="R841" s="4">
        <v>6.5000000000000002E-2</v>
      </c>
      <c r="S841" s="2">
        <v>4.92</v>
      </c>
      <c r="T841" t="s">
        <v>65</v>
      </c>
    </row>
    <row r="842" spans="1:20" x14ac:dyDescent="0.25">
      <c r="A842">
        <v>2018167734</v>
      </c>
      <c r="B842" t="s">
        <v>645</v>
      </c>
      <c r="C842" t="s">
        <v>179</v>
      </c>
      <c r="D842" t="str">
        <f t="shared" si="41"/>
        <v>MICHELLE BROTTEN</v>
      </c>
      <c r="E842" t="s">
        <v>89</v>
      </c>
      <c r="F842" t="s">
        <v>111</v>
      </c>
      <c r="G842">
        <v>8307933</v>
      </c>
      <c r="H842" t="s">
        <v>112</v>
      </c>
      <c r="I842" t="s">
        <v>104</v>
      </c>
      <c r="J842" t="str">
        <f t="shared" si="39"/>
        <v>GREGORY TEIPEL</v>
      </c>
      <c r="K842" t="s">
        <v>57</v>
      </c>
      <c r="L842" s="1">
        <v>45024</v>
      </c>
      <c r="M842" s="1">
        <v>45969</v>
      </c>
      <c r="N842" s="2">
        <v>64.05</v>
      </c>
      <c r="O842">
        <f t="shared" si="40"/>
        <v>31</v>
      </c>
      <c r="P842" t="s">
        <v>214</v>
      </c>
      <c r="Q842" t="s">
        <v>1274</v>
      </c>
      <c r="R842" s="3">
        <v>0.1</v>
      </c>
      <c r="S842" s="2">
        <v>6.4</v>
      </c>
      <c r="T842" t="s">
        <v>1257</v>
      </c>
    </row>
    <row r="843" spans="1:20" x14ac:dyDescent="0.25">
      <c r="A843">
        <v>2018091396</v>
      </c>
      <c r="B843" t="s">
        <v>792</v>
      </c>
      <c r="C843" t="s">
        <v>236</v>
      </c>
      <c r="D843" t="str">
        <f t="shared" si="41"/>
        <v>BRENDA RICHARDSON</v>
      </c>
      <c r="E843" t="s">
        <v>292</v>
      </c>
      <c r="F843" t="s">
        <v>295</v>
      </c>
      <c r="G843">
        <v>8307933</v>
      </c>
      <c r="H843" t="s">
        <v>112</v>
      </c>
      <c r="I843" t="s">
        <v>104</v>
      </c>
      <c r="J843" t="str">
        <f t="shared" si="39"/>
        <v>GREGORY TEIPEL</v>
      </c>
      <c r="K843" t="s">
        <v>57</v>
      </c>
      <c r="L843" s="1">
        <v>45022</v>
      </c>
      <c r="M843" s="1">
        <v>45967</v>
      </c>
      <c r="N843" s="2">
        <v>164.06</v>
      </c>
      <c r="O843">
        <f t="shared" si="40"/>
        <v>31</v>
      </c>
      <c r="P843" t="s">
        <v>214</v>
      </c>
      <c r="Q843" t="s">
        <v>1274</v>
      </c>
      <c r="R843" s="3">
        <v>0.1</v>
      </c>
      <c r="S843" s="2">
        <v>16.41</v>
      </c>
      <c r="T843" t="s">
        <v>295</v>
      </c>
    </row>
    <row r="844" spans="1:20" x14ac:dyDescent="0.25">
      <c r="A844">
        <v>2018167735</v>
      </c>
      <c r="B844" t="s">
        <v>645</v>
      </c>
      <c r="C844" t="s">
        <v>179</v>
      </c>
      <c r="D844" t="str">
        <f t="shared" si="41"/>
        <v>MICHELLE BROTTEN</v>
      </c>
      <c r="E844" t="s">
        <v>292</v>
      </c>
      <c r="F844" t="s">
        <v>295</v>
      </c>
      <c r="G844">
        <v>8307933</v>
      </c>
      <c r="H844" t="s">
        <v>112</v>
      </c>
      <c r="I844" t="s">
        <v>104</v>
      </c>
      <c r="J844" t="str">
        <f t="shared" si="39"/>
        <v>GREGORY TEIPEL</v>
      </c>
      <c r="K844" t="s">
        <v>57</v>
      </c>
      <c r="L844" s="1">
        <v>45024</v>
      </c>
      <c r="M844" s="1">
        <v>45969</v>
      </c>
      <c r="N844" s="2">
        <v>75.44</v>
      </c>
      <c r="O844">
        <f t="shared" si="40"/>
        <v>31</v>
      </c>
      <c r="P844" t="s">
        <v>214</v>
      </c>
      <c r="Q844" t="s">
        <v>1274</v>
      </c>
      <c r="R844" s="3">
        <v>0.1</v>
      </c>
      <c r="S844" s="2">
        <v>7.54</v>
      </c>
      <c r="T844" t="s">
        <v>295</v>
      </c>
    </row>
    <row r="845" spans="1:20" x14ac:dyDescent="0.25">
      <c r="A845">
        <v>2017534892</v>
      </c>
      <c r="B845" t="s">
        <v>544</v>
      </c>
      <c r="C845" t="s">
        <v>371</v>
      </c>
      <c r="D845" t="str">
        <f t="shared" si="41"/>
        <v>RANDY RUSSELL</v>
      </c>
      <c r="E845" t="s">
        <v>292</v>
      </c>
      <c r="F845" t="s">
        <v>536</v>
      </c>
      <c r="G845">
        <v>20436896</v>
      </c>
      <c r="H845" t="s">
        <v>80</v>
      </c>
      <c r="I845" t="s">
        <v>537</v>
      </c>
      <c r="J845" t="str">
        <f t="shared" si="39"/>
        <v>KATELENN CALTAGIRONE</v>
      </c>
      <c r="K845" t="s">
        <v>57</v>
      </c>
      <c r="L845" s="1">
        <v>44986</v>
      </c>
      <c r="M845" s="1">
        <v>45962</v>
      </c>
      <c r="N845" s="2">
        <v>42.88</v>
      </c>
      <c r="O845">
        <f t="shared" si="40"/>
        <v>32</v>
      </c>
      <c r="P845" t="s">
        <v>214</v>
      </c>
      <c r="Q845" t="s">
        <v>1274</v>
      </c>
      <c r="R845" s="3">
        <v>0.15</v>
      </c>
      <c r="S845" s="2">
        <v>6.43</v>
      </c>
      <c r="T845" t="s">
        <v>536</v>
      </c>
    </row>
    <row r="846" spans="1:20" x14ac:dyDescent="0.25">
      <c r="A846">
        <v>2017585589</v>
      </c>
      <c r="B846" t="s">
        <v>545</v>
      </c>
      <c r="C846" t="s">
        <v>478</v>
      </c>
      <c r="D846" t="str">
        <f t="shared" si="41"/>
        <v>MARIE BULK</v>
      </c>
      <c r="E846" t="s">
        <v>292</v>
      </c>
      <c r="F846" t="s">
        <v>536</v>
      </c>
      <c r="G846">
        <v>20436896</v>
      </c>
      <c r="H846" t="s">
        <v>80</v>
      </c>
      <c r="I846" t="s">
        <v>537</v>
      </c>
      <c r="J846" t="str">
        <f t="shared" si="39"/>
        <v>KATELENN CALTAGIRONE</v>
      </c>
      <c r="K846" t="s">
        <v>57</v>
      </c>
      <c r="L846" s="1">
        <v>44986</v>
      </c>
      <c r="M846" s="1">
        <v>45962</v>
      </c>
      <c r="N846" s="2">
        <v>25.73</v>
      </c>
      <c r="O846">
        <f t="shared" si="40"/>
        <v>32</v>
      </c>
      <c r="P846" t="s">
        <v>214</v>
      </c>
      <c r="Q846" t="s">
        <v>1274</v>
      </c>
      <c r="R846" s="3">
        <v>0.15</v>
      </c>
      <c r="S846" s="2">
        <v>3.86</v>
      </c>
      <c r="T846" t="s">
        <v>536</v>
      </c>
    </row>
    <row r="847" spans="1:20" x14ac:dyDescent="0.25">
      <c r="A847">
        <v>2017629365</v>
      </c>
      <c r="B847" t="s">
        <v>546</v>
      </c>
      <c r="C847" t="s">
        <v>547</v>
      </c>
      <c r="D847" t="str">
        <f t="shared" si="41"/>
        <v>JACKIE GLOVER</v>
      </c>
      <c r="E847" t="s">
        <v>292</v>
      </c>
      <c r="F847" t="s">
        <v>536</v>
      </c>
      <c r="G847">
        <v>20436896</v>
      </c>
      <c r="H847" t="s">
        <v>80</v>
      </c>
      <c r="I847" t="s">
        <v>537</v>
      </c>
      <c r="J847" t="str">
        <f t="shared" si="39"/>
        <v>KATELENN CALTAGIRONE</v>
      </c>
      <c r="K847" t="s">
        <v>57</v>
      </c>
      <c r="L847" s="1">
        <v>44994</v>
      </c>
      <c r="M847" s="1">
        <v>45970</v>
      </c>
      <c r="N847" s="2">
        <v>8.3699999999999992</v>
      </c>
      <c r="O847">
        <f t="shared" si="40"/>
        <v>32</v>
      </c>
      <c r="P847" t="s">
        <v>214</v>
      </c>
      <c r="Q847" t="s">
        <v>1274</v>
      </c>
      <c r="R847" s="3">
        <v>0.15</v>
      </c>
      <c r="S847" s="2">
        <v>1.26</v>
      </c>
      <c r="T847" t="s">
        <v>536</v>
      </c>
    </row>
    <row r="848" spans="1:20" x14ac:dyDescent="0.25">
      <c r="A848">
        <v>2017539416</v>
      </c>
      <c r="B848" t="s">
        <v>568</v>
      </c>
      <c r="C848" t="s">
        <v>569</v>
      </c>
      <c r="D848" t="str">
        <f t="shared" si="41"/>
        <v>KIMBERLY HUFF</v>
      </c>
      <c r="E848" t="s">
        <v>350</v>
      </c>
      <c r="F848" t="s">
        <v>351</v>
      </c>
      <c r="G848">
        <v>20436896</v>
      </c>
      <c r="H848" t="s">
        <v>80</v>
      </c>
      <c r="I848" t="s">
        <v>537</v>
      </c>
      <c r="J848" t="str">
        <f t="shared" si="39"/>
        <v>KATELENN CALTAGIRONE</v>
      </c>
      <c r="K848" t="s">
        <v>57</v>
      </c>
      <c r="L848" s="1">
        <v>44986</v>
      </c>
      <c r="M848" s="1">
        <v>45962</v>
      </c>
      <c r="N848" s="2">
        <v>41.11</v>
      </c>
      <c r="O848">
        <f t="shared" si="40"/>
        <v>32</v>
      </c>
      <c r="P848" t="s">
        <v>214</v>
      </c>
      <c r="Q848" t="s">
        <v>1274</v>
      </c>
      <c r="R848" s="4">
        <v>5.2499999999999998E-2</v>
      </c>
      <c r="S848" s="2">
        <v>2.16</v>
      </c>
      <c r="T848" t="s">
        <v>351</v>
      </c>
    </row>
    <row r="849" spans="1:20" x14ac:dyDescent="0.25">
      <c r="A849">
        <v>2017585587</v>
      </c>
      <c r="B849" t="s">
        <v>545</v>
      </c>
      <c r="C849" t="s">
        <v>478</v>
      </c>
      <c r="D849" t="str">
        <f t="shared" si="41"/>
        <v>MARIE BULK</v>
      </c>
      <c r="E849" t="s">
        <v>350</v>
      </c>
      <c r="F849" t="s">
        <v>351</v>
      </c>
      <c r="G849">
        <v>20436896</v>
      </c>
      <c r="H849" t="s">
        <v>80</v>
      </c>
      <c r="I849" t="s">
        <v>537</v>
      </c>
      <c r="J849" t="str">
        <f t="shared" si="39"/>
        <v>KATELENN CALTAGIRONE</v>
      </c>
      <c r="K849" t="s">
        <v>57</v>
      </c>
      <c r="L849" s="1">
        <v>44986</v>
      </c>
      <c r="M849" s="1">
        <v>45962</v>
      </c>
      <c r="N849" s="2">
        <v>48.61</v>
      </c>
      <c r="O849">
        <f t="shared" si="40"/>
        <v>32</v>
      </c>
      <c r="P849" t="s">
        <v>214</v>
      </c>
      <c r="Q849" t="s">
        <v>1274</v>
      </c>
      <c r="R849" s="4">
        <v>5.2499999999999998E-2</v>
      </c>
      <c r="S849" s="2">
        <v>2.5499999999999998</v>
      </c>
      <c r="T849" t="s">
        <v>351</v>
      </c>
    </row>
    <row r="850" spans="1:20" x14ac:dyDescent="0.25">
      <c r="A850">
        <v>2017585588</v>
      </c>
      <c r="B850" t="s">
        <v>545</v>
      </c>
      <c r="C850" t="s">
        <v>478</v>
      </c>
      <c r="D850" t="str">
        <f t="shared" si="41"/>
        <v>MARIE BULK</v>
      </c>
      <c r="E850" t="s">
        <v>292</v>
      </c>
      <c r="F850" t="s">
        <v>293</v>
      </c>
      <c r="G850">
        <v>20436896</v>
      </c>
      <c r="H850" t="s">
        <v>80</v>
      </c>
      <c r="I850" t="s">
        <v>537</v>
      </c>
      <c r="J850" t="str">
        <f t="shared" si="39"/>
        <v>KATELENN CALTAGIRONE</v>
      </c>
      <c r="K850" t="s">
        <v>57</v>
      </c>
      <c r="L850" s="1">
        <v>44986</v>
      </c>
      <c r="M850" s="1">
        <v>45962</v>
      </c>
      <c r="N850" s="2">
        <v>26.82</v>
      </c>
      <c r="O850">
        <f t="shared" si="40"/>
        <v>32</v>
      </c>
      <c r="P850" t="s">
        <v>214</v>
      </c>
      <c r="Q850" t="s">
        <v>1274</v>
      </c>
      <c r="R850" s="3">
        <v>0.15</v>
      </c>
      <c r="S850" s="2">
        <v>4.0199999999999996</v>
      </c>
      <c r="T850" t="s">
        <v>293</v>
      </c>
    </row>
    <row r="851" spans="1:20" x14ac:dyDescent="0.25">
      <c r="A851">
        <v>2017629364</v>
      </c>
      <c r="B851" t="s">
        <v>546</v>
      </c>
      <c r="C851" t="s">
        <v>547</v>
      </c>
      <c r="D851" t="str">
        <f t="shared" si="41"/>
        <v>JACKIE GLOVER</v>
      </c>
      <c r="E851" t="s">
        <v>292</v>
      </c>
      <c r="F851" t="s">
        <v>293</v>
      </c>
      <c r="G851">
        <v>20436896</v>
      </c>
      <c r="H851" t="s">
        <v>80</v>
      </c>
      <c r="I851" t="s">
        <v>537</v>
      </c>
      <c r="J851" t="str">
        <f t="shared" si="39"/>
        <v>KATELENN CALTAGIRONE</v>
      </c>
      <c r="K851" t="s">
        <v>57</v>
      </c>
      <c r="L851" s="1">
        <v>44994</v>
      </c>
      <c r="M851" s="1">
        <v>45970</v>
      </c>
      <c r="N851" s="2">
        <v>58.95</v>
      </c>
      <c r="O851">
        <f t="shared" si="40"/>
        <v>32</v>
      </c>
      <c r="P851" t="s">
        <v>214</v>
      </c>
      <c r="Q851" t="s">
        <v>1274</v>
      </c>
      <c r="R851" s="3">
        <v>0.15</v>
      </c>
      <c r="S851" s="2">
        <v>8.84</v>
      </c>
      <c r="T851" t="s">
        <v>293</v>
      </c>
    </row>
    <row r="852" spans="1:20" x14ac:dyDescent="0.25">
      <c r="A852">
        <v>2017539417</v>
      </c>
      <c r="B852" t="s">
        <v>568</v>
      </c>
      <c r="C852" t="s">
        <v>569</v>
      </c>
      <c r="D852" t="str">
        <f t="shared" si="41"/>
        <v>KIMBERLY HUFF</v>
      </c>
      <c r="E852" t="s">
        <v>53</v>
      </c>
      <c r="F852" t="s">
        <v>65</v>
      </c>
      <c r="G852">
        <v>20436896</v>
      </c>
      <c r="H852" t="s">
        <v>80</v>
      </c>
      <c r="I852" t="s">
        <v>537</v>
      </c>
      <c r="J852" t="str">
        <f t="shared" si="39"/>
        <v>KATELENN CALTAGIRONE</v>
      </c>
      <c r="K852" t="s">
        <v>57</v>
      </c>
      <c r="L852" s="1">
        <v>44986</v>
      </c>
      <c r="M852" s="1">
        <v>45962</v>
      </c>
      <c r="N852" s="2">
        <v>52.69</v>
      </c>
      <c r="O852">
        <f t="shared" si="40"/>
        <v>32</v>
      </c>
      <c r="P852" t="s">
        <v>214</v>
      </c>
      <c r="Q852" t="s">
        <v>1274</v>
      </c>
      <c r="R852" s="4">
        <v>6.5000000000000002E-2</v>
      </c>
      <c r="S852" s="2">
        <v>3.42</v>
      </c>
      <c r="T852" t="s">
        <v>65</v>
      </c>
    </row>
    <row r="853" spans="1:20" x14ac:dyDescent="0.25">
      <c r="A853">
        <v>2017514550</v>
      </c>
      <c r="B853" t="s">
        <v>567</v>
      </c>
      <c r="C853" t="s">
        <v>108</v>
      </c>
      <c r="D853" t="str">
        <f t="shared" si="41"/>
        <v>MARTIN MOSAKOSKI</v>
      </c>
      <c r="E853" t="s">
        <v>350</v>
      </c>
      <c r="F853" t="s">
        <v>351</v>
      </c>
      <c r="G853">
        <v>20436896</v>
      </c>
      <c r="H853" t="s">
        <v>80</v>
      </c>
      <c r="I853" t="s">
        <v>537</v>
      </c>
      <c r="J853" t="str">
        <f t="shared" si="39"/>
        <v>KATELENN CALTAGIRONE</v>
      </c>
      <c r="K853" t="s">
        <v>57</v>
      </c>
      <c r="L853" s="1">
        <v>44958</v>
      </c>
      <c r="M853" s="1">
        <v>45962</v>
      </c>
      <c r="N853" s="2">
        <v>77.39</v>
      </c>
      <c r="O853">
        <f t="shared" si="40"/>
        <v>33</v>
      </c>
      <c r="P853" t="s">
        <v>214</v>
      </c>
      <c r="Q853" t="s">
        <v>1274</v>
      </c>
      <c r="R853" s="4">
        <v>5.2499999999999998E-2</v>
      </c>
      <c r="S853" s="2">
        <v>4.0599999999999996</v>
      </c>
      <c r="T853" t="s">
        <v>351</v>
      </c>
    </row>
    <row r="854" spans="1:20" x14ac:dyDescent="0.25">
      <c r="A854">
        <v>2017242800</v>
      </c>
      <c r="B854" t="s">
        <v>542</v>
      </c>
      <c r="C854" t="s">
        <v>543</v>
      </c>
      <c r="D854" t="str">
        <f t="shared" si="41"/>
        <v>BONNI STEPHENSON</v>
      </c>
      <c r="E854" t="s">
        <v>292</v>
      </c>
      <c r="F854" t="s">
        <v>536</v>
      </c>
      <c r="G854">
        <v>9079571</v>
      </c>
      <c r="H854" t="s">
        <v>172</v>
      </c>
      <c r="I854" t="s">
        <v>173</v>
      </c>
      <c r="J854" t="str">
        <f t="shared" si="39"/>
        <v>ADAM RICHTER</v>
      </c>
      <c r="K854" t="s">
        <v>57</v>
      </c>
      <c r="L854" s="1">
        <v>44930</v>
      </c>
      <c r="M854" s="1">
        <v>45965</v>
      </c>
      <c r="N854" s="2">
        <v>25.73</v>
      </c>
      <c r="O854">
        <f t="shared" si="40"/>
        <v>34</v>
      </c>
      <c r="P854" t="s">
        <v>214</v>
      </c>
      <c r="Q854" t="s">
        <v>1274</v>
      </c>
      <c r="R854" s="3">
        <v>0.15</v>
      </c>
      <c r="S854" s="2">
        <v>3.86</v>
      </c>
      <c r="T854" t="s">
        <v>536</v>
      </c>
    </row>
    <row r="855" spans="1:20" x14ac:dyDescent="0.25">
      <c r="A855">
        <v>2016705959</v>
      </c>
      <c r="B855" t="s">
        <v>534</v>
      </c>
      <c r="C855" t="s">
        <v>535</v>
      </c>
      <c r="D855" t="str">
        <f t="shared" si="41"/>
        <v>KIM GULICK</v>
      </c>
      <c r="E855" t="s">
        <v>292</v>
      </c>
      <c r="F855" t="s">
        <v>536</v>
      </c>
      <c r="G855">
        <v>20436896</v>
      </c>
      <c r="H855" t="s">
        <v>80</v>
      </c>
      <c r="I855" t="s">
        <v>537</v>
      </c>
      <c r="J855" t="str">
        <f t="shared" si="39"/>
        <v>KATELENN CALTAGIRONE</v>
      </c>
      <c r="K855" t="s">
        <v>57</v>
      </c>
      <c r="L855" s="1">
        <v>44927</v>
      </c>
      <c r="M855" s="1">
        <v>45962</v>
      </c>
      <c r="N855" s="2">
        <v>25.73</v>
      </c>
      <c r="O855">
        <f t="shared" si="40"/>
        <v>34</v>
      </c>
      <c r="P855" t="s">
        <v>214</v>
      </c>
      <c r="Q855" t="s">
        <v>1274</v>
      </c>
      <c r="R855" s="3">
        <v>0.15</v>
      </c>
      <c r="S855" s="2">
        <v>3.86</v>
      </c>
      <c r="T855" t="s">
        <v>536</v>
      </c>
    </row>
    <row r="856" spans="1:20" x14ac:dyDescent="0.25">
      <c r="A856">
        <v>2016794187</v>
      </c>
      <c r="B856" t="s">
        <v>538</v>
      </c>
      <c r="C856" t="s">
        <v>539</v>
      </c>
      <c r="D856" t="str">
        <f t="shared" si="41"/>
        <v>SUZIE ACKLEY</v>
      </c>
      <c r="E856" t="s">
        <v>292</v>
      </c>
      <c r="F856" t="s">
        <v>536</v>
      </c>
      <c r="G856">
        <v>20436896</v>
      </c>
      <c r="H856" t="s">
        <v>80</v>
      </c>
      <c r="I856" t="s">
        <v>537</v>
      </c>
      <c r="J856" t="str">
        <f t="shared" si="39"/>
        <v>KATELENN CALTAGIRONE</v>
      </c>
      <c r="K856" t="s">
        <v>57</v>
      </c>
      <c r="L856" s="1">
        <v>44927</v>
      </c>
      <c r="M856" s="1">
        <v>45962</v>
      </c>
      <c r="N856" s="2">
        <v>21.44</v>
      </c>
      <c r="O856">
        <f t="shared" si="40"/>
        <v>34</v>
      </c>
      <c r="P856" t="s">
        <v>214</v>
      </c>
      <c r="Q856" t="s">
        <v>1274</v>
      </c>
      <c r="R856" s="3">
        <v>0.15</v>
      </c>
      <c r="S856" s="2">
        <v>3.22</v>
      </c>
      <c r="T856" t="s">
        <v>536</v>
      </c>
    </row>
    <row r="857" spans="1:20" x14ac:dyDescent="0.25">
      <c r="A857">
        <v>2016814851</v>
      </c>
      <c r="B857" t="s">
        <v>540</v>
      </c>
      <c r="C857" t="s">
        <v>541</v>
      </c>
      <c r="D857" t="str">
        <f t="shared" si="41"/>
        <v>DANIEL HUEPPCHEN</v>
      </c>
      <c r="E857" t="s">
        <v>292</v>
      </c>
      <c r="F857" t="s">
        <v>536</v>
      </c>
      <c r="G857">
        <v>20436896</v>
      </c>
      <c r="H857" t="s">
        <v>80</v>
      </c>
      <c r="I857" t="s">
        <v>537</v>
      </c>
      <c r="J857" t="str">
        <f t="shared" si="39"/>
        <v>KATELENN CALTAGIRONE</v>
      </c>
      <c r="K857" t="s">
        <v>57</v>
      </c>
      <c r="L857" s="1">
        <v>44927</v>
      </c>
      <c r="M857" s="1">
        <v>45962</v>
      </c>
      <c r="N857" s="2">
        <v>25.73</v>
      </c>
      <c r="O857">
        <f t="shared" si="40"/>
        <v>34</v>
      </c>
      <c r="P857" t="s">
        <v>214</v>
      </c>
      <c r="Q857" t="s">
        <v>1274</v>
      </c>
      <c r="R857" s="3">
        <v>0.15</v>
      </c>
      <c r="S857" s="2">
        <v>3.86</v>
      </c>
      <c r="T857" t="s">
        <v>536</v>
      </c>
    </row>
    <row r="858" spans="1:20" x14ac:dyDescent="0.25">
      <c r="A858">
        <v>2017242799</v>
      </c>
      <c r="B858" t="s">
        <v>542</v>
      </c>
      <c r="C858" t="s">
        <v>543</v>
      </c>
      <c r="D858" t="str">
        <f t="shared" si="41"/>
        <v>BONNI STEPHENSON</v>
      </c>
      <c r="E858" t="s">
        <v>89</v>
      </c>
      <c r="F858" t="s">
        <v>90</v>
      </c>
      <c r="G858">
        <v>9079571</v>
      </c>
      <c r="H858" t="s">
        <v>172</v>
      </c>
      <c r="I858" t="s">
        <v>173</v>
      </c>
      <c r="J858" t="str">
        <f t="shared" si="39"/>
        <v>ADAM RICHTER</v>
      </c>
      <c r="K858" t="s">
        <v>57</v>
      </c>
      <c r="L858" s="1">
        <v>44930</v>
      </c>
      <c r="M858" s="1">
        <v>45965</v>
      </c>
      <c r="N858" s="2">
        <v>53.56</v>
      </c>
      <c r="O858">
        <f t="shared" si="40"/>
        <v>34</v>
      </c>
      <c r="P858" t="s">
        <v>214</v>
      </c>
      <c r="Q858" t="s">
        <v>1274</v>
      </c>
      <c r="R858" s="3">
        <v>0.1</v>
      </c>
      <c r="S858" s="2">
        <v>5.36</v>
      </c>
      <c r="T858" t="s">
        <v>1258</v>
      </c>
    </row>
    <row r="859" spans="1:20" x14ac:dyDescent="0.25">
      <c r="A859">
        <v>2017242798</v>
      </c>
      <c r="B859" t="s">
        <v>542</v>
      </c>
      <c r="C859" t="s">
        <v>543</v>
      </c>
      <c r="D859" t="str">
        <f t="shared" si="41"/>
        <v>BONNI STEPHENSON</v>
      </c>
      <c r="E859" t="s">
        <v>350</v>
      </c>
      <c r="F859" t="s">
        <v>351</v>
      </c>
      <c r="G859">
        <v>9079571</v>
      </c>
      <c r="H859" t="s">
        <v>172</v>
      </c>
      <c r="I859" t="s">
        <v>173</v>
      </c>
      <c r="J859" t="str">
        <f t="shared" si="39"/>
        <v>ADAM RICHTER</v>
      </c>
      <c r="K859" t="s">
        <v>57</v>
      </c>
      <c r="L859" s="1">
        <v>44930</v>
      </c>
      <c r="M859" s="1">
        <v>45965</v>
      </c>
      <c r="N859" s="2">
        <v>57.45</v>
      </c>
      <c r="O859">
        <f t="shared" si="40"/>
        <v>34</v>
      </c>
      <c r="P859" t="s">
        <v>214</v>
      </c>
      <c r="Q859" t="s">
        <v>1274</v>
      </c>
      <c r="R859" s="4">
        <v>5.2499999999999998E-2</v>
      </c>
      <c r="S859" s="2">
        <v>3.02</v>
      </c>
      <c r="T859" t="s">
        <v>351</v>
      </c>
    </row>
    <row r="860" spans="1:20" x14ac:dyDescent="0.25">
      <c r="A860">
        <v>2016627945</v>
      </c>
      <c r="B860" t="s">
        <v>560</v>
      </c>
      <c r="C860" t="s">
        <v>161</v>
      </c>
      <c r="D860" t="str">
        <f t="shared" si="41"/>
        <v>NANCY LIEB</v>
      </c>
      <c r="E860" t="s">
        <v>350</v>
      </c>
      <c r="F860" t="s">
        <v>351</v>
      </c>
      <c r="G860">
        <v>15278437</v>
      </c>
      <c r="H860" t="s">
        <v>211</v>
      </c>
      <c r="I860" t="s">
        <v>212</v>
      </c>
      <c r="J860" t="str">
        <f t="shared" si="39"/>
        <v>JASON HOFFMANN</v>
      </c>
      <c r="K860" t="s">
        <v>57</v>
      </c>
      <c r="L860" s="1">
        <v>44927</v>
      </c>
      <c r="M860" s="1">
        <v>45962</v>
      </c>
      <c r="N860" s="2">
        <v>55.54</v>
      </c>
      <c r="O860">
        <f t="shared" si="40"/>
        <v>34</v>
      </c>
      <c r="P860" t="s">
        <v>214</v>
      </c>
      <c r="Q860" t="s">
        <v>1274</v>
      </c>
      <c r="R860" s="4">
        <v>5.2499999999999998E-2</v>
      </c>
      <c r="S860" s="2">
        <v>2.92</v>
      </c>
      <c r="T860" t="s">
        <v>351</v>
      </c>
    </row>
    <row r="861" spans="1:20" x14ac:dyDescent="0.25">
      <c r="A861">
        <v>2017029017</v>
      </c>
      <c r="B861" t="s">
        <v>563</v>
      </c>
      <c r="C861" t="s">
        <v>564</v>
      </c>
      <c r="D861" t="str">
        <f t="shared" si="41"/>
        <v>JANET MARCUS</v>
      </c>
      <c r="E861" t="s">
        <v>350</v>
      </c>
      <c r="F861" t="s">
        <v>351</v>
      </c>
      <c r="G861">
        <v>15278437</v>
      </c>
      <c r="H861" t="s">
        <v>211</v>
      </c>
      <c r="I861" t="s">
        <v>212</v>
      </c>
      <c r="J861" t="str">
        <f t="shared" si="39"/>
        <v>JASON HOFFMANN</v>
      </c>
      <c r="K861" t="s">
        <v>57</v>
      </c>
      <c r="L861" s="1">
        <v>44927</v>
      </c>
      <c r="M861" s="1">
        <v>45962</v>
      </c>
      <c r="N861" s="2">
        <v>38.22</v>
      </c>
      <c r="O861">
        <f t="shared" si="40"/>
        <v>34</v>
      </c>
      <c r="P861" t="s">
        <v>214</v>
      </c>
      <c r="Q861" t="s">
        <v>1274</v>
      </c>
      <c r="R861" s="4">
        <v>5.2499999999999998E-2</v>
      </c>
      <c r="S861" s="2">
        <v>2.0099999999999998</v>
      </c>
      <c r="T861" t="s">
        <v>351</v>
      </c>
    </row>
    <row r="862" spans="1:20" x14ac:dyDescent="0.25">
      <c r="A862">
        <v>2017064782</v>
      </c>
      <c r="B862" t="s">
        <v>565</v>
      </c>
      <c r="C862" t="s">
        <v>566</v>
      </c>
      <c r="D862" t="str">
        <f t="shared" si="41"/>
        <v>LINUS PARK</v>
      </c>
      <c r="E862" t="s">
        <v>350</v>
      </c>
      <c r="F862" t="s">
        <v>351</v>
      </c>
      <c r="G862">
        <v>15278437</v>
      </c>
      <c r="H862" t="s">
        <v>211</v>
      </c>
      <c r="I862" t="s">
        <v>212</v>
      </c>
      <c r="J862" t="str">
        <f t="shared" si="39"/>
        <v>JASON HOFFMANN</v>
      </c>
      <c r="K862" t="s">
        <v>57</v>
      </c>
      <c r="L862" s="1">
        <v>44927</v>
      </c>
      <c r="M862" s="1">
        <v>45962</v>
      </c>
      <c r="N862" s="2">
        <v>117.8</v>
      </c>
      <c r="O862">
        <f t="shared" si="40"/>
        <v>34</v>
      </c>
      <c r="P862" t="s">
        <v>214</v>
      </c>
      <c r="Q862" t="s">
        <v>1274</v>
      </c>
      <c r="R862" s="4">
        <v>5.2499999999999998E-2</v>
      </c>
      <c r="S862" s="2">
        <v>6.18</v>
      </c>
      <c r="T862" t="s">
        <v>351</v>
      </c>
    </row>
    <row r="863" spans="1:20" x14ac:dyDescent="0.25">
      <c r="A863">
        <v>2016794185</v>
      </c>
      <c r="B863" t="s">
        <v>538</v>
      </c>
      <c r="C863" t="s">
        <v>539</v>
      </c>
      <c r="D863" t="str">
        <f t="shared" si="41"/>
        <v>SUZIE ACKLEY</v>
      </c>
      <c r="E863" t="s">
        <v>350</v>
      </c>
      <c r="F863" t="s">
        <v>351</v>
      </c>
      <c r="G863">
        <v>20436896</v>
      </c>
      <c r="H863" t="s">
        <v>80</v>
      </c>
      <c r="I863" t="s">
        <v>537</v>
      </c>
      <c r="J863" t="str">
        <f t="shared" si="39"/>
        <v>KATELENN CALTAGIRONE</v>
      </c>
      <c r="K863" t="s">
        <v>57</v>
      </c>
      <c r="L863" s="1">
        <v>44927</v>
      </c>
      <c r="M863" s="1">
        <v>45962</v>
      </c>
      <c r="N863" s="2">
        <v>57.2</v>
      </c>
      <c r="O863">
        <f t="shared" si="40"/>
        <v>34</v>
      </c>
      <c r="P863" t="s">
        <v>214</v>
      </c>
      <c r="Q863" t="s">
        <v>1274</v>
      </c>
      <c r="R863" s="4">
        <v>5.2499999999999998E-2</v>
      </c>
      <c r="S863" s="2">
        <v>3</v>
      </c>
      <c r="T863" t="s">
        <v>351</v>
      </c>
    </row>
    <row r="864" spans="1:20" x14ac:dyDescent="0.25">
      <c r="A864">
        <v>2017242803</v>
      </c>
      <c r="B864" t="s">
        <v>542</v>
      </c>
      <c r="C864" t="s">
        <v>543</v>
      </c>
      <c r="D864" t="str">
        <f t="shared" si="41"/>
        <v>BONNI STEPHENSON</v>
      </c>
      <c r="E864" t="s">
        <v>292</v>
      </c>
      <c r="F864" t="s">
        <v>295</v>
      </c>
      <c r="G864">
        <v>9079571</v>
      </c>
      <c r="H864" t="s">
        <v>172</v>
      </c>
      <c r="I864" t="s">
        <v>173</v>
      </c>
      <c r="J864" t="str">
        <f t="shared" si="39"/>
        <v>ADAM RICHTER</v>
      </c>
      <c r="K864" t="s">
        <v>57</v>
      </c>
      <c r="L864" s="1">
        <v>44930</v>
      </c>
      <c r="M864" s="1">
        <v>45965</v>
      </c>
      <c r="N864" s="2">
        <v>51.63</v>
      </c>
      <c r="O864">
        <f t="shared" si="40"/>
        <v>34</v>
      </c>
      <c r="P864" t="s">
        <v>214</v>
      </c>
      <c r="Q864" t="s">
        <v>1274</v>
      </c>
      <c r="R864" s="3">
        <v>0.1</v>
      </c>
      <c r="S864" s="2">
        <v>5.16</v>
      </c>
      <c r="T864" t="s">
        <v>295</v>
      </c>
    </row>
    <row r="865" spans="1:20" x14ac:dyDescent="0.25">
      <c r="A865">
        <v>2017242801</v>
      </c>
      <c r="B865" t="s">
        <v>542</v>
      </c>
      <c r="C865" t="s">
        <v>543</v>
      </c>
      <c r="D865" t="str">
        <f t="shared" si="41"/>
        <v>BONNI STEPHENSON</v>
      </c>
      <c r="E865" t="s">
        <v>53</v>
      </c>
      <c r="F865" t="s">
        <v>635</v>
      </c>
      <c r="G865">
        <v>9079571</v>
      </c>
      <c r="H865" t="s">
        <v>172</v>
      </c>
      <c r="I865" t="s">
        <v>173</v>
      </c>
      <c r="J865" t="str">
        <f t="shared" si="39"/>
        <v>ADAM RICHTER</v>
      </c>
      <c r="K865" t="s">
        <v>57</v>
      </c>
      <c r="L865" s="1">
        <v>44930</v>
      </c>
      <c r="M865" s="1">
        <v>45965</v>
      </c>
      <c r="N865" s="2">
        <v>105.84</v>
      </c>
      <c r="O865">
        <f t="shared" si="40"/>
        <v>34</v>
      </c>
      <c r="P865" t="s">
        <v>214</v>
      </c>
      <c r="Q865" t="s">
        <v>1274</v>
      </c>
      <c r="R865" s="4">
        <v>6.5000000000000002E-2</v>
      </c>
      <c r="S865" s="2">
        <v>6.88</v>
      </c>
      <c r="T865" t="s">
        <v>635</v>
      </c>
    </row>
    <row r="866" spans="1:20" x14ac:dyDescent="0.25">
      <c r="A866">
        <v>2016954034</v>
      </c>
      <c r="B866" t="s">
        <v>513</v>
      </c>
      <c r="C866" t="s">
        <v>636</v>
      </c>
      <c r="D866" t="str">
        <f t="shared" si="41"/>
        <v>ARATI JOHNSTON</v>
      </c>
      <c r="E866" t="s">
        <v>53</v>
      </c>
      <c r="F866" t="s">
        <v>65</v>
      </c>
      <c r="G866">
        <v>15278437</v>
      </c>
      <c r="H866" t="s">
        <v>211</v>
      </c>
      <c r="I866" t="s">
        <v>212</v>
      </c>
      <c r="J866" t="str">
        <f t="shared" si="39"/>
        <v>JASON HOFFMANN</v>
      </c>
      <c r="K866" t="s">
        <v>57</v>
      </c>
      <c r="L866" s="1">
        <v>44927</v>
      </c>
      <c r="M866" s="1">
        <v>45962</v>
      </c>
      <c r="N866" s="2">
        <v>75.75</v>
      </c>
      <c r="O866">
        <f t="shared" si="40"/>
        <v>34</v>
      </c>
      <c r="P866" t="s">
        <v>214</v>
      </c>
      <c r="Q866" t="s">
        <v>1274</v>
      </c>
      <c r="R866" s="4">
        <v>6.5000000000000002E-2</v>
      </c>
      <c r="S866" s="2">
        <v>4.92</v>
      </c>
      <c r="T866" t="s">
        <v>65</v>
      </c>
    </row>
    <row r="867" spans="1:20" x14ac:dyDescent="0.25">
      <c r="A867">
        <v>2016815697</v>
      </c>
      <c r="B867" t="s">
        <v>561</v>
      </c>
      <c r="C867" t="s">
        <v>562</v>
      </c>
      <c r="D867" t="str">
        <f t="shared" si="41"/>
        <v>DIANE LINAHAN</v>
      </c>
      <c r="E867" t="s">
        <v>350</v>
      </c>
      <c r="F867" t="s">
        <v>351</v>
      </c>
      <c r="G867">
        <v>15278437</v>
      </c>
      <c r="H867" t="s">
        <v>211</v>
      </c>
      <c r="I867" t="s">
        <v>212</v>
      </c>
      <c r="J867" t="str">
        <f t="shared" si="39"/>
        <v>JASON HOFFMANN</v>
      </c>
      <c r="K867" t="s">
        <v>57</v>
      </c>
      <c r="L867" s="1">
        <v>44896</v>
      </c>
      <c r="M867" s="1">
        <v>45962</v>
      </c>
      <c r="N867" s="2">
        <v>49.99</v>
      </c>
      <c r="O867">
        <f t="shared" si="40"/>
        <v>35</v>
      </c>
      <c r="P867" t="s">
        <v>214</v>
      </c>
      <c r="Q867" t="s">
        <v>1274</v>
      </c>
      <c r="R867" s="4">
        <v>5.2499999999999998E-2</v>
      </c>
      <c r="S867" s="2">
        <v>2.62</v>
      </c>
      <c r="T867" t="s">
        <v>351</v>
      </c>
    </row>
    <row r="868" spans="1:20" x14ac:dyDescent="0.25">
      <c r="A868">
        <v>2016468518</v>
      </c>
      <c r="B868" t="s">
        <v>558</v>
      </c>
      <c r="C868" t="s">
        <v>559</v>
      </c>
      <c r="D868" t="str">
        <f t="shared" si="41"/>
        <v>BERNICE BELGER</v>
      </c>
      <c r="E868" t="s">
        <v>350</v>
      </c>
      <c r="F868" t="s">
        <v>351</v>
      </c>
      <c r="G868">
        <v>15278437</v>
      </c>
      <c r="H868" t="s">
        <v>211</v>
      </c>
      <c r="I868" t="s">
        <v>212</v>
      </c>
      <c r="J868" t="str">
        <f t="shared" si="39"/>
        <v>JASON HOFFMANN</v>
      </c>
      <c r="K868" t="s">
        <v>57</v>
      </c>
      <c r="L868" s="1">
        <v>44866</v>
      </c>
      <c r="M868" s="1">
        <v>45962</v>
      </c>
      <c r="N868" s="2">
        <v>61.19</v>
      </c>
      <c r="O868">
        <f t="shared" si="40"/>
        <v>36</v>
      </c>
      <c r="P868" t="s">
        <v>214</v>
      </c>
      <c r="Q868" t="s">
        <v>1274</v>
      </c>
      <c r="R868" s="4">
        <v>5.2499999999999998E-2</v>
      </c>
      <c r="S868" s="2">
        <v>3.21</v>
      </c>
      <c r="T868" t="s">
        <v>351</v>
      </c>
    </row>
    <row r="869" spans="1:20" x14ac:dyDescent="0.25">
      <c r="A869">
        <v>2016750307</v>
      </c>
      <c r="B869" t="s">
        <v>357</v>
      </c>
      <c r="C869" t="s">
        <v>358</v>
      </c>
      <c r="D869" t="str">
        <f t="shared" si="41"/>
        <v>JILL DUNN</v>
      </c>
      <c r="E869" t="s">
        <v>243</v>
      </c>
      <c r="F869" t="s">
        <v>244</v>
      </c>
      <c r="G869">
        <v>9079571</v>
      </c>
      <c r="H869" t="s">
        <v>172</v>
      </c>
      <c r="I869" t="s">
        <v>173</v>
      </c>
      <c r="J869" t="str">
        <f t="shared" si="39"/>
        <v>ADAM RICHTER</v>
      </c>
      <c r="K869" t="s">
        <v>57</v>
      </c>
      <c r="L869" s="1">
        <v>44873</v>
      </c>
      <c r="M869" s="1">
        <v>45969</v>
      </c>
      <c r="N869" s="2">
        <v>58.09</v>
      </c>
      <c r="O869">
        <f t="shared" si="40"/>
        <v>36</v>
      </c>
      <c r="P869" t="s">
        <v>214</v>
      </c>
      <c r="Q869" t="s">
        <v>1274</v>
      </c>
      <c r="R869" s="3">
        <v>0.06</v>
      </c>
      <c r="S869" s="2">
        <v>3.49</v>
      </c>
      <c r="T869" t="s">
        <v>244</v>
      </c>
    </row>
    <row r="870" spans="1:20" x14ac:dyDescent="0.25">
      <c r="A870">
        <v>2016770176</v>
      </c>
      <c r="B870" t="s">
        <v>966</v>
      </c>
      <c r="C870" t="s">
        <v>644</v>
      </c>
      <c r="D870" t="str">
        <f t="shared" si="41"/>
        <v>KEVIN LEMMON</v>
      </c>
      <c r="E870" t="s">
        <v>243</v>
      </c>
      <c r="F870" t="s">
        <v>244</v>
      </c>
      <c r="G870">
        <v>8307933</v>
      </c>
      <c r="H870" t="s">
        <v>112</v>
      </c>
      <c r="I870" t="s">
        <v>104</v>
      </c>
      <c r="J870" t="str">
        <f t="shared" si="39"/>
        <v>GREGORY TEIPEL</v>
      </c>
      <c r="K870" t="s">
        <v>57</v>
      </c>
      <c r="L870" s="1">
        <v>44875</v>
      </c>
      <c r="M870" s="1">
        <v>45971</v>
      </c>
      <c r="N870" s="2">
        <v>38.83</v>
      </c>
      <c r="O870">
        <f t="shared" si="40"/>
        <v>36</v>
      </c>
      <c r="P870" t="s">
        <v>214</v>
      </c>
      <c r="Q870" t="s">
        <v>1274</v>
      </c>
      <c r="R870" s="3">
        <v>0.06</v>
      </c>
      <c r="S870" s="2">
        <v>2.33</v>
      </c>
      <c r="T870" t="s">
        <v>244</v>
      </c>
    </row>
    <row r="871" spans="1:20" x14ac:dyDescent="0.25">
      <c r="A871">
        <v>2016750308</v>
      </c>
      <c r="B871" t="s">
        <v>357</v>
      </c>
      <c r="C871" t="s">
        <v>358</v>
      </c>
      <c r="D871" t="str">
        <f t="shared" si="41"/>
        <v>JILL DUNN</v>
      </c>
      <c r="E871" t="s">
        <v>53</v>
      </c>
      <c r="F871" t="s">
        <v>65</v>
      </c>
      <c r="G871">
        <v>9079571</v>
      </c>
      <c r="H871" t="s">
        <v>172</v>
      </c>
      <c r="I871" t="s">
        <v>173</v>
      </c>
      <c r="J871" t="str">
        <f t="shared" si="39"/>
        <v>ADAM RICHTER</v>
      </c>
      <c r="K871" t="s">
        <v>57</v>
      </c>
      <c r="L871" s="1">
        <v>44873</v>
      </c>
      <c r="M871" s="1">
        <v>45969</v>
      </c>
      <c r="N871" s="2">
        <v>36.159999999999997</v>
      </c>
      <c r="O871">
        <f t="shared" si="40"/>
        <v>36</v>
      </c>
      <c r="P871" t="s">
        <v>214</v>
      </c>
      <c r="Q871" t="s">
        <v>1274</v>
      </c>
      <c r="R871" s="4">
        <v>6.5000000000000002E-2</v>
      </c>
      <c r="S871" s="2">
        <v>2.35</v>
      </c>
      <c r="T871" t="s">
        <v>65</v>
      </c>
    </row>
  </sheetData>
  <sortState xmlns:xlrd2="http://schemas.microsoft.com/office/spreadsheetml/2017/richdata2" ref="A2:AZ871">
    <sortCondition sortBy="cellColor" ref="T2:T871" dxfId="0"/>
    <sortCondition ref="O2:O871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F72F9-52C2-487A-9137-8F7345BBBD90}">
  <dimension ref="A1:S67"/>
  <sheetViews>
    <sheetView workbookViewId="0">
      <pane ySplit="1" topLeftCell="A23" activePane="bottomLeft" state="frozen"/>
      <selection pane="bottomLeft" activeCell="E27" sqref="E27"/>
    </sheetView>
  </sheetViews>
  <sheetFormatPr defaultRowHeight="15" x14ac:dyDescent="0.25"/>
  <cols>
    <col min="1" max="1" width="22.140625" bestFit="1" customWidth="1"/>
    <col min="2" max="2" width="22.42578125" bestFit="1" customWidth="1"/>
    <col min="3" max="3" width="18.140625" bestFit="1" customWidth="1"/>
    <col min="4" max="4" width="42.42578125" bestFit="1" customWidth="1"/>
    <col min="5" max="5" width="11" bestFit="1" customWidth="1"/>
    <col min="6" max="6" width="15" bestFit="1" customWidth="1"/>
    <col min="7" max="7" width="13.28515625" bestFit="1" customWidth="1"/>
    <col min="8" max="8" width="11.28515625" bestFit="1" customWidth="1"/>
    <col min="9" max="9" width="12.140625" bestFit="1" customWidth="1"/>
    <col min="10" max="10" width="12.5703125" bestFit="1" customWidth="1"/>
    <col min="11" max="11" width="9.85546875" bestFit="1" customWidth="1"/>
    <col min="12" max="12" width="12" bestFit="1" customWidth="1"/>
    <col min="13" max="13" width="15.85546875" bestFit="1" customWidth="1"/>
    <col min="14" max="14" width="7.28515625" bestFit="1" customWidth="1"/>
    <col min="15" max="15" width="11.140625" bestFit="1" customWidth="1"/>
    <col min="16" max="16" width="15.85546875" bestFit="1" customWidth="1"/>
    <col min="17" max="17" width="19" bestFit="1" customWidth="1"/>
    <col min="18" max="18" width="20.85546875" bestFit="1" customWidth="1"/>
    <col min="19" max="19" width="15.7109375" bestFit="1" customWidth="1"/>
  </cols>
  <sheetData>
    <row r="1" spans="1:19" x14ac:dyDescent="0.25">
      <c r="A1" t="s">
        <v>4</v>
      </c>
      <c r="B1" t="s">
        <v>5</v>
      </c>
      <c r="C1" t="s">
        <v>8</v>
      </c>
      <c r="D1" t="s">
        <v>9</v>
      </c>
      <c r="E1" t="s">
        <v>3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21</v>
      </c>
      <c r="P1" t="s">
        <v>27</v>
      </c>
      <c r="Q1" t="s">
        <v>38</v>
      </c>
      <c r="R1" t="s">
        <v>39</v>
      </c>
      <c r="S1" t="s">
        <v>40</v>
      </c>
    </row>
    <row r="2" spans="1:19" x14ac:dyDescent="0.25">
      <c r="A2" t="s">
        <v>423</v>
      </c>
      <c r="B2" t="s">
        <v>259</v>
      </c>
      <c r="C2" t="s">
        <v>287</v>
      </c>
      <c r="D2" t="s">
        <v>291</v>
      </c>
      <c r="E2">
        <v>2030985508</v>
      </c>
      <c r="F2">
        <v>814033</v>
      </c>
      <c r="G2" t="s">
        <v>256</v>
      </c>
      <c r="H2" t="s">
        <v>165</v>
      </c>
      <c r="I2" t="s">
        <v>456</v>
      </c>
      <c r="J2" s="1">
        <v>45912</v>
      </c>
      <c r="K2" s="1">
        <v>45936</v>
      </c>
      <c r="L2" s="1">
        <v>45942</v>
      </c>
      <c r="M2" s="2">
        <v>-123.69</v>
      </c>
      <c r="N2">
        <v>1</v>
      </c>
      <c r="O2" s="3">
        <v>0.38</v>
      </c>
      <c r="P2" s="2">
        <v>0</v>
      </c>
      <c r="Q2" s="2">
        <v>-47</v>
      </c>
      <c r="R2" s="2">
        <v>-47</v>
      </c>
      <c r="S2" s="2">
        <v>0</v>
      </c>
    </row>
    <row r="3" spans="1:19" x14ac:dyDescent="0.25">
      <c r="A3" t="s">
        <v>457</v>
      </c>
      <c r="B3" t="s">
        <v>458</v>
      </c>
      <c r="C3" t="s">
        <v>287</v>
      </c>
      <c r="D3" t="s">
        <v>291</v>
      </c>
      <c r="E3">
        <v>2031250518</v>
      </c>
      <c r="F3">
        <v>673059</v>
      </c>
      <c r="G3" t="s">
        <v>80</v>
      </c>
      <c r="H3" t="s">
        <v>81</v>
      </c>
      <c r="I3" t="s">
        <v>456</v>
      </c>
      <c r="J3" s="1">
        <v>45931</v>
      </c>
      <c r="K3" s="1">
        <v>45936</v>
      </c>
      <c r="L3" s="1">
        <v>45962</v>
      </c>
      <c r="M3" s="2">
        <v>-412.3</v>
      </c>
      <c r="N3">
        <v>1</v>
      </c>
      <c r="O3" s="3">
        <v>0.38</v>
      </c>
      <c r="P3" s="2">
        <v>0</v>
      </c>
      <c r="Q3" s="2">
        <v>-156.66999999999999</v>
      </c>
      <c r="R3" s="2">
        <v>-156.66999999999999</v>
      </c>
      <c r="S3" s="2">
        <v>0</v>
      </c>
    </row>
    <row r="4" spans="1:19" x14ac:dyDescent="0.25">
      <c r="A4" t="s">
        <v>457</v>
      </c>
      <c r="B4" t="s">
        <v>458</v>
      </c>
      <c r="C4" t="s">
        <v>287</v>
      </c>
      <c r="D4" t="s">
        <v>424</v>
      </c>
      <c r="E4">
        <v>2031250519</v>
      </c>
      <c r="F4">
        <v>673059</v>
      </c>
      <c r="G4" t="s">
        <v>80</v>
      </c>
      <c r="H4" t="s">
        <v>81</v>
      </c>
      <c r="I4" t="s">
        <v>456</v>
      </c>
      <c r="J4" s="1">
        <v>45931</v>
      </c>
      <c r="K4" s="1">
        <v>45936</v>
      </c>
      <c r="L4" s="1">
        <v>45962</v>
      </c>
      <c r="M4" s="2">
        <v>-7.09</v>
      </c>
      <c r="N4">
        <v>1</v>
      </c>
      <c r="O4" s="3">
        <v>0.38</v>
      </c>
      <c r="P4" s="2">
        <v>0</v>
      </c>
      <c r="Q4" s="2">
        <v>-2.69</v>
      </c>
      <c r="R4" s="2">
        <v>-2.69</v>
      </c>
      <c r="S4" s="2">
        <v>0</v>
      </c>
    </row>
    <row r="5" spans="1:19" x14ac:dyDescent="0.25">
      <c r="A5" t="s">
        <v>457</v>
      </c>
      <c r="B5" t="s">
        <v>458</v>
      </c>
      <c r="C5" t="s">
        <v>287</v>
      </c>
      <c r="D5" t="s">
        <v>288</v>
      </c>
      <c r="E5">
        <v>2031250520</v>
      </c>
      <c r="F5">
        <v>673059</v>
      </c>
      <c r="G5" t="s">
        <v>80</v>
      </c>
      <c r="H5" t="s">
        <v>81</v>
      </c>
      <c r="I5" t="s">
        <v>456</v>
      </c>
      <c r="J5" s="1">
        <v>45931</v>
      </c>
      <c r="K5" s="1">
        <v>45936</v>
      </c>
      <c r="L5" s="1">
        <v>45962</v>
      </c>
      <c r="M5" s="2">
        <v>-19.75</v>
      </c>
      <c r="N5">
        <v>1</v>
      </c>
      <c r="O5" s="3">
        <v>0.38</v>
      </c>
      <c r="P5" s="2">
        <v>0</v>
      </c>
      <c r="Q5" s="2">
        <v>-7.5</v>
      </c>
      <c r="R5" s="2">
        <v>-7.5</v>
      </c>
      <c r="S5" s="2">
        <v>0</v>
      </c>
    </row>
    <row r="6" spans="1:19" s="5" customFormat="1" x14ac:dyDescent="0.25">
      <c r="A6" s="5" t="s">
        <v>556</v>
      </c>
      <c r="B6" s="5" t="s">
        <v>557</v>
      </c>
      <c r="C6" s="5" t="s">
        <v>344</v>
      </c>
      <c r="D6" s="5" t="s">
        <v>346</v>
      </c>
      <c r="E6" s="5">
        <v>2030934309</v>
      </c>
      <c r="F6" s="5">
        <v>812994</v>
      </c>
      <c r="G6" s="5" t="s">
        <v>428</v>
      </c>
      <c r="H6" s="5" t="s">
        <v>309</v>
      </c>
      <c r="I6" s="5" t="s">
        <v>456</v>
      </c>
      <c r="J6" s="6">
        <v>45909</v>
      </c>
      <c r="K6" s="6">
        <v>45936</v>
      </c>
      <c r="L6" s="6">
        <v>45939</v>
      </c>
      <c r="M6" s="7">
        <v>-169.05</v>
      </c>
      <c r="N6" s="5">
        <v>1</v>
      </c>
      <c r="O6" s="9">
        <v>0.28999999999999998</v>
      </c>
      <c r="P6" s="7">
        <v>0</v>
      </c>
      <c r="Q6" s="7">
        <v>-49.02</v>
      </c>
      <c r="R6" s="7">
        <v>-49.02</v>
      </c>
      <c r="S6" s="7">
        <v>0</v>
      </c>
    </row>
    <row r="7" spans="1:19" s="5" customFormat="1" x14ac:dyDescent="0.25">
      <c r="A7" s="5" t="s">
        <v>634</v>
      </c>
      <c r="B7" s="5" t="s">
        <v>362</v>
      </c>
      <c r="C7" s="5" t="s">
        <v>53</v>
      </c>
      <c r="D7" s="5" t="s">
        <v>635</v>
      </c>
      <c r="E7" s="5">
        <v>2016855834</v>
      </c>
      <c r="F7" s="5">
        <v>652037</v>
      </c>
      <c r="G7" s="5" t="s">
        <v>172</v>
      </c>
      <c r="H7" s="5" t="s">
        <v>173</v>
      </c>
      <c r="I7" s="5" t="s">
        <v>456</v>
      </c>
      <c r="J7" s="6">
        <v>44896</v>
      </c>
      <c r="K7" s="6">
        <v>45936</v>
      </c>
      <c r="L7" s="6">
        <v>45962</v>
      </c>
      <c r="M7" s="7">
        <v>-84.27</v>
      </c>
      <c r="N7" s="5">
        <v>1</v>
      </c>
      <c r="O7" s="8">
        <v>6.5000000000000002E-2</v>
      </c>
      <c r="P7" s="7">
        <v>0</v>
      </c>
      <c r="Q7" s="7">
        <v>-5.48</v>
      </c>
      <c r="R7" s="7">
        <v>-5.48</v>
      </c>
      <c r="S7" s="7">
        <v>0</v>
      </c>
    </row>
    <row r="8" spans="1:19" s="5" customFormat="1" x14ac:dyDescent="0.25">
      <c r="A8" s="5" t="s">
        <v>200</v>
      </c>
      <c r="B8" s="5" t="s">
        <v>201</v>
      </c>
      <c r="C8" s="5" t="s">
        <v>89</v>
      </c>
      <c r="D8" s="5" t="s">
        <v>111</v>
      </c>
      <c r="E8" s="5">
        <v>2024095024</v>
      </c>
      <c r="F8" s="5">
        <v>673059</v>
      </c>
      <c r="G8" s="5" t="s">
        <v>80</v>
      </c>
      <c r="H8" s="5" t="s">
        <v>81</v>
      </c>
      <c r="I8" s="5" t="s">
        <v>456</v>
      </c>
      <c r="J8" s="6">
        <v>45505</v>
      </c>
      <c r="K8" s="6">
        <v>45936</v>
      </c>
      <c r="L8" s="6">
        <v>45962</v>
      </c>
      <c r="M8" s="7">
        <v>-119.32</v>
      </c>
      <c r="N8" s="5">
        <v>1</v>
      </c>
      <c r="O8" s="9">
        <v>0.1</v>
      </c>
      <c r="P8" s="7">
        <v>0</v>
      </c>
      <c r="Q8" s="7">
        <v>-11.93</v>
      </c>
      <c r="R8" s="7">
        <v>-11.93</v>
      </c>
      <c r="S8" s="7">
        <v>0</v>
      </c>
    </row>
    <row r="9" spans="1:19" s="11" customFormat="1" x14ac:dyDescent="0.25">
      <c r="A9" s="11" t="s">
        <v>765</v>
      </c>
      <c r="B9" s="11" t="s">
        <v>63</v>
      </c>
      <c r="C9" s="11" t="s">
        <v>89</v>
      </c>
      <c r="D9" s="11" t="s">
        <v>90</v>
      </c>
      <c r="E9" s="11">
        <v>2027965834</v>
      </c>
      <c r="F9" s="11">
        <v>812782</v>
      </c>
      <c r="G9" s="11" t="s">
        <v>91</v>
      </c>
      <c r="H9" s="11" t="s">
        <v>92</v>
      </c>
      <c r="I9" s="11" t="s">
        <v>456</v>
      </c>
      <c r="J9" s="12">
        <v>45738</v>
      </c>
      <c r="K9" s="12">
        <v>45936</v>
      </c>
      <c r="L9" s="12">
        <v>45952</v>
      </c>
      <c r="M9" s="13">
        <v>-5.76</v>
      </c>
      <c r="N9" s="11">
        <v>1</v>
      </c>
      <c r="O9" s="14">
        <v>0.65</v>
      </c>
      <c r="P9" s="13">
        <v>0</v>
      </c>
      <c r="Q9" s="13">
        <v>-3.74</v>
      </c>
      <c r="R9" s="13">
        <v>-3.74</v>
      </c>
      <c r="S9" s="13">
        <v>0</v>
      </c>
    </row>
    <row r="10" spans="1:19" s="5" customFormat="1" x14ac:dyDescent="0.25">
      <c r="A10" s="5" t="s">
        <v>786</v>
      </c>
      <c r="B10" s="5" t="s">
        <v>787</v>
      </c>
      <c r="C10" s="5" t="s">
        <v>89</v>
      </c>
      <c r="D10" s="5" t="s">
        <v>96</v>
      </c>
      <c r="E10" s="5">
        <v>2029290191</v>
      </c>
      <c r="F10" s="5">
        <v>824062</v>
      </c>
      <c r="G10" s="5" t="s">
        <v>273</v>
      </c>
      <c r="H10" s="5" t="s">
        <v>274</v>
      </c>
      <c r="I10" s="5" t="s">
        <v>456</v>
      </c>
      <c r="J10" s="6">
        <v>45839</v>
      </c>
      <c r="K10" s="6">
        <v>45936</v>
      </c>
      <c r="L10" s="6">
        <v>45962</v>
      </c>
      <c r="M10" s="7">
        <v>-79.510000000000005</v>
      </c>
      <c r="N10" s="5">
        <v>1</v>
      </c>
      <c r="O10" s="9">
        <v>0.9</v>
      </c>
      <c r="P10" s="7">
        <v>0</v>
      </c>
      <c r="Q10" s="7">
        <v>-71.56</v>
      </c>
      <c r="R10" s="7">
        <v>-71.56</v>
      </c>
      <c r="S10" s="7">
        <v>0</v>
      </c>
    </row>
    <row r="11" spans="1:19" x14ac:dyDescent="0.25">
      <c r="A11" t="s">
        <v>97</v>
      </c>
      <c r="B11" t="s">
        <v>482</v>
      </c>
      <c r="C11" t="s">
        <v>209</v>
      </c>
      <c r="D11" t="s">
        <v>960</v>
      </c>
      <c r="E11">
        <v>2020895975</v>
      </c>
      <c r="F11">
        <v>673059</v>
      </c>
      <c r="G11" t="s">
        <v>80</v>
      </c>
      <c r="H11" t="s">
        <v>81</v>
      </c>
      <c r="I11" t="s">
        <v>456</v>
      </c>
      <c r="J11" s="1">
        <v>45292</v>
      </c>
      <c r="K11" s="1">
        <v>45936</v>
      </c>
      <c r="L11" s="1">
        <v>45962</v>
      </c>
      <c r="M11" s="2">
        <v>-15</v>
      </c>
      <c r="N11">
        <v>1</v>
      </c>
      <c r="O11" s="3">
        <v>0.19</v>
      </c>
      <c r="P11" s="2">
        <v>0</v>
      </c>
      <c r="Q11" s="2">
        <v>-2.85</v>
      </c>
      <c r="R11" s="2">
        <v>-2.85</v>
      </c>
      <c r="S11" s="2">
        <v>0</v>
      </c>
    </row>
    <row r="12" spans="1:19" s="5" customFormat="1" x14ac:dyDescent="0.25">
      <c r="A12" s="5" t="s">
        <v>556</v>
      </c>
      <c r="B12" s="5" t="s">
        <v>557</v>
      </c>
      <c r="C12" s="5" t="s">
        <v>209</v>
      </c>
      <c r="D12" s="5" t="s">
        <v>225</v>
      </c>
      <c r="E12" s="5">
        <v>2030934310</v>
      </c>
      <c r="F12" s="5">
        <v>812994</v>
      </c>
      <c r="G12" s="5" t="s">
        <v>428</v>
      </c>
      <c r="H12" s="5" t="s">
        <v>309</v>
      </c>
      <c r="I12" s="5" t="s">
        <v>456</v>
      </c>
      <c r="J12" s="6">
        <v>45909</v>
      </c>
      <c r="K12" s="6">
        <v>45936</v>
      </c>
      <c r="L12" s="6">
        <v>45939</v>
      </c>
      <c r="M12" s="7">
        <v>-2.5</v>
      </c>
      <c r="N12" s="5">
        <v>1</v>
      </c>
      <c r="O12" s="9">
        <v>0.28999999999999998</v>
      </c>
      <c r="P12" s="7">
        <v>0</v>
      </c>
      <c r="Q12" s="7">
        <v>-0.72</v>
      </c>
      <c r="R12" s="7">
        <v>-0.72</v>
      </c>
      <c r="S12" s="7">
        <v>0</v>
      </c>
    </row>
    <row r="13" spans="1:19" s="5" customFormat="1" x14ac:dyDescent="0.25">
      <c r="A13" s="5" t="s">
        <v>423</v>
      </c>
      <c r="B13" s="5" t="s">
        <v>259</v>
      </c>
      <c r="C13" s="5" t="s">
        <v>209</v>
      </c>
      <c r="D13" s="5" t="s">
        <v>232</v>
      </c>
      <c r="E13" s="5">
        <v>2030985509</v>
      </c>
      <c r="F13" s="5">
        <v>814033</v>
      </c>
      <c r="G13" s="5" t="s">
        <v>256</v>
      </c>
      <c r="H13" s="5" t="s">
        <v>165</v>
      </c>
      <c r="I13" s="5" t="s">
        <v>456</v>
      </c>
      <c r="J13" s="6">
        <v>45912</v>
      </c>
      <c r="K13" s="6">
        <v>45936</v>
      </c>
      <c r="L13" s="6">
        <v>45942</v>
      </c>
      <c r="M13" s="7">
        <v>-5</v>
      </c>
      <c r="N13" s="5">
        <v>1</v>
      </c>
      <c r="O13" s="9">
        <v>0.38</v>
      </c>
      <c r="P13" s="7">
        <v>0</v>
      </c>
      <c r="Q13" s="7">
        <v>-1.9</v>
      </c>
      <c r="R13" s="7">
        <v>-1.9</v>
      </c>
      <c r="S13" s="7">
        <v>0</v>
      </c>
    </row>
    <row r="14" spans="1:19" x14ac:dyDescent="0.25">
      <c r="A14" t="s">
        <v>457</v>
      </c>
      <c r="B14" t="s">
        <v>458</v>
      </c>
      <c r="C14" t="s">
        <v>209</v>
      </c>
      <c r="D14" t="s">
        <v>232</v>
      </c>
      <c r="E14">
        <v>2031250522</v>
      </c>
      <c r="F14">
        <v>673059</v>
      </c>
      <c r="G14" t="s">
        <v>80</v>
      </c>
      <c r="H14" t="s">
        <v>81</v>
      </c>
      <c r="I14" t="s">
        <v>456</v>
      </c>
      <c r="J14" s="1">
        <v>45931</v>
      </c>
      <c r="K14" s="1">
        <v>45936</v>
      </c>
      <c r="L14" s="1">
        <v>45962</v>
      </c>
      <c r="M14" s="2">
        <v>-15</v>
      </c>
      <c r="N14">
        <v>1</v>
      </c>
      <c r="O14" s="3">
        <v>0.38</v>
      </c>
      <c r="P14" s="2">
        <v>0</v>
      </c>
      <c r="Q14" s="2">
        <v>-5.7</v>
      </c>
      <c r="R14" s="2">
        <v>-5.7</v>
      </c>
      <c r="S14" s="2">
        <v>0</v>
      </c>
    </row>
    <row r="15" spans="1:19" x14ac:dyDescent="0.25">
      <c r="A15" t="s">
        <v>634</v>
      </c>
      <c r="B15" t="s">
        <v>362</v>
      </c>
      <c r="C15" t="s">
        <v>243</v>
      </c>
      <c r="D15" t="s">
        <v>244</v>
      </c>
      <c r="E15">
        <v>2016855836</v>
      </c>
      <c r="F15">
        <v>652037</v>
      </c>
      <c r="G15" t="s">
        <v>172</v>
      </c>
      <c r="H15" t="s">
        <v>173</v>
      </c>
      <c r="I15" t="s">
        <v>456</v>
      </c>
      <c r="J15" s="1">
        <v>44896</v>
      </c>
      <c r="K15" s="1">
        <v>45936</v>
      </c>
      <c r="L15" s="1">
        <v>45962</v>
      </c>
      <c r="M15" s="2">
        <v>-134.52000000000001</v>
      </c>
      <c r="N15">
        <v>1</v>
      </c>
      <c r="O15" s="3">
        <v>0.06</v>
      </c>
      <c r="P15" s="2">
        <v>0</v>
      </c>
      <c r="Q15" s="2">
        <v>-8.07</v>
      </c>
      <c r="R15" s="2">
        <v>-8.07</v>
      </c>
      <c r="S15" s="2">
        <v>0</v>
      </c>
    </row>
    <row r="16" spans="1:19" x14ac:dyDescent="0.25">
      <c r="A16" t="s">
        <v>994</v>
      </c>
      <c r="B16" t="s">
        <v>658</v>
      </c>
      <c r="C16" t="s">
        <v>243</v>
      </c>
      <c r="D16" t="s">
        <v>244</v>
      </c>
      <c r="E16">
        <v>2026682935</v>
      </c>
      <c r="F16">
        <v>728134</v>
      </c>
      <c r="G16" t="s">
        <v>352</v>
      </c>
      <c r="H16" t="s">
        <v>353</v>
      </c>
      <c r="I16" t="s">
        <v>456</v>
      </c>
      <c r="J16" s="1">
        <v>45678</v>
      </c>
      <c r="K16" s="1">
        <v>45936</v>
      </c>
      <c r="L16" s="1">
        <v>45951</v>
      </c>
      <c r="M16" s="2">
        <v>-26.65</v>
      </c>
      <c r="N16">
        <v>1</v>
      </c>
      <c r="O16" s="4">
        <v>0.375</v>
      </c>
      <c r="P16" s="2">
        <v>0</v>
      </c>
      <c r="Q16" s="2">
        <v>-9.99</v>
      </c>
      <c r="R16" s="2">
        <v>-9.99</v>
      </c>
      <c r="S16" s="2">
        <v>0</v>
      </c>
    </row>
    <row r="17" spans="1:19" x14ac:dyDescent="0.25">
      <c r="A17" t="s">
        <v>1000</v>
      </c>
      <c r="B17" t="s">
        <v>290</v>
      </c>
      <c r="C17" t="s">
        <v>243</v>
      </c>
      <c r="D17" t="s">
        <v>244</v>
      </c>
      <c r="E17">
        <v>2027082733</v>
      </c>
      <c r="F17">
        <v>669316</v>
      </c>
      <c r="G17" t="s">
        <v>258</v>
      </c>
      <c r="H17" t="s">
        <v>259</v>
      </c>
      <c r="I17" t="s">
        <v>456</v>
      </c>
      <c r="J17" s="1">
        <v>45701</v>
      </c>
      <c r="K17" s="1">
        <v>45936</v>
      </c>
      <c r="L17" s="1">
        <v>45943</v>
      </c>
      <c r="M17" s="2">
        <v>-145.63999999999999</v>
      </c>
      <c r="N17">
        <v>1</v>
      </c>
      <c r="O17" s="4">
        <v>0.375</v>
      </c>
      <c r="P17" s="2">
        <v>0</v>
      </c>
      <c r="Q17" s="2">
        <v>-54.62</v>
      </c>
      <c r="R17" s="2">
        <v>-54.62</v>
      </c>
      <c r="S17" s="2">
        <v>0</v>
      </c>
    </row>
    <row r="18" spans="1:19" x14ac:dyDescent="0.25">
      <c r="A18" t="s">
        <v>765</v>
      </c>
      <c r="B18" t="s">
        <v>63</v>
      </c>
      <c r="C18" t="s">
        <v>292</v>
      </c>
      <c r="D18" t="s">
        <v>293</v>
      </c>
      <c r="E18">
        <v>2027965833</v>
      </c>
      <c r="F18">
        <v>812782</v>
      </c>
      <c r="G18" t="s">
        <v>91</v>
      </c>
      <c r="H18" t="s">
        <v>92</v>
      </c>
      <c r="I18" t="s">
        <v>456</v>
      </c>
      <c r="J18" s="1">
        <v>45738</v>
      </c>
      <c r="K18" s="1">
        <v>45936</v>
      </c>
      <c r="L18" s="1">
        <v>45952</v>
      </c>
      <c r="M18" s="2">
        <v>-11.38</v>
      </c>
      <c r="N18">
        <v>1</v>
      </c>
      <c r="O18" s="3">
        <v>0.7</v>
      </c>
      <c r="P18" s="2">
        <v>0</v>
      </c>
      <c r="Q18" s="2">
        <v>-7.97</v>
      </c>
      <c r="R18" s="2">
        <v>-7.97</v>
      </c>
      <c r="S18" s="2">
        <v>0</v>
      </c>
    </row>
    <row r="19" spans="1:19" x14ac:dyDescent="0.25">
      <c r="A19" t="s">
        <v>234</v>
      </c>
      <c r="B19" t="s">
        <v>1061</v>
      </c>
      <c r="C19" t="s">
        <v>292</v>
      </c>
      <c r="D19" t="s">
        <v>293</v>
      </c>
      <c r="E19">
        <v>2029668179</v>
      </c>
      <c r="F19">
        <v>767312</v>
      </c>
      <c r="G19" t="s">
        <v>283</v>
      </c>
      <c r="H19" t="s">
        <v>284</v>
      </c>
      <c r="I19" t="s">
        <v>456</v>
      </c>
      <c r="J19" s="1">
        <v>45835</v>
      </c>
      <c r="K19" s="1">
        <v>45936</v>
      </c>
      <c r="L19" s="1">
        <v>45957</v>
      </c>
      <c r="M19" s="2">
        <v>-42.42</v>
      </c>
      <c r="N19">
        <v>1</v>
      </c>
      <c r="O19" s="3">
        <v>0.7</v>
      </c>
      <c r="P19" s="2">
        <v>0</v>
      </c>
      <c r="Q19" s="2">
        <v>-29.69</v>
      </c>
      <c r="R19" s="2">
        <v>-29.69</v>
      </c>
      <c r="S19" s="2">
        <v>0</v>
      </c>
    </row>
    <row r="20" spans="1:19" x14ac:dyDescent="0.25">
      <c r="A20" t="s">
        <v>1075</v>
      </c>
      <c r="B20" t="s">
        <v>1076</v>
      </c>
      <c r="C20" t="s">
        <v>292</v>
      </c>
      <c r="D20" t="s">
        <v>293</v>
      </c>
      <c r="E20">
        <v>2030245942</v>
      </c>
      <c r="F20">
        <v>856824</v>
      </c>
      <c r="G20" t="s">
        <v>298</v>
      </c>
      <c r="H20" t="s">
        <v>299</v>
      </c>
      <c r="I20" t="s">
        <v>456</v>
      </c>
      <c r="J20" s="1">
        <v>45870</v>
      </c>
      <c r="K20" s="1">
        <v>45936</v>
      </c>
      <c r="L20" s="1">
        <v>45962</v>
      </c>
      <c r="M20" s="2">
        <v>-57.75</v>
      </c>
      <c r="N20">
        <v>1</v>
      </c>
      <c r="O20" s="3">
        <v>0.7</v>
      </c>
      <c r="P20" s="2">
        <v>0</v>
      </c>
      <c r="Q20" s="2">
        <v>-40.42</v>
      </c>
      <c r="R20" s="2">
        <v>-40.42</v>
      </c>
      <c r="S20" s="2">
        <v>0</v>
      </c>
    </row>
    <row r="21" spans="1:19" x14ac:dyDescent="0.25">
      <c r="A21" t="s">
        <v>1099</v>
      </c>
      <c r="B21" t="s">
        <v>593</v>
      </c>
      <c r="C21" t="s">
        <v>292</v>
      </c>
      <c r="D21" t="s">
        <v>293</v>
      </c>
      <c r="E21">
        <v>2030841404</v>
      </c>
      <c r="F21">
        <v>673059</v>
      </c>
      <c r="G21" t="s">
        <v>80</v>
      </c>
      <c r="H21" t="s">
        <v>81</v>
      </c>
      <c r="I21" t="s">
        <v>456</v>
      </c>
      <c r="J21" s="1">
        <v>45927</v>
      </c>
      <c r="K21" s="1">
        <v>45936</v>
      </c>
      <c r="L21" s="1">
        <v>45957</v>
      </c>
      <c r="M21" s="2">
        <v>-69.66</v>
      </c>
      <c r="N21">
        <v>1</v>
      </c>
      <c r="O21" s="3">
        <v>0.7</v>
      </c>
      <c r="P21" s="2">
        <v>0</v>
      </c>
      <c r="Q21" s="2">
        <v>-48.76</v>
      </c>
      <c r="R21" s="2">
        <v>-48.76</v>
      </c>
      <c r="S21" s="2">
        <v>0</v>
      </c>
    </row>
    <row r="22" spans="1:19" x14ac:dyDescent="0.25">
      <c r="A22" t="s">
        <v>1099</v>
      </c>
      <c r="B22" t="s">
        <v>593</v>
      </c>
      <c r="C22" t="s">
        <v>292</v>
      </c>
      <c r="D22" t="s">
        <v>294</v>
      </c>
      <c r="E22">
        <v>2030841405</v>
      </c>
      <c r="F22">
        <v>673059</v>
      </c>
      <c r="G22" t="s">
        <v>80</v>
      </c>
      <c r="H22" t="s">
        <v>81</v>
      </c>
      <c r="I22" t="s">
        <v>456</v>
      </c>
      <c r="J22" s="1">
        <v>45927</v>
      </c>
      <c r="K22" s="1">
        <v>45936</v>
      </c>
      <c r="L22" s="1">
        <v>45957</v>
      </c>
      <c r="M22" s="2">
        <v>-23.39</v>
      </c>
      <c r="N22">
        <v>1</v>
      </c>
      <c r="O22" s="3">
        <v>0.7</v>
      </c>
      <c r="P22" s="2">
        <v>0</v>
      </c>
      <c r="Q22" s="2">
        <v>-16.37</v>
      </c>
      <c r="R22" s="2">
        <v>-16.37</v>
      </c>
      <c r="S22" s="2">
        <v>0</v>
      </c>
    </row>
    <row r="23" spans="1:19" x14ac:dyDescent="0.25">
      <c r="A23" t="s">
        <v>457</v>
      </c>
      <c r="B23" t="s">
        <v>458</v>
      </c>
      <c r="C23" t="s">
        <v>292</v>
      </c>
      <c r="D23" t="s">
        <v>293</v>
      </c>
      <c r="E23">
        <v>2031250521</v>
      </c>
      <c r="F23">
        <v>673059</v>
      </c>
      <c r="G23" t="s">
        <v>80</v>
      </c>
      <c r="H23" t="s">
        <v>81</v>
      </c>
      <c r="I23" t="s">
        <v>456</v>
      </c>
      <c r="J23" s="1">
        <v>45931</v>
      </c>
      <c r="K23" s="1">
        <v>45936</v>
      </c>
      <c r="L23" s="1">
        <v>45962</v>
      </c>
      <c r="M23" s="2">
        <v>-170.5</v>
      </c>
      <c r="N23">
        <v>1</v>
      </c>
      <c r="O23" s="3">
        <v>0.7</v>
      </c>
      <c r="P23" s="2">
        <v>0</v>
      </c>
      <c r="Q23" s="2">
        <v>-119.35</v>
      </c>
      <c r="R23" s="2">
        <v>-119.35</v>
      </c>
      <c r="S23" s="2">
        <v>0</v>
      </c>
    </row>
    <row r="24" spans="1:19" x14ac:dyDescent="0.25">
      <c r="A24" t="s">
        <v>97</v>
      </c>
      <c r="B24" t="s">
        <v>482</v>
      </c>
      <c r="C24" t="s">
        <v>344</v>
      </c>
      <c r="D24" t="s">
        <v>553</v>
      </c>
      <c r="E24">
        <v>2020895974</v>
      </c>
      <c r="F24">
        <v>673059</v>
      </c>
      <c r="G24" t="s">
        <v>80</v>
      </c>
      <c r="H24" t="s">
        <v>81</v>
      </c>
      <c r="I24" t="s">
        <v>456</v>
      </c>
      <c r="J24" s="1">
        <v>45657</v>
      </c>
      <c r="K24" s="1">
        <v>45936</v>
      </c>
      <c r="L24" s="1">
        <v>45960</v>
      </c>
      <c r="M24" s="2">
        <v>-349.55</v>
      </c>
      <c r="N24">
        <v>1</v>
      </c>
      <c r="O24" s="3">
        <v>0.19</v>
      </c>
      <c r="P24" s="2">
        <v>0</v>
      </c>
      <c r="Q24" s="2">
        <v>-66.41</v>
      </c>
      <c r="R24" s="2">
        <v>-66.41</v>
      </c>
      <c r="S24" s="2">
        <v>0</v>
      </c>
    </row>
    <row r="25" spans="1:19" x14ac:dyDescent="0.25">
      <c r="A25" t="s">
        <v>786</v>
      </c>
      <c r="B25" t="s">
        <v>787</v>
      </c>
      <c r="C25" t="s">
        <v>243</v>
      </c>
      <c r="D25" t="s">
        <v>244</v>
      </c>
      <c r="E25">
        <v>2029290190</v>
      </c>
      <c r="F25">
        <v>824062</v>
      </c>
      <c r="G25" t="s">
        <v>273</v>
      </c>
      <c r="H25" t="s">
        <v>274</v>
      </c>
      <c r="I25" t="s">
        <v>456</v>
      </c>
      <c r="J25" s="1">
        <v>45839</v>
      </c>
      <c r="K25" s="1">
        <v>45936</v>
      </c>
      <c r="L25" s="1">
        <v>45962</v>
      </c>
      <c r="M25" s="2">
        <v>-41.91</v>
      </c>
      <c r="N25">
        <v>1</v>
      </c>
      <c r="O25" s="4">
        <v>0.375</v>
      </c>
      <c r="P25" s="2">
        <v>0</v>
      </c>
      <c r="Q25" s="2">
        <v>-15.72</v>
      </c>
      <c r="R25" s="2">
        <v>-15.72</v>
      </c>
      <c r="S25" s="2">
        <v>0</v>
      </c>
    </row>
    <row r="26" spans="1:19" x14ac:dyDescent="0.25">
      <c r="A26" t="s">
        <v>1218</v>
      </c>
      <c r="B26" t="s">
        <v>1219</v>
      </c>
      <c r="C26" t="s">
        <v>89</v>
      </c>
      <c r="D26" t="s">
        <v>102</v>
      </c>
      <c r="E26">
        <v>2029292997</v>
      </c>
      <c r="F26">
        <v>18201929</v>
      </c>
      <c r="G26" t="s">
        <v>298</v>
      </c>
      <c r="H26" t="s">
        <v>299</v>
      </c>
      <c r="I26" t="s">
        <v>456</v>
      </c>
      <c r="J26" s="1">
        <v>45839</v>
      </c>
      <c r="K26" s="1">
        <v>45936</v>
      </c>
      <c r="M26" s="2">
        <v>0</v>
      </c>
      <c r="P26" s="2">
        <v>252.45</v>
      </c>
      <c r="Q26" s="2">
        <v>168.31</v>
      </c>
      <c r="R26" s="2">
        <v>-84.14</v>
      </c>
      <c r="S26" s="2">
        <v>-84.14</v>
      </c>
    </row>
    <row r="27" spans="1:19" s="5" customFormat="1" x14ac:dyDescent="0.25">
      <c r="A27" s="5" t="s">
        <v>1220</v>
      </c>
      <c r="B27" s="5" t="s">
        <v>482</v>
      </c>
      <c r="C27" s="5" t="s">
        <v>292</v>
      </c>
      <c r="D27" s="5" t="s">
        <v>293</v>
      </c>
      <c r="E27" s="5">
        <v>2029949953</v>
      </c>
      <c r="F27" s="5">
        <v>19681796</v>
      </c>
      <c r="G27" s="5" t="s">
        <v>408</v>
      </c>
      <c r="H27" s="5" t="s">
        <v>410</v>
      </c>
      <c r="I27" s="5" t="s">
        <v>456</v>
      </c>
      <c r="J27" s="6">
        <v>45853</v>
      </c>
      <c r="K27" s="6">
        <v>45936</v>
      </c>
      <c r="M27" s="7">
        <v>0</v>
      </c>
      <c r="P27" s="7">
        <v>130.62</v>
      </c>
      <c r="Q27" s="7">
        <v>65.31</v>
      </c>
      <c r="R27" s="7">
        <v>-65.31</v>
      </c>
      <c r="S27" s="7">
        <v>-65.31</v>
      </c>
    </row>
    <row r="28" spans="1:19" x14ac:dyDescent="0.25">
      <c r="A28" t="s">
        <v>786</v>
      </c>
      <c r="B28" t="s">
        <v>787</v>
      </c>
      <c r="C28" t="s">
        <v>89</v>
      </c>
      <c r="D28" t="s">
        <v>96</v>
      </c>
      <c r="E28">
        <v>2029290191</v>
      </c>
      <c r="F28">
        <v>649163</v>
      </c>
      <c r="G28" t="s">
        <v>273</v>
      </c>
      <c r="H28" t="s">
        <v>274</v>
      </c>
      <c r="I28" t="s">
        <v>456</v>
      </c>
      <c r="J28" s="1">
        <v>45839</v>
      </c>
      <c r="K28" s="1">
        <v>45936</v>
      </c>
      <c r="M28" s="2">
        <v>0</v>
      </c>
      <c r="P28" s="2">
        <v>429.35</v>
      </c>
      <c r="Q28" s="2">
        <v>286.24</v>
      </c>
      <c r="R28" s="2">
        <v>-143.11000000000001</v>
      </c>
      <c r="S28" s="2">
        <v>-143.11000000000001</v>
      </c>
    </row>
    <row r="29" spans="1:19" x14ac:dyDescent="0.25">
      <c r="A29" t="s">
        <v>786</v>
      </c>
      <c r="B29" t="s">
        <v>787</v>
      </c>
      <c r="C29" t="s">
        <v>243</v>
      </c>
      <c r="D29" t="s">
        <v>244</v>
      </c>
      <c r="E29">
        <v>2029290190</v>
      </c>
      <c r="F29">
        <v>649163</v>
      </c>
      <c r="G29" t="s">
        <v>273</v>
      </c>
      <c r="H29" t="s">
        <v>274</v>
      </c>
      <c r="I29" t="s">
        <v>456</v>
      </c>
      <c r="J29" s="1">
        <v>45839</v>
      </c>
      <c r="K29" s="1">
        <v>45936</v>
      </c>
      <c r="M29" s="2">
        <v>0</v>
      </c>
      <c r="P29" s="2">
        <v>94.3</v>
      </c>
      <c r="Q29" s="2">
        <v>62.87</v>
      </c>
      <c r="R29" s="2">
        <v>-31.43</v>
      </c>
      <c r="S29" s="2">
        <v>-31.43</v>
      </c>
    </row>
    <row r="30" spans="1:19" x14ac:dyDescent="0.25">
      <c r="A30" t="s">
        <v>1221</v>
      </c>
      <c r="B30" t="s">
        <v>1222</v>
      </c>
      <c r="C30" t="s">
        <v>292</v>
      </c>
      <c r="D30" t="s">
        <v>293</v>
      </c>
      <c r="E30">
        <v>2030443049</v>
      </c>
      <c r="F30">
        <v>18581063</v>
      </c>
      <c r="G30" t="s">
        <v>1223</v>
      </c>
      <c r="H30" t="s">
        <v>1224</v>
      </c>
      <c r="I30" t="s">
        <v>456</v>
      </c>
      <c r="J30" s="1">
        <v>45881</v>
      </c>
      <c r="K30" s="1">
        <v>45936</v>
      </c>
      <c r="M30" s="2">
        <v>0</v>
      </c>
      <c r="P30" s="2">
        <v>643.57000000000005</v>
      </c>
      <c r="Q30" s="2">
        <v>107.26</v>
      </c>
      <c r="R30" s="2">
        <v>-536.30999999999995</v>
      </c>
      <c r="S30" s="2">
        <v>-536.30999999999995</v>
      </c>
    </row>
    <row r="31" spans="1:19" x14ac:dyDescent="0.25">
      <c r="A31" t="s">
        <v>1075</v>
      </c>
      <c r="B31" t="s">
        <v>1076</v>
      </c>
      <c r="C31" t="s">
        <v>292</v>
      </c>
      <c r="D31" t="s">
        <v>293</v>
      </c>
      <c r="E31">
        <v>2030245942</v>
      </c>
      <c r="F31">
        <v>649163</v>
      </c>
      <c r="G31" t="s">
        <v>298</v>
      </c>
      <c r="H31" t="s">
        <v>299</v>
      </c>
      <c r="I31" t="s">
        <v>456</v>
      </c>
      <c r="J31" s="1">
        <v>45870</v>
      </c>
      <c r="K31" s="1">
        <v>45936</v>
      </c>
      <c r="M31" s="2">
        <v>0</v>
      </c>
      <c r="P31" s="2">
        <v>234.74</v>
      </c>
      <c r="Q31" s="2">
        <v>117.37</v>
      </c>
      <c r="R31" s="2">
        <v>-117.37</v>
      </c>
      <c r="S31" s="2">
        <v>-117.37</v>
      </c>
    </row>
    <row r="32" spans="1:19" x14ac:dyDescent="0.25">
      <c r="A32" t="s">
        <v>1225</v>
      </c>
      <c r="B32" t="s">
        <v>1226</v>
      </c>
      <c r="C32" t="s">
        <v>292</v>
      </c>
      <c r="D32" t="s">
        <v>293</v>
      </c>
      <c r="E32">
        <v>2030336455</v>
      </c>
      <c r="F32">
        <v>16865615</v>
      </c>
      <c r="G32" t="s">
        <v>265</v>
      </c>
      <c r="H32" t="s">
        <v>266</v>
      </c>
      <c r="I32" t="s">
        <v>456</v>
      </c>
      <c r="J32" s="1">
        <v>45875</v>
      </c>
      <c r="K32" s="1">
        <v>45936</v>
      </c>
      <c r="M32" s="2">
        <v>0</v>
      </c>
      <c r="P32" s="2">
        <v>40.74</v>
      </c>
      <c r="Q32" s="2">
        <v>6.79</v>
      </c>
      <c r="R32" s="2">
        <v>-33.950000000000003</v>
      </c>
      <c r="S32" s="2">
        <v>-33.950000000000003</v>
      </c>
    </row>
    <row r="33" spans="1:19" x14ac:dyDescent="0.25">
      <c r="A33" t="s">
        <v>738</v>
      </c>
      <c r="B33" t="s">
        <v>1001</v>
      </c>
      <c r="C33" t="s">
        <v>243</v>
      </c>
      <c r="D33" t="s">
        <v>244</v>
      </c>
      <c r="E33">
        <v>2030372594</v>
      </c>
      <c r="F33">
        <v>17425766</v>
      </c>
      <c r="G33" t="s">
        <v>237</v>
      </c>
      <c r="H33" t="s">
        <v>238</v>
      </c>
      <c r="I33" t="s">
        <v>456</v>
      </c>
      <c r="J33" s="1">
        <v>45877</v>
      </c>
      <c r="K33" s="1">
        <v>45936</v>
      </c>
      <c r="M33" s="2">
        <v>0</v>
      </c>
      <c r="P33" s="2">
        <v>152.16999999999999</v>
      </c>
      <c r="Q33" s="2">
        <v>25.36</v>
      </c>
      <c r="R33" s="2">
        <v>-126.81</v>
      </c>
      <c r="S33" s="2">
        <v>-126.81</v>
      </c>
    </row>
    <row r="34" spans="1:19" x14ac:dyDescent="0.25">
      <c r="A34" t="s">
        <v>1227</v>
      </c>
      <c r="B34" t="s">
        <v>510</v>
      </c>
      <c r="C34" t="s">
        <v>292</v>
      </c>
      <c r="D34" t="s">
        <v>331</v>
      </c>
      <c r="E34">
        <v>2030382340</v>
      </c>
      <c r="F34">
        <v>7146581</v>
      </c>
      <c r="G34" t="s">
        <v>436</v>
      </c>
      <c r="H34" t="s">
        <v>437</v>
      </c>
      <c r="I34" t="s">
        <v>456</v>
      </c>
      <c r="J34" s="1">
        <v>45877</v>
      </c>
      <c r="K34" s="1">
        <v>45936</v>
      </c>
      <c r="M34" s="2">
        <v>0</v>
      </c>
      <c r="P34" s="2">
        <v>257.29000000000002</v>
      </c>
      <c r="Q34" s="2">
        <v>42.88</v>
      </c>
      <c r="R34" s="2">
        <v>-214.41</v>
      </c>
      <c r="S34" s="2">
        <v>-214.41</v>
      </c>
    </row>
    <row r="35" spans="1:19" x14ac:dyDescent="0.25">
      <c r="A35" t="s">
        <v>1225</v>
      </c>
      <c r="B35" t="s">
        <v>1226</v>
      </c>
      <c r="C35" t="s">
        <v>89</v>
      </c>
      <c r="D35" t="s">
        <v>96</v>
      </c>
      <c r="E35">
        <v>2030336457</v>
      </c>
      <c r="F35">
        <v>16865615</v>
      </c>
      <c r="G35" t="s">
        <v>265</v>
      </c>
      <c r="H35" t="s">
        <v>266</v>
      </c>
      <c r="I35" t="s">
        <v>456</v>
      </c>
      <c r="J35" s="1">
        <v>45875</v>
      </c>
      <c r="K35" s="1">
        <v>45936</v>
      </c>
      <c r="M35" s="2">
        <v>0</v>
      </c>
      <c r="P35" s="2">
        <v>162.27000000000001</v>
      </c>
      <c r="Q35" s="2">
        <v>27.05</v>
      </c>
      <c r="R35" s="2">
        <v>-135.22</v>
      </c>
      <c r="S35" s="2">
        <v>-135.22</v>
      </c>
    </row>
    <row r="36" spans="1:19" x14ac:dyDescent="0.25">
      <c r="A36" t="s">
        <v>1218</v>
      </c>
      <c r="B36" t="s">
        <v>1219</v>
      </c>
      <c r="C36" t="s">
        <v>292</v>
      </c>
      <c r="D36" t="s">
        <v>293</v>
      </c>
      <c r="E36">
        <v>2029292996</v>
      </c>
      <c r="F36">
        <v>18201929</v>
      </c>
      <c r="G36" t="s">
        <v>298</v>
      </c>
      <c r="H36" t="s">
        <v>299</v>
      </c>
      <c r="I36" t="s">
        <v>456</v>
      </c>
      <c r="J36" s="1">
        <v>45839</v>
      </c>
      <c r="K36" s="1">
        <v>45936</v>
      </c>
      <c r="M36" s="2">
        <v>0</v>
      </c>
      <c r="P36" s="2">
        <v>348.6</v>
      </c>
      <c r="Q36" s="2">
        <v>232.4</v>
      </c>
      <c r="R36" s="2">
        <v>-116.2</v>
      </c>
      <c r="S36" s="2">
        <v>-116.2</v>
      </c>
    </row>
    <row r="37" spans="1:19" x14ac:dyDescent="0.25">
      <c r="A37" t="s">
        <v>1137</v>
      </c>
      <c r="B37" t="s">
        <v>1228</v>
      </c>
      <c r="C37" t="s">
        <v>287</v>
      </c>
      <c r="D37" t="s">
        <v>288</v>
      </c>
      <c r="E37">
        <v>2029969179</v>
      </c>
      <c r="F37">
        <v>17425766</v>
      </c>
      <c r="G37" t="s">
        <v>237</v>
      </c>
      <c r="H37" t="s">
        <v>238</v>
      </c>
      <c r="I37" t="s">
        <v>456</v>
      </c>
      <c r="J37" s="1">
        <v>45870</v>
      </c>
      <c r="K37" s="1">
        <v>45936</v>
      </c>
      <c r="M37" s="2">
        <v>0</v>
      </c>
      <c r="P37" s="2">
        <v>139.97</v>
      </c>
      <c r="Q37" s="2">
        <v>69.989999999999995</v>
      </c>
      <c r="R37" s="2">
        <v>-69.98</v>
      </c>
      <c r="S37" s="2">
        <v>-69.98</v>
      </c>
    </row>
    <row r="38" spans="1:19" x14ac:dyDescent="0.25">
      <c r="A38" t="s">
        <v>1229</v>
      </c>
      <c r="B38" t="s">
        <v>63</v>
      </c>
      <c r="C38" t="s">
        <v>243</v>
      </c>
      <c r="D38" t="s">
        <v>244</v>
      </c>
      <c r="E38">
        <v>2029189479</v>
      </c>
      <c r="F38">
        <v>17126004</v>
      </c>
      <c r="G38" t="s">
        <v>277</v>
      </c>
      <c r="H38" t="s">
        <v>278</v>
      </c>
      <c r="I38" t="s">
        <v>456</v>
      </c>
      <c r="J38" s="1">
        <v>45809</v>
      </c>
      <c r="K38" s="1">
        <v>45936</v>
      </c>
      <c r="M38" s="2">
        <v>0</v>
      </c>
      <c r="P38" s="2">
        <v>351.61</v>
      </c>
      <c r="Q38" s="2">
        <v>234.41</v>
      </c>
      <c r="R38" s="2">
        <v>-117.2</v>
      </c>
      <c r="S38" s="2">
        <v>-117.2</v>
      </c>
    </row>
    <row r="39" spans="1:19" x14ac:dyDescent="0.25">
      <c r="A39" t="s">
        <v>234</v>
      </c>
      <c r="B39" t="s">
        <v>1061</v>
      </c>
      <c r="C39" t="s">
        <v>292</v>
      </c>
      <c r="D39" t="s">
        <v>293</v>
      </c>
      <c r="E39">
        <v>2029668179</v>
      </c>
      <c r="F39">
        <v>649163</v>
      </c>
      <c r="G39" t="s">
        <v>283</v>
      </c>
      <c r="H39" t="s">
        <v>284</v>
      </c>
      <c r="I39" t="s">
        <v>456</v>
      </c>
      <c r="J39" s="1">
        <v>45835</v>
      </c>
      <c r="K39" s="1">
        <v>45936</v>
      </c>
      <c r="M39" s="2">
        <v>0</v>
      </c>
      <c r="P39" s="2">
        <v>222.68</v>
      </c>
      <c r="Q39" s="2">
        <v>148.44999999999999</v>
      </c>
      <c r="R39" s="2">
        <v>-74.23</v>
      </c>
      <c r="S39" s="2">
        <v>-74.23</v>
      </c>
    </row>
    <row r="40" spans="1:19" x14ac:dyDescent="0.25">
      <c r="A40" t="s">
        <v>740</v>
      </c>
      <c r="B40" t="s">
        <v>1073</v>
      </c>
      <c r="C40" t="s">
        <v>292</v>
      </c>
      <c r="D40" t="s">
        <v>293</v>
      </c>
      <c r="E40">
        <v>2030218379</v>
      </c>
      <c r="F40">
        <v>20003537</v>
      </c>
      <c r="G40" t="s">
        <v>66</v>
      </c>
      <c r="H40" t="s">
        <v>156</v>
      </c>
      <c r="I40" t="s">
        <v>456</v>
      </c>
      <c r="J40" s="1">
        <v>45870</v>
      </c>
      <c r="K40" s="1">
        <v>45936</v>
      </c>
      <c r="M40" s="2">
        <v>0</v>
      </c>
      <c r="P40" s="2">
        <v>501.98</v>
      </c>
      <c r="Q40" s="2">
        <v>167.33</v>
      </c>
      <c r="R40" s="2">
        <v>-334.65</v>
      </c>
      <c r="S40" s="2">
        <v>-334.65</v>
      </c>
    </row>
    <row r="41" spans="1:19" x14ac:dyDescent="0.25">
      <c r="A41" t="s">
        <v>1225</v>
      </c>
      <c r="B41" t="s">
        <v>1226</v>
      </c>
      <c r="C41" t="s">
        <v>287</v>
      </c>
      <c r="D41" t="s">
        <v>288</v>
      </c>
      <c r="E41">
        <v>2030336456</v>
      </c>
      <c r="F41">
        <v>16865615</v>
      </c>
      <c r="G41" t="s">
        <v>265</v>
      </c>
      <c r="H41" t="s">
        <v>266</v>
      </c>
      <c r="I41" t="s">
        <v>456</v>
      </c>
      <c r="J41" s="1">
        <v>45875</v>
      </c>
      <c r="K41" s="1">
        <v>45936</v>
      </c>
      <c r="M41" s="2">
        <v>0</v>
      </c>
      <c r="P41" s="2">
        <v>38.549999999999997</v>
      </c>
      <c r="Q41" s="2">
        <v>6.43</v>
      </c>
      <c r="R41" s="2">
        <v>-32.119999999999997</v>
      </c>
      <c r="S41" s="2">
        <v>-32.119999999999997</v>
      </c>
    </row>
    <row r="42" spans="1:19" x14ac:dyDescent="0.25">
      <c r="A42" t="s">
        <v>1230</v>
      </c>
      <c r="B42" t="s">
        <v>1231</v>
      </c>
      <c r="C42" t="s">
        <v>243</v>
      </c>
      <c r="D42" t="s">
        <v>244</v>
      </c>
      <c r="E42">
        <v>2030413756</v>
      </c>
      <c r="F42">
        <v>16378851</v>
      </c>
      <c r="G42" t="s">
        <v>97</v>
      </c>
      <c r="H42" t="s">
        <v>98</v>
      </c>
      <c r="I42" t="s">
        <v>456</v>
      </c>
      <c r="J42" s="1">
        <v>45901</v>
      </c>
      <c r="K42" s="1">
        <v>45936</v>
      </c>
      <c r="M42" s="2">
        <v>0</v>
      </c>
      <c r="P42" s="2">
        <v>67.069999999999993</v>
      </c>
      <c r="Q42" s="2">
        <v>22.36</v>
      </c>
      <c r="R42" s="2">
        <v>-44.71</v>
      </c>
      <c r="S42" s="2">
        <v>-44.71</v>
      </c>
    </row>
    <row r="43" spans="1:19" x14ac:dyDescent="0.25">
      <c r="A43" t="s">
        <v>1232</v>
      </c>
      <c r="B43" t="s">
        <v>104</v>
      </c>
      <c r="C43" t="s">
        <v>292</v>
      </c>
      <c r="D43" t="s">
        <v>294</v>
      </c>
      <c r="E43">
        <v>2031072180</v>
      </c>
      <c r="F43">
        <v>5442438</v>
      </c>
      <c r="G43" t="s">
        <v>106</v>
      </c>
      <c r="H43" t="s">
        <v>107</v>
      </c>
      <c r="I43" t="s">
        <v>456</v>
      </c>
      <c r="J43" s="1">
        <v>45919</v>
      </c>
      <c r="K43" s="1">
        <v>45936</v>
      </c>
      <c r="M43" s="2">
        <v>0</v>
      </c>
      <c r="P43" s="2">
        <v>103.38</v>
      </c>
      <c r="Q43" s="2">
        <v>17.23</v>
      </c>
      <c r="R43" s="2">
        <v>-86.15</v>
      </c>
      <c r="S43" s="2">
        <v>-86.15</v>
      </c>
    </row>
    <row r="44" spans="1:19" x14ac:dyDescent="0.25">
      <c r="A44" t="s">
        <v>1232</v>
      </c>
      <c r="B44" t="s">
        <v>104</v>
      </c>
      <c r="C44" t="s">
        <v>89</v>
      </c>
      <c r="D44" t="s">
        <v>96</v>
      </c>
      <c r="E44">
        <v>2031072181</v>
      </c>
      <c r="F44">
        <v>5442438</v>
      </c>
      <c r="G44" t="s">
        <v>106</v>
      </c>
      <c r="H44" t="s">
        <v>107</v>
      </c>
      <c r="I44" t="s">
        <v>456</v>
      </c>
      <c r="J44" s="1">
        <v>45919</v>
      </c>
      <c r="K44" s="1">
        <v>45936</v>
      </c>
      <c r="M44" s="2">
        <v>0</v>
      </c>
      <c r="P44" s="2">
        <v>171.24</v>
      </c>
      <c r="Q44" s="2">
        <v>28.54</v>
      </c>
      <c r="R44" s="2">
        <v>-142.69999999999999</v>
      </c>
      <c r="S44" s="2">
        <v>-142.69999999999999</v>
      </c>
    </row>
    <row r="45" spans="1:19" x14ac:dyDescent="0.25">
      <c r="A45" t="s">
        <v>108</v>
      </c>
      <c r="B45" t="s">
        <v>1233</v>
      </c>
      <c r="C45" t="s">
        <v>292</v>
      </c>
      <c r="D45" t="s">
        <v>293</v>
      </c>
      <c r="E45">
        <v>2031079835</v>
      </c>
      <c r="F45">
        <v>17437820</v>
      </c>
      <c r="G45" t="s">
        <v>258</v>
      </c>
      <c r="H45" t="s">
        <v>259</v>
      </c>
      <c r="I45" t="s">
        <v>456</v>
      </c>
      <c r="J45" s="1">
        <v>45916</v>
      </c>
      <c r="K45" s="1">
        <v>45936</v>
      </c>
      <c r="M45" s="2">
        <v>0</v>
      </c>
      <c r="P45" s="2">
        <v>121.38</v>
      </c>
      <c r="Q45" s="2">
        <v>20.23</v>
      </c>
      <c r="R45" s="2">
        <v>-101.15</v>
      </c>
      <c r="S45" s="2">
        <v>-101.15</v>
      </c>
    </row>
    <row r="46" spans="1:19" x14ac:dyDescent="0.25">
      <c r="A46" t="s">
        <v>1234</v>
      </c>
      <c r="B46" t="s">
        <v>562</v>
      </c>
      <c r="C46" t="s">
        <v>292</v>
      </c>
      <c r="D46" t="s">
        <v>293</v>
      </c>
      <c r="E46">
        <v>2030873014</v>
      </c>
      <c r="F46">
        <v>8977234</v>
      </c>
      <c r="G46" t="s">
        <v>80</v>
      </c>
      <c r="H46" t="s">
        <v>81</v>
      </c>
      <c r="I46" t="s">
        <v>456</v>
      </c>
      <c r="J46" s="1">
        <v>45905</v>
      </c>
      <c r="K46" s="1">
        <v>45936</v>
      </c>
      <c r="M46" s="2">
        <v>0</v>
      </c>
      <c r="P46" s="2">
        <v>240.53</v>
      </c>
      <c r="Q46" s="2">
        <v>40.090000000000003</v>
      </c>
      <c r="R46" s="2">
        <v>-200.44</v>
      </c>
      <c r="S46" s="2">
        <v>-200.44</v>
      </c>
    </row>
    <row r="47" spans="1:19" x14ac:dyDescent="0.25">
      <c r="A47" t="s">
        <v>556</v>
      </c>
      <c r="B47" t="s">
        <v>557</v>
      </c>
      <c r="C47" t="s">
        <v>344</v>
      </c>
      <c r="D47" t="s">
        <v>346</v>
      </c>
      <c r="E47">
        <v>2030934309</v>
      </c>
      <c r="F47">
        <v>649163</v>
      </c>
      <c r="G47" t="s">
        <v>428</v>
      </c>
      <c r="H47" t="s">
        <v>309</v>
      </c>
      <c r="I47" t="s">
        <v>456</v>
      </c>
      <c r="J47" s="1">
        <v>45909</v>
      </c>
      <c r="K47" s="1">
        <v>45936</v>
      </c>
      <c r="M47" s="2">
        <v>0</v>
      </c>
      <c r="P47" s="2">
        <v>1764.9</v>
      </c>
      <c r="Q47" s="2">
        <v>294.14999999999998</v>
      </c>
      <c r="R47" s="2">
        <v>-1470.75</v>
      </c>
      <c r="S47" s="2">
        <v>-1470.75</v>
      </c>
    </row>
    <row r="48" spans="1:19" x14ac:dyDescent="0.25">
      <c r="A48" t="s">
        <v>556</v>
      </c>
      <c r="B48" t="s">
        <v>557</v>
      </c>
      <c r="C48" t="s">
        <v>209</v>
      </c>
      <c r="D48" t="s">
        <v>225</v>
      </c>
      <c r="E48">
        <v>2030934310</v>
      </c>
      <c r="F48">
        <v>649163</v>
      </c>
      <c r="G48" t="s">
        <v>428</v>
      </c>
      <c r="H48" t="s">
        <v>309</v>
      </c>
      <c r="I48" t="s">
        <v>456</v>
      </c>
      <c r="J48" s="1">
        <v>45909</v>
      </c>
      <c r="K48" s="1">
        <v>45936</v>
      </c>
      <c r="M48" s="2">
        <v>0</v>
      </c>
      <c r="P48" s="2">
        <v>26.1</v>
      </c>
      <c r="Q48" s="2">
        <v>4.3499999999999996</v>
      </c>
      <c r="R48" s="2">
        <v>-21.75</v>
      </c>
      <c r="S48" s="2">
        <v>-21.75</v>
      </c>
    </row>
    <row r="49" spans="1:19" x14ac:dyDescent="0.25">
      <c r="A49" t="s">
        <v>423</v>
      </c>
      <c r="B49" t="s">
        <v>259</v>
      </c>
      <c r="C49" t="s">
        <v>287</v>
      </c>
      <c r="D49" t="s">
        <v>291</v>
      </c>
      <c r="E49">
        <v>2030985508</v>
      </c>
      <c r="F49">
        <v>649163</v>
      </c>
      <c r="G49" t="s">
        <v>256</v>
      </c>
      <c r="H49" t="s">
        <v>165</v>
      </c>
      <c r="I49" t="s">
        <v>456</v>
      </c>
      <c r="J49" s="1">
        <v>45912</v>
      </c>
      <c r="K49" s="1">
        <v>45936</v>
      </c>
      <c r="M49" s="2">
        <v>0</v>
      </c>
      <c r="P49" s="2">
        <v>846.06</v>
      </c>
      <c r="Q49" s="2">
        <v>141.01</v>
      </c>
      <c r="R49" s="2">
        <v>-705.05</v>
      </c>
      <c r="S49" s="2">
        <v>-705.05</v>
      </c>
    </row>
    <row r="50" spans="1:19" x14ac:dyDescent="0.25">
      <c r="A50" t="s">
        <v>423</v>
      </c>
      <c r="B50" t="s">
        <v>259</v>
      </c>
      <c r="C50" t="s">
        <v>209</v>
      </c>
      <c r="D50" t="s">
        <v>232</v>
      </c>
      <c r="E50">
        <v>2030985509</v>
      </c>
      <c r="F50">
        <v>649163</v>
      </c>
      <c r="G50" t="s">
        <v>256</v>
      </c>
      <c r="H50" t="s">
        <v>165</v>
      </c>
      <c r="I50" t="s">
        <v>456</v>
      </c>
      <c r="J50" s="1">
        <v>45912</v>
      </c>
      <c r="K50" s="1">
        <v>45936</v>
      </c>
      <c r="M50" s="2">
        <v>0</v>
      </c>
      <c r="P50" s="2">
        <v>34.200000000000003</v>
      </c>
      <c r="Q50" s="2">
        <v>5.7</v>
      </c>
      <c r="R50" s="2">
        <v>-28.5</v>
      </c>
      <c r="S50" s="2">
        <v>-28.5</v>
      </c>
    </row>
    <row r="51" spans="1:19" x14ac:dyDescent="0.25">
      <c r="A51" t="s">
        <v>1225</v>
      </c>
      <c r="B51" t="s">
        <v>1226</v>
      </c>
      <c r="C51" t="s">
        <v>243</v>
      </c>
      <c r="D51" t="s">
        <v>244</v>
      </c>
      <c r="E51">
        <v>2030336454</v>
      </c>
      <c r="F51">
        <v>16865615</v>
      </c>
      <c r="G51" t="s">
        <v>265</v>
      </c>
      <c r="H51" t="s">
        <v>266</v>
      </c>
      <c r="I51" t="s">
        <v>456</v>
      </c>
      <c r="J51" s="1">
        <v>45875</v>
      </c>
      <c r="K51" s="1">
        <v>45936</v>
      </c>
      <c r="M51" s="2">
        <v>0</v>
      </c>
      <c r="P51" s="2">
        <v>67.099999999999994</v>
      </c>
      <c r="Q51" s="2">
        <v>11.18</v>
      </c>
      <c r="R51" s="2">
        <v>-55.92</v>
      </c>
      <c r="S51" s="2">
        <v>-55.92</v>
      </c>
    </row>
    <row r="52" spans="1:19" x14ac:dyDescent="0.25">
      <c r="A52" t="s">
        <v>738</v>
      </c>
      <c r="B52" t="s">
        <v>1001</v>
      </c>
      <c r="C52" t="s">
        <v>292</v>
      </c>
      <c r="D52" t="s">
        <v>293</v>
      </c>
      <c r="E52">
        <v>2030372595</v>
      </c>
      <c r="F52">
        <v>17425766</v>
      </c>
      <c r="G52" t="s">
        <v>237</v>
      </c>
      <c r="H52" t="s">
        <v>238</v>
      </c>
      <c r="I52" t="s">
        <v>456</v>
      </c>
      <c r="J52" s="1">
        <v>45877</v>
      </c>
      <c r="K52" s="1">
        <v>45936</v>
      </c>
      <c r="M52" s="2">
        <v>0</v>
      </c>
      <c r="P52" s="2">
        <v>45.44</v>
      </c>
      <c r="Q52" s="2">
        <v>7.57</v>
      </c>
      <c r="R52" s="2">
        <v>-37.869999999999997</v>
      </c>
      <c r="S52" s="2">
        <v>-37.869999999999997</v>
      </c>
    </row>
    <row r="53" spans="1:19" x14ac:dyDescent="0.25">
      <c r="A53" t="s">
        <v>1227</v>
      </c>
      <c r="B53" t="s">
        <v>510</v>
      </c>
      <c r="C53" t="s">
        <v>292</v>
      </c>
      <c r="D53" t="s">
        <v>293</v>
      </c>
      <c r="E53">
        <v>2030382339</v>
      </c>
      <c r="F53">
        <v>7146581</v>
      </c>
      <c r="G53" t="s">
        <v>436</v>
      </c>
      <c r="H53" t="s">
        <v>437</v>
      </c>
      <c r="I53" t="s">
        <v>456</v>
      </c>
      <c r="J53" s="1">
        <v>45877</v>
      </c>
      <c r="K53" s="1">
        <v>45936</v>
      </c>
      <c r="M53" s="2">
        <v>0</v>
      </c>
      <c r="P53" s="2">
        <v>403.28</v>
      </c>
      <c r="Q53" s="2">
        <v>67.209999999999994</v>
      </c>
      <c r="R53" s="2">
        <v>-336.07</v>
      </c>
      <c r="S53" s="2">
        <v>-336.07</v>
      </c>
    </row>
    <row r="54" spans="1:19" x14ac:dyDescent="0.25">
      <c r="A54" t="s">
        <v>1230</v>
      </c>
      <c r="B54" t="s">
        <v>1231</v>
      </c>
      <c r="C54" t="s">
        <v>89</v>
      </c>
      <c r="D54" t="s">
        <v>96</v>
      </c>
      <c r="E54">
        <v>2030413755</v>
      </c>
      <c r="F54">
        <v>16378851</v>
      </c>
      <c r="G54" t="s">
        <v>97</v>
      </c>
      <c r="H54" t="s">
        <v>98</v>
      </c>
      <c r="I54" t="s">
        <v>456</v>
      </c>
      <c r="J54" s="1">
        <v>45901</v>
      </c>
      <c r="K54" s="1">
        <v>45936</v>
      </c>
      <c r="M54" s="2">
        <v>0</v>
      </c>
      <c r="P54" s="2">
        <v>367.63</v>
      </c>
      <c r="Q54" s="2">
        <v>122.54</v>
      </c>
      <c r="R54" s="2">
        <v>-245.09</v>
      </c>
      <c r="S54" s="2">
        <v>-245.09</v>
      </c>
    </row>
    <row r="55" spans="1:19" x14ac:dyDescent="0.25">
      <c r="A55" t="s">
        <v>1234</v>
      </c>
      <c r="B55" t="s">
        <v>562</v>
      </c>
      <c r="C55" t="s">
        <v>292</v>
      </c>
      <c r="D55" t="s">
        <v>536</v>
      </c>
      <c r="E55">
        <v>2030873015</v>
      </c>
      <c r="F55">
        <v>8977234</v>
      </c>
      <c r="G55" t="s">
        <v>80</v>
      </c>
      <c r="H55" t="s">
        <v>81</v>
      </c>
      <c r="I55" t="s">
        <v>456</v>
      </c>
      <c r="J55" s="1">
        <v>45905</v>
      </c>
      <c r="K55" s="1">
        <v>45936</v>
      </c>
      <c r="M55" s="2">
        <v>0</v>
      </c>
      <c r="P55" s="2">
        <v>108.07</v>
      </c>
      <c r="Q55" s="2">
        <v>18.010000000000002</v>
      </c>
      <c r="R55" s="2">
        <v>-90.06</v>
      </c>
      <c r="S55" s="2">
        <v>-90.06</v>
      </c>
    </row>
    <row r="56" spans="1:19" x14ac:dyDescent="0.25">
      <c r="A56" t="s">
        <v>1235</v>
      </c>
      <c r="B56" t="s">
        <v>470</v>
      </c>
      <c r="C56" t="s">
        <v>292</v>
      </c>
      <c r="D56" t="s">
        <v>293</v>
      </c>
      <c r="E56">
        <v>2030676913</v>
      </c>
      <c r="F56">
        <v>18201929</v>
      </c>
      <c r="G56" t="s">
        <v>298</v>
      </c>
      <c r="H56" t="s">
        <v>299</v>
      </c>
      <c r="I56" t="s">
        <v>456</v>
      </c>
      <c r="J56" s="1">
        <v>45931</v>
      </c>
      <c r="K56" s="1">
        <v>45936</v>
      </c>
      <c r="M56" s="2">
        <v>0</v>
      </c>
      <c r="P56" s="2">
        <v>671.16</v>
      </c>
      <c r="Q56" s="2">
        <v>111.86</v>
      </c>
      <c r="R56" s="2">
        <v>-559.29999999999995</v>
      </c>
      <c r="S56" s="2">
        <v>-559.29999999999995</v>
      </c>
    </row>
    <row r="57" spans="1:19" x14ac:dyDescent="0.25">
      <c r="A57" t="s">
        <v>1235</v>
      </c>
      <c r="B57" t="s">
        <v>470</v>
      </c>
      <c r="C57" t="s">
        <v>292</v>
      </c>
      <c r="D57" t="s">
        <v>295</v>
      </c>
      <c r="E57">
        <v>2030676914</v>
      </c>
      <c r="F57">
        <v>18201929</v>
      </c>
      <c r="G57" t="s">
        <v>298</v>
      </c>
      <c r="H57" t="s">
        <v>299</v>
      </c>
      <c r="I57" t="s">
        <v>456</v>
      </c>
      <c r="J57" s="1">
        <v>45931</v>
      </c>
      <c r="K57" s="1">
        <v>45936</v>
      </c>
      <c r="M57" s="2">
        <v>0</v>
      </c>
      <c r="P57" s="2">
        <v>416.34</v>
      </c>
      <c r="Q57" s="2">
        <v>69.39</v>
      </c>
      <c r="R57" s="2">
        <v>-346.95</v>
      </c>
      <c r="S57" s="2">
        <v>-346.95</v>
      </c>
    </row>
    <row r="58" spans="1:19" x14ac:dyDescent="0.25">
      <c r="A58" t="s">
        <v>457</v>
      </c>
      <c r="B58" t="s">
        <v>458</v>
      </c>
      <c r="C58" t="s">
        <v>287</v>
      </c>
      <c r="D58" t="s">
        <v>291</v>
      </c>
      <c r="E58">
        <v>2031250518</v>
      </c>
      <c r="F58">
        <v>649163</v>
      </c>
      <c r="G58" t="s">
        <v>80</v>
      </c>
      <c r="H58" t="s">
        <v>81</v>
      </c>
      <c r="I58" t="s">
        <v>456</v>
      </c>
      <c r="J58" s="1">
        <v>45931</v>
      </c>
      <c r="K58" s="1">
        <v>45936</v>
      </c>
      <c r="M58" s="2">
        <v>0</v>
      </c>
      <c r="P58" s="2">
        <v>0</v>
      </c>
      <c r="Q58" s="2">
        <v>0</v>
      </c>
      <c r="R58" s="2">
        <v>0</v>
      </c>
      <c r="S58" s="2">
        <v>0</v>
      </c>
    </row>
    <row r="59" spans="1:19" x14ac:dyDescent="0.25">
      <c r="A59" t="s">
        <v>457</v>
      </c>
      <c r="B59" t="s">
        <v>458</v>
      </c>
      <c r="C59" t="s">
        <v>287</v>
      </c>
      <c r="D59" t="s">
        <v>424</v>
      </c>
      <c r="E59">
        <v>2031250519</v>
      </c>
      <c r="F59">
        <v>649163</v>
      </c>
      <c r="G59" t="s">
        <v>80</v>
      </c>
      <c r="H59" t="s">
        <v>81</v>
      </c>
      <c r="I59" t="s">
        <v>456</v>
      </c>
      <c r="J59" s="1">
        <v>45931</v>
      </c>
      <c r="K59" s="1">
        <v>45936</v>
      </c>
      <c r="M59" s="2">
        <v>0</v>
      </c>
      <c r="P59" s="2">
        <v>0</v>
      </c>
      <c r="Q59" s="2">
        <v>0</v>
      </c>
      <c r="R59" s="2">
        <v>0</v>
      </c>
      <c r="S59" s="2">
        <v>0</v>
      </c>
    </row>
    <row r="60" spans="1:19" x14ac:dyDescent="0.25">
      <c r="A60" t="s">
        <v>1234</v>
      </c>
      <c r="B60" t="s">
        <v>562</v>
      </c>
      <c r="C60" t="s">
        <v>243</v>
      </c>
      <c r="D60" t="s">
        <v>244</v>
      </c>
      <c r="E60">
        <v>2030873016</v>
      </c>
      <c r="F60">
        <v>8977234</v>
      </c>
      <c r="G60" t="s">
        <v>80</v>
      </c>
      <c r="H60" t="s">
        <v>81</v>
      </c>
      <c r="I60" t="s">
        <v>456</v>
      </c>
      <c r="J60" s="1">
        <v>45905</v>
      </c>
      <c r="K60" s="1">
        <v>45936</v>
      </c>
      <c r="M60" s="2">
        <v>0</v>
      </c>
      <c r="P60" s="2">
        <v>164.63</v>
      </c>
      <c r="Q60" s="2">
        <v>27.44</v>
      </c>
      <c r="R60" s="2">
        <v>-137.19</v>
      </c>
      <c r="S60" s="2">
        <v>-137.19</v>
      </c>
    </row>
    <row r="61" spans="1:19" x14ac:dyDescent="0.25">
      <c r="A61" t="s">
        <v>1236</v>
      </c>
      <c r="B61" t="s">
        <v>1177</v>
      </c>
      <c r="C61" t="s">
        <v>243</v>
      </c>
      <c r="D61" t="s">
        <v>244</v>
      </c>
      <c r="E61">
        <v>2031032748</v>
      </c>
      <c r="F61">
        <v>16228684</v>
      </c>
      <c r="G61" t="s">
        <v>1237</v>
      </c>
      <c r="H61" t="s">
        <v>1238</v>
      </c>
      <c r="I61" t="s">
        <v>456</v>
      </c>
      <c r="J61" s="1">
        <v>45931</v>
      </c>
      <c r="K61" s="1">
        <v>45936</v>
      </c>
      <c r="M61" s="2">
        <v>0</v>
      </c>
      <c r="P61" s="2">
        <v>174.36</v>
      </c>
      <c r="Q61" s="2">
        <v>29.06</v>
      </c>
      <c r="R61" s="2">
        <v>-145.30000000000001</v>
      </c>
      <c r="S61" s="2">
        <v>-145.30000000000001</v>
      </c>
    </row>
    <row r="62" spans="1:19" x14ac:dyDescent="0.25">
      <c r="A62" t="s">
        <v>1099</v>
      </c>
      <c r="B62" t="s">
        <v>593</v>
      </c>
      <c r="C62" t="s">
        <v>292</v>
      </c>
      <c r="D62" t="s">
        <v>294</v>
      </c>
      <c r="E62">
        <v>2030841405</v>
      </c>
      <c r="F62">
        <v>649163</v>
      </c>
      <c r="G62" t="s">
        <v>80</v>
      </c>
      <c r="H62" t="s">
        <v>81</v>
      </c>
      <c r="I62" t="s">
        <v>456</v>
      </c>
      <c r="J62" s="1">
        <v>45927</v>
      </c>
      <c r="K62" s="1">
        <v>45936</v>
      </c>
      <c r="M62" s="2">
        <v>0</v>
      </c>
      <c r="P62" s="2">
        <v>98.22</v>
      </c>
      <c r="Q62" s="2">
        <v>16.37</v>
      </c>
      <c r="R62" s="2">
        <v>-81.849999999999994</v>
      </c>
      <c r="S62" s="2">
        <v>-81.849999999999994</v>
      </c>
    </row>
    <row r="63" spans="1:19" x14ac:dyDescent="0.25">
      <c r="A63" t="s">
        <v>1235</v>
      </c>
      <c r="B63" t="s">
        <v>470</v>
      </c>
      <c r="C63" t="s">
        <v>243</v>
      </c>
      <c r="D63" t="s">
        <v>244</v>
      </c>
      <c r="E63">
        <v>2030676912</v>
      </c>
      <c r="F63">
        <v>18201929</v>
      </c>
      <c r="G63" t="s">
        <v>298</v>
      </c>
      <c r="H63" t="s">
        <v>299</v>
      </c>
      <c r="I63" t="s">
        <v>456</v>
      </c>
      <c r="J63" s="1">
        <v>45931</v>
      </c>
      <c r="K63" s="1">
        <v>45936</v>
      </c>
      <c r="M63" s="2">
        <v>0</v>
      </c>
      <c r="P63" s="2">
        <v>131.04</v>
      </c>
      <c r="Q63" s="2">
        <v>21.84</v>
      </c>
      <c r="R63" s="2">
        <v>-109.2</v>
      </c>
      <c r="S63" s="2">
        <v>-109.2</v>
      </c>
    </row>
    <row r="64" spans="1:19" x14ac:dyDescent="0.25">
      <c r="A64" t="s">
        <v>1099</v>
      </c>
      <c r="B64" t="s">
        <v>593</v>
      </c>
      <c r="C64" t="s">
        <v>292</v>
      </c>
      <c r="D64" t="s">
        <v>293</v>
      </c>
      <c r="E64">
        <v>2030841404</v>
      </c>
      <c r="F64">
        <v>649163</v>
      </c>
      <c r="G64" t="s">
        <v>80</v>
      </c>
      <c r="H64" t="s">
        <v>81</v>
      </c>
      <c r="I64" t="s">
        <v>456</v>
      </c>
      <c r="J64" s="1">
        <v>45927</v>
      </c>
      <c r="K64" s="1">
        <v>45936</v>
      </c>
      <c r="M64" s="2">
        <v>0</v>
      </c>
      <c r="P64" s="2">
        <v>292.56</v>
      </c>
      <c r="Q64" s="2">
        <v>48.76</v>
      </c>
      <c r="R64" s="2">
        <v>-243.8</v>
      </c>
      <c r="S64" s="2">
        <v>-243.8</v>
      </c>
    </row>
    <row r="65" spans="1:19" x14ac:dyDescent="0.25">
      <c r="A65" t="s">
        <v>457</v>
      </c>
      <c r="B65" t="s">
        <v>458</v>
      </c>
      <c r="C65" t="s">
        <v>292</v>
      </c>
      <c r="D65" t="s">
        <v>293</v>
      </c>
      <c r="E65">
        <v>2031250521</v>
      </c>
      <c r="F65">
        <v>649163</v>
      </c>
      <c r="G65" t="s">
        <v>80</v>
      </c>
      <c r="H65" t="s">
        <v>81</v>
      </c>
      <c r="I65" t="s">
        <v>456</v>
      </c>
      <c r="J65" s="1">
        <v>45931</v>
      </c>
      <c r="K65" s="1">
        <v>45936</v>
      </c>
      <c r="M65" s="2">
        <v>0</v>
      </c>
      <c r="P65" s="2">
        <v>0</v>
      </c>
      <c r="Q65" s="2">
        <v>0</v>
      </c>
      <c r="R65" s="2">
        <v>0</v>
      </c>
      <c r="S65" s="2">
        <v>0</v>
      </c>
    </row>
    <row r="66" spans="1:19" x14ac:dyDescent="0.25">
      <c r="A66" t="s">
        <v>457</v>
      </c>
      <c r="B66" t="s">
        <v>458</v>
      </c>
      <c r="C66" t="s">
        <v>287</v>
      </c>
      <c r="D66" t="s">
        <v>288</v>
      </c>
      <c r="E66">
        <v>2031250520</v>
      </c>
      <c r="F66">
        <v>649163</v>
      </c>
      <c r="G66" t="s">
        <v>80</v>
      </c>
      <c r="H66" t="s">
        <v>81</v>
      </c>
      <c r="I66" t="s">
        <v>456</v>
      </c>
      <c r="J66" s="1">
        <v>45931</v>
      </c>
      <c r="K66" s="1">
        <v>45936</v>
      </c>
      <c r="M66" s="2">
        <v>0</v>
      </c>
      <c r="P66" s="2">
        <v>0</v>
      </c>
      <c r="Q66" s="2">
        <v>0</v>
      </c>
      <c r="R66" s="2">
        <v>0</v>
      </c>
      <c r="S66" s="2">
        <v>0</v>
      </c>
    </row>
    <row r="67" spans="1:19" x14ac:dyDescent="0.25">
      <c r="A67" t="s">
        <v>457</v>
      </c>
      <c r="B67" t="s">
        <v>458</v>
      </c>
      <c r="C67" t="s">
        <v>209</v>
      </c>
      <c r="D67" t="s">
        <v>232</v>
      </c>
      <c r="E67">
        <v>2031250522</v>
      </c>
      <c r="F67">
        <v>649163</v>
      </c>
      <c r="G67" t="s">
        <v>80</v>
      </c>
      <c r="H67" t="s">
        <v>81</v>
      </c>
      <c r="I67" t="s">
        <v>456</v>
      </c>
      <c r="J67" s="1">
        <v>45931</v>
      </c>
      <c r="K67" s="1">
        <v>45936</v>
      </c>
      <c r="M67" s="2">
        <v>0</v>
      </c>
      <c r="P67" s="2">
        <v>0</v>
      </c>
      <c r="Q67" s="2">
        <v>0</v>
      </c>
      <c r="R67" s="2">
        <v>0</v>
      </c>
      <c r="S67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20411454 - Main Line Benefits L</vt:lpstr>
      <vt:lpstr>NB</vt:lpstr>
      <vt:lpstr>AE Agents</vt:lpstr>
      <vt:lpstr>NB1</vt:lpstr>
      <vt:lpstr>RN</vt:lpstr>
      <vt:lpstr>RN1</vt:lpstr>
      <vt:lpstr>Chargebacks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2025-10-10T15:45:49Z</dcterms:created>
  <dcterms:modified xsi:type="dcterms:W3CDTF">2025-12-18T14:15:39Z</dcterms:modified>
</cp:coreProperties>
</file>