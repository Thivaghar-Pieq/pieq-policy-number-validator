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04-21-25\"/>
    </mc:Choice>
  </mc:AlternateContent>
  <xr:revisionPtr revIDLastSave="0" documentId="13_ncr:1_{01EDC60A-1AD9-4F4C-A867-87EF372EBA56}" xr6:coauthVersionLast="47" xr6:coauthVersionMax="47" xr10:uidLastSave="{00000000-0000-0000-0000-000000000000}"/>
  <bookViews>
    <workbookView xWindow="-57720" yWindow="-45" windowWidth="29040" windowHeight="15720" activeTab="1" xr2:uid="{00A48C09-C32F-4EE9-9C19-F8BFAC1AF691}"/>
  </bookViews>
  <sheets>
    <sheet name="649163__Newbusiness_NEW_BUSINES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14" i="2"/>
  <c r="Q4" i="2"/>
  <c r="Q15" i="2"/>
  <c r="Q5" i="2"/>
  <c r="Q16" i="2"/>
  <c r="Q24" i="2"/>
  <c r="Q17" i="2"/>
  <c r="Q18" i="2"/>
  <c r="Q30" i="2"/>
  <c r="Q27" i="2"/>
  <c r="Q19" i="2"/>
  <c r="Q11" i="2"/>
  <c r="Q6" i="2"/>
  <c r="Q20" i="2"/>
  <c r="Q28" i="2"/>
  <c r="Q21" i="2"/>
  <c r="Q12" i="2"/>
  <c r="Q7" i="2"/>
  <c r="Q8" i="2"/>
  <c r="Q22" i="2"/>
  <c r="Q25" i="2"/>
  <c r="Q29" i="2"/>
  <c r="Q9" i="2"/>
  <c r="Q10" i="2"/>
  <c r="Q23" i="2"/>
  <c r="Q26" i="2"/>
  <c r="Q13" i="2"/>
</calcChain>
</file>

<file path=xl/sharedStrings.xml><?xml version="1.0" encoding="utf-8"?>
<sst xmlns="http://schemas.openxmlformats.org/spreadsheetml/2006/main" count="946" uniqueCount="140">
  <si>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</si>
  <si>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</si>
  <si>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</si>
  <si>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</si>
  <si>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</si>
  <si>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</si>
  <si>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</si>
  <si>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</si>
  <si>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</si>
  <si>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</si>
  <si>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</si>
  <si>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</si>
  <si>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</si>
  <si>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</si>
  <si>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</si>
  <si>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</si>
  <si>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</si>
  <si>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</si>
  <si>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</si>
  <si>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</si>
  <si>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</si>
  <si>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</si>
  <si>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</si>
  <si>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</si>
  <si>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</si>
  <si>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</si>
  <si>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</si>
  <si>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</si>
  <si>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</si>
  <si>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</si>
  <si>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</si>
  <si>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</si>
  <si>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</si>
  <si>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</si>
  <si>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</si>
  <si>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</si>
  <si>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</si>
  <si>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</si>
  <si>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</si>
  <si>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</si>
  <si>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</si>
  <si>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</si>
  <si>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ARRIANE DICKERSON</t>
  </si>
  <si>
    <t>IL</t>
  </si>
  <si>
    <t>LATESHA ROSE</t>
  </si>
  <si>
    <t>Active</t>
  </si>
  <si>
    <t>Term Life 21673</t>
  </si>
  <si>
    <t>Monthly</t>
  </si>
  <si>
    <t>AV</t>
  </si>
  <si>
    <t>JADA WALTON</t>
  </si>
  <si>
    <t>GA</t>
  </si>
  <si>
    <t>JACOB YALE</t>
  </si>
  <si>
    <t>Plan Enhancer 20214</t>
  </si>
  <si>
    <t>SELECT DENTAL 29304</t>
  </si>
  <si>
    <t>MAGDALENA CABRAL</t>
  </si>
  <si>
    <t>RICHARD YALE</t>
  </si>
  <si>
    <t>TrioMED 30k 15307</t>
  </si>
  <si>
    <t>IBRAHIM AWES</t>
  </si>
  <si>
    <t>AZ</t>
  </si>
  <si>
    <t>RYAN CALTAGIRONE</t>
  </si>
  <si>
    <t>Critical Illness w/ Term Life 21677</t>
  </si>
  <si>
    <t>CONNIE JAROS</t>
  </si>
  <si>
    <t>TrioMED Accident and CI 14939</t>
  </si>
  <si>
    <t>KATHY MENDEZ</t>
  </si>
  <si>
    <t>ANDREA PETRUNGARO</t>
  </si>
  <si>
    <t>ROBYN STOKES</t>
  </si>
  <si>
    <t>UT</t>
  </si>
  <si>
    <t>SHAMIRAN KOMA</t>
  </si>
  <si>
    <t>FRANK LISKOVEC</t>
  </si>
  <si>
    <t>NHIC Life 2023 Level - 5029 Final Expense</t>
  </si>
  <si>
    <t>AE</t>
  </si>
  <si>
    <t>ELIZABETH SCHULTZ</t>
  </si>
  <si>
    <t>ANTHONY HUNSBERGER</t>
  </si>
  <si>
    <t>GURENE HARRIS</t>
  </si>
  <si>
    <t>GARY PORTUGAL</t>
  </si>
  <si>
    <t>STEVEN HINDERS</t>
  </si>
  <si>
    <t>IA</t>
  </si>
  <si>
    <t>Accident Fixed Benefit</t>
  </si>
  <si>
    <t>GYORGYI NOVAC</t>
  </si>
  <si>
    <t>NHIC STM PPO All Other States</t>
  </si>
  <si>
    <t>AV1</t>
  </si>
  <si>
    <t>LIFE Association Membership - C 14956 PPO</t>
  </si>
  <si>
    <t>TAYLOR MONBRUM</t>
  </si>
  <si>
    <t>BARRY BRENNER</t>
  </si>
  <si>
    <t>RUSSELL PURDY</t>
  </si>
  <si>
    <t>JAKE SHULMAN</t>
  </si>
  <si>
    <t>SUSAN HUNT</t>
  </si>
  <si>
    <t>IN</t>
  </si>
  <si>
    <t>Cancer and Heart/Stroke 20231</t>
  </si>
  <si>
    <t>TrioMED 15k 15285</t>
  </si>
  <si>
    <t>SCARLET RUIZ-MONTERO</t>
  </si>
  <si>
    <t>BARRY SCHUMANN</t>
  </si>
  <si>
    <t>BARTLOMIEJ KARAS</t>
  </si>
  <si>
    <t>HEIDI VOLBRECHT</t>
  </si>
  <si>
    <t>WI</t>
  </si>
  <si>
    <t>THOMAS PARDUE</t>
  </si>
  <si>
    <t>REBECCA MAES</t>
  </si>
  <si>
    <t>ANDREW CHOI</t>
  </si>
  <si>
    <t>STEPHANIE BRENDLE</t>
  </si>
  <si>
    <t>VICTOR FUENTES</t>
  </si>
  <si>
    <t>QUINN HUNCHAR</t>
  </si>
  <si>
    <t>CO</t>
  </si>
  <si>
    <t>HEATHER MILLER</t>
  </si>
  <si>
    <t>NHIC LM 2021 Hospital Expense Protection U65</t>
  </si>
  <si>
    <t>LAURIE HODGMAN</t>
  </si>
  <si>
    <t>TIMOTHY HODGMAN</t>
  </si>
  <si>
    <t>BUYANNEMEKH BUYANTOGTOKH</t>
  </si>
  <si>
    <t>NASANDELGER ZANA</t>
  </si>
  <si>
    <t>PAMELA MITCHELL</t>
  </si>
  <si>
    <t>CHRISTIAN TAUGNER</t>
  </si>
  <si>
    <t>FRANCIS SLIFKA</t>
  </si>
  <si>
    <t>DALE WALENGA</t>
  </si>
  <si>
    <t>MARTINA HORNER</t>
  </si>
  <si>
    <t>AK</t>
  </si>
  <si>
    <t>JOHN ROKEN</t>
  </si>
  <si>
    <t>CHELSEA REITENBACH</t>
  </si>
  <si>
    <t>PA</t>
  </si>
  <si>
    <t>TIMOTHY VAWTER</t>
  </si>
  <si>
    <t>7470776AV6</t>
  </si>
  <si>
    <t>19586992AV6</t>
  </si>
  <si>
    <t>16865615AV6</t>
  </si>
  <si>
    <t>21436172AV6</t>
  </si>
  <si>
    <t>20220688AV6</t>
  </si>
  <si>
    <t>16912722AV6</t>
  </si>
  <si>
    <t>7146581AV6</t>
  </si>
  <si>
    <t>19681796AV6</t>
  </si>
  <si>
    <t>8325282AV6</t>
  </si>
  <si>
    <t>8814784AV6</t>
  </si>
  <si>
    <t>18201929AV6</t>
  </si>
  <si>
    <t>16633294AV6</t>
  </si>
  <si>
    <t>371819AV6</t>
  </si>
  <si>
    <t>21283956AV6</t>
  </si>
  <si>
    <t>Allstate SELECT DENTAL 29304</t>
  </si>
  <si>
    <t>Allstate NHIC LM 2021 Hospital Expense Protection U65</t>
  </si>
  <si>
    <t>Allstate TrioMED 30k 15307</t>
  </si>
  <si>
    <t>Allstate Plan Enhancer 20214</t>
  </si>
  <si>
    <t>Allstate Cancer and Heart-Stroke 20231</t>
  </si>
  <si>
    <t>Allstate Critical Illness with Term Life 21677</t>
  </si>
  <si>
    <t>Allstate Term Life 21673</t>
  </si>
  <si>
    <t>Allstate Final Expense Life Insurance (Level)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</si>
</sst>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CA0C-746D-4BB5-BA14-3C5D8CD27306}">
  <dimension ref="A1:AL58"/>
  <sheetViews>
    <sheetView workbookViewId="0">
      <selection activeCell="A3" sqref="A1:AL58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0.42578125" bestFit="1" customWidth="1"/>
    <col min="6" max="6" width="8.5703125" bestFit="1" customWidth="1"/>
    <col min="7" max="7" width="9.42578125" bestFit="1" customWidth="1"/>
    <col min="8" max="8" width="18.140625" bestFit="1" customWidth="1"/>
    <col min="9" max="9" width="14.140625" bestFit="1" customWidth="1"/>
    <col min="10" max="10" width="30.5703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2.42578125" bestFit="1" customWidth="1"/>
    <col min="17" max="17" width="12.140625" bestFit="1" customWidth="1"/>
    <col min="18" max="18" width="43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45772</v>
      </c>
      <c r="B2" s="1">
        <v>45768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2028196994</v>
      </c>
      <c r="J2" t="s">
        <v>42</v>
      </c>
      <c r="M2" t="s">
        <v>43</v>
      </c>
      <c r="O2">
        <v>839554</v>
      </c>
      <c r="P2" t="s">
        <v>44</v>
      </c>
      <c r="Q2" t="s">
        <v>45</v>
      </c>
      <c r="R2" t="s">
        <v>46</v>
      </c>
      <c r="S2" s="1">
        <v>45778</v>
      </c>
      <c r="U2" t="s">
        <v>47</v>
      </c>
      <c r="X2" t="s">
        <v>48</v>
      </c>
      <c r="Y2" s="2">
        <v>28.33</v>
      </c>
      <c r="Z2" s="2">
        <v>28.33</v>
      </c>
      <c r="AA2">
        <v>0</v>
      </c>
      <c r="AB2" s="3">
        <v>0.9</v>
      </c>
      <c r="AC2" s="2">
        <v>0</v>
      </c>
      <c r="AD2" s="3">
        <v>0</v>
      </c>
      <c r="AE2" s="2">
        <v>0</v>
      </c>
      <c r="AF2" s="2">
        <v>0</v>
      </c>
      <c r="AK2" s="4">
        <v>18518360</v>
      </c>
    </row>
    <row r="3" spans="1:38" x14ac:dyDescent="0.25">
      <c r="A3" s="1">
        <v>45772</v>
      </c>
      <c r="B3" s="1">
        <v>45768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2028311717</v>
      </c>
      <c r="J3" t="s">
        <v>49</v>
      </c>
      <c r="M3" t="s">
        <v>50</v>
      </c>
      <c r="O3">
        <v>812782</v>
      </c>
      <c r="P3" t="s">
        <v>51</v>
      </c>
      <c r="Q3" t="s">
        <v>45</v>
      </c>
      <c r="R3" t="s">
        <v>52</v>
      </c>
      <c r="S3" s="1">
        <v>45778</v>
      </c>
      <c r="U3" t="s">
        <v>47</v>
      </c>
      <c r="X3" t="s">
        <v>48</v>
      </c>
      <c r="Y3" s="2">
        <v>17.920000000000002</v>
      </c>
      <c r="Z3" s="2">
        <v>17.920000000000002</v>
      </c>
      <c r="AA3">
        <v>0</v>
      </c>
      <c r="AB3" s="3">
        <v>0.7</v>
      </c>
      <c r="AC3" s="2">
        <v>0</v>
      </c>
      <c r="AD3" s="3">
        <v>0</v>
      </c>
      <c r="AE3" s="2">
        <v>0</v>
      </c>
      <c r="AF3" s="2">
        <v>0</v>
      </c>
      <c r="AK3" s="4">
        <v>18500380</v>
      </c>
    </row>
    <row r="4" spans="1:38" x14ac:dyDescent="0.25">
      <c r="A4" s="1">
        <v>45772</v>
      </c>
      <c r="B4" s="1">
        <v>45768</v>
      </c>
      <c r="C4" t="s">
        <v>38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2028311718</v>
      </c>
      <c r="J4" t="s">
        <v>49</v>
      </c>
      <c r="M4" t="s">
        <v>50</v>
      </c>
      <c r="O4">
        <v>812782</v>
      </c>
      <c r="P4" t="s">
        <v>51</v>
      </c>
      <c r="Q4" t="s">
        <v>45</v>
      </c>
      <c r="R4" t="s">
        <v>53</v>
      </c>
      <c r="S4" s="1">
        <v>45778</v>
      </c>
      <c r="U4" t="s">
        <v>47</v>
      </c>
      <c r="X4" t="s">
        <v>48</v>
      </c>
      <c r="Y4" s="2">
        <v>36.71</v>
      </c>
      <c r="Z4" s="2">
        <v>36.71</v>
      </c>
      <c r="AA4">
        <v>0</v>
      </c>
      <c r="AB4" s="3">
        <v>0.375</v>
      </c>
      <c r="AC4" s="2">
        <v>0</v>
      </c>
      <c r="AD4" s="3">
        <v>0</v>
      </c>
      <c r="AE4" s="2">
        <v>0</v>
      </c>
      <c r="AF4" s="2">
        <v>0</v>
      </c>
      <c r="AK4" s="4">
        <v>18514880</v>
      </c>
    </row>
    <row r="5" spans="1:38" x14ac:dyDescent="0.25">
      <c r="A5" s="1">
        <v>45772</v>
      </c>
      <c r="B5" s="1">
        <v>45768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2028320246</v>
      </c>
      <c r="J5" t="s">
        <v>54</v>
      </c>
      <c r="M5" t="s">
        <v>50</v>
      </c>
      <c r="O5">
        <v>823350</v>
      </c>
      <c r="P5" t="s">
        <v>55</v>
      </c>
      <c r="Q5" t="s">
        <v>45</v>
      </c>
      <c r="R5" t="s">
        <v>56</v>
      </c>
      <c r="S5" s="1">
        <v>45772</v>
      </c>
      <c r="U5" t="s">
        <v>47</v>
      </c>
      <c r="X5" t="s">
        <v>48</v>
      </c>
      <c r="Y5" s="2">
        <v>68.52</v>
      </c>
      <c r="Z5" s="2">
        <v>68.52</v>
      </c>
      <c r="AA5">
        <v>0</v>
      </c>
      <c r="AB5" s="3">
        <v>0.6</v>
      </c>
      <c r="AC5" s="2">
        <v>0</v>
      </c>
      <c r="AD5" s="3">
        <v>0</v>
      </c>
      <c r="AE5" s="2">
        <v>0</v>
      </c>
      <c r="AF5" s="2">
        <v>0</v>
      </c>
      <c r="AK5" s="4">
        <v>18509000</v>
      </c>
    </row>
    <row r="6" spans="1:38" x14ac:dyDescent="0.25">
      <c r="A6" s="1">
        <v>45772</v>
      </c>
      <c r="B6" s="1">
        <v>45768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2028320247</v>
      </c>
      <c r="J6" t="s">
        <v>54</v>
      </c>
      <c r="M6" t="s">
        <v>50</v>
      </c>
      <c r="O6">
        <v>823350</v>
      </c>
      <c r="P6" t="s">
        <v>55</v>
      </c>
      <c r="Q6" t="s">
        <v>45</v>
      </c>
      <c r="R6" t="s">
        <v>53</v>
      </c>
      <c r="S6" s="1">
        <v>45772</v>
      </c>
      <c r="U6" t="s">
        <v>47</v>
      </c>
      <c r="X6" t="s">
        <v>48</v>
      </c>
      <c r="Y6" s="2">
        <v>66.5</v>
      </c>
      <c r="Z6" s="2">
        <v>66.5</v>
      </c>
      <c r="AA6">
        <v>0</v>
      </c>
      <c r="AB6" s="3">
        <v>0.375</v>
      </c>
      <c r="AC6" s="2">
        <v>0</v>
      </c>
      <c r="AD6" s="3">
        <v>0</v>
      </c>
      <c r="AE6" s="2">
        <v>0</v>
      </c>
      <c r="AF6" s="2">
        <v>0</v>
      </c>
      <c r="AK6" s="4">
        <v>18514880</v>
      </c>
    </row>
    <row r="7" spans="1:38" x14ac:dyDescent="0.25">
      <c r="A7" s="1">
        <v>45772</v>
      </c>
      <c r="B7" s="1">
        <v>45768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2028349433</v>
      </c>
      <c r="J7" t="s">
        <v>57</v>
      </c>
      <c r="M7" t="s">
        <v>58</v>
      </c>
      <c r="O7">
        <v>673059</v>
      </c>
      <c r="P7" t="s">
        <v>59</v>
      </c>
      <c r="Q7" t="s">
        <v>45</v>
      </c>
      <c r="R7" t="s">
        <v>60</v>
      </c>
      <c r="S7" s="1">
        <v>45778</v>
      </c>
      <c r="U7" t="s">
        <v>47</v>
      </c>
      <c r="X7" t="s">
        <v>48</v>
      </c>
      <c r="Y7" s="2">
        <v>54.63</v>
      </c>
      <c r="Z7" s="2">
        <v>54.63</v>
      </c>
      <c r="AA7">
        <v>0</v>
      </c>
      <c r="AB7" s="3">
        <v>0.9</v>
      </c>
      <c r="AC7" s="2">
        <v>0</v>
      </c>
      <c r="AD7" s="3">
        <v>0</v>
      </c>
      <c r="AE7" s="2">
        <v>0</v>
      </c>
      <c r="AF7" s="2">
        <v>0</v>
      </c>
      <c r="AK7" s="4">
        <v>18509020</v>
      </c>
    </row>
    <row r="8" spans="1:38" x14ac:dyDescent="0.25">
      <c r="A8" s="1">
        <v>45772</v>
      </c>
      <c r="B8" s="1">
        <v>45768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2028349434</v>
      </c>
      <c r="J8" t="s">
        <v>57</v>
      </c>
      <c r="M8" t="s">
        <v>58</v>
      </c>
      <c r="O8">
        <v>673059</v>
      </c>
      <c r="P8" t="s">
        <v>59</v>
      </c>
      <c r="Q8" t="s">
        <v>45</v>
      </c>
      <c r="R8" t="s">
        <v>52</v>
      </c>
      <c r="S8" s="1">
        <v>45778</v>
      </c>
      <c r="U8" t="s">
        <v>47</v>
      </c>
      <c r="X8" t="s">
        <v>48</v>
      </c>
      <c r="Y8" s="2">
        <v>43.8</v>
      </c>
      <c r="Z8" s="2">
        <v>43.8</v>
      </c>
      <c r="AA8">
        <v>0</v>
      </c>
      <c r="AB8" s="3">
        <v>0.7</v>
      </c>
      <c r="AC8" s="2">
        <v>0</v>
      </c>
      <c r="AD8" s="3">
        <v>0</v>
      </c>
      <c r="AE8" s="2">
        <v>0</v>
      </c>
      <c r="AF8" s="2">
        <v>0</v>
      </c>
      <c r="AK8" s="4">
        <v>18500440</v>
      </c>
    </row>
    <row r="9" spans="1:38" x14ac:dyDescent="0.25">
      <c r="A9" s="1">
        <v>45772</v>
      </c>
      <c r="B9" s="1">
        <v>45768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2028349435</v>
      </c>
      <c r="J9" t="s">
        <v>57</v>
      </c>
      <c r="M9" t="s">
        <v>58</v>
      </c>
      <c r="O9">
        <v>673059</v>
      </c>
      <c r="P9" t="s">
        <v>59</v>
      </c>
      <c r="Q9" t="s">
        <v>45</v>
      </c>
      <c r="R9" t="s">
        <v>53</v>
      </c>
      <c r="S9" s="1">
        <v>45778</v>
      </c>
      <c r="U9" t="s">
        <v>47</v>
      </c>
      <c r="X9" t="s">
        <v>48</v>
      </c>
      <c r="Y9" s="2">
        <v>18.62</v>
      </c>
      <c r="Z9" s="2">
        <v>18.62</v>
      </c>
      <c r="AA9">
        <v>0</v>
      </c>
      <c r="AB9" s="3">
        <v>0.375</v>
      </c>
      <c r="AC9" s="2">
        <v>0</v>
      </c>
      <c r="AD9" s="3">
        <v>0</v>
      </c>
      <c r="AE9" s="2">
        <v>0</v>
      </c>
      <c r="AF9" s="2">
        <v>0</v>
      </c>
      <c r="AK9" s="4">
        <v>18514920</v>
      </c>
    </row>
    <row r="10" spans="1:38" x14ac:dyDescent="0.25">
      <c r="A10" s="1">
        <v>45772</v>
      </c>
      <c r="B10" s="1">
        <v>45768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2028395841</v>
      </c>
      <c r="J10" t="s">
        <v>61</v>
      </c>
      <c r="M10" t="s">
        <v>50</v>
      </c>
      <c r="O10">
        <v>673059</v>
      </c>
      <c r="P10" t="s">
        <v>59</v>
      </c>
      <c r="Q10" t="s">
        <v>45</v>
      </c>
      <c r="R10" t="s">
        <v>52</v>
      </c>
      <c r="S10" s="1">
        <v>45778</v>
      </c>
      <c r="U10" t="s">
        <v>47</v>
      </c>
      <c r="X10" t="s">
        <v>48</v>
      </c>
      <c r="Y10" s="2">
        <v>21.71</v>
      </c>
      <c r="Z10" s="2">
        <v>21.71</v>
      </c>
      <c r="AA10">
        <v>0</v>
      </c>
      <c r="AB10" s="3">
        <v>0.7</v>
      </c>
      <c r="AC10" s="2">
        <v>0</v>
      </c>
      <c r="AD10" s="3">
        <v>0</v>
      </c>
      <c r="AE10" s="2">
        <v>0</v>
      </c>
      <c r="AF10" s="2">
        <v>0</v>
      </c>
      <c r="AK10" s="4">
        <v>18500490</v>
      </c>
    </row>
    <row r="11" spans="1:38" x14ac:dyDescent="0.25">
      <c r="A11" s="1">
        <v>45772</v>
      </c>
      <c r="B11" s="1">
        <v>45768</v>
      </c>
      <c r="C11" t="s">
        <v>38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2028395842</v>
      </c>
      <c r="J11" t="s">
        <v>61</v>
      </c>
      <c r="M11" t="s">
        <v>50</v>
      </c>
      <c r="O11">
        <v>673059</v>
      </c>
      <c r="P11" t="s">
        <v>59</v>
      </c>
      <c r="Q11" t="s">
        <v>45</v>
      </c>
      <c r="R11" t="s">
        <v>62</v>
      </c>
      <c r="S11" s="1">
        <v>45778</v>
      </c>
      <c r="U11" t="s">
        <v>47</v>
      </c>
      <c r="X11" t="s">
        <v>48</v>
      </c>
      <c r="Y11" s="2">
        <v>52.69</v>
      </c>
      <c r="Z11" s="2">
        <v>52.69</v>
      </c>
      <c r="AA11">
        <v>0</v>
      </c>
      <c r="AB11" s="3">
        <v>0.6</v>
      </c>
      <c r="AC11" s="2">
        <v>0</v>
      </c>
      <c r="AD11" s="3">
        <v>0</v>
      </c>
      <c r="AE11" s="2">
        <v>0</v>
      </c>
      <c r="AF11" s="2">
        <v>0</v>
      </c>
      <c r="AK11" s="4">
        <v>18509040</v>
      </c>
    </row>
    <row r="12" spans="1:38" x14ac:dyDescent="0.25">
      <c r="A12" s="1">
        <v>45772</v>
      </c>
      <c r="B12" s="1">
        <v>45768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2028395843</v>
      </c>
      <c r="J12" t="s">
        <v>61</v>
      </c>
      <c r="M12" t="s">
        <v>50</v>
      </c>
      <c r="O12">
        <v>673059</v>
      </c>
      <c r="P12" t="s">
        <v>59</v>
      </c>
      <c r="Q12" t="s">
        <v>45</v>
      </c>
      <c r="R12" t="s">
        <v>53</v>
      </c>
      <c r="S12" s="1">
        <v>45778</v>
      </c>
      <c r="U12" t="s">
        <v>47</v>
      </c>
      <c r="X12" t="s">
        <v>48</v>
      </c>
      <c r="Y12" s="2">
        <v>57.5</v>
      </c>
      <c r="Z12" s="2">
        <v>57.5</v>
      </c>
      <c r="AA12">
        <v>0</v>
      </c>
      <c r="AB12" s="3">
        <v>0.375</v>
      </c>
      <c r="AC12" s="2">
        <v>0</v>
      </c>
      <c r="AD12" s="3">
        <v>0</v>
      </c>
      <c r="AE12" s="2">
        <v>0</v>
      </c>
      <c r="AF12" s="2">
        <v>0</v>
      </c>
      <c r="AK12" s="4">
        <v>18514970</v>
      </c>
    </row>
    <row r="13" spans="1:38" x14ac:dyDescent="0.25">
      <c r="A13" s="1">
        <v>45772</v>
      </c>
      <c r="B13" s="1">
        <v>45768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2028402355</v>
      </c>
      <c r="J13" t="s">
        <v>63</v>
      </c>
      <c r="M13" t="s">
        <v>43</v>
      </c>
      <c r="O13">
        <v>768887</v>
      </c>
      <c r="P13" t="s">
        <v>64</v>
      </c>
      <c r="Q13" t="s">
        <v>45</v>
      </c>
      <c r="R13" t="s">
        <v>52</v>
      </c>
      <c r="S13" s="1">
        <v>45762</v>
      </c>
      <c r="U13" t="s">
        <v>47</v>
      </c>
      <c r="X13" t="s">
        <v>48</v>
      </c>
      <c r="Y13" s="2">
        <v>105.02</v>
      </c>
      <c r="Z13" s="2">
        <v>105.02</v>
      </c>
      <c r="AA13">
        <v>0</v>
      </c>
      <c r="AB13" s="3">
        <v>0.7</v>
      </c>
      <c r="AC13" s="2">
        <v>0</v>
      </c>
      <c r="AD13" s="3">
        <v>0</v>
      </c>
      <c r="AE13" s="2">
        <v>0</v>
      </c>
      <c r="AF13" s="2">
        <v>0</v>
      </c>
      <c r="AK13" s="4">
        <v>18500540</v>
      </c>
    </row>
    <row r="14" spans="1:38" x14ac:dyDescent="0.25">
      <c r="A14" s="1">
        <v>45772</v>
      </c>
      <c r="B14" s="1">
        <v>45768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2028402356</v>
      </c>
      <c r="J14" t="s">
        <v>63</v>
      </c>
      <c r="M14" t="s">
        <v>43</v>
      </c>
      <c r="O14">
        <v>768887</v>
      </c>
      <c r="P14" t="s">
        <v>64</v>
      </c>
      <c r="Q14" t="s">
        <v>45</v>
      </c>
      <c r="R14" t="s">
        <v>53</v>
      </c>
      <c r="S14" s="1">
        <v>45762</v>
      </c>
      <c r="U14" t="s">
        <v>47</v>
      </c>
      <c r="X14" t="s">
        <v>48</v>
      </c>
      <c r="Y14" s="2">
        <v>59.51</v>
      </c>
      <c r="Z14" s="2">
        <v>59.51</v>
      </c>
      <c r="AA14">
        <v>0</v>
      </c>
      <c r="AB14" s="3">
        <v>0.375</v>
      </c>
      <c r="AC14" s="2">
        <v>0</v>
      </c>
      <c r="AD14" s="3">
        <v>0</v>
      </c>
      <c r="AE14" s="2">
        <v>0</v>
      </c>
      <c r="AF14" s="2">
        <v>0</v>
      </c>
      <c r="AK14" s="4">
        <v>18515030</v>
      </c>
    </row>
    <row r="15" spans="1:38" x14ac:dyDescent="0.25">
      <c r="A15" s="1">
        <v>45772</v>
      </c>
      <c r="B15" s="1">
        <v>45768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2028402718</v>
      </c>
      <c r="J15" t="s">
        <v>65</v>
      </c>
      <c r="M15" t="s">
        <v>66</v>
      </c>
      <c r="O15">
        <v>673059</v>
      </c>
      <c r="P15" t="s">
        <v>59</v>
      </c>
      <c r="Q15" t="s">
        <v>45</v>
      </c>
      <c r="R15" t="s">
        <v>52</v>
      </c>
      <c r="S15" s="1">
        <v>45778</v>
      </c>
      <c r="U15" t="s">
        <v>47</v>
      </c>
      <c r="X15" t="s">
        <v>48</v>
      </c>
      <c r="Y15" s="2">
        <v>88.46</v>
      </c>
      <c r="Z15" s="2">
        <v>88.46</v>
      </c>
      <c r="AA15">
        <v>0</v>
      </c>
      <c r="AB15" s="3">
        <v>0.7</v>
      </c>
      <c r="AC15" s="2">
        <v>0</v>
      </c>
      <c r="AD15" s="3">
        <v>0</v>
      </c>
      <c r="AE15" s="2">
        <v>0</v>
      </c>
      <c r="AF15" s="2">
        <v>0</v>
      </c>
      <c r="AK15" s="4">
        <v>18500540</v>
      </c>
    </row>
    <row r="16" spans="1:38" x14ac:dyDescent="0.25">
      <c r="A16" s="1">
        <v>45772</v>
      </c>
      <c r="B16" s="1">
        <v>45768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2028402719</v>
      </c>
      <c r="J16" t="s">
        <v>65</v>
      </c>
      <c r="M16" t="s">
        <v>66</v>
      </c>
      <c r="O16">
        <v>673059</v>
      </c>
      <c r="P16" t="s">
        <v>59</v>
      </c>
      <c r="Q16" t="s">
        <v>45</v>
      </c>
      <c r="R16" t="s">
        <v>53</v>
      </c>
      <c r="S16" s="1">
        <v>45778</v>
      </c>
      <c r="U16" t="s">
        <v>47</v>
      </c>
      <c r="X16" t="s">
        <v>48</v>
      </c>
      <c r="Y16" s="2">
        <v>16.03</v>
      </c>
      <c r="Z16" s="2">
        <v>16.03</v>
      </c>
      <c r="AA16">
        <v>0</v>
      </c>
      <c r="AB16" s="3">
        <v>0.375</v>
      </c>
      <c r="AC16" s="2">
        <v>0</v>
      </c>
      <c r="AD16" s="3">
        <v>0</v>
      </c>
      <c r="AE16" s="2">
        <v>0</v>
      </c>
      <c r="AF16" s="2">
        <v>0</v>
      </c>
      <c r="AK16" s="4">
        <v>18515030</v>
      </c>
    </row>
    <row r="17" spans="1:37" x14ac:dyDescent="0.25">
      <c r="A17" s="1">
        <v>45772</v>
      </c>
      <c r="B17" s="1">
        <v>45768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2028404337</v>
      </c>
      <c r="J17" t="s">
        <v>67</v>
      </c>
      <c r="M17" t="s">
        <v>43</v>
      </c>
      <c r="O17">
        <v>814033</v>
      </c>
      <c r="P17" t="s">
        <v>68</v>
      </c>
      <c r="Q17" t="s">
        <v>45</v>
      </c>
      <c r="R17" t="s">
        <v>69</v>
      </c>
      <c r="S17" s="1">
        <v>45762</v>
      </c>
      <c r="U17" t="s">
        <v>47</v>
      </c>
      <c r="X17" t="s">
        <v>70</v>
      </c>
      <c r="Y17" s="2">
        <v>171.73</v>
      </c>
      <c r="Z17" s="2">
        <v>171.73</v>
      </c>
      <c r="AA17">
        <v>0</v>
      </c>
      <c r="AB17" s="3">
        <v>1.3</v>
      </c>
      <c r="AC17" s="2">
        <v>0</v>
      </c>
      <c r="AD17" s="3">
        <v>0</v>
      </c>
      <c r="AE17" s="2">
        <v>0</v>
      </c>
      <c r="AF17" s="2">
        <v>0</v>
      </c>
      <c r="AK17" s="4">
        <v>18518410</v>
      </c>
    </row>
    <row r="18" spans="1:37" x14ac:dyDescent="0.25">
      <c r="A18" s="1">
        <v>45772</v>
      </c>
      <c r="B18" s="1">
        <v>45768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2028419377</v>
      </c>
      <c r="J18" t="s">
        <v>71</v>
      </c>
      <c r="M18" t="s">
        <v>43</v>
      </c>
      <c r="O18">
        <v>840313</v>
      </c>
      <c r="P18" t="s">
        <v>72</v>
      </c>
      <c r="Q18" t="s">
        <v>45</v>
      </c>
      <c r="R18" t="s">
        <v>53</v>
      </c>
      <c r="S18" s="1">
        <v>45767</v>
      </c>
      <c r="U18" t="s">
        <v>47</v>
      </c>
      <c r="X18" t="s">
        <v>48</v>
      </c>
      <c r="Y18" s="2">
        <v>61.01</v>
      </c>
      <c r="Z18" s="2">
        <v>61.01</v>
      </c>
      <c r="AA18">
        <v>0</v>
      </c>
      <c r="AB18" s="3">
        <v>0.375</v>
      </c>
      <c r="AC18" s="2">
        <v>0</v>
      </c>
      <c r="AD18" s="3">
        <v>0</v>
      </c>
      <c r="AE18" s="2">
        <v>0</v>
      </c>
      <c r="AF18" s="2">
        <v>0</v>
      </c>
      <c r="AK18" s="4">
        <v>18515140</v>
      </c>
    </row>
    <row r="19" spans="1:37" x14ac:dyDescent="0.25">
      <c r="A19" s="1">
        <v>45772</v>
      </c>
      <c r="B19" s="1">
        <v>45768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2028435209</v>
      </c>
      <c r="J19" t="s">
        <v>73</v>
      </c>
      <c r="M19" t="s">
        <v>43</v>
      </c>
      <c r="O19">
        <v>812656</v>
      </c>
      <c r="P19" t="s">
        <v>74</v>
      </c>
      <c r="Q19" t="s">
        <v>45</v>
      </c>
      <c r="R19" t="s">
        <v>52</v>
      </c>
      <c r="S19" s="1">
        <v>45765</v>
      </c>
      <c r="U19" t="s">
        <v>47</v>
      </c>
      <c r="X19" t="s">
        <v>48</v>
      </c>
      <c r="Y19" s="2">
        <v>129.79</v>
      </c>
      <c r="Z19" s="2">
        <v>129.79</v>
      </c>
      <c r="AA19">
        <v>0</v>
      </c>
      <c r="AB19" s="3">
        <v>0.7</v>
      </c>
      <c r="AC19" s="2">
        <v>0</v>
      </c>
      <c r="AD19" s="3">
        <v>0</v>
      </c>
      <c r="AE19" s="2">
        <v>0</v>
      </c>
      <c r="AF19" s="2">
        <v>0</v>
      </c>
      <c r="AK19" s="4">
        <v>18500720</v>
      </c>
    </row>
    <row r="20" spans="1:37" x14ac:dyDescent="0.25">
      <c r="A20" s="1">
        <v>45772</v>
      </c>
      <c r="B20" s="1">
        <v>45768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2028435711</v>
      </c>
      <c r="J20" t="s">
        <v>75</v>
      </c>
      <c r="M20" t="s">
        <v>76</v>
      </c>
      <c r="O20">
        <v>673059</v>
      </c>
      <c r="P20" t="s">
        <v>59</v>
      </c>
      <c r="Q20" t="s">
        <v>45</v>
      </c>
      <c r="R20" t="s">
        <v>60</v>
      </c>
      <c r="S20" s="1">
        <v>45778</v>
      </c>
      <c r="U20" t="s">
        <v>47</v>
      </c>
      <c r="X20" t="s">
        <v>48</v>
      </c>
      <c r="Y20" s="2">
        <v>74.91</v>
      </c>
      <c r="Z20" s="2">
        <v>74.91</v>
      </c>
      <c r="AA20">
        <v>0</v>
      </c>
      <c r="AB20" s="3">
        <v>0.9</v>
      </c>
      <c r="AC20" s="2">
        <v>0</v>
      </c>
      <c r="AD20" s="3">
        <v>0</v>
      </c>
      <c r="AE20" s="2">
        <v>0</v>
      </c>
      <c r="AF20" s="2">
        <v>0</v>
      </c>
      <c r="AK20" s="4">
        <v>18509110</v>
      </c>
    </row>
    <row r="21" spans="1:37" x14ac:dyDescent="0.25">
      <c r="A21" s="1">
        <v>45772</v>
      </c>
      <c r="B21" s="1">
        <v>45768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2028435712</v>
      </c>
      <c r="J21" t="s">
        <v>75</v>
      </c>
      <c r="M21" t="s">
        <v>76</v>
      </c>
      <c r="O21">
        <v>673059</v>
      </c>
      <c r="P21" t="s">
        <v>59</v>
      </c>
      <c r="Q21" t="s">
        <v>45</v>
      </c>
      <c r="R21" t="s">
        <v>52</v>
      </c>
      <c r="S21" s="1">
        <v>45778</v>
      </c>
      <c r="U21" t="s">
        <v>47</v>
      </c>
      <c r="X21" t="s">
        <v>48</v>
      </c>
      <c r="Y21" s="2">
        <v>135.4</v>
      </c>
      <c r="Z21" s="2">
        <v>135.4</v>
      </c>
      <c r="AA21">
        <v>0</v>
      </c>
      <c r="AB21" s="3">
        <v>0.7</v>
      </c>
      <c r="AC21" s="2">
        <v>0</v>
      </c>
      <c r="AD21" s="3">
        <v>0</v>
      </c>
      <c r="AE21" s="2">
        <v>0</v>
      </c>
      <c r="AF21" s="2">
        <v>0</v>
      </c>
      <c r="AK21" s="4">
        <v>18500720</v>
      </c>
    </row>
    <row r="22" spans="1:37" x14ac:dyDescent="0.25">
      <c r="A22" s="1">
        <v>45772</v>
      </c>
      <c r="B22" s="1">
        <v>45768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2028435713</v>
      </c>
      <c r="J22" t="s">
        <v>75</v>
      </c>
      <c r="M22" t="s">
        <v>76</v>
      </c>
      <c r="O22">
        <v>673059</v>
      </c>
      <c r="P22" t="s">
        <v>59</v>
      </c>
      <c r="Q22" t="s">
        <v>45</v>
      </c>
      <c r="R22" t="s">
        <v>77</v>
      </c>
      <c r="S22" s="1">
        <v>45778</v>
      </c>
      <c r="U22" t="s">
        <v>47</v>
      </c>
      <c r="X22" t="s">
        <v>48</v>
      </c>
      <c r="Y22" s="2">
        <v>25.73</v>
      </c>
      <c r="Z22" s="2">
        <v>25.73</v>
      </c>
      <c r="AA22">
        <v>0</v>
      </c>
      <c r="AB22" s="3">
        <v>0.7</v>
      </c>
      <c r="AC22" s="2">
        <v>0</v>
      </c>
      <c r="AD22" s="3">
        <v>0</v>
      </c>
      <c r="AE22" s="2">
        <v>0</v>
      </c>
      <c r="AF22" s="2">
        <v>0</v>
      </c>
      <c r="AK22" s="4">
        <v>18492900</v>
      </c>
    </row>
    <row r="23" spans="1:37" x14ac:dyDescent="0.25">
      <c r="A23" s="1">
        <v>45772</v>
      </c>
      <c r="B23" s="1">
        <v>45768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2028437288</v>
      </c>
      <c r="J23" t="s">
        <v>78</v>
      </c>
      <c r="M23" t="s">
        <v>58</v>
      </c>
      <c r="O23">
        <v>673059</v>
      </c>
      <c r="P23" t="s">
        <v>59</v>
      </c>
      <c r="Q23" t="s">
        <v>45</v>
      </c>
      <c r="R23" t="s">
        <v>79</v>
      </c>
      <c r="S23" s="1">
        <v>45764</v>
      </c>
      <c r="U23" t="s">
        <v>47</v>
      </c>
      <c r="X23" t="s">
        <v>80</v>
      </c>
      <c r="Y23" s="2">
        <v>383.18</v>
      </c>
      <c r="Z23" s="2">
        <v>383.18</v>
      </c>
      <c r="AA23">
        <v>0</v>
      </c>
      <c r="AB23" s="3">
        <v>0.28999999999999998</v>
      </c>
      <c r="AC23" s="2">
        <v>0</v>
      </c>
      <c r="AD23" s="3">
        <v>0</v>
      </c>
      <c r="AE23" s="2">
        <v>0</v>
      </c>
      <c r="AF23" s="2">
        <v>0</v>
      </c>
      <c r="AK23" s="4">
        <v>18520690</v>
      </c>
    </row>
    <row r="24" spans="1:37" x14ac:dyDescent="0.25">
      <c r="A24" s="1">
        <v>45772</v>
      </c>
      <c r="B24" s="1">
        <v>45768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2028437289</v>
      </c>
      <c r="J24" t="s">
        <v>78</v>
      </c>
      <c r="M24" t="s">
        <v>58</v>
      </c>
      <c r="O24">
        <v>673059</v>
      </c>
      <c r="P24" t="s">
        <v>59</v>
      </c>
      <c r="Q24" t="s">
        <v>45</v>
      </c>
      <c r="R24" t="s">
        <v>81</v>
      </c>
      <c r="S24" s="1">
        <v>45764</v>
      </c>
      <c r="U24" t="s">
        <v>47</v>
      </c>
      <c r="X24" t="s">
        <v>80</v>
      </c>
      <c r="Y24" s="2">
        <v>15</v>
      </c>
      <c r="Z24" s="2">
        <v>15</v>
      </c>
      <c r="AA24">
        <v>0</v>
      </c>
      <c r="AB24" s="3">
        <v>0.28999999999999998</v>
      </c>
      <c r="AC24" s="2">
        <v>0</v>
      </c>
      <c r="AD24" s="3">
        <v>0</v>
      </c>
      <c r="AE24" s="2">
        <v>0</v>
      </c>
      <c r="AF24" s="2">
        <v>0</v>
      </c>
      <c r="AK24" s="4">
        <v>18506800</v>
      </c>
    </row>
    <row r="25" spans="1:37" x14ac:dyDescent="0.25">
      <c r="A25" s="1">
        <v>45772</v>
      </c>
      <c r="B25" s="1">
        <v>45768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2028445565</v>
      </c>
      <c r="J25" t="s">
        <v>82</v>
      </c>
      <c r="M25" t="s">
        <v>43</v>
      </c>
      <c r="O25">
        <v>806645</v>
      </c>
      <c r="P25" t="s">
        <v>83</v>
      </c>
      <c r="Q25" t="s">
        <v>45</v>
      </c>
      <c r="R25" t="s">
        <v>53</v>
      </c>
      <c r="S25" s="1">
        <v>45764</v>
      </c>
      <c r="U25" t="s">
        <v>47</v>
      </c>
      <c r="X25" t="s">
        <v>48</v>
      </c>
      <c r="Y25" s="2">
        <v>32.520000000000003</v>
      </c>
      <c r="Z25" s="2">
        <v>32.520000000000003</v>
      </c>
      <c r="AA25">
        <v>0</v>
      </c>
      <c r="AB25" s="3">
        <v>0.375</v>
      </c>
      <c r="AC25" s="2">
        <v>0</v>
      </c>
      <c r="AD25" s="3">
        <v>0</v>
      </c>
      <c r="AE25" s="2">
        <v>0</v>
      </c>
      <c r="AF25" s="2">
        <v>0</v>
      </c>
      <c r="AK25" s="4">
        <v>18515360</v>
      </c>
    </row>
    <row r="26" spans="1:37" x14ac:dyDescent="0.25">
      <c r="A26" s="1">
        <v>45772</v>
      </c>
      <c r="B26" s="1">
        <v>45768</v>
      </c>
      <c r="C26" t="s">
        <v>38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2028447272</v>
      </c>
      <c r="J26" t="s">
        <v>84</v>
      </c>
      <c r="M26" t="s">
        <v>43</v>
      </c>
      <c r="O26">
        <v>856824</v>
      </c>
      <c r="P26" t="s">
        <v>85</v>
      </c>
      <c r="Q26" t="s">
        <v>45</v>
      </c>
      <c r="R26" t="s">
        <v>52</v>
      </c>
      <c r="S26" s="1">
        <v>45778</v>
      </c>
      <c r="U26" t="s">
        <v>47</v>
      </c>
      <c r="X26" t="s">
        <v>48</v>
      </c>
      <c r="Y26" s="2">
        <v>26.5</v>
      </c>
      <c r="Z26" s="2">
        <v>26.5</v>
      </c>
      <c r="AA26">
        <v>0</v>
      </c>
      <c r="AB26" s="3">
        <v>0.7</v>
      </c>
      <c r="AC26" s="2">
        <v>0</v>
      </c>
      <c r="AD26" s="3">
        <v>0</v>
      </c>
      <c r="AE26" s="2">
        <v>0</v>
      </c>
      <c r="AF26" s="2">
        <v>0</v>
      </c>
      <c r="AK26" s="4">
        <v>18500830</v>
      </c>
    </row>
    <row r="27" spans="1:37" x14ac:dyDescent="0.25">
      <c r="A27" s="1">
        <v>45772</v>
      </c>
      <c r="B27" s="1">
        <v>45768</v>
      </c>
      <c r="C27" t="s">
        <v>38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2028448241</v>
      </c>
      <c r="J27" t="s">
        <v>86</v>
      </c>
      <c r="M27" t="s">
        <v>87</v>
      </c>
      <c r="O27">
        <v>673059</v>
      </c>
      <c r="P27" t="s">
        <v>59</v>
      </c>
      <c r="Q27" t="s">
        <v>45</v>
      </c>
      <c r="R27" t="s">
        <v>88</v>
      </c>
      <c r="S27" s="1">
        <v>45809</v>
      </c>
      <c r="U27" t="s">
        <v>47</v>
      </c>
      <c r="X27" t="s">
        <v>48</v>
      </c>
      <c r="Y27" s="2">
        <v>75.73</v>
      </c>
      <c r="Z27" s="2">
        <v>75.73</v>
      </c>
      <c r="AA27">
        <v>0</v>
      </c>
      <c r="AB27" s="3">
        <v>0.75</v>
      </c>
      <c r="AC27" s="2">
        <v>0</v>
      </c>
      <c r="AD27" s="3">
        <v>0</v>
      </c>
      <c r="AE27" s="2">
        <v>0</v>
      </c>
      <c r="AF27" s="2">
        <v>0</v>
      </c>
      <c r="AK27" s="4">
        <v>18509150</v>
      </c>
    </row>
    <row r="28" spans="1:37" x14ac:dyDescent="0.25">
      <c r="A28" s="1">
        <v>45772</v>
      </c>
      <c r="B28" s="1">
        <v>45768</v>
      </c>
      <c r="C28" t="s">
        <v>38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2028448242</v>
      </c>
      <c r="J28" t="s">
        <v>86</v>
      </c>
      <c r="M28" t="s">
        <v>87</v>
      </c>
      <c r="O28">
        <v>673059</v>
      </c>
      <c r="P28" t="s">
        <v>59</v>
      </c>
      <c r="Q28" t="s">
        <v>45</v>
      </c>
      <c r="R28" t="s">
        <v>52</v>
      </c>
      <c r="S28" s="1">
        <v>45809</v>
      </c>
      <c r="U28" t="s">
        <v>47</v>
      </c>
      <c r="X28" t="s">
        <v>48</v>
      </c>
      <c r="Y28" s="2">
        <v>45.3</v>
      </c>
      <c r="Z28" s="2">
        <v>45.3</v>
      </c>
      <c r="AA28">
        <v>0</v>
      </c>
      <c r="AB28" s="3">
        <v>0.7</v>
      </c>
      <c r="AC28" s="2">
        <v>0</v>
      </c>
      <c r="AD28" s="3">
        <v>0</v>
      </c>
      <c r="AE28" s="2">
        <v>0</v>
      </c>
      <c r="AF28" s="2">
        <v>0</v>
      </c>
      <c r="AK28" s="4">
        <v>18500840</v>
      </c>
    </row>
    <row r="29" spans="1:37" x14ac:dyDescent="0.25">
      <c r="A29" s="1">
        <v>45772</v>
      </c>
      <c r="B29" s="1">
        <v>45768</v>
      </c>
      <c r="C29" t="s">
        <v>38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2028448243</v>
      </c>
      <c r="J29" t="s">
        <v>86</v>
      </c>
      <c r="M29" t="s">
        <v>87</v>
      </c>
      <c r="O29">
        <v>673059</v>
      </c>
      <c r="P29" t="s">
        <v>59</v>
      </c>
      <c r="Q29" t="s">
        <v>45</v>
      </c>
      <c r="R29" t="s">
        <v>77</v>
      </c>
      <c r="S29" s="1">
        <v>45809</v>
      </c>
      <c r="U29" t="s">
        <v>47</v>
      </c>
      <c r="X29" t="s">
        <v>48</v>
      </c>
      <c r="Y29" s="2">
        <v>8.3699999999999992</v>
      </c>
      <c r="Z29" s="2">
        <v>8.3699999999999992</v>
      </c>
      <c r="AA29">
        <v>0</v>
      </c>
      <c r="AB29" s="3">
        <v>0.7</v>
      </c>
      <c r="AC29" s="2">
        <v>0</v>
      </c>
      <c r="AD29" s="3">
        <v>0</v>
      </c>
      <c r="AE29" s="2">
        <v>0</v>
      </c>
      <c r="AF29" s="2">
        <v>0</v>
      </c>
      <c r="AK29" s="4">
        <v>18492910</v>
      </c>
    </row>
    <row r="30" spans="1:37" x14ac:dyDescent="0.25">
      <c r="A30" s="1">
        <v>45772</v>
      </c>
      <c r="B30" s="1">
        <v>45768</v>
      </c>
      <c r="C30" t="s">
        <v>38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2028448244</v>
      </c>
      <c r="J30" t="s">
        <v>86</v>
      </c>
      <c r="M30" t="s">
        <v>87</v>
      </c>
      <c r="O30">
        <v>673059</v>
      </c>
      <c r="P30" t="s">
        <v>59</v>
      </c>
      <c r="Q30" t="s">
        <v>45</v>
      </c>
      <c r="R30" t="s">
        <v>89</v>
      </c>
      <c r="S30" s="1">
        <v>45809</v>
      </c>
      <c r="U30" t="s">
        <v>47</v>
      </c>
      <c r="X30" t="s">
        <v>48</v>
      </c>
      <c r="Y30" s="2">
        <v>41.73</v>
      </c>
      <c r="Z30" s="2">
        <v>41.73</v>
      </c>
      <c r="AA30">
        <v>0</v>
      </c>
      <c r="AB30" s="3">
        <v>0.6</v>
      </c>
      <c r="AC30" s="2">
        <v>0</v>
      </c>
      <c r="AD30" s="3">
        <v>0</v>
      </c>
      <c r="AE30" s="2">
        <v>0</v>
      </c>
      <c r="AF30" s="2">
        <v>0</v>
      </c>
      <c r="AK30" s="4">
        <v>18509150</v>
      </c>
    </row>
    <row r="31" spans="1:37" x14ac:dyDescent="0.25">
      <c r="A31" s="1">
        <v>45772</v>
      </c>
      <c r="B31" s="1">
        <v>45768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2028449561</v>
      </c>
      <c r="J31" t="s">
        <v>90</v>
      </c>
      <c r="M31" t="s">
        <v>43</v>
      </c>
      <c r="O31">
        <v>821015</v>
      </c>
      <c r="P31" t="s">
        <v>91</v>
      </c>
      <c r="Q31" t="s">
        <v>45</v>
      </c>
      <c r="R31" t="s">
        <v>52</v>
      </c>
      <c r="S31" s="1">
        <v>45778</v>
      </c>
      <c r="U31" t="s">
        <v>47</v>
      </c>
      <c r="X31" t="s">
        <v>48</v>
      </c>
      <c r="Y31" s="2">
        <v>26.5</v>
      </c>
      <c r="Z31" s="2">
        <v>26.5</v>
      </c>
      <c r="AA31">
        <v>0</v>
      </c>
      <c r="AB31" s="3">
        <v>0.7</v>
      </c>
      <c r="AC31" s="2">
        <v>0</v>
      </c>
      <c r="AD31" s="3">
        <v>0</v>
      </c>
      <c r="AE31" s="2">
        <v>0</v>
      </c>
      <c r="AF31" s="2">
        <v>0</v>
      </c>
      <c r="AK31" s="4">
        <v>18500850</v>
      </c>
    </row>
    <row r="32" spans="1:37" x14ac:dyDescent="0.25">
      <c r="A32" s="1">
        <v>45772</v>
      </c>
      <c r="B32" s="1">
        <v>45768</v>
      </c>
      <c r="C32" t="s">
        <v>38</v>
      </c>
      <c r="D32" t="s">
        <v>39</v>
      </c>
      <c r="E32" t="s">
        <v>40</v>
      </c>
      <c r="F32">
        <v>649163</v>
      </c>
      <c r="G32">
        <v>20411454</v>
      </c>
      <c r="H32" t="s">
        <v>41</v>
      </c>
      <c r="I32">
        <v>2028449562</v>
      </c>
      <c r="J32" t="s">
        <v>90</v>
      </c>
      <c r="M32" t="s">
        <v>43</v>
      </c>
      <c r="O32">
        <v>821015</v>
      </c>
      <c r="P32" t="s">
        <v>91</v>
      </c>
      <c r="Q32" t="s">
        <v>45</v>
      </c>
      <c r="R32" t="s">
        <v>53</v>
      </c>
      <c r="S32" s="1">
        <v>45778</v>
      </c>
      <c r="U32" t="s">
        <v>47</v>
      </c>
      <c r="X32" t="s">
        <v>48</v>
      </c>
      <c r="Y32" s="2">
        <v>19.14</v>
      </c>
      <c r="Z32" s="2">
        <v>19.14</v>
      </c>
      <c r="AA32">
        <v>0</v>
      </c>
      <c r="AB32" s="3">
        <v>0.375</v>
      </c>
      <c r="AC32" s="2">
        <v>0</v>
      </c>
      <c r="AD32" s="3">
        <v>0</v>
      </c>
      <c r="AE32" s="2">
        <v>0</v>
      </c>
      <c r="AF32" s="2">
        <v>0</v>
      </c>
      <c r="AK32" s="4">
        <v>18515400</v>
      </c>
    </row>
    <row r="33" spans="1:37" x14ac:dyDescent="0.25">
      <c r="A33" s="1">
        <v>45772</v>
      </c>
      <c r="B33" s="1">
        <v>45768</v>
      </c>
      <c r="C33" t="s">
        <v>38</v>
      </c>
      <c r="D33" t="s">
        <v>39</v>
      </c>
      <c r="E33" t="s">
        <v>40</v>
      </c>
      <c r="F33">
        <v>649163</v>
      </c>
      <c r="G33">
        <v>20411454</v>
      </c>
      <c r="H33" t="s">
        <v>41</v>
      </c>
      <c r="I33">
        <v>2028450758</v>
      </c>
      <c r="J33" t="s">
        <v>92</v>
      </c>
      <c r="M33" t="s">
        <v>43</v>
      </c>
      <c r="O33">
        <v>812782</v>
      </c>
      <c r="P33" t="s">
        <v>51</v>
      </c>
      <c r="Q33" t="s">
        <v>45</v>
      </c>
      <c r="R33" t="s">
        <v>53</v>
      </c>
      <c r="S33" s="1">
        <v>45764</v>
      </c>
      <c r="U33" t="s">
        <v>47</v>
      </c>
      <c r="X33" t="s">
        <v>48</v>
      </c>
      <c r="Y33" s="2">
        <v>51.01</v>
      </c>
      <c r="Z33" s="2">
        <v>51.01</v>
      </c>
      <c r="AA33">
        <v>0</v>
      </c>
      <c r="AB33" s="3">
        <v>0.375</v>
      </c>
      <c r="AC33" s="2">
        <v>0</v>
      </c>
      <c r="AD33" s="3">
        <v>0</v>
      </c>
      <c r="AE33" s="2">
        <v>0</v>
      </c>
      <c r="AF33" s="2">
        <v>0</v>
      </c>
      <c r="AK33" s="4">
        <v>18515400</v>
      </c>
    </row>
    <row r="34" spans="1:37" x14ac:dyDescent="0.25">
      <c r="A34" s="1">
        <v>45772</v>
      </c>
      <c r="B34" s="1">
        <v>45768</v>
      </c>
      <c r="C34" t="s">
        <v>38</v>
      </c>
      <c r="D34" t="s">
        <v>39</v>
      </c>
      <c r="E34" t="s">
        <v>40</v>
      </c>
      <c r="F34">
        <v>649163</v>
      </c>
      <c r="G34">
        <v>20411454</v>
      </c>
      <c r="H34" t="s">
        <v>41</v>
      </c>
      <c r="I34">
        <v>2028459881</v>
      </c>
      <c r="J34" t="s">
        <v>93</v>
      </c>
      <c r="M34" t="s">
        <v>94</v>
      </c>
      <c r="O34">
        <v>767312</v>
      </c>
      <c r="P34" t="s">
        <v>95</v>
      </c>
      <c r="Q34" t="s">
        <v>45</v>
      </c>
      <c r="R34" t="s">
        <v>53</v>
      </c>
      <c r="S34" s="1">
        <v>45765</v>
      </c>
      <c r="U34" t="s">
        <v>47</v>
      </c>
      <c r="X34" t="s">
        <v>48</v>
      </c>
      <c r="Y34" s="2">
        <v>31.93</v>
      </c>
      <c r="Z34" s="2">
        <v>31.93</v>
      </c>
      <c r="AA34">
        <v>0</v>
      </c>
      <c r="AB34" s="3">
        <v>0.375</v>
      </c>
      <c r="AC34" s="2">
        <v>0</v>
      </c>
      <c r="AD34" s="3">
        <v>0</v>
      </c>
      <c r="AE34" s="2">
        <v>0</v>
      </c>
      <c r="AF34" s="2">
        <v>0</v>
      </c>
      <c r="AK34" s="4">
        <v>18515460</v>
      </c>
    </row>
    <row r="35" spans="1:37" x14ac:dyDescent="0.25">
      <c r="A35" s="1">
        <v>45772</v>
      </c>
      <c r="B35" s="1">
        <v>45768</v>
      </c>
      <c r="C35" t="s">
        <v>38</v>
      </c>
      <c r="D35" t="s">
        <v>39</v>
      </c>
      <c r="E35" t="s">
        <v>40</v>
      </c>
      <c r="F35">
        <v>649163</v>
      </c>
      <c r="G35">
        <v>20411454</v>
      </c>
      <c r="H35" t="s">
        <v>41</v>
      </c>
      <c r="I35">
        <v>2028461683</v>
      </c>
      <c r="J35" t="s">
        <v>96</v>
      </c>
      <c r="M35" t="s">
        <v>94</v>
      </c>
      <c r="O35">
        <v>824062</v>
      </c>
      <c r="P35" t="s">
        <v>97</v>
      </c>
      <c r="Q35" t="s">
        <v>45</v>
      </c>
      <c r="R35" t="s">
        <v>53</v>
      </c>
      <c r="S35" s="1">
        <v>45778</v>
      </c>
      <c r="U35" t="s">
        <v>47</v>
      </c>
      <c r="X35" t="s">
        <v>48</v>
      </c>
      <c r="Y35" s="2">
        <v>69.41</v>
      </c>
      <c r="Z35" s="2">
        <v>69.41</v>
      </c>
      <c r="AA35">
        <v>0</v>
      </c>
      <c r="AB35" s="3">
        <v>0.375</v>
      </c>
      <c r="AC35" s="2">
        <v>0</v>
      </c>
      <c r="AD35" s="3">
        <v>0</v>
      </c>
      <c r="AE35" s="2">
        <v>0</v>
      </c>
      <c r="AF35" s="2">
        <v>0</v>
      </c>
      <c r="AK35" s="4">
        <v>18515480</v>
      </c>
    </row>
    <row r="36" spans="1:37" x14ac:dyDescent="0.25">
      <c r="A36" s="1">
        <v>45772</v>
      </c>
      <c r="B36" s="1">
        <v>45768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2028461684</v>
      </c>
      <c r="J36" t="s">
        <v>96</v>
      </c>
      <c r="M36" t="s">
        <v>94</v>
      </c>
      <c r="O36">
        <v>824062</v>
      </c>
      <c r="P36" t="s">
        <v>97</v>
      </c>
      <c r="Q36" t="s">
        <v>45</v>
      </c>
      <c r="R36" t="s">
        <v>52</v>
      </c>
      <c r="S36" s="1">
        <v>45778</v>
      </c>
      <c r="U36" t="s">
        <v>47</v>
      </c>
      <c r="X36" t="s">
        <v>48</v>
      </c>
      <c r="Y36" s="2">
        <v>59.94</v>
      </c>
      <c r="Z36" s="2">
        <v>59.94</v>
      </c>
      <c r="AA36">
        <v>0</v>
      </c>
      <c r="AB36" s="3">
        <v>0.7</v>
      </c>
      <c r="AC36" s="2">
        <v>0</v>
      </c>
      <c r="AD36" s="3">
        <v>0</v>
      </c>
      <c r="AE36" s="2">
        <v>0</v>
      </c>
      <c r="AF36" s="2">
        <v>0</v>
      </c>
      <c r="AK36" s="4">
        <v>18500920</v>
      </c>
    </row>
    <row r="37" spans="1:37" x14ac:dyDescent="0.25">
      <c r="A37" s="1">
        <v>45772</v>
      </c>
      <c r="B37" s="1">
        <v>45768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2028465554</v>
      </c>
      <c r="J37" t="s">
        <v>98</v>
      </c>
      <c r="M37" t="s">
        <v>43</v>
      </c>
      <c r="O37">
        <v>792847</v>
      </c>
      <c r="P37" t="s">
        <v>99</v>
      </c>
      <c r="Q37" t="s">
        <v>45</v>
      </c>
      <c r="R37" t="s">
        <v>53</v>
      </c>
      <c r="S37" s="1">
        <v>45778</v>
      </c>
      <c r="U37" t="s">
        <v>47</v>
      </c>
      <c r="X37" t="s">
        <v>48</v>
      </c>
      <c r="Y37" s="2">
        <v>57.19</v>
      </c>
      <c r="Z37" s="2">
        <v>57.19</v>
      </c>
      <c r="AA37">
        <v>0</v>
      </c>
      <c r="AB37" s="3">
        <v>0.375</v>
      </c>
      <c r="AC37" s="2">
        <v>0</v>
      </c>
      <c r="AD37" s="3">
        <v>0</v>
      </c>
      <c r="AE37" s="2">
        <v>0</v>
      </c>
      <c r="AF37" s="2">
        <v>0</v>
      </c>
      <c r="AK37" s="4">
        <v>18515500</v>
      </c>
    </row>
    <row r="38" spans="1:37" x14ac:dyDescent="0.25">
      <c r="A38" s="1">
        <v>45772</v>
      </c>
      <c r="B38" s="1">
        <v>45768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2028465555</v>
      </c>
      <c r="J38" t="s">
        <v>98</v>
      </c>
      <c r="M38" t="s">
        <v>43</v>
      </c>
      <c r="O38">
        <v>792847</v>
      </c>
      <c r="P38" t="s">
        <v>99</v>
      </c>
      <c r="Q38" t="s">
        <v>45</v>
      </c>
      <c r="R38" t="s">
        <v>52</v>
      </c>
      <c r="S38" s="1">
        <v>45778</v>
      </c>
      <c r="U38" t="s">
        <v>47</v>
      </c>
      <c r="X38" t="s">
        <v>48</v>
      </c>
      <c r="Y38" s="2">
        <v>74.58</v>
      </c>
      <c r="Z38" s="2">
        <v>74.58</v>
      </c>
      <c r="AA38">
        <v>0</v>
      </c>
      <c r="AB38" s="3">
        <v>0.7</v>
      </c>
      <c r="AC38" s="2">
        <v>0</v>
      </c>
      <c r="AD38" s="3">
        <v>0</v>
      </c>
      <c r="AE38" s="2">
        <v>0</v>
      </c>
      <c r="AF38" s="2">
        <v>0</v>
      </c>
      <c r="AK38" s="4">
        <v>18500930</v>
      </c>
    </row>
    <row r="39" spans="1:37" x14ac:dyDescent="0.25">
      <c r="A39" s="1">
        <v>45772</v>
      </c>
      <c r="B39" s="1">
        <v>45768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2028465556</v>
      </c>
      <c r="J39" t="s">
        <v>98</v>
      </c>
      <c r="M39" t="s">
        <v>43</v>
      </c>
      <c r="O39">
        <v>792847</v>
      </c>
      <c r="P39" t="s">
        <v>99</v>
      </c>
      <c r="Q39" t="s">
        <v>45</v>
      </c>
      <c r="R39" t="s">
        <v>88</v>
      </c>
      <c r="S39" s="1">
        <v>45778</v>
      </c>
      <c r="U39" t="s">
        <v>47</v>
      </c>
      <c r="X39" t="s">
        <v>48</v>
      </c>
      <c r="Y39" s="2">
        <v>70.650000000000006</v>
      </c>
      <c r="Z39" s="2">
        <v>70.650000000000006</v>
      </c>
      <c r="AA39">
        <v>0</v>
      </c>
      <c r="AB39" s="3">
        <v>0.75</v>
      </c>
      <c r="AC39" s="2">
        <v>0</v>
      </c>
      <c r="AD39" s="3">
        <v>0</v>
      </c>
      <c r="AE39" s="2">
        <v>0</v>
      </c>
      <c r="AF39" s="2">
        <v>0</v>
      </c>
      <c r="AK39" s="4">
        <v>18509190</v>
      </c>
    </row>
    <row r="40" spans="1:37" x14ac:dyDescent="0.25">
      <c r="A40" s="1">
        <v>45772</v>
      </c>
      <c r="B40" s="1">
        <v>45768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2028466943</v>
      </c>
      <c r="J40" t="s">
        <v>100</v>
      </c>
      <c r="M40" t="s">
        <v>101</v>
      </c>
      <c r="O40">
        <v>816021</v>
      </c>
      <c r="P40" t="s">
        <v>102</v>
      </c>
      <c r="Q40" t="s">
        <v>45</v>
      </c>
      <c r="R40" t="s">
        <v>60</v>
      </c>
      <c r="S40" s="1">
        <v>45767</v>
      </c>
      <c r="U40" t="s">
        <v>47</v>
      </c>
      <c r="X40" t="s">
        <v>48</v>
      </c>
      <c r="Y40" s="2">
        <v>31.08</v>
      </c>
      <c r="Z40" s="2">
        <v>31.08</v>
      </c>
      <c r="AA40">
        <v>0</v>
      </c>
      <c r="AB40" s="3">
        <v>0.9</v>
      </c>
      <c r="AC40" s="2">
        <v>0</v>
      </c>
      <c r="AD40" s="3">
        <v>0</v>
      </c>
      <c r="AE40" s="2">
        <v>0</v>
      </c>
      <c r="AF40" s="2">
        <v>0</v>
      </c>
      <c r="AK40" s="4">
        <v>18509190</v>
      </c>
    </row>
    <row r="41" spans="1:37" x14ac:dyDescent="0.25">
      <c r="A41" s="1">
        <v>45772</v>
      </c>
      <c r="B41" s="1">
        <v>45768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2028466944</v>
      </c>
      <c r="J41" t="s">
        <v>100</v>
      </c>
      <c r="M41" t="s">
        <v>101</v>
      </c>
      <c r="O41">
        <v>816021</v>
      </c>
      <c r="P41" t="s">
        <v>102</v>
      </c>
      <c r="Q41" t="s">
        <v>45</v>
      </c>
      <c r="R41" t="s">
        <v>52</v>
      </c>
      <c r="S41" s="1">
        <v>45767</v>
      </c>
      <c r="U41" t="s">
        <v>47</v>
      </c>
      <c r="X41" t="s">
        <v>48</v>
      </c>
      <c r="Y41" s="2">
        <v>9.6999999999999993</v>
      </c>
      <c r="Z41" s="2">
        <v>9.6999999999999993</v>
      </c>
      <c r="AA41">
        <v>0</v>
      </c>
      <c r="AB41" s="3">
        <v>0.7</v>
      </c>
      <c r="AC41" s="2">
        <v>0</v>
      </c>
      <c r="AD41" s="3">
        <v>0</v>
      </c>
      <c r="AE41" s="2">
        <v>0</v>
      </c>
      <c r="AF41" s="2">
        <v>0</v>
      </c>
      <c r="AK41" s="4">
        <v>18500940</v>
      </c>
    </row>
    <row r="42" spans="1:37" x14ac:dyDescent="0.25">
      <c r="A42" s="1">
        <v>45772</v>
      </c>
      <c r="B42" s="1">
        <v>45768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2028466945</v>
      </c>
      <c r="J42" t="s">
        <v>100</v>
      </c>
      <c r="M42" t="s">
        <v>101</v>
      </c>
      <c r="O42">
        <v>816021</v>
      </c>
      <c r="P42" t="s">
        <v>102</v>
      </c>
      <c r="Q42" t="s">
        <v>45</v>
      </c>
      <c r="R42" t="s">
        <v>103</v>
      </c>
      <c r="S42" s="1">
        <v>45767</v>
      </c>
      <c r="U42" t="s">
        <v>47</v>
      </c>
      <c r="X42" t="s">
        <v>48</v>
      </c>
      <c r="Y42" s="2">
        <v>19.39</v>
      </c>
      <c r="Z42" s="2">
        <v>19.39</v>
      </c>
      <c r="AA42">
        <v>0</v>
      </c>
      <c r="AB42" s="3">
        <v>0.38</v>
      </c>
      <c r="AC42" s="2">
        <v>0</v>
      </c>
      <c r="AD42" s="3">
        <v>0</v>
      </c>
      <c r="AE42" s="2">
        <v>0</v>
      </c>
      <c r="AF42" s="2">
        <v>0</v>
      </c>
      <c r="AK42" s="4">
        <v>18516320</v>
      </c>
    </row>
    <row r="43" spans="1:37" x14ac:dyDescent="0.25">
      <c r="A43" s="1">
        <v>45772</v>
      </c>
      <c r="B43" s="1">
        <v>45768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2028466946</v>
      </c>
      <c r="J43" t="s">
        <v>100</v>
      </c>
      <c r="M43" t="s">
        <v>101</v>
      </c>
      <c r="O43">
        <v>816021</v>
      </c>
      <c r="P43" t="s">
        <v>102</v>
      </c>
      <c r="Q43" t="s">
        <v>45</v>
      </c>
      <c r="R43" t="s">
        <v>53</v>
      </c>
      <c r="S43" s="1">
        <v>45767</v>
      </c>
      <c r="U43" t="s">
        <v>47</v>
      </c>
      <c r="X43" t="s">
        <v>48</v>
      </c>
      <c r="Y43" s="2">
        <v>38.74</v>
      </c>
      <c r="Z43" s="2">
        <v>38.74</v>
      </c>
      <c r="AA43">
        <v>0</v>
      </c>
      <c r="AB43" s="3">
        <v>0.375</v>
      </c>
      <c r="AC43" s="2">
        <v>0</v>
      </c>
      <c r="AD43" s="3">
        <v>0</v>
      </c>
      <c r="AE43" s="2">
        <v>0</v>
      </c>
      <c r="AF43" s="2">
        <v>0</v>
      </c>
      <c r="AK43" s="4">
        <v>18515510</v>
      </c>
    </row>
    <row r="44" spans="1:37" x14ac:dyDescent="0.25">
      <c r="A44" s="1">
        <v>45772</v>
      </c>
      <c r="B44" s="1">
        <v>45768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2028468608</v>
      </c>
      <c r="J44" t="s">
        <v>104</v>
      </c>
      <c r="M44" t="s">
        <v>43</v>
      </c>
      <c r="O44">
        <v>822723</v>
      </c>
      <c r="P44" t="s">
        <v>105</v>
      </c>
      <c r="Q44" t="s">
        <v>45</v>
      </c>
      <c r="R44" t="s">
        <v>53</v>
      </c>
      <c r="S44" s="1">
        <v>45778</v>
      </c>
      <c r="U44" t="s">
        <v>47</v>
      </c>
      <c r="X44" t="s">
        <v>48</v>
      </c>
      <c r="Y44" s="2">
        <v>147.41</v>
      </c>
      <c r="Z44" s="2">
        <v>147.41</v>
      </c>
      <c r="AA44">
        <v>0</v>
      </c>
      <c r="AB44" s="3">
        <v>0.375</v>
      </c>
      <c r="AC44" s="2">
        <v>0</v>
      </c>
      <c r="AD44" s="3">
        <v>0</v>
      </c>
      <c r="AE44" s="2">
        <v>0</v>
      </c>
      <c r="AF44" s="2">
        <v>0</v>
      </c>
      <c r="AK44" s="4">
        <v>18515520</v>
      </c>
    </row>
    <row r="45" spans="1:37" x14ac:dyDescent="0.25">
      <c r="A45" s="1">
        <v>45772</v>
      </c>
      <c r="B45" s="1">
        <v>45768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2028468609</v>
      </c>
      <c r="J45" t="s">
        <v>104</v>
      </c>
      <c r="M45" t="s">
        <v>43</v>
      </c>
      <c r="O45">
        <v>822723</v>
      </c>
      <c r="P45" t="s">
        <v>105</v>
      </c>
      <c r="Q45" t="s">
        <v>45</v>
      </c>
      <c r="R45" t="s">
        <v>52</v>
      </c>
      <c r="S45" s="1">
        <v>45778</v>
      </c>
      <c r="U45" t="s">
        <v>47</v>
      </c>
      <c r="X45" t="s">
        <v>48</v>
      </c>
      <c r="Y45" s="2">
        <v>39.25</v>
      </c>
      <c r="Z45" s="2">
        <v>39.25</v>
      </c>
      <c r="AA45">
        <v>0</v>
      </c>
      <c r="AB45" s="3">
        <v>0.7</v>
      </c>
      <c r="AC45" s="2">
        <v>0</v>
      </c>
      <c r="AD45" s="3">
        <v>0</v>
      </c>
      <c r="AE45" s="2">
        <v>0</v>
      </c>
      <c r="AF45" s="2">
        <v>0</v>
      </c>
      <c r="AK45" s="4">
        <v>18500950</v>
      </c>
    </row>
    <row r="46" spans="1:37" x14ac:dyDescent="0.25">
      <c r="A46" s="1">
        <v>45772</v>
      </c>
      <c r="B46" s="1">
        <v>45768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2028469591</v>
      </c>
      <c r="J46" t="s">
        <v>106</v>
      </c>
      <c r="M46" t="s">
        <v>43</v>
      </c>
      <c r="O46">
        <v>807212</v>
      </c>
      <c r="P46" t="s">
        <v>107</v>
      </c>
      <c r="Q46" t="s">
        <v>45</v>
      </c>
      <c r="R46" t="s">
        <v>52</v>
      </c>
      <c r="S46" s="1">
        <v>45765</v>
      </c>
      <c r="U46" t="s">
        <v>47</v>
      </c>
      <c r="X46" t="s">
        <v>48</v>
      </c>
      <c r="Y46" s="2">
        <v>56.5</v>
      </c>
      <c r="Z46" s="2">
        <v>56.5</v>
      </c>
      <c r="AA46">
        <v>0</v>
      </c>
      <c r="AB46" s="3">
        <v>0.7</v>
      </c>
      <c r="AC46" s="2">
        <v>0</v>
      </c>
      <c r="AD46" s="3">
        <v>0</v>
      </c>
      <c r="AE46" s="2">
        <v>0</v>
      </c>
      <c r="AF46" s="2">
        <v>0</v>
      </c>
      <c r="AK46" s="4">
        <v>18500950</v>
      </c>
    </row>
    <row r="47" spans="1:37" x14ac:dyDescent="0.25">
      <c r="A47" s="1">
        <v>45772</v>
      </c>
      <c r="B47" s="1">
        <v>45768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2028470693</v>
      </c>
      <c r="J47" t="s">
        <v>108</v>
      </c>
      <c r="M47" t="s">
        <v>94</v>
      </c>
      <c r="O47">
        <v>813184</v>
      </c>
      <c r="P47" t="s">
        <v>109</v>
      </c>
      <c r="Q47" t="s">
        <v>45</v>
      </c>
      <c r="R47" t="s">
        <v>52</v>
      </c>
      <c r="S47" s="1">
        <v>45765</v>
      </c>
      <c r="U47" t="s">
        <v>47</v>
      </c>
      <c r="X47" t="s">
        <v>48</v>
      </c>
      <c r="Y47" s="2">
        <v>159.16999999999999</v>
      </c>
      <c r="Z47" s="2">
        <v>159.16999999999999</v>
      </c>
      <c r="AA47">
        <v>0</v>
      </c>
      <c r="AB47" s="3">
        <v>0.7</v>
      </c>
      <c r="AC47" s="2">
        <v>0</v>
      </c>
      <c r="AD47" s="3">
        <v>0</v>
      </c>
      <c r="AE47" s="2">
        <v>0</v>
      </c>
      <c r="AF47" s="2">
        <v>0</v>
      </c>
      <c r="AK47" s="4">
        <v>18500960</v>
      </c>
    </row>
    <row r="48" spans="1:37" x14ac:dyDescent="0.25">
      <c r="A48" s="1">
        <v>45772</v>
      </c>
      <c r="B48" s="1">
        <v>45768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2028470694</v>
      </c>
      <c r="J48" t="s">
        <v>108</v>
      </c>
      <c r="M48" t="s">
        <v>94</v>
      </c>
      <c r="O48">
        <v>813184</v>
      </c>
      <c r="P48" t="s">
        <v>109</v>
      </c>
      <c r="Q48" t="s">
        <v>45</v>
      </c>
      <c r="R48" t="s">
        <v>88</v>
      </c>
      <c r="S48" s="1">
        <v>45765</v>
      </c>
      <c r="U48" t="s">
        <v>47</v>
      </c>
      <c r="X48" t="s">
        <v>48</v>
      </c>
      <c r="Y48" s="2">
        <v>60.28</v>
      </c>
      <c r="Z48" s="2">
        <v>60.28</v>
      </c>
      <c r="AA48">
        <v>0</v>
      </c>
      <c r="AB48" s="3">
        <v>0.75</v>
      </c>
      <c r="AC48" s="2">
        <v>0</v>
      </c>
      <c r="AD48" s="3">
        <v>0</v>
      </c>
      <c r="AE48" s="2">
        <v>0</v>
      </c>
      <c r="AF48" s="2">
        <v>0</v>
      </c>
      <c r="AK48" s="4">
        <v>18509200</v>
      </c>
    </row>
    <row r="49" spans="1:37" x14ac:dyDescent="0.25">
      <c r="A49" s="1">
        <v>45772</v>
      </c>
      <c r="B49" s="1">
        <v>45768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2028471502</v>
      </c>
      <c r="J49" t="s">
        <v>110</v>
      </c>
      <c r="M49" t="s">
        <v>94</v>
      </c>
      <c r="O49">
        <v>813184</v>
      </c>
      <c r="P49" t="s">
        <v>109</v>
      </c>
      <c r="Q49" t="s">
        <v>45</v>
      </c>
      <c r="R49" t="s">
        <v>52</v>
      </c>
      <c r="S49" s="1">
        <v>45765</v>
      </c>
      <c r="U49" t="s">
        <v>47</v>
      </c>
      <c r="X49" t="s">
        <v>48</v>
      </c>
      <c r="Y49" s="2">
        <v>41.98</v>
      </c>
      <c r="Z49" s="2">
        <v>41.98</v>
      </c>
      <c r="AA49">
        <v>0</v>
      </c>
      <c r="AB49" s="3">
        <v>0.7</v>
      </c>
      <c r="AC49" s="2">
        <v>0</v>
      </c>
      <c r="AD49" s="3">
        <v>0</v>
      </c>
      <c r="AE49" s="2">
        <v>0</v>
      </c>
      <c r="AF49" s="2">
        <v>0</v>
      </c>
      <c r="AK49" s="4">
        <v>18500960</v>
      </c>
    </row>
    <row r="50" spans="1:37" x14ac:dyDescent="0.25">
      <c r="A50" s="1">
        <v>45772</v>
      </c>
      <c r="B50" s="1">
        <v>45768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2028471687</v>
      </c>
      <c r="J50" t="s">
        <v>111</v>
      </c>
      <c r="M50" t="s">
        <v>43</v>
      </c>
      <c r="O50">
        <v>820873</v>
      </c>
      <c r="P50" t="s">
        <v>111</v>
      </c>
      <c r="Q50" t="s">
        <v>45</v>
      </c>
      <c r="R50" t="s">
        <v>52</v>
      </c>
      <c r="S50" s="1">
        <v>45765</v>
      </c>
      <c r="U50" t="s">
        <v>47</v>
      </c>
      <c r="X50" t="s">
        <v>48</v>
      </c>
      <c r="Y50" s="2">
        <v>51</v>
      </c>
      <c r="Z50" s="2">
        <v>51</v>
      </c>
      <c r="AA50">
        <v>0</v>
      </c>
      <c r="AB50" s="3">
        <v>0.7</v>
      </c>
      <c r="AC50" s="2">
        <v>0</v>
      </c>
      <c r="AD50" s="3">
        <v>0</v>
      </c>
      <c r="AE50" s="2">
        <v>0</v>
      </c>
      <c r="AF50" s="2">
        <v>0</v>
      </c>
      <c r="AK50" s="4">
        <v>18500960</v>
      </c>
    </row>
    <row r="51" spans="1:37" x14ac:dyDescent="0.25">
      <c r="A51" s="1">
        <v>45772</v>
      </c>
      <c r="B51" s="1">
        <v>45768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2028485191</v>
      </c>
      <c r="J51" t="s">
        <v>112</v>
      </c>
      <c r="M51" t="s">
        <v>113</v>
      </c>
      <c r="O51">
        <v>751867</v>
      </c>
      <c r="P51" t="s">
        <v>114</v>
      </c>
      <c r="Q51" t="s">
        <v>45</v>
      </c>
      <c r="R51" t="s">
        <v>53</v>
      </c>
      <c r="S51" s="1">
        <v>45766</v>
      </c>
      <c r="U51" t="s">
        <v>47</v>
      </c>
      <c r="X51" t="s">
        <v>48</v>
      </c>
      <c r="Y51" s="2">
        <v>32.549999999999997</v>
      </c>
      <c r="Z51" s="2">
        <v>32.549999999999997</v>
      </c>
      <c r="AA51">
        <v>0</v>
      </c>
      <c r="AB51" s="3">
        <v>0.375</v>
      </c>
      <c r="AC51" s="2">
        <v>0</v>
      </c>
      <c r="AD51" s="3">
        <v>0</v>
      </c>
      <c r="AE51" s="2">
        <v>0</v>
      </c>
      <c r="AF51" s="2">
        <v>0</v>
      </c>
      <c r="AK51" s="4">
        <v>18515600</v>
      </c>
    </row>
    <row r="52" spans="1:37" x14ac:dyDescent="0.25">
      <c r="A52" s="1">
        <v>45772</v>
      </c>
      <c r="B52" s="1">
        <v>45768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2028488143</v>
      </c>
      <c r="J52" t="s">
        <v>115</v>
      </c>
      <c r="M52" t="s">
        <v>116</v>
      </c>
      <c r="O52">
        <v>751867</v>
      </c>
      <c r="P52" t="s">
        <v>114</v>
      </c>
      <c r="Q52" t="s">
        <v>45</v>
      </c>
      <c r="R52" t="s">
        <v>103</v>
      </c>
      <c r="S52" s="1">
        <v>45766</v>
      </c>
      <c r="U52" t="s">
        <v>47</v>
      </c>
      <c r="X52" t="s">
        <v>48</v>
      </c>
      <c r="Y52" s="2">
        <v>89.62</v>
      </c>
      <c r="Z52" s="2">
        <v>89.62</v>
      </c>
      <c r="AA52">
        <v>0</v>
      </c>
      <c r="AB52" s="3">
        <v>0.38</v>
      </c>
      <c r="AC52" s="2">
        <v>0</v>
      </c>
      <c r="AD52" s="3">
        <v>0</v>
      </c>
      <c r="AE52" s="2">
        <v>0</v>
      </c>
      <c r="AF52" s="2">
        <v>0</v>
      </c>
      <c r="AK52" s="4">
        <v>18516330</v>
      </c>
    </row>
    <row r="53" spans="1:37" x14ac:dyDescent="0.25">
      <c r="A53" s="1">
        <v>45772</v>
      </c>
      <c r="B53" s="1">
        <v>45768</v>
      </c>
      <c r="C53" t="s">
        <v>38</v>
      </c>
      <c r="D53" t="s">
        <v>39</v>
      </c>
      <c r="E53" t="s">
        <v>40</v>
      </c>
      <c r="F53">
        <v>649163</v>
      </c>
      <c r="G53">
        <v>20411454</v>
      </c>
      <c r="H53" t="s">
        <v>41</v>
      </c>
      <c r="I53">
        <v>2028488144</v>
      </c>
      <c r="J53" t="s">
        <v>115</v>
      </c>
      <c r="M53" t="s">
        <v>116</v>
      </c>
      <c r="O53">
        <v>751867</v>
      </c>
      <c r="P53" t="s">
        <v>114</v>
      </c>
      <c r="Q53" t="s">
        <v>45</v>
      </c>
      <c r="R53" t="s">
        <v>62</v>
      </c>
      <c r="S53" s="1">
        <v>45766</v>
      </c>
      <c r="U53" t="s">
        <v>47</v>
      </c>
      <c r="X53" t="s">
        <v>48</v>
      </c>
      <c r="Y53" s="2">
        <v>62.54</v>
      </c>
      <c r="Z53" s="2">
        <v>62.54</v>
      </c>
      <c r="AA53">
        <v>0</v>
      </c>
      <c r="AB53" s="3">
        <v>0.6</v>
      </c>
      <c r="AC53" s="2">
        <v>0</v>
      </c>
      <c r="AD53" s="3">
        <v>0</v>
      </c>
      <c r="AE53" s="2">
        <v>0</v>
      </c>
      <c r="AF53" s="2">
        <v>0</v>
      </c>
      <c r="AK53" s="4">
        <v>18509240</v>
      </c>
    </row>
    <row r="54" spans="1:37" x14ac:dyDescent="0.25">
      <c r="A54" s="1">
        <v>45772</v>
      </c>
      <c r="B54" s="1">
        <v>45768</v>
      </c>
      <c r="C54" t="s">
        <v>38</v>
      </c>
      <c r="D54" t="s">
        <v>39</v>
      </c>
      <c r="E54" t="s">
        <v>40</v>
      </c>
      <c r="F54">
        <v>649163</v>
      </c>
      <c r="G54">
        <v>20411454</v>
      </c>
      <c r="H54" t="s">
        <v>41</v>
      </c>
      <c r="I54">
        <v>2028488145</v>
      </c>
      <c r="J54" t="s">
        <v>115</v>
      </c>
      <c r="M54" t="s">
        <v>116</v>
      </c>
      <c r="O54">
        <v>751867</v>
      </c>
      <c r="P54" t="s">
        <v>114</v>
      </c>
      <c r="Q54" t="s">
        <v>45</v>
      </c>
      <c r="R54" t="s">
        <v>77</v>
      </c>
      <c r="S54" s="1">
        <v>45766</v>
      </c>
      <c r="U54" t="s">
        <v>47</v>
      </c>
      <c r="X54" t="s">
        <v>48</v>
      </c>
      <c r="Y54" s="2">
        <v>51.46</v>
      </c>
      <c r="Z54" s="2">
        <v>51.46</v>
      </c>
      <c r="AA54">
        <v>0</v>
      </c>
      <c r="AB54" s="3">
        <v>0.7</v>
      </c>
      <c r="AC54" s="2">
        <v>0</v>
      </c>
      <c r="AD54" s="3">
        <v>0</v>
      </c>
      <c r="AE54" s="2">
        <v>0</v>
      </c>
      <c r="AF54" s="2">
        <v>0</v>
      </c>
      <c r="AK54" s="4">
        <v>18492940</v>
      </c>
    </row>
    <row r="55" spans="1:37" x14ac:dyDescent="0.25">
      <c r="A55" s="1">
        <v>45772</v>
      </c>
      <c r="B55" s="1">
        <v>45768</v>
      </c>
      <c r="C55" t="s">
        <v>38</v>
      </c>
      <c r="D55" t="s">
        <v>39</v>
      </c>
      <c r="E55" t="s">
        <v>40</v>
      </c>
      <c r="F55">
        <v>649163</v>
      </c>
      <c r="G55">
        <v>20411454</v>
      </c>
      <c r="H55" t="s">
        <v>41</v>
      </c>
      <c r="I55">
        <v>2028498798</v>
      </c>
      <c r="J55" t="s">
        <v>117</v>
      </c>
      <c r="M55" t="s">
        <v>87</v>
      </c>
      <c r="O55">
        <v>823350</v>
      </c>
      <c r="P55" t="s">
        <v>55</v>
      </c>
      <c r="Q55" t="s">
        <v>45</v>
      </c>
      <c r="R55" t="s">
        <v>53</v>
      </c>
      <c r="S55" s="1">
        <v>45772</v>
      </c>
      <c r="U55" t="s">
        <v>47</v>
      </c>
      <c r="X55" t="s">
        <v>48</v>
      </c>
      <c r="Y55" s="2">
        <v>58.15</v>
      </c>
      <c r="Z55" s="2">
        <v>58.15</v>
      </c>
      <c r="AA55">
        <v>0</v>
      </c>
      <c r="AB55" s="3">
        <v>0.375</v>
      </c>
      <c r="AC55" s="2">
        <v>0</v>
      </c>
      <c r="AD55" s="3">
        <v>0</v>
      </c>
      <c r="AE55" s="2">
        <v>0</v>
      </c>
      <c r="AF55" s="2">
        <v>0</v>
      </c>
      <c r="AK55" s="4">
        <v>18515670</v>
      </c>
    </row>
    <row r="56" spans="1:37" x14ac:dyDescent="0.25">
      <c r="A56" s="1">
        <v>45772</v>
      </c>
      <c r="B56" s="1">
        <v>45768</v>
      </c>
      <c r="C56" t="s">
        <v>38</v>
      </c>
      <c r="D56" t="s">
        <v>39</v>
      </c>
      <c r="E56" t="s">
        <v>40</v>
      </c>
      <c r="F56">
        <v>649163</v>
      </c>
      <c r="G56">
        <v>20411454</v>
      </c>
      <c r="H56" t="s">
        <v>41</v>
      </c>
      <c r="I56">
        <v>2028498799</v>
      </c>
      <c r="J56" t="s">
        <v>117</v>
      </c>
      <c r="M56" t="s">
        <v>87</v>
      </c>
      <c r="O56">
        <v>823350</v>
      </c>
      <c r="P56" t="s">
        <v>55</v>
      </c>
      <c r="Q56" t="s">
        <v>45</v>
      </c>
      <c r="R56" t="s">
        <v>52</v>
      </c>
      <c r="S56" s="1">
        <v>45772</v>
      </c>
      <c r="U56" t="s">
        <v>47</v>
      </c>
      <c r="X56" t="s">
        <v>48</v>
      </c>
      <c r="Y56" s="2">
        <v>30.58</v>
      </c>
      <c r="Z56" s="2">
        <v>30.58</v>
      </c>
      <c r="AA56">
        <v>0</v>
      </c>
      <c r="AB56" s="3">
        <v>0.7</v>
      </c>
      <c r="AC56" s="2">
        <v>0</v>
      </c>
      <c r="AD56" s="3">
        <v>0</v>
      </c>
      <c r="AE56" s="2">
        <v>0</v>
      </c>
      <c r="AF56" s="2">
        <v>0</v>
      </c>
      <c r="AK56" s="4">
        <v>18501070</v>
      </c>
    </row>
    <row r="57" spans="1:37" x14ac:dyDescent="0.25">
      <c r="A57" s="1">
        <v>45772</v>
      </c>
      <c r="B57" s="1">
        <v>45768</v>
      </c>
      <c r="C57" t="s">
        <v>38</v>
      </c>
      <c r="D57" t="s">
        <v>39</v>
      </c>
      <c r="E57" t="s">
        <v>40</v>
      </c>
      <c r="F57">
        <v>649163</v>
      </c>
      <c r="G57">
        <v>20411454</v>
      </c>
      <c r="H57" t="s">
        <v>41</v>
      </c>
      <c r="I57">
        <v>2028498800</v>
      </c>
      <c r="J57" t="s">
        <v>117</v>
      </c>
      <c r="M57" t="s">
        <v>87</v>
      </c>
      <c r="O57">
        <v>823350</v>
      </c>
      <c r="P57" t="s">
        <v>55</v>
      </c>
      <c r="Q57" t="s">
        <v>45</v>
      </c>
      <c r="R57" t="s">
        <v>88</v>
      </c>
      <c r="S57" s="1">
        <v>45772</v>
      </c>
      <c r="U57" t="s">
        <v>47</v>
      </c>
      <c r="X57" t="s">
        <v>48</v>
      </c>
      <c r="Y57" s="2">
        <v>28.95</v>
      </c>
      <c r="Z57" s="2">
        <v>28.95</v>
      </c>
      <c r="AA57">
        <v>0</v>
      </c>
      <c r="AB57" s="3">
        <v>0.75</v>
      </c>
      <c r="AC57" s="2">
        <v>0</v>
      </c>
      <c r="AD57" s="3">
        <v>0</v>
      </c>
      <c r="AE57" s="2">
        <v>0</v>
      </c>
      <c r="AF57" s="2">
        <v>0</v>
      </c>
      <c r="AK57" s="4">
        <v>18509270</v>
      </c>
    </row>
    <row r="58" spans="1:37" x14ac:dyDescent="0.25">
      <c r="A58" s="1">
        <v>45772</v>
      </c>
      <c r="B58" s="1">
        <v>45768</v>
      </c>
      <c r="C58" t="s">
        <v>38</v>
      </c>
      <c r="D58" t="s">
        <v>39</v>
      </c>
      <c r="E58" t="s">
        <v>40</v>
      </c>
      <c r="F58">
        <v>649163</v>
      </c>
      <c r="G58">
        <v>20411454</v>
      </c>
      <c r="H58" t="s">
        <v>41</v>
      </c>
      <c r="I58">
        <v>2028498801</v>
      </c>
      <c r="J58" t="s">
        <v>117</v>
      </c>
      <c r="M58" t="s">
        <v>87</v>
      </c>
      <c r="O58">
        <v>823350</v>
      </c>
      <c r="P58" t="s">
        <v>55</v>
      </c>
      <c r="Q58" t="s">
        <v>45</v>
      </c>
      <c r="R58" t="s">
        <v>46</v>
      </c>
      <c r="S58" s="1">
        <v>45772</v>
      </c>
      <c r="U58" t="s">
        <v>47</v>
      </c>
      <c r="X58" t="s">
        <v>48</v>
      </c>
      <c r="Y58" s="2">
        <v>56.75</v>
      </c>
      <c r="Z58" s="2">
        <v>56.75</v>
      </c>
      <c r="AA58">
        <v>0</v>
      </c>
      <c r="AB58" s="3">
        <v>0.9</v>
      </c>
      <c r="AC58" s="2">
        <v>0</v>
      </c>
      <c r="AD58" s="3">
        <v>0</v>
      </c>
      <c r="AE58" s="2">
        <v>0</v>
      </c>
      <c r="AF58" s="2">
        <v>0</v>
      </c>
      <c r="AK58" s="4">
        <v>18518690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A74C-F60A-42C4-9C15-7BDDAC3FFFB2}">
  <dimension ref="A1:T30"/>
  <sheetViews>
    <sheetView tabSelected="1" topLeftCell="C1" workbookViewId="0">
      <selection activeCell="H29" sqref="H29"/>
    </sheetView>
  </sheetViews>
  <sheetFormatPr defaultRowHeight="15" x14ac:dyDescent="0.25"/>
  <cols>
    <col min="1" max="1" width="15.140625" bestFit="1" customWidth="1"/>
    <col min="2" max="2" width="14.140625" bestFit="1" customWidth="1"/>
    <col min="3" max="3" width="30.5703125" bestFit="1" customWidth="1"/>
    <col min="4" max="4" width="5.5703125" bestFit="1" customWidth="1"/>
    <col min="5" max="5" width="15.7109375" bestFit="1" customWidth="1"/>
    <col min="6" max="6" width="22.42578125" bestFit="1" customWidth="1"/>
    <col min="7" max="7" width="12.140625" bestFit="1" customWidth="1"/>
    <col min="8" max="8" width="43" bestFit="1" customWidth="1"/>
    <col min="9" max="9" width="10.140625" bestFit="1" customWidth="1"/>
    <col min="10" max="10" width="12.28515625" bestFit="1" customWidth="1"/>
    <col min="11" max="11" width="14.5703125" bestFit="1" customWidth="1"/>
    <col min="12" max="12" width="12" bestFit="1" customWidth="1"/>
    <col min="14" max="14" width="18.28515625" bestFit="1" customWidth="1"/>
    <col min="15" max="15" width="15.85546875" bestFit="1" customWidth="1"/>
    <col min="16" max="16" width="16.42578125" bestFit="1" customWidth="1"/>
    <col min="17" max="17" width="17.42578125" bestFit="1" customWidth="1"/>
    <col min="18" max="18" width="11.5703125" bestFit="1" customWidth="1"/>
    <col min="19" max="19" width="14.85546875" bestFit="1" customWidth="1"/>
    <col min="20" max="20" width="9.7109375" bestFit="1" customWidth="1"/>
  </cols>
  <sheetData>
    <row r="1" spans="1:20" x14ac:dyDescent="0.25">
      <c r="A1" t="s">
        <v>2</v>
      </c>
      <c r="B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23</v>
      </c>
      <c r="N1" t="s">
        <v>24</v>
      </c>
      <c r="O1" t="s">
        <v>25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</row>
    <row r="2" spans="1:20" x14ac:dyDescent="0.25">
      <c r="A2" t="s">
        <v>38</v>
      </c>
      <c r="B2">
        <v>2028402356</v>
      </c>
      <c r="C2" t="s">
        <v>63</v>
      </c>
      <c r="D2" t="s">
        <v>43</v>
      </c>
      <c r="E2" t="s">
        <v>123</v>
      </c>
      <c r="F2" t="s">
        <v>64</v>
      </c>
      <c r="G2" t="s">
        <v>45</v>
      </c>
      <c r="H2" t="s">
        <v>132</v>
      </c>
      <c r="I2" s="1">
        <v>45762</v>
      </c>
      <c r="K2" t="s">
        <v>47</v>
      </c>
      <c r="M2" t="s">
        <v>48</v>
      </c>
      <c r="N2" s="2">
        <v>59.51</v>
      </c>
      <c r="O2" s="2">
        <v>59.51</v>
      </c>
      <c r="P2" s="3">
        <v>0.375</v>
      </c>
      <c r="Q2" s="2">
        <f>SUM(O2*P2)</f>
        <v>22.31625</v>
      </c>
      <c r="R2" s="3">
        <v>0</v>
      </c>
      <c r="S2" s="2">
        <v>0</v>
      </c>
      <c r="T2" s="2">
        <v>0</v>
      </c>
    </row>
    <row r="3" spans="1:20" x14ac:dyDescent="0.25">
      <c r="A3" t="s">
        <v>38</v>
      </c>
      <c r="B3">
        <v>2028461683</v>
      </c>
      <c r="C3" t="s">
        <v>96</v>
      </c>
      <c r="D3" t="s">
        <v>94</v>
      </c>
      <c r="E3" t="s">
        <v>118</v>
      </c>
      <c r="F3" t="s">
        <v>97</v>
      </c>
      <c r="G3" t="s">
        <v>45</v>
      </c>
      <c r="H3" t="s">
        <v>132</v>
      </c>
      <c r="I3" s="1">
        <v>45778</v>
      </c>
      <c r="K3" t="s">
        <v>47</v>
      </c>
      <c r="M3" t="s">
        <v>48</v>
      </c>
      <c r="N3" s="2">
        <v>69.41</v>
      </c>
      <c r="O3" s="2">
        <v>69.41</v>
      </c>
      <c r="P3" s="3">
        <v>0.375</v>
      </c>
      <c r="Q3" s="2">
        <f>SUM(O3*P3)</f>
        <v>26.028749999999999</v>
      </c>
      <c r="R3" s="3">
        <v>0</v>
      </c>
      <c r="S3" s="2">
        <v>0</v>
      </c>
      <c r="T3" s="2">
        <v>0</v>
      </c>
    </row>
    <row r="4" spans="1:20" x14ac:dyDescent="0.25">
      <c r="A4" t="s">
        <v>38</v>
      </c>
      <c r="B4">
        <v>2028419377</v>
      </c>
      <c r="C4" t="s">
        <v>71</v>
      </c>
      <c r="D4" t="s">
        <v>43</v>
      </c>
      <c r="E4" t="s">
        <v>124</v>
      </c>
      <c r="F4" t="s">
        <v>72</v>
      </c>
      <c r="G4" t="s">
        <v>45</v>
      </c>
      <c r="H4" t="s">
        <v>132</v>
      </c>
      <c r="I4" s="1">
        <v>45767</v>
      </c>
      <c r="K4" t="s">
        <v>47</v>
      </c>
      <c r="M4" t="s">
        <v>48</v>
      </c>
      <c r="N4" s="2">
        <v>61.01</v>
      </c>
      <c r="O4" s="2">
        <v>61.01</v>
      </c>
      <c r="P4" s="3">
        <v>0.375</v>
      </c>
      <c r="Q4" s="2">
        <f>SUM(O4*P4)</f>
        <v>22.87875</v>
      </c>
      <c r="R4" s="3">
        <v>0</v>
      </c>
      <c r="S4" s="2">
        <v>0</v>
      </c>
      <c r="T4" s="2">
        <v>0</v>
      </c>
    </row>
    <row r="5" spans="1:20" x14ac:dyDescent="0.25">
      <c r="A5" t="s">
        <v>38</v>
      </c>
      <c r="B5">
        <v>2028449562</v>
      </c>
      <c r="C5" t="s">
        <v>90</v>
      </c>
      <c r="D5" t="s">
        <v>43</v>
      </c>
      <c r="E5" t="s">
        <v>119</v>
      </c>
      <c r="F5" t="s">
        <v>91</v>
      </c>
      <c r="G5" t="s">
        <v>45</v>
      </c>
      <c r="H5" t="s">
        <v>132</v>
      </c>
      <c r="I5" s="1">
        <v>45778</v>
      </c>
      <c r="K5" t="s">
        <v>47</v>
      </c>
      <c r="M5" t="s">
        <v>48</v>
      </c>
      <c r="N5" s="2">
        <v>19.14</v>
      </c>
      <c r="O5" s="2">
        <v>19.14</v>
      </c>
      <c r="P5" s="3">
        <v>0.375</v>
      </c>
      <c r="Q5" s="2">
        <f>SUM(O5*P5)</f>
        <v>7.1775000000000002</v>
      </c>
      <c r="R5" s="3">
        <v>0</v>
      </c>
      <c r="S5" s="2">
        <v>0</v>
      </c>
      <c r="T5" s="2">
        <v>0</v>
      </c>
    </row>
    <row r="6" spans="1:20" x14ac:dyDescent="0.25">
      <c r="A6" t="s">
        <v>38</v>
      </c>
      <c r="B6">
        <v>2028466946</v>
      </c>
      <c r="C6" t="s">
        <v>100</v>
      </c>
      <c r="D6" t="s">
        <v>101</v>
      </c>
      <c r="E6" t="s">
        <v>120</v>
      </c>
      <c r="F6" t="s">
        <v>102</v>
      </c>
      <c r="G6" t="s">
        <v>45</v>
      </c>
      <c r="H6" t="s">
        <v>132</v>
      </c>
      <c r="I6" s="1">
        <v>45767</v>
      </c>
      <c r="K6" t="s">
        <v>47</v>
      </c>
      <c r="M6" t="s">
        <v>48</v>
      </c>
      <c r="N6" s="2">
        <v>38.74</v>
      </c>
      <c r="O6" s="2">
        <v>38.74</v>
      </c>
      <c r="P6" s="3">
        <v>0.375</v>
      </c>
      <c r="Q6" s="2">
        <f>SUM(O6*P6)</f>
        <v>14.5275</v>
      </c>
      <c r="R6" s="3">
        <v>0</v>
      </c>
      <c r="S6" s="2">
        <v>0</v>
      </c>
      <c r="T6" s="2">
        <v>0</v>
      </c>
    </row>
    <row r="7" spans="1:20" x14ac:dyDescent="0.25">
      <c r="A7" t="s">
        <v>38</v>
      </c>
      <c r="B7">
        <v>2028320247</v>
      </c>
      <c r="C7" t="s">
        <v>54</v>
      </c>
      <c r="D7" t="s">
        <v>50</v>
      </c>
      <c r="E7" t="s">
        <v>129</v>
      </c>
      <c r="F7" t="s">
        <v>55</v>
      </c>
      <c r="G7" t="s">
        <v>45</v>
      </c>
      <c r="H7" t="s">
        <v>132</v>
      </c>
      <c r="I7" s="1">
        <v>45772</v>
      </c>
      <c r="K7" t="s">
        <v>47</v>
      </c>
      <c r="M7" t="s">
        <v>48</v>
      </c>
      <c r="N7" s="2">
        <v>66.5</v>
      </c>
      <c r="O7" s="2">
        <v>66.5</v>
      </c>
      <c r="P7" s="3">
        <v>0.375</v>
      </c>
      <c r="Q7" s="2">
        <f>SUM(O7*P7)</f>
        <v>24.9375</v>
      </c>
      <c r="R7" s="3">
        <v>0</v>
      </c>
      <c r="S7" s="2">
        <v>0</v>
      </c>
      <c r="T7" s="2">
        <v>0</v>
      </c>
    </row>
    <row r="8" spans="1:20" x14ac:dyDescent="0.25">
      <c r="A8" t="s">
        <v>38</v>
      </c>
      <c r="B8">
        <v>2028498798</v>
      </c>
      <c r="C8" t="s">
        <v>117</v>
      </c>
      <c r="D8" t="s">
        <v>87</v>
      </c>
      <c r="E8" t="s">
        <v>129</v>
      </c>
      <c r="F8" t="s">
        <v>55</v>
      </c>
      <c r="G8" t="s">
        <v>45</v>
      </c>
      <c r="H8" t="s">
        <v>132</v>
      </c>
      <c r="I8" s="1">
        <v>45772</v>
      </c>
      <c r="K8" t="s">
        <v>47</v>
      </c>
      <c r="M8" t="s">
        <v>48</v>
      </c>
      <c r="N8" s="2">
        <v>58.15</v>
      </c>
      <c r="O8" s="2">
        <v>58.15</v>
      </c>
      <c r="P8" s="3">
        <v>0.375</v>
      </c>
      <c r="Q8" s="2">
        <f>SUM(O8*P8)</f>
        <v>21.806249999999999</v>
      </c>
      <c r="R8" s="3">
        <v>0</v>
      </c>
      <c r="S8" s="2">
        <v>0</v>
      </c>
      <c r="T8" s="2">
        <v>0</v>
      </c>
    </row>
    <row r="9" spans="1:20" x14ac:dyDescent="0.25">
      <c r="A9" t="s">
        <v>38</v>
      </c>
      <c r="B9">
        <v>2028459881</v>
      </c>
      <c r="C9" t="s">
        <v>93</v>
      </c>
      <c r="D9" t="s">
        <v>94</v>
      </c>
      <c r="E9" t="s">
        <v>130</v>
      </c>
      <c r="F9" t="s">
        <v>95</v>
      </c>
      <c r="G9" t="s">
        <v>45</v>
      </c>
      <c r="H9" t="s">
        <v>132</v>
      </c>
      <c r="I9" s="1">
        <v>45765</v>
      </c>
      <c r="K9" t="s">
        <v>47</v>
      </c>
      <c r="M9" t="s">
        <v>48</v>
      </c>
      <c r="N9" s="2">
        <v>31.93</v>
      </c>
      <c r="O9" s="2">
        <v>31.93</v>
      </c>
      <c r="P9" s="3">
        <v>0.375</v>
      </c>
      <c r="Q9" s="2">
        <f>SUM(O9*P9)</f>
        <v>11.973749999999999</v>
      </c>
      <c r="R9" s="3">
        <v>0</v>
      </c>
      <c r="S9" s="2">
        <v>0</v>
      </c>
      <c r="T9" s="2">
        <v>0</v>
      </c>
    </row>
    <row r="10" spans="1:20" x14ac:dyDescent="0.25">
      <c r="A10" t="s">
        <v>38</v>
      </c>
      <c r="B10">
        <v>2028465554</v>
      </c>
      <c r="C10" t="s">
        <v>98</v>
      </c>
      <c r="D10" t="s">
        <v>43</v>
      </c>
      <c r="E10" t="s">
        <v>131</v>
      </c>
      <c r="F10" t="s">
        <v>99</v>
      </c>
      <c r="G10" t="s">
        <v>45</v>
      </c>
      <c r="H10" t="s">
        <v>132</v>
      </c>
      <c r="I10" s="1">
        <v>45778</v>
      </c>
      <c r="K10" t="s">
        <v>47</v>
      </c>
      <c r="M10" t="s">
        <v>48</v>
      </c>
      <c r="N10" s="2">
        <v>57.19</v>
      </c>
      <c r="O10" s="2">
        <v>57.19</v>
      </c>
      <c r="P10" s="3">
        <v>0.375</v>
      </c>
      <c r="Q10" s="2">
        <f>SUM(O10*P10)</f>
        <v>21.446249999999999</v>
      </c>
      <c r="R10" s="3">
        <v>0</v>
      </c>
      <c r="S10" s="2">
        <v>0</v>
      </c>
      <c r="T10" s="2">
        <v>0</v>
      </c>
    </row>
    <row r="11" spans="1:20" x14ac:dyDescent="0.25">
      <c r="A11" t="s">
        <v>38</v>
      </c>
      <c r="B11">
        <v>2028466945</v>
      </c>
      <c r="C11" t="s">
        <v>100</v>
      </c>
      <c r="D11" t="s">
        <v>101</v>
      </c>
      <c r="E11" t="s">
        <v>120</v>
      </c>
      <c r="F11" t="s">
        <v>102</v>
      </c>
      <c r="G11" t="s">
        <v>45</v>
      </c>
      <c r="H11" t="s">
        <v>133</v>
      </c>
      <c r="I11" s="1">
        <v>45767</v>
      </c>
      <c r="K11" t="s">
        <v>47</v>
      </c>
      <c r="M11" t="s">
        <v>48</v>
      </c>
      <c r="N11" s="2">
        <v>19.39</v>
      </c>
      <c r="O11" s="2">
        <v>19.39</v>
      </c>
      <c r="P11" s="3">
        <v>0.38</v>
      </c>
      <c r="Q11" s="2">
        <f>SUM(O11*P11)</f>
        <v>7.3681999999999999</v>
      </c>
      <c r="R11" s="3">
        <v>0</v>
      </c>
      <c r="S11" s="2">
        <v>0</v>
      </c>
      <c r="T11" s="2">
        <v>0</v>
      </c>
    </row>
    <row r="12" spans="1:20" x14ac:dyDescent="0.25">
      <c r="A12" t="s">
        <v>38</v>
      </c>
      <c r="B12">
        <v>2028320246</v>
      </c>
      <c r="C12" t="s">
        <v>54</v>
      </c>
      <c r="D12" t="s">
        <v>50</v>
      </c>
      <c r="E12" t="s">
        <v>129</v>
      </c>
      <c r="F12" t="s">
        <v>55</v>
      </c>
      <c r="G12" t="s">
        <v>45</v>
      </c>
      <c r="H12" t="s">
        <v>134</v>
      </c>
      <c r="I12" s="1">
        <v>45772</v>
      </c>
      <c r="K12" t="s">
        <v>47</v>
      </c>
      <c r="M12" t="s">
        <v>48</v>
      </c>
      <c r="N12" s="2">
        <v>68.52</v>
      </c>
      <c r="O12" s="2">
        <v>68.52</v>
      </c>
      <c r="P12" s="3">
        <v>0.6</v>
      </c>
      <c r="Q12" s="2">
        <f>SUM(O12*P12)</f>
        <v>41.111999999999995</v>
      </c>
      <c r="R12" s="3">
        <v>0</v>
      </c>
      <c r="S12" s="2">
        <v>0</v>
      </c>
      <c r="T12" s="2">
        <v>0</v>
      </c>
    </row>
    <row r="13" spans="1:20" x14ac:dyDescent="0.25">
      <c r="A13" t="s">
        <v>38</v>
      </c>
      <c r="B13">
        <v>2028402355</v>
      </c>
      <c r="C13" t="s">
        <v>63</v>
      </c>
      <c r="D13" t="s">
        <v>43</v>
      </c>
      <c r="E13" t="s">
        <v>123</v>
      </c>
      <c r="F13" t="s">
        <v>64</v>
      </c>
      <c r="G13" t="s">
        <v>45</v>
      </c>
      <c r="H13" t="s">
        <v>135</v>
      </c>
      <c r="I13" s="1">
        <v>45762</v>
      </c>
      <c r="K13" t="s">
        <v>47</v>
      </c>
      <c r="M13" t="s">
        <v>48</v>
      </c>
      <c r="N13" s="2">
        <v>105.02</v>
      </c>
      <c r="O13" s="2">
        <v>105.02</v>
      </c>
      <c r="P13" s="3">
        <v>0.7</v>
      </c>
      <c r="Q13" s="2">
        <f>SUM(O13*P13)</f>
        <v>73.513999999999996</v>
      </c>
      <c r="R13" s="3">
        <v>0</v>
      </c>
      <c r="S13" s="2">
        <v>0</v>
      </c>
      <c r="T13" s="2">
        <v>0</v>
      </c>
    </row>
    <row r="14" spans="1:20" x14ac:dyDescent="0.25">
      <c r="A14" t="s">
        <v>38</v>
      </c>
      <c r="B14">
        <v>2028461684</v>
      </c>
      <c r="C14" t="s">
        <v>96</v>
      </c>
      <c r="D14" t="s">
        <v>94</v>
      </c>
      <c r="E14" t="s">
        <v>118</v>
      </c>
      <c r="F14" t="s">
        <v>97</v>
      </c>
      <c r="G14" t="s">
        <v>45</v>
      </c>
      <c r="H14" t="s">
        <v>135</v>
      </c>
      <c r="I14" s="1">
        <v>45778</v>
      </c>
      <c r="K14" t="s">
        <v>47</v>
      </c>
      <c r="M14" t="s">
        <v>48</v>
      </c>
      <c r="N14" s="2">
        <v>59.94</v>
      </c>
      <c r="O14" s="2">
        <v>59.94</v>
      </c>
      <c r="P14" s="3">
        <v>0.7</v>
      </c>
      <c r="Q14" s="2">
        <f>SUM(O14*P14)</f>
        <v>41.957999999999998</v>
      </c>
      <c r="R14" s="3">
        <v>0</v>
      </c>
      <c r="S14" s="2">
        <v>0</v>
      </c>
      <c r="T14" s="2">
        <v>0</v>
      </c>
    </row>
    <row r="15" spans="1:20" x14ac:dyDescent="0.25">
      <c r="A15" t="s">
        <v>38</v>
      </c>
      <c r="B15">
        <v>2028449561</v>
      </c>
      <c r="C15" t="s">
        <v>90</v>
      </c>
      <c r="D15" t="s">
        <v>43</v>
      </c>
      <c r="E15" t="s">
        <v>119</v>
      </c>
      <c r="F15" t="s">
        <v>91</v>
      </c>
      <c r="G15" t="s">
        <v>45</v>
      </c>
      <c r="H15" t="s">
        <v>135</v>
      </c>
      <c r="I15" s="1">
        <v>45778</v>
      </c>
      <c r="K15" t="s">
        <v>47</v>
      </c>
      <c r="M15" t="s">
        <v>48</v>
      </c>
      <c r="N15" s="2">
        <v>26.5</v>
      </c>
      <c r="O15" s="2">
        <v>26.5</v>
      </c>
      <c r="P15" s="3">
        <v>0.7</v>
      </c>
      <c r="Q15" s="2">
        <f>SUM(O15*P15)</f>
        <v>18.549999999999997</v>
      </c>
      <c r="R15" s="3">
        <v>0</v>
      </c>
      <c r="S15" s="2">
        <v>0</v>
      </c>
      <c r="T15" s="2">
        <v>0</v>
      </c>
    </row>
    <row r="16" spans="1:20" x14ac:dyDescent="0.25">
      <c r="A16" t="s">
        <v>38</v>
      </c>
      <c r="B16">
        <v>2028470693</v>
      </c>
      <c r="C16" t="s">
        <v>108</v>
      </c>
      <c r="D16" t="s">
        <v>94</v>
      </c>
      <c r="E16" t="s">
        <v>125</v>
      </c>
      <c r="F16" t="s">
        <v>109</v>
      </c>
      <c r="G16" t="s">
        <v>45</v>
      </c>
      <c r="H16" t="s">
        <v>135</v>
      </c>
      <c r="I16" s="1">
        <v>45765</v>
      </c>
      <c r="K16" t="s">
        <v>47</v>
      </c>
      <c r="M16" t="s">
        <v>48</v>
      </c>
      <c r="N16" s="2">
        <v>159.16999999999999</v>
      </c>
      <c r="O16" s="2">
        <v>159.16999999999999</v>
      </c>
      <c r="P16" s="3">
        <v>0.7</v>
      </c>
      <c r="Q16" s="2">
        <f>SUM(O16*P16)</f>
        <v>111.41899999999998</v>
      </c>
      <c r="R16" s="3">
        <v>0</v>
      </c>
      <c r="S16" s="2">
        <v>0</v>
      </c>
      <c r="T16" s="2">
        <v>0</v>
      </c>
    </row>
    <row r="17" spans="1:20" x14ac:dyDescent="0.25">
      <c r="A17" t="s">
        <v>38</v>
      </c>
      <c r="B17">
        <v>2028471502</v>
      </c>
      <c r="C17" t="s">
        <v>110</v>
      </c>
      <c r="D17" t="s">
        <v>94</v>
      </c>
      <c r="E17" t="s">
        <v>125</v>
      </c>
      <c r="F17" t="s">
        <v>109</v>
      </c>
      <c r="G17" t="s">
        <v>45</v>
      </c>
      <c r="H17" t="s">
        <v>135</v>
      </c>
      <c r="I17" s="1">
        <v>45765</v>
      </c>
      <c r="K17" t="s">
        <v>47</v>
      </c>
      <c r="M17" t="s">
        <v>48</v>
      </c>
      <c r="N17" s="2">
        <v>41.98</v>
      </c>
      <c r="O17" s="2">
        <v>41.98</v>
      </c>
      <c r="P17" s="3">
        <v>0.7</v>
      </c>
      <c r="Q17" s="2">
        <f>SUM(O17*P17)</f>
        <v>29.385999999999996</v>
      </c>
      <c r="R17" s="3">
        <v>0</v>
      </c>
      <c r="S17" s="2">
        <v>0</v>
      </c>
      <c r="T17" s="2">
        <v>0</v>
      </c>
    </row>
    <row r="18" spans="1:20" x14ac:dyDescent="0.25">
      <c r="A18" t="s">
        <v>38</v>
      </c>
      <c r="B18">
        <v>2028471687</v>
      </c>
      <c r="C18" t="s">
        <v>111</v>
      </c>
      <c r="D18" t="s">
        <v>43</v>
      </c>
      <c r="E18" t="s">
        <v>126</v>
      </c>
      <c r="F18" t="s">
        <v>111</v>
      </c>
      <c r="G18" t="s">
        <v>45</v>
      </c>
      <c r="H18" t="s">
        <v>135</v>
      </c>
      <c r="I18" s="1">
        <v>45765</v>
      </c>
      <c r="K18" t="s">
        <v>47</v>
      </c>
      <c r="M18" t="s">
        <v>48</v>
      </c>
      <c r="N18" s="2">
        <v>51</v>
      </c>
      <c r="O18" s="2">
        <v>51</v>
      </c>
      <c r="P18" s="3">
        <v>0.7</v>
      </c>
      <c r="Q18" s="2">
        <f>SUM(O18*P18)</f>
        <v>35.699999999999996</v>
      </c>
      <c r="R18" s="3">
        <v>0</v>
      </c>
      <c r="S18" s="2">
        <v>0</v>
      </c>
      <c r="T18" s="2">
        <v>0</v>
      </c>
    </row>
    <row r="19" spans="1:20" x14ac:dyDescent="0.25">
      <c r="A19" t="s">
        <v>38</v>
      </c>
      <c r="B19">
        <v>2028466944</v>
      </c>
      <c r="C19" t="s">
        <v>100</v>
      </c>
      <c r="D19" t="s">
        <v>101</v>
      </c>
      <c r="E19" t="s">
        <v>120</v>
      </c>
      <c r="F19" t="s">
        <v>102</v>
      </c>
      <c r="G19" t="s">
        <v>45</v>
      </c>
      <c r="H19" t="s">
        <v>135</v>
      </c>
      <c r="I19" s="1">
        <v>45767</v>
      </c>
      <c r="K19" t="s">
        <v>47</v>
      </c>
      <c r="M19" t="s">
        <v>48</v>
      </c>
      <c r="N19" s="2">
        <v>9.6999999999999993</v>
      </c>
      <c r="O19" s="2">
        <v>9.6999999999999993</v>
      </c>
      <c r="P19" s="3">
        <v>0.7</v>
      </c>
      <c r="Q19" s="2">
        <f>SUM(O19*P19)</f>
        <v>6.7899999999999991</v>
      </c>
      <c r="R19" s="3">
        <v>0</v>
      </c>
      <c r="S19" s="2">
        <v>0</v>
      </c>
      <c r="T19" s="2">
        <v>0</v>
      </c>
    </row>
    <row r="20" spans="1:20" x14ac:dyDescent="0.25">
      <c r="A20" t="s">
        <v>38</v>
      </c>
      <c r="B20">
        <v>2028447272</v>
      </c>
      <c r="C20" t="s">
        <v>84</v>
      </c>
      <c r="D20" t="s">
        <v>43</v>
      </c>
      <c r="E20" t="s">
        <v>128</v>
      </c>
      <c r="F20" t="s">
        <v>85</v>
      </c>
      <c r="G20" t="s">
        <v>45</v>
      </c>
      <c r="H20" t="s">
        <v>135</v>
      </c>
      <c r="I20" s="1">
        <v>45778</v>
      </c>
      <c r="K20" t="s">
        <v>47</v>
      </c>
      <c r="M20" t="s">
        <v>48</v>
      </c>
      <c r="N20" s="2">
        <v>26.5</v>
      </c>
      <c r="O20" s="2">
        <v>26.5</v>
      </c>
      <c r="P20" s="3">
        <v>0.7</v>
      </c>
      <c r="Q20" s="2">
        <f>SUM(O20*P20)</f>
        <v>18.549999999999997</v>
      </c>
      <c r="R20" s="3">
        <v>0</v>
      </c>
      <c r="S20" s="2">
        <v>0</v>
      </c>
      <c r="T20" s="2">
        <v>0</v>
      </c>
    </row>
    <row r="21" spans="1:20" x14ac:dyDescent="0.25">
      <c r="A21" t="s">
        <v>38</v>
      </c>
      <c r="B21">
        <v>2028469591</v>
      </c>
      <c r="C21" t="s">
        <v>106</v>
      </c>
      <c r="D21" t="s">
        <v>43</v>
      </c>
      <c r="E21" t="s">
        <v>122</v>
      </c>
      <c r="F21" t="s">
        <v>107</v>
      </c>
      <c r="G21" t="s">
        <v>45</v>
      </c>
      <c r="H21" t="s">
        <v>135</v>
      </c>
      <c r="I21" s="1">
        <v>45765</v>
      </c>
      <c r="K21" t="s">
        <v>47</v>
      </c>
      <c r="M21" t="s">
        <v>48</v>
      </c>
      <c r="N21" s="2">
        <v>56.5</v>
      </c>
      <c r="O21" s="2">
        <v>56.5</v>
      </c>
      <c r="P21" s="3">
        <v>0.7</v>
      </c>
      <c r="Q21" s="2">
        <f>SUM(O21*P21)</f>
        <v>39.549999999999997</v>
      </c>
      <c r="R21" s="3">
        <v>0</v>
      </c>
      <c r="S21" s="2">
        <v>0</v>
      </c>
      <c r="T21" s="2">
        <v>0</v>
      </c>
    </row>
    <row r="22" spans="1:20" x14ac:dyDescent="0.25">
      <c r="A22" t="s">
        <v>38</v>
      </c>
      <c r="B22">
        <v>2028498799</v>
      </c>
      <c r="C22" t="s">
        <v>117</v>
      </c>
      <c r="D22" t="s">
        <v>87</v>
      </c>
      <c r="E22" t="s">
        <v>129</v>
      </c>
      <c r="F22" t="s">
        <v>55</v>
      </c>
      <c r="G22" t="s">
        <v>45</v>
      </c>
      <c r="H22" t="s">
        <v>135</v>
      </c>
      <c r="I22" s="1">
        <v>45772</v>
      </c>
      <c r="K22" t="s">
        <v>47</v>
      </c>
      <c r="M22" t="s">
        <v>48</v>
      </c>
      <c r="N22" s="2">
        <v>30.58</v>
      </c>
      <c r="O22" s="2">
        <v>30.58</v>
      </c>
      <c r="P22" s="3">
        <v>0.7</v>
      </c>
      <c r="Q22" s="2">
        <f>SUM(O22*P22)</f>
        <v>21.405999999999999</v>
      </c>
      <c r="R22" s="3">
        <v>0</v>
      </c>
      <c r="S22" s="2">
        <v>0</v>
      </c>
      <c r="T22" s="2">
        <v>0</v>
      </c>
    </row>
    <row r="23" spans="1:20" x14ac:dyDescent="0.25">
      <c r="A23" t="s">
        <v>38</v>
      </c>
      <c r="B23">
        <v>2028465555</v>
      </c>
      <c r="C23" t="s">
        <v>98</v>
      </c>
      <c r="D23" t="s">
        <v>43</v>
      </c>
      <c r="E23" t="s">
        <v>131</v>
      </c>
      <c r="F23" t="s">
        <v>99</v>
      </c>
      <c r="G23" t="s">
        <v>45</v>
      </c>
      <c r="H23" t="s">
        <v>135</v>
      </c>
      <c r="I23" s="1">
        <v>45778</v>
      </c>
      <c r="K23" t="s">
        <v>47</v>
      </c>
      <c r="M23" t="s">
        <v>48</v>
      </c>
      <c r="N23" s="2">
        <v>74.58</v>
      </c>
      <c r="O23" s="2">
        <v>74.58</v>
      </c>
      <c r="P23" s="3">
        <v>0.7</v>
      </c>
      <c r="Q23" s="2">
        <f>SUM(O23*P23)</f>
        <v>52.205999999999996</v>
      </c>
      <c r="R23" s="3">
        <v>0</v>
      </c>
      <c r="S23" s="2">
        <v>0</v>
      </c>
      <c r="T23" s="2">
        <v>0</v>
      </c>
    </row>
    <row r="24" spans="1:20" x14ac:dyDescent="0.25">
      <c r="A24" t="s">
        <v>38</v>
      </c>
      <c r="B24">
        <v>2028470694</v>
      </c>
      <c r="C24" t="s">
        <v>108</v>
      </c>
      <c r="D24" t="s">
        <v>94</v>
      </c>
      <c r="E24" t="s">
        <v>125</v>
      </c>
      <c r="F24" t="s">
        <v>109</v>
      </c>
      <c r="G24" t="s">
        <v>45</v>
      </c>
      <c r="H24" t="s">
        <v>136</v>
      </c>
      <c r="I24" s="1">
        <v>45765</v>
      </c>
      <c r="K24" t="s">
        <v>47</v>
      </c>
      <c r="M24" t="s">
        <v>48</v>
      </c>
      <c r="N24" s="2">
        <v>60.28</v>
      </c>
      <c r="O24" s="2">
        <v>60.28</v>
      </c>
      <c r="P24" s="3">
        <v>0.75</v>
      </c>
      <c r="Q24" s="2">
        <f>SUM(O24*P24)</f>
        <v>45.21</v>
      </c>
      <c r="R24" s="3">
        <v>0</v>
      </c>
      <c r="S24" s="2">
        <v>0</v>
      </c>
      <c r="T24" s="2">
        <v>0</v>
      </c>
    </row>
    <row r="25" spans="1:20" x14ac:dyDescent="0.25">
      <c r="A25" t="s">
        <v>38</v>
      </c>
      <c r="B25">
        <v>2028498800</v>
      </c>
      <c r="C25" t="s">
        <v>117</v>
      </c>
      <c r="D25" t="s">
        <v>87</v>
      </c>
      <c r="E25" t="s">
        <v>129</v>
      </c>
      <c r="F25" t="s">
        <v>55</v>
      </c>
      <c r="G25" t="s">
        <v>45</v>
      </c>
      <c r="H25" t="s">
        <v>136</v>
      </c>
      <c r="I25" s="1">
        <v>45772</v>
      </c>
      <c r="K25" t="s">
        <v>47</v>
      </c>
      <c r="M25" t="s">
        <v>48</v>
      </c>
      <c r="N25" s="2">
        <v>28.95</v>
      </c>
      <c r="O25" s="2">
        <v>28.95</v>
      </c>
      <c r="P25" s="3">
        <v>0.75</v>
      </c>
      <c r="Q25" s="2">
        <f>SUM(O25*P25)</f>
        <v>21.712499999999999</v>
      </c>
      <c r="R25" s="3">
        <v>0</v>
      </c>
      <c r="S25" s="2">
        <v>0</v>
      </c>
      <c r="T25" s="2">
        <v>0</v>
      </c>
    </row>
    <row r="26" spans="1:20" x14ac:dyDescent="0.25">
      <c r="A26" t="s">
        <v>38</v>
      </c>
      <c r="B26">
        <v>2028465556</v>
      </c>
      <c r="C26" t="s">
        <v>98</v>
      </c>
      <c r="D26" t="s">
        <v>43</v>
      </c>
      <c r="E26" t="s">
        <v>131</v>
      </c>
      <c r="F26" t="s">
        <v>99</v>
      </c>
      <c r="G26" t="s">
        <v>45</v>
      </c>
      <c r="H26" t="s">
        <v>136</v>
      </c>
      <c r="I26" s="1">
        <v>45778</v>
      </c>
      <c r="K26" t="s">
        <v>47</v>
      </c>
      <c r="M26" t="s">
        <v>48</v>
      </c>
      <c r="N26" s="2">
        <v>70.650000000000006</v>
      </c>
      <c r="O26" s="2">
        <v>70.650000000000006</v>
      </c>
      <c r="P26" s="3">
        <v>0.75</v>
      </c>
      <c r="Q26" s="2">
        <f>SUM(O26*P26)</f>
        <v>52.987500000000004</v>
      </c>
      <c r="R26" s="3">
        <v>0</v>
      </c>
      <c r="S26" s="2">
        <v>0</v>
      </c>
      <c r="T26" s="2">
        <v>0</v>
      </c>
    </row>
    <row r="27" spans="1:20" x14ac:dyDescent="0.25">
      <c r="A27" t="s">
        <v>38</v>
      </c>
      <c r="B27">
        <v>2028466943</v>
      </c>
      <c r="C27" t="s">
        <v>100</v>
      </c>
      <c r="D27" t="s">
        <v>101</v>
      </c>
      <c r="E27" t="s">
        <v>120</v>
      </c>
      <c r="F27" t="s">
        <v>102</v>
      </c>
      <c r="G27" t="s">
        <v>45</v>
      </c>
      <c r="H27" t="s">
        <v>137</v>
      </c>
      <c r="I27" s="1">
        <v>45767</v>
      </c>
      <c r="K27" t="s">
        <v>47</v>
      </c>
      <c r="M27" t="s">
        <v>48</v>
      </c>
      <c r="N27" s="2">
        <v>31.08</v>
      </c>
      <c r="O27" s="2">
        <v>31.08</v>
      </c>
      <c r="P27" s="3">
        <v>0.9</v>
      </c>
      <c r="Q27" s="2">
        <f>SUM(O27*P27)</f>
        <v>27.971999999999998</v>
      </c>
      <c r="R27" s="3">
        <v>0</v>
      </c>
      <c r="S27" s="2">
        <v>0</v>
      </c>
      <c r="T27" s="2">
        <v>0</v>
      </c>
    </row>
    <row r="28" spans="1:20" x14ac:dyDescent="0.25">
      <c r="A28" t="s">
        <v>38</v>
      </c>
      <c r="B28">
        <v>2028196994</v>
      </c>
      <c r="C28" t="s">
        <v>42</v>
      </c>
      <c r="D28" t="s">
        <v>43</v>
      </c>
      <c r="E28" t="s">
        <v>121</v>
      </c>
      <c r="F28" t="s">
        <v>44</v>
      </c>
      <c r="G28" t="s">
        <v>45</v>
      </c>
      <c r="H28" t="s">
        <v>138</v>
      </c>
      <c r="I28" s="1">
        <v>45778</v>
      </c>
      <c r="K28" t="s">
        <v>47</v>
      </c>
      <c r="M28" t="s">
        <v>48</v>
      </c>
      <c r="N28" s="2">
        <v>28.33</v>
      </c>
      <c r="O28" s="2">
        <v>28.33</v>
      </c>
      <c r="P28" s="3">
        <v>0.9</v>
      </c>
      <c r="Q28" s="2">
        <f>SUM(O28*P28)</f>
        <v>25.497</v>
      </c>
      <c r="R28" s="3">
        <v>0</v>
      </c>
      <c r="S28" s="2">
        <v>0</v>
      </c>
      <c r="T28" s="2">
        <v>0</v>
      </c>
    </row>
    <row r="29" spans="1:20" x14ac:dyDescent="0.25">
      <c r="A29" t="s">
        <v>38</v>
      </c>
      <c r="B29">
        <v>2028498801</v>
      </c>
      <c r="C29" t="s">
        <v>117</v>
      </c>
      <c r="D29" t="s">
        <v>87</v>
      </c>
      <c r="E29" t="s">
        <v>129</v>
      </c>
      <c r="F29" t="s">
        <v>55</v>
      </c>
      <c r="G29" t="s">
        <v>45</v>
      </c>
      <c r="H29" t="s">
        <v>138</v>
      </c>
      <c r="I29" s="1">
        <v>45772</v>
      </c>
      <c r="K29" t="s">
        <v>47</v>
      </c>
      <c r="M29" t="s">
        <v>48</v>
      </c>
      <c r="N29" s="2">
        <v>56.75</v>
      </c>
      <c r="O29" s="2">
        <v>56.75</v>
      </c>
      <c r="P29" s="3">
        <v>0.9</v>
      </c>
      <c r="Q29" s="2">
        <f>SUM(O29*P29)</f>
        <v>51.075000000000003</v>
      </c>
      <c r="R29" s="3">
        <v>0</v>
      </c>
      <c r="S29" s="2">
        <v>0</v>
      </c>
      <c r="T29" s="2">
        <v>0</v>
      </c>
    </row>
    <row r="30" spans="1:20" x14ac:dyDescent="0.25">
      <c r="A30" t="s">
        <v>38</v>
      </c>
      <c r="B30">
        <v>2028404337</v>
      </c>
      <c r="C30" t="s">
        <v>67</v>
      </c>
      <c r="D30" t="s">
        <v>43</v>
      </c>
      <c r="E30" t="s">
        <v>127</v>
      </c>
      <c r="F30" t="s">
        <v>68</v>
      </c>
      <c r="G30" t="s">
        <v>45</v>
      </c>
      <c r="H30" t="s">
        <v>139</v>
      </c>
      <c r="I30" s="1">
        <v>45762</v>
      </c>
      <c r="K30" t="s">
        <v>47</v>
      </c>
      <c r="M30" t="s">
        <v>70</v>
      </c>
      <c r="N30" s="2">
        <v>171.73</v>
      </c>
      <c r="O30" s="2">
        <v>171.73</v>
      </c>
      <c r="P30" s="3">
        <v>1.3</v>
      </c>
      <c r="Q30" s="2">
        <f>SUM(O30*P30)</f>
        <v>223.249</v>
      </c>
      <c r="R30" s="3">
        <v>0</v>
      </c>
      <c r="S30" s="2">
        <v>0</v>
      </c>
      <c r="T30" s="2">
        <v>0</v>
      </c>
    </row>
  </sheetData>
  <sortState xmlns:xlrd2="http://schemas.microsoft.com/office/spreadsheetml/2017/richdata2" ref="A2:T30">
    <sortCondition ref="P2:P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2025-04-28T13:13:19Z</dcterms:created>
  <dcterms:modified xsi:type="dcterms:W3CDTF">2025-04-29T17:33:10Z</dcterms:modified>
</cp:coreProperties>
</file>