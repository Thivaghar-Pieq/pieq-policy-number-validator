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NB\07-07-25\"/>
    </mc:Choice>
  </mc:AlternateContent>
  <xr:revisionPtr revIDLastSave="0" documentId="13_ncr:1_{36D13310-1CE3-430E-A00C-8D08E0A845B3}" xr6:coauthVersionLast="47" xr6:coauthVersionMax="47" xr10:uidLastSave="{00000000-0000-0000-0000-000000000000}"/>
  <bookViews>
    <workbookView xWindow="-57720" yWindow="-45" windowWidth="29040" windowHeight="15720" xr2:uid="{8A5CA2CF-1996-4F4E-8817-D47F45300318}"/>
  </bookViews>
  <sheets>
    <sheet name="Sheet1" sheetId="1" r:id="rId1"/>
  </sheets>
  <definedNames>
    <definedName name="_xlnm._FilterDatabase" localSheetId="0" hidden="1">Sheet1!$A$1:$AL$14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6" i="1" l="1"/>
  <c r="AG11" i="1"/>
  <c r="AG7" i="1"/>
  <c r="AG2" i="1"/>
  <c r="AG8" i="1"/>
  <c r="AG4" i="1"/>
  <c r="AG14" i="1"/>
  <c r="AG3" i="1"/>
  <c r="AG12" i="1"/>
  <c r="AG13" i="1"/>
  <c r="AG9" i="1"/>
  <c r="AG5" i="1"/>
  <c r="AG10" i="1"/>
</calcChain>
</file>

<file path=xl/sharedStrings.xml><?xml version="1.0" encoding="utf-8"?>
<sst xmlns="http://schemas.openxmlformats.org/spreadsheetml/2006/main" count="194" uniqueCount="62">
  <si>
    <t>NB</t>
  </si>
  <si>
    <t>NGIS</t>
  </si>
  <si>
    <t>NGIS-NHIC</t>
  </si>
  <si>
    <t>JASON HOFFMANN</t>
  </si>
  <si>
    <t>AMBER FLATT</t>
  </si>
  <si>
    <t>IN</t>
  </si>
  <si>
    <t>MARSHA SANDEROCK</t>
  </si>
  <si>
    <t>Active</t>
  </si>
  <si>
    <t>SELECT DENTAL 29304</t>
  </si>
  <si>
    <t>Monthly</t>
  </si>
  <si>
    <t>AV</t>
  </si>
  <si>
    <t>[NOADMINFEE]</t>
  </si>
  <si>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</si>
  <si>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</si>
  <si>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</si>
  <si>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</si>
  <si>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</si>
  <si>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</si>
  <si>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</si>
  <si>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</si>
  <si>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</si>
  <si>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</si>
  <si>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</si>
  <si>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</si>
  <si>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</si>
  <si>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</si>
  <si>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</si>
  <si>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</si>
  <si>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</si>
  <si>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</si>
  <si>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</si>
  <si>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</si>
  <si>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</si>
  <si>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</si>
  <si>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</si>
  <si>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</si>
  <si>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</si>
  <si>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</si>
  <si>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</si>
  <si>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</si>
  <si>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</si>
  <si>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</si>
  <si>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</si>
  <si>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</si>
  <si>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</si>
  <si>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</si>
  <si>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</si>
  <si>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</si>
  <si>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</si>
  <si>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</si>
  <si>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Plan Enhancer 20214</t>
  </si>
  <si>
    <t>GANGESH DIMRI</t>
  </si>
  <si>
    <t>ROBERT WOODRUFF</t>
  </si>
  <si>
    <t>OH</t>
  </si>
  <si>
    <t>JENNIFER HALSAVER</t>
  </si>
  <si>
    <t>Cancer and Heart/Stroke GI 20231</t>
  </si>
  <si>
    <t>Life Association C OH</t>
  </si>
  <si>
    <t>AV3</t>
  </si>
  <si>
    <t>WRIGHT ELLINGER</t>
  </si>
  <si>
    <t>TrioMED Accident and CI 14939</t>
  </si>
  <si>
    <t>GABRIELLE ESPOSITO</t>
  </si>
  <si>
    <t>NHIC STM 2022 OH Single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</si>
</sst>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1" fontId="0" fillId="0" borderId="0" xfId="0" applyNumberFormat="1"/>
    <xf numFmtId="14" fontId="2" fillId="0" borderId="0" xfId="0" applyNumberFormat="1" applyFont="1"/>
    <xf numFmtId="0" fontId="1" fillId="0" borderId="0" xfId="0" applyFont="1"/>
    <xf numFmtId="8" fontId="2" fillId="0" borderId="0" xfId="0" applyNumberFormat="1" applyFont="1"/>
    <xf numFmtId="10" fontId="2" fillId="0" borderId="0" xfId="0" applyNumberFormat="1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05893-2053-4D74-AF10-E5A838D3F37B}">
  <dimension ref="A1:AL14"/>
  <sheetViews>
    <sheetView tabSelected="1" topLeftCell="F1" workbookViewId="0">
      <selection activeCell="R2" sqref="R2"/>
    </sheetView>
  </sheetViews>
  <sheetFormatPr defaultRowHeight="15" x14ac:dyDescent="0.25"/>
  <cols>
    <col min="1" max="1" width="10.140625" bestFit="1" customWidth="1"/>
    <col min="2" max="2" width="16" bestFit="1" customWidth="1"/>
    <col min="3" max="3" width="14.28515625" bestFit="1" customWidth="1"/>
    <col min="4" max="4" width="11.5703125" bestFit="1" customWidth="1"/>
    <col min="5" max="5" width="10.42578125" bestFit="1" customWidth="1"/>
    <col min="6" max="6" width="8.140625" bestFit="1" customWidth="1"/>
    <col min="7" max="7" width="9" bestFit="1" customWidth="1"/>
    <col min="8" max="8" width="17.7109375" bestFit="1" customWidth="1"/>
    <col min="9" max="9" width="14" bestFit="1" customWidth="1"/>
    <col min="10" max="10" width="19.28515625" bestFit="1" customWidth="1"/>
    <col min="11" max="11" width="8.140625" bestFit="1" customWidth="1"/>
    <col min="12" max="12" width="4.140625" bestFit="1" customWidth="1"/>
    <col min="13" max="13" width="5.28515625" bestFit="1" customWidth="1"/>
    <col min="14" max="14" width="8.5703125" bestFit="1" customWidth="1"/>
    <col min="15" max="15" width="15" bestFit="1" customWidth="1"/>
    <col min="16" max="16" width="19.7109375" bestFit="1" customWidth="1"/>
    <col min="17" max="17" width="12.140625" bestFit="1" customWidth="1"/>
    <col min="18" max="18" width="30.7109375" bestFit="1" customWidth="1"/>
    <col min="19" max="19" width="10.140625" bestFit="1" customWidth="1"/>
    <col min="20" max="20" width="12.28515625" bestFit="1" customWidth="1"/>
    <col min="21" max="21" width="14" bestFit="1" customWidth="1"/>
    <col min="22" max="22" width="12" bestFit="1" customWidth="1"/>
    <col min="23" max="23" width="16.140625" bestFit="1" customWidth="1"/>
    <col min="24" max="24" width="9" bestFit="1" customWidth="1"/>
    <col min="25" max="25" width="17.85546875" bestFit="1" customWidth="1"/>
    <col min="26" max="26" width="16.140625" bestFit="1" customWidth="1"/>
    <col min="27" max="27" width="16.7109375" bestFit="1" customWidth="1"/>
    <col min="28" max="28" width="16.5703125" bestFit="1" customWidth="1"/>
    <col min="29" max="29" width="18" bestFit="1" customWidth="1"/>
    <col min="30" max="30" width="11.5703125" bestFit="1" customWidth="1"/>
    <col min="31" max="31" width="14.7109375" bestFit="1" customWidth="1"/>
    <col min="32" max="32" width="9.5703125" bestFit="1" customWidth="1"/>
    <col min="33" max="33" width="12.7109375" bestFit="1" customWidth="1"/>
    <col min="34" max="34" width="19" bestFit="1" customWidth="1"/>
    <col min="35" max="35" width="18" bestFit="1" customWidth="1"/>
    <col min="36" max="36" width="11.42578125" bestFit="1" customWidth="1"/>
    <col min="37" max="37" width="14" bestFit="1" customWidth="1"/>
    <col min="38" max="38" width="16.28515625" bestFit="1" customWidth="1"/>
  </cols>
  <sheetData>
    <row r="1" spans="1:38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49</v>
      </c>
    </row>
    <row r="2" spans="1:38" x14ac:dyDescent="0.25">
      <c r="A2" s="5">
        <v>45841</v>
      </c>
      <c r="B2" s="5">
        <v>45838</v>
      </c>
      <c r="C2" s="6" t="s">
        <v>0</v>
      </c>
      <c r="D2" s="6" t="s">
        <v>1</v>
      </c>
      <c r="E2" s="6" t="s">
        <v>2</v>
      </c>
      <c r="F2" s="6">
        <v>649163</v>
      </c>
      <c r="G2" s="6">
        <v>20411454</v>
      </c>
      <c r="H2" s="6" t="s">
        <v>3</v>
      </c>
      <c r="I2" s="6">
        <v>2029654978</v>
      </c>
      <c r="J2" s="6" t="s">
        <v>52</v>
      </c>
      <c r="M2" s="6" t="s">
        <v>53</v>
      </c>
      <c r="O2" s="6">
        <v>874230</v>
      </c>
      <c r="P2" s="6" t="s">
        <v>54</v>
      </c>
      <c r="Q2" s="6" t="s">
        <v>7</v>
      </c>
      <c r="R2" s="6" t="s">
        <v>55</v>
      </c>
      <c r="S2" s="5">
        <v>45839</v>
      </c>
      <c r="U2" s="6" t="s">
        <v>9</v>
      </c>
      <c r="X2" s="6" t="s">
        <v>10</v>
      </c>
      <c r="Y2" s="7">
        <v>151</v>
      </c>
      <c r="Z2" s="7">
        <v>151</v>
      </c>
      <c r="AA2" s="6">
        <v>6</v>
      </c>
      <c r="AB2" s="8">
        <v>0.75</v>
      </c>
      <c r="AC2" s="7">
        <v>679.5</v>
      </c>
      <c r="AD2" s="8">
        <v>0</v>
      </c>
      <c r="AE2" s="7">
        <v>0</v>
      </c>
      <c r="AF2" s="7">
        <v>679.5</v>
      </c>
      <c r="AG2" s="2">
        <f>SUM(AF2/6)</f>
        <v>113.25</v>
      </c>
      <c r="AK2" s="9">
        <v>19130250</v>
      </c>
      <c r="AL2" s="6" t="s">
        <v>11</v>
      </c>
    </row>
    <row r="3" spans="1:38" x14ac:dyDescent="0.25">
      <c r="A3" s="5">
        <v>45841</v>
      </c>
      <c r="B3" s="5">
        <v>45838</v>
      </c>
      <c r="C3" s="6" t="s">
        <v>0</v>
      </c>
      <c r="D3" s="6" t="s">
        <v>1</v>
      </c>
      <c r="E3" s="6" t="s">
        <v>2</v>
      </c>
      <c r="F3" s="6">
        <v>649163</v>
      </c>
      <c r="G3" s="6">
        <v>20411454</v>
      </c>
      <c r="H3" s="6" t="s">
        <v>3</v>
      </c>
      <c r="I3" s="6">
        <v>2029596234</v>
      </c>
      <c r="J3" s="6" t="s">
        <v>58</v>
      </c>
      <c r="M3" s="6" t="s">
        <v>53</v>
      </c>
      <c r="O3" s="6">
        <v>874230</v>
      </c>
      <c r="P3" s="6" t="s">
        <v>54</v>
      </c>
      <c r="Q3" s="6" t="s">
        <v>7</v>
      </c>
      <c r="R3" s="6" t="s">
        <v>55</v>
      </c>
      <c r="S3" s="5">
        <v>45839</v>
      </c>
      <c r="U3" s="6" t="s">
        <v>9</v>
      </c>
      <c r="X3" s="6" t="s">
        <v>10</v>
      </c>
      <c r="Y3" s="7">
        <v>67.33</v>
      </c>
      <c r="Z3" s="7">
        <v>67.33</v>
      </c>
      <c r="AA3" s="6">
        <v>6</v>
      </c>
      <c r="AB3" s="8">
        <v>0.75</v>
      </c>
      <c r="AC3" s="7">
        <v>302.99</v>
      </c>
      <c r="AD3" s="8">
        <v>0</v>
      </c>
      <c r="AE3" s="7">
        <v>0</v>
      </c>
      <c r="AF3" s="7">
        <v>302.99</v>
      </c>
      <c r="AG3" s="2">
        <f>SUM(AF3/6)</f>
        <v>50.498333333333335</v>
      </c>
      <c r="AK3" s="9">
        <v>19130120</v>
      </c>
      <c r="AL3" s="6" t="s">
        <v>11</v>
      </c>
    </row>
    <row r="4" spans="1:38" x14ac:dyDescent="0.25">
      <c r="A4" s="5">
        <v>45841</v>
      </c>
      <c r="B4" s="5">
        <v>45838</v>
      </c>
      <c r="C4" s="6" t="s">
        <v>0</v>
      </c>
      <c r="D4" s="6" t="s">
        <v>1</v>
      </c>
      <c r="E4" s="6" t="s">
        <v>2</v>
      </c>
      <c r="F4" s="6">
        <v>649163</v>
      </c>
      <c r="G4" s="6">
        <v>20411454</v>
      </c>
      <c r="H4" s="6" t="s">
        <v>3</v>
      </c>
      <c r="I4" s="6">
        <v>2029654980</v>
      </c>
      <c r="J4" s="6" t="s">
        <v>52</v>
      </c>
      <c r="M4" s="6" t="s">
        <v>53</v>
      </c>
      <c r="O4" s="6">
        <v>874230</v>
      </c>
      <c r="P4" s="6" t="s">
        <v>54</v>
      </c>
      <c r="Q4" s="6" t="s">
        <v>7</v>
      </c>
      <c r="R4" s="6" t="s">
        <v>56</v>
      </c>
      <c r="S4" s="5">
        <v>45839</v>
      </c>
      <c r="U4" s="6" t="s">
        <v>9</v>
      </c>
      <c r="X4" s="6" t="s">
        <v>57</v>
      </c>
      <c r="Y4" s="7">
        <v>15</v>
      </c>
      <c r="Z4" s="7">
        <v>15</v>
      </c>
      <c r="AA4" s="6">
        <v>3</v>
      </c>
      <c r="AB4" s="8">
        <v>0.19</v>
      </c>
      <c r="AC4" s="7">
        <v>8.5500000000000007</v>
      </c>
      <c r="AD4" s="8">
        <v>0</v>
      </c>
      <c r="AE4" s="7">
        <v>0</v>
      </c>
      <c r="AF4" s="7">
        <v>8.5500000000000007</v>
      </c>
      <c r="AG4" s="2">
        <f>SUM(AF4/6)</f>
        <v>1.425</v>
      </c>
      <c r="AK4" s="9">
        <v>19117060</v>
      </c>
      <c r="AL4" s="6" t="s">
        <v>11</v>
      </c>
    </row>
    <row r="5" spans="1:38" x14ac:dyDescent="0.25">
      <c r="A5" s="5">
        <v>45841</v>
      </c>
      <c r="B5" s="5">
        <v>45838</v>
      </c>
      <c r="C5" s="6" t="s">
        <v>0</v>
      </c>
      <c r="D5" s="6" t="s">
        <v>1</v>
      </c>
      <c r="E5" s="6" t="s">
        <v>2</v>
      </c>
      <c r="F5" s="6">
        <v>649163</v>
      </c>
      <c r="G5" s="6">
        <v>20411454</v>
      </c>
      <c r="H5" s="6" t="s">
        <v>3</v>
      </c>
      <c r="I5" s="6">
        <v>2029654977</v>
      </c>
      <c r="J5" s="6" t="s">
        <v>52</v>
      </c>
      <c r="M5" s="6" t="s">
        <v>53</v>
      </c>
      <c r="O5" s="6">
        <v>874230</v>
      </c>
      <c r="P5" s="6" t="s">
        <v>54</v>
      </c>
      <c r="Q5" s="6" t="s">
        <v>7</v>
      </c>
      <c r="R5" s="6" t="s">
        <v>61</v>
      </c>
      <c r="S5" s="5">
        <v>45839</v>
      </c>
      <c r="U5" s="6" t="s">
        <v>9</v>
      </c>
      <c r="X5" s="6" t="s">
        <v>57</v>
      </c>
      <c r="Y5" s="7">
        <v>560.87</v>
      </c>
      <c r="Z5" s="7">
        <v>560.87</v>
      </c>
      <c r="AA5" s="6">
        <v>3</v>
      </c>
      <c r="AB5" s="8">
        <v>0.19</v>
      </c>
      <c r="AC5" s="7">
        <v>319.7</v>
      </c>
      <c r="AD5" s="8">
        <v>0</v>
      </c>
      <c r="AE5" s="7">
        <v>0</v>
      </c>
      <c r="AF5" s="7">
        <v>319.7</v>
      </c>
      <c r="AG5" s="2">
        <f>SUM(AF5/6)</f>
        <v>53.283333333333331</v>
      </c>
      <c r="AK5" s="9">
        <v>19167270</v>
      </c>
      <c r="AL5" s="6" t="s">
        <v>11</v>
      </c>
    </row>
    <row r="6" spans="1:38" ht="15.75" customHeight="1" x14ac:dyDescent="0.25">
      <c r="A6" s="1">
        <v>45835</v>
      </c>
      <c r="B6" s="1">
        <v>45831</v>
      </c>
      <c r="C6" t="s">
        <v>0</v>
      </c>
      <c r="D6" t="s">
        <v>1</v>
      </c>
      <c r="E6" t="s">
        <v>2</v>
      </c>
      <c r="F6">
        <v>649163</v>
      </c>
      <c r="G6">
        <v>20411454</v>
      </c>
      <c r="H6" t="s">
        <v>3</v>
      </c>
      <c r="I6">
        <v>2029481266</v>
      </c>
      <c r="J6" t="s">
        <v>4</v>
      </c>
      <c r="M6" t="s">
        <v>5</v>
      </c>
      <c r="O6">
        <v>877790</v>
      </c>
      <c r="P6" t="s">
        <v>6</v>
      </c>
      <c r="Q6" t="s">
        <v>7</v>
      </c>
      <c r="R6" t="s">
        <v>50</v>
      </c>
      <c r="S6" s="1">
        <v>45825</v>
      </c>
      <c r="U6" t="s">
        <v>9</v>
      </c>
      <c r="X6" t="s">
        <v>10</v>
      </c>
      <c r="Y6" s="2">
        <v>3.52</v>
      </c>
      <c r="Z6" s="2">
        <v>3.52</v>
      </c>
      <c r="AA6">
        <v>6</v>
      </c>
      <c r="AB6" s="3">
        <v>0.7</v>
      </c>
      <c r="AC6" s="2">
        <v>14.78</v>
      </c>
      <c r="AD6" s="3">
        <v>0</v>
      </c>
      <c r="AE6" s="2">
        <v>0</v>
      </c>
      <c r="AF6" s="2">
        <v>14.78</v>
      </c>
      <c r="AG6" s="2">
        <f>SUM(AF6/6)</f>
        <v>2.4633333333333334</v>
      </c>
      <c r="AK6" s="4">
        <v>19055340</v>
      </c>
      <c r="AL6" t="s">
        <v>11</v>
      </c>
    </row>
    <row r="7" spans="1:38" ht="15.75" customHeight="1" x14ac:dyDescent="0.25">
      <c r="A7" s="1">
        <v>45835</v>
      </c>
      <c r="B7" s="1">
        <v>45831</v>
      </c>
      <c r="C7" t="s">
        <v>0</v>
      </c>
      <c r="D7" t="s">
        <v>1</v>
      </c>
      <c r="E7" t="s">
        <v>2</v>
      </c>
      <c r="F7">
        <v>649163</v>
      </c>
      <c r="G7">
        <v>20411454</v>
      </c>
      <c r="H7" t="s">
        <v>3</v>
      </c>
      <c r="I7">
        <v>2029526622</v>
      </c>
      <c r="J7" t="s">
        <v>51</v>
      </c>
      <c r="M7" t="s">
        <v>5</v>
      </c>
      <c r="O7">
        <v>877790</v>
      </c>
      <c r="P7" t="s">
        <v>6</v>
      </c>
      <c r="Q7" t="s">
        <v>7</v>
      </c>
      <c r="R7" t="s">
        <v>50</v>
      </c>
      <c r="S7" s="1">
        <v>45828</v>
      </c>
      <c r="U7" t="s">
        <v>9</v>
      </c>
      <c r="X7" t="s">
        <v>10</v>
      </c>
      <c r="Y7" s="2">
        <v>4.7699999999999996</v>
      </c>
      <c r="Z7" s="2">
        <v>4.7699999999999996</v>
      </c>
      <c r="AA7">
        <v>6</v>
      </c>
      <c r="AB7" s="3">
        <v>0.7</v>
      </c>
      <c r="AC7" s="2">
        <v>20.03</v>
      </c>
      <c r="AD7" s="3">
        <v>0</v>
      </c>
      <c r="AE7" s="2">
        <v>0</v>
      </c>
      <c r="AF7" s="2">
        <v>20.03</v>
      </c>
      <c r="AG7" s="2">
        <f>SUM(AF7/6)</f>
        <v>3.3383333333333334</v>
      </c>
      <c r="AK7" s="4">
        <v>19055720</v>
      </c>
      <c r="AL7" t="s">
        <v>11</v>
      </c>
    </row>
    <row r="8" spans="1:38" ht="15.75" customHeight="1" x14ac:dyDescent="0.25">
      <c r="A8" s="5">
        <v>45841</v>
      </c>
      <c r="B8" s="5">
        <v>45838</v>
      </c>
      <c r="C8" s="6" t="s">
        <v>0</v>
      </c>
      <c r="D8" s="6" t="s">
        <v>1</v>
      </c>
      <c r="E8" s="6" t="s">
        <v>2</v>
      </c>
      <c r="F8" s="6">
        <v>649163</v>
      </c>
      <c r="G8" s="6">
        <v>20411454</v>
      </c>
      <c r="H8" s="6" t="s">
        <v>3</v>
      </c>
      <c r="I8" s="6">
        <v>2029654979</v>
      </c>
      <c r="J8" s="6" t="s">
        <v>52</v>
      </c>
      <c r="M8" s="6" t="s">
        <v>53</v>
      </c>
      <c r="O8" s="6">
        <v>874230</v>
      </c>
      <c r="P8" s="6" t="s">
        <v>54</v>
      </c>
      <c r="Q8" s="6" t="s">
        <v>7</v>
      </c>
      <c r="R8" s="6" t="s">
        <v>50</v>
      </c>
      <c r="S8" s="5">
        <v>45839</v>
      </c>
      <c r="U8" s="6" t="s">
        <v>9</v>
      </c>
      <c r="X8" s="6" t="s">
        <v>10</v>
      </c>
      <c r="Y8" s="7">
        <v>19.46</v>
      </c>
      <c r="Z8" s="7">
        <v>19.46</v>
      </c>
      <c r="AA8" s="6">
        <v>6</v>
      </c>
      <c r="AB8" s="8">
        <v>0.7</v>
      </c>
      <c r="AC8" s="7">
        <v>81.73</v>
      </c>
      <c r="AD8" s="8">
        <v>0</v>
      </c>
      <c r="AE8" s="7">
        <v>0</v>
      </c>
      <c r="AF8" s="7">
        <v>81.73</v>
      </c>
      <c r="AG8" s="2">
        <f>SUM(AF8/6)</f>
        <v>13.621666666666668</v>
      </c>
      <c r="AK8" s="9">
        <v>19104330</v>
      </c>
      <c r="AL8" s="6" t="s">
        <v>11</v>
      </c>
    </row>
    <row r="9" spans="1:38" ht="15.75" customHeight="1" x14ac:dyDescent="0.25">
      <c r="A9" s="5">
        <v>45841</v>
      </c>
      <c r="B9" s="5">
        <v>45838</v>
      </c>
      <c r="C9" s="6" t="s">
        <v>0</v>
      </c>
      <c r="D9" s="6" t="s">
        <v>1</v>
      </c>
      <c r="E9" s="6" t="s">
        <v>2</v>
      </c>
      <c r="F9" s="6">
        <v>649163</v>
      </c>
      <c r="G9" s="6">
        <v>20411454</v>
      </c>
      <c r="H9" s="6" t="s">
        <v>3</v>
      </c>
      <c r="I9" s="6">
        <v>2029613747</v>
      </c>
      <c r="J9" s="6" t="s">
        <v>60</v>
      </c>
      <c r="M9" s="6" t="s">
        <v>53</v>
      </c>
      <c r="O9" s="6">
        <v>874230</v>
      </c>
      <c r="P9" s="6" t="s">
        <v>54</v>
      </c>
      <c r="Q9" s="6" t="s">
        <v>7</v>
      </c>
      <c r="R9" s="6" t="s">
        <v>50</v>
      </c>
      <c r="S9" s="5">
        <v>45839</v>
      </c>
      <c r="U9" s="6" t="s">
        <v>9</v>
      </c>
      <c r="X9" s="6" t="s">
        <v>10</v>
      </c>
      <c r="Y9" s="7">
        <v>67.2</v>
      </c>
      <c r="Z9" s="7">
        <v>67.2</v>
      </c>
      <c r="AA9" s="6">
        <v>6</v>
      </c>
      <c r="AB9" s="8">
        <v>0.7</v>
      </c>
      <c r="AC9" s="7">
        <v>282.24</v>
      </c>
      <c r="AD9" s="8">
        <v>0</v>
      </c>
      <c r="AE9" s="7">
        <v>0</v>
      </c>
      <c r="AF9" s="7">
        <v>282.24</v>
      </c>
      <c r="AG9" s="2">
        <f>SUM(AF9/6)</f>
        <v>47.04</v>
      </c>
      <c r="AK9" s="9">
        <v>19103940</v>
      </c>
      <c r="AL9" s="6" t="s">
        <v>11</v>
      </c>
    </row>
    <row r="10" spans="1:38" ht="15.75" customHeight="1" x14ac:dyDescent="0.25">
      <c r="A10" s="1">
        <v>45835</v>
      </c>
      <c r="B10" s="1">
        <v>45831</v>
      </c>
      <c r="C10" t="s">
        <v>0</v>
      </c>
      <c r="D10" t="s">
        <v>1</v>
      </c>
      <c r="E10" t="s">
        <v>2</v>
      </c>
      <c r="F10">
        <v>649163</v>
      </c>
      <c r="G10">
        <v>20411454</v>
      </c>
      <c r="H10" t="s">
        <v>3</v>
      </c>
      <c r="I10">
        <v>2029481265</v>
      </c>
      <c r="J10" t="s">
        <v>4</v>
      </c>
      <c r="M10" t="s">
        <v>5</v>
      </c>
      <c r="O10">
        <v>877790</v>
      </c>
      <c r="P10" t="s">
        <v>6</v>
      </c>
      <c r="Q10" t="s">
        <v>7</v>
      </c>
      <c r="R10" t="s">
        <v>8</v>
      </c>
      <c r="S10" s="1">
        <v>45825</v>
      </c>
      <c r="U10" t="s">
        <v>9</v>
      </c>
      <c r="X10" t="s">
        <v>10</v>
      </c>
      <c r="Y10" s="2">
        <v>58.15</v>
      </c>
      <c r="Z10" s="2">
        <v>58.15</v>
      </c>
      <c r="AA10">
        <v>6</v>
      </c>
      <c r="AB10" s="3">
        <v>0.375</v>
      </c>
      <c r="AC10" s="2">
        <v>130.84</v>
      </c>
      <c r="AD10" s="3">
        <v>0</v>
      </c>
      <c r="AE10" s="2">
        <v>0</v>
      </c>
      <c r="AF10" s="2">
        <v>130.84</v>
      </c>
      <c r="AG10" s="2">
        <f>SUM(AF10/6)</f>
        <v>21.806666666666668</v>
      </c>
      <c r="AK10" s="4">
        <v>19069200</v>
      </c>
      <c r="AL10" t="s">
        <v>11</v>
      </c>
    </row>
    <row r="11" spans="1:38" ht="15.75" customHeight="1" x14ac:dyDescent="0.25">
      <c r="A11" s="1">
        <v>45835</v>
      </c>
      <c r="B11" s="1">
        <v>45831</v>
      </c>
      <c r="C11" t="s">
        <v>0</v>
      </c>
      <c r="D11" t="s">
        <v>1</v>
      </c>
      <c r="E11" t="s">
        <v>2</v>
      </c>
      <c r="F11">
        <v>649163</v>
      </c>
      <c r="G11">
        <v>20411454</v>
      </c>
      <c r="H11" t="s">
        <v>3</v>
      </c>
      <c r="I11">
        <v>2029526621</v>
      </c>
      <c r="J11" t="s">
        <v>51</v>
      </c>
      <c r="M11" t="s">
        <v>5</v>
      </c>
      <c r="O11">
        <v>877790</v>
      </c>
      <c r="P11" t="s">
        <v>6</v>
      </c>
      <c r="Q11" t="s">
        <v>7</v>
      </c>
      <c r="R11" t="s">
        <v>8</v>
      </c>
      <c r="S11" s="1">
        <v>45828</v>
      </c>
      <c r="U11" t="s">
        <v>9</v>
      </c>
      <c r="X11" t="s">
        <v>10</v>
      </c>
      <c r="Y11" s="2">
        <v>92.09</v>
      </c>
      <c r="Z11" s="2">
        <v>92.09</v>
      </c>
      <c r="AA11">
        <v>6</v>
      </c>
      <c r="AB11" s="3">
        <v>0.375</v>
      </c>
      <c r="AC11" s="2">
        <v>207.2</v>
      </c>
      <c r="AD11" s="3">
        <v>0</v>
      </c>
      <c r="AE11" s="2">
        <v>0</v>
      </c>
      <c r="AF11" s="2">
        <v>207.2</v>
      </c>
      <c r="AG11" s="2">
        <f>SUM(AF11/6)</f>
        <v>34.533333333333331</v>
      </c>
      <c r="AK11" s="4">
        <v>19069650</v>
      </c>
      <c r="AL11" t="s">
        <v>11</v>
      </c>
    </row>
    <row r="12" spans="1:38" ht="15.75" customHeight="1" x14ac:dyDescent="0.25">
      <c r="A12" s="5">
        <v>45841</v>
      </c>
      <c r="B12" s="5">
        <v>45838</v>
      </c>
      <c r="C12" s="6" t="s">
        <v>0</v>
      </c>
      <c r="D12" s="6" t="s">
        <v>1</v>
      </c>
      <c r="E12" s="6" t="s">
        <v>2</v>
      </c>
      <c r="F12" s="6">
        <v>649163</v>
      </c>
      <c r="G12" s="6">
        <v>20411454</v>
      </c>
      <c r="H12" s="6" t="s">
        <v>3</v>
      </c>
      <c r="I12" s="6">
        <v>2029596235</v>
      </c>
      <c r="J12" s="6" t="s">
        <v>58</v>
      </c>
      <c r="M12" s="6" t="s">
        <v>53</v>
      </c>
      <c r="O12" s="6">
        <v>874230</v>
      </c>
      <c r="P12" s="6" t="s">
        <v>54</v>
      </c>
      <c r="Q12" s="6" t="s">
        <v>7</v>
      </c>
      <c r="R12" s="6" t="s">
        <v>8</v>
      </c>
      <c r="S12" s="5">
        <v>45839</v>
      </c>
      <c r="U12" s="6" t="s">
        <v>9</v>
      </c>
      <c r="X12" s="6" t="s">
        <v>10</v>
      </c>
      <c r="Y12" s="7">
        <v>54.54</v>
      </c>
      <c r="Z12" s="7">
        <v>54.54</v>
      </c>
      <c r="AA12" s="6">
        <v>6</v>
      </c>
      <c r="AB12" s="8">
        <v>0.375</v>
      </c>
      <c r="AC12" s="7">
        <v>122.72</v>
      </c>
      <c r="AD12" s="8">
        <v>0</v>
      </c>
      <c r="AE12" s="7">
        <v>0</v>
      </c>
      <c r="AF12" s="7">
        <v>122.72</v>
      </c>
      <c r="AG12" s="2">
        <f>SUM(AF12/6)</f>
        <v>20.453333333333333</v>
      </c>
      <c r="AK12" s="9">
        <v>19150990</v>
      </c>
      <c r="AL12" s="6" t="s">
        <v>11</v>
      </c>
    </row>
    <row r="13" spans="1:38" ht="15.75" customHeight="1" x14ac:dyDescent="0.25">
      <c r="A13" s="5">
        <v>45841</v>
      </c>
      <c r="B13" s="5">
        <v>45838</v>
      </c>
      <c r="C13" s="6" t="s">
        <v>0</v>
      </c>
      <c r="D13" s="6" t="s">
        <v>1</v>
      </c>
      <c r="E13" s="6" t="s">
        <v>2</v>
      </c>
      <c r="F13" s="6">
        <v>649163</v>
      </c>
      <c r="G13" s="6">
        <v>20411454</v>
      </c>
      <c r="H13" s="6" t="s">
        <v>3</v>
      </c>
      <c r="I13" s="6">
        <v>2029613746</v>
      </c>
      <c r="J13" s="6" t="s">
        <v>60</v>
      </c>
      <c r="M13" s="6" t="s">
        <v>53</v>
      </c>
      <c r="O13" s="6">
        <v>874230</v>
      </c>
      <c r="P13" s="6" t="s">
        <v>54</v>
      </c>
      <c r="Q13" s="6" t="s">
        <v>7</v>
      </c>
      <c r="R13" s="6" t="s">
        <v>8</v>
      </c>
      <c r="S13" s="5">
        <v>45839</v>
      </c>
      <c r="U13" s="6" t="s">
        <v>9</v>
      </c>
      <c r="X13" s="6" t="s">
        <v>10</v>
      </c>
      <c r="Y13" s="7">
        <v>38.39</v>
      </c>
      <c r="Z13" s="7">
        <v>38.39</v>
      </c>
      <c r="AA13" s="6">
        <v>6</v>
      </c>
      <c r="AB13" s="8">
        <v>0.375</v>
      </c>
      <c r="AC13" s="7">
        <v>86.38</v>
      </c>
      <c r="AD13" s="8">
        <v>0</v>
      </c>
      <c r="AE13" s="7">
        <v>0</v>
      </c>
      <c r="AF13" s="7">
        <v>86.38</v>
      </c>
      <c r="AG13" s="2">
        <f>SUM(AF13/6)</f>
        <v>14.396666666666667</v>
      </c>
      <c r="AK13" s="9">
        <v>19151160</v>
      </c>
      <c r="AL13" s="6" t="s">
        <v>11</v>
      </c>
    </row>
    <row r="14" spans="1:38" ht="15.75" customHeight="1" x14ac:dyDescent="0.25">
      <c r="A14" s="5">
        <v>45841</v>
      </c>
      <c r="B14" s="5">
        <v>45838</v>
      </c>
      <c r="C14" s="6" t="s">
        <v>0</v>
      </c>
      <c r="D14" s="6" t="s">
        <v>1</v>
      </c>
      <c r="E14" s="6" t="s">
        <v>2</v>
      </c>
      <c r="F14" s="6">
        <v>649163</v>
      </c>
      <c r="G14" s="6">
        <v>20411454</v>
      </c>
      <c r="H14" s="6" t="s">
        <v>3</v>
      </c>
      <c r="I14" s="6">
        <v>2029596233</v>
      </c>
      <c r="J14" s="6" t="s">
        <v>58</v>
      </c>
      <c r="M14" s="6" t="s">
        <v>53</v>
      </c>
      <c r="O14" s="6">
        <v>874230</v>
      </c>
      <c r="P14" s="6" t="s">
        <v>54</v>
      </c>
      <c r="Q14" s="6" t="s">
        <v>7</v>
      </c>
      <c r="R14" s="6" t="s">
        <v>59</v>
      </c>
      <c r="S14" s="5">
        <v>45839</v>
      </c>
      <c r="U14" s="6" t="s">
        <v>9</v>
      </c>
      <c r="X14" s="6" t="s">
        <v>10</v>
      </c>
      <c r="Y14" s="7">
        <v>54.66</v>
      </c>
      <c r="Z14" s="7">
        <v>54.66</v>
      </c>
      <c r="AA14" s="6">
        <v>6</v>
      </c>
      <c r="AB14" s="8">
        <v>0.6</v>
      </c>
      <c r="AC14" s="7">
        <v>196.78</v>
      </c>
      <c r="AD14" s="8">
        <v>0</v>
      </c>
      <c r="AE14" s="7">
        <v>0</v>
      </c>
      <c r="AF14" s="7">
        <v>196.78</v>
      </c>
      <c r="AG14" s="2">
        <f>SUM(AF14/6)</f>
        <v>32.796666666666667</v>
      </c>
      <c r="AK14" s="9">
        <v>19130120</v>
      </c>
      <c r="AL14" s="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2025-07-18T13:43:32Z</dcterms:created>
  <dcterms:modified xsi:type="dcterms:W3CDTF">2025-07-18T15:07:51Z</dcterms:modified>
</cp:coreProperties>
</file>