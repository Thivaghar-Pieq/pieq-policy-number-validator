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llstate\2025\NB\2025-04-28\"/>
    </mc:Choice>
  </mc:AlternateContent>
  <xr:revisionPtr revIDLastSave="0" documentId="13_ncr:1_{E5894D1F-A5C1-4C08-850E-4588D609C7B2}" xr6:coauthVersionLast="47" xr6:coauthVersionMax="47" xr10:uidLastSave="{00000000-0000-0000-0000-000000000000}"/>
  <bookViews>
    <workbookView xWindow="-120" yWindow="-120" windowWidth="29040" windowHeight="15720" xr2:uid="{178659D6-65DA-48C6-8CB9-C39B499825D1}"/>
  </bookViews>
  <sheets>
    <sheet name="649163__Newbusiness_NEW_BUSINES" sheetId="1" r:id="rId1"/>
    <sheet name="clean sheet" sheetId="2" r:id="rId2"/>
  </sheets>
  <definedNames>
    <definedName name="_xlnm._FilterDatabase" localSheetId="0" hidden="1">'649163__Newbusiness_NEW_BUSINES'!$A$1:$AL$68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2" l="1"/>
  <c r="L5" i="2"/>
  <c r="L6" i="2"/>
  <c r="L9" i="2"/>
  <c r="L2" i="2"/>
  <c r="L4" i="2"/>
  <c r="L11" i="2"/>
  <c r="L12" i="2"/>
  <c r="L3" i="2"/>
  <c r="L7" i="2"/>
  <c r="L15" i="2"/>
  <c r="L21" i="2"/>
  <c r="L16" i="2"/>
  <c r="L13" i="2"/>
  <c r="L17" i="2"/>
  <c r="L14" i="2"/>
  <c r="L22" i="2"/>
  <c r="L18" i="2"/>
  <c r="L23" i="2"/>
  <c r="L19" i="2"/>
  <c r="L24" i="2"/>
  <c r="L25" i="2"/>
  <c r="L20" i="2"/>
  <c r="L26" i="2"/>
  <c r="L31" i="2"/>
  <c r="L32" i="2"/>
  <c r="L27" i="2"/>
  <c r="L30" i="2"/>
  <c r="L28" i="2"/>
  <c r="L29" i="2"/>
  <c r="L33" i="2"/>
  <c r="L34" i="2"/>
  <c r="L35" i="2"/>
  <c r="L36" i="2"/>
  <c r="L37" i="2"/>
  <c r="L40" i="2"/>
  <c r="L38" i="2"/>
  <c r="L41" i="2"/>
  <c r="L39" i="2"/>
  <c r="L42" i="2"/>
  <c r="L45" i="2"/>
  <c r="L49" i="2"/>
  <c r="L46" i="2"/>
  <c r="L44" i="2"/>
  <c r="L50" i="2"/>
  <c r="L47" i="2"/>
  <c r="L43" i="2"/>
  <c r="L48" i="2"/>
  <c r="L52" i="2"/>
  <c r="L51" i="2"/>
  <c r="L53" i="2"/>
  <c r="L10" i="2"/>
</calcChain>
</file>

<file path=xl/sharedStrings.xml><?xml version="1.0" encoding="utf-8"?>
<sst xmlns="http://schemas.openxmlformats.org/spreadsheetml/2006/main" count="1300" uniqueCount="144">
  <si>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</si>
  <si>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</si>
  <si>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</si>
  <si>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</si>
  <si>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</si>
  <si>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</si>
  <si>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</si>
  <si>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</si>
  <si>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</si>
  <si>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</si>
  <si>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</si>
  <si>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</si>
  <si>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</si>
  <si>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</si>
  <si>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</si>
  <si>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</si>
  <si>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</si>
  <si>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</si>
  <si>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</si>
  <si>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</si>
  <si>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</si>
  <si>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</si>
  <si>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</si>
  <si>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</si>
  <si>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</si>
  <si>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</si>
  <si>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</si>
  <si>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</si>
  <si>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</si>
  <si>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</si>
  <si>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</si>
  <si>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</si>
  <si>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</si>
  <si>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</si>
  <si>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</si>
  <si>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</si>
  <si>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</si>
  <si>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</si>
  <si>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</si>
  <si>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</si>
  <si>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</si>
  <si>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'649163</t>
  </si>
  <si>
    <t>'20411454</t>
  </si>
  <si>
    <t>JASON HOFFMANN</t>
  </si>
  <si>
    <t>DENISE JOHNSON</t>
  </si>
  <si>
    <t>IL</t>
  </si>
  <si>
    <t>'840313</t>
  </si>
  <si>
    <t>ANTHONY HUNSBERGER</t>
  </si>
  <si>
    <t>Active</t>
  </si>
  <si>
    <t>Plan Enhancer 20214</t>
  </si>
  <si>
    <t>Monthly</t>
  </si>
  <si>
    <t>AV</t>
  </si>
  <si>
    <t>TYNECIA BRIGHT</t>
  </si>
  <si>
    <t>TX</t>
  </si>
  <si>
    <t>'822733</t>
  </si>
  <si>
    <t>CHRISTOPHER BROUSSEAU</t>
  </si>
  <si>
    <t>STEPHEN CHESNUT</t>
  </si>
  <si>
    <t>'823350</t>
  </si>
  <si>
    <t>RICHARD YALE</t>
  </si>
  <si>
    <t>MELISSA BACK</t>
  </si>
  <si>
    <t>'766747</t>
  </si>
  <si>
    <t>MICHAEL DUNAVANT</t>
  </si>
  <si>
    <t>SELECT DENTAL 29304</t>
  </si>
  <si>
    <t>GARY MICHELSEN</t>
  </si>
  <si>
    <t>'820873</t>
  </si>
  <si>
    <t>DALE WALENGA</t>
  </si>
  <si>
    <t>NHIC MedSupp 2022 IL Plan N Age 65-80</t>
  </si>
  <si>
    <t>PRIYADARSHINI VENKATARAMANAPPA</t>
  </si>
  <si>
    <t>'824081</t>
  </si>
  <si>
    <t>STEPHANIE DRAPAC</t>
  </si>
  <si>
    <t>Cancer and Heart/Stroke 20231</t>
  </si>
  <si>
    <t>SUSAN MICHELSEN</t>
  </si>
  <si>
    <t>JOHN GRIESEMER</t>
  </si>
  <si>
    <t>BEATA SWIATEK</t>
  </si>
  <si>
    <t>JULIA LAIT</t>
  </si>
  <si>
    <t>WI</t>
  </si>
  <si>
    <t>Critical Illness w/ Term Life 21677</t>
  </si>
  <si>
    <t>NICHOLAS PURCHASE</t>
  </si>
  <si>
    <t>CYNTHIA MCGOWAN</t>
  </si>
  <si>
    <t>'821015</t>
  </si>
  <si>
    <t>BARRY SCHUMANN</t>
  </si>
  <si>
    <t>SEJAL PATEL</t>
  </si>
  <si>
    <t>'824062</t>
  </si>
  <si>
    <t>ANDREW CHOI</t>
  </si>
  <si>
    <t>JAKE STAMER</t>
  </si>
  <si>
    <t>'814033</t>
  </si>
  <si>
    <t>FRANK LISKOVEC</t>
  </si>
  <si>
    <t>Allstate Health Access</t>
  </si>
  <si>
    <t>Life Association Access</t>
  </si>
  <si>
    <t>AV6</t>
  </si>
  <si>
    <t>DANETTE SIMMONS</t>
  </si>
  <si>
    <t>'856824</t>
  </si>
  <si>
    <t>JAKE SHULMAN</t>
  </si>
  <si>
    <t>NICHOLAS SHERMAN</t>
  </si>
  <si>
    <t>'812656</t>
  </si>
  <si>
    <t>GARY PORTUGAL</t>
  </si>
  <si>
    <t>JENNIFER WALENGA</t>
  </si>
  <si>
    <t>KENNETH HARRIS</t>
  </si>
  <si>
    <t>NC</t>
  </si>
  <si>
    <t>'751867</t>
  </si>
  <si>
    <t>JOHN ROKEN</t>
  </si>
  <si>
    <t>NHIC LM 2021 Hospital Expense Protection U65</t>
  </si>
  <si>
    <t>TrioMED Accident and CI 14939</t>
  </si>
  <si>
    <t>CHARLES GONZALEZ</t>
  </si>
  <si>
    <t>WILLIAM BATKA</t>
  </si>
  <si>
    <t>KIMBERLY SIEGEL</t>
  </si>
  <si>
    <t>MD</t>
  </si>
  <si>
    <t>'823068</t>
  </si>
  <si>
    <t>RONALD MAX</t>
  </si>
  <si>
    <t>Term Life 21673</t>
  </si>
  <si>
    <t>Accident Fixed Benefit</t>
  </si>
  <si>
    <t>KATHY LOWE</t>
  </si>
  <si>
    <t>DEMITRIOS PAGAKIS</t>
  </si>
  <si>
    <t>WAYNE SCHAUDERNA</t>
  </si>
  <si>
    <t>IA</t>
  </si>
  <si>
    <t>Allstate Recuro RX Discount Card</t>
  </si>
  <si>
    <t>NATHAN PIUIAN</t>
  </si>
  <si>
    <t>ROBERT SCHLESS</t>
  </si>
  <si>
    <t>ALICIA PANTANO</t>
  </si>
  <si>
    <t>'673059</t>
  </si>
  <si>
    <t>RYAN CALTAGIRONE</t>
  </si>
  <si>
    <t>SCOTT THOMMEN</t>
  </si>
  <si>
    <t>'812782</t>
  </si>
  <si>
    <t>JACOB YALE</t>
  </si>
  <si>
    <t>ETHAN WIEDENHOEFT</t>
  </si>
  <si>
    <t>THEODORE PAPPAS</t>
  </si>
  <si>
    <t>PA</t>
  </si>
  <si>
    <t>NHIC LM 2021 SENIOR INDEMNITY 65+</t>
  </si>
  <si>
    <t>MICHAEL LOSASSO</t>
  </si>
  <si>
    <t>PATRICK LOSASSO</t>
  </si>
  <si>
    <t>ROBERT LOSASSO</t>
  </si>
  <si>
    <t>DARLA MCADAMS</t>
  </si>
  <si>
    <t>CADE KAPLAN</t>
  </si>
  <si>
    <t>FRANCESCA RANDAZZO</t>
  </si>
  <si>
    <t>'856163</t>
  </si>
  <si>
    <t>CHAD YALE</t>
  </si>
  <si>
    <t>DELIA DIAZ</t>
  </si>
  <si>
    <t>Allstate SELECT DENTAL 29304</t>
  </si>
  <si>
    <t>Allstate Term Life 21673</t>
  </si>
  <si>
    <t>Allstate Plan Enhancer 20214</t>
  </si>
  <si>
    <t>Allstate NHIC MedSupp 2022 Plan N Age 65-80</t>
  </si>
  <si>
    <t>Allstate Critical Illness with Term Life 21677</t>
  </si>
  <si>
    <t>Allstate Cancer and Heart-Stroke 20231</t>
  </si>
  <si>
    <t>Allstate NHIC LM 2021 Hospital Expense Protection U65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</si>
</sst>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4065-BB90-4AC4-A3C2-A46857936F83}">
  <dimension ref="A1:AL68"/>
  <sheetViews>
    <sheetView tabSelected="1" topLeftCell="A32" workbookViewId="0">
      <selection activeCell="M2" sqref="M2:M68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0.42578125" bestFit="1" customWidth="1"/>
    <col min="6" max="6" width="8.5703125" bestFit="1" customWidth="1"/>
    <col min="7" max="7" width="9.42578125" bestFit="1" customWidth="1"/>
    <col min="8" max="8" width="18.140625" bestFit="1" customWidth="1"/>
    <col min="9" max="9" width="14.140625" bestFit="1" customWidth="1"/>
    <col min="10" max="10" width="36.1406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4.5703125" bestFit="1" customWidth="1"/>
    <col min="17" max="17" width="12.140625" bestFit="1" customWidth="1"/>
    <col min="18" max="18" width="43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16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45779</v>
      </c>
      <c r="B2" s="1">
        <v>45775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>
        <v>2028520982</v>
      </c>
      <c r="J2" t="s">
        <v>81</v>
      </c>
      <c r="M2" t="s">
        <v>45</v>
      </c>
      <c r="O2" t="s">
        <v>82</v>
      </c>
      <c r="P2" t="s">
        <v>83</v>
      </c>
      <c r="Q2" t="s">
        <v>48</v>
      </c>
      <c r="R2" t="s">
        <v>62</v>
      </c>
      <c r="S2" s="1">
        <v>45778</v>
      </c>
      <c r="U2" t="s">
        <v>50</v>
      </c>
      <c r="X2" t="s">
        <v>51</v>
      </c>
      <c r="Y2" s="2">
        <v>67.19</v>
      </c>
      <c r="Z2" s="2">
        <v>67.19</v>
      </c>
      <c r="AA2">
        <v>0</v>
      </c>
      <c r="AB2" s="3">
        <v>0.375</v>
      </c>
      <c r="AC2" s="2">
        <v>0</v>
      </c>
      <c r="AD2" s="3">
        <v>0</v>
      </c>
      <c r="AE2" s="2">
        <v>0</v>
      </c>
      <c r="AF2" s="2">
        <v>0</v>
      </c>
      <c r="AK2" s="4">
        <v>18567740</v>
      </c>
    </row>
    <row r="3" spans="1:38" x14ac:dyDescent="0.25">
      <c r="A3" s="1">
        <v>45779</v>
      </c>
      <c r="B3" s="1">
        <v>45775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>
        <v>2028520983</v>
      </c>
      <c r="J3" t="s">
        <v>81</v>
      </c>
      <c r="M3" t="s">
        <v>45</v>
      </c>
      <c r="O3" t="s">
        <v>82</v>
      </c>
      <c r="P3" t="s">
        <v>83</v>
      </c>
      <c r="Q3" t="s">
        <v>48</v>
      </c>
      <c r="R3" t="s">
        <v>49</v>
      </c>
      <c r="S3" s="1">
        <v>45778</v>
      </c>
      <c r="U3" t="s">
        <v>50</v>
      </c>
      <c r="X3" t="s">
        <v>51</v>
      </c>
      <c r="Y3" s="2">
        <v>46.08</v>
      </c>
      <c r="Z3" s="2">
        <v>46.08</v>
      </c>
      <c r="AA3">
        <v>0</v>
      </c>
      <c r="AB3" s="3">
        <v>0.7</v>
      </c>
      <c r="AC3" s="2">
        <v>0</v>
      </c>
      <c r="AD3" s="3">
        <v>0</v>
      </c>
      <c r="AE3" s="2">
        <v>0</v>
      </c>
      <c r="AF3" s="2">
        <v>0</v>
      </c>
      <c r="AK3" s="4">
        <v>18538860</v>
      </c>
    </row>
    <row r="4" spans="1:38" x14ac:dyDescent="0.25">
      <c r="A4" s="1">
        <v>45779</v>
      </c>
      <c r="B4" s="1">
        <v>45775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>
        <v>2028520984</v>
      </c>
      <c r="J4" t="s">
        <v>81</v>
      </c>
      <c r="M4" t="s">
        <v>45</v>
      </c>
      <c r="O4" t="s">
        <v>82</v>
      </c>
      <c r="P4" t="s">
        <v>83</v>
      </c>
      <c r="Q4" t="s">
        <v>48</v>
      </c>
      <c r="R4" t="s">
        <v>76</v>
      </c>
      <c r="S4" s="1">
        <v>45778</v>
      </c>
      <c r="U4" t="s">
        <v>50</v>
      </c>
      <c r="X4" t="s">
        <v>51</v>
      </c>
      <c r="Y4" s="2">
        <v>65.650000000000006</v>
      </c>
      <c r="Z4" s="2">
        <v>65.650000000000006</v>
      </c>
      <c r="AA4">
        <v>0</v>
      </c>
      <c r="AB4" s="3">
        <v>0.9</v>
      </c>
      <c r="AC4" s="2">
        <v>0</v>
      </c>
      <c r="AD4" s="3">
        <v>0</v>
      </c>
      <c r="AE4" s="2">
        <v>0</v>
      </c>
      <c r="AF4" s="2">
        <v>0</v>
      </c>
      <c r="AK4" s="4">
        <v>18554800</v>
      </c>
    </row>
    <row r="5" spans="1:38" x14ac:dyDescent="0.25">
      <c r="A5" s="1">
        <v>45779</v>
      </c>
      <c r="B5" s="1">
        <v>45775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>
        <v>2028540190</v>
      </c>
      <c r="J5" t="s">
        <v>103</v>
      </c>
      <c r="M5" t="s">
        <v>45</v>
      </c>
      <c r="O5" t="s">
        <v>82</v>
      </c>
      <c r="P5" t="s">
        <v>83</v>
      </c>
      <c r="Q5" t="s">
        <v>48</v>
      </c>
      <c r="R5" t="s">
        <v>76</v>
      </c>
      <c r="S5" s="1">
        <v>45778</v>
      </c>
      <c r="U5" t="s">
        <v>50</v>
      </c>
      <c r="X5" t="s">
        <v>51</v>
      </c>
      <c r="Y5" s="2">
        <v>552.59</v>
      </c>
      <c r="Z5" s="2">
        <v>552.59</v>
      </c>
      <c r="AA5">
        <v>0</v>
      </c>
      <c r="AB5" s="3">
        <v>0.9</v>
      </c>
      <c r="AC5" s="2">
        <v>0</v>
      </c>
      <c r="AD5" s="3">
        <v>0</v>
      </c>
      <c r="AE5" s="2">
        <v>0</v>
      </c>
      <c r="AF5" s="2">
        <v>0</v>
      </c>
      <c r="AK5" s="4">
        <v>18554840</v>
      </c>
    </row>
    <row r="6" spans="1:38" x14ac:dyDescent="0.25">
      <c r="A6" s="1">
        <v>45779</v>
      </c>
      <c r="B6" s="1">
        <v>45775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>
        <v>2028540191</v>
      </c>
      <c r="J6" t="s">
        <v>103</v>
      </c>
      <c r="M6" t="s">
        <v>45</v>
      </c>
      <c r="O6" t="s">
        <v>82</v>
      </c>
      <c r="P6" t="s">
        <v>83</v>
      </c>
      <c r="Q6" t="s">
        <v>48</v>
      </c>
      <c r="R6" t="s">
        <v>49</v>
      </c>
      <c r="S6" s="1">
        <v>45778</v>
      </c>
      <c r="U6" t="s">
        <v>50</v>
      </c>
      <c r="X6" t="s">
        <v>51</v>
      </c>
      <c r="Y6" s="2">
        <v>148.27000000000001</v>
      </c>
      <c r="Z6" s="2">
        <v>148.27000000000001</v>
      </c>
      <c r="AA6">
        <v>0</v>
      </c>
      <c r="AB6" s="3">
        <v>0.7</v>
      </c>
      <c r="AC6" s="2">
        <v>0</v>
      </c>
      <c r="AD6" s="3">
        <v>0</v>
      </c>
      <c r="AE6" s="2">
        <v>0</v>
      </c>
      <c r="AF6" s="2">
        <v>0</v>
      </c>
      <c r="AK6" s="4">
        <v>18538980</v>
      </c>
    </row>
    <row r="7" spans="1:38" x14ac:dyDescent="0.25">
      <c r="A7" s="1">
        <v>45779</v>
      </c>
      <c r="B7" s="1">
        <v>45775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>
        <v>2028564473</v>
      </c>
      <c r="J7" t="s">
        <v>113</v>
      </c>
      <c r="M7" t="s">
        <v>114</v>
      </c>
      <c r="O7" t="s">
        <v>82</v>
      </c>
      <c r="P7" t="s">
        <v>83</v>
      </c>
      <c r="Q7" t="s">
        <v>48</v>
      </c>
      <c r="R7" t="s">
        <v>87</v>
      </c>
      <c r="S7" s="1">
        <v>45778</v>
      </c>
      <c r="U7" t="s">
        <v>50</v>
      </c>
      <c r="X7" t="s">
        <v>51</v>
      </c>
      <c r="Y7" s="2">
        <v>698.19</v>
      </c>
      <c r="Z7" s="2">
        <v>698.19</v>
      </c>
      <c r="AA7">
        <v>0</v>
      </c>
      <c r="AB7" s="3">
        <v>0.38</v>
      </c>
      <c r="AC7" s="2">
        <v>0</v>
      </c>
      <c r="AD7" s="3">
        <v>0</v>
      </c>
      <c r="AE7" s="2">
        <v>0</v>
      </c>
      <c r="AF7" s="2">
        <v>0</v>
      </c>
      <c r="AK7" s="4">
        <v>18539100</v>
      </c>
    </row>
    <row r="8" spans="1:38" x14ac:dyDescent="0.25">
      <c r="A8" s="1">
        <v>45779</v>
      </c>
      <c r="B8" s="1">
        <v>45775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>
        <v>2028564474</v>
      </c>
      <c r="J8" t="s">
        <v>113</v>
      </c>
      <c r="M8" t="s">
        <v>114</v>
      </c>
      <c r="O8" t="s">
        <v>82</v>
      </c>
      <c r="P8" t="s">
        <v>83</v>
      </c>
      <c r="Q8" t="s">
        <v>48</v>
      </c>
      <c r="R8" t="s">
        <v>115</v>
      </c>
      <c r="S8" s="1">
        <v>45778</v>
      </c>
      <c r="U8" t="s">
        <v>50</v>
      </c>
      <c r="X8" t="s">
        <v>51</v>
      </c>
      <c r="Y8" s="2">
        <v>7.09</v>
      </c>
      <c r="Z8" s="2">
        <v>7.09</v>
      </c>
      <c r="AA8">
        <v>0</v>
      </c>
      <c r="AB8" s="3">
        <v>0.38</v>
      </c>
      <c r="AC8" s="2">
        <v>0</v>
      </c>
      <c r="AD8" s="3">
        <v>0</v>
      </c>
      <c r="AE8" s="2">
        <v>0</v>
      </c>
      <c r="AF8" s="2">
        <v>0</v>
      </c>
      <c r="AK8" s="4">
        <v>18569150</v>
      </c>
    </row>
    <row r="9" spans="1:38" x14ac:dyDescent="0.25">
      <c r="A9" s="1">
        <v>45779</v>
      </c>
      <c r="B9" s="1">
        <v>45775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>
        <v>2028564475</v>
      </c>
      <c r="J9" t="s">
        <v>113</v>
      </c>
      <c r="M9" t="s">
        <v>114</v>
      </c>
      <c r="O9" t="s">
        <v>82</v>
      </c>
      <c r="P9" t="s">
        <v>83</v>
      </c>
      <c r="Q9" t="s">
        <v>48</v>
      </c>
      <c r="R9" t="s">
        <v>62</v>
      </c>
      <c r="S9" s="1">
        <v>45778</v>
      </c>
      <c r="U9" t="s">
        <v>50</v>
      </c>
      <c r="X9" t="s">
        <v>51</v>
      </c>
      <c r="Y9" s="2">
        <v>89.86</v>
      </c>
      <c r="Z9" s="2">
        <v>89.86</v>
      </c>
      <c r="AA9">
        <v>0</v>
      </c>
      <c r="AB9" s="3">
        <v>0.375</v>
      </c>
      <c r="AC9" s="2">
        <v>0</v>
      </c>
      <c r="AD9" s="3">
        <v>0</v>
      </c>
      <c r="AE9" s="2">
        <v>0</v>
      </c>
      <c r="AF9" s="2">
        <v>0</v>
      </c>
      <c r="AK9" s="4">
        <v>18568120</v>
      </c>
    </row>
    <row r="10" spans="1:38" x14ac:dyDescent="0.25">
      <c r="A10" s="1">
        <v>45779</v>
      </c>
      <c r="B10" s="1">
        <v>45775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>
        <v>2028564476</v>
      </c>
      <c r="J10" t="s">
        <v>113</v>
      </c>
      <c r="M10" t="s">
        <v>114</v>
      </c>
      <c r="O10" t="s">
        <v>82</v>
      </c>
      <c r="P10" t="s">
        <v>83</v>
      </c>
      <c r="Q10" t="s">
        <v>48</v>
      </c>
      <c r="R10" t="s">
        <v>109</v>
      </c>
      <c r="S10" s="1">
        <v>45778</v>
      </c>
      <c r="U10" t="s">
        <v>50</v>
      </c>
      <c r="X10" t="s">
        <v>51</v>
      </c>
      <c r="Y10" s="2">
        <v>131.25</v>
      </c>
      <c r="Z10" s="2">
        <v>131.25</v>
      </c>
      <c r="AA10">
        <v>0</v>
      </c>
      <c r="AB10" s="3">
        <v>0.9</v>
      </c>
      <c r="AC10" s="2">
        <v>0</v>
      </c>
      <c r="AD10" s="3">
        <v>0</v>
      </c>
      <c r="AE10" s="2">
        <v>0</v>
      </c>
      <c r="AF10" s="2">
        <v>0</v>
      </c>
      <c r="AK10" s="4">
        <v>18572490</v>
      </c>
    </row>
    <row r="11" spans="1:38" x14ac:dyDescent="0.25">
      <c r="A11" s="1">
        <v>45779</v>
      </c>
      <c r="B11" s="1">
        <v>45775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>
        <v>2028567155</v>
      </c>
      <c r="J11" t="s">
        <v>116</v>
      </c>
      <c r="M11" t="s">
        <v>45</v>
      </c>
      <c r="O11" t="s">
        <v>82</v>
      </c>
      <c r="P11" t="s">
        <v>83</v>
      </c>
      <c r="Q11" t="s">
        <v>48</v>
      </c>
      <c r="R11" t="s">
        <v>87</v>
      </c>
      <c r="S11" s="1">
        <v>45778</v>
      </c>
      <c r="U11" t="s">
        <v>50</v>
      </c>
      <c r="X11" t="s">
        <v>51</v>
      </c>
      <c r="Y11" s="2">
        <v>131.32</v>
      </c>
      <c r="Z11" s="2">
        <v>131.32</v>
      </c>
      <c r="AA11">
        <v>0</v>
      </c>
      <c r="AB11" s="3">
        <v>0.38</v>
      </c>
      <c r="AC11" s="2">
        <v>0</v>
      </c>
      <c r="AD11" s="3">
        <v>0</v>
      </c>
      <c r="AE11" s="2">
        <v>0</v>
      </c>
      <c r="AF11" s="2">
        <v>0</v>
      </c>
      <c r="AK11" s="4">
        <v>18539120</v>
      </c>
    </row>
    <row r="12" spans="1:38" x14ac:dyDescent="0.25">
      <c r="A12" s="1">
        <v>45779</v>
      </c>
      <c r="B12" s="1">
        <v>45775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>
        <v>2028567156</v>
      </c>
      <c r="J12" t="s">
        <v>116</v>
      </c>
      <c r="M12" t="s">
        <v>45</v>
      </c>
      <c r="O12" t="s">
        <v>82</v>
      </c>
      <c r="P12" t="s">
        <v>83</v>
      </c>
      <c r="Q12" t="s">
        <v>48</v>
      </c>
      <c r="R12" t="s">
        <v>88</v>
      </c>
      <c r="S12" s="1">
        <v>45778</v>
      </c>
      <c r="U12" t="s">
        <v>50</v>
      </c>
      <c r="X12" t="s">
        <v>89</v>
      </c>
      <c r="Y12" s="2">
        <v>15</v>
      </c>
      <c r="Z12" s="2">
        <v>15</v>
      </c>
      <c r="AA12">
        <v>0</v>
      </c>
      <c r="AB12" s="3">
        <v>0.38</v>
      </c>
      <c r="AC12" s="2">
        <v>0</v>
      </c>
      <c r="AD12" s="3">
        <v>0</v>
      </c>
      <c r="AE12" s="2">
        <v>0</v>
      </c>
      <c r="AF12" s="2">
        <v>0</v>
      </c>
      <c r="AK12" s="4">
        <v>18547540</v>
      </c>
    </row>
    <row r="13" spans="1:38" x14ac:dyDescent="0.25">
      <c r="A13" s="1">
        <v>45779</v>
      </c>
      <c r="B13" s="1">
        <v>45775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>
        <v>2028164500</v>
      </c>
      <c r="J13" t="s">
        <v>44</v>
      </c>
      <c r="M13" t="s">
        <v>45</v>
      </c>
      <c r="O13" t="s">
        <v>46</v>
      </c>
      <c r="P13" t="s">
        <v>47</v>
      </c>
      <c r="Q13" t="s">
        <v>48</v>
      </c>
      <c r="R13" t="s">
        <v>49</v>
      </c>
      <c r="S13" s="1">
        <v>45778</v>
      </c>
      <c r="U13" t="s">
        <v>50</v>
      </c>
      <c r="X13" t="s">
        <v>51</v>
      </c>
      <c r="Y13" s="2">
        <v>211.12</v>
      </c>
      <c r="Z13" s="2">
        <v>211.12</v>
      </c>
      <c r="AA13">
        <v>0</v>
      </c>
      <c r="AB13" s="3">
        <v>0.7</v>
      </c>
      <c r="AC13" s="2">
        <v>0</v>
      </c>
      <c r="AD13" s="3">
        <v>0</v>
      </c>
      <c r="AE13" s="2">
        <v>0</v>
      </c>
      <c r="AF13" s="2">
        <v>0</v>
      </c>
      <c r="AK13" s="4">
        <v>18538650</v>
      </c>
    </row>
    <row r="14" spans="1:38" x14ac:dyDescent="0.25">
      <c r="A14" s="1">
        <v>45779</v>
      </c>
      <c r="B14" s="1">
        <v>45775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>
        <v>2028439375</v>
      </c>
      <c r="J14" t="s">
        <v>72</v>
      </c>
      <c r="M14" t="s">
        <v>45</v>
      </c>
      <c r="O14" t="s">
        <v>46</v>
      </c>
      <c r="P14" t="s">
        <v>47</v>
      </c>
      <c r="Q14" t="s">
        <v>48</v>
      </c>
      <c r="R14" t="s">
        <v>62</v>
      </c>
      <c r="S14" s="1">
        <v>45778</v>
      </c>
      <c r="U14" t="s">
        <v>50</v>
      </c>
      <c r="X14" t="s">
        <v>51</v>
      </c>
      <c r="Y14" s="2">
        <v>142.13</v>
      </c>
      <c r="Z14" s="2">
        <v>142.13</v>
      </c>
      <c r="AA14">
        <v>0</v>
      </c>
      <c r="AB14" s="3">
        <v>0.375</v>
      </c>
      <c r="AC14" s="2">
        <v>0</v>
      </c>
      <c r="AD14" s="3">
        <v>0</v>
      </c>
      <c r="AE14" s="2">
        <v>0</v>
      </c>
      <c r="AF14" s="2">
        <v>0</v>
      </c>
      <c r="AK14" s="4">
        <v>18567620</v>
      </c>
    </row>
    <row r="15" spans="1:38" x14ac:dyDescent="0.25">
      <c r="A15" s="1">
        <v>45779</v>
      </c>
      <c r="B15" s="1">
        <v>45775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>
        <v>2028457981</v>
      </c>
      <c r="J15" t="s">
        <v>73</v>
      </c>
      <c r="M15" t="s">
        <v>45</v>
      </c>
      <c r="O15" t="s">
        <v>46</v>
      </c>
      <c r="P15" t="s">
        <v>47</v>
      </c>
      <c r="Q15" t="s">
        <v>48</v>
      </c>
      <c r="R15" t="s">
        <v>49</v>
      </c>
      <c r="S15" s="1">
        <v>45778</v>
      </c>
      <c r="U15" t="s">
        <v>50</v>
      </c>
      <c r="X15" t="s">
        <v>51</v>
      </c>
      <c r="Y15" s="2">
        <v>51</v>
      </c>
      <c r="Z15" s="2">
        <v>51</v>
      </c>
      <c r="AA15">
        <v>0</v>
      </c>
      <c r="AB15" s="3">
        <v>0.7</v>
      </c>
      <c r="AC15" s="2">
        <v>0</v>
      </c>
      <c r="AD15" s="3">
        <v>0</v>
      </c>
      <c r="AE15" s="2">
        <v>0</v>
      </c>
      <c r="AF15" s="2">
        <v>0</v>
      </c>
      <c r="AK15" s="4">
        <v>18538770</v>
      </c>
    </row>
    <row r="16" spans="1:38" x14ac:dyDescent="0.25">
      <c r="A16" s="1">
        <v>45779</v>
      </c>
      <c r="B16" s="1">
        <v>45775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>
        <v>2028457982</v>
      </c>
      <c r="J16" t="s">
        <v>73</v>
      </c>
      <c r="M16" t="s">
        <v>45</v>
      </c>
      <c r="O16" t="s">
        <v>46</v>
      </c>
      <c r="P16" t="s">
        <v>47</v>
      </c>
      <c r="Q16" t="s">
        <v>48</v>
      </c>
      <c r="R16" t="s">
        <v>70</v>
      </c>
      <c r="S16" s="1">
        <v>45778</v>
      </c>
      <c r="U16" t="s">
        <v>50</v>
      </c>
      <c r="X16" t="s">
        <v>51</v>
      </c>
      <c r="Y16" s="2">
        <v>21.88</v>
      </c>
      <c r="Z16" s="2">
        <v>21.88</v>
      </c>
      <c r="AA16">
        <v>0</v>
      </c>
      <c r="AB16" s="3">
        <v>0.75</v>
      </c>
      <c r="AC16" s="2">
        <v>0</v>
      </c>
      <c r="AD16" s="3">
        <v>0</v>
      </c>
      <c r="AE16" s="2">
        <v>0</v>
      </c>
      <c r="AF16" s="2">
        <v>0</v>
      </c>
      <c r="AK16" s="4">
        <v>18554760</v>
      </c>
    </row>
    <row r="17" spans="1:37" x14ac:dyDescent="0.25">
      <c r="A17" s="1">
        <v>45779</v>
      </c>
      <c r="B17" s="1">
        <v>45775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>
        <v>2028465297</v>
      </c>
      <c r="J17" t="s">
        <v>77</v>
      </c>
      <c r="M17" t="s">
        <v>45</v>
      </c>
      <c r="O17" t="s">
        <v>46</v>
      </c>
      <c r="P17" t="s">
        <v>47</v>
      </c>
      <c r="Q17" t="s">
        <v>48</v>
      </c>
      <c r="R17" t="s">
        <v>49</v>
      </c>
      <c r="S17" s="1">
        <v>45778</v>
      </c>
      <c r="U17" t="s">
        <v>50</v>
      </c>
      <c r="X17" t="s">
        <v>51</v>
      </c>
      <c r="Y17" s="2">
        <v>34</v>
      </c>
      <c r="Z17" s="2">
        <v>34</v>
      </c>
      <c r="AA17">
        <v>0</v>
      </c>
      <c r="AB17" s="3">
        <v>0.7</v>
      </c>
      <c r="AC17" s="2">
        <v>0</v>
      </c>
      <c r="AD17" s="3">
        <v>0</v>
      </c>
      <c r="AE17" s="2">
        <v>0</v>
      </c>
      <c r="AF17" s="2">
        <v>0</v>
      </c>
      <c r="AK17" s="4">
        <v>18538780</v>
      </c>
    </row>
    <row r="18" spans="1:37" x14ac:dyDescent="0.25">
      <c r="A18" s="1">
        <v>45779</v>
      </c>
      <c r="B18" s="1">
        <v>45775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>
        <v>2028465298</v>
      </c>
      <c r="J18" t="s">
        <v>77</v>
      </c>
      <c r="M18" t="s">
        <v>45</v>
      </c>
      <c r="O18" t="s">
        <v>46</v>
      </c>
      <c r="P18" t="s">
        <v>47</v>
      </c>
      <c r="Q18" t="s">
        <v>48</v>
      </c>
      <c r="R18" t="s">
        <v>70</v>
      </c>
      <c r="S18" s="1">
        <v>45778</v>
      </c>
      <c r="U18" t="s">
        <v>50</v>
      </c>
      <c r="X18" t="s">
        <v>51</v>
      </c>
      <c r="Y18" s="2">
        <v>20.75</v>
      </c>
      <c r="Z18" s="2">
        <v>20.75</v>
      </c>
      <c r="AA18">
        <v>0</v>
      </c>
      <c r="AB18" s="3">
        <v>0.75</v>
      </c>
      <c r="AC18" s="2">
        <v>0</v>
      </c>
      <c r="AD18" s="3">
        <v>0</v>
      </c>
      <c r="AE18" s="2">
        <v>0</v>
      </c>
      <c r="AF18" s="2">
        <v>0</v>
      </c>
      <c r="AK18" s="4">
        <v>18554770</v>
      </c>
    </row>
    <row r="19" spans="1:37" x14ac:dyDescent="0.25">
      <c r="A19" s="1">
        <v>45779</v>
      </c>
      <c r="B19" s="1">
        <v>45775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>
        <v>2028465299</v>
      </c>
      <c r="J19" t="s">
        <v>77</v>
      </c>
      <c r="M19" t="s">
        <v>45</v>
      </c>
      <c r="O19" t="s">
        <v>46</v>
      </c>
      <c r="P19" t="s">
        <v>47</v>
      </c>
      <c r="Q19" t="s">
        <v>48</v>
      </c>
      <c r="R19" t="s">
        <v>62</v>
      </c>
      <c r="S19" s="1">
        <v>45778</v>
      </c>
      <c r="U19" t="s">
        <v>50</v>
      </c>
      <c r="X19" t="s">
        <v>51</v>
      </c>
      <c r="Y19" s="2">
        <v>76.19</v>
      </c>
      <c r="Z19" s="2">
        <v>76.19</v>
      </c>
      <c r="AA19">
        <v>0</v>
      </c>
      <c r="AB19" s="3">
        <v>0.375</v>
      </c>
      <c r="AC19" s="2">
        <v>0</v>
      </c>
      <c r="AD19" s="3">
        <v>0</v>
      </c>
      <c r="AE19" s="2">
        <v>0</v>
      </c>
      <c r="AF19" s="2">
        <v>0</v>
      </c>
      <c r="AK19" s="4">
        <v>18567640</v>
      </c>
    </row>
    <row r="20" spans="1:37" x14ac:dyDescent="0.25">
      <c r="A20" s="1">
        <v>45779</v>
      </c>
      <c r="B20" s="1">
        <v>45775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>
        <v>2028590496</v>
      </c>
      <c r="J20" t="s">
        <v>128</v>
      </c>
      <c r="M20" t="s">
        <v>45</v>
      </c>
      <c r="O20" t="s">
        <v>46</v>
      </c>
      <c r="P20" t="s">
        <v>47</v>
      </c>
      <c r="Q20" t="s">
        <v>48</v>
      </c>
      <c r="R20" t="s">
        <v>49</v>
      </c>
      <c r="S20" s="1">
        <v>45778</v>
      </c>
      <c r="U20" t="s">
        <v>50</v>
      </c>
      <c r="X20" t="s">
        <v>51</v>
      </c>
      <c r="Y20" s="2">
        <v>34</v>
      </c>
      <c r="Z20" s="2">
        <v>34</v>
      </c>
      <c r="AA20">
        <v>0</v>
      </c>
      <c r="AB20" s="3">
        <v>0.7</v>
      </c>
      <c r="AC20" s="2">
        <v>0</v>
      </c>
      <c r="AD20" s="3">
        <v>0</v>
      </c>
      <c r="AE20" s="2">
        <v>0</v>
      </c>
      <c r="AF20" s="2">
        <v>0</v>
      </c>
      <c r="AK20" s="4">
        <v>18539260</v>
      </c>
    </row>
    <row r="21" spans="1:37" x14ac:dyDescent="0.25">
      <c r="A21" s="1">
        <v>45779</v>
      </c>
      <c r="B21" s="1">
        <v>45775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>
        <v>2028590497</v>
      </c>
      <c r="J21" t="s">
        <v>128</v>
      </c>
      <c r="M21" t="s">
        <v>45</v>
      </c>
      <c r="O21" t="s">
        <v>46</v>
      </c>
      <c r="P21" t="s">
        <v>47</v>
      </c>
      <c r="Q21" t="s">
        <v>48</v>
      </c>
      <c r="R21" t="s">
        <v>62</v>
      </c>
      <c r="S21" s="1">
        <v>45778</v>
      </c>
      <c r="U21" t="s">
        <v>50</v>
      </c>
      <c r="X21" t="s">
        <v>51</v>
      </c>
      <c r="Y21" s="2">
        <v>43.36</v>
      </c>
      <c r="Z21" s="2">
        <v>43.36</v>
      </c>
      <c r="AA21">
        <v>0</v>
      </c>
      <c r="AB21" s="3">
        <v>0.375</v>
      </c>
      <c r="AC21" s="2">
        <v>0</v>
      </c>
      <c r="AD21" s="3">
        <v>0</v>
      </c>
      <c r="AE21" s="2">
        <v>0</v>
      </c>
      <c r="AF21" s="2">
        <v>0</v>
      </c>
      <c r="AK21" s="4">
        <v>18568360</v>
      </c>
    </row>
    <row r="22" spans="1:37" x14ac:dyDescent="0.25">
      <c r="A22" s="1">
        <v>45779</v>
      </c>
      <c r="B22" s="1">
        <v>45775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>
        <v>2028590855</v>
      </c>
      <c r="J22" t="s">
        <v>129</v>
      </c>
      <c r="M22" t="s">
        <v>45</v>
      </c>
      <c r="O22" t="s">
        <v>46</v>
      </c>
      <c r="P22" t="s">
        <v>47</v>
      </c>
      <c r="Q22" t="s">
        <v>48</v>
      </c>
      <c r="R22" t="s">
        <v>49</v>
      </c>
      <c r="S22" s="1">
        <v>45778</v>
      </c>
      <c r="U22" t="s">
        <v>50</v>
      </c>
      <c r="X22" t="s">
        <v>51</v>
      </c>
      <c r="Y22" s="2">
        <v>34</v>
      </c>
      <c r="Z22" s="2">
        <v>34</v>
      </c>
      <c r="AA22">
        <v>0</v>
      </c>
      <c r="AB22" s="3">
        <v>0.7</v>
      </c>
      <c r="AC22" s="2">
        <v>0</v>
      </c>
      <c r="AD22" s="3">
        <v>0</v>
      </c>
      <c r="AE22" s="2">
        <v>0</v>
      </c>
      <c r="AF22" s="2">
        <v>0</v>
      </c>
      <c r="AK22" s="4">
        <v>18539270</v>
      </c>
    </row>
    <row r="23" spans="1:37" x14ac:dyDescent="0.25">
      <c r="A23" s="1">
        <v>45779</v>
      </c>
      <c r="B23" s="1">
        <v>45775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>
        <v>2028590856</v>
      </c>
      <c r="J23" t="s">
        <v>129</v>
      </c>
      <c r="M23" t="s">
        <v>45</v>
      </c>
      <c r="O23" t="s">
        <v>46</v>
      </c>
      <c r="P23" t="s">
        <v>47</v>
      </c>
      <c r="Q23" t="s">
        <v>48</v>
      </c>
      <c r="R23" t="s">
        <v>62</v>
      </c>
      <c r="S23" s="1">
        <v>45778</v>
      </c>
      <c r="U23" t="s">
        <v>50</v>
      </c>
      <c r="X23" t="s">
        <v>51</v>
      </c>
      <c r="Y23" s="2">
        <v>43.36</v>
      </c>
      <c r="Z23" s="2">
        <v>43.36</v>
      </c>
      <c r="AA23">
        <v>0</v>
      </c>
      <c r="AB23" s="3">
        <v>0.375</v>
      </c>
      <c r="AC23" s="2">
        <v>0</v>
      </c>
      <c r="AD23" s="3">
        <v>0</v>
      </c>
      <c r="AE23" s="2">
        <v>0</v>
      </c>
      <c r="AF23" s="2">
        <v>0</v>
      </c>
      <c r="AK23" s="4">
        <v>18568360</v>
      </c>
    </row>
    <row r="24" spans="1:37" x14ac:dyDescent="0.25">
      <c r="A24" s="1">
        <v>45779</v>
      </c>
      <c r="B24" s="1">
        <v>45775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>
        <v>2028590995</v>
      </c>
      <c r="J24" t="s">
        <v>130</v>
      </c>
      <c r="M24" t="s">
        <v>45</v>
      </c>
      <c r="O24" t="s">
        <v>46</v>
      </c>
      <c r="P24" t="s">
        <v>47</v>
      </c>
      <c r="Q24" t="s">
        <v>48</v>
      </c>
      <c r="R24" t="s">
        <v>62</v>
      </c>
      <c r="S24" s="1">
        <v>45778</v>
      </c>
      <c r="U24" t="s">
        <v>50</v>
      </c>
      <c r="X24" t="s">
        <v>51</v>
      </c>
      <c r="Y24" s="2">
        <v>59.51</v>
      </c>
      <c r="Z24" s="2">
        <v>59.51</v>
      </c>
      <c r="AA24">
        <v>0</v>
      </c>
      <c r="AB24" s="3">
        <v>0.375</v>
      </c>
      <c r="AC24" s="2">
        <v>0</v>
      </c>
      <c r="AD24" s="3">
        <v>0</v>
      </c>
      <c r="AE24" s="2">
        <v>0</v>
      </c>
      <c r="AF24" s="2">
        <v>0</v>
      </c>
      <c r="AK24" s="4">
        <v>18568370</v>
      </c>
    </row>
    <row r="25" spans="1:37" x14ac:dyDescent="0.25">
      <c r="A25" s="1">
        <v>45779</v>
      </c>
      <c r="B25" s="1">
        <v>45775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>
        <v>2028590996</v>
      </c>
      <c r="J25" t="s">
        <v>130</v>
      </c>
      <c r="M25" t="s">
        <v>45</v>
      </c>
      <c r="O25" t="s">
        <v>46</v>
      </c>
      <c r="P25" t="s">
        <v>47</v>
      </c>
      <c r="Q25" t="s">
        <v>48</v>
      </c>
      <c r="R25" t="s">
        <v>49</v>
      </c>
      <c r="S25" s="1">
        <v>45778</v>
      </c>
      <c r="U25" t="s">
        <v>50</v>
      </c>
      <c r="X25" t="s">
        <v>51</v>
      </c>
      <c r="Y25" s="2">
        <v>19</v>
      </c>
      <c r="Z25" s="2">
        <v>19</v>
      </c>
      <c r="AA25">
        <v>0</v>
      </c>
      <c r="AB25" s="3">
        <v>0.7</v>
      </c>
      <c r="AC25" s="2">
        <v>0</v>
      </c>
      <c r="AD25" s="3">
        <v>0</v>
      </c>
      <c r="AE25" s="2">
        <v>0</v>
      </c>
      <c r="AF25" s="2">
        <v>0</v>
      </c>
      <c r="AK25" s="4">
        <v>18539270</v>
      </c>
    </row>
    <row r="26" spans="1:37" x14ac:dyDescent="0.25">
      <c r="A26" s="1">
        <v>45779</v>
      </c>
      <c r="B26" s="1">
        <v>45775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>
        <v>2028466569</v>
      </c>
      <c r="J26" t="s">
        <v>78</v>
      </c>
      <c r="M26" t="s">
        <v>45</v>
      </c>
      <c r="O26" t="s">
        <v>79</v>
      </c>
      <c r="P26" t="s">
        <v>80</v>
      </c>
      <c r="Q26" t="s">
        <v>48</v>
      </c>
      <c r="R26" t="s">
        <v>62</v>
      </c>
      <c r="S26" s="1">
        <v>45778</v>
      </c>
      <c r="U26" t="s">
        <v>50</v>
      </c>
      <c r="X26" t="s">
        <v>51</v>
      </c>
      <c r="Y26" s="2">
        <v>22.52</v>
      </c>
      <c r="Z26" s="2">
        <v>22.52</v>
      </c>
      <c r="AA26">
        <v>0</v>
      </c>
      <c r="AB26" s="3">
        <v>0.375</v>
      </c>
      <c r="AC26" s="2">
        <v>0</v>
      </c>
      <c r="AD26" s="3">
        <v>0</v>
      </c>
      <c r="AE26" s="2">
        <v>0</v>
      </c>
      <c r="AF26" s="2">
        <v>0</v>
      </c>
      <c r="AK26" s="4">
        <v>18567640</v>
      </c>
    </row>
    <row r="27" spans="1:37" x14ac:dyDescent="0.25">
      <c r="A27" s="1">
        <v>45779</v>
      </c>
      <c r="B27" s="1">
        <v>45775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>
        <v>2028617863</v>
      </c>
      <c r="J27" t="s">
        <v>133</v>
      </c>
      <c r="M27" t="s">
        <v>45</v>
      </c>
      <c r="O27" t="s">
        <v>134</v>
      </c>
      <c r="P27" t="s">
        <v>135</v>
      </c>
      <c r="Q27" t="s">
        <v>48</v>
      </c>
      <c r="R27" t="s">
        <v>62</v>
      </c>
      <c r="S27" s="1">
        <v>45773</v>
      </c>
      <c r="U27" t="s">
        <v>50</v>
      </c>
      <c r="X27" t="s">
        <v>51</v>
      </c>
      <c r="Y27" s="2">
        <v>48.44</v>
      </c>
      <c r="Z27" s="2">
        <v>48.44</v>
      </c>
      <c r="AA27">
        <v>0</v>
      </c>
      <c r="AB27" s="3">
        <v>0.375</v>
      </c>
      <c r="AC27" s="2">
        <v>0</v>
      </c>
      <c r="AD27" s="3">
        <v>0</v>
      </c>
      <c r="AE27" s="2">
        <v>0</v>
      </c>
      <c r="AF27" s="2">
        <v>0</v>
      </c>
      <c r="AK27" s="4">
        <v>18568570</v>
      </c>
    </row>
    <row r="28" spans="1:37" x14ac:dyDescent="0.25">
      <c r="A28" s="1">
        <v>45779</v>
      </c>
      <c r="B28" s="1">
        <v>45775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>
        <v>2028172531</v>
      </c>
      <c r="J28" t="s">
        <v>52</v>
      </c>
      <c r="M28" t="s">
        <v>53</v>
      </c>
      <c r="O28" t="s">
        <v>54</v>
      </c>
      <c r="P28" t="s">
        <v>55</v>
      </c>
      <c r="Q28" t="s">
        <v>48</v>
      </c>
      <c r="R28" t="s">
        <v>49</v>
      </c>
      <c r="S28" s="1">
        <v>45784</v>
      </c>
      <c r="U28" t="s">
        <v>50</v>
      </c>
      <c r="X28" t="s">
        <v>51</v>
      </c>
      <c r="Y28" s="2">
        <v>48.76</v>
      </c>
      <c r="Z28" s="2">
        <v>48.76</v>
      </c>
      <c r="AA28">
        <v>0</v>
      </c>
      <c r="AB28" s="3">
        <v>0.7</v>
      </c>
      <c r="AC28" s="2">
        <v>0</v>
      </c>
      <c r="AD28" s="3">
        <v>0</v>
      </c>
      <c r="AE28" s="2">
        <v>0</v>
      </c>
      <c r="AF28" s="2">
        <v>0</v>
      </c>
      <c r="AK28" s="4">
        <v>18538660</v>
      </c>
    </row>
    <row r="29" spans="1:37" x14ac:dyDescent="0.25">
      <c r="A29" s="1">
        <v>45779</v>
      </c>
      <c r="B29" s="1">
        <v>45775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>
        <v>2028361729</v>
      </c>
      <c r="J29" t="s">
        <v>63</v>
      </c>
      <c r="M29" t="s">
        <v>45</v>
      </c>
      <c r="O29" t="s">
        <v>64</v>
      </c>
      <c r="P29" t="s">
        <v>65</v>
      </c>
      <c r="Q29" t="s">
        <v>48</v>
      </c>
      <c r="R29" t="s">
        <v>66</v>
      </c>
      <c r="S29" s="1">
        <v>45778</v>
      </c>
      <c r="U29" t="s">
        <v>50</v>
      </c>
      <c r="X29" t="s">
        <v>51</v>
      </c>
      <c r="Y29" s="2">
        <v>112.21</v>
      </c>
      <c r="Z29" s="2">
        <v>112.21</v>
      </c>
      <c r="AA29">
        <v>0</v>
      </c>
      <c r="AB29" s="3">
        <v>0.28000000000000003</v>
      </c>
      <c r="AC29" s="2">
        <v>0</v>
      </c>
      <c r="AD29" s="3">
        <v>0</v>
      </c>
      <c r="AE29" s="2">
        <v>0</v>
      </c>
      <c r="AF29" s="2">
        <v>0</v>
      </c>
      <c r="AK29" s="4">
        <v>18523320</v>
      </c>
    </row>
    <row r="30" spans="1:37" x14ac:dyDescent="0.25">
      <c r="A30" s="1">
        <v>45779</v>
      </c>
      <c r="B30" s="1">
        <v>45775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>
        <v>2028422101</v>
      </c>
      <c r="J30" t="s">
        <v>71</v>
      </c>
      <c r="M30" t="s">
        <v>45</v>
      </c>
      <c r="O30" t="s">
        <v>64</v>
      </c>
      <c r="P30" t="s">
        <v>65</v>
      </c>
      <c r="Q30" t="s">
        <v>48</v>
      </c>
      <c r="R30" t="s">
        <v>66</v>
      </c>
      <c r="S30" s="1">
        <v>45778</v>
      </c>
      <c r="U30" t="s">
        <v>50</v>
      </c>
      <c r="X30" t="s">
        <v>51</v>
      </c>
      <c r="Y30" s="2">
        <v>143.93</v>
      </c>
      <c r="Z30" s="2">
        <v>143.93</v>
      </c>
      <c r="AA30">
        <v>0</v>
      </c>
      <c r="AB30" s="3">
        <v>0.28000000000000003</v>
      </c>
      <c r="AC30" s="2">
        <v>0</v>
      </c>
      <c r="AD30" s="3">
        <v>0</v>
      </c>
      <c r="AE30" s="2">
        <v>0</v>
      </c>
      <c r="AF30" s="2">
        <v>0</v>
      </c>
      <c r="AK30" s="4">
        <v>18523450</v>
      </c>
    </row>
    <row r="31" spans="1:37" x14ac:dyDescent="0.25">
      <c r="A31" s="1">
        <v>45779</v>
      </c>
      <c r="B31" s="1">
        <v>45775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>
        <v>2028533939</v>
      </c>
      <c r="J31" t="s">
        <v>96</v>
      </c>
      <c r="M31" t="s">
        <v>45</v>
      </c>
      <c r="O31" t="s">
        <v>64</v>
      </c>
      <c r="P31" t="s">
        <v>65</v>
      </c>
      <c r="Q31" t="s">
        <v>48</v>
      </c>
      <c r="R31" t="s">
        <v>87</v>
      </c>
      <c r="S31" s="1">
        <v>45770</v>
      </c>
      <c r="U31" t="s">
        <v>50</v>
      </c>
      <c r="X31" t="s">
        <v>51</v>
      </c>
      <c r="Y31" s="2">
        <v>139</v>
      </c>
      <c r="Z31" s="2">
        <v>139</v>
      </c>
      <c r="AA31">
        <v>0</v>
      </c>
      <c r="AB31" s="3">
        <v>0.38</v>
      </c>
      <c r="AC31" s="2">
        <v>0</v>
      </c>
      <c r="AD31" s="3">
        <v>0</v>
      </c>
      <c r="AE31" s="2">
        <v>0</v>
      </c>
      <c r="AF31" s="2">
        <v>0</v>
      </c>
      <c r="AK31" s="4">
        <v>18538930</v>
      </c>
    </row>
    <row r="32" spans="1:37" x14ac:dyDescent="0.25">
      <c r="A32" s="1">
        <v>45779</v>
      </c>
      <c r="B32" s="1">
        <v>45775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>
        <v>2028533940</v>
      </c>
      <c r="J32" t="s">
        <v>96</v>
      </c>
      <c r="M32" t="s">
        <v>45</v>
      </c>
      <c r="O32" t="s">
        <v>64</v>
      </c>
      <c r="P32" t="s">
        <v>65</v>
      </c>
      <c r="Q32" t="s">
        <v>48</v>
      </c>
      <c r="R32" t="s">
        <v>88</v>
      </c>
      <c r="S32" s="1">
        <v>45770</v>
      </c>
      <c r="U32" t="s">
        <v>50</v>
      </c>
      <c r="X32" t="s">
        <v>89</v>
      </c>
      <c r="Y32" s="2">
        <v>15</v>
      </c>
      <c r="Z32" s="2">
        <v>15</v>
      </c>
      <c r="AA32">
        <v>0</v>
      </c>
      <c r="AB32" s="3">
        <v>0.38</v>
      </c>
      <c r="AC32" s="2">
        <v>0</v>
      </c>
      <c r="AD32" s="3">
        <v>0</v>
      </c>
      <c r="AE32" s="2">
        <v>0</v>
      </c>
      <c r="AF32" s="2">
        <v>0</v>
      </c>
      <c r="AK32" s="4">
        <v>18547460</v>
      </c>
    </row>
    <row r="33" spans="1:37" x14ac:dyDescent="0.25">
      <c r="A33" s="1">
        <v>45779</v>
      </c>
      <c r="B33" s="1">
        <v>45775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>
        <v>2028627541</v>
      </c>
      <c r="J33" t="s">
        <v>136</v>
      </c>
      <c r="M33" t="s">
        <v>75</v>
      </c>
      <c r="O33" t="s">
        <v>64</v>
      </c>
      <c r="P33" t="s">
        <v>65</v>
      </c>
      <c r="Q33" t="s">
        <v>48</v>
      </c>
      <c r="R33" t="s">
        <v>87</v>
      </c>
      <c r="S33" s="1">
        <v>45774</v>
      </c>
      <c r="U33" t="s">
        <v>50</v>
      </c>
      <c r="X33" t="s">
        <v>51</v>
      </c>
      <c r="Y33" s="2">
        <v>172.55</v>
      </c>
      <c r="Z33" s="2">
        <v>172.55</v>
      </c>
      <c r="AA33">
        <v>0</v>
      </c>
      <c r="AB33" s="3">
        <v>0.38</v>
      </c>
      <c r="AC33" s="2">
        <v>0</v>
      </c>
      <c r="AD33" s="3">
        <v>0</v>
      </c>
      <c r="AE33" s="2">
        <v>0</v>
      </c>
      <c r="AF33" s="2">
        <v>0</v>
      </c>
      <c r="AK33" s="4">
        <v>18539410</v>
      </c>
    </row>
    <row r="34" spans="1:37" x14ac:dyDescent="0.25">
      <c r="A34" s="1">
        <v>45779</v>
      </c>
      <c r="B34" s="1">
        <v>45775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>
        <v>2028627542</v>
      </c>
      <c r="J34" t="s">
        <v>136</v>
      </c>
      <c r="M34" t="s">
        <v>75</v>
      </c>
      <c r="O34" t="s">
        <v>64</v>
      </c>
      <c r="P34" t="s">
        <v>65</v>
      </c>
      <c r="Q34" t="s">
        <v>48</v>
      </c>
      <c r="R34" t="s">
        <v>115</v>
      </c>
      <c r="S34" s="1">
        <v>45774</v>
      </c>
      <c r="U34" t="s">
        <v>50</v>
      </c>
      <c r="X34" t="s">
        <v>51</v>
      </c>
      <c r="Y34" s="2">
        <v>7.09</v>
      </c>
      <c r="Z34" s="2">
        <v>7.09</v>
      </c>
      <c r="AA34">
        <v>0</v>
      </c>
      <c r="AB34" s="3">
        <v>0.38</v>
      </c>
      <c r="AC34" s="2">
        <v>0</v>
      </c>
      <c r="AD34" s="3">
        <v>0</v>
      </c>
      <c r="AE34" s="2">
        <v>0</v>
      </c>
      <c r="AF34" s="2">
        <v>0</v>
      </c>
      <c r="AK34" s="4">
        <v>18569180</v>
      </c>
    </row>
    <row r="35" spans="1:37" x14ac:dyDescent="0.25">
      <c r="A35" s="1">
        <v>45779</v>
      </c>
      <c r="B35" s="1">
        <v>45775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>
        <v>2028627543</v>
      </c>
      <c r="J35" t="s">
        <v>136</v>
      </c>
      <c r="M35" t="s">
        <v>75</v>
      </c>
      <c r="O35" t="s">
        <v>64</v>
      </c>
      <c r="P35" t="s">
        <v>65</v>
      </c>
      <c r="Q35" t="s">
        <v>48</v>
      </c>
      <c r="R35" t="s">
        <v>49</v>
      </c>
      <c r="S35" s="1">
        <v>45774</v>
      </c>
      <c r="U35" t="s">
        <v>50</v>
      </c>
      <c r="X35" t="s">
        <v>51</v>
      </c>
      <c r="Y35" s="2">
        <v>11.5</v>
      </c>
      <c r="Z35" s="2">
        <v>11.5</v>
      </c>
      <c r="AA35">
        <v>0</v>
      </c>
      <c r="AB35" s="3">
        <v>0.7</v>
      </c>
      <c r="AC35" s="2">
        <v>0</v>
      </c>
      <c r="AD35" s="3">
        <v>0</v>
      </c>
      <c r="AE35" s="2">
        <v>0</v>
      </c>
      <c r="AF35" s="2">
        <v>0</v>
      </c>
      <c r="AK35" s="4">
        <v>18539410</v>
      </c>
    </row>
    <row r="36" spans="1:37" x14ac:dyDescent="0.25">
      <c r="A36" s="1">
        <v>45779</v>
      </c>
      <c r="B36" s="1">
        <v>45775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>
        <v>2028627544</v>
      </c>
      <c r="J36" t="s">
        <v>136</v>
      </c>
      <c r="M36" t="s">
        <v>75</v>
      </c>
      <c r="O36" t="s">
        <v>64</v>
      </c>
      <c r="P36" t="s">
        <v>65</v>
      </c>
      <c r="Q36" t="s">
        <v>48</v>
      </c>
      <c r="R36" t="s">
        <v>62</v>
      </c>
      <c r="S36" s="1">
        <v>45774</v>
      </c>
      <c r="U36" t="s">
        <v>50</v>
      </c>
      <c r="X36" t="s">
        <v>51</v>
      </c>
      <c r="Y36" s="2">
        <v>18.64</v>
      </c>
      <c r="Z36" s="2">
        <v>18.64</v>
      </c>
      <c r="AA36">
        <v>0</v>
      </c>
      <c r="AB36" s="3">
        <v>0.375</v>
      </c>
      <c r="AC36" s="2">
        <v>0</v>
      </c>
      <c r="AD36" s="3">
        <v>0</v>
      </c>
      <c r="AE36" s="2">
        <v>0</v>
      </c>
      <c r="AF36" s="2">
        <v>0</v>
      </c>
      <c r="AK36" s="4">
        <v>18568600</v>
      </c>
    </row>
    <row r="37" spans="1:37" x14ac:dyDescent="0.25">
      <c r="A37" s="1">
        <v>45779</v>
      </c>
      <c r="B37" s="1">
        <v>45775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>
        <v>2028521710</v>
      </c>
      <c r="J37" t="s">
        <v>84</v>
      </c>
      <c r="M37" t="s">
        <v>45</v>
      </c>
      <c r="O37" t="s">
        <v>85</v>
      </c>
      <c r="P37" t="s">
        <v>86</v>
      </c>
      <c r="Q37" t="s">
        <v>48</v>
      </c>
      <c r="R37" t="s">
        <v>87</v>
      </c>
      <c r="S37" s="1">
        <v>45769</v>
      </c>
      <c r="U37" t="s">
        <v>50</v>
      </c>
      <c r="X37" t="s">
        <v>51</v>
      </c>
      <c r="Y37" s="2">
        <v>172.55</v>
      </c>
      <c r="Z37" s="2">
        <v>172.55</v>
      </c>
      <c r="AA37">
        <v>0</v>
      </c>
      <c r="AB37" s="3">
        <v>0.38</v>
      </c>
      <c r="AC37" s="2">
        <v>0</v>
      </c>
      <c r="AD37" s="3">
        <v>0</v>
      </c>
      <c r="AE37" s="2">
        <v>0</v>
      </c>
      <c r="AF37" s="2">
        <v>0</v>
      </c>
      <c r="AK37" s="4">
        <v>18538870</v>
      </c>
    </row>
    <row r="38" spans="1:37" x14ac:dyDescent="0.25">
      <c r="A38" s="1">
        <v>45779</v>
      </c>
      <c r="B38" s="1">
        <v>45775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>
        <v>2028521711</v>
      </c>
      <c r="J38" t="s">
        <v>84</v>
      </c>
      <c r="M38" t="s">
        <v>45</v>
      </c>
      <c r="O38" t="s">
        <v>85</v>
      </c>
      <c r="P38" t="s">
        <v>86</v>
      </c>
      <c r="Q38" t="s">
        <v>48</v>
      </c>
      <c r="R38" t="s">
        <v>88</v>
      </c>
      <c r="S38" s="1">
        <v>45769</v>
      </c>
      <c r="U38" t="s">
        <v>50</v>
      </c>
      <c r="X38" t="s">
        <v>89</v>
      </c>
      <c r="Y38" s="2">
        <v>15</v>
      </c>
      <c r="Z38" s="2">
        <v>15</v>
      </c>
      <c r="AA38">
        <v>0</v>
      </c>
      <c r="AB38" s="3">
        <v>0.38</v>
      </c>
      <c r="AC38" s="2">
        <v>0</v>
      </c>
      <c r="AD38" s="3">
        <v>0</v>
      </c>
      <c r="AE38" s="2">
        <v>0</v>
      </c>
      <c r="AF38" s="2">
        <v>0</v>
      </c>
      <c r="AK38" s="4">
        <v>18547440</v>
      </c>
    </row>
    <row r="39" spans="1:37" x14ac:dyDescent="0.25">
      <c r="A39" s="1">
        <v>45779</v>
      </c>
      <c r="B39" s="1">
        <v>45775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>
        <v>2028556288</v>
      </c>
      <c r="J39" t="s">
        <v>112</v>
      </c>
      <c r="M39" t="s">
        <v>45</v>
      </c>
      <c r="O39" t="s">
        <v>85</v>
      </c>
      <c r="P39" t="s">
        <v>86</v>
      </c>
      <c r="Q39" t="s">
        <v>48</v>
      </c>
      <c r="R39" t="s">
        <v>49</v>
      </c>
      <c r="S39" s="1">
        <v>45778</v>
      </c>
      <c r="U39" t="s">
        <v>50</v>
      </c>
      <c r="X39" t="s">
        <v>51</v>
      </c>
      <c r="Y39" s="2">
        <v>230.03</v>
      </c>
      <c r="Z39" s="2">
        <v>230.03</v>
      </c>
      <c r="AA39">
        <v>0</v>
      </c>
      <c r="AB39" s="3">
        <v>0.7</v>
      </c>
      <c r="AC39" s="2">
        <v>0</v>
      </c>
      <c r="AD39" s="3">
        <v>0</v>
      </c>
      <c r="AE39" s="2">
        <v>0</v>
      </c>
      <c r="AF39" s="2">
        <v>0</v>
      </c>
      <c r="AK39" s="4">
        <v>18539060</v>
      </c>
    </row>
    <row r="40" spans="1:37" x14ac:dyDescent="0.25">
      <c r="A40" s="1">
        <v>45779</v>
      </c>
      <c r="B40" s="1">
        <v>45775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>
        <v>2028523136</v>
      </c>
      <c r="J40" t="s">
        <v>93</v>
      </c>
      <c r="M40" t="s">
        <v>45</v>
      </c>
      <c r="O40" t="s">
        <v>94</v>
      </c>
      <c r="P40" t="s">
        <v>95</v>
      </c>
      <c r="Q40" t="s">
        <v>48</v>
      </c>
      <c r="R40" t="s">
        <v>49</v>
      </c>
      <c r="S40" s="1">
        <v>45778</v>
      </c>
      <c r="U40" t="s">
        <v>50</v>
      </c>
      <c r="X40" t="s">
        <v>51</v>
      </c>
      <c r="Y40" s="2">
        <v>77.650000000000006</v>
      </c>
      <c r="Z40" s="2">
        <v>77.650000000000006</v>
      </c>
      <c r="AA40">
        <v>0</v>
      </c>
      <c r="AB40" s="3">
        <v>0.7</v>
      </c>
      <c r="AC40" s="2">
        <v>0</v>
      </c>
      <c r="AD40" s="3">
        <v>0</v>
      </c>
      <c r="AE40" s="2">
        <v>0</v>
      </c>
      <c r="AF40" s="2">
        <v>0</v>
      </c>
      <c r="AK40" s="4">
        <v>18538880</v>
      </c>
    </row>
    <row r="41" spans="1:37" x14ac:dyDescent="0.25">
      <c r="A41" s="1">
        <v>45779</v>
      </c>
      <c r="B41" s="1">
        <v>45775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>
        <v>2028547423</v>
      </c>
      <c r="J41" t="s">
        <v>104</v>
      </c>
      <c r="M41" t="s">
        <v>45</v>
      </c>
      <c r="O41" t="s">
        <v>94</v>
      </c>
      <c r="P41" t="s">
        <v>95</v>
      </c>
      <c r="Q41" t="s">
        <v>48</v>
      </c>
      <c r="R41" t="s">
        <v>49</v>
      </c>
      <c r="S41" s="1">
        <v>45770</v>
      </c>
      <c r="U41" t="s">
        <v>50</v>
      </c>
      <c r="X41" t="s">
        <v>51</v>
      </c>
      <c r="Y41" s="2">
        <v>35.700000000000003</v>
      </c>
      <c r="Z41" s="2">
        <v>35.700000000000003</v>
      </c>
      <c r="AA41">
        <v>0</v>
      </c>
      <c r="AB41" s="3">
        <v>0.7</v>
      </c>
      <c r="AC41" s="2">
        <v>0</v>
      </c>
      <c r="AD41" s="3">
        <v>0</v>
      </c>
      <c r="AE41" s="2">
        <v>0</v>
      </c>
      <c r="AF41" s="2">
        <v>0</v>
      </c>
      <c r="AK41" s="4">
        <v>18539020</v>
      </c>
    </row>
    <row r="42" spans="1:37" x14ac:dyDescent="0.25">
      <c r="A42" s="1">
        <v>45779</v>
      </c>
      <c r="B42" s="1">
        <v>45775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>
        <v>2028579279</v>
      </c>
      <c r="J42" t="s">
        <v>121</v>
      </c>
      <c r="M42" t="s">
        <v>98</v>
      </c>
      <c r="O42" t="s">
        <v>122</v>
      </c>
      <c r="P42" t="s">
        <v>123</v>
      </c>
      <c r="Q42" t="s">
        <v>48</v>
      </c>
      <c r="R42" t="s">
        <v>49</v>
      </c>
      <c r="S42" s="1">
        <v>45809</v>
      </c>
      <c r="U42" t="s">
        <v>50</v>
      </c>
      <c r="X42" t="s">
        <v>51</v>
      </c>
      <c r="Y42" s="2">
        <v>50.07</v>
      </c>
      <c r="Z42" s="2">
        <v>50.07</v>
      </c>
      <c r="AA42">
        <v>0</v>
      </c>
      <c r="AB42" s="3">
        <v>0.7</v>
      </c>
      <c r="AC42" s="2">
        <v>0</v>
      </c>
      <c r="AD42" s="3">
        <v>0</v>
      </c>
      <c r="AE42" s="2">
        <v>0</v>
      </c>
      <c r="AF42" s="2">
        <v>0</v>
      </c>
      <c r="AK42" s="4">
        <v>18539190</v>
      </c>
    </row>
    <row r="43" spans="1:37" x14ac:dyDescent="0.25">
      <c r="A43" s="1">
        <v>45779</v>
      </c>
      <c r="B43" s="1">
        <v>45775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>
        <v>2028579280</v>
      </c>
      <c r="J43" t="s">
        <v>121</v>
      </c>
      <c r="M43" t="s">
        <v>98</v>
      </c>
      <c r="O43" t="s">
        <v>122</v>
      </c>
      <c r="P43" t="s">
        <v>123</v>
      </c>
      <c r="Q43" t="s">
        <v>48</v>
      </c>
      <c r="R43" t="s">
        <v>62</v>
      </c>
      <c r="S43" s="1">
        <v>45809</v>
      </c>
      <c r="U43" t="s">
        <v>50</v>
      </c>
      <c r="X43" t="s">
        <v>51</v>
      </c>
      <c r="Y43" s="2">
        <v>138.19</v>
      </c>
      <c r="Z43" s="2">
        <v>138.19</v>
      </c>
      <c r="AA43">
        <v>0</v>
      </c>
      <c r="AB43" s="3">
        <v>0.375</v>
      </c>
      <c r="AC43" s="2">
        <v>0</v>
      </c>
      <c r="AD43" s="3">
        <v>0</v>
      </c>
      <c r="AE43" s="2">
        <v>0</v>
      </c>
      <c r="AF43" s="2">
        <v>0</v>
      </c>
      <c r="AK43" s="4">
        <v>18568260</v>
      </c>
    </row>
    <row r="44" spans="1:37" x14ac:dyDescent="0.25">
      <c r="A44" s="1">
        <v>45779</v>
      </c>
      <c r="B44" s="1">
        <v>45775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>
        <v>2028522932</v>
      </c>
      <c r="J44" t="s">
        <v>90</v>
      </c>
      <c r="M44" t="s">
        <v>45</v>
      </c>
      <c r="O44" t="s">
        <v>91</v>
      </c>
      <c r="P44" t="s">
        <v>92</v>
      </c>
      <c r="Q44" t="s">
        <v>48</v>
      </c>
      <c r="R44" t="s">
        <v>62</v>
      </c>
      <c r="S44" s="1">
        <v>45778</v>
      </c>
      <c r="U44" t="s">
        <v>50</v>
      </c>
      <c r="X44" t="s">
        <v>51</v>
      </c>
      <c r="Y44" s="2">
        <v>27.64</v>
      </c>
      <c r="Z44" s="2">
        <v>27.64</v>
      </c>
      <c r="AA44">
        <v>0</v>
      </c>
      <c r="AB44" s="3">
        <v>0.375</v>
      </c>
      <c r="AC44" s="2">
        <v>0</v>
      </c>
      <c r="AD44" s="3">
        <v>0</v>
      </c>
      <c r="AE44" s="2">
        <v>0</v>
      </c>
      <c r="AF44" s="2">
        <v>0</v>
      </c>
      <c r="AK44" s="4">
        <v>18567760</v>
      </c>
    </row>
    <row r="45" spans="1:37" x14ac:dyDescent="0.25">
      <c r="A45" s="1">
        <v>45779</v>
      </c>
      <c r="B45" s="1">
        <v>45775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>
        <v>2028522933</v>
      </c>
      <c r="J45" t="s">
        <v>90</v>
      </c>
      <c r="M45" t="s">
        <v>45</v>
      </c>
      <c r="O45" t="s">
        <v>91</v>
      </c>
      <c r="P45" t="s">
        <v>92</v>
      </c>
      <c r="Q45" t="s">
        <v>48</v>
      </c>
      <c r="R45" t="s">
        <v>49</v>
      </c>
      <c r="S45" s="1">
        <v>45778</v>
      </c>
      <c r="U45" t="s">
        <v>50</v>
      </c>
      <c r="X45" t="s">
        <v>51</v>
      </c>
      <c r="Y45" s="2">
        <v>11.5</v>
      </c>
      <c r="Z45" s="2">
        <v>11.5</v>
      </c>
      <c r="AA45">
        <v>0</v>
      </c>
      <c r="AB45" s="3">
        <v>0.7</v>
      </c>
      <c r="AC45" s="2">
        <v>0</v>
      </c>
      <c r="AD45" s="3">
        <v>0</v>
      </c>
      <c r="AE45" s="2">
        <v>0</v>
      </c>
      <c r="AF45" s="2">
        <v>0</v>
      </c>
      <c r="AK45" s="4">
        <v>18538880</v>
      </c>
    </row>
    <row r="46" spans="1:37" x14ac:dyDescent="0.25">
      <c r="A46" s="1">
        <v>45779</v>
      </c>
      <c r="B46" s="1">
        <v>45775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>
        <v>2028576735</v>
      </c>
      <c r="J46" t="s">
        <v>117</v>
      </c>
      <c r="M46" t="s">
        <v>45</v>
      </c>
      <c r="O46" t="s">
        <v>91</v>
      </c>
      <c r="P46" t="s">
        <v>92</v>
      </c>
      <c r="Q46" t="s">
        <v>48</v>
      </c>
      <c r="R46" t="s">
        <v>62</v>
      </c>
      <c r="S46" s="1">
        <v>45778</v>
      </c>
      <c r="U46" t="s">
        <v>50</v>
      </c>
      <c r="X46" t="s">
        <v>51</v>
      </c>
      <c r="Y46" s="2">
        <v>22.52</v>
      </c>
      <c r="Z46" s="2">
        <v>22.52</v>
      </c>
      <c r="AA46">
        <v>0</v>
      </c>
      <c r="AB46" s="3">
        <v>0.375</v>
      </c>
      <c r="AC46" s="2">
        <v>0</v>
      </c>
      <c r="AD46" s="3">
        <v>0</v>
      </c>
      <c r="AE46" s="2">
        <v>0</v>
      </c>
      <c r="AF46" s="2">
        <v>0</v>
      </c>
      <c r="AK46" s="4">
        <v>18568210</v>
      </c>
    </row>
    <row r="47" spans="1:37" x14ac:dyDescent="0.25">
      <c r="A47" s="1">
        <v>45779</v>
      </c>
      <c r="B47" s="1">
        <v>45775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>
        <v>2028612406</v>
      </c>
      <c r="J47" t="s">
        <v>131</v>
      </c>
      <c r="M47" t="s">
        <v>53</v>
      </c>
      <c r="O47" t="s">
        <v>91</v>
      </c>
      <c r="P47" t="s">
        <v>92</v>
      </c>
      <c r="Q47" t="s">
        <v>48</v>
      </c>
      <c r="R47" t="s">
        <v>49</v>
      </c>
      <c r="S47" s="1">
        <v>45778</v>
      </c>
      <c r="U47" t="s">
        <v>50</v>
      </c>
      <c r="X47" t="s">
        <v>51</v>
      </c>
      <c r="Y47" s="2">
        <v>73.22</v>
      </c>
      <c r="Z47" s="2">
        <v>73.22</v>
      </c>
      <c r="AA47">
        <v>0</v>
      </c>
      <c r="AB47" s="3">
        <v>0.7</v>
      </c>
      <c r="AC47" s="2">
        <v>0</v>
      </c>
      <c r="AD47" s="3">
        <v>0</v>
      </c>
      <c r="AE47" s="2">
        <v>0</v>
      </c>
      <c r="AF47" s="2">
        <v>0</v>
      </c>
      <c r="AK47" s="4">
        <v>18539360</v>
      </c>
    </row>
    <row r="48" spans="1:37" x14ac:dyDescent="0.25">
      <c r="A48" s="1">
        <v>45779</v>
      </c>
      <c r="B48" s="1">
        <v>45775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>
        <v>2028539035</v>
      </c>
      <c r="J48" t="s">
        <v>97</v>
      </c>
      <c r="M48" t="s">
        <v>98</v>
      </c>
      <c r="O48" t="s">
        <v>99</v>
      </c>
      <c r="P48" t="s">
        <v>100</v>
      </c>
      <c r="Q48" t="s">
        <v>48</v>
      </c>
      <c r="R48" t="s">
        <v>101</v>
      </c>
      <c r="S48" s="1">
        <v>45778</v>
      </c>
      <c r="U48" t="s">
        <v>50</v>
      </c>
      <c r="X48" t="s">
        <v>51</v>
      </c>
      <c r="Y48" s="2">
        <v>52.54</v>
      </c>
      <c r="Z48" s="2">
        <v>52.54</v>
      </c>
      <c r="AA48">
        <v>0</v>
      </c>
      <c r="AB48" s="3">
        <v>0.38</v>
      </c>
      <c r="AC48" s="2">
        <v>0</v>
      </c>
      <c r="AD48" s="3">
        <v>0</v>
      </c>
      <c r="AE48" s="2">
        <v>0</v>
      </c>
      <c r="AF48" s="2">
        <v>0</v>
      </c>
      <c r="AK48" s="4">
        <v>18570370</v>
      </c>
    </row>
    <row r="49" spans="1:37" x14ac:dyDescent="0.25">
      <c r="A49" s="1">
        <v>45779</v>
      </c>
      <c r="B49" s="1">
        <v>45775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>
        <v>2028539036</v>
      </c>
      <c r="J49" t="s">
        <v>97</v>
      </c>
      <c r="M49" t="s">
        <v>98</v>
      </c>
      <c r="O49" t="s">
        <v>99</v>
      </c>
      <c r="P49" t="s">
        <v>100</v>
      </c>
      <c r="Q49" t="s">
        <v>48</v>
      </c>
      <c r="R49" t="s">
        <v>102</v>
      </c>
      <c r="S49" s="1">
        <v>45778</v>
      </c>
      <c r="U49" t="s">
        <v>50</v>
      </c>
      <c r="X49" t="s">
        <v>51</v>
      </c>
      <c r="Y49" s="2">
        <v>40.159999999999997</v>
      </c>
      <c r="Z49" s="2">
        <v>40.159999999999997</v>
      </c>
      <c r="AA49">
        <v>0</v>
      </c>
      <c r="AB49" s="3">
        <v>0.6</v>
      </c>
      <c r="AC49" s="2">
        <v>0</v>
      </c>
      <c r="AD49" s="3">
        <v>0</v>
      </c>
      <c r="AE49" s="2">
        <v>0</v>
      </c>
      <c r="AF49" s="2">
        <v>0</v>
      </c>
      <c r="AK49" s="4">
        <v>18554840</v>
      </c>
    </row>
    <row r="50" spans="1:37" x14ac:dyDescent="0.25">
      <c r="A50" s="1">
        <v>45779</v>
      </c>
      <c r="B50" s="1">
        <v>45775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>
        <v>2028583271</v>
      </c>
      <c r="J50" t="s">
        <v>125</v>
      </c>
      <c r="M50" t="s">
        <v>126</v>
      </c>
      <c r="O50" t="s">
        <v>99</v>
      </c>
      <c r="P50" t="s">
        <v>100</v>
      </c>
      <c r="Q50" t="s">
        <v>48</v>
      </c>
      <c r="R50" t="s">
        <v>127</v>
      </c>
      <c r="S50" s="1">
        <v>45772</v>
      </c>
      <c r="U50" t="s">
        <v>50</v>
      </c>
      <c r="X50" t="s">
        <v>51</v>
      </c>
      <c r="Y50" s="2">
        <v>207.73</v>
      </c>
      <c r="Z50" s="2">
        <v>207.73</v>
      </c>
      <c r="AA50">
        <v>0</v>
      </c>
      <c r="AB50" s="3">
        <v>0.51</v>
      </c>
      <c r="AC50" s="2">
        <v>0</v>
      </c>
      <c r="AD50" s="3">
        <v>0</v>
      </c>
      <c r="AE50" s="2">
        <v>0</v>
      </c>
      <c r="AF50" s="2">
        <v>0</v>
      </c>
      <c r="AK50" s="4">
        <v>18570400</v>
      </c>
    </row>
    <row r="51" spans="1:37" x14ac:dyDescent="0.25">
      <c r="A51" s="1">
        <v>45779</v>
      </c>
      <c r="B51" s="1">
        <v>45775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>
        <v>2028359974</v>
      </c>
      <c r="J51" t="s">
        <v>59</v>
      </c>
      <c r="M51" t="s">
        <v>45</v>
      </c>
      <c r="O51" t="s">
        <v>60</v>
      </c>
      <c r="P51" t="s">
        <v>61</v>
      </c>
      <c r="Q51" t="s">
        <v>48</v>
      </c>
      <c r="R51" t="s">
        <v>62</v>
      </c>
      <c r="S51" s="1">
        <v>45778</v>
      </c>
      <c r="U51" t="s">
        <v>50</v>
      </c>
      <c r="X51" t="s">
        <v>51</v>
      </c>
      <c r="Y51" s="2">
        <v>38.44</v>
      </c>
      <c r="Z51" s="2">
        <v>38.44</v>
      </c>
      <c r="AA51">
        <v>0</v>
      </c>
      <c r="AB51" s="3">
        <v>0.375</v>
      </c>
      <c r="AC51" s="2">
        <v>0</v>
      </c>
      <c r="AD51" s="3">
        <v>0</v>
      </c>
      <c r="AE51" s="2">
        <v>0</v>
      </c>
      <c r="AF51" s="2">
        <v>0</v>
      </c>
      <c r="AK51" s="4">
        <v>18567570</v>
      </c>
    </row>
    <row r="52" spans="1:37" x14ac:dyDescent="0.25">
      <c r="A52" s="1">
        <v>45779</v>
      </c>
      <c r="B52" s="1">
        <v>45775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>
        <v>2028326670</v>
      </c>
      <c r="J52" t="s">
        <v>56</v>
      </c>
      <c r="M52" t="s">
        <v>53</v>
      </c>
      <c r="O52" t="s">
        <v>57</v>
      </c>
      <c r="P52" t="s">
        <v>58</v>
      </c>
      <c r="Q52" t="s">
        <v>48</v>
      </c>
      <c r="R52" t="s">
        <v>49</v>
      </c>
      <c r="S52" s="1">
        <v>45778</v>
      </c>
      <c r="U52" t="s">
        <v>50</v>
      </c>
      <c r="X52" t="s">
        <v>51</v>
      </c>
      <c r="Y52" s="2">
        <v>241.09</v>
      </c>
      <c r="Z52" s="2">
        <v>241.09</v>
      </c>
      <c r="AA52">
        <v>0</v>
      </c>
      <c r="AB52" s="3">
        <v>0.7</v>
      </c>
      <c r="AC52" s="2">
        <v>0</v>
      </c>
      <c r="AD52" s="3">
        <v>0</v>
      </c>
      <c r="AE52" s="2">
        <v>0</v>
      </c>
      <c r="AF52" s="2">
        <v>0</v>
      </c>
      <c r="AK52" s="4">
        <v>18538700</v>
      </c>
    </row>
    <row r="53" spans="1:37" x14ac:dyDescent="0.25">
      <c r="A53" s="1">
        <v>45779</v>
      </c>
      <c r="B53" s="1">
        <v>45775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>
        <v>2028461881</v>
      </c>
      <c r="J53" t="s">
        <v>74</v>
      </c>
      <c r="M53" t="s">
        <v>75</v>
      </c>
      <c r="O53" t="s">
        <v>57</v>
      </c>
      <c r="P53" t="s">
        <v>58</v>
      </c>
      <c r="Q53" t="s">
        <v>48</v>
      </c>
      <c r="R53" t="s">
        <v>62</v>
      </c>
      <c r="S53" s="1">
        <v>45772</v>
      </c>
      <c r="U53" t="s">
        <v>50</v>
      </c>
      <c r="X53" t="s">
        <v>51</v>
      </c>
      <c r="Y53" s="2">
        <v>78.41</v>
      </c>
      <c r="Z53" s="2">
        <v>78.41</v>
      </c>
      <c r="AA53">
        <v>0</v>
      </c>
      <c r="AB53" s="3">
        <v>0.375</v>
      </c>
      <c r="AC53" s="2">
        <v>0</v>
      </c>
      <c r="AD53" s="3">
        <v>0</v>
      </c>
      <c r="AE53" s="2">
        <v>0</v>
      </c>
      <c r="AF53" s="2">
        <v>0</v>
      </c>
      <c r="AK53" s="4">
        <v>18567640</v>
      </c>
    </row>
    <row r="54" spans="1:37" x14ac:dyDescent="0.25">
      <c r="A54" s="1">
        <v>45779</v>
      </c>
      <c r="B54" s="1">
        <v>45775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>
        <v>2028461882</v>
      </c>
      <c r="J54" t="s">
        <v>74</v>
      </c>
      <c r="M54" t="s">
        <v>75</v>
      </c>
      <c r="O54" t="s">
        <v>57</v>
      </c>
      <c r="P54" t="s">
        <v>58</v>
      </c>
      <c r="Q54" t="s">
        <v>48</v>
      </c>
      <c r="R54" t="s">
        <v>49</v>
      </c>
      <c r="S54" s="1">
        <v>45772</v>
      </c>
      <c r="U54" t="s">
        <v>50</v>
      </c>
      <c r="X54" t="s">
        <v>51</v>
      </c>
      <c r="Y54" s="2">
        <v>58.94</v>
      </c>
      <c r="Z54" s="2">
        <v>58.94</v>
      </c>
      <c r="AA54">
        <v>0</v>
      </c>
      <c r="AB54" s="3">
        <v>0.7</v>
      </c>
      <c r="AC54" s="2">
        <v>0</v>
      </c>
      <c r="AD54" s="3">
        <v>0</v>
      </c>
      <c r="AE54" s="2">
        <v>0</v>
      </c>
      <c r="AF54" s="2">
        <v>0</v>
      </c>
      <c r="AK54" s="4">
        <v>18538770</v>
      </c>
    </row>
    <row r="55" spans="1:37" x14ac:dyDescent="0.25">
      <c r="A55" s="1">
        <v>45779</v>
      </c>
      <c r="B55" s="1">
        <v>45775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>
        <v>2028461883</v>
      </c>
      <c r="J55" t="s">
        <v>74</v>
      </c>
      <c r="M55" t="s">
        <v>75</v>
      </c>
      <c r="O55" t="s">
        <v>57</v>
      </c>
      <c r="P55" t="s">
        <v>58</v>
      </c>
      <c r="Q55" t="s">
        <v>48</v>
      </c>
      <c r="R55" t="s">
        <v>76</v>
      </c>
      <c r="S55" s="1">
        <v>45772</v>
      </c>
      <c r="U55" t="s">
        <v>50</v>
      </c>
      <c r="X55" t="s">
        <v>51</v>
      </c>
      <c r="Y55" s="2">
        <v>36.82</v>
      </c>
      <c r="Z55" s="2">
        <v>36.82</v>
      </c>
      <c r="AA55">
        <v>0</v>
      </c>
      <c r="AB55" s="3">
        <v>0.9</v>
      </c>
      <c r="AC55" s="2">
        <v>0</v>
      </c>
      <c r="AD55" s="3">
        <v>0</v>
      </c>
      <c r="AE55" s="2">
        <v>0</v>
      </c>
      <c r="AF55" s="2">
        <v>0</v>
      </c>
      <c r="AK55" s="4">
        <v>18554760</v>
      </c>
    </row>
    <row r="56" spans="1:37" x14ac:dyDescent="0.25">
      <c r="A56" s="1">
        <v>45779</v>
      </c>
      <c r="B56" s="1">
        <v>45775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>
        <v>2028582611</v>
      </c>
      <c r="J56" t="s">
        <v>124</v>
      </c>
      <c r="M56" t="s">
        <v>75</v>
      </c>
      <c r="O56" t="s">
        <v>57</v>
      </c>
      <c r="P56" t="s">
        <v>58</v>
      </c>
      <c r="Q56" t="s">
        <v>48</v>
      </c>
      <c r="R56" t="s">
        <v>62</v>
      </c>
      <c r="S56" s="1">
        <v>45777</v>
      </c>
      <c r="U56" t="s">
        <v>50</v>
      </c>
      <c r="X56" t="s">
        <v>51</v>
      </c>
      <c r="Y56" s="2">
        <v>58.38</v>
      </c>
      <c r="Z56" s="2">
        <v>58.38</v>
      </c>
      <c r="AA56">
        <v>0</v>
      </c>
      <c r="AB56" s="3">
        <v>0.375</v>
      </c>
      <c r="AC56" s="2">
        <v>0</v>
      </c>
      <c r="AD56" s="3">
        <v>0</v>
      </c>
      <c r="AE56" s="2">
        <v>0</v>
      </c>
      <c r="AF56" s="2">
        <v>0</v>
      </c>
      <c r="AK56" s="4">
        <v>18568280</v>
      </c>
    </row>
    <row r="57" spans="1:37" x14ac:dyDescent="0.25">
      <c r="A57" s="1">
        <v>45779</v>
      </c>
      <c r="B57" s="1">
        <v>45775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>
        <v>2028582612</v>
      </c>
      <c r="J57" t="s">
        <v>124</v>
      </c>
      <c r="M57" t="s">
        <v>75</v>
      </c>
      <c r="O57" t="s">
        <v>57</v>
      </c>
      <c r="P57" t="s">
        <v>58</v>
      </c>
      <c r="Q57" t="s">
        <v>48</v>
      </c>
      <c r="R57" t="s">
        <v>49</v>
      </c>
      <c r="S57" s="1">
        <v>45777</v>
      </c>
      <c r="U57" t="s">
        <v>50</v>
      </c>
      <c r="X57" t="s">
        <v>51</v>
      </c>
      <c r="Y57" s="2">
        <v>55.18</v>
      </c>
      <c r="Z57" s="2">
        <v>55.18</v>
      </c>
      <c r="AA57">
        <v>0</v>
      </c>
      <c r="AB57" s="3">
        <v>0.7</v>
      </c>
      <c r="AC57" s="2">
        <v>0</v>
      </c>
      <c r="AD57" s="3">
        <v>0</v>
      </c>
      <c r="AE57" s="2">
        <v>0</v>
      </c>
      <c r="AF57" s="2">
        <v>0</v>
      </c>
      <c r="AK57" s="4">
        <v>18539220</v>
      </c>
    </row>
    <row r="58" spans="1:37" x14ac:dyDescent="0.25">
      <c r="A58" s="1">
        <v>45779</v>
      </c>
      <c r="B58" s="1">
        <v>45775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>
        <v>2028582613</v>
      </c>
      <c r="J58" t="s">
        <v>124</v>
      </c>
      <c r="M58" t="s">
        <v>75</v>
      </c>
      <c r="O58" t="s">
        <v>57</v>
      </c>
      <c r="P58" t="s">
        <v>58</v>
      </c>
      <c r="Q58" t="s">
        <v>48</v>
      </c>
      <c r="R58" t="s">
        <v>70</v>
      </c>
      <c r="S58" s="1">
        <v>45777</v>
      </c>
      <c r="U58" t="s">
        <v>50</v>
      </c>
      <c r="X58" t="s">
        <v>51</v>
      </c>
      <c r="Y58" s="2">
        <v>12.79</v>
      </c>
      <c r="Z58" s="2">
        <v>12.79</v>
      </c>
      <c r="AA58">
        <v>0</v>
      </c>
      <c r="AB58" s="3">
        <v>0.75</v>
      </c>
      <c r="AC58" s="2">
        <v>0</v>
      </c>
      <c r="AD58" s="3">
        <v>0</v>
      </c>
      <c r="AE58" s="2">
        <v>0</v>
      </c>
      <c r="AF58" s="2">
        <v>0</v>
      </c>
      <c r="AK58" s="4">
        <v>18554930</v>
      </c>
    </row>
    <row r="59" spans="1:37" x14ac:dyDescent="0.25">
      <c r="A59" s="1">
        <v>45779</v>
      </c>
      <c r="B59" s="1">
        <v>45775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>
        <v>2028615800</v>
      </c>
      <c r="J59" t="s">
        <v>132</v>
      </c>
      <c r="M59" t="s">
        <v>45</v>
      </c>
      <c r="O59" t="s">
        <v>57</v>
      </c>
      <c r="P59" t="s">
        <v>58</v>
      </c>
      <c r="Q59" t="s">
        <v>48</v>
      </c>
      <c r="R59" t="s">
        <v>49</v>
      </c>
      <c r="S59" s="1">
        <v>45773</v>
      </c>
      <c r="U59" t="s">
        <v>50</v>
      </c>
      <c r="X59" t="s">
        <v>51</v>
      </c>
      <c r="Y59" s="2">
        <v>59.4</v>
      </c>
      <c r="Z59" s="2">
        <v>59.4</v>
      </c>
      <c r="AA59">
        <v>0</v>
      </c>
      <c r="AB59" s="3">
        <v>0.7</v>
      </c>
      <c r="AC59" s="2">
        <v>0</v>
      </c>
      <c r="AD59" s="3">
        <v>0</v>
      </c>
      <c r="AE59" s="2">
        <v>0</v>
      </c>
      <c r="AF59" s="2">
        <v>0</v>
      </c>
      <c r="AK59" s="4">
        <v>18539380</v>
      </c>
    </row>
    <row r="60" spans="1:37" x14ac:dyDescent="0.25">
      <c r="A60" s="1">
        <v>45779</v>
      </c>
      <c r="B60" s="1">
        <v>45775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>
        <v>2028554481</v>
      </c>
      <c r="J60" t="s">
        <v>105</v>
      </c>
      <c r="M60" t="s">
        <v>106</v>
      </c>
      <c r="O60" t="s">
        <v>107</v>
      </c>
      <c r="P60" t="s">
        <v>108</v>
      </c>
      <c r="Q60" t="s">
        <v>48</v>
      </c>
      <c r="R60" t="s">
        <v>109</v>
      </c>
      <c r="S60" s="1">
        <v>45778</v>
      </c>
      <c r="U60" t="s">
        <v>50</v>
      </c>
      <c r="X60" t="s">
        <v>51</v>
      </c>
      <c r="Y60" s="2">
        <v>125.83</v>
      </c>
      <c r="Z60" s="2">
        <v>125.83</v>
      </c>
      <c r="AA60">
        <v>0</v>
      </c>
      <c r="AB60" s="3">
        <v>0.9</v>
      </c>
      <c r="AC60" s="2">
        <v>0</v>
      </c>
      <c r="AD60" s="3">
        <v>0</v>
      </c>
      <c r="AE60" s="2">
        <v>0</v>
      </c>
      <c r="AF60" s="2">
        <v>0</v>
      </c>
      <c r="AK60" s="4">
        <v>18572470</v>
      </c>
    </row>
    <row r="61" spans="1:37" x14ac:dyDescent="0.25">
      <c r="A61" s="1">
        <v>45779</v>
      </c>
      <c r="B61" s="1">
        <v>45775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>
        <v>2028554482</v>
      </c>
      <c r="J61" t="s">
        <v>105</v>
      </c>
      <c r="M61" t="s">
        <v>106</v>
      </c>
      <c r="O61" t="s">
        <v>107</v>
      </c>
      <c r="P61" t="s">
        <v>108</v>
      </c>
      <c r="Q61" t="s">
        <v>48</v>
      </c>
      <c r="R61" t="s">
        <v>110</v>
      </c>
      <c r="S61" s="1">
        <v>45778</v>
      </c>
      <c r="U61" t="s">
        <v>50</v>
      </c>
      <c r="X61" t="s">
        <v>51</v>
      </c>
      <c r="Y61" s="2">
        <v>24.61</v>
      </c>
      <c r="Z61" s="2">
        <v>24.61</v>
      </c>
      <c r="AA61">
        <v>0</v>
      </c>
      <c r="AB61" s="3">
        <v>0.7</v>
      </c>
      <c r="AC61" s="2">
        <v>0</v>
      </c>
      <c r="AD61" s="3">
        <v>0</v>
      </c>
      <c r="AE61" s="2">
        <v>0</v>
      </c>
      <c r="AF61" s="2">
        <v>0</v>
      </c>
      <c r="AK61" s="4">
        <v>18525460</v>
      </c>
    </row>
    <row r="62" spans="1:37" x14ac:dyDescent="0.25">
      <c r="A62" s="1">
        <v>45779</v>
      </c>
      <c r="B62" s="1">
        <v>45775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>
        <v>2028554600</v>
      </c>
      <c r="J62" t="s">
        <v>111</v>
      </c>
      <c r="M62" t="s">
        <v>106</v>
      </c>
      <c r="O62" t="s">
        <v>107</v>
      </c>
      <c r="P62" t="s">
        <v>108</v>
      </c>
      <c r="Q62" t="s">
        <v>48</v>
      </c>
      <c r="R62" t="s">
        <v>110</v>
      </c>
      <c r="S62" s="1">
        <v>45778</v>
      </c>
      <c r="U62" t="s">
        <v>50</v>
      </c>
      <c r="X62" t="s">
        <v>51</v>
      </c>
      <c r="Y62" s="2">
        <v>24.61</v>
      </c>
      <c r="Z62" s="2">
        <v>24.61</v>
      </c>
      <c r="AA62">
        <v>0</v>
      </c>
      <c r="AB62" s="3">
        <v>0.7</v>
      </c>
      <c r="AC62" s="2">
        <v>0</v>
      </c>
      <c r="AD62" s="3">
        <v>0</v>
      </c>
      <c r="AE62" s="2">
        <v>0</v>
      </c>
      <c r="AF62" s="2">
        <v>0</v>
      </c>
      <c r="AK62" s="4">
        <v>18525460</v>
      </c>
    </row>
    <row r="63" spans="1:37" x14ac:dyDescent="0.25">
      <c r="A63" s="1">
        <v>45779</v>
      </c>
      <c r="B63" s="1">
        <v>45775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>
        <v>2028554601</v>
      </c>
      <c r="J63" t="s">
        <v>111</v>
      </c>
      <c r="M63" t="s">
        <v>106</v>
      </c>
      <c r="O63" t="s">
        <v>107</v>
      </c>
      <c r="P63" t="s">
        <v>108</v>
      </c>
      <c r="Q63" t="s">
        <v>48</v>
      </c>
      <c r="R63" t="s">
        <v>76</v>
      </c>
      <c r="S63" s="1">
        <v>45778</v>
      </c>
      <c r="U63" t="s">
        <v>50</v>
      </c>
      <c r="X63" t="s">
        <v>51</v>
      </c>
      <c r="Y63" s="2">
        <v>100.98</v>
      </c>
      <c r="Z63" s="2">
        <v>100.98</v>
      </c>
      <c r="AA63">
        <v>0</v>
      </c>
      <c r="AB63" s="3">
        <v>0.9</v>
      </c>
      <c r="AC63" s="2">
        <v>0</v>
      </c>
      <c r="AD63" s="3">
        <v>0</v>
      </c>
      <c r="AE63" s="2">
        <v>0</v>
      </c>
      <c r="AF63" s="2">
        <v>0</v>
      </c>
      <c r="AK63" s="4">
        <v>18554870</v>
      </c>
    </row>
    <row r="64" spans="1:37" x14ac:dyDescent="0.25">
      <c r="A64" s="1">
        <v>45779</v>
      </c>
      <c r="B64" s="1">
        <v>45775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>
        <v>2028577744</v>
      </c>
      <c r="J64" t="s">
        <v>118</v>
      </c>
      <c r="M64" t="s">
        <v>45</v>
      </c>
      <c r="O64" t="s">
        <v>119</v>
      </c>
      <c r="P64" t="s">
        <v>120</v>
      </c>
      <c r="Q64" t="s">
        <v>48</v>
      </c>
      <c r="R64" t="s">
        <v>49</v>
      </c>
      <c r="S64" s="1">
        <v>45778</v>
      </c>
      <c r="U64" t="s">
        <v>50</v>
      </c>
      <c r="X64" t="s">
        <v>51</v>
      </c>
      <c r="Y64" s="2">
        <v>177.79</v>
      </c>
      <c r="Z64" s="2">
        <v>177.79</v>
      </c>
      <c r="AA64">
        <v>0</v>
      </c>
      <c r="AB64" s="3">
        <v>0.7</v>
      </c>
      <c r="AC64" s="2">
        <v>0</v>
      </c>
      <c r="AD64" s="3">
        <v>0</v>
      </c>
      <c r="AE64" s="2">
        <v>0</v>
      </c>
      <c r="AF64" s="2">
        <v>0</v>
      </c>
      <c r="AK64" s="4">
        <v>18539170</v>
      </c>
    </row>
    <row r="65" spans="1:37" x14ac:dyDescent="0.25">
      <c r="A65" s="1">
        <v>45779</v>
      </c>
      <c r="B65" s="1">
        <v>45775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>
        <v>2028577745</v>
      </c>
      <c r="J65" t="s">
        <v>118</v>
      </c>
      <c r="M65" t="s">
        <v>45</v>
      </c>
      <c r="O65" t="s">
        <v>119</v>
      </c>
      <c r="P65" t="s">
        <v>120</v>
      </c>
      <c r="Q65" t="s">
        <v>48</v>
      </c>
      <c r="R65" t="s">
        <v>70</v>
      </c>
      <c r="S65" s="1">
        <v>45778</v>
      </c>
      <c r="U65" t="s">
        <v>50</v>
      </c>
      <c r="X65" t="s">
        <v>51</v>
      </c>
      <c r="Y65" s="2">
        <v>111.65</v>
      </c>
      <c r="Z65" s="2">
        <v>111.65</v>
      </c>
      <c r="AA65">
        <v>0</v>
      </c>
      <c r="AB65" s="3">
        <v>0.75</v>
      </c>
      <c r="AC65" s="2">
        <v>0</v>
      </c>
      <c r="AD65" s="3">
        <v>0</v>
      </c>
      <c r="AE65" s="2">
        <v>0</v>
      </c>
      <c r="AF65" s="2">
        <v>0</v>
      </c>
      <c r="AK65" s="4">
        <v>18554920</v>
      </c>
    </row>
    <row r="66" spans="1:37" x14ac:dyDescent="0.25">
      <c r="A66" s="1">
        <v>45779</v>
      </c>
      <c r="B66" s="1">
        <v>45775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>
        <v>2028382289</v>
      </c>
      <c r="J66" t="s">
        <v>67</v>
      </c>
      <c r="M66" t="s">
        <v>45</v>
      </c>
      <c r="O66" t="s">
        <v>68</v>
      </c>
      <c r="P66" t="s">
        <v>69</v>
      </c>
      <c r="Q66" t="s">
        <v>48</v>
      </c>
      <c r="R66" t="s">
        <v>49</v>
      </c>
      <c r="S66" s="1">
        <v>45778</v>
      </c>
      <c r="U66" t="s">
        <v>50</v>
      </c>
      <c r="X66" t="s">
        <v>51</v>
      </c>
      <c r="Y66" s="2">
        <v>69.25</v>
      </c>
      <c r="Z66" s="2">
        <v>69.25</v>
      </c>
      <c r="AA66">
        <v>0</v>
      </c>
      <c r="AB66" s="3">
        <v>0.7</v>
      </c>
      <c r="AC66" s="2">
        <v>0</v>
      </c>
      <c r="AD66" s="3">
        <v>0</v>
      </c>
      <c r="AE66" s="2">
        <v>0</v>
      </c>
      <c r="AF66" s="2">
        <v>0</v>
      </c>
      <c r="AK66" s="4">
        <v>18538720</v>
      </c>
    </row>
    <row r="67" spans="1:37" x14ac:dyDescent="0.25">
      <c r="A67" s="1">
        <v>45779</v>
      </c>
      <c r="B67" s="1">
        <v>45775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>
        <v>2028382290</v>
      </c>
      <c r="J67" t="s">
        <v>67</v>
      </c>
      <c r="M67" t="s">
        <v>45</v>
      </c>
      <c r="O67" t="s">
        <v>68</v>
      </c>
      <c r="P67" t="s">
        <v>69</v>
      </c>
      <c r="Q67" t="s">
        <v>48</v>
      </c>
      <c r="R67" t="s">
        <v>70</v>
      </c>
      <c r="S67" s="1">
        <v>45778</v>
      </c>
      <c r="U67" t="s">
        <v>50</v>
      </c>
      <c r="X67" t="s">
        <v>51</v>
      </c>
      <c r="Y67" s="2">
        <v>60.55</v>
      </c>
      <c r="Z67" s="2">
        <v>60.55</v>
      </c>
      <c r="AA67">
        <v>0</v>
      </c>
      <c r="AB67" s="3">
        <v>0.75</v>
      </c>
      <c r="AC67" s="2">
        <v>0</v>
      </c>
      <c r="AD67" s="3">
        <v>0</v>
      </c>
      <c r="AE67" s="2">
        <v>0</v>
      </c>
      <c r="AF67" s="2">
        <v>0</v>
      </c>
      <c r="AK67" s="4">
        <v>18554750</v>
      </c>
    </row>
    <row r="68" spans="1:37" x14ac:dyDescent="0.25">
      <c r="A68" s="1">
        <v>45779</v>
      </c>
      <c r="B68" s="1">
        <v>45775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>
        <v>2028382291</v>
      </c>
      <c r="J68" t="s">
        <v>67</v>
      </c>
      <c r="M68" t="s">
        <v>45</v>
      </c>
      <c r="O68" t="s">
        <v>68</v>
      </c>
      <c r="P68" t="s">
        <v>69</v>
      </c>
      <c r="Q68" t="s">
        <v>48</v>
      </c>
      <c r="R68" t="s">
        <v>62</v>
      </c>
      <c r="S68" s="1">
        <v>45778</v>
      </c>
      <c r="U68" t="s">
        <v>50</v>
      </c>
      <c r="X68" t="s">
        <v>51</v>
      </c>
      <c r="Y68" s="2">
        <v>35.29</v>
      </c>
      <c r="Z68" s="2">
        <v>35.29</v>
      </c>
      <c r="AA68">
        <v>0</v>
      </c>
      <c r="AB68" s="3">
        <v>0.375</v>
      </c>
      <c r="AC68" s="2">
        <v>0</v>
      </c>
      <c r="AD68" s="3">
        <v>0</v>
      </c>
      <c r="AE68" s="2">
        <v>0</v>
      </c>
      <c r="AF68" s="2">
        <v>0</v>
      </c>
      <c r="AK68" s="4">
        <v>18567570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61C7-2487-486A-9419-0420977B0C95}">
  <dimension ref="A1:N53"/>
  <sheetViews>
    <sheetView topLeftCell="A10" workbookViewId="0">
      <selection activeCell="A47" sqref="A47"/>
    </sheetView>
  </sheetViews>
  <sheetFormatPr defaultRowHeight="15" x14ac:dyDescent="0.25"/>
  <cols>
    <col min="1" max="1" width="14.140625" bestFit="1" customWidth="1"/>
    <col min="2" max="2" width="36.140625" bestFit="1" customWidth="1"/>
    <col min="3" max="3" width="5.5703125" bestFit="1" customWidth="1"/>
    <col min="4" max="4" width="15.7109375" bestFit="1" customWidth="1"/>
    <col min="5" max="5" width="22.42578125" bestFit="1" customWidth="1"/>
    <col min="6" max="6" width="36.5703125" bestFit="1" customWidth="1"/>
    <col min="7" max="7" width="10.140625" bestFit="1" customWidth="1"/>
    <col min="9" max="9" width="18.28515625" bestFit="1" customWidth="1"/>
    <col min="10" max="10" width="15.85546875" bestFit="1" customWidth="1"/>
    <col min="11" max="11" width="16.42578125" bestFit="1" customWidth="1"/>
    <col min="12" max="12" width="13.140625" bestFit="1" customWidth="1"/>
    <col min="13" max="13" width="50.5703125" bestFit="1" customWidth="1"/>
  </cols>
  <sheetData>
    <row r="1" spans="1:14" x14ac:dyDescent="0.25">
      <c r="A1" t="s">
        <v>8</v>
      </c>
      <c r="B1" t="s">
        <v>9</v>
      </c>
      <c r="C1" t="s">
        <v>12</v>
      </c>
      <c r="D1" t="s">
        <v>14</v>
      </c>
      <c r="E1" t="s">
        <v>15</v>
      </c>
      <c r="F1" t="s">
        <v>17</v>
      </c>
      <c r="G1" t="s">
        <v>18</v>
      </c>
      <c r="H1" t="s">
        <v>23</v>
      </c>
      <c r="I1" t="s">
        <v>24</v>
      </c>
      <c r="J1" t="s">
        <v>25</v>
      </c>
      <c r="K1" t="s">
        <v>27</v>
      </c>
      <c r="L1" t="s">
        <v>32</v>
      </c>
    </row>
    <row r="2" spans="1:14" x14ac:dyDescent="0.25">
      <c r="A2">
        <v>2028564473</v>
      </c>
      <c r="B2" t="s">
        <v>113</v>
      </c>
      <c r="C2" t="s">
        <v>114</v>
      </c>
      <c r="D2">
        <v>7470776</v>
      </c>
      <c r="E2" t="s">
        <v>83</v>
      </c>
      <c r="F2" t="s">
        <v>87</v>
      </c>
      <c r="G2" s="1">
        <v>45778</v>
      </c>
      <c r="H2" t="s">
        <v>51</v>
      </c>
      <c r="I2" s="2">
        <v>698.19</v>
      </c>
      <c r="J2" s="2">
        <v>698.19</v>
      </c>
      <c r="K2" s="3">
        <v>0.38</v>
      </c>
      <c r="L2" s="2">
        <f t="shared" ref="L2:L33" si="0">SUM(J2*K2)</f>
        <v>265.31220000000002</v>
      </c>
      <c r="M2" t="s">
        <v>143</v>
      </c>
      <c r="N2" s="2"/>
    </row>
    <row r="3" spans="1:14" x14ac:dyDescent="0.25">
      <c r="A3">
        <v>2028567155</v>
      </c>
      <c r="B3" t="s">
        <v>116</v>
      </c>
      <c r="C3" t="s">
        <v>45</v>
      </c>
      <c r="D3">
        <v>7470776</v>
      </c>
      <c r="E3" t="s">
        <v>83</v>
      </c>
      <c r="F3" t="s">
        <v>87</v>
      </c>
      <c r="G3" s="1">
        <v>45778</v>
      </c>
      <c r="H3" t="s">
        <v>51</v>
      </c>
      <c r="I3" s="2">
        <v>131.32</v>
      </c>
      <c r="J3" s="2">
        <v>131.32</v>
      </c>
      <c r="K3" s="3">
        <v>0.38</v>
      </c>
      <c r="L3" s="2">
        <f t="shared" si="0"/>
        <v>49.901599999999995</v>
      </c>
      <c r="M3" t="s">
        <v>143</v>
      </c>
      <c r="N3" s="2"/>
    </row>
    <row r="4" spans="1:14" x14ac:dyDescent="0.25">
      <c r="A4">
        <v>2028564474</v>
      </c>
      <c r="B4" t="s">
        <v>113</v>
      </c>
      <c r="C4" t="s">
        <v>114</v>
      </c>
      <c r="D4">
        <v>7470776</v>
      </c>
      <c r="E4" t="s">
        <v>83</v>
      </c>
      <c r="F4" t="s">
        <v>115</v>
      </c>
      <c r="G4" s="1">
        <v>45778</v>
      </c>
      <c r="H4" t="s">
        <v>51</v>
      </c>
      <c r="I4" s="2">
        <v>7.09</v>
      </c>
      <c r="J4" s="2">
        <v>7.09</v>
      </c>
      <c r="K4" s="3">
        <v>0.38</v>
      </c>
      <c r="L4" s="2">
        <f t="shared" si="0"/>
        <v>2.6941999999999999</v>
      </c>
      <c r="M4" t="s">
        <v>143</v>
      </c>
      <c r="N4" s="2"/>
    </row>
    <row r="5" spans="1:14" x14ac:dyDescent="0.25">
      <c r="A5">
        <v>2028520984</v>
      </c>
      <c r="B5" t="s">
        <v>81</v>
      </c>
      <c r="C5" t="s">
        <v>45</v>
      </c>
      <c r="D5">
        <v>7470776</v>
      </c>
      <c r="E5" t="s">
        <v>83</v>
      </c>
      <c r="F5" t="s">
        <v>76</v>
      </c>
      <c r="G5" s="1">
        <v>45778</v>
      </c>
      <c r="H5" t="s">
        <v>51</v>
      </c>
      <c r="I5" s="2">
        <v>65.650000000000006</v>
      </c>
      <c r="J5" s="2">
        <v>65.650000000000006</v>
      </c>
      <c r="K5" s="3">
        <v>0.9</v>
      </c>
      <c r="L5" s="2">
        <f t="shared" si="0"/>
        <v>59.085000000000008</v>
      </c>
      <c r="M5" t="s">
        <v>141</v>
      </c>
      <c r="N5" s="2"/>
    </row>
    <row r="6" spans="1:14" x14ac:dyDescent="0.25">
      <c r="A6">
        <v>2028540190</v>
      </c>
      <c r="B6" t="s">
        <v>103</v>
      </c>
      <c r="C6" t="s">
        <v>45</v>
      </c>
      <c r="D6">
        <v>7470776</v>
      </c>
      <c r="E6" t="s">
        <v>83</v>
      </c>
      <c r="F6" t="s">
        <v>76</v>
      </c>
      <c r="G6" s="1">
        <v>45778</v>
      </c>
      <c r="H6" t="s">
        <v>51</v>
      </c>
      <c r="I6" s="2">
        <v>552.59</v>
      </c>
      <c r="J6" s="2">
        <v>552.59</v>
      </c>
      <c r="K6" s="3">
        <v>0.9</v>
      </c>
      <c r="L6" s="2">
        <f t="shared" si="0"/>
        <v>497.33100000000002</v>
      </c>
      <c r="M6" t="s">
        <v>141</v>
      </c>
      <c r="N6" s="2"/>
    </row>
    <row r="7" spans="1:14" x14ac:dyDescent="0.25">
      <c r="A7">
        <v>2028567156</v>
      </c>
      <c r="B7" t="s">
        <v>116</v>
      </c>
      <c r="C7" t="s">
        <v>45</v>
      </c>
      <c r="D7">
        <v>7470776</v>
      </c>
      <c r="E7" t="s">
        <v>83</v>
      </c>
      <c r="F7" t="s">
        <v>88</v>
      </c>
      <c r="G7" s="1">
        <v>45778</v>
      </c>
      <c r="H7" t="s">
        <v>89</v>
      </c>
      <c r="I7" s="2">
        <v>15</v>
      </c>
      <c r="J7" s="2">
        <v>15</v>
      </c>
      <c r="K7" s="3">
        <v>0.38</v>
      </c>
      <c r="L7" s="2">
        <f t="shared" si="0"/>
        <v>5.7</v>
      </c>
      <c r="M7" t="s">
        <v>143</v>
      </c>
      <c r="N7" s="2"/>
    </row>
    <row r="8" spans="1:14" x14ac:dyDescent="0.25">
      <c r="A8">
        <v>2028520983</v>
      </c>
      <c r="B8" t="s">
        <v>81</v>
      </c>
      <c r="C8" t="s">
        <v>45</v>
      </c>
      <c r="D8">
        <v>7470776</v>
      </c>
      <c r="E8" t="s">
        <v>83</v>
      </c>
      <c r="F8" t="s">
        <v>49</v>
      </c>
      <c r="G8" s="1">
        <v>45778</v>
      </c>
      <c r="H8" t="s">
        <v>51</v>
      </c>
      <c r="I8" s="2">
        <v>46.08</v>
      </c>
      <c r="J8" s="2">
        <v>46.08</v>
      </c>
      <c r="K8" s="3">
        <v>0.7</v>
      </c>
      <c r="L8" s="2">
        <f t="shared" si="0"/>
        <v>32.256</v>
      </c>
      <c r="M8" t="s">
        <v>139</v>
      </c>
      <c r="N8" s="2"/>
    </row>
    <row r="9" spans="1:14" x14ac:dyDescent="0.25">
      <c r="A9">
        <v>2028540191</v>
      </c>
      <c r="B9" t="s">
        <v>103</v>
      </c>
      <c r="C9" t="s">
        <v>45</v>
      </c>
      <c r="D9">
        <v>7470776</v>
      </c>
      <c r="E9" t="s">
        <v>83</v>
      </c>
      <c r="F9" t="s">
        <v>49</v>
      </c>
      <c r="G9" s="1">
        <v>45778</v>
      </c>
      <c r="H9" t="s">
        <v>51</v>
      </c>
      <c r="I9" s="2">
        <v>148.27000000000001</v>
      </c>
      <c r="J9" s="2">
        <v>148.27000000000001</v>
      </c>
      <c r="K9" s="3">
        <v>0.7</v>
      </c>
      <c r="L9" s="2">
        <f t="shared" si="0"/>
        <v>103.789</v>
      </c>
      <c r="M9" t="s">
        <v>139</v>
      </c>
      <c r="N9" s="2"/>
    </row>
    <row r="10" spans="1:14" x14ac:dyDescent="0.25">
      <c r="A10">
        <v>2028520982</v>
      </c>
      <c r="B10" t="s">
        <v>81</v>
      </c>
      <c r="C10" t="s">
        <v>45</v>
      </c>
      <c r="D10">
        <v>7470776</v>
      </c>
      <c r="E10" t="s">
        <v>83</v>
      </c>
      <c r="F10" t="s">
        <v>62</v>
      </c>
      <c r="G10" s="1">
        <v>45778</v>
      </c>
      <c r="H10" t="s">
        <v>51</v>
      </c>
      <c r="I10" s="2">
        <v>67.19</v>
      </c>
      <c r="J10" s="2">
        <v>67.19</v>
      </c>
      <c r="K10" s="3">
        <v>0.375</v>
      </c>
      <c r="L10" s="2">
        <f t="shared" si="0"/>
        <v>25.196249999999999</v>
      </c>
      <c r="M10" t="s">
        <v>137</v>
      </c>
      <c r="N10" s="2"/>
    </row>
    <row r="11" spans="1:14" x14ac:dyDescent="0.25">
      <c r="A11">
        <v>2028564475</v>
      </c>
      <c r="B11" t="s">
        <v>113</v>
      </c>
      <c r="C11" t="s">
        <v>114</v>
      </c>
      <c r="D11">
        <v>7470776</v>
      </c>
      <c r="E11" t="s">
        <v>83</v>
      </c>
      <c r="F11" t="s">
        <v>62</v>
      </c>
      <c r="G11" s="1">
        <v>45778</v>
      </c>
      <c r="H11" t="s">
        <v>51</v>
      </c>
      <c r="I11" s="2">
        <v>89.86</v>
      </c>
      <c r="J11" s="2">
        <v>89.86</v>
      </c>
      <c r="K11" s="3">
        <v>0.375</v>
      </c>
      <c r="L11" s="2">
        <f t="shared" si="0"/>
        <v>33.697499999999998</v>
      </c>
      <c r="M11" t="s">
        <v>137</v>
      </c>
      <c r="N11" s="2"/>
    </row>
    <row r="12" spans="1:14" x14ac:dyDescent="0.25">
      <c r="A12">
        <v>2028564476</v>
      </c>
      <c r="B12" t="s">
        <v>113</v>
      </c>
      <c r="C12" t="s">
        <v>114</v>
      </c>
      <c r="D12">
        <v>7470776</v>
      </c>
      <c r="E12" t="s">
        <v>83</v>
      </c>
      <c r="F12" t="s">
        <v>109</v>
      </c>
      <c r="G12" s="1">
        <v>45778</v>
      </c>
      <c r="H12" t="s">
        <v>51</v>
      </c>
      <c r="I12" s="2">
        <v>131.25</v>
      </c>
      <c r="J12" s="2">
        <v>131.25</v>
      </c>
      <c r="K12" s="3">
        <v>0.9</v>
      </c>
      <c r="L12" s="2">
        <f t="shared" si="0"/>
        <v>118.125</v>
      </c>
      <c r="M12" t="s">
        <v>138</v>
      </c>
      <c r="N12" s="2"/>
    </row>
    <row r="13" spans="1:14" x14ac:dyDescent="0.25">
      <c r="A13">
        <v>2028457982</v>
      </c>
      <c r="B13" t="s">
        <v>73</v>
      </c>
      <c r="C13" t="s">
        <v>45</v>
      </c>
      <c r="D13">
        <v>7146581</v>
      </c>
      <c r="E13" t="s">
        <v>47</v>
      </c>
      <c r="F13" t="s">
        <v>70</v>
      </c>
      <c r="G13" s="1">
        <v>45778</v>
      </c>
      <c r="H13" t="s">
        <v>51</v>
      </c>
      <c r="I13" s="2">
        <v>21.88</v>
      </c>
      <c r="J13" s="2">
        <v>21.88</v>
      </c>
      <c r="K13" s="3">
        <v>0.75</v>
      </c>
      <c r="L13" s="2">
        <f t="shared" si="0"/>
        <v>16.41</v>
      </c>
      <c r="M13" t="s">
        <v>142</v>
      </c>
      <c r="N13" s="2"/>
    </row>
    <row r="14" spans="1:14" x14ac:dyDescent="0.25">
      <c r="A14">
        <v>2028465298</v>
      </c>
      <c r="B14" t="s">
        <v>77</v>
      </c>
      <c r="C14" t="s">
        <v>45</v>
      </c>
      <c r="D14">
        <v>7146581</v>
      </c>
      <c r="E14" t="s">
        <v>47</v>
      </c>
      <c r="F14" t="s">
        <v>70</v>
      </c>
      <c r="G14" s="1">
        <v>45778</v>
      </c>
      <c r="H14" t="s">
        <v>51</v>
      </c>
      <c r="I14" s="2">
        <v>20.75</v>
      </c>
      <c r="J14" s="2">
        <v>20.75</v>
      </c>
      <c r="K14" s="3">
        <v>0.75</v>
      </c>
      <c r="L14" s="2">
        <f t="shared" si="0"/>
        <v>15.5625</v>
      </c>
      <c r="M14" t="s">
        <v>142</v>
      </c>
      <c r="N14" s="2"/>
    </row>
    <row r="15" spans="1:14" x14ac:dyDescent="0.25">
      <c r="A15">
        <v>2028164500</v>
      </c>
      <c r="B15" t="s">
        <v>44</v>
      </c>
      <c r="C15" t="s">
        <v>45</v>
      </c>
      <c r="D15">
        <v>7146581</v>
      </c>
      <c r="E15" t="s">
        <v>47</v>
      </c>
      <c r="F15" t="s">
        <v>49</v>
      </c>
      <c r="G15" s="1">
        <v>45778</v>
      </c>
      <c r="H15" t="s">
        <v>51</v>
      </c>
      <c r="I15" s="2">
        <v>211.12</v>
      </c>
      <c r="J15" s="2">
        <v>211.12</v>
      </c>
      <c r="K15" s="3">
        <v>0.7</v>
      </c>
      <c r="L15" s="2">
        <f t="shared" si="0"/>
        <v>147.78399999999999</v>
      </c>
      <c r="M15" t="s">
        <v>139</v>
      </c>
      <c r="N15" s="2"/>
    </row>
    <row r="16" spans="1:14" x14ac:dyDescent="0.25">
      <c r="A16">
        <v>2028457981</v>
      </c>
      <c r="B16" t="s">
        <v>73</v>
      </c>
      <c r="C16" t="s">
        <v>45</v>
      </c>
      <c r="D16">
        <v>7146581</v>
      </c>
      <c r="E16" t="s">
        <v>47</v>
      </c>
      <c r="F16" t="s">
        <v>49</v>
      </c>
      <c r="G16" s="1">
        <v>45778</v>
      </c>
      <c r="H16" t="s">
        <v>51</v>
      </c>
      <c r="I16" s="2">
        <v>51</v>
      </c>
      <c r="J16" s="2">
        <v>51</v>
      </c>
      <c r="K16" s="3">
        <v>0.7</v>
      </c>
      <c r="L16" s="2">
        <f t="shared" si="0"/>
        <v>35.699999999999996</v>
      </c>
      <c r="M16" t="s">
        <v>139</v>
      </c>
      <c r="N16" s="2"/>
    </row>
    <row r="17" spans="1:14" x14ac:dyDescent="0.25">
      <c r="A17">
        <v>2028465297</v>
      </c>
      <c r="B17" t="s">
        <v>77</v>
      </c>
      <c r="C17" t="s">
        <v>45</v>
      </c>
      <c r="D17">
        <v>7146581</v>
      </c>
      <c r="E17" t="s">
        <v>47</v>
      </c>
      <c r="F17" t="s">
        <v>49</v>
      </c>
      <c r="G17" s="1">
        <v>45778</v>
      </c>
      <c r="H17" t="s">
        <v>51</v>
      </c>
      <c r="I17" s="2">
        <v>34</v>
      </c>
      <c r="J17" s="2">
        <v>34</v>
      </c>
      <c r="K17" s="3">
        <v>0.7</v>
      </c>
      <c r="L17" s="2">
        <f t="shared" si="0"/>
        <v>23.799999999999997</v>
      </c>
      <c r="M17" t="s">
        <v>139</v>
      </c>
      <c r="N17" s="2"/>
    </row>
    <row r="18" spans="1:14" x14ac:dyDescent="0.25">
      <c r="A18">
        <v>2028590496</v>
      </c>
      <c r="B18" t="s">
        <v>128</v>
      </c>
      <c r="C18" t="s">
        <v>45</v>
      </c>
      <c r="D18">
        <v>7146581</v>
      </c>
      <c r="E18" t="s">
        <v>47</v>
      </c>
      <c r="F18" t="s">
        <v>49</v>
      </c>
      <c r="G18" s="1">
        <v>45778</v>
      </c>
      <c r="H18" t="s">
        <v>51</v>
      </c>
      <c r="I18" s="2">
        <v>34</v>
      </c>
      <c r="J18" s="2">
        <v>34</v>
      </c>
      <c r="K18" s="3">
        <v>0.7</v>
      </c>
      <c r="L18" s="2">
        <f t="shared" si="0"/>
        <v>23.799999999999997</v>
      </c>
      <c r="M18" t="s">
        <v>139</v>
      </c>
      <c r="N18" s="2"/>
    </row>
    <row r="19" spans="1:14" x14ac:dyDescent="0.25">
      <c r="A19">
        <v>2028590855</v>
      </c>
      <c r="B19" t="s">
        <v>129</v>
      </c>
      <c r="C19" t="s">
        <v>45</v>
      </c>
      <c r="D19">
        <v>7146581</v>
      </c>
      <c r="E19" t="s">
        <v>47</v>
      </c>
      <c r="F19" t="s">
        <v>49</v>
      </c>
      <c r="G19" s="1">
        <v>45778</v>
      </c>
      <c r="H19" t="s">
        <v>51</v>
      </c>
      <c r="I19" s="2">
        <v>34</v>
      </c>
      <c r="J19" s="2">
        <v>34</v>
      </c>
      <c r="K19" s="3">
        <v>0.7</v>
      </c>
      <c r="L19" s="2">
        <f t="shared" si="0"/>
        <v>23.799999999999997</v>
      </c>
      <c r="M19" t="s">
        <v>139</v>
      </c>
      <c r="N19" s="2"/>
    </row>
    <row r="20" spans="1:14" x14ac:dyDescent="0.25">
      <c r="A20">
        <v>2028590996</v>
      </c>
      <c r="B20" t="s">
        <v>130</v>
      </c>
      <c r="C20" t="s">
        <v>45</v>
      </c>
      <c r="D20">
        <v>7146581</v>
      </c>
      <c r="E20" t="s">
        <v>47</v>
      </c>
      <c r="F20" t="s">
        <v>49</v>
      </c>
      <c r="G20" s="1">
        <v>45778</v>
      </c>
      <c r="H20" t="s">
        <v>51</v>
      </c>
      <c r="I20" s="2">
        <v>19</v>
      </c>
      <c r="J20" s="2">
        <v>19</v>
      </c>
      <c r="K20" s="3">
        <v>0.7</v>
      </c>
      <c r="L20" s="2">
        <f t="shared" si="0"/>
        <v>13.299999999999999</v>
      </c>
      <c r="M20" t="s">
        <v>139</v>
      </c>
      <c r="N20" s="2"/>
    </row>
    <row r="21" spans="1:14" x14ac:dyDescent="0.25">
      <c r="A21">
        <v>2028439375</v>
      </c>
      <c r="B21" t="s">
        <v>72</v>
      </c>
      <c r="C21" t="s">
        <v>45</v>
      </c>
      <c r="D21">
        <v>7146581</v>
      </c>
      <c r="E21" t="s">
        <v>47</v>
      </c>
      <c r="F21" t="s">
        <v>62</v>
      </c>
      <c r="G21" s="1">
        <v>45778</v>
      </c>
      <c r="H21" t="s">
        <v>51</v>
      </c>
      <c r="I21" s="2">
        <v>142.13</v>
      </c>
      <c r="J21" s="2">
        <v>142.13</v>
      </c>
      <c r="K21" s="3">
        <v>0.375</v>
      </c>
      <c r="L21" s="2">
        <f t="shared" si="0"/>
        <v>53.298749999999998</v>
      </c>
      <c r="M21" t="s">
        <v>137</v>
      </c>
      <c r="N21" s="2"/>
    </row>
    <row r="22" spans="1:14" x14ac:dyDescent="0.25">
      <c r="A22">
        <v>2028465299</v>
      </c>
      <c r="B22" t="s">
        <v>77</v>
      </c>
      <c r="C22" t="s">
        <v>45</v>
      </c>
      <c r="D22">
        <v>7146581</v>
      </c>
      <c r="E22" t="s">
        <v>47</v>
      </c>
      <c r="F22" t="s">
        <v>62</v>
      </c>
      <c r="G22" s="1">
        <v>45778</v>
      </c>
      <c r="H22" t="s">
        <v>51</v>
      </c>
      <c r="I22" s="2">
        <v>76.19</v>
      </c>
      <c r="J22" s="2">
        <v>76.19</v>
      </c>
      <c r="K22" s="3">
        <v>0.375</v>
      </c>
      <c r="L22" s="2">
        <f t="shared" si="0"/>
        <v>28.571249999999999</v>
      </c>
      <c r="M22" t="s">
        <v>137</v>
      </c>
      <c r="N22" s="2"/>
    </row>
    <row r="23" spans="1:14" x14ac:dyDescent="0.25">
      <c r="A23">
        <v>2028590497</v>
      </c>
      <c r="B23" t="s">
        <v>128</v>
      </c>
      <c r="C23" t="s">
        <v>45</v>
      </c>
      <c r="D23">
        <v>7146581</v>
      </c>
      <c r="E23" t="s">
        <v>47</v>
      </c>
      <c r="F23" t="s">
        <v>62</v>
      </c>
      <c r="G23" s="1">
        <v>45778</v>
      </c>
      <c r="H23" t="s">
        <v>51</v>
      </c>
      <c r="I23" s="2">
        <v>43.36</v>
      </c>
      <c r="J23" s="2">
        <v>43.36</v>
      </c>
      <c r="K23" s="3">
        <v>0.375</v>
      </c>
      <c r="L23" s="2">
        <f t="shared" si="0"/>
        <v>16.259999999999998</v>
      </c>
      <c r="M23" t="s">
        <v>137</v>
      </c>
      <c r="N23" s="2"/>
    </row>
    <row r="24" spans="1:14" x14ac:dyDescent="0.25">
      <c r="A24">
        <v>2028590856</v>
      </c>
      <c r="B24" t="s">
        <v>129</v>
      </c>
      <c r="C24" t="s">
        <v>45</v>
      </c>
      <c r="D24">
        <v>7146581</v>
      </c>
      <c r="E24" t="s">
        <v>47</v>
      </c>
      <c r="F24" t="s">
        <v>62</v>
      </c>
      <c r="G24" s="1">
        <v>45778</v>
      </c>
      <c r="H24" t="s">
        <v>51</v>
      </c>
      <c r="I24" s="2">
        <v>43.36</v>
      </c>
      <c r="J24" s="2">
        <v>43.36</v>
      </c>
      <c r="K24" s="3">
        <v>0.375</v>
      </c>
      <c r="L24" s="2">
        <f t="shared" si="0"/>
        <v>16.259999999999998</v>
      </c>
      <c r="M24" t="s">
        <v>137</v>
      </c>
      <c r="N24" s="2"/>
    </row>
    <row r="25" spans="1:14" x14ac:dyDescent="0.25">
      <c r="A25">
        <v>2028590995</v>
      </c>
      <c r="B25" t="s">
        <v>130</v>
      </c>
      <c r="C25" t="s">
        <v>45</v>
      </c>
      <c r="D25">
        <v>7146581</v>
      </c>
      <c r="E25" t="s">
        <v>47</v>
      </c>
      <c r="F25" t="s">
        <v>62</v>
      </c>
      <c r="G25" s="1">
        <v>45778</v>
      </c>
      <c r="H25" t="s">
        <v>51</v>
      </c>
      <c r="I25" s="2">
        <v>59.51</v>
      </c>
      <c r="J25" s="2">
        <v>59.51</v>
      </c>
      <c r="K25" s="3">
        <v>0.375</v>
      </c>
      <c r="L25" s="2">
        <f t="shared" si="0"/>
        <v>22.31625</v>
      </c>
      <c r="M25" t="s">
        <v>137</v>
      </c>
      <c r="N25" s="2"/>
    </row>
    <row r="26" spans="1:14" x14ac:dyDescent="0.25">
      <c r="A26">
        <v>2028466569</v>
      </c>
      <c r="B26" t="s">
        <v>78</v>
      </c>
      <c r="C26" t="s">
        <v>45</v>
      </c>
      <c r="D26">
        <v>19586992</v>
      </c>
      <c r="E26" t="s">
        <v>80</v>
      </c>
      <c r="F26" t="s">
        <v>62</v>
      </c>
      <c r="G26" s="1">
        <v>45778</v>
      </c>
      <c r="H26" t="s">
        <v>51</v>
      </c>
      <c r="I26" s="2">
        <v>22.52</v>
      </c>
      <c r="J26" s="2">
        <v>22.52</v>
      </c>
      <c r="K26" s="3">
        <v>0.375</v>
      </c>
      <c r="L26" s="2">
        <f t="shared" si="0"/>
        <v>8.4450000000000003</v>
      </c>
      <c r="M26" t="s">
        <v>137</v>
      </c>
      <c r="N26" s="2"/>
    </row>
    <row r="27" spans="1:14" x14ac:dyDescent="0.25">
      <c r="A27">
        <v>2028533939</v>
      </c>
      <c r="B27" t="s">
        <v>96</v>
      </c>
      <c r="C27" t="s">
        <v>45</v>
      </c>
      <c r="D27">
        <v>8325282</v>
      </c>
      <c r="E27" t="s">
        <v>65</v>
      </c>
      <c r="F27" t="s">
        <v>87</v>
      </c>
      <c r="G27" s="1">
        <v>45770</v>
      </c>
      <c r="H27" t="s">
        <v>51</v>
      </c>
      <c r="I27" s="2">
        <v>139</v>
      </c>
      <c r="J27" s="2">
        <v>139</v>
      </c>
      <c r="K27" s="3">
        <v>0.38</v>
      </c>
      <c r="L27" s="2">
        <f t="shared" si="0"/>
        <v>52.82</v>
      </c>
      <c r="M27" t="s">
        <v>143</v>
      </c>
      <c r="N27" s="2"/>
    </row>
    <row r="28" spans="1:14" x14ac:dyDescent="0.25">
      <c r="A28">
        <v>2028627541</v>
      </c>
      <c r="B28" t="s">
        <v>136</v>
      </c>
      <c r="C28" t="s">
        <v>75</v>
      </c>
      <c r="D28">
        <v>8325282</v>
      </c>
      <c r="E28" t="s">
        <v>65</v>
      </c>
      <c r="F28" t="s">
        <v>87</v>
      </c>
      <c r="G28" s="1">
        <v>45774</v>
      </c>
      <c r="H28" t="s">
        <v>51</v>
      </c>
      <c r="I28" s="2">
        <v>172.55</v>
      </c>
      <c r="J28" s="2">
        <v>172.55</v>
      </c>
      <c r="K28" s="3">
        <v>0.38</v>
      </c>
      <c r="L28" s="2">
        <f t="shared" si="0"/>
        <v>65.569000000000003</v>
      </c>
      <c r="M28" t="s">
        <v>143</v>
      </c>
      <c r="N28" s="2"/>
    </row>
    <row r="29" spans="1:14" x14ac:dyDescent="0.25">
      <c r="A29">
        <v>2028627542</v>
      </c>
      <c r="B29" t="s">
        <v>136</v>
      </c>
      <c r="C29" t="s">
        <v>75</v>
      </c>
      <c r="D29">
        <v>8325282</v>
      </c>
      <c r="E29" t="s">
        <v>65</v>
      </c>
      <c r="F29" t="s">
        <v>115</v>
      </c>
      <c r="G29" s="1">
        <v>45774</v>
      </c>
      <c r="H29" t="s">
        <v>51</v>
      </c>
      <c r="I29" s="2">
        <v>7.09</v>
      </c>
      <c r="J29" s="2">
        <v>7.09</v>
      </c>
      <c r="K29" s="3">
        <v>0.38</v>
      </c>
      <c r="L29" s="2">
        <f t="shared" si="0"/>
        <v>2.6941999999999999</v>
      </c>
      <c r="M29" t="s">
        <v>143</v>
      </c>
      <c r="N29" s="2"/>
    </row>
    <row r="30" spans="1:14" x14ac:dyDescent="0.25">
      <c r="A30">
        <v>2028533940</v>
      </c>
      <c r="B30" t="s">
        <v>96</v>
      </c>
      <c r="C30" t="s">
        <v>45</v>
      </c>
      <c r="D30">
        <v>8325282</v>
      </c>
      <c r="E30" t="s">
        <v>65</v>
      </c>
      <c r="F30" t="s">
        <v>88</v>
      </c>
      <c r="G30" s="1">
        <v>45770</v>
      </c>
      <c r="H30" t="s">
        <v>89</v>
      </c>
      <c r="I30" s="2">
        <v>15</v>
      </c>
      <c r="J30" s="2">
        <v>15</v>
      </c>
      <c r="K30" s="3">
        <v>0.38</v>
      </c>
      <c r="L30" s="2">
        <f t="shared" si="0"/>
        <v>5.7</v>
      </c>
      <c r="M30" t="s">
        <v>143</v>
      </c>
      <c r="N30" s="2"/>
    </row>
    <row r="31" spans="1:14" x14ac:dyDescent="0.25">
      <c r="A31">
        <v>2028361729</v>
      </c>
      <c r="B31" t="s">
        <v>63</v>
      </c>
      <c r="C31" t="s">
        <v>45</v>
      </c>
      <c r="D31">
        <v>8325282</v>
      </c>
      <c r="E31" t="s">
        <v>65</v>
      </c>
      <c r="F31" t="s">
        <v>66</v>
      </c>
      <c r="G31" s="1">
        <v>45778</v>
      </c>
      <c r="H31" t="s">
        <v>51</v>
      </c>
      <c r="I31" s="2">
        <v>112.21</v>
      </c>
      <c r="J31" s="2">
        <v>112.21</v>
      </c>
      <c r="K31" s="3">
        <v>0.28000000000000003</v>
      </c>
      <c r="L31" s="2">
        <f t="shared" si="0"/>
        <v>31.418800000000001</v>
      </c>
      <c r="M31" t="s">
        <v>140</v>
      </c>
      <c r="N31" s="2"/>
    </row>
    <row r="32" spans="1:14" x14ac:dyDescent="0.25">
      <c r="A32">
        <v>2028422101</v>
      </c>
      <c r="B32" t="s">
        <v>71</v>
      </c>
      <c r="C32" t="s">
        <v>45</v>
      </c>
      <c r="D32">
        <v>8325282</v>
      </c>
      <c r="E32" t="s">
        <v>65</v>
      </c>
      <c r="F32" t="s">
        <v>66</v>
      </c>
      <c r="G32" s="1">
        <v>45778</v>
      </c>
      <c r="H32" t="s">
        <v>51</v>
      </c>
      <c r="I32" s="2">
        <v>143.93</v>
      </c>
      <c r="J32" s="2">
        <v>143.93</v>
      </c>
      <c r="K32" s="3">
        <v>0.28000000000000003</v>
      </c>
      <c r="L32" s="2">
        <f t="shared" si="0"/>
        <v>40.300400000000003</v>
      </c>
      <c r="M32" t="s">
        <v>140</v>
      </c>
      <c r="N32" s="2"/>
    </row>
    <row r="33" spans="1:14" x14ac:dyDescent="0.25">
      <c r="A33">
        <v>2028627543</v>
      </c>
      <c r="B33" t="s">
        <v>136</v>
      </c>
      <c r="C33" t="s">
        <v>75</v>
      </c>
      <c r="D33">
        <v>8325282</v>
      </c>
      <c r="E33" t="s">
        <v>65</v>
      </c>
      <c r="F33" t="s">
        <v>49</v>
      </c>
      <c r="G33" s="1">
        <v>45774</v>
      </c>
      <c r="H33" t="s">
        <v>51</v>
      </c>
      <c r="I33" s="2">
        <v>11.5</v>
      </c>
      <c r="J33" s="2">
        <v>11.5</v>
      </c>
      <c r="K33" s="3">
        <v>0.7</v>
      </c>
      <c r="L33" s="2">
        <f t="shared" si="0"/>
        <v>8.0499999999999989</v>
      </c>
      <c r="M33" t="s">
        <v>139</v>
      </c>
      <c r="N33" s="2"/>
    </row>
    <row r="34" spans="1:14" x14ac:dyDescent="0.25">
      <c r="A34">
        <v>2028627544</v>
      </c>
      <c r="B34" t="s">
        <v>136</v>
      </c>
      <c r="C34" t="s">
        <v>75</v>
      </c>
      <c r="D34">
        <v>8325282</v>
      </c>
      <c r="E34" t="s">
        <v>65</v>
      </c>
      <c r="F34" t="s">
        <v>62</v>
      </c>
      <c r="G34" s="1">
        <v>45774</v>
      </c>
      <c r="H34" t="s">
        <v>51</v>
      </c>
      <c r="I34" s="2">
        <v>18.64</v>
      </c>
      <c r="J34" s="2">
        <v>18.64</v>
      </c>
      <c r="K34" s="3">
        <v>0.375</v>
      </c>
      <c r="L34" s="2">
        <f t="shared" ref="L34:L53" si="1">SUM(J34*K34)</f>
        <v>6.99</v>
      </c>
      <c r="M34" t="s">
        <v>137</v>
      </c>
      <c r="N34" s="2"/>
    </row>
    <row r="35" spans="1:14" x14ac:dyDescent="0.25">
      <c r="A35">
        <v>2028521710</v>
      </c>
      <c r="B35" t="s">
        <v>84</v>
      </c>
      <c r="C35" t="s">
        <v>45</v>
      </c>
      <c r="D35">
        <v>8814784</v>
      </c>
      <c r="E35" t="s">
        <v>86</v>
      </c>
      <c r="F35" t="s">
        <v>87</v>
      </c>
      <c r="G35" s="1">
        <v>45769</v>
      </c>
      <c r="H35" t="s">
        <v>51</v>
      </c>
      <c r="I35" s="2">
        <v>172.55</v>
      </c>
      <c r="J35" s="2">
        <v>172.55</v>
      </c>
      <c r="K35" s="3">
        <v>0.38</v>
      </c>
      <c r="L35" s="2">
        <f t="shared" si="1"/>
        <v>65.569000000000003</v>
      </c>
      <c r="M35" t="s">
        <v>143</v>
      </c>
      <c r="N35" s="2"/>
    </row>
    <row r="36" spans="1:14" x14ac:dyDescent="0.25">
      <c r="A36">
        <v>2028521711</v>
      </c>
      <c r="B36" t="s">
        <v>84</v>
      </c>
      <c r="C36" t="s">
        <v>45</v>
      </c>
      <c r="D36">
        <v>8814784</v>
      </c>
      <c r="E36" t="s">
        <v>86</v>
      </c>
      <c r="F36" t="s">
        <v>88</v>
      </c>
      <c r="G36" s="1">
        <v>45769</v>
      </c>
      <c r="H36" t="s">
        <v>89</v>
      </c>
      <c r="I36" s="2">
        <v>15</v>
      </c>
      <c r="J36" s="2">
        <v>15</v>
      </c>
      <c r="K36" s="3">
        <v>0.38</v>
      </c>
      <c r="L36" s="2">
        <f t="shared" si="1"/>
        <v>5.7</v>
      </c>
      <c r="M36" t="s">
        <v>143</v>
      </c>
      <c r="N36" s="2"/>
    </row>
    <row r="37" spans="1:14" x14ac:dyDescent="0.25">
      <c r="A37">
        <v>2028556288</v>
      </c>
      <c r="B37" t="s">
        <v>112</v>
      </c>
      <c r="C37" t="s">
        <v>45</v>
      </c>
      <c r="D37">
        <v>8814784</v>
      </c>
      <c r="E37" t="s">
        <v>86</v>
      </c>
      <c r="F37" t="s">
        <v>49</v>
      </c>
      <c r="G37" s="1">
        <v>45778</v>
      </c>
      <c r="H37" t="s">
        <v>51</v>
      </c>
      <c r="I37" s="2">
        <v>230.03</v>
      </c>
      <c r="J37" s="2">
        <v>230.03</v>
      </c>
      <c r="K37" s="3">
        <v>0.7</v>
      </c>
      <c r="L37" s="2">
        <f t="shared" si="1"/>
        <v>161.02099999999999</v>
      </c>
      <c r="M37" t="s">
        <v>139</v>
      </c>
      <c r="N37" s="2"/>
    </row>
    <row r="38" spans="1:14" x14ac:dyDescent="0.25">
      <c r="A38">
        <v>2028522933</v>
      </c>
      <c r="B38" t="s">
        <v>90</v>
      </c>
      <c r="C38" t="s">
        <v>45</v>
      </c>
      <c r="D38">
        <v>18201929</v>
      </c>
      <c r="E38" t="s">
        <v>92</v>
      </c>
      <c r="F38" t="s">
        <v>49</v>
      </c>
      <c r="G38" s="1">
        <v>45778</v>
      </c>
      <c r="H38" t="s">
        <v>51</v>
      </c>
      <c r="I38" s="2">
        <v>11.5</v>
      </c>
      <c r="J38" s="2">
        <v>11.5</v>
      </c>
      <c r="K38" s="3">
        <v>0.7</v>
      </c>
      <c r="L38" s="2">
        <f t="shared" si="1"/>
        <v>8.0499999999999989</v>
      </c>
      <c r="M38" t="s">
        <v>139</v>
      </c>
      <c r="N38" s="2"/>
    </row>
    <row r="39" spans="1:14" x14ac:dyDescent="0.25">
      <c r="A39">
        <v>2028612406</v>
      </c>
      <c r="B39" t="s">
        <v>131</v>
      </c>
      <c r="C39" t="s">
        <v>53</v>
      </c>
      <c r="D39">
        <v>18201929</v>
      </c>
      <c r="E39" t="s">
        <v>92</v>
      </c>
      <c r="F39" t="s">
        <v>49</v>
      </c>
      <c r="G39" s="1">
        <v>45778</v>
      </c>
      <c r="H39" t="s">
        <v>51</v>
      </c>
      <c r="I39" s="2">
        <v>73.22</v>
      </c>
      <c r="J39" s="2">
        <v>73.22</v>
      </c>
      <c r="K39" s="3">
        <v>0.7</v>
      </c>
      <c r="L39" s="2">
        <f t="shared" si="1"/>
        <v>51.253999999999998</v>
      </c>
      <c r="M39" t="s">
        <v>139</v>
      </c>
      <c r="N39" s="2"/>
    </row>
    <row r="40" spans="1:14" x14ac:dyDescent="0.25">
      <c r="A40">
        <v>2028522932</v>
      </c>
      <c r="B40" t="s">
        <v>90</v>
      </c>
      <c r="C40" t="s">
        <v>45</v>
      </c>
      <c r="D40">
        <v>18201929</v>
      </c>
      <c r="E40" t="s">
        <v>92</v>
      </c>
      <c r="F40" t="s">
        <v>62</v>
      </c>
      <c r="G40" s="1">
        <v>45778</v>
      </c>
      <c r="H40" t="s">
        <v>51</v>
      </c>
      <c r="I40" s="2">
        <v>27.64</v>
      </c>
      <c r="J40" s="2">
        <v>27.64</v>
      </c>
      <c r="K40" s="3">
        <v>0.375</v>
      </c>
      <c r="L40" s="2">
        <f t="shared" si="1"/>
        <v>10.365</v>
      </c>
      <c r="M40" t="s">
        <v>137</v>
      </c>
      <c r="N40" s="2"/>
    </row>
    <row r="41" spans="1:14" x14ac:dyDescent="0.25">
      <c r="A41">
        <v>2028576735</v>
      </c>
      <c r="B41" t="s">
        <v>117</v>
      </c>
      <c r="C41" t="s">
        <v>45</v>
      </c>
      <c r="D41">
        <v>18201929</v>
      </c>
      <c r="E41" t="s">
        <v>92</v>
      </c>
      <c r="F41" t="s">
        <v>62</v>
      </c>
      <c r="G41" s="1">
        <v>45778</v>
      </c>
      <c r="H41" t="s">
        <v>51</v>
      </c>
      <c r="I41" s="2">
        <v>22.52</v>
      </c>
      <c r="J41" s="2">
        <v>22.52</v>
      </c>
      <c r="K41" s="3">
        <v>0.375</v>
      </c>
      <c r="L41" s="2">
        <f t="shared" si="1"/>
        <v>8.4450000000000003</v>
      </c>
      <c r="M41" t="s">
        <v>137</v>
      </c>
      <c r="N41" s="2"/>
    </row>
    <row r="42" spans="1:14" x14ac:dyDescent="0.25">
      <c r="A42">
        <v>2028359974</v>
      </c>
      <c r="B42" t="s">
        <v>59</v>
      </c>
      <c r="C42" t="s">
        <v>45</v>
      </c>
      <c r="D42">
        <v>18828278</v>
      </c>
      <c r="E42" t="s">
        <v>61</v>
      </c>
      <c r="F42" t="s">
        <v>62</v>
      </c>
      <c r="G42" s="1">
        <v>45778</v>
      </c>
      <c r="H42" t="s">
        <v>51</v>
      </c>
      <c r="I42" s="2">
        <v>38.44</v>
      </c>
      <c r="J42" s="2">
        <v>38.44</v>
      </c>
      <c r="K42" s="3">
        <v>0.375</v>
      </c>
      <c r="L42" s="2">
        <f t="shared" si="1"/>
        <v>14.414999999999999</v>
      </c>
      <c r="M42" t="s">
        <v>137</v>
      </c>
      <c r="N42" s="2"/>
    </row>
    <row r="43" spans="1:14" x14ac:dyDescent="0.25">
      <c r="A43">
        <v>2028582613</v>
      </c>
      <c r="B43" t="s">
        <v>124</v>
      </c>
      <c r="C43" t="s">
        <v>75</v>
      </c>
      <c r="D43">
        <v>16633294</v>
      </c>
      <c r="E43" t="s">
        <v>58</v>
      </c>
      <c r="F43" t="s">
        <v>70</v>
      </c>
      <c r="G43" s="1">
        <v>45777</v>
      </c>
      <c r="H43" t="s">
        <v>51</v>
      </c>
      <c r="I43" s="2">
        <v>12.79</v>
      </c>
      <c r="J43" s="2">
        <v>12.79</v>
      </c>
      <c r="K43" s="3">
        <v>0.75</v>
      </c>
      <c r="L43" s="2">
        <f t="shared" si="1"/>
        <v>9.5924999999999994</v>
      </c>
      <c r="M43" t="s">
        <v>142</v>
      </c>
      <c r="N43" s="2"/>
    </row>
    <row r="44" spans="1:14" x14ac:dyDescent="0.25">
      <c r="A44">
        <v>2028461883</v>
      </c>
      <c r="B44" t="s">
        <v>74</v>
      </c>
      <c r="C44" t="s">
        <v>75</v>
      </c>
      <c r="D44">
        <v>16633294</v>
      </c>
      <c r="E44" t="s">
        <v>58</v>
      </c>
      <c r="F44" t="s">
        <v>76</v>
      </c>
      <c r="G44" s="1">
        <v>45772</v>
      </c>
      <c r="H44" t="s">
        <v>51</v>
      </c>
      <c r="I44" s="2">
        <v>36.82</v>
      </c>
      <c r="J44" s="2">
        <v>36.82</v>
      </c>
      <c r="K44" s="3">
        <v>0.9</v>
      </c>
      <c r="L44" s="2">
        <f t="shared" si="1"/>
        <v>33.137999999999998</v>
      </c>
      <c r="M44" t="s">
        <v>141</v>
      </c>
      <c r="N44" s="2"/>
    </row>
    <row r="45" spans="1:14" x14ac:dyDescent="0.25">
      <c r="A45">
        <v>2028326670</v>
      </c>
      <c r="B45" t="s">
        <v>56</v>
      </c>
      <c r="C45" t="s">
        <v>53</v>
      </c>
      <c r="D45">
        <v>16633294</v>
      </c>
      <c r="E45" t="s">
        <v>58</v>
      </c>
      <c r="F45" t="s">
        <v>49</v>
      </c>
      <c r="G45" s="1">
        <v>45778</v>
      </c>
      <c r="H45" t="s">
        <v>51</v>
      </c>
      <c r="I45" s="2">
        <v>241.09</v>
      </c>
      <c r="J45" s="2">
        <v>241.09</v>
      </c>
      <c r="K45" s="3">
        <v>0.7</v>
      </c>
      <c r="L45" s="2">
        <f t="shared" si="1"/>
        <v>168.76300000000001</v>
      </c>
      <c r="M45" t="s">
        <v>139</v>
      </c>
      <c r="N45" s="2"/>
    </row>
    <row r="46" spans="1:14" x14ac:dyDescent="0.25">
      <c r="A46">
        <v>2028461882</v>
      </c>
      <c r="B46" t="s">
        <v>74</v>
      </c>
      <c r="C46" t="s">
        <v>75</v>
      </c>
      <c r="D46">
        <v>16633294</v>
      </c>
      <c r="E46" t="s">
        <v>58</v>
      </c>
      <c r="F46" t="s">
        <v>49</v>
      </c>
      <c r="G46" s="1">
        <v>45772</v>
      </c>
      <c r="H46" t="s">
        <v>51</v>
      </c>
      <c r="I46" s="2">
        <v>58.94</v>
      </c>
      <c r="J46" s="2">
        <v>58.94</v>
      </c>
      <c r="K46" s="3">
        <v>0.7</v>
      </c>
      <c r="L46" s="2">
        <f t="shared" si="1"/>
        <v>41.257999999999996</v>
      </c>
      <c r="M46" t="s">
        <v>139</v>
      </c>
      <c r="N46" s="2"/>
    </row>
    <row r="47" spans="1:14" x14ac:dyDescent="0.25">
      <c r="A47">
        <v>2028582612</v>
      </c>
      <c r="B47" t="s">
        <v>124</v>
      </c>
      <c r="C47" t="s">
        <v>75</v>
      </c>
      <c r="D47">
        <v>16633294</v>
      </c>
      <c r="E47" t="s">
        <v>58</v>
      </c>
      <c r="F47" t="s">
        <v>49</v>
      </c>
      <c r="G47" s="1">
        <v>45777</v>
      </c>
      <c r="H47" t="s">
        <v>51</v>
      </c>
      <c r="I47" s="2">
        <v>55.18</v>
      </c>
      <c r="J47" s="2">
        <v>55.18</v>
      </c>
      <c r="K47" s="3">
        <v>0.7</v>
      </c>
      <c r="L47" s="2">
        <f t="shared" si="1"/>
        <v>38.625999999999998</v>
      </c>
      <c r="M47" t="s">
        <v>139</v>
      </c>
      <c r="N47" s="2"/>
    </row>
    <row r="48" spans="1:14" x14ac:dyDescent="0.25">
      <c r="A48">
        <v>2028615800</v>
      </c>
      <c r="B48" t="s">
        <v>132</v>
      </c>
      <c r="C48" t="s">
        <v>45</v>
      </c>
      <c r="D48">
        <v>16633294</v>
      </c>
      <c r="E48" t="s">
        <v>58</v>
      </c>
      <c r="F48" t="s">
        <v>49</v>
      </c>
      <c r="G48" s="1">
        <v>45773</v>
      </c>
      <c r="H48" t="s">
        <v>51</v>
      </c>
      <c r="I48" s="2">
        <v>59.4</v>
      </c>
      <c r="J48" s="2">
        <v>59.4</v>
      </c>
      <c r="K48" s="3">
        <v>0.7</v>
      </c>
      <c r="L48" s="2">
        <f t="shared" si="1"/>
        <v>41.58</v>
      </c>
      <c r="M48" t="s">
        <v>139</v>
      </c>
      <c r="N48" s="2"/>
    </row>
    <row r="49" spans="1:14" x14ac:dyDescent="0.25">
      <c r="A49">
        <v>2028461881</v>
      </c>
      <c r="B49" t="s">
        <v>74</v>
      </c>
      <c r="C49" t="s">
        <v>75</v>
      </c>
      <c r="D49">
        <v>16633294</v>
      </c>
      <c r="E49" t="s">
        <v>58</v>
      </c>
      <c r="F49" t="s">
        <v>62</v>
      </c>
      <c r="G49" s="1">
        <v>45772</v>
      </c>
      <c r="H49" t="s">
        <v>51</v>
      </c>
      <c r="I49" s="2">
        <v>78.41</v>
      </c>
      <c r="J49" s="2">
        <v>78.41</v>
      </c>
      <c r="K49" s="3">
        <v>0.375</v>
      </c>
      <c r="L49" s="2">
        <f t="shared" si="1"/>
        <v>29.403749999999999</v>
      </c>
      <c r="M49" t="s">
        <v>137</v>
      </c>
      <c r="N49" s="2"/>
    </row>
    <row r="50" spans="1:14" x14ac:dyDescent="0.25">
      <c r="A50">
        <v>2028582611</v>
      </c>
      <c r="B50" t="s">
        <v>124</v>
      </c>
      <c r="C50" t="s">
        <v>75</v>
      </c>
      <c r="D50">
        <v>16633294</v>
      </c>
      <c r="E50" t="s">
        <v>58</v>
      </c>
      <c r="F50" t="s">
        <v>62</v>
      </c>
      <c r="G50" s="1">
        <v>45777</v>
      </c>
      <c r="H50" t="s">
        <v>51</v>
      </c>
      <c r="I50" s="2">
        <v>58.38</v>
      </c>
      <c r="J50" s="2">
        <v>58.38</v>
      </c>
      <c r="K50" s="3">
        <v>0.375</v>
      </c>
      <c r="L50" s="2">
        <f t="shared" si="1"/>
        <v>21.892500000000002</v>
      </c>
      <c r="M50" t="s">
        <v>137</v>
      </c>
      <c r="N50" s="2"/>
    </row>
    <row r="51" spans="1:14" x14ac:dyDescent="0.25">
      <c r="A51">
        <v>2028382290</v>
      </c>
      <c r="B51" t="s">
        <v>67</v>
      </c>
      <c r="C51" t="s">
        <v>45</v>
      </c>
      <c r="D51">
        <v>17126004</v>
      </c>
      <c r="E51" t="s">
        <v>69</v>
      </c>
      <c r="F51" t="s">
        <v>70</v>
      </c>
      <c r="G51" s="1">
        <v>45778</v>
      </c>
      <c r="H51" t="s">
        <v>51</v>
      </c>
      <c r="I51" s="2">
        <v>60.55</v>
      </c>
      <c r="J51" s="2">
        <v>60.55</v>
      </c>
      <c r="K51" s="3">
        <v>0.75</v>
      </c>
      <c r="L51" s="2">
        <f t="shared" si="1"/>
        <v>45.412499999999994</v>
      </c>
      <c r="M51" t="s">
        <v>142</v>
      </c>
      <c r="N51" s="2"/>
    </row>
    <row r="52" spans="1:14" x14ac:dyDescent="0.25">
      <c r="A52">
        <v>2028382289</v>
      </c>
      <c r="B52" t="s">
        <v>67</v>
      </c>
      <c r="C52" t="s">
        <v>45</v>
      </c>
      <c r="D52">
        <v>17126004</v>
      </c>
      <c r="E52" t="s">
        <v>69</v>
      </c>
      <c r="F52" t="s">
        <v>49</v>
      </c>
      <c r="G52" s="1">
        <v>45778</v>
      </c>
      <c r="H52" t="s">
        <v>51</v>
      </c>
      <c r="I52" s="2">
        <v>69.25</v>
      </c>
      <c r="J52" s="2">
        <v>69.25</v>
      </c>
      <c r="K52" s="3">
        <v>0.7</v>
      </c>
      <c r="L52" s="2">
        <f t="shared" si="1"/>
        <v>48.474999999999994</v>
      </c>
      <c r="M52" t="s">
        <v>139</v>
      </c>
      <c r="N52" s="2"/>
    </row>
    <row r="53" spans="1:14" x14ac:dyDescent="0.25">
      <c r="A53">
        <v>2028382291</v>
      </c>
      <c r="B53" t="s">
        <v>67</v>
      </c>
      <c r="C53" t="s">
        <v>45</v>
      </c>
      <c r="D53">
        <v>17126004</v>
      </c>
      <c r="E53" t="s">
        <v>69</v>
      </c>
      <c r="F53" t="s">
        <v>62</v>
      </c>
      <c r="G53" s="1">
        <v>45778</v>
      </c>
      <c r="H53" t="s">
        <v>51</v>
      </c>
      <c r="I53" s="2">
        <v>35.29</v>
      </c>
      <c r="J53" s="2">
        <v>35.29</v>
      </c>
      <c r="K53" s="3">
        <v>0.375</v>
      </c>
      <c r="L53" s="2">
        <f t="shared" si="1"/>
        <v>13.233750000000001</v>
      </c>
      <c r="M53" t="s">
        <v>137</v>
      </c>
      <c r="N53" s="2"/>
    </row>
  </sheetData>
  <sortState xmlns:xlrd2="http://schemas.microsoft.com/office/spreadsheetml/2017/richdata2" ref="A2:AD53">
    <sortCondition ref="E2:E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649163__Newbusiness_NEW_BUSINES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2025-05-05T11:09:47Z</dcterms:created>
  <dcterms:modified xsi:type="dcterms:W3CDTF">2026-07-09T18:53:09Z</dcterms:modified>
</cp:coreProperties>
</file>