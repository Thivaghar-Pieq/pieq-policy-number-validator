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8-18-25\"/>
    </mc:Choice>
  </mc:AlternateContent>
  <xr:revisionPtr revIDLastSave="0" documentId="13_ncr:1_{55B69060-0530-4F61-A86D-8F1EDC0E8926}" xr6:coauthVersionLast="47" xr6:coauthVersionMax="47" xr10:uidLastSave="{00000000-0000-0000-0000-000000000000}"/>
  <bookViews>
    <workbookView xWindow="-57720" yWindow="-45" windowWidth="29040" windowHeight="15720" activeTab="1" xr2:uid="{F9C32FC6-6148-4C5E-AA8A-1D789C652A4D}"/>
  </bookViews>
  <sheets>
    <sheet name="649163__Newbusiness_NEW_BUSINE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H38" i="2"/>
  <c r="H7" i="2"/>
  <c r="H8" i="2"/>
  <c r="H35" i="2"/>
  <c r="H39" i="2"/>
  <c r="H40" i="2"/>
  <c r="H41" i="2"/>
  <c r="H9" i="2"/>
  <c r="H10" i="2"/>
  <c r="H42" i="2"/>
  <c r="H25" i="2"/>
  <c r="H26" i="2"/>
  <c r="H27" i="2"/>
  <c r="H28" i="2"/>
  <c r="H29" i="2"/>
  <c r="H11" i="2"/>
  <c r="H12" i="2"/>
  <c r="H13" i="2"/>
  <c r="H14" i="2"/>
  <c r="H15" i="2"/>
  <c r="H16" i="2"/>
  <c r="H17" i="2"/>
  <c r="H21" i="2"/>
  <c r="H43" i="2"/>
  <c r="H30" i="2"/>
  <c r="H36" i="2"/>
  <c r="H37" i="2"/>
  <c r="H18" i="2"/>
  <c r="H19" i="2"/>
  <c r="H20" i="2"/>
  <c r="H2" i="2"/>
  <c r="H3" i="2"/>
  <c r="H4" i="2"/>
  <c r="H5" i="2"/>
  <c r="H32" i="2"/>
  <c r="H33" i="2"/>
  <c r="H22" i="2"/>
  <c r="H23" i="2"/>
  <c r="H24" i="2"/>
  <c r="H6" i="2"/>
  <c r="H31" i="2"/>
  <c r="D5" i="2"/>
  <c r="D2" i="2"/>
  <c r="D4" i="2"/>
  <c r="D6" i="2"/>
  <c r="D7" i="2"/>
  <c r="D8" i="2"/>
  <c r="D10" i="2"/>
  <c r="D9" i="2"/>
  <c r="D11" i="2"/>
  <c r="D14" i="2"/>
  <c r="D18" i="2"/>
  <c r="D13" i="2"/>
  <c r="D16" i="2"/>
  <c r="D12" i="2"/>
  <c r="D19" i="2"/>
  <c r="D15" i="2"/>
  <c r="D20" i="2"/>
  <c r="D17" i="2"/>
  <c r="D21" i="2"/>
  <c r="D24" i="2"/>
  <c r="D23" i="2"/>
  <c r="D22" i="2"/>
  <c r="D29" i="2"/>
  <c r="D27" i="2"/>
  <c r="D25" i="2"/>
  <c r="D28" i="2"/>
  <c r="D26" i="2"/>
  <c r="D30" i="2"/>
  <c r="D31" i="2"/>
  <c r="D32" i="2"/>
  <c r="D33" i="2"/>
  <c r="D35" i="2"/>
  <c r="D34" i="2"/>
  <c r="D37" i="2"/>
  <c r="D36" i="2"/>
  <c r="D42" i="2"/>
  <c r="D39" i="2"/>
  <c r="D38" i="2"/>
  <c r="D41" i="2"/>
  <c r="D40" i="2"/>
  <c r="D43" i="2"/>
  <c r="D3" i="2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<sst xmlns="http://schemas.openxmlformats.org/spreadsheetml/2006/main" count="2173" uniqueCount="337">
  <si>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</si>
  <si>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</si>
  <si>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</si>
  <si>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</si>
  <si>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</si>
  <si>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</si>
  <si>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</si>
  <si>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</si>
  <si>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</si>
  <si>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</si>
  <si>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</si>
  <si>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</si>
  <si>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</si>
  <si>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</si>
  <si>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</si>
  <si>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</si>
  <si>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</si>
  <si>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</si>
  <si>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</si>
  <si>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</si>
  <si>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</si>
  <si>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</si>
  <si>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</si>
  <si>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</si>
  <si>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</si>
  <si>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</si>
  <si>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</si>
  <si>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</si>
  <si>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</si>
  <si>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</si>
  <si>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</si>
  <si>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</si>
  <si>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</si>
  <si>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</si>
  <si>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</si>
  <si>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</si>
  <si>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</si>
  <si>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</si>
  <si>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</si>
  <si>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</si>
  <si>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</si>
  <si>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</si>
  <si>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</si>
  <si>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</si>
  <si>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'2029956855</t>
  </si>
  <si>
    <t>JEFF REY</t>
  </si>
  <si>
    <t>IL</t>
  </si>
  <si>
    <t>'839554</t>
  </si>
  <si>
    <t>LATESHA ROSE</t>
  </si>
  <si>
    <t>Active</t>
  </si>
  <si>
    <t>Plan Enhancer 20214</t>
  </si>
  <si>
    <t>Monthly</t>
  </si>
  <si>
    <t>AV</t>
  </si>
  <si>
    <t>[NOADMINFEE]</t>
  </si>
  <si>
    <t>'2029980504</t>
  </si>
  <si>
    <t>RHONDA STALLKAMP</t>
  </si>
  <si>
    <t>OH</t>
  </si>
  <si>
    <t>'673059</t>
  </si>
  <si>
    <t>RYAN CALTAGIRONE</t>
  </si>
  <si>
    <t>Cancer and Heart/Stroke GI 20231</t>
  </si>
  <si>
    <t>'2029980505</t>
  </si>
  <si>
    <t>'2029980506</t>
  </si>
  <si>
    <t>Accident Fixed Benefit</t>
  </si>
  <si>
    <t>'2030222105</t>
  </si>
  <si>
    <t>PAMALA PATTERSON</t>
  </si>
  <si>
    <t>'812782</t>
  </si>
  <si>
    <t>JACOB YALE</t>
  </si>
  <si>
    <t>SELECT DENTAL 29304</t>
  </si>
  <si>
    <t>'2030222106</t>
  </si>
  <si>
    <t>'2030244511</t>
  </si>
  <si>
    <t>PAUL HTOO</t>
  </si>
  <si>
    <t>'789909</t>
  </si>
  <si>
    <t>PATSAMON THANADABOUTH</t>
  </si>
  <si>
    <t>Dental Indemnity 21618</t>
  </si>
  <si>
    <t>'2030329697</t>
  </si>
  <si>
    <t>JADAH MILAM-MORRISON</t>
  </si>
  <si>
    <t>AZ</t>
  </si>
  <si>
    <t>'767312</t>
  </si>
  <si>
    <t>THOMAS PARDUE</t>
  </si>
  <si>
    <t>'2030333349</t>
  </si>
  <si>
    <t>MARQUITA INMAN</t>
  </si>
  <si>
    <t>SC</t>
  </si>
  <si>
    <t>'813184</t>
  </si>
  <si>
    <t>CHRISTIAN TAUGNER</t>
  </si>
  <si>
    <t>'2030333350</t>
  </si>
  <si>
    <t>'2030337261</t>
  </si>
  <si>
    <t>BETHANY LUANGKHAM</t>
  </si>
  <si>
    <t>'2030359370</t>
  </si>
  <si>
    <t>LUJUANA PLAINFEATHER</t>
  </si>
  <si>
    <t>MT</t>
  </si>
  <si>
    <t>'2030359371</t>
  </si>
  <si>
    <t>Term Life 21673</t>
  </si>
  <si>
    <t>'2030380188</t>
  </si>
  <si>
    <t>DELNO CORNISH</t>
  </si>
  <si>
    <t>OK</t>
  </si>
  <si>
    <t>'2030427171</t>
  </si>
  <si>
    <t>CURTIS JOHNSON</t>
  </si>
  <si>
    <t>'2030427172</t>
  </si>
  <si>
    <t>'2030428454</t>
  </si>
  <si>
    <t>TERRA BRACKETT</t>
  </si>
  <si>
    <t>'2030429653</t>
  </si>
  <si>
    <t>LINDA BOOKER</t>
  </si>
  <si>
    <t>AL</t>
  </si>
  <si>
    <t>'651818</t>
  </si>
  <si>
    <t>GREGORY TEIPEL</t>
  </si>
  <si>
    <t>Cancer and Heart/Stroke 20231</t>
  </si>
  <si>
    <t>'2030429654</t>
  </si>
  <si>
    <t>'2030429655</t>
  </si>
  <si>
    <t>'2030431357</t>
  </si>
  <si>
    <t>BRETT HEINTZ</t>
  </si>
  <si>
    <t>CO</t>
  </si>
  <si>
    <t>'824082</t>
  </si>
  <si>
    <t>JOEL LEE</t>
  </si>
  <si>
    <t>'2030431358</t>
  </si>
  <si>
    <t>'2030442236</t>
  </si>
  <si>
    <t>DIEGO BEAULIEU</t>
  </si>
  <si>
    <t>'812656</t>
  </si>
  <si>
    <t>GARY PORTUGAL</t>
  </si>
  <si>
    <t>'2030443049</t>
  </si>
  <si>
    <t>NICHOLAS HOLLENDONNER</t>
  </si>
  <si>
    <t>WI</t>
  </si>
  <si>
    <t>'822723</t>
  </si>
  <si>
    <t>TIMOTHY HODGMAN</t>
  </si>
  <si>
    <t>'2030443050</t>
  </si>
  <si>
    <t>'2030447105</t>
  </si>
  <si>
    <t>DAWN ANDERSON</t>
  </si>
  <si>
    <t>NHIC Dental 2020 DVH 65+</t>
  </si>
  <si>
    <t>'2030447483</t>
  </si>
  <si>
    <t>SANDRA MANSFIELD</t>
  </si>
  <si>
    <t>FL</t>
  </si>
  <si>
    <t>'753748</t>
  </si>
  <si>
    <t>MATTHEW DAUGHERTY</t>
  </si>
  <si>
    <t>'2030447484</t>
  </si>
  <si>
    <t>'2030450004</t>
  </si>
  <si>
    <t>URSULA EDELENBOS</t>
  </si>
  <si>
    <t>MD</t>
  </si>
  <si>
    <t>'823068</t>
  </si>
  <si>
    <t>RONALD MAX</t>
  </si>
  <si>
    <t>'2030450005</t>
  </si>
  <si>
    <t>'2030450006</t>
  </si>
  <si>
    <t>Critical Illness w/ Term Life 21677</t>
  </si>
  <si>
    <t>'2030452962</t>
  </si>
  <si>
    <t>JOHN ANDERSON</t>
  </si>
  <si>
    <t>'2030452963</t>
  </si>
  <si>
    <t>'2030453119</t>
  </si>
  <si>
    <t>NICHOLAS FUS</t>
  </si>
  <si>
    <t>'806645</t>
  </si>
  <si>
    <t>BARRY BRENNER</t>
  </si>
  <si>
    <t>'2030453867</t>
  </si>
  <si>
    <t>DEANNA NEIGHBORS</t>
  </si>
  <si>
    <t>'816021</t>
  </si>
  <si>
    <t>HEATHER MILLER</t>
  </si>
  <si>
    <t>'2030453868</t>
  </si>
  <si>
    <t>'2030454169</t>
  </si>
  <si>
    <t>THOMAS GEHRING</t>
  </si>
  <si>
    <t>'2030454170</t>
  </si>
  <si>
    <t>'2030455579</t>
  </si>
  <si>
    <t>JASON TROUT</t>
  </si>
  <si>
    <t>NHIC LM 2021 Hospital Expense Protection U65</t>
  </si>
  <si>
    <t>'2030455580</t>
  </si>
  <si>
    <t>'2030455581</t>
  </si>
  <si>
    <t>'2030455582</t>
  </si>
  <si>
    <t>Cancer and Heart/Stroke 20231 CO-FL-MN-MI</t>
  </si>
  <si>
    <t>'2030455583</t>
  </si>
  <si>
    <t>'2030463472</t>
  </si>
  <si>
    <t>THUHA GIANG</t>
  </si>
  <si>
    <t>'2030463473</t>
  </si>
  <si>
    <t>'2030469387</t>
  </si>
  <si>
    <t>MARIE ROGERS</t>
  </si>
  <si>
    <t>'2030469675</t>
  </si>
  <si>
    <t>NOAH STEVENS</t>
  </si>
  <si>
    <t>LA</t>
  </si>
  <si>
    <t>'751867</t>
  </si>
  <si>
    <t>JOHN ROKEN</t>
  </si>
  <si>
    <t>'2030469676</t>
  </si>
  <si>
    <t>TrioMED Accident and CI 14939</t>
  </si>
  <si>
    <t>'2030469677</t>
  </si>
  <si>
    <t>'2030470075</t>
  </si>
  <si>
    <t>SONIA MEYER</t>
  </si>
  <si>
    <t>'783924</t>
  </si>
  <si>
    <t>AMANDA RODRIGUEZ</t>
  </si>
  <si>
    <t>National General STM CO-CT-IA-KS-MD-MO-ND-OR-SD</t>
  </si>
  <si>
    <t>AV1</t>
  </si>
  <si>
    <t>'2030474634</t>
  </si>
  <si>
    <t>VASISHT PABATHI</t>
  </si>
  <si>
    <t>PA</t>
  </si>
  <si>
    <t>'2030474635</t>
  </si>
  <si>
    <t>'2030474678</t>
  </si>
  <si>
    <t>AMY PITTMAN</t>
  </si>
  <si>
    <t>'878036</t>
  </si>
  <si>
    <t>INES BERG</t>
  </si>
  <si>
    <t>'2030474774</t>
  </si>
  <si>
    <t>RISTAN SOTIRI</t>
  </si>
  <si>
    <t>'2030474901</t>
  </si>
  <si>
    <t>LATONYS THOMPSON</t>
  </si>
  <si>
    <t>TX</t>
  </si>
  <si>
    <t>'2030478246</t>
  </si>
  <si>
    <t>RICHARD HECK</t>
  </si>
  <si>
    <t>IA</t>
  </si>
  <si>
    <t>'2030478247</t>
  </si>
  <si>
    <t>'2030479075</t>
  </si>
  <si>
    <t>SHAMARA MARTIN</t>
  </si>
  <si>
    <t>'822865</t>
  </si>
  <si>
    <t>KIRK TIGUE</t>
  </si>
  <si>
    <t>'2030479921</t>
  </si>
  <si>
    <t>ALETH ORBITA</t>
  </si>
  <si>
    <t>NV</t>
  </si>
  <si>
    <t>'812994</t>
  </si>
  <si>
    <t>RICARDO SANTOS</t>
  </si>
  <si>
    <t>Allstate Health Access</t>
  </si>
  <si>
    <t>'2030479922</t>
  </si>
  <si>
    <t>Allstate Recuro RX Discount Card</t>
  </si>
  <si>
    <t>'2030485606</t>
  </si>
  <si>
    <t>KARENLYNN GREEN</t>
  </si>
  <si>
    <t>'839913</t>
  </si>
  <si>
    <t>GREGG ARENSON</t>
  </si>
  <si>
    <t>NHIC STM PPO All Other States</t>
  </si>
  <si>
    <t>'2030485607</t>
  </si>
  <si>
    <t>'2030485608</t>
  </si>
  <si>
    <t>LIFE Association Membership - C 14956 PPO</t>
  </si>
  <si>
    <t>'2030488870</t>
  </si>
  <si>
    <t>KAI BARNES</t>
  </si>
  <si>
    <t>'2030488871</t>
  </si>
  <si>
    <t>'2030488872</t>
  </si>
  <si>
    <t>'2030489803</t>
  </si>
  <si>
    <t>BRENT HOLCOMB</t>
  </si>
  <si>
    <t>'2030489804</t>
  </si>
  <si>
    <t>'2030489805</t>
  </si>
  <si>
    <t>'2030491854</t>
  </si>
  <si>
    <t>ETHAN ANDERSON</t>
  </si>
  <si>
    <t>'856574</t>
  </si>
  <si>
    <t>SANDRA SENTMAN</t>
  </si>
  <si>
    <t>'2030491855</t>
  </si>
  <si>
    <t>'2030492042</t>
  </si>
  <si>
    <t>JAMES LINDNER</t>
  </si>
  <si>
    <t>'882035</t>
  </si>
  <si>
    <t>JASON ROLLER</t>
  </si>
  <si>
    <t>'2030492043</t>
  </si>
  <si>
    <t>'2030495947</t>
  </si>
  <si>
    <t>KELSIE SUTHERLAND</t>
  </si>
  <si>
    <t>'768887</t>
  </si>
  <si>
    <t>ANDREA PETRUNGARO</t>
  </si>
  <si>
    <t>'2030495948</t>
  </si>
  <si>
    <t>'2030495949</t>
  </si>
  <si>
    <t>'2030495950</t>
  </si>
  <si>
    <t>Life Association Access</t>
  </si>
  <si>
    <t>AV6</t>
  </si>
  <si>
    <t>'2030499009</t>
  </si>
  <si>
    <t>WENDELL ARNOLD</t>
  </si>
  <si>
    <t>AE</t>
  </si>
  <si>
    <t>'2030499010</t>
  </si>
  <si>
    <t>'2030499770</t>
  </si>
  <si>
    <t>'2030499771</t>
  </si>
  <si>
    <t>'2030500325</t>
  </si>
  <si>
    <t>ROCHELLE VARGAS</t>
  </si>
  <si>
    <t>'2030500326</t>
  </si>
  <si>
    <t>'2030500327</t>
  </si>
  <si>
    <t>'2030501934</t>
  </si>
  <si>
    <t>JAMES LEWIS</t>
  </si>
  <si>
    <t>'652037</t>
  </si>
  <si>
    <t>ADAM RICHTER</t>
  </si>
  <si>
    <t>'2030501935</t>
  </si>
  <si>
    <t>'2030503342</t>
  </si>
  <si>
    <t>JOSHUA ROSE</t>
  </si>
  <si>
    <t>'2030503343</t>
  </si>
  <si>
    <t>'2030510930</t>
  </si>
  <si>
    <t>COURTNEY WILLIAMS</t>
  </si>
  <si>
    <t>'843573</t>
  </si>
  <si>
    <t>JAMES ALLEN</t>
  </si>
  <si>
    <t>'2030512186</t>
  </si>
  <si>
    <t>CHARLES SELKE</t>
  </si>
  <si>
    <t>'2030512187</t>
  </si>
  <si>
    <t>'2030516316</t>
  </si>
  <si>
    <t>CRYSTAL FOX</t>
  </si>
  <si>
    <t>'2030516317</t>
  </si>
  <si>
    <t>'2030519283</t>
  </si>
  <si>
    <t>GREGORY BIBA</t>
  </si>
  <si>
    <t>'824062</t>
  </si>
  <si>
    <t>ANDREW CHOI</t>
  </si>
  <si>
    <t>CB</t>
  </si>
  <si>
    <t>'2029268503</t>
  </si>
  <si>
    <t>KIMBERLY WEITH</t>
  </si>
  <si>
    <t>CHARGEBACK</t>
  </si>
  <si>
    <t>'2029268504</t>
  </si>
  <si>
    <t>'2029268505</t>
  </si>
  <si>
    <t>'2029275099</t>
  </si>
  <si>
    <t>DAGNEY OLSON</t>
  </si>
  <si>
    <t>'2029275100</t>
  </si>
  <si>
    <t>'2029364355</t>
  </si>
  <si>
    <t>STEFANOS LEKKAS</t>
  </si>
  <si>
    <t>'766422</t>
  </si>
  <si>
    <t>GREGORY HANSFORD</t>
  </si>
  <si>
    <t>'2029364356</t>
  </si>
  <si>
    <t>'2029364357</t>
  </si>
  <si>
    <t>'2029364358</t>
  </si>
  <si>
    <t>LIFE Association Membership - C 14956 LM</t>
  </si>
  <si>
    <t>'2029501797</t>
  </si>
  <si>
    <t>CARLOS SR.</t>
  </si>
  <si>
    <t>'756418</t>
  </si>
  <si>
    <t>JARED KINYUA</t>
  </si>
  <si>
    <t>'2029501798</t>
  </si>
  <si>
    <t>'2029566674</t>
  </si>
  <si>
    <t>JAKOB OGLESBY</t>
  </si>
  <si>
    <t>'2029566675</t>
  </si>
  <si>
    <t>adam richter</t>
  </si>
  <si>
    <t>amanda rodriguez</t>
  </si>
  <si>
    <t>andrea petrungaro</t>
  </si>
  <si>
    <t>andrew choi</t>
  </si>
  <si>
    <t>barry brenner</t>
  </si>
  <si>
    <t>christian taugner</t>
  </si>
  <si>
    <t>gary portugal</t>
  </si>
  <si>
    <t>gregg arenson</t>
  </si>
  <si>
    <t>gregory hansford</t>
  </si>
  <si>
    <t>gregory teipel</t>
  </si>
  <si>
    <t>heather miller</t>
  </si>
  <si>
    <t>ines berg</t>
  </si>
  <si>
    <t>jacob yale</t>
  </si>
  <si>
    <t>james allen</t>
  </si>
  <si>
    <t>jared kinyua</t>
  </si>
  <si>
    <t>jason roller</t>
  </si>
  <si>
    <t>joel lee</t>
  </si>
  <si>
    <t>john roken</t>
  </si>
  <si>
    <t>kirk tigue</t>
  </si>
  <si>
    <t>latesha rose</t>
  </si>
  <si>
    <t>matthew daugherty</t>
  </si>
  <si>
    <t>patsamon thanadabouth</t>
  </si>
  <si>
    <t>ricardo santos</t>
  </si>
  <si>
    <t>ronald max</t>
  </si>
  <si>
    <t>ryan caltagirone</t>
  </si>
  <si>
    <t>sandra sentman</t>
  </si>
  <si>
    <t>thomas pardue</t>
  </si>
  <si>
    <t>timothy hodgman</t>
  </si>
  <si>
    <t>NHIC LM 2021 Hos Exp U65</t>
  </si>
  <si>
    <t>Cancer and Heart-Stroke 20231 CO-FL-MN-MI</t>
  </si>
  <si>
    <t>AS Plan Enhancer 20214</t>
  </si>
  <si>
    <t>Cancer and Heart-Stroke 20231</t>
  </si>
  <si>
    <t>Critical Illness with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</si>
</sst>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advance 1"/>
      <sheetName val="Sheet3"/>
    </sheetNames>
    <sheetDataSet>
      <sheetData sheetId="0" refreshError="1"/>
      <sheetData sheetId="1" refreshError="1"/>
      <sheetData sheetId="2">
        <row r="1">
          <cell r="A1" t="str">
            <v>brittany oliver</v>
          </cell>
          <cell r="B1">
            <v>17554531</v>
          </cell>
        </row>
        <row r="2">
          <cell r="A2" t="str">
            <v>ines berg</v>
          </cell>
          <cell r="B2">
            <v>17117649</v>
          </cell>
        </row>
        <row r="3">
          <cell r="A3" t="str">
            <v>lensie gonzalez</v>
          </cell>
          <cell r="B3">
            <v>17859093</v>
          </cell>
        </row>
        <row r="4">
          <cell r="A4" t="str">
            <v>marissa porraz</v>
          </cell>
          <cell r="B4">
            <v>21617661</v>
          </cell>
        </row>
        <row r="5">
          <cell r="A5" t="str">
            <v>robert shapiro</v>
          </cell>
          <cell r="B5">
            <v>7565575</v>
          </cell>
        </row>
        <row r="6">
          <cell r="A6" t="str">
            <v>taliah  ferguson</v>
          </cell>
          <cell r="B6">
            <v>21561165</v>
          </cell>
        </row>
        <row r="7">
          <cell r="A7" t="str">
            <v>thomas bentley</v>
          </cell>
          <cell r="B7">
            <v>2118374</v>
          </cell>
        </row>
        <row r="8">
          <cell r="A8" t="str">
            <v>wesley ellis</v>
          </cell>
          <cell r="B8">
            <v>19396919</v>
          </cell>
        </row>
        <row r="9">
          <cell r="A9" t="str">
            <v>alison luse</v>
          </cell>
          <cell r="B9">
            <v>9254978</v>
          </cell>
        </row>
        <row r="10">
          <cell r="A10" t="str">
            <v>andrea petrungaro</v>
          </cell>
          <cell r="B10">
            <v>16912722</v>
          </cell>
        </row>
        <row r="11">
          <cell r="A11" t="str">
            <v>andrew choi</v>
          </cell>
          <cell r="B11">
            <v>7470776</v>
          </cell>
        </row>
        <row r="12">
          <cell r="A12" t="str">
            <v>andrew  goodman</v>
          </cell>
          <cell r="B12">
            <v>593918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barry schumann</v>
          </cell>
          <cell r="B14">
            <v>19586992</v>
          </cell>
        </row>
        <row r="15">
          <cell r="A15" t="str">
            <v>brian raughter</v>
          </cell>
          <cell r="B15">
            <v>18406006</v>
          </cell>
        </row>
        <row r="16">
          <cell r="A16" t="str">
            <v>brian  strohman</v>
          </cell>
          <cell r="B16">
            <v>21104854</v>
          </cell>
        </row>
        <row r="17">
          <cell r="A17" t="str">
            <v>christian taugner</v>
          </cell>
          <cell r="B17">
            <v>19681796</v>
          </cell>
        </row>
        <row r="18">
          <cell r="A18" t="str">
            <v>connor  green</v>
          </cell>
          <cell r="B18">
            <v>20811434</v>
          </cell>
        </row>
        <row r="19">
          <cell r="A19" t="str">
            <v>curtis dodd</v>
          </cell>
          <cell r="B19">
            <v>10599300</v>
          </cell>
        </row>
        <row r="20">
          <cell r="A20" t="str">
            <v>dale walenga</v>
          </cell>
          <cell r="B20">
            <v>8325282</v>
          </cell>
        </row>
        <row r="21">
          <cell r="A21" t="str">
            <v>danna green</v>
          </cell>
          <cell r="B21">
            <v>16849453</v>
          </cell>
        </row>
        <row r="22">
          <cell r="A22" t="str">
            <v>dennis holyn</v>
          </cell>
          <cell r="B22">
            <v>7152559</v>
          </cell>
        </row>
        <row r="23">
          <cell r="A23" t="str">
            <v>esther "estee" herrera-larsen</v>
          </cell>
          <cell r="B23">
            <v>17301495</v>
          </cell>
        </row>
        <row r="24">
          <cell r="A24" t="str">
            <v>frank liskovec</v>
          </cell>
          <cell r="B24">
            <v>8814784</v>
          </cell>
        </row>
        <row r="25">
          <cell r="A25" t="str">
            <v>gregory hansford</v>
          </cell>
          <cell r="B25">
            <v>17094718</v>
          </cell>
        </row>
        <row r="26">
          <cell r="A26" t="str">
            <v>heather geske</v>
          </cell>
          <cell r="B26">
            <v>16865615</v>
          </cell>
        </row>
        <row r="27">
          <cell r="A27" t="str">
            <v>heidi berthelsen</v>
          </cell>
          <cell r="B27">
            <v>19617796</v>
          </cell>
        </row>
        <row r="28">
          <cell r="A28" t="str">
            <v>jake shulman</v>
          </cell>
          <cell r="B28">
            <v>18201929</v>
          </cell>
        </row>
        <row r="29">
          <cell r="A29" t="str">
            <v>james allen</v>
          </cell>
          <cell r="B29">
            <v>17143996</v>
          </cell>
        </row>
        <row r="30">
          <cell r="A30" t="str">
            <v>jeffrey horn</v>
          </cell>
          <cell r="B30">
            <v>2158366</v>
          </cell>
        </row>
        <row r="31">
          <cell r="A31" t="str">
            <v>jennifer  halsaver</v>
          </cell>
          <cell r="B31">
            <v>21564088</v>
          </cell>
        </row>
        <row r="32">
          <cell r="A32" t="str">
            <v>jessica sandifer</v>
          </cell>
          <cell r="B32">
            <v>6115727</v>
          </cell>
        </row>
        <row r="33">
          <cell r="A33" t="str">
            <v>joel lee</v>
          </cell>
          <cell r="B33">
            <v>6634327</v>
          </cell>
        </row>
        <row r="34">
          <cell r="A34" t="str">
            <v>jonathan aloff</v>
          </cell>
          <cell r="B34">
            <v>16683808</v>
          </cell>
        </row>
        <row r="35">
          <cell r="A35" t="str">
            <v>jose torres</v>
          </cell>
          <cell r="B35">
            <v>20212926</v>
          </cell>
        </row>
        <row r="36">
          <cell r="A36" t="str">
            <v>joseph sexton</v>
          </cell>
          <cell r="B36">
            <v>21505953</v>
          </cell>
        </row>
        <row r="37">
          <cell r="A37" t="str">
            <v>kirk tigue</v>
          </cell>
          <cell r="B37">
            <v>21421111</v>
          </cell>
        </row>
        <row r="38">
          <cell r="A38" t="str">
            <v>latesha rose</v>
          </cell>
          <cell r="B38">
            <v>21436172</v>
          </cell>
        </row>
        <row r="39">
          <cell r="A39" t="str">
            <v>marsha  sanderock</v>
          </cell>
          <cell r="B39">
            <v>20724564</v>
          </cell>
        </row>
        <row r="40">
          <cell r="A40" t="str">
            <v>michael dunavant</v>
          </cell>
          <cell r="B40">
            <v>18828278</v>
          </cell>
        </row>
        <row r="41">
          <cell r="A41" t="str">
            <v>nasandelger zana</v>
          </cell>
          <cell r="B41">
            <v>20220688</v>
          </cell>
        </row>
        <row r="42">
          <cell r="A42" t="str">
            <v>odmaa "emma" enkhtur</v>
          </cell>
          <cell r="B42">
            <v>20999157</v>
          </cell>
        </row>
        <row r="43">
          <cell r="A43" t="str">
            <v>pamela deaton</v>
          </cell>
          <cell r="B43">
            <v>8244481</v>
          </cell>
        </row>
        <row r="44">
          <cell r="A44" t="str">
            <v>patsamon thanadabouth</v>
          </cell>
          <cell r="B44">
            <v>8405446</v>
          </cell>
        </row>
        <row r="45">
          <cell r="A45" t="str">
            <v>paul robinson</v>
          </cell>
          <cell r="B45">
            <v>16983460</v>
          </cell>
        </row>
        <row r="46">
          <cell r="A46" t="str">
            <v>peter richter</v>
          </cell>
          <cell r="B46">
            <v>16509456</v>
          </cell>
        </row>
        <row r="47">
          <cell r="A47" t="str">
            <v>ricardo  santos</v>
          </cell>
          <cell r="B47">
            <v>19200754</v>
          </cell>
        </row>
        <row r="48">
          <cell r="A48" t="str">
            <v>richard  yale</v>
          </cell>
          <cell r="B48">
            <v>16633294</v>
          </cell>
        </row>
        <row r="49">
          <cell r="A49" t="str">
            <v>scott aguglia</v>
          </cell>
          <cell r="B49">
            <v>8971826</v>
          </cell>
        </row>
        <row r="50">
          <cell r="A50" t="str">
            <v>shawn gastelo</v>
          </cell>
          <cell r="B50">
            <v>21122864</v>
          </cell>
        </row>
        <row r="51">
          <cell r="A51" t="str">
            <v>stacey portugal</v>
          </cell>
          <cell r="B51">
            <v>19645587</v>
          </cell>
        </row>
        <row r="52">
          <cell r="A52" t="str">
            <v>stephanie drapac</v>
          </cell>
          <cell r="B52">
            <v>17126004</v>
          </cell>
        </row>
        <row r="53">
          <cell r="A53" t="str">
            <v>steven werner</v>
          </cell>
          <cell r="B53">
            <v>19481808</v>
          </cell>
        </row>
        <row r="54">
          <cell r="A54" t="str">
            <v>steven  brandt</v>
          </cell>
          <cell r="B54">
            <v>19491313</v>
          </cell>
        </row>
        <row r="55">
          <cell r="A55" t="str">
            <v>teri foster</v>
          </cell>
          <cell r="B55">
            <v>20098658</v>
          </cell>
        </row>
        <row r="56">
          <cell r="A56" t="str">
            <v>thomas kucan</v>
          </cell>
          <cell r="B56">
            <v>16202925</v>
          </cell>
        </row>
        <row r="57">
          <cell r="A57" t="str">
            <v>thomas serio</v>
          </cell>
          <cell r="B57">
            <v>20490188</v>
          </cell>
        </row>
        <row r="58">
          <cell r="A58" t="str">
            <v>thomas pardue</v>
          </cell>
          <cell r="B58">
            <v>371819</v>
          </cell>
        </row>
        <row r="59">
          <cell r="A59" t="str">
            <v>victor  fuentes</v>
          </cell>
          <cell r="B59">
            <v>21283956</v>
          </cell>
        </row>
        <row r="60">
          <cell r="A60" t="str">
            <v>william  geske</v>
          </cell>
          <cell r="B60">
            <v>21313588</v>
          </cell>
        </row>
        <row r="61">
          <cell r="A61" t="str">
            <v>zameer  kotadia</v>
          </cell>
          <cell r="B61">
            <v>21648482</v>
          </cell>
        </row>
        <row r="62">
          <cell r="A62" t="str">
            <v>matthew sherman</v>
          </cell>
          <cell r="B62">
            <v>8812322</v>
          </cell>
        </row>
        <row r="63">
          <cell r="A63" t="str">
            <v>nathan weller</v>
          </cell>
          <cell r="B63">
            <v>19219478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6CC4-3A88-4738-86EE-48E8D8140AF0}">
  <dimension ref="A1:AL108"/>
  <sheetViews>
    <sheetView topLeftCell="J74" workbookViewId="0">
      <selection sqref="A1:AL10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45891</v>
      </c>
      <c r="B2" s="1">
        <v>45887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45883</v>
      </c>
      <c r="U2" t="s">
        <v>51</v>
      </c>
      <c r="X2" t="s">
        <v>52</v>
      </c>
      <c r="Y2" s="2">
        <v>11.5</v>
      </c>
      <c r="Z2" s="2">
        <v>11.5</v>
      </c>
      <c r="AA2">
        <v>6</v>
      </c>
      <c r="AB2" s="3">
        <v>0.7</v>
      </c>
      <c r="AC2" s="2">
        <v>48.3</v>
      </c>
      <c r="AD2" s="3">
        <v>0</v>
      </c>
      <c r="AE2" s="2">
        <v>0</v>
      </c>
      <c r="AF2" s="2">
        <v>48.3</v>
      </c>
      <c r="AK2" s="4">
        <v>19576820</v>
      </c>
      <c r="AL2" t="s">
        <v>53</v>
      </c>
    </row>
    <row r="3" spans="1:38" x14ac:dyDescent="0.25">
      <c r="A3" s="1">
        <v>45891</v>
      </c>
      <c r="B3" s="1">
        <v>45887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49</v>
      </c>
      <c r="R3" t="s">
        <v>59</v>
      </c>
      <c r="S3" s="1">
        <v>45884</v>
      </c>
      <c r="U3" t="s">
        <v>51</v>
      </c>
      <c r="X3" t="s">
        <v>52</v>
      </c>
      <c r="Y3" s="2">
        <v>85.81</v>
      </c>
      <c r="Z3" s="2">
        <v>85.81</v>
      </c>
      <c r="AA3">
        <v>6</v>
      </c>
      <c r="AB3" s="3">
        <v>0.75</v>
      </c>
      <c r="AC3" s="2">
        <v>386.15</v>
      </c>
      <c r="AD3" s="3">
        <v>0</v>
      </c>
      <c r="AE3" s="2">
        <v>0</v>
      </c>
      <c r="AF3" s="2">
        <v>386.15</v>
      </c>
      <c r="AK3" s="4">
        <v>19583470</v>
      </c>
      <c r="AL3" t="s">
        <v>53</v>
      </c>
    </row>
    <row r="4" spans="1:38" x14ac:dyDescent="0.25">
      <c r="A4" s="1">
        <v>45891</v>
      </c>
      <c r="B4" s="1">
        <v>45887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55</v>
      </c>
      <c r="M4" t="s">
        <v>56</v>
      </c>
      <c r="O4" t="s">
        <v>57</v>
      </c>
      <c r="P4" t="s">
        <v>58</v>
      </c>
      <c r="Q4" t="s">
        <v>49</v>
      </c>
      <c r="R4" t="s">
        <v>50</v>
      </c>
      <c r="S4" s="1">
        <v>45884</v>
      </c>
      <c r="U4" t="s">
        <v>51</v>
      </c>
      <c r="X4" t="s">
        <v>52</v>
      </c>
      <c r="Y4" s="2">
        <v>24</v>
      </c>
      <c r="Z4" s="2">
        <v>24</v>
      </c>
      <c r="AA4">
        <v>6</v>
      </c>
      <c r="AB4" s="3">
        <v>0.7</v>
      </c>
      <c r="AC4" s="2">
        <v>100.8</v>
      </c>
      <c r="AD4" s="3">
        <v>0</v>
      </c>
      <c r="AE4" s="2">
        <v>0</v>
      </c>
      <c r="AF4" s="2">
        <v>100.8</v>
      </c>
      <c r="AK4" s="4">
        <v>19576920</v>
      </c>
      <c r="AL4" t="s">
        <v>53</v>
      </c>
    </row>
    <row r="5" spans="1:38" x14ac:dyDescent="0.25">
      <c r="A5" s="1">
        <v>45891</v>
      </c>
      <c r="B5" s="1">
        <v>45887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55</v>
      </c>
      <c r="M5" t="s">
        <v>56</v>
      </c>
      <c r="O5" t="s">
        <v>57</v>
      </c>
      <c r="P5" t="s">
        <v>58</v>
      </c>
      <c r="Q5" t="s">
        <v>49</v>
      </c>
      <c r="R5" t="s">
        <v>62</v>
      </c>
      <c r="S5" s="1">
        <v>45884</v>
      </c>
      <c r="U5" t="s">
        <v>51</v>
      </c>
      <c r="X5" t="s">
        <v>52</v>
      </c>
      <c r="Y5" s="2">
        <v>21.44</v>
      </c>
      <c r="Z5" s="2">
        <v>21.44</v>
      </c>
      <c r="AA5">
        <v>6</v>
      </c>
      <c r="AB5" s="3">
        <v>0.7</v>
      </c>
      <c r="AC5" s="2">
        <v>90.05</v>
      </c>
      <c r="AD5" s="3">
        <v>0</v>
      </c>
      <c r="AE5" s="2">
        <v>0</v>
      </c>
      <c r="AF5" s="2">
        <v>90.05</v>
      </c>
      <c r="AK5" s="4">
        <v>19571980</v>
      </c>
      <c r="AL5" t="s">
        <v>53</v>
      </c>
    </row>
    <row r="6" spans="1:38" x14ac:dyDescent="0.25">
      <c r="A6" s="1">
        <v>45891</v>
      </c>
      <c r="B6" s="1">
        <v>45887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</v>
      </c>
      <c r="J6" t="s">
        <v>64</v>
      </c>
      <c r="M6" t="s">
        <v>46</v>
      </c>
      <c r="O6" t="s">
        <v>65</v>
      </c>
      <c r="P6" t="s">
        <v>66</v>
      </c>
      <c r="Q6" t="s">
        <v>49</v>
      </c>
      <c r="R6" t="s">
        <v>67</v>
      </c>
      <c r="S6" s="1">
        <v>45901</v>
      </c>
      <c r="U6" t="s">
        <v>51</v>
      </c>
      <c r="X6" t="s">
        <v>52</v>
      </c>
      <c r="Y6" s="2">
        <v>53.87</v>
      </c>
      <c r="Z6" s="2">
        <v>53.87</v>
      </c>
      <c r="AA6">
        <v>6</v>
      </c>
      <c r="AB6" s="3">
        <v>0.375</v>
      </c>
      <c r="AC6" s="2">
        <v>121.21</v>
      </c>
      <c r="AD6" s="3">
        <v>0</v>
      </c>
      <c r="AE6" s="2">
        <v>0</v>
      </c>
      <c r="AF6" s="2">
        <v>121.21</v>
      </c>
      <c r="AK6" s="4">
        <v>19589710</v>
      </c>
      <c r="AL6" t="s">
        <v>53</v>
      </c>
    </row>
    <row r="7" spans="1:38" x14ac:dyDescent="0.25">
      <c r="A7" s="1">
        <v>45891</v>
      </c>
      <c r="B7" s="1">
        <v>45887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64</v>
      </c>
      <c r="M7" t="s">
        <v>46</v>
      </c>
      <c r="O7" t="s">
        <v>65</v>
      </c>
      <c r="P7" t="s">
        <v>66</v>
      </c>
      <c r="Q7" t="s">
        <v>49</v>
      </c>
      <c r="R7" t="s">
        <v>50</v>
      </c>
      <c r="S7" s="1">
        <v>45901</v>
      </c>
      <c r="U7" t="s">
        <v>51</v>
      </c>
      <c r="X7" t="s">
        <v>52</v>
      </c>
      <c r="Y7" s="2">
        <v>88.96</v>
      </c>
      <c r="Z7" s="2">
        <v>88.96</v>
      </c>
      <c r="AA7">
        <v>6</v>
      </c>
      <c r="AB7" s="3">
        <v>0.7</v>
      </c>
      <c r="AC7" s="2">
        <v>373.63</v>
      </c>
      <c r="AD7" s="3">
        <v>0</v>
      </c>
      <c r="AE7" s="2">
        <v>0</v>
      </c>
      <c r="AF7" s="2">
        <v>373.63</v>
      </c>
      <c r="AK7" s="4">
        <v>19577180</v>
      </c>
      <c r="AL7" t="s">
        <v>53</v>
      </c>
    </row>
    <row r="8" spans="1:38" x14ac:dyDescent="0.25">
      <c r="A8" s="1">
        <v>45891</v>
      </c>
      <c r="B8" s="1">
        <v>45887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69</v>
      </c>
      <c r="J8" t="s">
        <v>70</v>
      </c>
      <c r="M8" t="s">
        <v>46</v>
      </c>
      <c r="O8" t="s">
        <v>71</v>
      </c>
      <c r="P8" t="s">
        <v>72</v>
      </c>
      <c r="Q8" t="s">
        <v>49</v>
      </c>
      <c r="R8" t="s">
        <v>73</v>
      </c>
      <c r="S8" s="1">
        <v>45884</v>
      </c>
      <c r="U8" t="s">
        <v>51</v>
      </c>
      <c r="X8" t="s">
        <v>52</v>
      </c>
      <c r="Y8" s="2">
        <v>42.5</v>
      </c>
      <c r="Z8" s="2">
        <v>42.5</v>
      </c>
      <c r="AA8">
        <v>6</v>
      </c>
      <c r="AB8" s="3">
        <v>0.42</v>
      </c>
      <c r="AC8" s="2">
        <v>107.1</v>
      </c>
      <c r="AD8" s="3">
        <v>0</v>
      </c>
      <c r="AE8" s="2">
        <v>0</v>
      </c>
      <c r="AF8" s="2">
        <v>107.1</v>
      </c>
      <c r="AK8" s="4">
        <v>19589730</v>
      </c>
      <c r="AL8" t="s">
        <v>53</v>
      </c>
    </row>
    <row r="9" spans="1:38" x14ac:dyDescent="0.25">
      <c r="A9" s="1">
        <v>45891</v>
      </c>
      <c r="B9" s="1">
        <v>45887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74</v>
      </c>
      <c r="J9" t="s">
        <v>75</v>
      </c>
      <c r="M9" t="s">
        <v>76</v>
      </c>
      <c r="O9" t="s">
        <v>77</v>
      </c>
      <c r="P9" t="s">
        <v>78</v>
      </c>
      <c r="Q9" t="s">
        <v>49</v>
      </c>
      <c r="R9" t="s">
        <v>50</v>
      </c>
      <c r="S9" s="1">
        <v>45882</v>
      </c>
      <c r="U9" t="s">
        <v>51</v>
      </c>
      <c r="X9" t="s">
        <v>52</v>
      </c>
      <c r="Y9" s="2">
        <v>174.5</v>
      </c>
      <c r="Z9" s="2">
        <v>174.5</v>
      </c>
      <c r="AA9">
        <v>6</v>
      </c>
      <c r="AB9" s="3">
        <v>0.7</v>
      </c>
      <c r="AC9" s="2">
        <v>732.9</v>
      </c>
      <c r="AD9" s="3">
        <v>0</v>
      </c>
      <c r="AE9" s="2">
        <v>0</v>
      </c>
      <c r="AF9" s="2">
        <v>732.9</v>
      </c>
      <c r="AK9" s="4">
        <v>19577210</v>
      </c>
      <c r="AL9" t="s">
        <v>53</v>
      </c>
    </row>
    <row r="10" spans="1:38" x14ac:dyDescent="0.25">
      <c r="A10" s="1">
        <v>45891</v>
      </c>
      <c r="B10" s="1">
        <v>45887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81</v>
      </c>
      <c r="O10" t="s">
        <v>82</v>
      </c>
      <c r="P10" t="s">
        <v>83</v>
      </c>
      <c r="Q10" t="s">
        <v>49</v>
      </c>
      <c r="R10" t="s">
        <v>67</v>
      </c>
      <c r="S10" s="1">
        <v>45879</v>
      </c>
      <c r="U10" t="s">
        <v>51</v>
      </c>
      <c r="X10" t="s">
        <v>52</v>
      </c>
      <c r="Y10" s="2">
        <v>33.61</v>
      </c>
      <c r="Z10" s="2">
        <v>33.61</v>
      </c>
      <c r="AA10">
        <v>6</v>
      </c>
      <c r="AB10" s="3">
        <v>0.375</v>
      </c>
      <c r="AC10" s="2">
        <v>75.62</v>
      </c>
      <c r="AD10" s="3">
        <v>0</v>
      </c>
      <c r="AE10" s="2">
        <v>0</v>
      </c>
      <c r="AF10" s="2">
        <v>75.62</v>
      </c>
      <c r="AK10" s="4">
        <v>19589760</v>
      </c>
      <c r="AL10" t="s">
        <v>53</v>
      </c>
    </row>
    <row r="11" spans="1:38" x14ac:dyDescent="0.25">
      <c r="A11" s="1">
        <v>45891</v>
      </c>
      <c r="B11" s="1">
        <v>45887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80</v>
      </c>
      <c r="M11" t="s">
        <v>81</v>
      </c>
      <c r="O11" t="s">
        <v>82</v>
      </c>
      <c r="P11" t="s">
        <v>83</v>
      </c>
      <c r="Q11" t="s">
        <v>49</v>
      </c>
      <c r="R11" t="s">
        <v>50</v>
      </c>
      <c r="S11" s="1">
        <v>45879</v>
      </c>
      <c r="U11" t="s">
        <v>51</v>
      </c>
      <c r="X11" t="s">
        <v>52</v>
      </c>
      <c r="Y11" s="2">
        <v>19.579999999999998</v>
      </c>
      <c r="Z11" s="2">
        <v>19.579999999999998</v>
      </c>
      <c r="AA11">
        <v>6</v>
      </c>
      <c r="AB11" s="3">
        <v>0.7</v>
      </c>
      <c r="AC11" s="2">
        <v>82.24</v>
      </c>
      <c r="AD11" s="3">
        <v>0</v>
      </c>
      <c r="AE11" s="2">
        <v>0</v>
      </c>
      <c r="AF11" s="2">
        <v>82.24</v>
      </c>
      <c r="AK11" s="4">
        <v>19577220</v>
      </c>
      <c r="AL11" t="s">
        <v>53</v>
      </c>
    </row>
    <row r="12" spans="1:38" x14ac:dyDescent="0.25">
      <c r="A12" s="1">
        <v>45891</v>
      </c>
      <c r="B12" s="1">
        <v>45887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86</v>
      </c>
      <c r="M12" t="s">
        <v>46</v>
      </c>
      <c r="O12" t="s">
        <v>71</v>
      </c>
      <c r="P12" t="s">
        <v>72</v>
      </c>
      <c r="Q12" t="s">
        <v>49</v>
      </c>
      <c r="R12" t="s">
        <v>73</v>
      </c>
      <c r="S12" s="1">
        <v>45884</v>
      </c>
      <c r="U12" t="s">
        <v>51</v>
      </c>
      <c r="X12" t="s">
        <v>52</v>
      </c>
      <c r="Y12" s="2">
        <v>35.4</v>
      </c>
      <c r="Z12" s="2">
        <v>35.4</v>
      </c>
      <c r="AA12">
        <v>6</v>
      </c>
      <c r="AB12" s="3">
        <v>0.42</v>
      </c>
      <c r="AC12" s="2">
        <v>89.21</v>
      </c>
      <c r="AD12" s="3">
        <v>0</v>
      </c>
      <c r="AE12" s="2">
        <v>0</v>
      </c>
      <c r="AF12" s="2">
        <v>89.21</v>
      </c>
      <c r="AK12" s="4">
        <v>19589770</v>
      </c>
      <c r="AL12" t="s">
        <v>53</v>
      </c>
    </row>
    <row r="13" spans="1:38" x14ac:dyDescent="0.25">
      <c r="A13" s="1">
        <v>45891</v>
      </c>
      <c r="B13" s="1">
        <v>45887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87</v>
      </c>
      <c r="J13" t="s">
        <v>88</v>
      </c>
      <c r="M13" t="s">
        <v>89</v>
      </c>
      <c r="O13" t="s">
        <v>77</v>
      </c>
      <c r="P13" t="s">
        <v>78</v>
      </c>
      <c r="Q13" t="s">
        <v>49</v>
      </c>
      <c r="R13" t="s">
        <v>73</v>
      </c>
      <c r="S13" s="1">
        <v>45879</v>
      </c>
      <c r="U13" t="s">
        <v>51</v>
      </c>
      <c r="X13" t="s">
        <v>52</v>
      </c>
      <c r="Y13" s="2">
        <v>15.73</v>
      </c>
      <c r="Z13" s="2">
        <v>15.73</v>
      </c>
      <c r="AA13">
        <v>6</v>
      </c>
      <c r="AB13" s="3">
        <v>0.42</v>
      </c>
      <c r="AC13" s="2">
        <v>39.64</v>
      </c>
      <c r="AD13" s="3">
        <v>0</v>
      </c>
      <c r="AE13" s="2">
        <v>0</v>
      </c>
      <c r="AF13" s="2">
        <v>39.64</v>
      </c>
      <c r="AK13" s="4">
        <v>19589780</v>
      </c>
      <c r="AL13" t="s">
        <v>53</v>
      </c>
    </row>
    <row r="14" spans="1:38" x14ac:dyDescent="0.25">
      <c r="A14" s="1">
        <v>45891</v>
      </c>
      <c r="B14" s="1">
        <v>45887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90</v>
      </c>
      <c r="J14" t="s">
        <v>88</v>
      </c>
      <c r="M14" t="s">
        <v>89</v>
      </c>
      <c r="O14" t="s">
        <v>77</v>
      </c>
      <c r="P14" t="s">
        <v>78</v>
      </c>
      <c r="Q14" t="s">
        <v>49</v>
      </c>
      <c r="R14" t="s">
        <v>91</v>
      </c>
      <c r="S14" s="1">
        <v>45879</v>
      </c>
      <c r="U14" t="s">
        <v>51</v>
      </c>
      <c r="X14" t="s">
        <v>52</v>
      </c>
      <c r="Y14" s="2">
        <v>37.42</v>
      </c>
      <c r="Z14" s="2">
        <v>37.42</v>
      </c>
      <c r="AA14">
        <v>6</v>
      </c>
      <c r="AB14" s="3">
        <v>0.9</v>
      </c>
      <c r="AC14" s="2">
        <v>202.07</v>
      </c>
      <c r="AD14" s="3">
        <v>0</v>
      </c>
      <c r="AE14" s="2">
        <v>0</v>
      </c>
      <c r="AF14" s="2">
        <v>202.07</v>
      </c>
      <c r="AK14" s="4">
        <v>19593420</v>
      </c>
      <c r="AL14" t="s">
        <v>53</v>
      </c>
    </row>
    <row r="15" spans="1:38" x14ac:dyDescent="0.25">
      <c r="A15" s="1">
        <v>45891</v>
      </c>
      <c r="B15" s="1">
        <v>45887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92</v>
      </c>
      <c r="J15" t="s">
        <v>93</v>
      </c>
      <c r="M15" t="s">
        <v>94</v>
      </c>
      <c r="O15" t="s">
        <v>77</v>
      </c>
      <c r="P15" t="s">
        <v>78</v>
      </c>
      <c r="Q15" t="s">
        <v>49</v>
      </c>
      <c r="R15" t="s">
        <v>91</v>
      </c>
      <c r="S15" s="1">
        <v>45884</v>
      </c>
      <c r="U15" t="s">
        <v>51</v>
      </c>
      <c r="X15" t="s">
        <v>52</v>
      </c>
      <c r="Y15" s="2">
        <v>35.85</v>
      </c>
      <c r="Z15" s="2">
        <v>35.85</v>
      </c>
      <c r="AA15">
        <v>6</v>
      </c>
      <c r="AB15" s="3">
        <v>0.9</v>
      </c>
      <c r="AC15" s="2">
        <v>193.59</v>
      </c>
      <c r="AD15" s="3">
        <v>0</v>
      </c>
      <c r="AE15" s="2">
        <v>0</v>
      </c>
      <c r="AF15" s="2">
        <v>193.59</v>
      </c>
      <c r="AK15" s="4">
        <v>19593430</v>
      </c>
      <c r="AL15" t="s">
        <v>53</v>
      </c>
    </row>
    <row r="16" spans="1:38" x14ac:dyDescent="0.25">
      <c r="A16" s="1">
        <v>45891</v>
      </c>
      <c r="B16" s="1">
        <v>45887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95</v>
      </c>
      <c r="J16" t="s">
        <v>96</v>
      </c>
      <c r="M16" t="s">
        <v>81</v>
      </c>
      <c r="O16" t="s">
        <v>82</v>
      </c>
      <c r="P16" t="s">
        <v>83</v>
      </c>
      <c r="Q16" t="s">
        <v>49</v>
      </c>
      <c r="R16" t="s">
        <v>91</v>
      </c>
      <c r="S16" s="1">
        <v>45881</v>
      </c>
      <c r="U16" t="s">
        <v>51</v>
      </c>
      <c r="X16" t="s">
        <v>52</v>
      </c>
      <c r="Y16" s="2">
        <v>159.31</v>
      </c>
      <c r="Z16" s="2">
        <v>159.31</v>
      </c>
      <c r="AA16">
        <v>6</v>
      </c>
      <c r="AB16" s="3">
        <v>0.9</v>
      </c>
      <c r="AC16" s="2">
        <v>860.27</v>
      </c>
      <c r="AD16" s="3">
        <v>0</v>
      </c>
      <c r="AE16" s="2">
        <v>0</v>
      </c>
      <c r="AF16" s="2">
        <v>860.27</v>
      </c>
      <c r="AK16" s="4">
        <v>19593440</v>
      </c>
      <c r="AL16" t="s">
        <v>53</v>
      </c>
    </row>
    <row r="17" spans="1:38" x14ac:dyDescent="0.25">
      <c r="A17" s="1">
        <v>45891</v>
      </c>
      <c r="B17" s="1">
        <v>45887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97</v>
      </c>
      <c r="J17" t="s">
        <v>96</v>
      </c>
      <c r="M17" t="s">
        <v>81</v>
      </c>
      <c r="O17" t="s">
        <v>82</v>
      </c>
      <c r="P17" t="s">
        <v>83</v>
      </c>
      <c r="Q17" t="s">
        <v>49</v>
      </c>
      <c r="R17" t="s">
        <v>50</v>
      </c>
      <c r="S17" s="1">
        <v>45881</v>
      </c>
      <c r="U17" t="s">
        <v>51</v>
      </c>
      <c r="X17" t="s">
        <v>52</v>
      </c>
      <c r="Y17" s="2">
        <v>69.06</v>
      </c>
      <c r="Z17" s="2">
        <v>69.06</v>
      </c>
      <c r="AA17">
        <v>6</v>
      </c>
      <c r="AB17" s="3">
        <v>0.7</v>
      </c>
      <c r="AC17" s="2">
        <v>290.05</v>
      </c>
      <c r="AD17" s="3">
        <v>0</v>
      </c>
      <c r="AE17" s="2">
        <v>0</v>
      </c>
      <c r="AF17" s="2">
        <v>290.05</v>
      </c>
      <c r="AK17" s="4">
        <v>19577310</v>
      </c>
      <c r="AL17" t="s">
        <v>53</v>
      </c>
    </row>
    <row r="18" spans="1:38" x14ac:dyDescent="0.25">
      <c r="A18" s="1">
        <v>45891</v>
      </c>
      <c r="B18" s="1">
        <v>45887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98</v>
      </c>
      <c r="J18" t="s">
        <v>99</v>
      </c>
      <c r="M18" t="s">
        <v>76</v>
      </c>
      <c r="O18" t="s">
        <v>77</v>
      </c>
      <c r="P18" t="s">
        <v>78</v>
      </c>
      <c r="Q18" t="s">
        <v>49</v>
      </c>
      <c r="R18" t="s">
        <v>67</v>
      </c>
      <c r="S18" s="1">
        <v>45881</v>
      </c>
      <c r="U18" t="s">
        <v>51</v>
      </c>
      <c r="X18" t="s">
        <v>52</v>
      </c>
      <c r="Y18" s="2">
        <v>32.340000000000003</v>
      </c>
      <c r="Z18" s="2">
        <v>32.340000000000003</v>
      </c>
      <c r="AA18">
        <v>6</v>
      </c>
      <c r="AB18" s="3">
        <v>0.375</v>
      </c>
      <c r="AC18" s="2">
        <v>72.77</v>
      </c>
      <c r="AD18" s="3">
        <v>0</v>
      </c>
      <c r="AE18" s="2">
        <v>0</v>
      </c>
      <c r="AF18" s="2">
        <v>72.77</v>
      </c>
      <c r="AK18" s="4">
        <v>19589870</v>
      </c>
      <c r="AL18" t="s">
        <v>53</v>
      </c>
    </row>
    <row r="19" spans="1:38" x14ac:dyDescent="0.25">
      <c r="A19" s="1">
        <v>45891</v>
      </c>
      <c r="B19" s="1">
        <v>45887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100</v>
      </c>
      <c r="J19" t="s">
        <v>101</v>
      </c>
      <c r="M19" t="s">
        <v>102</v>
      </c>
      <c r="O19" t="s">
        <v>103</v>
      </c>
      <c r="P19" t="s">
        <v>104</v>
      </c>
      <c r="Q19" t="s">
        <v>49</v>
      </c>
      <c r="R19" t="s">
        <v>105</v>
      </c>
      <c r="S19" s="1">
        <v>45889</v>
      </c>
      <c r="U19" t="s">
        <v>51</v>
      </c>
      <c r="X19" t="s">
        <v>52</v>
      </c>
      <c r="Y19" s="2">
        <v>132.5</v>
      </c>
      <c r="Z19" s="2">
        <v>132.5</v>
      </c>
      <c r="AA19">
        <v>6</v>
      </c>
      <c r="AB19" s="3">
        <v>0.75</v>
      </c>
      <c r="AC19" s="2">
        <v>596.25</v>
      </c>
      <c r="AD19" s="3">
        <v>0</v>
      </c>
      <c r="AE19" s="2">
        <v>0</v>
      </c>
      <c r="AF19" s="2">
        <v>596.25</v>
      </c>
      <c r="AK19" s="4">
        <v>19583550</v>
      </c>
      <c r="AL19" t="s">
        <v>53</v>
      </c>
    </row>
    <row r="20" spans="1:38" x14ac:dyDescent="0.25">
      <c r="A20" s="1">
        <v>45891</v>
      </c>
      <c r="B20" s="1">
        <v>45887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106</v>
      </c>
      <c r="J20" t="s">
        <v>101</v>
      </c>
      <c r="M20" t="s">
        <v>102</v>
      </c>
      <c r="O20" t="s">
        <v>103</v>
      </c>
      <c r="P20" t="s">
        <v>104</v>
      </c>
      <c r="Q20" t="s">
        <v>49</v>
      </c>
      <c r="R20" t="s">
        <v>91</v>
      </c>
      <c r="S20" s="1">
        <v>45889</v>
      </c>
      <c r="U20" t="s">
        <v>51</v>
      </c>
      <c r="X20" t="s">
        <v>52</v>
      </c>
      <c r="Y20" s="2">
        <v>51.63</v>
      </c>
      <c r="Z20" s="2">
        <v>51.63</v>
      </c>
      <c r="AA20">
        <v>6</v>
      </c>
      <c r="AB20" s="3">
        <v>0.9</v>
      </c>
      <c r="AC20" s="2">
        <v>278.8</v>
      </c>
      <c r="AD20" s="3">
        <v>0</v>
      </c>
      <c r="AE20" s="2">
        <v>0</v>
      </c>
      <c r="AF20" s="2">
        <v>278.8</v>
      </c>
      <c r="AK20" s="4">
        <v>19593450</v>
      </c>
      <c r="AL20" t="s">
        <v>53</v>
      </c>
    </row>
    <row r="21" spans="1:38" x14ac:dyDescent="0.25">
      <c r="A21" s="1">
        <v>45891</v>
      </c>
      <c r="B21" s="1">
        <v>45887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107</v>
      </c>
      <c r="J21" t="s">
        <v>101</v>
      </c>
      <c r="M21" t="s">
        <v>102</v>
      </c>
      <c r="O21" t="s">
        <v>103</v>
      </c>
      <c r="P21" t="s">
        <v>104</v>
      </c>
      <c r="Q21" t="s">
        <v>49</v>
      </c>
      <c r="R21" t="s">
        <v>67</v>
      </c>
      <c r="S21" s="1">
        <v>45889</v>
      </c>
      <c r="U21" t="s">
        <v>51</v>
      </c>
      <c r="X21" t="s">
        <v>52</v>
      </c>
      <c r="Y21" s="2">
        <v>43.91</v>
      </c>
      <c r="Z21" s="2">
        <v>43.91</v>
      </c>
      <c r="AA21">
        <v>6</v>
      </c>
      <c r="AB21" s="3">
        <v>0.375</v>
      </c>
      <c r="AC21" s="2">
        <v>98.8</v>
      </c>
      <c r="AD21" s="3">
        <v>0</v>
      </c>
      <c r="AE21" s="2">
        <v>0</v>
      </c>
      <c r="AF21" s="2">
        <v>98.8</v>
      </c>
      <c r="AK21" s="4">
        <v>19589880</v>
      </c>
      <c r="AL21" t="s">
        <v>53</v>
      </c>
    </row>
    <row r="22" spans="1:38" x14ac:dyDescent="0.25">
      <c r="A22" s="1">
        <v>45891</v>
      </c>
      <c r="B22" s="1">
        <v>45887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108</v>
      </c>
      <c r="J22" t="s">
        <v>109</v>
      </c>
      <c r="M22" t="s">
        <v>110</v>
      </c>
      <c r="O22" t="s">
        <v>111</v>
      </c>
      <c r="P22" t="s">
        <v>112</v>
      </c>
      <c r="Q22" t="s">
        <v>49</v>
      </c>
      <c r="R22" t="s">
        <v>50</v>
      </c>
      <c r="S22" s="1">
        <v>45881</v>
      </c>
      <c r="U22" t="s">
        <v>51</v>
      </c>
      <c r="X22" t="s">
        <v>52</v>
      </c>
      <c r="Y22" s="2">
        <v>9.6999999999999993</v>
      </c>
      <c r="Z22" s="2">
        <v>9.6999999999999993</v>
      </c>
      <c r="AA22">
        <v>6</v>
      </c>
      <c r="AB22" s="3">
        <v>0.7</v>
      </c>
      <c r="AC22" s="2">
        <v>40.74</v>
      </c>
      <c r="AD22" s="3">
        <v>0</v>
      </c>
      <c r="AE22" s="2">
        <v>0</v>
      </c>
      <c r="AF22" s="2">
        <v>40.74</v>
      </c>
      <c r="AK22" s="4">
        <v>19577340</v>
      </c>
      <c r="AL22" t="s">
        <v>53</v>
      </c>
    </row>
    <row r="23" spans="1:38" x14ac:dyDescent="0.25">
      <c r="A23" s="1">
        <v>45891</v>
      </c>
      <c r="B23" s="1">
        <v>45887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113</v>
      </c>
      <c r="J23" t="s">
        <v>109</v>
      </c>
      <c r="M23" t="s">
        <v>110</v>
      </c>
      <c r="O23" t="s">
        <v>111</v>
      </c>
      <c r="P23" t="s">
        <v>112</v>
      </c>
      <c r="Q23" t="s">
        <v>49</v>
      </c>
      <c r="R23" t="s">
        <v>59</v>
      </c>
      <c r="S23" s="1">
        <v>45881</v>
      </c>
      <c r="U23" t="s">
        <v>51</v>
      </c>
      <c r="X23" t="s">
        <v>52</v>
      </c>
      <c r="Y23" s="2">
        <v>30.34</v>
      </c>
      <c r="Z23" s="2">
        <v>30.34</v>
      </c>
      <c r="AA23">
        <v>6</v>
      </c>
      <c r="AB23" s="3">
        <v>0.75</v>
      </c>
      <c r="AC23" s="2">
        <v>136.53</v>
      </c>
      <c r="AD23" s="3">
        <v>0</v>
      </c>
      <c r="AE23" s="2">
        <v>0</v>
      </c>
      <c r="AF23" s="2">
        <v>136.53</v>
      </c>
      <c r="AK23" s="4">
        <v>19583550</v>
      </c>
      <c r="AL23" t="s">
        <v>53</v>
      </c>
    </row>
    <row r="24" spans="1:38" x14ac:dyDescent="0.25">
      <c r="A24" s="1">
        <v>45891</v>
      </c>
      <c r="B24" s="1">
        <v>45887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114</v>
      </c>
      <c r="J24" t="s">
        <v>115</v>
      </c>
      <c r="M24" t="s">
        <v>46</v>
      </c>
      <c r="O24" t="s">
        <v>116</v>
      </c>
      <c r="P24" t="s">
        <v>117</v>
      </c>
      <c r="Q24" t="s">
        <v>49</v>
      </c>
      <c r="R24" t="s">
        <v>50</v>
      </c>
      <c r="S24" s="1">
        <v>45901</v>
      </c>
      <c r="U24" t="s">
        <v>51</v>
      </c>
      <c r="X24" t="s">
        <v>52</v>
      </c>
      <c r="Y24" s="2">
        <v>55.61</v>
      </c>
      <c r="Z24" s="2">
        <v>55.61</v>
      </c>
      <c r="AA24">
        <v>6</v>
      </c>
      <c r="AB24" s="3">
        <v>0.7</v>
      </c>
      <c r="AC24" s="2">
        <v>233.56</v>
      </c>
      <c r="AD24" s="3">
        <v>0</v>
      </c>
      <c r="AE24" s="2">
        <v>0</v>
      </c>
      <c r="AF24" s="2">
        <v>233.56</v>
      </c>
      <c r="AK24" s="4">
        <v>19577420</v>
      </c>
      <c r="AL24" t="s">
        <v>53</v>
      </c>
    </row>
    <row r="25" spans="1:38" x14ac:dyDescent="0.25">
      <c r="A25" s="1">
        <v>45891</v>
      </c>
      <c r="B25" s="1">
        <v>45887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118</v>
      </c>
      <c r="J25" t="s">
        <v>119</v>
      </c>
      <c r="M25" t="s">
        <v>120</v>
      </c>
      <c r="O25" t="s">
        <v>121</v>
      </c>
      <c r="P25" t="s">
        <v>122</v>
      </c>
      <c r="Q25" t="s">
        <v>49</v>
      </c>
      <c r="R25" t="s">
        <v>50</v>
      </c>
      <c r="S25" s="1">
        <v>45881</v>
      </c>
      <c r="U25" t="s">
        <v>51</v>
      </c>
      <c r="X25" t="s">
        <v>52</v>
      </c>
      <c r="Y25" s="2">
        <v>153.22999999999999</v>
      </c>
      <c r="Z25" s="2">
        <v>153.22999999999999</v>
      </c>
      <c r="AA25">
        <v>6</v>
      </c>
      <c r="AB25" s="3">
        <v>0.7</v>
      </c>
      <c r="AC25" s="2">
        <v>643.57000000000005</v>
      </c>
      <c r="AD25" s="3">
        <v>0</v>
      </c>
      <c r="AE25" s="2">
        <v>0</v>
      </c>
      <c r="AF25" s="2">
        <v>643.57000000000005</v>
      </c>
      <c r="AK25" s="4">
        <v>19577420</v>
      </c>
      <c r="AL25" t="s">
        <v>53</v>
      </c>
    </row>
    <row r="26" spans="1:38" x14ac:dyDescent="0.25">
      <c r="A26" s="1">
        <v>45891</v>
      </c>
      <c r="B26" s="1">
        <v>45887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123</v>
      </c>
      <c r="J26" t="s">
        <v>119</v>
      </c>
      <c r="M26" t="s">
        <v>120</v>
      </c>
      <c r="O26" t="s">
        <v>121</v>
      </c>
      <c r="P26" t="s">
        <v>122</v>
      </c>
      <c r="Q26" t="s">
        <v>49</v>
      </c>
      <c r="R26" t="s">
        <v>67</v>
      </c>
      <c r="S26" s="1">
        <v>45881</v>
      </c>
      <c r="U26" t="s">
        <v>51</v>
      </c>
      <c r="X26" t="s">
        <v>52</v>
      </c>
      <c r="Y26" s="2">
        <v>136.22999999999999</v>
      </c>
      <c r="Z26" s="2">
        <v>136.22999999999999</v>
      </c>
      <c r="AA26">
        <v>6</v>
      </c>
      <c r="AB26" s="3">
        <v>0.375</v>
      </c>
      <c r="AC26" s="2">
        <v>306.52</v>
      </c>
      <c r="AD26" s="3">
        <v>0</v>
      </c>
      <c r="AE26" s="2">
        <v>0</v>
      </c>
      <c r="AF26" s="2">
        <v>306.52</v>
      </c>
      <c r="AK26" s="4">
        <v>19590000</v>
      </c>
      <c r="AL26" t="s">
        <v>53</v>
      </c>
    </row>
    <row r="27" spans="1:38" x14ac:dyDescent="0.25">
      <c r="A27" s="1">
        <v>45891</v>
      </c>
      <c r="B27" s="1">
        <v>45887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124</v>
      </c>
      <c r="J27" t="s">
        <v>125</v>
      </c>
      <c r="M27" t="s">
        <v>110</v>
      </c>
      <c r="O27" t="s">
        <v>111</v>
      </c>
      <c r="P27" t="s">
        <v>112</v>
      </c>
      <c r="Q27" t="s">
        <v>49</v>
      </c>
      <c r="R27" t="s">
        <v>126</v>
      </c>
      <c r="S27" s="1">
        <v>45882</v>
      </c>
      <c r="U27" t="s">
        <v>51</v>
      </c>
      <c r="X27" t="s">
        <v>52</v>
      </c>
      <c r="Y27" s="2">
        <v>54.35</v>
      </c>
      <c r="Z27" s="2">
        <v>54.35</v>
      </c>
      <c r="AA27">
        <v>6</v>
      </c>
      <c r="AB27" s="3">
        <v>0.47</v>
      </c>
      <c r="AC27" s="2">
        <v>153.27000000000001</v>
      </c>
      <c r="AD27" s="3">
        <v>0</v>
      </c>
      <c r="AE27" s="2">
        <v>0</v>
      </c>
      <c r="AF27" s="2">
        <v>153.27000000000001</v>
      </c>
      <c r="AK27" s="4">
        <v>19590020</v>
      </c>
      <c r="AL27" t="s">
        <v>53</v>
      </c>
    </row>
    <row r="28" spans="1:38" x14ac:dyDescent="0.25">
      <c r="A28" s="1">
        <v>45891</v>
      </c>
      <c r="B28" s="1">
        <v>45887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127</v>
      </c>
      <c r="J28" t="s">
        <v>128</v>
      </c>
      <c r="M28" t="s">
        <v>129</v>
      </c>
      <c r="O28" t="s">
        <v>130</v>
      </c>
      <c r="P28" t="s">
        <v>131</v>
      </c>
      <c r="Q28" t="s">
        <v>49</v>
      </c>
      <c r="R28" t="s">
        <v>50</v>
      </c>
      <c r="S28" s="1">
        <v>45882</v>
      </c>
      <c r="U28" t="s">
        <v>51</v>
      </c>
      <c r="X28" t="s">
        <v>52</v>
      </c>
      <c r="Y28" s="2">
        <v>10.53</v>
      </c>
      <c r="Z28" s="2">
        <v>10.53</v>
      </c>
      <c r="AA28">
        <v>6</v>
      </c>
      <c r="AB28" s="3">
        <v>0.7</v>
      </c>
      <c r="AC28" s="2">
        <v>44.23</v>
      </c>
      <c r="AD28" s="3">
        <v>0</v>
      </c>
      <c r="AE28" s="2">
        <v>0</v>
      </c>
      <c r="AF28" s="2">
        <v>44.23</v>
      </c>
      <c r="AK28" s="4">
        <v>19577440</v>
      </c>
      <c r="AL28" t="s">
        <v>53</v>
      </c>
    </row>
    <row r="29" spans="1:38" x14ac:dyDescent="0.25">
      <c r="A29" s="1">
        <v>45891</v>
      </c>
      <c r="B29" s="1">
        <v>45887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132</v>
      </c>
      <c r="J29" t="s">
        <v>128</v>
      </c>
      <c r="M29" t="s">
        <v>129</v>
      </c>
      <c r="O29" t="s">
        <v>130</v>
      </c>
      <c r="P29" t="s">
        <v>131</v>
      </c>
      <c r="Q29" t="s">
        <v>49</v>
      </c>
      <c r="R29" t="s">
        <v>67</v>
      </c>
      <c r="S29" s="1">
        <v>45882</v>
      </c>
      <c r="U29" t="s">
        <v>51</v>
      </c>
      <c r="X29" t="s">
        <v>52</v>
      </c>
      <c r="Y29" s="2">
        <v>73.17</v>
      </c>
      <c r="Z29" s="2">
        <v>73.17</v>
      </c>
      <c r="AA29">
        <v>6</v>
      </c>
      <c r="AB29" s="3">
        <v>0.375</v>
      </c>
      <c r="AC29" s="2">
        <v>164.63</v>
      </c>
      <c r="AD29" s="3">
        <v>0</v>
      </c>
      <c r="AE29" s="2">
        <v>0</v>
      </c>
      <c r="AF29" s="2">
        <v>164.63</v>
      </c>
      <c r="AK29" s="4">
        <v>19590020</v>
      </c>
      <c r="AL29" t="s">
        <v>53</v>
      </c>
    </row>
    <row r="30" spans="1:38" x14ac:dyDescent="0.25">
      <c r="A30" s="1">
        <v>45891</v>
      </c>
      <c r="B30" s="1">
        <v>45887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133</v>
      </c>
      <c r="J30" t="s">
        <v>134</v>
      </c>
      <c r="M30" t="s">
        <v>135</v>
      </c>
      <c r="O30" t="s">
        <v>136</v>
      </c>
      <c r="P30" t="s">
        <v>137</v>
      </c>
      <c r="Q30" t="s">
        <v>49</v>
      </c>
      <c r="R30" t="s">
        <v>73</v>
      </c>
      <c r="S30" s="1">
        <v>45888</v>
      </c>
      <c r="U30" t="s">
        <v>51</v>
      </c>
      <c r="X30" t="s">
        <v>52</v>
      </c>
      <c r="Y30" s="2">
        <v>32.81</v>
      </c>
      <c r="Z30" s="2">
        <v>32.81</v>
      </c>
      <c r="AA30">
        <v>6</v>
      </c>
      <c r="AB30" s="3">
        <v>0.42</v>
      </c>
      <c r="AC30" s="2">
        <v>82.68</v>
      </c>
      <c r="AD30" s="3">
        <v>0</v>
      </c>
      <c r="AE30" s="2">
        <v>0</v>
      </c>
      <c r="AF30" s="2">
        <v>82.68</v>
      </c>
      <c r="AK30" s="4">
        <v>19590050</v>
      </c>
      <c r="AL30" t="s">
        <v>53</v>
      </c>
    </row>
    <row r="31" spans="1:38" x14ac:dyDescent="0.25">
      <c r="A31" s="1">
        <v>45891</v>
      </c>
      <c r="B31" s="1">
        <v>45887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138</v>
      </c>
      <c r="J31" t="s">
        <v>134</v>
      </c>
      <c r="M31" t="s">
        <v>135</v>
      </c>
      <c r="O31" t="s">
        <v>136</v>
      </c>
      <c r="P31" t="s">
        <v>137</v>
      </c>
      <c r="Q31" t="s">
        <v>49</v>
      </c>
      <c r="R31" t="s">
        <v>62</v>
      </c>
      <c r="S31" s="1">
        <v>45888</v>
      </c>
      <c r="U31" t="s">
        <v>51</v>
      </c>
      <c r="X31" t="s">
        <v>52</v>
      </c>
      <c r="Y31" s="2">
        <v>24.61</v>
      </c>
      <c r="Z31" s="2">
        <v>24.61</v>
      </c>
      <c r="AA31">
        <v>6</v>
      </c>
      <c r="AB31" s="3">
        <v>0.7</v>
      </c>
      <c r="AC31" s="2">
        <v>103.36</v>
      </c>
      <c r="AD31" s="3">
        <v>0</v>
      </c>
      <c r="AE31" s="2">
        <v>0</v>
      </c>
      <c r="AF31" s="2">
        <v>103.36</v>
      </c>
      <c r="AK31" s="4">
        <v>19572000</v>
      </c>
      <c r="AL31" t="s">
        <v>53</v>
      </c>
    </row>
    <row r="32" spans="1:38" x14ac:dyDescent="0.25">
      <c r="A32" s="1">
        <v>45891</v>
      </c>
      <c r="B32" s="1">
        <v>45887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139</v>
      </c>
      <c r="J32" t="s">
        <v>134</v>
      </c>
      <c r="M32" t="s">
        <v>135</v>
      </c>
      <c r="O32" t="s">
        <v>136</v>
      </c>
      <c r="P32" t="s">
        <v>137</v>
      </c>
      <c r="Q32" t="s">
        <v>49</v>
      </c>
      <c r="R32" t="s">
        <v>140</v>
      </c>
      <c r="S32" s="1">
        <v>45888</v>
      </c>
      <c r="U32" t="s">
        <v>51</v>
      </c>
      <c r="X32" t="s">
        <v>52</v>
      </c>
      <c r="Y32" s="2">
        <v>30.8</v>
      </c>
      <c r="Z32" s="2">
        <v>30.8</v>
      </c>
      <c r="AA32">
        <v>6</v>
      </c>
      <c r="AB32" s="3">
        <v>0.9</v>
      </c>
      <c r="AC32" s="2">
        <v>166.32</v>
      </c>
      <c r="AD32" s="3">
        <v>0</v>
      </c>
      <c r="AE32" s="2">
        <v>0</v>
      </c>
      <c r="AF32" s="2">
        <v>166.32</v>
      </c>
      <c r="AK32" s="4">
        <v>19583590</v>
      </c>
      <c r="AL32" t="s">
        <v>53</v>
      </c>
    </row>
    <row r="33" spans="1:38" x14ac:dyDescent="0.25">
      <c r="A33" s="1">
        <v>45891</v>
      </c>
      <c r="B33" s="1">
        <v>45887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141</v>
      </c>
      <c r="J33" t="s">
        <v>142</v>
      </c>
      <c r="M33" t="s">
        <v>110</v>
      </c>
      <c r="O33" t="s">
        <v>111</v>
      </c>
      <c r="P33" t="s">
        <v>112</v>
      </c>
      <c r="Q33" t="s">
        <v>49</v>
      </c>
      <c r="R33" t="s">
        <v>50</v>
      </c>
      <c r="S33" s="1">
        <v>45882</v>
      </c>
      <c r="U33" t="s">
        <v>51</v>
      </c>
      <c r="X33" t="s">
        <v>52</v>
      </c>
      <c r="Y33" s="2">
        <v>29.2</v>
      </c>
      <c r="Z33" s="2">
        <v>29.2</v>
      </c>
      <c r="AA33">
        <v>6</v>
      </c>
      <c r="AB33" s="3">
        <v>0.7</v>
      </c>
      <c r="AC33" s="2">
        <v>122.64</v>
      </c>
      <c r="AD33" s="3">
        <v>0</v>
      </c>
      <c r="AE33" s="2">
        <v>0</v>
      </c>
      <c r="AF33" s="2">
        <v>122.64</v>
      </c>
      <c r="AK33" s="4">
        <v>19577470</v>
      </c>
      <c r="AL33" t="s">
        <v>53</v>
      </c>
    </row>
    <row r="34" spans="1:38" x14ac:dyDescent="0.25">
      <c r="A34" s="1">
        <v>45891</v>
      </c>
      <c r="B34" s="1">
        <v>45887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143</v>
      </c>
      <c r="J34" t="s">
        <v>142</v>
      </c>
      <c r="M34" t="s">
        <v>110</v>
      </c>
      <c r="O34" t="s">
        <v>111</v>
      </c>
      <c r="P34" t="s">
        <v>112</v>
      </c>
      <c r="Q34" t="s">
        <v>49</v>
      </c>
      <c r="R34" t="s">
        <v>67</v>
      </c>
      <c r="S34" s="1">
        <v>45882</v>
      </c>
      <c r="U34" t="s">
        <v>51</v>
      </c>
      <c r="X34" t="s">
        <v>52</v>
      </c>
      <c r="Y34" s="2">
        <v>205.33</v>
      </c>
      <c r="Z34" s="2">
        <v>205.33</v>
      </c>
      <c r="AA34">
        <v>6</v>
      </c>
      <c r="AB34" s="3">
        <v>0.375</v>
      </c>
      <c r="AC34" s="2">
        <v>461.99</v>
      </c>
      <c r="AD34" s="3">
        <v>0</v>
      </c>
      <c r="AE34" s="2">
        <v>0</v>
      </c>
      <c r="AF34" s="2">
        <v>461.99</v>
      </c>
      <c r="AK34" s="4">
        <v>19590080</v>
      </c>
      <c r="AL34" t="s">
        <v>53</v>
      </c>
    </row>
    <row r="35" spans="1:38" x14ac:dyDescent="0.25">
      <c r="A35" s="1">
        <v>45891</v>
      </c>
      <c r="B35" s="1">
        <v>45887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144</v>
      </c>
      <c r="J35" t="s">
        <v>145</v>
      </c>
      <c r="M35" t="s">
        <v>46</v>
      </c>
      <c r="O35" t="s">
        <v>146</v>
      </c>
      <c r="P35" t="s">
        <v>147</v>
      </c>
      <c r="Q35" t="s">
        <v>49</v>
      </c>
      <c r="R35" t="s">
        <v>50</v>
      </c>
      <c r="S35" s="1">
        <v>45901</v>
      </c>
      <c r="U35" t="s">
        <v>51</v>
      </c>
      <c r="X35" t="s">
        <v>52</v>
      </c>
      <c r="Y35" s="2">
        <v>31.6</v>
      </c>
      <c r="Z35" s="2">
        <v>31.6</v>
      </c>
      <c r="AA35">
        <v>6</v>
      </c>
      <c r="AB35" s="3">
        <v>0.7</v>
      </c>
      <c r="AC35" s="2">
        <v>132.72</v>
      </c>
      <c r="AD35" s="3">
        <v>0</v>
      </c>
      <c r="AE35" s="2">
        <v>0</v>
      </c>
      <c r="AF35" s="2">
        <v>132.72</v>
      </c>
      <c r="AK35" s="4">
        <v>19577470</v>
      </c>
      <c r="AL35" t="s">
        <v>53</v>
      </c>
    </row>
    <row r="36" spans="1:38" x14ac:dyDescent="0.25">
      <c r="A36" s="1">
        <v>45891</v>
      </c>
      <c r="B36" s="1">
        <v>45887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148</v>
      </c>
      <c r="J36" t="s">
        <v>149</v>
      </c>
      <c r="M36" t="s">
        <v>110</v>
      </c>
      <c r="O36" t="s">
        <v>150</v>
      </c>
      <c r="P36" t="s">
        <v>151</v>
      </c>
      <c r="Q36" t="s">
        <v>49</v>
      </c>
      <c r="R36" t="s">
        <v>67</v>
      </c>
      <c r="S36" s="1">
        <v>45901</v>
      </c>
      <c r="U36" t="s">
        <v>51</v>
      </c>
      <c r="X36" t="s">
        <v>52</v>
      </c>
      <c r="Y36" s="2">
        <v>63.62</v>
      </c>
      <c r="Z36" s="2">
        <v>63.62</v>
      </c>
      <c r="AA36">
        <v>6</v>
      </c>
      <c r="AB36" s="3">
        <v>0.375</v>
      </c>
      <c r="AC36" s="2">
        <v>143.15</v>
      </c>
      <c r="AD36" s="3">
        <v>0</v>
      </c>
      <c r="AE36" s="2">
        <v>0</v>
      </c>
      <c r="AF36" s="2">
        <v>143.15</v>
      </c>
      <c r="AK36" s="4">
        <v>19590090</v>
      </c>
      <c r="AL36" t="s">
        <v>53</v>
      </c>
    </row>
    <row r="37" spans="1:38" x14ac:dyDescent="0.25">
      <c r="A37" s="1">
        <v>45891</v>
      </c>
      <c r="B37" s="1">
        <v>45887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152</v>
      </c>
      <c r="J37" t="s">
        <v>149</v>
      </c>
      <c r="M37" t="s">
        <v>110</v>
      </c>
      <c r="O37" t="s">
        <v>150</v>
      </c>
      <c r="P37" t="s">
        <v>151</v>
      </c>
      <c r="Q37" t="s">
        <v>49</v>
      </c>
      <c r="R37" t="s">
        <v>50</v>
      </c>
      <c r="S37" s="1">
        <v>45901</v>
      </c>
      <c r="U37" t="s">
        <v>51</v>
      </c>
      <c r="X37" t="s">
        <v>52</v>
      </c>
      <c r="Y37" s="2">
        <v>9.1</v>
      </c>
      <c r="Z37" s="2">
        <v>9.1</v>
      </c>
      <c r="AA37">
        <v>6</v>
      </c>
      <c r="AB37" s="3">
        <v>0.7</v>
      </c>
      <c r="AC37" s="2">
        <v>38.22</v>
      </c>
      <c r="AD37" s="3">
        <v>0</v>
      </c>
      <c r="AE37" s="2">
        <v>0</v>
      </c>
      <c r="AF37" s="2">
        <v>38.22</v>
      </c>
      <c r="AK37" s="4">
        <v>19577480</v>
      </c>
      <c r="AL37" t="s">
        <v>53</v>
      </c>
    </row>
    <row r="38" spans="1:38" x14ac:dyDescent="0.25">
      <c r="A38" s="1">
        <v>45891</v>
      </c>
      <c r="B38" s="1">
        <v>45887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153</v>
      </c>
      <c r="J38" t="s">
        <v>154</v>
      </c>
      <c r="M38" t="s">
        <v>135</v>
      </c>
      <c r="O38" t="s">
        <v>136</v>
      </c>
      <c r="P38" t="s">
        <v>137</v>
      </c>
      <c r="Q38" t="s">
        <v>49</v>
      </c>
      <c r="R38" t="s">
        <v>140</v>
      </c>
      <c r="S38" s="1">
        <v>45883</v>
      </c>
      <c r="U38" t="s">
        <v>51</v>
      </c>
      <c r="X38" t="s">
        <v>52</v>
      </c>
      <c r="Y38" s="2">
        <v>92.5</v>
      </c>
      <c r="Z38" s="2">
        <v>92.5</v>
      </c>
      <c r="AA38">
        <v>6</v>
      </c>
      <c r="AB38" s="3">
        <v>0.9</v>
      </c>
      <c r="AC38" s="2">
        <v>499.5</v>
      </c>
      <c r="AD38" s="3">
        <v>0</v>
      </c>
      <c r="AE38" s="2">
        <v>0</v>
      </c>
      <c r="AF38" s="2">
        <v>499.5</v>
      </c>
      <c r="AK38" s="4">
        <v>19583610</v>
      </c>
      <c r="AL38" t="s">
        <v>53</v>
      </c>
    </row>
    <row r="39" spans="1:38" x14ac:dyDescent="0.25">
      <c r="A39" s="1">
        <v>45891</v>
      </c>
      <c r="B39" s="1">
        <v>45887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155</v>
      </c>
      <c r="J39" t="s">
        <v>154</v>
      </c>
      <c r="M39" t="s">
        <v>135</v>
      </c>
      <c r="O39" t="s">
        <v>136</v>
      </c>
      <c r="P39" t="s">
        <v>137</v>
      </c>
      <c r="Q39" t="s">
        <v>49</v>
      </c>
      <c r="R39" t="s">
        <v>62</v>
      </c>
      <c r="S39" s="1">
        <v>45883</v>
      </c>
      <c r="U39" t="s">
        <v>51</v>
      </c>
      <c r="X39" t="s">
        <v>52</v>
      </c>
      <c r="Y39" s="2">
        <v>24.61</v>
      </c>
      <c r="Z39" s="2">
        <v>24.61</v>
      </c>
      <c r="AA39">
        <v>6</v>
      </c>
      <c r="AB39" s="3">
        <v>0.7</v>
      </c>
      <c r="AC39" s="2">
        <v>103.36</v>
      </c>
      <c r="AD39" s="3">
        <v>0</v>
      </c>
      <c r="AE39" s="2">
        <v>0</v>
      </c>
      <c r="AF39" s="2">
        <v>103.36</v>
      </c>
      <c r="AK39" s="4">
        <v>19572000</v>
      </c>
      <c r="AL39" t="s">
        <v>53</v>
      </c>
    </row>
    <row r="40" spans="1:38" x14ac:dyDescent="0.25">
      <c r="A40" s="1">
        <v>45891</v>
      </c>
      <c r="B40" s="1">
        <v>45887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156</v>
      </c>
      <c r="J40" t="s">
        <v>157</v>
      </c>
      <c r="M40" t="s">
        <v>110</v>
      </c>
      <c r="O40" t="s">
        <v>150</v>
      </c>
      <c r="P40" t="s">
        <v>151</v>
      </c>
      <c r="Q40" t="s">
        <v>49</v>
      </c>
      <c r="R40" t="s">
        <v>158</v>
      </c>
      <c r="S40" s="1">
        <v>45882</v>
      </c>
      <c r="U40" t="s">
        <v>51</v>
      </c>
      <c r="X40" t="s">
        <v>52</v>
      </c>
      <c r="Y40" s="2">
        <v>60.5</v>
      </c>
      <c r="Z40" s="2">
        <v>60.5</v>
      </c>
      <c r="AA40">
        <v>6</v>
      </c>
      <c r="AB40" s="3">
        <v>0.38</v>
      </c>
      <c r="AC40" s="2">
        <v>137.94</v>
      </c>
      <c r="AD40" s="3">
        <v>0</v>
      </c>
      <c r="AE40" s="2">
        <v>0</v>
      </c>
      <c r="AF40" s="2">
        <v>137.94</v>
      </c>
      <c r="AK40" s="4">
        <v>19591520</v>
      </c>
      <c r="AL40" t="s">
        <v>53</v>
      </c>
    </row>
    <row r="41" spans="1:38" x14ac:dyDescent="0.25">
      <c r="A41" s="1">
        <v>45891</v>
      </c>
      <c r="B41" s="1">
        <v>45887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159</v>
      </c>
      <c r="J41" t="s">
        <v>157</v>
      </c>
      <c r="M41" t="s">
        <v>110</v>
      </c>
      <c r="O41" t="s">
        <v>150</v>
      </c>
      <c r="P41" t="s">
        <v>151</v>
      </c>
      <c r="Q41" t="s">
        <v>49</v>
      </c>
      <c r="R41" t="s">
        <v>67</v>
      </c>
      <c r="S41" s="1">
        <v>45882</v>
      </c>
      <c r="U41" t="s">
        <v>51</v>
      </c>
      <c r="X41" t="s">
        <v>52</v>
      </c>
      <c r="Y41" s="2">
        <v>160.85</v>
      </c>
      <c r="Z41" s="2">
        <v>160.85</v>
      </c>
      <c r="AA41">
        <v>6</v>
      </c>
      <c r="AB41" s="3">
        <v>0.375</v>
      </c>
      <c r="AC41" s="2">
        <v>361.91</v>
      </c>
      <c r="AD41" s="3">
        <v>0</v>
      </c>
      <c r="AE41" s="2">
        <v>0</v>
      </c>
      <c r="AF41" s="2">
        <v>361.91</v>
      </c>
      <c r="AK41" s="4">
        <v>19590120</v>
      </c>
      <c r="AL41" t="s">
        <v>53</v>
      </c>
    </row>
    <row r="42" spans="1:38" x14ac:dyDescent="0.25">
      <c r="A42" s="1">
        <v>45891</v>
      </c>
      <c r="B42" s="1">
        <v>45887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160</v>
      </c>
      <c r="J42" t="s">
        <v>157</v>
      </c>
      <c r="M42" t="s">
        <v>110</v>
      </c>
      <c r="O42" t="s">
        <v>150</v>
      </c>
      <c r="P42" t="s">
        <v>151</v>
      </c>
      <c r="Q42" t="s">
        <v>49</v>
      </c>
      <c r="R42" t="s">
        <v>50</v>
      </c>
      <c r="S42" s="1">
        <v>45882</v>
      </c>
      <c r="U42" t="s">
        <v>51</v>
      </c>
      <c r="X42" t="s">
        <v>52</v>
      </c>
      <c r="Y42" s="2">
        <v>27.38</v>
      </c>
      <c r="Z42" s="2">
        <v>27.38</v>
      </c>
      <c r="AA42">
        <v>6</v>
      </c>
      <c r="AB42" s="3">
        <v>0.7</v>
      </c>
      <c r="AC42" s="2">
        <v>115</v>
      </c>
      <c r="AD42" s="3">
        <v>0</v>
      </c>
      <c r="AE42" s="2">
        <v>0</v>
      </c>
      <c r="AF42" s="2">
        <v>115</v>
      </c>
      <c r="AK42" s="4">
        <v>19577500</v>
      </c>
      <c r="AL42" t="s">
        <v>53</v>
      </c>
    </row>
    <row r="43" spans="1:38" x14ac:dyDescent="0.25">
      <c r="A43" s="1">
        <v>45891</v>
      </c>
      <c r="B43" s="1">
        <v>45887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161</v>
      </c>
      <c r="J43" t="s">
        <v>157</v>
      </c>
      <c r="M43" t="s">
        <v>110</v>
      </c>
      <c r="O43" t="s">
        <v>150</v>
      </c>
      <c r="P43" t="s">
        <v>151</v>
      </c>
      <c r="Q43" t="s">
        <v>49</v>
      </c>
      <c r="R43" t="s">
        <v>162</v>
      </c>
      <c r="S43" s="1">
        <v>45882</v>
      </c>
      <c r="U43" t="s">
        <v>51</v>
      </c>
      <c r="X43" t="s">
        <v>52</v>
      </c>
      <c r="Y43" s="2">
        <v>29.88</v>
      </c>
      <c r="Z43" s="2">
        <v>29.88</v>
      </c>
      <c r="AA43">
        <v>6</v>
      </c>
      <c r="AB43" s="3">
        <v>0.65</v>
      </c>
      <c r="AC43" s="2">
        <v>116.53</v>
      </c>
      <c r="AD43" s="3">
        <v>0</v>
      </c>
      <c r="AE43" s="2">
        <v>0</v>
      </c>
      <c r="AF43" s="2">
        <v>116.53</v>
      </c>
      <c r="AK43" s="4">
        <v>19583620</v>
      </c>
      <c r="AL43" t="s">
        <v>53</v>
      </c>
    </row>
    <row r="44" spans="1:38" x14ac:dyDescent="0.25">
      <c r="A44" s="1">
        <v>45891</v>
      </c>
      <c r="B44" s="1">
        <v>45887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163</v>
      </c>
      <c r="J44" t="s">
        <v>157</v>
      </c>
      <c r="M44" t="s">
        <v>110</v>
      </c>
      <c r="O44" t="s">
        <v>150</v>
      </c>
      <c r="P44" t="s">
        <v>151</v>
      </c>
      <c r="Q44" t="s">
        <v>49</v>
      </c>
      <c r="R44" t="s">
        <v>91</v>
      </c>
      <c r="S44" s="1">
        <v>45882</v>
      </c>
      <c r="U44" t="s">
        <v>51</v>
      </c>
      <c r="X44" t="s">
        <v>52</v>
      </c>
      <c r="Y44" s="2">
        <v>52.92</v>
      </c>
      <c r="Z44" s="2">
        <v>52.92</v>
      </c>
      <c r="AA44">
        <v>6</v>
      </c>
      <c r="AB44" s="3">
        <v>0.9</v>
      </c>
      <c r="AC44" s="2">
        <v>285.77</v>
      </c>
      <c r="AD44" s="3">
        <v>0</v>
      </c>
      <c r="AE44" s="2">
        <v>0</v>
      </c>
      <c r="AF44" s="2">
        <v>285.77</v>
      </c>
      <c r="AK44" s="4">
        <v>19593480</v>
      </c>
      <c r="AL44" t="s">
        <v>53</v>
      </c>
    </row>
    <row r="45" spans="1:38" x14ac:dyDescent="0.25">
      <c r="A45" s="1">
        <v>45891</v>
      </c>
      <c r="B45" s="1">
        <v>45887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164</v>
      </c>
      <c r="J45" t="s">
        <v>165</v>
      </c>
      <c r="M45" t="s">
        <v>135</v>
      </c>
      <c r="O45" t="s">
        <v>136</v>
      </c>
      <c r="P45" t="s">
        <v>137</v>
      </c>
      <c r="Q45" t="s">
        <v>49</v>
      </c>
      <c r="R45" t="s">
        <v>62</v>
      </c>
      <c r="S45" s="1">
        <v>45885</v>
      </c>
      <c r="U45" t="s">
        <v>51</v>
      </c>
      <c r="X45" t="s">
        <v>52</v>
      </c>
      <c r="Y45" s="2">
        <v>55.58</v>
      </c>
      <c r="Z45" s="2">
        <v>55.58</v>
      </c>
      <c r="AA45">
        <v>6</v>
      </c>
      <c r="AB45" s="3">
        <v>0.7</v>
      </c>
      <c r="AC45" s="2">
        <v>233.44</v>
      </c>
      <c r="AD45" s="3">
        <v>0</v>
      </c>
      <c r="AE45" s="2">
        <v>0</v>
      </c>
      <c r="AF45" s="2">
        <v>233.44</v>
      </c>
      <c r="AK45" s="4">
        <v>19572000</v>
      </c>
      <c r="AL45" t="s">
        <v>53</v>
      </c>
    </row>
    <row r="46" spans="1:38" x14ac:dyDescent="0.25">
      <c r="A46" s="1">
        <v>45891</v>
      </c>
      <c r="B46" s="1">
        <v>45887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166</v>
      </c>
      <c r="J46" t="s">
        <v>165</v>
      </c>
      <c r="M46" t="s">
        <v>135</v>
      </c>
      <c r="O46" t="s">
        <v>136</v>
      </c>
      <c r="P46" t="s">
        <v>137</v>
      </c>
      <c r="Q46" t="s">
        <v>49</v>
      </c>
      <c r="R46" t="s">
        <v>140</v>
      </c>
      <c r="S46" s="1">
        <v>45885</v>
      </c>
      <c r="U46" t="s">
        <v>51</v>
      </c>
      <c r="X46" t="s">
        <v>52</v>
      </c>
      <c r="Y46" s="2">
        <v>149.66999999999999</v>
      </c>
      <c r="Z46" s="2">
        <v>149.66999999999999</v>
      </c>
      <c r="AA46">
        <v>6</v>
      </c>
      <c r="AB46" s="3">
        <v>0.9</v>
      </c>
      <c r="AC46" s="2">
        <v>808.22</v>
      </c>
      <c r="AD46" s="3">
        <v>0</v>
      </c>
      <c r="AE46" s="2">
        <v>0</v>
      </c>
      <c r="AF46" s="2">
        <v>808.22</v>
      </c>
      <c r="AK46" s="4">
        <v>19583630</v>
      </c>
      <c r="AL46" t="s">
        <v>53</v>
      </c>
    </row>
    <row r="47" spans="1:38" x14ac:dyDescent="0.25">
      <c r="A47" s="1">
        <v>45891</v>
      </c>
      <c r="B47" s="1">
        <v>45887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167</v>
      </c>
      <c r="J47" t="s">
        <v>168</v>
      </c>
      <c r="M47" t="s">
        <v>135</v>
      </c>
      <c r="O47" t="s">
        <v>136</v>
      </c>
      <c r="P47" t="s">
        <v>137</v>
      </c>
      <c r="Q47" t="s">
        <v>49</v>
      </c>
      <c r="R47" t="s">
        <v>140</v>
      </c>
      <c r="S47" s="1">
        <v>45901</v>
      </c>
      <c r="U47" t="s">
        <v>51</v>
      </c>
      <c r="X47" t="s">
        <v>52</v>
      </c>
      <c r="Y47" s="2">
        <v>35.17</v>
      </c>
      <c r="Z47" s="2">
        <v>35.17</v>
      </c>
      <c r="AA47">
        <v>6</v>
      </c>
      <c r="AB47" s="3">
        <v>0.9</v>
      </c>
      <c r="AC47" s="2">
        <v>189.92</v>
      </c>
      <c r="AD47" s="3">
        <v>0</v>
      </c>
      <c r="AE47" s="2">
        <v>0</v>
      </c>
      <c r="AF47" s="2">
        <v>189.92</v>
      </c>
      <c r="AK47" s="4">
        <v>19583650</v>
      </c>
      <c r="AL47" t="s">
        <v>53</v>
      </c>
    </row>
    <row r="48" spans="1:38" x14ac:dyDescent="0.25">
      <c r="A48" s="1">
        <v>45891</v>
      </c>
      <c r="B48" s="1">
        <v>45887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169</v>
      </c>
      <c r="J48" t="s">
        <v>170</v>
      </c>
      <c r="M48" t="s">
        <v>171</v>
      </c>
      <c r="O48" t="s">
        <v>172</v>
      </c>
      <c r="P48" t="s">
        <v>173</v>
      </c>
      <c r="Q48" t="s">
        <v>49</v>
      </c>
      <c r="R48" t="s">
        <v>158</v>
      </c>
      <c r="S48" s="1">
        <v>45901</v>
      </c>
      <c r="U48" t="s">
        <v>51</v>
      </c>
      <c r="X48" t="s">
        <v>52</v>
      </c>
      <c r="Y48" s="2">
        <v>11.77</v>
      </c>
      <c r="Z48" s="2">
        <v>11.77</v>
      </c>
      <c r="AA48">
        <v>6</v>
      </c>
      <c r="AB48" s="3">
        <v>0.38</v>
      </c>
      <c r="AC48" s="2">
        <v>26.84</v>
      </c>
      <c r="AD48" s="3">
        <v>0</v>
      </c>
      <c r="AE48" s="2">
        <v>0</v>
      </c>
      <c r="AF48" s="2">
        <v>26.84</v>
      </c>
      <c r="AK48" s="4">
        <v>19591530</v>
      </c>
      <c r="AL48" t="s">
        <v>53</v>
      </c>
    </row>
    <row r="49" spans="1:38" x14ac:dyDescent="0.25">
      <c r="A49" s="1">
        <v>45891</v>
      </c>
      <c r="B49" s="1">
        <v>45887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174</v>
      </c>
      <c r="J49" t="s">
        <v>170</v>
      </c>
      <c r="M49" t="s">
        <v>171</v>
      </c>
      <c r="O49" t="s">
        <v>172</v>
      </c>
      <c r="P49" t="s">
        <v>173</v>
      </c>
      <c r="Q49" t="s">
        <v>49</v>
      </c>
      <c r="R49" t="s">
        <v>175</v>
      </c>
      <c r="S49" s="1">
        <v>45901</v>
      </c>
      <c r="U49" t="s">
        <v>51</v>
      </c>
      <c r="X49" t="s">
        <v>52</v>
      </c>
      <c r="Y49" s="2">
        <v>46.45</v>
      </c>
      <c r="Z49" s="2">
        <v>46.45</v>
      </c>
      <c r="AA49">
        <v>6</v>
      </c>
      <c r="AB49" s="3">
        <v>0.6</v>
      </c>
      <c r="AC49" s="2">
        <v>167.22</v>
      </c>
      <c r="AD49" s="3">
        <v>0</v>
      </c>
      <c r="AE49" s="2">
        <v>0</v>
      </c>
      <c r="AF49" s="2">
        <v>167.22</v>
      </c>
      <c r="AK49" s="4">
        <v>19583650</v>
      </c>
      <c r="AL49" t="s">
        <v>53</v>
      </c>
    </row>
    <row r="50" spans="1:38" x14ac:dyDescent="0.25">
      <c r="A50" s="1">
        <v>45891</v>
      </c>
      <c r="B50" s="1">
        <v>45887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176</v>
      </c>
      <c r="J50" t="s">
        <v>170</v>
      </c>
      <c r="M50" t="s">
        <v>171</v>
      </c>
      <c r="O50" t="s">
        <v>172</v>
      </c>
      <c r="P50" t="s">
        <v>173</v>
      </c>
      <c r="Q50" t="s">
        <v>49</v>
      </c>
      <c r="R50" t="s">
        <v>67</v>
      </c>
      <c r="S50" s="1">
        <v>45901</v>
      </c>
      <c r="U50" t="s">
        <v>51</v>
      </c>
      <c r="X50" t="s">
        <v>52</v>
      </c>
      <c r="Y50" s="2">
        <v>26.7</v>
      </c>
      <c r="Z50" s="2">
        <v>26.7</v>
      </c>
      <c r="AA50">
        <v>6</v>
      </c>
      <c r="AB50" s="3">
        <v>0.375</v>
      </c>
      <c r="AC50" s="2">
        <v>60.08</v>
      </c>
      <c r="AD50" s="3">
        <v>0</v>
      </c>
      <c r="AE50" s="2">
        <v>0</v>
      </c>
      <c r="AF50" s="2">
        <v>60.08</v>
      </c>
      <c r="AK50" s="4">
        <v>19590260</v>
      </c>
      <c r="AL50" t="s">
        <v>53</v>
      </c>
    </row>
    <row r="51" spans="1:38" x14ac:dyDescent="0.25">
      <c r="A51" s="1">
        <v>45891</v>
      </c>
      <c r="B51" s="1">
        <v>45887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177</v>
      </c>
      <c r="J51" t="s">
        <v>178</v>
      </c>
      <c r="M51" t="s">
        <v>135</v>
      </c>
      <c r="O51" t="s">
        <v>179</v>
      </c>
      <c r="P51" t="s">
        <v>180</v>
      </c>
      <c r="Q51" t="s">
        <v>49</v>
      </c>
      <c r="R51" t="s">
        <v>181</v>
      </c>
      <c r="S51" s="1">
        <v>45883</v>
      </c>
      <c r="U51" t="s">
        <v>51</v>
      </c>
      <c r="X51" t="s">
        <v>182</v>
      </c>
      <c r="Y51" s="2">
        <v>317.10000000000002</v>
      </c>
      <c r="Z51" s="2">
        <v>317.10000000000002</v>
      </c>
      <c r="AA51">
        <v>1</v>
      </c>
      <c r="AB51" s="3">
        <v>0</v>
      </c>
      <c r="AC51" s="2">
        <v>0</v>
      </c>
      <c r="AD51" s="3">
        <v>0</v>
      </c>
      <c r="AE51" s="2">
        <v>0</v>
      </c>
      <c r="AF51" s="2">
        <v>0</v>
      </c>
      <c r="AK51" s="4">
        <v>19595090</v>
      </c>
    </row>
    <row r="52" spans="1:38" x14ac:dyDescent="0.25">
      <c r="A52" s="1">
        <v>45891</v>
      </c>
      <c r="B52" s="1">
        <v>45887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183</v>
      </c>
      <c r="J52" t="s">
        <v>184</v>
      </c>
      <c r="M52" t="s">
        <v>185</v>
      </c>
      <c r="O52" t="s">
        <v>172</v>
      </c>
      <c r="P52" t="s">
        <v>173</v>
      </c>
      <c r="Q52" t="s">
        <v>49</v>
      </c>
      <c r="R52" t="s">
        <v>158</v>
      </c>
      <c r="S52" s="1">
        <v>45883</v>
      </c>
      <c r="U52" t="s">
        <v>51</v>
      </c>
      <c r="X52" t="s">
        <v>52</v>
      </c>
      <c r="Y52" s="2">
        <v>27.15</v>
      </c>
      <c r="Z52" s="2">
        <v>27.15</v>
      </c>
      <c r="AA52">
        <v>6</v>
      </c>
      <c r="AB52" s="3">
        <v>0.38</v>
      </c>
      <c r="AC52" s="2">
        <v>61.9</v>
      </c>
      <c r="AD52" s="3">
        <v>0</v>
      </c>
      <c r="AE52" s="2">
        <v>0</v>
      </c>
      <c r="AF52" s="2">
        <v>61.9</v>
      </c>
      <c r="AK52" s="4">
        <v>19591530</v>
      </c>
      <c r="AL52" t="s">
        <v>53</v>
      </c>
    </row>
    <row r="53" spans="1:38" x14ac:dyDescent="0.25">
      <c r="A53" s="1">
        <v>45891</v>
      </c>
      <c r="B53" s="1">
        <v>45887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186</v>
      </c>
      <c r="J53" t="s">
        <v>184</v>
      </c>
      <c r="M53" t="s">
        <v>185</v>
      </c>
      <c r="O53" t="s">
        <v>172</v>
      </c>
      <c r="P53" t="s">
        <v>173</v>
      </c>
      <c r="Q53" t="s">
        <v>49</v>
      </c>
      <c r="R53" t="s">
        <v>175</v>
      </c>
      <c r="S53" s="1">
        <v>45883</v>
      </c>
      <c r="U53" t="s">
        <v>51</v>
      </c>
      <c r="X53" t="s">
        <v>52</v>
      </c>
      <c r="Y53" s="2">
        <v>46.45</v>
      </c>
      <c r="Z53" s="2">
        <v>46.45</v>
      </c>
      <c r="AA53">
        <v>6</v>
      </c>
      <c r="AB53" s="3">
        <v>0.6</v>
      </c>
      <c r="AC53" s="2">
        <v>167.22</v>
      </c>
      <c r="AD53" s="3">
        <v>0</v>
      </c>
      <c r="AE53" s="2">
        <v>0</v>
      </c>
      <c r="AF53" s="2">
        <v>167.22</v>
      </c>
      <c r="AK53" s="4">
        <v>19583670</v>
      </c>
      <c r="AL53" t="s">
        <v>53</v>
      </c>
    </row>
    <row r="54" spans="1:38" x14ac:dyDescent="0.25">
      <c r="A54" s="1">
        <v>45891</v>
      </c>
      <c r="B54" s="1">
        <v>45887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187</v>
      </c>
      <c r="J54" t="s">
        <v>188</v>
      </c>
      <c r="M54" t="s">
        <v>129</v>
      </c>
      <c r="O54" t="s">
        <v>189</v>
      </c>
      <c r="P54" t="s">
        <v>190</v>
      </c>
      <c r="Q54" t="s">
        <v>49</v>
      </c>
      <c r="R54" t="s">
        <v>50</v>
      </c>
      <c r="S54" s="1">
        <v>45884</v>
      </c>
      <c r="U54" t="s">
        <v>51</v>
      </c>
      <c r="X54" t="s">
        <v>52</v>
      </c>
      <c r="Y54" s="2">
        <v>55.61</v>
      </c>
      <c r="Z54" s="2">
        <v>55.61</v>
      </c>
      <c r="AA54">
        <v>6</v>
      </c>
      <c r="AB54" s="3">
        <v>0.7</v>
      </c>
      <c r="AC54" s="2">
        <v>233.56</v>
      </c>
      <c r="AD54" s="3">
        <v>0</v>
      </c>
      <c r="AE54" s="2">
        <v>0</v>
      </c>
      <c r="AF54" s="2">
        <v>233.56</v>
      </c>
      <c r="AK54" s="4">
        <v>19577640</v>
      </c>
      <c r="AL54" t="s">
        <v>53</v>
      </c>
    </row>
    <row r="55" spans="1:38" x14ac:dyDescent="0.25">
      <c r="A55" s="1">
        <v>45891</v>
      </c>
      <c r="B55" s="1">
        <v>45887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191</v>
      </c>
      <c r="J55" t="s">
        <v>192</v>
      </c>
      <c r="M55" t="s">
        <v>56</v>
      </c>
      <c r="O55" t="s">
        <v>57</v>
      </c>
      <c r="P55" t="s">
        <v>58</v>
      </c>
      <c r="Q55" t="s">
        <v>49</v>
      </c>
      <c r="R55" t="s">
        <v>50</v>
      </c>
      <c r="S55" s="1">
        <v>45883</v>
      </c>
      <c r="U55" t="s">
        <v>51</v>
      </c>
      <c r="X55" t="s">
        <v>52</v>
      </c>
      <c r="Y55" s="2">
        <v>122.88</v>
      </c>
      <c r="Z55" s="2">
        <v>122.88</v>
      </c>
      <c r="AA55">
        <v>6</v>
      </c>
      <c r="AB55" s="3">
        <v>0.7</v>
      </c>
      <c r="AC55" s="2">
        <v>516.1</v>
      </c>
      <c r="AD55" s="3">
        <v>0</v>
      </c>
      <c r="AE55" s="2">
        <v>0</v>
      </c>
      <c r="AF55" s="2">
        <v>516.1</v>
      </c>
      <c r="AK55" s="4">
        <v>19577640</v>
      </c>
      <c r="AL55" t="s">
        <v>53</v>
      </c>
    </row>
    <row r="56" spans="1:38" x14ac:dyDescent="0.25">
      <c r="A56" s="1">
        <v>45891</v>
      </c>
      <c r="B56" s="1">
        <v>45887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193</v>
      </c>
      <c r="J56" t="s">
        <v>194</v>
      </c>
      <c r="M56" t="s">
        <v>195</v>
      </c>
      <c r="O56" t="s">
        <v>77</v>
      </c>
      <c r="P56" t="s">
        <v>78</v>
      </c>
      <c r="Q56" t="s">
        <v>49</v>
      </c>
      <c r="R56" t="s">
        <v>140</v>
      </c>
      <c r="S56" s="1">
        <v>45883</v>
      </c>
      <c r="U56" t="s">
        <v>51</v>
      </c>
      <c r="X56" t="s">
        <v>52</v>
      </c>
      <c r="Y56" s="2">
        <v>104.71</v>
      </c>
      <c r="Z56" s="2">
        <v>104.71</v>
      </c>
      <c r="AA56">
        <v>6</v>
      </c>
      <c r="AB56" s="3">
        <v>0.9</v>
      </c>
      <c r="AC56" s="2">
        <v>565.42999999999995</v>
      </c>
      <c r="AD56" s="3">
        <v>0</v>
      </c>
      <c r="AE56" s="2">
        <v>0</v>
      </c>
      <c r="AF56" s="2">
        <v>565.42999999999995</v>
      </c>
      <c r="AK56" s="4">
        <v>19583670</v>
      </c>
      <c r="AL56" t="s">
        <v>53</v>
      </c>
    </row>
    <row r="57" spans="1:38" x14ac:dyDescent="0.25">
      <c r="A57" s="1">
        <v>45891</v>
      </c>
      <c r="B57" s="1">
        <v>45887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196</v>
      </c>
      <c r="J57" t="s">
        <v>197</v>
      </c>
      <c r="M57" t="s">
        <v>198</v>
      </c>
      <c r="O57" t="s">
        <v>57</v>
      </c>
      <c r="P57" t="s">
        <v>58</v>
      </c>
      <c r="Q57" t="s">
        <v>49</v>
      </c>
      <c r="R57" t="s">
        <v>67</v>
      </c>
      <c r="S57" s="1">
        <v>45883</v>
      </c>
      <c r="U57" t="s">
        <v>51</v>
      </c>
      <c r="X57" t="s">
        <v>52</v>
      </c>
      <c r="Y57" s="2">
        <v>69.67</v>
      </c>
      <c r="Z57" s="2">
        <v>69.67</v>
      </c>
      <c r="AA57">
        <v>6</v>
      </c>
      <c r="AB57" s="3">
        <v>0.375</v>
      </c>
      <c r="AC57" s="2">
        <v>156.76</v>
      </c>
      <c r="AD57" s="3">
        <v>0</v>
      </c>
      <c r="AE57" s="2">
        <v>0</v>
      </c>
      <c r="AF57" s="2">
        <v>156.76</v>
      </c>
      <c r="AK57" s="4">
        <v>19590350</v>
      </c>
      <c r="AL57" t="s">
        <v>53</v>
      </c>
    </row>
    <row r="58" spans="1:38" x14ac:dyDescent="0.25">
      <c r="A58" s="1">
        <v>45891</v>
      </c>
      <c r="B58" s="1">
        <v>45887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199</v>
      </c>
      <c r="J58" t="s">
        <v>197</v>
      </c>
      <c r="M58" t="s">
        <v>198</v>
      </c>
      <c r="O58" t="s">
        <v>57</v>
      </c>
      <c r="P58" t="s">
        <v>58</v>
      </c>
      <c r="Q58" t="s">
        <v>49</v>
      </c>
      <c r="R58" t="s">
        <v>50</v>
      </c>
      <c r="S58" s="1">
        <v>45883</v>
      </c>
      <c r="U58" t="s">
        <v>51</v>
      </c>
      <c r="X58" t="s">
        <v>52</v>
      </c>
      <c r="Y58" s="2">
        <v>10.82</v>
      </c>
      <c r="Z58" s="2">
        <v>10.82</v>
      </c>
      <c r="AA58">
        <v>6</v>
      </c>
      <c r="AB58" s="3">
        <v>0.7</v>
      </c>
      <c r="AC58" s="2">
        <v>45.44</v>
      </c>
      <c r="AD58" s="3">
        <v>0</v>
      </c>
      <c r="AE58" s="2">
        <v>0</v>
      </c>
      <c r="AF58" s="2">
        <v>45.44</v>
      </c>
      <c r="AK58" s="4">
        <v>19577690</v>
      </c>
      <c r="AL58" t="s">
        <v>53</v>
      </c>
    </row>
    <row r="59" spans="1:38" x14ac:dyDescent="0.25">
      <c r="A59" s="1">
        <v>45891</v>
      </c>
      <c r="B59" s="1">
        <v>45887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200</v>
      </c>
      <c r="J59" t="s">
        <v>201</v>
      </c>
      <c r="M59" t="s">
        <v>129</v>
      </c>
      <c r="O59" t="s">
        <v>202</v>
      </c>
      <c r="P59" t="s">
        <v>203</v>
      </c>
      <c r="Q59" t="s">
        <v>49</v>
      </c>
      <c r="R59" t="s">
        <v>67</v>
      </c>
      <c r="S59" s="1">
        <v>45886</v>
      </c>
      <c r="U59" t="s">
        <v>51</v>
      </c>
      <c r="X59" t="s">
        <v>52</v>
      </c>
      <c r="Y59" s="2">
        <v>19.28</v>
      </c>
      <c r="Z59" s="2">
        <v>19.28</v>
      </c>
      <c r="AA59">
        <v>6</v>
      </c>
      <c r="AB59" s="3">
        <v>0.375</v>
      </c>
      <c r="AC59" s="2">
        <v>43.38</v>
      </c>
      <c r="AD59" s="3">
        <v>0</v>
      </c>
      <c r="AE59" s="2">
        <v>0</v>
      </c>
      <c r="AF59" s="2">
        <v>43.38</v>
      </c>
      <c r="AK59" s="4">
        <v>19590370</v>
      </c>
      <c r="AL59" t="s">
        <v>53</v>
      </c>
    </row>
    <row r="60" spans="1:38" x14ac:dyDescent="0.25">
      <c r="A60" s="1">
        <v>45891</v>
      </c>
      <c r="B60" s="1">
        <v>45887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204</v>
      </c>
      <c r="J60" t="s">
        <v>205</v>
      </c>
      <c r="M60" t="s">
        <v>206</v>
      </c>
      <c r="O60" t="s">
        <v>207</v>
      </c>
      <c r="P60" t="s">
        <v>208</v>
      </c>
      <c r="Q60" t="s">
        <v>49</v>
      </c>
      <c r="R60" t="s">
        <v>209</v>
      </c>
      <c r="S60" s="1">
        <v>45883</v>
      </c>
      <c r="U60" t="s">
        <v>51</v>
      </c>
      <c r="X60" t="s">
        <v>52</v>
      </c>
      <c r="Y60" s="2">
        <v>355.4</v>
      </c>
      <c r="Z60" s="2">
        <v>355.4</v>
      </c>
      <c r="AA60">
        <v>6</v>
      </c>
      <c r="AB60" s="3">
        <v>0.38</v>
      </c>
      <c r="AC60" s="2">
        <v>810.31</v>
      </c>
      <c r="AD60" s="3">
        <v>0</v>
      </c>
      <c r="AE60" s="2">
        <v>0</v>
      </c>
      <c r="AF60" s="2">
        <v>810.31</v>
      </c>
      <c r="AK60" s="4">
        <v>19577700</v>
      </c>
      <c r="AL60" t="s">
        <v>53</v>
      </c>
    </row>
    <row r="61" spans="1:38" x14ac:dyDescent="0.25">
      <c r="A61" s="1">
        <v>45891</v>
      </c>
      <c r="B61" s="1">
        <v>45887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210</v>
      </c>
      <c r="J61" t="s">
        <v>205</v>
      </c>
      <c r="M61" t="s">
        <v>206</v>
      </c>
      <c r="O61" t="s">
        <v>207</v>
      </c>
      <c r="P61" t="s">
        <v>208</v>
      </c>
      <c r="Q61" t="s">
        <v>49</v>
      </c>
      <c r="R61" t="s">
        <v>211</v>
      </c>
      <c r="S61" s="1">
        <v>45883</v>
      </c>
      <c r="U61" t="s">
        <v>51</v>
      </c>
      <c r="X61" t="s">
        <v>52</v>
      </c>
      <c r="Y61" s="2">
        <v>7.09</v>
      </c>
      <c r="Z61" s="2">
        <v>7.09</v>
      </c>
      <c r="AA61">
        <v>6</v>
      </c>
      <c r="AB61" s="3">
        <v>0.38</v>
      </c>
      <c r="AC61" s="2">
        <v>16.170000000000002</v>
      </c>
      <c r="AD61" s="3">
        <v>0</v>
      </c>
      <c r="AE61" s="2">
        <v>0</v>
      </c>
      <c r="AF61" s="2">
        <v>16.170000000000002</v>
      </c>
      <c r="AK61" s="4">
        <v>19591110</v>
      </c>
      <c r="AL61" t="s">
        <v>53</v>
      </c>
    </row>
    <row r="62" spans="1:38" x14ac:dyDescent="0.25">
      <c r="A62" s="1">
        <v>45891</v>
      </c>
      <c r="B62" s="1">
        <v>45887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212</v>
      </c>
      <c r="J62" t="s">
        <v>213</v>
      </c>
      <c r="M62" t="s">
        <v>81</v>
      </c>
      <c r="O62" t="s">
        <v>214</v>
      </c>
      <c r="P62" t="s">
        <v>215</v>
      </c>
      <c r="Q62" t="s">
        <v>49</v>
      </c>
      <c r="R62" t="s">
        <v>216</v>
      </c>
      <c r="S62" s="1">
        <v>45883</v>
      </c>
      <c r="U62" t="s">
        <v>51</v>
      </c>
      <c r="X62" t="s">
        <v>182</v>
      </c>
      <c r="Y62" s="2">
        <v>515.79</v>
      </c>
      <c r="Z62" s="2">
        <v>515.79</v>
      </c>
      <c r="AA62">
        <v>1</v>
      </c>
      <c r="AB62" s="3">
        <v>0.28999999999999998</v>
      </c>
      <c r="AC62" s="2">
        <v>149.58000000000001</v>
      </c>
      <c r="AD62" s="3">
        <v>0</v>
      </c>
      <c r="AE62" s="2">
        <v>0</v>
      </c>
      <c r="AF62" s="2">
        <v>149.58000000000001</v>
      </c>
      <c r="AK62" s="4">
        <v>19595160</v>
      </c>
    </row>
    <row r="63" spans="1:38" x14ac:dyDescent="0.25">
      <c r="A63" s="1">
        <v>45891</v>
      </c>
      <c r="B63" s="1">
        <v>45887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217</v>
      </c>
      <c r="J63" t="s">
        <v>213</v>
      </c>
      <c r="M63" t="s">
        <v>81</v>
      </c>
      <c r="O63" t="s">
        <v>214</v>
      </c>
      <c r="P63" t="s">
        <v>215</v>
      </c>
      <c r="Q63" t="s">
        <v>49</v>
      </c>
      <c r="R63" t="s">
        <v>50</v>
      </c>
      <c r="S63" s="1">
        <v>45883</v>
      </c>
      <c r="U63" t="s">
        <v>51</v>
      </c>
      <c r="X63" t="s">
        <v>52</v>
      </c>
      <c r="Y63" s="2">
        <v>46.72</v>
      </c>
      <c r="Z63" s="2">
        <v>46.72</v>
      </c>
      <c r="AA63">
        <v>6</v>
      </c>
      <c r="AB63" s="3">
        <v>0.7</v>
      </c>
      <c r="AC63" s="2">
        <v>196.22</v>
      </c>
      <c r="AD63" s="3">
        <v>0</v>
      </c>
      <c r="AE63" s="2">
        <v>0</v>
      </c>
      <c r="AF63" s="2">
        <v>196.22</v>
      </c>
      <c r="AK63" s="4">
        <v>19577730</v>
      </c>
      <c r="AL63" t="s">
        <v>53</v>
      </c>
    </row>
    <row r="64" spans="1:38" x14ac:dyDescent="0.25">
      <c r="A64" s="1">
        <v>45891</v>
      </c>
      <c r="B64" s="1">
        <v>45887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218</v>
      </c>
      <c r="J64" t="s">
        <v>213</v>
      </c>
      <c r="M64" t="s">
        <v>81</v>
      </c>
      <c r="O64" t="s">
        <v>214</v>
      </c>
      <c r="P64" t="s">
        <v>215</v>
      </c>
      <c r="Q64" t="s">
        <v>49</v>
      </c>
      <c r="R64" t="s">
        <v>219</v>
      </c>
      <c r="S64" s="1">
        <v>45883</v>
      </c>
      <c r="U64" t="s">
        <v>51</v>
      </c>
      <c r="X64" t="s">
        <v>182</v>
      </c>
      <c r="Y64" s="2">
        <v>15</v>
      </c>
      <c r="Z64" s="2">
        <v>15</v>
      </c>
      <c r="AA64">
        <v>1</v>
      </c>
      <c r="AB64" s="3">
        <v>0.28999999999999998</v>
      </c>
      <c r="AC64" s="2">
        <v>4.3499999999999996</v>
      </c>
      <c r="AD64" s="3">
        <v>0</v>
      </c>
      <c r="AE64" s="2">
        <v>0</v>
      </c>
      <c r="AF64" s="2">
        <v>4.3499999999999996</v>
      </c>
      <c r="AK64" s="4">
        <v>19581300</v>
      </c>
    </row>
    <row r="65" spans="1:38" x14ac:dyDescent="0.25">
      <c r="A65" s="1">
        <v>45891</v>
      </c>
      <c r="B65" s="1">
        <v>45887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220</v>
      </c>
      <c r="J65" t="s">
        <v>221</v>
      </c>
      <c r="M65" t="s">
        <v>135</v>
      </c>
      <c r="O65" t="s">
        <v>136</v>
      </c>
      <c r="P65" t="s">
        <v>137</v>
      </c>
      <c r="Q65" t="s">
        <v>49</v>
      </c>
      <c r="R65" t="s">
        <v>62</v>
      </c>
      <c r="S65" s="1">
        <v>45884</v>
      </c>
      <c r="U65" t="s">
        <v>51</v>
      </c>
      <c r="X65" t="s">
        <v>52</v>
      </c>
      <c r="Y65" s="2">
        <v>24.61</v>
      </c>
      <c r="Z65" s="2">
        <v>24.61</v>
      </c>
      <c r="AA65">
        <v>6</v>
      </c>
      <c r="AB65" s="3">
        <v>0.7</v>
      </c>
      <c r="AC65" s="2">
        <v>103.36</v>
      </c>
      <c r="AD65" s="3">
        <v>0</v>
      </c>
      <c r="AE65" s="2">
        <v>0</v>
      </c>
      <c r="AF65" s="2">
        <v>103.36</v>
      </c>
      <c r="AK65" s="4">
        <v>19572020</v>
      </c>
      <c r="AL65" t="s">
        <v>53</v>
      </c>
    </row>
    <row r="66" spans="1:38" x14ac:dyDescent="0.25">
      <c r="A66" s="1">
        <v>45891</v>
      </c>
      <c r="B66" s="1">
        <v>45887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222</v>
      </c>
      <c r="J66" t="s">
        <v>221</v>
      </c>
      <c r="M66" t="s">
        <v>135</v>
      </c>
      <c r="O66" t="s">
        <v>136</v>
      </c>
      <c r="P66" t="s">
        <v>137</v>
      </c>
      <c r="Q66" t="s">
        <v>49</v>
      </c>
      <c r="R66" t="s">
        <v>73</v>
      </c>
      <c r="S66" s="1">
        <v>45884</v>
      </c>
      <c r="U66" t="s">
        <v>51</v>
      </c>
      <c r="X66" t="s">
        <v>52</v>
      </c>
      <c r="Y66" s="2">
        <v>27.8</v>
      </c>
      <c r="Z66" s="2">
        <v>27.8</v>
      </c>
      <c r="AA66">
        <v>6</v>
      </c>
      <c r="AB66" s="3">
        <v>0.42</v>
      </c>
      <c r="AC66" s="2">
        <v>70.06</v>
      </c>
      <c r="AD66" s="3">
        <v>0</v>
      </c>
      <c r="AE66" s="2">
        <v>0</v>
      </c>
      <c r="AF66" s="2">
        <v>70.06</v>
      </c>
      <c r="AK66" s="4">
        <v>19590420</v>
      </c>
      <c r="AL66" t="s">
        <v>53</v>
      </c>
    </row>
    <row r="67" spans="1:38" x14ac:dyDescent="0.25">
      <c r="A67" s="1">
        <v>45891</v>
      </c>
      <c r="B67" s="1">
        <v>45887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223</v>
      </c>
      <c r="J67" t="s">
        <v>221</v>
      </c>
      <c r="M67" t="s">
        <v>135</v>
      </c>
      <c r="O67" t="s">
        <v>136</v>
      </c>
      <c r="P67" t="s">
        <v>137</v>
      </c>
      <c r="Q67" t="s">
        <v>49</v>
      </c>
      <c r="R67" t="s">
        <v>140</v>
      </c>
      <c r="S67" s="1">
        <v>45884</v>
      </c>
      <c r="U67" t="s">
        <v>51</v>
      </c>
      <c r="X67" t="s">
        <v>52</v>
      </c>
      <c r="Y67" s="2">
        <v>46.94</v>
      </c>
      <c r="Z67" s="2">
        <v>46.94</v>
      </c>
      <c r="AA67">
        <v>6</v>
      </c>
      <c r="AB67" s="3">
        <v>0.9</v>
      </c>
      <c r="AC67" s="2">
        <v>253.48</v>
      </c>
      <c r="AD67" s="3">
        <v>0</v>
      </c>
      <c r="AE67" s="2">
        <v>0</v>
      </c>
      <c r="AF67" s="2">
        <v>253.48</v>
      </c>
      <c r="AK67" s="4">
        <v>19583700</v>
      </c>
      <c r="AL67" t="s">
        <v>53</v>
      </c>
    </row>
    <row r="68" spans="1:38" x14ac:dyDescent="0.25">
      <c r="A68" s="1">
        <v>45891</v>
      </c>
      <c r="B68" s="1">
        <v>45887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224</v>
      </c>
      <c r="J68" t="s">
        <v>225</v>
      </c>
      <c r="M68" t="s">
        <v>110</v>
      </c>
      <c r="O68" t="s">
        <v>150</v>
      </c>
      <c r="P68" t="s">
        <v>151</v>
      </c>
      <c r="Q68" t="s">
        <v>49</v>
      </c>
      <c r="R68" t="s">
        <v>158</v>
      </c>
      <c r="S68" s="1">
        <v>45901</v>
      </c>
      <c r="U68" t="s">
        <v>51</v>
      </c>
      <c r="X68" t="s">
        <v>52</v>
      </c>
      <c r="Y68" s="2">
        <v>16.91</v>
      </c>
      <c r="Z68" s="2">
        <v>16.91</v>
      </c>
      <c r="AA68">
        <v>6</v>
      </c>
      <c r="AB68" s="3">
        <v>0.38</v>
      </c>
      <c r="AC68" s="2">
        <v>38.549999999999997</v>
      </c>
      <c r="AD68" s="3">
        <v>0</v>
      </c>
      <c r="AE68" s="2">
        <v>0</v>
      </c>
      <c r="AF68" s="2">
        <v>38.549999999999997</v>
      </c>
      <c r="AK68" s="4">
        <v>19591540</v>
      </c>
      <c r="AL68" t="s">
        <v>53</v>
      </c>
    </row>
    <row r="69" spans="1:38" x14ac:dyDescent="0.25">
      <c r="A69" s="1">
        <v>45891</v>
      </c>
      <c r="B69" s="1">
        <v>45887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226</v>
      </c>
      <c r="J69" t="s">
        <v>225</v>
      </c>
      <c r="M69" t="s">
        <v>110</v>
      </c>
      <c r="O69" t="s">
        <v>150</v>
      </c>
      <c r="P69" t="s">
        <v>151</v>
      </c>
      <c r="Q69" t="s">
        <v>49</v>
      </c>
      <c r="R69" t="s">
        <v>50</v>
      </c>
      <c r="S69" s="1">
        <v>45901</v>
      </c>
      <c r="U69" t="s">
        <v>51</v>
      </c>
      <c r="X69" t="s">
        <v>52</v>
      </c>
      <c r="Y69" s="2">
        <v>9.1</v>
      </c>
      <c r="Z69" s="2">
        <v>9.1</v>
      </c>
      <c r="AA69">
        <v>6</v>
      </c>
      <c r="AB69" s="3">
        <v>0.7</v>
      </c>
      <c r="AC69" s="2">
        <v>38.22</v>
      </c>
      <c r="AD69" s="3">
        <v>0</v>
      </c>
      <c r="AE69" s="2">
        <v>0</v>
      </c>
      <c r="AF69" s="2">
        <v>38.22</v>
      </c>
      <c r="AK69" s="4">
        <v>19577760</v>
      </c>
      <c r="AL69" t="s">
        <v>53</v>
      </c>
    </row>
    <row r="70" spans="1:38" x14ac:dyDescent="0.25">
      <c r="A70" s="1">
        <v>45891</v>
      </c>
      <c r="B70" s="1">
        <v>45887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227</v>
      </c>
      <c r="J70" t="s">
        <v>225</v>
      </c>
      <c r="M70" t="s">
        <v>110</v>
      </c>
      <c r="O70" t="s">
        <v>150</v>
      </c>
      <c r="P70" t="s">
        <v>151</v>
      </c>
      <c r="Q70" t="s">
        <v>49</v>
      </c>
      <c r="R70" t="s">
        <v>140</v>
      </c>
      <c r="S70" s="1">
        <v>45901</v>
      </c>
      <c r="U70" t="s">
        <v>51</v>
      </c>
      <c r="X70" t="s">
        <v>52</v>
      </c>
      <c r="Y70" s="2">
        <v>42.82</v>
      </c>
      <c r="Z70" s="2">
        <v>42.82</v>
      </c>
      <c r="AA70">
        <v>6</v>
      </c>
      <c r="AB70" s="3">
        <v>0.9</v>
      </c>
      <c r="AC70" s="2">
        <v>231.23</v>
      </c>
      <c r="AD70" s="3">
        <v>0</v>
      </c>
      <c r="AE70" s="2">
        <v>0</v>
      </c>
      <c r="AF70" s="2">
        <v>231.23</v>
      </c>
      <c r="AK70" s="4">
        <v>19583700</v>
      </c>
      <c r="AL70" t="s">
        <v>53</v>
      </c>
    </row>
    <row r="71" spans="1:38" x14ac:dyDescent="0.25">
      <c r="A71" s="1">
        <v>45891</v>
      </c>
      <c r="B71" s="1">
        <v>45887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228</v>
      </c>
      <c r="J71" t="s">
        <v>229</v>
      </c>
      <c r="M71" t="s">
        <v>46</v>
      </c>
      <c r="O71" t="s">
        <v>230</v>
      </c>
      <c r="P71" t="s">
        <v>231</v>
      </c>
      <c r="Q71" t="s">
        <v>49</v>
      </c>
      <c r="R71" t="s">
        <v>67</v>
      </c>
      <c r="S71" s="1">
        <v>45901</v>
      </c>
      <c r="U71" t="s">
        <v>51</v>
      </c>
      <c r="X71" t="s">
        <v>52</v>
      </c>
      <c r="Y71" s="2">
        <v>77.48</v>
      </c>
      <c r="Z71" s="2">
        <v>77.48</v>
      </c>
      <c r="AA71">
        <v>6</v>
      </c>
      <c r="AB71" s="3">
        <v>0.375</v>
      </c>
      <c r="AC71" s="2">
        <v>174.33</v>
      </c>
      <c r="AD71" s="3">
        <v>0</v>
      </c>
      <c r="AE71" s="2">
        <v>0</v>
      </c>
      <c r="AF71" s="2">
        <v>174.33</v>
      </c>
      <c r="AK71" s="4">
        <v>19590460</v>
      </c>
      <c r="AL71" t="s">
        <v>53</v>
      </c>
    </row>
    <row r="72" spans="1:38" x14ac:dyDescent="0.25">
      <c r="A72" s="1">
        <v>45891</v>
      </c>
      <c r="B72" s="1">
        <v>45887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232</v>
      </c>
      <c r="J72" t="s">
        <v>229</v>
      </c>
      <c r="M72" t="s">
        <v>46</v>
      </c>
      <c r="O72" t="s">
        <v>230</v>
      </c>
      <c r="P72" t="s">
        <v>231</v>
      </c>
      <c r="Q72" t="s">
        <v>49</v>
      </c>
      <c r="R72" t="s">
        <v>50</v>
      </c>
      <c r="S72" s="1">
        <v>45901</v>
      </c>
      <c r="U72" t="s">
        <v>51</v>
      </c>
      <c r="X72" t="s">
        <v>52</v>
      </c>
      <c r="Y72" s="2">
        <v>19</v>
      </c>
      <c r="Z72" s="2">
        <v>19</v>
      </c>
      <c r="AA72">
        <v>6</v>
      </c>
      <c r="AB72" s="3">
        <v>0.7</v>
      </c>
      <c r="AC72" s="2">
        <v>79.8</v>
      </c>
      <c r="AD72" s="3">
        <v>0</v>
      </c>
      <c r="AE72" s="2">
        <v>0</v>
      </c>
      <c r="AF72" s="2">
        <v>79.8</v>
      </c>
      <c r="AK72" s="4">
        <v>19577790</v>
      </c>
      <c r="AL72" t="s">
        <v>53</v>
      </c>
    </row>
    <row r="73" spans="1:38" x14ac:dyDescent="0.25">
      <c r="A73" s="1">
        <v>45891</v>
      </c>
      <c r="B73" s="1">
        <v>45887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233</v>
      </c>
      <c r="J73" t="s">
        <v>234</v>
      </c>
      <c r="M73" t="s">
        <v>120</v>
      </c>
      <c r="O73" t="s">
        <v>235</v>
      </c>
      <c r="P73" t="s">
        <v>236</v>
      </c>
      <c r="Q73" t="s">
        <v>49</v>
      </c>
      <c r="R73" t="s">
        <v>50</v>
      </c>
      <c r="S73" s="1">
        <v>45901</v>
      </c>
      <c r="U73" t="s">
        <v>51</v>
      </c>
      <c r="X73" t="s">
        <v>52</v>
      </c>
      <c r="Y73" s="2">
        <v>209.72</v>
      </c>
      <c r="Z73" s="2">
        <v>209.72</v>
      </c>
      <c r="AA73">
        <v>6</v>
      </c>
      <c r="AB73" s="3">
        <v>0.7</v>
      </c>
      <c r="AC73" s="2">
        <v>880.82</v>
      </c>
      <c r="AD73" s="3">
        <v>0</v>
      </c>
      <c r="AE73" s="2">
        <v>0</v>
      </c>
      <c r="AF73" s="2">
        <v>880.82</v>
      </c>
      <c r="AK73" s="4">
        <v>19577790</v>
      </c>
      <c r="AL73" t="s">
        <v>53</v>
      </c>
    </row>
    <row r="74" spans="1:38" x14ac:dyDescent="0.25">
      <c r="A74" s="1">
        <v>45891</v>
      </c>
      <c r="B74" s="1">
        <v>45887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237</v>
      </c>
      <c r="J74" t="s">
        <v>234</v>
      </c>
      <c r="M74" t="s">
        <v>120</v>
      </c>
      <c r="O74" t="s">
        <v>235</v>
      </c>
      <c r="P74" t="s">
        <v>236</v>
      </c>
      <c r="Q74" t="s">
        <v>49</v>
      </c>
      <c r="R74" t="s">
        <v>67</v>
      </c>
      <c r="S74" s="1">
        <v>45901</v>
      </c>
      <c r="U74" t="s">
        <v>51</v>
      </c>
      <c r="X74" t="s">
        <v>52</v>
      </c>
      <c r="Y74" s="2">
        <v>79.739999999999995</v>
      </c>
      <c r="Z74" s="2">
        <v>79.739999999999995</v>
      </c>
      <c r="AA74">
        <v>6</v>
      </c>
      <c r="AB74" s="3">
        <v>0.375</v>
      </c>
      <c r="AC74" s="2">
        <v>179.42</v>
      </c>
      <c r="AD74" s="3">
        <v>0</v>
      </c>
      <c r="AE74" s="2">
        <v>0</v>
      </c>
      <c r="AF74" s="2">
        <v>179.42</v>
      </c>
      <c r="AK74" s="4">
        <v>19590460</v>
      </c>
      <c r="AL74" t="s">
        <v>53</v>
      </c>
    </row>
    <row r="75" spans="1:38" x14ac:dyDescent="0.25">
      <c r="A75" s="1">
        <v>45891</v>
      </c>
      <c r="B75" s="1">
        <v>45887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238</v>
      </c>
      <c r="J75" t="s">
        <v>239</v>
      </c>
      <c r="M75" t="s">
        <v>46</v>
      </c>
      <c r="O75" t="s">
        <v>240</v>
      </c>
      <c r="P75" t="s">
        <v>241</v>
      </c>
      <c r="Q75" t="s">
        <v>49</v>
      </c>
      <c r="R75" t="s">
        <v>209</v>
      </c>
      <c r="S75" s="1">
        <v>45884</v>
      </c>
      <c r="U75" t="s">
        <v>51</v>
      </c>
      <c r="X75" t="s">
        <v>52</v>
      </c>
      <c r="Y75" s="2">
        <v>181.4</v>
      </c>
      <c r="Z75" s="2">
        <v>181.4</v>
      </c>
      <c r="AA75">
        <v>6</v>
      </c>
      <c r="AB75" s="3">
        <v>0.38</v>
      </c>
      <c r="AC75" s="2">
        <v>413.59</v>
      </c>
      <c r="AD75" s="3">
        <v>0</v>
      </c>
      <c r="AE75" s="2">
        <v>0</v>
      </c>
      <c r="AF75" s="2">
        <v>413.59</v>
      </c>
      <c r="AK75" s="4">
        <v>19577820</v>
      </c>
      <c r="AL75" t="s">
        <v>53</v>
      </c>
    </row>
    <row r="76" spans="1:38" x14ac:dyDescent="0.25">
      <c r="A76" s="1">
        <v>45891</v>
      </c>
      <c r="B76" s="1">
        <v>45887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242</v>
      </c>
      <c r="J76" t="s">
        <v>239</v>
      </c>
      <c r="M76" t="s">
        <v>46</v>
      </c>
      <c r="O76" t="s">
        <v>240</v>
      </c>
      <c r="P76" t="s">
        <v>241</v>
      </c>
      <c r="Q76" t="s">
        <v>49</v>
      </c>
      <c r="R76" t="s">
        <v>211</v>
      </c>
      <c r="S76" s="1">
        <v>45884</v>
      </c>
      <c r="U76" t="s">
        <v>51</v>
      </c>
      <c r="X76" t="s">
        <v>52</v>
      </c>
      <c r="Y76" s="2">
        <v>7.09</v>
      </c>
      <c r="Z76" s="2">
        <v>7.09</v>
      </c>
      <c r="AA76">
        <v>6</v>
      </c>
      <c r="AB76" s="3">
        <v>0.38</v>
      </c>
      <c r="AC76" s="2">
        <v>16.170000000000002</v>
      </c>
      <c r="AD76" s="3">
        <v>0</v>
      </c>
      <c r="AE76" s="2">
        <v>0</v>
      </c>
      <c r="AF76" s="2">
        <v>16.170000000000002</v>
      </c>
      <c r="AK76" s="4">
        <v>19591120</v>
      </c>
      <c r="AL76" t="s">
        <v>53</v>
      </c>
    </row>
    <row r="77" spans="1:38" x14ac:dyDescent="0.25">
      <c r="A77" s="1">
        <v>45891</v>
      </c>
      <c r="B77" s="1">
        <v>45887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243</v>
      </c>
      <c r="J77" t="s">
        <v>239</v>
      </c>
      <c r="M77" t="s">
        <v>46</v>
      </c>
      <c r="O77" t="s">
        <v>240</v>
      </c>
      <c r="P77" t="s">
        <v>241</v>
      </c>
      <c r="Q77" t="s">
        <v>49</v>
      </c>
      <c r="R77" t="s">
        <v>50</v>
      </c>
      <c r="S77" s="1">
        <v>45884</v>
      </c>
      <c r="U77" t="s">
        <v>51</v>
      </c>
      <c r="X77" t="s">
        <v>52</v>
      </c>
      <c r="Y77" s="2">
        <v>72.760000000000005</v>
      </c>
      <c r="Z77" s="2">
        <v>72.760000000000005</v>
      </c>
      <c r="AA77">
        <v>6</v>
      </c>
      <c r="AB77" s="3">
        <v>0.7</v>
      </c>
      <c r="AC77" s="2">
        <v>305.58999999999997</v>
      </c>
      <c r="AD77" s="3">
        <v>0</v>
      </c>
      <c r="AE77" s="2">
        <v>0</v>
      </c>
      <c r="AF77" s="2">
        <v>305.58999999999997</v>
      </c>
      <c r="AK77" s="4">
        <v>19577820</v>
      </c>
      <c r="AL77" t="s">
        <v>53</v>
      </c>
    </row>
    <row r="78" spans="1:38" x14ac:dyDescent="0.25">
      <c r="A78" s="1">
        <v>45891</v>
      </c>
      <c r="B78" s="1">
        <v>45887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244</v>
      </c>
      <c r="J78" t="s">
        <v>239</v>
      </c>
      <c r="M78" t="s">
        <v>46</v>
      </c>
      <c r="O78" t="s">
        <v>240</v>
      </c>
      <c r="P78" t="s">
        <v>241</v>
      </c>
      <c r="Q78" t="s">
        <v>49</v>
      </c>
      <c r="R78" t="s">
        <v>245</v>
      </c>
      <c r="S78" s="1">
        <v>45884</v>
      </c>
      <c r="U78" t="s">
        <v>51</v>
      </c>
      <c r="X78" t="s">
        <v>246</v>
      </c>
      <c r="Y78" s="2">
        <v>15</v>
      </c>
      <c r="Z78" s="2">
        <v>15</v>
      </c>
      <c r="AA78">
        <v>6</v>
      </c>
      <c r="AB78" s="3">
        <v>0.38</v>
      </c>
      <c r="AC78" s="2">
        <v>34.200000000000003</v>
      </c>
      <c r="AD78" s="3">
        <v>0</v>
      </c>
      <c r="AE78" s="2">
        <v>0</v>
      </c>
      <c r="AF78" s="2">
        <v>34.200000000000003</v>
      </c>
      <c r="AK78" s="4">
        <v>19581350</v>
      </c>
      <c r="AL78" t="s">
        <v>53</v>
      </c>
    </row>
    <row r="79" spans="1:38" x14ac:dyDescent="0.25">
      <c r="A79" s="1">
        <v>45891</v>
      </c>
      <c r="B79" s="1">
        <v>45887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247</v>
      </c>
      <c r="J79" t="s">
        <v>248</v>
      </c>
      <c r="M79" t="s">
        <v>129</v>
      </c>
      <c r="O79" t="s">
        <v>65</v>
      </c>
      <c r="P79" t="s">
        <v>66</v>
      </c>
      <c r="Q79" t="s">
        <v>49</v>
      </c>
      <c r="R79" t="s">
        <v>50</v>
      </c>
      <c r="S79" s="1">
        <v>45901</v>
      </c>
      <c r="U79" t="s">
        <v>51</v>
      </c>
      <c r="X79" t="s">
        <v>249</v>
      </c>
      <c r="Y79" s="2">
        <v>23.66</v>
      </c>
      <c r="Z79" s="2">
        <v>23.66</v>
      </c>
      <c r="AA79">
        <v>0</v>
      </c>
      <c r="AB79" s="3">
        <v>0.7</v>
      </c>
      <c r="AC79" s="2">
        <v>0</v>
      </c>
      <c r="AD79" s="3">
        <v>0</v>
      </c>
      <c r="AE79" s="2">
        <v>0</v>
      </c>
      <c r="AF79" s="2">
        <v>0</v>
      </c>
      <c r="AK79" s="4">
        <v>19577840</v>
      </c>
    </row>
    <row r="80" spans="1:38" x14ac:dyDescent="0.25">
      <c r="A80" s="1">
        <v>45891</v>
      </c>
      <c r="B80" s="1">
        <v>45887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250</v>
      </c>
      <c r="J80" t="s">
        <v>248</v>
      </c>
      <c r="M80" t="s">
        <v>129</v>
      </c>
      <c r="O80" t="s">
        <v>65</v>
      </c>
      <c r="P80" t="s">
        <v>66</v>
      </c>
      <c r="Q80" t="s">
        <v>49</v>
      </c>
      <c r="R80" t="s">
        <v>67</v>
      </c>
      <c r="S80" s="1">
        <v>45901</v>
      </c>
      <c r="U80" t="s">
        <v>51</v>
      </c>
      <c r="X80" t="s">
        <v>249</v>
      </c>
      <c r="Y80" s="2">
        <v>52.62</v>
      </c>
      <c r="Z80" s="2">
        <v>52.62</v>
      </c>
      <c r="AA80">
        <v>0</v>
      </c>
      <c r="AB80" s="3">
        <v>0.375</v>
      </c>
      <c r="AC80" s="2">
        <v>0</v>
      </c>
      <c r="AD80" s="3">
        <v>0</v>
      </c>
      <c r="AE80" s="2">
        <v>0</v>
      </c>
      <c r="AF80" s="2">
        <v>0</v>
      </c>
      <c r="AK80" s="4">
        <v>19590540</v>
      </c>
    </row>
    <row r="81" spans="1:38" x14ac:dyDescent="0.25">
      <c r="A81" s="1">
        <v>45891</v>
      </c>
      <c r="B81" s="1">
        <v>45887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251</v>
      </c>
      <c r="J81" t="s">
        <v>248</v>
      </c>
      <c r="M81" t="s">
        <v>129</v>
      </c>
      <c r="O81" t="s">
        <v>65</v>
      </c>
      <c r="P81" t="s">
        <v>66</v>
      </c>
      <c r="Q81" t="s">
        <v>49</v>
      </c>
      <c r="R81" t="s">
        <v>50</v>
      </c>
      <c r="S81" s="1">
        <v>45901</v>
      </c>
      <c r="U81" t="s">
        <v>51</v>
      </c>
      <c r="X81" t="s">
        <v>52</v>
      </c>
      <c r="Y81" s="2">
        <v>30.86</v>
      </c>
      <c r="Z81" s="2">
        <v>30.86</v>
      </c>
      <c r="AA81">
        <v>6</v>
      </c>
      <c r="AB81" s="3">
        <v>0.7</v>
      </c>
      <c r="AC81" s="2">
        <v>129.61000000000001</v>
      </c>
      <c r="AD81" s="3">
        <v>0</v>
      </c>
      <c r="AE81" s="2">
        <v>0</v>
      </c>
      <c r="AF81" s="2">
        <v>129.61000000000001</v>
      </c>
      <c r="AK81" s="4">
        <v>19577850</v>
      </c>
      <c r="AL81" t="s">
        <v>53</v>
      </c>
    </row>
    <row r="82" spans="1:38" x14ac:dyDescent="0.25">
      <c r="A82" s="1">
        <v>45891</v>
      </c>
      <c r="B82" s="1">
        <v>45887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252</v>
      </c>
      <c r="J82" t="s">
        <v>248</v>
      </c>
      <c r="M82" t="s">
        <v>129</v>
      </c>
      <c r="O82" t="s">
        <v>65</v>
      </c>
      <c r="P82" t="s">
        <v>66</v>
      </c>
      <c r="Q82" t="s">
        <v>49</v>
      </c>
      <c r="R82" t="s">
        <v>67</v>
      </c>
      <c r="S82" s="1">
        <v>45901</v>
      </c>
      <c r="U82" t="s">
        <v>51</v>
      </c>
      <c r="X82" t="s">
        <v>52</v>
      </c>
      <c r="Y82" s="2">
        <v>52.62</v>
      </c>
      <c r="Z82" s="2">
        <v>52.62</v>
      </c>
      <c r="AA82">
        <v>6</v>
      </c>
      <c r="AB82" s="3">
        <v>0.375</v>
      </c>
      <c r="AC82" s="2">
        <v>118.4</v>
      </c>
      <c r="AD82" s="3">
        <v>0</v>
      </c>
      <c r="AE82" s="2">
        <v>0</v>
      </c>
      <c r="AF82" s="2">
        <v>118.4</v>
      </c>
      <c r="AK82" s="4">
        <v>19590540</v>
      </c>
      <c r="AL82" t="s">
        <v>53</v>
      </c>
    </row>
    <row r="83" spans="1:38" x14ac:dyDescent="0.25">
      <c r="A83" s="1">
        <v>45891</v>
      </c>
      <c r="B83" s="1">
        <v>45887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253</v>
      </c>
      <c r="J83" t="s">
        <v>254</v>
      </c>
      <c r="M83" t="s">
        <v>135</v>
      </c>
      <c r="O83" t="s">
        <v>136</v>
      </c>
      <c r="P83" t="s">
        <v>137</v>
      </c>
      <c r="Q83" t="s">
        <v>49</v>
      </c>
      <c r="R83" t="s">
        <v>62</v>
      </c>
      <c r="S83" s="1">
        <v>45901</v>
      </c>
      <c r="U83" t="s">
        <v>51</v>
      </c>
      <c r="X83" t="s">
        <v>52</v>
      </c>
      <c r="Y83" s="2">
        <v>55.58</v>
      </c>
      <c r="Z83" s="2">
        <v>55.58</v>
      </c>
      <c r="AA83">
        <v>6</v>
      </c>
      <c r="AB83" s="3">
        <v>0.7</v>
      </c>
      <c r="AC83" s="2">
        <v>233.44</v>
      </c>
      <c r="AD83" s="3">
        <v>0</v>
      </c>
      <c r="AE83" s="2">
        <v>0</v>
      </c>
      <c r="AF83" s="2">
        <v>233.44</v>
      </c>
      <c r="AK83" s="4">
        <v>19572020</v>
      </c>
      <c r="AL83" t="s">
        <v>53</v>
      </c>
    </row>
    <row r="84" spans="1:38" x14ac:dyDescent="0.25">
      <c r="A84" s="1">
        <v>45891</v>
      </c>
      <c r="B84" s="1">
        <v>45887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255</v>
      </c>
      <c r="J84" t="s">
        <v>254</v>
      </c>
      <c r="M84" t="s">
        <v>135</v>
      </c>
      <c r="O84" t="s">
        <v>136</v>
      </c>
      <c r="P84" t="s">
        <v>137</v>
      </c>
      <c r="Q84" t="s">
        <v>49</v>
      </c>
      <c r="R84" t="s">
        <v>140</v>
      </c>
      <c r="S84" s="1">
        <v>45901</v>
      </c>
      <c r="U84" t="s">
        <v>51</v>
      </c>
      <c r="X84" t="s">
        <v>52</v>
      </c>
      <c r="Y84" s="2">
        <v>52.06</v>
      </c>
      <c r="Z84" s="2">
        <v>52.06</v>
      </c>
      <c r="AA84">
        <v>6</v>
      </c>
      <c r="AB84" s="3">
        <v>0.9</v>
      </c>
      <c r="AC84" s="2">
        <v>281.12</v>
      </c>
      <c r="AD84" s="3">
        <v>0</v>
      </c>
      <c r="AE84" s="2">
        <v>0</v>
      </c>
      <c r="AF84" s="2">
        <v>281.12</v>
      </c>
      <c r="AK84" s="4">
        <v>19583720</v>
      </c>
      <c r="AL84" t="s">
        <v>53</v>
      </c>
    </row>
    <row r="85" spans="1:38" x14ac:dyDescent="0.25">
      <c r="A85" s="1">
        <v>45891</v>
      </c>
      <c r="B85" s="1">
        <v>45887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256</v>
      </c>
      <c r="J85" t="s">
        <v>254</v>
      </c>
      <c r="M85" t="s">
        <v>135</v>
      </c>
      <c r="O85" t="s">
        <v>136</v>
      </c>
      <c r="P85" t="s">
        <v>137</v>
      </c>
      <c r="Q85" t="s">
        <v>49</v>
      </c>
      <c r="R85" t="s">
        <v>73</v>
      </c>
      <c r="S85" s="1">
        <v>45901</v>
      </c>
      <c r="U85" t="s">
        <v>51</v>
      </c>
      <c r="X85" t="s">
        <v>52</v>
      </c>
      <c r="Y85" s="2">
        <v>38.93</v>
      </c>
      <c r="Z85" s="2">
        <v>38.93</v>
      </c>
      <c r="AA85">
        <v>6</v>
      </c>
      <c r="AB85" s="3">
        <v>0.42</v>
      </c>
      <c r="AC85" s="2">
        <v>98.1</v>
      </c>
      <c r="AD85" s="3">
        <v>0</v>
      </c>
      <c r="AE85" s="2">
        <v>0</v>
      </c>
      <c r="AF85" s="2">
        <v>98.1</v>
      </c>
      <c r="AK85" s="4">
        <v>19590560</v>
      </c>
      <c r="AL85" t="s">
        <v>53</v>
      </c>
    </row>
    <row r="86" spans="1:38" x14ac:dyDescent="0.25">
      <c r="A86" s="1">
        <v>45891</v>
      </c>
      <c r="B86" s="1">
        <v>45887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257</v>
      </c>
      <c r="J86" t="s">
        <v>258</v>
      </c>
      <c r="M86" t="s">
        <v>135</v>
      </c>
      <c r="O86" t="s">
        <v>259</v>
      </c>
      <c r="P86" t="s">
        <v>260</v>
      </c>
      <c r="Q86" t="s">
        <v>49</v>
      </c>
      <c r="R86" t="s">
        <v>140</v>
      </c>
      <c r="S86" s="1">
        <v>45884</v>
      </c>
      <c r="U86" t="s">
        <v>51</v>
      </c>
      <c r="X86" t="s">
        <v>52</v>
      </c>
      <c r="Y86" s="2">
        <v>77.959999999999994</v>
      </c>
      <c r="Z86" s="2">
        <v>77.959999999999994</v>
      </c>
      <c r="AA86">
        <v>6</v>
      </c>
      <c r="AB86" s="3">
        <v>0.9</v>
      </c>
      <c r="AC86" s="2">
        <v>420.98</v>
      </c>
      <c r="AD86" s="3">
        <v>0</v>
      </c>
      <c r="AE86" s="2">
        <v>0</v>
      </c>
      <c r="AF86" s="2">
        <v>420.98</v>
      </c>
      <c r="AK86" s="4">
        <v>19583730</v>
      </c>
      <c r="AL86" t="s">
        <v>53</v>
      </c>
    </row>
    <row r="87" spans="1:38" x14ac:dyDescent="0.25">
      <c r="A87" s="1">
        <v>45891</v>
      </c>
      <c r="B87" s="1">
        <v>45887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261</v>
      </c>
      <c r="J87" t="s">
        <v>258</v>
      </c>
      <c r="M87" t="s">
        <v>135</v>
      </c>
      <c r="O87" t="s">
        <v>259</v>
      </c>
      <c r="P87" t="s">
        <v>260</v>
      </c>
      <c r="Q87" t="s">
        <v>49</v>
      </c>
      <c r="R87" t="s">
        <v>62</v>
      </c>
      <c r="S87" s="1">
        <v>45884</v>
      </c>
      <c r="U87" t="s">
        <v>51</v>
      </c>
      <c r="X87" t="s">
        <v>52</v>
      </c>
      <c r="Y87" s="2">
        <v>24.61</v>
      </c>
      <c r="Z87" s="2">
        <v>24.61</v>
      </c>
      <c r="AA87">
        <v>6</v>
      </c>
      <c r="AB87" s="3">
        <v>0.7</v>
      </c>
      <c r="AC87" s="2">
        <v>103.36</v>
      </c>
      <c r="AD87" s="3">
        <v>0</v>
      </c>
      <c r="AE87" s="2">
        <v>0</v>
      </c>
      <c r="AF87" s="2">
        <v>103.36</v>
      </c>
      <c r="AK87" s="4">
        <v>19572030</v>
      </c>
      <c r="AL87" t="s">
        <v>53</v>
      </c>
    </row>
    <row r="88" spans="1:38" x14ac:dyDescent="0.25">
      <c r="A88" s="1">
        <v>45891</v>
      </c>
      <c r="B88" s="1">
        <v>45887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262</v>
      </c>
      <c r="J88" t="s">
        <v>263</v>
      </c>
      <c r="M88" t="s">
        <v>46</v>
      </c>
      <c r="O88" t="s">
        <v>47</v>
      </c>
      <c r="P88" t="s">
        <v>48</v>
      </c>
      <c r="Q88" t="s">
        <v>49</v>
      </c>
      <c r="R88" t="s">
        <v>50</v>
      </c>
      <c r="S88" s="1">
        <v>45884</v>
      </c>
      <c r="U88" t="s">
        <v>51</v>
      </c>
      <c r="X88" t="s">
        <v>52</v>
      </c>
      <c r="Y88" s="2">
        <v>56.5</v>
      </c>
      <c r="Z88" s="2">
        <v>56.5</v>
      </c>
      <c r="AA88">
        <v>6</v>
      </c>
      <c r="AB88" s="3">
        <v>0.7</v>
      </c>
      <c r="AC88" s="2">
        <v>237.3</v>
      </c>
      <c r="AD88" s="3">
        <v>0</v>
      </c>
      <c r="AE88" s="2">
        <v>0</v>
      </c>
      <c r="AF88" s="2">
        <v>237.3</v>
      </c>
      <c r="AK88" s="4">
        <v>19577890</v>
      </c>
      <c r="AL88" t="s">
        <v>53</v>
      </c>
    </row>
    <row r="89" spans="1:38" x14ac:dyDescent="0.25">
      <c r="A89" s="1">
        <v>45891</v>
      </c>
      <c r="B89" s="1">
        <v>45887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264</v>
      </c>
      <c r="J89" t="s">
        <v>263</v>
      </c>
      <c r="M89" t="s">
        <v>46</v>
      </c>
      <c r="O89" t="s">
        <v>47</v>
      </c>
      <c r="P89" t="s">
        <v>48</v>
      </c>
      <c r="Q89" t="s">
        <v>49</v>
      </c>
      <c r="R89" t="s">
        <v>91</v>
      </c>
      <c r="S89" s="1">
        <v>45884</v>
      </c>
      <c r="U89" t="s">
        <v>51</v>
      </c>
      <c r="X89" t="s">
        <v>52</v>
      </c>
      <c r="Y89" s="2">
        <v>41.88</v>
      </c>
      <c r="Z89" s="2">
        <v>41.88</v>
      </c>
      <c r="AA89">
        <v>6</v>
      </c>
      <c r="AB89" s="3">
        <v>0.9</v>
      </c>
      <c r="AC89" s="2">
        <v>226.15</v>
      </c>
      <c r="AD89" s="3">
        <v>0</v>
      </c>
      <c r="AE89" s="2">
        <v>0</v>
      </c>
      <c r="AF89" s="2">
        <v>226.15</v>
      </c>
      <c r="AK89" s="4">
        <v>19593550</v>
      </c>
      <c r="AL89" t="s">
        <v>53</v>
      </c>
    </row>
    <row r="90" spans="1:38" x14ac:dyDescent="0.25">
      <c r="A90" s="1">
        <v>45891</v>
      </c>
      <c r="B90" s="1">
        <v>45887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265</v>
      </c>
      <c r="J90" t="s">
        <v>266</v>
      </c>
      <c r="M90" t="s">
        <v>46</v>
      </c>
      <c r="O90" t="s">
        <v>267</v>
      </c>
      <c r="P90" t="s">
        <v>268</v>
      </c>
      <c r="Q90" t="s">
        <v>49</v>
      </c>
      <c r="R90" t="s">
        <v>50</v>
      </c>
      <c r="S90" s="1">
        <v>45887</v>
      </c>
      <c r="U90" t="s">
        <v>51</v>
      </c>
      <c r="X90" t="s">
        <v>52</v>
      </c>
      <c r="Y90" s="2">
        <v>35.06</v>
      </c>
      <c r="Z90" s="2">
        <v>35.06</v>
      </c>
      <c r="AA90">
        <v>6</v>
      </c>
      <c r="AB90" s="3">
        <v>0.7</v>
      </c>
      <c r="AC90" s="2">
        <v>147.25</v>
      </c>
      <c r="AD90" s="3">
        <v>0</v>
      </c>
      <c r="AE90" s="2">
        <v>0</v>
      </c>
      <c r="AF90" s="2">
        <v>147.25</v>
      </c>
      <c r="AK90" s="4">
        <v>19577920</v>
      </c>
      <c r="AL90" t="s">
        <v>53</v>
      </c>
    </row>
    <row r="91" spans="1:38" x14ac:dyDescent="0.25">
      <c r="A91" s="1">
        <v>45891</v>
      </c>
      <c r="B91" s="1">
        <v>45887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269</v>
      </c>
      <c r="J91" t="s">
        <v>270</v>
      </c>
      <c r="M91" t="s">
        <v>46</v>
      </c>
      <c r="O91" t="s">
        <v>267</v>
      </c>
      <c r="P91" t="s">
        <v>268</v>
      </c>
      <c r="Q91" t="s">
        <v>49</v>
      </c>
      <c r="R91" t="s">
        <v>50</v>
      </c>
      <c r="S91" s="1">
        <v>45887</v>
      </c>
      <c r="U91" t="s">
        <v>51</v>
      </c>
      <c r="X91" t="s">
        <v>52</v>
      </c>
      <c r="Y91" s="2">
        <v>28.9</v>
      </c>
      <c r="Z91" s="2">
        <v>28.9</v>
      </c>
      <c r="AA91">
        <v>6</v>
      </c>
      <c r="AB91" s="3">
        <v>0.7</v>
      </c>
      <c r="AC91" s="2">
        <v>121.38</v>
      </c>
      <c r="AD91" s="3">
        <v>0</v>
      </c>
      <c r="AE91" s="2">
        <v>0</v>
      </c>
      <c r="AF91" s="2">
        <v>121.38</v>
      </c>
      <c r="AK91" s="4">
        <v>19577930</v>
      </c>
      <c r="AL91" t="s">
        <v>53</v>
      </c>
    </row>
    <row r="92" spans="1:38" x14ac:dyDescent="0.25">
      <c r="A92" s="1">
        <v>45891</v>
      </c>
      <c r="B92" s="1">
        <v>45887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271</v>
      </c>
      <c r="J92" t="s">
        <v>270</v>
      </c>
      <c r="M92" t="s">
        <v>46</v>
      </c>
      <c r="O92" t="s">
        <v>267</v>
      </c>
      <c r="P92" t="s">
        <v>268</v>
      </c>
      <c r="Q92" t="s">
        <v>49</v>
      </c>
      <c r="R92" t="s">
        <v>73</v>
      </c>
      <c r="S92" s="1">
        <v>45887</v>
      </c>
      <c r="U92" t="s">
        <v>51</v>
      </c>
      <c r="X92" t="s">
        <v>52</v>
      </c>
      <c r="Y92" s="2">
        <v>32.64</v>
      </c>
      <c r="Z92" s="2">
        <v>32.64</v>
      </c>
      <c r="AA92">
        <v>6</v>
      </c>
      <c r="AB92" s="3">
        <v>0.42</v>
      </c>
      <c r="AC92" s="2">
        <v>82.25</v>
      </c>
      <c r="AD92" s="3">
        <v>0</v>
      </c>
      <c r="AE92" s="2">
        <v>0</v>
      </c>
      <c r="AF92" s="2">
        <v>82.25</v>
      </c>
      <c r="AK92" s="4">
        <v>19590630</v>
      </c>
      <c r="AL92" t="s">
        <v>53</v>
      </c>
    </row>
    <row r="93" spans="1:38" x14ac:dyDescent="0.25">
      <c r="A93" s="1">
        <v>45891</v>
      </c>
      <c r="B93" s="1">
        <v>45887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272</v>
      </c>
      <c r="J93" t="s">
        <v>273</v>
      </c>
      <c r="M93" t="s">
        <v>185</v>
      </c>
      <c r="O93" t="s">
        <v>172</v>
      </c>
      <c r="P93" t="s">
        <v>173</v>
      </c>
      <c r="Q93" t="s">
        <v>49</v>
      </c>
      <c r="R93" t="s">
        <v>158</v>
      </c>
      <c r="S93" s="1">
        <v>45885</v>
      </c>
      <c r="U93" t="s">
        <v>51</v>
      </c>
      <c r="X93" t="s">
        <v>52</v>
      </c>
      <c r="Y93" s="2">
        <v>40.35</v>
      </c>
      <c r="Z93" s="2">
        <v>40.35</v>
      </c>
      <c r="AA93">
        <v>6</v>
      </c>
      <c r="AB93" s="3">
        <v>0.38</v>
      </c>
      <c r="AC93" s="2">
        <v>92</v>
      </c>
      <c r="AD93" s="3">
        <v>0</v>
      </c>
      <c r="AE93" s="2">
        <v>0</v>
      </c>
      <c r="AF93" s="2">
        <v>92</v>
      </c>
      <c r="AK93" s="4">
        <v>19591550</v>
      </c>
      <c r="AL93" t="s">
        <v>53</v>
      </c>
    </row>
    <row r="94" spans="1:38" x14ac:dyDescent="0.25">
      <c r="A94" s="1">
        <v>45891</v>
      </c>
      <c r="B94" s="1">
        <v>45887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274</v>
      </c>
      <c r="J94" t="s">
        <v>273</v>
      </c>
      <c r="M94" t="s">
        <v>185</v>
      </c>
      <c r="O94" t="s">
        <v>172</v>
      </c>
      <c r="P94" t="s">
        <v>173</v>
      </c>
      <c r="Q94" t="s">
        <v>49</v>
      </c>
      <c r="R94" t="s">
        <v>175</v>
      </c>
      <c r="S94" s="1">
        <v>45885</v>
      </c>
      <c r="U94" t="s">
        <v>51</v>
      </c>
      <c r="X94" t="s">
        <v>52</v>
      </c>
      <c r="Y94" s="2">
        <v>50.06</v>
      </c>
      <c r="Z94" s="2">
        <v>50.06</v>
      </c>
      <c r="AA94">
        <v>6</v>
      </c>
      <c r="AB94" s="3">
        <v>0.6</v>
      </c>
      <c r="AC94" s="2">
        <v>180.22</v>
      </c>
      <c r="AD94" s="3">
        <v>0</v>
      </c>
      <c r="AE94" s="2">
        <v>0</v>
      </c>
      <c r="AF94" s="2">
        <v>180.22</v>
      </c>
      <c r="AK94" s="4">
        <v>19583750</v>
      </c>
      <c r="AL94" t="s">
        <v>53</v>
      </c>
    </row>
    <row r="95" spans="1:38" x14ac:dyDescent="0.25">
      <c r="A95" s="1">
        <v>45891</v>
      </c>
      <c r="B95" s="1">
        <v>45887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275</v>
      </c>
      <c r="J95" t="s">
        <v>276</v>
      </c>
      <c r="M95" t="s">
        <v>46</v>
      </c>
      <c r="O95" t="s">
        <v>277</v>
      </c>
      <c r="P95" t="s">
        <v>278</v>
      </c>
      <c r="Q95" t="s">
        <v>49</v>
      </c>
      <c r="R95" t="s">
        <v>91</v>
      </c>
      <c r="S95" s="1">
        <v>45885</v>
      </c>
      <c r="U95" t="s">
        <v>51</v>
      </c>
      <c r="X95" t="s">
        <v>52</v>
      </c>
      <c r="Y95" s="2">
        <v>242.88</v>
      </c>
      <c r="Z95" s="2">
        <v>242.88</v>
      </c>
      <c r="AA95">
        <v>6</v>
      </c>
      <c r="AB95" s="3">
        <v>0.9</v>
      </c>
      <c r="AC95" s="2">
        <v>1311.55</v>
      </c>
      <c r="AD95" s="3">
        <v>0</v>
      </c>
      <c r="AE95" s="2">
        <v>0</v>
      </c>
      <c r="AF95" s="2">
        <v>1311.55</v>
      </c>
      <c r="AK95" s="4">
        <v>19593570</v>
      </c>
      <c r="AL95" t="s">
        <v>53</v>
      </c>
    </row>
    <row r="96" spans="1:38" x14ac:dyDescent="0.25">
      <c r="A96" s="1">
        <v>45891</v>
      </c>
      <c r="B96" s="1">
        <v>45887</v>
      </c>
      <c r="C96" t="s">
        <v>279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280</v>
      </c>
      <c r="J96" t="s">
        <v>281</v>
      </c>
      <c r="M96" t="s">
        <v>129</v>
      </c>
      <c r="O96" t="s">
        <v>77</v>
      </c>
      <c r="P96" t="s">
        <v>78</v>
      </c>
      <c r="Q96" t="s">
        <v>282</v>
      </c>
      <c r="R96" t="s">
        <v>50</v>
      </c>
      <c r="S96" s="1">
        <v>45839</v>
      </c>
      <c r="U96" t="s">
        <v>51</v>
      </c>
      <c r="X96" t="s">
        <v>249</v>
      </c>
      <c r="AF96" s="2">
        <v>250.19</v>
      </c>
      <c r="AG96" s="2">
        <v>83.4</v>
      </c>
      <c r="AJ96" s="2">
        <v>166.79</v>
      </c>
    </row>
    <row r="97" spans="1:36" x14ac:dyDescent="0.25">
      <c r="A97" s="1">
        <v>45891</v>
      </c>
      <c r="B97" s="1">
        <v>45887</v>
      </c>
      <c r="C97" t="s">
        <v>279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283</v>
      </c>
      <c r="J97" t="s">
        <v>281</v>
      </c>
      <c r="M97" t="s">
        <v>129</v>
      </c>
      <c r="O97" t="s">
        <v>77</v>
      </c>
      <c r="P97" t="s">
        <v>78</v>
      </c>
      <c r="Q97" t="s">
        <v>282</v>
      </c>
      <c r="R97" t="s">
        <v>162</v>
      </c>
      <c r="S97" s="1">
        <v>45839</v>
      </c>
      <c r="U97" t="s">
        <v>51</v>
      </c>
      <c r="X97" t="s">
        <v>249</v>
      </c>
      <c r="AF97" s="2">
        <v>340.31</v>
      </c>
      <c r="AG97" s="2">
        <v>113.44</v>
      </c>
      <c r="AJ97" s="2">
        <v>226.87</v>
      </c>
    </row>
    <row r="98" spans="1:36" x14ac:dyDescent="0.25">
      <c r="A98" s="1">
        <v>45891</v>
      </c>
      <c r="B98" s="1">
        <v>45887</v>
      </c>
      <c r="C98" t="s">
        <v>279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284</v>
      </c>
      <c r="J98" t="s">
        <v>281</v>
      </c>
      <c r="M98" t="s">
        <v>129</v>
      </c>
      <c r="O98" t="s">
        <v>77</v>
      </c>
      <c r="P98" t="s">
        <v>78</v>
      </c>
      <c r="Q98" t="s">
        <v>282</v>
      </c>
      <c r="R98" t="s">
        <v>67</v>
      </c>
      <c r="S98" s="1">
        <v>45839</v>
      </c>
      <c r="U98" t="s">
        <v>51</v>
      </c>
      <c r="X98" t="s">
        <v>249</v>
      </c>
      <c r="AF98" s="2">
        <v>55.22</v>
      </c>
      <c r="AG98" s="2">
        <v>18.399999999999999</v>
      </c>
      <c r="AJ98" s="2">
        <v>36.82</v>
      </c>
    </row>
    <row r="99" spans="1:36" x14ac:dyDescent="0.25">
      <c r="A99" s="1">
        <v>45891</v>
      </c>
      <c r="B99" s="1">
        <v>45887</v>
      </c>
      <c r="C99" t="s">
        <v>279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285</v>
      </c>
      <c r="J99" t="s">
        <v>286</v>
      </c>
      <c r="M99" t="s">
        <v>76</v>
      </c>
      <c r="O99" t="s">
        <v>202</v>
      </c>
      <c r="P99" t="s">
        <v>203</v>
      </c>
      <c r="Q99" t="s">
        <v>282</v>
      </c>
      <c r="R99" t="s">
        <v>67</v>
      </c>
      <c r="S99" s="1">
        <v>45812</v>
      </c>
      <c r="U99" t="s">
        <v>51</v>
      </c>
      <c r="X99" t="s">
        <v>249</v>
      </c>
      <c r="AF99" s="2">
        <v>61.02</v>
      </c>
      <c r="AG99" s="2">
        <v>30.51</v>
      </c>
      <c r="AJ99" s="2">
        <v>30.51</v>
      </c>
    </row>
    <row r="100" spans="1:36" x14ac:dyDescent="0.25">
      <c r="A100" s="1">
        <v>45891</v>
      </c>
      <c r="B100" s="1">
        <v>45887</v>
      </c>
      <c r="C100" t="s">
        <v>279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287</v>
      </c>
      <c r="J100" t="s">
        <v>286</v>
      </c>
      <c r="M100" t="s">
        <v>76</v>
      </c>
      <c r="O100" t="s">
        <v>202</v>
      </c>
      <c r="P100" t="s">
        <v>203</v>
      </c>
      <c r="Q100" t="s">
        <v>282</v>
      </c>
      <c r="R100" t="s">
        <v>50</v>
      </c>
      <c r="S100" s="1">
        <v>45812</v>
      </c>
      <c r="U100" t="s">
        <v>51</v>
      </c>
      <c r="X100" t="s">
        <v>249</v>
      </c>
      <c r="AF100" s="2">
        <v>157.21</v>
      </c>
      <c r="AG100" s="2">
        <v>78.599999999999994</v>
      </c>
      <c r="AJ100" s="2">
        <v>78.61</v>
      </c>
    </row>
    <row r="101" spans="1:36" x14ac:dyDescent="0.25">
      <c r="A101" s="1">
        <v>45891</v>
      </c>
      <c r="B101" s="1">
        <v>45887</v>
      </c>
      <c r="C101" t="s">
        <v>279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288</v>
      </c>
      <c r="J101" t="s">
        <v>289</v>
      </c>
      <c r="M101" t="s">
        <v>46</v>
      </c>
      <c r="O101" t="s">
        <v>290</v>
      </c>
      <c r="P101" t="s">
        <v>291</v>
      </c>
      <c r="Q101" t="s">
        <v>282</v>
      </c>
      <c r="R101" t="s">
        <v>158</v>
      </c>
      <c r="S101" s="1">
        <v>45818</v>
      </c>
      <c r="U101" t="s">
        <v>51</v>
      </c>
      <c r="X101" t="s">
        <v>249</v>
      </c>
      <c r="AF101" s="2">
        <v>20.93</v>
      </c>
      <c r="AG101" s="2">
        <v>6.98</v>
      </c>
      <c r="AJ101" s="2">
        <v>13.95</v>
      </c>
    </row>
    <row r="102" spans="1:36" x14ac:dyDescent="0.25">
      <c r="A102" s="1">
        <v>45891</v>
      </c>
      <c r="B102" s="1">
        <v>45887</v>
      </c>
      <c r="C102" t="s">
        <v>279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292</v>
      </c>
      <c r="J102" t="s">
        <v>289</v>
      </c>
      <c r="M102" t="s">
        <v>46</v>
      </c>
      <c r="O102" t="s">
        <v>290</v>
      </c>
      <c r="P102" t="s">
        <v>291</v>
      </c>
      <c r="Q102" t="s">
        <v>282</v>
      </c>
      <c r="R102" t="s">
        <v>50</v>
      </c>
      <c r="S102" s="1">
        <v>45818</v>
      </c>
      <c r="U102" t="s">
        <v>51</v>
      </c>
      <c r="X102" t="s">
        <v>249</v>
      </c>
      <c r="AF102" s="2">
        <v>340.83</v>
      </c>
      <c r="AG102" s="2">
        <v>113.61</v>
      </c>
      <c r="AJ102" s="2">
        <v>227.22</v>
      </c>
    </row>
    <row r="103" spans="1:36" x14ac:dyDescent="0.25">
      <c r="A103" s="1">
        <v>45891</v>
      </c>
      <c r="B103" s="1">
        <v>45887</v>
      </c>
      <c r="C103" t="s">
        <v>279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293</v>
      </c>
      <c r="J103" t="s">
        <v>289</v>
      </c>
      <c r="M103" t="s">
        <v>46</v>
      </c>
      <c r="O103" t="s">
        <v>290</v>
      </c>
      <c r="P103" t="s">
        <v>291</v>
      </c>
      <c r="Q103" t="s">
        <v>282</v>
      </c>
      <c r="R103" t="s">
        <v>67</v>
      </c>
      <c r="S103" s="1">
        <v>45818</v>
      </c>
      <c r="U103" t="s">
        <v>51</v>
      </c>
      <c r="X103" t="s">
        <v>249</v>
      </c>
      <c r="AF103" s="2">
        <v>151.18</v>
      </c>
      <c r="AG103" s="2">
        <v>50.39</v>
      </c>
      <c r="AJ103" s="2">
        <v>100.79</v>
      </c>
    </row>
    <row r="104" spans="1:36" x14ac:dyDescent="0.25">
      <c r="A104" s="1">
        <v>45891</v>
      </c>
      <c r="B104" s="1">
        <v>45887</v>
      </c>
      <c r="C104" t="s">
        <v>279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294</v>
      </c>
      <c r="J104" t="s">
        <v>289</v>
      </c>
      <c r="M104" t="s">
        <v>46</v>
      </c>
      <c r="O104" t="s">
        <v>290</v>
      </c>
      <c r="P104" t="s">
        <v>291</v>
      </c>
      <c r="Q104" t="s">
        <v>282</v>
      </c>
      <c r="R104" t="s">
        <v>295</v>
      </c>
      <c r="S104" s="1">
        <v>45818</v>
      </c>
      <c r="U104" t="s">
        <v>51</v>
      </c>
      <c r="X104" t="s">
        <v>249</v>
      </c>
      <c r="AF104" s="2">
        <v>34.200000000000003</v>
      </c>
      <c r="AG104" s="2">
        <v>11.4</v>
      </c>
      <c r="AJ104" s="2">
        <v>22.8</v>
      </c>
    </row>
    <row r="105" spans="1:36" x14ac:dyDescent="0.25">
      <c r="A105" s="1">
        <v>45891</v>
      </c>
      <c r="B105" s="1">
        <v>45887</v>
      </c>
      <c r="C105" t="s">
        <v>279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296</v>
      </c>
      <c r="J105" t="s">
        <v>297</v>
      </c>
      <c r="M105" t="s">
        <v>129</v>
      </c>
      <c r="O105" t="s">
        <v>298</v>
      </c>
      <c r="P105" t="s">
        <v>299</v>
      </c>
      <c r="Q105" t="s">
        <v>282</v>
      </c>
      <c r="R105" t="s">
        <v>67</v>
      </c>
      <c r="S105" s="1">
        <v>45826</v>
      </c>
      <c r="U105" t="s">
        <v>51</v>
      </c>
      <c r="X105" t="s">
        <v>249</v>
      </c>
      <c r="AF105" s="2">
        <v>71.73</v>
      </c>
      <c r="AG105" s="2">
        <v>23.91</v>
      </c>
      <c r="AJ105" s="2">
        <v>47.82</v>
      </c>
    </row>
    <row r="106" spans="1:36" x14ac:dyDescent="0.25">
      <c r="A106" s="1">
        <v>45891</v>
      </c>
      <c r="B106" s="1">
        <v>45887</v>
      </c>
      <c r="C106" t="s">
        <v>279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300</v>
      </c>
      <c r="J106" t="s">
        <v>297</v>
      </c>
      <c r="M106" t="s">
        <v>129</v>
      </c>
      <c r="O106" t="s">
        <v>298</v>
      </c>
      <c r="P106" t="s">
        <v>299</v>
      </c>
      <c r="Q106" t="s">
        <v>282</v>
      </c>
      <c r="R106" t="s">
        <v>50</v>
      </c>
      <c r="S106" s="1">
        <v>45826</v>
      </c>
      <c r="U106" t="s">
        <v>51</v>
      </c>
      <c r="X106" t="s">
        <v>249</v>
      </c>
      <c r="AF106" s="2">
        <v>129.61000000000001</v>
      </c>
      <c r="AG106" s="2">
        <v>43.2</v>
      </c>
      <c r="AJ106" s="2">
        <v>86.41</v>
      </c>
    </row>
    <row r="107" spans="1:36" x14ac:dyDescent="0.25">
      <c r="A107" s="1">
        <v>45891</v>
      </c>
      <c r="B107" s="1">
        <v>45887</v>
      </c>
      <c r="C107" t="s">
        <v>279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301</v>
      </c>
      <c r="J107" t="s">
        <v>302</v>
      </c>
      <c r="M107" t="s">
        <v>120</v>
      </c>
      <c r="O107" t="s">
        <v>82</v>
      </c>
      <c r="P107" t="s">
        <v>83</v>
      </c>
      <c r="Q107" t="s">
        <v>282</v>
      </c>
      <c r="R107" t="s">
        <v>67</v>
      </c>
      <c r="S107" s="1">
        <v>45829</v>
      </c>
      <c r="U107" t="s">
        <v>51</v>
      </c>
      <c r="X107" t="s">
        <v>249</v>
      </c>
      <c r="AF107" s="2">
        <v>41.94</v>
      </c>
      <c r="AG107" s="2">
        <v>6.99</v>
      </c>
      <c r="AJ107" s="2">
        <v>34.950000000000003</v>
      </c>
    </row>
    <row r="108" spans="1:36" x14ac:dyDescent="0.25">
      <c r="A108" s="1">
        <v>45891</v>
      </c>
      <c r="B108" s="1">
        <v>45887</v>
      </c>
      <c r="C108" t="s">
        <v>279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303</v>
      </c>
      <c r="J108" t="s">
        <v>302</v>
      </c>
      <c r="M108" t="s">
        <v>120</v>
      </c>
      <c r="O108" t="s">
        <v>82</v>
      </c>
      <c r="P108" t="s">
        <v>83</v>
      </c>
      <c r="Q108" t="s">
        <v>282</v>
      </c>
      <c r="R108" t="s">
        <v>50</v>
      </c>
      <c r="S108" s="1">
        <v>45829</v>
      </c>
      <c r="U108" t="s">
        <v>51</v>
      </c>
      <c r="X108" t="s">
        <v>249</v>
      </c>
      <c r="AF108" s="2">
        <v>77.150000000000006</v>
      </c>
      <c r="AG108" s="2">
        <v>12.86</v>
      </c>
      <c r="AJ108" s="2">
        <v>64.290000000000006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0A2C-FBA6-4328-A9AC-2A2592BD8D45}">
  <dimension ref="A1:Q55"/>
  <sheetViews>
    <sheetView tabSelected="1" topLeftCell="A27" workbookViewId="0">
      <selection activeCell="A48" sqref="A48"/>
    </sheetView>
  </sheetViews>
  <sheetFormatPr defaultRowHeight="15" x14ac:dyDescent="0.25"/>
  <cols>
    <col min="1" max="1" width="14" bestFit="1" customWidth="1"/>
    <col min="2" max="2" width="25.28515625" bestFit="1" customWidth="1"/>
    <col min="3" max="3" width="18" bestFit="1" customWidth="1"/>
    <col min="4" max="4" width="9.85546875" bestFit="1" customWidth="1"/>
    <col min="5" max="5" width="12.7109375" bestFit="1" customWidth="1"/>
    <col min="6" max="6" width="5.28515625" bestFit="1" customWidth="1"/>
    <col min="7" max="7" width="15" bestFit="1" customWidth="1"/>
    <col min="8" max="8" width="15" customWidth="1"/>
    <col min="9" max="9" width="26.42578125" bestFit="1" customWidth="1"/>
    <col min="10" max="10" width="12.5703125" bestFit="1" customWidth="1"/>
    <col min="11" max="11" width="49.42578125" bestFit="1" customWidth="1"/>
    <col min="12" max="12" width="10.140625" bestFit="1" customWidth="1"/>
    <col min="13" max="13" width="9" bestFit="1" customWidth="1"/>
    <col min="14" max="14" width="17.85546875" bestFit="1" customWidth="1"/>
    <col min="15" max="15" width="16.140625" bestFit="1" customWidth="1"/>
    <col min="16" max="16" width="16.7109375" bestFit="1" customWidth="1"/>
    <col min="17" max="17" width="16.5703125" bestFit="1" customWidth="1"/>
  </cols>
  <sheetData>
    <row r="1" spans="1:17" x14ac:dyDescent="0.25">
      <c r="A1" t="s">
        <v>8</v>
      </c>
      <c r="B1" t="s">
        <v>9</v>
      </c>
      <c r="C1" t="s">
        <v>28</v>
      </c>
      <c r="D1" t="s">
        <v>31</v>
      </c>
      <c r="E1" t="s">
        <v>32</v>
      </c>
      <c r="F1" t="s">
        <v>12</v>
      </c>
      <c r="G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2030495947</v>
      </c>
      <c r="B2" t="s">
        <v>239</v>
      </c>
      <c r="C2" s="2">
        <v>413.59</v>
      </c>
      <c r="D2" s="2">
        <f>SUM(C2/6)</f>
        <v>68.931666666666658</v>
      </c>
      <c r="F2" t="s">
        <v>46</v>
      </c>
      <c r="G2">
        <v>16912722</v>
      </c>
      <c r="H2" t="str">
        <f>CONCATENATE(G2,"AV6")</f>
        <v>16912722AV6</v>
      </c>
      <c r="I2" t="s">
        <v>241</v>
      </c>
      <c r="J2" t="s">
        <v>49</v>
      </c>
      <c r="K2" t="s">
        <v>332</v>
      </c>
      <c r="L2" s="1">
        <v>45884</v>
      </c>
      <c r="M2" t="s">
        <v>52</v>
      </c>
      <c r="N2" s="2">
        <v>181.4</v>
      </c>
      <c r="O2" s="2">
        <v>181.4</v>
      </c>
      <c r="P2">
        <v>6</v>
      </c>
      <c r="Q2" s="3">
        <v>0.38</v>
      </c>
    </row>
    <row r="3" spans="1:17" x14ac:dyDescent="0.25">
      <c r="A3">
        <v>2030495948</v>
      </c>
      <c r="B3" t="s">
        <v>239</v>
      </c>
      <c r="C3" s="2">
        <v>16.170000000000002</v>
      </c>
      <c r="D3" s="2">
        <f>SUM(C3/6)</f>
        <v>2.6950000000000003</v>
      </c>
      <c r="F3" t="s">
        <v>46</v>
      </c>
      <c r="G3">
        <v>16912722</v>
      </c>
      <c r="H3" t="str">
        <f>CONCATENATE(G3,"AV6")</f>
        <v>16912722AV6</v>
      </c>
      <c r="I3" t="s">
        <v>241</v>
      </c>
      <c r="J3" t="s">
        <v>49</v>
      </c>
      <c r="K3" t="s">
        <v>332</v>
      </c>
      <c r="L3" s="1">
        <v>45884</v>
      </c>
      <c r="M3" t="s">
        <v>52</v>
      </c>
      <c r="N3" s="2">
        <v>7.09</v>
      </c>
      <c r="O3" s="2">
        <v>7.09</v>
      </c>
      <c r="P3">
        <v>6</v>
      </c>
      <c r="Q3" s="3">
        <v>0.38</v>
      </c>
    </row>
    <row r="4" spans="1:17" x14ac:dyDescent="0.25">
      <c r="A4">
        <v>2030495949</v>
      </c>
      <c r="B4" t="s">
        <v>239</v>
      </c>
      <c r="C4" s="2">
        <v>305.58999999999997</v>
      </c>
      <c r="D4" s="2">
        <f>SUM(C4/6)</f>
        <v>50.931666666666665</v>
      </c>
      <c r="F4" t="s">
        <v>46</v>
      </c>
      <c r="G4">
        <v>16912722</v>
      </c>
      <c r="H4" t="str">
        <f>CONCATENATE(G4,"AV6")</f>
        <v>16912722AV6</v>
      </c>
      <c r="I4" t="s">
        <v>241</v>
      </c>
      <c r="J4" t="s">
        <v>49</v>
      </c>
      <c r="K4" t="s">
        <v>334</v>
      </c>
      <c r="L4" s="1">
        <v>45884</v>
      </c>
      <c r="M4" t="s">
        <v>52</v>
      </c>
      <c r="N4" s="2">
        <v>72.760000000000005</v>
      </c>
      <c r="O4" s="2">
        <v>72.760000000000005</v>
      </c>
      <c r="P4">
        <v>6</v>
      </c>
      <c r="Q4" s="3">
        <v>0.7</v>
      </c>
    </row>
    <row r="5" spans="1:17" x14ac:dyDescent="0.25">
      <c r="A5">
        <v>2030495950</v>
      </c>
      <c r="B5" t="s">
        <v>239</v>
      </c>
      <c r="C5" s="2">
        <v>34.200000000000003</v>
      </c>
      <c r="D5" s="2">
        <f>SUM(C5/6)</f>
        <v>5.7</v>
      </c>
      <c r="F5" t="s">
        <v>46</v>
      </c>
      <c r="G5">
        <v>16912722</v>
      </c>
      <c r="H5" t="str">
        <f>CONCATENATE(G5,"AV6")</f>
        <v>16912722AV6</v>
      </c>
      <c r="I5" t="s">
        <v>241</v>
      </c>
      <c r="J5" t="s">
        <v>49</v>
      </c>
      <c r="K5" t="s">
        <v>332</v>
      </c>
      <c r="L5" s="1">
        <v>45884</v>
      </c>
      <c r="M5" t="s">
        <v>246</v>
      </c>
      <c r="N5" s="2">
        <v>15</v>
      </c>
      <c r="O5" s="2">
        <v>15</v>
      </c>
      <c r="P5">
        <v>6</v>
      </c>
      <c r="Q5" s="3">
        <v>0.38</v>
      </c>
    </row>
    <row r="6" spans="1:17" x14ac:dyDescent="0.25">
      <c r="A6">
        <v>2030519283</v>
      </c>
      <c r="B6" t="s">
        <v>276</v>
      </c>
      <c r="C6" s="2">
        <v>1311.55</v>
      </c>
      <c r="D6" s="2">
        <f>SUM(C6/6)</f>
        <v>218.59166666666667</v>
      </c>
      <c r="F6" t="s">
        <v>46</v>
      </c>
      <c r="G6">
        <v>7470776</v>
      </c>
      <c r="H6" t="str">
        <f>CONCATENATE(G6,"AV6")</f>
        <v>7470776AV6</v>
      </c>
      <c r="I6" t="s">
        <v>278</v>
      </c>
      <c r="J6" t="s">
        <v>49</v>
      </c>
      <c r="K6" t="s">
        <v>91</v>
      </c>
      <c r="L6" s="1">
        <v>45885</v>
      </c>
      <c r="M6" t="s">
        <v>52</v>
      </c>
      <c r="N6" s="2">
        <v>242.88</v>
      </c>
      <c r="O6" s="2">
        <v>242.88</v>
      </c>
      <c r="P6">
        <v>6</v>
      </c>
      <c r="Q6" s="3">
        <v>0.9</v>
      </c>
    </row>
    <row r="7" spans="1:17" x14ac:dyDescent="0.25">
      <c r="A7">
        <v>2030333349</v>
      </c>
      <c r="B7" t="s">
        <v>80</v>
      </c>
      <c r="C7" s="2">
        <v>75.62</v>
      </c>
      <c r="D7" s="2">
        <f>SUM(C7/6)</f>
        <v>12.603333333333333</v>
      </c>
      <c r="F7" t="s">
        <v>81</v>
      </c>
      <c r="G7">
        <v>19681796</v>
      </c>
      <c r="H7" t="str">
        <f>CONCATENATE(G7,"AV6")</f>
        <v>19681796AV6</v>
      </c>
      <c r="I7" t="s">
        <v>83</v>
      </c>
      <c r="J7" t="s">
        <v>49</v>
      </c>
      <c r="K7" t="s">
        <v>67</v>
      </c>
      <c r="L7" s="1">
        <v>45879</v>
      </c>
      <c r="M7" t="s">
        <v>52</v>
      </c>
      <c r="N7" s="2">
        <v>33.61</v>
      </c>
      <c r="O7" s="2">
        <v>33.61</v>
      </c>
      <c r="P7">
        <v>6</v>
      </c>
      <c r="Q7" s="3">
        <v>0.375</v>
      </c>
    </row>
    <row r="8" spans="1:17" x14ac:dyDescent="0.25">
      <c r="A8">
        <v>2030333350</v>
      </c>
      <c r="B8" t="s">
        <v>80</v>
      </c>
      <c r="C8" s="2">
        <v>82.24</v>
      </c>
      <c r="D8" s="2">
        <f>SUM(C8/6)</f>
        <v>13.706666666666665</v>
      </c>
      <c r="F8" t="s">
        <v>81</v>
      </c>
      <c r="G8">
        <v>19681796</v>
      </c>
      <c r="H8" t="str">
        <f>CONCATENATE(G8,"AV6")</f>
        <v>19681796AV6</v>
      </c>
      <c r="I8" t="s">
        <v>83</v>
      </c>
      <c r="J8" t="s">
        <v>49</v>
      </c>
      <c r="K8" t="s">
        <v>334</v>
      </c>
      <c r="L8" s="1">
        <v>45879</v>
      </c>
      <c r="M8" t="s">
        <v>52</v>
      </c>
      <c r="N8" s="2">
        <v>19.579999999999998</v>
      </c>
      <c r="O8" s="2">
        <v>19.579999999999998</v>
      </c>
      <c r="P8">
        <v>6</v>
      </c>
      <c r="Q8" s="3">
        <v>0.7</v>
      </c>
    </row>
    <row r="9" spans="1:17" x14ac:dyDescent="0.25">
      <c r="A9">
        <v>2030427171</v>
      </c>
      <c r="B9" t="s">
        <v>96</v>
      </c>
      <c r="C9" s="2">
        <v>860.27</v>
      </c>
      <c r="D9" s="2">
        <f>SUM(C9/6)</f>
        <v>143.37833333333333</v>
      </c>
      <c r="F9" t="s">
        <v>81</v>
      </c>
      <c r="G9">
        <v>19681796</v>
      </c>
      <c r="H9" t="str">
        <f>CONCATENATE(G9,"AV6")</f>
        <v>19681796AV6</v>
      </c>
      <c r="I9" t="s">
        <v>83</v>
      </c>
      <c r="J9" t="s">
        <v>49</v>
      </c>
      <c r="K9" t="s">
        <v>91</v>
      </c>
      <c r="L9" s="1">
        <v>45881</v>
      </c>
      <c r="M9" t="s">
        <v>52</v>
      </c>
      <c r="N9" s="2">
        <v>159.31</v>
      </c>
      <c r="O9" s="2">
        <v>159.31</v>
      </c>
      <c r="P9">
        <v>6</v>
      </c>
      <c r="Q9" s="3">
        <v>0.9</v>
      </c>
    </row>
    <row r="10" spans="1:17" x14ac:dyDescent="0.25">
      <c r="A10">
        <v>2030427172</v>
      </c>
      <c r="B10" t="s">
        <v>96</v>
      </c>
      <c r="C10" s="2">
        <v>290.05</v>
      </c>
      <c r="D10" s="2">
        <f>SUM(C10/6)</f>
        <v>48.341666666666669</v>
      </c>
      <c r="F10" t="s">
        <v>81</v>
      </c>
      <c r="G10">
        <v>19681796</v>
      </c>
      <c r="H10" t="str">
        <f>CONCATENATE(G10,"AV6")</f>
        <v>19681796AV6</v>
      </c>
      <c r="I10" t="s">
        <v>83</v>
      </c>
      <c r="J10" t="s">
        <v>49</v>
      </c>
      <c r="K10" t="s">
        <v>334</v>
      </c>
      <c r="L10" s="1">
        <v>45881</v>
      </c>
      <c r="M10" t="s">
        <v>52</v>
      </c>
      <c r="N10" s="2">
        <v>69.06</v>
      </c>
      <c r="O10" s="2">
        <v>69.06</v>
      </c>
      <c r="P10">
        <v>6</v>
      </c>
      <c r="Q10" s="3">
        <v>0.7</v>
      </c>
    </row>
    <row r="11" spans="1:17" x14ac:dyDescent="0.25">
      <c r="A11">
        <v>2030453867</v>
      </c>
      <c r="B11" t="s">
        <v>149</v>
      </c>
      <c r="C11" s="2">
        <v>143.15</v>
      </c>
      <c r="D11" s="2">
        <f>SUM(C11/6)</f>
        <v>23.858333333333334</v>
      </c>
      <c r="F11" t="s">
        <v>110</v>
      </c>
      <c r="G11">
        <v>16865615</v>
      </c>
      <c r="H11" t="str">
        <f>CONCATENATE(G11,"AV6")</f>
        <v>16865615AV6</v>
      </c>
      <c r="I11" t="s">
        <v>151</v>
      </c>
      <c r="J11" t="s">
        <v>49</v>
      </c>
      <c r="K11" t="s">
        <v>67</v>
      </c>
      <c r="L11" s="1">
        <v>45901</v>
      </c>
      <c r="M11" t="s">
        <v>52</v>
      </c>
      <c r="N11" s="2">
        <v>63.62</v>
      </c>
      <c r="O11" s="2">
        <v>63.62</v>
      </c>
      <c r="P11">
        <v>6</v>
      </c>
      <c r="Q11" s="3">
        <v>0.375</v>
      </c>
    </row>
    <row r="12" spans="1:17" x14ac:dyDescent="0.25">
      <c r="A12">
        <v>2030453868</v>
      </c>
      <c r="B12" t="s">
        <v>149</v>
      </c>
      <c r="C12" s="2">
        <v>38.22</v>
      </c>
      <c r="D12" s="2">
        <f>SUM(C12/6)</f>
        <v>6.37</v>
      </c>
      <c r="F12" t="s">
        <v>110</v>
      </c>
      <c r="G12">
        <v>16865615</v>
      </c>
      <c r="H12" t="str">
        <f>CONCATENATE(G12,"AV6")</f>
        <v>16865615AV6</v>
      </c>
      <c r="I12" t="s">
        <v>151</v>
      </c>
      <c r="J12" t="s">
        <v>49</v>
      </c>
      <c r="K12" t="s">
        <v>334</v>
      </c>
      <c r="L12" s="1">
        <v>45901</v>
      </c>
      <c r="M12" t="s">
        <v>52</v>
      </c>
      <c r="N12" s="2">
        <v>9.1</v>
      </c>
      <c r="O12" s="2">
        <v>9.1</v>
      </c>
      <c r="P12">
        <v>6</v>
      </c>
      <c r="Q12" s="3">
        <v>0.7</v>
      </c>
    </row>
    <row r="13" spans="1:17" x14ac:dyDescent="0.25">
      <c r="A13">
        <v>2030455579</v>
      </c>
      <c r="B13" t="s">
        <v>157</v>
      </c>
      <c r="C13" s="2">
        <v>137.94</v>
      </c>
      <c r="D13" s="2">
        <f>SUM(C13/6)</f>
        <v>22.99</v>
      </c>
      <c r="F13" t="s">
        <v>110</v>
      </c>
      <c r="G13">
        <v>16865615</v>
      </c>
      <c r="H13" t="str">
        <f>CONCATENATE(G13,"AV6")</f>
        <v>16865615AV6</v>
      </c>
      <c r="I13" t="s">
        <v>151</v>
      </c>
      <c r="J13" t="s">
        <v>49</v>
      </c>
      <c r="K13" t="s">
        <v>332</v>
      </c>
      <c r="L13" s="1">
        <v>45882</v>
      </c>
      <c r="M13" t="s">
        <v>52</v>
      </c>
      <c r="N13" s="2">
        <v>60.5</v>
      </c>
      <c r="O13" s="2">
        <v>60.5</v>
      </c>
      <c r="P13">
        <v>6</v>
      </c>
      <c r="Q13" s="3">
        <v>0.38</v>
      </c>
    </row>
    <row r="14" spans="1:17" x14ac:dyDescent="0.25">
      <c r="A14">
        <v>2030455580</v>
      </c>
      <c r="B14" t="s">
        <v>157</v>
      </c>
      <c r="C14" s="2">
        <v>361.91</v>
      </c>
      <c r="D14" s="2">
        <f>SUM(C14/6)</f>
        <v>60.318333333333335</v>
      </c>
      <c r="F14" t="s">
        <v>110</v>
      </c>
      <c r="G14">
        <v>16865615</v>
      </c>
      <c r="H14" t="str">
        <f>CONCATENATE(G14,"AV6")</f>
        <v>16865615AV6</v>
      </c>
      <c r="I14" t="s">
        <v>151</v>
      </c>
      <c r="J14" t="s">
        <v>49</v>
      </c>
      <c r="K14" t="s">
        <v>67</v>
      </c>
      <c r="L14" s="1">
        <v>45882</v>
      </c>
      <c r="M14" t="s">
        <v>52</v>
      </c>
      <c r="N14" s="2">
        <v>160.85</v>
      </c>
      <c r="O14" s="2">
        <v>160.85</v>
      </c>
      <c r="P14">
        <v>6</v>
      </c>
      <c r="Q14" s="3">
        <v>0.375</v>
      </c>
    </row>
    <row r="15" spans="1:17" x14ac:dyDescent="0.25">
      <c r="A15">
        <v>2030455581</v>
      </c>
      <c r="B15" t="s">
        <v>157</v>
      </c>
      <c r="C15" s="2">
        <v>115</v>
      </c>
      <c r="D15" s="2">
        <f>SUM(C15/6)</f>
        <v>19.166666666666668</v>
      </c>
      <c r="F15" t="s">
        <v>110</v>
      </c>
      <c r="G15">
        <v>16865615</v>
      </c>
      <c r="H15" t="str">
        <f>CONCATENATE(G15,"AV6")</f>
        <v>16865615AV6</v>
      </c>
      <c r="I15" t="s">
        <v>151</v>
      </c>
      <c r="J15" t="s">
        <v>49</v>
      </c>
      <c r="K15" t="s">
        <v>334</v>
      </c>
      <c r="L15" s="1">
        <v>45882</v>
      </c>
      <c r="M15" t="s">
        <v>52</v>
      </c>
      <c r="N15" s="2">
        <v>27.38</v>
      </c>
      <c r="O15" s="2">
        <v>27.38</v>
      </c>
      <c r="P15">
        <v>6</v>
      </c>
      <c r="Q15" s="3">
        <v>0.7</v>
      </c>
    </row>
    <row r="16" spans="1:17" x14ac:dyDescent="0.25">
      <c r="A16">
        <v>2030455582</v>
      </c>
      <c r="B16" t="s">
        <v>157</v>
      </c>
      <c r="C16" s="2">
        <v>116.53</v>
      </c>
      <c r="D16" s="2">
        <f>SUM(C16/6)</f>
        <v>19.421666666666667</v>
      </c>
      <c r="F16" t="s">
        <v>110</v>
      </c>
      <c r="G16">
        <v>16865615</v>
      </c>
      <c r="H16" t="str">
        <f>CONCATENATE(G16,"AV6")</f>
        <v>16865615AV6</v>
      </c>
      <c r="I16" t="s">
        <v>151</v>
      </c>
      <c r="J16" t="s">
        <v>49</v>
      </c>
      <c r="K16" t="s">
        <v>333</v>
      </c>
      <c r="L16" s="1">
        <v>45882</v>
      </c>
      <c r="M16" t="s">
        <v>52</v>
      </c>
      <c r="N16" s="2">
        <v>29.88</v>
      </c>
      <c r="O16" s="2">
        <v>29.88</v>
      </c>
      <c r="P16">
        <v>6</v>
      </c>
      <c r="Q16" s="3">
        <v>0.65</v>
      </c>
    </row>
    <row r="17" spans="1:17" x14ac:dyDescent="0.25">
      <c r="A17">
        <v>2030455583</v>
      </c>
      <c r="B17" t="s">
        <v>157</v>
      </c>
      <c r="C17" s="2">
        <v>285.77</v>
      </c>
      <c r="D17" s="2">
        <f>SUM(C17/6)</f>
        <v>47.62833333333333</v>
      </c>
      <c r="F17" t="s">
        <v>110</v>
      </c>
      <c r="G17">
        <v>16865615</v>
      </c>
      <c r="H17" t="str">
        <f>CONCATENATE(G17,"AV6")</f>
        <v>16865615AV6</v>
      </c>
      <c r="I17" t="s">
        <v>151</v>
      </c>
      <c r="J17" t="s">
        <v>49</v>
      </c>
      <c r="K17" t="s">
        <v>91</v>
      </c>
      <c r="L17" s="1">
        <v>45882</v>
      </c>
      <c r="M17" t="s">
        <v>52</v>
      </c>
      <c r="N17" s="2">
        <v>52.92</v>
      </c>
      <c r="O17" s="2">
        <v>52.92</v>
      </c>
      <c r="P17">
        <v>6</v>
      </c>
      <c r="Q17" s="3">
        <v>0.9</v>
      </c>
    </row>
    <row r="18" spans="1:17" x14ac:dyDescent="0.25">
      <c r="A18">
        <v>2030489803</v>
      </c>
      <c r="B18" t="s">
        <v>225</v>
      </c>
      <c r="C18" s="2">
        <v>38.549999999999997</v>
      </c>
      <c r="D18" s="2">
        <f>SUM(C18/6)</f>
        <v>6.4249999999999998</v>
      </c>
      <c r="F18" t="s">
        <v>110</v>
      </c>
      <c r="G18">
        <v>16865615</v>
      </c>
      <c r="H18" t="str">
        <f>CONCATENATE(G18,"AV6")</f>
        <v>16865615AV6</v>
      </c>
      <c r="I18" t="s">
        <v>151</v>
      </c>
      <c r="J18" t="s">
        <v>49</v>
      </c>
      <c r="K18" t="s">
        <v>332</v>
      </c>
      <c r="L18" s="1">
        <v>45901</v>
      </c>
      <c r="M18" t="s">
        <v>52</v>
      </c>
      <c r="N18" s="2">
        <v>16.91</v>
      </c>
      <c r="O18" s="2">
        <v>16.91</v>
      </c>
      <c r="P18">
        <v>6</v>
      </c>
      <c r="Q18" s="3">
        <v>0.38</v>
      </c>
    </row>
    <row r="19" spans="1:17" x14ac:dyDescent="0.25">
      <c r="A19">
        <v>2030489804</v>
      </c>
      <c r="B19" t="s">
        <v>225</v>
      </c>
      <c r="C19" s="2">
        <v>38.22</v>
      </c>
      <c r="D19" s="2">
        <f>SUM(C19/6)</f>
        <v>6.37</v>
      </c>
      <c r="F19" t="s">
        <v>110</v>
      </c>
      <c r="G19">
        <v>16865615</v>
      </c>
      <c r="H19" t="str">
        <f>CONCATENATE(G19,"AV6")</f>
        <v>16865615AV6</v>
      </c>
      <c r="I19" t="s">
        <v>151</v>
      </c>
      <c r="J19" t="s">
        <v>49</v>
      </c>
      <c r="K19" t="s">
        <v>334</v>
      </c>
      <c r="L19" s="1">
        <v>45901</v>
      </c>
      <c r="M19" t="s">
        <v>52</v>
      </c>
      <c r="N19" s="2">
        <v>9.1</v>
      </c>
      <c r="O19" s="2">
        <v>9.1</v>
      </c>
      <c r="P19">
        <v>6</v>
      </c>
      <c r="Q19" s="3">
        <v>0.7</v>
      </c>
    </row>
    <row r="20" spans="1:17" x14ac:dyDescent="0.25">
      <c r="A20">
        <v>2030489805</v>
      </c>
      <c r="B20" t="s">
        <v>225</v>
      </c>
      <c r="C20" s="2">
        <v>231.23</v>
      </c>
      <c r="D20" s="2">
        <f>SUM(C20/6)</f>
        <v>38.538333333333334</v>
      </c>
      <c r="F20" t="s">
        <v>110</v>
      </c>
      <c r="G20">
        <v>16865615</v>
      </c>
      <c r="H20" t="str">
        <f>CONCATENATE(G20,"AV6")</f>
        <v>16865615AV6</v>
      </c>
      <c r="I20" t="s">
        <v>151</v>
      </c>
      <c r="J20" t="s">
        <v>49</v>
      </c>
      <c r="K20" t="s">
        <v>336</v>
      </c>
      <c r="L20" s="1">
        <v>45901</v>
      </c>
      <c r="M20" t="s">
        <v>52</v>
      </c>
      <c r="N20" s="2">
        <v>42.82</v>
      </c>
      <c r="O20" s="2">
        <v>42.82</v>
      </c>
      <c r="P20">
        <v>6</v>
      </c>
      <c r="Q20" s="3">
        <v>0.9</v>
      </c>
    </row>
    <row r="21" spans="1:17" x14ac:dyDescent="0.25">
      <c r="A21">
        <v>2030474678</v>
      </c>
      <c r="B21" t="s">
        <v>188</v>
      </c>
      <c r="C21" s="2">
        <v>233.56</v>
      </c>
      <c r="D21" s="2">
        <f>SUM(C21/6)</f>
        <v>38.926666666666669</v>
      </c>
      <c r="F21" t="s">
        <v>129</v>
      </c>
      <c r="G21">
        <v>17117649</v>
      </c>
      <c r="H21" t="str">
        <f>CONCATENATE(G21,"AV6")</f>
        <v>17117649AV6</v>
      </c>
      <c r="I21" t="s">
        <v>190</v>
      </c>
      <c r="J21" t="s">
        <v>49</v>
      </c>
      <c r="K21" t="s">
        <v>334</v>
      </c>
      <c r="L21" s="1">
        <v>45884</v>
      </c>
      <c r="M21" t="s">
        <v>52</v>
      </c>
      <c r="N21" s="2">
        <v>55.61</v>
      </c>
      <c r="O21" s="2">
        <v>55.61</v>
      </c>
      <c r="P21">
        <v>6</v>
      </c>
      <c r="Q21" s="3">
        <v>0.7</v>
      </c>
    </row>
    <row r="22" spans="1:17" x14ac:dyDescent="0.25">
      <c r="A22">
        <v>2030510930</v>
      </c>
      <c r="B22" t="s">
        <v>266</v>
      </c>
      <c r="C22" s="2">
        <v>147.25</v>
      </c>
      <c r="D22" s="2">
        <f>SUM(C22/6)</f>
        <v>24.541666666666668</v>
      </c>
      <c r="F22" t="s">
        <v>46</v>
      </c>
      <c r="G22">
        <v>17143996</v>
      </c>
      <c r="H22" t="str">
        <f>CONCATENATE(G22,"AV6")</f>
        <v>17143996AV6</v>
      </c>
      <c r="I22" t="s">
        <v>268</v>
      </c>
      <c r="J22" t="s">
        <v>49</v>
      </c>
      <c r="K22" t="s">
        <v>334</v>
      </c>
      <c r="L22" s="1">
        <v>45887</v>
      </c>
      <c r="M22" t="s">
        <v>52</v>
      </c>
      <c r="N22" s="2">
        <v>35.06</v>
      </c>
      <c r="O22" s="2">
        <v>35.06</v>
      </c>
      <c r="P22">
        <v>6</v>
      </c>
      <c r="Q22" s="3">
        <v>0.7</v>
      </c>
    </row>
    <row r="23" spans="1:17" x14ac:dyDescent="0.25">
      <c r="A23">
        <v>2030512186</v>
      </c>
      <c r="B23" t="s">
        <v>270</v>
      </c>
      <c r="C23" s="2">
        <v>121.38</v>
      </c>
      <c r="D23" s="2">
        <f>SUM(C23/6)</f>
        <v>20.23</v>
      </c>
      <c r="F23" t="s">
        <v>46</v>
      </c>
      <c r="G23">
        <v>17143996</v>
      </c>
      <c r="H23" t="str">
        <f>CONCATENATE(G23,"AV6")</f>
        <v>17143996AV6</v>
      </c>
      <c r="I23" t="s">
        <v>268</v>
      </c>
      <c r="J23" t="s">
        <v>49</v>
      </c>
      <c r="K23" t="s">
        <v>334</v>
      </c>
      <c r="L23" s="1">
        <v>45887</v>
      </c>
      <c r="M23" t="s">
        <v>52</v>
      </c>
      <c r="N23" s="2">
        <v>28.9</v>
      </c>
      <c r="O23" s="2">
        <v>28.9</v>
      </c>
      <c r="P23">
        <v>6</v>
      </c>
      <c r="Q23" s="3">
        <v>0.7</v>
      </c>
    </row>
    <row r="24" spans="1:17" x14ac:dyDescent="0.25">
      <c r="A24">
        <v>2030512187</v>
      </c>
      <c r="B24" t="s">
        <v>270</v>
      </c>
      <c r="C24" s="2">
        <v>82.25</v>
      </c>
      <c r="D24" s="2">
        <f>SUM(C24/6)</f>
        <v>13.708333333333334</v>
      </c>
      <c r="F24" t="s">
        <v>46</v>
      </c>
      <c r="G24">
        <v>17143996</v>
      </c>
      <c r="H24" t="str">
        <f>CONCATENATE(G24,"AV6")</f>
        <v>17143996AV6</v>
      </c>
      <c r="I24" t="s">
        <v>268</v>
      </c>
      <c r="J24" t="s">
        <v>49</v>
      </c>
      <c r="K24" t="s">
        <v>73</v>
      </c>
      <c r="L24" s="1">
        <v>45887</v>
      </c>
      <c r="M24" t="s">
        <v>52</v>
      </c>
      <c r="N24" s="2">
        <v>32.64</v>
      </c>
      <c r="O24" s="2">
        <v>32.64</v>
      </c>
      <c r="P24">
        <v>6</v>
      </c>
      <c r="Q24" s="3">
        <v>0.42</v>
      </c>
    </row>
    <row r="25" spans="1:17" x14ac:dyDescent="0.25">
      <c r="A25">
        <v>2030431357</v>
      </c>
      <c r="B25" t="s">
        <v>109</v>
      </c>
      <c r="C25" s="2">
        <v>40.74</v>
      </c>
      <c r="D25" s="2">
        <f>SUM(C25/6)</f>
        <v>6.79</v>
      </c>
      <c r="F25" t="s">
        <v>110</v>
      </c>
      <c r="G25">
        <v>6634327</v>
      </c>
      <c r="H25" t="str">
        <f>CONCATENATE(G25,"AV6")</f>
        <v>6634327AV6</v>
      </c>
      <c r="I25" t="s">
        <v>112</v>
      </c>
      <c r="J25" t="s">
        <v>49</v>
      </c>
      <c r="K25" t="s">
        <v>334</v>
      </c>
      <c r="L25" s="1">
        <v>45881</v>
      </c>
      <c r="M25" t="s">
        <v>52</v>
      </c>
      <c r="N25" s="2">
        <v>9.6999999999999993</v>
      </c>
      <c r="O25" s="2">
        <v>9.6999999999999993</v>
      </c>
      <c r="P25">
        <v>6</v>
      </c>
      <c r="Q25" s="3">
        <v>0.7</v>
      </c>
    </row>
    <row r="26" spans="1:17" x14ac:dyDescent="0.25">
      <c r="A26">
        <v>2030431358</v>
      </c>
      <c r="B26" t="s">
        <v>109</v>
      </c>
      <c r="C26" s="2">
        <v>136.53</v>
      </c>
      <c r="D26" s="2">
        <f>SUM(C26/6)</f>
        <v>22.754999999999999</v>
      </c>
      <c r="F26" t="s">
        <v>110</v>
      </c>
      <c r="G26">
        <v>6634327</v>
      </c>
      <c r="H26" t="str">
        <f>CONCATENATE(G26,"AV6")</f>
        <v>6634327AV6</v>
      </c>
      <c r="I26" t="s">
        <v>112</v>
      </c>
      <c r="J26" t="s">
        <v>49</v>
      </c>
      <c r="K26" t="s">
        <v>335</v>
      </c>
      <c r="L26" s="1">
        <v>45881</v>
      </c>
      <c r="M26" t="s">
        <v>52</v>
      </c>
      <c r="N26" s="2">
        <v>30.34</v>
      </c>
      <c r="O26" s="2">
        <v>30.34</v>
      </c>
      <c r="P26">
        <v>6</v>
      </c>
      <c r="Q26" s="3">
        <v>0.75</v>
      </c>
    </row>
    <row r="27" spans="1:17" x14ac:dyDescent="0.25">
      <c r="A27">
        <v>2030447105</v>
      </c>
      <c r="B27" t="s">
        <v>125</v>
      </c>
      <c r="C27" s="2">
        <v>153.27000000000001</v>
      </c>
      <c r="D27" s="2">
        <f>SUM(C27/6)</f>
        <v>25.545000000000002</v>
      </c>
      <c r="F27" t="s">
        <v>110</v>
      </c>
      <c r="G27">
        <v>6634327</v>
      </c>
      <c r="H27" t="str">
        <f>CONCATENATE(G27,"AV6")</f>
        <v>6634327AV6</v>
      </c>
      <c r="I27" t="s">
        <v>112</v>
      </c>
      <c r="J27" t="s">
        <v>49</v>
      </c>
      <c r="K27" t="s">
        <v>126</v>
      </c>
      <c r="L27" s="1">
        <v>45882</v>
      </c>
      <c r="M27" t="s">
        <v>52</v>
      </c>
      <c r="N27" s="2">
        <v>54.35</v>
      </c>
      <c r="O27" s="2">
        <v>54.35</v>
      </c>
      <c r="P27">
        <v>6</v>
      </c>
      <c r="Q27" s="3">
        <v>0.47</v>
      </c>
    </row>
    <row r="28" spans="1:17" x14ac:dyDescent="0.25">
      <c r="A28">
        <v>2030452962</v>
      </c>
      <c r="B28" t="s">
        <v>142</v>
      </c>
      <c r="C28" s="2">
        <v>122.64</v>
      </c>
      <c r="D28" s="2">
        <f>SUM(C28/6)</f>
        <v>20.440000000000001</v>
      </c>
      <c r="F28" t="s">
        <v>110</v>
      </c>
      <c r="G28">
        <v>6634327</v>
      </c>
      <c r="H28" t="str">
        <f>CONCATENATE(G28,"AV6")</f>
        <v>6634327AV6</v>
      </c>
      <c r="I28" t="s">
        <v>112</v>
      </c>
      <c r="J28" t="s">
        <v>49</v>
      </c>
      <c r="K28" t="s">
        <v>334</v>
      </c>
      <c r="L28" s="1">
        <v>45882</v>
      </c>
      <c r="M28" t="s">
        <v>52</v>
      </c>
      <c r="N28" s="2">
        <v>29.2</v>
      </c>
      <c r="O28" s="2">
        <v>29.2</v>
      </c>
      <c r="P28">
        <v>6</v>
      </c>
      <c r="Q28" s="3">
        <v>0.7</v>
      </c>
    </row>
    <row r="29" spans="1:17" x14ac:dyDescent="0.25">
      <c r="A29">
        <v>2030452963</v>
      </c>
      <c r="B29" t="s">
        <v>142</v>
      </c>
      <c r="C29" s="2">
        <v>461.99</v>
      </c>
      <c r="D29" s="2">
        <f>SUM(C29/6)</f>
        <v>76.998333333333335</v>
      </c>
      <c r="F29" t="s">
        <v>110</v>
      </c>
      <c r="G29">
        <v>6634327</v>
      </c>
      <c r="H29" t="str">
        <f>CONCATENATE(G29,"AV6")</f>
        <v>6634327AV6</v>
      </c>
      <c r="I29" t="s">
        <v>112</v>
      </c>
      <c r="J29" t="s">
        <v>49</v>
      </c>
      <c r="K29" t="s">
        <v>67</v>
      </c>
      <c r="L29" s="1">
        <v>45882</v>
      </c>
      <c r="M29" t="s">
        <v>52</v>
      </c>
      <c r="N29" s="2">
        <v>205.33</v>
      </c>
      <c r="O29" s="2">
        <v>205.33</v>
      </c>
      <c r="P29">
        <v>6</v>
      </c>
      <c r="Q29" s="3">
        <v>0.375</v>
      </c>
    </row>
    <row r="30" spans="1:17" x14ac:dyDescent="0.25">
      <c r="A30">
        <v>2030479075</v>
      </c>
      <c r="B30" t="s">
        <v>201</v>
      </c>
      <c r="C30" s="2">
        <v>43.38</v>
      </c>
      <c r="D30" s="2">
        <f>SUM(C30/6)</f>
        <v>7.23</v>
      </c>
      <c r="F30" t="s">
        <v>129</v>
      </c>
      <c r="G30">
        <v>21421111</v>
      </c>
      <c r="H30" t="str">
        <f>CONCATENATE(G30,"AV6")</f>
        <v>21421111AV6</v>
      </c>
      <c r="I30" t="s">
        <v>203</v>
      </c>
      <c r="J30" t="s">
        <v>49</v>
      </c>
      <c r="K30" t="s">
        <v>67</v>
      </c>
      <c r="L30" s="1">
        <v>45886</v>
      </c>
      <c r="M30" t="s">
        <v>52</v>
      </c>
      <c r="N30" s="2">
        <v>19.28</v>
      </c>
      <c r="O30" s="2">
        <v>19.28</v>
      </c>
      <c r="P30">
        <v>6</v>
      </c>
      <c r="Q30" s="3">
        <v>0.375</v>
      </c>
    </row>
    <row r="31" spans="1:17" x14ac:dyDescent="0.25">
      <c r="A31">
        <v>2029956855</v>
      </c>
      <c r="B31" t="s">
        <v>45</v>
      </c>
      <c r="C31" s="2">
        <v>48.3</v>
      </c>
      <c r="D31" s="2">
        <f>SUM(C31/6)</f>
        <v>8.0499999999999989</v>
      </c>
      <c r="F31" t="s">
        <v>46</v>
      </c>
      <c r="G31">
        <v>21436172</v>
      </c>
      <c r="H31" t="str">
        <f>CONCATENATE(G31,"AV6")</f>
        <v>21436172AV6</v>
      </c>
      <c r="I31" t="s">
        <v>48</v>
      </c>
      <c r="J31" t="s">
        <v>49</v>
      </c>
      <c r="K31" t="s">
        <v>334</v>
      </c>
      <c r="L31" s="1">
        <v>45883</v>
      </c>
      <c r="M31" t="s">
        <v>52</v>
      </c>
      <c r="N31" s="2">
        <v>11.5</v>
      </c>
      <c r="O31" s="2">
        <v>11.5</v>
      </c>
      <c r="P31">
        <v>6</v>
      </c>
      <c r="Q31" s="3">
        <v>0.7</v>
      </c>
    </row>
    <row r="32" spans="1:17" x14ac:dyDescent="0.25">
      <c r="A32">
        <v>2030503342</v>
      </c>
      <c r="B32" t="s">
        <v>263</v>
      </c>
      <c r="C32" s="2">
        <v>237.3</v>
      </c>
      <c r="D32" s="2">
        <f>SUM(C32/6)</f>
        <v>39.550000000000004</v>
      </c>
      <c r="F32" t="s">
        <v>46</v>
      </c>
      <c r="G32">
        <v>21436172</v>
      </c>
      <c r="H32" t="str">
        <f>CONCATENATE(G32,"AV6")</f>
        <v>21436172AV6</v>
      </c>
      <c r="I32" t="s">
        <v>48</v>
      </c>
      <c r="J32" t="s">
        <v>49</v>
      </c>
      <c r="K32" t="s">
        <v>334</v>
      </c>
      <c r="L32" s="1">
        <v>45884</v>
      </c>
      <c r="M32" t="s">
        <v>52</v>
      </c>
      <c r="N32" s="2">
        <v>56.5</v>
      </c>
      <c r="O32" s="2">
        <v>56.5</v>
      </c>
      <c r="P32">
        <v>6</v>
      </c>
      <c r="Q32" s="3">
        <v>0.7</v>
      </c>
    </row>
    <row r="33" spans="1:17" x14ac:dyDescent="0.25">
      <c r="A33">
        <v>2030503343</v>
      </c>
      <c r="B33" t="s">
        <v>263</v>
      </c>
      <c r="C33" s="2">
        <v>226.15</v>
      </c>
      <c r="D33" s="2">
        <f>SUM(C33/6)</f>
        <v>37.69166666666667</v>
      </c>
      <c r="F33" t="s">
        <v>46</v>
      </c>
      <c r="G33">
        <v>21436172</v>
      </c>
      <c r="H33" t="str">
        <f>CONCATENATE(G33,"AV6")</f>
        <v>21436172AV6</v>
      </c>
      <c r="I33" t="s">
        <v>48</v>
      </c>
      <c r="J33" t="s">
        <v>49</v>
      </c>
      <c r="K33" t="s">
        <v>91</v>
      </c>
      <c r="L33" s="1">
        <v>45884</v>
      </c>
      <c r="M33" t="s">
        <v>52</v>
      </c>
      <c r="N33" s="2">
        <v>41.88</v>
      </c>
      <c r="O33" s="2">
        <v>41.88</v>
      </c>
      <c r="P33">
        <v>6</v>
      </c>
      <c r="Q33" s="3">
        <v>0.9</v>
      </c>
    </row>
    <row r="34" spans="1:17" x14ac:dyDescent="0.25">
      <c r="A34">
        <v>2030244511</v>
      </c>
      <c r="B34" t="s">
        <v>70</v>
      </c>
      <c r="C34" s="2">
        <v>107.1</v>
      </c>
      <c r="D34" s="2">
        <f>SUM(C34/6)</f>
        <v>17.849999999999998</v>
      </c>
      <c r="F34" t="s">
        <v>46</v>
      </c>
      <c r="G34">
        <v>8405446</v>
      </c>
      <c r="H34" t="str">
        <f>CONCATENATE(G34,"AV6")</f>
        <v>8405446AV6</v>
      </c>
      <c r="I34" t="s">
        <v>72</v>
      </c>
      <c r="J34" t="s">
        <v>49</v>
      </c>
      <c r="K34" t="s">
        <v>73</v>
      </c>
      <c r="L34" s="1">
        <v>45884</v>
      </c>
      <c r="M34" t="s">
        <v>52</v>
      </c>
      <c r="N34" s="2">
        <v>42.5</v>
      </c>
      <c r="O34" s="2">
        <v>42.5</v>
      </c>
      <c r="P34">
        <v>6</v>
      </c>
      <c r="Q34" s="3">
        <v>0.42</v>
      </c>
    </row>
    <row r="35" spans="1:17" x14ac:dyDescent="0.25">
      <c r="A35">
        <v>2030337261</v>
      </c>
      <c r="B35" t="s">
        <v>86</v>
      </c>
      <c r="C35" s="2">
        <v>89.21</v>
      </c>
      <c r="D35" s="2">
        <f>SUM(C35/6)</f>
        <v>14.868333333333332</v>
      </c>
      <c r="F35" t="s">
        <v>46</v>
      </c>
      <c r="G35">
        <v>8405446</v>
      </c>
      <c r="H35" t="str">
        <f>CONCATENATE(G35,"AV6")</f>
        <v>8405446AV6</v>
      </c>
      <c r="I35" t="s">
        <v>72</v>
      </c>
      <c r="J35" t="s">
        <v>49</v>
      </c>
      <c r="K35" t="s">
        <v>73</v>
      </c>
      <c r="L35" s="1">
        <v>45884</v>
      </c>
      <c r="M35" t="s">
        <v>52</v>
      </c>
      <c r="N35" s="2">
        <v>35.4</v>
      </c>
      <c r="O35" s="2">
        <v>35.4</v>
      </c>
      <c r="P35">
        <v>6</v>
      </c>
      <c r="Q35" s="3">
        <v>0.42</v>
      </c>
    </row>
    <row r="36" spans="1:17" x14ac:dyDescent="0.25">
      <c r="A36">
        <v>2030479921</v>
      </c>
      <c r="B36" t="s">
        <v>205</v>
      </c>
      <c r="C36" s="2">
        <v>810.31</v>
      </c>
      <c r="D36" s="2">
        <f>SUM(C36/6)</f>
        <v>135.05166666666665</v>
      </c>
      <c r="F36" t="s">
        <v>206</v>
      </c>
      <c r="G36">
        <v>19200754</v>
      </c>
      <c r="H36" t="str">
        <f>CONCATENATE(G36,"AV6")</f>
        <v>19200754AV6</v>
      </c>
      <c r="I36" t="s">
        <v>208</v>
      </c>
      <c r="J36" t="s">
        <v>49</v>
      </c>
      <c r="K36" t="s">
        <v>332</v>
      </c>
      <c r="L36" s="1">
        <v>45883</v>
      </c>
      <c r="M36" t="s">
        <v>52</v>
      </c>
      <c r="N36" s="2">
        <v>355.4</v>
      </c>
      <c r="O36" s="2">
        <v>355.4</v>
      </c>
      <c r="P36">
        <v>6</v>
      </c>
      <c r="Q36" s="3">
        <v>0.38</v>
      </c>
    </row>
    <row r="37" spans="1:17" x14ac:dyDescent="0.25">
      <c r="A37">
        <v>2030479922</v>
      </c>
      <c r="B37" t="s">
        <v>205</v>
      </c>
      <c r="C37" s="2">
        <v>16.170000000000002</v>
      </c>
      <c r="D37" s="2">
        <f>SUM(C37/6)</f>
        <v>2.6950000000000003</v>
      </c>
      <c r="E37" s="2"/>
      <c r="F37" t="s">
        <v>206</v>
      </c>
      <c r="G37">
        <v>19200754</v>
      </c>
      <c r="H37" t="str">
        <f>CONCATENATE(G37,"AV6")</f>
        <v>19200754AV6</v>
      </c>
      <c r="I37" t="s">
        <v>208</v>
      </c>
      <c r="J37" t="s">
        <v>49</v>
      </c>
      <c r="K37" t="s">
        <v>332</v>
      </c>
      <c r="L37" s="1">
        <v>45883</v>
      </c>
      <c r="M37" t="s">
        <v>52</v>
      </c>
      <c r="N37" s="2">
        <v>7.09</v>
      </c>
      <c r="O37" s="2">
        <v>7.09</v>
      </c>
      <c r="P37">
        <v>6</v>
      </c>
      <c r="Q37" s="3">
        <v>0.38</v>
      </c>
    </row>
    <row r="38" spans="1:17" x14ac:dyDescent="0.25">
      <c r="A38">
        <v>2030329697</v>
      </c>
      <c r="B38" t="s">
        <v>75</v>
      </c>
      <c r="C38" s="2">
        <v>732.9</v>
      </c>
      <c r="D38" s="2">
        <f>SUM(C38/6)</f>
        <v>122.14999999999999</v>
      </c>
      <c r="F38" t="s">
        <v>76</v>
      </c>
      <c r="G38">
        <v>371819</v>
      </c>
      <c r="H38" t="str">
        <f>CONCATENATE(G38,"AV6")</f>
        <v>371819AV6</v>
      </c>
      <c r="I38" t="s">
        <v>78</v>
      </c>
      <c r="J38" t="s">
        <v>49</v>
      </c>
      <c r="K38" t="s">
        <v>334</v>
      </c>
      <c r="L38" s="1">
        <v>45882</v>
      </c>
      <c r="M38" t="s">
        <v>52</v>
      </c>
      <c r="N38" s="2">
        <v>174.5</v>
      </c>
      <c r="O38" s="2">
        <v>174.5</v>
      </c>
      <c r="P38">
        <v>6</v>
      </c>
      <c r="Q38" s="3">
        <v>0.7</v>
      </c>
    </row>
    <row r="39" spans="1:17" x14ac:dyDescent="0.25">
      <c r="A39">
        <v>2030359370</v>
      </c>
      <c r="B39" t="s">
        <v>88</v>
      </c>
      <c r="C39" s="2">
        <v>39.64</v>
      </c>
      <c r="D39" s="2">
        <f>SUM(C39/6)</f>
        <v>6.6066666666666665</v>
      </c>
      <c r="F39" t="s">
        <v>89</v>
      </c>
      <c r="G39">
        <v>371819</v>
      </c>
      <c r="H39" t="str">
        <f>CONCATENATE(G39,"AV6")</f>
        <v>371819AV6</v>
      </c>
      <c r="I39" t="s">
        <v>78</v>
      </c>
      <c r="J39" t="s">
        <v>49</v>
      </c>
      <c r="K39" t="s">
        <v>73</v>
      </c>
      <c r="L39" s="1">
        <v>45879</v>
      </c>
      <c r="M39" t="s">
        <v>52</v>
      </c>
      <c r="N39" s="2">
        <v>15.73</v>
      </c>
      <c r="O39" s="2">
        <v>15.73</v>
      </c>
      <c r="P39">
        <v>6</v>
      </c>
      <c r="Q39" s="3">
        <v>0.42</v>
      </c>
    </row>
    <row r="40" spans="1:17" x14ac:dyDescent="0.25">
      <c r="A40">
        <v>2030359371</v>
      </c>
      <c r="B40" t="s">
        <v>88</v>
      </c>
      <c r="C40" s="2">
        <v>202.07</v>
      </c>
      <c r="D40" s="2">
        <f>SUM(C40/6)</f>
        <v>33.678333333333335</v>
      </c>
      <c r="F40" t="s">
        <v>89</v>
      </c>
      <c r="G40">
        <v>371819</v>
      </c>
      <c r="H40" t="str">
        <f>CONCATENATE(G40,"AV6")</f>
        <v>371819AV6</v>
      </c>
      <c r="I40" t="s">
        <v>78</v>
      </c>
      <c r="J40" t="s">
        <v>49</v>
      </c>
      <c r="K40" t="s">
        <v>91</v>
      </c>
      <c r="L40" s="1">
        <v>45879</v>
      </c>
      <c r="M40" t="s">
        <v>52</v>
      </c>
      <c r="N40" s="2">
        <v>37.42</v>
      </c>
      <c r="O40" s="2">
        <v>37.42</v>
      </c>
      <c r="P40">
        <v>6</v>
      </c>
      <c r="Q40" s="3">
        <v>0.9</v>
      </c>
    </row>
    <row r="41" spans="1:17" x14ac:dyDescent="0.25">
      <c r="A41">
        <v>2030380188</v>
      </c>
      <c r="B41" t="s">
        <v>93</v>
      </c>
      <c r="C41" s="2">
        <v>193.59</v>
      </c>
      <c r="D41" s="2">
        <f>SUM(C41/6)</f>
        <v>32.265000000000001</v>
      </c>
      <c r="F41" t="s">
        <v>94</v>
      </c>
      <c r="G41">
        <v>371819</v>
      </c>
      <c r="H41" t="str">
        <f>CONCATENATE(G41,"AV6")</f>
        <v>371819AV6</v>
      </c>
      <c r="I41" t="s">
        <v>78</v>
      </c>
      <c r="J41" t="s">
        <v>49</v>
      </c>
      <c r="K41" t="s">
        <v>336</v>
      </c>
      <c r="L41" s="1">
        <v>45884</v>
      </c>
      <c r="M41" t="s">
        <v>52</v>
      </c>
      <c r="N41" s="2">
        <v>35.85</v>
      </c>
      <c r="O41" s="2">
        <v>35.85</v>
      </c>
      <c r="P41">
        <v>6</v>
      </c>
      <c r="Q41" s="3">
        <v>0.9</v>
      </c>
    </row>
    <row r="42" spans="1:17" x14ac:dyDescent="0.25">
      <c r="A42">
        <v>2030428454</v>
      </c>
      <c r="B42" t="s">
        <v>99</v>
      </c>
      <c r="C42" s="2">
        <v>72.77</v>
      </c>
      <c r="D42" s="2">
        <f>SUM(C42/6)</f>
        <v>12.128333333333332</v>
      </c>
      <c r="F42" t="s">
        <v>76</v>
      </c>
      <c r="G42">
        <v>371819</v>
      </c>
      <c r="H42" t="str">
        <f>CONCATENATE(G42,"AV6")</f>
        <v>371819AV6</v>
      </c>
      <c r="I42" t="s">
        <v>78</v>
      </c>
      <c r="J42" t="s">
        <v>49</v>
      </c>
      <c r="K42" t="s">
        <v>67</v>
      </c>
      <c r="L42" s="1">
        <v>45881</v>
      </c>
      <c r="M42" t="s">
        <v>52</v>
      </c>
      <c r="N42" s="2">
        <v>32.340000000000003</v>
      </c>
      <c r="O42" s="2">
        <v>32.340000000000003</v>
      </c>
      <c r="P42">
        <v>6</v>
      </c>
      <c r="Q42" s="3">
        <v>0.375</v>
      </c>
    </row>
    <row r="43" spans="1:17" x14ac:dyDescent="0.25">
      <c r="A43">
        <v>2030474901</v>
      </c>
      <c r="B43" t="s">
        <v>194</v>
      </c>
      <c r="C43" s="2">
        <v>565.42999999999995</v>
      </c>
      <c r="D43" s="2">
        <f>SUM(C43/6)</f>
        <v>94.23833333333333</v>
      </c>
      <c r="F43" t="s">
        <v>195</v>
      </c>
      <c r="G43">
        <v>371819</v>
      </c>
      <c r="H43" t="str">
        <f>CONCATENATE(G43,"AV6")</f>
        <v>371819AV6</v>
      </c>
      <c r="I43" t="s">
        <v>78</v>
      </c>
      <c r="J43" t="s">
        <v>49</v>
      </c>
      <c r="K43" t="s">
        <v>336</v>
      </c>
      <c r="L43" s="1">
        <v>45883</v>
      </c>
      <c r="M43" t="s">
        <v>52</v>
      </c>
      <c r="N43" s="2">
        <v>104.71</v>
      </c>
      <c r="O43" s="2">
        <v>104.71</v>
      </c>
      <c r="P43">
        <v>6</v>
      </c>
      <c r="Q43" s="3">
        <v>0.9</v>
      </c>
    </row>
    <row r="44" spans="1:17" x14ac:dyDescent="0.25">
      <c r="C44" s="2"/>
      <c r="D44" s="2"/>
      <c r="L44" s="1"/>
      <c r="N44" s="2"/>
      <c r="O44" s="2"/>
      <c r="Q44" s="3"/>
    </row>
    <row r="45" spans="1:17" s="5" customFormat="1" x14ac:dyDescent="0.25">
      <c r="A45" s="5">
        <v>2029364356</v>
      </c>
      <c r="B45" s="5" t="s">
        <v>289</v>
      </c>
      <c r="C45" s="7">
        <v>-227.22</v>
      </c>
      <c r="D45" s="8">
        <v>340.83</v>
      </c>
      <c r="E45" s="8">
        <v>113.61</v>
      </c>
      <c r="F45" s="5" t="s">
        <v>46</v>
      </c>
      <c r="G45" s="5">
        <v>17094718</v>
      </c>
      <c r="I45" s="5" t="s">
        <v>291</v>
      </c>
      <c r="J45" s="5" t="s">
        <v>282</v>
      </c>
      <c r="K45" s="5" t="s">
        <v>50</v>
      </c>
      <c r="L45" s="6">
        <v>45818</v>
      </c>
      <c r="M45" s="5" t="s">
        <v>249</v>
      </c>
    </row>
    <row r="46" spans="1:17" s="5" customFormat="1" x14ac:dyDescent="0.25">
      <c r="A46" s="5">
        <v>2029268504</v>
      </c>
      <c r="B46" s="5" t="s">
        <v>281</v>
      </c>
      <c r="C46" s="7">
        <v>-226.87</v>
      </c>
      <c r="D46" s="8">
        <v>340.31</v>
      </c>
      <c r="E46" s="8">
        <v>113.44</v>
      </c>
      <c r="F46" s="5" t="s">
        <v>129</v>
      </c>
      <c r="G46" s="5">
        <v>371819</v>
      </c>
      <c r="I46" s="5" t="s">
        <v>78</v>
      </c>
      <c r="J46" s="5" t="s">
        <v>282</v>
      </c>
      <c r="K46" s="5" t="s">
        <v>162</v>
      </c>
      <c r="L46" s="6">
        <v>45839</v>
      </c>
      <c r="M46" s="5" t="s">
        <v>249</v>
      </c>
    </row>
    <row r="47" spans="1:17" s="5" customFormat="1" x14ac:dyDescent="0.25">
      <c r="A47" s="5">
        <v>2029268503</v>
      </c>
      <c r="B47" s="5" t="s">
        <v>281</v>
      </c>
      <c r="C47" s="7">
        <v>-166.79</v>
      </c>
      <c r="D47" s="8">
        <v>250.19</v>
      </c>
      <c r="E47" s="8">
        <v>83.4</v>
      </c>
      <c r="F47" s="5" t="s">
        <v>129</v>
      </c>
      <c r="G47" s="5">
        <v>371819</v>
      </c>
      <c r="I47" s="5" t="s">
        <v>78</v>
      </c>
      <c r="J47" s="5" t="s">
        <v>282</v>
      </c>
      <c r="K47" s="5" t="s">
        <v>50</v>
      </c>
      <c r="L47" s="6">
        <v>45839</v>
      </c>
      <c r="M47" s="5" t="s">
        <v>249</v>
      </c>
    </row>
    <row r="48" spans="1:17" s="5" customFormat="1" x14ac:dyDescent="0.25">
      <c r="A48" s="5">
        <v>2029364357</v>
      </c>
      <c r="B48" s="5" t="s">
        <v>289</v>
      </c>
      <c r="C48" s="7">
        <v>-100.79</v>
      </c>
      <c r="D48" s="8">
        <v>151.18</v>
      </c>
      <c r="E48" s="8">
        <v>50.39</v>
      </c>
      <c r="F48" s="5" t="s">
        <v>46</v>
      </c>
      <c r="G48" s="5">
        <v>17094718</v>
      </c>
      <c r="I48" s="5" t="s">
        <v>291</v>
      </c>
      <c r="J48" s="5" t="s">
        <v>282</v>
      </c>
      <c r="K48" s="5" t="s">
        <v>67</v>
      </c>
      <c r="L48" s="6">
        <v>45818</v>
      </c>
      <c r="M48" s="5" t="s">
        <v>249</v>
      </c>
    </row>
    <row r="49" spans="1:13" s="5" customFormat="1" x14ac:dyDescent="0.25">
      <c r="A49" s="5">
        <v>2029275100</v>
      </c>
      <c r="B49" s="5" t="s">
        <v>286</v>
      </c>
      <c r="C49" s="7">
        <v>-78.61</v>
      </c>
      <c r="D49" s="8">
        <v>157.21</v>
      </c>
      <c r="E49" s="8">
        <v>78.599999999999994</v>
      </c>
      <c r="F49" s="5" t="s">
        <v>76</v>
      </c>
      <c r="G49" s="5">
        <v>21421111</v>
      </c>
      <c r="I49" s="5" t="s">
        <v>203</v>
      </c>
      <c r="J49" s="5" t="s">
        <v>282</v>
      </c>
      <c r="K49" s="5" t="s">
        <v>50</v>
      </c>
      <c r="L49" s="6">
        <v>45812</v>
      </c>
      <c r="M49" s="5" t="s">
        <v>249</v>
      </c>
    </row>
    <row r="50" spans="1:13" s="5" customFormat="1" x14ac:dyDescent="0.25">
      <c r="A50" s="5">
        <v>2029566675</v>
      </c>
      <c r="B50" s="5" t="s">
        <v>302</v>
      </c>
      <c r="C50" s="5">
        <v>-64.290000000000006</v>
      </c>
      <c r="D50" s="8">
        <v>77.150000000000006</v>
      </c>
      <c r="E50" s="8">
        <v>12.86</v>
      </c>
      <c r="F50" s="5" t="s">
        <v>120</v>
      </c>
      <c r="G50" s="5">
        <v>19681796</v>
      </c>
      <c r="I50" s="5" t="s">
        <v>83</v>
      </c>
      <c r="J50" s="5" t="s">
        <v>282</v>
      </c>
      <c r="K50" s="5" t="s">
        <v>50</v>
      </c>
      <c r="L50" s="6">
        <v>45829</v>
      </c>
      <c r="M50" s="5" t="s">
        <v>249</v>
      </c>
    </row>
    <row r="51" spans="1:13" s="5" customFormat="1" x14ac:dyDescent="0.25">
      <c r="A51" s="5">
        <v>2029268505</v>
      </c>
      <c r="B51" s="5" t="s">
        <v>281</v>
      </c>
      <c r="C51" s="7">
        <v>-36.82</v>
      </c>
      <c r="D51" s="8">
        <v>55.22</v>
      </c>
      <c r="E51" s="8">
        <v>18.399999999999999</v>
      </c>
      <c r="F51" s="5" t="s">
        <v>129</v>
      </c>
      <c r="G51" s="5">
        <v>371819</v>
      </c>
      <c r="I51" s="5" t="s">
        <v>78</v>
      </c>
      <c r="J51" s="5" t="s">
        <v>282</v>
      </c>
      <c r="K51" s="5" t="s">
        <v>67</v>
      </c>
      <c r="L51" s="6">
        <v>45839</v>
      </c>
      <c r="M51" s="5" t="s">
        <v>249</v>
      </c>
    </row>
    <row r="52" spans="1:13" s="5" customFormat="1" x14ac:dyDescent="0.25">
      <c r="A52" s="5">
        <v>2029566674</v>
      </c>
      <c r="B52" s="5" t="s">
        <v>302</v>
      </c>
      <c r="C52" s="5">
        <v>-34.950000000000003</v>
      </c>
      <c r="D52" s="8">
        <v>41.94</v>
      </c>
      <c r="E52" s="8">
        <v>6.99</v>
      </c>
      <c r="F52" s="5" t="s">
        <v>120</v>
      </c>
      <c r="G52" s="5">
        <v>19681796</v>
      </c>
      <c r="I52" s="5" t="s">
        <v>83</v>
      </c>
      <c r="J52" s="5" t="s">
        <v>282</v>
      </c>
      <c r="K52" s="5" t="s">
        <v>67</v>
      </c>
      <c r="L52" s="6">
        <v>45829</v>
      </c>
      <c r="M52" s="5" t="s">
        <v>249</v>
      </c>
    </row>
    <row r="53" spans="1:13" s="5" customFormat="1" x14ac:dyDescent="0.25">
      <c r="A53" s="5">
        <v>2029275099</v>
      </c>
      <c r="B53" s="5" t="s">
        <v>286</v>
      </c>
      <c r="C53" s="7">
        <v>-30.51</v>
      </c>
      <c r="D53" s="8">
        <v>61.02</v>
      </c>
      <c r="E53" s="8">
        <v>30.51</v>
      </c>
      <c r="F53" s="5" t="s">
        <v>76</v>
      </c>
      <c r="G53" s="5">
        <v>21421111</v>
      </c>
      <c r="I53" s="5" t="s">
        <v>203</v>
      </c>
      <c r="J53" s="5" t="s">
        <v>282</v>
      </c>
      <c r="K53" s="5" t="s">
        <v>67</v>
      </c>
      <c r="L53" s="6">
        <v>45812</v>
      </c>
      <c r="M53" s="5" t="s">
        <v>249</v>
      </c>
    </row>
    <row r="54" spans="1:13" s="5" customFormat="1" x14ac:dyDescent="0.25">
      <c r="A54" s="5">
        <v>2029364358</v>
      </c>
      <c r="B54" s="5" t="s">
        <v>289</v>
      </c>
      <c r="C54" s="7">
        <v>-22.8</v>
      </c>
      <c r="D54" s="8">
        <v>34.200000000000003</v>
      </c>
      <c r="E54" s="8">
        <v>11.4</v>
      </c>
      <c r="F54" s="5" t="s">
        <v>46</v>
      </c>
      <c r="G54" s="5">
        <v>17094718</v>
      </c>
      <c r="I54" s="5" t="s">
        <v>291</v>
      </c>
      <c r="J54" s="5" t="s">
        <v>282</v>
      </c>
      <c r="K54" s="5" t="s">
        <v>295</v>
      </c>
      <c r="L54" s="6">
        <v>45818</v>
      </c>
      <c r="M54" s="5" t="s">
        <v>249</v>
      </c>
    </row>
    <row r="55" spans="1:13" s="5" customFormat="1" x14ac:dyDescent="0.25">
      <c r="A55" s="5">
        <v>2029364355</v>
      </c>
      <c r="B55" s="5" t="s">
        <v>289</v>
      </c>
      <c r="C55" s="7">
        <v>-13.95</v>
      </c>
      <c r="D55" s="8">
        <v>20.93</v>
      </c>
      <c r="E55" s="8">
        <v>6.98</v>
      </c>
      <c r="F55" s="5" t="s">
        <v>46</v>
      </c>
      <c r="G55" s="5">
        <v>17094718</v>
      </c>
      <c r="I55" s="5" t="s">
        <v>291</v>
      </c>
      <c r="J55" s="5" t="s">
        <v>282</v>
      </c>
      <c r="K55" s="5" t="s">
        <v>158</v>
      </c>
      <c r="L55" s="6">
        <v>45818</v>
      </c>
      <c r="M55" s="5" t="s">
        <v>249</v>
      </c>
    </row>
  </sheetData>
  <sortState xmlns:xlrd2="http://schemas.microsoft.com/office/spreadsheetml/2017/richdata2" ref="A2:Q43">
    <sortCondition ref="I2:I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4A35-17A8-453A-B7DE-486C23CF9506}">
  <dimension ref="A1:B107"/>
  <sheetViews>
    <sheetView topLeftCell="A74" workbookViewId="0">
      <selection activeCell="B1" sqref="B1:B107"/>
    </sheetView>
  </sheetViews>
  <sheetFormatPr defaultRowHeight="15" x14ac:dyDescent="0.25"/>
  <cols>
    <col min="1" max="1" width="26.42578125" bestFit="1" customWidth="1"/>
    <col min="2" max="2" width="15" customWidth="1"/>
  </cols>
  <sheetData>
    <row r="1" spans="1:2" x14ac:dyDescent="0.25">
      <c r="A1" t="s">
        <v>304</v>
      </c>
      <c r="B1" t="e" cm="1">
        <f t="array" ref="B1:B107">VLOOKUP(A1:A107,'[1]advance 1'!$A$1:$B$63,2,FALSE)</f>
        <v>#N/A</v>
      </c>
    </row>
    <row r="2" spans="1:2" x14ac:dyDescent="0.25">
      <c r="A2" t="s">
        <v>304</v>
      </c>
      <c r="B2" t="e">
        <v>#N/A</v>
      </c>
    </row>
    <row r="3" spans="1:2" x14ac:dyDescent="0.25">
      <c r="A3" t="s">
        <v>305</v>
      </c>
      <c r="B3" t="e">
        <v>#N/A</v>
      </c>
    </row>
    <row r="4" spans="1:2" x14ac:dyDescent="0.25">
      <c r="A4" t="s">
        <v>306</v>
      </c>
      <c r="B4">
        <v>16912722</v>
      </c>
    </row>
    <row r="5" spans="1:2" x14ac:dyDescent="0.25">
      <c r="A5" t="s">
        <v>306</v>
      </c>
      <c r="B5">
        <v>16912722</v>
      </c>
    </row>
    <row r="6" spans="1:2" x14ac:dyDescent="0.25">
      <c r="A6" t="s">
        <v>306</v>
      </c>
      <c r="B6">
        <v>16912722</v>
      </c>
    </row>
    <row r="7" spans="1:2" x14ac:dyDescent="0.25">
      <c r="A7" t="s">
        <v>306</v>
      </c>
      <c r="B7">
        <v>16912722</v>
      </c>
    </row>
    <row r="8" spans="1:2" x14ac:dyDescent="0.25">
      <c r="A8" t="s">
        <v>307</v>
      </c>
      <c r="B8">
        <v>7470776</v>
      </c>
    </row>
    <row r="9" spans="1:2" x14ac:dyDescent="0.25">
      <c r="A9" t="s">
        <v>308</v>
      </c>
      <c r="B9" t="e">
        <v>#N/A</v>
      </c>
    </row>
    <row r="10" spans="1:2" x14ac:dyDescent="0.25">
      <c r="A10" t="s">
        <v>309</v>
      </c>
      <c r="B10">
        <v>19681796</v>
      </c>
    </row>
    <row r="11" spans="1:2" x14ac:dyDescent="0.25">
      <c r="A11" t="s">
        <v>309</v>
      </c>
      <c r="B11">
        <v>19681796</v>
      </c>
    </row>
    <row r="12" spans="1:2" x14ac:dyDescent="0.25">
      <c r="A12" t="s">
        <v>309</v>
      </c>
      <c r="B12">
        <v>19681796</v>
      </c>
    </row>
    <row r="13" spans="1:2" x14ac:dyDescent="0.25">
      <c r="A13" t="s">
        <v>309</v>
      </c>
      <c r="B13">
        <v>19681796</v>
      </c>
    </row>
    <row r="14" spans="1:2" x14ac:dyDescent="0.25">
      <c r="A14" t="s">
        <v>309</v>
      </c>
      <c r="B14">
        <v>19681796</v>
      </c>
    </row>
    <row r="15" spans="1:2" x14ac:dyDescent="0.25">
      <c r="A15" t="s">
        <v>309</v>
      </c>
      <c r="B15">
        <v>19681796</v>
      </c>
    </row>
    <row r="16" spans="1:2" x14ac:dyDescent="0.25">
      <c r="A16" t="s">
        <v>310</v>
      </c>
      <c r="B16" t="e">
        <v>#N/A</v>
      </c>
    </row>
    <row r="17" spans="1:2" x14ac:dyDescent="0.25">
      <c r="A17" t="s">
        <v>311</v>
      </c>
      <c r="B17" t="e">
        <v>#N/A</v>
      </c>
    </row>
    <row r="18" spans="1:2" x14ac:dyDescent="0.25">
      <c r="A18" t="s">
        <v>311</v>
      </c>
      <c r="B18" t="e">
        <v>#N/A</v>
      </c>
    </row>
    <row r="19" spans="1:2" x14ac:dyDescent="0.25">
      <c r="A19" t="s">
        <v>311</v>
      </c>
      <c r="B19" t="e">
        <v>#N/A</v>
      </c>
    </row>
    <row r="20" spans="1:2" x14ac:dyDescent="0.25">
      <c r="A20" t="s">
        <v>312</v>
      </c>
      <c r="B20">
        <v>17094718</v>
      </c>
    </row>
    <row r="21" spans="1:2" x14ac:dyDescent="0.25">
      <c r="A21" t="s">
        <v>312</v>
      </c>
      <c r="B21">
        <v>17094718</v>
      </c>
    </row>
    <row r="22" spans="1:2" x14ac:dyDescent="0.25">
      <c r="A22" t="s">
        <v>312</v>
      </c>
      <c r="B22">
        <v>17094718</v>
      </c>
    </row>
    <row r="23" spans="1:2" x14ac:dyDescent="0.25">
      <c r="A23" t="s">
        <v>312</v>
      </c>
      <c r="B23">
        <v>17094718</v>
      </c>
    </row>
    <row r="24" spans="1:2" x14ac:dyDescent="0.25">
      <c r="A24" t="s">
        <v>313</v>
      </c>
      <c r="B24" t="e">
        <v>#N/A</v>
      </c>
    </row>
    <row r="25" spans="1:2" x14ac:dyDescent="0.25">
      <c r="A25" t="s">
        <v>313</v>
      </c>
      <c r="B25" t="e">
        <v>#N/A</v>
      </c>
    </row>
    <row r="26" spans="1:2" x14ac:dyDescent="0.25">
      <c r="A26" t="s">
        <v>313</v>
      </c>
      <c r="B26" t="e">
        <v>#N/A</v>
      </c>
    </row>
    <row r="27" spans="1:2" x14ac:dyDescent="0.25">
      <c r="A27" t="s">
        <v>314</v>
      </c>
      <c r="B27" t="e">
        <v>#N/A</v>
      </c>
    </row>
    <row r="28" spans="1:2" x14ac:dyDescent="0.25">
      <c r="A28" t="s">
        <v>314</v>
      </c>
      <c r="B28" t="e">
        <v>#N/A</v>
      </c>
    </row>
    <row r="29" spans="1:2" x14ac:dyDescent="0.25">
      <c r="A29" t="s">
        <v>314</v>
      </c>
      <c r="B29" t="e">
        <v>#N/A</v>
      </c>
    </row>
    <row r="30" spans="1:2" x14ac:dyDescent="0.25">
      <c r="A30" t="s">
        <v>314</v>
      </c>
      <c r="B30" t="e">
        <v>#N/A</v>
      </c>
    </row>
    <row r="31" spans="1:2" x14ac:dyDescent="0.25">
      <c r="A31" t="s">
        <v>314</v>
      </c>
      <c r="B31" t="e">
        <v>#N/A</v>
      </c>
    </row>
    <row r="32" spans="1:2" x14ac:dyDescent="0.25">
      <c r="A32" t="s">
        <v>314</v>
      </c>
      <c r="B32" t="e">
        <v>#N/A</v>
      </c>
    </row>
    <row r="33" spans="1:2" x14ac:dyDescent="0.25">
      <c r="A33" t="s">
        <v>314</v>
      </c>
      <c r="B33" t="e">
        <v>#N/A</v>
      </c>
    </row>
    <row r="34" spans="1:2" x14ac:dyDescent="0.25">
      <c r="A34" t="s">
        <v>314</v>
      </c>
      <c r="B34" t="e">
        <v>#N/A</v>
      </c>
    </row>
    <row r="35" spans="1:2" x14ac:dyDescent="0.25">
      <c r="A35" t="s">
        <v>314</v>
      </c>
      <c r="B35" t="e">
        <v>#N/A</v>
      </c>
    </row>
    <row r="36" spans="1:2" x14ac:dyDescent="0.25">
      <c r="A36" t="s">
        <v>314</v>
      </c>
      <c r="B36" t="e">
        <v>#N/A</v>
      </c>
    </row>
    <row r="37" spans="1:2" x14ac:dyDescent="0.25">
      <c r="A37" t="s">
        <v>315</v>
      </c>
      <c r="B37">
        <v>17117649</v>
      </c>
    </row>
    <row r="38" spans="1:2" x14ac:dyDescent="0.25">
      <c r="A38" t="s">
        <v>316</v>
      </c>
      <c r="B38" t="e">
        <v>#N/A</v>
      </c>
    </row>
    <row r="39" spans="1:2" x14ac:dyDescent="0.25">
      <c r="A39" t="s">
        <v>316</v>
      </c>
      <c r="B39" t="e">
        <v>#N/A</v>
      </c>
    </row>
    <row r="40" spans="1:2" x14ac:dyDescent="0.25">
      <c r="A40" t="s">
        <v>316</v>
      </c>
      <c r="B40" t="e">
        <v>#N/A</v>
      </c>
    </row>
    <row r="41" spans="1:2" x14ac:dyDescent="0.25">
      <c r="A41" t="s">
        <v>316</v>
      </c>
      <c r="B41" t="e">
        <v>#N/A</v>
      </c>
    </row>
    <row r="42" spans="1:2" x14ac:dyDescent="0.25">
      <c r="A42" t="s">
        <v>316</v>
      </c>
      <c r="B42" t="e">
        <v>#N/A</v>
      </c>
    </row>
    <row r="43" spans="1:2" x14ac:dyDescent="0.25">
      <c r="A43" t="s">
        <v>316</v>
      </c>
      <c r="B43" t="e">
        <v>#N/A</v>
      </c>
    </row>
    <row r="44" spans="1:2" x14ac:dyDescent="0.25">
      <c r="A44" t="s">
        <v>317</v>
      </c>
      <c r="B44">
        <v>17143996</v>
      </c>
    </row>
    <row r="45" spans="1:2" x14ac:dyDescent="0.25">
      <c r="A45" t="s">
        <v>317</v>
      </c>
      <c r="B45">
        <v>17143996</v>
      </c>
    </row>
    <row r="46" spans="1:2" x14ac:dyDescent="0.25">
      <c r="A46" t="s">
        <v>317</v>
      </c>
      <c r="B46">
        <v>17143996</v>
      </c>
    </row>
    <row r="47" spans="1:2" x14ac:dyDescent="0.25">
      <c r="A47" t="s">
        <v>318</v>
      </c>
      <c r="B47" t="e">
        <v>#N/A</v>
      </c>
    </row>
    <row r="48" spans="1:2" x14ac:dyDescent="0.25">
      <c r="A48" t="s">
        <v>318</v>
      </c>
      <c r="B48" t="e">
        <v>#N/A</v>
      </c>
    </row>
    <row r="49" spans="1:2" x14ac:dyDescent="0.25">
      <c r="A49" t="s">
        <v>319</v>
      </c>
      <c r="B49" t="e">
        <v>#N/A</v>
      </c>
    </row>
    <row r="50" spans="1:2" x14ac:dyDescent="0.25">
      <c r="A50" t="s">
        <v>319</v>
      </c>
      <c r="B50" t="e">
        <v>#N/A</v>
      </c>
    </row>
    <row r="51" spans="1:2" x14ac:dyDescent="0.25">
      <c r="A51" t="s">
        <v>320</v>
      </c>
      <c r="B51">
        <v>6634327</v>
      </c>
    </row>
    <row r="52" spans="1:2" x14ac:dyDescent="0.25">
      <c r="A52" t="s">
        <v>320</v>
      </c>
      <c r="B52">
        <v>6634327</v>
      </c>
    </row>
    <row r="53" spans="1:2" x14ac:dyDescent="0.25">
      <c r="A53" t="s">
        <v>320</v>
      </c>
      <c r="B53">
        <v>6634327</v>
      </c>
    </row>
    <row r="54" spans="1:2" x14ac:dyDescent="0.25">
      <c r="A54" t="s">
        <v>320</v>
      </c>
      <c r="B54">
        <v>6634327</v>
      </c>
    </row>
    <row r="55" spans="1:2" x14ac:dyDescent="0.25">
      <c r="A55" t="s">
        <v>320</v>
      </c>
      <c r="B55">
        <v>6634327</v>
      </c>
    </row>
    <row r="56" spans="1:2" x14ac:dyDescent="0.25">
      <c r="A56" t="s">
        <v>321</v>
      </c>
      <c r="B56" t="e">
        <v>#N/A</v>
      </c>
    </row>
    <row r="57" spans="1:2" x14ac:dyDescent="0.25">
      <c r="A57" t="s">
        <v>321</v>
      </c>
      <c r="B57" t="e">
        <v>#N/A</v>
      </c>
    </row>
    <row r="58" spans="1:2" x14ac:dyDescent="0.25">
      <c r="A58" t="s">
        <v>321</v>
      </c>
      <c r="B58" t="e">
        <v>#N/A</v>
      </c>
    </row>
    <row r="59" spans="1:2" x14ac:dyDescent="0.25">
      <c r="A59" t="s">
        <v>321</v>
      </c>
      <c r="B59" t="e">
        <v>#N/A</v>
      </c>
    </row>
    <row r="60" spans="1:2" x14ac:dyDescent="0.25">
      <c r="A60" t="s">
        <v>321</v>
      </c>
      <c r="B60" t="e">
        <v>#N/A</v>
      </c>
    </row>
    <row r="61" spans="1:2" x14ac:dyDescent="0.25">
      <c r="A61" t="s">
        <v>321</v>
      </c>
      <c r="B61" t="e">
        <v>#N/A</v>
      </c>
    </row>
    <row r="62" spans="1:2" x14ac:dyDescent="0.25">
      <c r="A62" t="s">
        <v>321</v>
      </c>
      <c r="B62" t="e">
        <v>#N/A</v>
      </c>
    </row>
    <row r="63" spans="1:2" x14ac:dyDescent="0.25">
      <c r="A63" t="s">
        <v>322</v>
      </c>
      <c r="B63">
        <v>21421111</v>
      </c>
    </row>
    <row r="64" spans="1:2" x14ac:dyDescent="0.25">
      <c r="A64" t="s">
        <v>322</v>
      </c>
      <c r="B64">
        <v>21421111</v>
      </c>
    </row>
    <row r="65" spans="1:2" x14ac:dyDescent="0.25">
      <c r="A65" t="s">
        <v>322</v>
      </c>
      <c r="B65">
        <v>21421111</v>
      </c>
    </row>
    <row r="66" spans="1:2" x14ac:dyDescent="0.25">
      <c r="A66" t="s">
        <v>323</v>
      </c>
      <c r="B66">
        <v>21436172</v>
      </c>
    </row>
    <row r="67" spans="1:2" x14ac:dyDescent="0.25">
      <c r="A67" t="s">
        <v>323</v>
      </c>
      <c r="B67">
        <v>21436172</v>
      </c>
    </row>
    <row r="68" spans="1:2" x14ac:dyDescent="0.25">
      <c r="A68" t="s">
        <v>323</v>
      </c>
      <c r="B68">
        <v>21436172</v>
      </c>
    </row>
    <row r="69" spans="1:2" x14ac:dyDescent="0.25">
      <c r="A69" t="s">
        <v>324</v>
      </c>
      <c r="B69" t="e">
        <v>#N/A</v>
      </c>
    </row>
    <row r="70" spans="1:2" x14ac:dyDescent="0.25">
      <c r="A70" t="s">
        <v>324</v>
      </c>
      <c r="B70" t="e">
        <v>#N/A</v>
      </c>
    </row>
    <row r="71" spans="1:2" x14ac:dyDescent="0.25">
      <c r="A71" t="s">
        <v>325</v>
      </c>
      <c r="B71">
        <v>8405446</v>
      </c>
    </row>
    <row r="72" spans="1:2" x14ac:dyDescent="0.25">
      <c r="A72" t="s">
        <v>325</v>
      </c>
      <c r="B72">
        <v>8405446</v>
      </c>
    </row>
    <row r="73" spans="1:2" x14ac:dyDescent="0.25">
      <c r="A73" t="s">
        <v>326</v>
      </c>
      <c r="B73" t="e">
        <v>#N/A</v>
      </c>
    </row>
    <row r="74" spans="1:2" x14ac:dyDescent="0.25">
      <c r="A74" t="s">
        <v>326</v>
      </c>
      <c r="B74" t="e">
        <v>#N/A</v>
      </c>
    </row>
    <row r="75" spans="1:2" x14ac:dyDescent="0.25">
      <c r="A75" t="s">
        <v>327</v>
      </c>
      <c r="B75" t="e">
        <v>#N/A</v>
      </c>
    </row>
    <row r="76" spans="1:2" x14ac:dyDescent="0.25">
      <c r="A76" t="s">
        <v>327</v>
      </c>
      <c r="B76" t="e">
        <v>#N/A</v>
      </c>
    </row>
    <row r="77" spans="1:2" x14ac:dyDescent="0.25">
      <c r="A77" t="s">
        <v>327</v>
      </c>
      <c r="B77" t="e">
        <v>#N/A</v>
      </c>
    </row>
    <row r="78" spans="1:2" x14ac:dyDescent="0.25">
      <c r="A78" t="s">
        <v>327</v>
      </c>
      <c r="B78" t="e">
        <v>#N/A</v>
      </c>
    </row>
    <row r="79" spans="1:2" x14ac:dyDescent="0.25">
      <c r="A79" t="s">
        <v>327</v>
      </c>
      <c r="B79" t="e">
        <v>#N/A</v>
      </c>
    </row>
    <row r="80" spans="1:2" x14ac:dyDescent="0.25">
      <c r="A80" t="s">
        <v>327</v>
      </c>
      <c r="B80" t="e">
        <v>#N/A</v>
      </c>
    </row>
    <row r="81" spans="1:2" x14ac:dyDescent="0.25">
      <c r="A81" t="s">
        <v>327</v>
      </c>
      <c r="B81" t="e">
        <v>#N/A</v>
      </c>
    </row>
    <row r="82" spans="1:2" x14ac:dyDescent="0.25">
      <c r="A82" t="s">
        <v>327</v>
      </c>
      <c r="B82" t="e">
        <v>#N/A</v>
      </c>
    </row>
    <row r="83" spans="1:2" x14ac:dyDescent="0.25">
      <c r="A83" t="s">
        <v>327</v>
      </c>
      <c r="B83" t="e">
        <v>#N/A</v>
      </c>
    </row>
    <row r="84" spans="1:2" x14ac:dyDescent="0.25">
      <c r="A84" t="s">
        <v>327</v>
      </c>
      <c r="B84" t="e">
        <v>#N/A</v>
      </c>
    </row>
    <row r="85" spans="1:2" x14ac:dyDescent="0.25">
      <c r="A85" t="s">
        <v>327</v>
      </c>
      <c r="B85" t="e">
        <v>#N/A</v>
      </c>
    </row>
    <row r="86" spans="1:2" x14ac:dyDescent="0.25">
      <c r="A86" t="s">
        <v>327</v>
      </c>
      <c r="B86" t="e">
        <v>#N/A</v>
      </c>
    </row>
    <row r="87" spans="1:2" x14ac:dyDescent="0.25">
      <c r="A87" t="s">
        <v>327</v>
      </c>
      <c r="B87" t="e">
        <v>#N/A</v>
      </c>
    </row>
    <row r="88" spans="1:2" x14ac:dyDescent="0.25">
      <c r="A88" t="s">
        <v>327</v>
      </c>
      <c r="B88" t="e">
        <v>#N/A</v>
      </c>
    </row>
    <row r="89" spans="1:2" x14ac:dyDescent="0.25">
      <c r="A89" t="s">
        <v>328</v>
      </c>
      <c r="B89" t="e">
        <v>#N/A</v>
      </c>
    </row>
    <row r="90" spans="1:2" x14ac:dyDescent="0.25">
      <c r="A90" t="s">
        <v>328</v>
      </c>
      <c r="B90" t="e">
        <v>#N/A</v>
      </c>
    </row>
    <row r="91" spans="1:2" x14ac:dyDescent="0.25">
      <c r="A91" t="s">
        <v>328</v>
      </c>
      <c r="B91" t="e">
        <v>#N/A</v>
      </c>
    </row>
    <row r="92" spans="1:2" x14ac:dyDescent="0.25">
      <c r="A92" t="s">
        <v>328</v>
      </c>
      <c r="B92" t="e">
        <v>#N/A</v>
      </c>
    </row>
    <row r="93" spans="1:2" x14ac:dyDescent="0.25">
      <c r="A93" t="s">
        <v>328</v>
      </c>
      <c r="B93" t="e">
        <v>#N/A</v>
      </c>
    </row>
    <row r="94" spans="1:2" x14ac:dyDescent="0.25">
      <c r="A94" t="s">
        <v>328</v>
      </c>
      <c r="B94" t="e">
        <v>#N/A</v>
      </c>
    </row>
    <row r="95" spans="1:2" x14ac:dyDescent="0.25">
      <c r="A95" t="s">
        <v>329</v>
      </c>
      <c r="B95" t="e">
        <v>#N/A</v>
      </c>
    </row>
    <row r="96" spans="1:2" x14ac:dyDescent="0.25">
      <c r="A96" t="s">
        <v>329</v>
      </c>
      <c r="B96" t="e">
        <v>#N/A</v>
      </c>
    </row>
    <row r="97" spans="1:2" x14ac:dyDescent="0.25">
      <c r="A97" t="s">
        <v>330</v>
      </c>
      <c r="B97">
        <v>371819</v>
      </c>
    </row>
    <row r="98" spans="1:2" x14ac:dyDescent="0.25">
      <c r="A98" t="s">
        <v>330</v>
      </c>
      <c r="B98">
        <v>371819</v>
      </c>
    </row>
    <row r="99" spans="1:2" x14ac:dyDescent="0.25">
      <c r="A99" t="s">
        <v>330</v>
      </c>
      <c r="B99">
        <v>371819</v>
      </c>
    </row>
    <row r="100" spans="1:2" x14ac:dyDescent="0.25">
      <c r="A100" t="s">
        <v>330</v>
      </c>
      <c r="B100">
        <v>371819</v>
      </c>
    </row>
    <row r="101" spans="1:2" x14ac:dyDescent="0.25">
      <c r="A101" t="s">
        <v>330</v>
      </c>
      <c r="B101">
        <v>371819</v>
      </c>
    </row>
    <row r="102" spans="1:2" x14ac:dyDescent="0.25">
      <c r="A102" t="s">
        <v>330</v>
      </c>
      <c r="B102">
        <v>371819</v>
      </c>
    </row>
    <row r="103" spans="1:2" x14ac:dyDescent="0.25">
      <c r="A103" t="s">
        <v>330</v>
      </c>
      <c r="B103">
        <v>371819</v>
      </c>
    </row>
    <row r="104" spans="1:2" x14ac:dyDescent="0.25">
      <c r="A104" t="s">
        <v>330</v>
      </c>
      <c r="B104">
        <v>371819</v>
      </c>
    </row>
    <row r="105" spans="1:2" x14ac:dyDescent="0.25">
      <c r="A105" t="s">
        <v>330</v>
      </c>
      <c r="B105">
        <v>371819</v>
      </c>
    </row>
    <row r="106" spans="1:2" x14ac:dyDescent="0.25">
      <c r="A106" t="s">
        <v>331</v>
      </c>
      <c r="B106" t="e">
        <v>#N/A</v>
      </c>
    </row>
    <row r="107" spans="1:2" x14ac:dyDescent="0.25">
      <c r="A107" t="s">
        <v>331</v>
      </c>
      <c r="B10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2025-08-25T17:07:17Z</dcterms:created>
  <dcterms:modified xsi:type="dcterms:W3CDTF">2025-08-27T20:45:47Z</dcterms:modified>
</cp:coreProperties>
</file>