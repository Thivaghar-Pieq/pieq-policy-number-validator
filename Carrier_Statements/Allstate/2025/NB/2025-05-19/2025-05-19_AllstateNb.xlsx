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lstate\2025\NB\2025-05-19\"/>
    </mc:Choice>
  </mc:AlternateContent>
  <xr:revisionPtr revIDLastSave="0" documentId="13_ncr:1_{3AE7B7ED-3A9D-44D1-BB24-27FA59831F02}" xr6:coauthVersionLast="47" xr6:coauthVersionMax="47" xr10:uidLastSave="{00000000-0000-0000-0000-000000000000}"/>
  <bookViews>
    <workbookView xWindow="-120" yWindow="-120" windowWidth="29040" windowHeight="15720" xr2:uid="{BD46E90E-5344-4899-8E1B-E3FE913365A2}"/>
  </bookViews>
  <sheets>
    <sheet name="649163__Newbusiness_NEW_BUSINES" sheetId="1" r:id="rId1"/>
    <sheet name="clean sheet" sheetId="2" r:id="rId2"/>
  </sheets>
  <definedNames>
    <definedName name="_xlnm._FilterDatabase" localSheetId="1" hidden="1">'clean sheet'!$A$1:$Z$45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5" i="2" l="1"/>
  <c r="R34" i="2"/>
  <c r="R33" i="2"/>
  <c r="R14" i="2"/>
  <c r="R13" i="2"/>
  <c r="R12" i="2"/>
  <c r="R45" i="2"/>
  <c r="R44" i="2"/>
  <c r="R16" i="2"/>
  <c r="R43" i="2"/>
  <c r="R42" i="2"/>
  <c r="R39" i="2"/>
  <c r="R38" i="2"/>
  <c r="R36" i="2"/>
  <c r="R32" i="2"/>
  <c r="R31" i="2"/>
  <c r="R30" i="2"/>
  <c r="R27" i="2"/>
  <c r="R24" i="2"/>
  <c r="R23" i="2"/>
  <c r="R22" i="2"/>
  <c r="R20" i="2"/>
  <c r="R19" i="2"/>
  <c r="R18" i="2"/>
  <c r="R17" i="2"/>
  <c r="R15" i="2"/>
  <c r="R11" i="2"/>
  <c r="R10" i="2"/>
  <c r="R9" i="2"/>
  <c r="R29" i="2"/>
  <c r="R8" i="2"/>
  <c r="R7" i="2"/>
  <c r="R6" i="2"/>
  <c r="R5" i="2"/>
  <c r="R4" i="2"/>
  <c r="R41" i="2"/>
  <c r="R40" i="2"/>
  <c r="R37" i="2"/>
  <c r="R28" i="2"/>
  <c r="R26" i="2"/>
  <c r="R25" i="2"/>
  <c r="R21" i="2"/>
  <c r="R3" i="2"/>
  <c r="R2" i="2"/>
</calcChain>
</file>

<file path=xl/sharedStrings.xml><?xml version="1.0" encoding="utf-8"?>
<sst xmlns="http://schemas.openxmlformats.org/spreadsheetml/2006/main" count="1786" uniqueCount="202">
  <si>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</si>
  <si>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</si>
  <si>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</si>
  <si>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</si>
  <si>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</si>
  <si>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</si>
  <si>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</si>
  <si>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</si>
  <si>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</si>
  <si>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</si>
  <si>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</si>
  <si>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</si>
  <si>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</si>
  <si>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</si>
  <si>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</si>
  <si>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</si>
  <si>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</si>
  <si>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</si>
  <si>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</si>
  <si>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</si>
  <si>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</si>
  <si>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</si>
  <si>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</si>
  <si>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</si>
  <si>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</si>
  <si>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</si>
  <si>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</si>
  <si>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</si>
  <si>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</si>
  <si>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</si>
  <si>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</si>
  <si>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</si>
  <si>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</si>
  <si>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</si>
  <si>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</si>
  <si>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</si>
  <si>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</si>
  <si>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</si>
  <si>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</si>
  <si>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</si>
  <si>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</si>
  <si>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</si>
  <si>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</si>
  <si>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</si>
  <si>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CONNIE ESCALANTE</t>
  </si>
  <si>
    <t>UT</t>
  </si>
  <si>
    <t>'753748</t>
  </si>
  <si>
    <t>MATTHEW DAUGHERTY</t>
  </si>
  <si>
    <t>Active</t>
  </si>
  <si>
    <t>Plan Enhancer 20214</t>
  </si>
  <si>
    <t>Monthly</t>
  </si>
  <si>
    <t>AV</t>
  </si>
  <si>
    <t>SHANNON KITE</t>
  </si>
  <si>
    <t>TX</t>
  </si>
  <si>
    <t>'806645</t>
  </si>
  <si>
    <t>BARRY BRENNER</t>
  </si>
  <si>
    <t>SELECT DENTAL 29304</t>
  </si>
  <si>
    <t>AZELETTE WINN</t>
  </si>
  <si>
    <t>'822733</t>
  </si>
  <si>
    <t>CHRISTOPHER BROUSSEAU</t>
  </si>
  <si>
    <t>CYNTHIA STRICKER</t>
  </si>
  <si>
    <t>NE</t>
  </si>
  <si>
    <t>'821087</t>
  </si>
  <si>
    <t>JONATHAN ALOFF</t>
  </si>
  <si>
    <t>ROSA SIMS</t>
  </si>
  <si>
    <t>IL</t>
  </si>
  <si>
    <t>'856824</t>
  </si>
  <si>
    <t>JAKE SHULMAN</t>
  </si>
  <si>
    <t>BRITNEY TURNER</t>
  </si>
  <si>
    <t>ERDENECHIMEG BAASANJAV</t>
  </si>
  <si>
    <t>'807212</t>
  </si>
  <si>
    <t>NASANDELGER ZANA</t>
  </si>
  <si>
    <t>Term Life 21673</t>
  </si>
  <si>
    <t>KENT BROCKSMITH</t>
  </si>
  <si>
    <t>IN</t>
  </si>
  <si>
    <t>'673059</t>
  </si>
  <si>
    <t>RYAN CALTAGIRONE</t>
  </si>
  <si>
    <t>NHIC STM 2022 IN Renewable</t>
  </si>
  <si>
    <t>AV1</t>
  </si>
  <si>
    <t>Life Association C IN</t>
  </si>
  <si>
    <t>JORGE ACEVEDO</t>
  </si>
  <si>
    <t>'856163</t>
  </si>
  <si>
    <t>CHAD YALE</t>
  </si>
  <si>
    <t>Cancer and Heart/Stroke GI 20231</t>
  </si>
  <si>
    <t>MARYANN GALLARELLO</t>
  </si>
  <si>
    <t>NV</t>
  </si>
  <si>
    <t>'824062</t>
  </si>
  <si>
    <t>ANDREW CHOI</t>
  </si>
  <si>
    <t>Allstate Health Access</t>
  </si>
  <si>
    <t>Allstate Recuro RX Discount Card</t>
  </si>
  <si>
    <t>KRISTINA BOSWORTH</t>
  </si>
  <si>
    <t>Cancer and Heart/Stroke 20231</t>
  </si>
  <si>
    <t>Accident Fixed Benefit</t>
  </si>
  <si>
    <t>TrioMED Accident and CI 14939</t>
  </si>
  <si>
    <t>DRAKE ZIMMERMAN</t>
  </si>
  <si>
    <t>Critical Illness w/ Term Life 21677</t>
  </si>
  <si>
    <t>JACK MARCUM</t>
  </si>
  <si>
    <t>'756418</t>
  </si>
  <si>
    <t>JARED KINYUA</t>
  </si>
  <si>
    <t>TrioMED 15k 15285</t>
  </si>
  <si>
    <t>ISAAC MATHIEU</t>
  </si>
  <si>
    <t>PA</t>
  </si>
  <si>
    <t>'751867</t>
  </si>
  <si>
    <t>JOHN ROKEN</t>
  </si>
  <si>
    <t>NHIC LM 2021 Hospital Expense Protection U65</t>
  </si>
  <si>
    <t>KELSI CIONA</t>
  </si>
  <si>
    <t>FL</t>
  </si>
  <si>
    <t>'650218</t>
  </si>
  <si>
    <t>CAROL FOLEY</t>
  </si>
  <si>
    <t>LIFE Association Membership - C 14956 LM</t>
  </si>
  <si>
    <t>BRITTNEY YOUNG</t>
  </si>
  <si>
    <t>AE</t>
  </si>
  <si>
    <t>MICHELLE GROSS</t>
  </si>
  <si>
    <t>Life Association Access</t>
  </si>
  <si>
    <t>AV6</t>
  </si>
  <si>
    <t>RIZWAN ALIKHAN</t>
  </si>
  <si>
    <t>KEVIN II</t>
  </si>
  <si>
    <t>'823350</t>
  </si>
  <si>
    <t>RICHARD YALE</t>
  </si>
  <si>
    <t>MAUREEN HYNES</t>
  </si>
  <si>
    <t>SHANON ARNOLD</t>
  </si>
  <si>
    <t>'858541</t>
  </si>
  <si>
    <t>PATRICK BYRNE</t>
  </si>
  <si>
    <t>DASHNYAM ANARD</t>
  </si>
  <si>
    <t>Dental Indemnity 21618</t>
  </si>
  <si>
    <t>HERMAN EATON</t>
  </si>
  <si>
    <t>MD</t>
  </si>
  <si>
    <t>'823068</t>
  </si>
  <si>
    <t>RONALD MAX</t>
  </si>
  <si>
    <t>DIANA EATON</t>
  </si>
  <si>
    <t>CORTNI MONROE</t>
  </si>
  <si>
    <t>GERELTUYA TUMURKHUYAG</t>
  </si>
  <si>
    <t>CORAL COOPER</t>
  </si>
  <si>
    <t>WI</t>
  </si>
  <si>
    <t>'813184</t>
  </si>
  <si>
    <t>CHRISTIAN TAUGNER</t>
  </si>
  <si>
    <t>ELIZABETH BURI</t>
  </si>
  <si>
    <t>JUANITA SINGH</t>
  </si>
  <si>
    <t>'821015</t>
  </si>
  <si>
    <t>BARRY SCHUMANN</t>
  </si>
  <si>
    <t>HOLLY STAMPER</t>
  </si>
  <si>
    <t>DAWN DURYEA</t>
  </si>
  <si>
    <t>CODY BURNS</t>
  </si>
  <si>
    <t>GEORGE KONTOS</t>
  </si>
  <si>
    <t>ELISHA NEZ</t>
  </si>
  <si>
    <t>AZ</t>
  </si>
  <si>
    <t>'767312</t>
  </si>
  <si>
    <t>THOMAS PARDUE</t>
  </si>
  <si>
    <t>DUSTIN WILLIAMS</t>
  </si>
  <si>
    <t>'822723</t>
  </si>
  <si>
    <t>TIMOTHY HODGMAN</t>
  </si>
  <si>
    <t>AMARJARGAL CHIMEDTSEREN</t>
  </si>
  <si>
    <t>WAYNE PARKER</t>
  </si>
  <si>
    <t>OK</t>
  </si>
  <si>
    <t>'820140</t>
  </si>
  <si>
    <t>MATTHEW POWERS</t>
  </si>
  <si>
    <t>GAGE PANTEL</t>
  </si>
  <si>
    <t>JAMES SANSONE</t>
  </si>
  <si>
    <t>'669316</t>
  </si>
  <si>
    <t>COLLEEN FINNIGAN</t>
  </si>
  <si>
    <t>CLARICE MAES</t>
  </si>
  <si>
    <t>KASSONDRA BAAS</t>
  </si>
  <si>
    <t>'812656</t>
  </si>
  <si>
    <t>GARY PORTUGAL</t>
  </si>
  <si>
    <t>DAVID WRING</t>
  </si>
  <si>
    <t>Allstate Health Access (GI)</t>
  </si>
  <si>
    <t>Life Association Access (GI)</t>
  </si>
  <si>
    <t>ELIUD VILLARREAL</t>
  </si>
  <si>
    <t>'824081</t>
  </si>
  <si>
    <t>STEPHANIE DRAPAC</t>
  </si>
  <si>
    <t>JENNIFER PATTEN</t>
  </si>
  <si>
    <t>DANIEL NINO</t>
  </si>
  <si>
    <t>JOSHUA PAULSEN</t>
  </si>
  <si>
    <t>MELISSA FUENTES</t>
  </si>
  <si>
    <t>'792847</t>
  </si>
  <si>
    <t>VICTOR FUENTES</t>
  </si>
  <si>
    <t>SANDRA FUENTES</t>
  </si>
  <si>
    <t>LA</t>
  </si>
  <si>
    <t>OLIVIA FUENTES-DIETSCH</t>
  </si>
  <si>
    <t>SYDNEY WEBSTER</t>
  </si>
  <si>
    <t>SC</t>
  </si>
  <si>
    <t>'822865</t>
  </si>
  <si>
    <t>KIRK TIGUE</t>
  </si>
  <si>
    <t>NGOZIKA NWANERI</t>
  </si>
  <si>
    <t>FRIDA NKEMBE</t>
  </si>
  <si>
    <t>COKISHA JONES</t>
  </si>
  <si>
    <t>JARGALSAIKHAN MUNKHBAYAR</t>
  </si>
  <si>
    <t>JODY SCHNEIDERMAN</t>
  </si>
  <si>
    <t>7470776AV6</t>
  </si>
  <si>
    <t>19586992AV6</t>
  </si>
  <si>
    <t>19681796AV6</t>
  </si>
  <si>
    <t>18201929AV6</t>
  </si>
  <si>
    <t>16683808AV6</t>
  </si>
  <si>
    <t>21421111AV6</t>
  </si>
  <si>
    <t>20220688AV6</t>
  </si>
  <si>
    <t>16633294AV6</t>
  </si>
  <si>
    <t>17126004AV6</t>
  </si>
  <si>
    <t>371819AV6</t>
  </si>
  <si>
    <t>21283956AV6</t>
  </si>
  <si>
    <t>Cancer and Heart-Stroke 20231</t>
  </si>
  <si>
    <t>Critical Illness with Term Life 21677</t>
  </si>
  <si>
    <t>NHIC LM 2021 Hos Exp U65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</si>
</sst>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16" fillId="0" borderId="0" xfId="0" applyFon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785D-FD56-4588-8D4B-FF2DCE72FC70}">
  <dimension ref="A1:AL102"/>
  <sheetViews>
    <sheetView tabSelected="1" topLeftCell="A66" workbookViewId="0">
      <selection activeCell="M2" sqref="M2:M102"/>
    </sheetView>
  </sheetViews>
  <sheetFormatPr defaultRowHeight="15" x14ac:dyDescent="0.25"/>
  <cols>
    <col min="9" max="9" width="14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45800</v>
      </c>
      <c r="B2" s="1">
        <v>45796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>
        <v>2028425020</v>
      </c>
      <c r="J2" t="s">
        <v>44</v>
      </c>
      <c r="M2" t="s">
        <v>45</v>
      </c>
      <c r="O2" t="s">
        <v>46</v>
      </c>
      <c r="P2" t="s">
        <v>47</v>
      </c>
      <c r="Q2" t="s">
        <v>48</v>
      </c>
      <c r="R2" t="s">
        <v>49</v>
      </c>
      <c r="S2" s="1">
        <v>45797</v>
      </c>
      <c r="U2" t="s">
        <v>50</v>
      </c>
      <c r="X2" t="s">
        <v>51</v>
      </c>
      <c r="Y2" s="2">
        <v>43.86</v>
      </c>
      <c r="Z2" s="2">
        <v>43.86</v>
      </c>
      <c r="AA2">
        <v>0</v>
      </c>
      <c r="AB2" s="3">
        <v>0.7</v>
      </c>
      <c r="AC2" s="2">
        <v>0</v>
      </c>
      <c r="AD2" s="3">
        <v>0</v>
      </c>
      <c r="AE2" s="2">
        <v>0</v>
      </c>
      <c r="AF2" s="2">
        <v>0</v>
      </c>
      <c r="AK2" s="4">
        <v>18765030</v>
      </c>
    </row>
    <row r="3" spans="1:38" x14ac:dyDescent="0.25">
      <c r="A3" s="1">
        <v>45800</v>
      </c>
      <c r="B3" s="1">
        <v>45796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2028505682</v>
      </c>
      <c r="J3" t="s">
        <v>52</v>
      </c>
      <c r="M3" t="s">
        <v>53</v>
      </c>
      <c r="O3" t="s">
        <v>54</v>
      </c>
      <c r="P3" t="s">
        <v>55</v>
      </c>
      <c r="Q3" t="s">
        <v>48</v>
      </c>
      <c r="R3" t="s">
        <v>56</v>
      </c>
      <c r="S3" s="1">
        <v>45794</v>
      </c>
      <c r="U3" t="s">
        <v>50</v>
      </c>
      <c r="X3" t="s">
        <v>51</v>
      </c>
      <c r="Y3" s="2">
        <v>47.47</v>
      </c>
      <c r="Z3" s="2">
        <v>47.47</v>
      </c>
      <c r="AA3">
        <v>0</v>
      </c>
      <c r="AB3" s="3">
        <v>0.375</v>
      </c>
      <c r="AC3" s="2">
        <v>0</v>
      </c>
      <c r="AD3" s="3">
        <v>0</v>
      </c>
      <c r="AE3" s="2">
        <v>0</v>
      </c>
      <c r="AF3" s="2">
        <v>0</v>
      </c>
      <c r="AK3" s="4">
        <v>18776810</v>
      </c>
    </row>
    <row r="4" spans="1:38" x14ac:dyDescent="0.25">
      <c r="A4" s="1">
        <v>45800</v>
      </c>
      <c r="B4" s="1">
        <v>45796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2028505683</v>
      </c>
      <c r="J4" t="s">
        <v>52</v>
      </c>
      <c r="M4" t="s">
        <v>53</v>
      </c>
      <c r="O4" t="s">
        <v>54</v>
      </c>
      <c r="P4" t="s">
        <v>55</v>
      </c>
      <c r="Q4" t="s">
        <v>48</v>
      </c>
      <c r="R4" t="s">
        <v>49</v>
      </c>
      <c r="S4" s="1">
        <v>45794</v>
      </c>
      <c r="U4" t="s">
        <v>50</v>
      </c>
      <c r="X4" t="s">
        <v>51</v>
      </c>
      <c r="Y4" s="2">
        <v>109.9</v>
      </c>
      <c r="Z4" s="2">
        <v>109.9</v>
      </c>
      <c r="AA4">
        <v>0</v>
      </c>
      <c r="AB4" s="3">
        <v>0.7</v>
      </c>
      <c r="AC4" s="2">
        <v>0</v>
      </c>
      <c r="AD4" s="3">
        <v>0</v>
      </c>
      <c r="AE4" s="2">
        <v>0</v>
      </c>
      <c r="AF4" s="2">
        <v>0</v>
      </c>
      <c r="AK4" s="4">
        <v>18765150</v>
      </c>
    </row>
    <row r="5" spans="1:38" x14ac:dyDescent="0.25">
      <c r="A5" s="1">
        <v>45800</v>
      </c>
      <c r="B5" s="1">
        <v>45796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>
        <v>2028774562</v>
      </c>
      <c r="J5" t="s">
        <v>57</v>
      </c>
      <c r="M5" t="s">
        <v>53</v>
      </c>
      <c r="O5" t="s">
        <v>58</v>
      </c>
      <c r="P5" t="s">
        <v>59</v>
      </c>
      <c r="Q5" t="s">
        <v>48</v>
      </c>
      <c r="R5" t="s">
        <v>49</v>
      </c>
      <c r="S5" s="1">
        <v>45794</v>
      </c>
      <c r="U5" t="s">
        <v>50</v>
      </c>
      <c r="X5" t="s">
        <v>51</v>
      </c>
      <c r="Y5" s="2">
        <v>48.76</v>
      </c>
      <c r="Z5" s="2">
        <v>48.76</v>
      </c>
      <c r="AA5">
        <v>0</v>
      </c>
      <c r="AB5" s="3">
        <v>0.7</v>
      </c>
      <c r="AC5" s="2">
        <v>0</v>
      </c>
      <c r="AD5" s="3">
        <v>0</v>
      </c>
      <c r="AE5" s="2">
        <v>0</v>
      </c>
      <c r="AF5" s="2">
        <v>0</v>
      </c>
      <c r="AK5" s="4">
        <v>18765260</v>
      </c>
    </row>
    <row r="6" spans="1:38" x14ac:dyDescent="0.25">
      <c r="A6" s="1">
        <v>45800</v>
      </c>
      <c r="B6" s="1">
        <v>45796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>
        <v>2028775160</v>
      </c>
      <c r="J6" t="s">
        <v>60</v>
      </c>
      <c r="M6" t="s">
        <v>61</v>
      </c>
      <c r="O6" t="s">
        <v>62</v>
      </c>
      <c r="P6" t="s">
        <v>63</v>
      </c>
      <c r="Q6" t="s">
        <v>48</v>
      </c>
      <c r="R6" t="s">
        <v>49</v>
      </c>
      <c r="S6" s="1">
        <v>45809</v>
      </c>
      <c r="U6" t="s">
        <v>50</v>
      </c>
      <c r="X6" t="s">
        <v>51</v>
      </c>
      <c r="Y6" s="2">
        <v>101.99</v>
      </c>
      <c r="Z6" s="2">
        <v>101.99</v>
      </c>
      <c r="AA6">
        <v>0</v>
      </c>
      <c r="AB6" s="3">
        <v>0.7</v>
      </c>
      <c r="AC6" s="2">
        <v>0</v>
      </c>
      <c r="AD6" s="3">
        <v>0</v>
      </c>
      <c r="AE6" s="2">
        <v>0</v>
      </c>
      <c r="AF6" s="2">
        <v>0</v>
      </c>
      <c r="AK6" s="4">
        <v>18765270</v>
      </c>
    </row>
    <row r="7" spans="1:38" x14ac:dyDescent="0.25">
      <c r="A7" s="1">
        <v>45800</v>
      </c>
      <c r="B7" s="1">
        <v>45796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>
        <v>2028821221</v>
      </c>
      <c r="J7" t="s">
        <v>64</v>
      </c>
      <c r="M7" t="s">
        <v>65</v>
      </c>
      <c r="O7" t="s">
        <v>66</v>
      </c>
      <c r="P7" t="s">
        <v>67</v>
      </c>
      <c r="Q7" t="s">
        <v>48</v>
      </c>
      <c r="R7" t="s">
        <v>49</v>
      </c>
      <c r="S7" s="1">
        <v>45809</v>
      </c>
      <c r="U7" t="s">
        <v>50</v>
      </c>
      <c r="X7" t="s">
        <v>51</v>
      </c>
      <c r="Y7" s="2">
        <v>46.08</v>
      </c>
      <c r="Z7" s="2">
        <v>46.08</v>
      </c>
      <c r="AA7">
        <v>0</v>
      </c>
      <c r="AB7" s="3">
        <v>0.7</v>
      </c>
      <c r="AC7" s="2">
        <v>0</v>
      </c>
      <c r="AD7" s="3">
        <v>0</v>
      </c>
      <c r="AE7" s="2">
        <v>0</v>
      </c>
      <c r="AF7" s="2">
        <v>0</v>
      </c>
      <c r="AK7" s="4">
        <v>18765300</v>
      </c>
    </row>
    <row r="8" spans="1:38" x14ac:dyDescent="0.25">
      <c r="A8" s="1">
        <v>45800</v>
      </c>
      <c r="B8" s="1">
        <v>45796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>
        <v>2028854382</v>
      </c>
      <c r="J8" t="s">
        <v>68</v>
      </c>
      <c r="M8" t="s">
        <v>53</v>
      </c>
      <c r="O8" t="s">
        <v>54</v>
      </c>
      <c r="P8" t="s">
        <v>55</v>
      </c>
      <c r="Q8" t="s">
        <v>48</v>
      </c>
      <c r="R8" t="s">
        <v>49</v>
      </c>
      <c r="S8" s="1">
        <v>45792</v>
      </c>
      <c r="U8" t="s">
        <v>50</v>
      </c>
      <c r="X8" t="s">
        <v>51</v>
      </c>
      <c r="Y8" s="2">
        <v>13</v>
      </c>
      <c r="Z8" s="2">
        <v>13</v>
      </c>
      <c r="AA8">
        <v>0</v>
      </c>
      <c r="AB8" s="3">
        <v>0.7</v>
      </c>
      <c r="AC8" s="2">
        <v>0</v>
      </c>
      <c r="AD8" s="3">
        <v>0</v>
      </c>
      <c r="AE8" s="2">
        <v>0</v>
      </c>
      <c r="AF8" s="2">
        <v>0</v>
      </c>
      <c r="AK8" s="4">
        <v>18765320</v>
      </c>
    </row>
    <row r="9" spans="1:38" x14ac:dyDescent="0.25">
      <c r="A9" s="1">
        <v>45800</v>
      </c>
      <c r="B9" s="1">
        <v>45796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>
        <v>2028854383</v>
      </c>
      <c r="J9" t="s">
        <v>68</v>
      </c>
      <c r="M9" t="s">
        <v>53</v>
      </c>
      <c r="O9" t="s">
        <v>54</v>
      </c>
      <c r="P9" t="s">
        <v>55</v>
      </c>
      <c r="Q9" t="s">
        <v>48</v>
      </c>
      <c r="R9" t="s">
        <v>56</v>
      </c>
      <c r="S9" s="1">
        <v>45792</v>
      </c>
      <c r="U9" t="s">
        <v>50</v>
      </c>
      <c r="X9" t="s">
        <v>51</v>
      </c>
      <c r="Y9" s="2">
        <v>49.19</v>
      </c>
      <c r="Z9" s="2">
        <v>49.19</v>
      </c>
      <c r="AA9">
        <v>0</v>
      </c>
      <c r="AB9" s="3">
        <v>0.375</v>
      </c>
      <c r="AC9" s="2">
        <v>0</v>
      </c>
      <c r="AD9" s="3">
        <v>0</v>
      </c>
      <c r="AE9" s="2">
        <v>0</v>
      </c>
      <c r="AF9" s="2">
        <v>0</v>
      </c>
      <c r="AK9" s="4">
        <v>18777090</v>
      </c>
    </row>
    <row r="10" spans="1:38" x14ac:dyDescent="0.25">
      <c r="A10" s="1">
        <v>45800</v>
      </c>
      <c r="B10" s="1">
        <v>45796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>
        <v>2028890707</v>
      </c>
      <c r="J10" t="s">
        <v>69</v>
      </c>
      <c r="M10" t="s">
        <v>65</v>
      </c>
      <c r="O10" t="s">
        <v>70</v>
      </c>
      <c r="P10" t="s">
        <v>71</v>
      </c>
      <c r="Q10" t="s">
        <v>48</v>
      </c>
      <c r="R10" t="s">
        <v>49</v>
      </c>
      <c r="S10" s="1">
        <v>45790</v>
      </c>
      <c r="U10" t="s">
        <v>50</v>
      </c>
      <c r="X10" t="s">
        <v>51</v>
      </c>
      <c r="Y10" s="2">
        <v>95.68</v>
      </c>
      <c r="Z10" s="2">
        <v>95.68</v>
      </c>
      <c r="AA10">
        <v>0</v>
      </c>
      <c r="AB10" s="3">
        <v>0.7</v>
      </c>
      <c r="AC10" s="2">
        <v>0</v>
      </c>
      <c r="AD10" s="3">
        <v>0</v>
      </c>
      <c r="AE10" s="2">
        <v>0</v>
      </c>
      <c r="AF10" s="2">
        <v>0</v>
      </c>
      <c r="AK10" s="4">
        <v>18765360</v>
      </c>
    </row>
    <row r="11" spans="1:38" x14ac:dyDescent="0.25">
      <c r="A11" s="1">
        <v>45800</v>
      </c>
      <c r="B11" s="1">
        <v>45796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>
        <v>2028890708</v>
      </c>
      <c r="J11" t="s">
        <v>69</v>
      </c>
      <c r="M11" t="s">
        <v>65</v>
      </c>
      <c r="O11" t="s">
        <v>70</v>
      </c>
      <c r="P11" t="s">
        <v>71</v>
      </c>
      <c r="Q11" t="s">
        <v>48</v>
      </c>
      <c r="R11" t="s">
        <v>72</v>
      </c>
      <c r="S11" s="1">
        <v>45790</v>
      </c>
      <c r="U11" t="s">
        <v>50</v>
      </c>
      <c r="X11" t="s">
        <v>51</v>
      </c>
      <c r="Y11" s="2">
        <v>23.05</v>
      </c>
      <c r="Z11" s="2">
        <v>23.05</v>
      </c>
      <c r="AA11">
        <v>0</v>
      </c>
      <c r="AB11" s="3">
        <v>0.9</v>
      </c>
      <c r="AC11" s="2">
        <v>0</v>
      </c>
      <c r="AD11" s="3">
        <v>0</v>
      </c>
      <c r="AE11" s="2">
        <v>0</v>
      </c>
      <c r="AF11" s="2">
        <v>0</v>
      </c>
      <c r="AK11" s="4">
        <v>18780520</v>
      </c>
    </row>
    <row r="12" spans="1:38" x14ac:dyDescent="0.25">
      <c r="A12" s="1">
        <v>45800</v>
      </c>
      <c r="B12" s="1">
        <v>45796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>
        <v>2028892741</v>
      </c>
      <c r="J12" t="s">
        <v>73</v>
      </c>
      <c r="M12" t="s">
        <v>74</v>
      </c>
      <c r="O12" t="s">
        <v>75</v>
      </c>
      <c r="P12" t="s">
        <v>76</v>
      </c>
      <c r="Q12" t="s">
        <v>48</v>
      </c>
      <c r="R12" t="s">
        <v>77</v>
      </c>
      <c r="S12" s="1">
        <v>45292</v>
      </c>
      <c r="U12" t="s">
        <v>50</v>
      </c>
      <c r="X12" t="s">
        <v>78</v>
      </c>
      <c r="Y12" s="2">
        <v>10908.39</v>
      </c>
      <c r="Z12" s="2">
        <v>10908.39</v>
      </c>
      <c r="AA12">
        <v>0</v>
      </c>
      <c r="AB12" s="3">
        <v>0.19</v>
      </c>
      <c r="AC12" s="2">
        <v>0</v>
      </c>
      <c r="AD12" s="3">
        <v>0</v>
      </c>
      <c r="AE12" s="2">
        <v>0</v>
      </c>
      <c r="AF12" s="2">
        <v>0</v>
      </c>
      <c r="AK12" s="4">
        <v>18782380</v>
      </c>
    </row>
    <row r="13" spans="1:38" x14ac:dyDescent="0.25">
      <c r="A13" s="1">
        <v>45800</v>
      </c>
      <c r="B13" s="1">
        <v>45796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>
        <v>2028892742</v>
      </c>
      <c r="J13" t="s">
        <v>73</v>
      </c>
      <c r="M13" t="s">
        <v>74</v>
      </c>
      <c r="O13" t="s">
        <v>75</v>
      </c>
      <c r="P13" t="s">
        <v>76</v>
      </c>
      <c r="Q13" t="s">
        <v>48</v>
      </c>
      <c r="R13" t="s">
        <v>79</v>
      </c>
      <c r="S13" s="1">
        <v>45292</v>
      </c>
      <c r="U13" t="s">
        <v>50</v>
      </c>
      <c r="X13" t="s">
        <v>78</v>
      </c>
      <c r="Y13" s="2">
        <v>15</v>
      </c>
      <c r="Z13" s="2">
        <v>15</v>
      </c>
      <c r="AA13">
        <v>0</v>
      </c>
      <c r="AB13" s="3">
        <v>0.19</v>
      </c>
      <c r="AC13" s="2">
        <v>0</v>
      </c>
      <c r="AD13" s="3">
        <v>0</v>
      </c>
      <c r="AE13" s="2">
        <v>0</v>
      </c>
      <c r="AF13" s="2">
        <v>0</v>
      </c>
      <c r="AK13" s="4">
        <v>18768970</v>
      </c>
    </row>
    <row r="14" spans="1:38" x14ac:dyDescent="0.25">
      <c r="A14" s="1">
        <v>45800</v>
      </c>
      <c r="B14" s="1">
        <v>45796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>
        <v>2028897604</v>
      </c>
      <c r="J14" t="s">
        <v>80</v>
      </c>
      <c r="M14" t="s">
        <v>53</v>
      </c>
      <c r="O14" t="s">
        <v>81</v>
      </c>
      <c r="P14" t="s">
        <v>82</v>
      </c>
      <c r="Q14" t="s">
        <v>48</v>
      </c>
      <c r="R14" t="s">
        <v>49</v>
      </c>
      <c r="S14" s="1">
        <v>45809</v>
      </c>
      <c r="U14" t="s">
        <v>50</v>
      </c>
      <c r="X14" t="s">
        <v>51</v>
      </c>
      <c r="Y14" s="2">
        <v>28.38</v>
      </c>
      <c r="Z14" s="2">
        <v>28.38</v>
      </c>
      <c r="AA14">
        <v>0</v>
      </c>
      <c r="AB14" s="3">
        <v>0.7</v>
      </c>
      <c r="AC14" s="2">
        <v>0</v>
      </c>
      <c r="AD14" s="3">
        <v>0</v>
      </c>
      <c r="AE14" s="2">
        <v>0</v>
      </c>
      <c r="AF14" s="2">
        <v>0</v>
      </c>
      <c r="AK14" s="4">
        <v>18765420</v>
      </c>
    </row>
    <row r="15" spans="1:38" x14ac:dyDescent="0.25">
      <c r="A15" s="1">
        <v>45800</v>
      </c>
      <c r="B15" s="1">
        <v>45796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>
        <v>2028897605</v>
      </c>
      <c r="J15" t="s">
        <v>80</v>
      </c>
      <c r="M15" t="s">
        <v>53</v>
      </c>
      <c r="O15" t="s">
        <v>81</v>
      </c>
      <c r="P15" t="s">
        <v>82</v>
      </c>
      <c r="Q15" t="s">
        <v>48</v>
      </c>
      <c r="R15" t="s">
        <v>83</v>
      </c>
      <c r="S15" s="1">
        <v>45809</v>
      </c>
      <c r="U15" t="s">
        <v>50</v>
      </c>
      <c r="X15" t="s">
        <v>51</v>
      </c>
      <c r="Y15" s="2">
        <v>16.7</v>
      </c>
      <c r="Z15" s="2">
        <v>16.7</v>
      </c>
      <c r="AA15">
        <v>0</v>
      </c>
      <c r="AB15" s="3">
        <v>0.75</v>
      </c>
      <c r="AC15" s="2">
        <v>0</v>
      </c>
      <c r="AD15" s="3">
        <v>0</v>
      </c>
      <c r="AE15" s="2">
        <v>0</v>
      </c>
      <c r="AF15" s="2">
        <v>0</v>
      </c>
      <c r="AK15" s="4">
        <v>18771280</v>
      </c>
    </row>
    <row r="16" spans="1:38" x14ac:dyDescent="0.25">
      <c r="A16" s="1">
        <v>45800</v>
      </c>
      <c r="B16" s="1">
        <v>45796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>
        <v>2028898008</v>
      </c>
      <c r="J16" t="s">
        <v>84</v>
      </c>
      <c r="M16" t="s">
        <v>85</v>
      </c>
      <c r="O16" t="s">
        <v>86</v>
      </c>
      <c r="P16" t="s">
        <v>87</v>
      </c>
      <c r="Q16" t="s">
        <v>48</v>
      </c>
      <c r="R16" t="s">
        <v>88</v>
      </c>
      <c r="S16" s="1">
        <v>45809</v>
      </c>
      <c r="U16" t="s">
        <v>50</v>
      </c>
      <c r="X16" t="s">
        <v>51</v>
      </c>
      <c r="Y16" s="2">
        <v>428.26</v>
      </c>
      <c r="Z16" s="2">
        <v>428.26</v>
      </c>
      <c r="AA16">
        <v>0</v>
      </c>
      <c r="AB16" s="3">
        <v>0.38</v>
      </c>
      <c r="AC16" s="2">
        <v>0</v>
      </c>
      <c r="AD16" s="3">
        <v>0</v>
      </c>
      <c r="AE16" s="2">
        <v>0</v>
      </c>
      <c r="AF16" s="2">
        <v>0</v>
      </c>
      <c r="AK16" s="4">
        <v>18765430</v>
      </c>
    </row>
    <row r="17" spans="1:37" x14ac:dyDescent="0.25">
      <c r="A17" s="1">
        <v>45800</v>
      </c>
      <c r="B17" s="1">
        <v>45796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>
        <v>2028898009</v>
      </c>
      <c r="J17" t="s">
        <v>84</v>
      </c>
      <c r="M17" t="s">
        <v>85</v>
      </c>
      <c r="O17" t="s">
        <v>86</v>
      </c>
      <c r="P17" t="s">
        <v>87</v>
      </c>
      <c r="Q17" t="s">
        <v>48</v>
      </c>
      <c r="R17" t="s">
        <v>89</v>
      </c>
      <c r="S17" s="1">
        <v>45809</v>
      </c>
      <c r="U17" t="s">
        <v>50</v>
      </c>
      <c r="X17" t="s">
        <v>51</v>
      </c>
      <c r="Y17" s="2">
        <v>7.09</v>
      </c>
      <c r="Z17" s="2">
        <v>7.09</v>
      </c>
      <c r="AA17">
        <v>0</v>
      </c>
      <c r="AB17" s="3">
        <v>0.38</v>
      </c>
      <c r="AC17" s="2">
        <v>0</v>
      </c>
      <c r="AD17" s="3">
        <v>0</v>
      </c>
      <c r="AE17" s="2">
        <v>0</v>
      </c>
      <c r="AF17" s="2">
        <v>0</v>
      </c>
      <c r="AK17" s="4">
        <v>18778270</v>
      </c>
    </row>
    <row r="18" spans="1:37" x14ac:dyDescent="0.25">
      <c r="A18" s="1">
        <v>45800</v>
      </c>
      <c r="B18" s="1">
        <v>45796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>
        <v>2028898163</v>
      </c>
      <c r="J18" t="s">
        <v>90</v>
      </c>
      <c r="M18" t="s">
        <v>74</v>
      </c>
      <c r="O18" t="s">
        <v>75</v>
      </c>
      <c r="P18" t="s">
        <v>76</v>
      </c>
      <c r="Q18" t="s">
        <v>48</v>
      </c>
      <c r="R18" t="s">
        <v>91</v>
      </c>
      <c r="S18" s="1">
        <v>45809</v>
      </c>
      <c r="U18" t="s">
        <v>50</v>
      </c>
      <c r="X18" t="s">
        <v>51</v>
      </c>
      <c r="Y18" s="2">
        <v>55.78</v>
      </c>
      <c r="Z18" s="2">
        <v>55.78</v>
      </c>
      <c r="AA18">
        <v>0</v>
      </c>
      <c r="AB18" s="3">
        <v>0.75</v>
      </c>
      <c r="AC18" s="2">
        <v>0</v>
      </c>
      <c r="AD18" s="3">
        <v>0</v>
      </c>
      <c r="AE18" s="2">
        <v>0</v>
      </c>
      <c r="AF18" s="2">
        <v>0</v>
      </c>
      <c r="AK18" s="4">
        <v>18771280</v>
      </c>
    </row>
    <row r="19" spans="1:37" x14ac:dyDescent="0.25">
      <c r="A19" s="1">
        <v>45800</v>
      </c>
      <c r="B19" s="1">
        <v>45796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>
        <v>2028898164</v>
      </c>
      <c r="J19" t="s">
        <v>90</v>
      </c>
      <c r="M19" t="s">
        <v>74</v>
      </c>
      <c r="O19" t="s">
        <v>75</v>
      </c>
      <c r="P19" t="s">
        <v>76</v>
      </c>
      <c r="Q19" t="s">
        <v>48</v>
      </c>
      <c r="R19" t="s">
        <v>49</v>
      </c>
      <c r="S19" s="1">
        <v>45809</v>
      </c>
      <c r="U19" t="s">
        <v>50</v>
      </c>
      <c r="X19" t="s">
        <v>51</v>
      </c>
      <c r="Y19" s="2">
        <v>47.72</v>
      </c>
      <c r="Z19" s="2">
        <v>47.72</v>
      </c>
      <c r="AA19">
        <v>0</v>
      </c>
      <c r="AB19" s="3">
        <v>0.7</v>
      </c>
      <c r="AC19" s="2">
        <v>0</v>
      </c>
      <c r="AD19" s="3">
        <v>0</v>
      </c>
      <c r="AE19" s="2">
        <v>0</v>
      </c>
      <c r="AF19" s="2">
        <v>0</v>
      </c>
      <c r="AK19" s="4">
        <v>18765430</v>
      </c>
    </row>
    <row r="20" spans="1:37" x14ac:dyDescent="0.25">
      <c r="A20" s="1">
        <v>45800</v>
      </c>
      <c r="B20" s="1">
        <v>45796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>
        <v>2028898165</v>
      </c>
      <c r="J20" t="s">
        <v>90</v>
      </c>
      <c r="M20" t="s">
        <v>74</v>
      </c>
      <c r="O20" t="s">
        <v>75</v>
      </c>
      <c r="P20" t="s">
        <v>76</v>
      </c>
      <c r="Q20" t="s">
        <v>48</v>
      </c>
      <c r="R20" t="s">
        <v>92</v>
      </c>
      <c r="S20" s="1">
        <v>45809</v>
      </c>
      <c r="U20" t="s">
        <v>50</v>
      </c>
      <c r="X20" t="s">
        <v>51</v>
      </c>
      <c r="Y20" s="2">
        <v>8.3699999999999992</v>
      </c>
      <c r="Z20" s="2">
        <v>8.3699999999999992</v>
      </c>
      <c r="AA20">
        <v>0</v>
      </c>
      <c r="AB20" s="3">
        <v>0.7</v>
      </c>
      <c r="AC20" s="2">
        <v>0</v>
      </c>
      <c r="AD20" s="3">
        <v>0</v>
      </c>
      <c r="AE20" s="2">
        <v>0</v>
      </c>
      <c r="AF20" s="2">
        <v>0</v>
      </c>
      <c r="AK20" s="4">
        <v>18760790</v>
      </c>
    </row>
    <row r="21" spans="1:37" x14ac:dyDescent="0.25">
      <c r="A21" s="1">
        <v>45800</v>
      </c>
      <c r="B21" s="1">
        <v>45796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>
        <v>2028898166</v>
      </c>
      <c r="J21" t="s">
        <v>90</v>
      </c>
      <c r="M21" t="s">
        <v>74</v>
      </c>
      <c r="O21" t="s">
        <v>75</v>
      </c>
      <c r="P21" t="s">
        <v>76</v>
      </c>
      <c r="Q21" t="s">
        <v>48</v>
      </c>
      <c r="R21" t="s">
        <v>93</v>
      </c>
      <c r="S21" s="1">
        <v>45809</v>
      </c>
      <c r="U21" t="s">
        <v>50</v>
      </c>
      <c r="X21" t="s">
        <v>51</v>
      </c>
      <c r="Y21" s="2">
        <v>34.01</v>
      </c>
      <c r="Z21" s="2">
        <v>34.01</v>
      </c>
      <c r="AA21">
        <v>0</v>
      </c>
      <c r="AB21" s="3">
        <v>0.6</v>
      </c>
      <c r="AC21" s="2">
        <v>0</v>
      </c>
      <c r="AD21" s="3">
        <v>0</v>
      </c>
      <c r="AE21" s="2">
        <v>0</v>
      </c>
      <c r="AF21" s="2">
        <v>0</v>
      </c>
      <c r="AK21" s="4">
        <v>18771280</v>
      </c>
    </row>
    <row r="22" spans="1:37" x14ac:dyDescent="0.25">
      <c r="A22" s="1">
        <v>45800</v>
      </c>
      <c r="B22" s="1">
        <v>45796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>
        <v>2028898558</v>
      </c>
      <c r="J22" t="s">
        <v>94</v>
      </c>
      <c r="M22" t="s">
        <v>65</v>
      </c>
      <c r="O22" t="s">
        <v>86</v>
      </c>
      <c r="P22" t="s">
        <v>87</v>
      </c>
      <c r="Q22" t="s">
        <v>48</v>
      </c>
      <c r="R22" t="s">
        <v>49</v>
      </c>
      <c r="S22" s="1">
        <v>45809</v>
      </c>
      <c r="U22" t="s">
        <v>50</v>
      </c>
      <c r="X22" t="s">
        <v>51</v>
      </c>
      <c r="Y22" s="2">
        <v>23.85</v>
      </c>
      <c r="Z22" s="2">
        <v>23.85</v>
      </c>
      <c r="AA22">
        <v>0</v>
      </c>
      <c r="AB22" s="3">
        <v>0.7</v>
      </c>
      <c r="AC22" s="2">
        <v>0</v>
      </c>
      <c r="AD22" s="3">
        <v>0</v>
      </c>
      <c r="AE22" s="2">
        <v>0</v>
      </c>
      <c r="AF22" s="2">
        <v>0</v>
      </c>
      <c r="AK22" s="4">
        <v>18765440</v>
      </c>
    </row>
    <row r="23" spans="1:37" x14ac:dyDescent="0.25">
      <c r="A23" s="1">
        <v>45800</v>
      </c>
      <c r="B23" s="1">
        <v>45796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>
        <v>2028898559</v>
      </c>
      <c r="J23" t="s">
        <v>94</v>
      </c>
      <c r="M23" t="s">
        <v>65</v>
      </c>
      <c r="O23" t="s">
        <v>86</v>
      </c>
      <c r="P23" t="s">
        <v>87</v>
      </c>
      <c r="Q23" t="s">
        <v>48</v>
      </c>
      <c r="R23" t="s">
        <v>95</v>
      </c>
      <c r="S23" s="1">
        <v>45809</v>
      </c>
      <c r="U23" t="s">
        <v>50</v>
      </c>
      <c r="X23" t="s">
        <v>51</v>
      </c>
      <c r="Y23" s="2">
        <v>56.08</v>
      </c>
      <c r="Z23" s="2">
        <v>56.08</v>
      </c>
      <c r="AA23">
        <v>0</v>
      </c>
      <c r="AB23" s="3">
        <v>0.9</v>
      </c>
      <c r="AC23" s="2">
        <v>0</v>
      </c>
      <c r="AD23" s="3">
        <v>0</v>
      </c>
      <c r="AE23" s="2">
        <v>0</v>
      </c>
      <c r="AF23" s="2">
        <v>0</v>
      </c>
      <c r="AK23" s="4">
        <v>18771280</v>
      </c>
    </row>
    <row r="24" spans="1:37" x14ac:dyDescent="0.25">
      <c r="A24" s="1">
        <v>45800</v>
      </c>
      <c r="B24" s="1">
        <v>45796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>
        <v>2028899589</v>
      </c>
      <c r="J24" t="s">
        <v>96</v>
      </c>
      <c r="M24" t="s">
        <v>74</v>
      </c>
      <c r="O24" t="s">
        <v>97</v>
      </c>
      <c r="P24" t="s">
        <v>98</v>
      </c>
      <c r="Q24" t="s">
        <v>48</v>
      </c>
      <c r="R24" t="s">
        <v>99</v>
      </c>
      <c r="S24" s="1">
        <v>45790</v>
      </c>
      <c r="U24" t="s">
        <v>50</v>
      </c>
      <c r="X24" t="s">
        <v>51</v>
      </c>
      <c r="Y24" s="2">
        <v>44.66</v>
      </c>
      <c r="Z24" s="2">
        <v>44.66</v>
      </c>
      <c r="AA24">
        <v>0</v>
      </c>
      <c r="AB24" s="3">
        <v>0.6</v>
      </c>
      <c r="AC24" s="2">
        <v>0</v>
      </c>
      <c r="AD24" s="3">
        <v>0</v>
      </c>
      <c r="AE24" s="2">
        <v>0</v>
      </c>
      <c r="AF24" s="2">
        <v>0</v>
      </c>
      <c r="AK24" s="4">
        <v>18771280</v>
      </c>
    </row>
    <row r="25" spans="1:37" x14ac:dyDescent="0.25">
      <c r="A25" s="1">
        <v>45800</v>
      </c>
      <c r="B25" s="1">
        <v>45796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>
        <v>2028899590</v>
      </c>
      <c r="J25" t="s">
        <v>96</v>
      </c>
      <c r="M25" t="s">
        <v>74</v>
      </c>
      <c r="O25" t="s">
        <v>97</v>
      </c>
      <c r="P25" t="s">
        <v>98</v>
      </c>
      <c r="Q25" t="s">
        <v>48</v>
      </c>
      <c r="R25" t="s">
        <v>49</v>
      </c>
      <c r="S25" s="1">
        <v>45790</v>
      </c>
      <c r="U25" t="s">
        <v>50</v>
      </c>
      <c r="X25" t="s">
        <v>51</v>
      </c>
      <c r="Y25" s="2">
        <v>95.57</v>
      </c>
      <c r="Z25" s="2">
        <v>95.57</v>
      </c>
      <c r="AA25">
        <v>0</v>
      </c>
      <c r="AB25" s="3">
        <v>0.7</v>
      </c>
      <c r="AC25" s="2">
        <v>0</v>
      </c>
      <c r="AD25" s="3">
        <v>0</v>
      </c>
      <c r="AE25" s="2">
        <v>0</v>
      </c>
      <c r="AF25" s="2">
        <v>0</v>
      </c>
      <c r="AK25" s="4">
        <v>18765440</v>
      </c>
    </row>
    <row r="26" spans="1:37" x14ac:dyDescent="0.25">
      <c r="A26" s="1">
        <v>45800</v>
      </c>
      <c r="B26" s="1">
        <v>45796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>
        <v>2028899591</v>
      </c>
      <c r="J26" t="s">
        <v>96</v>
      </c>
      <c r="M26" t="s">
        <v>74</v>
      </c>
      <c r="O26" t="s">
        <v>97</v>
      </c>
      <c r="P26" t="s">
        <v>98</v>
      </c>
      <c r="Q26" t="s">
        <v>48</v>
      </c>
      <c r="R26" t="s">
        <v>95</v>
      </c>
      <c r="S26" s="1">
        <v>45790</v>
      </c>
      <c r="U26" t="s">
        <v>50</v>
      </c>
      <c r="X26" t="s">
        <v>51</v>
      </c>
      <c r="Y26" s="2">
        <v>72.13</v>
      </c>
      <c r="Z26" s="2">
        <v>72.13</v>
      </c>
      <c r="AA26">
        <v>0</v>
      </c>
      <c r="AB26" s="3">
        <v>0.9</v>
      </c>
      <c r="AC26" s="2">
        <v>0</v>
      </c>
      <c r="AD26" s="3">
        <v>0</v>
      </c>
      <c r="AE26" s="2">
        <v>0</v>
      </c>
      <c r="AF26" s="2">
        <v>0</v>
      </c>
      <c r="AK26" s="4">
        <v>18771290</v>
      </c>
    </row>
    <row r="27" spans="1:37" x14ac:dyDescent="0.25">
      <c r="A27" s="1">
        <v>45800</v>
      </c>
      <c r="B27" s="1">
        <v>45796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>
        <v>2028901561</v>
      </c>
      <c r="J27" t="s">
        <v>100</v>
      </c>
      <c r="M27" t="s">
        <v>101</v>
      </c>
      <c r="O27" t="s">
        <v>102</v>
      </c>
      <c r="P27" t="s">
        <v>103</v>
      </c>
      <c r="Q27" t="s">
        <v>48</v>
      </c>
      <c r="R27" t="s">
        <v>56</v>
      </c>
      <c r="S27" s="1">
        <v>45809</v>
      </c>
      <c r="U27" t="s">
        <v>50</v>
      </c>
      <c r="X27" t="s">
        <v>51</v>
      </c>
      <c r="Y27" s="2">
        <v>24.88</v>
      </c>
      <c r="Z27" s="2">
        <v>24.88</v>
      </c>
      <c r="AA27">
        <v>0</v>
      </c>
      <c r="AB27" s="3">
        <v>0.375</v>
      </c>
      <c r="AC27" s="2">
        <v>0</v>
      </c>
      <c r="AD27" s="3">
        <v>0</v>
      </c>
      <c r="AE27" s="2">
        <v>0</v>
      </c>
      <c r="AF27" s="2">
        <v>0</v>
      </c>
      <c r="AK27" s="4">
        <v>18777280</v>
      </c>
    </row>
    <row r="28" spans="1:37" x14ac:dyDescent="0.25">
      <c r="A28" s="1">
        <v>45800</v>
      </c>
      <c r="B28" s="1">
        <v>45796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>
        <v>2028901562</v>
      </c>
      <c r="J28" t="s">
        <v>100</v>
      </c>
      <c r="M28" t="s">
        <v>101</v>
      </c>
      <c r="O28" t="s">
        <v>102</v>
      </c>
      <c r="P28" t="s">
        <v>103</v>
      </c>
      <c r="Q28" t="s">
        <v>48</v>
      </c>
      <c r="R28" t="s">
        <v>104</v>
      </c>
      <c r="S28" s="1">
        <v>45809</v>
      </c>
      <c r="U28" t="s">
        <v>50</v>
      </c>
      <c r="X28" t="s">
        <v>51</v>
      </c>
      <c r="Y28" s="2">
        <v>55.16</v>
      </c>
      <c r="Z28" s="2">
        <v>55.16</v>
      </c>
      <c r="AA28">
        <v>0</v>
      </c>
      <c r="AB28" s="3">
        <v>0.38</v>
      </c>
      <c r="AC28" s="2">
        <v>0</v>
      </c>
      <c r="AD28" s="3">
        <v>0</v>
      </c>
      <c r="AE28" s="2">
        <v>0</v>
      </c>
      <c r="AF28" s="2">
        <v>0</v>
      </c>
      <c r="AK28" s="4">
        <v>18778680</v>
      </c>
    </row>
    <row r="29" spans="1:37" x14ac:dyDescent="0.25">
      <c r="A29" s="1">
        <v>45800</v>
      </c>
      <c r="B29" s="1">
        <v>45796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>
        <v>2028901994</v>
      </c>
      <c r="J29" t="s">
        <v>105</v>
      </c>
      <c r="M29" t="s">
        <v>106</v>
      </c>
      <c r="O29" t="s">
        <v>107</v>
      </c>
      <c r="P29" t="s">
        <v>108</v>
      </c>
      <c r="Q29" t="s">
        <v>48</v>
      </c>
      <c r="R29" t="s">
        <v>104</v>
      </c>
      <c r="S29" s="1">
        <v>45809</v>
      </c>
      <c r="U29" t="s">
        <v>50</v>
      </c>
      <c r="X29" t="s">
        <v>51</v>
      </c>
      <c r="Y29" s="2">
        <v>20.76</v>
      </c>
      <c r="Z29" s="2">
        <v>20.76</v>
      </c>
      <c r="AA29">
        <v>0</v>
      </c>
      <c r="AB29" s="3">
        <v>0.38</v>
      </c>
      <c r="AC29" s="2">
        <v>0</v>
      </c>
      <c r="AD29" s="3">
        <v>0</v>
      </c>
      <c r="AE29" s="2">
        <v>0</v>
      </c>
      <c r="AF29" s="2">
        <v>0</v>
      </c>
      <c r="AK29" s="4">
        <v>18778680</v>
      </c>
    </row>
    <row r="30" spans="1:37" x14ac:dyDescent="0.25">
      <c r="A30" s="1">
        <v>45800</v>
      </c>
      <c r="B30" s="1">
        <v>45796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>
        <v>2028901995</v>
      </c>
      <c r="J30" t="s">
        <v>105</v>
      </c>
      <c r="M30" t="s">
        <v>106</v>
      </c>
      <c r="O30" t="s">
        <v>107</v>
      </c>
      <c r="P30" t="s">
        <v>108</v>
      </c>
      <c r="Q30" t="s">
        <v>48</v>
      </c>
      <c r="R30" t="s">
        <v>49</v>
      </c>
      <c r="S30" s="1">
        <v>45809</v>
      </c>
      <c r="U30" t="s">
        <v>50</v>
      </c>
      <c r="X30" t="s">
        <v>51</v>
      </c>
      <c r="Y30" s="2">
        <v>13.34</v>
      </c>
      <c r="Z30" s="2">
        <v>13.34</v>
      </c>
      <c r="AA30">
        <v>0</v>
      </c>
      <c r="AB30" s="3">
        <v>0.7</v>
      </c>
      <c r="AC30" s="2">
        <v>0</v>
      </c>
      <c r="AD30" s="3">
        <v>0</v>
      </c>
      <c r="AE30" s="2">
        <v>0</v>
      </c>
      <c r="AF30" s="2">
        <v>0</v>
      </c>
      <c r="AK30" s="4">
        <v>18765460</v>
      </c>
    </row>
    <row r="31" spans="1:37" x14ac:dyDescent="0.25">
      <c r="A31" s="1">
        <v>45800</v>
      </c>
      <c r="B31" s="1">
        <v>45796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>
        <v>2028901996</v>
      </c>
      <c r="J31" t="s">
        <v>105</v>
      </c>
      <c r="M31" t="s">
        <v>106</v>
      </c>
      <c r="O31" t="s">
        <v>107</v>
      </c>
      <c r="P31" t="s">
        <v>108</v>
      </c>
      <c r="Q31" t="s">
        <v>48</v>
      </c>
      <c r="R31" t="s">
        <v>109</v>
      </c>
      <c r="S31" s="1">
        <v>45809</v>
      </c>
      <c r="U31" t="s">
        <v>50</v>
      </c>
      <c r="X31" t="s">
        <v>51</v>
      </c>
      <c r="Y31" s="2">
        <v>15</v>
      </c>
      <c r="Z31" s="2">
        <v>15</v>
      </c>
      <c r="AA31">
        <v>0</v>
      </c>
      <c r="AB31" s="3">
        <v>0.38</v>
      </c>
      <c r="AC31" s="2">
        <v>0</v>
      </c>
      <c r="AD31" s="3">
        <v>0</v>
      </c>
      <c r="AE31" s="2">
        <v>0</v>
      </c>
      <c r="AF31" s="2">
        <v>0</v>
      </c>
      <c r="AK31" s="4">
        <v>18769000</v>
      </c>
    </row>
    <row r="32" spans="1:37" x14ac:dyDescent="0.25">
      <c r="A32" s="1">
        <v>45800</v>
      </c>
      <c r="B32" s="1">
        <v>45796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>
        <v>2028902064</v>
      </c>
      <c r="J32" t="s">
        <v>110</v>
      </c>
      <c r="M32" t="s">
        <v>53</v>
      </c>
      <c r="O32" t="s">
        <v>58</v>
      </c>
      <c r="P32" t="s">
        <v>59</v>
      </c>
      <c r="Q32" t="s">
        <v>48</v>
      </c>
      <c r="R32" t="s">
        <v>56</v>
      </c>
      <c r="S32" s="1">
        <v>45790</v>
      </c>
      <c r="U32" t="s">
        <v>50</v>
      </c>
      <c r="X32" t="s">
        <v>111</v>
      </c>
      <c r="Y32" s="2">
        <v>49.19</v>
      </c>
      <c r="Z32" s="2">
        <v>49.19</v>
      </c>
      <c r="AA32">
        <v>0</v>
      </c>
      <c r="AB32" s="3">
        <v>0.375</v>
      </c>
      <c r="AC32" s="2">
        <v>0</v>
      </c>
      <c r="AD32" s="3">
        <v>0</v>
      </c>
      <c r="AE32" s="2">
        <v>0</v>
      </c>
      <c r="AF32" s="2">
        <v>0</v>
      </c>
      <c r="AK32" s="4">
        <v>18777280</v>
      </c>
    </row>
    <row r="33" spans="1:37" x14ac:dyDescent="0.25">
      <c r="A33" s="1">
        <v>45800</v>
      </c>
      <c r="B33" s="1">
        <v>45796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>
        <v>2028902065</v>
      </c>
      <c r="J33" t="s">
        <v>110</v>
      </c>
      <c r="M33" t="s">
        <v>53</v>
      </c>
      <c r="O33" t="s">
        <v>58</v>
      </c>
      <c r="P33" t="s">
        <v>59</v>
      </c>
      <c r="Q33" t="s">
        <v>48</v>
      </c>
      <c r="R33" t="s">
        <v>49</v>
      </c>
      <c r="S33" s="1">
        <v>45790</v>
      </c>
      <c r="U33" t="s">
        <v>50</v>
      </c>
      <c r="X33" t="s">
        <v>111</v>
      </c>
      <c r="Y33" s="2">
        <v>13</v>
      </c>
      <c r="Z33" s="2">
        <v>13</v>
      </c>
      <c r="AA33">
        <v>0</v>
      </c>
      <c r="AB33" s="3">
        <v>0.7</v>
      </c>
      <c r="AC33" s="2">
        <v>0</v>
      </c>
      <c r="AD33" s="3">
        <v>0</v>
      </c>
      <c r="AE33" s="2">
        <v>0</v>
      </c>
      <c r="AF33" s="2">
        <v>0</v>
      </c>
      <c r="AK33" s="4">
        <v>18765460</v>
      </c>
    </row>
    <row r="34" spans="1:37" x14ac:dyDescent="0.25">
      <c r="A34" s="1">
        <v>45800</v>
      </c>
      <c r="B34" s="1">
        <v>45796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>
        <v>2028904030</v>
      </c>
      <c r="J34" t="s">
        <v>112</v>
      </c>
      <c r="M34" t="s">
        <v>65</v>
      </c>
      <c r="O34" t="s">
        <v>86</v>
      </c>
      <c r="P34" t="s">
        <v>87</v>
      </c>
      <c r="Q34" t="s">
        <v>48</v>
      </c>
      <c r="R34" t="s">
        <v>88</v>
      </c>
      <c r="S34" s="1">
        <v>45809</v>
      </c>
      <c r="U34" t="s">
        <v>50</v>
      </c>
      <c r="X34" t="s">
        <v>51</v>
      </c>
      <c r="Y34" s="2">
        <v>898</v>
      </c>
      <c r="Z34" s="2">
        <v>898</v>
      </c>
      <c r="AA34">
        <v>0</v>
      </c>
      <c r="AB34" s="3">
        <v>0.38</v>
      </c>
      <c r="AC34" s="2">
        <v>0</v>
      </c>
      <c r="AD34" s="3">
        <v>0</v>
      </c>
      <c r="AE34" s="2">
        <v>0</v>
      </c>
      <c r="AF34" s="2">
        <v>0</v>
      </c>
      <c r="AK34" s="4">
        <v>18765480</v>
      </c>
    </row>
    <row r="35" spans="1:37" x14ac:dyDescent="0.25">
      <c r="A35" s="1">
        <v>45800</v>
      </c>
      <c r="B35" s="1">
        <v>45796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>
        <v>2028904031</v>
      </c>
      <c r="J35" t="s">
        <v>112</v>
      </c>
      <c r="M35" t="s">
        <v>65</v>
      </c>
      <c r="O35" t="s">
        <v>86</v>
      </c>
      <c r="P35" t="s">
        <v>87</v>
      </c>
      <c r="Q35" t="s">
        <v>48</v>
      </c>
      <c r="R35" t="s">
        <v>89</v>
      </c>
      <c r="S35" s="1">
        <v>45809</v>
      </c>
      <c r="U35" t="s">
        <v>50</v>
      </c>
      <c r="X35" t="s">
        <v>51</v>
      </c>
      <c r="Y35" s="2">
        <v>7.09</v>
      </c>
      <c r="Z35" s="2">
        <v>7.09</v>
      </c>
      <c r="AA35">
        <v>0</v>
      </c>
      <c r="AB35" s="3">
        <v>0.38</v>
      </c>
      <c r="AC35" s="2">
        <v>0</v>
      </c>
      <c r="AD35" s="3">
        <v>0</v>
      </c>
      <c r="AE35" s="2">
        <v>0</v>
      </c>
      <c r="AF35" s="2">
        <v>0</v>
      </c>
      <c r="AK35" s="4">
        <v>18778270</v>
      </c>
    </row>
    <row r="36" spans="1:37" x14ac:dyDescent="0.25">
      <c r="A36" s="1">
        <v>45800</v>
      </c>
      <c r="B36" s="1">
        <v>45796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>
        <v>2028904032</v>
      </c>
      <c r="J36" t="s">
        <v>112</v>
      </c>
      <c r="M36" t="s">
        <v>65</v>
      </c>
      <c r="O36" t="s">
        <v>86</v>
      </c>
      <c r="P36" t="s">
        <v>87</v>
      </c>
      <c r="Q36" t="s">
        <v>48</v>
      </c>
      <c r="R36" t="s">
        <v>56</v>
      </c>
      <c r="S36" s="1">
        <v>45809</v>
      </c>
      <c r="U36" t="s">
        <v>50</v>
      </c>
      <c r="X36" t="s">
        <v>51</v>
      </c>
      <c r="Y36" s="2">
        <v>129.41</v>
      </c>
      <c r="Z36" s="2">
        <v>129.41</v>
      </c>
      <c r="AA36">
        <v>0</v>
      </c>
      <c r="AB36" s="3">
        <v>0.375</v>
      </c>
      <c r="AC36" s="2">
        <v>0</v>
      </c>
      <c r="AD36" s="3">
        <v>0</v>
      </c>
      <c r="AE36" s="2">
        <v>0</v>
      </c>
      <c r="AF36" s="2">
        <v>0</v>
      </c>
      <c r="AK36" s="4">
        <v>18777310</v>
      </c>
    </row>
    <row r="37" spans="1:37" x14ac:dyDescent="0.25">
      <c r="A37" s="1">
        <v>45800</v>
      </c>
      <c r="B37" s="1">
        <v>45796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>
        <v>2028904033</v>
      </c>
      <c r="J37" t="s">
        <v>112</v>
      </c>
      <c r="M37" t="s">
        <v>65</v>
      </c>
      <c r="O37" t="s">
        <v>86</v>
      </c>
      <c r="P37" t="s">
        <v>87</v>
      </c>
      <c r="Q37" t="s">
        <v>48</v>
      </c>
      <c r="R37" t="s">
        <v>49</v>
      </c>
      <c r="S37" s="1">
        <v>45809</v>
      </c>
      <c r="U37" t="s">
        <v>50</v>
      </c>
      <c r="X37" t="s">
        <v>51</v>
      </c>
      <c r="Y37" s="2">
        <v>250.06</v>
      </c>
      <c r="Z37" s="2">
        <v>250.06</v>
      </c>
      <c r="AA37">
        <v>0</v>
      </c>
      <c r="AB37" s="3">
        <v>0.7</v>
      </c>
      <c r="AC37" s="2">
        <v>0</v>
      </c>
      <c r="AD37" s="3">
        <v>0</v>
      </c>
      <c r="AE37" s="2">
        <v>0</v>
      </c>
      <c r="AF37" s="2">
        <v>0</v>
      </c>
      <c r="AK37" s="4">
        <v>18765480</v>
      </c>
    </row>
    <row r="38" spans="1:37" x14ac:dyDescent="0.25">
      <c r="A38" s="1">
        <v>45800</v>
      </c>
      <c r="B38" s="1">
        <v>45796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>
        <v>2028904034</v>
      </c>
      <c r="J38" t="s">
        <v>112</v>
      </c>
      <c r="M38" t="s">
        <v>65</v>
      </c>
      <c r="O38" t="s">
        <v>86</v>
      </c>
      <c r="P38" t="s">
        <v>87</v>
      </c>
      <c r="Q38" t="s">
        <v>48</v>
      </c>
      <c r="R38" t="s">
        <v>72</v>
      </c>
      <c r="S38" s="1">
        <v>45809</v>
      </c>
      <c r="U38" t="s">
        <v>50</v>
      </c>
      <c r="X38" t="s">
        <v>51</v>
      </c>
      <c r="Y38" s="2">
        <v>385.75</v>
      </c>
      <c r="Z38" s="2">
        <v>385.75</v>
      </c>
      <c r="AA38">
        <v>0</v>
      </c>
      <c r="AB38" s="3">
        <v>0.9</v>
      </c>
      <c r="AC38" s="2">
        <v>0</v>
      </c>
      <c r="AD38" s="3">
        <v>0</v>
      </c>
      <c r="AE38" s="2">
        <v>0</v>
      </c>
      <c r="AF38" s="2">
        <v>0</v>
      </c>
      <c r="AK38" s="4">
        <v>18780560</v>
      </c>
    </row>
    <row r="39" spans="1:37" x14ac:dyDescent="0.25">
      <c r="A39" s="1">
        <v>45800</v>
      </c>
      <c r="B39" s="1">
        <v>45796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>
        <v>2028904035</v>
      </c>
      <c r="J39" t="s">
        <v>112</v>
      </c>
      <c r="M39" t="s">
        <v>65</v>
      </c>
      <c r="O39" t="s">
        <v>86</v>
      </c>
      <c r="P39" t="s">
        <v>87</v>
      </c>
      <c r="Q39" t="s">
        <v>48</v>
      </c>
      <c r="R39" t="s">
        <v>113</v>
      </c>
      <c r="S39" s="1">
        <v>45809</v>
      </c>
      <c r="U39" t="s">
        <v>50</v>
      </c>
      <c r="X39" t="s">
        <v>114</v>
      </c>
      <c r="Y39" s="2">
        <v>15</v>
      </c>
      <c r="Z39" s="2">
        <v>15</v>
      </c>
      <c r="AA39">
        <v>0</v>
      </c>
      <c r="AB39" s="3">
        <v>0.38</v>
      </c>
      <c r="AC39" s="2">
        <v>0</v>
      </c>
      <c r="AD39" s="3">
        <v>0</v>
      </c>
      <c r="AE39" s="2">
        <v>0</v>
      </c>
      <c r="AF39" s="2">
        <v>0</v>
      </c>
      <c r="AK39" s="4">
        <v>18769010</v>
      </c>
    </row>
    <row r="40" spans="1:37" x14ac:dyDescent="0.25">
      <c r="A40" s="1">
        <v>45800</v>
      </c>
      <c r="B40" s="1">
        <v>45796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>
        <v>2028912169</v>
      </c>
      <c r="J40" t="s">
        <v>115</v>
      </c>
      <c r="M40" t="s">
        <v>106</v>
      </c>
      <c r="O40" t="s">
        <v>66</v>
      </c>
      <c r="P40" t="s">
        <v>67</v>
      </c>
      <c r="Q40" t="s">
        <v>48</v>
      </c>
      <c r="R40" t="s">
        <v>49</v>
      </c>
      <c r="S40" s="1">
        <v>45809</v>
      </c>
      <c r="U40" t="s">
        <v>50</v>
      </c>
      <c r="X40" t="s">
        <v>51</v>
      </c>
      <c r="Y40" s="2">
        <v>33.54</v>
      </c>
      <c r="Z40" s="2">
        <v>33.54</v>
      </c>
      <c r="AA40">
        <v>0</v>
      </c>
      <c r="AB40" s="3">
        <v>0.7</v>
      </c>
      <c r="AC40" s="2">
        <v>0</v>
      </c>
      <c r="AD40" s="3">
        <v>0</v>
      </c>
      <c r="AE40" s="2">
        <v>0</v>
      </c>
      <c r="AF40" s="2">
        <v>0</v>
      </c>
      <c r="AK40" s="4">
        <v>18765540</v>
      </c>
    </row>
    <row r="41" spans="1:37" x14ac:dyDescent="0.25">
      <c r="A41" s="1">
        <v>45800</v>
      </c>
      <c r="B41" s="1">
        <v>45796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>
        <v>2028912170</v>
      </c>
      <c r="J41" t="s">
        <v>115</v>
      </c>
      <c r="M41" t="s">
        <v>106</v>
      </c>
      <c r="O41" t="s">
        <v>66</v>
      </c>
      <c r="P41" t="s">
        <v>67</v>
      </c>
      <c r="Q41" t="s">
        <v>48</v>
      </c>
      <c r="R41" t="s">
        <v>56</v>
      </c>
      <c r="S41" s="1">
        <v>45809</v>
      </c>
      <c r="U41" t="s">
        <v>50</v>
      </c>
      <c r="X41" t="s">
        <v>51</v>
      </c>
      <c r="Y41" s="2">
        <v>65.2</v>
      </c>
      <c r="Z41" s="2">
        <v>65.2</v>
      </c>
      <c r="AA41">
        <v>0</v>
      </c>
      <c r="AB41" s="3">
        <v>0.375</v>
      </c>
      <c r="AC41" s="2">
        <v>0</v>
      </c>
      <c r="AD41" s="3">
        <v>0</v>
      </c>
      <c r="AE41" s="2">
        <v>0</v>
      </c>
      <c r="AF41" s="2">
        <v>0</v>
      </c>
      <c r="AK41" s="4">
        <v>18777400</v>
      </c>
    </row>
    <row r="42" spans="1:37" x14ac:dyDescent="0.25">
      <c r="A42" s="1">
        <v>45800</v>
      </c>
      <c r="B42" s="1">
        <v>45796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>
        <v>2028912654</v>
      </c>
      <c r="J42" t="s">
        <v>116</v>
      </c>
      <c r="M42" t="s">
        <v>53</v>
      </c>
      <c r="O42" t="s">
        <v>117</v>
      </c>
      <c r="P42" t="s">
        <v>118</v>
      </c>
      <c r="Q42" t="s">
        <v>48</v>
      </c>
      <c r="R42" t="s">
        <v>49</v>
      </c>
      <c r="S42" s="1">
        <v>45791</v>
      </c>
      <c r="U42" t="s">
        <v>50</v>
      </c>
      <c r="X42" t="s">
        <v>51</v>
      </c>
      <c r="Y42" s="2">
        <v>150.66</v>
      </c>
      <c r="Z42" s="2">
        <v>150.66</v>
      </c>
      <c r="AA42">
        <v>0</v>
      </c>
      <c r="AB42" s="3">
        <v>0.7</v>
      </c>
      <c r="AC42" s="2">
        <v>0</v>
      </c>
      <c r="AD42" s="3">
        <v>0</v>
      </c>
      <c r="AE42" s="2">
        <v>0</v>
      </c>
      <c r="AF42" s="2">
        <v>0</v>
      </c>
      <c r="AK42" s="4">
        <v>18765550</v>
      </c>
    </row>
    <row r="43" spans="1:37" x14ac:dyDescent="0.25">
      <c r="A43" s="1">
        <v>45800</v>
      </c>
      <c r="B43" s="1">
        <v>45796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>
        <v>2028913356</v>
      </c>
      <c r="J43" t="s">
        <v>119</v>
      </c>
      <c r="M43" t="s">
        <v>53</v>
      </c>
      <c r="O43" t="s">
        <v>75</v>
      </c>
      <c r="P43" t="s">
        <v>76</v>
      </c>
      <c r="Q43" t="s">
        <v>48</v>
      </c>
      <c r="R43" t="s">
        <v>83</v>
      </c>
      <c r="S43" s="1">
        <v>45809</v>
      </c>
      <c r="U43" t="s">
        <v>50</v>
      </c>
      <c r="X43" t="s">
        <v>51</v>
      </c>
      <c r="Y43" s="2">
        <v>81.099999999999994</v>
      </c>
      <c r="Z43" s="2">
        <v>81.099999999999994</v>
      </c>
      <c r="AA43">
        <v>0</v>
      </c>
      <c r="AB43" s="3">
        <v>0.75</v>
      </c>
      <c r="AC43" s="2">
        <v>0</v>
      </c>
      <c r="AD43" s="3">
        <v>0</v>
      </c>
      <c r="AE43" s="2">
        <v>0</v>
      </c>
      <c r="AF43" s="2">
        <v>0</v>
      </c>
      <c r="AK43" s="4">
        <v>18771310</v>
      </c>
    </row>
    <row r="44" spans="1:37" x14ac:dyDescent="0.25">
      <c r="A44" s="1">
        <v>45800</v>
      </c>
      <c r="B44" s="1">
        <v>45796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>
        <v>2028913357</v>
      </c>
      <c r="J44" t="s">
        <v>119</v>
      </c>
      <c r="M44" t="s">
        <v>53</v>
      </c>
      <c r="O44" t="s">
        <v>75</v>
      </c>
      <c r="P44" t="s">
        <v>76</v>
      </c>
      <c r="Q44" t="s">
        <v>48</v>
      </c>
      <c r="R44" t="s">
        <v>49</v>
      </c>
      <c r="S44" s="1">
        <v>45809</v>
      </c>
      <c r="U44" t="s">
        <v>50</v>
      </c>
      <c r="X44" t="s">
        <v>51</v>
      </c>
      <c r="Y44" s="2">
        <v>220.14</v>
      </c>
      <c r="Z44" s="2">
        <v>220.14</v>
      </c>
      <c r="AA44">
        <v>0</v>
      </c>
      <c r="AB44" s="3">
        <v>0.7</v>
      </c>
      <c r="AC44" s="2">
        <v>0</v>
      </c>
      <c r="AD44" s="3">
        <v>0</v>
      </c>
      <c r="AE44" s="2">
        <v>0</v>
      </c>
      <c r="AF44" s="2">
        <v>0</v>
      </c>
      <c r="AK44" s="4">
        <v>18765560</v>
      </c>
    </row>
    <row r="45" spans="1:37" x14ac:dyDescent="0.25">
      <c r="A45" s="1">
        <v>45800</v>
      </c>
      <c r="B45" s="1">
        <v>45796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>
        <v>2028915915</v>
      </c>
      <c r="J45" t="s">
        <v>120</v>
      </c>
      <c r="M45" t="s">
        <v>53</v>
      </c>
      <c r="O45" t="s">
        <v>121</v>
      </c>
      <c r="P45" t="s">
        <v>122</v>
      </c>
      <c r="Q45" t="s">
        <v>48</v>
      </c>
      <c r="R45" t="s">
        <v>49</v>
      </c>
      <c r="S45" s="1">
        <v>45809</v>
      </c>
      <c r="U45" t="s">
        <v>50</v>
      </c>
      <c r="X45" t="s">
        <v>51</v>
      </c>
      <c r="Y45" s="2">
        <v>72.400000000000006</v>
      </c>
      <c r="Z45" s="2">
        <v>72.400000000000006</v>
      </c>
      <c r="AA45">
        <v>0</v>
      </c>
      <c r="AB45" s="3">
        <v>0.7</v>
      </c>
      <c r="AC45" s="2">
        <v>0</v>
      </c>
      <c r="AD45" s="3">
        <v>0</v>
      </c>
      <c r="AE45" s="2">
        <v>0</v>
      </c>
      <c r="AF45" s="2">
        <v>0</v>
      </c>
      <c r="AK45" s="4">
        <v>18765570</v>
      </c>
    </row>
    <row r="46" spans="1:37" x14ac:dyDescent="0.25">
      <c r="A46" s="1">
        <v>45800</v>
      </c>
      <c r="B46" s="1">
        <v>45796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>
        <v>2028917635</v>
      </c>
      <c r="J46" t="s">
        <v>123</v>
      </c>
      <c r="M46" t="s">
        <v>65</v>
      </c>
      <c r="O46" t="s">
        <v>70</v>
      </c>
      <c r="P46" t="s">
        <v>71</v>
      </c>
      <c r="Q46" t="s">
        <v>48</v>
      </c>
      <c r="R46" t="s">
        <v>124</v>
      </c>
      <c r="S46" s="1">
        <v>45791</v>
      </c>
      <c r="U46" t="s">
        <v>50</v>
      </c>
      <c r="X46" t="s">
        <v>51</v>
      </c>
      <c r="Y46" s="2">
        <v>30.09</v>
      </c>
      <c r="Z46" s="2">
        <v>30.09</v>
      </c>
      <c r="AA46">
        <v>0</v>
      </c>
      <c r="AB46" s="3">
        <v>0.42</v>
      </c>
      <c r="AC46" s="2">
        <v>0</v>
      </c>
      <c r="AD46" s="3">
        <v>0</v>
      </c>
      <c r="AE46" s="2">
        <v>0</v>
      </c>
      <c r="AF46" s="2">
        <v>0</v>
      </c>
      <c r="AK46" s="4">
        <v>18777460</v>
      </c>
    </row>
    <row r="47" spans="1:37" x14ac:dyDescent="0.25">
      <c r="A47" s="1">
        <v>45800</v>
      </c>
      <c r="B47" s="1">
        <v>45796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>
        <v>2028917636</v>
      </c>
      <c r="J47" t="s">
        <v>123</v>
      </c>
      <c r="M47" t="s">
        <v>65</v>
      </c>
      <c r="O47" t="s">
        <v>70</v>
      </c>
      <c r="P47" t="s">
        <v>71</v>
      </c>
      <c r="Q47" t="s">
        <v>48</v>
      </c>
      <c r="R47" t="s">
        <v>49</v>
      </c>
      <c r="S47" s="1">
        <v>45791</v>
      </c>
      <c r="U47" t="s">
        <v>50</v>
      </c>
      <c r="X47" t="s">
        <v>51</v>
      </c>
      <c r="Y47" s="2">
        <v>59.4</v>
      </c>
      <c r="Z47" s="2">
        <v>59.4</v>
      </c>
      <c r="AA47">
        <v>0</v>
      </c>
      <c r="AB47" s="3">
        <v>0.7</v>
      </c>
      <c r="AC47" s="2">
        <v>0</v>
      </c>
      <c r="AD47" s="3">
        <v>0</v>
      </c>
      <c r="AE47" s="2">
        <v>0</v>
      </c>
      <c r="AF47" s="2">
        <v>0</v>
      </c>
      <c r="AK47" s="4">
        <v>18765580</v>
      </c>
    </row>
    <row r="48" spans="1:37" x14ac:dyDescent="0.25">
      <c r="A48" s="1">
        <v>45800</v>
      </c>
      <c r="B48" s="1">
        <v>45796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>
        <v>2028917836</v>
      </c>
      <c r="J48" t="s">
        <v>125</v>
      </c>
      <c r="M48" t="s">
        <v>126</v>
      </c>
      <c r="O48" t="s">
        <v>127</v>
      </c>
      <c r="P48" t="s">
        <v>128</v>
      </c>
      <c r="Q48" t="s">
        <v>48</v>
      </c>
      <c r="R48" t="s">
        <v>72</v>
      </c>
      <c r="S48" s="1">
        <v>45795</v>
      </c>
      <c r="U48" t="s">
        <v>50</v>
      </c>
      <c r="X48" t="s">
        <v>51</v>
      </c>
      <c r="Y48" s="2">
        <v>127.63</v>
      </c>
      <c r="Z48" s="2">
        <v>127.63</v>
      </c>
      <c r="AA48">
        <v>0</v>
      </c>
      <c r="AB48" s="3">
        <v>0.9</v>
      </c>
      <c r="AC48" s="2">
        <v>0</v>
      </c>
      <c r="AD48" s="3">
        <v>0</v>
      </c>
      <c r="AE48" s="2">
        <v>0</v>
      </c>
      <c r="AF48" s="2">
        <v>0</v>
      </c>
      <c r="AK48" s="4">
        <v>18780610</v>
      </c>
    </row>
    <row r="49" spans="1:37" x14ac:dyDescent="0.25">
      <c r="A49" s="1">
        <v>45800</v>
      </c>
      <c r="B49" s="1">
        <v>45796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>
        <v>2028918191</v>
      </c>
      <c r="J49" t="s">
        <v>129</v>
      </c>
      <c r="M49" t="s">
        <v>126</v>
      </c>
      <c r="O49" t="s">
        <v>127</v>
      </c>
      <c r="P49" t="s">
        <v>128</v>
      </c>
      <c r="Q49" t="s">
        <v>48</v>
      </c>
      <c r="R49" t="s">
        <v>72</v>
      </c>
      <c r="S49" s="1">
        <v>45795</v>
      </c>
      <c r="U49" t="s">
        <v>50</v>
      </c>
      <c r="X49" t="s">
        <v>51</v>
      </c>
      <c r="Y49" s="2">
        <v>15.67</v>
      </c>
      <c r="Z49" s="2">
        <v>15.67</v>
      </c>
      <c r="AA49">
        <v>0</v>
      </c>
      <c r="AB49" s="3">
        <v>0.9</v>
      </c>
      <c r="AC49" s="2">
        <v>0</v>
      </c>
      <c r="AD49" s="3">
        <v>0</v>
      </c>
      <c r="AE49" s="2">
        <v>0</v>
      </c>
      <c r="AF49" s="2">
        <v>0</v>
      </c>
      <c r="AK49" s="4">
        <v>18780610</v>
      </c>
    </row>
    <row r="50" spans="1:37" x14ac:dyDescent="0.25">
      <c r="A50" s="1">
        <v>45800</v>
      </c>
      <c r="B50" s="1">
        <v>45796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>
        <v>2028918531</v>
      </c>
      <c r="J50" t="s">
        <v>130</v>
      </c>
      <c r="M50" t="s">
        <v>126</v>
      </c>
      <c r="O50" t="s">
        <v>127</v>
      </c>
      <c r="P50" t="s">
        <v>128</v>
      </c>
      <c r="Q50" t="s">
        <v>48</v>
      </c>
      <c r="R50" t="s">
        <v>72</v>
      </c>
      <c r="S50" s="1">
        <v>45795</v>
      </c>
      <c r="U50" t="s">
        <v>50</v>
      </c>
      <c r="X50" t="s">
        <v>51</v>
      </c>
      <c r="Y50" s="2">
        <v>12.92</v>
      </c>
      <c r="Z50" s="2">
        <v>12.92</v>
      </c>
      <c r="AA50">
        <v>0</v>
      </c>
      <c r="AB50" s="3">
        <v>0.9</v>
      </c>
      <c r="AC50" s="2">
        <v>0</v>
      </c>
      <c r="AD50" s="3">
        <v>0</v>
      </c>
      <c r="AE50" s="2">
        <v>0</v>
      </c>
      <c r="AF50" s="2">
        <v>0</v>
      </c>
      <c r="AK50" s="4">
        <v>18780620</v>
      </c>
    </row>
    <row r="51" spans="1:37" x14ac:dyDescent="0.25">
      <c r="A51" s="1">
        <v>45800</v>
      </c>
      <c r="B51" s="1">
        <v>45796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>
        <v>2028919767</v>
      </c>
      <c r="J51" t="s">
        <v>131</v>
      </c>
      <c r="M51" t="s">
        <v>65</v>
      </c>
      <c r="O51" t="s">
        <v>70</v>
      </c>
      <c r="P51" t="s">
        <v>71</v>
      </c>
      <c r="Q51" t="s">
        <v>48</v>
      </c>
      <c r="R51" t="s">
        <v>49</v>
      </c>
      <c r="S51" s="1">
        <v>45791</v>
      </c>
      <c r="U51" t="s">
        <v>50</v>
      </c>
      <c r="X51" t="s">
        <v>51</v>
      </c>
      <c r="Y51" s="2">
        <v>61.26</v>
      </c>
      <c r="Z51" s="2">
        <v>61.26</v>
      </c>
      <c r="AA51">
        <v>0</v>
      </c>
      <c r="AB51" s="3">
        <v>0.7</v>
      </c>
      <c r="AC51" s="2">
        <v>0</v>
      </c>
      <c r="AD51" s="3">
        <v>0</v>
      </c>
      <c r="AE51" s="2">
        <v>0</v>
      </c>
      <c r="AF51" s="2">
        <v>0</v>
      </c>
      <c r="AK51" s="4">
        <v>18765600</v>
      </c>
    </row>
    <row r="52" spans="1:37" x14ac:dyDescent="0.25">
      <c r="A52" s="1">
        <v>45800</v>
      </c>
      <c r="B52" s="1">
        <v>45796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>
        <v>2028919768</v>
      </c>
      <c r="J52" t="s">
        <v>131</v>
      </c>
      <c r="M52" t="s">
        <v>65</v>
      </c>
      <c r="O52" t="s">
        <v>70</v>
      </c>
      <c r="P52" t="s">
        <v>71</v>
      </c>
      <c r="Q52" t="s">
        <v>48</v>
      </c>
      <c r="R52" t="s">
        <v>72</v>
      </c>
      <c r="S52" s="1">
        <v>45791</v>
      </c>
      <c r="U52" t="s">
        <v>50</v>
      </c>
      <c r="X52" t="s">
        <v>51</v>
      </c>
      <c r="Y52" s="2">
        <v>17.38</v>
      </c>
      <c r="Z52" s="2">
        <v>17.38</v>
      </c>
      <c r="AA52">
        <v>0</v>
      </c>
      <c r="AB52" s="3">
        <v>0.9</v>
      </c>
      <c r="AC52" s="2">
        <v>0</v>
      </c>
      <c r="AD52" s="3">
        <v>0</v>
      </c>
      <c r="AE52" s="2">
        <v>0</v>
      </c>
      <c r="AF52" s="2">
        <v>0</v>
      </c>
      <c r="AK52" s="4">
        <v>18780630</v>
      </c>
    </row>
    <row r="53" spans="1:37" x14ac:dyDescent="0.25">
      <c r="A53" s="1">
        <v>45800</v>
      </c>
      <c r="B53" s="1">
        <v>45796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>
        <v>2028930864</v>
      </c>
      <c r="J53" t="s">
        <v>132</v>
      </c>
      <c r="M53" t="s">
        <v>133</v>
      </c>
      <c r="O53" t="s">
        <v>134</v>
      </c>
      <c r="P53" t="s">
        <v>135</v>
      </c>
      <c r="Q53" t="s">
        <v>48</v>
      </c>
      <c r="R53" t="s">
        <v>49</v>
      </c>
      <c r="S53" s="1">
        <v>45793</v>
      </c>
      <c r="U53" t="s">
        <v>50</v>
      </c>
      <c r="X53" t="s">
        <v>51</v>
      </c>
      <c r="Y53" s="2">
        <v>107.87</v>
      </c>
      <c r="Z53" s="2">
        <v>107.87</v>
      </c>
      <c r="AA53">
        <v>0</v>
      </c>
      <c r="AB53" s="3">
        <v>0.7</v>
      </c>
      <c r="AC53" s="2">
        <v>0</v>
      </c>
      <c r="AD53" s="3">
        <v>0</v>
      </c>
      <c r="AE53" s="2">
        <v>0</v>
      </c>
      <c r="AF53" s="2">
        <v>0</v>
      </c>
      <c r="AK53" s="4">
        <v>18765660</v>
      </c>
    </row>
    <row r="54" spans="1:37" x14ac:dyDescent="0.25">
      <c r="A54" s="1">
        <v>45800</v>
      </c>
      <c r="B54" s="1">
        <v>45796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>
        <v>2028931111</v>
      </c>
      <c r="J54" t="s">
        <v>136</v>
      </c>
      <c r="M54" t="s">
        <v>133</v>
      </c>
      <c r="O54" t="s">
        <v>134</v>
      </c>
      <c r="P54" t="s">
        <v>135</v>
      </c>
      <c r="Q54" t="s">
        <v>48</v>
      </c>
      <c r="R54" t="s">
        <v>49</v>
      </c>
      <c r="S54" s="1">
        <v>45793</v>
      </c>
      <c r="U54" t="s">
        <v>50</v>
      </c>
      <c r="X54" t="s">
        <v>51</v>
      </c>
      <c r="Y54" s="2">
        <v>107.87</v>
      </c>
      <c r="Z54" s="2">
        <v>107.87</v>
      </c>
      <c r="AA54">
        <v>0</v>
      </c>
      <c r="AB54" s="3">
        <v>0.7</v>
      </c>
      <c r="AC54" s="2">
        <v>0</v>
      </c>
      <c r="AD54" s="3">
        <v>0</v>
      </c>
      <c r="AE54" s="2">
        <v>0</v>
      </c>
      <c r="AF54" s="2">
        <v>0</v>
      </c>
      <c r="AK54" s="4">
        <v>18765670</v>
      </c>
    </row>
    <row r="55" spans="1:37" x14ac:dyDescent="0.25">
      <c r="A55" s="1">
        <v>45800</v>
      </c>
      <c r="B55" s="1">
        <v>45796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>
        <v>2028935095</v>
      </c>
      <c r="J55" t="s">
        <v>137</v>
      </c>
      <c r="M55" t="s">
        <v>106</v>
      </c>
      <c r="O55" t="s">
        <v>138</v>
      </c>
      <c r="P55" t="s">
        <v>139</v>
      </c>
      <c r="Q55" t="s">
        <v>48</v>
      </c>
      <c r="R55" t="s">
        <v>49</v>
      </c>
      <c r="S55" s="1">
        <v>45792</v>
      </c>
      <c r="U55" t="s">
        <v>50</v>
      </c>
      <c r="X55" t="s">
        <v>51</v>
      </c>
      <c r="Y55" s="2">
        <v>10.71</v>
      </c>
      <c r="Z55" s="2">
        <v>10.71</v>
      </c>
      <c r="AA55">
        <v>0</v>
      </c>
      <c r="AB55" s="3">
        <v>0.7</v>
      </c>
      <c r="AC55" s="2">
        <v>0</v>
      </c>
      <c r="AD55" s="3">
        <v>0</v>
      </c>
      <c r="AE55" s="2">
        <v>0</v>
      </c>
      <c r="AF55" s="2">
        <v>0</v>
      </c>
      <c r="AK55" s="4">
        <v>18765710</v>
      </c>
    </row>
    <row r="56" spans="1:37" x14ac:dyDescent="0.25">
      <c r="A56" s="1">
        <v>45800</v>
      </c>
      <c r="B56" s="1">
        <v>45796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>
        <v>2028935096</v>
      </c>
      <c r="J56" t="s">
        <v>137</v>
      </c>
      <c r="M56" t="s">
        <v>106</v>
      </c>
      <c r="O56" t="s">
        <v>138</v>
      </c>
      <c r="P56" t="s">
        <v>139</v>
      </c>
      <c r="Q56" t="s">
        <v>48</v>
      </c>
      <c r="R56" t="s">
        <v>83</v>
      </c>
      <c r="S56" s="1">
        <v>45792</v>
      </c>
      <c r="U56" t="s">
        <v>50</v>
      </c>
      <c r="X56" t="s">
        <v>51</v>
      </c>
      <c r="Y56" s="2">
        <v>50.98</v>
      </c>
      <c r="Z56" s="2">
        <v>50.98</v>
      </c>
      <c r="AA56">
        <v>0</v>
      </c>
      <c r="AB56" s="3">
        <v>0.75</v>
      </c>
      <c r="AC56" s="2">
        <v>0</v>
      </c>
      <c r="AD56" s="3">
        <v>0</v>
      </c>
      <c r="AE56" s="2">
        <v>0</v>
      </c>
      <c r="AF56" s="2">
        <v>0</v>
      </c>
      <c r="AK56" s="4">
        <v>18771360</v>
      </c>
    </row>
    <row r="57" spans="1:37" x14ac:dyDescent="0.25">
      <c r="A57" s="1">
        <v>45800</v>
      </c>
      <c r="B57" s="1">
        <v>45796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>
        <v>2028937037</v>
      </c>
      <c r="J57" t="s">
        <v>140</v>
      </c>
      <c r="M57" t="s">
        <v>133</v>
      </c>
      <c r="O57" t="s">
        <v>134</v>
      </c>
      <c r="P57" t="s">
        <v>135</v>
      </c>
      <c r="Q57" t="s">
        <v>48</v>
      </c>
      <c r="R57" t="s">
        <v>49</v>
      </c>
      <c r="S57" s="1">
        <v>45793</v>
      </c>
      <c r="U57" t="s">
        <v>50</v>
      </c>
      <c r="X57" t="s">
        <v>51</v>
      </c>
      <c r="Y57" s="2">
        <v>107.87</v>
      </c>
      <c r="Z57" s="2">
        <v>107.87</v>
      </c>
      <c r="AA57">
        <v>0</v>
      </c>
      <c r="AB57" s="3">
        <v>0.7</v>
      </c>
      <c r="AC57" s="2">
        <v>0</v>
      </c>
      <c r="AD57" s="3">
        <v>0</v>
      </c>
      <c r="AE57" s="2">
        <v>0</v>
      </c>
      <c r="AF57" s="2">
        <v>0</v>
      </c>
      <c r="AK57" s="4">
        <v>18765730</v>
      </c>
    </row>
    <row r="58" spans="1:37" x14ac:dyDescent="0.25">
      <c r="A58" s="1">
        <v>45800</v>
      </c>
      <c r="B58" s="1">
        <v>45796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>
        <v>2028937317</v>
      </c>
      <c r="J58" t="s">
        <v>141</v>
      </c>
      <c r="M58" t="s">
        <v>106</v>
      </c>
      <c r="O58" t="s">
        <v>75</v>
      </c>
      <c r="P58" t="s">
        <v>76</v>
      </c>
      <c r="Q58" t="s">
        <v>48</v>
      </c>
      <c r="R58" t="s">
        <v>49</v>
      </c>
      <c r="S58" s="1">
        <v>45839</v>
      </c>
      <c r="U58" t="s">
        <v>50</v>
      </c>
      <c r="X58" t="s">
        <v>51</v>
      </c>
      <c r="Y58" s="2">
        <v>69.489999999999995</v>
      </c>
      <c r="Z58" s="2">
        <v>69.489999999999995</v>
      </c>
      <c r="AA58">
        <v>0</v>
      </c>
      <c r="AB58" s="3">
        <v>0.7</v>
      </c>
      <c r="AC58" s="2">
        <v>0</v>
      </c>
      <c r="AD58" s="3">
        <v>0</v>
      </c>
      <c r="AE58" s="2">
        <v>0</v>
      </c>
      <c r="AF58" s="2">
        <v>0</v>
      </c>
      <c r="AK58" s="4">
        <v>18765740</v>
      </c>
    </row>
    <row r="59" spans="1:37" x14ac:dyDescent="0.25">
      <c r="A59" s="1">
        <v>45800</v>
      </c>
      <c r="B59" s="1">
        <v>45796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>
        <v>2028937318</v>
      </c>
      <c r="J59" t="s">
        <v>141</v>
      </c>
      <c r="M59" t="s">
        <v>106</v>
      </c>
      <c r="O59" t="s">
        <v>75</v>
      </c>
      <c r="P59" t="s">
        <v>76</v>
      </c>
      <c r="Q59" t="s">
        <v>48</v>
      </c>
      <c r="R59" t="s">
        <v>92</v>
      </c>
      <c r="S59" s="1">
        <v>45839</v>
      </c>
      <c r="U59" t="s">
        <v>50</v>
      </c>
      <c r="X59" t="s">
        <v>51</v>
      </c>
      <c r="Y59" s="2">
        <v>25.73</v>
      </c>
      <c r="Z59" s="2">
        <v>25.73</v>
      </c>
      <c r="AA59">
        <v>0</v>
      </c>
      <c r="AB59" s="3">
        <v>0.7</v>
      </c>
      <c r="AC59" s="2">
        <v>0</v>
      </c>
      <c r="AD59" s="3">
        <v>0</v>
      </c>
      <c r="AE59" s="2">
        <v>0</v>
      </c>
      <c r="AF59" s="2">
        <v>0</v>
      </c>
      <c r="AK59" s="4">
        <v>18760810</v>
      </c>
    </row>
    <row r="60" spans="1:37" x14ac:dyDescent="0.25">
      <c r="A60" s="1">
        <v>45800</v>
      </c>
      <c r="B60" s="1">
        <v>45796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>
        <v>2028937319</v>
      </c>
      <c r="J60" t="s">
        <v>141</v>
      </c>
      <c r="M60" t="s">
        <v>106</v>
      </c>
      <c r="O60" t="s">
        <v>75</v>
      </c>
      <c r="P60" t="s">
        <v>76</v>
      </c>
      <c r="Q60" t="s">
        <v>48</v>
      </c>
      <c r="R60" t="s">
        <v>83</v>
      </c>
      <c r="S60" s="1">
        <v>45839</v>
      </c>
      <c r="U60" t="s">
        <v>50</v>
      </c>
      <c r="X60" t="s">
        <v>51</v>
      </c>
      <c r="Y60" s="2">
        <v>46.21</v>
      </c>
      <c r="Z60" s="2">
        <v>46.21</v>
      </c>
      <c r="AA60">
        <v>0</v>
      </c>
      <c r="AB60" s="3">
        <v>0.75</v>
      </c>
      <c r="AC60" s="2">
        <v>0</v>
      </c>
      <c r="AD60" s="3">
        <v>0</v>
      </c>
      <c r="AE60" s="2">
        <v>0</v>
      </c>
      <c r="AF60" s="2">
        <v>0</v>
      </c>
      <c r="AK60" s="4">
        <v>18771380</v>
      </c>
    </row>
    <row r="61" spans="1:37" x14ac:dyDescent="0.25">
      <c r="A61" s="1">
        <v>45800</v>
      </c>
      <c r="B61" s="1">
        <v>45796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>
        <v>2028937320</v>
      </c>
      <c r="J61" t="s">
        <v>141</v>
      </c>
      <c r="M61" t="s">
        <v>106</v>
      </c>
      <c r="O61" t="s">
        <v>75</v>
      </c>
      <c r="P61" t="s">
        <v>76</v>
      </c>
      <c r="Q61" t="s">
        <v>48</v>
      </c>
      <c r="R61" t="s">
        <v>56</v>
      </c>
      <c r="S61" s="1">
        <v>45839</v>
      </c>
      <c r="U61" t="s">
        <v>50</v>
      </c>
      <c r="X61" t="s">
        <v>51</v>
      </c>
      <c r="Y61" s="2">
        <v>58.67</v>
      </c>
      <c r="Z61" s="2">
        <v>58.67</v>
      </c>
      <c r="AA61">
        <v>0</v>
      </c>
      <c r="AB61" s="3">
        <v>0.375</v>
      </c>
      <c r="AC61" s="2">
        <v>0</v>
      </c>
      <c r="AD61" s="3">
        <v>0</v>
      </c>
      <c r="AE61" s="2">
        <v>0</v>
      </c>
      <c r="AF61" s="2">
        <v>0</v>
      </c>
      <c r="AK61" s="4">
        <v>18777680</v>
      </c>
    </row>
    <row r="62" spans="1:37" x14ac:dyDescent="0.25">
      <c r="A62" s="1">
        <v>45800</v>
      </c>
      <c r="B62" s="1">
        <v>45796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>
        <v>2028937325</v>
      </c>
      <c r="J62" t="s">
        <v>142</v>
      </c>
      <c r="M62" t="s">
        <v>53</v>
      </c>
      <c r="O62" t="s">
        <v>81</v>
      </c>
      <c r="P62" t="s">
        <v>82</v>
      </c>
      <c r="Q62" t="s">
        <v>48</v>
      </c>
      <c r="R62" t="s">
        <v>49</v>
      </c>
      <c r="S62" s="1">
        <v>45792</v>
      </c>
      <c r="U62" t="s">
        <v>50</v>
      </c>
      <c r="X62" t="s">
        <v>51</v>
      </c>
      <c r="Y62" s="2">
        <v>163.43</v>
      </c>
      <c r="Z62" s="2">
        <v>163.43</v>
      </c>
      <c r="AA62">
        <v>0</v>
      </c>
      <c r="AB62" s="3">
        <v>0.7</v>
      </c>
      <c r="AC62" s="2">
        <v>0</v>
      </c>
      <c r="AD62" s="3">
        <v>0</v>
      </c>
      <c r="AE62" s="2">
        <v>0</v>
      </c>
      <c r="AF62" s="2">
        <v>0</v>
      </c>
      <c r="AK62" s="4">
        <v>18765750</v>
      </c>
    </row>
    <row r="63" spans="1:37" x14ac:dyDescent="0.25">
      <c r="A63" s="1">
        <v>45800</v>
      </c>
      <c r="B63" s="1">
        <v>45796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>
        <v>2028937326</v>
      </c>
      <c r="J63" t="s">
        <v>142</v>
      </c>
      <c r="M63" t="s">
        <v>53</v>
      </c>
      <c r="O63" t="s">
        <v>81</v>
      </c>
      <c r="P63" t="s">
        <v>82</v>
      </c>
      <c r="Q63" t="s">
        <v>48</v>
      </c>
      <c r="R63" t="s">
        <v>56</v>
      </c>
      <c r="S63" s="1">
        <v>45792</v>
      </c>
      <c r="U63" t="s">
        <v>50</v>
      </c>
      <c r="X63" t="s">
        <v>51</v>
      </c>
      <c r="Y63" s="2">
        <v>152.25</v>
      </c>
      <c r="Z63" s="2">
        <v>152.25</v>
      </c>
      <c r="AA63">
        <v>0</v>
      </c>
      <c r="AB63" s="3">
        <v>0.375</v>
      </c>
      <c r="AC63" s="2">
        <v>0</v>
      </c>
      <c r="AD63" s="3">
        <v>0</v>
      </c>
      <c r="AE63" s="2">
        <v>0</v>
      </c>
      <c r="AF63" s="2">
        <v>0</v>
      </c>
      <c r="AK63" s="4">
        <v>18777680</v>
      </c>
    </row>
    <row r="64" spans="1:37" x14ac:dyDescent="0.25">
      <c r="A64" s="1">
        <v>45800</v>
      </c>
      <c r="B64" s="1">
        <v>45796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>
        <v>2028938952</v>
      </c>
      <c r="J64" t="s">
        <v>143</v>
      </c>
      <c r="M64" t="s">
        <v>65</v>
      </c>
      <c r="O64" t="s">
        <v>75</v>
      </c>
      <c r="P64" t="s">
        <v>76</v>
      </c>
      <c r="Q64" t="s">
        <v>48</v>
      </c>
      <c r="R64" t="s">
        <v>49</v>
      </c>
      <c r="S64" s="1">
        <v>45836</v>
      </c>
      <c r="U64" t="s">
        <v>50</v>
      </c>
      <c r="X64" t="s">
        <v>51</v>
      </c>
      <c r="Y64" s="2">
        <v>105.02</v>
      </c>
      <c r="Z64" s="2">
        <v>105.02</v>
      </c>
      <c r="AA64">
        <v>0</v>
      </c>
      <c r="AB64" s="3">
        <v>0.7</v>
      </c>
      <c r="AC64" s="2">
        <v>0</v>
      </c>
      <c r="AD64" s="3">
        <v>0</v>
      </c>
      <c r="AE64" s="2">
        <v>0</v>
      </c>
      <c r="AF64" s="2">
        <v>0</v>
      </c>
      <c r="AK64" s="4">
        <v>18765760</v>
      </c>
    </row>
    <row r="65" spans="1:37" x14ac:dyDescent="0.25">
      <c r="A65" s="1">
        <v>45800</v>
      </c>
      <c r="B65" s="1">
        <v>45796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>
        <v>2028938953</v>
      </c>
      <c r="J65" t="s">
        <v>143</v>
      </c>
      <c r="M65" t="s">
        <v>65</v>
      </c>
      <c r="O65" t="s">
        <v>75</v>
      </c>
      <c r="P65" t="s">
        <v>76</v>
      </c>
      <c r="Q65" t="s">
        <v>48</v>
      </c>
      <c r="R65" t="s">
        <v>91</v>
      </c>
      <c r="S65" s="1">
        <v>45836</v>
      </c>
      <c r="U65" t="s">
        <v>50</v>
      </c>
      <c r="X65" t="s">
        <v>51</v>
      </c>
      <c r="Y65" s="2">
        <v>34.65</v>
      </c>
      <c r="Z65" s="2">
        <v>34.65</v>
      </c>
      <c r="AA65">
        <v>0</v>
      </c>
      <c r="AB65" s="3">
        <v>0.75</v>
      </c>
      <c r="AC65" s="2">
        <v>0</v>
      </c>
      <c r="AD65" s="3">
        <v>0</v>
      </c>
      <c r="AE65" s="2">
        <v>0</v>
      </c>
      <c r="AF65" s="2">
        <v>0</v>
      </c>
      <c r="AK65" s="4">
        <v>18771380</v>
      </c>
    </row>
    <row r="66" spans="1:37" x14ac:dyDescent="0.25">
      <c r="A66" s="1">
        <v>45800</v>
      </c>
      <c r="B66" s="1">
        <v>45796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>
        <v>2028938954</v>
      </c>
      <c r="J66" t="s">
        <v>143</v>
      </c>
      <c r="M66" t="s">
        <v>65</v>
      </c>
      <c r="O66" t="s">
        <v>75</v>
      </c>
      <c r="P66" t="s">
        <v>76</v>
      </c>
      <c r="Q66" t="s">
        <v>48</v>
      </c>
      <c r="R66" t="s">
        <v>95</v>
      </c>
      <c r="S66" s="1">
        <v>45836</v>
      </c>
      <c r="U66" t="s">
        <v>50</v>
      </c>
      <c r="X66" t="s">
        <v>51</v>
      </c>
      <c r="Y66" s="2">
        <v>61.13</v>
      </c>
      <c r="Z66" s="2">
        <v>61.13</v>
      </c>
      <c r="AA66">
        <v>0</v>
      </c>
      <c r="AB66" s="3">
        <v>0.9</v>
      </c>
      <c r="AC66" s="2">
        <v>0</v>
      </c>
      <c r="AD66" s="3">
        <v>0</v>
      </c>
      <c r="AE66" s="2">
        <v>0</v>
      </c>
      <c r="AF66" s="2">
        <v>0</v>
      </c>
      <c r="AK66" s="4">
        <v>18771380</v>
      </c>
    </row>
    <row r="67" spans="1:37" x14ac:dyDescent="0.25">
      <c r="A67" s="1">
        <v>45800</v>
      </c>
      <c r="B67" s="1">
        <v>45796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>
        <v>2028938955</v>
      </c>
      <c r="J67" t="s">
        <v>143</v>
      </c>
      <c r="M67" t="s">
        <v>65</v>
      </c>
      <c r="O67" t="s">
        <v>75</v>
      </c>
      <c r="P67" t="s">
        <v>76</v>
      </c>
      <c r="Q67" t="s">
        <v>48</v>
      </c>
      <c r="R67" t="s">
        <v>56</v>
      </c>
      <c r="S67" s="1">
        <v>45836</v>
      </c>
      <c r="U67" t="s">
        <v>50</v>
      </c>
      <c r="X67" t="s">
        <v>51</v>
      </c>
      <c r="Y67" s="2">
        <v>51.4</v>
      </c>
      <c r="Z67" s="2">
        <v>51.4</v>
      </c>
      <c r="AA67">
        <v>0</v>
      </c>
      <c r="AB67" s="3">
        <v>0.375</v>
      </c>
      <c r="AC67" s="2">
        <v>0</v>
      </c>
      <c r="AD67" s="3">
        <v>0</v>
      </c>
      <c r="AE67" s="2">
        <v>0</v>
      </c>
      <c r="AF67" s="2">
        <v>0</v>
      </c>
      <c r="AK67" s="4">
        <v>18777700</v>
      </c>
    </row>
    <row r="68" spans="1:37" x14ac:dyDescent="0.25">
      <c r="A68" s="1">
        <v>45800</v>
      </c>
      <c r="B68" s="1">
        <v>45796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>
        <v>2028941167</v>
      </c>
      <c r="J68" t="s">
        <v>144</v>
      </c>
      <c r="M68" t="s">
        <v>145</v>
      </c>
      <c r="O68" t="s">
        <v>146</v>
      </c>
      <c r="P68" t="s">
        <v>147</v>
      </c>
      <c r="Q68" t="s">
        <v>48</v>
      </c>
      <c r="R68" t="s">
        <v>56</v>
      </c>
      <c r="S68" s="1">
        <v>45792</v>
      </c>
      <c r="U68" t="s">
        <v>50</v>
      </c>
      <c r="X68" t="s">
        <v>51</v>
      </c>
      <c r="Y68" s="2">
        <v>31.91</v>
      </c>
      <c r="Z68" s="2">
        <v>31.91</v>
      </c>
      <c r="AA68">
        <v>0</v>
      </c>
      <c r="AB68" s="3">
        <v>0.375</v>
      </c>
      <c r="AC68" s="2">
        <v>0</v>
      </c>
      <c r="AD68" s="3">
        <v>0</v>
      </c>
      <c r="AE68" s="2">
        <v>0</v>
      </c>
      <c r="AF68" s="2">
        <v>0</v>
      </c>
      <c r="AK68" s="4">
        <v>18777730</v>
      </c>
    </row>
    <row r="69" spans="1:37" x14ac:dyDescent="0.25">
      <c r="A69" s="1">
        <v>45800</v>
      </c>
      <c r="B69" s="1">
        <v>45796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>
        <v>2028941655</v>
      </c>
      <c r="J69" t="s">
        <v>148</v>
      </c>
      <c r="M69" t="s">
        <v>133</v>
      </c>
      <c r="O69" t="s">
        <v>149</v>
      </c>
      <c r="P69" t="s">
        <v>150</v>
      </c>
      <c r="Q69" t="s">
        <v>48</v>
      </c>
      <c r="R69" t="s">
        <v>56</v>
      </c>
      <c r="S69" s="1">
        <v>45792</v>
      </c>
      <c r="U69" t="s">
        <v>50</v>
      </c>
      <c r="X69" t="s">
        <v>51</v>
      </c>
      <c r="Y69" s="2">
        <v>69.41</v>
      </c>
      <c r="Z69" s="2">
        <v>69.41</v>
      </c>
      <c r="AA69">
        <v>0</v>
      </c>
      <c r="AB69" s="3">
        <v>0.375</v>
      </c>
      <c r="AC69" s="2">
        <v>0</v>
      </c>
      <c r="AD69" s="3">
        <v>0</v>
      </c>
      <c r="AE69" s="2">
        <v>0</v>
      </c>
      <c r="AF69" s="2">
        <v>0</v>
      </c>
      <c r="AK69" s="4">
        <v>18777740</v>
      </c>
    </row>
    <row r="70" spans="1:37" x14ac:dyDescent="0.25">
      <c r="A70" s="1">
        <v>45800</v>
      </c>
      <c r="B70" s="1">
        <v>45796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>
        <v>2028941656</v>
      </c>
      <c r="J70" t="s">
        <v>148</v>
      </c>
      <c r="M70" t="s">
        <v>133</v>
      </c>
      <c r="O70" t="s">
        <v>149</v>
      </c>
      <c r="P70" t="s">
        <v>150</v>
      </c>
      <c r="Q70" t="s">
        <v>48</v>
      </c>
      <c r="R70" t="s">
        <v>95</v>
      </c>
      <c r="S70" s="1">
        <v>45792</v>
      </c>
      <c r="U70" t="s">
        <v>50</v>
      </c>
      <c r="X70" t="s">
        <v>51</v>
      </c>
      <c r="Y70" s="2">
        <v>143.63</v>
      </c>
      <c r="Z70" s="2">
        <v>143.63</v>
      </c>
      <c r="AA70">
        <v>0</v>
      </c>
      <c r="AB70" s="3">
        <v>0.9</v>
      </c>
      <c r="AC70" s="2">
        <v>0</v>
      </c>
      <c r="AD70" s="3">
        <v>0</v>
      </c>
      <c r="AE70" s="2">
        <v>0</v>
      </c>
      <c r="AF70" s="2">
        <v>0</v>
      </c>
      <c r="AK70" s="4">
        <v>18771390</v>
      </c>
    </row>
    <row r="71" spans="1:37" x14ac:dyDescent="0.25">
      <c r="A71" s="1">
        <v>45800</v>
      </c>
      <c r="B71" s="1">
        <v>45796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>
        <v>2028941657</v>
      </c>
      <c r="J71" t="s">
        <v>148</v>
      </c>
      <c r="M71" t="s">
        <v>133</v>
      </c>
      <c r="O71" t="s">
        <v>149</v>
      </c>
      <c r="P71" t="s">
        <v>150</v>
      </c>
      <c r="Q71" t="s">
        <v>48</v>
      </c>
      <c r="R71" t="s">
        <v>49</v>
      </c>
      <c r="S71" s="1">
        <v>45792</v>
      </c>
      <c r="U71" t="s">
        <v>50</v>
      </c>
      <c r="X71" t="s">
        <v>51</v>
      </c>
      <c r="Y71" s="2">
        <v>134.86000000000001</v>
      </c>
      <c r="Z71" s="2">
        <v>134.86000000000001</v>
      </c>
      <c r="AA71">
        <v>0</v>
      </c>
      <c r="AB71" s="3">
        <v>0.7</v>
      </c>
      <c r="AC71" s="2">
        <v>0</v>
      </c>
      <c r="AD71" s="3">
        <v>0</v>
      </c>
      <c r="AE71" s="2">
        <v>0</v>
      </c>
      <c r="AF71" s="2">
        <v>0</v>
      </c>
      <c r="AK71" s="4">
        <v>18765790</v>
      </c>
    </row>
    <row r="72" spans="1:37" x14ac:dyDescent="0.25">
      <c r="A72" s="1">
        <v>45800</v>
      </c>
      <c r="B72" s="1">
        <v>45796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>
        <v>2028942059</v>
      </c>
      <c r="J72" t="s">
        <v>151</v>
      </c>
      <c r="M72" t="s">
        <v>65</v>
      </c>
      <c r="O72" t="s">
        <v>70</v>
      </c>
      <c r="P72" t="s">
        <v>71</v>
      </c>
      <c r="Q72" t="s">
        <v>48</v>
      </c>
      <c r="R72" t="s">
        <v>56</v>
      </c>
      <c r="S72" s="1">
        <v>45792</v>
      </c>
      <c r="U72" t="s">
        <v>50</v>
      </c>
      <c r="X72" t="s">
        <v>51</v>
      </c>
      <c r="Y72" s="2">
        <v>22.52</v>
      </c>
      <c r="Z72" s="2">
        <v>22.52</v>
      </c>
      <c r="AA72">
        <v>0</v>
      </c>
      <c r="AB72" s="3">
        <v>0.375</v>
      </c>
      <c r="AC72" s="2">
        <v>0</v>
      </c>
      <c r="AD72" s="3">
        <v>0</v>
      </c>
      <c r="AE72" s="2">
        <v>0</v>
      </c>
      <c r="AF72" s="2">
        <v>0</v>
      </c>
      <c r="AK72" s="4">
        <v>18777740</v>
      </c>
    </row>
    <row r="73" spans="1:37" x14ac:dyDescent="0.25">
      <c r="A73" s="1">
        <v>45800</v>
      </c>
      <c r="B73" s="1">
        <v>45796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>
        <v>2028942144</v>
      </c>
      <c r="J73" t="s">
        <v>152</v>
      </c>
      <c r="M73" t="s">
        <v>153</v>
      </c>
      <c r="O73" t="s">
        <v>154</v>
      </c>
      <c r="P73" t="s">
        <v>155</v>
      </c>
      <c r="Q73" t="s">
        <v>48</v>
      </c>
      <c r="R73" t="s">
        <v>49</v>
      </c>
      <c r="S73" s="1">
        <v>45792</v>
      </c>
      <c r="U73" t="s">
        <v>50</v>
      </c>
      <c r="X73" t="s">
        <v>51</v>
      </c>
      <c r="Y73" s="2">
        <v>31.6</v>
      </c>
      <c r="Z73" s="2">
        <v>31.6</v>
      </c>
      <c r="AA73">
        <v>0</v>
      </c>
      <c r="AB73" s="3">
        <v>0.3</v>
      </c>
      <c r="AC73" s="2">
        <v>0</v>
      </c>
      <c r="AD73" s="3">
        <v>0</v>
      </c>
      <c r="AE73" s="2">
        <v>0</v>
      </c>
      <c r="AF73" s="2">
        <v>0</v>
      </c>
      <c r="AK73" s="4">
        <v>18765790</v>
      </c>
    </row>
    <row r="74" spans="1:37" x14ac:dyDescent="0.25">
      <c r="A74" s="1">
        <v>45800</v>
      </c>
      <c r="B74" s="1">
        <v>45796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>
        <v>2028946855</v>
      </c>
      <c r="J74" t="s">
        <v>156</v>
      </c>
      <c r="M74" t="s">
        <v>133</v>
      </c>
      <c r="O74" t="s">
        <v>134</v>
      </c>
      <c r="P74" t="s">
        <v>135</v>
      </c>
      <c r="Q74" t="s">
        <v>48</v>
      </c>
      <c r="R74" t="s">
        <v>49</v>
      </c>
      <c r="S74" s="1">
        <v>45793</v>
      </c>
      <c r="U74" t="s">
        <v>50</v>
      </c>
      <c r="X74" t="s">
        <v>51</v>
      </c>
      <c r="Y74" s="2">
        <v>19</v>
      </c>
      <c r="Z74" s="2">
        <v>19</v>
      </c>
      <c r="AA74">
        <v>0</v>
      </c>
      <c r="AB74" s="3">
        <v>0.7</v>
      </c>
      <c r="AC74" s="2">
        <v>0</v>
      </c>
      <c r="AD74" s="3">
        <v>0</v>
      </c>
      <c r="AE74" s="2">
        <v>0</v>
      </c>
      <c r="AF74" s="2">
        <v>0</v>
      </c>
      <c r="AK74" s="4">
        <v>18765800</v>
      </c>
    </row>
    <row r="75" spans="1:37" x14ac:dyDescent="0.25">
      <c r="A75" s="1">
        <v>45800</v>
      </c>
      <c r="B75" s="1">
        <v>45796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>
        <v>2028948018</v>
      </c>
      <c r="J75" t="s">
        <v>157</v>
      </c>
      <c r="M75" t="s">
        <v>65</v>
      </c>
      <c r="O75" t="s">
        <v>158</v>
      </c>
      <c r="P75" t="s">
        <v>159</v>
      </c>
      <c r="Q75" t="s">
        <v>48</v>
      </c>
      <c r="R75" t="s">
        <v>56</v>
      </c>
      <c r="S75" s="1">
        <v>45793</v>
      </c>
      <c r="U75" t="s">
        <v>50</v>
      </c>
      <c r="X75" t="s">
        <v>51</v>
      </c>
      <c r="Y75" s="2">
        <v>182.73</v>
      </c>
      <c r="Z75" s="2">
        <v>182.73</v>
      </c>
      <c r="AA75">
        <v>0</v>
      </c>
      <c r="AB75" s="3">
        <v>0.375</v>
      </c>
      <c r="AC75" s="2">
        <v>0</v>
      </c>
      <c r="AD75" s="3">
        <v>0</v>
      </c>
      <c r="AE75" s="2">
        <v>0</v>
      </c>
      <c r="AF75" s="2">
        <v>0</v>
      </c>
      <c r="AK75" s="4">
        <v>18777760</v>
      </c>
    </row>
    <row r="76" spans="1:37" x14ac:dyDescent="0.25">
      <c r="A76" s="1">
        <v>45800</v>
      </c>
      <c r="B76" s="1">
        <v>45796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>
        <v>2028949434</v>
      </c>
      <c r="J76" t="s">
        <v>160</v>
      </c>
      <c r="M76" t="s">
        <v>65</v>
      </c>
      <c r="O76" t="s">
        <v>86</v>
      </c>
      <c r="P76" t="s">
        <v>87</v>
      </c>
      <c r="Q76" t="s">
        <v>48</v>
      </c>
      <c r="R76" t="s">
        <v>56</v>
      </c>
      <c r="S76" s="1">
        <v>45809</v>
      </c>
      <c r="U76" t="s">
        <v>50</v>
      </c>
      <c r="X76" t="s">
        <v>51</v>
      </c>
      <c r="Y76" s="2">
        <v>41.17</v>
      </c>
      <c r="Z76" s="2">
        <v>41.17</v>
      </c>
      <c r="AA76">
        <v>0</v>
      </c>
      <c r="AB76" s="3">
        <v>0.375</v>
      </c>
      <c r="AC76" s="2">
        <v>0</v>
      </c>
      <c r="AD76" s="3">
        <v>0</v>
      </c>
      <c r="AE76" s="2">
        <v>0</v>
      </c>
      <c r="AF76" s="2">
        <v>0</v>
      </c>
      <c r="AK76" s="4">
        <v>18777780</v>
      </c>
    </row>
    <row r="77" spans="1:37" x14ac:dyDescent="0.25">
      <c r="A77" s="1">
        <v>45800</v>
      </c>
      <c r="B77" s="1">
        <v>45796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>
        <v>2028949435</v>
      </c>
      <c r="J77" t="s">
        <v>160</v>
      </c>
      <c r="M77" t="s">
        <v>65</v>
      </c>
      <c r="O77" t="s">
        <v>86</v>
      </c>
      <c r="P77" t="s">
        <v>87</v>
      </c>
      <c r="Q77" t="s">
        <v>48</v>
      </c>
      <c r="R77" t="s">
        <v>95</v>
      </c>
      <c r="S77" s="1">
        <v>45809</v>
      </c>
      <c r="U77" t="s">
        <v>50</v>
      </c>
      <c r="X77" t="s">
        <v>51</v>
      </c>
      <c r="Y77" s="2">
        <v>44.33</v>
      </c>
      <c r="Z77" s="2">
        <v>44.33</v>
      </c>
      <c r="AA77">
        <v>0</v>
      </c>
      <c r="AB77" s="3">
        <v>0.9</v>
      </c>
      <c r="AC77" s="2">
        <v>0</v>
      </c>
      <c r="AD77" s="3">
        <v>0</v>
      </c>
      <c r="AE77" s="2">
        <v>0</v>
      </c>
      <c r="AF77" s="2">
        <v>0</v>
      </c>
      <c r="AK77" s="4">
        <v>18771400</v>
      </c>
    </row>
    <row r="78" spans="1:37" x14ac:dyDescent="0.25">
      <c r="A78" s="1">
        <v>45800</v>
      </c>
      <c r="B78" s="1">
        <v>45796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>
        <v>2028949436</v>
      </c>
      <c r="J78" t="s">
        <v>160</v>
      </c>
      <c r="M78" t="s">
        <v>65</v>
      </c>
      <c r="O78" t="s">
        <v>86</v>
      </c>
      <c r="P78" t="s">
        <v>87</v>
      </c>
      <c r="Q78" t="s">
        <v>48</v>
      </c>
      <c r="R78" t="s">
        <v>49</v>
      </c>
      <c r="S78" s="1">
        <v>45809</v>
      </c>
      <c r="U78" t="s">
        <v>50</v>
      </c>
      <c r="X78" t="s">
        <v>51</v>
      </c>
      <c r="Y78" s="2">
        <v>35.700000000000003</v>
      </c>
      <c r="Z78" s="2">
        <v>35.700000000000003</v>
      </c>
      <c r="AA78">
        <v>0</v>
      </c>
      <c r="AB78" s="3">
        <v>0.7</v>
      </c>
      <c r="AC78" s="2">
        <v>0</v>
      </c>
      <c r="AD78" s="3">
        <v>0</v>
      </c>
      <c r="AE78" s="2">
        <v>0</v>
      </c>
      <c r="AF78" s="2">
        <v>0</v>
      </c>
      <c r="AK78" s="4">
        <v>18765820</v>
      </c>
    </row>
    <row r="79" spans="1:37" x14ac:dyDescent="0.25">
      <c r="A79" s="1">
        <v>45800</v>
      </c>
      <c r="B79" s="1">
        <v>45796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>
        <v>2028952684</v>
      </c>
      <c r="J79" t="s">
        <v>161</v>
      </c>
      <c r="M79" t="s">
        <v>133</v>
      </c>
      <c r="O79" t="s">
        <v>162</v>
      </c>
      <c r="P79" t="s">
        <v>163</v>
      </c>
      <c r="Q79" t="s">
        <v>48</v>
      </c>
      <c r="R79" t="s">
        <v>49</v>
      </c>
      <c r="S79" s="1">
        <v>45809</v>
      </c>
      <c r="U79" t="s">
        <v>50</v>
      </c>
      <c r="X79" t="s">
        <v>51</v>
      </c>
      <c r="Y79" s="2">
        <v>70.25</v>
      </c>
      <c r="Z79" s="2">
        <v>70.25</v>
      </c>
      <c r="AA79">
        <v>0</v>
      </c>
      <c r="AB79" s="3">
        <v>0.7</v>
      </c>
      <c r="AC79" s="2">
        <v>0</v>
      </c>
      <c r="AD79" s="3">
        <v>0</v>
      </c>
      <c r="AE79" s="2">
        <v>0</v>
      </c>
      <c r="AF79" s="2">
        <v>0</v>
      </c>
      <c r="AK79" s="4">
        <v>18765840</v>
      </c>
    </row>
    <row r="80" spans="1:37" x14ac:dyDescent="0.25">
      <c r="A80" s="1">
        <v>45800</v>
      </c>
      <c r="B80" s="1">
        <v>45796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>
        <v>2028958356</v>
      </c>
      <c r="J80" t="s">
        <v>164</v>
      </c>
      <c r="M80" t="s">
        <v>65</v>
      </c>
      <c r="O80" t="s">
        <v>75</v>
      </c>
      <c r="P80" t="s">
        <v>76</v>
      </c>
      <c r="Q80" t="s">
        <v>48</v>
      </c>
      <c r="R80" t="s">
        <v>165</v>
      </c>
      <c r="S80" s="1">
        <v>45793</v>
      </c>
      <c r="U80" t="s">
        <v>50</v>
      </c>
      <c r="X80" t="s">
        <v>51</v>
      </c>
      <c r="Y80" s="2">
        <v>100.48</v>
      </c>
      <c r="Z80" s="2">
        <v>100.48</v>
      </c>
      <c r="AA80">
        <v>0</v>
      </c>
      <c r="AB80" s="3">
        <v>0.19</v>
      </c>
      <c r="AC80" s="2">
        <v>0</v>
      </c>
      <c r="AD80" s="3">
        <v>0</v>
      </c>
      <c r="AE80" s="2">
        <v>0</v>
      </c>
      <c r="AF80" s="2">
        <v>0</v>
      </c>
      <c r="AK80" s="4">
        <v>18765890</v>
      </c>
    </row>
    <row r="81" spans="1:37" x14ac:dyDescent="0.25">
      <c r="A81" s="1">
        <v>45800</v>
      </c>
      <c r="B81" s="1">
        <v>45796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>
        <v>2028958357</v>
      </c>
      <c r="J81" t="s">
        <v>164</v>
      </c>
      <c r="M81" t="s">
        <v>65</v>
      </c>
      <c r="O81" t="s">
        <v>75</v>
      </c>
      <c r="P81" t="s">
        <v>76</v>
      </c>
      <c r="Q81" t="s">
        <v>48</v>
      </c>
      <c r="R81" t="s">
        <v>49</v>
      </c>
      <c r="S81" s="1">
        <v>45793</v>
      </c>
      <c r="U81" t="s">
        <v>50</v>
      </c>
      <c r="X81" t="s">
        <v>51</v>
      </c>
      <c r="Y81" s="2">
        <v>118.33</v>
      </c>
      <c r="Z81" s="2">
        <v>118.33</v>
      </c>
      <c r="AA81">
        <v>0</v>
      </c>
      <c r="AB81" s="3">
        <v>0.7</v>
      </c>
      <c r="AC81" s="2">
        <v>0</v>
      </c>
      <c r="AD81" s="3">
        <v>0</v>
      </c>
      <c r="AE81" s="2">
        <v>0</v>
      </c>
      <c r="AF81" s="2">
        <v>0</v>
      </c>
      <c r="AK81" s="4">
        <v>18765890</v>
      </c>
    </row>
    <row r="82" spans="1:37" x14ac:dyDescent="0.25">
      <c r="A82" s="1">
        <v>45800</v>
      </c>
      <c r="B82" s="1">
        <v>45796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>
        <v>2028958358</v>
      </c>
      <c r="J82" t="s">
        <v>164</v>
      </c>
      <c r="M82" t="s">
        <v>65</v>
      </c>
      <c r="O82" t="s">
        <v>75</v>
      </c>
      <c r="P82" t="s">
        <v>76</v>
      </c>
      <c r="Q82" t="s">
        <v>48</v>
      </c>
      <c r="R82" t="s">
        <v>95</v>
      </c>
      <c r="S82" s="1">
        <v>45793</v>
      </c>
      <c r="U82" t="s">
        <v>50</v>
      </c>
      <c r="X82" t="s">
        <v>51</v>
      </c>
      <c r="Y82" s="2">
        <v>50.96</v>
      </c>
      <c r="Z82" s="2">
        <v>50.96</v>
      </c>
      <c r="AA82">
        <v>0</v>
      </c>
      <c r="AB82" s="3">
        <v>0.9</v>
      </c>
      <c r="AC82" s="2">
        <v>0</v>
      </c>
      <c r="AD82" s="3">
        <v>0</v>
      </c>
      <c r="AE82" s="2">
        <v>0</v>
      </c>
      <c r="AF82" s="2">
        <v>0</v>
      </c>
      <c r="AK82" s="4">
        <v>18771420</v>
      </c>
    </row>
    <row r="83" spans="1:37" x14ac:dyDescent="0.25">
      <c r="A83" s="1">
        <v>45800</v>
      </c>
      <c r="B83" s="1">
        <v>45796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>
        <v>2028958359</v>
      </c>
      <c r="J83" t="s">
        <v>164</v>
      </c>
      <c r="M83" t="s">
        <v>65</v>
      </c>
      <c r="O83" t="s">
        <v>75</v>
      </c>
      <c r="P83" t="s">
        <v>76</v>
      </c>
      <c r="Q83" t="s">
        <v>48</v>
      </c>
      <c r="R83" t="s">
        <v>166</v>
      </c>
      <c r="S83" s="1">
        <v>45793</v>
      </c>
      <c r="U83" t="s">
        <v>50</v>
      </c>
      <c r="X83" t="s">
        <v>114</v>
      </c>
      <c r="Y83" s="2">
        <v>15</v>
      </c>
      <c r="Z83" s="2">
        <v>15</v>
      </c>
      <c r="AA83">
        <v>0</v>
      </c>
      <c r="AB83" s="3">
        <v>0.19</v>
      </c>
      <c r="AC83" s="2">
        <v>0</v>
      </c>
      <c r="AD83" s="3">
        <v>0</v>
      </c>
      <c r="AE83" s="2">
        <v>0</v>
      </c>
      <c r="AF83" s="2">
        <v>0</v>
      </c>
      <c r="AK83" s="4">
        <v>18769170</v>
      </c>
    </row>
    <row r="84" spans="1:37" x14ac:dyDescent="0.25">
      <c r="A84" s="1">
        <v>45800</v>
      </c>
      <c r="B84" s="1">
        <v>45796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>
        <v>2028959745</v>
      </c>
      <c r="J84" t="s">
        <v>167</v>
      </c>
      <c r="M84" t="s">
        <v>65</v>
      </c>
      <c r="O84" t="s">
        <v>168</v>
      </c>
      <c r="P84" t="s">
        <v>169</v>
      </c>
      <c r="Q84" t="s">
        <v>48</v>
      </c>
      <c r="R84" t="s">
        <v>49</v>
      </c>
      <c r="S84" s="1">
        <v>45809</v>
      </c>
      <c r="U84" t="s">
        <v>50</v>
      </c>
      <c r="X84" t="s">
        <v>51</v>
      </c>
      <c r="Y84" s="2">
        <v>115.38</v>
      </c>
      <c r="Z84" s="2">
        <v>115.38</v>
      </c>
      <c r="AA84">
        <v>0</v>
      </c>
      <c r="AB84" s="3">
        <v>0.7</v>
      </c>
      <c r="AC84" s="2">
        <v>0</v>
      </c>
      <c r="AD84" s="3">
        <v>0</v>
      </c>
      <c r="AE84" s="2">
        <v>0</v>
      </c>
      <c r="AF84" s="2">
        <v>0</v>
      </c>
      <c r="AK84" s="4">
        <v>18765900</v>
      </c>
    </row>
    <row r="85" spans="1:37" x14ac:dyDescent="0.25">
      <c r="A85" s="1">
        <v>45800</v>
      </c>
      <c r="B85" s="1">
        <v>45796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>
        <v>2028962513</v>
      </c>
      <c r="J85" t="s">
        <v>170</v>
      </c>
      <c r="M85" t="s">
        <v>106</v>
      </c>
      <c r="O85" t="s">
        <v>54</v>
      </c>
      <c r="P85" t="s">
        <v>55</v>
      </c>
      <c r="Q85" t="s">
        <v>48</v>
      </c>
      <c r="R85" t="s">
        <v>49</v>
      </c>
      <c r="S85" s="1">
        <v>45793</v>
      </c>
      <c r="U85" t="s">
        <v>50</v>
      </c>
      <c r="X85" t="s">
        <v>51</v>
      </c>
      <c r="Y85" s="2">
        <v>21.14</v>
      </c>
      <c r="Z85" s="2">
        <v>21.14</v>
      </c>
      <c r="AA85">
        <v>0</v>
      </c>
      <c r="AB85" s="3">
        <v>0.7</v>
      </c>
      <c r="AC85" s="2">
        <v>0</v>
      </c>
      <c r="AD85" s="3">
        <v>0</v>
      </c>
      <c r="AE85" s="2">
        <v>0</v>
      </c>
      <c r="AF85" s="2">
        <v>0</v>
      </c>
      <c r="AK85" s="4">
        <v>18765920</v>
      </c>
    </row>
    <row r="86" spans="1:37" x14ac:dyDescent="0.25">
      <c r="A86" s="1">
        <v>45800</v>
      </c>
      <c r="B86" s="1">
        <v>45796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>
        <v>2028963797</v>
      </c>
      <c r="J86" t="s">
        <v>171</v>
      </c>
      <c r="M86" t="s">
        <v>65</v>
      </c>
      <c r="O86" t="s">
        <v>54</v>
      </c>
      <c r="P86" t="s">
        <v>55</v>
      </c>
      <c r="Q86" t="s">
        <v>48</v>
      </c>
      <c r="R86" t="s">
        <v>49</v>
      </c>
      <c r="S86" s="1">
        <v>45793</v>
      </c>
      <c r="U86" t="s">
        <v>50</v>
      </c>
      <c r="X86" t="s">
        <v>51</v>
      </c>
      <c r="Y86" s="2">
        <v>11.5</v>
      </c>
      <c r="Z86" s="2">
        <v>11.5</v>
      </c>
      <c r="AA86">
        <v>0</v>
      </c>
      <c r="AB86" s="3">
        <v>0.7</v>
      </c>
      <c r="AC86" s="2">
        <v>0</v>
      </c>
      <c r="AD86" s="3">
        <v>0</v>
      </c>
      <c r="AE86" s="2">
        <v>0</v>
      </c>
      <c r="AF86" s="2">
        <v>0</v>
      </c>
      <c r="AK86" s="4">
        <v>18765930</v>
      </c>
    </row>
    <row r="87" spans="1:37" x14ac:dyDescent="0.25">
      <c r="A87" s="1">
        <v>45800</v>
      </c>
      <c r="B87" s="1">
        <v>45796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>
        <v>2028963798</v>
      </c>
      <c r="J87" t="s">
        <v>171</v>
      </c>
      <c r="M87" t="s">
        <v>65</v>
      </c>
      <c r="O87" t="s">
        <v>54</v>
      </c>
      <c r="P87" t="s">
        <v>55</v>
      </c>
      <c r="Q87" t="s">
        <v>48</v>
      </c>
      <c r="R87" t="s">
        <v>56</v>
      </c>
      <c r="S87" s="1">
        <v>45793</v>
      </c>
      <c r="U87" t="s">
        <v>50</v>
      </c>
      <c r="X87" t="s">
        <v>51</v>
      </c>
      <c r="Y87" s="2">
        <v>57.19</v>
      </c>
      <c r="Z87" s="2">
        <v>57.19</v>
      </c>
      <c r="AA87">
        <v>0</v>
      </c>
      <c r="AB87" s="3">
        <v>0.375</v>
      </c>
      <c r="AC87" s="2">
        <v>0</v>
      </c>
      <c r="AD87" s="3">
        <v>0</v>
      </c>
      <c r="AE87" s="2">
        <v>0</v>
      </c>
      <c r="AF87" s="2">
        <v>0</v>
      </c>
      <c r="AK87" s="4">
        <v>18777880</v>
      </c>
    </row>
    <row r="88" spans="1:37" x14ac:dyDescent="0.25">
      <c r="A88" s="1">
        <v>45800</v>
      </c>
      <c r="B88" s="1">
        <v>45796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>
        <v>2028965279</v>
      </c>
      <c r="J88" t="s">
        <v>172</v>
      </c>
      <c r="M88" t="s">
        <v>65</v>
      </c>
      <c r="O88" t="s">
        <v>168</v>
      </c>
      <c r="P88" t="s">
        <v>169</v>
      </c>
      <c r="Q88" t="s">
        <v>48</v>
      </c>
      <c r="R88" t="s">
        <v>49</v>
      </c>
      <c r="S88" s="1">
        <v>45809</v>
      </c>
      <c r="U88" t="s">
        <v>50</v>
      </c>
      <c r="X88" t="s">
        <v>51</v>
      </c>
      <c r="Y88" s="2">
        <v>57.35</v>
      </c>
      <c r="Z88" s="2">
        <v>57.35</v>
      </c>
      <c r="AA88">
        <v>0</v>
      </c>
      <c r="AB88" s="3">
        <v>0.7</v>
      </c>
      <c r="AC88" s="2">
        <v>0</v>
      </c>
      <c r="AD88" s="3">
        <v>0</v>
      </c>
      <c r="AE88" s="2">
        <v>0</v>
      </c>
      <c r="AF88" s="2">
        <v>0</v>
      </c>
      <c r="AK88" s="4">
        <v>18765940</v>
      </c>
    </row>
    <row r="89" spans="1:37" x14ac:dyDescent="0.25">
      <c r="A89" s="1">
        <v>45800</v>
      </c>
      <c r="B89" s="1">
        <v>45796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>
        <v>2028965280</v>
      </c>
      <c r="J89" t="s">
        <v>172</v>
      </c>
      <c r="M89" t="s">
        <v>65</v>
      </c>
      <c r="O89" t="s">
        <v>168</v>
      </c>
      <c r="P89" t="s">
        <v>169</v>
      </c>
      <c r="Q89" t="s">
        <v>48</v>
      </c>
      <c r="R89" t="s">
        <v>56</v>
      </c>
      <c r="S89" s="1">
        <v>45809</v>
      </c>
      <c r="U89" t="s">
        <v>50</v>
      </c>
      <c r="X89" t="s">
        <v>51</v>
      </c>
      <c r="Y89" s="2">
        <v>43.36</v>
      </c>
      <c r="Z89" s="2">
        <v>43.36</v>
      </c>
      <c r="AA89">
        <v>0</v>
      </c>
      <c r="AB89" s="3">
        <v>0.375</v>
      </c>
      <c r="AC89" s="2">
        <v>0</v>
      </c>
      <c r="AD89" s="3">
        <v>0</v>
      </c>
      <c r="AE89" s="2">
        <v>0</v>
      </c>
      <c r="AF89" s="2">
        <v>0</v>
      </c>
      <c r="AK89" s="4">
        <v>18777900</v>
      </c>
    </row>
    <row r="90" spans="1:37" x14ac:dyDescent="0.25">
      <c r="A90" s="1">
        <v>45800</v>
      </c>
      <c r="B90" s="1">
        <v>45796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>
        <v>2028965775</v>
      </c>
      <c r="J90" t="s">
        <v>173</v>
      </c>
      <c r="M90" t="s">
        <v>65</v>
      </c>
      <c r="O90" t="s">
        <v>174</v>
      </c>
      <c r="P90" t="s">
        <v>175</v>
      </c>
      <c r="Q90" t="s">
        <v>48</v>
      </c>
      <c r="R90" t="s">
        <v>83</v>
      </c>
      <c r="S90" s="1">
        <v>45793</v>
      </c>
      <c r="U90" t="s">
        <v>50</v>
      </c>
      <c r="X90" t="s">
        <v>51</v>
      </c>
      <c r="Y90" s="2">
        <v>19.3</v>
      </c>
      <c r="Z90" s="2">
        <v>19.3</v>
      </c>
      <c r="AA90">
        <v>0</v>
      </c>
      <c r="AB90" s="3">
        <v>0.75</v>
      </c>
      <c r="AC90" s="2">
        <v>0</v>
      </c>
      <c r="AD90" s="3">
        <v>0</v>
      </c>
      <c r="AE90" s="2">
        <v>0</v>
      </c>
      <c r="AF90" s="2">
        <v>0</v>
      </c>
      <c r="AK90" s="4">
        <v>18771430</v>
      </c>
    </row>
    <row r="91" spans="1:37" x14ac:dyDescent="0.25">
      <c r="A91" s="1">
        <v>45800</v>
      </c>
      <c r="B91" s="1">
        <v>45796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>
        <v>2028965776</v>
      </c>
      <c r="J91" t="s">
        <v>173</v>
      </c>
      <c r="M91" t="s">
        <v>65</v>
      </c>
      <c r="O91" t="s">
        <v>174</v>
      </c>
      <c r="P91" t="s">
        <v>175</v>
      </c>
      <c r="Q91" t="s">
        <v>48</v>
      </c>
      <c r="R91" t="s">
        <v>49</v>
      </c>
      <c r="S91" s="1">
        <v>45793</v>
      </c>
      <c r="U91" t="s">
        <v>50</v>
      </c>
      <c r="X91" t="s">
        <v>51</v>
      </c>
      <c r="Y91" s="2">
        <v>58.24</v>
      </c>
      <c r="Z91" s="2">
        <v>58.24</v>
      </c>
      <c r="AA91">
        <v>0</v>
      </c>
      <c r="AB91" s="3">
        <v>0.7</v>
      </c>
      <c r="AC91" s="2">
        <v>0</v>
      </c>
      <c r="AD91" s="3">
        <v>0</v>
      </c>
      <c r="AE91" s="2">
        <v>0</v>
      </c>
      <c r="AF91" s="2">
        <v>0</v>
      </c>
      <c r="AK91" s="4">
        <v>18765940</v>
      </c>
    </row>
    <row r="92" spans="1:37" x14ac:dyDescent="0.25">
      <c r="A92" s="1">
        <v>45800</v>
      </c>
      <c r="B92" s="1">
        <v>45796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>
        <v>2028965806</v>
      </c>
      <c r="J92" t="s">
        <v>176</v>
      </c>
      <c r="M92" t="s">
        <v>177</v>
      </c>
      <c r="O92" t="s">
        <v>174</v>
      </c>
      <c r="P92" t="s">
        <v>175</v>
      </c>
      <c r="Q92" t="s">
        <v>48</v>
      </c>
      <c r="R92" t="s">
        <v>83</v>
      </c>
      <c r="S92" s="1">
        <v>45793</v>
      </c>
      <c r="U92" t="s">
        <v>50</v>
      </c>
      <c r="X92" t="s">
        <v>51</v>
      </c>
      <c r="Y92" s="2">
        <v>73.42</v>
      </c>
      <c r="Z92" s="2">
        <v>73.42</v>
      </c>
      <c r="AA92">
        <v>0</v>
      </c>
      <c r="AB92" s="3">
        <v>0.75</v>
      </c>
      <c r="AC92" s="2">
        <v>0</v>
      </c>
      <c r="AD92" s="3">
        <v>0</v>
      </c>
      <c r="AE92" s="2">
        <v>0</v>
      </c>
      <c r="AF92" s="2">
        <v>0</v>
      </c>
      <c r="AK92" s="4">
        <v>18771430</v>
      </c>
    </row>
    <row r="93" spans="1:37" x14ac:dyDescent="0.25">
      <c r="A93" s="1">
        <v>45800</v>
      </c>
      <c r="B93" s="1">
        <v>45796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>
        <v>2028965822</v>
      </c>
      <c r="J93" t="s">
        <v>178</v>
      </c>
      <c r="M93" t="s">
        <v>177</v>
      </c>
      <c r="O93" t="s">
        <v>174</v>
      </c>
      <c r="P93" t="s">
        <v>175</v>
      </c>
      <c r="Q93" t="s">
        <v>48</v>
      </c>
      <c r="R93" t="s">
        <v>49</v>
      </c>
      <c r="S93" s="1">
        <v>45793</v>
      </c>
      <c r="U93" t="s">
        <v>50</v>
      </c>
      <c r="X93" t="s">
        <v>51</v>
      </c>
      <c r="Y93" s="2">
        <v>34</v>
      </c>
      <c r="Z93" s="2">
        <v>34</v>
      </c>
      <c r="AA93">
        <v>0</v>
      </c>
      <c r="AB93" s="3">
        <v>0.7</v>
      </c>
      <c r="AC93" s="2">
        <v>0</v>
      </c>
      <c r="AD93" s="3">
        <v>0</v>
      </c>
      <c r="AE93" s="2">
        <v>0</v>
      </c>
      <c r="AF93" s="2">
        <v>0</v>
      </c>
      <c r="AK93" s="4">
        <v>18765950</v>
      </c>
    </row>
    <row r="94" spans="1:37" x14ac:dyDescent="0.25">
      <c r="A94" s="1">
        <v>45800</v>
      </c>
      <c r="B94" s="1">
        <v>45796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>
        <v>2028977071</v>
      </c>
      <c r="J94" t="s">
        <v>179</v>
      </c>
      <c r="M94" t="s">
        <v>180</v>
      </c>
      <c r="O94" t="s">
        <v>181</v>
      </c>
      <c r="P94" t="s">
        <v>182</v>
      </c>
      <c r="Q94" t="s">
        <v>48</v>
      </c>
      <c r="R94" t="s">
        <v>56</v>
      </c>
      <c r="S94" s="1">
        <v>45794</v>
      </c>
      <c r="U94" t="s">
        <v>50</v>
      </c>
      <c r="X94" t="s">
        <v>51</v>
      </c>
      <c r="Y94" s="2">
        <v>23.34</v>
      </c>
      <c r="Z94" s="2">
        <v>23.34</v>
      </c>
      <c r="AA94">
        <v>0</v>
      </c>
      <c r="AB94" s="3">
        <v>0.375</v>
      </c>
      <c r="AC94" s="2">
        <v>0</v>
      </c>
      <c r="AD94" s="3">
        <v>0</v>
      </c>
      <c r="AE94" s="2">
        <v>0</v>
      </c>
      <c r="AF94" s="2">
        <v>0</v>
      </c>
      <c r="AK94" s="4">
        <v>18777970</v>
      </c>
    </row>
    <row r="95" spans="1:37" x14ac:dyDescent="0.25">
      <c r="A95" s="1">
        <v>45800</v>
      </c>
      <c r="B95" s="1">
        <v>45796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>
        <v>2028977072</v>
      </c>
      <c r="J95" t="s">
        <v>179</v>
      </c>
      <c r="M95" t="s">
        <v>180</v>
      </c>
      <c r="O95" t="s">
        <v>181</v>
      </c>
      <c r="P95" t="s">
        <v>182</v>
      </c>
      <c r="Q95" t="s">
        <v>48</v>
      </c>
      <c r="R95" t="s">
        <v>49</v>
      </c>
      <c r="S95" s="1">
        <v>45794</v>
      </c>
      <c r="U95" t="s">
        <v>50</v>
      </c>
      <c r="X95" t="s">
        <v>51</v>
      </c>
      <c r="Y95" s="2">
        <v>50.6</v>
      </c>
      <c r="Z95" s="2">
        <v>50.6</v>
      </c>
      <c r="AA95">
        <v>0</v>
      </c>
      <c r="AB95" s="3">
        <v>0.7</v>
      </c>
      <c r="AC95" s="2">
        <v>0</v>
      </c>
      <c r="AD95" s="3">
        <v>0</v>
      </c>
      <c r="AE95" s="2">
        <v>0</v>
      </c>
      <c r="AF95" s="2">
        <v>0</v>
      </c>
      <c r="AK95" s="4">
        <v>18766000</v>
      </c>
    </row>
    <row r="96" spans="1:37" x14ac:dyDescent="0.25">
      <c r="A96" s="1">
        <v>45800</v>
      </c>
      <c r="B96" s="1">
        <v>45796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>
        <v>2028977136</v>
      </c>
      <c r="J96" t="s">
        <v>183</v>
      </c>
      <c r="M96" t="s">
        <v>126</v>
      </c>
      <c r="O96" t="s">
        <v>127</v>
      </c>
      <c r="P96" t="s">
        <v>128</v>
      </c>
      <c r="Q96" t="s">
        <v>48</v>
      </c>
      <c r="R96" t="s">
        <v>92</v>
      </c>
      <c r="S96" s="1">
        <v>45809</v>
      </c>
      <c r="U96" t="s">
        <v>50</v>
      </c>
      <c r="X96" t="s">
        <v>51</v>
      </c>
      <c r="Y96" s="2">
        <v>48</v>
      </c>
      <c r="Z96" s="2">
        <v>48</v>
      </c>
      <c r="AA96">
        <v>0</v>
      </c>
      <c r="AB96" s="3">
        <v>0.7</v>
      </c>
      <c r="AC96" s="2">
        <v>0</v>
      </c>
      <c r="AD96" s="3">
        <v>0</v>
      </c>
      <c r="AE96" s="2">
        <v>0</v>
      </c>
      <c r="AF96" s="2">
        <v>0</v>
      </c>
      <c r="AK96" s="4">
        <v>18760820</v>
      </c>
    </row>
    <row r="97" spans="1:37" x14ac:dyDescent="0.25">
      <c r="A97" s="1">
        <v>45800</v>
      </c>
      <c r="B97" s="1">
        <v>45796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>
        <v>2028977137</v>
      </c>
      <c r="J97" t="s">
        <v>183</v>
      </c>
      <c r="M97" t="s">
        <v>126</v>
      </c>
      <c r="O97" t="s">
        <v>127</v>
      </c>
      <c r="P97" t="s">
        <v>128</v>
      </c>
      <c r="Q97" t="s">
        <v>48</v>
      </c>
      <c r="R97" t="s">
        <v>95</v>
      </c>
      <c r="S97" s="1">
        <v>45809</v>
      </c>
      <c r="U97" t="s">
        <v>50</v>
      </c>
      <c r="X97" t="s">
        <v>51</v>
      </c>
      <c r="Y97" s="2">
        <v>315.08999999999997</v>
      </c>
      <c r="Z97" s="2">
        <v>315.08999999999997</v>
      </c>
      <c r="AA97">
        <v>0</v>
      </c>
      <c r="AB97" s="3">
        <v>0.9</v>
      </c>
      <c r="AC97" s="2">
        <v>0</v>
      </c>
      <c r="AD97" s="3">
        <v>0</v>
      </c>
      <c r="AE97" s="2">
        <v>0</v>
      </c>
      <c r="AF97" s="2">
        <v>0</v>
      </c>
      <c r="AK97" s="4">
        <v>18771450</v>
      </c>
    </row>
    <row r="98" spans="1:37" x14ac:dyDescent="0.25">
      <c r="A98" s="1">
        <v>45800</v>
      </c>
      <c r="B98" s="1">
        <v>45796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>
        <v>2028983174</v>
      </c>
      <c r="J98" t="s">
        <v>184</v>
      </c>
      <c r="M98" t="s">
        <v>153</v>
      </c>
      <c r="O98" t="s">
        <v>146</v>
      </c>
      <c r="P98" t="s">
        <v>147</v>
      </c>
      <c r="Q98" t="s">
        <v>48</v>
      </c>
      <c r="R98" t="s">
        <v>56</v>
      </c>
      <c r="S98" s="1">
        <v>45794</v>
      </c>
      <c r="U98" t="s">
        <v>50</v>
      </c>
      <c r="X98" t="s">
        <v>51</v>
      </c>
      <c r="Y98" s="2">
        <v>29.08</v>
      </c>
      <c r="Z98" s="2">
        <v>29.08</v>
      </c>
      <c r="AA98">
        <v>0</v>
      </c>
      <c r="AB98" s="3">
        <v>0.375</v>
      </c>
      <c r="AC98" s="2">
        <v>0</v>
      </c>
      <c r="AD98" s="3">
        <v>0</v>
      </c>
      <c r="AE98" s="2">
        <v>0</v>
      </c>
      <c r="AF98" s="2">
        <v>0</v>
      </c>
      <c r="AK98" s="4">
        <v>18778000</v>
      </c>
    </row>
    <row r="99" spans="1:37" x14ac:dyDescent="0.25">
      <c r="A99" s="1">
        <v>45800</v>
      </c>
      <c r="B99" s="1">
        <v>45796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>
        <v>2028985824</v>
      </c>
      <c r="J99" t="s">
        <v>185</v>
      </c>
      <c r="M99" t="s">
        <v>180</v>
      </c>
      <c r="O99" t="s">
        <v>181</v>
      </c>
      <c r="P99" t="s">
        <v>182</v>
      </c>
      <c r="Q99" t="s">
        <v>48</v>
      </c>
      <c r="R99" t="s">
        <v>56</v>
      </c>
      <c r="S99" s="1">
        <v>45794</v>
      </c>
      <c r="U99" t="s">
        <v>50</v>
      </c>
      <c r="X99" t="s">
        <v>51</v>
      </c>
      <c r="Y99" s="2">
        <v>72.86</v>
      </c>
      <c r="Z99" s="2">
        <v>72.86</v>
      </c>
      <c r="AA99">
        <v>0</v>
      </c>
      <c r="AB99" s="3">
        <v>0.375</v>
      </c>
      <c r="AC99" s="2">
        <v>0</v>
      </c>
      <c r="AD99" s="3">
        <v>0</v>
      </c>
      <c r="AE99" s="2">
        <v>0</v>
      </c>
      <c r="AF99" s="2">
        <v>0</v>
      </c>
      <c r="AK99" s="4">
        <v>18778020</v>
      </c>
    </row>
    <row r="100" spans="1:37" x14ac:dyDescent="0.25">
      <c r="A100" s="1">
        <v>45800</v>
      </c>
      <c r="B100" s="1">
        <v>45796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>
        <v>2028993380</v>
      </c>
      <c r="J100" t="s">
        <v>186</v>
      </c>
      <c r="M100" t="s">
        <v>65</v>
      </c>
      <c r="O100" t="s">
        <v>70</v>
      </c>
      <c r="P100" t="s">
        <v>71</v>
      </c>
      <c r="Q100" t="s">
        <v>48</v>
      </c>
      <c r="R100" t="s">
        <v>72</v>
      </c>
      <c r="S100" s="1">
        <v>45795</v>
      </c>
      <c r="U100" t="s">
        <v>50</v>
      </c>
      <c r="X100" t="s">
        <v>51</v>
      </c>
      <c r="Y100" s="2">
        <v>33.93</v>
      </c>
      <c r="Z100" s="2">
        <v>33.93</v>
      </c>
      <c r="AA100">
        <v>0</v>
      </c>
      <c r="AB100" s="3">
        <v>0.9</v>
      </c>
      <c r="AC100" s="2">
        <v>0</v>
      </c>
      <c r="AD100" s="3">
        <v>0</v>
      </c>
      <c r="AE100" s="2">
        <v>0</v>
      </c>
      <c r="AF100" s="2">
        <v>0</v>
      </c>
      <c r="AK100" s="4">
        <v>18780830</v>
      </c>
    </row>
    <row r="101" spans="1:37" x14ac:dyDescent="0.25">
      <c r="A101" s="1">
        <v>45800</v>
      </c>
      <c r="B101" s="1">
        <v>45796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>
        <v>2028995187</v>
      </c>
      <c r="J101" t="s">
        <v>187</v>
      </c>
      <c r="M101" t="s">
        <v>65</v>
      </c>
      <c r="O101" t="s">
        <v>162</v>
      </c>
      <c r="P101" t="s">
        <v>163</v>
      </c>
      <c r="Q101" t="s">
        <v>48</v>
      </c>
      <c r="R101" t="s">
        <v>56</v>
      </c>
      <c r="S101" s="1">
        <v>45795</v>
      </c>
      <c r="U101" t="s">
        <v>50</v>
      </c>
      <c r="X101" t="s">
        <v>51</v>
      </c>
      <c r="Y101" s="2">
        <v>147.41</v>
      </c>
      <c r="Z101" s="2">
        <v>147.41</v>
      </c>
      <c r="AA101">
        <v>0</v>
      </c>
      <c r="AB101" s="3">
        <v>0.375</v>
      </c>
      <c r="AC101" s="2">
        <v>0</v>
      </c>
      <c r="AD101" s="3">
        <v>0</v>
      </c>
      <c r="AE101" s="2">
        <v>0</v>
      </c>
      <c r="AF101" s="2">
        <v>0</v>
      </c>
      <c r="AK101" s="4">
        <v>18778050</v>
      </c>
    </row>
    <row r="102" spans="1:37" x14ac:dyDescent="0.25">
      <c r="A102" s="1">
        <v>45800</v>
      </c>
      <c r="B102" s="1">
        <v>45796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>
        <v>2028995188</v>
      </c>
      <c r="J102" t="s">
        <v>187</v>
      </c>
      <c r="M102" t="s">
        <v>65</v>
      </c>
      <c r="O102" t="s">
        <v>162</v>
      </c>
      <c r="P102" t="s">
        <v>163</v>
      </c>
      <c r="Q102" t="s">
        <v>48</v>
      </c>
      <c r="R102" t="s">
        <v>49</v>
      </c>
      <c r="S102" s="1">
        <v>45795</v>
      </c>
      <c r="U102" t="s">
        <v>50</v>
      </c>
      <c r="X102" t="s">
        <v>51</v>
      </c>
      <c r="Y102" s="2">
        <v>27.5</v>
      </c>
      <c r="Z102" s="2">
        <v>27.5</v>
      </c>
      <c r="AA102">
        <v>0</v>
      </c>
      <c r="AB102" s="3">
        <v>0.7</v>
      </c>
      <c r="AC102" s="2">
        <v>0</v>
      </c>
      <c r="AD102" s="3">
        <v>0</v>
      </c>
      <c r="AE102" s="2">
        <v>0</v>
      </c>
      <c r="AF102" s="2">
        <v>0</v>
      </c>
      <c r="AK102" s="4">
        <v>18766060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BAC9-91C0-4FE8-974D-F90695A87B82}">
  <dimension ref="A1:AH102"/>
  <sheetViews>
    <sheetView topLeftCell="A16" workbookViewId="0">
      <selection activeCell="A43" sqref="A43"/>
    </sheetView>
  </sheetViews>
  <sheetFormatPr defaultRowHeight="15" x14ac:dyDescent="0.25"/>
  <cols>
    <col min="1" max="1" width="14" bestFit="1" customWidth="1"/>
    <col min="2" max="2" width="28.28515625" bestFit="1" customWidth="1"/>
    <col min="3" max="3" width="8.140625" bestFit="1" customWidth="1"/>
    <col min="4" max="4" width="4.140625" bestFit="1" customWidth="1"/>
    <col min="5" max="5" width="5.28515625" bestFit="1" customWidth="1"/>
    <col min="6" max="6" width="8.5703125" bestFit="1" customWidth="1"/>
    <col min="7" max="7" width="15" bestFit="1" customWidth="1"/>
    <col min="8" max="8" width="24.42578125" bestFit="1" customWidth="1"/>
    <col min="9" max="9" width="12.140625" bestFit="1" customWidth="1"/>
    <col min="10" max="10" width="42.42578125" bestFit="1" customWidth="1"/>
    <col min="11" max="11" width="10.140625" bestFit="1" customWidth="1"/>
    <col min="12" max="12" width="12.28515625" bestFit="1" customWidth="1"/>
    <col min="13" max="13" width="9" bestFit="1" customWidth="1"/>
    <col min="14" max="14" width="17.85546875" bestFit="1" customWidth="1"/>
    <col min="15" max="15" width="16.140625" bestFit="1" customWidth="1"/>
    <col min="16" max="16" width="16.7109375" bestFit="1" customWidth="1"/>
    <col min="17" max="17" width="16.5703125" bestFit="1" customWidth="1"/>
    <col min="18" max="18" width="18" bestFit="1" customWidth="1"/>
    <col min="19" max="19" width="14.7109375" bestFit="1" customWidth="1"/>
    <col min="20" max="20" width="9.5703125" bestFit="1" customWidth="1"/>
    <col min="21" max="21" width="12.7109375" bestFit="1" customWidth="1"/>
    <col min="22" max="22" width="19" bestFit="1" customWidth="1"/>
    <col min="23" max="23" width="18" bestFit="1" customWidth="1"/>
    <col min="24" max="24" width="11.42578125" bestFit="1" customWidth="1"/>
    <col min="25" max="25" width="14" bestFit="1" customWidth="1"/>
    <col min="26" max="26" width="16.28515625" bestFit="1" customWidth="1"/>
  </cols>
  <sheetData>
    <row r="1" spans="1:34" x14ac:dyDescent="0.2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/>
      <c r="AB1" s="5"/>
      <c r="AC1" s="5"/>
      <c r="AD1" s="5"/>
      <c r="AE1" s="5"/>
      <c r="AF1" s="5"/>
      <c r="AG1" s="5"/>
      <c r="AH1" s="5"/>
    </row>
    <row r="2" spans="1:34" s="5" customFormat="1" x14ac:dyDescent="0.25">
      <c r="A2">
        <v>2028904032</v>
      </c>
      <c r="B2" t="s">
        <v>112</v>
      </c>
      <c r="C2"/>
      <c r="D2"/>
      <c r="E2" t="s">
        <v>65</v>
      </c>
      <c r="F2"/>
      <c r="G2" s="6" t="s">
        <v>188</v>
      </c>
      <c r="H2" t="s">
        <v>87</v>
      </c>
      <c r="I2" t="s">
        <v>48</v>
      </c>
      <c r="J2" t="s">
        <v>56</v>
      </c>
      <c r="K2" s="1">
        <v>45809</v>
      </c>
      <c r="L2"/>
      <c r="M2" t="s">
        <v>51</v>
      </c>
      <c r="N2" s="2">
        <v>129.41</v>
      </c>
      <c r="O2" s="2">
        <v>129.41</v>
      </c>
      <c r="P2">
        <v>0</v>
      </c>
      <c r="Q2" s="3">
        <v>0.375</v>
      </c>
      <c r="R2" s="2">
        <f t="shared" ref="R2:R45" si="0">SUM(O2*Q2)</f>
        <v>48.528750000000002</v>
      </c>
      <c r="S2" s="2">
        <v>0</v>
      </c>
      <c r="T2" s="2">
        <v>0</v>
      </c>
      <c r="U2"/>
      <c r="V2"/>
      <c r="W2"/>
      <c r="X2"/>
      <c r="Y2" s="4">
        <v>18777310</v>
      </c>
      <c r="Z2"/>
      <c r="AA2"/>
      <c r="AB2"/>
      <c r="AC2"/>
      <c r="AD2"/>
      <c r="AE2"/>
      <c r="AF2"/>
      <c r="AG2"/>
      <c r="AH2"/>
    </row>
    <row r="3" spans="1:34" x14ac:dyDescent="0.25">
      <c r="A3">
        <v>2028949434</v>
      </c>
      <c r="B3" t="s">
        <v>160</v>
      </c>
      <c r="E3" t="s">
        <v>65</v>
      </c>
      <c r="G3" s="6" t="s">
        <v>188</v>
      </c>
      <c r="H3" t="s">
        <v>87</v>
      </c>
      <c r="I3" t="s">
        <v>48</v>
      </c>
      <c r="J3" t="s">
        <v>56</v>
      </c>
      <c r="K3" s="1">
        <v>45809</v>
      </c>
      <c r="M3" t="s">
        <v>51</v>
      </c>
      <c r="N3" s="2">
        <v>41.17</v>
      </c>
      <c r="O3" s="2">
        <v>41.17</v>
      </c>
      <c r="P3">
        <v>0</v>
      </c>
      <c r="Q3" s="3">
        <v>0.375</v>
      </c>
      <c r="R3" s="2">
        <f t="shared" si="0"/>
        <v>15.438750000000001</v>
      </c>
      <c r="S3" s="2">
        <v>0</v>
      </c>
      <c r="T3" s="2">
        <v>0</v>
      </c>
      <c r="Y3" s="4">
        <v>18777780</v>
      </c>
    </row>
    <row r="4" spans="1:34" x14ac:dyDescent="0.25">
      <c r="A4">
        <v>2028898008</v>
      </c>
      <c r="B4" t="s">
        <v>84</v>
      </c>
      <c r="E4" t="s">
        <v>85</v>
      </c>
      <c r="G4" s="6" t="s">
        <v>188</v>
      </c>
      <c r="H4" t="s">
        <v>87</v>
      </c>
      <c r="I4" t="s">
        <v>48</v>
      </c>
      <c r="J4" t="s">
        <v>201</v>
      </c>
      <c r="K4" s="1">
        <v>45809</v>
      </c>
      <c r="M4" t="s">
        <v>51</v>
      </c>
      <c r="N4" s="2">
        <v>428.26</v>
      </c>
      <c r="O4" s="2">
        <v>428.26</v>
      </c>
      <c r="P4">
        <v>0</v>
      </c>
      <c r="Q4" s="3">
        <v>0.38</v>
      </c>
      <c r="R4" s="2">
        <f t="shared" si="0"/>
        <v>162.7388</v>
      </c>
      <c r="S4" s="2">
        <v>0</v>
      </c>
      <c r="T4" s="2">
        <v>0</v>
      </c>
      <c r="Y4" s="4">
        <v>18765430</v>
      </c>
    </row>
    <row r="5" spans="1:34" x14ac:dyDescent="0.25">
      <c r="A5">
        <v>2028904030</v>
      </c>
      <c r="B5" t="s">
        <v>112</v>
      </c>
      <c r="E5" t="s">
        <v>65</v>
      </c>
      <c r="G5" s="6" t="s">
        <v>188</v>
      </c>
      <c r="H5" t="s">
        <v>87</v>
      </c>
      <c r="I5" t="s">
        <v>48</v>
      </c>
      <c r="J5" t="s">
        <v>201</v>
      </c>
      <c r="K5" s="1">
        <v>45809</v>
      </c>
      <c r="M5" t="s">
        <v>51</v>
      </c>
      <c r="N5" s="2">
        <v>898</v>
      </c>
      <c r="O5" s="2">
        <v>898</v>
      </c>
      <c r="P5">
        <v>0</v>
      </c>
      <c r="Q5" s="3">
        <v>0.38</v>
      </c>
      <c r="R5" s="2">
        <f t="shared" si="0"/>
        <v>341.24</v>
      </c>
      <c r="S5" s="2">
        <v>0</v>
      </c>
      <c r="T5" s="2">
        <v>0</v>
      </c>
      <c r="Y5" s="4">
        <v>18765480</v>
      </c>
    </row>
    <row r="6" spans="1:34" x14ac:dyDescent="0.25">
      <c r="A6">
        <v>2028898009</v>
      </c>
      <c r="B6" t="s">
        <v>84</v>
      </c>
      <c r="E6" t="s">
        <v>85</v>
      </c>
      <c r="G6" s="6" t="s">
        <v>188</v>
      </c>
      <c r="H6" t="s">
        <v>87</v>
      </c>
      <c r="I6" t="s">
        <v>48</v>
      </c>
      <c r="J6" t="s">
        <v>201</v>
      </c>
      <c r="K6" s="1">
        <v>45809</v>
      </c>
      <c r="M6" t="s">
        <v>51</v>
      </c>
      <c r="N6" s="2">
        <v>7.09</v>
      </c>
      <c r="O6" s="2">
        <v>7.09</v>
      </c>
      <c r="P6">
        <v>0</v>
      </c>
      <c r="Q6" s="3">
        <v>0.38</v>
      </c>
      <c r="R6" s="2">
        <f t="shared" si="0"/>
        <v>2.6941999999999999</v>
      </c>
      <c r="S6" s="2">
        <v>0</v>
      </c>
      <c r="T6" s="2">
        <v>0</v>
      </c>
      <c r="Y6" s="4">
        <v>18778270</v>
      </c>
    </row>
    <row r="7" spans="1:34" x14ac:dyDescent="0.25">
      <c r="A7">
        <v>2028904031</v>
      </c>
      <c r="B7" t="s">
        <v>112</v>
      </c>
      <c r="E7" t="s">
        <v>65</v>
      </c>
      <c r="G7" s="6" t="s">
        <v>188</v>
      </c>
      <c r="H7" t="s">
        <v>87</v>
      </c>
      <c r="I7" t="s">
        <v>48</v>
      </c>
      <c r="J7" t="s">
        <v>201</v>
      </c>
      <c r="K7" s="1">
        <v>45809</v>
      </c>
      <c r="M7" t="s">
        <v>51</v>
      </c>
      <c r="N7" s="2">
        <v>7.09</v>
      </c>
      <c r="O7" s="2">
        <v>7.09</v>
      </c>
      <c r="P7">
        <v>0</v>
      </c>
      <c r="Q7" s="3">
        <v>0.38</v>
      </c>
      <c r="R7" s="2">
        <f t="shared" si="0"/>
        <v>2.6941999999999999</v>
      </c>
      <c r="S7" s="2">
        <v>0</v>
      </c>
      <c r="T7" s="2">
        <v>0</v>
      </c>
      <c r="Y7" s="4">
        <v>18778270</v>
      </c>
    </row>
    <row r="8" spans="1:34" x14ac:dyDescent="0.25">
      <c r="A8">
        <v>2028904035</v>
      </c>
      <c r="B8" t="s">
        <v>112</v>
      </c>
      <c r="E8" t="s">
        <v>65</v>
      </c>
      <c r="G8" s="6" t="s">
        <v>188</v>
      </c>
      <c r="H8" t="s">
        <v>87</v>
      </c>
      <c r="I8" t="s">
        <v>48</v>
      </c>
      <c r="J8" t="s">
        <v>201</v>
      </c>
      <c r="K8" s="1">
        <v>45809</v>
      </c>
      <c r="M8" t="s">
        <v>114</v>
      </c>
      <c r="N8" s="2">
        <v>15</v>
      </c>
      <c r="O8" s="2">
        <v>15</v>
      </c>
      <c r="P8">
        <v>0</v>
      </c>
      <c r="Q8" s="3">
        <v>0.38</v>
      </c>
      <c r="R8" s="2">
        <f t="shared" si="0"/>
        <v>5.7</v>
      </c>
      <c r="S8" s="2">
        <v>0</v>
      </c>
      <c r="T8" s="2">
        <v>0</v>
      </c>
      <c r="Y8" s="4">
        <v>18769010</v>
      </c>
    </row>
    <row r="9" spans="1:34" x14ac:dyDescent="0.25">
      <c r="A9">
        <v>2028898558</v>
      </c>
      <c r="B9" t="s">
        <v>94</v>
      </c>
      <c r="E9" t="s">
        <v>65</v>
      </c>
      <c r="G9" s="6" t="s">
        <v>188</v>
      </c>
      <c r="H9" t="s">
        <v>87</v>
      </c>
      <c r="I9" t="s">
        <v>48</v>
      </c>
      <c r="J9" t="s">
        <v>49</v>
      </c>
      <c r="K9" s="1">
        <v>45809</v>
      </c>
      <c r="M9" t="s">
        <v>51</v>
      </c>
      <c r="N9" s="2">
        <v>23.85</v>
      </c>
      <c r="O9" s="2">
        <v>23.85</v>
      </c>
      <c r="P9">
        <v>0</v>
      </c>
      <c r="Q9" s="3">
        <v>0.7</v>
      </c>
      <c r="R9" s="2">
        <f t="shared" si="0"/>
        <v>16.695</v>
      </c>
      <c r="S9" s="2">
        <v>0</v>
      </c>
      <c r="T9" s="2">
        <v>0</v>
      </c>
      <c r="Y9" s="4">
        <v>18765440</v>
      </c>
    </row>
    <row r="10" spans="1:34" x14ac:dyDescent="0.25">
      <c r="A10">
        <v>2028904033</v>
      </c>
      <c r="B10" t="s">
        <v>112</v>
      </c>
      <c r="E10" t="s">
        <v>65</v>
      </c>
      <c r="G10" s="6" t="s">
        <v>188</v>
      </c>
      <c r="H10" t="s">
        <v>87</v>
      </c>
      <c r="I10" t="s">
        <v>48</v>
      </c>
      <c r="J10" t="s">
        <v>49</v>
      </c>
      <c r="K10" s="1">
        <v>45809</v>
      </c>
      <c r="M10" t="s">
        <v>51</v>
      </c>
      <c r="N10" s="2">
        <v>250.06</v>
      </c>
      <c r="O10" s="2">
        <v>250.06</v>
      </c>
      <c r="P10">
        <v>0</v>
      </c>
      <c r="Q10" s="3">
        <v>0.7</v>
      </c>
      <c r="R10" s="2">
        <f t="shared" si="0"/>
        <v>175.042</v>
      </c>
      <c r="S10" s="2">
        <v>0</v>
      </c>
      <c r="T10" s="2">
        <v>0</v>
      </c>
      <c r="Y10" s="4">
        <v>18765480</v>
      </c>
    </row>
    <row r="11" spans="1:34" x14ac:dyDescent="0.25">
      <c r="A11">
        <v>2028949436</v>
      </c>
      <c r="B11" t="s">
        <v>160</v>
      </c>
      <c r="E11" t="s">
        <v>65</v>
      </c>
      <c r="G11" s="6" t="s">
        <v>188</v>
      </c>
      <c r="H11" t="s">
        <v>87</v>
      </c>
      <c r="I11" t="s">
        <v>48</v>
      </c>
      <c r="J11" t="s">
        <v>49</v>
      </c>
      <c r="K11" s="1">
        <v>45809</v>
      </c>
      <c r="M11" t="s">
        <v>51</v>
      </c>
      <c r="N11" s="2">
        <v>35.700000000000003</v>
      </c>
      <c r="O11" s="2">
        <v>35.700000000000003</v>
      </c>
      <c r="P11">
        <v>0</v>
      </c>
      <c r="Q11" s="3">
        <v>0.7</v>
      </c>
      <c r="R11" s="2">
        <f t="shared" si="0"/>
        <v>24.990000000000002</v>
      </c>
      <c r="S11" s="2">
        <v>0</v>
      </c>
      <c r="T11" s="2">
        <v>0</v>
      </c>
      <c r="Y11" s="4">
        <v>18765820</v>
      </c>
    </row>
    <row r="12" spans="1:34" x14ac:dyDescent="0.25">
      <c r="A12">
        <v>2028898559</v>
      </c>
      <c r="B12" t="s">
        <v>94</v>
      </c>
      <c r="E12" t="s">
        <v>65</v>
      </c>
      <c r="G12" s="6" t="s">
        <v>188</v>
      </c>
      <c r="H12" t="s">
        <v>87</v>
      </c>
      <c r="I12" t="s">
        <v>48</v>
      </c>
      <c r="J12" t="s">
        <v>200</v>
      </c>
      <c r="K12" s="1">
        <v>45809</v>
      </c>
      <c r="M12" t="s">
        <v>51</v>
      </c>
      <c r="N12" s="2">
        <v>56.08</v>
      </c>
      <c r="O12" s="2">
        <v>56.08</v>
      </c>
      <c r="P12">
        <v>0</v>
      </c>
      <c r="Q12" s="3">
        <v>0.9</v>
      </c>
      <c r="R12" s="2">
        <f t="shared" si="0"/>
        <v>50.472000000000001</v>
      </c>
      <c r="S12" s="2">
        <v>0</v>
      </c>
      <c r="T12" s="2">
        <v>0</v>
      </c>
      <c r="Y12" s="4">
        <v>18771280</v>
      </c>
    </row>
    <row r="13" spans="1:34" x14ac:dyDescent="0.25">
      <c r="A13">
        <v>2028949435</v>
      </c>
      <c r="B13" t="s">
        <v>160</v>
      </c>
      <c r="E13" t="s">
        <v>65</v>
      </c>
      <c r="G13" s="6" t="s">
        <v>188</v>
      </c>
      <c r="H13" t="s">
        <v>87</v>
      </c>
      <c r="I13" t="s">
        <v>48</v>
      </c>
      <c r="J13" t="s">
        <v>200</v>
      </c>
      <c r="K13" s="1">
        <v>45809</v>
      </c>
      <c r="M13" t="s">
        <v>51</v>
      </c>
      <c r="N13" s="2">
        <v>44.33</v>
      </c>
      <c r="O13" s="2">
        <v>44.33</v>
      </c>
      <c r="P13">
        <v>0</v>
      </c>
      <c r="Q13" s="3">
        <v>0.9</v>
      </c>
      <c r="R13" s="2">
        <f t="shared" si="0"/>
        <v>39.896999999999998</v>
      </c>
      <c r="S13" s="2">
        <v>0</v>
      </c>
      <c r="T13" s="2">
        <v>0</v>
      </c>
      <c r="Y13" s="4">
        <v>18771400</v>
      </c>
    </row>
    <row r="14" spans="1:34" x14ac:dyDescent="0.25">
      <c r="A14">
        <v>2028904034</v>
      </c>
      <c r="B14" t="s">
        <v>112</v>
      </c>
      <c r="E14" t="s">
        <v>65</v>
      </c>
      <c r="G14" s="6" t="s">
        <v>188</v>
      </c>
      <c r="H14" t="s">
        <v>87</v>
      </c>
      <c r="I14" t="s">
        <v>48</v>
      </c>
      <c r="J14" t="s">
        <v>72</v>
      </c>
      <c r="K14" s="1">
        <v>45809</v>
      </c>
      <c r="M14" t="s">
        <v>51</v>
      </c>
      <c r="N14" s="2">
        <v>385.75</v>
      </c>
      <c r="O14" s="2">
        <v>385.75</v>
      </c>
      <c r="P14">
        <v>0</v>
      </c>
      <c r="Q14" s="3">
        <v>0.9</v>
      </c>
      <c r="R14" s="2">
        <f t="shared" si="0"/>
        <v>347.17500000000001</v>
      </c>
      <c r="S14" s="2">
        <v>0</v>
      </c>
      <c r="T14" s="2">
        <v>0</v>
      </c>
      <c r="Y14" s="4">
        <v>18780560</v>
      </c>
    </row>
    <row r="15" spans="1:34" x14ac:dyDescent="0.25">
      <c r="A15">
        <v>2028935095</v>
      </c>
      <c r="B15" t="s">
        <v>137</v>
      </c>
      <c r="E15" t="s">
        <v>106</v>
      </c>
      <c r="G15" s="6" t="s">
        <v>189</v>
      </c>
      <c r="H15" t="s">
        <v>139</v>
      </c>
      <c r="I15" t="s">
        <v>48</v>
      </c>
      <c r="J15" t="s">
        <v>49</v>
      </c>
      <c r="K15" s="1">
        <v>45792</v>
      </c>
      <c r="M15" t="s">
        <v>51</v>
      </c>
      <c r="N15" s="2">
        <v>10.71</v>
      </c>
      <c r="O15" s="2">
        <v>10.71</v>
      </c>
      <c r="P15">
        <v>0</v>
      </c>
      <c r="Q15" s="3">
        <v>0.7</v>
      </c>
      <c r="R15" s="2">
        <f t="shared" si="0"/>
        <v>7.4969999999999999</v>
      </c>
      <c r="S15" s="2">
        <v>0</v>
      </c>
      <c r="T15" s="2">
        <v>0</v>
      </c>
      <c r="Y15" s="4">
        <v>18765710</v>
      </c>
    </row>
    <row r="16" spans="1:34" x14ac:dyDescent="0.25">
      <c r="A16">
        <v>2028935096</v>
      </c>
      <c r="B16" t="s">
        <v>137</v>
      </c>
      <c r="E16" t="s">
        <v>106</v>
      </c>
      <c r="G16" s="6" t="s">
        <v>189</v>
      </c>
      <c r="H16" t="s">
        <v>139</v>
      </c>
      <c r="I16" t="s">
        <v>48</v>
      </c>
      <c r="J16" t="s">
        <v>199</v>
      </c>
      <c r="K16" s="1">
        <v>45792</v>
      </c>
      <c r="M16" t="s">
        <v>51</v>
      </c>
      <c r="N16" s="2">
        <v>50.98</v>
      </c>
      <c r="O16" s="2">
        <v>50.98</v>
      </c>
      <c r="P16">
        <v>0</v>
      </c>
      <c r="Q16" s="3">
        <v>0.75</v>
      </c>
      <c r="R16" s="2">
        <f t="shared" si="0"/>
        <v>38.234999999999999</v>
      </c>
      <c r="S16" s="2">
        <v>0</v>
      </c>
      <c r="T16" s="2">
        <v>0</v>
      </c>
      <c r="Y16" s="4">
        <v>18771360</v>
      </c>
    </row>
    <row r="17" spans="1:25" x14ac:dyDescent="0.25">
      <c r="A17">
        <v>2028930864</v>
      </c>
      <c r="B17" t="s">
        <v>132</v>
      </c>
      <c r="E17" t="s">
        <v>133</v>
      </c>
      <c r="G17" s="6" t="s">
        <v>190</v>
      </c>
      <c r="H17" t="s">
        <v>135</v>
      </c>
      <c r="I17" t="s">
        <v>48</v>
      </c>
      <c r="J17" t="s">
        <v>49</v>
      </c>
      <c r="K17" s="1">
        <v>45793</v>
      </c>
      <c r="M17" t="s">
        <v>51</v>
      </c>
      <c r="N17" s="2">
        <v>107.87</v>
      </c>
      <c r="O17" s="2">
        <v>107.87</v>
      </c>
      <c r="P17">
        <v>0</v>
      </c>
      <c r="Q17" s="3">
        <v>0.7</v>
      </c>
      <c r="R17" s="2">
        <f t="shared" si="0"/>
        <v>75.509</v>
      </c>
      <c r="S17" s="2">
        <v>0</v>
      </c>
      <c r="T17" s="2">
        <v>0</v>
      </c>
      <c r="Y17" s="4">
        <v>18765660</v>
      </c>
    </row>
    <row r="18" spans="1:25" x14ac:dyDescent="0.25">
      <c r="A18">
        <v>2028931111</v>
      </c>
      <c r="B18" t="s">
        <v>136</v>
      </c>
      <c r="E18" t="s">
        <v>133</v>
      </c>
      <c r="G18" s="6" t="s">
        <v>190</v>
      </c>
      <c r="H18" t="s">
        <v>135</v>
      </c>
      <c r="I18" t="s">
        <v>48</v>
      </c>
      <c r="J18" t="s">
        <v>49</v>
      </c>
      <c r="K18" s="1">
        <v>45793</v>
      </c>
      <c r="M18" t="s">
        <v>51</v>
      </c>
      <c r="N18" s="2">
        <v>107.87</v>
      </c>
      <c r="O18" s="2">
        <v>107.87</v>
      </c>
      <c r="P18">
        <v>0</v>
      </c>
      <c r="Q18" s="3">
        <v>0.7</v>
      </c>
      <c r="R18" s="2">
        <f t="shared" si="0"/>
        <v>75.509</v>
      </c>
      <c r="S18" s="2">
        <v>0</v>
      </c>
      <c r="T18" s="2">
        <v>0</v>
      </c>
      <c r="Y18" s="4">
        <v>18765670</v>
      </c>
    </row>
    <row r="19" spans="1:25" x14ac:dyDescent="0.25">
      <c r="A19">
        <v>2028937037</v>
      </c>
      <c r="B19" t="s">
        <v>140</v>
      </c>
      <c r="E19" t="s">
        <v>133</v>
      </c>
      <c r="G19" s="6" t="s">
        <v>190</v>
      </c>
      <c r="H19" t="s">
        <v>135</v>
      </c>
      <c r="I19" t="s">
        <v>48</v>
      </c>
      <c r="J19" t="s">
        <v>49</v>
      </c>
      <c r="K19" s="1">
        <v>45793</v>
      </c>
      <c r="M19" t="s">
        <v>51</v>
      </c>
      <c r="N19" s="2">
        <v>107.87</v>
      </c>
      <c r="O19" s="2">
        <v>107.87</v>
      </c>
      <c r="P19">
        <v>0</v>
      </c>
      <c r="Q19" s="3">
        <v>0.7</v>
      </c>
      <c r="R19" s="2">
        <f t="shared" si="0"/>
        <v>75.509</v>
      </c>
      <c r="S19" s="2">
        <v>0</v>
      </c>
      <c r="T19" s="2">
        <v>0</v>
      </c>
      <c r="Y19" s="4">
        <v>18765730</v>
      </c>
    </row>
    <row r="20" spans="1:25" x14ac:dyDescent="0.25">
      <c r="A20">
        <v>2028946855</v>
      </c>
      <c r="B20" t="s">
        <v>156</v>
      </c>
      <c r="E20" t="s">
        <v>133</v>
      </c>
      <c r="G20" s="6" t="s">
        <v>190</v>
      </c>
      <c r="H20" t="s">
        <v>135</v>
      </c>
      <c r="I20" t="s">
        <v>48</v>
      </c>
      <c r="J20" t="s">
        <v>49</v>
      </c>
      <c r="K20" s="1">
        <v>45793</v>
      </c>
      <c r="M20" t="s">
        <v>51</v>
      </c>
      <c r="N20" s="2">
        <v>19</v>
      </c>
      <c r="O20" s="2">
        <v>19</v>
      </c>
      <c r="P20">
        <v>0</v>
      </c>
      <c r="Q20" s="3">
        <v>0.7</v>
      </c>
      <c r="R20" s="2">
        <f t="shared" si="0"/>
        <v>13.299999999999999</v>
      </c>
      <c r="S20" s="2">
        <v>0</v>
      </c>
      <c r="T20" s="2">
        <v>0</v>
      </c>
      <c r="Y20" s="4">
        <v>18765800</v>
      </c>
    </row>
    <row r="21" spans="1:25" x14ac:dyDescent="0.25">
      <c r="A21">
        <v>2028912170</v>
      </c>
      <c r="B21" t="s">
        <v>115</v>
      </c>
      <c r="E21" t="s">
        <v>106</v>
      </c>
      <c r="G21" s="6" t="s">
        <v>191</v>
      </c>
      <c r="H21" t="s">
        <v>67</v>
      </c>
      <c r="I21" t="s">
        <v>48</v>
      </c>
      <c r="J21" t="s">
        <v>56</v>
      </c>
      <c r="K21" s="1">
        <v>45809</v>
      </c>
      <c r="M21" t="s">
        <v>51</v>
      </c>
      <c r="N21" s="2">
        <v>65.2</v>
      </c>
      <c r="O21" s="2">
        <v>65.2</v>
      </c>
      <c r="P21">
        <v>0</v>
      </c>
      <c r="Q21" s="3">
        <v>0.375</v>
      </c>
      <c r="R21" s="2">
        <f t="shared" si="0"/>
        <v>24.450000000000003</v>
      </c>
      <c r="S21" s="2">
        <v>0</v>
      </c>
      <c r="T21" s="2">
        <v>0</v>
      </c>
      <c r="Y21" s="4">
        <v>18777400</v>
      </c>
    </row>
    <row r="22" spans="1:25" x14ac:dyDescent="0.25">
      <c r="A22">
        <v>2028821221</v>
      </c>
      <c r="B22" t="s">
        <v>64</v>
      </c>
      <c r="E22" t="s">
        <v>65</v>
      </c>
      <c r="G22" s="6" t="s">
        <v>191</v>
      </c>
      <c r="H22" t="s">
        <v>67</v>
      </c>
      <c r="I22" t="s">
        <v>48</v>
      </c>
      <c r="J22" t="s">
        <v>49</v>
      </c>
      <c r="K22" s="1">
        <v>45809</v>
      </c>
      <c r="M22" t="s">
        <v>51</v>
      </c>
      <c r="N22" s="2">
        <v>46.08</v>
      </c>
      <c r="O22" s="2">
        <v>46.08</v>
      </c>
      <c r="P22">
        <v>0</v>
      </c>
      <c r="Q22" s="3">
        <v>0.7</v>
      </c>
      <c r="R22" s="2">
        <f t="shared" si="0"/>
        <v>32.256</v>
      </c>
      <c r="S22" s="2">
        <v>0</v>
      </c>
      <c r="T22" s="2">
        <v>0</v>
      </c>
      <c r="Y22" s="4">
        <v>18765300</v>
      </c>
    </row>
    <row r="23" spans="1:25" x14ac:dyDescent="0.25">
      <c r="A23">
        <v>2028912169</v>
      </c>
      <c r="B23" t="s">
        <v>115</v>
      </c>
      <c r="E23" t="s">
        <v>106</v>
      </c>
      <c r="G23" s="6" t="s">
        <v>191</v>
      </c>
      <c r="H23" t="s">
        <v>67</v>
      </c>
      <c r="I23" t="s">
        <v>48</v>
      </c>
      <c r="J23" t="s">
        <v>49</v>
      </c>
      <c r="K23" s="1">
        <v>45809</v>
      </c>
      <c r="M23" t="s">
        <v>51</v>
      </c>
      <c r="N23" s="2">
        <v>33.54</v>
      </c>
      <c r="O23" s="2">
        <v>33.54</v>
      </c>
      <c r="P23">
        <v>0</v>
      </c>
      <c r="Q23" s="3">
        <v>0.7</v>
      </c>
      <c r="R23" s="2">
        <f t="shared" si="0"/>
        <v>23.477999999999998</v>
      </c>
      <c r="S23" s="2">
        <v>0</v>
      </c>
      <c r="T23" s="2">
        <v>0</v>
      </c>
      <c r="Y23" s="4">
        <v>18765540</v>
      </c>
    </row>
    <row r="24" spans="1:25" x14ac:dyDescent="0.25">
      <c r="A24">
        <v>2028775160</v>
      </c>
      <c r="B24" t="s">
        <v>60</v>
      </c>
      <c r="E24" t="s">
        <v>61</v>
      </c>
      <c r="G24" s="6" t="s">
        <v>192</v>
      </c>
      <c r="H24" t="s">
        <v>63</v>
      </c>
      <c r="I24" t="s">
        <v>48</v>
      </c>
      <c r="J24" t="s">
        <v>49</v>
      </c>
      <c r="K24" s="1">
        <v>45809</v>
      </c>
      <c r="M24" t="s">
        <v>51</v>
      </c>
      <c r="N24" s="2">
        <v>101.99</v>
      </c>
      <c r="O24" s="2">
        <v>101.99</v>
      </c>
      <c r="P24">
        <v>0</v>
      </c>
      <c r="Q24" s="3">
        <v>0.7</v>
      </c>
      <c r="R24" s="2">
        <f t="shared" si="0"/>
        <v>71.392999999999986</v>
      </c>
      <c r="S24" s="2">
        <v>0</v>
      </c>
      <c r="T24" s="2">
        <v>0</v>
      </c>
      <c r="Y24" s="4">
        <v>18765270</v>
      </c>
    </row>
    <row r="25" spans="1:25" x14ac:dyDescent="0.25">
      <c r="A25">
        <v>2028977071</v>
      </c>
      <c r="B25" t="s">
        <v>179</v>
      </c>
      <c r="E25" t="s">
        <v>180</v>
      </c>
      <c r="G25" s="6" t="s">
        <v>193</v>
      </c>
      <c r="H25" t="s">
        <v>182</v>
      </c>
      <c r="I25" t="s">
        <v>48</v>
      </c>
      <c r="J25" t="s">
        <v>56</v>
      </c>
      <c r="K25" s="1">
        <v>45794</v>
      </c>
      <c r="M25" t="s">
        <v>51</v>
      </c>
      <c r="N25" s="2">
        <v>23.34</v>
      </c>
      <c r="O25" s="2">
        <v>23.34</v>
      </c>
      <c r="P25">
        <v>0</v>
      </c>
      <c r="Q25" s="3">
        <v>0.375</v>
      </c>
      <c r="R25" s="2">
        <f t="shared" si="0"/>
        <v>8.7524999999999995</v>
      </c>
      <c r="S25" s="2">
        <v>0</v>
      </c>
      <c r="T25" s="2">
        <v>0</v>
      </c>
      <c r="Y25" s="4">
        <v>18777970</v>
      </c>
    </row>
    <row r="26" spans="1:25" x14ac:dyDescent="0.25">
      <c r="A26">
        <v>2028985824</v>
      </c>
      <c r="B26" t="s">
        <v>185</v>
      </c>
      <c r="E26" t="s">
        <v>180</v>
      </c>
      <c r="G26" s="6" t="s">
        <v>193</v>
      </c>
      <c r="H26" t="s">
        <v>182</v>
      </c>
      <c r="I26" t="s">
        <v>48</v>
      </c>
      <c r="J26" t="s">
        <v>56</v>
      </c>
      <c r="K26" s="1">
        <v>45794</v>
      </c>
      <c r="M26" t="s">
        <v>51</v>
      </c>
      <c r="N26" s="2">
        <v>72.86</v>
      </c>
      <c r="O26" s="2">
        <v>72.86</v>
      </c>
      <c r="P26">
        <v>0</v>
      </c>
      <c r="Q26" s="3">
        <v>0.375</v>
      </c>
      <c r="R26" s="2">
        <f t="shared" si="0"/>
        <v>27.322499999999998</v>
      </c>
      <c r="S26" s="2">
        <v>0</v>
      </c>
      <c r="T26" s="2">
        <v>0</v>
      </c>
      <c r="Y26" s="4">
        <v>18778020</v>
      </c>
    </row>
    <row r="27" spans="1:25" x14ac:dyDescent="0.25">
      <c r="A27">
        <v>2028977072</v>
      </c>
      <c r="B27" t="s">
        <v>179</v>
      </c>
      <c r="E27" t="s">
        <v>180</v>
      </c>
      <c r="G27" s="6" t="s">
        <v>193</v>
      </c>
      <c r="H27" t="s">
        <v>182</v>
      </c>
      <c r="I27" t="s">
        <v>48</v>
      </c>
      <c r="J27" t="s">
        <v>49</v>
      </c>
      <c r="K27" s="1">
        <v>45794</v>
      </c>
      <c r="M27" t="s">
        <v>51</v>
      </c>
      <c r="N27" s="2">
        <v>50.6</v>
      </c>
      <c r="O27" s="2">
        <v>50.6</v>
      </c>
      <c r="P27">
        <v>0</v>
      </c>
      <c r="Q27" s="3">
        <v>0.7</v>
      </c>
      <c r="R27" s="2">
        <f t="shared" si="0"/>
        <v>35.42</v>
      </c>
      <c r="S27" s="2">
        <v>0</v>
      </c>
      <c r="T27" s="2">
        <v>0</v>
      </c>
      <c r="Y27" s="4">
        <v>18766000</v>
      </c>
    </row>
    <row r="28" spans="1:25" x14ac:dyDescent="0.25">
      <c r="A28">
        <v>2028942059</v>
      </c>
      <c r="B28" t="s">
        <v>151</v>
      </c>
      <c r="E28" t="s">
        <v>65</v>
      </c>
      <c r="G28" s="6" t="s">
        <v>194</v>
      </c>
      <c r="H28" t="s">
        <v>71</v>
      </c>
      <c r="I28" t="s">
        <v>48</v>
      </c>
      <c r="J28" t="s">
        <v>56</v>
      </c>
      <c r="K28" s="1">
        <v>45792</v>
      </c>
      <c r="M28" t="s">
        <v>51</v>
      </c>
      <c r="N28" s="2">
        <v>22.52</v>
      </c>
      <c r="O28" s="2">
        <v>22.52</v>
      </c>
      <c r="P28">
        <v>0</v>
      </c>
      <c r="Q28" s="3">
        <v>0.375</v>
      </c>
      <c r="R28" s="2">
        <f t="shared" si="0"/>
        <v>8.4450000000000003</v>
      </c>
      <c r="S28" s="2">
        <v>0</v>
      </c>
      <c r="T28" s="2">
        <v>0</v>
      </c>
      <c r="Y28" s="4">
        <v>18777740</v>
      </c>
    </row>
    <row r="29" spans="1:25" x14ac:dyDescent="0.25">
      <c r="A29">
        <v>2028917635</v>
      </c>
      <c r="B29" t="s">
        <v>123</v>
      </c>
      <c r="E29" t="s">
        <v>65</v>
      </c>
      <c r="G29" s="6" t="s">
        <v>194</v>
      </c>
      <c r="H29" t="s">
        <v>71</v>
      </c>
      <c r="I29" t="s">
        <v>48</v>
      </c>
      <c r="J29" t="s">
        <v>124</v>
      </c>
      <c r="K29" s="1">
        <v>45791</v>
      </c>
      <c r="M29" t="s">
        <v>51</v>
      </c>
      <c r="N29" s="2">
        <v>30.09</v>
      </c>
      <c r="O29" s="2">
        <v>30.09</v>
      </c>
      <c r="P29">
        <v>0</v>
      </c>
      <c r="Q29" s="3">
        <v>0.42</v>
      </c>
      <c r="R29" s="2">
        <f t="shared" si="0"/>
        <v>12.637799999999999</v>
      </c>
      <c r="S29" s="2">
        <v>0</v>
      </c>
      <c r="T29" s="2">
        <v>0</v>
      </c>
      <c r="Y29" s="4">
        <v>18777460</v>
      </c>
    </row>
    <row r="30" spans="1:25" x14ac:dyDescent="0.25">
      <c r="A30">
        <v>2028890707</v>
      </c>
      <c r="B30" t="s">
        <v>69</v>
      </c>
      <c r="E30" t="s">
        <v>65</v>
      </c>
      <c r="G30" s="6" t="s">
        <v>194</v>
      </c>
      <c r="H30" t="s">
        <v>71</v>
      </c>
      <c r="I30" t="s">
        <v>48</v>
      </c>
      <c r="J30" t="s">
        <v>49</v>
      </c>
      <c r="K30" s="1">
        <v>45790</v>
      </c>
      <c r="M30" t="s">
        <v>51</v>
      </c>
      <c r="N30" s="2">
        <v>95.68</v>
      </c>
      <c r="O30" s="2">
        <v>95.68</v>
      </c>
      <c r="P30">
        <v>0</v>
      </c>
      <c r="Q30" s="3">
        <v>0.7</v>
      </c>
      <c r="R30" s="2">
        <f t="shared" si="0"/>
        <v>66.975999999999999</v>
      </c>
      <c r="S30" s="2">
        <v>0</v>
      </c>
      <c r="T30" s="2">
        <v>0</v>
      </c>
      <c r="Y30" s="4">
        <v>18765360</v>
      </c>
    </row>
    <row r="31" spans="1:25" x14ac:dyDescent="0.25">
      <c r="A31">
        <v>2028917636</v>
      </c>
      <c r="B31" t="s">
        <v>123</v>
      </c>
      <c r="E31" t="s">
        <v>65</v>
      </c>
      <c r="G31" s="6" t="s">
        <v>194</v>
      </c>
      <c r="H31" t="s">
        <v>71</v>
      </c>
      <c r="I31" t="s">
        <v>48</v>
      </c>
      <c r="J31" t="s">
        <v>49</v>
      </c>
      <c r="K31" s="1">
        <v>45791</v>
      </c>
      <c r="M31" t="s">
        <v>51</v>
      </c>
      <c r="N31" s="2">
        <v>59.4</v>
      </c>
      <c r="O31" s="2">
        <v>59.4</v>
      </c>
      <c r="P31">
        <v>0</v>
      </c>
      <c r="Q31" s="3">
        <v>0.7</v>
      </c>
      <c r="R31" s="2">
        <f t="shared" si="0"/>
        <v>41.58</v>
      </c>
      <c r="S31" s="2">
        <v>0</v>
      </c>
      <c r="T31" s="2">
        <v>0</v>
      </c>
      <c r="Y31" s="4">
        <v>18765580</v>
      </c>
    </row>
    <row r="32" spans="1:25" x14ac:dyDescent="0.25">
      <c r="A32">
        <v>2028919767</v>
      </c>
      <c r="B32" t="s">
        <v>131</v>
      </c>
      <c r="E32" t="s">
        <v>65</v>
      </c>
      <c r="G32" s="6" t="s">
        <v>194</v>
      </c>
      <c r="H32" t="s">
        <v>71</v>
      </c>
      <c r="I32" t="s">
        <v>48</v>
      </c>
      <c r="J32" t="s">
        <v>49</v>
      </c>
      <c r="K32" s="1">
        <v>45791</v>
      </c>
      <c r="M32" t="s">
        <v>51</v>
      </c>
      <c r="N32" s="2">
        <v>61.26</v>
      </c>
      <c r="O32" s="2">
        <v>61.26</v>
      </c>
      <c r="P32">
        <v>0</v>
      </c>
      <c r="Q32" s="3">
        <v>0.7</v>
      </c>
      <c r="R32" s="2">
        <f t="shared" si="0"/>
        <v>42.881999999999998</v>
      </c>
      <c r="S32" s="2">
        <v>0</v>
      </c>
      <c r="T32" s="2">
        <v>0</v>
      </c>
      <c r="Y32" s="4">
        <v>18765600</v>
      </c>
    </row>
    <row r="33" spans="1:25" x14ac:dyDescent="0.25">
      <c r="A33">
        <v>2028890708</v>
      </c>
      <c r="B33" t="s">
        <v>69</v>
      </c>
      <c r="E33" t="s">
        <v>65</v>
      </c>
      <c r="G33" s="6" t="s">
        <v>194</v>
      </c>
      <c r="H33" t="s">
        <v>71</v>
      </c>
      <c r="I33" t="s">
        <v>48</v>
      </c>
      <c r="J33" t="s">
        <v>72</v>
      </c>
      <c r="K33" s="1">
        <v>45790</v>
      </c>
      <c r="M33" t="s">
        <v>51</v>
      </c>
      <c r="N33" s="2">
        <v>23.05</v>
      </c>
      <c r="O33" s="2">
        <v>23.05</v>
      </c>
      <c r="P33">
        <v>0</v>
      </c>
      <c r="Q33" s="3">
        <v>0.9</v>
      </c>
      <c r="R33" s="2">
        <f t="shared" si="0"/>
        <v>20.745000000000001</v>
      </c>
      <c r="S33" s="2">
        <v>0</v>
      </c>
      <c r="T33" s="2">
        <v>0</v>
      </c>
      <c r="Y33" s="4">
        <v>18780520</v>
      </c>
    </row>
    <row r="34" spans="1:25" x14ac:dyDescent="0.25">
      <c r="A34">
        <v>2028919768</v>
      </c>
      <c r="B34" t="s">
        <v>131</v>
      </c>
      <c r="E34" t="s">
        <v>65</v>
      </c>
      <c r="G34" s="6" t="s">
        <v>194</v>
      </c>
      <c r="H34" t="s">
        <v>71</v>
      </c>
      <c r="I34" t="s">
        <v>48</v>
      </c>
      <c r="J34" t="s">
        <v>72</v>
      </c>
      <c r="K34" s="1">
        <v>45791</v>
      </c>
      <c r="M34" t="s">
        <v>51</v>
      </c>
      <c r="N34" s="2">
        <v>17.38</v>
      </c>
      <c r="O34" s="2">
        <v>17.38</v>
      </c>
      <c r="P34">
        <v>0</v>
      </c>
      <c r="Q34" s="3">
        <v>0.9</v>
      </c>
      <c r="R34" s="2">
        <f t="shared" si="0"/>
        <v>15.641999999999999</v>
      </c>
      <c r="S34" s="2">
        <v>0</v>
      </c>
      <c r="T34" s="2">
        <v>0</v>
      </c>
      <c r="Y34" s="4">
        <v>18780630</v>
      </c>
    </row>
    <row r="35" spans="1:25" x14ac:dyDescent="0.25">
      <c r="A35">
        <v>2028993380</v>
      </c>
      <c r="B35" t="s">
        <v>186</v>
      </c>
      <c r="E35" t="s">
        <v>65</v>
      </c>
      <c r="G35" s="6" t="s">
        <v>194</v>
      </c>
      <c r="H35" t="s">
        <v>71</v>
      </c>
      <c r="I35" t="s">
        <v>48</v>
      </c>
      <c r="J35" t="s">
        <v>72</v>
      </c>
      <c r="K35" s="1">
        <v>45795</v>
      </c>
      <c r="M35" t="s">
        <v>51</v>
      </c>
      <c r="N35" s="2">
        <v>33.93</v>
      </c>
      <c r="O35" s="2">
        <v>33.93</v>
      </c>
      <c r="P35">
        <v>0</v>
      </c>
      <c r="Q35" s="3">
        <v>0.9</v>
      </c>
      <c r="R35" s="2">
        <f t="shared" si="0"/>
        <v>30.536999999999999</v>
      </c>
      <c r="S35" s="2">
        <v>0</v>
      </c>
      <c r="T35" s="2">
        <v>0</v>
      </c>
      <c r="Y35" s="4">
        <v>18780830</v>
      </c>
    </row>
    <row r="36" spans="1:25" x14ac:dyDescent="0.25">
      <c r="A36">
        <v>2028912654</v>
      </c>
      <c r="B36" t="s">
        <v>116</v>
      </c>
      <c r="E36" t="s">
        <v>53</v>
      </c>
      <c r="G36" s="6" t="s">
        <v>195</v>
      </c>
      <c r="H36" t="s">
        <v>118</v>
      </c>
      <c r="I36" t="s">
        <v>48</v>
      </c>
      <c r="J36" t="s">
        <v>49</v>
      </c>
      <c r="K36" s="1">
        <v>45791</v>
      </c>
      <c r="M36" t="s">
        <v>51</v>
      </c>
      <c r="N36" s="2">
        <v>150.66</v>
      </c>
      <c r="O36" s="2">
        <v>150.66</v>
      </c>
      <c r="P36">
        <v>0</v>
      </c>
      <c r="Q36" s="3">
        <v>0.7</v>
      </c>
      <c r="R36" s="2">
        <f t="shared" si="0"/>
        <v>105.46199999999999</v>
      </c>
      <c r="S36" s="2">
        <v>0</v>
      </c>
      <c r="T36" s="2">
        <v>0</v>
      </c>
      <c r="Y36" s="4">
        <v>18765550</v>
      </c>
    </row>
    <row r="37" spans="1:25" x14ac:dyDescent="0.25">
      <c r="A37">
        <v>2028965280</v>
      </c>
      <c r="B37" t="s">
        <v>172</v>
      </c>
      <c r="E37" t="s">
        <v>65</v>
      </c>
      <c r="G37" s="6" t="s">
        <v>196</v>
      </c>
      <c r="H37" t="s">
        <v>169</v>
      </c>
      <c r="I37" t="s">
        <v>48</v>
      </c>
      <c r="J37" t="s">
        <v>56</v>
      </c>
      <c r="K37" s="1">
        <v>45809</v>
      </c>
      <c r="M37" t="s">
        <v>51</v>
      </c>
      <c r="N37" s="2">
        <v>43.36</v>
      </c>
      <c r="O37" s="2">
        <v>43.36</v>
      </c>
      <c r="P37">
        <v>0</v>
      </c>
      <c r="Q37" s="3">
        <v>0.375</v>
      </c>
      <c r="R37" s="2">
        <f t="shared" si="0"/>
        <v>16.259999999999998</v>
      </c>
      <c r="S37" s="2">
        <v>0</v>
      </c>
      <c r="T37" s="2">
        <v>0</v>
      </c>
      <c r="Y37" s="4">
        <v>18777900</v>
      </c>
    </row>
    <row r="38" spans="1:25" x14ac:dyDescent="0.25">
      <c r="A38">
        <v>2028959745</v>
      </c>
      <c r="B38" t="s">
        <v>167</v>
      </c>
      <c r="E38" t="s">
        <v>65</v>
      </c>
      <c r="G38" s="6" t="s">
        <v>196</v>
      </c>
      <c r="H38" t="s">
        <v>169</v>
      </c>
      <c r="I38" t="s">
        <v>48</v>
      </c>
      <c r="J38" t="s">
        <v>49</v>
      </c>
      <c r="K38" s="1">
        <v>45809</v>
      </c>
      <c r="M38" t="s">
        <v>51</v>
      </c>
      <c r="N38" s="2">
        <v>115.38</v>
      </c>
      <c r="O38" s="2">
        <v>115.38</v>
      </c>
      <c r="P38">
        <v>0</v>
      </c>
      <c r="Q38" s="3">
        <v>0.7</v>
      </c>
      <c r="R38" s="2">
        <f t="shared" si="0"/>
        <v>80.765999999999991</v>
      </c>
      <c r="S38" s="2">
        <v>0</v>
      </c>
      <c r="T38" s="2">
        <v>0</v>
      </c>
      <c r="Y38" s="4">
        <v>18765900</v>
      </c>
    </row>
    <row r="39" spans="1:25" x14ac:dyDescent="0.25">
      <c r="A39">
        <v>2028965279</v>
      </c>
      <c r="B39" t="s">
        <v>172</v>
      </c>
      <c r="E39" t="s">
        <v>65</v>
      </c>
      <c r="G39" s="6" t="s">
        <v>196</v>
      </c>
      <c r="H39" t="s">
        <v>169</v>
      </c>
      <c r="I39" t="s">
        <v>48</v>
      </c>
      <c r="J39" t="s">
        <v>49</v>
      </c>
      <c r="K39" s="1">
        <v>45809</v>
      </c>
      <c r="M39" t="s">
        <v>51</v>
      </c>
      <c r="N39" s="2">
        <v>57.35</v>
      </c>
      <c r="O39" s="2">
        <v>57.35</v>
      </c>
      <c r="P39">
        <v>0</v>
      </c>
      <c r="Q39" s="3">
        <v>0.7</v>
      </c>
      <c r="R39" s="2">
        <f t="shared" si="0"/>
        <v>40.144999999999996</v>
      </c>
      <c r="S39" s="2">
        <v>0</v>
      </c>
      <c r="T39" s="2">
        <v>0</v>
      </c>
      <c r="Y39" s="4">
        <v>18765940</v>
      </c>
    </row>
    <row r="40" spans="1:25" x14ac:dyDescent="0.25">
      <c r="A40">
        <v>2028941167</v>
      </c>
      <c r="B40" t="s">
        <v>144</v>
      </c>
      <c r="E40" t="s">
        <v>145</v>
      </c>
      <c r="G40" s="6" t="s">
        <v>197</v>
      </c>
      <c r="H40" t="s">
        <v>147</v>
      </c>
      <c r="I40" t="s">
        <v>48</v>
      </c>
      <c r="J40" t="s">
        <v>56</v>
      </c>
      <c r="K40" s="1">
        <v>45792</v>
      </c>
      <c r="M40" t="s">
        <v>51</v>
      </c>
      <c r="N40" s="2">
        <v>31.91</v>
      </c>
      <c r="O40" s="2">
        <v>31.91</v>
      </c>
      <c r="P40">
        <v>0</v>
      </c>
      <c r="Q40" s="3">
        <v>0.375</v>
      </c>
      <c r="R40" s="2">
        <f t="shared" si="0"/>
        <v>11.96625</v>
      </c>
      <c r="S40" s="2">
        <v>0</v>
      </c>
      <c r="T40" s="2">
        <v>0</v>
      </c>
      <c r="Y40" s="4">
        <v>18777730</v>
      </c>
    </row>
    <row r="41" spans="1:25" x14ac:dyDescent="0.25">
      <c r="A41">
        <v>2028983174</v>
      </c>
      <c r="B41" t="s">
        <v>184</v>
      </c>
      <c r="E41" t="s">
        <v>153</v>
      </c>
      <c r="G41" s="6" t="s">
        <v>197</v>
      </c>
      <c r="H41" t="s">
        <v>147</v>
      </c>
      <c r="I41" t="s">
        <v>48</v>
      </c>
      <c r="J41" t="s">
        <v>56</v>
      </c>
      <c r="K41" s="1">
        <v>45794</v>
      </c>
      <c r="M41" t="s">
        <v>51</v>
      </c>
      <c r="N41" s="2">
        <v>29.08</v>
      </c>
      <c r="O41" s="2">
        <v>29.08</v>
      </c>
      <c r="P41">
        <v>0</v>
      </c>
      <c r="Q41" s="3">
        <v>0.375</v>
      </c>
      <c r="R41" s="2">
        <f t="shared" si="0"/>
        <v>10.904999999999999</v>
      </c>
      <c r="S41" s="2">
        <v>0</v>
      </c>
      <c r="T41" s="2">
        <v>0</v>
      </c>
      <c r="Y41" s="4">
        <v>18778000</v>
      </c>
    </row>
    <row r="42" spans="1:25" x14ac:dyDescent="0.25">
      <c r="A42">
        <v>2028965776</v>
      </c>
      <c r="B42" t="s">
        <v>173</v>
      </c>
      <c r="E42" t="s">
        <v>65</v>
      </c>
      <c r="G42" s="6" t="s">
        <v>198</v>
      </c>
      <c r="H42" t="s">
        <v>175</v>
      </c>
      <c r="I42" t="s">
        <v>48</v>
      </c>
      <c r="J42" t="s">
        <v>49</v>
      </c>
      <c r="K42" s="1">
        <v>45793</v>
      </c>
      <c r="M42" t="s">
        <v>51</v>
      </c>
      <c r="N42" s="2">
        <v>58.24</v>
      </c>
      <c r="O42" s="2">
        <v>58.24</v>
      </c>
      <c r="P42">
        <v>0</v>
      </c>
      <c r="Q42" s="3">
        <v>0.7</v>
      </c>
      <c r="R42" s="2">
        <f t="shared" si="0"/>
        <v>40.768000000000001</v>
      </c>
      <c r="S42" s="2">
        <v>0</v>
      </c>
      <c r="T42" s="2">
        <v>0</v>
      </c>
      <c r="Y42" s="4">
        <v>18765940</v>
      </c>
    </row>
    <row r="43" spans="1:25" x14ac:dyDescent="0.25">
      <c r="A43">
        <v>2028965822</v>
      </c>
      <c r="B43" t="s">
        <v>178</v>
      </c>
      <c r="E43" t="s">
        <v>177</v>
      </c>
      <c r="G43" s="6" t="s">
        <v>198</v>
      </c>
      <c r="H43" t="s">
        <v>175</v>
      </c>
      <c r="I43" t="s">
        <v>48</v>
      </c>
      <c r="J43" t="s">
        <v>49</v>
      </c>
      <c r="K43" s="1">
        <v>45793</v>
      </c>
      <c r="M43" t="s">
        <v>51</v>
      </c>
      <c r="N43" s="2">
        <v>34</v>
      </c>
      <c r="O43" s="2">
        <v>34</v>
      </c>
      <c r="P43">
        <v>0</v>
      </c>
      <c r="Q43" s="3">
        <v>0.7</v>
      </c>
      <c r="R43" s="2">
        <f t="shared" si="0"/>
        <v>23.799999999999997</v>
      </c>
      <c r="S43" s="2">
        <v>0</v>
      </c>
      <c r="T43" s="2">
        <v>0</v>
      </c>
      <c r="Y43" s="4">
        <v>18765950</v>
      </c>
    </row>
    <row r="44" spans="1:25" x14ac:dyDescent="0.25">
      <c r="A44">
        <v>2028965775</v>
      </c>
      <c r="B44" t="s">
        <v>173</v>
      </c>
      <c r="E44" t="s">
        <v>65</v>
      </c>
      <c r="G44" s="6" t="s">
        <v>198</v>
      </c>
      <c r="H44" t="s">
        <v>175</v>
      </c>
      <c r="I44" t="s">
        <v>48</v>
      </c>
      <c r="J44" t="s">
        <v>199</v>
      </c>
      <c r="K44" s="1">
        <v>45793</v>
      </c>
      <c r="M44" t="s">
        <v>51</v>
      </c>
      <c r="N44" s="2">
        <v>19.3</v>
      </c>
      <c r="O44" s="2">
        <v>19.3</v>
      </c>
      <c r="P44">
        <v>0</v>
      </c>
      <c r="Q44" s="3">
        <v>0.75</v>
      </c>
      <c r="R44" s="2">
        <f t="shared" si="0"/>
        <v>14.475000000000001</v>
      </c>
      <c r="S44" s="2">
        <v>0</v>
      </c>
      <c r="T44" s="2">
        <v>0</v>
      </c>
      <c r="Y44" s="4">
        <v>18771430</v>
      </c>
    </row>
    <row r="45" spans="1:25" x14ac:dyDescent="0.25">
      <c r="A45">
        <v>2028965806</v>
      </c>
      <c r="B45" t="s">
        <v>176</v>
      </c>
      <c r="E45" t="s">
        <v>177</v>
      </c>
      <c r="G45" s="6" t="s">
        <v>198</v>
      </c>
      <c r="H45" t="s">
        <v>175</v>
      </c>
      <c r="I45" t="s">
        <v>48</v>
      </c>
      <c r="J45" t="s">
        <v>199</v>
      </c>
      <c r="K45" s="1">
        <v>45793</v>
      </c>
      <c r="M45" t="s">
        <v>51</v>
      </c>
      <c r="N45" s="2">
        <v>73.42</v>
      </c>
      <c r="O45" s="2">
        <v>73.42</v>
      </c>
      <c r="P45">
        <v>0</v>
      </c>
      <c r="Q45" s="3">
        <v>0.75</v>
      </c>
      <c r="R45" s="2">
        <f t="shared" si="0"/>
        <v>55.064999999999998</v>
      </c>
      <c r="S45" s="2">
        <v>0</v>
      </c>
      <c r="T45" s="2">
        <v>0</v>
      </c>
      <c r="Y45" s="4">
        <v>18771430</v>
      </c>
    </row>
    <row r="46" spans="1:25" x14ac:dyDescent="0.25">
      <c r="K46" s="1"/>
      <c r="N46" s="2"/>
      <c r="O46" s="2"/>
      <c r="Q46" s="3"/>
      <c r="R46" s="2"/>
      <c r="S46" s="2"/>
      <c r="T46" s="2"/>
      <c r="Y46" s="4"/>
    </row>
    <row r="47" spans="1:25" x14ac:dyDescent="0.25">
      <c r="K47" s="1"/>
      <c r="N47" s="2"/>
      <c r="O47" s="2"/>
      <c r="Q47" s="3"/>
      <c r="R47" s="2"/>
      <c r="S47" s="2"/>
      <c r="T47" s="2"/>
      <c r="Y47" s="4"/>
    </row>
    <row r="48" spans="1:25" x14ac:dyDescent="0.25">
      <c r="K48" s="1"/>
      <c r="N48" s="2"/>
      <c r="O48" s="2"/>
      <c r="Q48" s="3"/>
      <c r="R48" s="2"/>
      <c r="S48" s="2"/>
      <c r="T48" s="2"/>
      <c r="Y48" s="4"/>
    </row>
    <row r="49" spans="11:25" x14ac:dyDescent="0.25">
      <c r="K49" s="1"/>
      <c r="N49" s="2"/>
      <c r="O49" s="2"/>
      <c r="Q49" s="3"/>
      <c r="R49" s="2"/>
      <c r="S49" s="2"/>
      <c r="T49" s="2"/>
      <c r="Y49" s="4"/>
    </row>
    <row r="50" spans="11:25" x14ac:dyDescent="0.25">
      <c r="K50" s="1"/>
      <c r="N50" s="2"/>
      <c r="O50" s="2"/>
      <c r="Q50" s="3"/>
      <c r="R50" s="2"/>
      <c r="S50" s="2"/>
      <c r="T50" s="2"/>
      <c r="Y50" s="4"/>
    </row>
    <row r="51" spans="11:25" x14ac:dyDescent="0.25">
      <c r="K51" s="1"/>
      <c r="N51" s="2"/>
      <c r="O51" s="2"/>
      <c r="Q51" s="3"/>
      <c r="R51" s="2"/>
      <c r="S51" s="2"/>
      <c r="T51" s="2"/>
      <c r="Y51" s="4"/>
    </row>
    <row r="52" spans="11:25" x14ac:dyDescent="0.25">
      <c r="K52" s="1"/>
      <c r="N52" s="2"/>
      <c r="O52" s="2"/>
      <c r="Q52" s="3"/>
      <c r="R52" s="2"/>
      <c r="S52" s="2"/>
      <c r="T52" s="2"/>
      <c r="Y52" s="4"/>
    </row>
    <row r="53" spans="11:25" x14ac:dyDescent="0.25">
      <c r="K53" s="1"/>
      <c r="N53" s="2"/>
      <c r="O53" s="2"/>
      <c r="Q53" s="3"/>
      <c r="R53" s="2"/>
      <c r="S53" s="2"/>
      <c r="T53" s="2"/>
      <c r="Y53" s="4"/>
    </row>
    <row r="54" spans="11:25" x14ac:dyDescent="0.25">
      <c r="K54" s="1"/>
      <c r="N54" s="2"/>
      <c r="O54" s="2"/>
      <c r="Q54" s="3"/>
      <c r="R54" s="2"/>
      <c r="S54" s="2"/>
      <c r="T54" s="2"/>
      <c r="Y54" s="4"/>
    </row>
    <row r="55" spans="11:25" x14ac:dyDescent="0.25">
      <c r="K55" s="1"/>
      <c r="N55" s="2"/>
      <c r="O55" s="2"/>
      <c r="Q55" s="3"/>
      <c r="R55" s="2"/>
      <c r="S55" s="2"/>
      <c r="T55" s="2"/>
      <c r="Y55" s="4"/>
    </row>
    <row r="56" spans="11:25" x14ac:dyDescent="0.25">
      <c r="K56" s="1"/>
      <c r="N56" s="2"/>
      <c r="O56" s="2"/>
      <c r="Q56" s="3"/>
      <c r="R56" s="2"/>
      <c r="S56" s="2"/>
      <c r="T56" s="2"/>
      <c r="Y56" s="4"/>
    </row>
    <row r="57" spans="11:25" x14ac:dyDescent="0.25">
      <c r="K57" s="1"/>
      <c r="N57" s="2"/>
      <c r="O57" s="2"/>
      <c r="Q57" s="3"/>
      <c r="R57" s="2"/>
      <c r="S57" s="2"/>
      <c r="T57" s="2"/>
      <c r="Y57" s="4"/>
    </row>
    <row r="58" spans="11:25" x14ac:dyDescent="0.25">
      <c r="K58" s="1"/>
      <c r="N58" s="2"/>
      <c r="O58" s="2"/>
      <c r="Q58" s="3"/>
      <c r="R58" s="2"/>
      <c r="S58" s="2"/>
      <c r="T58" s="2"/>
      <c r="Y58" s="4"/>
    </row>
    <row r="59" spans="11:25" x14ac:dyDescent="0.25">
      <c r="K59" s="1"/>
      <c r="N59" s="2"/>
      <c r="O59" s="2"/>
      <c r="Q59" s="3"/>
      <c r="R59" s="2"/>
      <c r="S59" s="2"/>
      <c r="T59" s="2"/>
      <c r="Y59" s="4"/>
    </row>
    <row r="60" spans="11:25" x14ac:dyDescent="0.25">
      <c r="K60" s="1"/>
      <c r="N60" s="2"/>
      <c r="O60" s="2"/>
      <c r="Q60" s="3"/>
      <c r="R60" s="2"/>
      <c r="S60" s="2"/>
      <c r="T60" s="2"/>
      <c r="Y60" s="4"/>
    </row>
    <row r="61" spans="11:25" x14ac:dyDescent="0.25">
      <c r="K61" s="1"/>
      <c r="N61" s="2"/>
      <c r="O61" s="2"/>
      <c r="Q61" s="3"/>
      <c r="R61" s="2"/>
      <c r="S61" s="2"/>
      <c r="T61" s="2"/>
      <c r="Y61" s="4"/>
    </row>
    <row r="62" spans="11:25" x14ac:dyDescent="0.25">
      <c r="K62" s="1"/>
      <c r="N62" s="2"/>
      <c r="O62" s="2"/>
      <c r="Q62" s="3"/>
      <c r="R62" s="2"/>
      <c r="S62" s="2"/>
      <c r="T62" s="2"/>
      <c r="Y62" s="4"/>
    </row>
    <row r="63" spans="11:25" x14ac:dyDescent="0.25">
      <c r="K63" s="1"/>
      <c r="N63" s="2"/>
      <c r="O63" s="2"/>
      <c r="Q63" s="3"/>
      <c r="R63" s="2"/>
      <c r="S63" s="2"/>
      <c r="T63" s="2"/>
      <c r="Y63" s="4"/>
    </row>
    <row r="64" spans="11:25" x14ac:dyDescent="0.25">
      <c r="K64" s="1"/>
      <c r="N64" s="2"/>
      <c r="O64" s="2"/>
      <c r="Q64" s="3"/>
      <c r="R64" s="2"/>
      <c r="S64" s="2"/>
      <c r="T64" s="2"/>
      <c r="Y64" s="4"/>
    </row>
    <row r="65" spans="11:25" x14ac:dyDescent="0.25">
      <c r="K65" s="1"/>
      <c r="N65" s="2"/>
      <c r="O65" s="2"/>
      <c r="Q65" s="3"/>
      <c r="R65" s="2"/>
      <c r="S65" s="2"/>
      <c r="T65" s="2"/>
      <c r="Y65" s="4"/>
    </row>
    <row r="66" spans="11:25" x14ac:dyDescent="0.25">
      <c r="K66" s="1"/>
      <c r="N66" s="2"/>
      <c r="O66" s="2"/>
      <c r="Q66" s="3"/>
      <c r="R66" s="2"/>
      <c r="S66" s="2"/>
      <c r="T66" s="2"/>
      <c r="Y66" s="4"/>
    </row>
    <row r="67" spans="11:25" x14ac:dyDescent="0.25">
      <c r="K67" s="1"/>
      <c r="N67" s="2"/>
      <c r="O67" s="2"/>
      <c r="Q67" s="3"/>
      <c r="R67" s="2"/>
      <c r="S67" s="2"/>
      <c r="T67" s="2"/>
      <c r="Y67" s="4"/>
    </row>
    <row r="68" spans="11:25" x14ac:dyDescent="0.25">
      <c r="K68" s="1"/>
      <c r="N68" s="2"/>
      <c r="O68" s="2"/>
      <c r="Q68" s="3"/>
      <c r="R68" s="2"/>
      <c r="S68" s="2"/>
      <c r="T68" s="2"/>
      <c r="Y68" s="4"/>
    </row>
    <row r="69" spans="11:25" x14ac:dyDescent="0.25">
      <c r="K69" s="1"/>
      <c r="N69" s="2"/>
      <c r="O69" s="2"/>
      <c r="Q69" s="3"/>
      <c r="R69" s="2"/>
      <c r="S69" s="2"/>
      <c r="T69" s="2"/>
      <c r="Y69" s="4"/>
    </row>
    <row r="70" spans="11:25" x14ac:dyDescent="0.25">
      <c r="K70" s="1"/>
      <c r="N70" s="2"/>
      <c r="O70" s="2"/>
      <c r="Q70" s="3"/>
      <c r="R70" s="2"/>
      <c r="S70" s="2"/>
      <c r="T70" s="2"/>
      <c r="Y70" s="4"/>
    </row>
    <row r="71" spans="11:25" x14ac:dyDescent="0.25">
      <c r="K71" s="1"/>
      <c r="N71" s="2"/>
      <c r="O71" s="2"/>
      <c r="Q71" s="3"/>
      <c r="R71" s="2"/>
      <c r="S71" s="2"/>
      <c r="T71" s="2"/>
      <c r="Y71" s="4"/>
    </row>
    <row r="72" spans="11:25" x14ac:dyDescent="0.25">
      <c r="K72" s="1"/>
      <c r="N72" s="2"/>
      <c r="O72" s="2"/>
      <c r="Q72" s="3"/>
      <c r="R72" s="2"/>
      <c r="S72" s="2"/>
      <c r="T72" s="2"/>
      <c r="Y72" s="4"/>
    </row>
    <row r="73" spans="11:25" x14ac:dyDescent="0.25">
      <c r="K73" s="1"/>
      <c r="N73" s="2"/>
      <c r="O73" s="2"/>
      <c r="Q73" s="3"/>
      <c r="R73" s="2"/>
      <c r="S73" s="2"/>
      <c r="T73" s="2"/>
      <c r="Y73" s="4"/>
    </row>
    <row r="74" spans="11:25" x14ac:dyDescent="0.25">
      <c r="K74" s="1"/>
      <c r="N74" s="2"/>
      <c r="O74" s="2"/>
      <c r="Q74" s="3"/>
      <c r="R74" s="2"/>
      <c r="S74" s="2"/>
      <c r="T74" s="2"/>
      <c r="Y74" s="4"/>
    </row>
    <row r="75" spans="11:25" x14ac:dyDescent="0.25">
      <c r="K75" s="1"/>
      <c r="N75" s="2"/>
      <c r="O75" s="2"/>
      <c r="Q75" s="3"/>
      <c r="R75" s="2"/>
      <c r="S75" s="2"/>
      <c r="T75" s="2"/>
      <c r="Y75" s="4"/>
    </row>
    <row r="76" spans="11:25" x14ac:dyDescent="0.25">
      <c r="K76" s="1"/>
      <c r="N76" s="2"/>
      <c r="O76" s="2"/>
      <c r="Q76" s="3"/>
      <c r="R76" s="2"/>
      <c r="S76" s="2"/>
      <c r="T76" s="2"/>
      <c r="Y76" s="4"/>
    </row>
    <row r="77" spans="11:25" x14ac:dyDescent="0.25">
      <c r="K77" s="1"/>
      <c r="N77" s="2"/>
      <c r="O77" s="2"/>
      <c r="Q77" s="3"/>
      <c r="R77" s="2"/>
      <c r="S77" s="2"/>
      <c r="T77" s="2"/>
      <c r="Y77" s="4"/>
    </row>
    <row r="78" spans="11:25" x14ac:dyDescent="0.25">
      <c r="K78" s="1"/>
      <c r="N78" s="2"/>
      <c r="O78" s="2"/>
      <c r="Q78" s="3"/>
      <c r="R78" s="2"/>
      <c r="S78" s="2"/>
      <c r="T78" s="2"/>
      <c r="Y78" s="4"/>
    </row>
    <row r="79" spans="11:25" x14ac:dyDescent="0.25">
      <c r="K79" s="1"/>
      <c r="N79" s="2"/>
      <c r="O79" s="2"/>
      <c r="Q79" s="3"/>
      <c r="R79" s="2"/>
      <c r="S79" s="2"/>
      <c r="T79" s="2"/>
      <c r="Y79" s="4"/>
    </row>
    <row r="80" spans="11:25" x14ac:dyDescent="0.25">
      <c r="K80" s="1"/>
      <c r="N80" s="2"/>
      <c r="O80" s="2"/>
      <c r="Q80" s="3"/>
      <c r="R80" s="2"/>
      <c r="S80" s="2"/>
      <c r="T80" s="2"/>
      <c r="Y80" s="4"/>
    </row>
    <row r="81" spans="11:25" x14ac:dyDescent="0.25">
      <c r="K81" s="1"/>
      <c r="N81" s="2"/>
      <c r="O81" s="2"/>
      <c r="Q81" s="3"/>
      <c r="R81" s="2"/>
      <c r="S81" s="2"/>
      <c r="T81" s="2"/>
      <c r="Y81" s="4"/>
    </row>
    <row r="82" spans="11:25" x14ac:dyDescent="0.25">
      <c r="K82" s="1"/>
      <c r="N82" s="2"/>
      <c r="O82" s="2"/>
      <c r="Q82" s="3"/>
      <c r="R82" s="2"/>
      <c r="S82" s="2"/>
      <c r="T82" s="2"/>
      <c r="Y82" s="4"/>
    </row>
    <row r="83" spans="11:25" x14ac:dyDescent="0.25">
      <c r="K83" s="1"/>
      <c r="N83" s="2"/>
      <c r="O83" s="2"/>
      <c r="Q83" s="3"/>
      <c r="R83" s="2"/>
      <c r="S83" s="2"/>
      <c r="T83" s="2"/>
      <c r="Y83" s="4"/>
    </row>
    <row r="84" spans="11:25" x14ac:dyDescent="0.25">
      <c r="K84" s="1"/>
      <c r="N84" s="2"/>
      <c r="O84" s="2"/>
      <c r="Q84" s="3"/>
      <c r="R84" s="2"/>
      <c r="S84" s="2"/>
      <c r="T84" s="2"/>
      <c r="Y84" s="4"/>
    </row>
    <row r="85" spans="11:25" x14ac:dyDescent="0.25">
      <c r="K85" s="1"/>
      <c r="N85" s="2"/>
      <c r="O85" s="2"/>
      <c r="Q85" s="3"/>
      <c r="R85" s="2"/>
      <c r="S85" s="2"/>
      <c r="T85" s="2"/>
      <c r="Y85" s="4"/>
    </row>
    <row r="86" spans="11:25" x14ac:dyDescent="0.25">
      <c r="K86" s="1"/>
      <c r="N86" s="2"/>
      <c r="O86" s="2"/>
      <c r="Q86" s="3"/>
      <c r="R86" s="2"/>
      <c r="S86" s="2"/>
      <c r="T86" s="2"/>
      <c r="Y86" s="4"/>
    </row>
    <row r="87" spans="11:25" x14ac:dyDescent="0.25">
      <c r="K87" s="1"/>
      <c r="N87" s="2"/>
      <c r="O87" s="2"/>
      <c r="Q87" s="3"/>
      <c r="R87" s="2"/>
      <c r="S87" s="2"/>
      <c r="T87" s="2"/>
      <c r="Y87" s="4"/>
    </row>
    <row r="88" spans="11:25" x14ac:dyDescent="0.25">
      <c r="K88" s="1"/>
      <c r="N88" s="2"/>
      <c r="O88" s="2"/>
      <c r="Q88" s="3"/>
      <c r="R88" s="2"/>
      <c r="S88" s="2"/>
      <c r="T88" s="2"/>
      <c r="Y88" s="4"/>
    </row>
    <row r="89" spans="11:25" x14ac:dyDescent="0.25">
      <c r="K89" s="1"/>
      <c r="N89" s="2"/>
      <c r="O89" s="2"/>
      <c r="Q89" s="3"/>
      <c r="R89" s="2"/>
      <c r="S89" s="2"/>
      <c r="T89" s="2"/>
      <c r="Y89" s="4"/>
    </row>
    <row r="90" spans="11:25" x14ac:dyDescent="0.25">
      <c r="K90" s="1"/>
      <c r="N90" s="2"/>
      <c r="O90" s="2"/>
      <c r="Q90" s="3"/>
      <c r="R90" s="2"/>
      <c r="S90" s="2"/>
      <c r="T90" s="2"/>
      <c r="Y90" s="4"/>
    </row>
    <row r="91" spans="11:25" x14ac:dyDescent="0.25">
      <c r="K91" s="1"/>
      <c r="N91" s="2"/>
      <c r="O91" s="2"/>
      <c r="Q91" s="3"/>
      <c r="R91" s="2"/>
      <c r="S91" s="2"/>
      <c r="T91" s="2"/>
      <c r="Y91" s="4"/>
    </row>
    <row r="92" spans="11:25" x14ac:dyDescent="0.25">
      <c r="K92" s="1"/>
      <c r="N92" s="2"/>
      <c r="O92" s="2"/>
      <c r="Q92" s="3"/>
      <c r="R92" s="2"/>
      <c r="S92" s="2"/>
      <c r="T92" s="2"/>
      <c r="Y92" s="4"/>
    </row>
    <row r="93" spans="11:25" x14ac:dyDescent="0.25">
      <c r="K93" s="1"/>
      <c r="N93" s="2"/>
      <c r="O93" s="2"/>
      <c r="Q93" s="3"/>
      <c r="R93" s="2"/>
      <c r="S93" s="2"/>
      <c r="T93" s="2"/>
      <c r="Y93" s="4"/>
    </row>
    <row r="94" spans="11:25" x14ac:dyDescent="0.25">
      <c r="K94" s="1"/>
      <c r="N94" s="2"/>
      <c r="O94" s="2"/>
      <c r="Q94" s="3"/>
      <c r="R94" s="2"/>
      <c r="S94" s="2"/>
      <c r="T94" s="2"/>
      <c r="Y94" s="4"/>
    </row>
    <row r="95" spans="11:25" x14ac:dyDescent="0.25">
      <c r="K95" s="1"/>
      <c r="N95" s="2"/>
      <c r="O95" s="2"/>
      <c r="Q95" s="3"/>
      <c r="R95" s="2"/>
      <c r="S95" s="2"/>
      <c r="T95" s="2"/>
      <c r="Y95" s="4"/>
    </row>
    <row r="96" spans="11:25" x14ac:dyDescent="0.25">
      <c r="K96" s="1"/>
      <c r="N96" s="2"/>
      <c r="O96" s="2"/>
      <c r="Q96" s="3"/>
      <c r="R96" s="2"/>
      <c r="S96" s="2"/>
      <c r="T96" s="2"/>
      <c r="Y96" s="4"/>
    </row>
    <row r="97" spans="11:25" x14ac:dyDescent="0.25">
      <c r="K97" s="1"/>
      <c r="N97" s="2"/>
      <c r="O97" s="2"/>
      <c r="Q97" s="3"/>
      <c r="R97" s="2"/>
      <c r="S97" s="2"/>
      <c r="T97" s="2"/>
      <c r="Y97" s="4"/>
    </row>
    <row r="98" spans="11:25" x14ac:dyDescent="0.25">
      <c r="K98" s="1"/>
      <c r="N98" s="2"/>
      <c r="O98" s="2"/>
      <c r="Q98" s="3"/>
      <c r="R98" s="2"/>
      <c r="S98" s="2"/>
      <c r="T98" s="2"/>
      <c r="Y98" s="4"/>
    </row>
    <row r="99" spans="11:25" x14ac:dyDescent="0.25">
      <c r="K99" s="1"/>
      <c r="N99" s="2"/>
      <c r="O99" s="2"/>
      <c r="Q99" s="3"/>
      <c r="R99" s="2"/>
      <c r="S99" s="2"/>
      <c r="T99" s="2"/>
      <c r="Y99" s="4"/>
    </row>
    <row r="100" spans="11:25" x14ac:dyDescent="0.25">
      <c r="K100" s="1"/>
      <c r="N100" s="2"/>
      <c r="O100" s="2"/>
      <c r="Q100" s="3"/>
      <c r="R100" s="2"/>
      <c r="S100" s="2"/>
      <c r="T100" s="2"/>
      <c r="Y100" s="4"/>
    </row>
    <row r="101" spans="11:25" x14ac:dyDescent="0.25">
      <c r="K101" s="1"/>
      <c r="N101" s="2"/>
      <c r="O101" s="2"/>
      <c r="Q101" s="3"/>
      <c r="R101" s="2"/>
      <c r="S101" s="2"/>
      <c r="T101" s="2"/>
      <c r="Y101" s="4"/>
    </row>
    <row r="102" spans="11:25" x14ac:dyDescent="0.25">
      <c r="K102" s="1"/>
      <c r="N102" s="2"/>
      <c r="O102" s="2"/>
      <c r="Q102" s="3"/>
      <c r="R102" s="2"/>
      <c r="S102" s="2"/>
      <c r="T102" s="2"/>
      <c r="Y102" s="4"/>
    </row>
  </sheetData>
  <sortState xmlns:xlrd2="http://schemas.microsoft.com/office/spreadsheetml/2017/richdata2" ref="A2:AH45">
    <sortCondition ref="Q2:Q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2025-05-26T18:17:58Z</dcterms:created>
  <dcterms:modified xsi:type="dcterms:W3CDTF">2026-07-09T18:55:58Z</dcterms:modified>
</cp:coreProperties>
</file>