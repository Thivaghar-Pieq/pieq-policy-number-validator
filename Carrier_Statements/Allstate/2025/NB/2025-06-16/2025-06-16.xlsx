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llstate\2025\NB\6-16-25\"/>
    </mc:Choice>
  </mc:AlternateContent>
  <xr:revisionPtr revIDLastSave="0" documentId="13_ncr:1_{4372D3A1-3C1E-4278-90BF-EEEF0952804A}" xr6:coauthVersionLast="47" xr6:coauthVersionMax="47" xr10:uidLastSave="{00000000-0000-0000-0000-000000000000}"/>
  <bookViews>
    <workbookView xWindow="-28920" yWindow="-120" windowWidth="29040" windowHeight="15720" xr2:uid="{B35D0666-91ED-41E2-A668-303E37555B7C}"/>
  </bookViews>
  <sheets>
    <sheet name="649163__Newbusiness_NEW_BUSINES" sheetId="1" r:id="rId1"/>
    <sheet name="Sheet1" sheetId="2" r:id="rId2"/>
  </sheets>
  <definedNames>
    <definedName name="_xlnm._FilterDatabase" localSheetId="0" hidden="1">'649163__Newbusiness_NEW_BUSINES'!$A$1:$AL$50</definedName>
    <definedName name="_xlnm._FilterDatabase" localSheetId="1" hidden="1">Sheet1!$A$1:$P$31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2" l="1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2" i="2"/>
</calcChain>
</file>

<file path=xl/sharedStrings.xml><?xml version="1.0" encoding="utf-8"?>
<sst xmlns="http://schemas.openxmlformats.org/spreadsheetml/2006/main" count="1015" uniqueCount="197">
  <si>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</si>
  <si>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</si>
  <si>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</si>
  <si>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</si>
  <si>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</si>
  <si>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</si>
  <si>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</si>
  <si>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</si>
  <si>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</si>
  <si>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</si>
  <si>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</si>
  <si>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</si>
  <si>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</si>
  <si>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</si>
  <si>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</si>
  <si>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</si>
  <si>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</si>
  <si>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</si>
  <si>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</si>
  <si>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</si>
  <si>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</si>
  <si>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</si>
  <si>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</si>
  <si>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</si>
  <si>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</si>
  <si>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</si>
  <si>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</si>
  <si>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</si>
  <si>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</si>
  <si>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</si>
  <si>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</si>
  <si>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</si>
  <si>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</si>
  <si>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</si>
  <si>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</si>
  <si>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</si>
  <si>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</si>
  <si>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</si>
  <si>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NB</t>
  </si>
  <si>
    <t>NGIS</t>
  </si>
  <si>
    <t>NGIS-NHIC</t>
  </si>
  <si>
    <t>'649163</t>
  </si>
  <si>
    <t>'20411454</t>
  </si>
  <si>
    <t>JASON HOFFMANN</t>
  </si>
  <si>
    <t>'2029185271</t>
  </si>
  <si>
    <t>JILL MCKEE</t>
  </si>
  <si>
    <t>IA</t>
  </si>
  <si>
    <t>'673059</t>
  </si>
  <si>
    <t>RYAN CALTAGIRONE</t>
  </si>
  <si>
    <t>Active</t>
  </si>
  <si>
    <t>Cancer and Heart/Stroke GI 20231</t>
  </si>
  <si>
    <t>Monthly</t>
  </si>
  <si>
    <t>AV</t>
  </si>
  <si>
    <t>[NOADMINFEE]</t>
  </si>
  <si>
    <t>'2029185272</t>
  </si>
  <si>
    <t>Plan Enhancer 20214</t>
  </si>
  <si>
    <t>'2029251415</t>
  </si>
  <si>
    <t>DALE KELLEY</t>
  </si>
  <si>
    <t>IL</t>
  </si>
  <si>
    <t>'814033</t>
  </si>
  <si>
    <t>FRANK LISKOVEC</t>
  </si>
  <si>
    <t>NHIC Dental 2020 DVH 65+</t>
  </si>
  <si>
    <t>'2029272189</t>
  </si>
  <si>
    <t>KRYSTAL SMITH</t>
  </si>
  <si>
    <t>'843573</t>
  </si>
  <si>
    <t>JAMES ALLEN</t>
  </si>
  <si>
    <t>SELECT DENTAL 29304</t>
  </si>
  <si>
    <t>'2029272190</t>
  </si>
  <si>
    <t>'2029276498</t>
  </si>
  <si>
    <t>JANIE PYLES</t>
  </si>
  <si>
    <t>TX</t>
  </si>
  <si>
    <t>'822733</t>
  </si>
  <si>
    <t>CHRISTOPHER BROUSSEAU</t>
  </si>
  <si>
    <t>'2029276860</t>
  </si>
  <si>
    <t>Term Life 21673</t>
  </si>
  <si>
    <t>'2029287494</t>
  </si>
  <si>
    <t>JENNIFER JACKSON</t>
  </si>
  <si>
    <t>'2029341342</t>
  </si>
  <si>
    <t>SAMUEL JOHN</t>
  </si>
  <si>
    <t>AZ</t>
  </si>
  <si>
    <t>'767312</t>
  </si>
  <si>
    <t>THOMAS PARDUE</t>
  </si>
  <si>
    <t>'2029363953</t>
  </si>
  <si>
    <t>CHERYL SIMMONS-HUTSON</t>
  </si>
  <si>
    <t>'766747</t>
  </si>
  <si>
    <t>MICHAEL DUNAVANT</t>
  </si>
  <si>
    <t>'2029364355</t>
  </si>
  <si>
    <t>STEFANOS LEKKAS</t>
  </si>
  <si>
    <t>'766422</t>
  </si>
  <si>
    <t>GREGORY HANSFORD</t>
  </si>
  <si>
    <t>NHIC LM 2021 Hospital Expense Protection U65</t>
  </si>
  <si>
    <t>'2029364356</t>
  </si>
  <si>
    <t>'2029364357</t>
  </si>
  <si>
    <t>'2029364358</t>
  </si>
  <si>
    <t>LIFE Association Membership - C 14956 LM</t>
  </si>
  <si>
    <t>'2029369421</t>
  </si>
  <si>
    <t>THOMAS KRAMER</t>
  </si>
  <si>
    <t>'824062</t>
  </si>
  <si>
    <t>ANDREW CHOI</t>
  </si>
  <si>
    <t>'2029369422</t>
  </si>
  <si>
    <t>Critical Illness w/ Term Life 21677</t>
  </si>
  <si>
    <t>'2029369423</t>
  </si>
  <si>
    <t>'2029378056</t>
  </si>
  <si>
    <t>CLIFTON THOMPSON</t>
  </si>
  <si>
    <t>'823350</t>
  </si>
  <si>
    <t>RICHARD YALE</t>
  </si>
  <si>
    <t>'2029378057</t>
  </si>
  <si>
    <t>'2029378058</t>
  </si>
  <si>
    <t>'2029378240</t>
  </si>
  <si>
    <t>ABRAHAM VINITSKI</t>
  </si>
  <si>
    <t>MI</t>
  </si>
  <si>
    <t>'812656</t>
  </si>
  <si>
    <t>GARY PORTUGAL</t>
  </si>
  <si>
    <t>'2029378241</t>
  </si>
  <si>
    <t>'2029390981</t>
  </si>
  <si>
    <t>STANLEY DICKSON</t>
  </si>
  <si>
    <t>GA</t>
  </si>
  <si>
    <t>'650218</t>
  </si>
  <si>
    <t>CAROL FOLEY</t>
  </si>
  <si>
    <t>'2029390982</t>
  </si>
  <si>
    <t>'2029398822</t>
  </si>
  <si>
    <t>LISA BOWSER</t>
  </si>
  <si>
    <t>WA</t>
  </si>
  <si>
    <t>'856824</t>
  </si>
  <si>
    <t>JAKE SHULMAN</t>
  </si>
  <si>
    <t>Dental Indemnity 21618</t>
  </si>
  <si>
    <t>'2029402295</t>
  </si>
  <si>
    <t>MARIELLE FARIA</t>
  </si>
  <si>
    <t>'2029403159</t>
  </si>
  <si>
    <t>BRYAN TECSON</t>
  </si>
  <si>
    <t>'2029405218</t>
  </si>
  <si>
    <t>MADISON VINITSKI</t>
  </si>
  <si>
    <t>'2029406747</t>
  </si>
  <si>
    <t>MALUZ VEGA</t>
  </si>
  <si>
    <t>'2029409634</t>
  </si>
  <si>
    <t>ABDELFATTAH GARGAR</t>
  </si>
  <si>
    <t>PA</t>
  </si>
  <si>
    <t>'751867</t>
  </si>
  <si>
    <t>JOHN ROKEN</t>
  </si>
  <si>
    <t>TrioMED Accident and CI 14939</t>
  </si>
  <si>
    <t>'2029409635</t>
  </si>
  <si>
    <t>'2029410874</t>
  </si>
  <si>
    <t>LESSIE CHESTER</t>
  </si>
  <si>
    <t>'2029413863</t>
  </si>
  <si>
    <t>MARTHA HERNANDEZ</t>
  </si>
  <si>
    <t>'2029413864</t>
  </si>
  <si>
    <t>'2029415289</t>
  </si>
  <si>
    <t>PHENU ZACHARIAH</t>
  </si>
  <si>
    <t>'2029416122</t>
  </si>
  <si>
    <t>CRISTIAN IBARRA</t>
  </si>
  <si>
    <t>CO</t>
  </si>
  <si>
    <t>'816021</t>
  </si>
  <si>
    <t>HEATHER MILLER</t>
  </si>
  <si>
    <t>'2029416123</t>
  </si>
  <si>
    <t>Allstate Health Access</t>
  </si>
  <si>
    <t>'2029416124</t>
  </si>
  <si>
    <t>'2029416125</t>
  </si>
  <si>
    <t>Allstate Recuro RX Discount Card</t>
  </si>
  <si>
    <t>'2029416126</t>
  </si>
  <si>
    <t>'2029432398</t>
  </si>
  <si>
    <t>TSENGELMAA DORJKHAND</t>
  </si>
  <si>
    <t>'807212</t>
  </si>
  <si>
    <t>NASANDELGER ZANA</t>
  </si>
  <si>
    <t>'2029434655</t>
  </si>
  <si>
    <t>KATHERINE BALLARD</t>
  </si>
  <si>
    <t>FL</t>
  </si>
  <si>
    <t>'812782</t>
  </si>
  <si>
    <t>JACOB YALE</t>
  </si>
  <si>
    <t>'2029456584</t>
  </si>
  <si>
    <t>FNU SHAJI</t>
  </si>
  <si>
    <t>'2029456585</t>
  </si>
  <si>
    <t>'2029467187</t>
  </si>
  <si>
    <t>JERRY JONES</t>
  </si>
  <si>
    <t>'2029467188</t>
  </si>
  <si>
    <t>CB</t>
  </si>
  <si>
    <t>'2029270540</t>
  </si>
  <si>
    <t>JUDAH WIGGINS</t>
  </si>
  <si>
    <t>CHARGEBACK</t>
  </si>
  <si>
    <t>AE</t>
  </si>
  <si>
    <t>'2029270541</t>
  </si>
  <si>
    <t>Accident Fixed Benefit</t>
  </si>
  <si>
    <t>'2029270542</t>
  </si>
  <si>
    <t>7470776AV6</t>
  </si>
  <si>
    <t>8814784AV6</t>
  </si>
  <si>
    <t>17094718AV6</t>
  </si>
  <si>
    <t>16865615AV6</t>
  </si>
  <si>
    <t>18201929AV6</t>
  </si>
  <si>
    <t>17143996AV6</t>
  </si>
  <si>
    <t>18828278AV6</t>
  </si>
  <si>
    <t>20220688AV6</t>
  </si>
  <si>
    <t>16633294AV6</t>
  </si>
  <si>
    <t>371819AV6</t>
  </si>
  <si>
    <t>AS SELECT DENTAL 29304</t>
  </si>
  <si>
    <t>AS Plan Enhancer 20214</t>
  </si>
  <si>
    <t>Cancer and Heart-Stroke 20231</t>
  </si>
  <si>
    <t>Critical Illness with Term Life 21677</t>
  </si>
  <si>
    <t>AS Term Life 21673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</si>
</sst>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12">
    <xf numFmtId="0" fontId="0" fillId="0" borderId="0" xfId="0"/>
    <xf numFmtId="14" fontId="0" fillId="0" borderId="0" xfId="0" applyNumberFormat="1"/>
    <xf numFmtId="8" fontId="0" fillId="0" borderId="0" xfId="0" applyNumberFormat="1"/>
    <xf numFmtId="10" fontId="0" fillId="0" borderId="0" xfId="0" applyNumberFormat="1"/>
    <xf numFmtId="11" fontId="0" fillId="0" borderId="0" xfId="0" applyNumberFormat="1"/>
    <xf numFmtId="0" fontId="0" fillId="0" borderId="0" xfId="0" applyAlignment="1">
      <alignment horizontal="right"/>
    </xf>
    <xf numFmtId="44" fontId="0" fillId="0" borderId="0" xfId="42" applyFont="1"/>
    <xf numFmtId="14" fontId="0" fillId="33" borderId="0" xfId="0" applyNumberFormat="1" applyFill="1"/>
    <xf numFmtId="0" fontId="0" fillId="33" borderId="0" xfId="0" applyFill="1"/>
    <xf numFmtId="8" fontId="0" fillId="33" borderId="0" xfId="0" applyNumberFormat="1" applyFill="1"/>
    <xf numFmtId="10" fontId="0" fillId="33" borderId="0" xfId="0" applyNumberFormat="1" applyFill="1"/>
    <xf numFmtId="11" fontId="0" fillId="33" borderId="0" xfId="0" applyNumberForma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111F3-2B21-404A-84E2-179063610840}">
  <dimension ref="A1:AL50"/>
  <sheetViews>
    <sheetView tabSelected="1" topLeftCell="A19" workbookViewId="0">
      <selection activeCell="P1" sqref="P1"/>
    </sheetView>
  </sheetViews>
  <sheetFormatPr defaultRowHeight="15" x14ac:dyDescent="0.25"/>
  <cols>
    <col min="1" max="1" width="10.140625" bestFit="1" customWidth="1"/>
    <col min="2" max="2" width="16" bestFit="1" customWidth="1"/>
    <col min="3" max="3" width="14.28515625" bestFit="1" customWidth="1"/>
    <col min="4" max="4" width="11.5703125" bestFit="1" customWidth="1"/>
    <col min="5" max="5" width="10.42578125" bestFit="1" customWidth="1"/>
    <col min="6" max="6" width="8.140625" bestFit="1" customWidth="1"/>
    <col min="7" max="7" width="9.42578125" bestFit="1" customWidth="1"/>
    <col min="8" max="8" width="17.7109375" bestFit="1" customWidth="1"/>
    <col min="9" max="9" width="14" bestFit="1" customWidth="1"/>
    <col min="10" max="10" width="25" bestFit="1" customWidth="1"/>
    <col min="11" max="11" width="8.140625" bestFit="1" customWidth="1"/>
    <col min="12" max="12" width="4.140625" bestFit="1" customWidth="1"/>
    <col min="13" max="13" width="5.28515625" bestFit="1" customWidth="1"/>
    <col min="14" max="14" width="8.5703125" bestFit="1" customWidth="1"/>
    <col min="15" max="15" width="15" bestFit="1" customWidth="1"/>
    <col min="16" max="16" width="24.42578125" bestFit="1" customWidth="1"/>
    <col min="17" max="17" width="12.5703125" bestFit="1" customWidth="1"/>
    <col min="18" max="18" width="42.42578125" bestFit="1" customWidth="1"/>
    <col min="19" max="19" width="10.140625" bestFit="1" customWidth="1"/>
    <col min="20" max="20" width="12.28515625" bestFit="1" customWidth="1"/>
    <col min="21" max="21" width="14" bestFit="1" customWidth="1"/>
    <col min="22" max="22" width="12" bestFit="1" customWidth="1"/>
    <col min="23" max="23" width="16.140625" bestFit="1" customWidth="1"/>
    <col min="24" max="24" width="9" bestFit="1" customWidth="1"/>
    <col min="25" max="25" width="17.85546875" bestFit="1" customWidth="1"/>
    <col min="26" max="26" width="16.140625" bestFit="1" customWidth="1"/>
    <col min="27" max="27" width="16.7109375" bestFit="1" customWidth="1"/>
    <col min="28" max="28" width="16.5703125" bestFit="1" customWidth="1"/>
    <col min="29" max="29" width="18" bestFit="1" customWidth="1"/>
    <col min="30" max="30" width="11.5703125" bestFit="1" customWidth="1"/>
    <col min="31" max="31" width="14.7109375" bestFit="1" customWidth="1"/>
    <col min="32" max="32" width="9.85546875" bestFit="1" customWidth="1"/>
    <col min="33" max="33" width="12.7109375" bestFit="1" customWidth="1"/>
    <col min="34" max="34" width="19" bestFit="1" customWidth="1"/>
    <col min="35" max="35" width="18" bestFit="1" customWidth="1"/>
    <col min="36" max="36" width="11.42578125" bestFit="1" customWidth="1"/>
    <col min="37" max="37" width="14" bestFit="1" customWidth="1"/>
    <col min="38" max="38" width="16.28515625" bestFit="1" customWidth="1"/>
  </cols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s="1">
        <v>45828</v>
      </c>
      <c r="B2" s="1">
        <v>45824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95</v>
      </c>
      <c r="J2" t="s">
        <v>96</v>
      </c>
      <c r="M2" t="s">
        <v>79</v>
      </c>
      <c r="O2" t="s">
        <v>97</v>
      </c>
      <c r="P2" t="s">
        <v>98</v>
      </c>
      <c r="Q2" t="s">
        <v>49</v>
      </c>
      <c r="R2" t="s">
        <v>90</v>
      </c>
      <c r="S2" s="1">
        <v>45839</v>
      </c>
      <c r="U2" t="s">
        <v>51</v>
      </c>
      <c r="X2" t="s">
        <v>52</v>
      </c>
      <c r="Y2" s="2">
        <v>40</v>
      </c>
      <c r="Z2" s="2">
        <v>40</v>
      </c>
      <c r="AA2">
        <v>6</v>
      </c>
      <c r="AB2" s="3">
        <v>0.38</v>
      </c>
      <c r="AC2" s="2">
        <v>91.2</v>
      </c>
      <c r="AD2" s="3">
        <v>0</v>
      </c>
      <c r="AE2" s="2">
        <v>0</v>
      </c>
      <c r="AF2" s="2">
        <v>91.2</v>
      </c>
      <c r="AK2" s="4">
        <v>19041380</v>
      </c>
      <c r="AL2" t="s">
        <v>53</v>
      </c>
    </row>
    <row r="3" spans="1:38" x14ac:dyDescent="0.25">
      <c r="A3" s="1">
        <v>45828</v>
      </c>
      <c r="B3" s="1">
        <v>45824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99</v>
      </c>
      <c r="J3" t="s">
        <v>96</v>
      </c>
      <c r="M3" t="s">
        <v>79</v>
      </c>
      <c r="O3" t="s">
        <v>97</v>
      </c>
      <c r="P3" t="s">
        <v>98</v>
      </c>
      <c r="Q3" t="s">
        <v>49</v>
      </c>
      <c r="R3" t="s">
        <v>100</v>
      </c>
      <c r="S3" s="1">
        <v>45839</v>
      </c>
      <c r="U3" t="s">
        <v>51</v>
      </c>
      <c r="X3" t="s">
        <v>52</v>
      </c>
      <c r="Y3" s="2">
        <v>534.69000000000005</v>
      </c>
      <c r="Z3" s="2">
        <v>534.69000000000005</v>
      </c>
      <c r="AA3">
        <v>6</v>
      </c>
      <c r="AB3" s="3">
        <v>0.9</v>
      </c>
      <c r="AC3" s="2">
        <v>2887.33</v>
      </c>
      <c r="AD3" s="3">
        <v>0</v>
      </c>
      <c r="AE3" s="2">
        <v>0</v>
      </c>
      <c r="AF3" s="2">
        <v>2887.33</v>
      </c>
      <c r="AK3" s="4">
        <v>19032250</v>
      </c>
      <c r="AL3" t="s">
        <v>53</v>
      </c>
    </row>
    <row r="4" spans="1:38" x14ac:dyDescent="0.25">
      <c r="A4" s="1">
        <v>45828</v>
      </c>
      <c r="B4" s="1">
        <v>45824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101</v>
      </c>
      <c r="J4" t="s">
        <v>96</v>
      </c>
      <c r="M4" t="s">
        <v>79</v>
      </c>
      <c r="O4" t="s">
        <v>97</v>
      </c>
      <c r="P4" t="s">
        <v>98</v>
      </c>
      <c r="Q4" t="s">
        <v>49</v>
      </c>
      <c r="R4" t="s">
        <v>94</v>
      </c>
      <c r="S4" s="1">
        <v>45839</v>
      </c>
      <c r="U4" t="s">
        <v>51</v>
      </c>
      <c r="X4" t="s">
        <v>52</v>
      </c>
      <c r="Y4" s="2">
        <v>15</v>
      </c>
      <c r="Z4" s="2">
        <v>15</v>
      </c>
      <c r="AA4">
        <v>6</v>
      </c>
      <c r="AB4" s="3">
        <v>0.38</v>
      </c>
      <c r="AC4" s="2">
        <v>34.200000000000003</v>
      </c>
      <c r="AD4" s="3">
        <v>0</v>
      </c>
      <c r="AE4" s="2">
        <v>0</v>
      </c>
      <c r="AF4" s="2">
        <v>34.200000000000003</v>
      </c>
      <c r="AK4" s="4">
        <v>19029590</v>
      </c>
      <c r="AL4" t="s">
        <v>53</v>
      </c>
    </row>
    <row r="5" spans="1:38" x14ac:dyDescent="0.25">
      <c r="A5" s="1">
        <v>45828</v>
      </c>
      <c r="B5" s="1">
        <v>45824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128</v>
      </c>
      <c r="J5" t="s">
        <v>129</v>
      </c>
      <c r="M5" t="s">
        <v>58</v>
      </c>
      <c r="O5" t="s">
        <v>97</v>
      </c>
      <c r="P5" t="s">
        <v>98</v>
      </c>
      <c r="Q5" t="s">
        <v>49</v>
      </c>
      <c r="R5" t="s">
        <v>100</v>
      </c>
      <c r="S5" s="1">
        <v>45839</v>
      </c>
      <c r="U5" t="s">
        <v>51</v>
      </c>
      <c r="X5" t="s">
        <v>52</v>
      </c>
      <c r="Y5" s="2">
        <v>118.48</v>
      </c>
      <c r="Z5" s="2">
        <v>118.48</v>
      </c>
      <c r="AA5">
        <v>6</v>
      </c>
      <c r="AB5" s="3">
        <v>0.9</v>
      </c>
      <c r="AC5" s="2">
        <v>639.79</v>
      </c>
      <c r="AD5" s="3">
        <v>0</v>
      </c>
      <c r="AE5" s="2">
        <v>0</v>
      </c>
      <c r="AF5" s="2">
        <v>639.79</v>
      </c>
      <c r="AK5" s="4">
        <v>19032300</v>
      </c>
      <c r="AL5" t="s">
        <v>53</v>
      </c>
    </row>
    <row r="6" spans="1:38" x14ac:dyDescent="0.25">
      <c r="A6" s="1">
        <v>45828</v>
      </c>
      <c r="B6" s="1">
        <v>45824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114</v>
      </c>
      <c r="J6" t="s">
        <v>115</v>
      </c>
      <c r="M6" t="s">
        <v>116</v>
      </c>
      <c r="O6" t="s">
        <v>117</v>
      </c>
      <c r="P6" t="s">
        <v>118</v>
      </c>
      <c r="Q6" t="s">
        <v>49</v>
      </c>
      <c r="R6" t="s">
        <v>90</v>
      </c>
      <c r="S6" s="1">
        <v>45839</v>
      </c>
      <c r="U6" t="s">
        <v>51</v>
      </c>
      <c r="X6" t="s">
        <v>52</v>
      </c>
      <c r="Y6" s="2">
        <v>40.5</v>
      </c>
      <c r="Z6" s="2">
        <v>40.5</v>
      </c>
      <c r="AA6">
        <v>6</v>
      </c>
      <c r="AB6" s="3">
        <v>0.38</v>
      </c>
      <c r="AC6" s="2">
        <v>92.34</v>
      </c>
      <c r="AD6" s="3">
        <v>0</v>
      </c>
      <c r="AE6" s="2">
        <v>0</v>
      </c>
      <c r="AF6" s="2">
        <v>92.34</v>
      </c>
      <c r="AK6" s="4">
        <v>19041390</v>
      </c>
      <c r="AL6" t="s">
        <v>53</v>
      </c>
    </row>
    <row r="7" spans="1:38" x14ac:dyDescent="0.25">
      <c r="A7" s="1">
        <v>45828</v>
      </c>
      <c r="B7" s="1">
        <v>45824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119</v>
      </c>
      <c r="J7" t="s">
        <v>115</v>
      </c>
      <c r="M7" t="s">
        <v>116</v>
      </c>
      <c r="O7" t="s">
        <v>117</v>
      </c>
      <c r="P7" t="s">
        <v>118</v>
      </c>
      <c r="Q7" t="s">
        <v>49</v>
      </c>
      <c r="R7" t="s">
        <v>94</v>
      </c>
      <c r="S7" s="1">
        <v>45839</v>
      </c>
      <c r="U7" t="s">
        <v>51</v>
      </c>
      <c r="X7" t="s">
        <v>52</v>
      </c>
      <c r="Y7" s="2">
        <v>15</v>
      </c>
      <c r="Z7" s="2">
        <v>15</v>
      </c>
      <c r="AA7">
        <v>6</v>
      </c>
      <c r="AB7" s="3">
        <v>0.38</v>
      </c>
      <c r="AC7" s="2">
        <v>34.200000000000003</v>
      </c>
      <c r="AD7" s="3">
        <v>0</v>
      </c>
      <c r="AE7" s="2">
        <v>0</v>
      </c>
      <c r="AF7" s="2">
        <v>34.200000000000003</v>
      </c>
      <c r="AK7" s="4">
        <v>19029680</v>
      </c>
      <c r="AL7" t="s">
        <v>53</v>
      </c>
    </row>
    <row r="8" spans="1:38" x14ac:dyDescent="0.25">
      <c r="A8" s="1">
        <v>45828</v>
      </c>
      <c r="B8" s="1">
        <v>45824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68</v>
      </c>
      <c r="J8" t="s">
        <v>69</v>
      </c>
      <c r="M8" t="s">
        <v>70</v>
      </c>
      <c r="O8" t="s">
        <v>71</v>
      </c>
      <c r="P8" t="s">
        <v>72</v>
      </c>
      <c r="Q8" t="s">
        <v>49</v>
      </c>
      <c r="R8" t="s">
        <v>55</v>
      </c>
      <c r="S8" s="1">
        <v>45823</v>
      </c>
      <c r="U8" t="s">
        <v>51</v>
      </c>
      <c r="X8" t="s">
        <v>52</v>
      </c>
      <c r="Y8" s="2">
        <v>48.76</v>
      </c>
      <c r="Z8" s="2">
        <v>48.76</v>
      </c>
      <c r="AA8">
        <v>6</v>
      </c>
      <c r="AB8" s="3">
        <v>0.7</v>
      </c>
      <c r="AC8" s="2">
        <v>204.79</v>
      </c>
      <c r="AD8" s="3">
        <v>0</v>
      </c>
      <c r="AE8" s="2">
        <v>0</v>
      </c>
      <c r="AF8" s="2">
        <v>204.79</v>
      </c>
      <c r="AK8" s="4">
        <v>19025190</v>
      </c>
      <c r="AL8" t="s">
        <v>53</v>
      </c>
    </row>
    <row r="9" spans="1:38" x14ac:dyDescent="0.25">
      <c r="A9" s="1">
        <v>45828</v>
      </c>
      <c r="B9" s="1">
        <v>45824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73</v>
      </c>
      <c r="J9" t="s">
        <v>69</v>
      </c>
      <c r="M9" t="s">
        <v>70</v>
      </c>
      <c r="O9" t="s">
        <v>71</v>
      </c>
      <c r="P9" t="s">
        <v>72</v>
      </c>
      <c r="Q9" t="s">
        <v>49</v>
      </c>
      <c r="R9" t="s">
        <v>74</v>
      </c>
      <c r="S9" s="1">
        <v>45823</v>
      </c>
      <c r="U9" t="s">
        <v>51</v>
      </c>
      <c r="X9" t="s">
        <v>52</v>
      </c>
      <c r="Y9" s="2">
        <v>41.75</v>
      </c>
      <c r="Z9" s="2">
        <v>41.75</v>
      </c>
      <c r="AA9">
        <v>6</v>
      </c>
      <c r="AB9" s="3">
        <v>0.9</v>
      </c>
      <c r="AC9" s="2">
        <v>225.45</v>
      </c>
      <c r="AD9" s="3">
        <v>0</v>
      </c>
      <c r="AE9" s="2">
        <v>0</v>
      </c>
      <c r="AF9" s="2">
        <v>225.45</v>
      </c>
      <c r="AK9" s="4">
        <v>19043330</v>
      </c>
      <c r="AL9" t="s">
        <v>53</v>
      </c>
    </row>
    <row r="10" spans="1:38" x14ac:dyDescent="0.25">
      <c r="A10" s="1">
        <v>45828</v>
      </c>
      <c r="B10" s="1">
        <v>45824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75</v>
      </c>
      <c r="J10" t="s">
        <v>76</v>
      </c>
      <c r="M10" t="s">
        <v>70</v>
      </c>
      <c r="O10" t="s">
        <v>71</v>
      </c>
      <c r="P10" t="s">
        <v>72</v>
      </c>
      <c r="Q10" t="s">
        <v>49</v>
      </c>
      <c r="R10" t="s">
        <v>55</v>
      </c>
      <c r="S10" s="1">
        <v>45824</v>
      </c>
      <c r="U10" t="s">
        <v>51</v>
      </c>
      <c r="X10" t="s">
        <v>52</v>
      </c>
      <c r="Y10" s="2">
        <v>48.76</v>
      </c>
      <c r="Z10" s="2">
        <v>48.76</v>
      </c>
      <c r="AA10">
        <v>6</v>
      </c>
      <c r="AB10" s="3">
        <v>0.7</v>
      </c>
      <c r="AC10" s="2">
        <v>204.79</v>
      </c>
      <c r="AD10" s="3">
        <v>0</v>
      </c>
      <c r="AE10" s="2">
        <v>0</v>
      </c>
      <c r="AF10" s="2">
        <v>204.79</v>
      </c>
      <c r="AK10" s="4">
        <v>19025200</v>
      </c>
      <c r="AL10" t="s">
        <v>53</v>
      </c>
    </row>
    <row r="11" spans="1:38" x14ac:dyDescent="0.25">
      <c r="A11" s="1">
        <v>45828</v>
      </c>
      <c r="B11" s="1">
        <v>45824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132</v>
      </c>
      <c r="J11" t="s">
        <v>133</v>
      </c>
      <c r="M11" t="s">
        <v>70</v>
      </c>
      <c r="O11" t="s">
        <v>71</v>
      </c>
      <c r="P11" t="s">
        <v>72</v>
      </c>
      <c r="Q11" t="s">
        <v>49</v>
      </c>
      <c r="R11" t="s">
        <v>50</v>
      </c>
      <c r="S11" s="1">
        <v>45821</v>
      </c>
      <c r="U11" t="s">
        <v>51</v>
      </c>
      <c r="X11" t="s">
        <v>52</v>
      </c>
      <c r="Y11" s="2">
        <v>66.52</v>
      </c>
      <c r="Z11" s="2">
        <v>66.52</v>
      </c>
      <c r="AA11">
        <v>6</v>
      </c>
      <c r="AB11" s="3">
        <v>0.75</v>
      </c>
      <c r="AC11" s="2">
        <v>299.33999999999997</v>
      </c>
      <c r="AD11" s="3">
        <v>0</v>
      </c>
      <c r="AE11" s="2">
        <v>0</v>
      </c>
      <c r="AF11" s="2">
        <v>299.33999999999997</v>
      </c>
      <c r="AK11" s="4">
        <v>19032300</v>
      </c>
      <c r="AL11" t="s">
        <v>53</v>
      </c>
    </row>
    <row r="12" spans="1:38" x14ac:dyDescent="0.25">
      <c r="A12" s="1">
        <v>45828</v>
      </c>
      <c r="B12" s="1">
        <v>45824</v>
      </c>
      <c r="C12" t="s">
        <v>38</v>
      </c>
      <c r="D12" t="s">
        <v>39</v>
      </c>
      <c r="E12" t="s">
        <v>40</v>
      </c>
      <c r="F12" t="s">
        <v>41</v>
      </c>
      <c r="G12" t="s">
        <v>42</v>
      </c>
      <c r="H12" t="s">
        <v>43</v>
      </c>
      <c r="I12" t="s">
        <v>141</v>
      </c>
      <c r="J12" t="s">
        <v>142</v>
      </c>
      <c r="M12" t="s">
        <v>70</v>
      </c>
      <c r="O12" t="s">
        <v>71</v>
      </c>
      <c r="P12" t="s">
        <v>72</v>
      </c>
      <c r="Q12" t="s">
        <v>49</v>
      </c>
      <c r="R12" t="s">
        <v>55</v>
      </c>
      <c r="S12" s="1">
        <v>45821</v>
      </c>
      <c r="U12" t="s">
        <v>51</v>
      </c>
      <c r="X12" t="s">
        <v>52</v>
      </c>
      <c r="Y12" s="2">
        <v>48.76</v>
      </c>
      <c r="Z12" s="2">
        <v>48.76</v>
      </c>
      <c r="AA12">
        <v>6</v>
      </c>
      <c r="AB12" s="3">
        <v>0.7</v>
      </c>
      <c r="AC12" s="2">
        <v>204.79</v>
      </c>
      <c r="AD12" s="3">
        <v>0</v>
      </c>
      <c r="AE12" s="2">
        <v>0</v>
      </c>
      <c r="AF12" s="2">
        <v>204.79</v>
      </c>
      <c r="AK12" s="4">
        <v>19025640</v>
      </c>
      <c r="AL12" t="s">
        <v>53</v>
      </c>
    </row>
    <row r="13" spans="1:38" x14ac:dyDescent="0.25">
      <c r="A13" s="1">
        <v>45828</v>
      </c>
      <c r="B13" s="1">
        <v>45824</v>
      </c>
      <c r="C13" t="s">
        <v>38</v>
      </c>
      <c r="D13" t="s">
        <v>39</v>
      </c>
      <c r="E13" t="s">
        <v>40</v>
      </c>
      <c r="F13" t="s">
        <v>41</v>
      </c>
      <c r="G13" t="s">
        <v>42</v>
      </c>
      <c r="H13" t="s">
        <v>43</v>
      </c>
      <c r="I13" t="s">
        <v>56</v>
      </c>
      <c r="J13" t="s">
        <v>57</v>
      </c>
      <c r="M13" t="s">
        <v>58</v>
      </c>
      <c r="O13" t="s">
        <v>59</v>
      </c>
      <c r="P13" t="s">
        <v>60</v>
      </c>
      <c r="Q13" t="s">
        <v>49</v>
      </c>
      <c r="R13" t="s">
        <v>61</v>
      </c>
      <c r="S13" s="1">
        <v>45824</v>
      </c>
      <c r="U13" t="s">
        <v>51</v>
      </c>
      <c r="X13" t="s">
        <v>52</v>
      </c>
      <c r="Y13" s="2">
        <v>73.39</v>
      </c>
      <c r="Z13" s="2">
        <v>73.39</v>
      </c>
      <c r="AA13">
        <v>6</v>
      </c>
      <c r="AB13" s="3">
        <v>0.47</v>
      </c>
      <c r="AC13" s="2">
        <v>206.96</v>
      </c>
      <c r="AD13" s="3">
        <v>0</v>
      </c>
      <c r="AE13" s="2">
        <v>0</v>
      </c>
      <c r="AF13" s="2">
        <v>206.96</v>
      </c>
      <c r="AK13" s="4">
        <v>19039710</v>
      </c>
      <c r="AL13" t="s">
        <v>53</v>
      </c>
    </row>
    <row r="14" spans="1:38" x14ac:dyDescent="0.25">
      <c r="A14" s="1">
        <v>45828</v>
      </c>
      <c r="B14" s="1">
        <v>45824</v>
      </c>
      <c r="C14" t="s">
        <v>38</v>
      </c>
      <c r="D14" t="s">
        <v>39</v>
      </c>
      <c r="E14" t="s">
        <v>40</v>
      </c>
      <c r="F14" t="s">
        <v>41</v>
      </c>
      <c r="G14" t="s">
        <v>42</v>
      </c>
      <c r="H14" t="s">
        <v>43</v>
      </c>
      <c r="I14" t="s">
        <v>108</v>
      </c>
      <c r="J14" t="s">
        <v>109</v>
      </c>
      <c r="M14" t="s">
        <v>110</v>
      </c>
      <c r="O14" t="s">
        <v>111</v>
      </c>
      <c r="P14" t="s">
        <v>112</v>
      </c>
      <c r="Q14" t="s">
        <v>49</v>
      </c>
      <c r="R14" t="s">
        <v>66</v>
      </c>
      <c r="S14" s="1">
        <v>45818</v>
      </c>
      <c r="U14" t="s">
        <v>51</v>
      </c>
      <c r="X14" t="s">
        <v>52</v>
      </c>
      <c r="Y14" s="2">
        <v>115.5</v>
      </c>
      <c r="Z14" s="2">
        <v>115.5</v>
      </c>
      <c r="AA14">
        <v>6</v>
      </c>
      <c r="AB14" s="3">
        <v>0.375</v>
      </c>
      <c r="AC14" s="2">
        <v>259.88</v>
      </c>
      <c r="AD14" s="3">
        <v>0</v>
      </c>
      <c r="AE14" s="2">
        <v>0</v>
      </c>
      <c r="AF14" s="2">
        <v>259.88</v>
      </c>
      <c r="AK14" s="4">
        <v>19039970</v>
      </c>
      <c r="AL14" t="s">
        <v>53</v>
      </c>
    </row>
    <row r="15" spans="1:38" x14ac:dyDescent="0.25">
      <c r="A15" s="1">
        <v>45828</v>
      </c>
      <c r="B15" s="1">
        <v>45824</v>
      </c>
      <c r="C15" t="s">
        <v>38</v>
      </c>
      <c r="D15" t="s">
        <v>39</v>
      </c>
      <c r="E15" t="s">
        <v>40</v>
      </c>
      <c r="F15" t="s">
        <v>41</v>
      </c>
      <c r="G15" t="s">
        <v>42</v>
      </c>
      <c r="H15" t="s">
        <v>43</v>
      </c>
      <c r="I15" t="s">
        <v>113</v>
      </c>
      <c r="J15" t="s">
        <v>109</v>
      </c>
      <c r="M15" t="s">
        <v>110</v>
      </c>
      <c r="O15" t="s">
        <v>111</v>
      </c>
      <c r="P15" t="s">
        <v>112</v>
      </c>
      <c r="Q15" t="s">
        <v>49</v>
      </c>
      <c r="R15" t="s">
        <v>55</v>
      </c>
      <c r="S15" s="1">
        <v>45818</v>
      </c>
      <c r="U15" t="s">
        <v>51</v>
      </c>
      <c r="X15" t="s">
        <v>52</v>
      </c>
      <c r="Y15" s="2">
        <v>42.15</v>
      </c>
      <c r="Z15" s="2">
        <v>42.15</v>
      </c>
      <c r="AA15">
        <v>6</v>
      </c>
      <c r="AB15" s="3">
        <v>0.7</v>
      </c>
      <c r="AC15" s="2">
        <v>177.03</v>
      </c>
      <c r="AD15" s="3">
        <v>0</v>
      </c>
      <c r="AE15" s="2">
        <v>0</v>
      </c>
      <c r="AF15" s="2">
        <v>177.03</v>
      </c>
      <c r="AK15" s="4">
        <v>19025390</v>
      </c>
      <c r="AL15" t="s">
        <v>53</v>
      </c>
    </row>
    <row r="16" spans="1:38" x14ac:dyDescent="0.25">
      <c r="A16" s="1">
        <v>45828</v>
      </c>
      <c r="B16" s="1">
        <v>45824</v>
      </c>
      <c r="C16" t="s">
        <v>38</v>
      </c>
      <c r="D16" t="s">
        <v>39</v>
      </c>
      <c r="E16" t="s">
        <v>40</v>
      </c>
      <c r="F16" t="s">
        <v>41</v>
      </c>
      <c r="G16" t="s">
        <v>42</v>
      </c>
      <c r="H16" t="s">
        <v>43</v>
      </c>
      <c r="I16" t="s">
        <v>130</v>
      </c>
      <c r="J16" t="s">
        <v>131</v>
      </c>
      <c r="M16" t="s">
        <v>110</v>
      </c>
      <c r="O16" t="s">
        <v>111</v>
      </c>
      <c r="P16" t="s">
        <v>112</v>
      </c>
      <c r="Q16" t="s">
        <v>49</v>
      </c>
      <c r="R16" t="s">
        <v>66</v>
      </c>
      <c r="S16" s="1">
        <v>45820</v>
      </c>
      <c r="U16" t="s">
        <v>51</v>
      </c>
      <c r="X16" t="s">
        <v>52</v>
      </c>
      <c r="Y16" s="2">
        <v>38.4</v>
      </c>
      <c r="Z16" s="2">
        <v>38.4</v>
      </c>
      <c r="AA16">
        <v>6</v>
      </c>
      <c r="AB16" s="3">
        <v>0.375</v>
      </c>
      <c r="AC16" s="2">
        <v>86.4</v>
      </c>
      <c r="AD16" s="3">
        <v>0</v>
      </c>
      <c r="AE16" s="2">
        <v>0</v>
      </c>
      <c r="AF16" s="2">
        <v>86.4</v>
      </c>
      <c r="AK16" s="4">
        <v>19040220</v>
      </c>
      <c r="AL16" t="s">
        <v>53</v>
      </c>
    </row>
    <row r="17" spans="1:38" x14ac:dyDescent="0.25">
      <c r="A17" s="1">
        <v>45828</v>
      </c>
      <c r="B17" s="1">
        <v>45824</v>
      </c>
      <c r="C17" t="s">
        <v>38</v>
      </c>
      <c r="D17" t="s">
        <v>39</v>
      </c>
      <c r="E17" t="s">
        <v>40</v>
      </c>
      <c r="F17" t="s">
        <v>41</v>
      </c>
      <c r="G17" t="s">
        <v>42</v>
      </c>
      <c r="H17" t="s">
        <v>43</v>
      </c>
      <c r="I17" t="s">
        <v>146</v>
      </c>
      <c r="J17" t="s">
        <v>147</v>
      </c>
      <c r="M17" t="s">
        <v>70</v>
      </c>
      <c r="O17" t="s">
        <v>111</v>
      </c>
      <c r="P17" t="s">
        <v>112</v>
      </c>
      <c r="Q17" t="s">
        <v>49</v>
      </c>
      <c r="R17" t="s">
        <v>66</v>
      </c>
      <c r="S17" s="1">
        <v>45839</v>
      </c>
      <c r="U17" t="s">
        <v>51</v>
      </c>
      <c r="X17" t="s">
        <v>52</v>
      </c>
      <c r="Y17" s="2">
        <v>23.39</v>
      </c>
      <c r="Z17" s="2">
        <v>23.39</v>
      </c>
      <c r="AA17">
        <v>6</v>
      </c>
      <c r="AB17" s="3">
        <v>0.375</v>
      </c>
      <c r="AC17" s="2">
        <v>52.63</v>
      </c>
      <c r="AD17" s="3">
        <v>0</v>
      </c>
      <c r="AE17" s="2">
        <v>0</v>
      </c>
      <c r="AF17" s="2">
        <v>52.63</v>
      </c>
      <c r="AK17" s="4">
        <v>19040330</v>
      </c>
      <c r="AL17" t="s">
        <v>53</v>
      </c>
    </row>
    <row r="18" spans="1:38" x14ac:dyDescent="0.25">
      <c r="A18" s="1">
        <v>45828</v>
      </c>
      <c r="B18" s="1">
        <v>45824</v>
      </c>
      <c r="C18" t="s">
        <v>38</v>
      </c>
      <c r="D18" t="s">
        <v>39</v>
      </c>
      <c r="E18" t="s">
        <v>40</v>
      </c>
      <c r="F18" t="s">
        <v>41</v>
      </c>
      <c r="G18" t="s">
        <v>42</v>
      </c>
      <c r="H18" t="s">
        <v>43</v>
      </c>
      <c r="I18" t="s">
        <v>86</v>
      </c>
      <c r="J18" t="s">
        <v>87</v>
      </c>
      <c r="M18" t="s">
        <v>58</v>
      </c>
      <c r="O18" t="s">
        <v>88</v>
      </c>
      <c r="P18" t="s">
        <v>89</v>
      </c>
      <c r="Q18" t="s">
        <v>49</v>
      </c>
      <c r="R18" t="s">
        <v>90</v>
      </c>
      <c r="S18" s="1">
        <v>45818</v>
      </c>
      <c r="U18" t="s">
        <v>51</v>
      </c>
      <c r="X18" t="s">
        <v>52</v>
      </c>
      <c r="Y18" s="2">
        <v>9.18</v>
      </c>
      <c r="Z18" s="2">
        <v>9.18</v>
      </c>
      <c r="AA18">
        <v>6</v>
      </c>
      <c r="AB18" s="3">
        <v>0.38</v>
      </c>
      <c r="AC18" s="2">
        <v>20.93</v>
      </c>
      <c r="AD18" s="3">
        <v>0</v>
      </c>
      <c r="AE18" s="2">
        <v>0</v>
      </c>
      <c r="AF18" s="2">
        <v>20.93</v>
      </c>
      <c r="AK18" s="4">
        <v>19041370</v>
      </c>
      <c r="AL18" t="s">
        <v>53</v>
      </c>
    </row>
    <row r="19" spans="1:38" x14ac:dyDescent="0.25">
      <c r="A19" s="1">
        <v>45828</v>
      </c>
      <c r="B19" s="1">
        <v>45824</v>
      </c>
      <c r="C19" t="s">
        <v>38</v>
      </c>
      <c r="D19" t="s">
        <v>39</v>
      </c>
      <c r="E19" t="s">
        <v>40</v>
      </c>
      <c r="F19" t="s">
        <v>41</v>
      </c>
      <c r="G19" t="s">
        <v>42</v>
      </c>
      <c r="H19" t="s">
        <v>43</v>
      </c>
      <c r="I19" t="s">
        <v>91</v>
      </c>
      <c r="J19" t="s">
        <v>87</v>
      </c>
      <c r="M19" t="s">
        <v>58</v>
      </c>
      <c r="O19" t="s">
        <v>88</v>
      </c>
      <c r="P19" t="s">
        <v>89</v>
      </c>
      <c r="Q19" t="s">
        <v>49</v>
      </c>
      <c r="R19" t="s">
        <v>55</v>
      </c>
      <c r="S19" s="1">
        <v>45818</v>
      </c>
      <c r="U19" t="s">
        <v>51</v>
      </c>
      <c r="X19" t="s">
        <v>52</v>
      </c>
      <c r="Y19" s="2">
        <v>81.150000000000006</v>
      </c>
      <c r="Z19" s="2">
        <v>81.150000000000006</v>
      </c>
      <c r="AA19">
        <v>6</v>
      </c>
      <c r="AB19" s="3">
        <v>0.7</v>
      </c>
      <c r="AC19" s="2">
        <v>340.83</v>
      </c>
      <c r="AD19" s="3">
        <v>0</v>
      </c>
      <c r="AE19" s="2">
        <v>0</v>
      </c>
      <c r="AF19" s="2">
        <v>340.83</v>
      </c>
      <c r="AK19" s="4">
        <v>19025290</v>
      </c>
      <c r="AL19" t="s">
        <v>53</v>
      </c>
    </row>
    <row r="20" spans="1:38" x14ac:dyDescent="0.25">
      <c r="A20" s="1">
        <v>45828</v>
      </c>
      <c r="B20" s="1">
        <v>45824</v>
      </c>
      <c r="C20" t="s">
        <v>38</v>
      </c>
      <c r="D20" t="s">
        <v>39</v>
      </c>
      <c r="E20" t="s">
        <v>40</v>
      </c>
      <c r="F20" t="s">
        <v>41</v>
      </c>
      <c r="G20" t="s">
        <v>42</v>
      </c>
      <c r="H20" t="s">
        <v>43</v>
      </c>
      <c r="I20" t="s">
        <v>92</v>
      </c>
      <c r="J20" t="s">
        <v>87</v>
      </c>
      <c r="M20" t="s">
        <v>58</v>
      </c>
      <c r="O20" t="s">
        <v>88</v>
      </c>
      <c r="P20" t="s">
        <v>89</v>
      </c>
      <c r="Q20" t="s">
        <v>49</v>
      </c>
      <c r="R20" t="s">
        <v>66</v>
      </c>
      <c r="S20" s="1">
        <v>45818</v>
      </c>
      <c r="U20" t="s">
        <v>51</v>
      </c>
      <c r="X20" t="s">
        <v>52</v>
      </c>
      <c r="Y20" s="2">
        <v>67.19</v>
      </c>
      <c r="Z20" s="2">
        <v>67.19</v>
      </c>
      <c r="AA20">
        <v>6</v>
      </c>
      <c r="AB20" s="3">
        <v>0.375</v>
      </c>
      <c r="AC20" s="2">
        <v>151.18</v>
      </c>
      <c r="AD20" s="3">
        <v>0</v>
      </c>
      <c r="AE20" s="2">
        <v>0</v>
      </c>
      <c r="AF20" s="2">
        <v>151.18</v>
      </c>
      <c r="AK20" s="4">
        <v>19039830</v>
      </c>
      <c r="AL20" t="s">
        <v>53</v>
      </c>
    </row>
    <row r="21" spans="1:38" x14ac:dyDescent="0.25">
      <c r="A21" s="1">
        <v>45828</v>
      </c>
      <c r="B21" s="1">
        <v>45824</v>
      </c>
      <c r="C21" t="s">
        <v>38</v>
      </c>
      <c r="D21" t="s">
        <v>39</v>
      </c>
      <c r="E21" t="s">
        <v>40</v>
      </c>
      <c r="F21" t="s">
        <v>41</v>
      </c>
      <c r="G21" t="s">
        <v>42</v>
      </c>
      <c r="H21" t="s">
        <v>43</v>
      </c>
      <c r="I21" t="s">
        <v>93</v>
      </c>
      <c r="J21" t="s">
        <v>87</v>
      </c>
      <c r="M21" t="s">
        <v>58</v>
      </c>
      <c r="O21" t="s">
        <v>88</v>
      </c>
      <c r="P21" t="s">
        <v>89</v>
      </c>
      <c r="Q21" t="s">
        <v>49</v>
      </c>
      <c r="R21" t="s">
        <v>94</v>
      </c>
      <c r="S21" s="1">
        <v>45818</v>
      </c>
      <c r="U21" t="s">
        <v>51</v>
      </c>
      <c r="X21" t="s">
        <v>52</v>
      </c>
      <c r="Y21" s="2">
        <v>15</v>
      </c>
      <c r="Z21" s="2">
        <v>15</v>
      </c>
      <c r="AA21">
        <v>6</v>
      </c>
      <c r="AB21" s="3">
        <v>0.38</v>
      </c>
      <c r="AC21" s="2">
        <v>34.200000000000003</v>
      </c>
      <c r="AD21" s="3">
        <v>0</v>
      </c>
      <c r="AE21" s="2">
        <v>0</v>
      </c>
      <c r="AF21" s="2">
        <v>34.200000000000003</v>
      </c>
      <c r="AK21" s="4">
        <v>19029580</v>
      </c>
      <c r="AL21" t="s">
        <v>53</v>
      </c>
    </row>
    <row r="22" spans="1:38" x14ac:dyDescent="0.25">
      <c r="A22" s="1">
        <v>45828</v>
      </c>
      <c r="B22" s="1">
        <v>45824</v>
      </c>
      <c r="C22" t="s">
        <v>38</v>
      </c>
      <c r="D22" t="s">
        <v>39</v>
      </c>
      <c r="E22" t="s">
        <v>40</v>
      </c>
      <c r="F22" t="s">
        <v>41</v>
      </c>
      <c r="G22" t="s">
        <v>42</v>
      </c>
      <c r="H22" t="s">
        <v>43</v>
      </c>
      <c r="I22" t="s">
        <v>148</v>
      </c>
      <c r="J22" t="s">
        <v>149</v>
      </c>
      <c r="M22" t="s">
        <v>150</v>
      </c>
      <c r="O22" t="s">
        <v>151</v>
      </c>
      <c r="P22" t="s">
        <v>152</v>
      </c>
      <c r="Q22" t="s">
        <v>49</v>
      </c>
      <c r="R22" t="s">
        <v>66</v>
      </c>
      <c r="S22" s="1">
        <v>45824</v>
      </c>
      <c r="U22" t="s">
        <v>51</v>
      </c>
      <c r="X22" t="s">
        <v>52</v>
      </c>
      <c r="Y22" s="2">
        <v>62.45</v>
      </c>
      <c r="Z22" s="2">
        <v>62.45</v>
      </c>
      <c r="AA22">
        <v>6</v>
      </c>
      <c r="AB22" s="3">
        <v>0.375</v>
      </c>
      <c r="AC22" s="2">
        <v>140.51</v>
      </c>
      <c r="AD22" s="3">
        <v>0</v>
      </c>
      <c r="AE22" s="2">
        <v>0</v>
      </c>
      <c r="AF22" s="2">
        <v>140.51</v>
      </c>
      <c r="AK22" s="4">
        <v>19040340</v>
      </c>
      <c r="AL22" t="s">
        <v>53</v>
      </c>
    </row>
    <row r="23" spans="1:38" x14ac:dyDescent="0.25">
      <c r="A23" s="1">
        <v>45828</v>
      </c>
      <c r="B23" s="1">
        <v>45824</v>
      </c>
      <c r="C23" t="s">
        <v>38</v>
      </c>
      <c r="D23" t="s">
        <v>39</v>
      </c>
      <c r="E23" t="s">
        <v>40</v>
      </c>
      <c r="F23" t="s">
        <v>41</v>
      </c>
      <c r="G23" t="s">
        <v>42</v>
      </c>
      <c r="H23" t="s">
        <v>43</v>
      </c>
      <c r="I23" t="s">
        <v>153</v>
      </c>
      <c r="J23" t="s">
        <v>149</v>
      </c>
      <c r="M23" t="s">
        <v>150</v>
      </c>
      <c r="O23" t="s">
        <v>151</v>
      </c>
      <c r="P23" t="s">
        <v>152</v>
      </c>
      <c r="Q23" t="s">
        <v>49</v>
      </c>
      <c r="R23" t="s">
        <v>154</v>
      </c>
      <c r="S23" s="1">
        <v>45824</v>
      </c>
      <c r="U23" t="s">
        <v>51</v>
      </c>
      <c r="X23" t="s">
        <v>52</v>
      </c>
      <c r="Y23" s="2">
        <v>204.22</v>
      </c>
      <c r="Z23" s="2">
        <v>204.22</v>
      </c>
      <c r="AA23">
        <v>6</v>
      </c>
      <c r="AB23" s="3">
        <v>0.38</v>
      </c>
      <c r="AC23" s="2">
        <v>465.62</v>
      </c>
      <c r="AD23" s="3">
        <v>0</v>
      </c>
      <c r="AE23" s="2">
        <v>0</v>
      </c>
      <c r="AF23" s="2">
        <v>465.62</v>
      </c>
      <c r="AK23" s="4">
        <v>19025670</v>
      </c>
      <c r="AL23" t="s">
        <v>53</v>
      </c>
    </row>
    <row r="24" spans="1:38" x14ac:dyDescent="0.25">
      <c r="A24" s="7">
        <v>45828</v>
      </c>
      <c r="B24" s="7">
        <v>45824</v>
      </c>
      <c r="C24" s="8" t="s">
        <v>38</v>
      </c>
      <c r="D24" s="8" t="s">
        <v>39</v>
      </c>
      <c r="E24" s="8" t="s">
        <v>40</v>
      </c>
      <c r="F24" s="8" t="s">
        <v>41</v>
      </c>
      <c r="G24" s="8" t="s">
        <v>42</v>
      </c>
      <c r="H24" s="8" t="s">
        <v>43</v>
      </c>
      <c r="I24" s="8" t="s">
        <v>155</v>
      </c>
      <c r="J24" s="8" t="s">
        <v>149</v>
      </c>
      <c r="K24" s="8"/>
      <c r="L24" s="8"/>
      <c r="M24" s="8" t="s">
        <v>150</v>
      </c>
      <c r="N24" s="8"/>
      <c r="O24" s="8" t="s">
        <v>151</v>
      </c>
      <c r="P24" s="8" t="s">
        <v>152</v>
      </c>
      <c r="Q24" s="8" t="s">
        <v>49</v>
      </c>
      <c r="R24" s="8" t="s">
        <v>100</v>
      </c>
      <c r="S24" s="7">
        <v>45824</v>
      </c>
      <c r="T24" s="8"/>
      <c r="U24" s="8" t="s">
        <v>51</v>
      </c>
      <c r="V24" s="8"/>
      <c r="W24" s="8"/>
      <c r="X24" s="8" t="s">
        <v>52</v>
      </c>
      <c r="Y24" s="9">
        <v>39.46</v>
      </c>
      <c r="Z24" s="9">
        <v>39.46</v>
      </c>
      <c r="AA24" s="8">
        <v>6</v>
      </c>
      <c r="AB24" s="10">
        <v>0.9</v>
      </c>
      <c r="AC24" s="9">
        <v>213.08</v>
      </c>
      <c r="AD24" s="10">
        <v>0</v>
      </c>
      <c r="AE24" s="9">
        <v>0</v>
      </c>
      <c r="AF24" s="9">
        <v>213.08</v>
      </c>
      <c r="AG24" s="8"/>
      <c r="AH24" s="8"/>
      <c r="AI24" s="8"/>
      <c r="AJ24" s="8"/>
      <c r="AK24" s="11">
        <v>19032320</v>
      </c>
      <c r="AL24" s="8" t="s">
        <v>53</v>
      </c>
    </row>
    <row r="25" spans="1:38" x14ac:dyDescent="0.25">
      <c r="A25" s="1">
        <v>45828</v>
      </c>
      <c r="B25" s="1">
        <v>45824</v>
      </c>
      <c r="C25" t="s">
        <v>38</v>
      </c>
      <c r="D25" t="s">
        <v>39</v>
      </c>
      <c r="E25" t="s">
        <v>40</v>
      </c>
      <c r="F25" t="s">
        <v>41</v>
      </c>
      <c r="G25" t="s">
        <v>42</v>
      </c>
      <c r="H25" t="s">
        <v>43</v>
      </c>
      <c r="I25" t="s">
        <v>156</v>
      </c>
      <c r="J25" t="s">
        <v>149</v>
      </c>
      <c r="M25" t="s">
        <v>150</v>
      </c>
      <c r="O25" t="s">
        <v>151</v>
      </c>
      <c r="P25" t="s">
        <v>152</v>
      </c>
      <c r="Q25" t="s">
        <v>49</v>
      </c>
      <c r="R25" t="s">
        <v>157</v>
      </c>
      <c r="S25" s="1">
        <v>45824</v>
      </c>
      <c r="U25" t="s">
        <v>51</v>
      </c>
      <c r="X25" t="s">
        <v>52</v>
      </c>
      <c r="Y25" s="2">
        <v>7.09</v>
      </c>
      <c r="Z25" s="2">
        <v>7.09</v>
      </c>
      <c r="AA25">
        <v>6</v>
      </c>
      <c r="AB25" s="3">
        <v>0.38</v>
      </c>
      <c r="AC25" s="2">
        <v>16.170000000000002</v>
      </c>
      <c r="AD25" s="3">
        <v>0</v>
      </c>
      <c r="AE25" s="2">
        <v>0</v>
      </c>
      <c r="AF25" s="2">
        <v>16.170000000000002</v>
      </c>
      <c r="AK25" s="4">
        <v>19040920</v>
      </c>
      <c r="AL25" t="s">
        <v>53</v>
      </c>
    </row>
    <row r="26" spans="1:38" x14ac:dyDescent="0.25">
      <c r="A26" s="1">
        <v>45828</v>
      </c>
      <c r="B26" s="1">
        <v>45824</v>
      </c>
      <c r="C26" t="s">
        <v>38</v>
      </c>
      <c r="D26" t="s">
        <v>39</v>
      </c>
      <c r="E26" t="s">
        <v>40</v>
      </c>
      <c r="F26" t="s">
        <v>41</v>
      </c>
      <c r="G26" t="s">
        <v>42</v>
      </c>
      <c r="H26" t="s">
        <v>43</v>
      </c>
      <c r="I26" t="s">
        <v>158</v>
      </c>
      <c r="J26" t="s">
        <v>149</v>
      </c>
      <c r="M26" t="s">
        <v>150</v>
      </c>
      <c r="O26" t="s">
        <v>151</v>
      </c>
      <c r="P26" t="s">
        <v>152</v>
      </c>
      <c r="Q26" t="s">
        <v>49</v>
      </c>
      <c r="R26" t="s">
        <v>55</v>
      </c>
      <c r="S26" s="1">
        <v>45824</v>
      </c>
      <c r="U26" t="s">
        <v>51</v>
      </c>
      <c r="X26" t="s">
        <v>52</v>
      </c>
      <c r="Y26" s="2">
        <v>9.1</v>
      </c>
      <c r="Z26" s="2">
        <v>9.1</v>
      </c>
      <c r="AA26">
        <v>6</v>
      </c>
      <c r="AB26" s="3">
        <v>0.7</v>
      </c>
      <c r="AC26" s="2">
        <v>38.22</v>
      </c>
      <c r="AD26" s="3">
        <v>0</v>
      </c>
      <c r="AE26" s="2">
        <v>0</v>
      </c>
      <c r="AF26" s="2">
        <v>38.22</v>
      </c>
      <c r="AK26" s="4">
        <v>19025680</v>
      </c>
      <c r="AL26" t="s">
        <v>53</v>
      </c>
    </row>
    <row r="27" spans="1:38" x14ac:dyDescent="0.25">
      <c r="A27" s="1">
        <v>45828</v>
      </c>
      <c r="B27" s="1">
        <v>45824</v>
      </c>
      <c r="C27" t="s">
        <v>38</v>
      </c>
      <c r="D27" t="s">
        <v>39</v>
      </c>
      <c r="E27" t="s">
        <v>40</v>
      </c>
      <c r="F27" t="s">
        <v>41</v>
      </c>
      <c r="G27" t="s">
        <v>42</v>
      </c>
      <c r="H27" t="s">
        <v>43</v>
      </c>
      <c r="I27" t="s">
        <v>163</v>
      </c>
      <c r="J27" t="s">
        <v>164</v>
      </c>
      <c r="M27" t="s">
        <v>165</v>
      </c>
      <c r="O27" t="s">
        <v>166</v>
      </c>
      <c r="P27" t="s">
        <v>167</v>
      </c>
      <c r="Q27" t="s">
        <v>49</v>
      </c>
      <c r="R27" t="s">
        <v>55</v>
      </c>
      <c r="S27" s="1">
        <v>45821</v>
      </c>
      <c r="U27" t="s">
        <v>51</v>
      </c>
      <c r="X27" t="s">
        <v>52</v>
      </c>
      <c r="Y27" s="2">
        <v>83.79</v>
      </c>
      <c r="Z27" s="2">
        <v>83.79</v>
      </c>
      <c r="AA27">
        <v>6</v>
      </c>
      <c r="AB27" s="3">
        <v>0.7</v>
      </c>
      <c r="AC27" s="2">
        <v>351.92</v>
      </c>
      <c r="AD27" s="3">
        <v>0</v>
      </c>
      <c r="AE27" s="2">
        <v>0</v>
      </c>
      <c r="AF27" s="2">
        <v>351.92</v>
      </c>
      <c r="AK27" s="4">
        <v>19025770</v>
      </c>
      <c r="AL27" t="s">
        <v>53</v>
      </c>
    </row>
    <row r="28" spans="1:38" x14ac:dyDescent="0.25">
      <c r="A28" s="1">
        <v>45828</v>
      </c>
      <c r="B28" s="1">
        <v>45824</v>
      </c>
      <c r="C28" t="s">
        <v>38</v>
      </c>
      <c r="D28" t="s">
        <v>39</v>
      </c>
      <c r="E28" t="s">
        <v>40</v>
      </c>
      <c r="F28" t="s">
        <v>41</v>
      </c>
      <c r="G28" t="s">
        <v>42</v>
      </c>
      <c r="H28" t="s">
        <v>43</v>
      </c>
      <c r="I28" t="s">
        <v>120</v>
      </c>
      <c r="J28" t="s">
        <v>121</v>
      </c>
      <c r="M28" t="s">
        <v>122</v>
      </c>
      <c r="O28" t="s">
        <v>123</v>
      </c>
      <c r="P28" t="s">
        <v>124</v>
      </c>
      <c r="Q28" t="s">
        <v>49</v>
      </c>
      <c r="R28" t="s">
        <v>125</v>
      </c>
      <c r="S28" s="1">
        <v>45819</v>
      </c>
      <c r="U28" t="s">
        <v>51</v>
      </c>
      <c r="X28" t="s">
        <v>52</v>
      </c>
      <c r="Y28" s="2">
        <v>12.83</v>
      </c>
      <c r="Z28" s="2">
        <v>12.83</v>
      </c>
      <c r="AA28">
        <v>6</v>
      </c>
      <c r="AB28" s="3">
        <v>0.42</v>
      </c>
      <c r="AC28" s="2">
        <v>32.33</v>
      </c>
      <c r="AD28" s="3">
        <v>0</v>
      </c>
      <c r="AE28" s="2">
        <v>0</v>
      </c>
      <c r="AF28" s="2">
        <v>32.33</v>
      </c>
      <c r="AK28" s="4">
        <v>19040160</v>
      </c>
      <c r="AL28" t="s">
        <v>53</v>
      </c>
    </row>
    <row r="29" spans="1:38" x14ac:dyDescent="0.25">
      <c r="A29" s="1">
        <v>45828</v>
      </c>
      <c r="B29" s="1">
        <v>45824</v>
      </c>
      <c r="C29" t="s">
        <v>38</v>
      </c>
      <c r="D29" t="s">
        <v>39</v>
      </c>
      <c r="E29" t="s">
        <v>40</v>
      </c>
      <c r="F29" t="s">
        <v>41</v>
      </c>
      <c r="G29" t="s">
        <v>42</v>
      </c>
      <c r="H29" t="s">
        <v>43</v>
      </c>
      <c r="I29" t="s">
        <v>171</v>
      </c>
      <c r="J29" t="s">
        <v>172</v>
      </c>
      <c r="M29" t="s">
        <v>70</v>
      </c>
      <c r="O29" t="s">
        <v>123</v>
      </c>
      <c r="P29" t="s">
        <v>124</v>
      </c>
      <c r="Q29" t="s">
        <v>49</v>
      </c>
      <c r="R29" t="s">
        <v>55</v>
      </c>
      <c r="S29" s="1">
        <v>45839</v>
      </c>
      <c r="U29" t="s">
        <v>51</v>
      </c>
      <c r="X29" t="s">
        <v>52</v>
      </c>
      <c r="Y29" s="2">
        <v>28.38</v>
      </c>
      <c r="Z29" s="2">
        <v>28.38</v>
      </c>
      <c r="AA29">
        <v>6</v>
      </c>
      <c r="AB29" s="3">
        <v>0.7</v>
      </c>
      <c r="AC29" s="2">
        <v>119.2</v>
      </c>
      <c r="AD29" s="3">
        <v>0</v>
      </c>
      <c r="AE29" s="2">
        <v>0</v>
      </c>
      <c r="AF29" s="2">
        <v>119.2</v>
      </c>
      <c r="AK29" s="4">
        <v>19025910</v>
      </c>
      <c r="AL29" t="s">
        <v>53</v>
      </c>
    </row>
    <row r="30" spans="1:38" x14ac:dyDescent="0.25">
      <c r="A30" s="1">
        <v>45828</v>
      </c>
      <c r="B30" s="1">
        <v>45824</v>
      </c>
      <c r="C30" t="s">
        <v>38</v>
      </c>
      <c r="D30" t="s">
        <v>39</v>
      </c>
      <c r="E30" t="s">
        <v>40</v>
      </c>
      <c r="F30" t="s">
        <v>41</v>
      </c>
      <c r="G30" t="s">
        <v>42</v>
      </c>
      <c r="H30" t="s">
        <v>43</v>
      </c>
      <c r="I30" t="s">
        <v>173</v>
      </c>
      <c r="J30" t="s">
        <v>172</v>
      </c>
      <c r="M30" t="s">
        <v>70</v>
      </c>
      <c r="O30" t="s">
        <v>123</v>
      </c>
      <c r="P30" t="s">
        <v>124</v>
      </c>
      <c r="Q30" t="s">
        <v>49</v>
      </c>
      <c r="R30" t="s">
        <v>50</v>
      </c>
      <c r="S30" s="1">
        <v>45839</v>
      </c>
      <c r="U30" t="s">
        <v>51</v>
      </c>
      <c r="X30" t="s">
        <v>52</v>
      </c>
      <c r="Y30" s="2">
        <v>27.68</v>
      </c>
      <c r="Z30" s="2">
        <v>27.68</v>
      </c>
      <c r="AA30">
        <v>6</v>
      </c>
      <c r="AB30" s="3">
        <v>0.75</v>
      </c>
      <c r="AC30" s="2">
        <v>124.56</v>
      </c>
      <c r="AD30" s="3">
        <v>0</v>
      </c>
      <c r="AE30" s="2">
        <v>0</v>
      </c>
      <c r="AF30" s="2">
        <v>124.56</v>
      </c>
      <c r="AK30" s="4">
        <v>19032380</v>
      </c>
      <c r="AL30" t="s">
        <v>53</v>
      </c>
    </row>
    <row r="31" spans="1:38" x14ac:dyDescent="0.25">
      <c r="A31" s="1">
        <v>45828</v>
      </c>
      <c r="B31" s="1">
        <v>45824</v>
      </c>
      <c r="C31" t="s">
        <v>38</v>
      </c>
      <c r="D31" t="s">
        <v>39</v>
      </c>
      <c r="E31" t="s">
        <v>40</v>
      </c>
      <c r="F31" t="s">
        <v>41</v>
      </c>
      <c r="G31" t="s">
        <v>42</v>
      </c>
      <c r="H31" t="s">
        <v>43</v>
      </c>
      <c r="I31" t="s">
        <v>62</v>
      </c>
      <c r="J31" t="s">
        <v>63</v>
      </c>
      <c r="M31" t="s">
        <v>58</v>
      </c>
      <c r="O31" t="s">
        <v>64</v>
      </c>
      <c r="P31" t="s">
        <v>65</v>
      </c>
      <c r="Q31" t="s">
        <v>49</v>
      </c>
      <c r="R31" t="s">
        <v>66</v>
      </c>
      <c r="S31" s="1">
        <v>45822</v>
      </c>
      <c r="U31" t="s">
        <v>51</v>
      </c>
      <c r="X31" t="s">
        <v>52</v>
      </c>
      <c r="Y31" s="2">
        <v>32.67</v>
      </c>
      <c r="Z31" s="2">
        <v>32.67</v>
      </c>
      <c r="AA31">
        <v>6</v>
      </c>
      <c r="AB31" s="3">
        <v>0.375</v>
      </c>
      <c r="AC31" s="2">
        <v>73.510000000000005</v>
      </c>
      <c r="AD31" s="3">
        <v>0</v>
      </c>
      <c r="AE31" s="2">
        <v>0</v>
      </c>
      <c r="AF31" s="2">
        <v>73.510000000000005</v>
      </c>
      <c r="AK31" s="4">
        <v>19039720</v>
      </c>
      <c r="AL31" t="s">
        <v>53</v>
      </c>
    </row>
    <row r="32" spans="1:38" x14ac:dyDescent="0.25">
      <c r="A32" s="1">
        <v>45828</v>
      </c>
      <c r="B32" s="1">
        <v>45824</v>
      </c>
      <c r="C32" t="s">
        <v>38</v>
      </c>
      <c r="D32" t="s">
        <v>39</v>
      </c>
      <c r="E32" t="s">
        <v>40</v>
      </c>
      <c r="F32" t="s">
        <v>41</v>
      </c>
      <c r="G32" t="s">
        <v>42</v>
      </c>
      <c r="H32" t="s">
        <v>43</v>
      </c>
      <c r="I32" t="s">
        <v>67</v>
      </c>
      <c r="J32" t="s">
        <v>63</v>
      </c>
      <c r="M32" t="s">
        <v>58</v>
      </c>
      <c r="O32" t="s">
        <v>64</v>
      </c>
      <c r="P32" t="s">
        <v>65</v>
      </c>
      <c r="Q32" t="s">
        <v>49</v>
      </c>
      <c r="R32" t="s">
        <v>55</v>
      </c>
      <c r="S32" s="1">
        <v>45822</v>
      </c>
      <c r="U32" t="s">
        <v>51</v>
      </c>
      <c r="X32" t="s">
        <v>52</v>
      </c>
      <c r="Y32" s="2">
        <v>11.5</v>
      </c>
      <c r="Z32" s="2">
        <v>11.5</v>
      </c>
      <c r="AA32">
        <v>6</v>
      </c>
      <c r="AB32" s="3">
        <v>0.7</v>
      </c>
      <c r="AC32" s="2">
        <v>48.3</v>
      </c>
      <c r="AD32" s="3">
        <v>0</v>
      </c>
      <c r="AE32" s="2">
        <v>0</v>
      </c>
      <c r="AF32" s="2">
        <v>48.3</v>
      </c>
      <c r="AK32" s="4">
        <v>19025190</v>
      </c>
      <c r="AL32" t="s">
        <v>53</v>
      </c>
    </row>
    <row r="33" spans="1:38" x14ac:dyDescent="0.25">
      <c r="A33" s="1">
        <v>45828</v>
      </c>
      <c r="B33" s="1">
        <v>45824</v>
      </c>
      <c r="C33" t="s">
        <v>38</v>
      </c>
      <c r="D33" t="s">
        <v>39</v>
      </c>
      <c r="E33" t="s">
        <v>40</v>
      </c>
      <c r="F33" t="s">
        <v>41</v>
      </c>
      <c r="G33" t="s">
        <v>42</v>
      </c>
      <c r="H33" t="s">
        <v>43</v>
      </c>
      <c r="I33" t="s">
        <v>126</v>
      </c>
      <c r="J33" t="s">
        <v>127</v>
      </c>
      <c r="M33" t="s">
        <v>58</v>
      </c>
      <c r="O33" t="s">
        <v>64</v>
      </c>
      <c r="P33" t="s">
        <v>65</v>
      </c>
      <c r="Q33" t="s">
        <v>49</v>
      </c>
      <c r="R33" t="s">
        <v>55</v>
      </c>
      <c r="S33" s="1">
        <v>45821</v>
      </c>
      <c r="U33" t="s">
        <v>51</v>
      </c>
      <c r="X33" t="s">
        <v>52</v>
      </c>
      <c r="Y33" s="2">
        <v>42.38</v>
      </c>
      <c r="Z33" s="2">
        <v>42.38</v>
      </c>
      <c r="AA33">
        <v>6</v>
      </c>
      <c r="AB33" s="3">
        <v>0.7</v>
      </c>
      <c r="AC33" s="2">
        <v>178</v>
      </c>
      <c r="AD33" s="3">
        <v>0</v>
      </c>
      <c r="AE33" s="2">
        <v>0</v>
      </c>
      <c r="AF33" s="2">
        <v>178</v>
      </c>
      <c r="AK33" s="4">
        <v>19025540</v>
      </c>
      <c r="AL33" t="s">
        <v>53</v>
      </c>
    </row>
    <row r="34" spans="1:38" x14ac:dyDescent="0.25">
      <c r="A34" s="1">
        <v>45828</v>
      </c>
      <c r="B34" s="1">
        <v>45824</v>
      </c>
      <c r="C34" t="s">
        <v>38</v>
      </c>
      <c r="D34" t="s">
        <v>39</v>
      </c>
      <c r="E34" t="s">
        <v>40</v>
      </c>
      <c r="F34" t="s">
        <v>41</v>
      </c>
      <c r="G34" t="s">
        <v>42</v>
      </c>
      <c r="H34" t="s">
        <v>43</v>
      </c>
      <c r="I34" t="s">
        <v>134</v>
      </c>
      <c r="J34" t="s">
        <v>135</v>
      </c>
      <c r="M34" t="s">
        <v>136</v>
      </c>
      <c r="O34" t="s">
        <v>137</v>
      </c>
      <c r="P34" t="s">
        <v>138</v>
      </c>
      <c r="Q34" t="s">
        <v>49</v>
      </c>
      <c r="R34" t="s">
        <v>139</v>
      </c>
      <c r="S34" s="1">
        <v>45839</v>
      </c>
      <c r="U34" t="s">
        <v>51</v>
      </c>
      <c r="X34" t="s">
        <v>52</v>
      </c>
      <c r="Y34" s="2">
        <v>51.62</v>
      </c>
      <c r="Z34" s="2">
        <v>51.62</v>
      </c>
      <c r="AA34">
        <v>6</v>
      </c>
      <c r="AB34" s="3">
        <v>0.6</v>
      </c>
      <c r="AC34" s="2">
        <v>185.83</v>
      </c>
      <c r="AD34" s="3">
        <v>0</v>
      </c>
      <c r="AE34" s="2">
        <v>0</v>
      </c>
      <c r="AF34" s="2">
        <v>185.83</v>
      </c>
      <c r="AK34" s="4">
        <v>19032310</v>
      </c>
      <c r="AL34" t="s">
        <v>53</v>
      </c>
    </row>
    <row r="35" spans="1:38" x14ac:dyDescent="0.25">
      <c r="A35" s="1">
        <v>45828</v>
      </c>
      <c r="B35" s="1">
        <v>45824</v>
      </c>
      <c r="C35" t="s">
        <v>38</v>
      </c>
      <c r="D35" t="s">
        <v>39</v>
      </c>
      <c r="E35" t="s">
        <v>40</v>
      </c>
      <c r="F35" t="s">
        <v>41</v>
      </c>
      <c r="G35" t="s">
        <v>42</v>
      </c>
      <c r="H35" t="s">
        <v>43</v>
      </c>
      <c r="I35" t="s">
        <v>140</v>
      </c>
      <c r="J35" t="s">
        <v>135</v>
      </c>
      <c r="M35" t="s">
        <v>136</v>
      </c>
      <c r="O35" t="s">
        <v>137</v>
      </c>
      <c r="P35" t="s">
        <v>138</v>
      </c>
      <c r="Q35" t="s">
        <v>49</v>
      </c>
      <c r="R35" t="s">
        <v>90</v>
      </c>
      <c r="S35" s="1">
        <v>45839</v>
      </c>
      <c r="U35" t="s">
        <v>51</v>
      </c>
      <c r="X35" t="s">
        <v>52</v>
      </c>
      <c r="Y35" s="2">
        <v>87.66</v>
      </c>
      <c r="Z35" s="2">
        <v>87.66</v>
      </c>
      <c r="AA35">
        <v>6</v>
      </c>
      <c r="AB35" s="3">
        <v>0.38</v>
      </c>
      <c r="AC35" s="2">
        <v>199.86</v>
      </c>
      <c r="AD35" s="3">
        <v>0</v>
      </c>
      <c r="AE35" s="2">
        <v>0</v>
      </c>
      <c r="AF35" s="2">
        <v>199.86</v>
      </c>
      <c r="AK35" s="4">
        <v>19041400</v>
      </c>
      <c r="AL35" t="s">
        <v>53</v>
      </c>
    </row>
    <row r="36" spans="1:38" x14ac:dyDescent="0.25">
      <c r="A36" s="1">
        <v>45828</v>
      </c>
      <c r="B36" s="1">
        <v>45824</v>
      </c>
      <c r="C36" t="s">
        <v>174</v>
      </c>
      <c r="D36" t="s">
        <v>39</v>
      </c>
      <c r="E36" t="s">
        <v>40</v>
      </c>
      <c r="F36" t="s">
        <v>41</v>
      </c>
      <c r="G36" t="s">
        <v>42</v>
      </c>
      <c r="H36" t="s">
        <v>43</v>
      </c>
      <c r="I36" t="s">
        <v>175</v>
      </c>
      <c r="J36" t="s">
        <v>176</v>
      </c>
      <c r="M36" t="s">
        <v>136</v>
      </c>
      <c r="O36" t="s">
        <v>137</v>
      </c>
      <c r="P36" t="s">
        <v>138</v>
      </c>
      <c r="Q36" t="s">
        <v>177</v>
      </c>
      <c r="R36" t="s">
        <v>90</v>
      </c>
      <c r="S36" s="1">
        <v>45812</v>
      </c>
      <c r="U36" t="s">
        <v>51</v>
      </c>
      <c r="X36" t="s">
        <v>178</v>
      </c>
      <c r="AF36" s="2">
        <v>69.02</v>
      </c>
      <c r="AG36" s="2">
        <v>0</v>
      </c>
      <c r="AJ36" s="2">
        <v>69.02</v>
      </c>
    </row>
    <row r="37" spans="1:38" x14ac:dyDescent="0.25">
      <c r="A37" s="1">
        <v>45828</v>
      </c>
      <c r="B37" s="1">
        <v>45824</v>
      </c>
      <c r="C37" t="s">
        <v>174</v>
      </c>
      <c r="D37" t="s">
        <v>39</v>
      </c>
      <c r="E37" t="s">
        <v>40</v>
      </c>
      <c r="F37" t="s">
        <v>41</v>
      </c>
      <c r="G37" t="s">
        <v>42</v>
      </c>
      <c r="H37" t="s">
        <v>43</v>
      </c>
      <c r="I37" t="s">
        <v>179</v>
      </c>
      <c r="J37" t="s">
        <v>176</v>
      </c>
      <c r="M37" t="s">
        <v>136</v>
      </c>
      <c r="O37" t="s">
        <v>137</v>
      </c>
      <c r="P37" t="s">
        <v>138</v>
      </c>
      <c r="Q37" t="s">
        <v>177</v>
      </c>
      <c r="R37" t="s">
        <v>180</v>
      </c>
      <c r="S37" s="1">
        <v>45812</v>
      </c>
      <c r="U37" t="s">
        <v>51</v>
      </c>
      <c r="X37" t="s">
        <v>178</v>
      </c>
      <c r="AF37" s="2">
        <v>108.07</v>
      </c>
      <c r="AG37" s="2">
        <v>0</v>
      </c>
      <c r="AJ37" s="2">
        <v>108.07</v>
      </c>
    </row>
    <row r="38" spans="1:38" x14ac:dyDescent="0.25">
      <c r="A38" s="1">
        <v>45828</v>
      </c>
      <c r="B38" s="1">
        <v>45824</v>
      </c>
      <c r="C38" t="s">
        <v>174</v>
      </c>
      <c r="D38" t="s">
        <v>39</v>
      </c>
      <c r="E38" t="s">
        <v>40</v>
      </c>
      <c r="F38" t="s">
        <v>41</v>
      </c>
      <c r="G38" t="s">
        <v>42</v>
      </c>
      <c r="H38" t="s">
        <v>43</v>
      </c>
      <c r="I38" t="s">
        <v>181</v>
      </c>
      <c r="J38" t="s">
        <v>176</v>
      </c>
      <c r="M38" t="s">
        <v>136</v>
      </c>
      <c r="O38" t="s">
        <v>137</v>
      </c>
      <c r="P38" t="s">
        <v>138</v>
      </c>
      <c r="Q38" t="s">
        <v>177</v>
      </c>
      <c r="R38" t="s">
        <v>66</v>
      </c>
      <c r="S38" s="1">
        <v>45812</v>
      </c>
      <c r="U38" t="s">
        <v>51</v>
      </c>
      <c r="X38" t="s">
        <v>178</v>
      </c>
      <c r="AF38" s="2">
        <v>55.98</v>
      </c>
      <c r="AG38" s="2">
        <v>0</v>
      </c>
      <c r="AJ38" s="2">
        <v>55.98</v>
      </c>
    </row>
    <row r="39" spans="1:38" s="8" customFormat="1" x14ac:dyDescent="0.25">
      <c r="A39" s="1">
        <v>45828</v>
      </c>
      <c r="B39" s="1">
        <v>45824</v>
      </c>
      <c r="C39" t="s">
        <v>38</v>
      </c>
      <c r="D39" t="s">
        <v>39</v>
      </c>
      <c r="E39" t="s">
        <v>40</v>
      </c>
      <c r="F39" t="s">
        <v>41</v>
      </c>
      <c r="G39" t="s">
        <v>42</v>
      </c>
      <c r="H39" t="s">
        <v>43</v>
      </c>
      <c r="I39" t="s">
        <v>82</v>
      </c>
      <c r="J39" t="s">
        <v>83</v>
      </c>
      <c r="K39"/>
      <c r="L39"/>
      <c r="M39" t="s">
        <v>58</v>
      </c>
      <c r="N39"/>
      <c r="O39" t="s">
        <v>84</v>
      </c>
      <c r="P39" t="s">
        <v>85</v>
      </c>
      <c r="Q39" t="s">
        <v>49</v>
      </c>
      <c r="R39" t="s">
        <v>55</v>
      </c>
      <c r="S39" s="1">
        <v>45839</v>
      </c>
      <c r="T39"/>
      <c r="U39" t="s">
        <v>51</v>
      </c>
      <c r="V39"/>
      <c r="W39"/>
      <c r="X39" t="s">
        <v>52</v>
      </c>
      <c r="Y39" s="2">
        <v>66.36</v>
      </c>
      <c r="Z39" s="2">
        <v>66.36</v>
      </c>
      <c r="AA39">
        <v>6</v>
      </c>
      <c r="AB39" s="3">
        <v>0.7</v>
      </c>
      <c r="AC39" s="2">
        <v>278.70999999999998</v>
      </c>
      <c r="AD39" s="3">
        <v>0</v>
      </c>
      <c r="AE39" s="2">
        <v>0</v>
      </c>
      <c r="AF39" s="2">
        <v>278.70999999999998</v>
      </c>
      <c r="AG39"/>
      <c r="AH39"/>
      <c r="AI39"/>
      <c r="AJ39"/>
      <c r="AK39" s="4">
        <v>19025280</v>
      </c>
      <c r="AL39" t="s">
        <v>53</v>
      </c>
    </row>
    <row r="40" spans="1:38" x14ac:dyDescent="0.25">
      <c r="A40" s="1">
        <v>45828</v>
      </c>
      <c r="B40" s="1">
        <v>45824</v>
      </c>
      <c r="C40" t="s">
        <v>38</v>
      </c>
      <c r="D40" t="s">
        <v>39</v>
      </c>
      <c r="E40" t="s">
        <v>40</v>
      </c>
      <c r="F40" t="s">
        <v>41</v>
      </c>
      <c r="G40" t="s">
        <v>42</v>
      </c>
      <c r="H40" t="s">
        <v>43</v>
      </c>
      <c r="I40" t="s">
        <v>168</v>
      </c>
      <c r="J40" t="s">
        <v>169</v>
      </c>
      <c r="M40" t="s">
        <v>58</v>
      </c>
      <c r="O40" t="s">
        <v>84</v>
      </c>
      <c r="P40" t="s">
        <v>85</v>
      </c>
      <c r="Q40" t="s">
        <v>49</v>
      </c>
      <c r="R40" t="s">
        <v>55</v>
      </c>
      <c r="S40" s="1">
        <v>45839</v>
      </c>
      <c r="U40" t="s">
        <v>51</v>
      </c>
      <c r="X40" t="s">
        <v>52</v>
      </c>
      <c r="Y40" s="2">
        <v>183.13</v>
      </c>
      <c r="Z40" s="2">
        <v>183.13</v>
      </c>
      <c r="AA40">
        <v>6</v>
      </c>
      <c r="AB40" s="3">
        <v>0.7</v>
      </c>
      <c r="AC40" s="2">
        <v>769.15</v>
      </c>
      <c r="AD40" s="3">
        <v>0</v>
      </c>
      <c r="AE40" s="2">
        <v>0</v>
      </c>
      <c r="AF40" s="2">
        <v>769.15</v>
      </c>
      <c r="AK40" s="4">
        <v>19025870</v>
      </c>
      <c r="AL40" t="s">
        <v>53</v>
      </c>
    </row>
    <row r="41" spans="1:38" x14ac:dyDescent="0.25">
      <c r="A41" s="1">
        <v>45828</v>
      </c>
      <c r="B41" s="1">
        <v>45824</v>
      </c>
      <c r="C41" t="s">
        <v>38</v>
      </c>
      <c r="D41" t="s">
        <v>39</v>
      </c>
      <c r="E41" t="s">
        <v>40</v>
      </c>
      <c r="F41" t="s">
        <v>41</v>
      </c>
      <c r="G41" t="s">
        <v>42</v>
      </c>
      <c r="H41" t="s">
        <v>43</v>
      </c>
      <c r="I41" t="s">
        <v>170</v>
      </c>
      <c r="J41" t="s">
        <v>169</v>
      </c>
      <c r="M41" t="s">
        <v>58</v>
      </c>
      <c r="O41" t="s">
        <v>84</v>
      </c>
      <c r="P41" t="s">
        <v>85</v>
      </c>
      <c r="Q41" t="s">
        <v>49</v>
      </c>
      <c r="R41" t="s">
        <v>50</v>
      </c>
      <c r="S41" s="1">
        <v>45839</v>
      </c>
      <c r="U41" t="s">
        <v>51</v>
      </c>
      <c r="X41" t="s">
        <v>52</v>
      </c>
      <c r="Y41" s="2">
        <v>85.39</v>
      </c>
      <c r="Z41" s="2">
        <v>85.39</v>
      </c>
      <c r="AA41">
        <v>6</v>
      </c>
      <c r="AB41" s="3">
        <v>0.75</v>
      </c>
      <c r="AC41" s="2">
        <v>384.26</v>
      </c>
      <c r="AD41" s="3">
        <v>0</v>
      </c>
      <c r="AE41" s="2">
        <v>0</v>
      </c>
      <c r="AF41" s="2">
        <v>384.26</v>
      </c>
      <c r="AK41" s="4">
        <v>19032380</v>
      </c>
      <c r="AL41" t="s">
        <v>53</v>
      </c>
    </row>
    <row r="42" spans="1:38" x14ac:dyDescent="0.25">
      <c r="A42" s="1">
        <v>45828</v>
      </c>
      <c r="B42" s="1">
        <v>45824</v>
      </c>
      <c r="C42" t="s">
        <v>38</v>
      </c>
      <c r="D42" t="s">
        <v>39</v>
      </c>
      <c r="E42" t="s">
        <v>40</v>
      </c>
      <c r="F42" t="s">
        <v>41</v>
      </c>
      <c r="G42" t="s">
        <v>42</v>
      </c>
      <c r="H42" t="s">
        <v>43</v>
      </c>
      <c r="I42" t="s">
        <v>159</v>
      </c>
      <c r="J42" t="s">
        <v>160</v>
      </c>
      <c r="M42" t="s">
        <v>58</v>
      </c>
      <c r="O42" t="s">
        <v>161</v>
      </c>
      <c r="P42" t="s">
        <v>162</v>
      </c>
      <c r="Q42" t="s">
        <v>49</v>
      </c>
      <c r="R42" t="s">
        <v>55</v>
      </c>
      <c r="S42" s="1">
        <v>45821</v>
      </c>
      <c r="U42" t="s">
        <v>51</v>
      </c>
      <c r="X42" t="s">
        <v>52</v>
      </c>
      <c r="Y42" s="2">
        <v>19</v>
      </c>
      <c r="Z42" s="2">
        <v>19</v>
      </c>
      <c r="AA42">
        <v>6</v>
      </c>
      <c r="AB42" s="3">
        <v>0.7</v>
      </c>
      <c r="AC42" s="2">
        <v>79.8</v>
      </c>
      <c r="AD42" s="3">
        <v>0</v>
      </c>
      <c r="AE42" s="2">
        <v>0</v>
      </c>
      <c r="AF42" s="2">
        <v>79.8</v>
      </c>
      <c r="AK42" s="4">
        <v>19025750</v>
      </c>
      <c r="AL42" t="s">
        <v>53</v>
      </c>
    </row>
    <row r="43" spans="1:38" x14ac:dyDescent="0.25">
      <c r="A43" s="1">
        <v>45828</v>
      </c>
      <c r="B43" s="1">
        <v>45824</v>
      </c>
      <c r="C43" t="s">
        <v>38</v>
      </c>
      <c r="D43" t="s">
        <v>39</v>
      </c>
      <c r="E43" t="s">
        <v>40</v>
      </c>
      <c r="F43" t="s">
        <v>41</v>
      </c>
      <c r="G43" t="s">
        <v>42</v>
      </c>
      <c r="H43" t="s">
        <v>43</v>
      </c>
      <c r="I43" t="s">
        <v>102</v>
      </c>
      <c r="J43" t="s">
        <v>103</v>
      </c>
      <c r="M43" t="s">
        <v>70</v>
      </c>
      <c r="O43" t="s">
        <v>104</v>
      </c>
      <c r="P43" t="s">
        <v>105</v>
      </c>
      <c r="Q43" t="s">
        <v>49</v>
      </c>
      <c r="R43" t="s">
        <v>66</v>
      </c>
      <c r="S43" s="1">
        <v>45820</v>
      </c>
      <c r="U43" t="s">
        <v>51</v>
      </c>
      <c r="X43" t="s">
        <v>52</v>
      </c>
      <c r="Y43" s="2">
        <v>117.83</v>
      </c>
      <c r="Z43" s="2">
        <v>117.83</v>
      </c>
      <c r="AA43">
        <v>6</v>
      </c>
      <c r="AB43" s="3">
        <v>0.375</v>
      </c>
      <c r="AC43" s="2">
        <v>265.12</v>
      </c>
      <c r="AD43" s="3">
        <v>0</v>
      </c>
      <c r="AE43" s="2">
        <v>0</v>
      </c>
      <c r="AF43" s="2">
        <v>265.12</v>
      </c>
      <c r="AK43" s="4">
        <v>19039960</v>
      </c>
      <c r="AL43" t="s">
        <v>53</v>
      </c>
    </row>
    <row r="44" spans="1:38" x14ac:dyDescent="0.25">
      <c r="A44" s="1">
        <v>45828</v>
      </c>
      <c r="B44" s="1">
        <v>45824</v>
      </c>
      <c r="C44" t="s">
        <v>38</v>
      </c>
      <c r="D44" t="s">
        <v>39</v>
      </c>
      <c r="E44" t="s">
        <v>40</v>
      </c>
      <c r="F44" t="s">
        <v>41</v>
      </c>
      <c r="G44" t="s">
        <v>42</v>
      </c>
      <c r="H44" t="s">
        <v>43</v>
      </c>
      <c r="I44" t="s">
        <v>106</v>
      </c>
      <c r="J44" t="s">
        <v>103</v>
      </c>
      <c r="M44" t="s">
        <v>70</v>
      </c>
      <c r="O44" t="s">
        <v>104</v>
      </c>
      <c r="P44" t="s">
        <v>105</v>
      </c>
      <c r="Q44" t="s">
        <v>49</v>
      </c>
      <c r="R44" t="s">
        <v>55</v>
      </c>
      <c r="S44" s="1">
        <v>45820</v>
      </c>
      <c r="U44" t="s">
        <v>51</v>
      </c>
      <c r="X44" t="s">
        <v>52</v>
      </c>
      <c r="Y44" s="2">
        <v>261</v>
      </c>
      <c r="Z44" s="2">
        <v>261</v>
      </c>
      <c r="AA44">
        <v>6</v>
      </c>
      <c r="AB44" s="3">
        <v>0.7</v>
      </c>
      <c r="AC44" s="2">
        <v>1096.2</v>
      </c>
      <c r="AD44" s="3">
        <v>0</v>
      </c>
      <c r="AE44" s="2">
        <v>0</v>
      </c>
      <c r="AF44" s="2">
        <v>1096.2</v>
      </c>
      <c r="AK44" s="4">
        <v>19025390</v>
      </c>
      <c r="AL44" t="s">
        <v>53</v>
      </c>
    </row>
    <row r="45" spans="1:38" x14ac:dyDescent="0.25">
      <c r="A45" s="1">
        <v>45828</v>
      </c>
      <c r="B45" s="1">
        <v>45824</v>
      </c>
      <c r="C45" t="s">
        <v>38</v>
      </c>
      <c r="D45" t="s">
        <v>39</v>
      </c>
      <c r="E45" t="s">
        <v>40</v>
      </c>
      <c r="F45" t="s">
        <v>41</v>
      </c>
      <c r="G45" t="s">
        <v>42</v>
      </c>
      <c r="H45" t="s">
        <v>43</v>
      </c>
      <c r="I45" t="s">
        <v>107</v>
      </c>
      <c r="J45" t="s">
        <v>103</v>
      </c>
      <c r="M45" t="s">
        <v>70</v>
      </c>
      <c r="O45" t="s">
        <v>104</v>
      </c>
      <c r="P45" t="s">
        <v>105</v>
      </c>
      <c r="Q45" t="s">
        <v>49</v>
      </c>
      <c r="R45" t="s">
        <v>74</v>
      </c>
      <c r="S45" s="1">
        <v>45820</v>
      </c>
      <c r="U45" t="s">
        <v>51</v>
      </c>
      <c r="X45" t="s">
        <v>52</v>
      </c>
      <c r="Y45" s="2">
        <v>103.75</v>
      </c>
      <c r="Z45" s="2">
        <v>103.75</v>
      </c>
      <c r="AA45">
        <v>6</v>
      </c>
      <c r="AB45" s="3">
        <v>0.9</v>
      </c>
      <c r="AC45" s="2">
        <v>560.25</v>
      </c>
      <c r="AD45" s="3">
        <v>0</v>
      </c>
      <c r="AE45" s="2">
        <v>0</v>
      </c>
      <c r="AF45" s="2">
        <v>560.25</v>
      </c>
      <c r="AK45" s="4">
        <v>19043370</v>
      </c>
      <c r="AL45" t="s">
        <v>53</v>
      </c>
    </row>
    <row r="46" spans="1:38" x14ac:dyDescent="0.25">
      <c r="A46" s="1">
        <v>45828</v>
      </c>
      <c r="B46" s="1">
        <v>45824</v>
      </c>
      <c r="C46" t="s">
        <v>38</v>
      </c>
      <c r="D46" t="s">
        <v>39</v>
      </c>
      <c r="E46" t="s">
        <v>40</v>
      </c>
      <c r="F46" t="s">
        <v>41</v>
      </c>
      <c r="G46" t="s">
        <v>42</v>
      </c>
      <c r="H46" t="s">
        <v>43</v>
      </c>
      <c r="I46" t="s">
        <v>143</v>
      </c>
      <c r="J46" t="s">
        <v>144</v>
      </c>
      <c r="M46" t="s">
        <v>70</v>
      </c>
      <c r="O46" t="s">
        <v>104</v>
      </c>
      <c r="P46" t="s">
        <v>105</v>
      </c>
      <c r="Q46" t="s">
        <v>49</v>
      </c>
      <c r="R46" t="s">
        <v>66</v>
      </c>
      <c r="S46" s="1">
        <v>45820</v>
      </c>
      <c r="U46" t="s">
        <v>51</v>
      </c>
      <c r="X46" t="s">
        <v>52</v>
      </c>
      <c r="Y46" s="2">
        <v>68.19</v>
      </c>
      <c r="Z46" s="2">
        <v>68.19</v>
      </c>
      <c r="AA46">
        <v>6</v>
      </c>
      <c r="AB46" s="3">
        <v>0.375</v>
      </c>
      <c r="AC46" s="2">
        <v>153.43</v>
      </c>
      <c r="AD46" s="3">
        <v>0</v>
      </c>
      <c r="AE46" s="2">
        <v>0</v>
      </c>
      <c r="AF46" s="2">
        <v>153.43</v>
      </c>
      <c r="AK46" s="4">
        <v>19040320</v>
      </c>
      <c r="AL46" t="s">
        <v>53</v>
      </c>
    </row>
    <row r="47" spans="1:38" x14ac:dyDescent="0.25">
      <c r="A47" s="1">
        <v>45828</v>
      </c>
      <c r="B47" s="1">
        <v>45824</v>
      </c>
      <c r="C47" t="s">
        <v>38</v>
      </c>
      <c r="D47" t="s">
        <v>39</v>
      </c>
      <c r="E47" t="s">
        <v>40</v>
      </c>
      <c r="F47" t="s">
        <v>41</v>
      </c>
      <c r="G47" t="s">
        <v>42</v>
      </c>
      <c r="H47" t="s">
        <v>43</v>
      </c>
      <c r="I47" t="s">
        <v>145</v>
      </c>
      <c r="J47" t="s">
        <v>144</v>
      </c>
      <c r="M47" t="s">
        <v>70</v>
      </c>
      <c r="O47" t="s">
        <v>104</v>
      </c>
      <c r="P47" t="s">
        <v>105</v>
      </c>
      <c r="Q47" t="s">
        <v>49</v>
      </c>
      <c r="R47" t="s">
        <v>55</v>
      </c>
      <c r="S47" s="1">
        <v>45820</v>
      </c>
      <c r="U47" t="s">
        <v>51</v>
      </c>
      <c r="X47" t="s">
        <v>52</v>
      </c>
      <c r="Y47" s="2">
        <v>13</v>
      </c>
      <c r="Z47" s="2">
        <v>13</v>
      </c>
      <c r="AA47">
        <v>6</v>
      </c>
      <c r="AB47" s="3">
        <v>0.7</v>
      </c>
      <c r="AC47" s="2">
        <v>54.6</v>
      </c>
      <c r="AD47" s="3">
        <v>0</v>
      </c>
      <c r="AE47" s="2">
        <v>0</v>
      </c>
      <c r="AF47" s="2">
        <v>54.6</v>
      </c>
      <c r="AK47" s="4">
        <v>19025660</v>
      </c>
      <c r="AL47" t="s">
        <v>53</v>
      </c>
    </row>
    <row r="48" spans="1:38" x14ac:dyDescent="0.25">
      <c r="A48" s="1">
        <v>45828</v>
      </c>
      <c r="B48" s="1">
        <v>45824</v>
      </c>
      <c r="C48" t="s">
        <v>38</v>
      </c>
      <c r="D48" t="s">
        <v>39</v>
      </c>
      <c r="E48" t="s">
        <v>40</v>
      </c>
      <c r="F48" t="s">
        <v>41</v>
      </c>
      <c r="G48" t="s">
        <v>42</v>
      </c>
      <c r="H48" t="s">
        <v>43</v>
      </c>
      <c r="I48" t="s">
        <v>44</v>
      </c>
      <c r="J48" t="s">
        <v>45</v>
      </c>
      <c r="M48" t="s">
        <v>46</v>
      </c>
      <c r="O48" t="s">
        <v>47</v>
      </c>
      <c r="P48" t="s">
        <v>48</v>
      </c>
      <c r="Q48" t="s">
        <v>49</v>
      </c>
      <c r="R48" t="s">
        <v>50</v>
      </c>
      <c r="S48" s="1">
        <v>45825</v>
      </c>
      <c r="U48" t="s">
        <v>51</v>
      </c>
      <c r="X48" t="s">
        <v>52</v>
      </c>
      <c r="Y48" s="2">
        <v>66.03</v>
      </c>
      <c r="Z48" s="2">
        <v>66.03</v>
      </c>
      <c r="AA48">
        <v>6</v>
      </c>
      <c r="AB48" s="3">
        <v>0.75</v>
      </c>
      <c r="AC48" s="2">
        <v>297.14</v>
      </c>
      <c r="AD48" s="3">
        <v>0</v>
      </c>
      <c r="AE48" s="2">
        <v>0</v>
      </c>
      <c r="AF48" s="2">
        <v>297.14</v>
      </c>
      <c r="AK48" s="4">
        <v>19032190</v>
      </c>
      <c r="AL48" t="s">
        <v>53</v>
      </c>
    </row>
    <row r="49" spans="1:38" x14ac:dyDescent="0.25">
      <c r="A49" s="1">
        <v>45828</v>
      </c>
      <c r="B49" s="1">
        <v>45824</v>
      </c>
      <c r="C49" t="s">
        <v>38</v>
      </c>
      <c r="D49" t="s">
        <v>39</v>
      </c>
      <c r="E49" t="s">
        <v>40</v>
      </c>
      <c r="F49" t="s">
        <v>41</v>
      </c>
      <c r="G49" t="s">
        <v>42</v>
      </c>
      <c r="H49" t="s">
        <v>43</v>
      </c>
      <c r="I49" t="s">
        <v>54</v>
      </c>
      <c r="J49" t="s">
        <v>45</v>
      </c>
      <c r="M49" t="s">
        <v>46</v>
      </c>
      <c r="O49" t="s">
        <v>47</v>
      </c>
      <c r="P49" t="s">
        <v>48</v>
      </c>
      <c r="Q49" t="s">
        <v>49</v>
      </c>
      <c r="R49" t="s">
        <v>55</v>
      </c>
      <c r="S49" s="1">
        <v>45825</v>
      </c>
      <c r="U49" t="s">
        <v>51</v>
      </c>
      <c r="X49" t="s">
        <v>52</v>
      </c>
      <c r="Y49" s="2">
        <v>10.82</v>
      </c>
      <c r="Z49" s="2">
        <v>10.82</v>
      </c>
      <c r="AA49">
        <v>6</v>
      </c>
      <c r="AB49" s="3">
        <v>0.7</v>
      </c>
      <c r="AC49" s="2">
        <v>45.44</v>
      </c>
      <c r="AD49" s="3">
        <v>0</v>
      </c>
      <c r="AE49" s="2">
        <v>0</v>
      </c>
      <c r="AF49" s="2">
        <v>45.44</v>
      </c>
      <c r="AK49" s="4">
        <v>19025150</v>
      </c>
      <c r="AL49" t="s">
        <v>53</v>
      </c>
    </row>
    <row r="50" spans="1:38" x14ac:dyDescent="0.25">
      <c r="A50" s="1">
        <v>45828</v>
      </c>
      <c r="B50" s="1">
        <v>45824</v>
      </c>
      <c r="C50" t="s">
        <v>38</v>
      </c>
      <c r="D50" t="s">
        <v>39</v>
      </c>
      <c r="E50" t="s">
        <v>40</v>
      </c>
      <c r="F50" t="s">
        <v>41</v>
      </c>
      <c r="G50" t="s">
        <v>42</v>
      </c>
      <c r="H50" t="s">
        <v>43</v>
      </c>
      <c r="I50" t="s">
        <v>77</v>
      </c>
      <c r="J50" t="s">
        <v>78</v>
      </c>
      <c r="M50" t="s">
        <v>79</v>
      </c>
      <c r="O50" t="s">
        <v>80</v>
      </c>
      <c r="P50" t="s">
        <v>81</v>
      </c>
      <c r="Q50" t="s">
        <v>49</v>
      </c>
      <c r="R50" t="s">
        <v>66</v>
      </c>
      <c r="S50" s="1">
        <v>45821</v>
      </c>
      <c r="U50" t="s">
        <v>51</v>
      </c>
      <c r="X50" t="s">
        <v>52</v>
      </c>
      <c r="Y50" s="2">
        <v>49.62</v>
      </c>
      <c r="Z50" s="2">
        <v>49.62</v>
      </c>
      <c r="AA50">
        <v>6</v>
      </c>
      <c r="AB50" s="3">
        <v>0.375</v>
      </c>
      <c r="AC50" s="2">
        <v>111.65</v>
      </c>
      <c r="AD50" s="3">
        <v>0</v>
      </c>
      <c r="AE50" s="2">
        <v>0</v>
      </c>
      <c r="AF50" s="2">
        <v>111.65</v>
      </c>
      <c r="AK50" s="4">
        <v>19039790</v>
      </c>
      <c r="AL50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793F2-7A6C-479D-B5BC-8B99CF234320}">
  <dimension ref="A1:X50"/>
  <sheetViews>
    <sheetView workbookViewId="0">
      <selection activeCell="L26" sqref="L26"/>
    </sheetView>
  </sheetViews>
  <sheetFormatPr defaultRowHeight="15" x14ac:dyDescent="0.25"/>
  <cols>
    <col min="1" max="1" width="14" bestFit="1" customWidth="1"/>
    <col min="2" max="2" width="25" bestFit="1" customWidth="1"/>
    <col min="3" max="3" width="8.140625" bestFit="1" customWidth="1"/>
    <col min="4" max="4" width="4.140625" bestFit="1" customWidth="1"/>
    <col min="5" max="5" width="5.28515625" bestFit="1" customWidth="1"/>
    <col min="6" max="6" width="8.5703125" bestFit="1" customWidth="1"/>
    <col min="7" max="7" width="15" bestFit="1" customWidth="1"/>
    <col min="8" max="8" width="24.42578125" bestFit="1" customWidth="1"/>
    <col min="9" max="9" width="12.5703125" bestFit="1" customWidth="1"/>
    <col min="10" max="10" width="42.42578125" bestFit="1" customWidth="1"/>
    <col min="11" max="11" width="10.140625" bestFit="1" customWidth="1"/>
    <col min="12" max="12" width="12.28515625" bestFit="1" customWidth="1"/>
    <col min="13" max="13" width="17.85546875" bestFit="1" customWidth="1"/>
    <col min="14" max="14" width="16.7109375" bestFit="1" customWidth="1"/>
    <col min="15" max="15" width="16.5703125" bestFit="1" customWidth="1"/>
    <col min="16" max="16" width="18" bestFit="1" customWidth="1"/>
    <col min="17" max="17" width="11.5703125" bestFit="1" customWidth="1"/>
    <col min="18" max="18" width="14.7109375" bestFit="1" customWidth="1"/>
    <col min="19" max="19" width="9.85546875" bestFit="1" customWidth="1"/>
    <col min="20" max="20" width="12.7109375" bestFit="1" customWidth="1"/>
    <col min="21" max="21" width="19" bestFit="1" customWidth="1"/>
    <col min="22" max="22" width="18" bestFit="1" customWidth="1"/>
    <col min="23" max="23" width="11.42578125" bestFit="1" customWidth="1"/>
    <col min="24" max="24" width="14" bestFit="1" customWidth="1"/>
    <col min="25" max="25" width="16.28515625" bestFit="1" customWidth="1"/>
  </cols>
  <sheetData>
    <row r="1" spans="1:24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24</v>
      </c>
      <c r="N1" t="s">
        <v>26</v>
      </c>
      <c r="O1" t="s">
        <v>27</v>
      </c>
      <c r="P1" t="s">
        <v>28</v>
      </c>
    </row>
    <row r="2" spans="1:24" x14ac:dyDescent="0.25">
      <c r="A2">
        <v>2029364357</v>
      </c>
      <c r="B2" t="s">
        <v>87</v>
      </c>
      <c r="E2" t="s">
        <v>58</v>
      </c>
      <c r="G2" s="5" t="s">
        <v>184</v>
      </c>
      <c r="H2" t="s">
        <v>89</v>
      </c>
      <c r="I2" t="s">
        <v>49</v>
      </c>
      <c r="J2" t="s">
        <v>192</v>
      </c>
      <c r="K2" s="1">
        <v>45818</v>
      </c>
      <c r="L2" s="1">
        <f>DATE(YEAR(K2), MONTH(K2) +1, DAY(K2))</f>
        <v>45848</v>
      </c>
      <c r="M2" s="2">
        <v>67.19</v>
      </c>
      <c r="N2">
        <v>6</v>
      </c>
      <c r="O2" s="3">
        <v>0.375</v>
      </c>
      <c r="P2" s="2">
        <v>151.18</v>
      </c>
      <c r="Q2" s="6">
        <f>SUM(P2/6)</f>
        <v>25.196666666666669</v>
      </c>
      <c r="R2" s="2"/>
      <c r="S2" s="2"/>
      <c r="X2" s="4"/>
    </row>
    <row r="3" spans="1:24" x14ac:dyDescent="0.25">
      <c r="A3">
        <v>2029416122</v>
      </c>
      <c r="B3" t="s">
        <v>149</v>
      </c>
      <c r="E3" t="s">
        <v>150</v>
      </c>
      <c r="G3" s="5" t="s">
        <v>185</v>
      </c>
      <c r="H3" t="s">
        <v>152</v>
      </c>
      <c r="I3" t="s">
        <v>49</v>
      </c>
      <c r="J3" t="s">
        <v>192</v>
      </c>
      <c r="K3" s="1">
        <v>45824</v>
      </c>
      <c r="L3" s="1">
        <f t="shared" ref="L3:L31" si="0">DATE(YEAR(K3), MONTH(K3) +1, DAY(K3))</f>
        <v>45854</v>
      </c>
      <c r="M3" s="2">
        <v>62.45</v>
      </c>
      <c r="N3">
        <v>6</v>
      </c>
      <c r="O3" s="3">
        <v>0.375</v>
      </c>
      <c r="P3" s="2">
        <v>140.51</v>
      </c>
      <c r="Q3" s="6">
        <f t="shared" ref="Q3:Q31" si="1">SUM(P3/6)</f>
        <v>23.418333333333333</v>
      </c>
      <c r="R3" s="2"/>
      <c r="S3" s="2"/>
      <c r="X3" s="4"/>
    </row>
    <row r="4" spans="1:24" x14ac:dyDescent="0.25">
      <c r="A4">
        <v>2029272189</v>
      </c>
      <c r="B4" t="s">
        <v>63</v>
      </c>
      <c r="E4" t="s">
        <v>58</v>
      </c>
      <c r="G4" s="5" t="s">
        <v>187</v>
      </c>
      <c r="H4" t="s">
        <v>65</v>
      </c>
      <c r="I4" t="s">
        <v>49</v>
      </c>
      <c r="J4" t="s">
        <v>192</v>
      </c>
      <c r="K4" s="1">
        <v>45822</v>
      </c>
      <c r="L4" s="1">
        <f t="shared" si="0"/>
        <v>45852</v>
      </c>
      <c r="M4" s="2">
        <v>32.67</v>
      </c>
      <c r="N4">
        <v>6</v>
      </c>
      <c r="O4" s="3">
        <v>0.375</v>
      </c>
      <c r="P4" s="2">
        <v>73.510000000000005</v>
      </c>
      <c r="Q4" s="6">
        <f t="shared" si="1"/>
        <v>12.251666666666667</v>
      </c>
      <c r="R4" s="2"/>
      <c r="S4" s="2"/>
      <c r="X4" s="4"/>
    </row>
    <row r="5" spans="1:24" x14ac:dyDescent="0.25">
      <c r="A5">
        <v>2029378056</v>
      </c>
      <c r="B5" t="s">
        <v>103</v>
      </c>
      <c r="E5" t="s">
        <v>70</v>
      </c>
      <c r="G5" s="5" t="s">
        <v>190</v>
      </c>
      <c r="H5" t="s">
        <v>105</v>
      </c>
      <c r="I5" t="s">
        <v>49</v>
      </c>
      <c r="J5" t="s">
        <v>192</v>
      </c>
      <c r="K5" s="1">
        <v>45820</v>
      </c>
      <c r="L5" s="1">
        <f t="shared" si="0"/>
        <v>45850</v>
      </c>
      <c r="M5" s="2">
        <v>117.83</v>
      </c>
      <c r="N5">
        <v>6</v>
      </c>
      <c r="O5" s="3">
        <v>0.375</v>
      </c>
      <c r="P5" s="2">
        <v>265.12</v>
      </c>
      <c r="Q5" s="6">
        <f t="shared" si="1"/>
        <v>44.186666666666667</v>
      </c>
      <c r="R5" s="2"/>
      <c r="S5" s="2"/>
      <c r="X5" s="4"/>
    </row>
    <row r="6" spans="1:24" x14ac:dyDescent="0.25">
      <c r="A6">
        <v>2029413863</v>
      </c>
      <c r="B6" t="s">
        <v>144</v>
      </c>
      <c r="E6" t="s">
        <v>70</v>
      </c>
      <c r="G6" s="5" t="s">
        <v>190</v>
      </c>
      <c r="H6" t="s">
        <v>105</v>
      </c>
      <c r="I6" t="s">
        <v>49</v>
      </c>
      <c r="J6" t="s">
        <v>192</v>
      </c>
      <c r="K6" s="1">
        <v>45820</v>
      </c>
      <c r="L6" s="1">
        <f t="shared" si="0"/>
        <v>45850</v>
      </c>
      <c r="M6" s="2">
        <v>68.19</v>
      </c>
      <c r="N6">
        <v>6</v>
      </c>
      <c r="O6" s="3">
        <v>0.375</v>
      </c>
      <c r="P6" s="2">
        <v>153.43</v>
      </c>
      <c r="Q6" s="6">
        <f t="shared" si="1"/>
        <v>25.571666666666669</v>
      </c>
      <c r="R6" s="2"/>
      <c r="S6" s="2"/>
      <c r="X6" s="4"/>
    </row>
    <row r="7" spans="1:24" x14ac:dyDescent="0.25">
      <c r="A7">
        <v>2029341342</v>
      </c>
      <c r="B7" t="s">
        <v>78</v>
      </c>
      <c r="E7" t="s">
        <v>79</v>
      </c>
      <c r="G7" s="5" t="s">
        <v>191</v>
      </c>
      <c r="H7" t="s">
        <v>81</v>
      </c>
      <c r="I7" t="s">
        <v>49</v>
      </c>
      <c r="J7" t="s">
        <v>192</v>
      </c>
      <c r="K7" s="1">
        <v>45821</v>
      </c>
      <c r="L7" s="1">
        <f t="shared" si="0"/>
        <v>45851</v>
      </c>
      <c r="M7" s="2">
        <v>49.62</v>
      </c>
      <c r="N7">
        <v>6</v>
      </c>
      <c r="O7" s="3">
        <v>0.375</v>
      </c>
      <c r="P7" s="2">
        <v>111.65</v>
      </c>
      <c r="Q7" s="6">
        <f t="shared" si="1"/>
        <v>18.608333333333334</v>
      </c>
      <c r="R7" s="2"/>
      <c r="S7" s="2"/>
      <c r="X7" s="4"/>
    </row>
    <row r="8" spans="1:24" x14ac:dyDescent="0.25">
      <c r="A8">
        <v>2029369423</v>
      </c>
      <c r="B8" t="s">
        <v>96</v>
      </c>
      <c r="E8" t="s">
        <v>79</v>
      </c>
      <c r="G8" s="5" t="s">
        <v>182</v>
      </c>
      <c r="H8" t="s">
        <v>98</v>
      </c>
      <c r="I8" t="s">
        <v>49</v>
      </c>
      <c r="J8" t="s">
        <v>90</v>
      </c>
      <c r="K8" s="1">
        <v>45839</v>
      </c>
      <c r="L8" s="1">
        <f t="shared" si="0"/>
        <v>45870</v>
      </c>
      <c r="M8" s="2">
        <v>15</v>
      </c>
      <c r="N8">
        <v>6</v>
      </c>
      <c r="O8" s="3">
        <v>0.38</v>
      </c>
      <c r="P8" s="2">
        <v>34.200000000000003</v>
      </c>
      <c r="Q8" s="6">
        <f t="shared" si="1"/>
        <v>5.7</v>
      </c>
      <c r="R8" s="2"/>
      <c r="S8" s="2"/>
      <c r="X8" s="4"/>
    </row>
    <row r="9" spans="1:24" x14ac:dyDescent="0.25">
      <c r="A9">
        <v>2029369421</v>
      </c>
      <c r="B9" t="s">
        <v>96</v>
      </c>
      <c r="E9" t="s">
        <v>79</v>
      </c>
      <c r="G9" s="5" t="s">
        <v>182</v>
      </c>
      <c r="H9" t="s">
        <v>98</v>
      </c>
      <c r="I9" t="s">
        <v>49</v>
      </c>
      <c r="J9" t="s">
        <v>90</v>
      </c>
      <c r="K9" s="1">
        <v>45839</v>
      </c>
      <c r="L9" s="1">
        <f t="shared" si="0"/>
        <v>45870</v>
      </c>
      <c r="M9" s="2">
        <v>40</v>
      </c>
      <c r="N9">
        <v>6</v>
      </c>
      <c r="O9" s="3">
        <v>0.38</v>
      </c>
      <c r="P9" s="2">
        <v>91.2</v>
      </c>
      <c r="Q9" s="6">
        <f t="shared" si="1"/>
        <v>15.200000000000001</v>
      </c>
      <c r="R9" s="2"/>
      <c r="S9" s="2"/>
      <c r="X9" s="4"/>
    </row>
    <row r="10" spans="1:24" x14ac:dyDescent="0.25">
      <c r="A10">
        <v>2029364355</v>
      </c>
      <c r="B10" t="s">
        <v>87</v>
      </c>
      <c r="E10" t="s">
        <v>58</v>
      </c>
      <c r="G10" s="5" t="s">
        <v>184</v>
      </c>
      <c r="H10" t="s">
        <v>89</v>
      </c>
      <c r="I10" t="s">
        <v>49</v>
      </c>
      <c r="J10" t="s">
        <v>90</v>
      </c>
      <c r="K10" s="1">
        <v>45818</v>
      </c>
      <c r="L10" s="1">
        <f t="shared" si="0"/>
        <v>45848</v>
      </c>
      <c r="M10" s="2">
        <v>9.18</v>
      </c>
      <c r="N10">
        <v>6</v>
      </c>
      <c r="O10" s="3">
        <v>0.38</v>
      </c>
      <c r="P10" s="2">
        <v>20.93</v>
      </c>
      <c r="Q10" s="6">
        <f t="shared" si="1"/>
        <v>3.4883333333333333</v>
      </c>
      <c r="R10" s="2"/>
      <c r="S10" s="2"/>
      <c r="X10" s="4"/>
    </row>
    <row r="11" spans="1:24" x14ac:dyDescent="0.25">
      <c r="A11">
        <v>2029364358</v>
      </c>
      <c r="B11" t="s">
        <v>87</v>
      </c>
      <c r="E11" t="s">
        <v>58</v>
      </c>
      <c r="G11" s="5" t="s">
        <v>184</v>
      </c>
      <c r="H11" t="s">
        <v>89</v>
      </c>
      <c r="I11" t="s">
        <v>49</v>
      </c>
      <c r="J11" t="s">
        <v>90</v>
      </c>
      <c r="K11" s="1">
        <v>45818</v>
      </c>
      <c r="L11" s="1">
        <f t="shared" si="0"/>
        <v>45848</v>
      </c>
      <c r="M11" s="2">
        <v>15</v>
      </c>
      <c r="N11">
        <v>6</v>
      </c>
      <c r="O11" s="3">
        <v>0.38</v>
      </c>
      <c r="P11" s="2">
        <v>34.200000000000003</v>
      </c>
      <c r="Q11" s="6">
        <f t="shared" si="1"/>
        <v>5.7</v>
      </c>
      <c r="R11" s="2"/>
      <c r="S11" s="2"/>
      <c r="X11" s="4"/>
    </row>
    <row r="12" spans="1:24" x14ac:dyDescent="0.25">
      <c r="A12">
        <v>2029416123</v>
      </c>
      <c r="B12" t="s">
        <v>149</v>
      </c>
      <c r="E12" t="s">
        <v>150</v>
      </c>
      <c r="G12" s="5" t="s">
        <v>185</v>
      </c>
      <c r="H12" t="s">
        <v>152</v>
      </c>
      <c r="I12" t="s">
        <v>49</v>
      </c>
      <c r="J12" t="s">
        <v>90</v>
      </c>
      <c r="K12" s="1">
        <v>45824</v>
      </c>
      <c r="L12" s="1">
        <f t="shared" si="0"/>
        <v>45854</v>
      </c>
      <c r="M12" s="2">
        <v>204.22</v>
      </c>
      <c r="N12">
        <v>6</v>
      </c>
      <c r="O12" s="3">
        <v>0.38</v>
      </c>
      <c r="P12" s="2">
        <v>465.62</v>
      </c>
      <c r="Q12" s="6">
        <f t="shared" si="1"/>
        <v>77.603333333333339</v>
      </c>
      <c r="R12" s="2"/>
      <c r="S12" s="2"/>
      <c r="X12" s="4"/>
    </row>
    <row r="13" spans="1:24" x14ac:dyDescent="0.25">
      <c r="A13">
        <v>2029416125</v>
      </c>
      <c r="B13" t="s">
        <v>149</v>
      </c>
      <c r="E13" t="s">
        <v>150</v>
      </c>
      <c r="G13" s="5" t="s">
        <v>185</v>
      </c>
      <c r="H13" t="s">
        <v>152</v>
      </c>
      <c r="I13" t="s">
        <v>49</v>
      </c>
      <c r="J13" t="s">
        <v>90</v>
      </c>
      <c r="K13" s="1">
        <v>45824</v>
      </c>
      <c r="L13" s="1">
        <f t="shared" si="0"/>
        <v>45854</v>
      </c>
      <c r="M13" s="2">
        <v>7.09</v>
      </c>
      <c r="N13">
        <v>6</v>
      </c>
      <c r="O13" s="3">
        <v>0.38</v>
      </c>
      <c r="P13" s="2">
        <v>16.170000000000002</v>
      </c>
      <c r="Q13" s="6">
        <f t="shared" si="1"/>
        <v>2.6950000000000003</v>
      </c>
      <c r="R13" s="2"/>
      <c r="S13" s="2"/>
      <c r="X13" s="4"/>
    </row>
    <row r="14" spans="1:24" x14ac:dyDescent="0.25">
      <c r="A14">
        <v>2029398822</v>
      </c>
      <c r="B14" t="s">
        <v>121</v>
      </c>
      <c r="E14" t="s">
        <v>122</v>
      </c>
      <c r="G14" s="5" t="s">
        <v>186</v>
      </c>
      <c r="H14" t="s">
        <v>124</v>
      </c>
      <c r="I14" t="s">
        <v>49</v>
      </c>
      <c r="J14" t="s">
        <v>125</v>
      </c>
      <c r="K14" s="1">
        <v>45819</v>
      </c>
      <c r="L14" s="1">
        <f t="shared" si="0"/>
        <v>45849</v>
      </c>
      <c r="M14" s="2">
        <v>12.83</v>
      </c>
      <c r="N14">
        <v>6</v>
      </c>
      <c r="O14" s="3">
        <v>0.42</v>
      </c>
      <c r="P14" s="2">
        <v>32.33</v>
      </c>
      <c r="Q14" s="6">
        <f t="shared" si="1"/>
        <v>5.3883333333333328</v>
      </c>
      <c r="R14" s="2"/>
      <c r="S14" s="2"/>
      <c r="X14" s="4"/>
    </row>
    <row r="15" spans="1:24" x14ac:dyDescent="0.25">
      <c r="A15">
        <v>2029251415</v>
      </c>
      <c r="B15" t="s">
        <v>57</v>
      </c>
      <c r="E15" t="s">
        <v>58</v>
      </c>
      <c r="G15" s="5" t="s">
        <v>183</v>
      </c>
      <c r="H15" t="s">
        <v>60</v>
      </c>
      <c r="I15" t="s">
        <v>49</v>
      </c>
      <c r="J15" t="s">
        <v>61</v>
      </c>
      <c r="K15" s="1">
        <v>45824</v>
      </c>
      <c r="L15" s="1">
        <f t="shared" si="0"/>
        <v>45854</v>
      </c>
      <c r="M15" s="2">
        <v>73.39</v>
      </c>
      <c r="N15">
        <v>6</v>
      </c>
      <c r="O15" s="3">
        <v>0.47</v>
      </c>
      <c r="P15" s="2">
        <v>206.96</v>
      </c>
      <c r="Q15" s="6">
        <f t="shared" si="1"/>
        <v>34.493333333333332</v>
      </c>
      <c r="R15" s="2"/>
      <c r="S15" s="2"/>
      <c r="X15" s="4"/>
    </row>
    <row r="16" spans="1:24" x14ac:dyDescent="0.25">
      <c r="A16">
        <v>2029364356</v>
      </c>
      <c r="B16" t="s">
        <v>87</v>
      </c>
      <c r="E16" t="s">
        <v>58</v>
      </c>
      <c r="G16" s="5" t="s">
        <v>184</v>
      </c>
      <c r="H16" t="s">
        <v>89</v>
      </c>
      <c r="I16" t="s">
        <v>49</v>
      </c>
      <c r="J16" t="s">
        <v>193</v>
      </c>
      <c r="K16" s="1">
        <v>45818</v>
      </c>
      <c r="L16" s="1">
        <f t="shared" si="0"/>
        <v>45848</v>
      </c>
      <c r="M16" s="2">
        <v>81.150000000000006</v>
      </c>
      <c r="N16">
        <v>6</v>
      </c>
      <c r="O16" s="3">
        <v>0.7</v>
      </c>
      <c r="P16" s="2">
        <v>340.83</v>
      </c>
      <c r="Q16" s="6">
        <f t="shared" si="1"/>
        <v>56.805</v>
      </c>
      <c r="R16" s="2"/>
      <c r="S16" s="2"/>
      <c r="X16" s="4"/>
    </row>
    <row r="17" spans="1:24" x14ac:dyDescent="0.25">
      <c r="A17">
        <v>2029416126</v>
      </c>
      <c r="B17" t="s">
        <v>149</v>
      </c>
      <c r="E17" t="s">
        <v>150</v>
      </c>
      <c r="G17" s="5" t="s">
        <v>185</v>
      </c>
      <c r="H17" t="s">
        <v>152</v>
      </c>
      <c r="I17" t="s">
        <v>49</v>
      </c>
      <c r="J17" t="s">
        <v>193</v>
      </c>
      <c r="K17" s="1">
        <v>45824</v>
      </c>
      <c r="L17" s="1">
        <f t="shared" si="0"/>
        <v>45854</v>
      </c>
      <c r="M17" s="2">
        <v>9.1</v>
      </c>
      <c r="N17">
        <v>6</v>
      </c>
      <c r="O17" s="3">
        <v>0.7</v>
      </c>
      <c r="P17" s="2">
        <v>38.22</v>
      </c>
      <c r="Q17" s="6">
        <f t="shared" si="1"/>
        <v>6.37</v>
      </c>
      <c r="R17" s="2"/>
      <c r="S17" s="2"/>
      <c r="X17" s="4"/>
    </row>
    <row r="18" spans="1:24" x14ac:dyDescent="0.25">
      <c r="A18">
        <v>2029467187</v>
      </c>
      <c r="B18" t="s">
        <v>172</v>
      </c>
      <c r="E18" t="s">
        <v>70</v>
      </c>
      <c r="G18" s="5" t="s">
        <v>186</v>
      </c>
      <c r="H18" t="s">
        <v>124</v>
      </c>
      <c r="I18" t="s">
        <v>49</v>
      </c>
      <c r="J18" t="s">
        <v>193</v>
      </c>
      <c r="K18" s="1">
        <v>45839</v>
      </c>
      <c r="L18" s="1">
        <f t="shared" si="0"/>
        <v>45870</v>
      </c>
      <c r="M18" s="2">
        <v>28.38</v>
      </c>
      <c r="N18">
        <v>6</v>
      </c>
      <c r="O18" s="3">
        <v>0.7</v>
      </c>
      <c r="P18" s="2">
        <v>119.2</v>
      </c>
      <c r="Q18" s="6">
        <f t="shared" si="1"/>
        <v>19.866666666666667</v>
      </c>
      <c r="R18" s="2"/>
      <c r="S18" s="2"/>
      <c r="X18" s="4"/>
    </row>
    <row r="19" spans="1:24" x14ac:dyDescent="0.25">
      <c r="A19">
        <v>2029272190</v>
      </c>
      <c r="B19" t="s">
        <v>63</v>
      </c>
      <c r="E19" t="s">
        <v>58</v>
      </c>
      <c r="G19" s="5" t="s">
        <v>187</v>
      </c>
      <c r="H19" t="s">
        <v>65</v>
      </c>
      <c r="I19" t="s">
        <v>49</v>
      </c>
      <c r="J19" t="s">
        <v>193</v>
      </c>
      <c r="K19" s="1">
        <v>45822</v>
      </c>
      <c r="L19" s="1">
        <f t="shared" si="0"/>
        <v>45852</v>
      </c>
      <c r="M19" s="2">
        <v>11.5</v>
      </c>
      <c r="N19">
        <v>6</v>
      </c>
      <c r="O19" s="3">
        <v>0.7</v>
      </c>
      <c r="P19" s="2">
        <v>48.3</v>
      </c>
      <c r="Q19" s="6">
        <f t="shared" si="1"/>
        <v>8.0499999999999989</v>
      </c>
      <c r="R19" s="2"/>
      <c r="S19" s="2"/>
      <c r="X19" s="4"/>
    </row>
    <row r="20" spans="1:24" x14ac:dyDescent="0.25">
      <c r="A20">
        <v>2029402295</v>
      </c>
      <c r="B20" t="s">
        <v>127</v>
      </c>
      <c r="E20" t="s">
        <v>58</v>
      </c>
      <c r="G20" s="5" t="s">
        <v>187</v>
      </c>
      <c r="H20" t="s">
        <v>65</v>
      </c>
      <c r="I20" t="s">
        <v>49</v>
      </c>
      <c r="J20" t="s">
        <v>193</v>
      </c>
      <c r="K20" s="1">
        <v>45821</v>
      </c>
      <c r="L20" s="1">
        <f t="shared" si="0"/>
        <v>45851</v>
      </c>
      <c r="M20" s="2">
        <v>42.38</v>
      </c>
      <c r="N20">
        <v>6</v>
      </c>
      <c r="O20" s="3">
        <v>0.7</v>
      </c>
      <c r="P20" s="2">
        <v>178</v>
      </c>
      <c r="Q20" s="6">
        <f t="shared" si="1"/>
        <v>29.666666666666668</v>
      </c>
      <c r="R20" s="2"/>
      <c r="S20" s="2"/>
      <c r="X20" s="4"/>
    </row>
    <row r="21" spans="1:24" x14ac:dyDescent="0.25">
      <c r="A21">
        <v>2029363953</v>
      </c>
      <c r="B21" t="s">
        <v>83</v>
      </c>
      <c r="E21" t="s">
        <v>58</v>
      </c>
      <c r="G21" s="5" t="s">
        <v>188</v>
      </c>
      <c r="H21" t="s">
        <v>85</v>
      </c>
      <c r="I21" t="s">
        <v>49</v>
      </c>
      <c r="J21" t="s">
        <v>193</v>
      </c>
      <c r="K21" s="1">
        <v>45839</v>
      </c>
      <c r="L21" s="1">
        <f t="shared" si="0"/>
        <v>45870</v>
      </c>
      <c r="M21" s="2">
        <v>66.36</v>
      </c>
      <c r="N21">
        <v>6</v>
      </c>
      <c r="O21" s="3">
        <v>0.7</v>
      </c>
      <c r="P21" s="2">
        <v>278.70999999999998</v>
      </c>
      <c r="Q21" s="6">
        <f t="shared" si="1"/>
        <v>46.451666666666661</v>
      </c>
      <c r="R21" s="2"/>
      <c r="S21" s="2"/>
      <c r="X21" s="4"/>
    </row>
    <row r="22" spans="1:24" x14ac:dyDescent="0.25">
      <c r="A22">
        <v>2029456584</v>
      </c>
      <c r="B22" t="s">
        <v>169</v>
      </c>
      <c r="E22" t="s">
        <v>58</v>
      </c>
      <c r="G22" s="5" t="s">
        <v>188</v>
      </c>
      <c r="H22" t="s">
        <v>85</v>
      </c>
      <c r="I22" t="s">
        <v>49</v>
      </c>
      <c r="J22" t="s">
        <v>193</v>
      </c>
      <c r="K22" s="1">
        <v>45839</v>
      </c>
      <c r="L22" s="1">
        <f t="shared" si="0"/>
        <v>45870</v>
      </c>
      <c r="M22" s="2">
        <v>183.13</v>
      </c>
      <c r="N22">
        <v>6</v>
      </c>
      <c r="O22" s="3">
        <v>0.7</v>
      </c>
      <c r="P22" s="2">
        <v>769.15</v>
      </c>
      <c r="Q22" s="6">
        <f t="shared" si="1"/>
        <v>128.19166666666666</v>
      </c>
      <c r="R22" s="2"/>
      <c r="S22" s="2"/>
      <c r="X22" s="4"/>
    </row>
    <row r="23" spans="1:24" x14ac:dyDescent="0.25">
      <c r="A23">
        <v>2029432398</v>
      </c>
      <c r="B23" t="s">
        <v>160</v>
      </c>
      <c r="E23" t="s">
        <v>58</v>
      </c>
      <c r="G23" s="5" t="s">
        <v>189</v>
      </c>
      <c r="H23" t="s">
        <v>162</v>
      </c>
      <c r="I23" t="s">
        <v>49</v>
      </c>
      <c r="J23" t="s">
        <v>193</v>
      </c>
      <c r="K23" s="1">
        <v>45821</v>
      </c>
      <c r="L23" s="1">
        <f t="shared" si="0"/>
        <v>45851</v>
      </c>
      <c r="M23" s="2">
        <v>19</v>
      </c>
      <c r="N23">
        <v>6</v>
      </c>
      <c r="O23" s="3">
        <v>0.7</v>
      </c>
      <c r="P23" s="2">
        <v>79.8</v>
      </c>
      <c r="Q23" s="6">
        <f t="shared" si="1"/>
        <v>13.299999999999999</v>
      </c>
      <c r="R23" s="2"/>
      <c r="S23" s="2"/>
      <c r="X23" s="4"/>
    </row>
    <row r="24" spans="1:24" x14ac:dyDescent="0.25">
      <c r="A24">
        <v>2029378057</v>
      </c>
      <c r="B24" t="s">
        <v>103</v>
      </c>
      <c r="E24" t="s">
        <v>70</v>
      </c>
      <c r="G24" s="5" t="s">
        <v>190</v>
      </c>
      <c r="H24" t="s">
        <v>105</v>
      </c>
      <c r="I24" t="s">
        <v>49</v>
      </c>
      <c r="J24" t="s">
        <v>193</v>
      </c>
      <c r="K24" s="1">
        <v>45820</v>
      </c>
      <c r="L24" s="1">
        <f t="shared" si="0"/>
        <v>45850</v>
      </c>
      <c r="M24" s="2">
        <v>261</v>
      </c>
      <c r="N24">
        <v>6</v>
      </c>
      <c r="O24" s="3">
        <v>0.7</v>
      </c>
      <c r="P24" s="2">
        <v>1096.2</v>
      </c>
      <c r="Q24" s="6">
        <f t="shared" si="1"/>
        <v>182.70000000000002</v>
      </c>
      <c r="R24" s="2"/>
      <c r="S24" s="2"/>
      <c r="X24" s="4"/>
    </row>
    <row r="25" spans="1:24" x14ac:dyDescent="0.25">
      <c r="A25">
        <v>2029413864</v>
      </c>
      <c r="B25" t="s">
        <v>144</v>
      </c>
      <c r="E25" t="s">
        <v>70</v>
      </c>
      <c r="G25" s="5" t="s">
        <v>190</v>
      </c>
      <c r="H25" t="s">
        <v>105</v>
      </c>
      <c r="I25" t="s">
        <v>49</v>
      </c>
      <c r="J25" t="s">
        <v>193</v>
      </c>
      <c r="K25" s="1">
        <v>45820</v>
      </c>
      <c r="L25" s="1">
        <f t="shared" si="0"/>
        <v>45850</v>
      </c>
      <c r="M25" s="2">
        <v>13</v>
      </c>
      <c r="N25">
        <v>6</v>
      </c>
      <c r="O25" s="3">
        <v>0.7</v>
      </c>
      <c r="P25" s="2">
        <v>54.6</v>
      </c>
      <c r="Q25" s="6">
        <f t="shared" si="1"/>
        <v>9.1</v>
      </c>
      <c r="R25" s="2"/>
      <c r="S25" s="2"/>
      <c r="X25" s="4"/>
    </row>
    <row r="26" spans="1:24" x14ac:dyDescent="0.25">
      <c r="A26">
        <v>2029467188</v>
      </c>
      <c r="B26" t="s">
        <v>172</v>
      </c>
      <c r="E26" t="s">
        <v>70</v>
      </c>
      <c r="G26" s="5" t="s">
        <v>186</v>
      </c>
      <c r="H26" t="s">
        <v>124</v>
      </c>
      <c r="I26" t="s">
        <v>49</v>
      </c>
      <c r="J26" t="s">
        <v>194</v>
      </c>
      <c r="K26" s="1">
        <v>45839</v>
      </c>
      <c r="L26" s="1">
        <f t="shared" si="0"/>
        <v>45870</v>
      </c>
      <c r="M26" s="2">
        <v>27.68</v>
      </c>
      <c r="N26">
        <v>6</v>
      </c>
      <c r="O26" s="3">
        <v>0.75</v>
      </c>
      <c r="P26" s="2">
        <v>124.56</v>
      </c>
      <c r="Q26" s="6">
        <f t="shared" si="1"/>
        <v>20.76</v>
      </c>
      <c r="R26" s="2"/>
      <c r="S26" s="2"/>
      <c r="X26" s="4"/>
    </row>
    <row r="27" spans="1:24" x14ac:dyDescent="0.25">
      <c r="A27">
        <v>2029456585</v>
      </c>
      <c r="B27" t="s">
        <v>169</v>
      </c>
      <c r="E27" t="s">
        <v>58</v>
      </c>
      <c r="G27" s="5" t="s">
        <v>188</v>
      </c>
      <c r="H27" t="s">
        <v>85</v>
      </c>
      <c r="I27" t="s">
        <v>49</v>
      </c>
      <c r="J27" t="s">
        <v>194</v>
      </c>
      <c r="K27" s="1">
        <v>45839</v>
      </c>
      <c r="L27" s="1">
        <f t="shared" si="0"/>
        <v>45870</v>
      </c>
      <c r="M27" s="2">
        <v>85.39</v>
      </c>
      <c r="N27">
        <v>6</v>
      </c>
      <c r="O27" s="3">
        <v>0.75</v>
      </c>
      <c r="P27" s="2">
        <v>384.26</v>
      </c>
      <c r="Q27" s="6">
        <f t="shared" si="1"/>
        <v>64.043333333333337</v>
      </c>
      <c r="R27" s="2"/>
      <c r="S27" s="2"/>
      <c r="X27" s="4"/>
    </row>
    <row r="28" spans="1:24" x14ac:dyDescent="0.25">
      <c r="A28">
        <v>2029403159</v>
      </c>
      <c r="B28" t="s">
        <v>129</v>
      </c>
      <c r="E28" t="s">
        <v>58</v>
      </c>
      <c r="G28" s="5" t="s">
        <v>182</v>
      </c>
      <c r="H28" t="s">
        <v>98</v>
      </c>
      <c r="I28" t="s">
        <v>49</v>
      </c>
      <c r="J28" t="s">
        <v>195</v>
      </c>
      <c r="K28" s="1">
        <v>45839</v>
      </c>
      <c r="L28" s="1">
        <f t="shared" si="0"/>
        <v>45870</v>
      </c>
      <c r="M28" s="2">
        <v>118.48</v>
      </c>
      <c r="N28">
        <v>6</v>
      </c>
      <c r="O28" s="3">
        <v>0.9</v>
      </c>
      <c r="P28" s="2">
        <v>639.79</v>
      </c>
      <c r="Q28" s="6">
        <f t="shared" si="1"/>
        <v>106.63166666666666</v>
      </c>
      <c r="R28" s="2"/>
      <c r="S28" s="2"/>
      <c r="X28" s="4"/>
    </row>
    <row r="29" spans="1:24" x14ac:dyDescent="0.25">
      <c r="A29">
        <v>2029369422</v>
      </c>
      <c r="B29" t="s">
        <v>96</v>
      </c>
      <c r="E29" t="s">
        <v>79</v>
      </c>
      <c r="G29" s="5" t="s">
        <v>182</v>
      </c>
      <c r="H29" t="s">
        <v>98</v>
      </c>
      <c r="I29" t="s">
        <v>49</v>
      </c>
      <c r="J29" t="s">
        <v>195</v>
      </c>
      <c r="K29" s="1">
        <v>45839</v>
      </c>
      <c r="L29" s="1">
        <f t="shared" si="0"/>
        <v>45870</v>
      </c>
      <c r="M29" s="2">
        <v>534.69000000000005</v>
      </c>
      <c r="N29">
        <v>6</v>
      </c>
      <c r="O29" s="3">
        <v>0.9</v>
      </c>
      <c r="P29" s="2">
        <v>2887.33</v>
      </c>
      <c r="Q29" s="6">
        <f t="shared" si="1"/>
        <v>481.22166666666664</v>
      </c>
      <c r="R29" s="2"/>
      <c r="S29" s="2"/>
      <c r="X29" s="4"/>
    </row>
    <row r="30" spans="1:24" x14ac:dyDescent="0.25">
      <c r="A30">
        <v>2029416124</v>
      </c>
      <c r="B30" t="s">
        <v>149</v>
      </c>
      <c r="E30" t="s">
        <v>150</v>
      </c>
      <c r="G30" s="5" t="s">
        <v>185</v>
      </c>
      <c r="H30" t="s">
        <v>152</v>
      </c>
      <c r="I30" t="s">
        <v>49</v>
      </c>
      <c r="J30" t="s">
        <v>195</v>
      </c>
      <c r="K30" s="1">
        <v>45824</v>
      </c>
      <c r="L30" s="1">
        <f t="shared" si="0"/>
        <v>45854</v>
      </c>
      <c r="M30" s="2">
        <v>39.46</v>
      </c>
      <c r="N30">
        <v>6</v>
      </c>
      <c r="O30" s="3">
        <v>0.9</v>
      </c>
      <c r="P30" s="2">
        <v>213.08</v>
      </c>
      <c r="Q30" s="6">
        <f t="shared" si="1"/>
        <v>35.513333333333335</v>
      </c>
      <c r="R30" s="2"/>
      <c r="S30" s="2"/>
      <c r="X30" s="4"/>
    </row>
    <row r="31" spans="1:24" x14ac:dyDescent="0.25">
      <c r="A31">
        <v>2029378058</v>
      </c>
      <c r="B31" t="s">
        <v>103</v>
      </c>
      <c r="E31" t="s">
        <v>70</v>
      </c>
      <c r="G31" s="5" t="s">
        <v>190</v>
      </c>
      <c r="H31" t="s">
        <v>105</v>
      </c>
      <c r="I31" t="s">
        <v>49</v>
      </c>
      <c r="J31" t="s">
        <v>196</v>
      </c>
      <c r="K31" s="1">
        <v>45820</v>
      </c>
      <c r="L31" s="1">
        <f t="shared" si="0"/>
        <v>45850</v>
      </c>
      <c r="M31" s="2">
        <v>103.75</v>
      </c>
      <c r="N31">
        <v>6</v>
      </c>
      <c r="O31" s="3">
        <v>0.9</v>
      </c>
      <c r="P31" s="2">
        <v>560.25</v>
      </c>
      <c r="Q31" s="6">
        <f t="shared" si="1"/>
        <v>93.375</v>
      </c>
      <c r="R31" s="2"/>
      <c r="S31" s="2"/>
      <c r="X31" s="4"/>
    </row>
    <row r="32" spans="1:24" x14ac:dyDescent="0.25">
      <c r="K32" s="1"/>
      <c r="M32" s="2"/>
      <c r="O32" s="3"/>
      <c r="P32" s="2"/>
      <c r="Q32" s="3"/>
      <c r="R32" s="2"/>
      <c r="S32" s="2"/>
      <c r="X32" s="4"/>
    </row>
    <row r="33" spans="11:24" x14ac:dyDescent="0.25">
      <c r="K33" s="1"/>
      <c r="M33" s="2"/>
      <c r="O33" s="3"/>
      <c r="P33" s="2"/>
      <c r="Q33" s="3"/>
      <c r="R33" s="2"/>
      <c r="S33" s="2"/>
      <c r="X33" s="4"/>
    </row>
    <row r="34" spans="11:24" x14ac:dyDescent="0.25">
      <c r="K34" s="1"/>
      <c r="M34" s="2"/>
      <c r="O34" s="3"/>
      <c r="P34" s="2"/>
      <c r="Q34" s="3"/>
      <c r="R34" s="2"/>
      <c r="S34" s="2"/>
      <c r="X34" s="4"/>
    </row>
    <row r="35" spans="11:24" x14ac:dyDescent="0.25">
      <c r="K35" s="1"/>
      <c r="M35" s="2"/>
      <c r="O35" s="3"/>
      <c r="P35" s="2"/>
      <c r="Q35" s="3"/>
      <c r="R35" s="2"/>
      <c r="S35" s="2"/>
      <c r="X35" s="4"/>
    </row>
    <row r="36" spans="11:24" x14ac:dyDescent="0.25">
      <c r="K36" s="1"/>
      <c r="M36" s="2"/>
      <c r="O36" s="3"/>
      <c r="P36" s="2"/>
      <c r="Q36" s="3"/>
      <c r="R36" s="2"/>
      <c r="S36" s="2"/>
      <c r="X36" s="4"/>
    </row>
    <row r="37" spans="11:24" x14ac:dyDescent="0.25">
      <c r="K37" s="1"/>
      <c r="M37" s="2"/>
      <c r="O37" s="3"/>
      <c r="P37" s="2"/>
      <c r="Q37" s="3"/>
      <c r="R37" s="2"/>
      <c r="S37" s="2"/>
      <c r="X37" s="4"/>
    </row>
    <row r="38" spans="11:24" x14ac:dyDescent="0.25">
      <c r="K38" s="1"/>
      <c r="M38" s="2"/>
      <c r="O38" s="3"/>
      <c r="P38" s="2"/>
      <c r="Q38" s="3"/>
      <c r="R38" s="2"/>
      <c r="S38" s="2"/>
      <c r="X38" s="4"/>
    </row>
    <row r="39" spans="11:24" x14ac:dyDescent="0.25">
      <c r="K39" s="1"/>
      <c r="M39" s="2"/>
      <c r="O39" s="3"/>
      <c r="P39" s="2"/>
      <c r="Q39" s="3"/>
      <c r="R39" s="2"/>
      <c r="S39" s="2"/>
      <c r="X39" s="4"/>
    </row>
    <row r="40" spans="11:24" x14ac:dyDescent="0.25">
      <c r="K40" s="1"/>
      <c r="M40" s="2"/>
      <c r="O40" s="3"/>
      <c r="P40" s="2"/>
      <c r="Q40" s="3"/>
      <c r="R40" s="2"/>
      <c r="S40" s="2"/>
      <c r="X40" s="4"/>
    </row>
    <row r="41" spans="11:24" x14ac:dyDescent="0.25">
      <c r="K41" s="1"/>
      <c r="M41" s="2"/>
      <c r="O41" s="3"/>
      <c r="P41" s="2"/>
      <c r="Q41" s="3"/>
      <c r="R41" s="2"/>
      <c r="S41" s="2"/>
      <c r="X41" s="4"/>
    </row>
    <row r="42" spans="11:24" x14ac:dyDescent="0.25">
      <c r="K42" s="1"/>
      <c r="M42" s="2"/>
      <c r="O42" s="3"/>
      <c r="P42" s="2"/>
      <c r="Q42" s="3"/>
      <c r="R42" s="2"/>
      <c r="S42" s="2"/>
      <c r="X42" s="4"/>
    </row>
    <row r="43" spans="11:24" x14ac:dyDescent="0.25">
      <c r="K43" s="1"/>
      <c r="M43" s="2"/>
      <c r="O43" s="3"/>
      <c r="P43" s="2"/>
      <c r="Q43" s="3"/>
      <c r="R43" s="2"/>
      <c r="S43" s="2"/>
      <c r="X43" s="4"/>
    </row>
    <row r="44" spans="11:24" x14ac:dyDescent="0.25">
      <c r="K44" s="1"/>
      <c r="M44" s="2"/>
      <c r="O44" s="3"/>
      <c r="P44" s="2"/>
      <c r="Q44" s="3"/>
      <c r="R44" s="2"/>
      <c r="S44" s="2"/>
      <c r="X44" s="4"/>
    </row>
    <row r="45" spans="11:24" x14ac:dyDescent="0.25">
      <c r="K45" s="1"/>
      <c r="M45" s="2"/>
      <c r="O45" s="3"/>
      <c r="P45" s="2"/>
      <c r="Q45" s="3"/>
      <c r="R45" s="2"/>
      <c r="S45" s="2"/>
      <c r="X45" s="4"/>
    </row>
    <row r="46" spans="11:24" x14ac:dyDescent="0.25">
      <c r="K46" s="1"/>
      <c r="S46" s="2"/>
      <c r="T46" s="2"/>
      <c r="W46" s="2"/>
    </row>
    <row r="47" spans="11:24" x14ac:dyDescent="0.25">
      <c r="K47" s="1"/>
      <c r="S47" s="2"/>
      <c r="T47" s="2"/>
      <c r="W47" s="2"/>
    </row>
    <row r="48" spans="11:24" x14ac:dyDescent="0.25">
      <c r="K48" s="1"/>
      <c r="S48" s="2"/>
      <c r="T48" s="2"/>
      <c r="W48" s="2"/>
    </row>
    <row r="49" spans="11:24" x14ac:dyDescent="0.25">
      <c r="K49" s="1"/>
      <c r="M49" s="2"/>
      <c r="O49" s="3"/>
      <c r="P49" s="2"/>
      <c r="Q49" s="3"/>
      <c r="R49" s="2"/>
      <c r="S49" s="2"/>
      <c r="X49" s="4"/>
    </row>
    <row r="50" spans="11:24" x14ac:dyDescent="0.25">
      <c r="K50" s="1"/>
      <c r="M50" s="2"/>
      <c r="O50" s="3"/>
      <c r="P50" s="2"/>
      <c r="Q50" s="3"/>
      <c r="R50" s="2"/>
      <c r="S50" s="2"/>
      <c r="X50" s="4"/>
    </row>
  </sheetData>
  <sortState xmlns:xlrd2="http://schemas.microsoft.com/office/spreadsheetml/2017/richdata2" ref="A2:AG51">
    <sortCondition ref="B2:B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649163__Newbusiness_NEW_BUSINES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2025-06-23T14:03:51Z</dcterms:created>
  <dcterms:modified xsi:type="dcterms:W3CDTF">2025-07-11T16:43:27Z</dcterms:modified>
</cp:coreProperties>
</file>