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2025\NB\6-23-25\"/>
    </mc:Choice>
  </mc:AlternateContent>
  <xr:revisionPtr revIDLastSave="0" documentId="13_ncr:1_{9023F598-1C76-4271-86E7-CC3ED26B2965}" xr6:coauthVersionLast="47" xr6:coauthVersionMax="47" xr10:uidLastSave="{00000000-0000-0000-0000-000000000000}"/>
  <bookViews>
    <workbookView xWindow="-28920" yWindow="-120" windowWidth="29040" windowHeight="15720" xr2:uid="{E17D1456-BB06-474C-A4B5-F61086F6A0F8}"/>
  </bookViews>
  <sheets>
    <sheet name="649163__Newbusiness_NEW_BUSINES" sheetId="1" r:id="rId1"/>
    <sheet name="clean sheet" sheetId="2" r:id="rId2"/>
    <sheet name="Sheet2" sheetId="3" r:id="rId3"/>
  </sheets>
  <definedNames>
    <definedName name="_xlnm._FilterDatabase" localSheetId="0" hidden="1">'649163__Newbusiness_NEW_BUSINES'!$A$1:$AL$62</definedName>
    <definedName name="_xlnm._FilterDatabase" localSheetId="1" hidden="1">'clean sheet'!$A$1:$Q$35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2" l="1"/>
  <c r="Q3" i="2"/>
  <c r="Q4" i="2"/>
  <c r="Q5" i="2"/>
  <c r="Q8" i="2"/>
  <c r="Q10" i="2"/>
  <c r="Q7" i="2"/>
  <c r="Q9" i="2"/>
  <c r="Q11" i="2"/>
  <c r="Q12" i="2"/>
  <c r="Q14" i="2"/>
  <c r="Q13" i="2"/>
  <c r="Q15" i="2"/>
  <c r="Q17" i="2"/>
  <c r="Q16" i="2"/>
  <c r="Q18" i="2"/>
  <c r="Q20" i="2"/>
  <c r="Q19" i="2"/>
  <c r="Q21" i="2"/>
  <c r="Q22" i="2"/>
  <c r="Q25" i="2"/>
  <c r="Q23" i="2"/>
  <c r="Q24" i="2"/>
  <c r="Q26" i="2"/>
  <c r="Q29" i="2"/>
  <c r="Q30" i="2"/>
  <c r="Q27" i="2"/>
  <c r="Q28" i="2"/>
  <c r="Q31" i="2"/>
  <c r="Q32" i="2"/>
  <c r="Q34" i="2"/>
  <c r="Q35" i="2"/>
  <c r="Q33" i="2"/>
  <c r="Q2" i="2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1" i="3"/>
</calcChain>
</file>

<file path=xl/sharedStrings.xml><?xml version="1.0" encoding="utf-8"?>
<sst xmlns="http://schemas.openxmlformats.org/spreadsheetml/2006/main" count="1056" uniqueCount="142">
  <si>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</si>
  <si>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</si>
  <si>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</si>
  <si>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</si>
  <si>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</si>
  <si>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</si>
  <si>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</si>
  <si>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</si>
  <si>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</si>
  <si>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</si>
  <si>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</si>
  <si>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</si>
  <si>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</si>
  <si>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</si>
  <si>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</si>
  <si>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</si>
  <si>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</si>
  <si>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</si>
  <si>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</si>
  <si>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</si>
  <si>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</si>
  <si>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</si>
  <si>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</si>
  <si>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</si>
  <si>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</si>
  <si>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</si>
  <si>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</si>
  <si>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</si>
  <si>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</si>
  <si>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</si>
  <si>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</si>
  <si>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</si>
  <si>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</si>
  <si>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</si>
  <si>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</si>
  <si>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</si>
  <si>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</si>
  <si>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</si>
  <si>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</si>
  <si>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NGIS</t>
  </si>
  <si>
    <t>NGIS-NHIC</t>
  </si>
  <si>
    <t>JASON HOFFMANN</t>
  </si>
  <si>
    <t>ANNETTE COMPTON</t>
  </si>
  <si>
    <t>TX</t>
  </si>
  <si>
    <t>KIRK TIGUE</t>
  </si>
  <si>
    <t>Active</t>
  </si>
  <si>
    <t>SELECT DENTAL 29304</t>
  </si>
  <si>
    <t>Monthly</t>
  </si>
  <si>
    <t>AV</t>
  </si>
  <si>
    <t>[NOADMINFEE]</t>
  </si>
  <si>
    <t>Plan Enhancer 20214</t>
  </si>
  <si>
    <t>AMBER FLATT</t>
  </si>
  <si>
    <t>IN</t>
  </si>
  <si>
    <t>MARSHA SANDEROCK</t>
  </si>
  <si>
    <t>TANJA JUKIC</t>
  </si>
  <si>
    <t>IL</t>
  </si>
  <si>
    <t>ANDREW CHOI</t>
  </si>
  <si>
    <t>Allstate Health Access</t>
  </si>
  <si>
    <t>Allstate Recuro RX Discount Card</t>
  </si>
  <si>
    <t>Life Association Access</t>
  </si>
  <si>
    <t>AV6</t>
  </si>
  <si>
    <t>BRIAN LEES</t>
  </si>
  <si>
    <t>PA</t>
  </si>
  <si>
    <t>PETER RICHTER</t>
  </si>
  <si>
    <t>TrioMED Accident and CI 14939</t>
  </si>
  <si>
    <t>TAYLOR HAYDEN</t>
  </si>
  <si>
    <t>FRANK LISKOVEC</t>
  </si>
  <si>
    <t>OYUNTSETSEG GANBOLD</t>
  </si>
  <si>
    <t>NASANDELGER ZANA</t>
  </si>
  <si>
    <t>Term Life 21673</t>
  </si>
  <si>
    <t>ANAND DAMBADARJAA</t>
  </si>
  <si>
    <t>Dental Indemnity 21618</t>
  </si>
  <si>
    <t>LEANNE BONGIORNO</t>
  </si>
  <si>
    <t>STEVEN WERNER</t>
  </si>
  <si>
    <t>CARLOS SR.</t>
  </si>
  <si>
    <t>FL</t>
  </si>
  <si>
    <t>JARED KINYUA</t>
  </si>
  <si>
    <t>MIRANDA APFEL</t>
  </si>
  <si>
    <t>JAKE SHULMAN</t>
  </si>
  <si>
    <t>RYAN CALTAGIRONE</t>
  </si>
  <si>
    <t>Cancer and Heart/Stroke GI 20231</t>
  </si>
  <si>
    <t>KEVIN VANRIXEL</t>
  </si>
  <si>
    <t>WI</t>
  </si>
  <si>
    <t>RICHARD YALE</t>
  </si>
  <si>
    <t>TROY JENNINGS</t>
  </si>
  <si>
    <t>TERESA MODOFF</t>
  </si>
  <si>
    <t>CHAD YALE</t>
  </si>
  <si>
    <t>STEVEN STOUT</t>
  </si>
  <si>
    <t>UT</t>
  </si>
  <si>
    <t>ELISABETH DELEONARDIS</t>
  </si>
  <si>
    <t>GARY PORTUGAL</t>
  </si>
  <si>
    <t>GANGESH DIMRI</t>
  </si>
  <si>
    <t>JOSEPH BIZZIERI</t>
  </si>
  <si>
    <t>Critical Illness w/ Term Life 21677</t>
  </si>
  <si>
    <t>MELANIE EDWARDS</t>
  </si>
  <si>
    <t>JACOB YALE</t>
  </si>
  <si>
    <t>BYAMBATULKHUUR ULZIIKHUTGA</t>
  </si>
  <si>
    <t>GUY HEBERLING</t>
  </si>
  <si>
    <t>MI</t>
  </si>
  <si>
    <t>CHRISTIAN TAUGNER</t>
  </si>
  <si>
    <t>ANDREA PETRUNGARO</t>
  </si>
  <si>
    <t>SHANNON WRIGHT</t>
  </si>
  <si>
    <t>BRIAN NEWTON</t>
  </si>
  <si>
    <t>IA</t>
  </si>
  <si>
    <t>GREGG HOEPFNER</t>
  </si>
  <si>
    <t>MD</t>
  </si>
  <si>
    <t>RONALD MAX</t>
  </si>
  <si>
    <t>JOSEPH MORRIS</t>
  </si>
  <si>
    <t>VA</t>
  </si>
  <si>
    <t>MATTHEW DAUGHERTY</t>
  </si>
  <si>
    <t>NHIC STM PPO VA</t>
  </si>
  <si>
    <t>AV3</t>
  </si>
  <si>
    <t>Life Assoc D Renewable OH</t>
  </si>
  <si>
    <t>JAKOB OGLESBY</t>
  </si>
  <si>
    <t>CRYSTAL PINA</t>
  </si>
  <si>
    <t>THOMAS PARDUE</t>
  </si>
  <si>
    <t>CARLOS CHAVEZ</t>
  </si>
  <si>
    <t>JOSE TORRES</t>
  </si>
  <si>
    <t>My LIFE Wellness 21038</t>
  </si>
  <si>
    <t>CB</t>
  </si>
  <si>
    <t>JENNIFER JACKSON</t>
  </si>
  <si>
    <t>CHRISTOPHER BROUSSEAU</t>
  </si>
  <si>
    <t>CHARGEBACK</t>
  </si>
  <si>
    <t>AE</t>
  </si>
  <si>
    <t>16912722AV6</t>
  </si>
  <si>
    <t>7470776AV6</t>
  </si>
  <si>
    <t>19681796AV6</t>
  </si>
  <si>
    <t>8814784AV6</t>
  </si>
  <si>
    <t>18201929AV6</t>
  </si>
  <si>
    <t>20212926AV6</t>
  </si>
  <si>
    <t>21421111AV6</t>
  </si>
  <si>
    <t>20220688AV6</t>
  </si>
  <si>
    <t>16509456AV6</t>
  </si>
  <si>
    <t>16633294AV6</t>
  </si>
  <si>
    <t>19481808AV6</t>
  </si>
  <si>
    <t>371819AV6</t>
  </si>
  <si>
    <t>AS Plan Enhancer 20214</t>
  </si>
  <si>
    <t>NHIC LM 2021 Hos Exp U65</t>
  </si>
  <si>
    <t>Cancer and Heart-Stroke 20231</t>
  </si>
  <si>
    <t>AS SELECT DENTAL 29304</t>
  </si>
  <si>
    <t>Critical Illness with Term Life 21677</t>
  </si>
  <si>
    <t>My Life Wellness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</si>
</sst>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11" fontId="0" fillId="0" borderId="0" xfId="0" applyNumberFormat="1"/>
    <xf numFmtId="0" fontId="0" fillId="0" borderId="0" xfId="0" applyAlignment="1">
      <alignment horizontal="right"/>
    </xf>
    <xf numFmtId="0" fontId="0" fillId="33" borderId="0" xfId="0" applyFill="1"/>
    <xf numFmtId="0" fontId="0" fillId="33" borderId="0" xfId="0" applyFill="1" applyAlignment="1">
      <alignment horizontal="right"/>
    </xf>
    <xf numFmtId="14" fontId="0" fillId="33" borderId="0" xfId="0" applyNumberFormat="1" applyFill="1"/>
    <xf numFmtId="8" fontId="0" fillId="33" borderId="0" xfId="0" applyNumberFormat="1" applyFill="1"/>
    <xf numFmtId="10" fontId="0" fillId="33" borderId="0" xfId="0" applyNumberFormat="1" applyFill="1"/>
    <xf numFmtId="14" fontId="0" fillId="34" borderId="0" xfId="0" applyNumberFormat="1" applyFill="1"/>
    <xf numFmtId="0" fontId="0" fillId="34" borderId="0" xfId="0" applyFill="1"/>
    <xf numFmtId="8" fontId="0" fillId="34" borderId="0" xfId="0" applyNumberFormat="1" applyFill="1"/>
    <xf numFmtId="10" fontId="0" fillId="34" borderId="0" xfId="0" applyNumberFormat="1" applyFill="1"/>
    <xf numFmtId="11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BF123-F892-4A20-A901-B8DAF44B15E9}">
  <dimension ref="A1:AL62"/>
  <sheetViews>
    <sheetView tabSelected="1" topLeftCell="F7" workbookViewId="0">
      <selection activeCell="F34" sqref="A34:XFD35"/>
    </sheetView>
  </sheetViews>
  <sheetFormatPr defaultRowHeight="15" x14ac:dyDescent="0.25"/>
  <cols>
    <col min="9" max="9" width="14" bestFit="1" customWidth="1"/>
    <col min="10" max="10" width="30" bestFit="1" customWidth="1"/>
    <col min="16" max="16" width="24.4257812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45835</v>
      </c>
      <c r="B2" s="1">
        <v>45831</v>
      </c>
      <c r="C2" t="s">
        <v>38</v>
      </c>
      <c r="D2" t="s">
        <v>39</v>
      </c>
      <c r="E2" t="s">
        <v>40</v>
      </c>
      <c r="F2">
        <v>649163</v>
      </c>
      <c r="G2">
        <v>20411454</v>
      </c>
      <c r="H2" t="s">
        <v>41</v>
      </c>
      <c r="I2">
        <v>2029546224</v>
      </c>
      <c r="J2" t="s">
        <v>100</v>
      </c>
      <c r="M2" t="s">
        <v>55</v>
      </c>
      <c r="O2">
        <v>768887</v>
      </c>
      <c r="P2" t="s">
        <v>100</v>
      </c>
      <c r="Q2" t="s">
        <v>45</v>
      </c>
      <c r="R2" t="s">
        <v>50</v>
      </c>
      <c r="S2" s="1">
        <v>45828</v>
      </c>
      <c r="U2" t="s">
        <v>47</v>
      </c>
      <c r="X2" t="s">
        <v>48</v>
      </c>
      <c r="Y2" s="2">
        <v>118</v>
      </c>
      <c r="Z2" s="2">
        <v>118</v>
      </c>
      <c r="AA2">
        <v>6</v>
      </c>
      <c r="AB2" s="3">
        <v>0.7</v>
      </c>
      <c r="AC2" s="2">
        <v>495.6</v>
      </c>
      <c r="AD2" s="3">
        <v>0</v>
      </c>
      <c r="AE2" s="2">
        <v>0</v>
      </c>
      <c r="AF2" s="2">
        <v>495.6</v>
      </c>
      <c r="AK2" s="4">
        <v>19055880</v>
      </c>
      <c r="AL2" t="s">
        <v>49</v>
      </c>
    </row>
    <row r="3" spans="1:38" x14ac:dyDescent="0.25">
      <c r="A3" s="1">
        <v>45835</v>
      </c>
      <c r="B3" s="1">
        <v>45831</v>
      </c>
      <c r="C3" t="s">
        <v>38</v>
      </c>
      <c r="D3" t="s">
        <v>39</v>
      </c>
      <c r="E3" t="s">
        <v>40</v>
      </c>
      <c r="F3">
        <v>649163</v>
      </c>
      <c r="G3">
        <v>20411454</v>
      </c>
      <c r="H3" t="s">
        <v>41</v>
      </c>
      <c r="I3">
        <v>2029486074</v>
      </c>
      <c r="J3" t="s">
        <v>54</v>
      </c>
      <c r="M3" t="s">
        <v>55</v>
      </c>
      <c r="O3">
        <v>824062</v>
      </c>
      <c r="P3" t="s">
        <v>56</v>
      </c>
      <c r="Q3" t="s">
        <v>45</v>
      </c>
      <c r="R3" t="s">
        <v>50</v>
      </c>
      <c r="S3" s="1">
        <v>45825</v>
      </c>
      <c r="U3" t="s">
        <v>47</v>
      </c>
      <c r="X3" t="s">
        <v>48</v>
      </c>
      <c r="Y3" s="2">
        <v>34.68</v>
      </c>
      <c r="Z3" s="2">
        <v>34.68</v>
      </c>
      <c r="AA3">
        <v>6</v>
      </c>
      <c r="AB3" s="3">
        <v>0.7</v>
      </c>
      <c r="AC3" s="2">
        <v>145.66</v>
      </c>
      <c r="AD3" s="3">
        <v>0</v>
      </c>
      <c r="AE3" s="2">
        <v>0</v>
      </c>
      <c r="AF3" s="2">
        <v>145.66</v>
      </c>
      <c r="AK3" s="4">
        <v>19055400</v>
      </c>
      <c r="AL3" t="s">
        <v>49</v>
      </c>
    </row>
    <row r="4" spans="1:38" s="12" customFormat="1" x14ac:dyDescent="0.25">
      <c r="A4" s="1">
        <v>45835</v>
      </c>
      <c r="B4" s="1">
        <v>45831</v>
      </c>
      <c r="C4" t="s">
        <v>38</v>
      </c>
      <c r="D4" t="s">
        <v>39</v>
      </c>
      <c r="E4" t="s">
        <v>40</v>
      </c>
      <c r="F4">
        <v>649163</v>
      </c>
      <c r="G4">
        <v>20411454</v>
      </c>
      <c r="H4" t="s">
        <v>41</v>
      </c>
      <c r="I4">
        <v>2029486075</v>
      </c>
      <c r="J4" t="s">
        <v>54</v>
      </c>
      <c r="K4"/>
      <c r="L4"/>
      <c r="M4" t="s">
        <v>55</v>
      </c>
      <c r="N4"/>
      <c r="O4">
        <v>824062</v>
      </c>
      <c r="P4" t="s">
        <v>56</v>
      </c>
      <c r="Q4" t="s">
        <v>45</v>
      </c>
      <c r="R4" t="s">
        <v>57</v>
      </c>
      <c r="S4" s="1">
        <v>45825</v>
      </c>
      <c r="T4"/>
      <c r="U4" t="s">
        <v>47</v>
      </c>
      <c r="V4"/>
      <c r="W4"/>
      <c r="X4" t="s">
        <v>48</v>
      </c>
      <c r="Y4" s="2">
        <v>139</v>
      </c>
      <c r="Z4" s="2">
        <v>139</v>
      </c>
      <c r="AA4">
        <v>6</v>
      </c>
      <c r="AB4" s="3">
        <v>0.38</v>
      </c>
      <c r="AC4" s="2">
        <v>316.92</v>
      </c>
      <c r="AD4" s="3">
        <v>0</v>
      </c>
      <c r="AE4" s="2">
        <v>0</v>
      </c>
      <c r="AF4" s="2">
        <v>316.92</v>
      </c>
      <c r="AG4"/>
      <c r="AH4"/>
      <c r="AI4"/>
      <c r="AJ4"/>
      <c r="AK4" s="4">
        <v>19055400</v>
      </c>
      <c r="AL4" t="s">
        <v>49</v>
      </c>
    </row>
    <row r="5" spans="1:38" s="12" customFormat="1" x14ac:dyDescent="0.25">
      <c r="A5" s="1">
        <v>45835</v>
      </c>
      <c r="B5" s="1">
        <v>45831</v>
      </c>
      <c r="C5" t="s">
        <v>38</v>
      </c>
      <c r="D5" t="s">
        <v>39</v>
      </c>
      <c r="E5" t="s">
        <v>40</v>
      </c>
      <c r="F5">
        <v>649163</v>
      </c>
      <c r="G5">
        <v>20411454</v>
      </c>
      <c r="H5" t="s">
        <v>41</v>
      </c>
      <c r="I5">
        <v>2029486076</v>
      </c>
      <c r="J5" t="s">
        <v>54</v>
      </c>
      <c r="K5"/>
      <c r="L5"/>
      <c r="M5" t="s">
        <v>55</v>
      </c>
      <c r="N5"/>
      <c r="O5">
        <v>824062</v>
      </c>
      <c r="P5" t="s">
        <v>56</v>
      </c>
      <c r="Q5" t="s">
        <v>45</v>
      </c>
      <c r="R5" t="s">
        <v>58</v>
      </c>
      <c r="S5" s="1">
        <v>45825</v>
      </c>
      <c r="T5"/>
      <c r="U5" t="s">
        <v>47</v>
      </c>
      <c r="V5"/>
      <c r="W5"/>
      <c r="X5" t="s">
        <v>48</v>
      </c>
      <c r="Y5" s="2">
        <v>7.09</v>
      </c>
      <c r="Z5" s="2">
        <v>7.09</v>
      </c>
      <c r="AA5">
        <v>6</v>
      </c>
      <c r="AB5" s="3">
        <v>0.38</v>
      </c>
      <c r="AC5" s="2">
        <v>16.170000000000002</v>
      </c>
      <c r="AD5" s="3">
        <v>0</v>
      </c>
      <c r="AE5" s="2">
        <v>0</v>
      </c>
      <c r="AF5" s="2">
        <v>16.170000000000002</v>
      </c>
      <c r="AG5"/>
      <c r="AH5"/>
      <c r="AI5"/>
      <c r="AJ5"/>
      <c r="AK5" s="4">
        <v>19070280</v>
      </c>
      <c r="AL5" t="s">
        <v>49</v>
      </c>
    </row>
    <row r="6" spans="1:38" x14ac:dyDescent="0.25">
      <c r="A6" s="1">
        <v>45835</v>
      </c>
      <c r="B6" s="1">
        <v>45831</v>
      </c>
      <c r="C6" t="s">
        <v>38</v>
      </c>
      <c r="D6" t="s">
        <v>39</v>
      </c>
      <c r="E6" t="s">
        <v>40</v>
      </c>
      <c r="F6">
        <v>649163</v>
      </c>
      <c r="G6">
        <v>20411454</v>
      </c>
      <c r="H6" t="s">
        <v>41</v>
      </c>
      <c r="I6">
        <v>2029486077</v>
      </c>
      <c r="J6" t="s">
        <v>54</v>
      </c>
      <c r="M6" t="s">
        <v>55</v>
      </c>
      <c r="O6">
        <v>824062</v>
      </c>
      <c r="P6" t="s">
        <v>56</v>
      </c>
      <c r="Q6" t="s">
        <v>45</v>
      </c>
      <c r="R6" t="s">
        <v>59</v>
      </c>
      <c r="S6" s="1">
        <v>45825</v>
      </c>
      <c r="U6" t="s">
        <v>47</v>
      </c>
      <c r="X6" t="s">
        <v>60</v>
      </c>
      <c r="Y6" s="2">
        <v>15</v>
      </c>
      <c r="Z6" s="2">
        <v>15</v>
      </c>
      <c r="AA6">
        <v>6</v>
      </c>
      <c r="AB6" s="3">
        <v>0.38</v>
      </c>
      <c r="AC6" s="2">
        <v>34.200000000000003</v>
      </c>
      <c r="AD6" s="3">
        <v>0</v>
      </c>
      <c r="AE6" s="2">
        <v>0</v>
      </c>
      <c r="AF6" s="2">
        <v>34.200000000000003</v>
      </c>
      <c r="AK6" s="4">
        <v>19061510</v>
      </c>
      <c r="AL6" t="s">
        <v>49</v>
      </c>
    </row>
    <row r="7" spans="1:38" x14ac:dyDescent="0.25">
      <c r="A7" s="1">
        <v>45835</v>
      </c>
      <c r="B7" s="1">
        <v>45831</v>
      </c>
      <c r="C7" t="s">
        <v>38</v>
      </c>
      <c r="D7" t="s">
        <v>39</v>
      </c>
      <c r="E7" t="s">
        <v>40</v>
      </c>
      <c r="F7">
        <v>649163</v>
      </c>
      <c r="G7">
        <v>20411454</v>
      </c>
      <c r="H7" t="s">
        <v>41</v>
      </c>
      <c r="I7">
        <v>2029544666</v>
      </c>
      <c r="J7" t="s">
        <v>97</v>
      </c>
      <c r="M7" t="s">
        <v>98</v>
      </c>
      <c r="O7">
        <v>813184</v>
      </c>
      <c r="P7" t="s">
        <v>99</v>
      </c>
      <c r="Q7" t="s">
        <v>45</v>
      </c>
      <c r="R7" t="s">
        <v>50</v>
      </c>
      <c r="S7" s="1">
        <v>45828</v>
      </c>
      <c r="U7" t="s">
        <v>47</v>
      </c>
      <c r="X7" t="s">
        <v>48</v>
      </c>
      <c r="Y7" s="2">
        <v>28.87</v>
      </c>
      <c r="Z7" s="2">
        <v>28.87</v>
      </c>
      <c r="AA7">
        <v>6</v>
      </c>
      <c r="AB7" s="3">
        <v>0.7</v>
      </c>
      <c r="AC7" s="2">
        <v>121.25</v>
      </c>
      <c r="AD7" s="3">
        <v>0</v>
      </c>
      <c r="AE7" s="2">
        <v>0</v>
      </c>
      <c r="AF7" s="2">
        <v>121.25</v>
      </c>
      <c r="AK7" s="4">
        <v>19055870</v>
      </c>
      <c r="AL7" t="s">
        <v>49</v>
      </c>
    </row>
    <row r="8" spans="1:38" x14ac:dyDescent="0.25">
      <c r="A8" s="1">
        <v>45835</v>
      </c>
      <c r="B8" s="1">
        <v>45831</v>
      </c>
      <c r="C8" t="s">
        <v>38</v>
      </c>
      <c r="D8" t="s">
        <v>39</v>
      </c>
      <c r="E8" t="s">
        <v>40</v>
      </c>
      <c r="F8">
        <v>649163</v>
      </c>
      <c r="G8">
        <v>20411454</v>
      </c>
      <c r="H8" t="s">
        <v>41</v>
      </c>
      <c r="I8">
        <v>2029544667</v>
      </c>
      <c r="J8" t="s">
        <v>97</v>
      </c>
      <c r="M8" t="s">
        <v>98</v>
      </c>
      <c r="O8">
        <v>813184</v>
      </c>
      <c r="P8" t="s">
        <v>99</v>
      </c>
      <c r="Q8" t="s">
        <v>45</v>
      </c>
      <c r="R8" t="s">
        <v>80</v>
      </c>
      <c r="S8" s="1">
        <v>45828</v>
      </c>
      <c r="U8" t="s">
        <v>47</v>
      </c>
      <c r="X8" t="s">
        <v>48</v>
      </c>
      <c r="Y8" s="2">
        <v>76.900000000000006</v>
      </c>
      <c r="Z8" s="2">
        <v>76.900000000000006</v>
      </c>
      <c r="AA8">
        <v>6</v>
      </c>
      <c r="AB8" s="3">
        <v>0.75</v>
      </c>
      <c r="AC8" s="2">
        <v>346.05</v>
      </c>
      <c r="AD8" s="3">
        <v>0</v>
      </c>
      <c r="AE8" s="2">
        <v>0</v>
      </c>
      <c r="AF8" s="2">
        <v>346.05</v>
      </c>
      <c r="AK8" s="4">
        <v>19063820</v>
      </c>
      <c r="AL8" t="s">
        <v>49</v>
      </c>
    </row>
    <row r="9" spans="1:38" x14ac:dyDescent="0.25">
      <c r="A9" s="1">
        <v>45835</v>
      </c>
      <c r="B9" s="1">
        <v>45831</v>
      </c>
      <c r="C9" t="s">
        <v>38</v>
      </c>
      <c r="D9" t="s">
        <v>39</v>
      </c>
      <c r="E9" t="s">
        <v>40</v>
      </c>
      <c r="F9">
        <v>649163</v>
      </c>
      <c r="G9">
        <v>20411454</v>
      </c>
      <c r="H9" t="s">
        <v>41</v>
      </c>
      <c r="I9">
        <v>2029566674</v>
      </c>
      <c r="J9" t="s">
        <v>113</v>
      </c>
      <c r="M9" t="s">
        <v>82</v>
      </c>
      <c r="O9">
        <v>813184</v>
      </c>
      <c r="P9" t="s">
        <v>99</v>
      </c>
      <c r="Q9" t="s">
        <v>45</v>
      </c>
      <c r="R9" t="s">
        <v>46</v>
      </c>
      <c r="S9" s="1">
        <v>45829</v>
      </c>
      <c r="U9" t="s">
        <v>47</v>
      </c>
      <c r="X9" t="s">
        <v>48</v>
      </c>
      <c r="Y9" s="2">
        <v>18.64</v>
      </c>
      <c r="Z9" s="2">
        <v>18.64</v>
      </c>
      <c r="AA9">
        <v>6</v>
      </c>
      <c r="AB9" s="3">
        <v>0.375</v>
      </c>
      <c r="AC9" s="2">
        <v>41.94</v>
      </c>
      <c r="AD9" s="3">
        <v>0</v>
      </c>
      <c r="AE9" s="2">
        <v>0</v>
      </c>
      <c r="AF9" s="2">
        <v>41.94</v>
      </c>
      <c r="AK9" s="4">
        <v>19069970</v>
      </c>
      <c r="AL9" t="s">
        <v>49</v>
      </c>
    </row>
    <row r="10" spans="1:38" x14ac:dyDescent="0.25">
      <c r="A10" s="1">
        <v>45835</v>
      </c>
      <c r="B10" s="1">
        <v>45831</v>
      </c>
      <c r="C10" t="s">
        <v>38</v>
      </c>
      <c r="D10" t="s">
        <v>39</v>
      </c>
      <c r="E10" t="s">
        <v>40</v>
      </c>
      <c r="F10">
        <v>649163</v>
      </c>
      <c r="G10">
        <v>20411454</v>
      </c>
      <c r="H10" t="s">
        <v>41</v>
      </c>
      <c r="I10">
        <v>2029566675</v>
      </c>
      <c r="J10" t="s">
        <v>113</v>
      </c>
      <c r="M10" t="s">
        <v>82</v>
      </c>
      <c r="O10">
        <v>813184</v>
      </c>
      <c r="P10" t="s">
        <v>99</v>
      </c>
      <c r="Q10" t="s">
        <v>45</v>
      </c>
      <c r="R10" t="s">
        <v>50</v>
      </c>
      <c r="S10" s="1">
        <v>45829</v>
      </c>
      <c r="U10" t="s">
        <v>47</v>
      </c>
      <c r="X10" t="s">
        <v>48</v>
      </c>
      <c r="Y10" s="2">
        <v>18.37</v>
      </c>
      <c r="Z10" s="2">
        <v>18.37</v>
      </c>
      <c r="AA10">
        <v>6</v>
      </c>
      <c r="AB10" s="3">
        <v>0.7</v>
      </c>
      <c r="AC10" s="2">
        <v>77.150000000000006</v>
      </c>
      <c r="AD10" s="3">
        <v>0</v>
      </c>
      <c r="AE10" s="2">
        <v>0</v>
      </c>
      <c r="AF10" s="2">
        <v>77.150000000000006</v>
      </c>
      <c r="AK10" s="4">
        <v>19055980</v>
      </c>
      <c r="AL10" t="s">
        <v>49</v>
      </c>
    </row>
    <row r="11" spans="1:38" x14ac:dyDescent="0.25">
      <c r="A11" s="1">
        <v>45835</v>
      </c>
      <c r="B11" s="1">
        <v>45831</v>
      </c>
      <c r="C11" t="s">
        <v>119</v>
      </c>
      <c r="D11" t="s">
        <v>39</v>
      </c>
      <c r="E11" t="s">
        <v>40</v>
      </c>
      <c r="F11">
        <v>649163</v>
      </c>
      <c r="G11">
        <v>20411454</v>
      </c>
      <c r="H11" t="s">
        <v>41</v>
      </c>
      <c r="I11">
        <v>2029287494</v>
      </c>
      <c r="J11" t="s">
        <v>120</v>
      </c>
      <c r="M11" t="s">
        <v>43</v>
      </c>
      <c r="O11">
        <v>822733</v>
      </c>
      <c r="P11" t="s">
        <v>121</v>
      </c>
      <c r="Q11" t="s">
        <v>122</v>
      </c>
      <c r="R11" t="s">
        <v>50</v>
      </c>
      <c r="S11" s="1">
        <v>45824</v>
      </c>
      <c r="U11" t="s">
        <v>47</v>
      </c>
      <c r="X11" t="s">
        <v>123</v>
      </c>
      <c r="AF11" s="2">
        <v>204.79</v>
      </c>
      <c r="AG11" s="2">
        <v>0</v>
      </c>
      <c r="AJ11" s="2">
        <v>204.79</v>
      </c>
    </row>
    <row r="12" spans="1:38" x14ac:dyDescent="0.25">
      <c r="A12" s="1">
        <v>45835</v>
      </c>
      <c r="B12" s="1">
        <v>45831</v>
      </c>
      <c r="C12" t="s">
        <v>38</v>
      </c>
      <c r="D12" t="s">
        <v>39</v>
      </c>
      <c r="E12" t="s">
        <v>40</v>
      </c>
      <c r="F12">
        <v>649163</v>
      </c>
      <c r="G12">
        <v>20411454</v>
      </c>
      <c r="H12" t="s">
        <v>41</v>
      </c>
      <c r="I12">
        <v>2029488053</v>
      </c>
      <c r="J12" t="s">
        <v>65</v>
      </c>
      <c r="M12" t="s">
        <v>55</v>
      </c>
      <c r="O12">
        <v>814033</v>
      </c>
      <c r="P12" t="s">
        <v>66</v>
      </c>
      <c r="Q12" t="s">
        <v>45</v>
      </c>
      <c r="R12" t="s">
        <v>46</v>
      </c>
      <c r="S12" s="1">
        <v>45839</v>
      </c>
      <c r="U12" t="s">
        <v>47</v>
      </c>
      <c r="X12" t="s">
        <v>48</v>
      </c>
      <c r="Y12" s="2">
        <v>33.020000000000003</v>
      </c>
      <c r="Z12" s="2">
        <v>33.020000000000003</v>
      </c>
      <c r="AA12">
        <v>6</v>
      </c>
      <c r="AB12" s="3">
        <v>0.375</v>
      </c>
      <c r="AC12" s="2">
        <v>74.3</v>
      </c>
      <c r="AD12" s="3">
        <v>0</v>
      </c>
      <c r="AE12" s="2">
        <v>0</v>
      </c>
      <c r="AF12" s="2">
        <v>74.3</v>
      </c>
      <c r="AK12" s="4">
        <v>19069280</v>
      </c>
      <c r="AL12" t="s">
        <v>49</v>
      </c>
    </row>
    <row r="13" spans="1:38" x14ac:dyDescent="0.25">
      <c r="A13" s="1">
        <v>45835</v>
      </c>
      <c r="B13" s="1">
        <v>45831</v>
      </c>
      <c r="C13" t="s">
        <v>38</v>
      </c>
      <c r="D13" t="s">
        <v>39</v>
      </c>
      <c r="E13" t="s">
        <v>40</v>
      </c>
      <c r="F13">
        <v>649163</v>
      </c>
      <c r="G13">
        <v>20411454</v>
      </c>
      <c r="H13" t="s">
        <v>41</v>
      </c>
      <c r="I13">
        <v>2029524903</v>
      </c>
      <c r="J13" t="s">
        <v>89</v>
      </c>
      <c r="M13" t="s">
        <v>55</v>
      </c>
      <c r="O13">
        <v>812656</v>
      </c>
      <c r="P13" t="s">
        <v>90</v>
      </c>
      <c r="Q13" t="s">
        <v>45</v>
      </c>
      <c r="R13" t="s">
        <v>50</v>
      </c>
      <c r="S13" s="1">
        <v>45839</v>
      </c>
      <c r="U13" t="s">
        <v>47</v>
      </c>
      <c r="X13" t="s">
        <v>48</v>
      </c>
      <c r="Y13" s="2">
        <v>23.85</v>
      </c>
      <c r="Z13" s="2">
        <v>23.85</v>
      </c>
      <c r="AA13">
        <v>6</v>
      </c>
      <c r="AB13" s="3">
        <v>0.7</v>
      </c>
      <c r="AC13" s="2">
        <v>100.17</v>
      </c>
      <c r="AD13" s="3">
        <v>0</v>
      </c>
      <c r="AE13" s="2">
        <v>0</v>
      </c>
      <c r="AF13" s="2">
        <v>100.17</v>
      </c>
      <c r="AK13" s="4">
        <v>19055700</v>
      </c>
      <c r="AL13" t="s">
        <v>49</v>
      </c>
    </row>
    <row r="14" spans="1:38" x14ac:dyDescent="0.25">
      <c r="A14" s="1">
        <v>45835</v>
      </c>
      <c r="B14" s="1">
        <v>45831</v>
      </c>
      <c r="C14" t="s">
        <v>38</v>
      </c>
      <c r="D14" t="s">
        <v>39</v>
      </c>
      <c r="E14" t="s">
        <v>40</v>
      </c>
      <c r="F14">
        <v>649163</v>
      </c>
      <c r="G14">
        <v>20411454</v>
      </c>
      <c r="H14" t="s">
        <v>41</v>
      </c>
      <c r="I14">
        <v>2029540826</v>
      </c>
      <c r="J14" t="s">
        <v>94</v>
      </c>
      <c r="M14" t="s">
        <v>55</v>
      </c>
      <c r="O14">
        <v>812782</v>
      </c>
      <c r="P14" t="s">
        <v>95</v>
      </c>
      <c r="Q14" t="s">
        <v>45</v>
      </c>
      <c r="R14" t="s">
        <v>46</v>
      </c>
      <c r="S14" s="1">
        <v>45828</v>
      </c>
      <c r="U14" t="s">
        <v>47</v>
      </c>
      <c r="X14" t="s">
        <v>48</v>
      </c>
      <c r="Y14" s="2">
        <v>106.78</v>
      </c>
      <c r="Z14" s="2">
        <v>106.78</v>
      </c>
      <c r="AA14">
        <v>6</v>
      </c>
      <c r="AB14" s="3">
        <v>0.375</v>
      </c>
      <c r="AC14" s="2">
        <v>240.26</v>
      </c>
      <c r="AD14" s="3">
        <v>0</v>
      </c>
      <c r="AE14" s="2">
        <v>0</v>
      </c>
      <c r="AF14" s="2">
        <v>240.26</v>
      </c>
      <c r="AK14" s="4">
        <v>19069760</v>
      </c>
      <c r="AL14" t="s">
        <v>49</v>
      </c>
    </row>
    <row r="15" spans="1:38" x14ac:dyDescent="0.25">
      <c r="A15" s="1">
        <v>45835</v>
      </c>
      <c r="B15" s="1">
        <v>45831</v>
      </c>
      <c r="C15" t="s">
        <v>38</v>
      </c>
      <c r="D15" t="s">
        <v>39</v>
      </c>
      <c r="E15" t="s">
        <v>40</v>
      </c>
      <c r="F15">
        <v>649163</v>
      </c>
      <c r="G15">
        <v>20411454</v>
      </c>
      <c r="H15" t="s">
        <v>41</v>
      </c>
      <c r="I15">
        <v>2029540827</v>
      </c>
      <c r="J15" t="s">
        <v>94</v>
      </c>
      <c r="M15" t="s">
        <v>55</v>
      </c>
      <c r="O15">
        <v>812782</v>
      </c>
      <c r="P15" t="s">
        <v>95</v>
      </c>
      <c r="Q15" t="s">
        <v>45</v>
      </c>
      <c r="R15" t="s">
        <v>50</v>
      </c>
      <c r="S15" s="1">
        <v>45828</v>
      </c>
      <c r="U15" t="s">
        <v>47</v>
      </c>
      <c r="X15" t="s">
        <v>48</v>
      </c>
      <c r="Y15" s="2">
        <v>76.709999999999994</v>
      </c>
      <c r="Z15" s="2">
        <v>76.709999999999994</v>
      </c>
      <c r="AA15">
        <v>6</v>
      </c>
      <c r="AB15" s="3">
        <v>0.7</v>
      </c>
      <c r="AC15" s="2">
        <v>322.18</v>
      </c>
      <c r="AD15" s="3">
        <v>0</v>
      </c>
      <c r="AE15" s="2">
        <v>0</v>
      </c>
      <c r="AF15" s="2">
        <v>322.18</v>
      </c>
      <c r="AK15" s="4">
        <v>19055830</v>
      </c>
      <c r="AL15" t="s">
        <v>49</v>
      </c>
    </row>
    <row r="16" spans="1:38" x14ac:dyDescent="0.25">
      <c r="A16" s="1">
        <v>45835</v>
      </c>
      <c r="B16" s="1">
        <v>45831</v>
      </c>
      <c r="C16" t="s">
        <v>38</v>
      </c>
      <c r="D16" t="s">
        <v>39</v>
      </c>
      <c r="E16" t="s">
        <v>40</v>
      </c>
      <c r="F16">
        <v>649163</v>
      </c>
      <c r="G16">
        <v>20411454</v>
      </c>
      <c r="H16" t="s">
        <v>41</v>
      </c>
      <c r="I16">
        <v>2029540828</v>
      </c>
      <c r="J16" t="s">
        <v>94</v>
      </c>
      <c r="M16" t="s">
        <v>55</v>
      </c>
      <c r="O16">
        <v>812782</v>
      </c>
      <c r="P16" t="s">
        <v>95</v>
      </c>
      <c r="Q16" t="s">
        <v>45</v>
      </c>
      <c r="R16" t="s">
        <v>80</v>
      </c>
      <c r="S16" s="1">
        <v>45828</v>
      </c>
      <c r="U16" t="s">
        <v>47</v>
      </c>
      <c r="X16" t="s">
        <v>48</v>
      </c>
      <c r="Y16" s="2">
        <v>90.04</v>
      </c>
      <c r="Z16" s="2">
        <v>90.04</v>
      </c>
      <c r="AA16">
        <v>6</v>
      </c>
      <c r="AB16" s="3">
        <v>0.75</v>
      </c>
      <c r="AC16" s="2">
        <v>405.18</v>
      </c>
      <c r="AD16" s="3">
        <v>0</v>
      </c>
      <c r="AE16" s="2">
        <v>0</v>
      </c>
      <c r="AF16" s="2">
        <v>405.18</v>
      </c>
      <c r="AK16" s="4">
        <v>19063810</v>
      </c>
      <c r="AL16" t="s">
        <v>49</v>
      </c>
    </row>
    <row r="17" spans="1:38" x14ac:dyDescent="0.25">
      <c r="A17" s="1">
        <v>45835</v>
      </c>
      <c r="B17" s="1">
        <v>45831</v>
      </c>
      <c r="C17" t="s">
        <v>38</v>
      </c>
      <c r="D17" t="s">
        <v>39</v>
      </c>
      <c r="E17" t="s">
        <v>40</v>
      </c>
      <c r="F17">
        <v>649163</v>
      </c>
      <c r="G17">
        <v>20411454</v>
      </c>
      <c r="H17" t="s">
        <v>41</v>
      </c>
      <c r="I17">
        <v>2029501868</v>
      </c>
      <c r="J17" t="s">
        <v>77</v>
      </c>
      <c r="M17" t="s">
        <v>43</v>
      </c>
      <c r="O17">
        <v>856824</v>
      </c>
      <c r="P17" t="s">
        <v>78</v>
      </c>
      <c r="Q17" t="s">
        <v>45</v>
      </c>
      <c r="R17" t="s">
        <v>46</v>
      </c>
      <c r="S17" s="1">
        <v>45839</v>
      </c>
      <c r="U17" t="s">
        <v>47</v>
      </c>
      <c r="X17" t="s">
        <v>48</v>
      </c>
      <c r="Y17" s="2">
        <v>28.38</v>
      </c>
      <c r="Z17" s="2">
        <v>28.38</v>
      </c>
      <c r="AA17">
        <v>6</v>
      </c>
      <c r="AB17" s="3">
        <v>0.375</v>
      </c>
      <c r="AC17" s="2">
        <v>63.86</v>
      </c>
      <c r="AD17" s="3">
        <v>0</v>
      </c>
      <c r="AE17" s="2">
        <v>0</v>
      </c>
      <c r="AF17" s="2">
        <v>63.86</v>
      </c>
      <c r="AK17" s="4">
        <v>19069410</v>
      </c>
      <c r="AL17" t="s">
        <v>49</v>
      </c>
    </row>
    <row r="18" spans="1:38" x14ac:dyDescent="0.25">
      <c r="A18" s="1">
        <v>45835</v>
      </c>
      <c r="B18" s="1">
        <v>45831</v>
      </c>
      <c r="C18" t="s">
        <v>38</v>
      </c>
      <c r="D18" t="s">
        <v>39</v>
      </c>
      <c r="E18" t="s">
        <v>40</v>
      </c>
      <c r="F18">
        <v>649163</v>
      </c>
      <c r="G18">
        <v>20411454</v>
      </c>
      <c r="H18" t="s">
        <v>41</v>
      </c>
      <c r="I18">
        <v>2029501869</v>
      </c>
      <c r="J18" t="s">
        <v>77</v>
      </c>
      <c r="M18" t="s">
        <v>43</v>
      </c>
      <c r="O18">
        <v>856824</v>
      </c>
      <c r="P18" t="s">
        <v>78</v>
      </c>
      <c r="Q18" t="s">
        <v>45</v>
      </c>
      <c r="R18" t="s">
        <v>50</v>
      </c>
      <c r="S18" s="1">
        <v>45839</v>
      </c>
      <c r="U18" t="s">
        <v>47</v>
      </c>
      <c r="X18" t="s">
        <v>48</v>
      </c>
      <c r="Y18" s="2">
        <v>113.36</v>
      </c>
      <c r="Z18" s="2">
        <v>113.36</v>
      </c>
      <c r="AA18">
        <v>6</v>
      </c>
      <c r="AB18" s="3">
        <v>0.7</v>
      </c>
      <c r="AC18" s="2">
        <v>476.11</v>
      </c>
      <c r="AD18" s="3">
        <v>0</v>
      </c>
      <c r="AE18" s="2">
        <v>0</v>
      </c>
      <c r="AF18" s="2">
        <v>476.11</v>
      </c>
      <c r="AK18" s="4">
        <v>19055530</v>
      </c>
      <c r="AL18" t="s">
        <v>49</v>
      </c>
    </row>
    <row r="19" spans="1:38" x14ac:dyDescent="0.25">
      <c r="A19" s="1">
        <v>45835</v>
      </c>
      <c r="B19" s="1">
        <v>45831</v>
      </c>
      <c r="C19" t="s">
        <v>38</v>
      </c>
      <c r="D19" t="s">
        <v>39</v>
      </c>
      <c r="E19" t="s">
        <v>40</v>
      </c>
      <c r="F19">
        <v>649163</v>
      </c>
      <c r="G19">
        <v>20411454</v>
      </c>
      <c r="H19" t="s">
        <v>41</v>
      </c>
      <c r="I19">
        <v>2029507350</v>
      </c>
      <c r="J19" t="s">
        <v>84</v>
      </c>
      <c r="M19" t="s">
        <v>43</v>
      </c>
      <c r="O19">
        <v>856824</v>
      </c>
      <c r="P19" t="s">
        <v>78</v>
      </c>
      <c r="Q19" t="s">
        <v>45</v>
      </c>
      <c r="R19" t="s">
        <v>46</v>
      </c>
      <c r="S19" s="1">
        <v>45839</v>
      </c>
      <c r="U19" t="s">
        <v>47</v>
      </c>
      <c r="X19" t="s">
        <v>48</v>
      </c>
      <c r="Y19" s="2">
        <v>23.39</v>
      </c>
      <c r="Z19" s="2">
        <v>23.39</v>
      </c>
      <c r="AA19">
        <v>6</v>
      </c>
      <c r="AB19" s="3">
        <v>0.375</v>
      </c>
      <c r="AC19" s="2">
        <v>52.63</v>
      </c>
      <c r="AD19" s="3">
        <v>0</v>
      </c>
      <c r="AE19" s="2">
        <v>0</v>
      </c>
      <c r="AF19" s="2">
        <v>52.63</v>
      </c>
      <c r="AK19" s="4">
        <v>19069440</v>
      </c>
      <c r="AL19" t="s">
        <v>49</v>
      </c>
    </row>
    <row r="20" spans="1:38" x14ac:dyDescent="0.25">
      <c r="A20" s="1">
        <v>45835</v>
      </c>
      <c r="B20" s="1">
        <v>45831</v>
      </c>
      <c r="C20" t="s">
        <v>38</v>
      </c>
      <c r="D20" t="s">
        <v>39</v>
      </c>
      <c r="E20" t="s">
        <v>40</v>
      </c>
      <c r="F20">
        <v>649163</v>
      </c>
      <c r="G20">
        <v>20411454</v>
      </c>
      <c r="H20" t="s">
        <v>41</v>
      </c>
      <c r="I20">
        <v>2029501797</v>
      </c>
      <c r="J20" t="s">
        <v>74</v>
      </c>
      <c r="M20" t="s">
        <v>75</v>
      </c>
      <c r="O20">
        <v>756418</v>
      </c>
      <c r="P20" t="s">
        <v>76</v>
      </c>
      <c r="Q20" t="s">
        <v>45</v>
      </c>
      <c r="R20" t="s">
        <v>46</v>
      </c>
      <c r="S20" s="1">
        <v>45826</v>
      </c>
      <c r="U20" t="s">
        <v>47</v>
      </c>
      <c r="X20" t="s">
        <v>48</v>
      </c>
      <c r="Y20" s="2">
        <v>31.88</v>
      </c>
      <c r="Z20" s="2">
        <v>31.88</v>
      </c>
      <c r="AA20">
        <v>6</v>
      </c>
      <c r="AB20" s="3">
        <v>0.375</v>
      </c>
      <c r="AC20" s="2">
        <v>71.73</v>
      </c>
      <c r="AD20" s="3">
        <v>0</v>
      </c>
      <c r="AE20" s="2">
        <v>0</v>
      </c>
      <c r="AF20" s="2">
        <v>71.73</v>
      </c>
      <c r="AK20" s="4">
        <v>19069400</v>
      </c>
      <c r="AL20" t="s">
        <v>49</v>
      </c>
    </row>
    <row r="21" spans="1:38" x14ac:dyDescent="0.25">
      <c r="A21" s="1">
        <v>45835</v>
      </c>
      <c r="B21" s="1">
        <v>45831</v>
      </c>
      <c r="C21" t="s">
        <v>38</v>
      </c>
      <c r="D21" t="s">
        <v>39</v>
      </c>
      <c r="E21" t="s">
        <v>40</v>
      </c>
      <c r="F21">
        <v>649163</v>
      </c>
      <c r="G21">
        <v>20411454</v>
      </c>
      <c r="H21" t="s">
        <v>41</v>
      </c>
      <c r="I21">
        <v>2029501798</v>
      </c>
      <c r="J21" t="s">
        <v>74</v>
      </c>
      <c r="M21" t="s">
        <v>75</v>
      </c>
      <c r="O21">
        <v>756418</v>
      </c>
      <c r="P21" t="s">
        <v>76</v>
      </c>
      <c r="Q21" t="s">
        <v>45</v>
      </c>
      <c r="R21" t="s">
        <v>50</v>
      </c>
      <c r="S21" s="1">
        <v>45826</v>
      </c>
      <c r="U21" t="s">
        <v>47</v>
      </c>
      <c r="X21" t="s">
        <v>48</v>
      </c>
      <c r="Y21" s="2">
        <v>30.86</v>
      </c>
      <c r="Z21" s="2">
        <v>30.86</v>
      </c>
      <c r="AA21">
        <v>6</v>
      </c>
      <c r="AB21" s="3">
        <v>0.7</v>
      </c>
      <c r="AC21" s="2">
        <v>129.61000000000001</v>
      </c>
      <c r="AD21" s="3">
        <v>0</v>
      </c>
      <c r="AE21" s="2">
        <v>0</v>
      </c>
      <c r="AF21" s="2">
        <v>129.61000000000001</v>
      </c>
      <c r="AK21" s="4">
        <v>19055530</v>
      </c>
      <c r="AL21" t="s">
        <v>49</v>
      </c>
    </row>
    <row r="22" spans="1:38" x14ac:dyDescent="0.25">
      <c r="A22" s="1">
        <v>45835</v>
      </c>
      <c r="B22" s="1">
        <v>45831</v>
      </c>
      <c r="C22" t="s">
        <v>38</v>
      </c>
      <c r="D22" t="s">
        <v>39</v>
      </c>
      <c r="E22" t="s">
        <v>40</v>
      </c>
      <c r="F22">
        <v>649163</v>
      </c>
      <c r="G22">
        <v>20411454</v>
      </c>
      <c r="H22" t="s">
        <v>41</v>
      </c>
      <c r="I22">
        <v>2029546289</v>
      </c>
      <c r="J22" t="s">
        <v>101</v>
      </c>
      <c r="M22" t="s">
        <v>52</v>
      </c>
      <c r="O22">
        <v>756418</v>
      </c>
      <c r="P22" t="s">
        <v>76</v>
      </c>
      <c r="Q22" t="s">
        <v>45</v>
      </c>
      <c r="R22" t="s">
        <v>50</v>
      </c>
      <c r="S22" s="1">
        <v>45828</v>
      </c>
      <c r="U22" t="s">
        <v>47</v>
      </c>
      <c r="X22" t="s">
        <v>48</v>
      </c>
      <c r="Y22" s="2">
        <v>30.58</v>
      </c>
      <c r="Z22" s="2">
        <v>30.58</v>
      </c>
      <c r="AA22">
        <v>6</v>
      </c>
      <c r="AB22" s="3">
        <v>0.7</v>
      </c>
      <c r="AC22" s="2">
        <v>128.44</v>
      </c>
      <c r="AD22" s="3">
        <v>0</v>
      </c>
      <c r="AE22" s="2">
        <v>0</v>
      </c>
      <c r="AF22" s="2">
        <v>128.44</v>
      </c>
      <c r="AK22" s="4">
        <v>19055890</v>
      </c>
      <c r="AL22" t="s">
        <v>49</v>
      </c>
    </row>
    <row r="23" spans="1:38" x14ac:dyDescent="0.25">
      <c r="A23" s="1">
        <v>45835</v>
      </c>
      <c r="B23" s="1">
        <v>45831</v>
      </c>
      <c r="C23" t="s">
        <v>38</v>
      </c>
      <c r="D23" t="s">
        <v>39</v>
      </c>
      <c r="E23" t="s">
        <v>40</v>
      </c>
      <c r="F23">
        <v>649163</v>
      </c>
      <c r="G23">
        <v>20411454</v>
      </c>
      <c r="H23" t="s">
        <v>41</v>
      </c>
      <c r="I23">
        <v>2029546290</v>
      </c>
      <c r="J23" t="s">
        <v>101</v>
      </c>
      <c r="M23" t="s">
        <v>52</v>
      </c>
      <c r="O23">
        <v>756418</v>
      </c>
      <c r="P23" t="s">
        <v>76</v>
      </c>
      <c r="Q23" t="s">
        <v>45</v>
      </c>
      <c r="R23" t="s">
        <v>93</v>
      </c>
      <c r="S23" s="1">
        <v>45828</v>
      </c>
      <c r="U23" t="s">
        <v>47</v>
      </c>
      <c r="X23" t="s">
        <v>48</v>
      </c>
      <c r="Y23" s="2">
        <v>48.88</v>
      </c>
      <c r="Z23" s="2">
        <v>48.88</v>
      </c>
      <c r="AA23">
        <v>6</v>
      </c>
      <c r="AB23" s="3">
        <v>0.9</v>
      </c>
      <c r="AC23" s="2">
        <v>263.95</v>
      </c>
      <c r="AD23" s="3">
        <v>0</v>
      </c>
      <c r="AE23" s="2">
        <v>0</v>
      </c>
      <c r="AF23" s="2">
        <v>263.95</v>
      </c>
      <c r="AK23" s="4">
        <v>19063820</v>
      </c>
      <c r="AL23" t="s">
        <v>49</v>
      </c>
    </row>
    <row r="24" spans="1:38" x14ac:dyDescent="0.25">
      <c r="A24" s="1">
        <v>45835</v>
      </c>
      <c r="B24" s="1">
        <v>45831</v>
      </c>
      <c r="C24" t="s">
        <v>38</v>
      </c>
      <c r="D24" t="s">
        <v>39</v>
      </c>
      <c r="E24" t="s">
        <v>40</v>
      </c>
      <c r="F24">
        <v>649163</v>
      </c>
      <c r="G24">
        <v>20411454</v>
      </c>
      <c r="H24" t="s">
        <v>41</v>
      </c>
      <c r="I24">
        <v>2029572722</v>
      </c>
      <c r="J24" t="s">
        <v>116</v>
      </c>
      <c r="M24" t="s">
        <v>55</v>
      </c>
      <c r="O24">
        <v>756803</v>
      </c>
      <c r="P24" t="s">
        <v>117</v>
      </c>
      <c r="Q24" t="s">
        <v>45</v>
      </c>
      <c r="R24" t="s">
        <v>46</v>
      </c>
      <c r="S24" s="1">
        <v>45829</v>
      </c>
      <c r="U24" t="s">
        <v>47</v>
      </c>
      <c r="X24" t="s">
        <v>48</v>
      </c>
      <c r="Y24" s="2">
        <v>61.01</v>
      </c>
      <c r="Z24" s="2">
        <v>61.01</v>
      </c>
      <c r="AA24">
        <v>6</v>
      </c>
      <c r="AB24" s="3">
        <v>0.375</v>
      </c>
      <c r="AC24" s="2">
        <v>137.27000000000001</v>
      </c>
      <c r="AD24" s="3">
        <v>0</v>
      </c>
      <c r="AE24" s="2">
        <v>0</v>
      </c>
      <c r="AF24" s="2">
        <v>137.27000000000001</v>
      </c>
      <c r="AK24" s="4">
        <v>19070020</v>
      </c>
      <c r="AL24" t="s">
        <v>49</v>
      </c>
    </row>
    <row r="25" spans="1:38" x14ac:dyDescent="0.25">
      <c r="A25" s="1">
        <v>45835</v>
      </c>
      <c r="B25" s="1">
        <v>45831</v>
      </c>
      <c r="C25" t="s">
        <v>38</v>
      </c>
      <c r="D25" t="s">
        <v>39</v>
      </c>
      <c r="E25" t="s">
        <v>40</v>
      </c>
      <c r="F25">
        <v>649163</v>
      </c>
      <c r="G25">
        <v>20411454</v>
      </c>
      <c r="H25" t="s">
        <v>41</v>
      </c>
      <c r="I25">
        <v>2029572879</v>
      </c>
      <c r="J25" t="s">
        <v>116</v>
      </c>
      <c r="M25" t="s">
        <v>55</v>
      </c>
      <c r="O25">
        <v>756803</v>
      </c>
      <c r="P25" t="s">
        <v>117</v>
      </c>
      <c r="Q25" t="s">
        <v>45</v>
      </c>
      <c r="R25" t="s">
        <v>50</v>
      </c>
      <c r="S25" s="1">
        <v>45829</v>
      </c>
      <c r="U25" t="s">
        <v>47</v>
      </c>
      <c r="X25" t="s">
        <v>48</v>
      </c>
      <c r="Y25" s="2">
        <v>11.5</v>
      </c>
      <c r="Z25" s="2">
        <v>11.5</v>
      </c>
      <c r="AA25">
        <v>6</v>
      </c>
      <c r="AB25" s="3">
        <v>0.7</v>
      </c>
      <c r="AC25" s="2">
        <v>48.3</v>
      </c>
      <c r="AD25" s="3">
        <v>0</v>
      </c>
      <c r="AE25" s="2">
        <v>0</v>
      </c>
      <c r="AF25" s="2">
        <v>48.3</v>
      </c>
      <c r="AK25" s="4">
        <v>19056020</v>
      </c>
      <c r="AL25" t="s">
        <v>49</v>
      </c>
    </row>
    <row r="26" spans="1:38" x14ac:dyDescent="0.25">
      <c r="A26" s="1">
        <v>45835</v>
      </c>
      <c r="B26" s="1">
        <v>45831</v>
      </c>
      <c r="C26" t="s">
        <v>38</v>
      </c>
      <c r="D26" t="s">
        <v>39</v>
      </c>
      <c r="E26" t="s">
        <v>40</v>
      </c>
      <c r="F26">
        <v>649163</v>
      </c>
      <c r="G26">
        <v>20411454</v>
      </c>
      <c r="H26" t="s">
        <v>41</v>
      </c>
      <c r="I26">
        <v>2029574491</v>
      </c>
      <c r="J26" t="s">
        <v>116</v>
      </c>
      <c r="M26" t="s">
        <v>55</v>
      </c>
      <c r="O26">
        <v>756803</v>
      </c>
      <c r="P26" t="s">
        <v>117</v>
      </c>
      <c r="Q26" t="s">
        <v>45</v>
      </c>
      <c r="R26" t="s">
        <v>118</v>
      </c>
      <c r="S26" s="1">
        <v>45829</v>
      </c>
      <c r="U26" t="s">
        <v>47</v>
      </c>
      <c r="X26" t="s">
        <v>48</v>
      </c>
      <c r="Y26" s="2">
        <v>19.5</v>
      </c>
      <c r="Z26" s="2">
        <v>19.5</v>
      </c>
      <c r="AA26">
        <v>6</v>
      </c>
      <c r="AB26" s="3">
        <v>0.39</v>
      </c>
      <c r="AC26" s="2">
        <v>45.63</v>
      </c>
      <c r="AD26" s="3">
        <v>0</v>
      </c>
      <c r="AE26" s="2">
        <v>0</v>
      </c>
      <c r="AF26" s="2">
        <v>45.63</v>
      </c>
      <c r="AK26" s="4">
        <v>19056030</v>
      </c>
      <c r="AL26" t="s">
        <v>49</v>
      </c>
    </row>
    <row r="27" spans="1:38" x14ac:dyDescent="0.25">
      <c r="A27" s="1">
        <v>45835</v>
      </c>
      <c r="B27" s="1">
        <v>45831</v>
      </c>
      <c r="C27" t="s">
        <v>38</v>
      </c>
      <c r="D27" t="s">
        <v>39</v>
      </c>
      <c r="E27" t="s">
        <v>40</v>
      </c>
      <c r="F27">
        <v>649163</v>
      </c>
      <c r="G27">
        <v>20411454</v>
      </c>
      <c r="H27" t="s">
        <v>41</v>
      </c>
      <c r="I27">
        <v>2029372202</v>
      </c>
      <c r="J27" t="s">
        <v>42</v>
      </c>
      <c r="M27" t="s">
        <v>43</v>
      </c>
      <c r="O27">
        <v>822865</v>
      </c>
      <c r="P27" t="s">
        <v>44</v>
      </c>
      <c r="Q27" t="s">
        <v>45</v>
      </c>
      <c r="R27" t="s">
        <v>46</v>
      </c>
      <c r="S27" s="1">
        <v>45829</v>
      </c>
      <c r="U27" t="s">
        <v>47</v>
      </c>
      <c r="X27" t="s">
        <v>48</v>
      </c>
      <c r="Y27" s="2">
        <v>27.95</v>
      </c>
      <c r="Z27" s="2">
        <v>27.95</v>
      </c>
      <c r="AA27">
        <v>6</v>
      </c>
      <c r="AB27" s="3">
        <v>0.375</v>
      </c>
      <c r="AC27" s="2">
        <v>62.89</v>
      </c>
      <c r="AD27" s="3">
        <v>0</v>
      </c>
      <c r="AE27" s="2">
        <v>0</v>
      </c>
      <c r="AF27" s="2">
        <v>62.89</v>
      </c>
      <c r="AK27" s="4">
        <v>19069110</v>
      </c>
      <c r="AL27" t="s">
        <v>49</v>
      </c>
    </row>
    <row r="28" spans="1:38" x14ac:dyDescent="0.25">
      <c r="A28" s="1">
        <v>45835</v>
      </c>
      <c r="B28" s="1">
        <v>45831</v>
      </c>
      <c r="C28" t="s">
        <v>38</v>
      </c>
      <c r="D28" t="s">
        <v>39</v>
      </c>
      <c r="E28" t="s">
        <v>40</v>
      </c>
      <c r="F28">
        <v>649163</v>
      </c>
      <c r="G28">
        <v>20411454</v>
      </c>
      <c r="H28" t="s">
        <v>41</v>
      </c>
      <c r="I28">
        <v>2029372203</v>
      </c>
      <c r="J28" t="s">
        <v>42</v>
      </c>
      <c r="M28" t="s">
        <v>43</v>
      </c>
      <c r="O28">
        <v>822865</v>
      </c>
      <c r="P28" t="s">
        <v>44</v>
      </c>
      <c r="Q28" t="s">
        <v>45</v>
      </c>
      <c r="R28" t="s">
        <v>50</v>
      </c>
      <c r="S28" s="1">
        <v>45829</v>
      </c>
      <c r="U28" t="s">
        <v>47</v>
      </c>
      <c r="X28" t="s">
        <v>48</v>
      </c>
      <c r="Y28" s="2">
        <v>28.38</v>
      </c>
      <c r="Z28" s="2">
        <v>28.38</v>
      </c>
      <c r="AA28">
        <v>6</v>
      </c>
      <c r="AB28" s="3">
        <v>0.7</v>
      </c>
      <c r="AC28" s="2">
        <v>119.2</v>
      </c>
      <c r="AD28" s="3">
        <v>0</v>
      </c>
      <c r="AE28" s="2">
        <v>0</v>
      </c>
      <c r="AF28" s="2">
        <v>119.2</v>
      </c>
      <c r="AK28" s="4">
        <v>19055210</v>
      </c>
      <c r="AL28" t="s">
        <v>49</v>
      </c>
    </row>
    <row r="29" spans="1:38" x14ac:dyDescent="0.25">
      <c r="A29" s="1">
        <v>45835</v>
      </c>
      <c r="B29" s="1">
        <v>45831</v>
      </c>
      <c r="C29" t="s">
        <v>38</v>
      </c>
      <c r="D29" t="s">
        <v>39</v>
      </c>
      <c r="E29" t="s">
        <v>40</v>
      </c>
      <c r="F29">
        <v>649163</v>
      </c>
      <c r="G29">
        <v>20411454</v>
      </c>
      <c r="H29" t="s">
        <v>41</v>
      </c>
      <c r="I29">
        <v>2029528274</v>
      </c>
      <c r="J29" t="s">
        <v>92</v>
      </c>
      <c r="M29" t="s">
        <v>43</v>
      </c>
      <c r="O29">
        <v>822865</v>
      </c>
      <c r="P29" t="s">
        <v>44</v>
      </c>
      <c r="Q29" t="s">
        <v>45</v>
      </c>
      <c r="R29" t="s">
        <v>46</v>
      </c>
      <c r="S29" s="1">
        <v>45827</v>
      </c>
      <c r="U29" t="s">
        <v>47</v>
      </c>
      <c r="X29" t="s">
        <v>48</v>
      </c>
      <c r="Y29" s="2">
        <v>59.19</v>
      </c>
      <c r="Z29" s="2">
        <v>59.19</v>
      </c>
      <c r="AA29">
        <v>6</v>
      </c>
      <c r="AB29" s="3">
        <v>0.375</v>
      </c>
      <c r="AC29" s="2">
        <v>133.18</v>
      </c>
      <c r="AD29" s="3">
        <v>0</v>
      </c>
      <c r="AE29" s="2">
        <v>0</v>
      </c>
      <c r="AF29" s="2">
        <v>133.18</v>
      </c>
      <c r="AK29" s="4">
        <v>19069670</v>
      </c>
      <c r="AL29" t="s">
        <v>49</v>
      </c>
    </row>
    <row r="30" spans="1:38" x14ac:dyDescent="0.25">
      <c r="A30" s="1">
        <v>45835</v>
      </c>
      <c r="B30" s="1">
        <v>45831</v>
      </c>
      <c r="C30" t="s">
        <v>38</v>
      </c>
      <c r="D30" t="s">
        <v>39</v>
      </c>
      <c r="E30" t="s">
        <v>40</v>
      </c>
      <c r="F30">
        <v>649163</v>
      </c>
      <c r="G30">
        <v>20411454</v>
      </c>
      <c r="H30" t="s">
        <v>41</v>
      </c>
      <c r="I30">
        <v>2029528275</v>
      </c>
      <c r="J30" t="s">
        <v>92</v>
      </c>
      <c r="M30" t="s">
        <v>43</v>
      </c>
      <c r="O30">
        <v>822865</v>
      </c>
      <c r="P30" t="s">
        <v>44</v>
      </c>
      <c r="Q30" t="s">
        <v>45</v>
      </c>
      <c r="R30" t="s">
        <v>50</v>
      </c>
      <c r="S30" s="1">
        <v>45827</v>
      </c>
      <c r="U30" t="s">
        <v>47</v>
      </c>
      <c r="X30" t="s">
        <v>48</v>
      </c>
      <c r="Y30" s="2">
        <v>83</v>
      </c>
      <c r="Z30" s="2">
        <v>83</v>
      </c>
      <c r="AA30">
        <v>6</v>
      </c>
      <c r="AB30" s="3">
        <v>0.7</v>
      </c>
      <c r="AC30" s="2">
        <v>348.6</v>
      </c>
      <c r="AD30" s="3">
        <v>0</v>
      </c>
      <c r="AE30" s="2">
        <v>0</v>
      </c>
      <c r="AF30" s="2">
        <v>348.6</v>
      </c>
      <c r="AK30" s="4">
        <v>19055740</v>
      </c>
      <c r="AL30" t="s">
        <v>49</v>
      </c>
    </row>
    <row r="31" spans="1:38" x14ac:dyDescent="0.25">
      <c r="A31" s="1">
        <v>45835</v>
      </c>
      <c r="B31" s="1">
        <v>45831</v>
      </c>
      <c r="C31" t="s">
        <v>38</v>
      </c>
      <c r="D31" t="s">
        <v>39</v>
      </c>
      <c r="E31" t="s">
        <v>40</v>
      </c>
      <c r="F31">
        <v>649163</v>
      </c>
      <c r="G31">
        <v>20411454</v>
      </c>
      <c r="H31" t="s">
        <v>41</v>
      </c>
      <c r="I31">
        <v>2029528276</v>
      </c>
      <c r="J31" t="s">
        <v>92</v>
      </c>
      <c r="M31" t="s">
        <v>43</v>
      </c>
      <c r="O31">
        <v>822865</v>
      </c>
      <c r="P31" t="s">
        <v>44</v>
      </c>
      <c r="Q31" t="s">
        <v>45</v>
      </c>
      <c r="R31" t="s">
        <v>93</v>
      </c>
      <c r="S31" s="1">
        <v>45827</v>
      </c>
      <c r="U31" t="s">
        <v>47</v>
      </c>
      <c r="X31" t="s">
        <v>48</v>
      </c>
      <c r="Y31" s="2">
        <v>47.65</v>
      </c>
      <c r="Z31" s="2">
        <v>47.65</v>
      </c>
      <c r="AA31">
        <v>6</v>
      </c>
      <c r="AB31" s="3">
        <v>0.9</v>
      </c>
      <c r="AC31" s="2">
        <v>257.31</v>
      </c>
      <c r="AD31" s="3">
        <v>0</v>
      </c>
      <c r="AE31" s="2">
        <v>0</v>
      </c>
      <c r="AF31" s="2">
        <v>257.31</v>
      </c>
      <c r="AK31" s="4">
        <v>19063780</v>
      </c>
      <c r="AL31" t="s">
        <v>49</v>
      </c>
    </row>
    <row r="32" spans="1:38" x14ac:dyDescent="0.25">
      <c r="A32" s="11">
        <v>45835</v>
      </c>
      <c r="B32" s="11">
        <v>45831</v>
      </c>
      <c r="C32" s="12" t="s">
        <v>38</v>
      </c>
      <c r="D32" s="12" t="s">
        <v>39</v>
      </c>
      <c r="E32" s="12" t="s">
        <v>40</v>
      </c>
      <c r="F32" s="12">
        <v>649163</v>
      </c>
      <c r="G32" s="12">
        <v>20411454</v>
      </c>
      <c r="H32" s="12" t="s">
        <v>41</v>
      </c>
      <c r="I32" s="12">
        <v>2029481265</v>
      </c>
      <c r="J32" s="12" t="s">
        <v>51</v>
      </c>
      <c r="K32" s="12"/>
      <c r="L32" s="12"/>
      <c r="M32" s="12" t="s">
        <v>52</v>
      </c>
      <c r="N32" s="12"/>
      <c r="O32" s="12">
        <v>877790</v>
      </c>
      <c r="P32" s="12" t="s">
        <v>53</v>
      </c>
      <c r="Q32" s="12" t="s">
        <v>45</v>
      </c>
      <c r="R32" s="12" t="s">
        <v>46</v>
      </c>
      <c r="S32" s="11">
        <v>45825</v>
      </c>
      <c r="T32" s="12"/>
      <c r="U32" s="12" t="s">
        <v>47</v>
      </c>
      <c r="V32" s="12"/>
      <c r="W32" s="12"/>
      <c r="X32" s="12" t="s">
        <v>48</v>
      </c>
      <c r="Y32" s="13">
        <v>58.15</v>
      </c>
      <c r="Z32" s="13">
        <v>58.15</v>
      </c>
      <c r="AA32" s="12">
        <v>6</v>
      </c>
      <c r="AB32" s="14">
        <v>0.375</v>
      </c>
      <c r="AC32" s="13">
        <v>130.84</v>
      </c>
      <c r="AD32" s="14">
        <v>0</v>
      </c>
      <c r="AE32" s="13">
        <v>0</v>
      </c>
      <c r="AF32" s="13">
        <v>130.84</v>
      </c>
      <c r="AG32" s="12"/>
      <c r="AH32" s="12"/>
      <c r="AI32" s="12"/>
      <c r="AJ32" s="12"/>
      <c r="AK32" s="15">
        <v>19069200</v>
      </c>
      <c r="AL32" s="12" t="s">
        <v>49</v>
      </c>
    </row>
    <row r="33" spans="1:38" x14ac:dyDescent="0.25">
      <c r="A33" s="11">
        <v>45835</v>
      </c>
      <c r="B33" s="11">
        <v>45831</v>
      </c>
      <c r="C33" s="12" t="s">
        <v>38</v>
      </c>
      <c r="D33" s="12" t="s">
        <v>39</v>
      </c>
      <c r="E33" s="12" t="s">
        <v>40</v>
      </c>
      <c r="F33" s="12">
        <v>649163</v>
      </c>
      <c r="G33" s="12">
        <v>20411454</v>
      </c>
      <c r="H33" s="12" t="s">
        <v>41</v>
      </c>
      <c r="I33" s="12">
        <v>2029481266</v>
      </c>
      <c r="J33" s="12" t="s">
        <v>51</v>
      </c>
      <c r="K33" s="12"/>
      <c r="L33" s="12"/>
      <c r="M33" s="12" t="s">
        <v>52</v>
      </c>
      <c r="N33" s="12"/>
      <c r="O33" s="12">
        <v>877790</v>
      </c>
      <c r="P33" s="12" t="s">
        <v>53</v>
      </c>
      <c r="Q33" s="12" t="s">
        <v>45</v>
      </c>
      <c r="R33" s="12" t="s">
        <v>50</v>
      </c>
      <c r="S33" s="11">
        <v>45825</v>
      </c>
      <c r="T33" s="12"/>
      <c r="U33" s="12" t="s">
        <v>47</v>
      </c>
      <c r="V33" s="12"/>
      <c r="W33" s="12"/>
      <c r="X33" s="12" t="s">
        <v>48</v>
      </c>
      <c r="Y33" s="13">
        <v>3.52</v>
      </c>
      <c r="Z33" s="13">
        <v>3.52</v>
      </c>
      <c r="AA33" s="12">
        <v>6</v>
      </c>
      <c r="AB33" s="14">
        <v>0.7</v>
      </c>
      <c r="AC33" s="13">
        <v>14.78</v>
      </c>
      <c r="AD33" s="14">
        <v>0</v>
      </c>
      <c r="AE33" s="13">
        <v>0</v>
      </c>
      <c r="AF33" s="13">
        <v>14.78</v>
      </c>
      <c r="AG33" s="12"/>
      <c r="AH33" s="12"/>
      <c r="AI33" s="12"/>
      <c r="AJ33" s="12"/>
      <c r="AK33" s="15">
        <v>19055340</v>
      </c>
      <c r="AL33" s="12" t="s">
        <v>49</v>
      </c>
    </row>
    <row r="34" spans="1:38" s="12" customFormat="1" x14ac:dyDescent="0.25">
      <c r="A34" s="11">
        <v>45835</v>
      </c>
      <c r="B34" s="11">
        <v>45831</v>
      </c>
      <c r="C34" s="12" t="s">
        <v>38</v>
      </c>
      <c r="D34" s="12" t="s">
        <v>39</v>
      </c>
      <c r="E34" s="12" t="s">
        <v>40</v>
      </c>
      <c r="F34" s="12">
        <v>649163</v>
      </c>
      <c r="G34" s="12">
        <v>20411454</v>
      </c>
      <c r="H34" s="12" t="s">
        <v>41</v>
      </c>
      <c r="I34" s="12">
        <v>2029526621</v>
      </c>
      <c r="J34" s="12" t="s">
        <v>91</v>
      </c>
      <c r="M34" s="12" t="s">
        <v>52</v>
      </c>
      <c r="O34" s="12">
        <v>877790</v>
      </c>
      <c r="P34" s="12" t="s">
        <v>53</v>
      </c>
      <c r="Q34" s="12" t="s">
        <v>45</v>
      </c>
      <c r="R34" s="12" t="s">
        <v>46</v>
      </c>
      <c r="S34" s="11">
        <v>45828</v>
      </c>
      <c r="U34" s="12" t="s">
        <v>47</v>
      </c>
      <c r="X34" s="12" t="s">
        <v>48</v>
      </c>
      <c r="Y34" s="13">
        <v>92.09</v>
      </c>
      <c r="Z34" s="13">
        <v>92.09</v>
      </c>
      <c r="AA34" s="12">
        <v>6</v>
      </c>
      <c r="AB34" s="14">
        <v>0.375</v>
      </c>
      <c r="AC34" s="13">
        <v>207.2</v>
      </c>
      <c r="AD34" s="14">
        <v>0</v>
      </c>
      <c r="AE34" s="13">
        <v>0</v>
      </c>
      <c r="AF34" s="13">
        <v>207.2</v>
      </c>
      <c r="AK34" s="15">
        <v>19069650</v>
      </c>
      <c r="AL34" s="12" t="s">
        <v>49</v>
      </c>
    </row>
    <row r="35" spans="1:38" s="12" customFormat="1" x14ac:dyDescent="0.25">
      <c r="A35" s="11">
        <v>45835</v>
      </c>
      <c r="B35" s="11">
        <v>45831</v>
      </c>
      <c r="C35" s="12" t="s">
        <v>38</v>
      </c>
      <c r="D35" s="12" t="s">
        <v>39</v>
      </c>
      <c r="E35" s="12" t="s">
        <v>40</v>
      </c>
      <c r="F35" s="12">
        <v>649163</v>
      </c>
      <c r="G35" s="12">
        <v>20411454</v>
      </c>
      <c r="H35" s="12" t="s">
        <v>41</v>
      </c>
      <c r="I35" s="12">
        <v>2029526622</v>
      </c>
      <c r="J35" s="12" t="s">
        <v>91</v>
      </c>
      <c r="M35" s="12" t="s">
        <v>52</v>
      </c>
      <c r="O35" s="12">
        <v>877790</v>
      </c>
      <c r="P35" s="12" t="s">
        <v>53</v>
      </c>
      <c r="Q35" s="12" t="s">
        <v>45</v>
      </c>
      <c r="R35" s="12" t="s">
        <v>50</v>
      </c>
      <c r="S35" s="11">
        <v>45828</v>
      </c>
      <c r="U35" s="12" t="s">
        <v>47</v>
      </c>
      <c r="X35" s="12" t="s">
        <v>48</v>
      </c>
      <c r="Y35" s="13">
        <v>4.7699999999999996</v>
      </c>
      <c r="Z35" s="13">
        <v>4.7699999999999996</v>
      </c>
      <c r="AA35" s="12">
        <v>6</v>
      </c>
      <c r="AB35" s="14">
        <v>0.7</v>
      </c>
      <c r="AC35" s="13">
        <v>20.03</v>
      </c>
      <c r="AD35" s="14">
        <v>0</v>
      </c>
      <c r="AE35" s="13">
        <v>0</v>
      </c>
      <c r="AF35" s="13">
        <v>20.03</v>
      </c>
      <c r="AK35" s="15">
        <v>19055720</v>
      </c>
      <c r="AL35" s="12" t="s">
        <v>49</v>
      </c>
    </row>
    <row r="36" spans="1:38" x14ac:dyDescent="0.25">
      <c r="A36" s="1">
        <v>45835</v>
      </c>
      <c r="B36" s="1">
        <v>45831</v>
      </c>
      <c r="C36" t="s">
        <v>38</v>
      </c>
      <c r="D36" t="s">
        <v>39</v>
      </c>
      <c r="E36" t="s">
        <v>40</v>
      </c>
      <c r="F36">
        <v>649163</v>
      </c>
      <c r="G36">
        <v>20411454</v>
      </c>
      <c r="H36" t="s">
        <v>41</v>
      </c>
      <c r="I36">
        <v>2029560115</v>
      </c>
      <c r="J36" t="s">
        <v>107</v>
      </c>
      <c r="M36" t="s">
        <v>108</v>
      </c>
      <c r="O36">
        <v>753748</v>
      </c>
      <c r="P36" t="s">
        <v>109</v>
      </c>
      <c r="Q36" t="s">
        <v>45</v>
      </c>
      <c r="R36" t="s">
        <v>110</v>
      </c>
      <c r="S36" s="1">
        <v>45850</v>
      </c>
      <c r="U36" t="s">
        <v>47</v>
      </c>
      <c r="X36" t="s">
        <v>111</v>
      </c>
      <c r="Y36" s="2">
        <v>252.95</v>
      </c>
      <c r="Z36" s="2">
        <v>252.95</v>
      </c>
      <c r="AA36">
        <v>3</v>
      </c>
      <c r="AB36" s="3">
        <v>0.24</v>
      </c>
      <c r="AC36" s="2">
        <v>182.12</v>
      </c>
      <c r="AD36" s="3">
        <v>0</v>
      </c>
      <c r="AE36" s="2">
        <v>0</v>
      </c>
      <c r="AF36" s="2">
        <v>182.12</v>
      </c>
      <c r="AK36" s="4">
        <v>19075180</v>
      </c>
      <c r="AL36" t="s">
        <v>49</v>
      </c>
    </row>
    <row r="37" spans="1:38" x14ac:dyDescent="0.25">
      <c r="A37" s="1">
        <v>45835</v>
      </c>
      <c r="B37" s="1">
        <v>45831</v>
      </c>
      <c r="C37" t="s">
        <v>38</v>
      </c>
      <c r="D37" t="s">
        <v>39</v>
      </c>
      <c r="E37" t="s">
        <v>40</v>
      </c>
      <c r="F37">
        <v>649163</v>
      </c>
      <c r="G37">
        <v>20411454</v>
      </c>
      <c r="H37" t="s">
        <v>41</v>
      </c>
      <c r="I37">
        <v>2029560116</v>
      </c>
      <c r="J37" t="s">
        <v>107</v>
      </c>
      <c r="M37" t="s">
        <v>108</v>
      </c>
      <c r="O37">
        <v>753748</v>
      </c>
      <c r="P37" t="s">
        <v>109</v>
      </c>
      <c r="Q37" t="s">
        <v>45</v>
      </c>
      <c r="R37" t="s">
        <v>112</v>
      </c>
      <c r="S37" s="1">
        <v>45850</v>
      </c>
      <c r="U37" t="s">
        <v>47</v>
      </c>
      <c r="X37" t="s">
        <v>111</v>
      </c>
      <c r="Y37" s="2">
        <v>15</v>
      </c>
      <c r="Z37" s="2">
        <v>35</v>
      </c>
      <c r="AA37">
        <v>1</v>
      </c>
      <c r="AB37" s="3">
        <v>1</v>
      </c>
      <c r="AC37" s="2">
        <v>35</v>
      </c>
      <c r="AD37" s="3">
        <v>0</v>
      </c>
      <c r="AE37" s="2">
        <v>0</v>
      </c>
      <c r="AF37" s="2">
        <v>35</v>
      </c>
      <c r="AK37" s="4">
        <v>19061650</v>
      </c>
    </row>
    <row r="38" spans="1:38" x14ac:dyDescent="0.25">
      <c r="A38" s="1">
        <v>45835</v>
      </c>
      <c r="B38" s="1">
        <v>45831</v>
      </c>
      <c r="C38" t="s">
        <v>38</v>
      </c>
      <c r="D38" t="s">
        <v>39</v>
      </c>
      <c r="E38" t="s">
        <v>40</v>
      </c>
      <c r="F38">
        <v>649163</v>
      </c>
      <c r="G38">
        <v>20411454</v>
      </c>
      <c r="H38" t="s">
        <v>41</v>
      </c>
      <c r="I38">
        <v>2029560116</v>
      </c>
      <c r="J38" t="s">
        <v>107</v>
      </c>
      <c r="M38" t="s">
        <v>108</v>
      </c>
      <c r="O38">
        <v>753748</v>
      </c>
      <c r="P38" t="s">
        <v>109</v>
      </c>
      <c r="Q38" t="s">
        <v>45</v>
      </c>
      <c r="R38" t="s">
        <v>112</v>
      </c>
      <c r="S38" s="1">
        <v>45850</v>
      </c>
      <c r="U38" t="s">
        <v>47</v>
      </c>
      <c r="X38" t="s">
        <v>111</v>
      </c>
      <c r="Y38" s="2">
        <v>15</v>
      </c>
      <c r="Z38" s="2">
        <v>15</v>
      </c>
      <c r="AA38">
        <v>3</v>
      </c>
      <c r="AB38" s="3">
        <v>0.24</v>
      </c>
      <c r="AC38" s="2">
        <v>10.8</v>
      </c>
      <c r="AD38" s="3">
        <v>0</v>
      </c>
      <c r="AE38" s="2">
        <v>0</v>
      </c>
      <c r="AF38" s="2">
        <v>10.8</v>
      </c>
      <c r="AK38" s="4">
        <v>19061650</v>
      </c>
      <c r="AL38" t="s">
        <v>49</v>
      </c>
    </row>
    <row r="39" spans="1:38" x14ac:dyDescent="0.25">
      <c r="A39" s="1">
        <v>45835</v>
      </c>
      <c r="B39" s="1">
        <v>45831</v>
      </c>
      <c r="C39" t="s">
        <v>38</v>
      </c>
      <c r="D39" t="s">
        <v>39</v>
      </c>
      <c r="E39" t="s">
        <v>40</v>
      </c>
      <c r="F39">
        <v>649163</v>
      </c>
      <c r="G39">
        <v>20411454</v>
      </c>
      <c r="H39" t="s">
        <v>41</v>
      </c>
      <c r="I39">
        <v>2029488849</v>
      </c>
      <c r="J39" t="s">
        <v>67</v>
      </c>
      <c r="M39" t="s">
        <v>55</v>
      </c>
      <c r="O39">
        <v>807212</v>
      </c>
      <c r="P39" t="s">
        <v>68</v>
      </c>
      <c r="Q39" t="s">
        <v>45</v>
      </c>
      <c r="R39" t="s">
        <v>69</v>
      </c>
      <c r="S39" s="1">
        <v>45825</v>
      </c>
      <c r="U39" t="s">
        <v>47</v>
      </c>
      <c r="X39" t="s">
        <v>48</v>
      </c>
      <c r="Y39" s="2">
        <v>21.6</v>
      </c>
      <c r="Z39" s="2">
        <v>21.6</v>
      </c>
      <c r="AA39">
        <v>6</v>
      </c>
      <c r="AB39" s="3">
        <v>0.9</v>
      </c>
      <c r="AC39" s="2">
        <v>116.64</v>
      </c>
      <c r="AD39" s="3">
        <v>0</v>
      </c>
      <c r="AE39" s="2">
        <v>0</v>
      </c>
      <c r="AF39" s="2">
        <v>116.64</v>
      </c>
      <c r="AK39" s="4">
        <v>19072760</v>
      </c>
      <c r="AL39" t="s">
        <v>49</v>
      </c>
    </row>
    <row r="40" spans="1:38" x14ac:dyDescent="0.25">
      <c r="A40" s="1">
        <v>45835</v>
      </c>
      <c r="B40" s="1">
        <v>45831</v>
      </c>
      <c r="C40" t="s">
        <v>38</v>
      </c>
      <c r="D40" t="s">
        <v>39</v>
      </c>
      <c r="E40" t="s">
        <v>40</v>
      </c>
      <c r="F40">
        <v>649163</v>
      </c>
      <c r="G40">
        <v>20411454</v>
      </c>
      <c r="H40" t="s">
        <v>41</v>
      </c>
      <c r="I40">
        <v>2029490081</v>
      </c>
      <c r="J40" t="s">
        <v>70</v>
      </c>
      <c r="M40" t="s">
        <v>55</v>
      </c>
      <c r="O40">
        <v>807212</v>
      </c>
      <c r="P40" t="s">
        <v>68</v>
      </c>
      <c r="Q40" t="s">
        <v>45</v>
      </c>
      <c r="R40" t="s">
        <v>71</v>
      </c>
      <c r="S40" s="1">
        <v>45825</v>
      </c>
      <c r="U40" t="s">
        <v>47</v>
      </c>
      <c r="X40" t="s">
        <v>48</v>
      </c>
      <c r="Y40" s="2">
        <v>41.1</v>
      </c>
      <c r="Z40" s="2">
        <v>41.1</v>
      </c>
      <c r="AA40">
        <v>6</v>
      </c>
      <c r="AB40" s="3">
        <v>0.42</v>
      </c>
      <c r="AC40" s="2">
        <v>103.57</v>
      </c>
      <c r="AD40" s="3">
        <v>0</v>
      </c>
      <c r="AE40" s="2">
        <v>0</v>
      </c>
      <c r="AF40" s="2">
        <v>103.57</v>
      </c>
      <c r="AK40" s="4">
        <v>19069310</v>
      </c>
      <c r="AL40" t="s">
        <v>49</v>
      </c>
    </row>
    <row r="41" spans="1:38" x14ac:dyDescent="0.25">
      <c r="A41" s="1">
        <v>45835</v>
      </c>
      <c r="B41" s="1">
        <v>45831</v>
      </c>
      <c r="C41" t="s">
        <v>38</v>
      </c>
      <c r="D41" t="s">
        <v>39</v>
      </c>
      <c r="E41" t="s">
        <v>40</v>
      </c>
      <c r="F41">
        <v>649163</v>
      </c>
      <c r="G41">
        <v>20411454</v>
      </c>
      <c r="H41" t="s">
        <v>41</v>
      </c>
      <c r="I41">
        <v>2029543821</v>
      </c>
      <c r="J41" t="s">
        <v>96</v>
      </c>
      <c r="M41" t="s">
        <v>55</v>
      </c>
      <c r="O41">
        <v>807212</v>
      </c>
      <c r="P41" t="s">
        <v>68</v>
      </c>
      <c r="Q41" t="s">
        <v>45</v>
      </c>
      <c r="R41" t="s">
        <v>50</v>
      </c>
      <c r="S41" s="1">
        <v>45828</v>
      </c>
      <c r="U41" t="s">
        <v>47</v>
      </c>
      <c r="X41" t="s">
        <v>48</v>
      </c>
      <c r="Y41" s="2">
        <v>60.25</v>
      </c>
      <c r="Z41" s="2">
        <v>60.25</v>
      </c>
      <c r="AA41">
        <v>6</v>
      </c>
      <c r="AB41" s="3">
        <v>0.7</v>
      </c>
      <c r="AC41" s="2">
        <v>253.05</v>
      </c>
      <c r="AD41" s="3">
        <v>0</v>
      </c>
      <c r="AE41" s="2">
        <v>0</v>
      </c>
      <c r="AF41" s="2">
        <v>253.05</v>
      </c>
      <c r="AK41" s="4">
        <v>19055860</v>
      </c>
      <c r="AL41" t="s">
        <v>49</v>
      </c>
    </row>
    <row r="42" spans="1:38" x14ac:dyDescent="0.25">
      <c r="A42" s="1">
        <v>45835</v>
      </c>
      <c r="B42" s="1">
        <v>45831</v>
      </c>
      <c r="C42" t="s">
        <v>38</v>
      </c>
      <c r="D42" t="s">
        <v>39</v>
      </c>
      <c r="E42" t="s">
        <v>40</v>
      </c>
      <c r="F42">
        <v>649163</v>
      </c>
      <c r="G42">
        <v>20411454</v>
      </c>
      <c r="H42" t="s">
        <v>41</v>
      </c>
      <c r="I42">
        <v>2029487045</v>
      </c>
      <c r="J42" t="s">
        <v>61</v>
      </c>
      <c r="M42" t="s">
        <v>62</v>
      </c>
      <c r="O42">
        <v>650794</v>
      </c>
      <c r="P42" t="s">
        <v>63</v>
      </c>
      <c r="Q42" t="s">
        <v>45</v>
      </c>
      <c r="R42" t="s">
        <v>64</v>
      </c>
      <c r="S42" s="1">
        <v>45839</v>
      </c>
      <c r="U42" t="s">
        <v>47</v>
      </c>
      <c r="X42" t="s">
        <v>48</v>
      </c>
      <c r="Y42" s="2">
        <v>55.41</v>
      </c>
      <c r="Z42" s="2">
        <v>55.41</v>
      </c>
      <c r="AA42">
        <v>6</v>
      </c>
      <c r="AB42" s="3">
        <v>0.6</v>
      </c>
      <c r="AC42" s="2">
        <v>199.48</v>
      </c>
      <c r="AD42" s="3">
        <v>0</v>
      </c>
      <c r="AE42" s="2">
        <v>0</v>
      </c>
      <c r="AF42" s="2">
        <v>199.48</v>
      </c>
      <c r="AK42" s="4">
        <v>19063690</v>
      </c>
      <c r="AL42" t="s">
        <v>49</v>
      </c>
    </row>
    <row r="43" spans="1:38" x14ac:dyDescent="0.25">
      <c r="A43" s="1">
        <v>45835</v>
      </c>
      <c r="B43" s="1">
        <v>45831</v>
      </c>
      <c r="C43" t="s">
        <v>38</v>
      </c>
      <c r="D43" t="s">
        <v>39</v>
      </c>
      <c r="E43" t="s">
        <v>40</v>
      </c>
      <c r="F43">
        <v>649163</v>
      </c>
      <c r="G43">
        <v>20411454</v>
      </c>
      <c r="H43" t="s">
        <v>41</v>
      </c>
      <c r="I43">
        <v>2029502682</v>
      </c>
      <c r="J43" t="s">
        <v>81</v>
      </c>
      <c r="M43" t="s">
        <v>82</v>
      </c>
      <c r="O43">
        <v>823350</v>
      </c>
      <c r="P43" t="s">
        <v>83</v>
      </c>
      <c r="Q43" t="s">
        <v>45</v>
      </c>
      <c r="R43" t="s">
        <v>57</v>
      </c>
      <c r="S43" s="1">
        <v>45829</v>
      </c>
      <c r="U43" t="s">
        <v>47</v>
      </c>
      <c r="X43" t="s">
        <v>48</v>
      </c>
      <c r="Y43" s="2">
        <v>326.14</v>
      </c>
      <c r="Z43" s="2">
        <v>326.14</v>
      </c>
      <c r="AA43">
        <v>6</v>
      </c>
      <c r="AB43" s="3">
        <v>0.38</v>
      </c>
      <c r="AC43" s="2">
        <v>743.6</v>
      </c>
      <c r="AD43" s="3">
        <v>0</v>
      </c>
      <c r="AE43" s="2">
        <v>0</v>
      </c>
      <c r="AF43" s="2">
        <v>743.6</v>
      </c>
      <c r="AK43" s="4">
        <v>19055540</v>
      </c>
      <c r="AL43" t="s">
        <v>49</v>
      </c>
    </row>
    <row r="44" spans="1:38" x14ac:dyDescent="0.25">
      <c r="A44" s="1">
        <v>45835</v>
      </c>
      <c r="B44" s="1">
        <v>45831</v>
      </c>
      <c r="C44" t="s">
        <v>38</v>
      </c>
      <c r="D44" t="s">
        <v>39</v>
      </c>
      <c r="E44" t="s">
        <v>40</v>
      </c>
      <c r="F44">
        <v>649163</v>
      </c>
      <c r="G44">
        <v>20411454</v>
      </c>
      <c r="H44" t="s">
        <v>41</v>
      </c>
      <c r="I44">
        <v>2029502683</v>
      </c>
      <c r="J44" t="s">
        <v>81</v>
      </c>
      <c r="M44" t="s">
        <v>82</v>
      </c>
      <c r="O44">
        <v>823350</v>
      </c>
      <c r="P44" t="s">
        <v>83</v>
      </c>
      <c r="Q44" t="s">
        <v>45</v>
      </c>
      <c r="R44" t="s">
        <v>58</v>
      </c>
      <c r="S44" s="1">
        <v>45829</v>
      </c>
      <c r="U44" t="s">
        <v>47</v>
      </c>
      <c r="X44" t="s">
        <v>48</v>
      </c>
      <c r="Y44" s="2">
        <v>7.09</v>
      </c>
      <c r="Z44" s="2">
        <v>7.09</v>
      </c>
      <c r="AA44">
        <v>6</v>
      </c>
      <c r="AB44" s="3">
        <v>0.38</v>
      </c>
      <c r="AC44" s="2">
        <v>16.170000000000002</v>
      </c>
      <c r="AD44" s="3">
        <v>0</v>
      </c>
      <c r="AE44" s="2">
        <v>0</v>
      </c>
      <c r="AF44" s="2">
        <v>16.170000000000002</v>
      </c>
      <c r="AK44" s="4">
        <v>19070280</v>
      </c>
      <c r="AL44" t="s">
        <v>49</v>
      </c>
    </row>
    <row r="45" spans="1:38" x14ac:dyDescent="0.25">
      <c r="A45" s="1">
        <v>45835</v>
      </c>
      <c r="B45" s="1">
        <v>45831</v>
      </c>
      <c r="C45" t="s">
        <v>38</v>
      </c>
      <c r="D45" t="s">
        <v>39</v>
      </c>
      <c r="E45" t="s">
        <v>40</v>
      </c>
      <c r="F45">
        <v>649163</v>
      </c>
      <c r="G45">
        <v>20411454</v>
      </c>
      <c r="H45" t="s">
        <v>41</v>
      </c>
      <c r="I45">
        <v>2029502684</v>
      </c>
      <c r="J45" t="s">
        <v>81</v>
      </c>
      <c r="M45" t="s">
        <v>82</v>
      </c>
      <c r="O45">
        <v>823350</v>
      </c>
      <c r="P45" t="s">
        <v>83</v>
      </c>
      <c r="Q45" t="s">
        <v>45</v>
      </c>
      <c r="R45" t="s">
        <v>46</v>
      </c>
      <c r="S45" s="1">
        <v>45829</v>
      </c>
      <c r="U45" t="s">
        <v>47</v>
      </c>
      <c r="X45" t="s">
        <v>48</v>
      </c>
      <c r="Y45" s="2">
        <v>78.41</v>
      </c>
      <c r="Z45" s="2">
        <v>78.41</v>
      </c>
      <c r="AA45">
        <v>6</v>
      </c>
      <c r="AB45" s="3">
        <v>0.375</v>
      </c>
      <c r="AC45" s="2">
        <v>176.42</v>
      </c>
      <c r="AD45" s="3">
        <v>0</v>
      </c>
      <c r="AE45" s="2">
        <v>0</v>
      </c>
      <c r="AF45" s="2">
        <v>176.42</v>
      </c>
      <c r="AK45" s="4">
        <v>19069410</v>
      </c>
      <c r="AL45" t="s">
        <v>49</v>
      </c>
    </row>
    <row r="46" spans="1:38" x14ac:dyDescent="0.25">
      <c r="A46" s="1">
        <v>45835</v>
      </c>
      <c r="B46" s="1">
        <v>45831</v>
      </c>
      <c r="C46" t="s">
        <v>38</v>
      </c>
      <c r="D46" t="s">
        <v>39</v>
      </c>
      <c r="E46" t="s">
        <v>40</v>
      </c>
      <c r="F46">
        <v>649163</v>
      </c>
      <c r="G46">
        <v>20411454</v>
      </c>
      <c r="H46" t="s">
        <v>41</v>
      </c>
      <c r="I46">
        <v>2029511427</v>
      </c>
      <c r="J46" t="s">
        <v>86</v>
      </c>
      <c r="M46" t="s">
        <v>55</v>
      </c>
      <c r="O46">
        <v>823350</v>
      </c>
      <c r="P46" t="s">
        <v>83</v>
      </c>
      <c r="Q46" t="s">
        <v>45</v>
      </c>
      <c r="R46" t="s">
        <v>46</v>
      </c>
      <c r="S46" s="1">
        <v>45826</v>
      </c>
      <c r="U46" t="s">
        <v>47</v>
      </c>
      <c r="X46" t="s">
        <v>48</v>
      </c>
      <c r="Y46" s="2">
        <v>57.19</v>
      </c>
      <c r="Z46" s="2">
        <v>57.19</v>
      </c>
      <c r="AA46">
        <v>6</v>
      </c>
      <c r="AB46" s="3">
        <v>0.375</v>
      </c>
      <c r="AC46" s="2">
        <v>128.68</v>
      </c>
      <c r="AD46" s="3">
        <v>0</v>
      </c>
      <c r="AE46" s="2">
        <v>0</v>
      </c>
      <c r="AF46" s="2">
        <v>128.68</v>
      </c>
      <c r="AK46" s="4">
        <v>19069510</v>
      </c>
      <c r="AL46" t="s">
        <v>49</v>
      </c>
    </row>
    <row r="47" spans="1:38" x14ac:dyDescent="0.25">
      <c r="A47" s="1">
        <v>45835</v>
      </c>
      <c r="B47" s="1">
        <v>45831</v>
      </c>
      <c r="C47" t="s">
        <v>38</v>
      </c>
      <c r="D47" t="s">
        <v>39</v>
      </c>
      <c r="E47" t="s">
        <v>40</v>
      </c>
      <c r="F47">
        <v>649163</v>
      </c>
      <c r="G47">
        <v>20411454</v>
      </c>
      <c r="H47" t="s">
        <v>41</v>
      </c>
      <c r="I47">
        <v>2029511428</v>
      </c>
      <c r="J47" t="s">
        <v>86</v>
      </c>
      <c r="M47" t="s">
        <v>55</v>
      </c>
      <c r="O47">
        <v>823350</v>
      </c>
      <c r="P47" t="s">
        <v>83</v>
      </c>
      <c r="Q47" t="s">
        <v>45</v>
      </c>
      <c r="R47" t="s">
        <v>50</v>
      </c>
      <c r="S47" s="1">
        <v>45826</v>
      </c>
      <c r="U47" t="s">
        <v>47</v>
      </c>
      <c r="X47" t="s">
        <v>48</v>
      </c>
      <c r="Y47" s="2">
        <v>11.5</v>
      </c>
      <c r="Z47" s="2">
        <v>11.5</v>
      </c>
      <c r="AA47">
        <v>6</v>
      </c>
      <c r="AB47" s="3">
        <v>0.7</v>
      </c>
      <c r="AC47" s="2">
        <v>48.3</v>
      </c>
      <c r="AD47" s="3">
        <v>0</v>
      </c>
      <c r="AE47" s="2">
        <v>0</v>
      </c>
      <c r="AF47" s="2">
        <v>48.3</v>
      </c>
      <c r="AK47" s="4">
        <v>19055620</v>
      </c>
      <c r="AL47" t="s">
        <v>49</v>
      </c>
    </row>
    <row r="48" spans="1:38" x14ac:dyDescent="0.25">
      <c r="A48" s="1">
        <v>45835</v>
      </c>
      <c r="B48" s="1">
        <v>45831</v>
      </c>
      <c r="C48" t="s">
        <v>38</v>
      </c>
      <c r="D48" t="s">
        <v>39</v>
      </c>
      <c r="E48" t="s">
        <v>40</v>
      </c>
      <c r="F48">
        <v>649163</v>
      </c>
      <c r="G48">
        <v>20411454</v>
      </c>
      <c r="H48" t="s">
        <v>41</v>
      </c>
      <c r="I48">
        <v>2029557202</v>
      </c>
      <c r="J48" t="s">
        <v>104</v>
      </c>
      <c r="M48" t="s">
        <v>105</v>
      </c>
      <c r="O48">
        <v>823068</v>
      </c>
      <c r="P48" t="s">
        <v>106</v>
      </c>
      <c r="Q48" t="s">
        <v>45</v>
      </c>
      <c r="R48" t="s">
        <v>69</v>
      </c>
      <c r="S48" s="1">
        <v>45836</v>
      </c>
      <c r="U48" t="s">
        <v>47</v>
      </c>
      <c r="X48" t="s">
        <v>48</v>
      </c>
      <c r="Y48" s="2">
        <v>40.18</v>
      </c>
      <c r="Z48" s="2">
        <v>40.18</v>
      </c>
      <c r="AA48">
        <v>6</v>
      </c>
      <c r="AB48" s="3">
        <v>0.9</v>
      </c>
      <c r="AC48" s="2">
        <v>216.97</v>
      </c>
      <c r="AD48" s="3">
        <v>0</v>
      </c>
      <c r="AE48" s="2">
        <v>0</v>
      </c>
      <c r="AF48" s="2">
        <v>216.97</v>
      </c>
      <c r="AK48" s="4">
        <v>19072960</v>
      </c>
      <c r="AL48" t="s">
        <v>49</v>
      </c>
    </row>
    <row r="49" spans="1:38" x14ac:dyDescent="0.25">
      <c r="A49" s="1">
        <v>45835</v>
      </c>
      <c r="B49" s="1">
        <v>45831</v>
      </c>
      <c r="C49" t="s">
        <v>38</v>
      </c>
      <c r="D49" t="s">
        <v>39</v>
      </c>
      <c r="E49" t="s">
        <v>40</v>
      </c>
      <c r="F49">
        <v>649163</v>
      </c>
      <c r="G49">
        <v>20411454</v>
      </c>
      <c r="H49" t="s">
        <v>41</v>
      </c>
      <c r="I49">
        <v>2029502358</v>
      </c>
      <c r="J49" t="s">
        <v>79</v>
      </c>
      <c r="M49" t="s">
        <v>55</v>
      </c>
      <c r="O49">
        <v>673059</v>
      </c>
      <c r="P49" t="s">
        <v>79</v>
      </c>
      <c r="Q49" t="s">
        <v>45</v>
      </c>
      <c r="R49" t="s">
        <v>80</v>
      </c>
      <c r="S49" s="1">
        <v>45826</v>
      </c>
      <c r="U49" t="s">
        <v>47</v>
      </c>
      <c r="X49" t="s">
        <v>48</v>
      </c>
      <c r="Y49" s="2">
        <v>35.380000000000003</v>
      </c>
      <c r="Z49" s="2">
        <v>35.380000000000003</v>
      </c>
      <c r="AA49">
        <v>6</v>
      </c>
      <c r="AB49" s="3">
        <v>0.75</v>
      </c>
      <c r="AC49" s="2">
        <v>159.21</v>
      </c>
      <c r="AD49" s="3">
        <v>0</v>
      </c>
      <c r="AE49" s="2">
        <v>0</v>
      </c>
      <c r="AF49" s="2">
        <v>159.21</v>
      </c>
      <c r="AK49" s="4">
        <v>19063720</v>
      </c>
      <c r="AL49" t="s">
        <v>49</v>
      </c>
    </row>
    <row r="50" spans="1:38" x14ac:dyDescent="0.25">
      <c r="A50" s="1">
        <v>45835</v>
      </c>
      <c r="B50" s="1">
        <v>45831</v>
      </c>
      <c r="C50" t="s">
        <v>38</v>
      </c>
      <c r="D50" t="s">
        <v>39</v>
      </c>
      <c r="E50" t="s">
        <v>40</v>
      </c>
      <c r="F50">
        <v>649163</v>
      </c>
      <c r="G50">
        <v>20411454</v>
      </c>
      <c r="H50" t="s">
        <v>41</v>
      </c>
      <c r="I50">
        <v>2029511337</v>
      </c>
      <c r="J50" t="s">
        <v>85</v>
      </c>
      <c r="M50" t="s">
        <v>43</v>
      </c>
      <c r="O50">
        <v>673059</v>
      </c>
      <c r="P50" t="s">
        <v>79</v>
      </c>
      <c r="Q50" t="s">
        <v>45</v>
      </c>
      <c r="R50" t="s">
        <v>57</v>
      </c>
      <c r="S50" s="1">
        <v>45839</v>
      </c>
      <c r="U50" t="s">
        <v>47</v>
      </c>
      <c r="X50" t="s">
        <v>48</v>
      </c>
      <c r="Y50" s="2">
        <v>371.07</v>
      </c>
      <c r="Z50" s="2">
        <v>371.07</v>
      </c>
      <c r="AA50">
        <v>6</v>
      </c>
      <c r="AB50" s="3">
        <v>0.38</v>
      </c>
      <c r="AC50" s="2">
        <v>846.04</v>
      </c>
      <c r="AD50" s="3">
        <v>0</v>
      </c>
      <c r="AE50" s="2">
        <v>0</v>
      </c>
      <c r="AF50" s="2">
        <v>846.04</v>
      </c>
      <c r="AK50" s="4">
        <v>19055610</v>
      </c>
      <c r="AL50" t="s">
        <v>49</v>
      </c>
    </row>
    <row r="51" spans="1:38" x14ac:dyDescent="0.25">
      <c r="A51" s="1">
        <v>45835</v>
      </c>
      <c r="B51" s="1">
        <v>45831</v>
      </c>
      <c r="C51" t="s">
        <v>38</v>
      </c>
      <c r="D51" t="s">
        <v>39</v>
      </c>
      <c r="E51" t="s">
        <v>40</v>
      </c>
      <c r="F51">
        <v>649163</v>
      </c>
      <c r="G51">
        <v>20411454</v>
      </c>
      <c r="H51" t="s">
        <v>41</v>
      </c>
      <c r="I51">
        <v>2029511338</v>
      </c>
      <c r="J51" t="s">
        <v>85</v>
      </c>
      <c r="M51" t="s">
        <v>43</v>
      </c>
      <c r="O51">
        <v>673059</v>
      </c>
      <c r="P51" t="s">
        <v>79</v>
      </c>
      <c r="Q51" t="s">
        <v>45</v>
      </c>
      <c r="R51" t="s">
        <v>58</v>
      </c>
      <c r="S51" s="1">
        <v>45839</v>
      </c>
      <c r="U51" t="s">
        <v>47</v>
      </c>
      <c r="X51" t="s">
        <v>48</v>
      </c>
      <c r="Y51" s="2">
        <v>7.09</v>
      </c>
      <c r="Z51" s="2">
        <v>7.09</v>
      </c>
      <c r="AA51">
        <v>6</v>
      </c>
      <c r="AB51" s="3">
        <v>0.38</v>
      </c>
      <c r="AC51" s="2">
        <v>16.170000000000002</v>
      </c>
      <c r="AD51" s="3">
        <v>0</v>
      </c>
      <c r="AE51" s="2">
        <v>0</v>
      </c>
      <c r="AF51" s="2">
        <v>16.170000000000002</v>
      </c>
      <c r="AK51" s="4">
        <v>19070280</v>
      </c>
      <c r="AL51" t="s">
        <v>49</v>
      </c>
    </row>
    <row r="52" spans="1:38" x14ac:dyDescent="0.25">
      <c r="A52" s="1">
        <v>45835</v>
      </c>
      <c r="B52" s="1">
        <v>45831</v>
      </c>
      <c r="C52" t="s">
        <v>38</v>
      </c>
      <c r="D52" t="s">
        <v>39</v>
      </c>
      <c r="E52" t="s">
        <v>40</v>
      </c>
      <c r="F52">
        <v>649163</v>
      </c>
      <c r="G52">
        <v>20411454</v>
      </c>
      <c r="H52" t="s">
        <v>41</v>
      </c>
      <c r="I52">
        <v>2029511339</v>
      </c>
      <c r="J52" t="s">
        <v>85</v>
      </c>
      <c r="M52" t="s">
        <v>43</v>
      </c>
      <c r="O52">
        <v>673059</v>
      </c>
      <c r="P52" t="s">
        <v>79</v>
      </c>
      <c r="Q52" t="s">
        <v>45</v>
      </c>
      <c r="R52" t="s">
        <v>80</v>
      </c>
      <c r="S52" s="1">
        <v>45839</v>
      </c>
      <c r="U52" t="s">
        <v>47</v>
      </c>
      <c r="X52" t="s">
        <v>48</v>
      </c>
      <c r="Y52" s="2">
        <v>77.2</v>
      </c>
      <c r="Z52" s="2">
        <v>77.2</v>
      </c>
      <c r="AA52">
        <v>6</v>
      </c>
      <c r="AB52" s="3">
        <v>0.75</v>
      </c>
      <c r="AC52" s="2">
        <v>347.4</v>
      </c>
      <c r="AD52" s="3">
        <v>0</v>
      </c>
      <c r="AE52" s="2">
        <v>0</v>
      </c>
      <c r="AF52" s="2">
        <v>347.4</v>
      </c>
      <c r="AK52" s="4">
        <v>19063740</v>
      </c>
      <c r="AL52" t="s">
        <v>49</v>
      </c>
    </row>
    <row r="53" spans="1:38" x14ac:dyDescent="0.25">
      <c r="A53" s="1">
        <v>45835</v>
      </c>
      <c r="B53" s="1">
        <v>45831</v>
      </c>
      <c r="C53" t="s">
        <v>38</v>
      </c>
      <c r="D53" t="s">
        <v>39</v>
      </c>
      <c r="E53" t="s">
        <v>40</v>
      </c>
      <c r="F53">
        <v>649163</v>
      </c>
      <c r="G53">
        <v>20411454</v>
      </c>
      <c r="H53" t="s">
        <v>41</v>
      </c>
      <c r="I53">
        <v>2029511340</v>
      </c>
      <c r="J53" t="s">
        <v>85</v>
      </c>
      <c r="M53" t="s">
        <v>43</v>
      </c>
      <c r="O53">
        <v>673059</v>
      </c>
      <c r="P53" t="s">
        <v>79</v>
      </c>
      <c r="Q53" t="s">
        <v>45</v>
      </c>
      <c r="R53" t="s">
        <v>50</v>
      </c>
      <c r="S53" s="1">
        <v>45839</v>
      </c>
      <c r="U53" t="s">
        <v>47</v>
      </c>
      <c r="X53" t="s">
        <v>48</v>
      </c>
      <c r="Y53" s="2">
        <v>80.73</v>
      </c>
      <c r="Z53" s="2">
        <v>80.73</v>
      </c>
      <c r="AA53">
        <v>6</v>
      </c>
      <c r="AB53" s="3">
        <v>0.7</v>
      </c>
      <c r="AC53" s="2">
        <v>339.07</v>
      </c>
      <c r="AD53" s="3">
        <v>0</v>
      </c>
      <c r="AE53" s="2">
        <v>0</v>
      </c>
      <c r="AF53" s="2">
        <v>339.07</v>
      </c>
      <c r="AK53" s="4">
        <v>19055620</v>
      </c>
      <c r="AL53" t="s">
        <v>49</v>
      </c>
    </row>
    <row r="54" spans="1:38" x14ac:dyDescent="0.25">
      <c r="A54" s="1">
        <v>45835</v>
      </c>
      <c r="B54" s="1">
        <v>45831</v>
      </c>
      <c r="C54" t="s">
        <v>38</v>
      </c>
      <c r="D54" t="s">
        <v>39</v>
      </c>
      <c r="E54" t="s">
        <v>40</v>
      </c>
      <c r="F54">
        <v>649163</v>
      </c>
      <c r="G54">
        <v>20411454</v>
      </c>
      <c r="H54" t="s">
        <v>41</v>
      </c>
      <c r="I54">
        <v>2029511341</v>
      </c>
      <c r="J54" t="s">
        <v>85</v>
      </c>
      <c r="M54" t="s">
        <v>43</v>
      </c>
      <c r="O54">
        <v>673059</v>
      </c>
      <c r="P54" t="s">
        <v>79</v>
      </c>
      <c r="Q54" t="s">
        <v>45</v>
      </c>
      <c r="R54" t="s">
        <v>59</v>
      </c>
      <c r="S54" s="1">
        <v>45839</v>
      </c>
      <c r="U54" t="s">
        <v>47</v>
      </c>
      <c r="X54" t="s">
        <v>60</v>
      </c>
      <c r="Y54" s="2">
        <v>15</v>
      </c>
      <c r="Z54" s="2">
        <v>15</v>
      </c>
      <c r="AA54">
        <v>6</v>
      </c>
      <c r="AB54" s="3">
        <v>0.38</v>
      </c>
      <c r="AC54" s="2">
        <v>34.200000000000003</v>
      </c>
      <c r="AD54" s="3">
        <v>0</v>
      </c>
      <c r="AE54" s="2">
        <v>0</v>
      </c>
      <c r="AF54" s="2">
        <v>34.200000000000003</v>
      </c>
      <c r="AK54" s="4">
        <v>19061570</v>
      </c>
      <c r="AL54" t="s">
        <v>49</v>
      </c>
    </row>
    <row r="55" spans="1:38" x14ac:dyDescent="0.25">
      <c r="A55" s="1">
        <v>45835</v>
      </c>
      <c r="B55" s="1">
        <v>45831</v>
      </c>
      <c r="C55" t="s">
        <v>38</v>
      </c>
      <c r="D55" t="s">
        <v>39</v>
      </c>
      <c r="E55" t="s">
        <v>40</v>
      </c>
      <c r="F55">
        <v>649163</v>
      </c>
      <c r="G55">
        <v>20411454</v>
      </c>
      <c r="H55" t="s">
        <v>41</v>
      </c>
      <c r="I55">
        <v>2029523693</v>
      </c>
      <c r="J55" t="s">
        <v>87</v>
      </c>
      <c r="M55" t="s">
        <v>88</v>
      </c>
      <c r="O55">
        <v>673059</v>
      </c>
      <c r="P55" t="s">
        <v>79</v>
      </c>
      <c r="Q55" t="s">
        <v>45</v>
      </c>
      <c r="R55" t="s">
        <v>80</v>
      </c>
      <c r="S55" s="1">
        <v>45839</v>
      </c>
      <c r="U55" t="s">
        <v>47</v>
      </c>
      <c r="X55" t="s">
        <v>48</v>
      </c>
      <c r="Y55" s="2">
        <v>102.67</v>
      </c>
      <c r="Z55" s="2">
        <v>102.67</v>
      </c>
      <c r="AA55">
        <v>6</v>
      </c>
      <c r="AB55" s="3">
        <v>0.75</v>
      </c>
      <c r="AC55" s="2">
        <v>462.02</v>
      </c>
      <c r="AD55" s="3">
        <v>0</v>
      </c>
      <c r="AE55" s="2">
        <v>0</v>
      </c>
      <c r="AF55" s="2">
        <v>462.02</v>
      </c>
      <c r="AK55" s="4">
        <v>19063770</v>
      </c>
      <c r="AL55" t="s">
        <v>49</v>
      </c>
    </row>
    <row r="56" spans="1:38" x14ac:dyDescent="0.25">
      <c r="A56" s="1">
        <v>45835</v>
      </c>
      <c r="B56" s="1">
        <v>45831</v>
      </c>
      <c r="C56" t="s">
        <v>38</v>
      </c>
      <c r="D56" t="s">
        <v>39</v>
      </c>
      <c r="E56" t="s">
        <v>40</v>
      </c>
      <c r="F56">
        <v>649163</v>
      </c>
      <c r="G56">
        <v>20411454</v>
      </c>
      <c r="H56" t="s">
        <v>41</v>
      </c>
      <c r="I56">
        <v>2029523694</v>
      </c>
      <c r="J56" t="s">
        <v>87</v>
      </c>
      <c r="M56" t="s">
        <v>88</v>
      </c>
      <c r="O56">
        <v>673059</v>
      </c>
      <c r="P56" t="s">
        <v>79</v>
      </c>
      <c r="Q56" t="s">
        <v>45</v>
      </c>
      <c r="R56" t="s">
        <v>50</v>
      </c>
      <c r="S56" s="1">
        <v>45839</v>
      </c>
      <c r="U56" t="s">
        <v>47</v>
      </c>
      <c r="X56" t="s">
        <v>48</v>
      </c>
      <c r="Y56" s="2">
        <v>150.36000000000001</v>
      </c>
      <c r="Z56" s="2">
        <v>150.36000000000001</v>
      </c>
      <c r="AA56">
        <v>6</v>
      </c>
      <c r="AB56" s="3">
        <v>0.7</v>
      </c>
      <c r="AC56" s="2">
        <v>631.51</v>
      </c>
      <c r="AD56" s="3">
        <v>0</v>
      </c>
      <c r="AE56" s="2">
        <v>0</v>
      </c>
      <c r="AF56" s="2">
        <v>631.51</v>
      </c>
      <c r="AK56" s="4">
        <v>19055700</v>
      </c>
      <c r="AL56" t="s">
        <v>49</v>
      </c>
    </row>
    <row r="57" spans="1:38" x14ac:dyDescent="0.25">
      <c r="A57" s="1">
        <v>45835</v>
      </c>
      <c r="B57" s="1">
        <v>45831</v>
      </c>
      <c r="C57" t="s">
        <v>38</v>
      </c>
      <c r="D57" t="s">
        <v>39</v>
      </c>
      <c r="E57" t="s">
        <v>40</v>
      </c>
      <c r="F57">
        <v>649163</v>
      </c>
      <c r="G57">
        <v>20411454</v>
      </c>
      <c r="H57" t="s">
        <v>41</v>
      </c>
      <c r="I57">
        <v>2029546310</v>
      </c>
      <c r="J57" t="s">
        <v>102</v>
      </c>
      <c r="M57" t="s">
        <v>103</v>
      </c>
      <c r="O57">
        <v>673059</v>
      </c>
      <c r="P57" t="s">
        <v>79</v>
      </c>
      <c r="Q57" t="s">
        <v>45</v>
      </c>
      <c r="R57" t="s">
        <v>80</v>
      </c>
      <c r="S57" s="1">
        <v>45839</v>
      </c>
      <c r="U57" t="s">
        <v>47</v>
      </c>
      <c r="X57" t="s">
        <v>48</v>
      </c>
      <c r="Y57" s="2">
        <v>129.33000000000001</v>
      </c>
      <c r="Z57" s="2">
        <v>129.33000000000001</v>
      </c>
      <c r="AA57">
        <v>6</v>
      </c>
      <c r="AB57" s="3">
        <v>0.75</v>
      </c>
      <c r="AC57" s="2">
        <v>581.99</v>
      </c>
      <c r="AD57" s="3">
        <v>0</v>
      </c>
      <c r="AE57" s="2">
        <v>0</v>
      </c>
      <c r="AF57" s="2">
        <v>581.99</v>
      </c>
      <c r="AK57" s="4">
        <v>19063830</v>
      </c>
      <c r="AL57" t="s">
        <v>49</v>
      </c>
    </row>
    <row r="58" spans="1:38" x14ac:dyDescent="0.25">
      <c r="A58" s="1">
        <v>45835</v>
      </c>
      <c r="B58" s="1">
        <v>45831</v>
      </c>
      <c r="C58" t="s">
        <v>38</v>
      </c>
      <c r="D58" t="s">
        <v>39</v>
      </c>
      <c r="E58" t="s">
        <v>40</v>
      </c>
      <c r="F58">
        <v>649163</v>
      </c>
      <c r="G58">
        <v>20411454</v>
      </c>
      <c r="H58" t="s">
        <v>41</v>
      </c>
      <c r="I58">
        <v>2029546311</v>
      </c>
      <c r="J58" t="s">
        <v>102</v>
      </c>
      <c r="M58" t="s">
        <v>103</v>
      </c>
      <c r="O58">
        <v>673059</v>
      </c>
      <c r="P58" t="s">
        <v>79</v>
      </c>
      <c r="Q58" t="s">
        <v>45</v>
      </c>
      <c r="R58" t="s">
        <v>50</v>
      </c>
      <c r="S58" s="1">
        <v>45839</v>
      </c>
      <c r="U58" t="s">
        <v>47</v>
      </c>
      <c r="X58" t="s">
        <v>48</v>
      </c>
      <c r="Y58" s="2">
        <v>46.72</v>
      </c>
      <c r="Z58" s="2">
        <v>46.72</v>
      </c>
      <c r="AA58">
        <v>6</v>
      </c>
      <c r="AB58" s="3">
        <v>0.7</v>
      </c>
      <c r="AC58" s="2">
        <v>196.22</v>
      </c>
      <c r="AD58" s="3">
        <v>0</v>
      </c>
      <c r="AE58" s="2">
        <v>0</v>
      </c>
      <c r="AF58" s="2">
        <v>196.22</v>
      </c>
      <c r="AK58" s="4">
        <v>19055890</v>
      </c>
      <c r="AL58" t="s">
        <v>49</v>
      </c>
    </row>
    <row r="59" spans="1:38" x14ac:dyDescent="0.25">
      <c r="A59" s="1">
        <v>45835</v>
      </c>
      <c r="B59" s="1">
        <v>45831</v>
      </c>
      <c r="C59" t="s">
        <v>38</v>
      </c>
      <c r="D59" t="s">
        <v>39</v>
      </c>
      <c r="E59" t="s">
        <v>40</v>
      </c>
      <c r="F59">
        <v>649163</v>
      </c>
      <c r="G59">
        <v>20411454</v>
      </c>
      <c r="H59" t="s">
        <v>41</v>
      </c>
      <c r="I59">
        <v>2029501114</v>
      </c>
      <c r="J59" t="s">
        <v>72</v>
      </c>
      <c r="M59" t="s">
        <v>55</v>
      </c>
      <c r="O59">
        <v>757039</v>
      </c>
      <c r="P59" t="s">
        <v>73</v>
      </c>
      <c r="Q59" t="s">
        <v>45</v>
      </c>
      <c r="R59" t="s">
        <v>50</v>
      </c>
      <c r="S59" s="1">
        <v>45839</v>
      </c>
      <c r="U59" t="s">
        <v>47</v>
      </c>
      <c r="X59" t="s">
        <v>48</v>
      </c>
      <c r="Y59" s="2">
        <v>19</v>
      </c>
      <c r="Z59" s="2">
        <v>19</v>
      </c>
      <c r="AA59">
        <v>6</v>
      </c>
      <c r="AB59" s="3">
        <v>0.7</v>
      </c>
      <c r="AC59" s="2">
        <v>79.8</v>
      </c>
      <c r="AD59" s="3">
        <v>0</v>
      </c>
      <c r="AE59" s="2">
        <v>0</v>
      </c>
      <c r="AF59" s="2">
        <v>79.8</v>
      </c>
      <c r="AK59" s="4">
        <v>19055520</v>
      </c>
      <c r="AL59" t="s">
        <v>49</v>
      </c>
    </row>
    <row r="60" spans="1:38" x14ac:dyDescent="0.25">
      <c r="A60" s="1">
        <v>45835</v>
      </c>
      <c r="B60" s="1">
        <v>45831</v>
      </c>
      <c r="C60" t="s">
        <v>38</v>
      </c>
      <c r="D60" t="s">
        <v>39</v>
      </c>
      <c r="E60" t="s">
        <v>40</v>
      </c>
      <c r="F60">
        <v>649163</v>
      </c>
      <c r="G60">
        <v>20411454</v>
      </c>
      <c r="H60" t="s">
        <v>41</v>
      </c>
      <c r="I60">
        <v>2029567227</v>
      </c>
      <c r="J60" t="s">
        <v>114</v>
      </c>
      <c r="M60" t="s">
        <v>43</v>
      </c>
      <c r="O60">
        <v>767312</v>
      </c>
      <c r="P60" t="s">
        <v>115</v>
      </c>
      <c r="Q60" t="s">
        <v>45</v>
      </c>
      <c r="R60" t="s">
        <v>50</v>
      </c>
      <c r="S60" s="1">
        <v>45829</v>
      </c>
      <c r="U60" t="s">
        <v>47</v>
      </c>
      <c r="X60" t="s">
        <v>48</v>
      </c>
      <c r="Y60" s="2">
        <v>190.26</v>
      </c>
      <c r="Z60" s="2">
        <v>190.26</v>
      </c>
      <c r="AA60">
        <v>6</v>
      </c>
      <c r="AB60" s="3">
        <v>0.7</v>
      </c>
      <c r="AC60" s="2">
        <v>799.09</v>
      </c>
      <c r="AD60" s="3">
        <v>0</v>
      </c>
      <c r="AE60" s="2">
        <v>0</v>
      </c>
      <c r="AF60" s="2">
        <v>799.09</v>
      </c>
      <c r="AK60" s="4">
        <v>19055990</v>
      </c>
      <c r="AL60" t="s">
        <v>49</v>
      </c>
    </row>
    <row r="61" spans="1:38" x14ac:dyDescent="0.25">
      <c r="A61" s="1">
        <v>45835</v>
      </c>
      <c r="B61" s="1">
        <v>45831</v>
      </c>
      <c r="C61" t="s">
        <v>38</v>
      </c>
      <c r="D61" t="s">
        <v>39</v>
      </c>
      <c r="E61" t="s">
        <v>40</v>
      </c>
      <c r="F61">
        <v>649163</v>
      </c>
      <c r="G61">
        <v>20411454</v>
      </c>
      <c r="H61" t="s">
        <v>41</v>
      </c>
      <c r="I61">
        <v>2029567228</v>
      </c>
      <c r="J61" t="s">
        <v>114</v>
      </c>
      <c r="M61" t="s">
        <v>43</v>
      </c>
      <c r="O61">
        <v>767312</v>
      </c>
      <c r="P61" t="s">
        <v>115</v>
      </c>
      <c r="Q61" t="s">
        <v>45</v>
      </c>
      <c r="R61" t="s">
        <v>93</v>
      </c>
      <c r="S61" s="1">
        <v>45829</v>
      </c>
      <c r="U61" t="s">
        <v>47</v>
      </c>
      <c r="X61" t="s">
        <v>48</v>
      </c>
      <c r="Y61" s="2">
        <v>47.75</v>
      </c>
      <c r="Z61" s="2">
        <v>47.75</v>
      </c>
      <c r="AA61">
        <v>6</v>
      </c>
      <c r="AB61" s="3">
        <v>0.9</v>
      </c>
      <c r="AC61" s="2">
        <v>257.85000000000002</v>
      </c>
      <c r="AD61" s="3">
        <v>0</v>
      </c>
      <c r="AE61" s="2">
        <v>0</v>
      </c>
      <c r="AF61" s="2">
        <v>257.85000000000002</v>
      </c>
      <c r="AK61" s="4">
        <v>19063860</v>
      </c>
      <c r="AL61" t="s">
        <v>49</v>
      </c>
    </row>
    <row r="62" spans="1:38" x14ac:dyDescent="0.25">
      <c r="A62" s="1">
        <v>45835</v>
      </c>
      <c r="B62" s="1">
        <v>45831</v>
      </c>
      <c r="C62" t="s">
        <v>38</v>
      </c>
      <c r="D62" t="s">
        <v>39</v>
      </c>
      <c r="E62" t="s">
        <v>40</v>
      </c>
      <c r="F62">
        <v>649163</v>
      </c>
      <c r="G62">
        <v>20411454</v>
      </c>
      <c r="H62" t="s">
        <v>41</v>
      </c>
      <c r="I62">
        <v>2029567229</v>
      </c>
      <c r="J62" t="s">
        <v>114</v>
      </c>
      <c r="M62" t="s">
        <v>43</v>
      </c>
      <c r="O62">
        <v>767312</v>
      </c>
      <c r="P62" t="s">
        <v>115</v>
      </c>
      <c r="Q62" t="s">
        <v>45</v>
      </c>
      <c r="R62" t="s">
        <v>46</v>
      </c>
      <c r="S62" s="1">
        <v>45829</v>
      </c>
      <c r="U62" t="s">
        <v>47</v>
      </c>
      <c r="X62" t="s">
        <v>48</v>
      </c>
      <c r="Y62" s="2">
        <v>74.290000000000006</v>
      </c>
      <c r="Z62" s="2">
        <v>74.290000000000006</v>
      </c>
      <c r="AA62">
        <v>6</v>
      </c>
      <c r="AB62" s="3">
        <v>0.375</v>
      </c>
      <c r="AC62" s="2">
        <v>167.15</v>
      </c>
      <c r="AD62" s="3">
        <v>0</v>
      </c>
      <c r="AE62" s="2">
        <v>0</v>
      </c>
      <c r="AF62" s="2">
        <v>167.15</v>
      </c>
      <c r="AK62" s="4">
        <v>19069980</v>
      </c>
      <c r="AL62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D6D69-2096-4BFC-A4AA-9CD68C73A959}">
  <dimension ref="A1:Q62"/>
  <sheetViews>
    <sheetView workbookViewId="0">
      <selection activeCell="P11" sqref="P11"/>
    </sheetView>
  </sheetViews>
  <sheetFormatPr defaultRowHeight="15" x14ac:dyDescent="0.25"/>
  <cols>
    <col min="1" max="1" width="14" bestFit="1" customWidth="1"/>
    <col min="2" max="2" width="30" bestFit="1" customWidth="1"/>
    <col min="3" max="3" width="5.28515625" bestFit="1" customWidth="1"/>
    <col min="4" max="4" width="15" style="5" bestFit="1" customWidth="1"/>
    <col min="5" max="5" width="24.42578125" bestFit="1" customWidth="1"/>
    <col min="7" max="7" width="32.140625" bestFit="1" customWidth="1"/>
    <col min="9" max="9" width="9.42578125" bestFit="1" customWidth="1"/>
  </cols>
  <sheetData>
    <row r="1" spans="1:17" x14ac:dyDescent="0.25">
      <c r="A1" t="s">
        <v>8</v>
      </c>
      <c r="B1" t="s">
        <v>9</v>
      </c>
      <c r="C1" t="s">
        <v>12</v>
      </c>
      <c r="D1" s="5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23</v>
      </c>
      <c r="M1" t="s">
        <v>24</v>
      </c>
      <c r="N1" t="s">
        <v>26</v>
      </c>
      <c r="O1" t="s">
        <v>27</v>
      </c>
      <c r="P1" t="s">
        <v>28</v>
      </c>
    </row>
    <row r="2" spans="1:17" x14ac:dyDescent="0.25">
      <c r="A2">
        <v>2029546224</v>
      </c>
      <c r="B2" t="s">
        <v>100</v>
      </c>
      <c r="C2" t="s">
        <v>55</v>
      </c>
      <c r="D2" s="5" t="s">
        <v>124</v>
      </c>
      <c r="E2" t="s">
        <v>100</v>
      </c>
      <c r="F2" t="s">
        <v>45</v>
      </c>
      <c r="G2" t="s">
        <v>136</v>
      </c>
      <c r="H2" s="1">
        <v>45828</v>
      </c>
      <c r="I2" s="1">
        <v>45858</v>
      </c>
      <c r="J2" t="s">
        <v>47</v>
      </c>
      <c r="L2" t="s">
        <v>48</v>
      </c>
      <c r="M2" s="2">
        <v>118</v>
      </c>
      <c r="N2">
        <v>6</v>
      </c>
      <c r="O2" s="3">
        <v>0.7</v>
      </c>
      <c r="P2" s="2">
        <v>495.6</v>
      </c>
      <c r="Q2" s="2">
        <f t="shared" ref="Q2:Q35" si="0">SUM(P2/6)</f>
        <v>82.600000000000009</v>
      </c>
    </row>
    <row r="3" spans="1:17" x14ac:dyDescent="0.25">
      <c r="A3">
        <v>2029486075</v>
      </c>
      <c r="B3" t="s">
        <v>54</v>
      </c>
      <c r="C3" t="s">
        <v>55</v>
      </c>
      <c r="D3" s="5" t="s">
        <v>125</v>
      </c>
      <c r="E3" t="s">
        <v>56</v>
      </c>
      <c r="F3" t="s">
        <v>45</v>
      </c>
      <c r="G3" t="s">
        <v>137</v>
      </c>
      <c r="H3" s="1">
        <v>45825</v>
      </c>
      <c r="I3" s="1">
        <v>45855</v>
      </c>
      <c r="J3" t="s">
        <v>47</v>
      </c>
      <c r="L3" t="s">
        <v>48</v>
      </c>
      <c r="M3" s="2">
        <v>139</v>
      </c>
      <c r="N3">
        <v>6</v>
      </c>
      <c r="O3" s="3">
        <v>0.38</v>
      </c>
      <c r="P3" s="2">
        <v>316.92</v>
      </c>
      <c r="Q3" s="2">
        <f t="shared" si="0"/>
        <v>52.82</v>
      </c>
    </row>
    <row r="4" spans="1:17" x14ac:dyDescent="0.25">
      <c r="A4">
        <v>2029486076</v>
      </c>
      <c r="B4" t="s">
        <v>54</v>
      </c>
      <c r="C4" t="s">
        <v>55</v>
      </c>
      <c r="D4" s="5" t="s">
        <v>125</v>
      </c>
      <c r="E4" t="s">
        <v>56</v>
      </c>
      <c r="F4" t="s">
        <v>45</v>
      </c>
      <c r="G4" t="s">
        <v>137</v>
      </c>
      <c r="H4" s="1">
        <v>45825</v>
      </c>
      <c r="I4" s="1">
        <v>45855</v>
      </c>
      <c r="J4" t="s">
        <v>47</v>
      </c>
      <c r="L4" t="s">
        <v>48</v>
      </c>
      <c r="M4" s="2">
        <v>7.09</v>
      </c>
      <c r="N4">
        <v>6</v>
      </c>
      <c r="O4" s="3">
        <v>0.38</v>
      </c>
      <c r="P4" s="2">
        <v>16.170000000000002</v>
      </c>
      <c r="Q4" s="2">
        <f t="shared" si="0"/>
        <v>2.6950000000000003</v>
      </c>
    </row>
    <row r="5" spans="1:17" x14ac:dyDescent="0.25">
      <c r="A5">
        <v>2029486077</v>
      </c>
      <c r="B5" t="s">
        <v>54</v>
      </c>
      <c r="C5" t="s">
        <v>55</v>
      </c>
      <c r="D5" s="5" t="s">
        <v>125</v>
      </c>
      <c r="E5" t="s">
        <v>56</v>
      </c>
      <c r="F5" t="s">
        <v>45</v>
      </c>
      <c r="G5" t="s">
        <v>137</v>
      </c>
      <c r="H5" s="1">
        <v>45825</v>
      </c>
      <c r="I5" s="1">
        <v>45855</v>
      </c>
      <c r="J5" t="s">
        <v>47</v>
      </c>
      <c r="L5" t="s">
        <v>48</v>
      </c>
      <c r="M5" s="2">
        <v>15</v>
      </c>
      <c r="N5">
        <v>6</v>
      </c>
      <c r="O5" s="3">
        <v>0.38</v>
      </c>
      <c r="P5" s="2">
        <v>34.200000000000003</v>
      </c>
      <c r="Q5" s="2">
        <f t="shared" si="0"/>
        <v>5.7</v>
      </c>
    </row>
    <row r="6" spans="1:17" x14ac:dyDescent="0.25">
      <c r="A6">
        <v>2029486074</v>
      </c>
      <c r="B6" t="s">
        <v>54</v>
      </c>
      <c r="C6" t="s">
        <v>55</v>
      </c>
      <c r="D6" s="5" t="s">
        <v>125</v>
      </c>
      <c r="E6" t="s">
        <v>56</v>
      </c>
      <c r="F6" t="s">
        <v>45</v>
      </c>
      <c r="G6" t="s">
        <v>136</v>
      </c>
      <c r="H6" s="1">
        <v>45825</v>
      </c>
      <c r="I6" s="1">
        <v>45855</v>
      </c>
      <c r="J6" t="s">
        <v>47</v>
      </c>
      <c r="L6" t="s">
        <v>48</v>
      </c>
      <c r="M6" s="2">
        <v>34.68</v>
      </c>
      <c r="N6">
        <v>6</v>
      </c>
      <c r="O6" s="3">
        <v>0.7</v>
      </c>
      <c r="P6" s="2">
        <v>145.66</v>
      </c>
      <c r="Q6" s="2">
        <f t="shared" si="0"/>
        <v>24.276666666666667</v>
      </c>
    </row>
    <row r="7" spans="1:17" x14ac:dyDescent="0.25">
      <c r="A7">
        <v>2029566674</v>
      </c>
      <c r="B7" t="s">
        <v>113</v>
      </c>
      <c r="C7" t="s">
        <v>82</v>
      </c>
      <c r="D7" s="5" t="s">
        <v>126</v>
      </c>
      <c r="E7" t="s">
        <v>99</v>
      </c>
      <c r="F7" t="s">
        <v>45</v>
      </c>
      <c r="G7" t="s">
        <v>139</v>
      </c>
      <c r="H7" s="1">
        <v>45829</v>
      </c>
      <c r="I7" s="1">
        <v>45859</v>
      </c>
      <c r="J7" t="s">
        <v>47</v>
      </c>
      <c r="L7" t="s">
        <v>48</v>
      </c>
      <c r="M7" s="2">
        <v>18.64</v>
      </c>
      <c r="N7">
        <v>6</v>
      </c>
      <c r="O7" s="3">
        <v>0.375</v>
      </c>
      <c r="P7" s="2">
        <v>41.94</v>
      </c>
      <c r="Q7" s="2">
        <f t="shared" si="0"/>
        <v>6.9899999999999993</v>
      </c>
    </row>
    <row r="8" spans="1:17" x14ac:dyDescent="0.25">
      <c r="A8">
        <v>2029544666</v>
      </c>
      <c r="B8" t="s">
        <v>97</v>
      </c>
      <c r="C8" t="s">
        <v>98</v>
      </c>
      <c r="D8" s="5" t="s">
        <v>126</v>
      </c>
      <c r="E8" t="s">
        <v>99</v>
      </c>
      <c r="F8" t="s">
        <v>45</v>
      </c>
      <c r="G8" t="s">
        <v>136</v>
      </c>
      <c r="H8" s="1">
        <v>45828</v>
      </c>
      <c r="I8" s="1">
        <v>45858</v>
      </c>
      <c r="J8" t="s">
        <v>47</v>
      </c>
      <c r="L8" t="s">
        <v>48</v>
      </c>
      <c r="M8" s="2">
        <v>28.87</v>
      </c>
      <c r="N8">
        <v>6</v>
      </c>
      <c r="O8" s="3">
        <v>0.7</v>
      </c>
      <c r="P8" s="2">
        <v>121.25</v>
      </c>
      <c r="Q8" s="2">
        <f t="shared" si="0"/>
        <v>20.208333333333332</v>
      </c>
    </row>
    <row r="9" spans="1:17" x14ac:dyDescent="0.25">
      <c r="A9">
        <v>2029566675</v>
      </c>
      <c r="B9" t="s">
        <v>113</v>
      </c>
      <c r="C9" t="s">
        <v>82</v>
      </c>
      <c r="D9" s="5" t="s">
        <v>126</v>
      </c>
      <c r="E9" t="s">
        <v>99</v>
      </c>
      <c r="F9" t="s">
        <v>45</v>
      </c>
      <c r="G9" t="s">
        <v>136</v>
      </c>
      <c r="H9" s="1">
        <v>45829</v>
      </c>
      <c r="I9" s="1">
        <v>45859</v>
      </c>
      <c r="J9" t="s">
        <v>47</v>
      </c>
      <c r="L9" t="s">
        <v>48</v>
      </c>
      <c r="M9" s="2">
        <v>18.37</v>
      </c>
      <c r="N9">
        <v>6</v>
      </c>
      <c r="O9" s="3">
        <v>0.7</v>
      </c>
      <c r="P9" s="2">
        <v>77.150000000000006</v>
      </c>
      <c r="Q9" s="2">
        <f t="shared" si="0"/>
        <v>12.858333333333334</v>
      </c>
    </row>
    <row r="10" spans="1:17" x14ac:dyDescent="0.25">
      <c r="A10">
        <v>2029544667</v>
      </c>
      <c r="B10" t="s">
        <v>97</v>
      </c>
      <c r="C10" t="s">
        <v>98</v>
      </c>
      <c r="D10" s="5" t="s">
        <v>126</v>
      </c>
      <c r="E10" t="s">
        <v>99</v>
      </c>
      <c r="F10" t="s">
        <v>45</v>
      </c>
      <c r="G10" t="s">
        <v>138</v>
      </c>
      <c r="H10" s="1">
        <v>45828</v>
      </c>
      <c r="I10" s="1">
        <v>45858</v>
      </c>
      <c r="J10" t="s">
        <v>47</v>
      </c>
      <c r="L10" t="s">
        <v>48</v>
      </c>
      <c r="M10" s="2">
        <v>76.900000000000006</v>
      </c>
      <c r="N10">
        <v>6</v>
      </c>
      <c r="O10" s="3">
        <v>0.75</v>
      </c>
      <c r="P10" s="2">
        <v>346.05</v>
      </c>
      <c r="Q10" s="2">
        <f t="shared" si="0"/>
        <v>57.675000000000004</v>
      </c>
    </row>
    <row r="11" spans="1:17" x14ac:dyDescent="0.25">
      <c r="A11">
        <v>2029488053</v>
      </c>
      <c r="B11" t="s">
        <v>65</v>
      </c>
      <c r="C11" t="s">
        <v>55</v>
      </c>
      <c r="D11" s="5" t="s">
        <v>127</v>
      </c>
      <c r="E11" t="s">
        <v>66</v>
      </c>
      <c r="F11" t="s">
        <v>45</v>
      </c>
      <c r="G11" t="s">
        <v>139</v>
      </c>
      <c r="H11" s="1">
        <v>45839</v>
      </c>
      <c r="I11" s="1">
        <v>45870</v>
      </c>
      <c r="J11" t="s">
        <v>47</v>
      </c>
      <c r="L11" t="s">
        <v>48</v>
      </c>
      <c r="M11" s="2">
        <v>33.020000000000003</v>
      </c>
      <c r="N11">
        <v>6</v>
      </c>
      <c r="O11" s="3">
        <v>0.375</v>
      </c>
      <c r="P11" s="2">
        <v>74.3</v>
      </c>
      <c r="Q11" s="2">
        <f t="shared" si="0"/>
        <v>12.383333333333333</v>
      </c>
    </row>
    <row r="12" spans="1:17" x14ac:dyDescent="0.25">
      <c r="A12">
        <v>2029501868</v>
      </c>
      <c r="B12" t="s">
        <v>77</v>
      </c>
      <c r="C12" t="s">
        <v>43</v>
      </c>
      <c r="D12" s="5" t="s">
        <v>128</v>
      </c>
      <c r="E12" t="s">
        <v>78</v>
      </c>
      <c r="F12" t="s">
        <v>45</v>
      </c>
      <c r="G12" t="s">
        <v>139</v>
      </c>
      <c r="H12" s="1">
        <v>45839</v>
      </c>
      <c r="I12" s="1">
        <v>45870</v>
      </c>
      <c r="J12" t="s">
        <v>47</v>
      </c>
      <c r="L12" t="s">
        <v>48</v>
      </c>
      <c r="M12" s="2">
        <v>28.38</v>
      </c>
      <c r="N12">
        <v>6</v>
      </c>
      <c r="O12" s="3">
        <v>0.375</v>
      </c>
      <c r="P12" s="2">
        <v>63.86</v>
      </c>
      <c r="Q12" s="2">
        <f t="shared" si="0"/>
        <v>10.643333333333333</v>
      </c>
    </row>
    <row r="13" spans="1:17" x14ac:dyDescent="0.25">
      <c r="A13">
        <v>2029507350</v>
      </c>
      <c r="B13" t="s">
        <v>84</v>
      </c>
      <c r="C13" t="s">
        <v>43</v>
      </c>
      <c r="D13" s="5" t="s">
        <v>128</v>
      </c>
      <c r="E13" t="s">
        <v>78</v>
      </c>
      <c r="F13" t="s">
        <v>45</v>
      </c>
      <c r="G13" t="s">
        <v>139</v>
      </c>
      <c r="H13" s="1">
        <v>45839</v>
      </c>
      <c r="I13" s="1">
        <v>45870</v>
      </c>
      <c r="J13" t="s">
        <v>47</v>
      </c>
      <c r="L13" t="s">
        <v>48</v>
      </c>
      <c r="M13" s="2">
        <v>23.39</v>
      </c>
      <c r="N13">
        <v>6</v>
      </c>
      <c r="O13" s="3">
        <v>0.375</v>
      </c>
      <c r="P13" s="2">
        <v>52.63</v>
      </c>
      <c r="Q13" s="2">
        <f t="shared" si="0"/>
        <v>8.7716666666666665</v>
      </c>
    </row>
    <row r="14" spans="1:17" x14ac:dyDescent="0.25">
      <c r="A14">
        <v>2029501869</v>
      </c>
      <c r="B14" t="s">
        <v>77</v>
      </c>
      <c r="C14" t="s">
        <v>43</v>
      </c>
      <c r="D14" s="5" t="s">
        <v>128</v>
      </c>
      <c r="E14" t="s">
        <v>78</v>
      </c>
      <c r="F14" t="s">
        <v>45</v>
      </c>
      <c r="G14" t="s">
        <v>136</v>
      </c>
      <c r="H14" s="1">
        <v>45839</v>
      </c>
      <c r="I14" s="1">
        <v>45870</v>
      </c>
      <c r="J14" t="s">
        <v>47</v>
      </c>
      <c r="L14" t="s">
        <v>48</v>
      </c>
      <c r="M14" s="2">
        <v>113.36</v>
      </c>
      <c r="N14">
        <v>6</v>
      </c>
      <c r="O14" s="3">
        <v>0.7</v>
      </c>
      <c r="P14" s="2">
        <v>476.11</v>
      </c>
      <c r="Q14" s="2">
        <f t="shared" si="0"/>
        <v>79.351666666666674</v>
      </c>
    </row>
    <row r="15" spans="1:17" x14ac:dyDescent="0.25">
      <c r="A15">
        <v>2029572722</v>
      </c>
      <c r="B15" t="s">
        <v>116</v>
      </c>
      <c r="C15" t="s">
        <v>55</v>
      </c>
      <c r="D15" s="5" t="s">
        <v>129</v>
      </c>
      <c r="E15" t="s">
        <v>117</v>
      </c>
      <c r="F15" t="s">
        <v>45</v>
      </c>
      <c r="G15" t="s">
        <v>139</v>
      </c>
      <c r="H15" s="1">
        <v>45829</v>
      </c>
      <c r="I15" s="1">
        <v>45859</v>
      </c>
      <c r="J15" t="s">
        <v>47</v>
      </c>
      <c r="L15" t="s">
        <v>48</v>
      </c>
      <c r="M15" s="2">
        <v>61.01</v>
      </c>
      <c r="N15">
        <v>6</v>
      </c>
      <c r="O15" s="3">
        <v>0.375</v>
      </c>
      <c r="P15" s="2">
        <v>137.27000000000001</v>
      </c>
      <c r="Q15" s="2">
        <f t="shared" si="0"/>
        <v>22.878333333333334</v>
      </c>
    </row>
    <row r="16" spans="1:17" x14ac:dyDescent="0.25">
      <c r="A16">
        <v>2029574491</v>
      </c>
      <c r="B16" t="s">
        <v>116</v>
      </c>
      <c r="C16" t="s">
        <v>55</v>
      </c>
      <c r="D16" s="5" t="s">
        <v>129</v>
      </c>
      <c r="E16" t="s">
        <v>117</v>
      </c>
      <c r="F16" t="s">
        <v>45</v>
      </c>
      <c r="G16" t="s">
        <v>141</v>
      </c>
      <c r="H16" s="1">
        <v>45829</v>
      </c>
      <c r="I16" s="1">
        <v>45859</v>
      </c>
      <c r="J16" t="s">
        <v>47</v>
      </c>
      <c r="L16" t="s">
        <v>48</v>
      </c>
      <c r="M16" s="2">
        <v>19.5</v>
      </c>
      <c r="N16">
        <v>6</v>
      </c>
      <c r="O16" s="3">
        <v>0.39</v>
      </c>
      <c r="P16" s="2">
        <v>45.63</v>
      </c>
      <c r="Q16" s="2">
        <f t="shared" si="0"/>
        <v>7.6050000000000004</v>
      </c>
    </row>
    <row r="17" spans="1:17" s="6" customFormat="1" x14ac:dyDescent="0.25">
      <c r="A17" s="6">
        <v>2029572879</v>
      </c>
      <c r="B17" s="6" t="s">
        <v>116</v>
      </c>
      <c r="C17" s="6" t="s">
        <v>55</v>
      </c>
      <c r="D17" s="7" t="s">
        <v>129</v>
      </c>
      <c r="E17" s="6" t="s">
        <v>117</v>
      </c>
      <c r="F17" s="6" t="s">
        <v>45</v>
      </c>
      <c r="G17" s="6" t="s">
        <v>136</v>
      </c>
      <c r="H17" s="8">
        <v>45829</v>
      </c>
      <c r="I17" s="8">
        <v>45859</v>
      </c>
      <c r="J17" s="6" t="s">
        <v>47</v>
      </c>
      <c r="L17" s="6" t="s">
        <v>48</v>
      </c>
      <c r="M17" s="9">
        <v>11.5</v>
      </c>
      <c r="N17" s="6">
        <v>6</v>
      </c>
      <c r="O17" s="10">
        <v>0.7</v>
      </c>
      <c r="P17" s="9">
        <v>48.3</v>
      </c>
      <c r="Q17" s="9">
        <f t="shared" si="0"/>
        <v>8.0499999999999989</v>
      </c>
    </row>
    <row r="18" spans="1:17" s="6" customFormat="1" x14ac:dyDescent="0.25">
      <c r="A18" s="6">
        <v>2029372202</v>
      </c>
      <c r="B18" s="6" t="s">
        <v>42</v>
      </c>
      <c r="C18" s="6" t="s">
        <v>43</v>
      </c>
      <c r="D18" s="7" t="s">
        <v>130</v>
      </c>
      <c r="E18" s="6" t="s">
        <v>44</v>
      </c>
      <c r="F18" s="6" t="s">
        <v>45</v>
      </c>
      <c r="G18" s="6" t="s">
        <v>139</v>
      </c>
      <c r="H18" s="8">
        <v>45829</v>
      </c>
      <c r="I18" s="8">
        <v>45859</v>
      </c>
      <c r="J18" s="6" t="s">
        <v>47</v>
      </c>
      <c r="L18" s="6" t="s">
        <v>48</v>
      </c>
      <c r="M18" s="9">
        <v>27.95</v>
      </c>
      <c r="N18" s="6">
        <v>6</v>
      </c>
      <c r="O18" s="10">
        <v>0.375</v>
      </c>
      <c r="P18" s="9">
        <v>62.89</v>
      </c>
      <c r="Q18" s="9">
        <f t="shared" si="0"/>
        <v>10.481666666666667</v>
      </c>
    </row>
    <row r="19" spans="1:17" x14ac:dyDescent="0.25">
      <c r="A19">
        <v>2029528274</v>
      </c>
      <c r="B19" t="s">
        <v>92</v>
      </c>
      <c r="C19" t="s">
        <v>43</v>
      </c>
      <c r="D19" s="5" t="s">
        <v>130</v>
      </c>
      <c r="E19" t="s">
        <v>44</v>
      </c>
      <c r="F19" t="s">
        <v>45</v>
      </c>
      <c r="G19" t="s">
        <v>139</v>
      </c>
      <c r="H19" s="1">
        <v>45827</v>
      </c>
      <c r="I19" s="1">
        <v>45857</v>
      </c>
      <c r="J19" t="s">
        <v>47</v>
      </c>
      <c r="L19" t="s">
        <v>48</v>
      </c>
      <c r="M19" s="2">
        <v>59.19</v>
      </c>
      <c r="N19">
        <v>6</v>
      </c>
      <c r="O19" s="3">
        <v>0.375</v>
      </c>
      <c r="P19" s="2">
        <v>133.18</v>
      </c>
      <c r="Q19" s="2">
        <f t="shared" si="0"/>
        <v>22.196666666666669</v>
      </c>
    </row>
    <row r="20" spans="1:17" s="6" customFormat="1" x14ac:dyDescent="0.25">
      <c r="A20" s="6">
        <v>2029372203</v>
      </c>
      <c r="B20" s="6" t="s">
        <v>42</v>
      </c>
      <c r="C20" s="6" t="s">
        <v>43</v>
      </c>
      <c r="D20" s="7" t="s">
        <v>130</v>
      </c>
      <c r="E20" s="6" t="s">
        <v>44</v>
      </c>
      <c r="F20" s="6" t="s">
        <v>45</v>
      </c>
      <c r="G20" s="6" t="s">
        <v>136</v>
      </c>
      <c r="H20" s="8">
        <v>45829</v>
      </c>
      <c r="I20" s="8">
        <v>45859</v>
      </c>
      <c r="J20" s="6" t="s">
        <v>47</v>
      </c>
      <c r="L20" s="6" t="s">
        <v>48</v>
      </c>
      <c r="M20" s="9">
        <v>28.38</v>
      </c>
      <c r="N20" s="6">
        <v>6</v>
      </c>
      <c r="O20" s="10">
        <v>0.7</v>
      </c>
      <c r="P20" s="9">
        <v>119.2</v>
      </c>
      <c r="Q20" s="9">
        <f t="shared" si="0"/>
        <v>19.866666666666667</v>
      </c>
    </row>
    <row r="21" spans="1:17" x14ac:dyDescent="0.25">
      <c r="A21">
        <v>2029528275</v>
      </c>
      <c r="B21" t="s">
        <v>92</v>
      </c>
      <c r="C21" t="s">
        <v>43</v>
      </c>
      <c r="D21" s="5" t="s">
        <v>130</v>
      </c>
      <c r="E21" t="s">
        <v>44</v>
      </c>
      <c r="F21" t="s">
        <v>45</v>
      </c>
      <c r="G21" t="s">
        <v>136</v>
      </c>
      <c r="H21" s="1">
        <v>45827</v>
      </c>
      <c r="I21" s="1">
        <v>45857</v>
      </c>
      <c r="J21" t="s">
        <v>47</v>
      </c>
      <c r="L21" t="s">
        <v>48</v>
      </c>
      <c r="M21" s="2">
        <v>83</v>
      </c>
      <c r="N21">
        <v>6</v>
      </c>
      <c r="O21" s="3">
        <v>0.7</v>
      </c>
      <c r="P21" s="2">
        <v>348.6</v>
      </c>
      <c r="Q21" s="2">
        <f t="shared" si="0"/>
        <v>58.1</v>
      </c>
    </row>
    <row r="22" spans="1:17" x14ac:dyDescent="0.25">
      <c r="A22">
        <v>2029528276</v>
      </c>
      <c r="B22" t="s">
        <v>92</v>
      </c>
      <c r="C22" t="s">
        <v>43</v>
      </c>
      <c r="D22" s="5" t="s">
        <v>130</v>
      </c>
      <c r="E22" t="s">
        <v>44</v>
      </c>
      <c r="F22" t="s">
        <v>45</v>
      </c>
      <c r="G22" t="s">
        <v>140</v>
      </c>
      <c r="H22" s="1">
        <v>45827</v>
      </c>
      <c r="I22" s="1">
        <v>45857</v>
      </c>
      <c r="J22" t="s">
        <v>47</v>
      </c>
      <c r="L22" t="s">
        <v>48</v>
      </c>
      <c r="M22" s="2">
        <v>47.65</v>
      </c>
      <c r="N22">
        <v>6</v>
      </c>
      <c r="O22" s="3">
        <v>0.9</v>
      </c>
      <c r="P22" s="2">
        <v>257.31</v>
      </c>
      <c r="Q22" s="2">
        <f t="shared" si="0"/>
        <v>42.884999999999998</v>
      </c>
    </row>
    <row r="23" spans="1:17" s="6" customFormat="1" x14ac:dyDescent="0.25">
      <c r="A23" s="6">
        <v>2029490081</v>
      </c>
      <c r="B23" s="6" t="s">
        <v>70</v>
      </c>
      <c r="C23" s="6" t="s">
        <v>55</v>
      </c>
      <c r="D23" s="7" t="s">
        <v>131</v>
      </c>
      <c r="E23" s="6" t="s">
        <v>68</v>
      </c>
      <c r="F23" s="6" t="s">
        <v>45</v>
      </c>
      <c r="G23" s="6" t="s">
        <v>71</v>
      </c>
      <c r="H23" s="8">
        <v>45825</v>
      </c>
      <c r="I23" s="8">
        <v>45855</v>
      </c>
      <c r="J23" s="6" t="s">
        <v>47</v>
      </c>
      <c r="L23" s="6" t="s">
        <v>48</v>
      </c>
      <c r="M23" s="9">
        <v>41.1</v>
      </c>
      <c r="N23" s="6">
        <v>6</v>
      </c>
      <c r="O23" s="10">
        <v>0.42</v>
      </c>
      <c r="P23" s="9">
        <v>103.57</v>
      </c>
      <c r="Q23" s="9">
        <f t="shared" si="0"/>
        <v>17.261666666666667</v>
      </c>
    </row>
    <row r="24" spans="1:17" x14ac:dyDescent="0.25">
      <c r="A24">
        <v>2029543821</v>
      </c>
      <c r="B24" t="s">
        <v>96</v>
      </c>
      <c r="C24" t="s">
        <v>55</v>
      </c>
      <c r="D24" s="5" t="s">
        <v>131</v>
      </c>
      <c r="E24" t="s">
        <v>68</v>
      </c>
      <c r="F24" t="s">
        <v>45</v>
      </c>
      <c r="G24" t="s">
        <v>136</v>
      </c>
      <c r="H24" s="1">
        <v>45828</v>
      </c>
      <c r="I24" s="1">
        <v>45858</v>
      </c>
      <c r="J24" t="s">
        <v>47</v>
      </c>
      <c r="L24" t="s">
        <v>48</v>
      </c>
      <c r="M24" s="2">
        <v>60.25</v>
      </c>
      <c r="N24">
        <v>6</v>
      </c>
      <c r="O24" s="3">
        <v>0.7</v>
      </c>
      <c r="P24" s="2">
        <v>253.05</v>
      </c>
      <c r="Q24" s="2">
        <f t="shared" si="0"/>
        <v>42.175000000000004</v>
      </c>
    </row>
    <row r="25" spans="1:17" x14ac:dyDescent="0.25">
      <c r="A25">
        <v>2029488849</v>
      </c>
      <c r="B25" t="s">
        <v>67</v>
      </c>
      <c r="C25" t="s">
        <v>55</v>
      </c>
      <c r="D25" s="5" t="s">
        <v>131</v>
      </c>
      <c r="E25" t="s">
        <v>68</v>
      </c>
      <c r="F25" t="s">
        <v>45</v>
      </c>
      <c r="G25" t="s">
        <v>140</v>
      </c>
      <c r="H25" s="1">
        <v>45825</v>
      </c>
      <c r="I25" s="1">
        <v>45855</v>
      </c>
      <c r="J25" t="s">
        <v>47</v>
      </c>
      <c r="L25" t="s">
        <v>48</v>
      </c>
      <c r="M25" s="2">
        <v>21.6</v>
      </c>
      <c r="N25">
        <v>6</v>
      </c>
      <c r="O25" s="3">
        <v>0.9</v>
      </c>
      <c r="P25" s="2">
        <v>116.64</v>
      </c>
      <c r="Q25" s="2">
        <f t="shared" si="0"/>
        <v>19.440000000000001</v>
      </c>
    </row>
    <row r="26" spans="1:17" x14ac:dyDescent="0.25">
      <c r="A26">
        <v>2029487045</v>
      </c>
      <c r="B26" t="s">
        <v>61</v>
      </c>
      <c r="C26" t="s">
        <v>62</v>
      </c>
      <c r="D26" s="5" t="s">
        <v>132</v>
      </c>
      <c r="E26" t="s">
        <v>63</v>
      </c>
      <c r="F26" t="s">
        <v>45</v>
      </c>
      <c r="G26" t="s">
        <v>64</v>
      </c>
      <c r="H26" s="1">
        <v>45839</v>
      </c>
      <c r="I26" s="1">
        <v>45870</v>
      </c>
      <c r="J26" t="s">
        <v>47</v>
      </c>
      <c r="L26" t="s">
        <v>48</v>
      </c>
      <c r="M26" s="2">
        <v>55.41</v>
      </c>
      <c r="N26">
        <v>6</v>
      </c>
      <c r="O26" s="3">
        <v>0.6</v>
      </c>
      <c r="P26" s="2">
        <v>199.48</v>
      </c>
      <c r="Q26" s="2">
        <f t="shared" si="0"/>
        <v>33.246666666666663</v>
      </c>
    </row>
    <row r="27" spans="1:17" x14ac:dyDescent="0.25">
      <c r="A27">
        <v>2029502684</v>
      </c>
      <c r="B27" t="s">
        <v>81</v>
      </c>
      <c r="C27" t="s">
        <v>82</v>
      </c>
      <c r="D27" s="5" t="s">
        <v>133</v>
      </c>
      <c r="E27" t="s">
        <v>83</v>
      </c>
      <c r="F27" t="s">
        <v>45</v>
      </c>
      <c r="G27" t="s">
        <v>139</v>
      </c>
      <c r="H27" s="1">
        <v>45829</v>
      </c>
      <c r="I27" s="1">
        <v>45859</v>
      </c>
      <c r="J27" t="s">
        <v>47</v>
      </c>
      <c r="L27" t="s">
        <v>48</v>
      </c>
      <c r="M27" s="2">
        <v>78.41</v>
      </c>
      <c r="N27">
        <v>6</v>
      </c>
      <c r="O27" s="3">
        <v>0.375</v>
      </c>
      <c r="P27" s="2">
        <v>176.42</v>
      </c>
      <c r="Q27" s="2">
        <f t="shared" si="0"/>
        <v>29.403333333333332</v>
      </c>
    </row>
    <row r="28" spans="1:17" x14ac:dyDescent="0.25">
      <c r="A28">
        <v>2029511427</v>
      </c>
      <c r="B28" t="s">
        <v>86</v>
      </c>
      <c r="C28" t="s">
        <v>55</v>
      </c>
      <c r="D28" s="5" t="s">
        <v>133</v>
      </c>
      <c r="E28" t="s">
        <v>83</v>
      </c>
      <c r="F28" t="s">
        <v>45</v>
      </c>
      <c r="G28" t="s">
        <v>139</v>
      </c>
      <c r="H28" s="1">
        <v>45826</v>
      </c>
      <c r="I28" s="1">
        <v>45856</v>
      </c>
      <c r="J28" t="s">
        <v>47</v>
      </c>
      <c r="L28" t="s">
        <v>48</v>
      </c>
      <c r="M28" s="2">
        <v>57.19</v>
      </c>
      <c r="N28">
        <v>6</v>
      </c>
      <c r="O28" s="3">
        <v>0.375</v>
      </c>
      <c r="P28" s="2">
        <v>128.68</v>
      </c>
      <c r="Q28" s="2">
        <f t="shared" si="0"/>
        <v>21.446666666666669</v>
      </c>
    </row>
    <row r="29" spans="1:17" x14ac:dyDescent="0.25">
      <c r="A29">
        <v>2029502682</v>
      </c>
      <c r="B29" t="s">
        <v>81</v>
      </c>
      <c r="C29" t="s">
        <v>82</v>
      </c>
      <c r="D29" s="5" t="s">
        <v>133</v>
      </c>
      <c r="E29" t="s">
        <v>83</v>
      </c>
      <c r="F29" t="s">
        <v>45</v>
      </c>
      <c r="G29" t="s">
        <v>137</v>
      </c>
      <c r="H29" s="1">
        <v>45829</v>
      </c>
      <c r="I29" s="1">
        <v>45859</v>
      </c>
      <c r="J29" t="s">
        <v>47</v>
      </c>
      <c r="L29" t="s">
        <v>48</v>
      </c>
      <c r="M29" s="2">
        <v>326.14</v>
      </c>
      <c r="N29">
        <v>6</v>
      </c>
      <c r="O29" s="3">
        <v>0.38</v>
      </c>
      <c r="P29" s="2">
        <v>743.6</v>
      </c>
      <c r="Q29" s="2">
        <f t="shared" si="0"/>
        <v>123.93333333333334</v>
      </c>
    </row>
    <row r="30" spans="1:17" x14ac:dyDescent="0.25">
      <c r="A30">
        <v>2029502683</v>
      </c>
      <c r="B30" t="s">
        <v>81</v>
      </c>
      <c r="C30" t="s">
        <v>82</v>
      </c>
      <c r="D30" s="5" t="s">
        <v>133</v>
      </c>
      <c r="E30" t="s">
        <v>83</v>
      </c>
      <c r="F30" t="s">
        <v>45</v>
      </c>
      <c r="G30" t="s">
        <v>137</v>
      </c>
      <c r="H30" s="1">
        <v>45829</v>
      </c>
      <c r="I30" s="1">
        <v>45859</v>
      </c>
      <c r="J30" t="s">
        <v>47</v>
      </c>
      <c r="L30" t="s">
        <v>48</v>
      </c>
      <c r="M30" s="2">
        <v>7.09</v>
      </c>
      <c r="N30">
        <v>6</v>
      </c>
      <c r="O30" s="3">
        <v>0.38</v>
      </c>
      <c r="P30" s="2">
        <v>16.170000000000002</v>
      </c>
      <c r="Q30" s="2">
        <f t="shared" si="0"/>
        <v>2.6950000000000003</v>
      </c>
    </row>
    <row r="31" spans="1:17" x14ac:dyDescent="0.25">
      <c r="A31">
        <v>2029511428</v>
      </c>
      <c r="B31" t="s">
        <v>86</v>
      </c>
      <c r="C31" t="s">
        <v>55</v>
      </c>
      <c r="D31" s="5" t="s">
        <v>133</v>
      </c>
      <c r="E31" t="s">
        <v>83</v>
      </c>
      <c r="F31" t="s">
        <v>45</v>
      </c>
      <c r="G31" t="s">
        <v>136</v>
      </c>
      <c r="H31" s="1">
        <v>45826</v>
      </c>
      <c r="I31" s="1">
        <v>45856</v>
      </c>
      <c r="J31" t="s">
        <v>47</v>
      </c>
      <c r="L31" t="s">
        <v>48</v>
      </c>
      <c r="M31" s="2">
        <v>11.5</v>
      </c>
      <c r="N31">
        <v>6</v>
      </c>
      <c r="O31" s="3">
        <v>0.7</v>
      </c>
      <c r="P31" s="2">
        <v>48.3</v>
      </c>
      <c r="Q31" s="2">
        <f t="shared" si="0"/>
        <v>8.0499999999999989</v>
      </c>
    </row>
    <row r="32" spans="1:17" x14ac:dyDescent="0.25">
      <c r="A32">
        <v>2029501114</v>
      </c>
      <c r="B32" t="s">
        <v>72</v>
      </c>
      <c r="C32" t="s">
        <v>55</v>
      </c>
      <c r="D32" s="5" t="s">
        <v>134</v>
      </c>
      <c r="E32" t="s">
        <v>73</v>
      </c>
      <c r="F32" t="s">
        <v>45</v>
      </c>
      <c r="G32" t="s">
        <v>136</v>
      </c>
      <c r="H32" s="1">
        <v>45839</v>
      </c>
      <c r="I32" s="1">
        <v>45870</v>
      </c>
      <c r="J32" t="s">
        <v>47</v>
      </c>
      <c r="L32" t="s">
        <v>48</v>
      </c>
      <c r="M32" s="2">
        <v>19</v>
      </c>
      <c r="N32">
        <v>6</v>
      </c>
      <c r="O32" s="3">
        <v>0.7</v>
      </c>
      <c r="P32" s="2">
        <v>79.8</v>
      </c>
      <c r="Q32" s="2">
        <f t="shared" si="0"/>
        <v>13.299999999999999</v>
      </c>
    </row>
    <row r="33" spans="1:17" x14ac:dyDescent="0.25">
      <c r="A33">
        <v>2029567229</v>
      </c>
      <c r="B33" t="s">
        <v>114</v>
      </c>
      <c r="C33" t="s">
        <v>43</v>
      </c>
      <c r="D33" s="5" t="s">
        <v>135</v>
      </c>
      <c r="E33" t="s">
        <v>115</v>
      </c>
      <c r="F33" t="s">
        <v>45</v>
      </c>
      <c r="G33" t="s">
        <v>139</v>
      </c>
      <c r="H33" s="1">
        <v>45829</v>
      </c>
      <c r="I33" s="1">
        <v>45859</v>
      </c>
      <c r="J33" t="s">
        <v>47</v>
      </c>
      <c r="L33" t="s">
        <v>48</v>
      </c>
      <c r="M33" s="2">
        <v>74.290000000000006</v>
      </c>
      <c r="N33">
        <v>6</v>
      </c>
      <c r="O33" s="3">
        <v>0.375</v>
      </c>
      <c r="P33" s="2">
        <v>167.15</v>
      </c>
      <c r="Q33" s="2">
        <f t="shared" si="0"/>
        <v>27.858333333333334</v>
      </c>
    </row>
    <row r="34" spans="1:17" x14ac:dyDescent="0.25">
      <c r="A34">
        <v>2029567227</v>
      </c>
      <c r="B34" t="s">
        <v>114</v>
      </c>
      <c r="C34" t="s">
        <v>43</v>
      </c>
      <c r="D34" s="5" t="s">
        <v>135</v>
      </c>
      <c r="E34" t="s">
        <v>115</v>
      </c>
      <c r="F34" t="s">
        <v>45</v>
      </c>
      <c r="G34" t="s">
        <v>136</v>
      </c>
      <c r="H34" s="1">
        <v>45829</v>
      </c>
      <c r="I34" s="1">
        <v>45859</v>
      </c>
      <c r="J34" t="s">
        <v>47</v>
      </c>
      <c r="L34" t="s">
        <v>48</v>
      </c>
      <c r="M34" s="2">
        <v>190.26</v>
      </c>
      <c r="N34">
        <v>6</v>
      </c>
      <c r="O34" s="3">
        <v>0.7</v>
      </c>
      <c r="P34" s="2">
        <v>799.09</v>
      </c>
      <c r="Q34" s="2">
        <f t="shared" si="0"/>
        <v>133.18166666666667</v>
      </c>
    </row>
    <row r="35" spans="1:17" x14ac:dyDescent="0.25">
      <c r="A35">
        <v>2029567228</v>
      </c>
      <c r="B35" t="s">
        <v>114</v>
      </c>
      <c r="C35" t="s">
        <v>43</v>
      </c>
      <c r="D35" s="5" t="s">
        <v>135</v>
      </c>
      <c r="E35" t="s">
        <v>115</v>
      </c>
      <c r="F35" t="s">
        <v>45</v>
      </c>
      <c r="G35" t="s">
        <v>140</v>
      </c>
      <c r="H35" s="1">
        <v>45829</v>
      </c>
      <c r="I35" s="1">
        <v>45859</v>
      </c>
      <c r="J35" t="s">
        <v>47</v>
      </c>
      <c r="L35" t="s">
        <v>48</v>
      </c>
      <c r="M35" s="2">
        <v>47.75</v>
      </c>
      <c r="N35">
        <v>6</v>
      </c>
      <c r="O35" s="3">
        <v>0.9</v>
      </c>
      <c r="P35" s="2">
        <v>257.85000000000002</v>
      </c>
      <c r="Q35" s="2">
        <f t="shared" si="0"/>
        <v>42.975000000000001</v>
      </c>
    </row>
    <row r="36" spans="1:17" x14ac:dyDescent="0.25">
      <c r="H36" s="1"/>
    </row>
    <row r="37" spans="1:17" x14ac:dyDescent="0.25">
      <c r="H37" s="1"/>
      <c r="M37" s="2"/>
      <c r="O37" s="3"/>
      <c r="P37" s="2"/>
    </row>
    <row r="38" spans="1:17" x14ac:dyDescent="0.25">
      <c r="H38" s="1"/>
      <c r="M38" s="2"/>
      <c r="O38" s="3"/>
      <c r="P38" s="2"/>
    </row>
    <row r="39" spans="1:17" x14ac:dyDescent="0.25">
      <c r="H39" s="1"/>
      <c r="M39" s="2"/>
      <c r="O39" s="3"/>
      <c r="P39" s="2"/>
    </row>
    <row r="40" spans="1:17" x14ac:dyDescent="0.25">
      <c r="H40" s="1"/>
      <c r="M40" s="2"/>
      <c r="O40" s="3"/>
      <c r="P40" s="2"/>
    </row>
    <row r="41" spans="1:17" x14ac:dyDescent="0.25">
      <c r="H41" s="1"/>
      <c r="M41" s="2"/>
      <c r="O41" s="3"/>
      <c r="P41" s="2"/>
    </row>
    <row r="42" spans="1:17" x14ac:dyDescent="0.25">
      <c r="H42" s="1"/>
      <c r="M42" s="2"/>
      <c r="O42" s="3"/>
      <c r="P42" s="2"/>
    </row>
    <row r="43" spans="1:17" x14ac:dyDescent="0.25">
      <c r="H43" s="1"/>
      <c r="M43" s="2"/>
      <c r="O43" s="3"/>
      <c r="P43" s="2"/>
    </row>
    <row r="44" spans="1:17" x14ac:dyDescent="0.25">
      <c r="H44" s="1"/>
      <c r="M44" s="2"/>
      <c r="O44" s="3"/>
      <c r="P44" s="2"/>
    </row>
    <row r="45" spans="1:17" x14ac:dyDescent="0.25">
      <c r="H45" s="1"/>
      <c r="M45" s="2"/>
      <c r="O45" s="3"/>
      <c r="P45" s="2"/>
    </row>
    <row r="46" spans="1:17" x14ac:dyDescent="0.25">
      <c r="H46" s="1"/>
      <c r="M46" s="2"/>
      <c r="O46" s="3"/>
      <c r="P46" s="2"/>
    </row>
    <row r="47" spans="1:17" x14ac:dyDescent="0.25">
      <c r="H47" s="1"/>
      <c r="M47" s="2"/>
      <c r="O47" s="3"/>
      <c r="P47" s="2"/>
    </row>
    <row r="48" spans="1:17" x14ac:dyDescent="0.25">
      <c r="H48" s="1"/>
      <c r="M48" s="2"/>
      <c r="O48" s="3"/>
      <c r="P48" s="2"/>
    </row>
    <row r="49" spans="8:16" x14ac:dyDescent="0.25">
      <c r="H49" s="1"/>
      <c r="M49" s="2"/>
      <c r="O49" s="3"/>
      <c r="P49" s="2"/>
    </row>
    <row r="50" spans="8:16" x14ac:dyDescent="0.25">
      <c r="H50" s="1"/>
      <c r="M50" s="2"/>
      <c r="O50" s="3"/>
      <c r="P50" s="2"/>
    </row>
    <row r="51" spans="8:16" x14ac:dyDescent="0.25">
      <c r="H51" s="1"/>
      <c r="M51" s="2"/>
      <c r="O51" s="3"/>
      <c r="P51" s="2"/>
    </row>
    <row r="52" spans="8:16" x14ac:dyDescent="0.25">
      <c r="H52" s="1"/>
      <c r="M52" s="2"/>
      <c r="O52" s="3"/>
      <c r="P52" s="2"/>
    </row>
    <row r="53" spans="8:16" x14ac:dyDescent="0.25">
      <c r="H53" s="1"/>
      <c r="M53" s="2"/>
      <c r="O53" s="3"/>
      <c r="P53" s="2"/>
    </row>
    <row r="54" spans="8:16" x14ac:dyDescent="0.25">
      <c r="H54" s="1"/>
      <c r="M54" s="2"/>
      <c r="O54" s="3"/>
      <c r="P54" s="2"/>
    </row>
    <row r="55" spans="8:16" x14ac:dyDescent="0.25">
      <c r="H55" s="1"/>
      <c r="M55" s="2"/>
      <c r="O55" s="3"/>
      <c r="P55" s="2"/>
    </row>
    <row r="56" spans="8:16" x14ac:dyDescent="0.25">
      <c r="H56" s="1"/>
      <c r="M56" s="2"/>
      <c r="O56" s="3"/>
      <c r="P56" s="2"/>
    </row>
    <row r="57" spans="8:16" x14ac:dyDescent="0.25">
      <c r="H57" s="1"/>
      <c r="M57" s="2"/>
      <c r="O57" s="3"/>
      <c r="P57" s="2"/>
    </row>
    <row r="58" spans="8:16" x14ac:dyDescent="0.25">
      <c r="H58" s="1"/>
      <c r="M58" s="2"/>
      <c r="O58" s="3"/>
      <c r="P58" s="2"/>
    </row>
    <row r="59" spans="8:16" x14ac:dyDescent="0.25">
      <c r="H59" s="1"/>
      <c r="M59" s="2"/>
      <c r="O59" s="3"/>
      <c r="P59" s="2"/>
    </row>
    <row r="60" spans="8:16" x14ac:dyDescent="0.25">
      <c r="H60" s="1"/>
      <c r="M60" s="2"/>
      <c r="O60" s="3"/>
      <c r="P60" s="2"/>
    </row>
    <row r="61" spans="8:16" x14ac:dyDescent="0.25">
      <c r="H61" s="1"/>
      <c r="M61" s="2"/>
      <c r="O61" s="3"/>
      <c r="P61" s="2"/>
    </row>
    <row r="62" spans="8:16" x14ac:dyDescent="0.25">
      <c r="H62" s="1"/>
      <c r="M62" s="2"/>
      <c r="O62" s="3"/>
      <c r="P62" s="2"/>
    </row>
  </sheetData>
  <sortState xmlns:xlrd2="http://schemas.microsoft.com/office/spreadsheetml/2017/richdata2" ref="A2:Y63">
    <sortCondition ref="A2:A6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D928C-27D2-4277-8E0A-FFD173D01F07}">
  <dimension ref="A1:B34"/>
  <sheetViews>
    <sheetView workbookViewId="0">
      <selection activeCell="B1" sqref="B1:B34"/>
    </sheetView>
  </sheetViews>
  <sheetFormatPr defaultRowHeight="15" x14ac:dyDescent="0.25"/>
  <sheetData>
    <row r="1" spans="1:2" x14ac:dyDescent="0.25">
      <c r="A1" s="1">
        <v>45828</v>
      </c>
      <c r="B1" s="1">
        <f>DATE(YEAR(A1), MONTH(A1) +1, DAY(A1))</f>
        <v>45858</v>
      </c>
    </row>
    <row r="2" spans="1:2" x14ac:dyDescent="0.25">
      <c r="A2" s="1">
        <v>45825</v>
      </c>
      <c r="B2" s="1">
        <f t="shared" ref="B2:B34" si="0">DATE(YEAR(A2), MONTH(A2) +1, DAY(A2))</f>
        <v>45855</v>
      </c>
    </row>
    <row r="3" spans="1:2" x14ac:dyDescent="0.25">
      <c r="A3" s="1">
        <v>45825</v>
      </c>
      <c r="B3" s="1">
        <f t="shared" si="0"/>
        <v>45855</v>
      </c>
    </row>
    <row r="4" spans="1:2" x14ac:dyDescent="0.25">
      <c r="A4" s="1">
        <v>45825</v>
      </c>
      <c r="B4" s="1">
        <f t="shared" si="0"/>
        <v>45855</v>
      </c>
    </row>
    <row r="5" spans="1:2" x14ac:dyDescent="0.25">
      <c r="A5" s="1">
        <v>45825</v>
      </c>
      <c r="B5" s="1">
        <f t="shared" si="0"/>
        <v>45855</v>
      </c>
    </row>
    <row r="6" spans="1:2" x14ac:dyDescent="0.25">
      <c r="A6" s="1">
        <v>45828</v>
      </c>
      <c r="B6" s="1">
        <f t="shared" si="0"/>
        <v>45858</v>
      </c>
    </row>
    <row r="7" spans="1:2" x14ac:dyDescent="0.25">
      <c r="A7" s="1">
        <v>45828</v>
      </c>
      <c r="B7" s="1">
        <f t="shared" si="0"/>
        <v>45858</v>
      </c>
    </row>
    <row r="8" spans="1:2" x14ac:dyDescent="0.25">
      <c r="A8" s="1">
        <v>45829</v>
      </c>
      <c r="B8" s="1">
        <f t="shared" si="0"/>
        <v>45859</v>
      </c>
    </row>
    <row r="9" spans="1:2" x14ac:dyDescent="0.25">
      <c r="A9" s="1">
        <v>45829</v>
      </c>
      <c r="B9" s="1">
        <f t="shared" si="0"/>
        <v>45859</v>
      </c>
    </row>
    <row r="10" spans="1:2" x14ac:dyDescent="0.25">
      <c r="A10" s="1">
        <v>45839</v>
      </c>
      <c r="B10" s="1">
        <f t="shared" si="0"/>
        <v>45870</v>
      </c>
    </row>
    <row r="11" spans="1:2" x14ac:dyDescent="0.25">
      <c r="A11" s="1">
        <v>45839</v>
      </c>
      <c r="B11" s="1">
        <f t="shared" si="0"/>
        <v>45870</v>
      </c>
    </row>
    <row r="12" spans="1:2" x14ac:dyDescent="0.25">
      <c r="A12" s="1">
        <v>45839</v>
      </c>
      <c r="B12" s="1">
        <f t="shared" si="0"/>
        <v>45870</v>
      </c>
    </row>
    <row r="13" spans="1:2" x14ac:dyDescent="0.25">
      <c r="A13" s="1">
        <v>45839</v>
      </c>
      <c r="B13" s="1">
        <f t="shared" si="0"/>
        <v>45870</v>
      </c>
    </row>
    <row r="14" spans="1:2" x14ac:dyDescent="0.25">
      <c r="A14" s="1">
        <v>45829</v>
      </c>
      <c r="B14" s="1">
        <f t="shared" si="0"/>
        <v>45859</v>
      </c>
    </row>
    <row r="15" spans="1:2" x14ac:dyDescent="0.25">
      <c r="A15" s="1">
        <v>45829</v>
      </c>
      <c r="B15" s="1">
        <f t="shared" si="0"/>
        <v>45859</v>
      </c>
    </row>
    <row r="16" spans="1:2" x14ac:dyDescent="0.25">
      <c r="A16" s="1">
        <v>45829</v>
      </c>
      <c r="B16" s="1">
        <f t="shared" si="0"/>
        <v>45859</v>
      </c>
    </row>
    <row r="17" spans="1:2" x14ac:dyDescent="0.25">
      <c r="A17" s="1">
        <v>45829</v>
      </c>
      <c r="B17" s="1">
        <f t="shared" si="0"/>
        <v>45859</v>
      </c>
    </row>
    <row r="18" spans="1:2" x14ac:dyDescent="0.25">
      <c r="A18" s="1">
        <v>45829</v>
      </c>
      <c r="B18" s="1">
        <f t="shared" si="0"/>
        <v>45859</v>
      </c>
    </row>
    <row r="19" spans="1:2" x14ac:dyDescent="0.25">
      <c r="A19" s="1">
        <v>45827</v>
      </c>
      <c r="B19" s="1">
        <f t="shared" si="0"/>
        <v>45857</v>
      </c>
    </row>
    <row r="20" spans="1:2" x14ac:dyDescent="0.25">
      <c r="A20" s="1">
        <v>45827</v>
      </c>
      <c r="B20" s="1">
        <f t="shared" si="0"/>
        <v>45857</v>
      </c>
    </row>
    <row r="21" spans="1:2" x14ac:dyDescent="0.25">
      <c r="A21" s="1">
        <v>45827</v>
      </c>
      <c r="B21" s="1">
        <f t="shared" si="0"/>
        <v>45857</v>
      </c>
    </row>
    <row r="22" spans="1:2" x14ac:dyDescent="0.25">
      <c r="A22" s="1">
        <v>45825</v>
      </c>
      <c r="B22" s="1">
        <f t="shared" si="0"/>
        <v>45855</v>
      </c>
    </row>
    <row r="23" spans="1:2" x14ac:dyDescent="0.25">
      <c r="A23" s="1">
        <v>45825</v>
      </c>
      <c r="B23" s="1">
        <f t="shared" si="0"/>
        <v>45855</v>
      </c>
    </row>
    <row r="24" spans="1:2" x14ac:dyDescent="0.25">
      <c r="A24" s="1">
        <v>45828</v>
      </c>
      <c r="B24" s="1">
        <f t="shared" si="0"/>
        <v>45858</v>
      </c>
    </row>
    <row r="25" spans="1:2" x14ac:dyDescent="0.25">
      <c r="A25" s="1">
        <v>45839</v>
      </c>
      <c r="B25" s="1">
        <f t="shared" si="0"/>
        <v>45870</v>
      </c>
    </row>
    <row r="26" spans="1:2" x14ac:dyDescent="0.25">
      <c r="A26" s="1">
        <v>45829</v>
      </c>
      <c r="B26" s="1">
        <f t="shared" si="0"/>
        <v>45859</v>
      </c>
    </row>
    <row r="27" spans="1:2" x14ac:dyDescent="0.25">
      <c r="A27" s="1">
        <v>45829</v>
      </c>
      <c r="B27" s="1">
        <f t="shared" si="0"/>
        <v>45859</v>
      </c>
    </row>
    <row r="28" spans="1:2" x14ac:dyDescent="0.25">
      <c r="A28" s="1">
        <v>45829</v>
      </c>
      <c r="B28" s="1">
        <f t="shared" si="0"/>
        <v>45859</v>
      </c>
    </row>
    <row r="29" spans="1:2" x14ac:dyDescent="0.25">
      <c r="A29" s="1">
        <v>45826</v>
      </c>
      <c r="B29" s="1">
        <f t="shared" si="0"/>
        <v>45856</v>
      </c>
    </row>
    <row r="30" spans="1:2" x14ac:dyDescent="0.25">
      <c r="A30" s="1">
        <v>45826</v>
      </c>
      <c r="B30" s="1">
        <f t="shared" si="0"/>
        <v>45856</v>
      </c>
    </row>
    <row r="31" spans="1:2" x14ac:dyDescent="0.25">
      <c r="A31" s="1">
        <v>45839</v>
      </c>
      <c r="B31" s="1">
        <f t="shared" si="0"/>
        <v>45870</v>
      </c>
    </row>
    <row r="32" spans="1:2" x14ac:dyDescent="0.25">
      <c r="A32" s="1">
        <v>45829</v>
      </c>
      <c r="B32" s="1">
        <f t="shared" si="0"/>
        <v>45859</v>
      </c>
    </row>
    <row r="33" spans="1:2" x14ac:dyDescent="0.25">
      <c r="A33" s="1">
        <v>45829</v>
      </c>
      <c r="B33" s="1">
        <f t="shared" si="0"/>
        <v>45859</v>
      </c>
    </row>
    <row r="34" spans="1:2" x14ac:dyDescent="0.25">
      <c r="A34" s="1">
        <v>45829</v>
      </c>
      <c r="B34" s="1">
        <f t="shared" si="0"/>
        <v>45859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649163__Newbusiness_NEW_BUSINES</vt:lpstr>
      <vt:lpstr>clean sheet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2025-06-30T14:14:11Z</dcterms:created>
  <dcterms:modified xsi:type="dcterms:W3CDTF">2025-07-18T14:11:40Z</dcterms:modified>
</cp:coreProperties>
</file>