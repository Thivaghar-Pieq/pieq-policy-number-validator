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Allstate\2025\NB\04-07-25\"/>
    </mc:Choice>
  </mc:AlternateContent>
  <xr:revisionPtr revIDLastSave="0" documentId="13_ncr:1_{B64C3E98-80BA-48FC-88B7-992DE071C006}" xr6:coauthVersionLast="47" xr6:coauthVersionMax="47" xr10:uidLastSave="{00000000-0000-0000-0000-000000000000}"/>
  <bookViews>
    <workbookView xWindow="-57720" yWindow="-45" windowWidth="29040" windowHeight="15720" activeTab="1" xr2:uid="{00000000-000D-0000-FFFF-FFFF00000000}"/>
  </bookViews>
  <sheets>
    <sheet name="All State NB 4-7-25" sheetId="1" r:id="rId1"/>
    <sheet name="clean sheet" sheetId="2" r:id="rId2"/>
  </sheets>
  <definedNames>
    <definedName name="_xlnm._FilterDatabase" localSheetId="1" hidden="1">'clean sheet'!$A$1:$S$51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R14" i="2" l="1"/>
  <c r="R2" i="2"/>
  <c r="R3" i="2"/>
  <c r="R17" i="2"/>
  <c r="R24" i="2"/>
  <c r="R4" i="2"/>
  <c r="R5" i="2"/>
  <c r="R6" i="2"/>
  <c r="R21" i="2"/>
  <c r="R7" i="2"/>
  <c r="R8" i="2"/>
  <c r="R11" i="2"/>
  <c r="R12" i="2"/>
  <c r="R15" i="2"/>
  <c r="R16" i="2"/>
  <c r="R18" i="2"/>
  <c r="R19" i="2"/>
  <c r="R25" i="2"/>
  <c r="R26" i="2"/>
  <c r="R28" i="2"/>
  <c r="R30" i="2"/>
  <c r="R31" i="2"/>
  <c r="R32" i="2"/>
  <c r="R38" i="2"/>
  <c r="R40" i="2"/>
  <c r="R42" i="2"/>
  <c r="R43" i="2"/>
  <c r="R44" i="2"/>
  <c r="R45" i="2"/>
  <c r="R51" i="2"/>
  <c r="R9" i="2"/>
  <c r="R13" i="2"/>
  <c r="R20" i="2"/>
  <c r="R22" i="2"/>
  <c r="R27" i="2"/>
  <c r="R29" i="2"/>
  <c r="R33" i="2"/>
  <c r="R34" i="2"/>
  <c r="R35" i="2"/>
  <c r="R36" i="2"/>
  <c r="R37" i="2"/>
  <c r="R39" i="2"/>
  <c r="R41" i="2"/>
  <c r="R46" i="2"/>
  <c r="R23" i="2"/>
  <c r="R47" i="2"/>
  <c r="R48" i="2"/>
  <c r="R49" i="2"/>
  <c r="R50" i="2"/>
  <c r="R10" i="2"/>
</calcChain>
</file>

<file path=xl/sharedStrings.xml><?xml version="1.0" encoding="utf-8"?>
<sst xmlns="http://schemas.openxmlformats.org/spreadsheetml/2006/main" count="1715" uniqueCount="204">
  <si>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</si>
  <si>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</si>
  <si>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</si>
  <si>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</si>
  <si>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</si>
  <si>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</si>
  <si>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</si>
  <si>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</si>
  <si>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</si>
  <si>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</si>
  <si>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</si>
  <si>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</si>
  <si>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</si>
  <si>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</si>
  <si>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</si>
  <si>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</si>
  <si>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</si>
  <si>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</si>
  <si>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</si>
  <si>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</si>
  <si>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</si>
  <si>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</si>
  <si>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</si>
  <si>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</si>
  <si>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Collected Premium</t>
  </si>
  <si>
    <t>Commissionable</t>
  </si>
  <si>
    <t>Months Advanced</t>
  </si>
  <si>
    <t>Commission Rate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</si>
  <si>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</si>
  <si>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</si>
  <si>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</si>
  <si>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</si>
  <si>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</si>
  <si>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</si>
  <si>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</si>
  <si>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</si>
  <si>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</si>
  <si>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</si>
  <si>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NB</t>
  </si>
  <si>
    <t>NGIS</t>
  </si>
  <si>
    <t>NGIS-NHIC</t>
  </si>
  <si>
    <t>JASON HOFFMANN</t>
  </si>
  <si>
    <t>BONITA SKIDMORE</t>
  </si>
  <si>
    <t>PA</t>
  </si>
  <si>
    <t>DEBORAH INSKIPT</t>
  </si>
  <si>
    <t>Active</t>
  </si>
  <si>
    <t>NHIC Dental 2020 DVH 65+</t>
  </si>
  <si>
    <t>Monthly</t>
  </si>
  <si>
    <t>AV</t>
  </si>
  <si>
    <t>KEOKHONGKHA THAMMONTRI</t>
  </si>
  <si>
    <t>IL</t>
  </si>
  <si>
    <t>PATSAMON THANADABOUTH</t>
  </si>
  <si>
    <t>Plan Enhancer 20214</t>
  </si>
  <si>
    <t>SELECT DENTAL 29304</t>
  </si>
  <si>
    <t>LORI BENSON</t>
  </si>
  <si>
    <t>MO</t>
  </si>
  <si>
    <t>GREGORY TEIPEL</t>
  </si>
  <si>
    <t>Cancer and Heart/Stroke 20231</t>
  </si>
  <si>
    <t>GINA CHRISTALDI</t>
  </si>
  <si>
    <t>FL</t>
  </si>
  <si>
    <t>RYAN CALTAGIRONE</t>
  </si>
  <si>
    <t>Cancer and Heart/Stroke 20231 CO-FL-MN-MI</t>
  </si>
  <si>
    <t>LISA RAWDING</t>
  </si>
  <si>
    <t>FREDRICK THOMAS</t>
  </si>
  <si>
    <t>AL</t>
  </si>
  <si>
    <t>Critical Illness w/ Term Life 21677</t>
  </si>
  <si>
    <t>JORDAN PERSON</t>
  </si>
  <si>
    <t>SD</t>
  </si>
  <si>
    <t>Accident Fixed Benefit</t>
  </si>
  <si>
    <t>NHIC LM 2021 Hospital Expense Protection U65</t>
  </si>
  <si>
    <t>OLIVE ADDISON</t>
  </si>
  <si>
    <t>CAROL FOLEY</t>
  </si>
  <si>
    <t>MICHAEL CAMPANELLA</t>
  </si>
  <si>
    <t>ANDREA PETRUNGARO</t>
  </si>
  <si>
    <t>NHIC MedSupp 2022 IL Plan F G Age 65-80</t>
  </si>
  <si>
    <t>MARY KLUVER</t>
  </si>
  <si>
    <t>WI</t>
  </si>
  <si>
    <t>CHRISTIAN TAUGNER</t>
  </si>
  <si>
    <t>LISA KRALLIS</t>
  </si>
  <si>
    <t>ANNE MARIE KOZACHECK</t>
  </si>
  <si>
    <t>TrioMED 15k 15285</t>
  </si>
  <si>
    <t>FORRY ENGLE</t>
  </si>
  <si>
    <t>KY</t>
  </si>
  <si>
    <t>TrioMED 30k 15307</t>
  </si>
  <si>
    <t>DONALD BARTRAM</t>
  </si>
  <si>
    <t>MT</t>
  </si>
  <si>
    <t>Term Life 21673</t>
  </si>
  <si>
    <t>ELVIRA BORODINA</t>
  </si>
  <si>
    <t>TX</t>
  </si>
  <si>
    <t>BRIDGER BARTRAM</t>
  </si>
  <si>
    <t>TRACY PHILLIPS</t>
  </si>
  <si>
    <t>MATTHEW DAUGHERTY</t>
  </si>
  <si>
    <t>RYAN OBERG</t>
  </si>
  <si>
    <t>Dental Indemnity 21618</t>
  </si>
  <si>
    <t>SANDRA BOWIE</t>
  </si>
  <si>
    <t>BRIAN BOWIE</t>
  </si>
  <si>
    <t>JACQUELINE KINDRED</t>
  </si>
  <si>
    <t>JONAH SCHWARTZ</t>
  </si>
  <si>
    <t>GREGG ARENSON</t>
  </si>
  <si>
    <t>STEPHEN REYNOLDS</t>
  </si>
  <si>
    <t>DALE WALENGA</t>
  </si>
  <si>
    <t>NHIC MedSupp 2022 IL Plan N Age 65-80</t>
  </si>
  <si>
    <t>LORI WUTHRICH</t>
  </si>
  <si>
    <t>IN</t>
  </si>
  <si>
    <t>ANGELA EDWARDS</t>
  </si>
  <si>
    <t>CHRISTOPHER BROUSSEAU</t>
  </si>
  <si>
    <t>ADAM WILKINS</t>
  </si>
  <si>
    <t>TrioMED Accident and CI 14939</t>
  </si>
  <si>
    <t>RYAN BROWN</t>
  </si>
  <si>
    <t>AZ</t>
  </si>
  <si>
    <t>KIRK TIGUE</t>
  </si>
  <si>
    <t>DEBORAH OAKMAN</t>
  </si>
  <si>
    <t>JACKSON KRAMER</t>
  </si>
  <si>
    <t>JAKE SHULMAN</t>
  </si>
  <si>
    <t>JAMES SNIVELY</t>
  </si>
  <si>
    <t>VIRGINIA HART</t>
  </si>
  <si>
    <t>KARL CHRISTMANN</t>
  </si>
  <si>
    <t>KS</t>
  </si>
  <si>
    <t>ANDREW DRESHER</t>
  </si>
  <si>
    <t>LANDON LIVELY</t>
  </si>
  <si>
    <t>DEBRA DAVIS</t>
  </si>
  <si>
    <t>ROBERT SCHLESS</t>
  </si>
  <si>
    <t>JONATHAN DEVENS</t>
  </si>
  <si>
    <t>CORY BLAIR</t>
  </si>
  <si>
    <t>DYLAN ROESCH</t>
  </si>
  <si>
    <t>GRACE RYAN</t>
  </si>
  <si>
    <t>THOMAS PARDUE</t>
  </si>
  <si>
    <t>STEPHEN RYAN</t>
  </si>
  <si>
    <t>JOHN CAUSE</t>
  </si>
  <si>
    <t>AMBE OGADAKO</t>
  </si>
  <si>
    <t>JOHNATHAN MEDINA</t>
  </si>
  <si>
    <t>JOHN ROKEN</t>
  </si>
  <si>
    <t>GARY SHUST</t>
  </si>
  <si>
    <t>BRIAN STROHMAN</t>
  </si>
  <si>
    <t>IFEANYICHUKWU METUIWE</t>
  </si>
  <si>
    <t>BRITTANY LABORDE</t>
  </si>
  <si>
    <t>CO</t>
  </si>
  <si>
    <t>HEATHER MILLER</t>
  </si>
  <si>
    <t>ANDRII FEDORENKO</t>
  </si>
  <si>
    <t>COLLEEN FINNIGAN</t>
  </si>
  <si>
    <t>AURELIO HERNANDEZ</t>
  </si>
  <si>
    <t>MICHAEL LATTANZIO</t>
  </si>
  <si>
    <t>BARRY SCHUMANN</t>
  </si>
  <si>
    <t>RUSSELL KRAMER-KAHNY</t>
  </si>
  <si>
    <t>B JOHNSON</t>
  </si>
  <si>
    <t>ANDREW CHOI</t>
  </si>
  <si>
    <t>RICHARD GARCIA</t>
  </si>
  <si>
    <t>RICHARD YALE</t>
  </si>
  <si>
    <t>MELISSA GOZALES</t>
  </si>
  <si>
    <t>NOE NINO</t>
  </si>
  <si>
    <t>LAURA RESENDEZ</t>
  </si>
  <si>
    <t>VICTOR FUENTES</t>
  </si>
  <si>
    <t>WILLIAM WOZNEY</t>
  </si>
  <si>
    <t>KIMBERLY COCCOMO</t>
  </si>
  <si>
    <t>SC</t>
  </si>
  <si>
    <t>LEOLA ROBINSON-MONDESIR</t>
  </si>
  <si>
    <t>BARRY BRENNER</t>
  </si>
  <si>
    <t>TAMEKA HOWARD</t>
  </si>
  <si>
    <t>JAMES ALLEN</t>
  </si>
  <si>
    <t>ELISE PEGRAM</t>
  </si>
  <si>
    <t>Allstate Health Access</t>
  </si>
  <si>
    <t>AV6</t>
  </si>
  <si>
    <t>Allstate Recuro RX Discount Card</t>
  </si>
  <si>
    <t>DIANA HUIZAR-BURTON</t>
  </si>
  <si>
    <t>DAVID HUIZAR</t>
  </si>
  <si>
    <t>CHRISTINA FASANO</t>
  </si>
  <si>
    <t>ANTHONY HUNSBERGER</t>
  </si>
  <si>
    <t>CRISTIAN TORRES</t>
  </si>
  <si>
    <t>JULIE KACZMAREK</t>
  </si>
  <si>
    <t>FRANK LISKOVEC</t>
  </si>
  <si>
    <t>MARIA CARR</t>
  </si>
  <si>
    <t>ELIZABETH GRAHAM</t>
  </si>
  <si>
    <t>GREGORY HANSFORD</t>
  </si>
  <si>
    <t>GREGORY GASTLEY</t>
  </si>
  <si>
    <t>VALERIE CROSS</t>
  </si>
  <si>
    <t>SHANTA HULL</t>
  </si>
  <si>
    <t>GA</t>
  </si>
  <si>
    <t>RICHARD SECHSER</t>
  </si>
  <si>
    <t>Allstate Cancer and Heart-Stroke 20231</t>
  </si>
  <si>
    <t>Allstate NHIC Dental 2020 DVH 65+</t>
  </si>
  <si>
    <t>Allstate NHIC LM 2021 Hospital Expense Protection U65</t>
  </si>
  <si>
    <t>Allstate NHIC MedSupp 2022 Plan F G Age 65-80</t>
  </si>
  <si>
    <t>Allstate NHIC MedSupp 2022 Plan N Age 65-80</t>
  </si>
  <si>
    <t>Allstate Plan Enhancer 20214</t>
  </si>
  <si>
    <t>Allstate SELECT DENTAL 29304</t>
  </si>
  <si>
    <t>Allstate Term Life 21673</t>
  </si>
  <si>
    <t>Commission</t>
  </si>
  <si>
    <t>16912722AV6</t>
  </si>
  <si>
    <t>7470776AV6</t>
  </si>
  <si>
    <t>7146581AV6</t>
  </si>
  <si>
    <t>19586992AV6</t>
  </si>
  <si>
    <t>21104854AV6</t>
  </si>
  <si>
    <t>19681796AV6</t>
  </si>
  <si>
    <t>8325282AV6</t>
  </si>
  <si>
    <t>8814784AV6</t>
  </si>
  <si>
    <t>17094718AV6</t>
  </si>
  <si>
    <t>16865615AV6</t>
  </si>
  <si>
    <t>18201929AV6</t>
  </si>
  <si>
    <t>17143996AV6</t>
  </si>
  <si>
    <t>21421111AV6</t>
  </si>
  <si>
    <t>8405446AV6</t>
  </si>
  <si>
    <t>16633294AV6</t>
  </si>
  <si>
    <t>371819AV6</t>
  </si>
  <si>
    <t>21283956AV6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</si>
</sst>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6">
    <xf numFmtId="0" fontId="0" fillId="0" borderId="0" xfId="0"/>
    <xf numFmtId="14" fontId="0" fillId="0" borderId="0" xfId="0" applyNumberFormat="1"/>
    <xf numFmtId="8" fontId="0" fillId="0" borderId="0" xfId="0" applyNumberFormat="1"/>
    <xf numFmtId="10" fontId="0" fillId="0" borderId="0" xfId="0" applyNumberFormat="1"/>
    <xf numFmtId="11" fontId="0" fillId="0" borderId="0" xfId="0" applyNumberFormat="1"/>
    <xf numFmtId="0" fontId="0" fillId="33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120"/>
  <sheetViews>
    <sheetView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0.42578125" bestFit="1" customWidth="1"/>
    <col min="6" max="6" width="8.5703125" bestFit="1" customWidth="1"/>
    <col min="7" max="7" width="9.42578125" bestFit="1" customWidth="1"/>
    <col min="8" max="8" width="18.140625" bestFit="1" customWidth="1"/>
    <col min="9" max="9" width="14.140625" bestFit="1" customWidth="1"/>
    <col min="10" max="10" width="28.425781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7.28515625" bestFit="1" customWidth="1"/>
    <col min="17" max="17" width="12.140625" bestFit="1" customWidth="1"/>
    <col min="18" max="18" width="43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8.28515625" bestFit="1" customWidth="1"/>
    <col min="26" max="26" width="15.85546875" bestFit="1" customWidth="1"/>
    <col min="27" max="27" width="17" bestFit="1" customWidth="1"/>
    <col min="28" max="28" width="16.42578125" bestFit="1" customWidth="1"/>
    <col min="29" max="29" width="17.42578125" bestFit="1" customWidth="1"/>
    <col min="30" max="30" width="11.5703125" bestFit="1" customWidth="1"/>
    <col min="31" max="31" width="14.85546875" bestFit="1" customWidth="1"/>
    <col min="32" max="32" width="9.7109375" bestFit="1" customWidth="1"/>
    <col min="33" max="33" width="13.140625" bestFit="1" customWidth="1"/>
    <col min="34" max="34" width="18.7109375" bestFit="1" customWidth="1"/>
    <col min="35" max="35" width="18.28515625" bestFit="1" customWidth="1"/>
    <col min="36" max="36" width="11.140625" bestFit="1" customWidth="1"/>
    <col min="37" max="37" width="13.5703125" bestFit="1" customWidth="1"/>
    <col min="38" max="38" width="16.140625" bestFit="1" customWidth="1"/>
  </cols>
  <sheetData>
    <row r="1" spans="1:38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</row>
    <row r="2" spans="1:38" x14ac:dyDescent="0.25">
      <c r="A2" s="1">
        <v>45758</v>
      </c>
      <c r="B2" s="1">
        <v>45754</v>
      </c>
      <c r="C2" t="s">
        <v>38</v>
      </c>
      <c r="D2" t="s">
        <v>39</v>
      </c>
      <c r="E2" t="s">
        <v>40</v>
      </c>
      <c r="F2">
        <v>649163</v>
      </c>
      <c r="G2">
        <v>20411454</v>
      </c>
      <c r="H2" t="s">
        <v>41</v>
      </c>
      <c r="I2">
        <v>2027050882</v>
      </c>
      <c r="J2" t="s">
        <v>42</v>
      </c>
      <c r="M2" t="s">
        <v>43</v>
      </c>
      <c r="O2">
        <v>728134</v>
      </c>
      <c r="P2" t="s">
        <v>44</v>
      </c>
      <c r="Q2" t="s">
        <v>45</v>
      </c>
      <c r="R2" t="s">
        <v>46</v>
      </c>
      <c r="S2" s="1">
        <v>45748</v>
      </c>
      <c r="U2" t="s">
        <v>47</v>
      </c>
      <c r="X2" t="s">
        <v>48</v>
      </c>
      <c r="Y2" s="2">
        <v>87.59</v>
      </c>
      <c r="Z2" s="2">
        <v>87.59</v>
      </c>
      <c r="AA2">
        <v>0</v>
      </c>
      <c r="AB2" s="3">
        <v>0.47</v>
      </c>
      <c r="AC2" s="2">
        <v>0</v>
      </c>
      <c r="AD2" s="3">
        <v>0</v>
      </c>
      <c r="AE2" s="2">
        <v>0</v>
      </c>
      <c r="AF2" s="2">
        <v>0</v>
      </c>
      <c r="AK2" s="4">
        <v>18451560</v>
      </c>
    </row>
    <row r="3" spans="1:38" x14ac:dyDescent="0.25">
      <c r="A3" s="1">
        <v>45758</v>
      </c>
      <c r="B3" s="1">
        <v>45754</v>
      </c>
      <c r="C3" t="s">
        <v>38</v>
      </c>
      <c r="D3" t="s">
        <v>39</v>
      </c>
      <c r="E3" t="s">
        <v>40</v>
      </c>
      <c r="F3">
        <v>649163</v>
      </c>
      <c r="G3">
        <v>20411454</v>
      </c>
      <c r="H3" t="s">
        <v>41</v>
      </c>
      <c r="I3">
        <v>2027206189</v>
      </c>
      <c r="J3" t="s">
        <v>49</v>
      </c>
      <c r="M3" t="s">
        <v>50</v>
      </c>
      <c r="O3">
        <v>789909</v>
      </c>
      <c r="P3" t="s">
        <v>51</v>
      </c>
      <c r="Q3" t="s">
        <v>45</v>
      </c>
      <c r="R3" t="s">
        <v>52</v>
      </c>
      <c r="S3" s="1">
        <v>45748</v>
      </c>
      <c r="U3" t="s">
        <v>47</v>
      </c>
      <c r="X3" t="s">
        <v>48</v>
      </c>
      <c r="Y3" s="2">
        <v>42.38</v>
      </c>
      <c r="Z3" s="2">
        <v>42.38</v>
      </c>
      <c r="AA3">
        <v>0</v>
      </c>
      <c r="AB3" s="3">
        <v>0.7</v>
      </c>
      <c r="AC3" s="2">
        <v>0</v>
      </c>
      <c r="AD3" s="3">
        <v>0</v>
      </c>
      <c r="AE3" s="2">
        <v>0</v>
      </c>
      <c r="AF3" s="2">
        <v>0</v>
      </c>
      <c r="AK3" s="4">
        <v>18434380</v>
      </c>
    </row>
    <row r="4" spans="1:38" x14ac:dyDescent="0.25">
      <c r="A4" s="1">
        <v>45758</v>
      </c>
      <c r="B4" s="1">
        <v>45754</v>
      </c>
      <c r="C4" t="s">
        <v>38</v>
      </c>
      <c r="D4" t="s">
        <v>39</v>
      </c>
      <c r="E4" t="s">
        <v>40</v>
      </c>
      <c r="F4">
        <v>649163</v>
      </c>
      <c r="G4">
        <v>20411454</v>
      </c>
      <c r="H4" t="s">
        <v>41</v>
      </c>
      <c r="I4">
        <v>2027206190</v>
      </c>
      <c r="J4" t="s">
        <v>49</v>
      </c>
      <c r="M4" t="s">
        <v>50</v>
      </c>
      <c r="O4">
        <v>789909</v>
      </c>
      <c r="P4" t="s">
        <v>51</v>
      </c>
      <c r="Q4" t="s">
        <v>45</v>
      </c>
      <c r="R4" t="s">
        <v>53</v>
      </c>
      <c r="S4" s="1">
        <v>45748</v>
      </c>
      <c r="U4" t="s">
        <v>47</v>
      </c>
      <c r="X4" t="s">
        <v>48</v>
      </c>
      <c r="Y4" s="2">
        <v>41.17</v>
      </c>
      <c r="Z4" s="2">
        <v>41.17</v>
      </c>
      <c r="AA4">
        <v>0</v>
      </c>
      <c r="AB4" s="3">
        <v>0.375</v>
      </c>
      <c r="AC4" s="2">
        <v>0</v>
      </c>
      <c r="AD4" s="3">
        <v>0</v>
      </c>
      <c r="AE4" s="2">
        <v>0</v>
      </c>
      <c r="AF4" s="2">
        <v>0</v>
      </c>
      <c r="AK4" s="4">
        <v>18451630</v>
      </c>
    </row>
    <row r="5" spans="1:38" x14ac:dyDescent="0.25">
      <c r="A5" s="1">
        <v>45758</v>
      </c>
      <c r="B5" s="1">
        <v>45754</v>
      </c>
      <c r="C5" t="s">
        <v>38</v>
      </c>
      <c r="D5" t="s">
        <v>39</v>
      </c>
      <c r="E5" t="s">
        <v>40</v>
      </c>
      <c r="F5">
        <v>649163</v>
      </c>
      <c r="G5">
        <v>20411454</v>
      </c>
      <c r="H5" t="s">
        <v>41</v>
      </c>
      <c r="I5">
        <v>2027361177</v>
      </c>
      <c r="J5" t="s">
        <v>54</v>
      </c>
      <c r="M5" t="s">
        <v>55</v>
      </c>
      <c r="O5">
        <v>651818</v>
      </c>
      <c r="P5" t="s">
        <v>56</v>
      </c>
      <c r="Q5" t="s">
        <v>45</v>
      </c>
      <c r="R5" t="s">
        <v>57</v>
      </c>
      <c r="S5" s="1">
        <v>45754</v>
      </c>
      <c r="U5" t="s">
        <v>47</v>
      </c>
      <c r="X5" t="s">
        <v>48</v>
      </c>
      <c r="Y5" s="2">
        <v>202.87</v>
      </c>
      <c r="Z5" s="2">
        <v>202.87</v>
      </c>
      <c r="AA5">
        <v>0</v>
      </c>
      <c r="AB5" s="3">
        <v>0.75</v>
      </c>
      <c r="AC5" s="2">
        <v>0</v>
      </c>
      <c r="AD5" s="3">
        <v>0</v>
      </c>
      <c r="AE5" s="2">
        <v>0</v>
      </c>
      <c r="AF5" s="2">
        <v>0</v>
      </c>
      <c r="AK5" s="4">
        <v>18442230</v>
      </c>
    </row>
    <row r="6" spans="1:38" x14ac:dyDescent="0.25">
      <c r="A6" s="1">
        <v>45758</v>
      </c>
      <c r="B6" s="1">
        <v>45754</v>
      </c>
      <c r="C6" t="s">
        <v>38</v>
      </c>
      <c r="D6" t="s">
        <v>39</v>
      </c>
      <c r="E6" t="s">
        <v>40</v>
      </c>
      <c r="F6">
        <v>649163</v>
      </c>
      <c r="G6">
        <v>20411454</v>
      </c>
      <c r="H6" t="s">
        <v>41</v>
      </c>
      <c r="I6">
        <v>2027398847</v>
      </c>
      <c r="J6" t="s">
        <v>58</v>
      </c>
      <c r="M6" t="s">
        <v>59</v>
      </c>
      <c r="O6">
        <v>673059</v>
      </c>
      <c r="P6" t="s">
        <v>60</v>
      </c>
      <c r="Q6" t="s">
        <v>45</v>
      </c>
      <c r="R6" t="s">
        <v>61</v>
      </c>
      <c r="S6" s="1">
        <v>45748</v>
      </c>
      <c r="U6" t="s">
        <v>47</v>
      </c>
      <c r="X6" t="s">
        <v>48</v>
      </c>
      <c r="Y6" s="2">
        <v>75.010000000000005</v>
      </c>
      <c r="Z6" s="2">
        <v>75.010000000000005</v>
      </c>
      <c r="AA6">
        <v>0</v>
      </c>
      <c r="AB6" s="3">
        <v>0.65</v>
      </c>
      <c r="AC6" s="2">
        <v>0</v>
      </c>
      <c r="AD6" s="3">
        <v>0</v>
      </c>
      <c r="AE6" s="2">
        <v>0</v>
      </c>
      <c r="AF6" s="2">
        <v>0</v>
      </c>
      <c r="AK6" s="4">
        <v>18442240</v>
      </c>
    </row>
    <row r="7" spans="1:38" x14ac:dyDescent="0.25">
      <c r="A7" s="1">
        <v>45758</v>
      </c>
      <c r="B7" s="1">
        <v>45754</v>
      </c>
      <c r="C7" t="s">
        <v>38</v>
      </c>
      <c r="D7" t="s">
        <v>39</v>
      </c>
      <c r="E7" t="s">
        <v>40</v>
      </c>
      <c r="F7">
        <v>649163</v>
      </c>
      <c r="G7">
        <v>20411454</v>
      </c>
      <c r="H7" t="s">
        <v>41</v>
      </c>
      <c r="I7">
        <v>2027398848</v>
      </c>
      <c r="J7" t="s">
        <v>58</v>
      </c>
      <c r="M7" t="s">
        <v>59</v>
      </c>
      <c r="O7">
        <v>673059</v>
      </c>
      <c r="P7" t="s">
        <v>60</v>
      </c>
      <c r="Q7" t="s">
        <v>45</v>
      </c>
      <c r="R7" t="s">
        <v>53</v>
      </c>
      <c r="S7" s="1">
        <v>45748</v>
      </c>
      <c r="U7" t="s">
        <v>47</v>
      </c>
      <c r="X7" t="s">
        <v>48</v>
      </c>
      <c r="Y7" s="2">
        <v>92.08</v>
      </c>
      <c r="Z7" s="2">
        <v>92.08</v>
      </c>
      <c r="AA7">
        <v>0</v>
      </c>
      <c r="AB7" s="3">
        <v>0.375</v>
      </c>
      <c r="AC7" s="2">
        <v>0</v>
      </c>
      <c r="AD7" s="3">
        <v>0</v>
      </c>
      <c r="AE7" s="2">
        <v>0</v>
      </c>
      <c r="AF7" s="2">
        <v>0</v>
      </c>
      <c r="AK7" s="4">
        <v>18451690</v>
      </c>
    </row>
    <row r="8" spans="1:38" x14ac:dyDescent="0.25">
      <c r="A8" s="1">
        <v>45758</v>
      </c>
      <c r="B8" s="1">
        <v>45754</v>
      </c>
      <c r="C8" t="s">
        <v>38</v>
      </c>
      <c r="D8" t="s">
        <v>39</v>
      </c>
      <c r="E8" t="s">
        <v>40</v>
      </c>
      <c r="F8">
        <v>649163</v>
      </c>
      <c r="G8">
        <v>20411454</v>
      </c>
      <c r="H8" t="s">
        <v>41</v>
      </c>
      <c r="I8">
        <v>2027398849</v>
      </c>
      <c r="J8" t="s">
        <v>58</v>
      </c>
      <c r="M8" t="s">
        <v>59</v>
      </c>
      <c r="O8">
        <v>673059</v>
      </c>
      <c r="P8" t="s">
        <v>60</v>
      </c>
      <c r="Q8" t="s">
        <v>45</v>
      </c>
      <c r="R8" t="s">
        <v>52</v>
      </c>
      <c r="S8" s="1">
        <v>45748</v>
      </c>
      <c r="U8" t="s">
        <v>47</v>
      </c>
      <c r="X8" t="s">
        <v>48</v>
      </c>
      <c r="Y8" s="2">
        <v>22.19</v>
      </c>
      <c r="Z8" s="2">
        <v>22.19</v>
      </c>
      <c r="AA8">
        <v>0</v>
      </c>
      <c r="AB8" s="3">
        <v>0.7</v>
      </c>
      <c r="AC8" s="2">
        <v>0</v>
      </c>
      <c r="AD8" s="3">
        <v>0</v>
      </c>
      <c r="AE8" s="2">
        <v>0</v>
      </c>
      <c r="AF8" s="2">
        <v>0</v>
      </c>
      <c r="AK8" s="4">
        <v>18434420</v>
      </c>
    </row>
    <row r="9" spans="1:38" x14ac:dyDescent="0.25">
      <c r="A9" s="1">
        <v>45758</v>
      </c>
      <c r="B9" s="1">
        <v>45754</v>
      </c>
      <c r="C9" t="s">
        <v>38</v>
      </c>
      <c r="D9" t="s">
        <v>39</v>
      </c>
      <c r="E9" t="s">
        <v>40</v>
      </c>
      <c r="F9">
        <v>649163</v>
      </c>
      <c r="G9">
        <v>20411454</v>
      </c>
      <c r="H9" t="s">
        <v>41</v>
      </c>
      <c r="I9">
        <v>2027546576</v>
      </c>
      <c r="J9" t="s">
        <v>62</v>
      </c>
      <c r="M9" t="s">
        <v>59</v>
      </c>
      <c r="O9">
        <v>673059</v>
      </c>
      <c r="P9" t="s">
        <v>60</v>
      </c>
      <c r="Q9" t="s">
        <v>45</v>
      </c>
      <c r="R9" t="s">
        <v>52</v>
      </c>
      <c r="S9" s="1">
        <v>45748</v>
      </c>
      <c r="U9" t="s">
        <v>47</v>
      </c>
      <c r="X9" t="s">
        <v>48</v>
      </c>
      <c r="Y9" s="2">
        <v>10.75</v>
      </c>
      <c r="Z9" s="2">
        <v>10.75</v>
      </c>
      <c r="AA9">
        <v>0</v>
      </c>
      <c r="AB9" s="3">
        <v>0.7</v>
      </c>
      <c r="AC9" s="2">
        <v>0</v>
      </c>
      <c r="AD9" s="3">
        <v>0</v>
      </c>
      <c r="AE9" s="2">
        <v>0</v>
      </c>
      <c r="AF9" s="2">
        <v>0</v>
      </c>
      <c r="AK9" s="4">
        <v>18434470</v>
      </c>
    </row>
    <row r="10" spans="1:38" x14ac:dyDescent="0.25">
      <c r="A10" s="1">
        <v>45758</v>
      </c>
      <c r="B10" s="1">
        <v>45754</v>
      </c>
      <c r="C10" t="s">
        <v>38</v>
      </c>
      <c r="D10" t="s">
        <v>39</v>
      </c>
      <c r="E10" t="s">
        <v>40</v>
      </c>
      <c r="F10">
        <v>649163</v>
      </c>
      <c r="G10">
        <v>20411454</v>
      </c>
      <c r="H10" t="s">
        <v>41</v>
      </c>
      <c r="I10">
        <v>2027600929</v>
      </c>
      <c r="J10" t="s">
        <v>63</v>
      </c>
      <c r="M10" t="s">
        <v>64</v>
      </c>
      <c r="O10">
        <v>651818</v>
      </c>
      <c r="P10" t="s">
        <v>56</v>
      </c>
      <c r="Q10" t="s">
        <v>45</v>
      </c>
      <c r="R10" t="s">
        <v>53</v>
      </c>
      <c r="S10" s="1">
        <v>45754</v>
      </c>
      <c r="U10" t="s">
        <v>47</v>
      </c>
      <c r="X10" t="s">
        <v>48</v>
      </c>
      <c r="Y10" s="2">
        <v>40.1</v>
      </c>
      <c r="Z10" s="2">
        <v>40.1</v>
      </c>
      <c r="AA10">
        <v>0</v>
      </c>
      <c r="AB10" s="3">
        <v>0.375</v>
      </c>
      <c r="AC10" s="2">
        <v>0</v>
      </c>
      <c r="AD10" s="3">
        <v>0</v>
      </c>
      <c r="AE10" s="2">
        <v>0</v>
      </c>
      <c r="AF10" s="2">
        <v>0</v>
      </c>
      <c r="AK10" s="4">
        <v>18451830</v>
      </c>
    </row>
    <row r="11" spans="1:38" x14ac:dyDescent="0.25">
      <c r="A11" s="1">
        <v>45758</v>
      </c>
      <c r="B11" s="1">
        <v>45754</v>
      </c>
      <c r="C11" t="s">
        <v>38</v>
      </c>
      <c r="D11" t="s">
        <v>39</v>
      </c>
      <c r="E11" t="s">
        <v>40</v>
      </c>
      <c r="F11">
        <v>649163</v>
      </c>
      <c r="G11">
        <v>20411454</v>
      </c>
      <c r="H11" t="s">
        <v>41</v>
      </c>
      <c r="I11">
        <v>2027600930</v>
      </c>
      <c r="J11" t="s">
        <v>63</v>
      </c>
      <c r="M11" t="s">
        <v>64</v>
      </c>
      <c r="O11">
        <v>651818</v>
      </c>
      <c r="P11" t="s">
        <v>56</v>
      </c>
      <c r="Q11" t="s">
        <v>45</v>
      </c>
      <c r="R11" t="s">
        <v>52</v>
      </c>
      <c r="S11" s="1">
        <v>45754</v>
      </c>
      <c r="U11" t="s">
        <v>47</v>
      </c>
      <c r="X11" t="s">
        <v>48</v>
      </c>
      <c r="Y11" s="2">
        <v>28.73</v>
      </c>
      <c r="Z11" s="2">
        <v>28.73</v>
      </c>
      <c r="AA11">
        <v>0</v>
      </c>
      <c r="AB11" s="3">
        <v>0.7</v>
      </c>
      <c r="AC11" s="2">
        <v>0</v>
      </c>
      <c r="AD11" s="3">
        <v>0</v>
      </c>
      <c r="AE11" s="2">
        <v>0</v>
      </c>
      <c r="AF11" s="2">
        <v>0</v>
      </c>
      <c r="AK11" s="4">
        <v>18434520</v>
      </c>
    </row>
    <row r="12" spans="1:38" x14ac:dyDescent="0.25">
      <c r="A12" s="1">
        <v>45758</v>
      </c>
      <c r="B12" s="1">
        <v>45754</v>
      </c>
      <c r="C12" t="s">
        <v>38</v>
      </c>
      <c r="D12" t="s">
        <v>39</v>
      </c>
      <c r="E12" t="s">
        <v>40</v>
      </c>
      <c r="F12">
        <v>649163</v>
      </c>
      <c r="G12">
        <v>20411454</v>
      </c>
      <c r="H12" t="s">
        <v>41</v>
      </c>
      <c r="I12">
        <v>2027600931</v>
      </c>
      <c r="J12" t="s">
        <v>63</v>
      </c>
      <c r="M12" t="s">
        <v>64</v>
      </c>
      <c r="O12">
        <v>651818</v>
      </c>
      <c r="P12" t="s">
        <v>56</v>
      </c>
      <c r="Q12" t="s">
        <v>45</v>
      </c>
      <c r="R12" t="s">
        <v>65</v>
      </c>
      <c r="S12" s="1">
        <v>45754</v>
      </c>
      <c r="U12" t="s">
        <v>47</v>
      </c>
      <c r="X12" t="s">
        <v>48</v>
      </c>
      <c r="Y12" s="2">
        <v>55.75</v>
      </c>
      <c r="Z12" s="2">
        <v>55.75</v>
      </c>
      <c r="AA12">
        <v>0</v>
      </c>
      <c r="AB12" s="3">
        <v>0.9</v>
      </c>
      <c r="AC12" s="2">
        <v>0</v>
      </c>
      <c r="AD12" s="3">
        <v>0</v>
      </c>
      <c r="AE12" s="2">
        <v>0</v>
      </c>
      <c r="AF12" s="2">
        <v>0</v>
      </c>
      <c r="AK12" s="4">
        <v>18442290</v>
      </c>
    </row>
    <row r="13" spans="1:38" x14ac:dyDescent="0.25">
      <c r="A13" s="1">
        <v>45758</v>
      </c>
      <c r="B13" s="1">
        <v>45754</v>
      </c>
      <c r="C13" t="s">
        <v>38</v>
      </c>
      <c r="D13" t="s">
        <v>39</v>
      </c>
      <c r="E13" t="s">
        <v>40</v>
      </c>
      <c r="F13">
        <v>649163</v>
      </c>
      <c r="G13">
        <v>20411454</v>
      </c>
      <c r="H13" t="s">
        <v>41</v>
      </c>
      <c r="I13">
        <v>2027642345</v>
      </c>
      <c r="J13" t="s">
        <v>66</v>
      </c>
      <c r="M13" t="s">
        <v>67</v>
      </c>
      <c r="O13">
        <v>651818</v>
      </c>
      <c r="P13" t="s">
        <v>56</v>
      </c>
      <c r="Q13" t="s">
        <v>45</v>
      </c>
      <c r="R13" t="s">
        <v>65</v>
      </c>
      <c r="S13" s="1">
        <v>45754</v>
      </c>
      <c r="U13" t="s">
        <v>47</v>
      </c>
      <c r="X13" t="s">
        <v>48</v>
      </c>
      <c r="Y13" s="2">
        <v>119.92</v>
      </c>
      <c r="Z13" s="2">
        <v>119.92</v>
      </c>
      <c r="AA13">
        <v>0</v>
      </c>
      <c r="AB13" s="3">
        <v>0.9</v>
      </c>
      <c r="AC13" s="2">
        <v>0</v>
      </c>
      <c r="AD13" s="3">
        <v>0</v>
      </c>
      <c r="AE13" s="2">
        <v>0</v>
      </c>
      <c r="AF13" s="2">
        <v>0</v>
      </c>
      <c r="AK13" s="4">
        <v>18442340</v>
      </c>
    </row>
    <row r="14" spans="1:38" x14ac:dyDescent="0.25">
      <c r="A14" s="1">
        <v>45758</v>
      </c>
      <c r="B14" s="1">
        <v>45754</v>
      </c>
      <c r="C14" t="s">
        <v>38</v>
      </c>
      <c r="D14" t="s">
        <v>39</v>
      </c>
      <c r="E14" t="s">
        <v>40</v>
      </c>
      <c r="F14">
        <v>649163</v>
      </c>
      <c r="G14">
        <v>20411454</v>
      </c>
      <c r="H14" t="s">
        <v>41</v>
      </c>
      <c r="I14">
        <v>2027642346</v>
      </c>
      <c r="J14" t="s">
        <v>66</v>
      </c>
      <c r="M14" t="s">
        <v>67</v>
      </c>
      <c r="O14">
        <v>651818</v>
      </c>
      <c r="P14" t="s">
        <v>56</v>
      </c>
      <c r="Q14" t="s">
        <v>45</v>
      </c>
      <c r="R14" t="s">
        <v>68</v>
      </c>
      <c r="S14" s="1">
        <v>45754</v>
      </c>
      <c r="U14" t="s">
        <v>47</v>
      </c>
      <c r="X14" t="s">
        <v>48</v>
      </c>
      <c r="Y14" s="2">
        <v>21.44</v>
      </c>
      <c r="Z14" s="2">
        <v>21.44</v>
      </c>
      <c r="AA14">
        <v>0</v>
      </c>
      <c r="AB14" s="3">
        <v>0.7</v>
      </c>
      <c r="AC14" s="2">
        <v>0</v>
      </c>
      <c r="AD14" s="3">
        <v>0</v>
      </c>
      <c r="AE14" s="2">
        <v>0</v>
      </c>
      <c r="AF14" s="2">
        <v>0</v>
      </c>
      <c r="AK14" s="4">
        <v>18429860</v>
      </c>
    </row>
    <row r="15" spans="1:38" x14ac:dyDescent="0.25">
      <c r="A15" s="1">
        <v>45758</v>
      </c>
      <c r="B15" s="1">
        <v>45754</v>
      </c>
      <c r="C15" t="s">
        <v>38</v>
      </c>
      <c r="D15" t="s">
        <v>39</v>
      </c>
      <c r="E15" t="s">
        <v>40</v>
      </c>
      <c r="F15">
        <v>649163</v>
      </c>
      <c r="G15">
        <v>20411454</v>
      </c>
      <c r="H15" t="s">
        <v>41</v>
      </c>
      <c r="I15">
        <v>2027642347</v>
      </c>
      <c r="J15" t="s">
        <v>66</v>
      </c>
      <c r="M15" t="s">
        <v>67</v>
      </c>
      <c r="O15">
        <v>651818</v>
      </c>
      <c r="P15" t="s">
        <v>56</v>
      </c>
      <c r="Q15" t="s">
        <v>45</v>
      </c>
      <c r="R15" t="s">
        <v>69</v>
      </c>
      <c r="S15" s="1">
        <v>45754</v>
      </c>
      <c r="U15" t="s">
        <v>47</v>
      </c>
      <c r="X15" t="s">
        <v>48</v>
      </c>
      <c r="Y15" s="2">
        <v>21.53</v>
      </c>
      <c r="Z15" s="2">
        <v>21.53</v>
      </c>
      <c r="AA15">
        <v>0</v>
      </c>
      <c r="AB15" s="3">
        <v>0.38</v>
      </c>
      <c r="AC15" s="2">
        <v>0</v>
      </c>
      <c r="AD15" s="3">
        <v>0</v>
      </c>
      <c r="AE15" s="2">
        <v>0</v>
      </c>
      <c r="AF15" s="2">
        <v>0</v>
      </c>
      <c r="AK15" s="4">
        <v>18454360</v>
      </c>
    </row>
    <row r="16" spans="1:38" x14ac:dyDescent="0.25">
      <c r="A16" s="1">
        <v>45758</v>
      </c>
      <c r="B16" s="1">
        <v>45754</v>
      </c>
      <c r="C16" t="s">
        <v>38</v>
      </c>
      <c r="D16" t="s">
        <v>39</v>
      </c>
      <c r="E16" t="s">
        <v>40</v>
      </c>
      <c r="F16">
        <v>649163</v>
      </c>
      <c r="G16">
        <v>20411454</v>
      </c>
      <c r="H16" t="s">
        <v>41</v>
      </c>
      <c r="I16">
        <v>2027667427</v>
      </c>
      <c r="J16" t="s">
        <v>70</v>
      </c>
      <c r="M16" t="s">
        <v>43</v>
      </c>
      <c r="O16">
        <v>650218</v>
      </c>
      <c r="P16" t="s">
        <v>71</v>
      </c>
      <c r="Q16" t="s">
        <v>45</v>
      </c>
      <c r="R16" t="s">
        <v>69</v>
      </c>
      <c r="S16" s="1">
        <v>45748</v>
      </c>
      <c r="U16" t="s">
        <v>47</v>
      </c>
      <c r="X16" t="s">
        <v>48</v>
      </c>
      <c r="Y16" s="2">
        <v>46.13</v>
      </c>
      <c r="Z16" s="2">
        <v>46.13</v>
      </c>
      <c r="AA16">
        <v>0</v>
      </c>
      <c r="AB16" s="3">
        <v>0.38</v>
      </c>
      <c r="AC16" s="2">
        <v>0</v>
      </c>
      <c r="AD16" s="3">
        <v>0</v>
      </c>
      <c r="AE16" s="2">
        <v>0</v>
      </c>
      <c r="AF16" s="2">
        <v>0</v>
      </c>
      <c r="AK16" s="4">
        <v>18454360</v>
      </c>
    </row>
    <row r="17" spans="1:37" x14ac:dyDescent="0.25">
      <c r="A17" s="1">
        <v>45758</v>
      </c>
      <c r="B17" s="1">
        <v>45754</v>
      </c>
      <c r="C17" t="s">
        <v>38</v>
      </c>
      <c r="D17" t="s">
        <v>39</v>
      </c>
      <c r="E17" t="s">
        <v>40</v>
      </c>
      <c r="F17">
        <v>649163</v>
      </c>
      <c r="G17">
        <v>20411454</v>
      </c>
      <c r="H17" t="s">
        <v>41</v>
      </c>
      <c r="I17">
        <v>2027712447</v>
      </c>
      <c r="J17" t="s">
        <v>72</v>
      </c>
      <c r="M17" t="s">
        <v>50</v>
      </c>
      <c r="O17">
        <v>768887</v>
      </c>
      <c r="P17" t="s">
        <v>73</v>
      </c>
      <c r="Q17" t="s">
        <v>45</v>
      </c>
      <c r="R17" t="s">
        <v>74</v>
      </c>
      <c r="S17" s="1">
        <v>45748</v>
      </c>
      <c r="U17" t="s">
        <v>47</v>
      </c>
      <c r="X17" t="s">
        <v>48</v>
      </c>
      <c r="Y17" s="2">
        <v>132.22</v>
      </c>
      <c r="Z17" s="2">
        <v>132.22</v>
      </c>
      <c r="AA17">
        <v>0</v>
      </c>
      <c r="AB17" s="3">
        <v>0.26</v>
      </c>
      <c r="AC17" s="2">
        <v>0</v>
      </c>
      <c r="AD17" s="3">
        <v>0</v>
      </c>
      <c r="AE17" s="2">
        <v>0</v>
      </c>
      <c r="AF17" s="2">
        <v>0</v>
      </c>
      <c r="AK17" s="4">
        <v>18424820</v>
      </c>
    </row>
    <row r="18" spans="1:37" x14ac:dyDescent="0.25">
      <c r="A18" s="1">
        <v>45758</v>
      </c>
      <c r="B18" s="1">
        <v>45754</v>
      </c>
      <c r="C18" t="s">
        <v>38</v>
      </c>
      <c r="D18" t="s">
        <v>39</v>
      </c>
      <c r="E18" t="s">
        <v>40</v>
      </c>
      <c r="F18">
        <v>649163</v>
      </c>
      <c r="G18">
        <v>20411454</v>
      </c>
      <c r="H18" t="s">
        <v>41</v>
      </c>
      <c r="I18">
        <v>2027712448</v>
      </c>
      <c r="J18" t="s">
        <v>72</v>
      </c>
      <c r="M18" t="s">
        <v>50</v>
      </c>
      <c r="O18">
        <v>768887</v>
      </c>
      <c r="P18" t="s">
        <v>73</v>
      </c>
      <c r="Q18" t="s">
        <v>45</v>
      </c>
      <c r="R18" t="s">
        <v>46</v>
      </c>
      <c r="S18" s="1">
        <v>45748</v>
      </c>
      <c r="U18" t="s">
        <v>47</v>
      </c>
      <c r="X18" t="s">
        <v>48</v>
      </c>
      <c r="Y18" s="2">
        <v>126.91</v>
      </c>
      <c r="Z18" s="2">
        <v>126.91</v>
      </c>
      <c r="AA18">
        <v>0</v>
      </c>
      <c r="AB18" s="3">
        <v>0.47</v>
      </c>
      <c r="AC18" s="2">
        <v>0</v>
      </c>
      <c r="AD18" s="3">
        <v>0</v>
      </c>
      <c r="AE18" s="2">
        <v>0</v>
      </c>
      <c r="AF18" s="2">
        <v>0</v>
      </c>
      <c r="AK18" s="4">
        <v>18452080</v>
      </c>
    </row>
    <row r="19" spans="1:37" x14ac:dyDescent="0.25">
      <c r="A19" s="1">
        <v>45758</v>
      </c>
      <c r="B19" s="1">
        <v>45754</v>
      </c>
      <c r="C19" t="s">
        <v>38</v>
      </c>
      <c r="D19" t="s">
        <v>39</v>
      </c>
      <c r="E19" t="s">
        <v>40</v>
      </c>
      <c r="F19">
        <v>649163</v>
      </c>
      <c r="G19">
        <v>20411454</v>
      </c>
      <c r="H19" t="s">
        <v>41</v>
      </c>
      <c r="I19">
        <v>2027738385</v>
      </c>
      <c r="J19" t="s">
        <v>75</v>
      </c>
      <c r="M19" t="s">
        <v>76</v>
      </c>
      <c r="O19">
        <v>813184</v>
      </c>
      <c r="P19" t="s">
        <v>77</v>
      </c>
      <c r="Q19" t="s">
        <v>45</v>
      </c>
      <c r="R19" t="s">
        <v>52</v>
      </c>
      <c r="S19" s="1">
        <v>45748</v>
      </c>
      <c r="U19" t="s">
        <v>47</v>
      </c>
      <c r="X19" t="s">
        <v>48</v>
      </c>
      <c r="Y19" s="2">
        <v>51</v>
      </c>
      <c r="Z19" s="2">
        <v>51</v>
      </c>
      <c r="AA19">
        <v>0</v>
      </c>
      <c r="AB19" s="3">
        <v>0.7</v>
      </c>
      <c r="AC19" s="2">
        <v>0</v>
      </c>
      <c r="AD19" s="3">
        <v>0</v>
      </c>
      <c r="AE19" s="2">
        <v>0</v>
      </c>
      <c r="AF19" s="2">
        <v>0</v>
      </c>
      <c r="AK19" s="4">
        <v>18434730</v>
      </c>
    </row>
    <row r="20" spans="1:37" x14ac:dyDescent="0.25">
      <c r="A20" s="1">
        <v>45758</v>
      </c>
      <c r="B20" s="1">
        <v>45754</v>
      </c>
      <c r="C20" t="s">
        <v>38</v>
      </c>
      <c r="D20" t="s">
        <v>39</v>
      </c>
      <c r="E20" t="s">
        <v>40</v>
      </c>
      <c r="F20">
        <v>649163</v>
      </c>
      <c r="G20">
        <v>20411454</v>
      </c>
      <c r="H20" t="s">
        <v>41</v>
      </c>
      <c r="I20">
        <v>2027738386</v>
      </c>
      <c r="J20" t="s">
        <v>75</v>
      </c>
      <c r="M20" t="s">
        <v>76</v>
      </c>
      <c r="O20">
        <v>813184</v>
      </c>
      <c r="P20" t="s">
        <v>77</v>
      </c>
      <c r="Q20" t="s">
        <v>45</v>
      </c>
      <c r="R20" t="s">
        <v>53</v>
      </c>
      <c r="S20" s="1">
        <v>45748</v>
      </c>
      <c r="U20" t="s">
        <v>47</v>
      </c>
      <c r="X20" t="s">
        <v>48</v>
      </c>
      <c r="Y20" s="2">
        <v>96.61</v>
      </c>
      <c r="Z20" s="2">
        <v>96.61</v>
      </c>
      <c r="AA20">
        <v>0</v>
      </c>
      <c r="AB20" s="3">
        <v>0.375</v>
      </c>
      <c r="AC20" s="2">
        <v>0</v>
      </c>
      <c r="AD20" s="3">
        <v>0</v>
      </c>
      <c r="AE20" s="2">
        <v>0</v>
      </c>
      <c r="AF20" s="2">
        <v>0</v>
      </c>
      <c r="AK20" s="4">
        <v>18452120</v>
      </c>
    </row>
    <row r="21" spans="1:37" x14ac:dyDescent="0.25">
      <c r="A21" s="1">
        <v>45758</v>
      </c>
      <c r="B21" s="1">
        <v>45754</v>
      </c>
      <c r="C21" t="s">
        <v>38</v>
      </c>
      <c r="D21" t="s">
        <v>39</v>
      </c>
      <c r="E21" t="s">
        <v>40</v>
      </c>
      <c r="F21">
        <v>649163</v>
      </c>
      <c r="G21">
        <v>20411454</v>
      </c>
      <c r="H21" t="s">
        <v>41</v>
      </c>
      <c r="I21">
        <v>2027740289</v>
      </c>
      <c r="J21" t="s">
        <v>78</v>
      </c>
      <c r="M21" t="s">
        <v>43</v>
      </c>
      <c r="O21">
        <v>649247</v>
      </c>
      <c r="P21" t="s">
        <v>79</v>
      </c>
      <c r="Q21" t="s">
        <v>45</v>
      </c>
      <c r="R21" t="s">
        <v>80</v>
      </c>
      <c r="S21" s="1">
        <v>45748</v>
      </c>
      <c r="U21" t="s">
        <v>47</v>
      </c>
      <c r="X21" t="s">
        <v>48</v>
      </c>
      <c r="Y21" s="2">
        <v>69.260000000000005</v>
      </c>
      <c r="Z21" s="2">
        <v>69.260000000000005</v>
      </c>
      <c r="AA21">
        <v>0</v>
      </c>
      <c r="AB21" s="3">
        <v>0.6</v>
      </c>
      <c r="AC21" s="2">
        <v>0</v>
      </c>
      <c r="AD21" s="3">
        <v>0</v>
      </c>
      <c r="AE21" s="2">
        <v>0</v>
      </c>
      <c r="AF21" s="2">
        <v>0</v>
      </c>
      <c r="AK21" s="4">
        <v>18442380</v>
      </c>
    </row>
    <row r="22" spans="1:37" x14ac:dyDescent="0.25">
      <c r="A22" s="1">
        <v>45758</v>
      </c>
      <c r="B22" s="1">
        <v>45754</v>
      </c>
      <c r="C22" t="s">
        <v>38</v>
      </c>
      <c r="D22" t="s">
        <v>39</v>
      </c>
      <c r="E22" t="s">
        <v>40</v>
      </c>
      <c r="F22">
        <v>649163</v>
      </c>
      <c r="G22">
        <v>20411454</v>
      </c>
      <c r="H22" t="s">
        <v>41</v>
      </c>
      <c r="I22">
        <v>2027745346</v>
      </c>
      <c r="J22" t="s">
        <v>81</v>
      </c>
      <c r="M22" t="s">
        <v>82</v>
      </c>
      <c r="O22">
        <v>673059</v>
      </c>
      <c r="P22" t="s">
        <v>60</v>
      </c>
      <c r="Q22" t="s">
        <v>45</v>
      </c>
      <c r="R22" t="s">
        <v>83</v>
      </c>
      <c r="S22" s="1">
        <v>45748</v>
      </c>
      <c r="U22" t="s">
        <v>47</v>
      </c>
      <c r="X22" t="s">
        <v>48</v>
      </c>
      <c r="Y22" s="2">
        <v>90.95</v>
      </c>
      <c r="Z22" s="2">
        <v>90.95</v>
      </c>
      <c r="AA22">
        <v>0</v>
      </c>
      <c r="AB22" s="3">
        <v>0.6</v>
      </c>
      <c r="AC22" s="2">
        <v>0</v>
      </c>
      <c r="AD22" s="3">
        <v>0</v>
      </c>
      <c r="AE22" s="2">
        <v>0</v>
      </c>
      <c r="AF22" s="2">
        <v>0</v>
      </c>
      <c r="AK22" s="4">
        <v>18442390</v>
      </c>
    </row>
    <row r="23" spans="1:37" x14ac:dyDescent="0.25">
      <c r="A23" s="1">
        <v>45758</v>
      </c>
      <c r="B23" s="1">
        <v>45754</v>
      </c>
      <c r="C23" t="s">
        <v>38</v>
      </c>
      <c r="D23" t="s">
        <v>39</v>
      </c>
      <c r="E23" t="s">
        <v>40</v>
      </c>
      <c r="F23">
        <v>649163</v>
      </c>
      <c r="G23">
        <v>20411454</v>
      </c>
      <c r="H23" t="s">
        <v>41</v>
      </c>
      <c r="I23">
        <v>2027745347</v>
      </c>
      <c r="J23" t="s">
        <v>81</v>
      </c>
      <c r="M23" t="s">
        <v>82</v>
      </c>
      <c r="O23">
        <v>673059</v>
      </c>
      <c r="P23" t="s">
        <v>60</v>
      </c>
      <c r="Q23" t="s">
        <v>45</v>
      </c>
      <c r="R23" t="s">
        <v>68</v>
      </c>
      <c r="S23" s="1">
        <v>45748</v>
      </c>
      <c r="U23" t="s">
        <v>47</v>
      </c>
      <c r="X23" t="s">
        <v>48</v>
      </c>
      <c r="Y23" s="2">
        <v>21.44</v>
      </c>
      <c r="Z23" s="2">
        <v>21.44</v>
      </c>
      <c r="AA23">
        <v>0</v>
      </c>
      <c r="AB23" s="3">
        <v>0.7</v>
      </c>
      <c r="AC23" s="2">
        <v>0</v>
      </c>
      <c r="AD23" s="3">
        <v>0</v>
      </c>
      <c r="AE23" s="2">
        <v>0</v>
      </c>
      <c r="AF23" s="2">
        <v>0</v>
      </c>
      <c r="AK23" s="4">
        <v>18429860</v>
      </c>
    </row>
    <row r="24" spans="1:37" x14ac:dyDescent="0.25">
      <c r="A24" s="1">
        <v>45758</v>
      </c>
      <c r="B24" s="1">
        <v>45754</v>
      </c>
      <c r="C24" t="s">
        <v>38</v>
      </c>
      <c r="D24" t="s">
        <v>39</v>
      </c>
      <c r="E24" t="s">
        <v>40</v>
      </c>
      <c r="F24">
        <v>649163</v>
      </c>
      <c r="G24">
        <v>20411454</v>
      </c>
      <c r="H24" t="s">
        <v>41</v>
      </c>
      <c r="I24">
        <v>2027745348</v>
      </c>
      <c r="J24" t="s">
        <v>81</v>
      </c>
      <c r="M24" t="s">
        <v>82</v>
      </c>
      <c r="O24">
        <v>673059</v>
      </c>
      <c r="P24" t="s">
        <v>60</v>
      </c>
      <c r="Q24" t="s">
        <v>45</v>
      </c>
      <c r="R24" t="s">
        <v>53</v>
      </c>
      <c r="S24" s="1">
        <v>45748</v>
      </c>
      <c r="U24" t="s">
        <v>47</v>
      </c>
      <c r="X24" t="s">
        <v>48</v>
      </c>
      <c r="Y24" s="2">
        <v>45.77</v>
      </c>
      <c r="Z24" s="2">
        <v>45.77</v>
      </c>
      <c r="AA24">
        <v>0</v>
      </c>
      <c r="AB24" s="3">
        <v>0.375</v>
      </c>
      <c r="AC24" s="2">
        <v>0</v>
      </c>
      <c r="AD24" s="3">
        <v>0</v>
      </c>
      <c r="AE24" s="2">
        <v>0</v>
      </c>
      <c r="AF24" s="2">
        <v>0</v>
      </c>
      <c r="AK24" s="4">
        <v>18452120</v>
      </c>
    </row>
    <row r="25" spans="1:37" x14ac:dyDescent="0.25">
      <c r="A25" s="1">
        <v>45758</v>
      </c>
      <c r="B25" s="1">
        <v>45754</v>
      </c>
      <c r="C25" t="s">
        <v>38</v>
      </c>
      <c r="D25" t="s">
        <v>39</v>
      </c>
      <c r="E25" t="s">
        <v>40</v>
      </c>
      <c r="F25">
        <v>649163</v>
      </c>
      <c r="G25">
        <v>20411454</v>
      </c>
      <c r="H25" t="s">
        <v>41</v>
      </c>
      <c r="I25">
        <v>2027859845</v>
      </c>
      <c r="J25" t="s">
        <v>84</v>
      </c>
      <c r="M25" t="s">
        <v>85</v>
      </c>
      <c r="O25">
        <v>651818</v>
      </c>
      <c r="P25" t="s">
        <v>56</v>
      </c>
      <c r="Q25" t="s">
        <v>45</v>
      </c>
      <c r="R25" t="s">
        <v>57</v>
      </c>
      <c r="S25" s="1">
        <v>45754</v>
      </c>
      <c r="U25" t="s">
        <v>47</v>
      </c>
      <c r="X25" t="s">
        <v>48</v>
      </c>
      <c r="Y25" s="2">
        <v>154.30000000000001</v>
      </c>
      <c r="Z25" s="2">
        <v>154.30000000000001</v>
      </c>
      <c r="AA25">
        <v>0</v>
      </c>
      <c r="AB25" s="3">
        <v>0.75</v>
      </c>
      <c r="AC25" s="2">
        <v>0</v>
      </c>
      <c r="AD25" s="3">
        <v>0</v>
      </c>
      <c r="AE25" s="2">
        <v>0</v>
      </c>
      <c r="AF25" s="2">
        <v>0</v>
      </c>
      <c r="AK25" s="4">
        <v>18442430</v>
      </c>
    </row>
    <row r="26" spans="1:37" x14ac:dyDescent="0.25">
      <c r="A26" s="1">
        <v>45758</v>
      </c>
      <c r="B26" s="1">
        <v>45754</v>
      </c>
      <c r="C26" t="s">
        <v>38</v>
      </c>
      <c r="D26" t="s">
        <v>39</v>
      </c>
      <c r="E26" t="s">
        <v>40</v>
      </c>
      <c r="F26">
        <v>649163</v>
      </c>
      <c r="G26">
        <v>20411454</v>
      </c>
      <c r="H26" t="s">
        <v>41</v>
      </c>
      <c r="I26">
        <v>2027859846</v>
      </c>
      <c r="J26" t="s">
        <v>84</v>
      </c>
      <c r="M26" t="s">
        <v>85</v>
      </c>
      <c r="O26">
        <v>651818</v>
      </c>
      <c r="P26" t="s">
        <v>56</v>
      </c>
      <c r="Q26" t="s">
        <v>45</v>
      </c>
      <c r="R26" t="s">
        <v>86</v>
      </c>
      <c r="S26" s="1">
        <v>45754</v>
      </c>
      <c r="U26" t="s">
        <v>47</v>
      </c>
      <c r="X26" t="s">
        <v>48</v>
      </c>
      <c r="Y26" s="2">
        <v>271.33</v>
      </c>
      <c r="Z26" s="2">
        <v>271.33</v>
      </c>
      <c r="AA26">
        <v>0</v>
      </c>
      <c r="AB26" s="3">
        <v>0.9</v>
      </c>
      <c r="AC26" s="2">
        <v>0</v>
      </c>
      <c r="AD26" s="3">
        <v>0</v>
      </c>
      <c r="AE26" s="2">
        <v>0</v>
      </c>
      <c r="AF26" s="2">
        <v>0</v>
      </c>
      <c r="AK26" s="4">
        <v>18456050</v>
      </c>
    </row>
    <row r="27" spans="1:37" x14ac:dyDescent="0.25">
      <c r="A27" s="1">
        <v>45758</v>
      </c>
      <c r="B27" s="1">
        <v>45754</v>
      </c>
      <c r="C27" t="s">
        <v>38</v>
      </c>
      <c r="D27" t="s">
        <v>39</v>
      </c>
      <c r="E27" t="s">
        <v>40</v>
      </c>
      <c r="F27">
        <v>649163</v>
      </c>
      <c r="G27">
        <v>20411454</v>
      </c>
      <c r="H27" t="s">
        <v>41</v>
      </c>
      <c r="I27">
        <v>2027859847</v>
      </c>
      <c r="J27" t="s">
        <v>84</v>
      </c>
      <c r="M27" t="s">
        <v>85</v>
      </c>
      <c r="O27">
        <v>651818</v>
      </c>
      <c r="P27" t="s">
        <v>56</v>
      </c>
      <c r="Q27" t="s">
        <v>45</v>
      </c>
      <c r="R27" t="s">
        <v>52</v>
      </c>
      <c r="S27" s="1">
        <v>45754</v>
      </c>
      <c r="U27" t="s">
        <v>47</v>
      </c>
      <c r="X27" t="s">
        <v>48</v>
      </c>
      <c r="Y27" s="2">
        <v>51</v>
      </c>
      <c r="Z27" s="2">
        <v>51</v>
      </c>
      <c r="AA27">
        <v>0</v>
      </c>
      <c r="AB27" s="3">
        <v>0.7</v>
      </c>
      <c r="AC27" s="2">
        <v>0</v>
      </c>
      <c r="AD27" s="3">
        <v>0</v>
      </c>
      <c r="AE27" s="2">
        <v>0</v>
      </c>
      <c r="AF27" s="2">
        <v>0</v>
      </c>
      <c r="AK27" s="4">
        <v>18434800</v>
      </c>
    </row>
    <row r="28" spans="1:37" x14ac:dyDescent="0.25">
      <c r="A28" s="1">
        <v>45758</v>
      </c>
      <c r="B28" s="1">
        <v>45754</v>
      </c>
      <c r="C28" t="s">
        <v>38</v>
      </c>
      <c r="D28" t="s">
        <v>39</v>
      </c>
      <c r="E28" t="s">
        <v>40</v>
      </c>
      <c r="F28">
        <v>649163</v>
      </c>
      <c r="G28">
        <v>20411454</v>
      </c>
      <c r="H28" t="s">
        <v>41</v>
      </c>
      <c r="I28">
        <v>2027862507</v>
      </c>
      <c r="J28" t="s">
        <v>87</v>
      </c>
      <c r="M28" t="s">
        <v>88</v>
      </c>
      <c r="O28">
        <v>651818</v>
      </c>
      <c r="P28" t="s">
        <v>56</v>
      </c>
      <c r="Q28" t="s">
        <v>45</v>
      </c>
      <c r="R28" t="s">
        <v>52</v>
      </c>
      <c r="S28" s="1">
        <v>45754</v>
      </c>
      <c r="U28" t="s">
        <v>47</v>
      </c>
      <c r="X28" t="s">
        <v>48</v>
      </c>
      <c r="Y28" s="2">
        <v>89.52</v>
      </c>
      <c r="Z28" s="2">
        <v>89.52</v>
      </c>
      <c r="AA28">
        <v>0</v>
      </c>
      <c r="AB28" s="3">
        <v>0.7</v>
      </c>
      <c r="AC28" s="2">
        <v>0</v>
      </c>
      <c r="AD28" s="3">
        <v>0</v>
      </c>
      <c r="AE28" s="2">
        <v>0</v>
      </c>
      <c r="AF28" s="2">
        <v>0</v>
      </c>
      <c r="AK28" s="4">
        <v>18434800</v>
      </c>
    </row>
    <row r="29" spans="1:37" x14ac:dyDescent="0.25">
      <c r="A29" s="1">
        <v>45758</v>
      </c>
      <c r="B29" s="1">
        <v>45754</v>
      </c>
      <c r="C29" t="s">
        <v>38</v>
      </c>
      <c r="D29" t="s">
        <v>39</v>
      </c>
      <c r="E29" t="s">
        <v>40</v>
      </c>
      <c r="F29">
        <v>649163</v>
      </c>
      <c r="G29">
        <v>20411454</v>
      </c>
      <c r="H29" t="s">
        <v>41</v>
      </c>
      <c r="I29">
        <v>2027862508</v>
      </c>
      <c r="J29" t="s">
        <v>87</v>
      </c>
      <c r="M29" t="s">
        <v>88</v>
      </c>
      <c r="O29">
        <v>651818</v>
      </c>
      <c r="P29" t="s">
        <v>56</v>
      </c>
      <c r="Q29" t="s">
        <v>45</v>
      </c>
      <c r="R29" t="s">
        <v>57</v>
      </c>
      <c r="S29" s="1">
        <v>45754</v>
      </c>
      <c r="U29" t="s">
        <v>47</v>
      </c>
      <c r="X29" t="s">
        <v>48</v>
      </c>
      <c r="Y29" s="2">
        <v>63.28</v>
      </c>
      <c r="Z29" s="2">
        <v>63.28</v>
      </c>
      <c r="AA29">
        <v>0</v>
      </c>
      <c r="AB29" s="3">
        <v>0.75</v>
      </c>
      <c r="AC29" s="2">
        <v>0</v>
      </c>
      <c r="AD29" s="3">
        <v>0</v>
      </c>
      <c r="AE29" s="2">
        <v>0</v>
      </c>
      <c r="AF29" s="2">
        <v>0</v>
      </c>
      <c r="AK29" s="4">
        <v>18442440</v>
      </c>
    </row>
    <row r="30" spans="1:37" x14ac:dyDescent="0.25">
      <c r="A30" s="1">
        <v>45758</v>
      </c>
      <c r="B30" s="1">
        <v>45754</v>
      </c>
      <c r="C30" t="s">
        <v>38</v>
      </c>
      <c r="D30" t="s">
        <v>39</v>
      </c>
      <c r="E30" t="s">
        <v>40</v>
      </c>
      <c r="F30">
        <v>649163</v>
      </c>
      <c r="G30">
        <v>20411454</v>
      </c>
      <c r="H30" t="s">
        <v>41</v>
      </c>
      <c r="I30">
        <v>2027863478</v>
      </c>
      <c r="J30" t="s">
        <v>89</v>
      </c>
      <c r="M30" t="s">
        <v>85</v>
      </c>
      <c r="O30">
        <v>651818</v>
      </c>
      <c r="P30" t="s">
        <v>56</v>
      </c>
      <c r="Q30" t="s">
        <v>45</v>
      </c>
      <c r="R30" t="s">
        <v>57</v>
      </c>
      <c r="S30" s="1">
        <v>45754</v>
      </c>
      <c r="U30" t="s">
        <v>47</v>
      </c>
      <c r="X30" t="s">
        <v>48</v>
      </c>
      <c r="Y30" s="2">
        <v>25</v>
      </c>
      <c r="Z30" s="2">
        <v>25</v>
      </c>
      <c r="AA30">
        <v>0</v>
      </c>
      <c r="AB30" s="3">
        <v>0.75</v>
      </c>
      <c r="AC30" s="2">
        <v>0</v>
      </c>
      <c r="AD30" s="3">
        <v>0</v>
      </c>
      <c r="AE30" s="2">
        <v>0</v>
      </c>
      <c r="AF30" s="2">
        <v>0</v>
      </c>
      <c r="AK30" s="4">
        <v>18442440</v>
      </c>
    </row>
    <row r="31" spans="1:37" x14ac:dyDescent="0.25">
      <c r="A31" s="1">
        <v>45758</v>
      </c>
      <c r="B31" s="1">
        <v>45754</v>
      </c>
      <c r="C31" t="s">
        <v>38</v>
      </c>
      <c r="D31" t="s">
        <v>39</v>
      </c>
      <c r="E31" t="s">
        <v>40</v>
      </c>
      <c r="F31">
        <v>649163</v>
      </c>
      <c r="G31">
        <v>20411454</v>
      </c>
      <c r="H31" t="s">
        <v>41</v>
      </c>
      <c r="I31">
        <v>2027863479</v>
      </c>
      <c r="J31" t="s">
        <v>89</v>
      </c>
      <c r="M31" t="s">
        <v>85</v>
      </c>
      <c r="O31">
        <v>651818</v>
      </c>
      <c r="P31" t="s">
        <v>56</v>
      </c>
      <c r="Q31" t="s">
        <v>45</v>
      </c>
      <c r="R31" t="s">
        <v>86</v>
      </c>
      <c r="S31" s="1">
        <v>45754</v>
      </c>
      <c r="U31" t="s">
        <v>47</v>
      </c>
      <c r="X31" t="s">
        <v>48</v>
      </c>
      <c r="Y31" s="2">
        <v>26.25</v>
      </c>
      <c r="Z31" s="2">
        <v>26.25</v>
      </c>
      <c r="AA31">
        <v>0</v>
      </c>
      <c r="AB31" s="3">
        <v>0.9</v>
      </c>
      <c r="AC31" s="2">
        <v>0</v>
      </c>
      <c r="AD31" s="3">
        <v>0</v>
      </c>
      <c r="AE31" s="2">
        <v>0</v>
      </c>
      <c r="AF31" s="2">
        <v>0</v>
      </c>
      <c r="AK31" s="4">
        <v>18456060</v>
      </c>
    </row>
    <row r="32" spans="1:37" x14ac:dyDescent="0.25">
      <c r="A32" s="1">
        <v>45758</v>
      </c>
      <c r="B32" s="1">
        <v>45754</v>
      </c>
      <c r="C32" t="s">
        <v>38</v>
      </c>
      <c r="D32" t="s">
        <v>39</v>
      </c>
      <c r="E32" t="s">
        <v>40</v>
      </c>
      <c r="F32">
        <v>649163</v>
      </c>
      <c r="G32">
        <v>20411454</v>
      </c>
      <c r="H32" t="s">
        <v>41</v>
      </c>
      <c r="I32">
        <v>2027863480</v>
      </c>
      <c r="J32" t="s">
        <v>89</v>
      </c>
      <c r="M32" t="s">
        <v>85</v>
      </c>
      <c r="O32">
        <v>651818</v>
      </c>
      <c r="P32" t="s">
        <v>56</v>
      </c>
      <c r="Q32" t="s">
        <v>45</v>
      </c>
      <c r="R32" t="s">
        <v>52</v>
      </c>
      <c r="S32" s="1">
        <v>45754</v>
      </c>
      <c r="U32" t="s">
        <v>47</v>
      </c>
      <c r="X32" t="s">
        <v>48</v>
      </c>
      <c r="Y32" s="2">
        <v>34</v>
      </c>
      <c r="Z32" s="2">
        <v>34</v>
      </c>
      <c r="AA32">
        <v>0</v>
      </c>
      <c r="AB32" s="3">
        <v>0.7</v>
      </c>
      <c r="AC32" s="2">
        <v>0</v>
      </c>
      <c r="AD32" s="3">
        <v>0</v>
      </c>
      <c r="AE32" s="2">
        <v>0</v>
      </c>
      <c r="AF32" s="2">
        <v>0</v>
      </c>
      <c r="AK32" s="4">
        <v>18434800</v>
      </c>
    </row>
    <row r="33" spans="1:37" x14ac:dyDescent="0.25">
      <c r="A33" s="1">
        <v>45758</v>
      </c>
      <c r="B33" s="1">
        <v>45754</v>
      </c>
      <c r="C33" t="s">
        <v>38</v>
      </c>
      <c r="D33" t="s">
        <v>39</v>
      </c>
      <c r="E33" t="s">
        <v>40</v>
      </c>
      <c r="F33">
        <v>649163</v>
      </c>
      <c r="G33">
        <v>20411454</v>
      </c>
      <c r="H33" t="s">
        <v>41</v>
      </c>
      <c r="I33">
        <v>2027867633</v>
      </c>
      <c r="J33" t="s">
        <v>90</v>
      </c>
      <c r="M33" t="s">
        <v>88</v>
      </c>
      <c r="O33">
        <v>753748</v>
      </c>
      <c r="P33" t="s">
        <v>91</v>
      </c>
      <c r="Q33" t="s">
        <v>45</v>
      </c>
      <c r="R33" t="s">
        <v>57</v>
      </c>
      <c r="S33" s="1">
        <v>45748</v>
      </c>
      <c r="U33" t="s">
        <v>47</v>
      </c>
      <c r="X33" t="s">
        <v>48</v>
      </c>
      <c r="Y33" s="2">
        <v>88.75</v>
      </c>
      <c r="Z33" s="2">
        <v>88.75</v>
      </c>
      <c r="AA33">
        <v>0</v>
      </c>
      <c r="AB33" s="3">
        <v>0.75</v>
      </c>
      <c r="AC33" s="2">
        <v>0</v>
      </c>
      <c r="AD33" s="3">
        <v>0</v>
      </c>
      <c r="AE33" s="2">
        <v>0</v>
      </c>
      <c r="AF33" s="2">
        <v>0</v>
      </c>
      <c r="AK33" s="4">
        <v>18442440</v>
      </c>
    </row>
    <row r="34" spans="1:37" x14ac:dyDescent="0.25">
      <c r="A34" s="1">
        <v>45758</v>
      </c>
      <c r="B34" s="1">
        <v>45754</v>
      </c>
      <c r="C34" t="s">
        <v>38</v>
      </c>
      <c r="D34" t="s">
        <v>39</v>
      </c>
      <c r="E34" t="s">
        <v>40</v>
      </c>
      <c r="F34">
        <v>649163</v>
      </c>
      <c r="G34">
        <v>20411454</v>
      </c>
      <c r="H34" t="s">
        <v>41</v>
      </c>
      <c r="I34">
        <v>2027887270</v>
      </c>
      <c r="J34" t="s">
        <v>92</v>
      </c>
      <c r="M34" t="s">
        <v>85</v>
      </c>
      <c r="O34">
        <v>651818</v>
      </c>
      <c r="P34" t="s">
        <v>56</v>
      </c>
      <c r="Q34" t="s">
        <v>45</v>
      </c>
      <c r="R34" t="s">
        <v>57</v>
      </c>
      <c r="S34" s="1">
        <v>45754</v>
      </c>
      <c r="U34" t="s">
        <v>47</v>
      </c>
      <c r="X34" t="s">
        <v>48</v>
      </c>
      <c r="Y34" s="2">
        <v>88.8</v>
      </c>
      <c r="Z34" s="2">
        <v>88.8</v>
      </c>
      <c r="AA34">
        <v>0</v>
      </c>
      <c r="AB34" s="3">
        <v>0.75</v>
      </c>
      <c r="AC34" s="2">
        <v>0</v>
      </c>
      <c r="AD34" s="3">
        <v>0</v>
      </c>
      <c r="AE34" s="2">
        <v>0</v>
      </c>
      <c r="AF34" s="2">
        <v>0</v>
      </c>
      <c r="AK34" s="4">
        <v>18442460</v>
      </c>
    </row>
    <row r="35" spans="1:37" x14ac:dyDescent="0.25">
      <c r="A35" s="1">
        <v>45758</v>
      </c>
      <c r="B35" s="1">
        <v>45754</v>
      </c>
      <c r="C35" t="s">
        <v>38</v>
      </c>
      <c r="D35" t="s">
        <v>39</v>
      </c>
      <c r="E35" t="s">
        <v>40</v>
      </c>
      <c r="F35">
        <v>649163</v>
      </c>
      <c r="G35">
        <v>20411454</v>
      </c>
      <c r="H35" t="s">
        <v>41</v>
      </c>
      <c r="I35">
        <v>2027887271</v>
      </c>
      <c r="J35" t="s">
        <v>92</v>
      </c>
      <c r="M35" t="s">
        <v>85</v>
      </c>
      <c r="O35">
        <v>651818</v>
      </c>
      <c r="P35" t="s">
        <v>56</v>
      </c>
      <c r="Q35" t="s">
        <v>45</v>
      </c>
      <c r="R35" t="s">
        <v>86</v>
      </c>
      <c r="S35" s="1">
        <v>45754</v>
      </c>
      <c r="U35" t="s">
        <v>47</v>
      </c>
      <c r="X35" t="s">
        <v>48</v>
      </c>
      <c r="Y35" s="2">
        <v>35.46</v>
      </c>
      <c r="Z35" s="2">
        <v>35.46</v>
      </c>
      <c r="AA35">
        <v>0</v>
      </c>
      <c r="AB35" s="3">
        <v>0.9</v>
      </c>
      <c r="AC35" s="2">
        <v>0</v>
      </c>
      <c r="AD35" s="3">
        <v>0</v>
      </c>
      <c r="AE35" s="2">
        <v>0</v>
      </c>
      <c r="AF35" s="2">
        <v>0</v>
      </c>
      <c r="AK35" s="4">
        <v>18456060</v>
      </c>
    </row>
    <row r="36" spans="1:37" x14ac:dyDescent="0.25">
      <c r="A36" s="1">
        <v>45758</v>
      </c>
      <c r="B36" s="1">
        <v>45754</v>
      </c>
      <c r="C36" t="s">
        <v>38</v>
      </c>
      <c r="D36" t="s">
        <v>39</v>
      </c>
      <c r="E36" t="s">
        <v>40</v>
      </c>
      <c r="F36">
        <v>649163</v>
      </c>
      <c r="G36">
        <v>20411454</v>
      </c>
      <c r="H36" t="s">
        <v>41</v>
      </c>
      <c r="I36">
        <v>2027887272</v>
      </c>
      <c r="J36" t="s">
        <v>92</v>
      </c>
      <c r="M36" t="s">
        <v>85</v>
      </c>
      <c r="O36">
        <v>651818</v>
      </c>
      <c r="P36" t="s">
        <v>56</v>
      </c>
      <c r="Q36" t="s">
        <v>45</v>
      </c>
      <c r="R36" t="s">
        <v>52</v>
      </c>
      <c r="S36" s="1">
        <v>45754</v>
      </c>
      <c r="U36" t="s">
        <v>47</v>
      </c>
      <c r="X36" t="s">
        <v>48</v>
      </c>
      <c r="Y36" s="2">
        <v>34</v>
      </c>
      <c r="Z36" s="2">
        <v>34</v>
      </c>
      <c r="AA36">
        <v>0</v>
      </c>
      <c r="AB36" s="3">
        <v>0.7</v>
      </c>
      <c r="AC36" s="2">
        <v>0</v>
      </c>
      <c r="AD36" s="3">
        <v>0</v>
      </c>
      <c r="AE36" s="2">
        <v>0</v>
      </c>
      <c r="AF36" s="2">
        <v>0</v>
      </c>
      <c r="AK36" s="4">
        <v>18434820</v>
      </c>
    </row>
    <row r="37" spans="1:37" x14ac:dyDescent="0.25">
      <c r="A37" s="1">
        <v>45758</v>
      </c>
      <c r="B37" s="1">
        <v>45754</v>
      </c>
      <c r="C37" t="s">
        <v>38</v>
      </c>
      <c r="D37" t="s">
        <v>39</v>
      </c>
      <c r="E37" t="s">
        <v>40</v>
      </c>
      <c r="F37">
        <v>649163</v>
      </c>
      <c r="G37">
        <v>20411454</v>
      </c>
      <c r="H37" t="s">
        <v>41</v>
      </c>
      <c r="I37">
        <v>2027887273</v>
      </c>
      <c r="J37" t="s">
        <v>92</v>
      </c>
      <c r="M37" t="s">
        <v>85</v>
      </c>
      <c r="O37">
        <v>651818</v>
      </c>
      <c r="P37" t="s">
        <v>56</v>
      </c>
      <c r="Q37" t="s">
        <v>45</v>
      </c>
      <c r="R37" t="s">
        <v>93</v>
      </c>
      <c r="S37" s="1">
        <v>45754</v>
      </c>
      <c r="U37" t="s">
        <v>47</v>
      </c>
      <c r="X37" t="s">
        <v>48</v>
      </c>
      <c r="Y37" s="2">
        <v>22.53</v>
      </c>
      <c r="Z37" s="2">
        <v>22.53</v>
      </c>
      <c r="AA37">
        <v>0</v>
      </c>
      <c r="AB37" s="3">
        <v>0.42</v>
      </c>
      <c r="AC37" s="2">
        <v>0</v>
      </c>
      <c r="AD37" s="3">
        <v>0</v>
      </c>
      <c r="AE37" s="2">
        <v>0</v>
      </c>
      <c r="AF37" s="2">
        <v>0</v>
      </c>
      <c r="AK37" s="4">
        <v>18452220</v>
      </c>
    </row>
    <row r="38" spans="1:37" x14ac:dyDescent="0.25">
      <c r="A38" s="1">
        <v>45758</v>
      </c>
      <c r="B38" s="1">
        <v>45754</v>
      </c>
      <c r="C38" t="s">
        <v>38</v>
      </c>
      <c r="D38" t="s">
        <v>39</v>
      </c>
      <c r="E38" t="s">
        <v>40</v>
      </c>
      <c r="F38">
        <v>649163</v>
      </c>
      <c r="G38">
        <v>20411454</v>
      </c>
      <c r="H38" t="s">
        <v>41</v>
      </c>
      <c r="I38">
        <v>2027922845</v>
      </c>
      <c r="J38" t="s">
        <v>94</v>
      </c>
      <c r="M38" t="s">
        <v>50</v>
      </c>
      <c r="O38">
        <v>768887</v>
      </c>
      <c r="P38" t="s">
        <v>73</v>
      </c>
      <c r="Q38" t="s">
        <v>45</v>
      </c>
      <c r="R38" t="s">
        <v>74</v>
      </c>
      <c r="S38" s="1">
        <v>45748</v>
      </c>
      <c r="U38" t="s">
        <v>47</v>
      </c>
      <c r="X38" t="s">
        <v>48</v>
      </c>
      <c r="Y38" s="2">
        <v>123.21</v>
      </c>
      <c r="Z38" s="2">
        <v>123.21</v>
      </c>
      <c r="AA38">
        <v>0</v>
      </c>
      <c r="AB38" s="3">
        <v>0.26</v>
      </c>
      <c r="AC38" s="2">
        <v>0</v>
      </c>
      <c r="AD38" s="3">
        <v>0</v>
      </c>
      <c r="AE38" s="2">
        <v>0</v>
      </c>
      <c r="AF38" s="2">
        <v>0</v>
      </c>
      <c r="AK38" s="4">
        <v>18426250</v>
      </c>
    </row>
    <row r="39" spans="1:37" x14ac:dyDescent="0.25">
      <c r="A39" s="1">
        <v>45758</v>
      </c>
      <c r="B39" s="1">
        <v>45754</v>
      </c>
      <c r="C39" t="s">
        <v>38</v>
      </c>
      <c r="D39" t="s">
        <v>39</v>
      </c>
      <c r="E39" t="s">
        <v>40</v>
      </c>
      <c r="F39">
        <v>649163</v>
      </c>
      <c r="G39">
        <v>20411454</v>
      </c>
      <c r="H39" t="s">
        <v>41</v>
      </c>
      <c r="I39">
        <v>2027922860</v>
      </c>
      <c r="J39" t="s">
        <v>95</v>
      </c>
      <c r="M39" t="s">
        <v>50</v>
      </c>
      <c r="O39">
        <v>768887</v>
      </c>
      <c r="P39" t="s">
        <v>73</v>
      </c>
      <c r="Q39" t="s">
        <v>45</v>
      </c>
      <c r="R39" t="s">
        <v>74</v>
      </c>
      <c r="S39" s="1">
        <v>45748</v>
      </c>
      <c r="U39" t="s">
        <v>47</v>
      </c>
      <c r="X39" t="s">
        <v>48</v>
      </c>
      <c r="Y39" s="2">
        <v>139.18</v>
      </c>
      <c r="Z39" s="2">
        <v>139.18</v>
      </c>
      <c r="AA39">
        <v>0</v>
      </c>
      <c r="AB39" s="3">
        <v>0.26</v>
      </c>
      <c r="AC39" s="2">
        <v>0</v>
      </c>
      <c r="AD39" s="3">
        <v>0</v>
      </c>
      <c r="AE39" s="2">
        <v>0</v>
      </c>
      <c r="AF39" s="2">
        <v>0</v>
      </c>
      <c r="AK39" s="4">
        <v>18426250</v>
      </c>
    </row>
    <row r="40" spans="1:37" x14ac:dyDescent="0.25">
      <c r="A40" s="1">
        <v>45758</v>
      </c>
      <c r="B40" s="1">
        <v>45754</v>
      </c>
      <c r="C40" t="s">
        <v>38</v>
      </c>
      <c r="D40" t="s">
        <v>39</v>
      </c>
      <c r="E40" t="s">
        <v>40</v>
      </c>
      <c r="F40">
        <v>649163</v>
      </c>
      <c r="G40">
        <v>20411454</v>
      </c>
      <c r="H40" t="s">
        <v>41</v>
      </c>
      <c r="I40">
        <v>2027922861</v>
      </c>
      <c r="J40" t="s">
        <v>95</v>
      </c>
      <c r="M40" t="s">
        <v>50</v>
      </c>
      <c r="O40">
        <v>768887</v>
      </c>
      <c r="P40" t="s">
        <v>73</v>
      </c>
      <c r="Q40" t="s">
        <v>45</v>
      </c>
      <c r="R40" t="s">
        <v>46</v>
      </c>
      <c r="S40" s="1">
        <v>45748</v>
      </c>
      <c r="U40" t="s">
        <v>47</v>
      </c>
      <c r="X40" t="s">
        <v>48</v>
      </c>
      <c r="Y40" s="2">
        <v>112.33</v>
      </c>
      <c r="Z40" s="2">
        <v>112.33</v>
      </c>
      <c r="AA40">
        <v>0</v>
      </c>
      <c r="AB40" s="3">
        <v>0.47</v>
      </c>
      <c r="AC40" s="2">
        <v>0</v>
      </c>
      <c r="AD40" s="3">
        <v>0</v>
      </c>
      <c r="AE40" s="2">
        <v>0</v>
      </c>
      <c r="AF40" s="2">
        <v>0</v>
      </c>
      <c r="AK40" s="4">
        <v>18452250</v>
      </c>
    </row>
    <row r="41" spans="1:37" x14ac:dyDescent="0.25">
      <c r="A41" s="1">
        <v>45758</v>
      </c>
      <c r="B41" s="1">
        <v>45754</v>
      </c>
      <c r="C41" t="s">
        <v>38</v>
      </c>
      <c r="D41" t="s">
        <v>39</v>
      </c>
      <c r="E41" t="s">
        <v>40</v>
      </c>
      <c r="F41">
        <v>649163</v>
      </c>
      <c r="G41">
        <v>20411454</v>
      </c>
      <c r="H41" t="s">
        <v>41</v>
      </c>
      <c r="I41">
        <v>2027962667</v>
      </c>
      <c r="J41" t="s">
        <v>96</v>
      </c>
      <c r="M41" t="s">
        <v>88</v>
      </c>
      <c r="O41">
        <v>753748</v>
      </c>
      <c r="P41" t="s">
        <v>91</v>
      </c>
      <c r="Q41" t="s">
        <v>45</v>
      </c>
      <c r="R41" t="s">
        <v>52</v>
      </c>
      <c r="S41" s="1">
        <v>45748</v>
      </c>
      <c r="U41" t="s">
        <v>47</v>
      </c>
      <c r="X41" t="s">
        <v>48</v>
      </c>
      <c r="Y41" s="2">
        <v>119.52</v>
      </c>
      <c r="Z41" s="2">
        <v>119.52</v>
      </c>
      <c r="AA41">
        <v>0</v>
      </c>
      <c r="AB41" s="3">
        <v>0.7</v>
      </c>
      <c r="AC41" s="2">
        <v>0</v>
      </c>
      <c r="AD41" s="3">
        <v>0</v>
      </c>
      <c r="AE41" s="2">
        <v>0</v>
      </c>
      <c r="AF41" s="2">
        <v>0</v>
      </c>
      <c r="AK41" s="4">
        <v>18434880</v>
      </c>
    </row>
    <row r="42" spans="1:37" x14ac:dyDescent="0.25">
      <c r="A42" s="1">
        <v>45758</v>
      </c>
      <c r="B42" s="1">
        <v>45754</v>
      </c>
      <c r="C42" t="s">
        <v>38</v>
      </c>
      <c r="D42" t="s">
        <v>39</v>
      </c>
      <c r="E42" t="s">
        <v>40</v>
      </c>
      <c r="F42">
        <v>649163</v>
      </c>
      <c r="G42">
        <v>20411454</v>
      </c>
      <c r="H42" t="s">
        <v>41</v>
      </c>
      <c r="I42">
        <v>2027984512</v>
      </c>
      <c r="J42" t="s">
        <v>97</v>
      </c>
      <c r="M42" t="s">
        <v>50</v>
      </c>
      <c r="O42">
        <v>839913</v>
      </c>
      <c r="P42" t="s">
        <v>98</v>
      </c>
      <c r="Q42" t="s">
        <v>45</v>
      </c>
      <c r="R42" t="s">
        <v>52</v>
      </c>
      <c r="S42" s="1">
        <v>45748</v>
      </c>
      <c r="U42" t="s">
        <v>47</v>
      </c>
      <c r="X42" t="s">
        <v>48</v>
      </c>
      <c r="Y42" s="2">
        <v>26.5</v>
      </c>
      <c r="Z42" s="2">
        <v>26.5</v>
      </c>
      <c r="AA42">
        <v>0</v>
      </c>
      <c r="AB42" s="3">
        <v>0.7</v>
      </c>
      <c r="AC42" s="2">
        <v>0</v>
      </c>
      <c r="AD42" s="3">
        <v>0</v>
      </c>
      <c r="AE42" s="2">
        <v>0</v>
      </c>
      <c r="AF42" s="2">
        <v>0</v>
      </c>
      <c r="AK42" s="4">
        <v>18434900</v>
      </c>
    </row>
    <row r="43" spans="1:37" x14ac:dyDescent="0.25">
      <c r="A43" s="1">
        <v>45758</v>
      </c>
      <c r="B43" s="1">
        <v>45754</v>
      </c>
      <c r="C43" t="s">
        <v>38</v>
      </c>
      <c r="D43" t="s">
        <v>39</v>
      </c>
      <c r="E43" t="s">
        <v>40</v>
      </c>
      <c r="F43">
        <v>649163</v>
      </c>
      <c r="G43">
        <v>20411454</v>
      </c>
      <c r="H43" t="s">
        <v>41</v>
      </c>
      <c r="I43">
        <v>2028000460</v>
      </c>
      <c r="J43" t="s">
        <v>99</v>
      </c>
      <c r="M43" t="s">
        <v>50</v>
      </c>
      <c r="O43">
        <v>820873</v>
      </c>
      <c r="P43" t="s">
        <v>100</v>
      </c>
      <c r="Q43" t="s">
        <v>45</v>
      </c>
      <c r="R43" t="s">
        <v>101</v>
      </c>
      <c r="S43" s="1">
        <v>45748</v>
      </c>
      <c r="U43" t="s">
        <v>47</v>
      </c>
      <c r="X43" t="s">
        <v>48</v>
      </c>
      <c r="Y43" s="2">
        <v>114.69</v>
      </c>
      <c r="Z43" s="2">
        <v>114.69</v>
      </c>
      <c r="AA43">
        <v>0</v>
      </c>
      <c r="AB43" s="3">
        <v>0.28000000000000003</v>
      </c>
      <c r="AC43" s="2">
        <v>0</v>
      </c>
      <c r="AD43" s="3">
        <v>0</v>
      </c>
      <c r="AE43" s="2">
        <v>0</v>
      </c>
      <c r="AF43" s="2">
        <v>0</v>
      </c>
      <c r="AK43" s="4">
        <v>18427010</v>
      </c>
    </row>
    <row r="44" spans="1:37" x14ac:dyDescent="0.25">
      <c r="A44" s="1">
        <v>45758</v>
      </c>
      <c r="B44" s="1">
        <v>45754</v>
      </c>
      <c r="C44" t="s">
        <v>38</v>
      </c>
      <c r="D44" t="s">
        <v>39</v>
      </c>
      <c r="E44" t="s">
        <v>40</v>
      </c>
      <c r="F44">
        <v>649163</v>
      </c>
      <c r="G44">
        <v>20411454</v>
      </c>
      <c r="H44" t="s">
        <v>41</v>
      </c>
      <c r="I44">
        <v>2028005610</v>
      </c>
      <c r="J44" t="s">
        <v>102</v>
      </c>
      <c r="M44" t="s">
        <v>103</v>
      </c>
      <c r="O44">
        <v>673059</v>
      </c>
      <c r="P44" t="s">
        <v>60</v>
      </c>
      <c r="Q44" t="s">
        <v>45</v>
      </c>
      <c r="R44" t="s">
        <v>52</v>
      </c>
      <c r="S44" s="1">
        <v>45748</v>
      </c>
      <c r="U44" t="s">
        <v>47</v>
      </c>
      <c r="X44" t="s">
        <v>48</v>
      </c>
      <c r="Y44" s="2">
        <v>67.87</v>
      </c>
      <c r="Z44" s="2">
        <v>67.87</v>
      </c>
      <c r="AA44">
        <v>0</v>
      </c>
      <c r="AB44" s="3">
        <v>0.7</v>
      </c>
      <c r="AC44" s="2">
        <v>0</v>
      </c>
      <c r="AD44" s="3">
        <v>0</v>
      </c>
      <c r="AE44" s="2">
        <v>0</v>
      </c>
      <c r="AF44" s="2">
        <v>0</v>
      </c>
      <c r="AK44" s="4">
        <v>18434920</v>
      </c>
    </row>
    <row r="45" spans="1:37" x14ac:dyDescent="0.25">
      <c r="A45" s="1">
        <v>45758</v>
      </c>
      <c r="B45" s="1">
        <v>45754</v>
      </c>
      <c r="C45" t="s">
        <v>38</v>
      </c>
      <c r="D45" t="s">
        <v>39</v>
      </c>
      <c r="E45" t="s">
        <v>40</v>
      </c>
      <c r="F45">
        <v>649163</v>
      </c>
      <c r="G45">
        <v>20411454</v>
      </c>
      <c r="H45" t="s">
        <v>41</v>
      </c>
      <c r="I45">
        <v>2028008222</v>
      </c>
      <c r="J45" t="s">
        <v>104</v>
      </c>
      <c r="M45" t="s">
        <v>88</v>
      </c>
      <c r="O45">
        <v>822733</v>
      </c>
      <c r="P45" t="s">
        <v>105</v>
      </c>
      <c r="Q45" t="s">
        <v>45</v>
      </c>
      <c r="R45" t="s">
        <v>52</v>
      </c>
      <c r="S45" s="1">
        <v>45754</v>
      </c>
      <c r="U45" t="s">
        <v>47</v>
      </c>
      <c r="X45" t="s">
        <v>48</v>
      </c>
      <c r="Y45" s="2">
        <v>48.76</v>
      </c>
      <c r="Z45" s="2">
        <v>48.76</v>
      </c>
      <c r="AA45">
        <v>0</v>
      </c>
      <c r="AB45" s="3">
        <v>0.7</v>
      </c>
      <c r="AC45" s="2">
        <v>0</v>
      </c>
      <c r="AD45" s="3">
        <v>0</v>
      </c>
      <c r="AE45" s="2">
        <v>0</v>
      </c>
      <c r="AF45" s="2">
        <v>0</v>
      </c>
      <c r="AK45" s="4">
        <v>18434930</v>
      </c>
    </row>
    <row r="46" spans="1:37" x14ac:dyDescent="0.25">
      <c r="A46" s="1">
        <v>45758</v>
      </c>
      <c r="B46" s="1">
        <v>45754</v>
      </c>
      <c r="C46" t="s">
        <v>38</v>
      </c>
      <c r="D46" t="s">
        <v>39</v>
      </c>
      <c r="E46" t="s">
        <v>40</v>
      </c>
      <c r="F46">
        <v>649163</v>
      </c>
      <c r="G46">
        <v>20411454</v>
      </c>
      <c r="H46" t="s">
        <v>41</v>
      </c>
      <c r="I46">
        <v>2028015540</v>
      </c>
      <c r="J46" t="s">
        <v>106</v>
      </c>
      <c r="M46" t="s">
        <v>43</v>
      </c>
      <c r="O46">
        <v>649164</v>
      </c>
      <c r="P46" t="s">
        <v>41</v>
      </c>
      <c r="Q46" t="s">
        <v>45</v>
      </c>
      <c r="R46" t="s">
        <v>107</v>
      </c>
      <c r="S46" s="1">
        <v>45748</v>
      </c>
      <c r="U46" t="s">
        <v>47</v>
      </c>
      <c r="X46" t="s">
        <v>48</v>
      </c>
      <c r="Y46" s="2">
        <v>92.55</v>
      </c>
      <c r="Z46" s="2">
        <v>92.55</v>
      </c>
      <c r="AA46">
        <v>0</v>
      </c>
      <c r="AB46" s="3">
        <v>0.6</v>
      </c>
      <c r="AC46" s="2">
        <v>0</v>
      </c>
      <c r="AD46" s="3">
        <v>0</v>
      </c>
      <c r="AE46" s="2">
        <v>0</v>
      </c>
      <c r="AF46" s="2">
        <v>0</v>
      </c>
      <c r="AK46" s="4">
        <v>18442520</v>
      </c>
    </row>
    <row r="47" spans="1:37" x14ac:dyDescent="0.25">
      <c r="A47" s="1">
        <v>45758</v>
      </c>
      <c r="B47" s="1">
        <v>45754</v>
      </c>
      <c r="C47" t="s">
        <v>38</v>
      </c>
      <c r="D47" t="s">
        <v>39</v>
      </c>
      <c r="E47" t="s">
        <v>40</v>
      </c>
      <c r="F47">
        <v>649163</v>
      </c>
      <c r="G47">
        <v>20411454</v>
      </c>
      <c r="H47" t="s">
        <v>41</v>
      </c>
      <c r="I47">
        <v>2028019977</v>
      </c>
      <c r="J47" t="s">
        <v>108</v>
      </c>
      <c r="M47" t="s">
        <v>109</v>
      </c>
      <c r="O47">
        <v>822865</v>
      </c>
      <c r="P47" t="s">
        <v>110</v>
      </c>
      <c r="Q47" t="s">
        <v>45</v>
      </c>
      <c r="R47" t="s">
        <v>52</v>
      </c>
      <c r="S47" s="1">
        <v>45742</v>
      </c>
      <c r="U47" t="s">
        <v>47</v>
      </c>
      <c r="X47" t="s">
        <v>48</v>
      </c>
      <c r="Y47" s="2">
        <v>128.80000000000001</v>
      </c>
      <c r="Z47" s="2">
        <v>128.80000000000001</v>
      </c>
      <c r="AA47">
        <v>0</v>
      </c>
      <c r="AB47" s="3">
        <v>0.7</v>
      </c>
      <c r="AC47" s="2">
        <v>0</v>
      </c>
      <c r="AD47" s="3">
        <v>0</v>
      </c>
      <c r="AE47" s="2">
        <v>0</v>
      </c>
      <c r="AF47" s="2">
        <v>0</v>
      </c>
      <c r="AK47" s="4">
        <v>18434940</v>
      </c>
    </row>
    <row r="48" spans="1:37" x14ac:dyDescent="0.25">
      <c r="A48" s="1">
        <v>45758</v>
      </c>
      <c r="B48" s="1">
        <v>45754</v>
      </c>
      <c r="C48" t="s">
        <v>38</v>
      </c>
      <c r="D48" t="s">
        <v>39</v>
      </c>
      <c r="E48" t="s">
        <v>40</v>
      </c>
      <c r="F48">
        <v>649163</v>
      </c>
      <c r="G48">
        <v>20411454</v>
      </c>
      <c r="H48" t="s">
        <v>41</v>
      </c>
      <c r="I48">
        <v>2028020256</v>
      </c>
      <c r="J48" t="s">
        <v>111</v>
      </c>
      <c r="M48" t="s">
        <v>43</v>
      </c>
      <c r="O48">
        <v>728134</v>
      </c>
      <c r="P48" t="s">
        <v>44</v>
      </c>
      <c r="Q48" t="s">
        <v>45</v>
      </c>
      <c r="R48" t="s">
        <v>53</v>
      </c>
      <c r="S48" s="1">
        <v>45748</v>
      </c>
      <c r="U48" t="s">
        <v>47</v>
      </c>
      <c r="X48" t="s">
        <v>48</v>
      </c>
      <c r="Y48" s="2">
        <v>39.979999999999997</v>
      </c>
      <c r="Z48" s="2">
        <v>39.979999999999997</v>
      </c>
      <c r="AA48">
        <v>0</v>
      </c>
      <c r="AB48" s="3">
        <v>0.375</v>
      </c>
      <c r="AC48" s="2">
        <v>0</v>
      </c>
      <c r="AD48" s="3">
        <v>0</v>
      </c>
      <c r="AE48" s="2">
        <v>0</v>
      </c>
      <c r="AF48" s="2">
        <v>0</v>
      </c>
      <c r="AK48" s="4">
        <v>18452340</v>
      </c>
    </row>
    <row r="49" spans="1:37" x14ac:dyDescent="0.25">
      <c r="A49" s="1">
        <v>45758</v>
      </c>
      <c r="B49" s="1">
        <v>45754</v>
      </c>
      <c r="C49" t="s">
        <v>38</v>
      </c>
      <c r="D49" t="s">
        <v>39</v>
      </c>
      <c r="E49" t="s">
        <v>40</v>
      </c>
      <c r="F49">
        <v>649163</v>
      </c>
      <c r="G49">
        <v>20411454</v>
      </c>
      <c r="H49" t="s">
        <v>41</v>
      </c>
      <c r="I49">
        <v>2028037551</v>
      </c>
      <c r="J49" t="s">
        <v>112</v>
      </c>
      <c r="M49" t="s">
        <v>50</v>
      </c>
      <c r="O49">
        <v>856824</v>
      </c>
      <c r="P49" t="s">
        <v>113</v>
      </c>
      <c r="Q49" t="s">
        <v>45</v>
      </c>
      <c r="R49" t="s">
        <v>53</v>
      </c>
      <c r="S49" s="1">
        <v>45748</v>
      </c>
      <c r="U49" t="s">
        <v>47</v>
      </c>
      <c r="X49" t="s">
        <v>48</v>
      </c>
      <c r="Y49" s="2">
        <v>22.52</v>
      </c>
      <c r="Z49" s="2">
        <v>22.52</v>
      </c>
      <c r="AA49">
        <v>0</v>
      </c>
      <c r="AB49" s="3">
        <v>0.375</v>
      </c>
      <c r="AC49" s="2">
        <v>0</v>
      </c>
      <c r="AD49" s="3">
        <v>0</v>
      </c>
      <c r="AE49" s="2">
        <v>0</v>
      </c>
      <c r="AF49" s="2">
        <v>0</v>
      </c>
      <c r="AK49" s="4">
        <v>18452380</v>
      </c>
    </row>
    <row r="50" spans="1:37" x14ac:dyDescent="0.25">
      <c r="A50" s="1">
        <v>45758</v>
      </c>
      <c r="B50" s="1">
        <v>45754</v>
      </c>
      <c r="C50" t="s">
        <v>38</v>
      </c>
      <c r="D50" t="s">
        <v>39</v>
      </c>
      <c r="E50" t="s">
        <v>40</v>
      </c>
      <c r="F50">
        <v>649163</v>
      </c>
      <c r="G50">
        <v>20411454</v>
      </c>
      <c r="H50" t="s">
        <v>41</v>
      </c>
      <c r="I50">
        <v>2028038680</v>
      </c>
      <c r="J50" t="s">
        <v>114</v>
      </c>
      <c r="M50" t="s">
        <v>43</v>
      </c>
      <c r="O50">
        <v>728134</v>
      </c>
      <c r="P50" t="s">
        <v>44</v>
      </c>
      <c r="Q50" t="s">
        <v>45</v>
      </c>
      <c r="R50" t="s">
        <v>46</v>
      </c>
      <c r="S50" s="1">
        <v>45748</v>
      </c>
      <c r="U50" t="s">
        <v>47</v>
      </c>
      <c r="X50" t="s">
        <v>48</v>
      </c>
      <c r="Y50" s="2">
        <v>69.31</v>
      </c>
      <c r="Z50" s="2">
        <v>69.31</v>
      </c>
      <c r="AA50">
        <v>0</v>
      </c>
      <c r="AB50" s="3">
        <v>0.47</v>
      </c>
      <c r="AC50" s="2">
        <v>0</v>
      </c>
      <c r="AD50" s="3">
        <v>0</v>
      </c>
      <c r="AE50" s="2">
        <v>0</v>
      </c>
      <c r="AF50" s="2">
        <v>0</v>
      </c>
      <c r="AK50" s="4">
        <v>18452390</v>
      </c>
    </row>
    <row r="51" spans="1:37" x14ac:dyDescent="0.25">
      <c r="A51" s="1">
        <v>45758</v>
      </c>
      <c r="B51" s="1">
        <v>45754</v>
      </c>
      <c r="C51" t="s">
        <v>38</v>
      </c>
      <c r="D51" t="s">
        <v>39</v>
      </c>
      <c r="E51" t="s">
        <v>40</v>
      </c>
      <c r="F51">
        <v>649163</v>
      </c>
      <c r="G51">
        <v>20411454</v>
      </c>
      <c r="H51" t="s">
        <v>41</v>
      </c>
      <c r="I51">
        <v>2028041473</v>
      </c>
      <c r="J51" t="s">
        <v>115</v>
      </c>
      <c r="M51" t="s">
        <v>43</v>
      </c>
      <c r="O51">
        <v>651818</v>
      </c>
      <c r="P51" t="s">
        <v>56</v>
      </c>
      <c r="Q51" t="s">
        <v>45</v>
      </c>
      <c r="R51" t="s">
        <v>86</v>
      </c>
      <c r="S51" s="1">
        <v>45748</v>
      </c>
      <c r="U51" t="s">
        <v>47</v>
      </c>
      <c r="X51" t="s">
        <v>48</v>
      </c>
      <c r="Y51" s="2">
        <v>99.25</v>
      </c>
      <c r="Z51" s="2">
        <v>99.25</v>
      </c>
      <c r="AA51">
        <v>0</v>
      </c>
      <c r="AB51" s="3">
        <v>0.9</v>
      </c>
      <c r="AC51" s="2">
        <v>0</v>
      </c>
      <c r="AD51" s="3">
        <v>0</v>
      </c>
      <c r="AE51" s="2">
        <v>0</v>
      </c>
      <c r="AF51" s="2">
        <v>0</v>
      </c>
      <c r="AK51" s="4">
        <v>18456080</v>
      </c>
    </row>
    <row r="52" spans="1:37" x14ac:dyDescent="0.25">
      <c r="A52" s="1">
        <v>45758</v>
      </c>
      <c r="B52" s="1">
        <v>45754</v>
      </c>
      <c r="C52" t="s">
        <v>38</v>
      </c>
      <c r="D52" t="s">
        <v>39</v>
      </c>
      <c r="E52" t="s">
        <v>40</v>
      </c>
      <c r="F52">
        <v>649163</v>
      </c>
      <c r="G52">
        <v>20411454</v>
      </c>
      <c r="H52" t="s">
        <v>41</v>
      </c>
      <c r="I52">
        <v>2028043073</v>
      </c>
      <c r="J52" t="s">
        <v>116</v>
      </c>
      <c r="M52" t="s">
        <v>117</v>
      </c>
      <c r="O52">
        <v>651818</v>
      </c>
      <c r="P52" t="s">
        <v>56</v>
      </c>
      <c r="Q52" t="s">
        <v>45</v>
      </c>
      <c r="R52" t="s">
        <v>52</v>
      </c>
      <c r="S52" s="1">
        <v>45754</v>
      </c>
      <c r="U52" t="s">
        <v>47</v>
      </c>
      <c r="X52" t="s">
        <v>48</v>
      </c>
      <c r="Y52" s="2">
        <v>66.260000000000005</v>
      </c>
      <c r="Z52" s="2">
        <v>66.260000000000005</v>
      </c>
      <c r="AA52">
        <v>0</v>
      </c>
      <c r="AB52" s="3">
        <v>0.7</v>
      </c>
      <c r="AC52" s="2">
        <v>0</v>
      </c>
      <c r="AD52" s="3">
        <v>0</v>
      </c>
      <c r="AE52" s="2">
        <v>0</v>
      </c>
      <c r="AF52" s="2">
        <v>0</v>
      </c>
      <c r="AK52" s="4">
        <v>18434970</v>
      </c>
    </row>
    <row r="53" spans="1:37" x14ac:dyDescent="0.25">
      <c r="A53" s="1">
        <v>45758</v>
      </c>
      <c r="B53" s="1">
        <v>45754</v>
      </c>
      <c r="C53" t="s">
        <v>38</v>
      </c>
      <c r="D53" t="s">
        <v>39</v>
      </c>
      <c r="E53" t="s">
        <v>40</v>
      </c>
      <c r="F53">
        <v>649163</v>
      </c>
      <c r="G53">
        <v>20411454</v>
      </c>
      <c r="H53" t="s">
        <v>41</v>
      </c>
      <c r="I53">
        <v>2028043074</v>
      </c>
      <c r="J53" t="s">
        <v>116</v>
      </c>
      <c r="M53" t="s">
        <v>117</v>
      </c>
      <c r="O53">
        <v>651818</v>
      </c>
      <c r="P53" t="s">
        <v>56</v>
      </c>
      <c r="Q53" t="s">
        <v>45</v>
      </c>
      <c r="R53" t="s">
        <v>57</v>
      </c>
      <c r="S53" s="1">
        <v>45754</v>
      </c>
      <c r="U53" t="s">
        <v>47</v>
      </c>
      <c r="X53" t="s">
        <v>48</v>
      </c>
      <c r="Y53" s="2">
        <v>176.05</v>
      </c>
      <c r="Z53" s="2">
        <v>176.05</v>
      </c>
      <c r="AA53">
        <v>0</v>
      </c>
      <c r="AB53" s="3">
        <v>0.75</v>
      </c>
      <c r="AC53" s="2">
        <v>0</v>
      </c>
      <c r="AD53" s="3">
        <v>0</v>
      </c>
      <c r="AE53" s="2">
        <v>0</v>
      </c>
      <c r="AF53" s="2">
        <v>0</v>
      </c>
      <c r="AK53" s="4">
        <v>18442550</v>
      </c>
    </row>
    <row r="54" spans="1:37" x14ac:dyDescent="0.25">
      <c r="A54" s="1">
        <v>45758</v>
      </c>
      <c r="B54" s="1">
        <v>45754</v>
      </c>
      <c r="C54" t="s">
        <v>38</v>
      </c>
      <c r="D54" t="s">
        <v>39</v>
      </c>
      <c r="E54" t="s">
        <v>40</v>
      </c>
      <c r="F54">
        <v>649163</v>
      </c>
      <c r="G54">
        <v>20411454</v>
      </c>
      <c r="H54" t="s">
        <v>41</v>
      </c>
      <c r="I54">
        <v>2028048547</v>
      </c>
      <c r="J54" t="s">
        <v>118</v>
      </c>
      <c r="M54" t="s">
        <v>88</v>
      </c>
      <c r="O54">
        <v>753748</v>
      </c>
      <c r="P54" t="s">
        <v>91</v>
      </c>
      <c r="Q54" t="s">
        <v>45</v>
      </c>
      <c r="R54" t="s">
        <v>65</v>
      </c>
      <c r="S54" s="1">
        <v>45748</v>
      </c>
      <c r="U54" t="s">
        <v>47</v>
      </c>
      <c r="X54" t="s">
        <v>48</v>
      </c>
      <c r="Y54" s="2">
        <v>326</v>
      </c>
      <c r="Z54" s="2">
        <v>326</v>
      </c>
      <c r="AA54">
        <v>0</v>
      </c>
      <c r="AB54" s="3">
        <v>0.9</v>
      </c>
      <c r="AC54" s="2">
        <v>0</v>
      </c>
      <c r="AD54" s="3">
        <v>0</v>
      </c>
      <c r="AE54" s="2">
        <v>0</v>
      </c>
      <c r="AF54" s="2">
        <v>0</v>
      </c>
      <c r="AK54" s="4">
        <v>18442560</v>
      </c>
    </row>
    <row r="55" spans="1:37" x14ac:dyDescent="0.25">
      <c r="A55" s="1">
        <v>45758</v>
      </c>
      <c r="B55" s="1">
        <v>45754</v>
      </c>
      <c r="C55" t="s">
        <v>38</v>
      </c>
      <c r="D55" t="s">
        <v>39</v>
      </c>
      <c r="E55" t="s">
        <v>40</v>
      </c>
      <c r="F55">
        <v>649163</v>
      </c>
      <c r="G55">
        <v>20411454</v>
      </c>
      <c r="H55" t="s">
        <v>41</v>
      </c>
      <c r="I55">
        <v>2028048548</v>
      </c>
      <c r="J55" t="s">
        <v>118</v>
      </c>
      <c r="M55" t="s">
        <v>88</v>
      </c>
      <c r="O55">
        <v>753748</v>
      </c>
      <c r="P55" t="s">
        <v>91</v>
      </c>
      <c r="Q55" t="s">
        <v>45</v>
      </c>
      <c r="R55" t="s">
        <v>52</v>
      </c>
      <c r="S55" s="1">
        <v>45748</v>
      </c>
      <c r="U55" t="s">
        <v>47</v>
      </c>
      <c r="X55" t="s">
        <v>48</v>
      </c>
      <c r="Y55" s="2">
        <v>377.72</v>
      </c>
      <c r="Z55" s="2">
        <v>377.72</v>
      </c>
      <c r="AA55">
        <v>0</v>
      </c>
      <c r="AB55" s="3">
        <v>0.7</v>
      </c>
      <c r="AC55" s="2">
        <v>0</v>
      </c>
      <c r="AD55" s="3">
        <v>0</v>
      </c>
      <c r="AE55" s="2">
        <v>0</v>
      </c>
      <c r="AF55" s="2">
        <v>0</v>
      </c>
      <c r="AK55" s="4">
        <v>18434990</v>
      </c>
    </row>
    <row r="56" spans="1:37" x14ac:dyDescent="0.25">
      <c r="A56" s="1">
        <v>45758</v>
      </c>
      <c r="B56" s="1">
        <v>45754</v>
      </c>
      <c r="C56" t="s">
        <v>38</v>
      </c>
      <c r="D56" t="s">
        <v>39</v>
      </c>
      <c r="E56" t="s">
        <v>40</v>
      </c>
      <c r="F56">
        <v>649163</v>
      </c>
      <c r="G56">
        <v>20411454</v>
      </c>
      <c r="H56" t="s">
        <v>41</v>
      </c>
      <c r="I56">
        <v>2028052818</v>
      </c>
      <c r="J56" t="s">
        <v>119</v>
      </c>
      <c r="M56" t="s">
        <v>88</v>
      </c>
      <c r="O56">
        <v>753748</v>
      </c>
      <c r="P56" t="s">
        <v>91</v>
      </c>
      <c r="Q56" t="s">
        <v>45</v>
      </c>
      <c r="R56" t="s">
        <v>52</v>
      </c>
      <c r="S56" s="1">
        <v>45748</v>
      </c>
      <c r="U56" t="s">
        <v>47</v>
      </c>
      <c r="X56" t="s">
        <v>48</v>
      </c>
      <c r="Y56" s="2">
        <v>163.43</v>
      </c>
      <c r="Z56" s="2">
        <v>163.43</v>
      </c>
      <c r="AA56">
        <v>0</v>
      </c>
      <c r="AB56" s="3">
        <v>0.7</v>
      </c>
      <c r="AC56" s="2">
        <v>0</v>
      </c>
      <c r="AD56" s="3">
        <v>0</v>
      </c>
      <c r="AE56" s="2">
        <v>0</v>
      </c>
      <c r="AF56" s="2">
        <v>0</v>
      </c>
      <c r="AK56" s="4">
        <v>18435010</v>
      </c>
    </row>
    <row r="57" spans="1:37" x14ac:dyDescent="0.25">
      <c r="A57" s="1">
        <v>45758</v>
      </c>
      <c r="B57" s="1">
        <v>45754</v>
      </c>
      <c r="C57" t="s">
        <v>38</v>
      </c>
      <c r="D57" t="s">
        <v>39</v>
      </c>
      <c r="E57" t="s">
        <v>40</v>
      </c>
      <c r="F57">
        <v>649163</v>
      </c>
      <c r="G57">
        <v>20411454</v>
      </c>
      <c r="H57" t="s">
        <v>41</v>
      </c>
      <c r="I57">
        <v>2028052819</v>
      </c>
      <c r="J57" t="s">
        <v>119</v>
      </c>
      <c r="M57" t="s">
        <v>88</v>
      </c>
      <c r="O57">
        <v>753748</v>
      </c>
      <c r="P57" t="s">
        <v>91</v>
      </c>
      <c r="Q57" t="s">
        <v>45</v>
      </c>
      <c r="R57" t="s">
        <v>65</v>
      </c>
      <c r="S57" s="1">
        <v>45748</v>
      </c>
      <c r="U57" t="s">
        <v>47</v>
      </c>
      <c r="X57" t="s">
        <v>48</v>
      </c>
      <c r="Y57" s="2">
        <v>164.84</v>
      </c>
      <c r="Z57" s="2">
        <v>164.84</v>
      </c>
      <c r="AA57">
        <v>0</v>
      </c>
      <c r="AB57" s="3">
        <v>0.9</v>
      </c>
      <c r="AC57" s="2">
        <v>0</v>
      </c>
      <c r="AD57" s="3">
        <v>0</v>
      </c>
      <c r="AE57" s="2">
        <v>0</v>
      </c>
      <c r="AF57" s="2">
        <v>0</v>
      </c>
      <c r="AK57" s="4">
        <v>18442570</v>
      </c>
    </row>
    <row r="58" spans="1:37" x14ac:dyDescent="0.25">
      <c r="A58" s="1">
        <v>45758</v>
      </c>
      <c r="B58" s="1">
        <v>45754</v>
      </c>
      <c r="C58" t="s">
        <v>38</v>
      </c>
      <c r="D58" t="s">
        <v>39</v>
      </c>
      <c r="E58" t="s">
        <v>40</v>
      </c>
      <c r="F58">
        <v>649163</v>
      </c>
      <c r="G58">
        <v>20411454</v>
      </c>
      <c r="H58" t="s">
        <v>41</v>
      </c>
      <c r="I58">
        <v>2028052820</v>
      </c>
      <c r="J58" t="s">
        <v>119</v>
      </c>
      <c r="M58" t="s">
        <v>88</v>
      </c>
      <c r="O58">
        <v>753748</v>
      </c>
      <c r="P58" t="s">
        <v>91</v>
      </c>
      <c r="Q58" t="s">
        <v>45</v>
      </c>
      <c r="R58" t="s">
        <v>53</v>
      </c>
      <c r="S58" s="1">
        <v>45748</v>
      </c>
      <c r="U58" t="s">
        <v>47</v>
      </c>
      <c r="X58" t="s">
        <v>48</v>
      </c>
      <c r="Y58" s="2">
        <v>132.93</v>
      </c>
      <c r="Z58" s="2">
        <v>132.93</v>
      </c>
      <c r="AA58">
        <v>0</v>
      </c>
      <c r="AB58" s="3">
        <v>0.375</v>
      </c>
      <c r="AC58" s="2">
        <v>0</v>
      </c>
      <c r="AD58" s="3">
        <v>0</v>
      </c>
      <c r="AE58" s="2">
        <v>0</v>
      </c>
      <c r="AF58" s="2">
        <v>0</v>
      </c>
      <c r="AK58" s="4">
        <v>18452420</v>
      </c>
    </row>
    <row r="59" spans="1:37" x14ac:dyDescent="0.25">
      <c r="A59" s="1">
        <v>45758</v>
      </c>
      <c r="B59" s="1">
        <v>45754</v>
      </c>
      <c r="C59" t="s">
        <v>38</v>
      </c>
      <c r="D59" t="s">
        <v>39</v>
      </c>
      <c r="E59" t="s">
        <v>40</v>
      </c>
      <c r="F59">
        <v>649163</v>
      </c>
      <c r="G59">
        <v>20411454</v>
      </c>
      <c r="H59" t="s">
        <v>41</v>
      </c>
      <c r="I59">
        <v>2028067361</v>
      </c>
      <c r="J59" t="s">
        <v>120</v>
      </c>
      <c r="M59" t="s">
        <v>43</v>
      </c>
      <c r="O59">
        <v>728134</v>
      </c>
      <c r="P59" t="s">
        <v>44</v>
      </c>
      <c r="Q59" t="s">
        <v>45</v>
      </c>
      <c r="R59" t="s">
        <v>46</v>
      </c>
      <c r="S59" s="1">
        <v>45748</v>
      </c>
      <c r="U59" t="s">
        <v>47</v>
      </c>
      <c r="X59" t="s">
        <v>48</v>
      </c>
      <c r="Y59" s="2">
        <v>87.59</v>
      </c>
      <c r="Z59" s="2">
        <v>87.59</v>
      </c>
      <c r="AA59">
        <v>0</v>
      </c>
      <c r="AB59" s="3">
        <v>0.47</v>
      </c>
      <c r="AC59" s="2">
        <v>0</v>
      </c>
      <c r="AD59" s="3">
        <v>0</v>
      </c>
      <c r="AE59" s="2">
        <v>0</v>
      </c>
      <c r="AF59" s="2">
        <v>0</v>
      </c>
      <c r="AK59" s="4">
        <v>18452440</v>
      </c>
    </row>
    <row r="60" spans="1:37" x14ac:dyDescent="0.25">
      <c r="A60" s="1">
        <v>45758</v>
      </c>
      <c r="B60" s="1">
        <v>45754</v>
      </c>
      <c r="C60" t="s">
        <v>38</v>
      </c>
      <c r="D60" t="s">
        <v>39</v>
      </c>
      <c r="E60" t="s">
        <v>40</v>
      </c>
      <c r="F60">
        <v>649163</v>
      </c>
      <c r="G60">
        <v>20411454</v>
      </c>
      <c r="H60" t="s">
        <v>41</v>
      </c>
      <c r="I60">
        <v>2028072809</v>
      </c>
      <c r="J60" t="s">
        <v>121</v>
      </c>
      <c r="M60" t="s">
        <v>50</v>
      </c>
      <c r="O60">
        <v>856824</v>
      </c>
      <c r="P60" t="s">
        <v>113</v>
      </c>
      <c r="Q60" t="s">
        <v>45</v>
      </c>
      <c r="R60" t="s">
        <v>52</v>
      </c>
      <c r="S60" s="1">
        <v>45748</v>
      </c>
      <c r="U60" t="s">
        <v>47</v>
      </c>
      <c r="X60" t="s">
        <v>48</v>
      </c>
      <c r="Y60" s="2">
        <v>31.6</v>
      </c>
      <c r="Z60" s="2">
        <v>31.6</v>
      </c>
      <c r="AA60">
        <v>0</v>
      </c>
      <c r="AB60" s="3">
        <v>0.7</v>
      </c>
      <c r="AC60" s="2">
        <v>0</v>
      </c>
      <c r="AD60" s="3">
        <v>0</v>
      </c>
      <c r="AE60" s="2">
        <v>0</v>
      </c>
      <c r="AF60" s="2">
        <v>0</v>
      </c>
      <c r="AK60" s="4">
        <v>18435040</v>
      </c>
    </row>
    <row r="61" spans="1:37" x14ac:dyDescent="0.25">
      <c r="A61" s="1">
        <v>45758</v>
      </c>
      <c r="B61" s="1">
        <v>45754</v>
      </c>
      <c r="C61" t="s">
        <v>38</v>
      </c>
      <c r="D61" t="s">
        <v>39</v>
      </c>
      <c r="E61" t="s">
        <v>40</v>
      </c>
      <c r="F61">
        <v>649163</v>
      </c>
      <c r="G61">
        <v>20411454</v>
      </c>
      <c r="H61" t="s">
        <v>41</v>
      </c>
      <c r="I61">
        <v>2028104125</v>
      </c>
      <c r="J61" t="s">
        <v>122</v>
      </c>
      <c r="M61" t="s">
        <v>50</v>
      </c>
      <c r="O61">
        <v>651818</v>
      </c>
      <c r="P61" t="s">
        <v>56</v>
      </c>
      <c r="Q61" t="s">
        <v>45</v>
      </c>
      <c r="R61" t="s">
        <v>52</v>
      </c>
      <c r="S61" s="1">
        <v>45754</v>
      </c>
      <c r="U61" t="s">
        <v>47</v>
      </c>
      <c r="X61" t="s">
        <v>48</v>
      </c>
      <c r="Y61" s="2">
        <v>198.36</v>
      </c>
      <c r="Z61" s="2">
        <v>198.36</v>
      </c>
      <c r="AA61">
        <v>0</v>
      </c>
      <c r="AB61" s="3">
        <v>0.7</v>
      </c>
      <c r="AC61" s="2">
        <v>0</v>
      </c>
      <c r="AD61" s="3">
        <v>0</v>
      </c>
      <c r="AE61" s="2">
        <v>0</v>
      </c>
      <c r="AF61" s="2">
        <v>0</v>
      </c>
      <c r="AK61" s="4">
        <v>18435080</v>
      </c>
    </row>
    <row r="62" spans="1:37" x14ac:dyDescent="0.25">
      <c r="A62" s="1">
        <v>45758</v>
      </c>
      <c r="B62" s="1">
        <v>45754</v>
      </c>
      <c r="C62" t="s">
        <v>38</v>
      </c>
      <c r="D62" t="s">
        <v>39</v>
      </c>
      <c r="E62" t="s">
        <v>40</v>
      </c>
      <c r="F62">
        <v>649163</v>
      </c>
      <c r="G62">
        <v>20411454</v>
      </c>
      <c r="H62" t="s">
        <v>41</v>
      </c>
      <c r="I62">
        <v>2028104126</v>
      </c>
      <c r="J62" t="s">
        <v>122</v>
      </c>
      <c r="M62" t="s">
        <v>50</v>
      </c>
      <c r="O62">
        <v>651818</v>
      </c>
      <c r="P62" t="s">
        <v>56</v>
      </c>
      <c r="Q62" t="s">
        <v>45</v>
      </c>
      <c r="R62" t="s">
        <v>57</v>
      </c>
      <c r="S62" s="1">
        <v>45754</v>
      </c>
      <c r="U62" t="s">
        <v>47</v>
      </c>
      <c r="X62" t="s">
        <v>48</v>
      </c>
      <c r="Y62" s="2">
        <v>138.08000000000001</v>
      </c>
      <c r="Z62" s="2">
        <v>138.08000000000001</v>
      </c>
      <c r="AA62">
        <v>0</v>
      </c>
      <c r="AB62" s="3">
        <v>0.75</v>
      </c>
      <c r="AC62" s="2">
        <v>0</v>
      </c>
      <c r="AD62" s="3">
        <v>0</v>
      </c>
      <c r="AE62" s="2">
        <v>0</v>
      </c>
      <c r="AF62" s="2">
        <v>0</v>
      </c>
      <c r="AK62" s="4">
        <v>18442610</v>
      </c>
    </row>
    <row r="63" spans="1:37" x14ac:dyDescent="0.25">
      <c r="A63" s="1">
        <v>45758</v>
      </c>
      <c r="B63" s="1">
        <v>45754</v>
      </c>
      <c r="C63" t="s">
        <v>38</v>
      </c>
      <c r="D63" t="s">
        <v>39</v>
      </c>
      <c r="E63" t="s">
        <v>40</v>
      </c>
      <c r="F63">
        <v>649163</v>
      </c>
      <c r="G63">
        <v>20411454</v>
      </c>
      <c r="H63" t="s">
        <v>41</v>
      </c>
      <c r="I63">
        <v>2028104127</v>
      </c>
      <c r="J63" t="s">
        <v>122</v>
      </c>
      <c r="M63" t="s">
        <v>50</v>
      </c>
      <c r="O63">
        <v>651818</v>
      </c>
      <c r="P63" t="s">
        <v>56</v>
      </c>
      <c r="Q63" t="s">
        <v>45</v>
      </c>
      <c r="R63" t="s">
        <v>53</v>
      </c>
      <c r="S63" s="1">
        <v>45754</v>
      </c>
      <c r="U63" t="s">
        <v>47</v>
      </c>
      <c r="X63" t="s">
        <v>48</v>
      </c>
      <c r="Y63" s="2">
        <v>155.32</v>
      </c>
      <c r="Z63" s="2">
        <v>155.32</v>
      </c>
      <c r="AA63">
        <v>0</v>
      </c>
      <c r="AB63" s="3">
        <v>0.375</v>
      </c>
      <c r="AC63" s="2">
        <v>0</v>
      </c>
      <c r="AD63" s="3">
        <v>0</v>
      </c>
      <c r="AE63" s="2">
        <v>0</v>
      </c>
      <c r="AF63" s="2">
        <v>0</v>
      </c>
      <c r="AK63" s="4">
        <v>18452520</v>
      </c>
    </row>
    <row r="64" spans="1:37" x14ac:dyDescent="0.25">
      <c r="A64" s="1">
        <v>45758</v>
      </c>
      <c r="B64" s="1">
        <v>45754</v>
      </c>
      <c r="C64" t="s">
        <v>38</v>
      </c>
      <c r="D64" t="s">
        <v>39</v>
      </c>
      <c r="E64" t="s">
        <v>40</v>
      </c>
      <c r="F64">
        <v>649163</v>
      </c>
      <c r="G64">
        <v>20411454</v>
      </c>
      <c r="H64" t="s">
        <v>41</v>
      </c>
      <c r="I64">
        <v>2028108469</v>
      </c>
      <c r="J64" t="s">
        <v>123</v>
      </c>
      <c r="M64" t="s">
        <v>50</v>
      </c>
      <c r="O64">
        <v>651818</v>
      </c>
      <c r="P64" t="s">
        <v>56</v>
      </c>
      <c r="Q64" t="s">
        <v>45</v>
      </c>
      <c r="R64" t="s">
        <v>52</v>
      </c>
      <c r="S64" s="1">
        <v>45754</v>
      </c>
      <c r="U64" t="s">
        <v>47</v>
      </c>
      <c r="X64" t="s">
        <v>48</v>
      </c>
      <c r="Y64" s="2">
        <v>198.36</v>
      </c>
      <c r="Z64" s="2">
        <v>198.36</v>
      </c>
      <c r="AA64">
        <v>0</v>
      </c>
      <c r="AB64" s="3">
        <v>0.7</v>
      </c>
      <c r="AC64" s="2">
        <v>0</v>
      </c>
      <c r="AD64" s="3">
        <v>0</v>
      </c>
      <c r="AE64" s="2">
        <v>0</v>
      </c>
      <c r="AF64" s="2">
        <v>0</v>
      </c>
      <c r="AK64" s="4">
        <v>18435090</v>
      </c>
    </row>
    <row r="65" spans="1:37" x14ac:dyDescent="0.25">
      <c r="A65" s="1">
        <v>45758</v>
      </c>
      <c r="B65" s="1">
        <v>45754</v>
      </c>
      <c r="C65" t="s">
        <v>38</v>
      </c>
      <c r="D65" t="s">
        <v>39</v>
      </c>
      <c r="E65" t="s">
        <v>40</v>
      </c>
      <c r="F65">
        <v>649163</v>
      </c>
      <c r="G65">
        <v>20411454</v>
      </c>
      <c r="H65" t="s">
        <v>41</v>
      </c>
      <c r="I65">
        <v>2028108470</v>
      </c>
      <c r="J65" t="s">
        <v>123</v>
      </c>
      <c r="M65" t="s">
        <v>50</v>
      </c>
      <c r="O65">
        <v>651818</v>
      </c>
      <c r="P65" t="s">
        <v>56</v>
      </c>
      <c r="Q65" t="s">
        <v>45</v>
      </c>
      <c r="R65" t="s">
        <v>57</v>
      </c>
      <c r="S65" s="1">
        <v>45754</v>
      </c>
      <c r="U65" t="s">
        <v>47</v>
      </c>
      <c r="X65" t="s">
        <v>48</v>
      </c>
      <c r="Y65" s="2">
        <v>104.83</v>
      </c>
      <c r="Z65" s="2">
        <v>104.83</v>
      </c>
      <c r="AA65">
        <v>0</v>
      </c>
      <c r="AB65" s="3">
        <v>0.75</v>
      </c>
      <c r="AC65" s="2">
        <v>0</v>
      </c>
      <c r="AD65" s="3">
        <v>0</v>
      </c>
      <c r="AE65" s="2">
        <v>0</v>
      </c>
      <c r="AF65" s="2">
        <v>0</v>
      </c>
      <c r="AK65" s="4">
        <v>18442620</v>
      </c>
    </row>
    <row r="66" spans="1:37" x14ac:dyDescent="0.25">
      <c r="A66" s="1">
        <v>45758</v>
      </c>
      <c r="B66" s="1">
        <v>45754</v>
      </c>
      <c r="C66" t="s">
        <v>38</v>
      </c>
      <c r="D66" t="s">
        <v>39</v>
      </c>
      <c r="E66" t="s">
        <v>40</v>
      </c>
      <c r="F66">
        <v>649163</v>
      </c>
      <c r="G66">
        <v>20411454</v>
      </c>
      <c r="H66" t="s">
        <v>41</v>
      </c>
      <c r="I66">
        <v>2028114596</v>
      </c>
      <c r="J66" t="s">
        <v>124</v>
      </c>
      <c r="M66" t="s">
        <v>50</v>
      </c>
      <c r="O66">
        <v>768887</v>
      </c>
      <c r="P66" t="s">
        <v>73</v>
      </c>
      <c r="Q66" t="s">
        <v>45</v>
      </c>
      <c r="R66" t="s">
        <v>52</v>
      </c>
      <c r="S66" s="1">
        <v>45748</v>
      </c>
      <c r="U66" t="s">
        <v>47</v>
      </c>
      <c r="X66" t="s">
        <v>48</v>
      </c>
      <c r="Y66" s="2">
        <v>59.4</v>
      </c>
      <c r="Z66" s="2">
        <v>59.4</v>
      </c>
      <c r="AA66">
        <v>0</v>
      </c>
      <c r="AB66" s="3">
        <v>0.7</v>
      </c>
      <c r="AC66" s="2">
        <v>0</v>
      </c>
      <c r="AD66" s="3">
        <v>0</v>
      </c>
      <c r="AE66" s="2">
        <v>0</v>
      </c>
      <c r="AF66" s="2">
        <v>0</v>
      </c>
      <c r="AK66" s="4">
        <v>18435090</v>
      </c>
    </row>
    <row r="67" spans="1:37" x14ac:dyDescent="0.25">
      <c r="A67" s="1">
        <v>45758</v>
      </c>
      <c r="B67" s="1">
        <v>45754</v>
      </c>
      <c r="C67" t="s">
        <v>38</v>
      </c>
      <c r="D67" t="s">
        <v>39</v>
      </c>
      <c r="E67" t="s">
        <v>40</v>
      </c>
      <c r="F67">
        <v>649163</v>
      </c>
      <c r="G67">
        <v>20411454</v>
      </c>
      <c r="H67" t="s">
        <v>41</v>
      </c>
      <c r="I67">
        <v>2028134802</v>
      </c>
      <c r="J67" t="s">
        <v>125</v>
      </c>
      <c r="M67" t="s">
        <v>55</v>
      </c>
      <c r="O67">
        <v>767312</v>
      </c>
      <c r="P67" t="s">
        <v>126</v>
      </c>
      <c r="Q67" t="s">
        <v>45</v>
      </c>
      <c r="R67" t="s">
        <v>52</v>
      </c>
      <c r="S67" s="1">
        <v>45748</v>
      </c>
      <c r="U67" t="s">
        <v>47</v>
      </c>
      <c r="X67" t="s">
        <v>48</v>
      </c>
      <c r="Y67" s="2">
        <v>17.64</v>
      </c>
      <c r="Z67" s="2">
        <v>17.64</v>
      </c>
      <c r="AA67">
        <v>0</v>
      </c>
      <c r="AB67" s="3">
        <v>0.7</v>
      </c>
      <c r="AC67" s="2">
        <v>0</v>
      </c>
      <c r="AD67" s="3">
        <v>0</v>
      </c>
      <c r="AE67" s="2">
        <v>0</v>
      </c>
      <c r="AF67" s="2">
        <v>0</v>
      </c>
      <c r="AK67" s="4">
        <v>18435150</v>
      </c>
    </row>
    <row r="68" spans="1:37" x14ac:dyDescent="0.25">
      <c r="A68" s="1">
        <v>45758</v>
      </c>
      <c r="B68" s="1">
        <v>45754</v>
      </c>
      <c r="C68" t="s">
        <v>38</v>
      </c>
      <c r="D68" t="s">
        <v>39</v>
      </c>
      <c r="E68" t="s">
        <v>40</v>
      </c>
      <c r="F68">
        <v>649163</v>
      </c>
      <c r="G68">
        <v>20411454</v>
      </c>
      <c r="H68" t="s">
        <v>41</v>
      </c>
      <c r="I68">
        <v>2028134803</v>
      </c>
      <c r="J68" t="s">
        <v>125</v>
      </c>
      <c r="M68" t="s">
        <v>55</v>
      </c>
      <c r="O68">
        <v>767312</v>
      </c>
      <c r="P68" t="s">
        <v>126</v>
      </c>
      <c r="Q68" t="s">
        <v>45</v>
      </c>
      <c r="R68" t="s">
        <v>86</v>
      </c>
      <c r="S68" s="1">
        <v>45748</v>
      </c>
      <c r="U68" t="s">
        <v>47</v>
      </c>
      <c r="X68" t="s">
        <v>48</v>
      </c>
      <c r="Y68" s="2">
        <v>8.7100000000000009</v>
      </c>
      <c r="Z68" s="2">
        <v>8.7100000000000009</v>
      </c>
      <c r="AA68">
        <v>0</v>
      </c>
      <c r="AB68" s="3">
        <v>0.9</v>
      </c>
      <c r="AC68" s="2">
        <v>0</v>
      </c>
      <c r="AD68" s="3">
        <v>0</v>
      </c>
      <c r="AE68" s="2">
        <v>0</v>
      </c>
      <c r="AF68" s="2">
        <v>0</v>
      </c>
      <c r="AK68" s="4">
        <v>18456110</v>
      </c>
    </row>
    <row r="69" spans="1:37" x14ac:dyDescent="0.25">
      <c r="A69" s="1">
        <v>45758</v>
      </c>
      <c r="B69" s="1">
        <v>45754</v>
      </c>
      <c r="C69" t="s">
        <v>38</v>
      </c>
      <c r="D69" t="s">
        <v>39</v>
      </c>
      <c r="E69" t="s">
        <v>40</v>
      </c>
      <c r="F69">
        <v>649163</v>
      </c>
      <c r="G69">
        <v>20411454</v>
      </c>
      <c r="H69" t="s">
        <v>41</v>
      </c>
      <c r="I69">
        <v>2028135305</v>
      </c>
      <c r="J69" t="s">
        <v>127</v>
      </c>
      <c r="M69" t="s">
        <v>55</v>
      </c>
      <c r="O69">
        <v>767312</v>
      </c>
      <c r="P69" t="s">
        <v>126</v>
      </c>
      <c r="Q69" t="s">
        <v>45</v>
      </c>
      <c r="R69" t="s">
        <v>52</v>
      </c>
      <c r="S69" s="1">
        <v>45748</v>
      </c>
      <c r="U69" t="s">
        <v>47</v>
      </c>
      <c r="X69" t="s">
        <v>48</v>
      </c>
      <c r="Y69" s="2">
        <v>17.64</v>
      </c>
      <c r="Z69" s="2">
        <v>17.64</v>
      </c>
      <c r="AA69">
        <v>0</v>
      </c>
      <c r="AB69" s="3">
        <v>0.7</v>
      </c>
      <c r="AC69" s="2">
        <v>0</v>
      </c>
      <c r="AD69" s="3">
        <v>0</v>
      </c>
      <c r="AE69" s="2">
        <v>0</v>
      </c>
      <c r="AF69" s="2">
        <v>0</v>
      </c>
      <c r="AK69" s="4">
        <v>18435160</v>
      </c>
    </row>
    <row r="70" spans="1:37" x14ac:dyDescent="0.25">
      <c r="A70" s="1">
        <v>45758</v>
      </c>
      <c r="B70" s="1">
        <v>45754</v>
      </c>
      <c r="C70" t="s">
        <v>38</v>
      </c>
      <c r="D70" t="s">
        <v>39</v>
      </c>
      <c r="E70" t="s">
        <v>40</v>
      </c>
      <c r="F70">
        <v>649163</v>
      </c>
      <c r="G70">
        <v>20411454</v>
      </c>
      <c r="H70" t="s">
        <v>41</v>
      </c>
      <c r="I70">
        <v>2028135306</v>
      </c>
      <c r="J70" t="s">
        <v>127</v>
      </c>
      <c r="M70" t="s">
        <v>55</v>
      </c>
      <c r="O70">
        <v>767312</v>
      </c>
      <c r="P70" t="s">
        <v>126</v>
      </c>
      <c r="Q70" t="s">
        <v>45</v>
      </c>
      <c r="R70" t="s">
        <v>86</v>
      </c>
      <c r="S70" s="1">
        <v>45748</v>
      </c>
      <c r="U70" t="s">
        <v>47</v>
      </c>
      <c r="X70" t="s">
        <v>48</v>
      </c>
      <c r="Y70" s="2">
        <v>43.81</v>
      </c>
      <c r="Z70" s="2">
        <v>43.81</v>
      </c>
      <c r="AA70">
        <v>0</v>
      </c>
      <c r="AB70" s="3">
        <v>0.9</v>
      </c>
      <c r="AC70" s="2">
        <v>0</v>
      </c>
      <c r="AD70" s="3">
        <v>0</v>
      </c>
      <c r="AE70" s="2">
        <v>0</v>
      </c>
      <c r="AF70" s="2">
        <v>0</v>
      </c>
      <c r="AK70" s="4">
        <v>18456110</v>
      </c>
    </row>
    <row r="71" spans="1:37" x14ac:dyDescent="0.25">
      <c r="A71" s="1">
        <v>45758</v>
      </c>
      <c r="B71" s="1">
        <v>45754</v>
      </c>
      <c r="C71" t="s">
        <v>38</v>
      </c>
      <c r="D71" t="s">
        <v>39</v>
      </c>
      <c r="E71" t="s">
        <v>40</v>
      </c>
      <c r="F71">
        <v>649163</v>
      </c>
      <c r="G71">
        <v>20411454</v>
      </c>
      <c r="H71" t="s">
        <v>41</v>
      </c>
      <c r="I71">
        <v>2028139273</v>
      </c>
      <c r="J71" t="s">
        <v>128</v>
      </c>
      <c r="M71" t="s">
        <v>109</v>
      </c>
      <c r="O71">
        <v>822865</v>
      </c>
      <c r="P71" t="s">
        <v>110</v>
      </c>
      <c r="Q71" t="s">
        <v>45</v>
      </c>
      <c r="R71" t="s">
        <v>53</v>
      </c>
      <c r="S71" s="1">
        <v>45748</v>
      </c>
      <c r="U71" t="s">
        <v>47</v>
      </c>
      <c r="X71" t="s">
        <v>48</v>
      </c>
      <c r="Y71" s="2">
        <v>18.62</v>
      </c>
      <c r="Z71" s="2">
        <v>18.62</v>
      </c>
      <c r="AA71">
        <v>0</v>
      </c>
      <c r="AB71" s="3">
        <v>0.375</v>
      </c>
      <c r="AC71" s="2">
        <v>0</v>
      </c>
      <c r="AD71" s="3">
        <v>0</v>
      </c>
      <c r="AE71" s="2">
        <v>0</v>
      </c>
      <c r="AF71" s="2">
        <v>0</v>
      </c>
      <c r="AK71" s="4">
        <v>18452650</v>
      </c>
    </row>
    <row r="72" spans="1:37" x14ac:dyDescent="0.25">
      <c r="A72" s="1">
        <v>45758</v>
      </c>
      <c r="B72" s="1">
        <v>45754</v>
      </c>
      <c r="C72" t="s">
        <v>38</v>
      </c>
      <c r="D72" t="s">
        <v>39</v>
      </c>
      <c r="E72" t="s">
        <v>40</v>
      </c>
      <c r="F72">
        <v>649163</v>
      </c>
      <c r="G72">
        <v>20411454</v>
      </c>
      <c r="H72" t="s">
        <v>41</v>
      </c>
      <c r="I72">
        <v>2028139274</v>
      </c>
      <c r="J72" t="s">
        <v>128</v>
      </c>
      <c r="M72" t="s">
        <v>109</v>
      </c>
      <c r="O72">
        <v>822865</v>
      </c>
      <c r="P72" t="s">
        <v>110</v>
      </c>
      <c r="Q72" t="s">
        <v>45</v>
      </c>
      <c r="R72" t="s">
        <v>52</v>
      </c>
      <c r="S72" s="1">
        <v>45748</v>
      </c>
      <c r="U72" t="s">
        <v>47</v>
      </c>
      <c r="X72" t="s">
        <v>48</v>
      </c>
      <c r="Y72" s="2">
        <v>33.54</v>
      </c>
      <c r="Z72" s="2">
        <v>33.54</v>
      </c>
      <c r="AA72">
        <v>0</v>
      </c>
      <c r="AB72" s="3">
        <v>0.7</v>
      </c>
      <c r="AC72" s="2">
        <v>0</v>
      </c>
      <c r="AD72" s="3">
        <v>0</v>
      </c>
      <c r="AE72" s="2">
        <v>0</v>
      </c>
      <c r="AF72" s="2">
        <v>0</v>
      </c>
      <c r="AK72" s="4">
        <v>18435190</v>
      </c>
    </row>
    <row r="73" spans="1:37" x14ac:dyDescent="0.25">
      <c r="A73" s="1">
        <v>45758</v>
      </c>
      <c r="B73" s="1">
        <v>45754</v>
      </c>
      <c r="C73" t="s">
        <v>38</v>
      </c>
      <c r="D73" t="s">
        <v>39</v>
      </c>
      <c r="E73" t="s">
        <v>40</v>
      </c>
      <c r="F73">
        <v>649163</v>
      </c>
      <c r="G73">
        <v>20411454</v>
      </c>
      <c r="H73" t="s">
        <v>41</v>
      </c>
      <c r="I73">
        <v>2028142116</v>
      </c>
      <c r="J73" t="s">
        <v>129</v>
      </c>
      <c r="M73" t="s">
        <v>88</v>
      </c>
      <c r="O73">
        <v>822865</v>
      </c>
      <c r="P73" t="s">
        <v>110</v>
      </c>
      <c r="Q73" t="s">
        <v>45</v>
      </c>
      <c r="R73" t="s">
        <v>53</v>
      </c>
      <c r="S73" s="1">
        <v>45748</v>
      </c>
      <c r="U73" t="s">
        <v>47</v>
      </c>
      <c r="X73" t="s">
        <v>48</v>
      </c>
      <c r="Y73" s="2">
        <v>32.880000000000003</v>
      </c>
      <c r="Z73" s="2">
        <v>32.880000000000003</v>
      </c>
      <c r="AA73">
        <v>0</v>
      </c>
      <c r="AB73" s="3">
        <v>0.375</v>
      </c>
      <c r="AC73" s="2">
        <v>0</v>
      </c>
      <c r="AD73" s="3">
        <v>0</v>
      </c>
      <c r="AE73" s="2">
        <v>0</v>
      </c>
      <c r="AF73" s="2">
        <v>0</v>
      </c>
      <c r="AK73" s="4">
        <v>18452690</v>
      </c>
    </row>
    <row r="74" spans="1:37" x14ac:dyDescent="0.25">
      <c r="A74" s="1">
        <v>45758</v>
      </c>
      <c r="B74" s="1">
        <v>45754</v>
      </c>
      <c r="C74" t="s">
        <v>38</v>
      </c>
      <c r="D74" t="s">
        <v>39</v>
      </c>
      <c r="E74" t="s">
        <v>40</v>
      </c>
      <c r="F74">
        <v>649163</v>
      </c>
      <c r="G74">
        <v>20411454</v>
      </c>
      <c r="H74" t="s">
        <v>41</v>
      </c>
      <c r="I74">
        <v>2028142310</v>
      </c>
      <c r="J74" t="s">
        <v>130</v>
      </c>
      <c r="M74" t="s">
        <v>43</v>
      </c>
      <c r="O74">
        <v>751867</v>
      </c>
      <c r="P74" t="s">
        <v>131</v>
      </c>
      <c r="Q74" t="s">
        <v>45</v>
      </c>
      <c r="R74" t="s">
        <v>69</v>
      </c>
      <c r="S74" s="1">
        <v>45748</v>
      </c>
      <c r="U74" t="s">
        <v>47</v>
      </c>
      <c r="X74" t="s">
        <v>48</v>
      </c>
      <c r="Y74" s="2">
        <v>43.5</v>
      </c>
      <c r="Z74" s="2">
        <v>43.5</v>
      </c>
      <c r="AA74">
        <v>0</v>
      </c>
      <c r="AB74" s="3">
        <v>0.38</v>
      </c>
      <c r="AC74" s="2">
        <v>0</v>
      </c>
      <c r="AD74" s="3">
        <v>0</v>
      </c>
      <c r="AE74" s="2">
        <v>0</v>
      </c>
      <c r="AF74" s="2">
        <v>0</v>
      </c>
      <c r="AK74" s="4">
        <v>18454410</v>
      </c>
    </row>
    <row r="75" spans="1:37" x14ac:dyDescent="0.25">
      <c r="A75" s="1">
        <v>45758</v>
      </c>
      <c r="B75" s="1">
        <v>45754</v>
      </c>
      <c r="C75" t="s">
        <v>38</v>
      </c>
      <c r="D75" t="s">
        <v>39</v>
      </c>
      <c r="E75" t="s">
        <v>40</v>
      </c>
      <c r="F75">
        <v>649163</v>
      </c>
      <c r="G75">
        <v>20411454</v>
      </c>
      <c r="H75" t="s">
        <v>41</v>
      </c>
      <c r="I75">
        <v>2028143928</v>
      </c>
      <c r="J75" t="s">
        <v>132</v>
      </c>
      <c r="M75" t="s">
        <v>50</v>
      </c>
      <c r="O75">
        <v>768271</v>
      </c>
      <c r="P75" t="s">
        <v>133</v>
      </c>
      <c r="Q75" t="s">
        <v>45</v>
      </c>
      <c r="R75" t="s">
        <v>52</v>
      </c>
      <c r="S75" s="1">
        <v>45748</v>
      </c>
      <c r="U75" t="s">
        <v>47</v>
      </c>
      <c r="X75" t="s">
        <v>48</v>
      </c>
      <c r="Y75" s="2">
        <v>269.38</v>
      </c>
      <c r="Z75" s="2">
        <v>269.38</v>
      </c>
      <c r="AA75">
        <v>0</v>
      </c>
      <c r="AB75" s="3">
        <v>0.7</v>
      </c>
      <c r="AC75" s="2">
        <v>0</v>
      </c>
      <c r="AD75" s="3">
        <v>0</v>
      </c>
      <c r="AE75" s="2">
        <v>0</v>
      </c>
      <c r="AF75" s="2">
        <v>0</v>
      </c>
      <c r="AK75" s="4">
        <v>18435250</v>
      </c>
    </row>
    <row r="76" spans="1:37" x14ac:dyDescent="0.25">
      <c r="A76" s="1">
        <v>45758</v>
      </c>
      <c r="B76" s="1">
        <v>45754</v>
      </c>
      <c r="C76" t="s">
        <v>38</v>
      </c>
      <c r="D76" t="s">
        <v>39</v>
      </c>
      <c r="E76" t="s">
        <v>40</v>
      </c>
      <c r="F76">
        <v>649163</v>
      </c>
      <c r="G76">
        <v>20411454</v>
      </c>
      <c r="H76" t="s">
        <v>41</v>
      </c>
      <c r="I76">
        <v>2028143929</v>
      </c>
      <c r="J76" t="s">
        <v>134</v>
      </c>
      <c r="M76" t="s">
        <v>88</v>
      </c>
      <c r="O76">
        <v>822733</v>
      </c>
      <c r="P76" t="s">
        <v>105</v>
      </c>
      <c r="Q76" t="s">
        <v>45</v>
      </c>
      <c r="R76" t="s">
        <v>52</v>
      </c>
      <c r="S76" s="1">
        <v>45754</v>
      </c>
      <c r="U76" t="s">
        <v>47</v>
      </c>
      <c r="X76" t="s">
        <v>48</v>
      </c>
      <c r="Y76" s="2">
        <v>48.76</v>
      </c>
      <c r="Z76" s="2">
        <v>48.76</v>
      </c>
      <c r="AA76">
        <v>0</v>
      </c>
      <c r="AB76" s="3">
        <v>0.7</v>
      </c>
      <c r="AC76" s="2">
        <v>0</v>
      </c>
      <c r="AD76" s="3">
        <v>0</v>
      </c>
      <c r="AE76" s="2">
        <v>0</v>
      </c>
      <c r="AF76" s="2">
        <v>0</v>
      </c>
      <c r="AK76" s="4">
        <v>18435260</v>
      </c>
    </row>
    <row r="77" spans="1:37" x14ac:dyDescent="0.25">
      <c r="A77" s="1">
        <v>45758</v>
      </c>
      <c r="B77" s="1">
        <v>45754</v>
      </c>
      <c r="C77" t="s">
        <v>38</v>
      </c>
      <c r="D77" t="s">
        <v>39</v>
      </c>
      <c r="E77" t="s">
        <v>40</v>
      </c>
      <c r="F77">
        <v>649163</v>
      </c>
      <c r="G77">
        <v>20411454</v>
      </c>
      <c r="H77" t="s">
        <v>41</v>
      </c>
      <c r="I77">
        <v>2028146461</v>
      </c>
      <c r="J77" t="s">
        <v>135</v>
      </c>
      <c r="M77" t="s">
        <v>136</v>
      </c>
      <c r="O77">
        <v>816021</v>
      </c>
      <c r="P77" t="s">
        <v>137</v>
      </c>
      <c r="Q77" t="s">
        <v>45</v>
      </c>
      <c r="R77" t="s">
        <v>69</v>
      </c>
      <c r="S77" s="1">
        <v>45752</v>
      </c>
      <c r="U77" t="s">
        <v>47</v>
      </c>
      <c r="X77" t="s">
        <v>48</v>
      </c>
      <c r="Y77" s="2">
        <v>23.69</v>
      </c>
      <c r="Z77" s="2">
        <v>23.69</v>
      </c>
      <c r="AA77">
        <v>0</v>
      </c>
      <c r="AB77" s="3">
        <v>0.38</v>
      </c>
      <c r="AC77" s="2">
        <v>0</v>
      </c>
      <c r="AD77" s="3">
        <v>0</v>
      </c>
      <c r="AE77" s="2">
        <v>0</v>
      </c>
      <c r="AF77" s="2">
        <v>0</v>
      </c>
      <c r="AK77" s="4">
        <v>18454420</v>
      </c>
    </row>
    <row r="78" spans="1:37" x14ac:dyDescent="0.25">
      <c r="A78" s="1">
        <v>45758</v>
      </c>
      <c r="B78" s="1">
        <v>45754</v>
      </c>
      <c r="C78" t="s">
        <v>38</v>
      </c>
      <c r="D78" t="s">
        <v>39</v>
      </c>
      <c r="E78" t="s">
        <v>40</v>
      </c>
      <c r="F78">
        <v>649163</v>
      </c>
      <c r="G78">
        <v>20411454</v>
      </c>
      <c r="H78" t="s">
        <v>41</v>
      </c>
      <c r="I78">
        <v>2028146462</v>
      </c>
      <c r="J78" t="s">
        <v>135</v>
      </c>
      <c r="M78" t="s">
        <v>136</v>
      </c>
      <c r="O78">
        <v>816021</v>
      </c>
      <c r="P78" t="s">
        <v>137</v>
      </c>
      <c r="Q78" t="s">
        <v>45</v>
      </c>
      <c r="R78" t="s">
        <v>52</v>
      </c>
      <c r="S78" s="1">
        <v>45752</v>
      </c>
      <c r="U78" t="s">
        <v>47</v>
      </c>
      <c r="X78" t="s">
        <v>48</v>
      </c>
      <c r="Y78" s="2">
        <v>9.6999999999999993</v>
      </c>
      <c r="Z78" s="2">
        <v>9.6999999999999993</v>
      </c>
      <c r="AA78">
        <v>0</v>
      </c>
      <c r="AB78" s="3">
        <v>0.7</v>
      </c>
      <c r="AC78" s="2">
        <v>0</v>
      </c>
      <c r="AD78" s="3">
        <v>0</v>
      </c>
      <c r="AE78" s="2">
        <v>0</v>
      </c>
      <c r="AF78" s="2">
        <v>0</v>
      </c>
      <c r="AK78" s="4">
        <v>18435290</v>
      </c>
    </row>
    <row r="79" spans="1:37" x14ac:dyDescent="0.25">
      <c r="A79" s="1">
        <v>45758</v>
      </c>
      <c r="B79" s="1">
        <v>45754</v>
      </c>
      <c r="C79" t="s">
        <v>38</v>
      </c>
      <c r="D79" t="s">
        <v>39</v>
      </c>
      <c r="E79" t="s">
        <v>40</v>
      </c>
      <c r="F79">
        <v>649163</v>
      </c>
      <c r="G79">
        <v>20411454</v>
      </c>
      <c r="H79" t="s">
        <v>41</v>
      </c>
      <c r="I79">
        <v>2028148691</v>
      </c>
      <c r="J79" t="s">
        <v>138</v>
      </c>
      <c r="M79" t="s">
        <v>50</v>
      </c>
      <c r="O79">
        <v>669316</v>
      </c>
      <c r="P79" t="s">
        <v>139</v>
      </c>
      <c r="Q79" t="s">
        <v>45</v>
      </c>
      <c r="R79" t="s">
        <v>52</v>
      </c>
      <c r="S79" s="1">
        <v>45748</v>
      </c>
      <c r="U79" t="s">
        <v>47</v>
      </c>
      <c r="X79" t="s">
        <v>48</v>
      </c>
      <c r="Y79" s="2">
        <v>62.3</v>
      </c>
      <c r="Z79" s="2">
        <v>62.3</v>
      </c>
      <c r="AA79">
        <v>0</v>
      </c>
      <c r="AB79" s="3">
        <v>0.7</v>
      </c>
      <c r="AC79" s="2">
        <v>0</v>
      </c>
      <c r="AD79" s="3">
        <v>0</v>
      </c>
      <c r="AE79" s="2">
        <v>0</v>
      </c>
      <c r="AF79" s="2">
        <v>0</v>
      </c>
      <c r="AK79" s="4">
        <v>18435320</v>
      </c>
    </row>
    <row r="80" spans="1:37" x14ac:dyDescent="0.25">
      <c r="A80" s="1">
        <v>45758</v>
      </c>
      <c r="B80" s="1">
        <v>45754</v>
      </c>
      <c r="C80" t="s">
        <v>38</v>
      </c>
      <c r="D80" t="s">
        <v>39</v>
      </c>
      <c r="E80" t="s">
        <v>40</v>
      </c>
      <c r="F80">
        <v>649163</v>
      </c>
      <c r="G80">
        <v>20411454</v>
      </c>
      <c r="H80" t="s">
        <v>41</v>
      </c>
      <c r="I80">
        <v>2028148692</v>
      </c>
      <c r="J80" t="s">
        <v>138</v>
      </c>
      <c r="M80" t="s">
        <v>50</v>
      </c>
      <c r="O80">
        <v>669316</v>
      </c>
      <c r="P80" t="s">
        <v>139</v>
      </c>
      <c r="Q80" t="s">
        <v>45</v>
      </c>
      <c r="R80" t="s">
        <v>53</v>
      </c>
      <c r="S80" s="1">
        <v>45748</v>
      </c>
      <c r="U80" t="s">
        <v>47</v>
      </c>
      <c r="X80" t="s">
        <v>48</v>
      </c>
      <c r="Y80" s="2">
        <v>51.86</v>
      </c>
      <c r="Z80" s="2">
        <v>51.86</v>
      </c>
      <c r="AA80">
        <v>0</v>
      </c>
      <c r="AB80" s="3">
        <v>0.375</v>
      </c>
      <c r="AC80" s="2">
        <v>0</v>
      </c>
      <c r="AD80" s="3">
        <v>0</v>
      </c>
      <c r="AE80" s="2">
        <v>0</v>
      </c>
      <c r="AF80" s="2">
        <v>0</v>
      </c>
      <c r="AK80" s="4">
        <v>18452780</v>
      </c>
    </row>
    <row r="81" spans="1:37" x14ac:dyDescent="0.25">
      <c r="A81" s="1">
        <v>45758</v>
      </c>
      <c r="B81" s="1">
        <v>45754</v>
      </c>
      <c r="C81" t="s">
        <v>38</v>
      </c>
      <c r="D81" t="s">
        <v>39</v>
      </c>
      <c r="E81" t="s">
        <v>40</v>
      </c>
      <c r="F81">
        <v>649163</v>
      </c>
      <c r="G81">
        <v>20411454</v>
      </c>
      <c r="H81" t="s">
        <v>41</v>
      </c>
      <c r="I81">
        <v>2028148708</v>
      </c>
      <c r="J81" t="s">
        <v>140</v>
      </c>
      <c r="M81" t="s">
        <v>88</v>
      </c>
      <c r="O81">
        <v>753748</v>
      </c>
      <c r="P81" t="s">
        <v>91</v>
      </c>
      <c r="Q81" t="s">
        <v>45</v>
      </c>
      <c r="R81" t="s">
        <v>52</v>
      </c>
      <c r="S81" s="1">
        <v>45778</v>
      </c>
      <c r="U81" t="s">
        <v>47</v>
      </c>
      <c r="X81" t="s">
        <v>48</v>
      </c>
      <c r="Y81" s="2">
        <v>109.36</v>
      </c>
      <c r="Z81" s="2">
        <v>109.36</v>
      </c>
      <c r="AA81">
        <v>0</v>
      </c>
      <c r="AB81" s="3">
        <v>0.7</v>
      </c>
      <c r="AC81" s="2">
        <v>0</v>
      </c>
      <c r="AD81" s="3">
        <v>0</v>
      </c>
      <c r="AE81" s="2">
        <v>0</v>
      </c>
      <c r="AF81" s="2">
        <v>0</v>
      </c>
      <c r="AK81" s="4">
        <v>18435320</v>
      </c>
    </row>
    <row r="82" spans="1:37" x14ac:dyDescent="0.25">
      <c r="A82" s="1">
        <v>45758</v>
      </c>
      <c r="B82" s="1">
        <v>45754</v>
      </c>
      <c r="C82" t="s">
        <v>38</v>
      </c>
      <c r="D82" t="s">
        <v>39</v>
      </c>
      <c r="E82" t="s">
        <v>40</v>
      </c>
      <c r="F82">
        <v>649163</v>
      </c>
      <c r="G82">
        <v>20411454</v>
      </c>
      <c r="H82" t="s">
        <v>41</v>
      </c>
      <c r="I82">
        <v>2028149309</v>
      </c>
      <c r="J82" t="s">
        <v>141</v>
      </c>
      <c r="M82" t="s">
        <v>50</v>
      </c>
      <c r="O82">
        <v>821015</v>
      </c>
      <c r="P82" t="s">
        <v>142</v>
      </c>
      <c r="Q82" t="s">
        <v>45</v>
      </c>
      <c r="R82" t="s">
        <v>52</v>
      </c>
      <c r="S82" s="1">
        <v>45748</v>
      </c>
      <c r="U82" t="s">
        <v>47</v>
      </c>
      <c r="X82" t="s">
        <v>48</v>
      </c>
      <c r="Y82" s="2">
        <v>54.22</v>
      </c>
      <c r="Z82" s="2">
        <v>54.22</v>
      </c>
      <c r="AA82">
        <v>0</v>
      </c>
      <c r="AB82" s="3">
        <v>0.7</v>
      </c>
      <c r="AC82" s="2">
        <v>0</v>
      </c>
      <c r="AD82" s="3">
        <v>0</v>
      </c>
      <c r="AE82" s="2">
        <v>0</v>
      </c>
      <c r="AF82" s="2">
        <v>0</v>
      </c>
      <c r="AK82" s="4">
        <v>18435330</v>
      </c>
    </row>
    <row r="83" spans="1:37" x14ac:dyDescent="0.25">
      <c r="A83" s="1">
        <v>45758</v>
      </c>
      <c r="B83" s="1">
        <v>45754</v>
      </c>
      <c r="C83" t="s">
        <v>38</v>
      </c>
      <c r="D83" t="s">
        <v>39</v>
      </c>
      <c r="E83" t="s">
        <v>40</v>
      </c>
      <c r="F83">
        <v>649163</v>
      </c>
      <c r="G83">
        <v>20411454</v>
      </c>
      <c r="H83" t="s">
        <v>41</v>
      </c>
      <c r="I83">
        <v>2028149310</v>
      </c>
      <c r="J83" t="s">
        <v>141</v>
      </c>
      <c r="M83" t="s">
        <v>50</v>
      </c>
      <c r="O83">
        <v>821015</v>
      </c>
      <c r="P83" t="s">
        <v>142</v>
      </c>
      <c r="Q83" t="s">
        <v>45</v>
      </c>
      <c r="R83" t="s">
        <v>57</v>
      </c>
      <c r="S83" s="1">
        <v>45748</v>
      </c>
      <c r="U83" t="s">
        <v>47</v>
      </c>
      <c r="X83" t="s">
        <v>48</v>
      </c>
      <c r="Y83" s="2">
        <v>36.4</v>
      </c>
      <c r="Z83" s="2">
        <v>36.4</v>
      </c>
      <c r="AA83">
        <v>0</v>
      </c>
      <c r="AB83" s="3">
        <v>0.75</v>
      </c>
      <c r="AC83" s="2">
        <v>0</v>
      </c>
      <c r="AD83" s="3">
        <v>0</v>
      </c>
      <c r="AE83" s="2">
        <v>0</v>
      </c>
      <c r="AF83" s="2">
        <v>0</v>
      </c>
      <c r="AK83" s="4">
        <v>18442730</v>
      </c>
    </row>
    <row r="84" spans="1:37" x14ac:dyDescent="0.25">
      <c r="A84" s="1">
        <v>45758</v>
      </c>
      <c r="B84" s="1">
        <v>45754</v>
      </c>
      <c r="C84" t="s">
        <v>38</v>
      </c>
      <c r="D84" t="s">
        <v>39</v>
      </c>
      <c r="E84" t="s">
        <v>40</v>
      </c>
      <c r="F84">
        <v>649163</v>
      </c>
      <c r="G84">
        <v>20411454</v>
      </c>
      <c r="H84" t="s">
        <v>41</v>
      </c>
      <c r="I84">
        <v>2028149728</v>
      </c>
      <c r="J84" t="s">
        <v>143</v>
      </c>
      <c r="M84" t="s">
        <v>59</v>
      </c>
      <c r="O84">
        <v>650218</v>
      </c>
      <c r="P84" t="s">
        <v>71</v>
      </c>
      <c r="Q84" t="s">
        <v>45</v>
      </c>
      <c r="R84" t="s">
        <v>53</v>
      </c>
      <c r="S84" s="1">
        <v>45748</v>
      </c>
      <c r="U84" t="s">
        <v>47</v>
      </c>
      <c r="X84" t="s">
        <v>48</v>
      </c>
      <c r="Y84" s="2">
        <v>16.39</v>
      </c>
      <c r="Z84" s="2">
        <v>16.39</v>
      </c>
      <c r="AA84">
        <v>0</v>
      </c>
      <c r="AB84" s="3">
        <v>0.375</v>
      </c>
      <c r="AC84" s="2">
        <v>0</v>
      </c>
      <c r="AD84" s="3">
        <v>0</v>
      </c>
      <c r="AE84" s="2">
        <v>0</v>
      </c>
      <c r="AF84" s="2">
        <v>0</v>
      </c>
      <c r="AK84" s="4">
        <v>18452790</v>
      </c>
    </row>
    <row r="85" spans="1:37" x14ac:dyDescent="0.25">
      <c r="A85" s="1">
        <v>45758</v>
      </c>
      <c r="B85" s="1">
        <v>45754</v>
      </c>
      <c r="C85" t="s">
        <v>38</v>
      </c>
      <c r="D85" t="s">
        <v>39</v>
      </c>
      <c r="E85" t="s">
        <v>40</v>
      </c>
      <c r="F85">
        <v>649163</v>
      </c>
      <c r="G85">
        <v>20411454</v>
      </c>
      <c r="H85" t="s">
        <v>41</v>
      </c>
      <c r="I85">
        <v>2028149729</v>
      </c>
      <c r="J85" t="s">
        <v>143</v>
      </c>
      <c r="M85" t="s">
        <v>59</v>
      </c>
      <c r="O85">
        <v>650218</v>
      </c>
      <c r="P85" t="s">
        <v>71</v>
      </c>
      <c r="Q85" t="s">
        <v>45</v>
      </c>
      <c r="R85" t="s">
        <v>68</v>
      </c>
      <c r="S85" s="1">
        <v>45748</v>
      </c>
      <c r="U85" t="s">
        <v>47</v>
      </c>
      <c r="X85" t="s">
        <v>48</v>
      </c>
      <c r="Y85" s="2">
        <v>25.73</v>
      </c>
      <c r="Z85" s="2">
        <v>25.73</v>
      </c>
      <c r="AA85">
        <v>0</v>
      </c>
      <c r="AB85" s="3">
        <v>0.7</v>
      </c>
      <c r="AC85" s="2">
        <v>0</v>
      </c>
      <c r="AD85" s="3">
        <v>0</v>
      </c>
      <c r="AE85" s="2">
        <v>0</v>
      </c>
      <c r="AF85" s="2">
        <v>0</v>
      </c>
      <c r="AK85" s="4">
        <v>18429900</v>
      </c>
    </row>
    <row r="86" spans="1:37" x14ac:dyDescent="0.25">
      <c r="A86" s="1">
        <v>45758</v>
      </c>
      <c r="B86" s="1">
        <v>45754</v>
      </c>
      <c r="C86" t="s">
        <v>38</v>
      </c>
      <c r="D86" t="s">
        <v>39</v>
      </c>
      <c r="E86" t="s">
        <v>40</v>
      </c>
      <c r="F86">
        <v>649163</v>
      </c>
      <c r="G86">
        <v>20411454</v>
      </c>
      <c r="H86" t="s">
        <v>41</v>
      </c>
      <c r="I86">
        <v>2028150575</v>
      </c>
      <c r="J86" t="s">
        <v>144</v>
      </c>
      <c r="M86" t="s">
        <v>50</v>
      </c>
      <c r="O86">
        <v>824062</v>
      </c>
      <c r="P86" t="s">
        <v>145</v>
      </c>
      <c r="Q86" t="s">
        <v>45</v>
      </c>
      <c r="R86" t="s">
        <v>53</v>
      </c>
      <c r="S86" s="1">
        <v>45748</v>
      </c>
      <c r="U86" t="s">
        <v>47</v>
      </c>
      <c r="X86" t="s">
        <v>48</v>
      </c>
      <c r="Y86" s="2">
        <v>91.74</v>
      </c>
      <c r="Z86" s="2">
        <v>91.74</v>
      </c>
      <c r="AA86">
        <v>0</v>
      </c>
      <c r="AB86" s="3">
        <v>0.375</v>
      </c>
      <c r="AC86" s="2">
        <v>0</v>
      </c>
      <c r="AD86" s="3">
        <v>0</v>
      </c>
      <c r="AE86" s="2">
        <v>0</v>
      </c>
      <c r="AF86" s="2">
        <v>0</v>
      </c>
      <c r="AK86" s="4">
        <v>18452800</v>
      </c>
    </row>
    <row r="87" spans="1:37" x14ac:dyDescent="0.25">
      <c r="A87" s="1">
        <v>45758</v>
      </c>
      <c r="B87" s="1">
        <v>45754</v>
      </c>
      <c r="C87" t="s">
        <v>38</v>
      </c>
      <c r="D87" t="s">
        <v>39</v>
      </c>
      <c r="E87" t="s">
        <v>40</v>
      </c>
      <c r="F87">
        <v>649163</v>
      </c>
      <c r="G87">
        <v>20411454</v>
      </c>
      <c r="H87" t="s">
        <v>41</v>
      </c>
      <c r="I87">
        <v>2028150576</v>
      </c>
      <c r="J87" t="s">
        <v>144</v>
      </c>
      <c r="M87" t="s">
        <v>50</v>
      </c>
      <c r="O87">
        <v>824062</v>
      </c>
      <c r="P87" t="s">
        <v>145</v>
      </c>
      <c r="Q87" t="s">
        <v>45</v>
      </c>
      <c r="R87" t="s">
        <v>52</v>
      </c>
      <c r="S87" s="1">
        <v>45748</v>
      </c>
      <c r="U87" t="s">
        <v>47</v>
      </c>
      <c r="X87" t="s">
        <v>48</v>
      </c>
      <c r="Y87" s="2">
        <v>15.75</v>
      </c>
      <c r="Z87" s="2">
        <v>15.75</v>
      </c>
      <c r="AA87">
        <v>0</v>
      </c>
      <c r="AB87" s="3">
        <v>0.7</v>
      </c>
      <c r="AC87" s="2">
        <v>0</v>
      </c>
      <c r="AD87" s="3">
        <v>0</v>
      </c>
      <c r="AE87" s="2">
        <v>0</v>
      </c>
      <c r="AF87" s="2">
        <v>0</v>
      </c>
      <c r="AK87" s="4">
        <v>18435350</v>
      </c>
    </row>
    <row r="88" spans="1:37" x14ac:dyDescent="0.25">
      <c r="A88" s="1">
        <v>45758</v>
      </c>
      <c r="B88" s="1">
        <v>45754</v>
      </c>
      <c r="C88" t="s">
        <v>38</v>
      </c>
      <c r="D88" t="s">
        <v>39</v>
      </c>
      <c r="E88" t="s">
        <v>40</v>
      </c>
      <c r="F88">
        <v>649163</v>
      </c>
      <c r="G88">
        <v>20411454</v>
      </c>
      <c r="H88" t="s">
        <v>41</v>
      </c>
      <c r="I88">
        <v>2028152064</v>
      </c>
      <c r="J88" t="s">
        <v>146</v>
      </c>
      <c r="M88" t="s">
        <v>88</v>
      </c>
      <c r="O88">
        <v>823350</v>
      </c>
      <c r="P88" t="s">
        <v>147</v>
      </c>
      <c r="Q88" t="s">
        <v>45</v>
      </c>
      <c r="R88" t="s">
        <v>53</v>
      </c>
      <c r="S88" s="1">
        <v>45748</v>
      </c>
      <c r="U88" t="s">
        <v>47</v>
      </c>
      <c r="X88" t="s">
        <v>48</v>
      </c>
      <c r="Y88" s="2">
        <v>192.52</v>
      </c>
      <c r="Z88" s="2">
        <v>192.52</v>
      </c>
      <c r="AA88">
        <v>0</v>
      </c>
      <c r="AB88" s="3">
        <v>0.375</v>
      </c>
      <c r="AC88" s="2">
        <v>0</v>
      </c>
      <c r="AD88" s="3">
        <v>0</v>
      </c>
      <c r="AE88" s="2">
        <v>0</v>
      </c>
      <c r="AF88" s="2">
        <v>0</v>
      </c>
      <c r="AK88" s="4">
        <v>18452810</v>
      </c>
    </row>
    <row r="89" spans="1:37" x14ac:dyDescent="0.25">
      <c r="A89" s="1">
        <v>45758</v>
      </c>
      <c r="B89" s="1">
        <v>45754</v>
      </c>
      <c r="C89" t="s">
        <v>38</v>
      </c>
      <c r="D89" t="s">
        <v>39</v>
      </c>
      <c r="E89" t="s">
        <v>40</v>
      </c>
      <c r="F89">
        <v>649163</v>
      </c>
      <c r="G89">
        <v>20411454</v>
      </c>
      <c r="H89" t="s">
        <v>41</v>
      </c>
      <c r="I89">
        <v>2028152065</v>
      </c>
      <c r="J89" t="s">
        <v>146</v>
      </c>
      <c r="M89" t="s">
        <v>88</v>
      </c>
      <c r="O89">
        <v>823350</v>
      </c>
      <c r="P89" t="s">
        <v>147</v>
      </c>
      <c r="Q89" t="s">
        <v>45</v>
      </c>
      <c r="R89" t="s">
        <v>52</v>
      </c>
      <c r="S89" s="1">
        <v>45748</v>
      </c>
      <c r="U89" t="s">
        <v>47</v>
      </c>
      <c r="X89" t="s">
        <v>48</v>
      </c>
      <c r="Y89" s="2">
        <v>253.68</v>
      </c>
      <c r="Z89" s="2">
        <v>253.68</v>
      </c>
      <c r="AA89">
        <v>0</v>
      </c>
      <c r="AB89" s="3">
        <v>0.7</v>
      </c>
      <c r="AC89" s="2">
        <v>0</v>
      </c>
      <c r="AD89" s="3">
        <v>0</v>
      </c>
      <c r="AE89" s="2">
        <v>0</v>
      </c>
      <c r="AF89" s="2">
        <v>0</v>
      </c>
      <c r="AK89" s="4">
        <v>18435370</v>
      </c>
    </row>
    <row r="90" spans="1:37" x14ac:dyDescent="0.25">
      <c r="A90" s="1">
        <v>45758</v>
      </c>
      <c r="B90" s="1">
        <v>45754</v>
      </c>
      <c r="C90" t="s">
        <v>38</v>
      </c>
      <c r="D90" t="s">
        <v>39</v>
      </c>
      <c r="E90" t="s">
        <v>40</v>
      </c>
      <c r="F90">
        <v>649163</v>
      </c>
      <c r="G90">
        <v>20411454</v>
      </c>
      <c r="H90" t="s">
        <v>41</v>
      </c>
      <c r="I90">
        <v>2028152220</v>
      </c>
      <c r="J90" t="s">
        <v>148</v>
      </c>
      <c r="M90" t="s">
        <v>59</v>
      </c>
      <c r="O90">
        <v>767312</v>
      </c>
      <c r="P90" t="s">
        <v>126</v>
      </c>
      <c r="Q90" t="s">
        <v>45</v>
      </c>
      <c r="R90" t="s">
        <v>52</v>
      </c>
      <c r="S90" s="1">
        <v>45748</v>
      </c>
      <c r="U90" t="s">
        <v>47</v>
      </c>
      <c r="X90" t="s">
        <v>48</v>
      </c>
      <c r="Y90" s="2">
        <v>33.909999999999997</v>
      </c>
      <c r="Z90" s="2">
        <v>33.909999999999997</v>
      </c>
      <c r="AA90">
        <v>0</v>
      </c>
      <c r="AB90" s="3">
        <v>0.7</v>
      </c>
      <c r="AC90" s="2">
        <v>0</v>
      </c>
      <c r="AD90" s="3">
        <v>0</v>
      </c>
      <c r="AE90" s="2">
        <v>0</v>
      </c>
      <c r="AF90" s="2">
        <v>0</v>
      </c>
      <c r="AK90" s="4">
        <v>18435380</v>
      </c>
    </row>
    <row r="91" spans="1:37" x14ac:dyDescent="0.25">
      <c r="A91" s="1">
        <v>45758</v>
      </c>
      <c r="B91" s="1">
        <v>45754</v>
      </c>
      <c r="C91" t="s">
        <v>38</v>
      </c>
      <c r="D91" t="s">
        <v>39</v>
      </c>
      <c r="E91" t="s">
        <v>40</v>
      </c>
      <c r="F91">
        <v>649163</v>
      </c>
      <c r="G91">
        <v>20411454</v>
      </c>
      <c r="H91" t="s">
        <v>41</v>
      </c>
      <c r="I91">
        <v>2028152248</v>
      </c>
      <c r="J91" t="s">
        <v>149</v>
      </c>
      <c r="M91" t="s">
        <v>59</v>
      </c>
      <c r="O91">
        <v>767312</v>
      </c>
      <c r="P91" t="s">
        <v>126</v>
      </c>
      <c r="Q91" t="s">
        <v>45</v>
      </c>
      <c r="R91" t="s">
        <v>52</v>
      </c>
      <c r="S91" s="1">
        <v>45748</v>
      </c>
      <c r="U91" t="s">
        <v>47</v>
      </c>
      <c r="X91" t="s">
        <v>48</v>
      </c>
      <c r="Y91" s="2">
        <v>63.34</v>
      </c>
      <c r="Z91" s="2">
        <v>63.34</v>
      </c>
      <c r="AA91">
        <v>0</v>
      </c>
      <c r="AB91" s="3">
        <v>0.7</v>
      </c>
      <c r="AC91" s="2">
        <v>0</v>
      </c>
      <c r="AD91" s="3">
        <v>0</v>
      </c>
      <c r="AE91" s="2">
        <v>0</v>
      </c>
      <c r="AF91" s="2">
        <v>0</v>
      </c>
      <c r="AK91" s="4">
        <v>18435380</v>
      </c>
    </row>
    <row r="92" spans="1:37" x14ac:dyDescent="0.25">
      <c r="A92" s="1">
        <v>45758</v>
      </c>
      <c r="B92" s="1">
        <v>45754</v>
      </c>
      <c r="C92" t="s">
        <v>38</v>
      </c>
      <c r="D92" t="s">
        <v>39</v>
      </c>
      <c r="E92" t="s">
        <v>40</v>
      </c>
      <c r="F92">
        <v>649163</v>
      </c>
      <c r="G92">
        <v>20411454</v>
      </c>
      <c r="H92" t="s">
        <v>41</v>
      </c>
      <c r="I92">
        <v>2028158785</v>
      </c>
      <c r="J92" t="s">
        <v>150</v>
      </c>
      <c r="M92" t="s">
        <v>88</v>
      </c>
      <c r="O92">
        <v>792847</v>
      </c>
      <c r="P92" t="s">
        <v>151</v>
      </c>
      <c r="Q92" t="s">
        <v>45</v>
      </c>
      <c r="R92" t="s">
        <v>52</v>
      </c>
      <c r="S92" s="1">
        <v>45749</v>
      </c>
      <c r="U92" t="s">
        <v>47</v>
      </c>
      <c r="X92" t="s">
        <v>48</v>
      </c>
      <c r="Y92" s="2">
        <v>109.36</v>
      </c>
      <c r="Z92" s="2">
        <v>109.36</v>
      </c>
      <c r="AA92">
        <v>0</v>
      </c>
      <c r="AB92" s="3">
        <v>0.7</v>
      </c>
      <c r="AC92" s="2">
        <v>0</v>
      </c>
      <c r="AD92" s="3">
        <v>0</v>
      </c>
      <c r="AE92" s="2">
        <v>0</v>
      </c>
      <c r="AF92" s="2">
        <v>0</v>
      </c>
      <c r="AK92" s="4">
        <v>18435420</v>
      </c>
    </row>
    <row r="93" spans="1:37" x14ac:dyDescent="0.25">
      <c r="A93" s="1">
        <v>45758</v>
      </c>
      <c r="B93" s="1">
        <v>45754</v>
      </c>
      <c r="C93" t="s">
        <v>38</v>
      </c>
      <c r="D93" t="s">
        <v>39</v>
      </c>
      <c r="E93" t="s">
        <v>40</v>
      </c>
      <c r="F93">
        <v>649163</v>
      </c>
      <c r="G93">
        <v>20411454</v>
      </c>
      <c r="H93" t="s">
        <v>41</v>
      </c>
      <c r="I93">
        <v>2028165902</v>
      </c>
      <c r="J93" t="s">
        <v>152</v>
      </c>
      <c r="M93" t="s">
        <v>76</v>
      </c>
      <c r="O93">
        <v>813184</v>
      </c>
      <c r="P93" t="s">
        <v>77</v>
      </c>
      <c r="Q93" t="s">
        <v>45</v>
      </c>
      <c r="R93" t="s">
        <v>52</v>
      </c>
      <c r="S93" s="1">
        <v>45751</v>
      </c>
      <c r="U93" t="s">
        <v>47</v>
      </c>
      <c r="X93" t="s">
        <v>48</v>
      </c>
      <c r="Y93" s="2">
        <v>34</v>
      </c>
      <c r="Z93" s="2">
        <v>34</v>
      </c>
      <c r="AA93">
        <v>0</v>
      </c>
      <c r="AB93" s="3">
        <v>0.7</v>
      </c>
      <c r="AC93" s="2">
        <v>0</v>
      </c>
      <c r="AD93" s="3">
        <v>0</v>
      </c>
      <c r="AE93" s="2">
        <v>0</v>
      </c>
      <c r="AF93" s="2">
        <v>0</v>
      </c>
      <c r="AK93" s="4">
        <v>18435480</v>
      </c>
    </row>
    <row r="94" spans="1:37" x14ac:dyDescent="0.25">
      <c r="A94" s="1">
        <v>45758</v>
      </c>
      <c r="B94" s="1">
        <v>45754</v>
      </c>
      <c r="C94" t="s">
        <v>38</v>
      </c>
      <c r="D94" t="s">
        <v>39</v>
      </c>
      <c r="E94" t="s">
        <v>40</v>
      </c>
      <c r="F94">
        <v>649163</v>
      </c>
      <c r="G94">
        <v>20411454</v>
      </c>
      <c r="H94" t="s">
        <v>41</v>
      </c>
      <c r="I94">
        <v>2028165903</v>
      </c>
      <c r="J94" t="s">
        <v>152</v>
      </c>
      <c r="M94" t="s">
        <v>76</v>
      </c>
      <c r="O94">
        <v>813184</v>
      </c>
      <c r="P94" t="s">
        <v>77</v>
      </c>
      <c r="Q94" t="s">
        <v>45</v>
      </c>
      <c r="R94" t="s">
        <v>69</v>
      </c>
      <c r="S94" s="1">
        <v>45751</v>
      </c>
      <c r="U94" t="s">
        <v>47</v>
      </c>
      <c r="X94" t="s">
        <v>48</v>
      </c>
      <c r="Y94" s="2">
        <v>25.14</v>
      </c>
      <c r="Z94" s="2">
        <v>25.14</v>
      </c>
      <c r="AA94">
        <v>0</v>
      </c>
      <c r="AB94" s="3">
        <v>0.38</v>
      </c>
      <c r="AC94" s="2">
        <v>0</v>
      </c>
      <c r="AD94" s="3">
        <v>0</v>
      </c>
      <c r="AE94" s="2">
        <v>0</v>
      </c>
      <c r="AF94" s="2">
        <v>0</v>
      </c>
      <c r="AK94" s="4">
        <v>18454430</v>
      </c>
    </row>
    <row r="95" spans="1:37" x14ac:dyDescent="0.25">
      <c r="A95" s="1">
        <v>45758</v>
      </c>
      <c r="B95" s="1">
        <v>45754</v>
      </c>
      <c r="C95" t="s">
        <v>38</v>
      </c>
      <c r="D95" t="s">
        <v>39</v>
      </c>
      <c r="E95" t="s">
        <v>40</v>
      </c>
      <c r="F95">
        <v>649163</v>
      </c>
      <c r="G95">
        <v>20411454</v>
      </c>
      <c r="H95" t="s">
        <v>41</v>
      </c>
      <c r="I95">
        <v>2028169222</v>
      </c>
      <c r="J95" t="s">
        <v>153</v>
      </c>
      <c r="M95" t="s">
        <v>154</v>
      </c>
      <c r="O95">
        <v>822865</v>
      </c>
      <c r="P95" t="s">
        <v>110</v>
      </c>
      <c r="Q95" t="s">
        <v>45</v>
      </c>
      <c r="R95" t="s">
        <v>53</v>
      </c>
      <c r="S95" s="1">
        <v>45749</v>
      </c>
      <c r="U95" t="s">
        <v>47</v>
      </c>
      <c r="X95" t="s">
        <v>48</v>
      </c>
      <c r="Y95" s="2">
        <v>23.34</v>
      </c>
      <c r="Z95" s="2">
        <v>23.34</v>
      </c>
      <c r="AA95">
        <v>0</v>
      </c>
      <c r="AB95" s="3">
        <v>0.375</v>
      </c>
      <c r="AC95" s="2">
        <v>0</v>
      </c>
      <c r="AD95" s="3">
        <v>0</v>
      </c>
      <c r="AE95" s="2">
        <v>0</v>
      </c>
      <c r="AF95" s="2">
        <v>0</v>
      </c>
      <c r="AK95" s="4">
        <v>18452950</v>
      </c>
    </row>
    <row r="96" spans="1:37" x14ac:dyDescent="0.25">
      <c r="A96" s="1">
        <v>45758</v>
      </c>
      <c r="B96" s="1">
        <v>45754</v>
      </c>
      <c r="C96" t="s">
        <v>38</v>
      </c>
      <c r="D96" t="s">
        <v>39</v>
      </c>
      <c r="E96" t="s">
        <v>40</v>
      </c>
      <c r="F96">
        <v>649163</v>
      </c>
      <c r="G96">
        <v>20411454</v>
      </c>
      <c r="H96" t="s">
        <v>41</v>
      </c>
      <c r="I96">
        <v>2028169223</v>
      </c>
      <c r="J96" t="s">
        <v>153</v>
      </c>
      <c r="M96" t="s">
        <v>154</v>
      </c>
      <c r="O96">
        <v>822865</v>
      </c>
      <c r="P96" t="s">
        <v>110</v>
      </c>
      <c r="Q96" t="s">
        <v>45</v>
      </c>
      <c r="R96" t="s">
        <v>52</v>
      </c>
      <c r="S96" s="1">
        <v>45749</v>
      </c>
      <c r="U96" t="s">
        <v>47</v>
      </c>
      <c r="X96" t="s">
        <v>48</v>
      </c>
      <c r="Y96" s="2">
        <v>28.45</v>
      </c>
      <c r="Z96" s="2">
        <v>28.45</v>
      </c>
      <c r="AA96">
        <v>0</v>
      </c>
      <c r="AB96" s="3">
        <v>0.7</v>
      </c>
      <c r="AC96" s="2">
        <v>0</v>
      </c>
      <c r="AD96" s="3">
        <v>0</v>
      </c>
      <c r="AE96" s="2">
        <v>0</v>
      </c>
      <c r="AF96" s="2">
        <v>0</v>
      </c>
      <c r="AK96" s="4">
        <v>18435510</v>
      </c>
    </row>
    <row r="97" spans="1:37" x14ac:dyDescent="0.25">
      <c r="A97" s="1">
        <v>45758</v>
      </c>
      <c r="B97" s="1">
        <v>45754</v>
      </c>
      <c r="C97" t="s">
        <v>38</v>
      </c>
      <c r="D97" t="s">
        <v>39</v>
      </c>
      <c r="E97" t="s">
        <v>40</v>
      </c>
      <c r="F97">
        <v>649163</v>
      </c>
      <c r="G97">
        <v>20411454</v>
      </c>
      <c r="H97" t="s">
        <v>41</v>
      </c>
      <c r="I97">
        <v>2028170219</v>
      </c>
      <c r="J97" t="s">
        <v>155</v>
      </c>
      <c r="M97" t="s">
        <v>88</v>
      </c>
      <c r="O97">
        <v>806645</v>
      </c>
      <c r="P97" t="s">
        <v>156</v>
      </c>
      <c r="Q97" t="s">
        <v>45</v>
      </c>
      <c r="R97" t="s">
        <v>53</v>
      </c>
      <c r="S97" s="1">
        <v>45749</v>
      </c>
      <c r="U97" t="s">
        <v>47</v>
      </c>
      <c r="X97" t="s">
        <v>48</v>
      </c>
      <c r="Y97" s="2">
        <v>27.95</v>
      </c>
      <c r="Z97" s="2">
        <v>27.95</v>
      </c>
      <c r="AA97">
        <v>0</v>
      </c>
      <c r="AB97" s="3">
        <v>0.375</v>
      </c>
      <c r="AC97" s="2">
        <v>0</v>
      </c>
      <c r="AD97" s="3">
        <v>0</v>
      </c>
      <c r="AE97" s="2">
        <v>0</v>
      </c>
      <c r="AF97" s="2">
        <v>0</v>
      </c>
      <c r="AK97" s="4">
        <v>18452960</v>
      </c>
    </row>
    <row r="98" spans="1:37" x14ac:dyDescent="0.25">
      <c r="A98" s="1">
        <v>45758</v>
      </c>
      <c r="B98" s="1">
        <v>45754</v>
      </c>
      <c r="C98" t="s">
        <v>38</v>
      </c>
      <c r="D98" t="s">
        <v>39</v>
      </c>
      <c r="E98" t="s">
        <v>40</v>
      </c>
      <c r="F98">
        <v>649163</v>
      </c>
      <c r="G98">
        <v>20411454</v>
      </c>
      <c r="H98" t="s">
        <v>41</v>
      </c>
      <c r="I98">
        <v>2028170220</v>
      </c>
      <c r="J98" t="s">
        <v>155</v>
      </c>
      <c r="M98" t="s">
        <v>88</v>
      </c>
      <c r="O98">
        <v>806645</v>
      </c>
      <c r="P98" t="s">
        <v>156</v>
      </c>
      <c r="Q98" t="s">
        <v>45</v>
      </c>
      <c r="R98" t="s">
        <v>52</v>
      </c>
      <c r="S98" s="1">
        <v>45749</v>
      </c>
      <c r="U98" t="s">
        <v>47</v>
      </c>
      <c r="X98" t="s">
        <v>48</v>
      </c>
      <c r="Y98" s="2">
        <v>83</v>
      </c>
      <c r="Z98" s="2">
        <v>83</v>
      </c>
      <c r="AA98">
        <v>0</v>
      </c>
      <c r="AB98" s="3">
        <v>0.7</v>
      </c>
      <c r="AC98" s="2">
        <v>0</v>
      </c>
      <c r="AD98" s="3">
        <v>0</v>
      </c>
      <c r="AE98" s="2">
        <v>0</v>
      </c>
      <c r="AF98" s="2">
        <v>0</v>
      </c>
      <c r="AK98" s="4">
        <v>18435530</v>
      </c>
    </row>
    <row r="99" spans="1:37" x14ac:dyDescent="0.25">
      <c r="A99" s="1">
        <v>45758</v>
      </c>
      <c r="B99" s="1">
        <v>45754</v>
      </c>
      <c r="C99" t="s">
        <v>38</v>
      </c>
      <c r="D99" t="s">
        <v>39</v>
      </c>
      <c r="E99" t="s">
        <v>40</v>
      </c>
      <c r="F99">
        <v>649163</v>
      </c>
      <c r="G99">
        <v>20411454</v>
      </c>
      <c r="H99" t="s">
        <v>41</v>
      </c>
      <c r="I99">
        <v>2028174265</v>
      </c>
      <c r="J99" t="s">
        <v>157</v>
      </c>
      <c r="M99" t="s">
        <v>50</v>
      </c>
      <c r="O99">
        <v>843573</v>
      </c>
      <c r="P99" t="s">
        <v>158</v>
      </c>
      <c r="Q99" t="s">
        <v>45</v>
      </c>
      <c r="R99" t="s">
        <v>53</v>
      </c>
      <c r="S99" s="1">
        <v>45758</v>
      </c>
      <c r="U99" t="s">
        <v>47</v>
      </c>
      <c r="X99" t="s">
        <v>48</v>
      </c>
      <c r="Y99" s="2">
        <v>32.67</v>
      </c>
      <c r="Z99" s="2">
        <v>32.67</v>
      </c>
      <c r="AA99">
        <v>0</v>
      </c>
      <c r="AB99" s="3">
        <v>0.375</v>
      </c>
      <c r="AC99" s="2">
        <v>0</v>
      </c>
      <c r="AD99" s="3">
        <v>0</v>
      </c>
      <c r="AE99" s="2">
        <v>0</v>
      </c>
      <c r="AF99" s="2">
        <v>0</v>
      </c>
      <c r="AK99" s="4">
        <v>18452990</v>
      </c>
    </row>
    <row r="100" spans="1:37" x14ac:dyDescent="0.25">
      <c r="A100" s="1">
        <v>45758</v>
      </c>
      <c r="B100" s="1">
        <v>45754</v>
      </c>
      <c r="C100" t="s">
        <v>38</v>
      </c>
      <c r="D100" t="s">
        <v>39</v>
      </c>
      <c r="E100" t="s">
        <v>40</v>
      </c>
      <c r="F100">
        <v>649163</v>
      </c>
      <c r="G100">
        <v>20411454</v>
      </c>
      <c r="H100" t="s">
        <v>41</v>
      </c>
      <c r="I100">
        <v>2028174266</v>
      </c>
      <c r="J100" t="s">
        <v>157</v>
      </c>
      <c r="M100" t="s">
        <v>50</v>
      </c>
      <c r="O100">
        <v>843573</v>
      </c>
      <c r="P100" t="s">
        <v>158</v>
      </c>
      <c r="Q100" t="s">
        <v>45</v>
      </c>
      <c r="R100" t="s">
        <v>52</v>
      </c>
      <c r="S100" s="1">
        <v>45758</v>
      </c>
      <c r="U100" t="s">
        <v>47</v>
      </c>
      <c r="X100" t="s">
        <v>48</v>
      </c>
      <c r="Y100" s="2">
        <v>19</v>
      </c>
      <c r="Z100" s="2">
        <v>19</v>
      </c>
      <c r="AA100">
        <v>0</v>
      </c>
      <c r="AB100" s="3">
        <v>0.7</v>
      </c>
      <c r="AC100" s="2">
        <v>0</v>
      </c>
      <c r="AD100" s="3">
        <v>0</v>
      </c>
      <c r="AE100" s="2">
        <v>0</v>
      </c>
      <c r="AF100" s="2">
        <v>0</v>
      </c>
      <c r="AK100" s="4">
        <v>18435560</v>
      </c>
    </row>
    <row r="101" spans="1:37" x14ac:dyDescent="0.25">
      <c r="A101" s="1">
        <v>45758</v>
      </c>
      <c r="B101" s="1">
        <v>45754</v>
      </c>
      <c r="C101" t="s">
        <v>38</v>
      </c>
      <c r="D101" t="s">
        <v>39</v>
      </c>
      <c r="E101" t="s">
        <v>40</v>
      </c>
      <c r="F101">
        <v>649163</v>
      </c>
      <c r="G101">
        <v>20411454</v>
      </c>
      <c r="H101" t="s">
        <v>41</v>
      </c>
      <c r="I101">
        <v>2028175439</v>
      </c>
      <c r="J101" t="s">
        <v>159</v>
      </c>
      <c r="M101" t="s">
        <v>43</v>
      </c>
      <c r="O101">
        <v>650218</v>
      </c>
      <c r="P101" t="s">
        <v>71</v>
      </c>
      <c r="Q101" t="s">
        <v>45</v>
      </c>
      <c r="R101" t="s">
        <v>160</v>
      </c>
      <c r="S101" s="1">
        <v>45749</v>
      </c>
      <c r="U101" t="s">
        <v>47</v>
      </c>
      <c r="X101" t="s">
        <v>161</v>
      </c>
      <c r="Y101" s="2">
        <v>160.37</v>
      </c>
      <c r="Z101" s="2">
        <v>160.37</v>
      </c>
      <c r="AA101">
        <v>0</v>
      </c>
      <c r="AB101" s="3">
        <v>0.38</v>
      </c>
      <c r="AC101" s="2">
        <v>0</v>
      </c>
      <c r="AD101" s="3">
        <v>0</v>
      </c>
      <c r="AE101" s="2">
        <v>0</v>
      </c>
      <c r="AF101" s="2">
        <v>0</v>
      </c>
      <c r="AK101" s="4">
        <v>18435570</v>
      </c>
    </row>
    <row r="102" spans="1:37" x14ac:dyDescent="0.25">
      <c r="A102" s="1">
        <v>45758</v>
      </c>
      <c r="B102" s="1">
        <v>45754</v>
      </c>
      <c r="C102" t="s">
        <v>38</v>
      </c>
      <c r="D102" t="s">
        <v>39</v>
      </c>
      <c r="E102" t="s">
        <v>40</v>
      </c>
      <c r="F102">
        <v>649163</v>
      </c>
      <c r="G102">
        <v>20411454</v>
      </c>
      <c r="H102" t="s">
        <v>41</v>
      </c>
      <c r="I102">
        <v>2028175440</v>
      </c>
      <c r="J102" t="s">
        <v>159</v>
      </c>
      <c r="M102" t="s">
        <v>43</v>
      </c>
      <c r="O102">
        <v>650218</v>
      </c>
      <c r="P102" t="s">
        <v>71</v>
      </c>
      <c r="Q102" t="s">
        <v>45</v>
      </c>
      <c r="R102" t="s">
        <v>162</v>
      </c>
      <c r="S102" s="1">
        <v>45749</v>
      </c>
      <c r="U102" t="s">
        <v>47</v>
      </c>
      <c r="X102" t="s">
        <v>48</v>
      </c>
      <c r="Y102" s="2">
        <v>7.09</v>
      </c>
      <c r="Z102" s="2">
        <v>7.09</v>
      </c>
      <c r="AA102">
        <v>0</v>
      </c>
      <c r="AB102" s="3">
        <v>0.38</v>
      </c>
      <c r="AC102" s="2">
        <v>0</v>
      </c>
      <c r="AD102" s="3">
        <v>0</v>
      </c>
      <c r="AE102" s="2">
        <v>0</v>
      </c>
      <c r="AF102" s="2">
        <v>0</v>
      </c>
      <c r="AK102" s="4">
        <v>18453920</v>
      </c>
    </row>
    <row r="103" spans="1:37" x14ac:dyDescent="0.25">
      <c r="A103" s="1">
        <v>45758</v>
      </c>
      <c r="B103" s="1">
        <v>45754</v>
      </c>
      <c r="C103" t="s">
        <v>38</v>
      </c>
      <c r="D103" t="s">
        <v>39</v>
      </c>
      <c r="E103" t="s">
        <v>40</v>
      </c>
      <c r="F103">
        <v>649163</v>
      </c>
      <c r="G103">
        <v>20411454</v>
      </c>
      <c r="H103" t="s">
        <v>41</v>
      </c>
      <c r="I103">
        <v>2028175441</v>
      </c>
      <c r="J103" t="s">
        <v>159</v>
      </c>
      <c r="M103" t="s">
        <v>43</v>
      </c>
      <c r="O103">
        <v>650218</v>
      </c>
      <c r="P103" t="s">
        <v>71</v>
      </c>
      <c r="Q103" t="s">
        <v>45</v>
      </c>
      <c r="R103" t="s">
        <v>69</v>
      </c>
      <c r="S103" s="1">
        <v>45749</v>
      </c>
      <c r="U103" t="s">
        <v>47</v>
      </c>
      <c r="X103" t="s">
        <v>48</v>
      </c>
      <c r="Y103" s="2">
        <v>53.16</v>
      </c>
      <c r="Z103" s="2">
        <v>53.16</v>
      </c>
      <c r="AA103">
        <v>0</v>
      </c>
      <c r="AB103" s="3">
        <v>0.38</v>
      </c>
      <c r="AC103" s="2">
        <v>0</v>
      </c>
      <c r="AD103" s="3">
        <v>0</v>
      </c>
      <c r="AE103" s="2">
        <v>0</v>
      </c>
      <c r="AF103" s="2">
        <v>0</v>
      </c>
      <c r="AK103" s="4">
        <v>18454440</v>
      </c>
    </row>
    <row r="104" spans="1:37" x14ac:dyDescent="0.25">
      <c r="A104" s="1">
        <v>45758</v>
      </c>
      <c r="B104" s="1">
        <v>45754</v>
      </c>
      <c r="C104" t="s">
        <v>38</v>
      </c>
      <c r="D104" t="s">
        <v>39</v>
      </c>
      <c r="E104" t="s">
        <v>40</v>
      </c>
      <c r="F104">
        <v>649163</v>
      </c>
      <c r="G104">
        <v>20411454</v>
      </c>
      <c r="H104" t="s">
        <v>41</v>
      </c>
      <c r="I104">
        <v>2028177319</v>
      </c>
      <c r="J104" t="s">
        <v>163</v>
      </c>
      <c r="M104" t="s">
        <v>88</v>
      </c>
      <c r="O104">
        <v>822865</v>
      </c>
      <c r="P104" t="s">
        <v>110</v>
      </c>
      <c r="Q104" t="s">
        <v>45</v>
      </c>
      <c r="R104" t="s">
        <v>53</v>
      </c>
      <c r="S104" s="1">
        <v>45751</v>
      </c>
      <c r="U104" t="s">
        <v>47</v>
      </c>
      <c r="X104" t="s">
        <v>48</v>
      </c>
      <c r="Y104" s="2">
        <v>32.880000000000003</v>
      </c>
      <c r="Z104" s="2">
        <v>32.880000000000003</v>
      </c>
      <c r="AA104">
        <v>0</v>
      </c>
      <c r="AB104" s="3">
        <v>0.375</v>
      </c>
      <c r="AC104" s="2">
        <v>0</v>
      </c>
      <c r="AD104" s="3">
        <v>0</v>
      </c>
      <c r="AE104" s="2">
        <v>0</v>
      </c>
      <c r="AF104" s="2">
        <v>0</v>
      </c>
      <c r="AK104" s="4">
        <v>18453020</v>
      </c>
    </row>
    <row r="105" spans="1:37" x14ac:dyDescent="0.25">
      <c r="A105" s="1">
        <v>45758</v>
      </c>
      <c r="B105" s="1">
        <v>45754</v>
      </c>
      <c r="C105" t="s">
        <v>38</v>
      </c>
      <c r="D105" t="s">
        <v>39</v>
      </c>
      <c r="E105" t="s">
        <v>40</v>
      </c>
      <c r="F105">
        <v>649163</v>
      </c>
      <c r="G105">
        <v>20411454</v>
      </c>
      <c r="H105" t="s">
        <v>41</v>
      </c>
      <c r="I105">
        <v>2028177461</v>
      </c>
      <c r="J105" t="s">
        <v>164</v>
      </c>
      <c r="M105" t="s">
        <v>88</v>
      </c>
      <c r="O105">
        <v>822865</v>
      </c>
      <c r="P105" t="s">
        <v>110</v>
      </c>
      <c r="Q105" t="s">
        <v>45</v>
      </c>
      <c r="R105" t="s">
        <v>53</v>
      </c>
      <c r="S105" s="1">
        <v>45751</v>
      </c>
      <c r="U105" t="s">
        <v>47</v>
      </c>
      <c r="X105" t="s">
        <v>48</v>
      </c>
      <c r="Y105" s="2">
        <v>32.880000000000003</v>
      </c>
      <c r="Z105" s="2">
        <v>32.880000000000003</v>
      </c>
      <c r="AA105">
        <v>0</v>
      </c>
      <c r="AB105" s="3">
        <v>0.375</v>
      </c>
      <c r="AC105" s="2">
        <v>0</v>
      </c>
      <c r="AD105" s="3">
        <v>0</v>
      </c>
      <c r="AE105" s="2">
        <v>0</v>
      </c>
      <c r="AF105" s="2">
        <v>0</v>
      </c>
      <c r="AK105" s="4">
        <v>18453020</v>
      </c>
    </row>
    <row r="106" spans="1:37" x14ac:dyDescent="0.25">
      <c r="A106" s="1">
        <v>45758</v>
      </c>
      <c r="B106" s="1">
        <v>45754</v>
      </c>
      <c r="C106" t="s">
        <v>38</v>
      </c>
      <c r="D106" t="s">
        <v>39</v>
      </c>
      <c r="E106" t="s">
        <v>40</v>
      </c>
      <c r="F106">
        <v>649163</v>
      </c>
      <c r="G106">
        <v>20411454</v>
      </c>
      <c r="H106" t="s">
        <v>41</v>
      </c>
      <c r="I106">
        <v>2028182663</v>
      </c>
      <c r="J106" t="s">
        <v>165</v>
      </c>
      <c r="M106" t="s">
        <v>50</v>
      </c>
      <c r="O106">
        <v>840313</v>
      </c>
      <c r="P106" t="s">
        <v>166</v>
      </c>
      <c r="Q106" t="s">
        <v>45</v>
      </c>
      <c r="R106" t="s">
        <v>57</v>
      </c>
      <c r="S106" s="1">
        <v>45750</v>
      </c>
      <c r="U106" t="s">
        <v>47</v>
      </c>
      <c r="X106" t="s">
        <v>48</v>
      </c>
      <c r="Y106" s="2">
        <v>74.25</v>
      </c>
      <c r="Z106" s="2">
        <v>74.25</v>
      </c>
      <c r="AA106">
        <v>0</v>
      </c>
      <c r="AB106" s="3">
        <v>0.75</v>
      </c>
      <c r="AC106" s="2">
        <v>0</v>
      </c>
      <c r="AD106" s="3">
        <v>0</v>
      </c>
      <c r="AE106" s="2">
        <v>0</v>
      </c>
      <c r="AF106" s="2">
        <v>0</v>
      </c>
      <c r="AK106" s="4">
        <v>18442820</v>
      </c>
    </row>
    <row r="107" spans="1:37" x14ac:dyDescent="0.25">
      <c r="A107" s="1">
        <v>45758</v>
      </c>
      <c r="B107" s="1">
        <v>45754</v>
      </c>
      <c r="C107" t="s">
        <v>38</v>
      </c>
      <c r="D107" t="s">
        <v>39</v>
      </c>
      <c r="E107" t="s">
        <v>40</v>
      </c>
      <c r="F107">
        <v>649163</v>
      </c>
      <c r="G107">
        <v>20411454</v>
      </c>
      <c r="H107" t="s">
        <v>41</v>
      </c>
      <c r="I107">
        <v>2028182664</v>
      </c>
      <c r="J107" t="s">
        <v>165</v>
      </c>
      <c r="M107" t="s">
        <v>50</v>
      </c>
      <c r="O107">
        <v>840313</v>
      </c>
      <c r="P107" t="s">
        <v>166</v>
      </c>
      <c r="Q107" t="s">
        <v>45</v>
      </c>
      <c r="R107" t="s">
        <v>52</v>
      </c>
      <c r="S107" s="1">
        <v>45750</v>
      </c>
      <c r="U107" t="s">
        <v>47</v>
      </c>
      <c r="X107" t="s">
        <v>48</v>
      </c>
      <c r="Y107" s="2">
        <v>34</v>
      </c>
      <c r="Z107" s="2">
        <v>34</v>
      </c>
      <c r="AA107">
        <v>0</v>
      </c>
      <c r="AB107" s="3">
        <v>0.7</v>
      </c>
      <c r="AC107" s="2">
        <v>0</v>
      </c>
      <c r="AD107" s="3">
        <v>0</v>
      </c>
      <c r="AE107" s="2">
        <v>0</v>
      </c>
      <c r="AF107" s="2">
        <v>0</v>
      </c>
      <c r="AK107" s="4">
        <v>18435610</v>
      </c>
    </row>
    <row r="108" spans="1:37" x14ac:dyDescent="0.25">
      <c r="A108" s="1">
        <v>45758</v>
      </c>
      <c r="B108" s="1">
        <v>45754</v>
      </c>
      <c r="C108" t="s">
        <v>38</v>
      </c>
      <c r="D108" t="s">
        <v>39</v>
      </c>
      <c r="E108" t="s">
        <v>40</v>
      </c>
      <c r="F108">
        <v>649163</v>
      </c>
      <c r="G108">
        <v>20411454</v>
      </c>
      <c r="H108" t="s">
        <v>41</v>
      </c>
      <c r="I108">
        <v>2028182786</v>
      </c>
      <c r="J108" t="s">
        <v>167</v>
      </c>
      <c r="M108" t="s">
        <v>88</v>
      </c>
      <c r="O108">
        <v>822733</v>
      </c>
      <c r="P108" t="s">
        <v>105</v>
      </c>
      <c r="Q108" t="s">
        <v>45</v>
      </c>
      <c r="R108" t="s">
        <v>52</v>
      </c>
      <c r="S108" s="1">
        <v>45754</v>
      </c>
      <c r="U108" t="s">
        <v>47</v>
      </c>
      <c r="X108" t="s">
        <v>48</v>
      </c>
      <c r="Y108" s="2">
        <v>92.47</v>
      </c>
      <c r="Z108" s="2">
        <v>92.47</v>
      </c>
      <c r="AA108">
        <v>0</v>
      </c>
      <c r="AB108" s="3">
        <v>0.7</v>
      </c>
      <c r="AC108" s="2">
        <v>0</v>
      </c>
      <c r="AD108" s="3">
        <v>0</v>
      </c>
      <c r="AE108" s="2">
        <v>0</v>
      </c>
      <c r="AF108" s="2">
        <v>0</v>
      </c>
      <c r="AK108" s="4">
        <v>18435610</v>
      </c>
    </row>
    <row r="109" spans="1:37" x14ac:dyDescent="0.25">
      <c r="A109" s="1">
        <v>45758</v>
      </c>
      <c r="B109" s="1">
        <v>45754</v>
      </c>
      <c r="C109" t="s">
        <v>38</v>
      </c>
      <c r="D109" t="s">
        <v>39</v>
      </c>
      <c r="E109" t="s">
        <v>40</v>
      </c>
      <c r="F109">
        <v>649163</v>
      </c>
      <c r="G109">
        <v>20411454</v>
      </c>
      <c r="H109" t="s">
        <v>41</v>
      </c>
      <c r="I109">
        <v>2028189583</v>
      </c>
      <c r="J109" t="s">
        <v>168</v>
      </c>
      <c r="M109" t="s">
        <v>50</v>
      </c>
      <c r="O109">
        <v>814033</v>
      </c>
      <c r="P109" t="s">
        <v>169</v>
      </c>
      <c r="Q109" t="s">
        <v>45</v>
      </c>
      <c r="R109" t="s">
        <v>53</v>
      </c>
      <c r="S109" s="1">
        <v>45778</v>
      </c>
      <c r="U109" t="s">
        <v>47</v>
      </c>
      <c r="X109" t="s">
        <v>48</v>
      </c>
      <c r="Y109" s="2">
        <v>61.01</v>
      </c>
      <c r="Z109" s="2">
        <v>61.01</v>
      </c>
      <c r="AA109">
        <v>0</v>
      </c>
      <c r="AB109" s="3">
        <v>0.375</v>
      </c>
      <c r="AC109" s="2">
        <v>0</v>
      </c>
      <c r="AD109" s="3">
        <v>0</v>
      </c>
      <c r="AE109" s="2">
        <v>0</v>
      </c>
      <c r="AF109" s="2">
        <v>0</v>
      </c>
      <c r="AK109" s="4">
        <v>18453120</v>
      </c>
    </row>
    <row r="110" spans="1:37" x14ac:dyDescent="0.25">
      <c r="A110" s="1">
        <v>45758</v>
      </c>
      <c r="B110" s="1">
        <v>45754</v>
      </c>
      <c r="C110" t="s">
        <v>38</v>
      </c>
      <c r="D110" t="s">
        <v>39</v>
      </c>
      <c r="E110" t="s">
        <v>40</v>
      </c>
      <c r="F110">
        <v>649163</v>
      </c>
      <c r="G110">
        <v>20411454</v>
      </c>
      <c r="H110" t="s">
        <v>41</v>
      </c>
      <c r="I110">
        <v>2028192004</v>
      </c>
      <c r="J110" t="s">
        <v>170</v>
      </c>
      <c r="M110" t="s">
        <v>50</v>
      </c>
      <c r="O110">
        <v>840313</v>
      </c>
      <c r="P110" t="s">
        <v>166</v>
      </c>
      <c r="Q110" t="s">
        <v>45</v>
      </c>
      <c r="R110" t="s">
        <v>53</v>
      </c>
      <c r="S110" s="1">
        <v>45755</v>
      </c>
      <c r="U110" t="s">
        <v>47</v>
      </c>
      <c r="X110" t="s">
        <v>48</v>
      </c>
      <c r="Y110" s="2">
        <v>129.41</v>
      </c>
      <c r="Z110" s="2">
        <v>129.41</v>
      </c>
      <c r="AA110">
        <v>0</v>
      </c>
      <c r="AB110" s="3">
        <v>0.375</v>
      </c>
      <c r="AC110" s="2">
        <v>0</v>
      </c>
      <c r="AD110" s="3">
        <v>0</v>
      </c>
      <c r="AE110" s="2">
        <v>0</v>
      </c>
      <c r="AF110" s="2">
        <v>0</v>
      </c>
      <c r="AK110" s="4">
        <v>18453150</v>
      </c>
    </row>
    <row r="111" spans="1:37" x14ac:dyDescent="0.25">
      <c r="A111" s="1">
        <v>45758</v>
      </c>
      <c r="B111" s="1">
        <v>45754</v>
      </c>
      <c r="C111" t="s">
        <v>38</v>
      </c>
      <c r="D111" t="s">
        <v>39</v>
      </c>
      <c r="E111" t="s">
        <v>40</v>
      </c>
      <c r="F111">
        <v>649163</v>
      </c>
      <c r="G111">
        <v>20411454</v>
      </c>
      <c r="H111" t="s">
        <v>41</v>
      </c>
      <c r="I111">
        <v>2028192005</v>
      </c>
      <c r="J111" t="s">
        <v>170</v>
      </c>
      <c r="M111" t="s">
        <v>50</v>
      </c>
      <c r="O111">
        <v>840313</v>
      </c>
      <c r="P111" t="s">
        <v>166</v>
      </c>
      <c r="Q111" t="s">
        <v>45</v>
      </c>
      <c r="R111" t="s">
        <v>52</v>
      </c>
      <c r="S111" s="1">
        <v>45755</v>
      </c>
      <c r="U111" t="s">
        <v>47</v>
      </c>
      <c r="X111" t="s">
        <v>48</v>
      </c>
      <c r="Y111" s="2">
        <v>15.75</v>
      </c>
      <c r="Z111" s="2">
        <v>15.75</v>
      </c>
      <c r="AA111">
        <v>0</v>
      </c>
      <c r="AB111" s="3">
        <v>0.7</v>
      </c>
      <c r="AC111" s="2">
        <v>0</v>
      </c>
      <c r="AD111" s="3">
        <v>0</v>
      </c>
      <c r="AE111" s="2">
        <v>0</v>
      </c>
      <c r="AF111" s="2">
        <v>0</v>
      </c>
      <c r="AK111" s="4">
        <v>18435670</v>
      </c>
    </row>
    <row r="112" spans="1:37" x14ac:dyDescent="0.25">
      <c r="A112" s="1">
        <v>45758</v>
      </c>
      <c r="B112" s="1">
        <v>45754</v>
      </c>
      <c r="C112" t="s">
        <v>38</v>
      </c>
      <c r="D112" t="s">
        <v>39</v>
      </c>
      <c r="E112" t="s">
        <v>40</v>
      </c>
      <c r="F112">
        <v>649163</v>
      </c>
      <c r="G112">
        <v>20411454</v>
      </c>
      <c r="H112" t="s">
        <v>41</v>
      </c>
      <c r="I112">
        <v>2028198193</v>
      </c>
      <c r="J112" t="s">
        <v>171</v>
      </c>
      <c r="M112" t="s">
        <v>50</v>
      </c>
      <c r="O112">
        <v>766422</v>
      </c>
      <c r="P112" t="s">
        <v>172</v>
      </c>
      <c r="Q112" t="s">
        <v>45</v>
      </c>
      <c r="R112" t="s">
        <v>86</v>
      </c>
      <c r="S112" s="1">
        <v>45751</v>
      </c>
      <c r="U112" t="s">
        <v>47</v>
      </c>
      <c r="X112" t="s">
        <v>48</v>
      </c>
      <c r="Y112" s="2">
        <v>77.099999999999994</v>
      </c>
      <c r="Z112" s="2">
        <v>77.099999999999994</v>
      </c>
      <c r="AA112">
        <v>0</v>
      </c>
      <c r="AB112" s="3">
        <v>0.9</v>
      </c>
      <c r="AC112" s="2">
        <v>0</v>
      </c>
      <c r="AD112" s="3">
        <v>0</v>
      </c>
      <c r="AE112" s="2">
        <v>0</v>
      </c>
      <c r="AF112" s="2">
        <v>0</v>
      </c>
      <c r="AK112" s="4">
        <v>18456280</v>
      </c>
    </row>
    <row r="113" spans="1:37" x14ac:dyDescent="0.25">
      <c r="A113" s="1">
        <v>45758</v>
      </c>
      <c r="B113" s="1">
        <v>45754</v>
      </c>
      <c r="C113" t="s">
        <v>38</v>
      </c>
      <c r="D113" t="s">
        <v>39</v>
      </c>
      <c r="E113" t="s">
        <v>40</v>
      </c>
      <c r="F113">
        <v>649163</v>
      </c>
      <c r="G113">
        <v>20411454</v>
      </c>
      <c r="H113" t="s">
        <v>41</v>
      </c>
      <c r="I113">
        <v>2028215885</v>
      </c>
      <c r="J113" t="s">
        <v>173</v>
      </c>
      <c r="M113" t="s">
        <v>43</v>
      </c>
      <c r="O113">
        <v>751867</v>
      </c>
      <c r="P113" t="s">
        <v>131</v>
      </c>
      <c r="Q113" t="s">
        <v>45</v>
      </c>
      <c r="R113" t="s">
        <v>69</v>
      </c>
      <c r="S113" s="1">
        <v>45751</v>
      </c>
      <c r="U113" t="s">
        <v>47</v>
      </c>
      <c r="X113" t="s">
        <v>48</v>
      </c>
      <c r="Y113" s="2">
        <v>55.16</v>
      </c>
      <c r="Z113" s="2">
        <v>55.16</v>
      </c>
      <c r="AA113">
        <v>0</v>
      </c>
      <c r="AB113" s="3">
        <v>0.38</v>
      </c>
      <c r="AC113" s="2">
        <v>0</v>
      </c>
      <c r="AD113" s="3">
        <v>0</v>
      </c>
      <c r="AE113" s="2">
        <v>0</v>
      </c>
      <c r="AF113" s="2">
        <v>0</v>
      </c>
      <c r="AK113" s="4">
        <v>18454440</v>
      </c>
    </row>
    <row r="114" spans="1:37" x14ac:dyDescent="0.25">
      <c r="A114" s="1">
        <v>45758</v>
      </c>
      <c r="B114" s="1">
        <v>45754</v>
      </c>
      <c r="C114" t="s">
        <v>38</v>
      </c>
      <c r="D114" t="s">
        <v>39</v>
      </c>
      <c r="E114" t="s">
        <v>40</v>
      </c>
      <c r="F114">
        <v>649163</v>
      </c>
      <c r="G114">
        <v>20411454</v>
      </c>
      <c r="H114" t="s">
        <v>41</v>
      </c>
      <c r="I114">
        <v>2028215886</v>
      </c>
      <c r="J114" t="s">
        <v>173</v>
      </c>
      <c r="M114" t="s">
        <v>43</v>
      </c>
      <c r="O114">
        <v>751867</v>
      </c>
      <c r="P114" t="s">
        <v>131</v>
      </c>
      <c r="Q114" t="s">
        <v>45</v>
      </c>
      <c r="R114" t="s">
        <v>53</v>
      </c>
      <c r="S114" s="1">
        <v>45751</v>
      </c>
      <c r="U114" t="s">
        <v>47</v>
      </c>
      <c r="X114" t="s">
        <v>48</v>
      </c>
      <c r="Y114" s="2">
        <v>24.88</v>
      </c>
      <c r="Z114" s="2">
        <v>24.88</v>
      </c>
      <c r="AA114">
        <v>0</v>
      </c>
      <c r="AB114" s="3">
        <v>0.375</v>
      </c>
      <c r="AC114" s="2">
        <v>0</v>
      </c>
      <c r="AD114" s="3">
        <v>0</v>
      </c>
      <c r="AE114" s="2">
        <v>0</v>
      </c>
      <c r="AF114" s="2">
        <v>0</v>
      </c>
      <c r="AK114" s="4">
        <v>18453310</v>
      </c>
    </row>
    <row r="115" spans="1:37" x14ac:dyDescent="0.25">
      <c r="A115" s="1">
        <v>45758</v>
      </c>
      <c r="B115" s="1">
        <v>45754</v>
      </c>
      <c r="C115" t="s">
        <v>38</v>
      </c>
      <c r="D115" t="s">
        <v>39</v>
      </c>
      <c r="E115" t="s">
        <v>40</v>
      </c>
      <c r="F115">
        <v>649163</v>
      </c>
      <c r="G115">
        <v>20411454</v>
      </c>
      <c r="H115" t="s">
        <v>41</v>
      </c>
      <c r="I115">
        <v>2028215887</v>
      </c>
      <c r="J115" t="s">
        <v>173</v>
      </c>
      <c r="M115" t="s">
        <v>43</v>
      </c>
      <c r="O115">
        <v>751867</v>
      </c>
      <c r="P115" t="s">
        <v>131</v>
      </c>
      <c r="Q115" t="s">
        <v>45</v>
      </c>
      <c r="R115" t="s">
        <v>107</v>
      </c>
      <c r="S115" s="1">
        <v>45751</v>
      </c>
      <c r="U115" t="s">
        <v>47</v>
      </c>
      <c r="X115" t="s">
        <v>48</v>
      </c>
      <c r="Y115" s="2">
        <v>40.159999999999997</v>
      </c>
      <c r="Z115" s="2">
        <v>40.159999999999997</v>
      </c>
      <c r="AA115">
        <v>0</v>
      </c>
      <c r="AB115" s="3">
        <v>0.6</v>
      </c>
      <c r="AC115" s="2">
        <v>0</v>
      </c>
      <c r="AD115" s="3">
        <v>0</v>
      </c>
      <c r="AE115" s="2">
        <v>0</v>
      </c>
      <c r="AF115" s="2">
        <v>0</v>
      </c>
      <c r="AK115" s="4">
        <v>18442880</v>
      </c>
    </row>
    <row r="116" spans="1:37" x14ac:dyDescent="0.25">
      <c r="A116" s="1">
        <v>45758</v>
      </c>
      <c r="B116" s="1">
        <v>45754</v>
      </c>
      <c r="C116" t="s">
        <v>38</v>
      </c>
      <c r="D116" t="s">
        <v>39</v>
      </c>
      <c r="E116" t="s">
        <v>40</v>
      </c>
      <c r="F116">
        <v>649163</v>
      </c>
      <c r="G116">
        <v>20411454</v>
      </c>
      <c r="H116" t="s">
        <v>41</v>
      </c>
      <c r="I116">
        <v>2028228028</v>
      </c>
      <c r="J116" t="s">
        <v>174</v>
      </c>
      <c r="M116" t="s">
        <v>88</v>
      </c>
      <c r="O116">
        <v>806645</v>
      </c>
      <c r="P116" t="s">
        <v>156</v>
      </c>
      <c r="Q116" t="s">
        <v>45</v>
      </c>
      <c r="R116" t="s">
        <v>52</v>
      </c>
      <c r="S116" s="1">
        <v>45752</v>
      </c>
      <c r="U116" t="s">
        <v>47</v>
      </c>
      <c r="X116" t="s">
        <v>48</v>
      </c>
      <c r="Y116" s="2">
        <v>38.31</v>
      </c>
      <c r="Z116" s="2">
        <v>38.31</v>
      </c>
      <c r="AA116">
        <v>0</v>
      </c>
      <c r="AB116" s="3">
        <v>0.7</v>
      </c>
      <c r="AC116" s="2">
        <v>0</v>
      </c>
      <c r="AD116" s="3">
        <v>0</v>
      </c>
      <c r="AE116" s="2">
        <v>0</v>
      </c>
      <c r="AF116" s="2">
        <v>0</v>
      </c>
      <c r="AK116" s="4">
        <v>18435840</v>
      </c>
    </row>
    <row r="117" spans="1:37" x14ac:dyDescent="0.25">
      <c r="A117" s="1">
        <v>45758</v>
      </c>
      <c r="B117" s="1">
        <v>45754</v>
      </c>
      <c r="C117" t="s">
        <v>38</v>
      </c>
      <c r="D117" t="s">
        <v>39</v>
      </c>
      <c r="E117" t="s">
        <v>40</v>
      </c>
      <c r="F117">
        <v>649163</v>
      </c>
      <c r="G117">
        <v>20411454</v>
      </c>
      <c r="H117" t="s">
        <v>41</v>
      </c>
      <c r="I117">
        <v>2028228029</v>
      </c>
      <c r="J117" t="s">
        <v>174</v>
      </c>
      <c r="M117" t="s">
        <v>88</v>
      </c>
      <c r="O117">
        <v>806645</v>
      </c>
      <c r="P117" t="s">
        <v>156</v>
      </c>
      <c r="Q117" t="s">
        <v>45</v>
      </c>
      <c r="R117" t="s">
        <v>53</v>
      </c>
      <c r="S117" s="1">
        <v>45752</v>
      </c>
      <c r="U117" t="s">
        <v>47</v>
      </c>
      <c r="X117" t="s">
        <v>48</v>
      </c>
      <c r="Y117" s="2">
        <v>35.6</v>
      </c>
      <c r="Z117" s="2">
        <v>35.6</v>
      </c>
      <c r="AA117">
        <v>0</v>
      </c>
      <c r="AB117" s="3">
        <v>0.375</v>
      </c>
      <c r="AC117" s="2">
        <v>0</v>
      </c>
      <c r="AD117" s="3">
        <v>0</v>
      </c>
      <c r="AE117" s="2">
        <v>0</v>
      </c>
      <c r="AF117" s="2">
        <v>0</v>
      </c>
      <c r="AK117" s="4">
        <v>18453380</v>
      </c>
    </row>
    <row r="118" spans="1:37" x14ac:dyDescent="0.25">
      <c r="A118" s="1">
        <v>45758</v>
      </c>
      <c r="B118" s="1">
        <v>45754</v>
      </c>
      <c r="C118" t="s">
        <v>38</v>
      </c>
      <c r="D118" t="s">
        <v>39</v>
      </c>
      <c r="E118" t="s">
        <v>40</v>
      </c>
      <c r="F118">
        <v>649163</v>
      </c>
      <c r="G118">
        <v>20411454</v>
      </c>
      <c r="H118" t="s">
        <v>41</v>
      </c>
      <c r="I118">
        <v>2028246831</v>
      </c>
      <c r="J118" t="s">
        <v>175</v>
      </c>
      <c r="M118" t="s">
        <v>176</v>
      </c>
      <c r="O118">
        <v>767312</v>
      </c>
      <c r="P118" t="s">
        <v>126</v>
      </c>
      <c r="Q118" t="s">
        <v>45</v>
      </c>
      <c r="R118" t="s">
        <v>53</v>
      </c>
      <c r="S118" s="1">
        <v>45752</v>
      </c>
      <c r="U118" t="s">
        <v>47</v>
      </c>
      <c r="X118" t="s">
        <v>48</v>
      </c>
      <c r="Y118" s="2">
        <v>24.7</v>
      </c>
      <c r="Z118" s="2">
        <v>24.7</v>
      </c>
      <c r="AA118">
        <v>0</v>
      </c>
      <c r="AB118" s="3">
        <v>0.375</v>
      </c>
      <c r="AC118" s="2">
        <v>0</v>
      </c>
      <c r="AD118" s="3">
        <v>0</v>
      </c>
      <c r="AE118" s="2">
        <v>0</v>
      </c>
      <c r="AF118" s="2">
        <v>0</v>
      </c>
      <c r="AK118" s="4">
        <v>18453520</v>
      </c>
    </row>
    <row r="119" spans="1:37" x14ac:dyDescent="0.25">
      <c r="A119" s="1">
        <v>45758</v>
      </c>
      <c r="B119" s="1">
        <v>45754</v>
      </c>
      <c r="C119" t="s">
        <v>38</v>
      </c>
      <c r="D119" t="s">
        <v>39</v>
      </c>
      <c r="E119" t="s">
        <v>40</v>
      </c>
      <c r="F119">
        <v>649163</v>
      </c>
      <c r="G119">
        <v>20411454</v>
      </c>
      <c r="H119" t="s">
        <v>41</v>
      </c>
      <c r="I119">
        <v>2028246832</v>
      </c>
      <c r="J119" t="s">
        <v>175</v>
      </c>
      <c r="M119" t="s">
        <v>176</v>
      </c>
      <c r="O119">
        <v>767312</v>
      </c>
      <c r="P119" t="s">
        <v>126</v>
      </c>
      <c r="Q119" t="s">
        <v>45</v>
      </c>
      <c r="R119" t="s">
        <v>86</v>
      </c>
      <c r="S119" s="1">
        <v>45752</v>
      </c>
      <c r="U119" t="s">
        <v>47</v>
      </c>
      <c r="X119" t="s">
        <v>48</v>
      </c>
      <c r="Y119" s="2">
        <v>41.75</v>
      </c>
      <c r="Z119" s="2">
        <v>41.75</v>
      </c>
      <c r="AA119">
        <v>0</v>
      </c>
      <c r="AB119" s="3">
        <v>0.9</v>
      </c>
      <c r="AC119" s="2">
        <v>0</v>
      </c>
      <c r="AD119" s="3">
        <v>0</v>
      </c>
      <c r="AE119" s="2">
        <v>0</v>
      </c>
      <c r="AF119" s="2">
        <v>0</v>
      </c>
      <c r="AK119" s="4">
        <v>18456400</v>
      </c>
    </row>
    <row r="120" spans="1:37" x14ac:dyDescent="0.25">
      <c r="A120" s="1">
        <v>45758</v>
      </c>
      <c r="B120" s="1">
        <v>45754</v>
      </c>
      <c r="C120" t="s">
        <v>38</v>
      </c>
      <c r="D120" t="s">
        <v>39</v>
      </c>
      <c r="E120" t="s">
        <v>40</v>
      </c>
      <c r="F120">
        <v>649163</v>
      </c>
      <c r="G120">
        <v>20411454</v>
      </c>
      <c r="H120" t="s">
        <v>41</v>
      </c>
      <c r="I120">
        <v>2028248959</v>
      </c>
      <c r="J120" t="s">
        <v>177</v>
      </c>
      <c r="M120" t="s">
        <v>88</v>
      </c>
      <c r="O120">
        <v>767312</v>
      </c>
      <c r="P120" t="s">
        <v>126</v>
      </c>
      <c r="Q120" t="s">
        <v>45</v>
      </c>
      <c r="R120" t="s">
        <v>86</v>
      </c>
      <c r="S120" s="1">
        <v>45753</v>
      </c>
      <c r="U120" t="s">
        <v>47</v>
      </c>
      <c r="X120" t="s">
        <v>48</v>
      </c>
      <c r="Y120" s="2">
        <v>20.399999999999999</v>
      </c>
      <c r="Z120" s="2">
        <v>20.399999999999999</v>
      </c>
      <c r="AA120">
        <v>0</v>
      </c>
      <c r="AB120" s="3">
        <v>0.9</v>
      </c>
      <c r="AC120" s="2">
        <v>0</v>
      </c>
      <c r="AD120" s="3">
        <v>0</v>
      </c>
      <c r="AE120" s="2">
        <v>0</v>
      </c>
      <c r="AF120" s="2">
        <v>0</v>
      </c>
      <c r="AK120" s="4">
        <v>18456430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D8E62B-E92F-4D44-976B-E76B38FB451D}">
  <dimension ref="A1:S51"/>
  <sheetViews>
    <sheetView tabSelected="1" topLeftCell="B17" workbookViewId="0">
      <selection activeCell="S2" sqref="S2:S51"/>
    </sheetView>
  </sheetViews>
  <sheetFormatPr defaultRowHeight="15" x14ac:dyDescent="0.25"/>
  <cols>
    <col min="1" max="1" width="14.140625" bestFit="1" customWidth="1"/>
    <col min="2" max="2" width="28.42578125" bestFit="1" customWidth="1"/>
    <col min="3" max="3" width="8.140625" bestFit="1" customWidth="1"/>
    <col min="4" max="4" width="4.42578125" bestFit="1" customWidth="1"/>
    <col min="5" max="5" width="5.5703125" bestFit="1" customWidth="1"/>
    <col min="6" max="6" width="8.7109375" bestFit="1" customWidth="1"/>
    <col min="7" max="7" width="15.7109375" bestFit="1" customWidth="1"/>
    <col min="8" max="8" width="27.28515625" bestFit="1" customWidth="1"/>
    <col min="9" max="9" width="12.140625" bestFit="1" customWidth="1"/>
    <col min="10" max="10" width="50.5703125" bestFit="1" customWidth="1"/>
    <col min="11" max="11" width="10.140625" bestFit="1" customWidth="1"/>
    <col min="12" max="12" width="12.28515625" bestFit="1" customWidth="1"/>
    <col min="13" max="13" width="14.5703125" bestFit="1" customWidth="1"/>
    <col min="14" max="14" width="12" bestFit="1" customWidth="1"/>
    <col min="15" max="15" width="15.85546875" bestFit="1" customWidth="1"/>
    <col min="16" max="16" width="17" bestFit="1" customWidth="1"/>
    <col min="17" max="17" width="16.42578125" bestFit="1" customWidth="1"/>
  </cols>
  <sheetData>
    <row r="1" spans="1:19" x14ac:dyDescent="0.2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25</v>
      </c>
      <c r="P1" t="s">
        <v>26</v>
      </c>
      <c r="Q1" t="s">
        <v>27</v>
      </c>
      <c r="R1" t="s">
        <v>186</v>
      </c>
    </row>
    <row r="2" spans="1:19" x14ac:dyDescent="0.25">
      <c r="A2">
        <v>2027712448</v>
      </c>
      <c r="B2" t="s">
        <v>72</v>
      </c>
      <c r="E2" t="s">
        <v>50</v>
      </c>
      <c r="G2" t="s">
        <v>187</v>
      </c>
      <c r="H2" t="s">
        <v>73</v>
      </c>
      <c r="I2" t="s">
        <v>45</v>
      </c>
      <c r="J2" t="s">
        <v>179</v>
      </c>
      <c r="K2" s="1">
        <v>45748</v>
      </c>
      <c r="M2" t="s">
        <v>47</v>
      </c>
      <c r="O2" s="2">
        <v>126.91</v>
      </c>
      <c r="P2">
        <v>0</v>
      </c>
      <c r="Q2" s="3">
        <v>0.47</v>
      </c>
      <c r="R2" s="2">
        <f>SUM(O2*Q2)</f>
        <v>59.647699999999993</v>
      </c>
      <c r="S2">
        <v>59.647699999999993</v>
      </c>
    </row>
    <row r="3" spans="1:19" x14ac:dyDescent="0.25">
      <c r="A3">
        <v>2027922861</v>
      </c>
      <c r="B3" t="s">
        <v>95</v>
      </c>
      <c r="E3" t="s">
        <v>50</v>
      </c>
      <c r="G3" t="s">
        <v>187</v>
      </c>
      <c r="H3" t="s">
        <v>73</v>
      </c>
      <c r="I3" t="s">
        <v>45</v>
      </c>
      <c r="J3" t="s">
        <v>179</v>
      </c>
      <c r="K3" s="1">
        <v>45748</v>
      </c>
      <c r="M3" t="s">
        <v>47</v>
      </c>
      <c r="O3" s="2">
        <v>112.33</v>
      </c>
      <c r="P3">
        <v>0</v>
      </c>
      <c r="Q3" s="3">
        <v>0.47</v>
      </c>
      <c r="R3" s="2">
        <f>SUM(O3*Q3)</f>
        <v>52.795099999999998</v>
      </c>
      <c r="S3">
        <v>52.795099999999998</v>
      </c>
    </row>
    <row r="4" spans="1:19" x14ac:dyDescent="0.25">
      <c r="A4">
        <v>2027712447</v>
      </c>
      <c r="B4" t="s">
        <v>72</v>
      </c>
      <c r="E4" t="s">
        <v>50</v>
      </c>
      <c r="G4" t="s">
        <v>187</v>
      </c>
      <c r="H4" t="s">
        <v>73</v>
      </c>
      <c r="I4" t="s">
        <v>45</v>
      </c>
      <c r="J4" t="s">
        <v>181</v>
      </c>
      <c r="K4" s="1">
        <v>45748</v>
      </c>
      <c r="M4" t="s">
        <v>47</v>
      </c>
      <c r="O4" s="2">
        <v>132.22</v>
      </c>
      <c r="P4">
        <v>0</v>
      </c>
      <c r="Q4" s="3">
        <v>0.26</v>
      </c>
      <c r="R4" s="2">
        <f>SUM(O4*Q4)</f>
        <v>34.377200000000002</v>
      </c>
      <c r="S4">
        <v>34.377200000000002</v>
      </c>
    </row>
    <row r="5" spans="1:19" x14ac:dyDescent="0.25">
      <c r="A5">
        <v>2027922845</v>
      </c>
      <c r="B5" t="s">
        <v>94</v>
      </c>
      <c r="E5" t="s">
        <v>50</v>
      </c>
      <c r="G5" t="s">
        <v>187</v>
      </c>
      <c r="H5" t="s">
        <v>73</v>
      </c>
      <c r="I5" t="s">
        <v>45</v>
      </c>
      <c r="J5" t="s">
        <v>181</v>
      </c>
      <c r="K5" s="1">
        <v>45748</v>
      </c>
      <c r="M5" t="s">
        <v>47</v>
      </c>
      <c r="O5" s="2">
        <v>123.21</v>
      </c>
      <c r="P5">
        <v>0</v>
      </c>
      <c r="Q5" s="3">
        <v>0.26</v>
      </c>
      <c r="R5" s="2">
        <f>SUM(O5*Q5)</f>
        <v>32.034599999999998</v>
      </c>
      <c r="S5">
        <v>32.034599999999998</v>
      </c>
    </row>
    <row r="6" spans="1:19" x14ac:dyDescent="0.25">
      <c r="A6">
        <v>2027922860</v>
      </c>
      <c r="B6" t="s">
        <v>95</v>
      </c>
      <c r="E6" t="s">
        <v>50</v>
      </c>
      <c r="G6" t="s">
        <v>187</v>
      </c>
      <c r="H6" t="s">
        <v>73</v>
      </c>
      <c r="I6" t="s">
        <v>45</v>
      </c>
      <c r="J6" t="s">
        <v>181</v>
      </c>
      <c r="K6" s="1">
        <v>45748</v>
      </c>
      <c r="M6" t="s">
        <v>47</v>
      </c>
      <c r="O6" s="2">
        <v>139.18</v>
      </c>
      <c r="P6">
        <v>0</v>
      </c>
      <c r="Q6" s="3">
        <v>0.26</v>
      </c>
      <c r="R6" s="2">
        <f>SUM(O6*Q6)</f>
        <v>36.186800000000005</v>
      </c>
      <c r="S6">
        <v>36.186800000000005</v>
      </c>
    </row>
    <row r="7" spans="1:19" x14ac:dyDescent="0.25">
      <c r="A7">
        <v>2028114596</v>
      </c>
      <c r="B7" t="s">
        <v>124</v>
      </c>
      <c r="E7" t="s">
        <v>50</v>
      </c>
      <c r="G7" t="s">
        <v>187</v>
      </c>
      <c r="H7" t="s">
        <v>73</v>
      </c>
      <c r="I7" t="s">
        <v>45</v>
      </c>
      <c r="J7" t="s">
        <v>183</v>
      </c>
      <c r="K7" s="1">
        <v>45748</v>
      </c>
      <c r="M7" t="s">
        <v>47</v>
      </c>
      <c r="O7" s="2">
        <v>59.4</v>
      </c>
      <c r="P7">
        <v>0</v>
      </c>
      <c r="Q7" s="3">
        <v>0.7</v>
      </c>
      <c r="R7" s="2">
        <f>SUM(O7*Q7)</f>
        <v>41.58</v>
      </c>
      <c r="S7">
        <v>41.58</v>
      </c>
    </row>
    <row r="8" spans="1:19" x14ac:dyDescent="0.25">
      <c r="A8">
        <v>2028150576</v>
      </c>
      <c r="B8" t="s">
        <v>144</v>
      </c>
      <c r="E8" t="s">
        <v>50</v>
      </c>
      <c r="G8" t="s">
        <v>188</v>
      </c>
      <c r="H8" t="s">
        <v>145</v>
      </c>
      <c r="I8" t="s">
        <v>45</v>
      </c>
      <c r="J8" t="s">
        <v>183</v>
      </c>
      <c r="K8" s="1">
        <v>45748</v>
      </c>
      <c r="M8" t="s">
        <v>47</v>
      </c>
      <c r="O8" s="2">
        <v>15.75</v>
      </c>
      <c r="P8">
        <v>0</v>
      </c>
      <c r="Q8" s="3">
        <v>0.7</v>
      </c>
      <c r="R8" s="2">
        <f>SUM(O8*Q8)</f>
        <v>11.024999999999999</v>
      </c>
      <c r="S8">
        <v>11.024999999999999</v>
      </c>
    </row>
    <row r="9" spans="1:19" x14ac:dyDescent="0.25">
      <c r="A9">
        <v>2028150575</v>
      </c>
      <c r="B9" t="s">
        <v>144</v>
      </c>
      <c r="E9" t="s">
        <v>50</v>
      </c>
      <c r="G9" t="s">
        <v>188</v>
      </c>
      <c r="H9" t="s">
        <v>145</v>
      </c>
      <c r="I9" t="s">
        <v>45</v>
      </c>
      <c r="J9" t="s">
        <v>184</v>
      </c>
      <c r="K9" s="1">
        <v>45748</v>
      </c>
      <c r="M9" t="s">
        <v>47</v>
      </c>
      <c r="O9" s="2">
        <v>91.74</v>
      </c>
      <c r="P9">
        <v>0</v>
      </c>
      <c r="Q9" s="3">
        <v>0.375</v>
      </c>
      <c r="R9" s="2">
        <f>SUM(O9*Q9)</f>
        <v>34.402499999999996</v>
      </c>
      <c r="S9">
        <v>34.402499999999996</v>
      </c>
    </row>
    <row r="10" spans="1:19" x14ac:dyDescent="0.25">
      <c r="A10">
        <v>2028182663</v>
      </c>
      <c r="B10" t="s">
        <v>165</v>
      </c>
      <c r="E10" t="s">
        <v>50</v>
      </c>
      <c r="G10" t="s">
        <v>189</v>
      </c>
      <c r="H10" t="s">
        <v>166</v>
      </c>
      <c r="I10" t="s">
        <v>45</v>
      </c>
      <c r="J10" t="s">
        <v>178</v>
      </c>
      <c r="K10" s="1">
        <v>45750</v>
      </c>
      <c r="M10" t="s">
        <v>47</v>
      </c>
      <c r="O10" s="2">
        <v>74.25</v>
      </c>
      <c r="P10">
        <v>0</v>
      </c>
      <c r="Q10" s="3">
        <v>0.75</v>
      </c>
      <c r="R10" s="2">
        <f>SUM(O10*Q10)</f>
        <v>55.6875</v>
      </c>
      <c r="S10">
        <v>55.6875</v>
      </c>
    </row>
    <row r="11" spans="1:19" x14ac:dyDescent="0.25">
      <c r="A11">
        <v>2028182664</v>
      </c>
      <c r="B11" t="s">
        <v>165</v>
      </c>
      <c r="E11" t="s">
        <v>50</v>
      </c>
      <c r="G11" t="s">
        <v>189</v>
      </c>
      <c r="H11" t="s">
        <v>166</v>
      </c>
      <c r="I11" t="s">
        <v>45</v>
      </c>
      <c r="J11" t="s">
        <v>183</v>
      </c>
      <c r="K11" s="1">
        <v>45750</v>
      </c>
      <c r="M11" t="s">
        <v>47</v>
      </c>
      <c r="O11" s="2">
        <v>34</v>
      </c>
      <c r="P11">
        <v>0</v>
      </c>
      <c r="Q11" s="3">
        <v>0.7</v>
      </c>
      <c r="R11" s="2">
        <f>SUM(O11*Q11)</f>
        <v>23.799999999999997</v>
      </c>
      <c r="S11">
        <v>23.799999999999997</v>
      </c>
    </row>
    <row r="12" spans="1:19" x14ac:dyDescent="0.25">
      <c r="A12">
        <v>2028192005</v>
      </c>
      <c r="B12" t="s">
        <v>170</v>
      </c>
      <c r="E12" t="s">
        <v>50</v>
      </c>
      <c r="G12" t="s">
        <v>189</v>
      </c>
      <c r="H12" t="s">
        <v>166</v>
      </c>
      <c r="I12" t="s">
        <v>45</v>
      </c>
      <c r="J12" t="s">
        <v>183</v>
      </c>
      <c r="K12" s="1">
        <v>45755</v>
      </c>
      <c r="M12" t="s">
        <v>47</v>
      </c>
      <c r="O12" s="2">
        <v>15.75</v>
      </c>
      <c r="P12">
        <v>0</v>
      </c>
      <c r="Q12" s="3">
        <v>0.7</v>
      </c>
      <c r="R12" s="2">
        <f>SUM(O12*Q12)</f>
        <v>11.024999999999999</v>
      </c>
      <c r="S12">
        <v>11.024999999999999</v>
      </c>
    </row>
    <row r="13" spans="1:19" x14ac:dyDescent="0.25">
      <c r="A13">
        <v>2028192004</v>
      </c>
      <c r="B13" t="s">
        <v>170</v>
      </c>
      <c r="E13" t="s">
        <v>50</v>
      </c>
      <c r="G13" t="s">
        <v>189</v>
      </c>
      <c r="H13" t="s">
        <v>166</v>
      </c>
      <c r="I13" t="s">
        <v>45</v>
      </c>
      <c r="J13" t="s">
        <v>184</v>
      </c>
      <c r="K13" s="1">
        <v>45755</v>
      </c>
      <c r="M13" t="s">
        <v>47</v>
      </c>
      <c r="O13" s="2">
        <v>129.41</v>
      </c>
      <c r="P13">
        <v>0</v>
      </c>
      <c r="Q13" s="3">
        <v>0.375</v>
      </c>
      <c r="R13" s="2">
        <f>SUM(O13*Q13)</f>
        <v>48.528750000000002</v>
      </c>
      <c r="S13">
        <v>48.528750000000002</v>
      </c>
    </row>
    <row r="14" spans="1:19" x14ac:dyDescent="0.25">
      <c r="A14">
        <v>2028149310</v>
      </c>
      <c r="B14" t="s">
        <v>141</v>
      </c>
      <c r="E14" t="s">
        <v>50</v>
      </c>
      <c r="G14" t="s">
        <v>190</v>
      </c>
      <c r="H14" s="5" t="s">
        <v>142</v>
      </c>
      <c r="I14" t="s">
        <v>45</v>
      </c>
      <c r="J14" t="s">
        <v>178</v>
      </c>
      <c r="K14" s="1">
        <v>45748</v>
      </c>
      <c r="M14" t="s">
        <v>47</v>
      </c>
      <c r="O14" s="2">
        <v>36.4</v>
      </c>
      <c r="P14">
        <v>0</v>
      </c>
      <c r="Q14" s="3">
        <v>0.75</v>
      </c>
      <c r="R14" s="2">
        <f>SUM(O14*Q14)</f>
        <v>27.299999999999997</v>
      </c>
      <c r="S14">
        <v>27.299999999999997</v>
      </c>
    </row>
    <row r="15" spans="1:19" x14ac:dyDescent="0.25">
      <c r="A15">
        <v>2028149309</v>
      </c>
      <c r="B15" t="s">
        <v>141</v>
      </c>
      <c r="E15" t="s">
        <v>50</v>
      </c>
      <c r="G15" t="s">
        <v>190</v>
      </c>
      <c r="H15" t="s">
        <v>142</v>
      </c>
      <c r="I15" t="s">
        <v>45</v>
      </c>
      <c r="J15" t="s">
        <v>183</v>
      </c>
      <c r="K15" s="1">
        <v>45748</v>
      </c>
      <c r="M15" t="s">
        <v>47</v>
      </c>
      <c r="O15" s="2">
        <v>54.22</v>
      </c>
      <c r="P15">
        <v>0</v>
      </c>
      <c r="Q15" s="3">
        <v>0.7</v>
      </c>
      <c r="R15" s="2">
        <f>SUM(O15*Q15)</f>
        <v>37.953999999999994</v>
      </c>
      <c r="S15">
        <v>37.953999999999994</v>
      </c>
    </row>
    <row r="16" spans="1:19" x14ac:dyDescent="0.25">
      <c r="A16">
        <v>2028143928</v>
      </c>
      <c r="B16" t="s">
        <v>132</v>
      </c>
      <c r="E16" t="s">
        <v>50</v>
      </c>
      <c r="G16" t="s">
        <v>191</v>
      </c>
      <c r="H16" t="s">
        <v>133</v>
      </c>
      <c r="I16" t="s">
        <v>45</v>
      </c>
      <c r="J16" t="s">
        <v>183</v>
      </c>
      <c r="K16" s="1">
        <v>45748</v>
      </c>
      <c r="M16" t="s">
        <v>47</v>
      </c>
      <c r="O16" s="2">
        <v>269.38</v>
      </c>
      <c r="P16">
        <v>0</v>
      </c>
      <c r="Q16" s="3">
        <v>0.7</v>
      </c>
      <c r="R16" s="2">
        <f>SUM(O16*Q16)</f>
        <v>188.56599999999997</v>
      </c>
      <c r="S16">
        <v>188.56599999999997</v>
      </c>
    </row>
    <row r="17" spans="1:19" x14ac:dyDescent="0.25">
      <c r="A17">
        <v>2028165903</v>
      </c>
      <c r="B17" t="s">
        <v>152</v>
      </c>
      <c r="E17" t="s">
        <v>76</v>
      </c>
      <c r="G17" t="s">
        <v>192</v>
      </c>
      <c r="H17" t="s">
        <v>77</v>
      </c>
      <c r="I17" t="s">
        <v>45</v>
      </c>
      <c r="J17" t="s">
        <v>180</v>
      </c>
      <c r="K17" s="1">
        <v>45751</v>
      </c>
      <c r="M17" t="s">
        <v>47</v>
      </c>
      <c r="O17" s="2">
        <v>25.14</v>
      </c>
      <c r="P17">
        <v>0</v>
      </c>
      <c r="Q17" s="3">
        <v>0.38</v>
      </c>
      <c r="R17" s="2">
        <f>SUM(O17*Q17)</f>
        <v>9.5532000000000004</v>
      </c>
      <c r="S17">
        <v>9.5532000000000004</v>
      </c>
    </row>
    <row r="18" spans="1:19" x14ac:dyDescent="0.25">
      <c r="A18">
        <v>2027738385</v>
      </c>
      <c r="B18" t="s">
        <v>75</v>
      </c>
      <c r="E18" t="s">
        <v>76</v>
      </c>
      <c r="G18" t="s">
        <v>192</v>
      </c>
      <c r="H18" t="s">
        <v>77</v>
      </c>
      <c r="I18" t="s">
        <v>45</v>
      </c>
      <c r="J18" t="s">
        <v>183</v>
      </c>
      <c r="K18" s="1">
        <v>45748</v>
      </c>
      <c r="M18" t="s">
        <v>47</v>
      </c>
      <c r="O18" s="2">
        <v>51</v>
      </c>
      <c r="P18">
        <v>0</v>
      </c>
      <c r="Q18" s="3">
        <v>0.7</v>
      </c>
      <c r="R18" s="2">
        <f>SUM(O18*Q18)</f>
        <v>35.699999999999996</v>
      </c>
      <c r="S18">
        <v>35.699999999999996</v>
      </c>
    </row>
    <row r="19" spans="1:19" x14ac:dyDescent="0.25">
      <c r="A19">
        <v>2028165902</v>
      </c>
      <c r="B19" t="s">
        <v>152</v>
      </c>
      <c r="E19" t="s">
        <v>76</v>
      </c>
      <c r="G19" t="s">
        <v>192</v>
      </c>
      <c r="H19" t="s">
        <v>77</v>
      </c>
      <c r="I19" t="s">
        <v>45</v>
      </c>
      <c r="J19" t="s">
        <v>183</v>
      </c>
      <c r="K19" s="1">
        <v>45751</v>
      </c>
      <c r="M19" t="s">
        <v>47</v>
      </c>
      <c r="O19" s="2">
        <v>34</v>
      </c>
      <c r="P19">
        <v>0</v>
      </c>
      <c r="Q19" s="3">
        <v>0.7</v>
      </c>
      <c r="R19" s="2">
        <f>SUM(O19*Q19)</f>
        <v>23.799999999999997</v>
      </c>
      <c r="S19">
        <v>23.799999999999997</v>
      </c>
    </row>
    <row r="20" spans="1:19" x14ac:dyDescent="0.25">
      <c r="A20">
        <v>2027738386</v>
      </c>
      <c r="B20" t="s">
        <v>75</v>
      </c>
      <c r="E20" t="s">
        <v>76</v>
      </c>
      <c r="G20" t="s">
        <v>192</v>
      </c>
      <c r="H20" t="s">
        <v>77</v>
      </c>
      <c r="I20" t="s">
        <v>45</v>
      </c>
      <c r="J20" t="s">
        <v>184</v>
      </c>
      <c r="K20" s="1">
        <v>45748</v>
      </c>
      <c r="M20" t="s">
        <v>47</v>
      </c>
      <c r="O20" s="2">
        <v>96.61</v>
      </c>
      <c r="P20">
        <v>0</v>
      </c>
      <c r="Q20" s="3">
        <v>0.375</v>
      </c>
      <c r="R20" s="2">
        <f>SUM(O20*Q20)</f>
        <v>36.228749999999998</v>
      </c>
      <c r="S20">
        <v>36.228749999999998</v>
      </c>
    </row>
    <row r="21" spans="1:19" x14ac:dyDescent="0.25">
      <c r="A21">
        <v>2028000460</v>
      </c>
      <c r="B21" t="s">
        <v>99</v>
      </c>
      <c r="E21" t="s">
        <v>50</v>
      </c>
      <c r="G21" t="s">
        <v>193</v>
      </c>
      <c r="H21" t="s">
        <v>100</v>
      </c>
      <c r="I21" t="s">
        <v>45</v>
      </c>
      <c r="J21" t="s">
        <v>182</v>
      </c>
      <c r="K21" s="1">
        <v>45748</v>
      </c>
      <c r="M21" t="s">
        <v>47</v>
      </c>
      <c r="O21" s="2">
        <v>114.69</v>
      </c>
      <c r="P21">
        <v>0</v>
      </c>
      <c r="Q21" s="3">
        <v>0.28000000000000003</v>
      </c>
      <c r="R21" s="2">
        <f>SUM(O21*Q21)</f>
        <v>32.113199999999999</v>
      </c>
      <c r="S21">
        <v>32.113199999999999</v>
      </c>
    </row>
    <row r="22" spans="1:19" x14ac:dyDescent="0.25">
      <c r="A22">
        <v>2028189583</v>
      </c>
      <c r="B22" t="s">
        <v>168</v>
      </c>
      <c r="E22" t="s">
        <v>50</v>
      </c>
      <c r="G22" t="s">
        <v>194</v>
      </c>
      <c r="H22" t="s">
        <v>169</v>
      </c>
      <c r="I22" t="s">
        <v>45</v>
      </c>
      <c r="J22" t="s">
        <v>184</v>
      </c>
      <c r="K22" s="1">
        <v>45778</v>
      </c>
      <c r="M22" t="s">
        <v>47</v>
      </c>
      <c r="O22" s="2">
        <v>61.01</v>
      </c>
      <c r="P22">
        <v>0</v>
      </c>
      <c r="Q22" s="3">
        <v>0.375</v>
      </c>
      <c r="R22" s="2">
        <f>SUM(O22*Q22)</f>
        <v>22.87875</v>
      </c>
      <c r="S22">
        <v>22.87875</v>
      </c>
    </row>
    <row r="23" spans="1:19" x14ac:dyDescent="0.25">
      <c r="A23">
        <v>2028198193</v>
      </c>
      <c r="B23" t="s">
        <v>171</v>
      </c>
      <c r="E23" t="s">
        <v>50</v>
      </c>
      <c r="G23" t="s">
        <v>195</v>
      </c>
      <c r="H23" t="s">
        <v>172</v>
      </c>
      <c r="I23" t="s">
        <v>45</v>
      </c>
      <c r="J23" t="s">
        <v>185</v>
      </c>
      <c r="K23" s="1">
        <v>45751</v>
      </c>
      <c r="M23" t="s">
        <v>47</v>
      </c>
      <c r="O23" s="2">
        <v>77.099999999999994</v>
      </c>
      <c r="P23">
        <v>0</v>
      </c>
      <c r="Q23" s="3">
        <v>0.9</v>
      </c>
      <c r="R23" s="2">
        <f>SUM(O23*Q23)</f>
        <v>69.39</v>
      </c>
      <c r="S23">
        <v>69.39</v>
      </c>
    </row>
    <row r="24" spans="1:19" x14ac:dyDescent="0.25">
      <c r="A24">
        <v>2028146461</v>
      </c>
      <c r="B24" t="s">
        <v>135</v>
      </c>
      <c r="E24" t="s">
        <v>136</v>
      </c>
      <c r="G24" t="s">
        <v>196</v>
      </c>
      <c r="H24" t="s">
        <v>137</v>
      </c>
      <c r="I24" t="s">
        <v>45</v>
      </c>
      <c r="J24" t="s">
        <v>180</v>
      </c>
      <c r="K24" s="1">
        <v>45752</v>
      </c>
      <c r="M24" t="s">
        <v>47</v>
      </c>
      <c r="O24" s="2">
        <v>23.69</v>
      </c>
      <c r="P24">
        <v>0</v>
      </c>
      <c r="Q24" s="3">
        <v>0.38</v>
      </c>
      <c r="R24" s="2">
        <f>SUM(O24*Q24)</f>
        <v>9.0022000000000002</v>
      </c>
      <c r="S24">
        <v>9.0022000000000002</v>
      </c>
    </row>
    <row r="25" spans="1:19" x14ac:dyDescent="0.25">
      <c r="A25">
        <v>2028146462</v>
      </c>
      <c r="B25" t="s">
        <v>135</v>
      </c>
      <c r="E25" t="s">
        <v>136</v>
      </c>
      <c r="G25" t="s">
        <v>196</v>
      </c>
      <c r="H25" t="s">
        <v>137</v>
      </c>
      <c r="I25" t="s">
        <v>45</v>
      </c>
      <c r="J25" t="s">
        <v>183</v>
      </c>
      <c r="K25" s="1">
        <v>45752</v>
      </c>
      <c r="M25" t="s">
        <v>47</v>
      </c>
      <c r="O25" s="2">
        <v>9.6999999999999993</v>
      </c>
      <c r="P25">
        <v>0</v>
      </c>
      <c r="Q25" s="3">
        <v>0.7</v>
      </c>
      <c r="R25" s="2">
        <f>SUM(O25*Q25)</f>
        <v>6.7899999999999991</v>
      </c>
      <c r="S25">
        <v>6.7899999999999991</v>
      </c>
    </row>
    <row r="26" spans="1:19" x14ac:dyDescent="0.25">
      <c r="A26">
        <v>2028072809</v>
      </c>
      <c r="B26" t="s">
        <v>121</v>
      </c>
      <c r="E26" t="s">
        <v>50</v>
      </c>
      <c r="G26" t="s">
        <v>197</v>
      </c>
      <c r="H26" t="s">
        <v>113</v>
      </c>
      <c r="I26" t="s">
        <v>45</v>
      </c>
      <c r="J26" t="s">
        <v>183</v>
      </c>
      <c r="K26" s="1">
        <v>45748</v>
      </c>
      <c r="M26" t="s">
        <v>47</v>
      </c>
      <c r="O26" s="2">
        <v>31.6</v>
      </c>
      <c r="P26">
        <v>0</v>
      </c>
      <c r="Q26" s="3">
        <v>0.7</v>
      </c>
      <c r="R26" s="2">
        <f>SUM(O26*Q26)</f>
        <v>22.12</v>
      </c>
      <c r="S26">
        <v>22.12</v>
      </c>
    </row>
    <row r="27" spans="1:19" x14ac:dyDescent="0.25">
      <c r="A27">
        <v>2028037551</v>
      </c>
      <c r="B27" t="s">
        <v>112</v>
      </c>
      <c r="E27" t="s">
        <v>50</v>
      </c>
      <c r="G27" t="s">
        <v>197</v>
      </c>
      <c r="H27" t="s">
        <v>113</v>
      </c>
      <c r="I27" t="s">
        <v>45</v>
      </c>
      <c r="J27" t="s">
        <v>184</v>
      </c>
      <c r="K27" s="1">
        <v>45748</v>
      </c>
      <c r="M27" t="s">
        <v>47</v>
      </c>
      <c r="O27" s="2">
        <v>22.52</v>
      </c>
      <c r="P27">
        <v>0</v>
      </c>
      <c r="Q27" s="3">
        <v>0.375</v>
      </c>
      <c r="R27" s="2">
        <f>SUM(O27*Q27)</f>
        <v>8.4450000000000003</v>
      </c>
      <c r="S27">
        <v>8.4450000000000003</v>
      </c>
    </row>
    <row r="28" spans="1:19" x14ac:dyDescent="0.25">
      <c r="A28">
        <v>2028174266</v>
      </c>
      <c r="B28" t="s">
        <v>157</v>
      </c>
      <c r="E28" t="s">
        <v>50</v>
      </c>
      <c r="G28" t="s">
        <v>198</v>
      </c>
      <c r="H28" t="s">
        <v>158</v>
      </c>
      <c r="I28" t="s">
        <v>45</v>
      </c>
      <c r="J28" t="s">
        <v>183</v>
      </c>
      <c r="K28" s="1">
        <v>45758</v>
      </c>
      <c r="M28" t="s">
        <v>47</v>
      </c>
      <c r="O28" s="2">
        <v>19</v>
      </c>
      <c r="P28">
        <v>0</v>
      </c>
      <c r="Q28" s="3">
        <v>0.7</v>
      </c>
      <c r="R28" s="2">
        <f>SUM(O28*Q28)</f>
        <v>13.299999999999999</v>
      </c>
      <c r="S28">
        <v>13.299999999999999</v>
      </c>
    </row>
    <row r="29" spans="1:19" x14ac:dyDescent="0.25">
      <c r="A29">
        <v>2028174265</v>
      </c>
      <c r="B29" t="s">
        <v>157</v>
      </c>
      <c r="E29" t="s">
        <v>50</v>
      </c>
      <c r="G29" t="s">
        <v>198</v>
      </c>
      <c r="H29" t="s">
        <v>158</v>
      </c>
      <c r="I29" t="s">
        <v>45</v>
      </c>
      <c r="J29" t="s">
        <v>184</v>
      </c>
      <c r="K29" s="1">
        <v>45758</v>
      </c>
      <c r="M29" t="s">
        <v>47</v>
      </c>
      <c r="O29" s="2">
        <v>32.67</v>
      </c>
      <c r="P29">
        <v>0</v>
      </c>
      <c r="Q29" s="3">
        <v>0.375</v>
      </c>
      <c r="R29" s="2">
        <f>SUM(O29*Q29)</f>
        <v>12.251250000000001</v>
      </c>
      <c r="S29">
        <v>12.251250000000001</v>
      </c>
    </row>
    <row r="30" spans="1:19" x14ac:dyDescent="0.25">
      <c r="A30">
        <v>2028019977</v>
      </c>
      <c r="B30" t="s">
        <v>108</v>
      </c>
      <c r="E30" t="s">
        <v>109</v>
      </c>
      <c r="G30" t="s">
        <v>199</v>
      </c>
      <c r="H30" t="s">
        <v>110</v>
      </c>
      <c r="I30" t="s">
        <v>45</v>
      </c>
      <c r="J30" t="s">
        <v>183</v>
      </c>
      <c r="K30" s="1">
        <v>45742</v>
      </c>
      <c r="M30" t="s">
        <v>47</v>
      </c>
      <c r="O30" s="2">
        <v>128.80000000000001</v>
      </c>
      <c r="P30">
        <v>0</v>
      </c>
      <c r="Q30" s="3">
        <v>0.7</v>
      </c>
      <c r="R30" s="2">
        <f>SUM(O30*Q30)</f>
        <v>90.16</v>
      </c>
      <c r="S30">
        <v>90.16</v>
      </c>
    </row>
    <row r="31" spans="1:19" x14ac:dyDescent="0.25">
      <c r="A31">
        <v>2028139274</v>
      </c>
      <c r="B31" t="s">
        <v>128</v>
      </c>
      <c r="E31" t="s">
        <v>109</v>
      </c>
      <c r="G31" t="s">
        <v>199</v>
      </c>
      <c r="H31" t="s">
        <v>110</v>
      </c>
      <c r="I31" t="s">
        <v>45</v>
      </c>
      <c r="J31" t="s">
        <v>183</v>
      </c>
      <c r="K31" s="1">
        <v>45748</v>
      </c>
      <c r="M31" t="s">
        <v>47</v>
      </c>
      <c r="O31" s="2">
        <v>33.54</v>
      </c>
      <c r="P31">
        <v>0</v>
      </c>
      <c r="Q31" s="3">
        <v>0.7</v>
      </c>
      <c r="R31" s="2">
        <f>SUM(O31*Q31)</f>
        <v>23.477999999999998</v>
      </c>
      <c r="S31">
        <v>23.477999999999998</v>
      </c>
    </row>
    <row r="32" spans="1:19" x14ac:dyDescent="0.25">
      <c r="A32">
        <v>2028169223</v>
      </c>
      <c r="B32" t="s">
        <v>153</v>
      </c>
      <c r="E32" t="s">
        <v>154</v>
      </c>
      <c r="G32" t="s">
        <v>199</v>
      </c>
      <c r="H32" t="s">
        <v>110</v>
      </c>
      <c r="I32" t="s">
        <v>45</v>
      </c>
      <c r="J32" t="s">
        <v>183</v>
      </c>
      <c r="K32" s="1">
        <v>45749</v>
      </c>
      <c r="M32" t="s">
        <v>47</v>
      </c>
      <c r="O32" s="2">
        <v>28.45</v>
      </c>
      <c r="P32">
        <v>0</v>
      </c>
      <c r="Q32" s="3">
        <v>0.7</v>
      </c>
      <c r="R32" s="2">
        <f>SUM(O32*Q32)</f>
        <v>19.914999999999999</v>
      </c>
      <c r="S32">
        <v>19.914999999999999</v>
      </c>
    </row>
    <row r="33" spans="1:19" x14ac:dyDescent="0.25">
      <c r="A33">
        <v>2028139273</v>
      </c>
      <c r="B33" t="s">
        <v>128</v>
      </c>
      <c r="E33" t="s">
        <v>109</v>
      </c>
      <c r="G33" t="s">
        <v>199</v>
      </c>
      <c r="H33" t="s">
        <v>110</v>
      </c>
      <c r="I33" t="s">
        <v>45</v>
      </c>
      <c r="J33" t="s">
        <v>184</v>
      </c>
      <c r="K33" s="1">
        <v>45748</v>
      </c>
      <c r="M33" t="s">
        <v>47</v>
      </c>
      <c r="O33" s="2">
        <v>18.62</v>
      </c>
      <c r="P33">
        <v>0</v>
      </c>
      <c r="Q33" s="3">
        <v>0.375</v>
      </c>
      <c r="R33" s="2">
        <f>SUM(O33*Q33)</f>
        <v>6.9824999999999999</v>
      </c>
      <c r="S33">
        <v>6.9824999999999999</v>
      </c>
    </row>
    <row r="34" spans="1:19" x14ac:dyDescent="0.25">
      <c r="A34">
        <v>2028142116</v>
      </c>
      <c r="B34" t="s">
        <v>129</v>
      </c>
      <c r="E34" t="s">
        <v>88</v>
      </c>
      <c r="G34" t="s">
        <v>199</v>
      </c>
      <c r="H34" t="s">
        <v>110</v>
      </c>
      <c r="I34" t="s">
        <v>45</v>
      </c>
      <c r="J34" t="s">
        <v>184</v>
      </c>
      <c r="K34" s="1">
        <v>45748</v>
      </c>
      <c r="M34" t="s">
        <v>47</v>
      </c>
      <c r="O34" s="2">
        <v>32.880000000000003</v>
      </c>
      <c r="P34">
        <v>0</v>
      </c>
      <c r="Q34" s="3">
        <v>0.375</v>
      </c>
      <c r="R34" s="2">
        <f>SUM(O34*Q34)</f>
        <v>12.330000000000002</v>
      </c>
      <c r="S34">
        <v>12.330000000000002</v>
      </c>
    </row>
    <row r="35" spans="1:19" x14ac:dyDescent="0.25">
      <c r="A35">
        <v>2028169222</v>
      </c>
      <c r="B35" t="s">
        <v>153</v>
      </c>
      <c r="E35" t="s">
        <v>154</v>
      </c>
      <c r="G35" t="s">
        <v>199</v>
      </c>
      <c r="H35" t="s">
        <v>110</v>
      </c>
      <c r="I35" t="s">
        <v>45</v>
      </c>
      <c r="J35" t="s">
        <v>184</v>
      </c>
      <c r="K35" s="1">
        <v>45749</v>
      </c>
      <c r="M35" t="s">
        <v>47</v>
      </c>
      <c r="O35" s="2">
        <v>23.34</v>
      </c>
      <c r="P35">
        <v>0</v>
      </c>
      <c r="Q35" s="3">
        <v>0.375</v>
      </c>
      <c r="R35" s="2">
        <f>SUM(O35*Q35)</f>
        <v>8.7524999999999995</v>
      </c>
      <c r="S35">
        <v>8.7524999999999995</v>
      </c>
    </row>
    <row r="36" spans="1:19" x14ac:dyDescent="0.25">
      <c r="A36">
        <v>2028177319</v>
      </c>
      <c r="B36" t="s">
        <v>163</v>
      </c>
      <c r="E36" t="s">
        <v>88</v>
      </c>
      <c r="G36" t="s">
        <v>199</v>
      </c>
      <c r="H36" t="s">
        <v>110</v>
      </c>
      <c r="I36" t="s">
        <v>45</v>
      </c>
      <c r="J36" t="s">
        <v>184</v>
      </c>
      <c r="K36" s="1">
        <v>45751</v>
      </c>
      <c r="M36" t="s">
        <v>47</v>
      </c>
      <c r="O36" s="2">
        <v>32.880000000000003</v>
      </c>
      <c r="P36">
        <v>0</v>
      </c>
      <c r="Q36" s="3">
        <v>0.375</v>
      </c>
      <c r="R36" s="2">
        <f>SUM(O36*Q36)</f>
        <v>12.330000000000002</v>
      </c>
      <c r="S36">
        <v>12.330000000000002</v>
      </c>
    </row>
    <row r="37" spans="1:19" x14ac:dyDescent="0.25">
      <c r="A37">
        <v>2028177461</v>
      </c>
      <c r="B37" t="s">
        <v>164</v>
      </c>
      <c r="E37" t="s">
        <v>88</v>
      </c>
      <c r="G37" t="s">
        <v>199</v>
      </c>
      <c r="H37" t="s">
        <v>110</v>
      </c>
      <c r="I37" t="s">
        <v>45</v>
      </c>
      <c r="J37" t="s">
        <v>184</v>
      </c>
      <c r="K37" s="1">
        <v>45751</v>
      </c>
      <c r="M37" t="s">
        <v>47</v>
      </c>
      <c r="O37" s="2">
        <v>32.880000000000003</v>
      </c>
      <c r="P37">
        <v>0</v>
      </c>
      <c r="Q37" s="3">
        <v>0.375</v>
      </c>
      <c r="R37" s="2">
        <f>SUM(O37*Q37)</f>
        <v>12.330000000000002</v>
      </c>
      <c r="S37">
        <v>12.330000000000002</v>
      </c>
    </row>
    <row r="38" spans="1:19" x14ac:dyDescent="0.25">
      <c r="A38">
        <v>2027206189</v>
      </c>
      <c r="B38" t="s">
        <v>49</v>
      </c>
      <c r="E38" t="s">
        <v>50</v>
      </c>
      <c r="G38" t="s">
        <v>200</v>
      </c>
      <c r="H38" t="s">
        <v>51</v>
      </c>
      <c r="I38" t="s">
        <v>45</v>
      </c>
      <c r="J38" t="s">
        <v>183</v>
      </c>
      <c r="K38" s="1">
        <v>45748</v>
      </c>
      <c r="M38" t="s">
        <v>47</v>
      </c>
      <c r="O38" s="2">
        <v>42.38</v>
      </c>
      <c r="P38">
        <v>0</v>
      </c>
      <c r="Q38" s="3">
        <v>0.7</v>
      </c>
      <c r="R38" s="2">
        <f>SUM(O38*Q38)</f>
        <v>29.666</v>
      </c>
      <c r="S38">
        <v>29.666</v>
      </c>
    </row>
    <row r="39" spans="1:19" x14ac:dyDescent="0.25">
      <c r="A39">
        <v>2027206190</v>
      </c>
      <c r="B39" t="s">
        <v>49</v>
      </c>
      <c r="E39" t="s">
        <v>50</v>
      </c>
      <c r="G39" t="s">
        <v>200</v>
      </c>
      <c r="H39" t="s">
        <v>51</v>
      </c>
      <c r="I39" t="s">
        <v>45</v>
      </c>
      <c r="J39" t="s">
        <v>184</v>
      </c>
      <c r="K39" s="1">
        <v>45748</v>
      </c>
      <c r="M39" t="s">
        <v>47</v>
      </c>
      <c r="O39" s="2">
        <v>41.17</v>
      </c>
      <c r="P39">
        <v>0</v>
      </c>
      <c r="Q39" s="3">
        <v>0.375</v>
      </c>
      <c r="R39" s="2">
        <f>SUM(O39*Q39)</f>
        <v>15.438750000000001</v>
      </c>
      <c r="S39">
        <v>15.438750000000001</v>
      </c>
    </row>
    <row r="40" spans="1:19" x14ac:dyDescent="0.25">
      <c r="A40">
        <v>2028152065</v>
      </c>
      <c r="B40" t="s">
        <v>146</v>
      </c>
      <c r="E40" t="s">
        <v>88</v>
      </c>
      <c r="G40" t="s">
        <v>201</v>
      </c>
      <c r="H40" t="s">
        <v>147</v>
      </c>
      <c r="I40" t="s">
        <v>45</v>
      </c>
      <c r="J40" t="s">
        <v>183</v>
      </c>
      <c r="K40" s="1">
        <v>45748</v>
      </c>
      <c r="M40" t="s">
        <v>47</v>
      </c>
      <c r="O40" s="2">
        <v>253.68</v>
      </c>
      <c r="P40">
        <v>0</v>
      </c>
      <c r="Q40" s="3">
        <v>0.7</v>
      </c>
      <c r="R40" s="2">
        <f>SUM(O40*Q40)</f>
        <v>177.57599999999999</v>
      </c>
      <c r="S40">
        <v>177.57599999999999</v>
      </c>
    </row>
    <row r="41" spans="1:19" x14ac:dyDescent="0.25">
      <c r="A41">
        <v>2028152064</v>
      </c>
      <c r="B41" t="s">
        <v>146</v>
      </c>
      <c r="E41" t="s">
        <v>88</v>
      </c>
      <c r="G41" t="s">
        <v>201</v>
      </c>
      <c r="H41" t="s">
        <v>147</v>
      </c>
      <c r="I41" t="s">
        <v>45</v>
      </c>
      <c r="J41" t="s">
        <v>184</v>
      </c>
      <c r="K41" s="1">
        <v>45748</v>
      </c>
      <c r="M41" t="s">
        <v>47</v>
      </c>
      <c r="O41" s="2">
        <v>192.52</v>
      </c>
      <c r="P41">
        <v>0</v>
      </c>
      <c r="Q41" s="3">
        <v>0.375</v>
      </c>
      <c r="R41" s="2">
        <f>SUM(O41*Q41)</f>
        <v>72.195000000000007</v>
      </c>
      <c r="S41">
        <v>72.195000000000007</v>
      </c>
    </row>
    <row r="42" spans="1:19" x14ac:dyDescent="0.25">
      <c r="A42">
        <v>2028134802</v>
      </c>
      <c r="B42" t="s">
        <v>125</v>
      </c>
      <c r="E42" t="s">
        <v>55</v>
      </c>
      <c r="G42" t="s">
        <v>202</v>
      </c>
      <c r="H42" t="s">
        <v>126</v>
      </c>
      <c r="I42" t="s">
        <v>45</v>
      </c>
      <c r="J42" t="s">
        <v>183</v>
      </c>
      <c r="K42" s="1">
        <v>45748</v>
      </c>
      <c r="M42" t="s">
        <v>47</v>
      </c>
      <c r="O42" s="2">
        <v>17.64</v>
      </c>
      <c r="P42">
        <v>0</v>
      </c>
      <c r="Q42" s="3">
        <v>0.7</v>
      </c>
      <c r="R42" s="2">
        <f>SUM(O42*Q42)</f>
        <v>12.347999999999999</v>
      </c>
      <c r="S42">
        <v>12.347999999999999</v>
      </c>
    </row>
    <row r="43" spans="1:19" x14ac:dyDescent="0.25">
      <c r="A43">
        <v>2028135305</v>
      </c>
      <c r="B43" t="s">
        <v>127</v>
      </c>
      <c r="E43" t="s">
        <v>55</v>
      </c>
      <c r="G43" t="s">
        <v>202</v>
      </c>
      <c r="H43" t="s">
        <v>126</v>
      </c>
      <c r="I43" t="s">
        <v>45</v>
      </c>
      <c r="J43" t="s">
        <v>183</v>
      </c>
      <c r="K43" s="1">
        <v>45748</v>
      </c>
      <c r="M43" t="s">
        <v>47</v>
      </c>
      <c r="O43" s="2">
        <v>17.64</v>
      </c>
      <c r="P43">
        <v>0</v>
      </c>
      <c r="Q43" s="3">
        <v>0.7</v>
      </c>
      <c r="R43" s="2">
        <f>SUM(O43*Q43)</f>
        <v>12.347999999999999</v>
      </c>
      <c r="S43">
        <v>12.347999999999999</v>
      </c>
    </row>
    <row r="44" spans="1:19" x14ac:dyDescent="0.25">
      <c r="A44">
        <v>2028152220</v>
      </c>
      <c r="B44" t="s">
        <v>148</v>
      </c>
      <c r="E44" t="s">
        <v>59</v>
      </c>
      <c r="G44" t="s">
        <v>202</v>
      </c>
      <c r="H44" t="s">
        <v>126</v>
      </c>
      <c r="I44" t="s">
        <v>45</v>
      </c>
      <c r="J44" t="s">
        <v>183</v>
      </c>
      <c r="K44" s="1">
        <v>45748</v>
      </c>
      <c r="M44" t="s">
        <v>47</v>
      </c>
      <c r="O44" s="2">
        <v>33.909999999999997</v>
      </c>
      <c r="P44">
        <v>0</v>
      </c>
      <c r="Q44" s="3">
        <v>0.7</v>
      </c>
      <c r="R44" s="2">
        <f>SUM(O44*Q44)</f>
        <v>23.736999999999995</v>
      </c>
      <c r="S44">
        <v>23.736999999999995</v>
      </c>
    </row>
    <row r="45" spans="1:19" x14ac:dyDescent="0.25">
      <c r="A45">
        <v>2028152248</v>
      </c>
      <c r="B45" t="s">
        <v>149</v>
      </c>
      <c r="E45" t="s">
        <v>59</v>
      </c>
      <c r="G45" t="s">
        <v>202</v>
      </c>
      <c r="H45" t="s">
        <v>126</v>
      </c>
      <c r="I45" t="s">
        <v>45</v>
      </c>
      <c r="J45" t="s">
        <v>183</v>
      </c>
      <c r="K45" s="1">
        <v>45748</v>
      </c>
      <c r="M45" t="s">
        <v>47</v>
      </c>
      <c r="O45" s="2">
        <v>63.34</v>
      </c>
      <c r="P45">
        <v>0</v>
      </c>
      <c r="Q45" s="3">
        <v>0.7</v>
      </c>
      <c r="R45" s="2">
        <f>SUM(O45*Q45)</f>
        <v>44.338000000000001</v>
      </c>
      <c r="S45">
        <v>44.338000000000001</v>
      </c>
    </row>
    <row r="46" spans="1:19" x14ac:dyDescent="0.25">
      <c r="A46">
        <v>2028246831</v>
      </c>
      <c r="B46" t="s">
        <v>175</v>
      </c>
      <c r="E46" t="s">
        <v>176</v>
      </c>
      <c r="G46" t="s">
        <v>202</v>
      </c>
      <c r="H46" t="s">
        <v>126</v>
      </c>
      <c r="I46" t="s">
        <v>45</v>
      </c>
      <c r="J46" t="s">
        <v>184</v>
      </c>
      <c r="K46" s="1">
        <v>45752</v>
      </c>
      <c r="M46" t="s">
        <v>47</v>
      </c>
      <c r="O46" s="2">
        <v>24.7</v>
      </c>
      <c r="P46">
        <v>0</v>
      </c>
      <c r="Q46" s="3">
        <v>0.375</v>
      </c>
      <c r="R46" s="2">
        <f>SUM(O46*Q46)</f>
        <v>9.2624999999999993</v>
      </c>
      <c r="S46">
        <v>9.2624999999999993</v>
      </c>
    </row>
    <row r="47" spans="1:19" x14ac:dyDescent="0.25">
      <c r="A47">
        <v>2028134803</v>
      </c>
      <c r="B47" t="s">
        <v>125</v>
      </c>
      <c r="E47" t="s">
        <v>55</v>
      </c>
      <c r="G47" t="s">
        <v>202</v>
      </c>
      <c r="H47" t="s">
        <v>126</v>
      </c>
      <c r="I47" t="s">
        <v>45</v>
      </c>
      <c r="J47" t="s">
        <v>185</v>
      </c>
      <c r="K47" s="1">
        <v>45748</v>
      </c>
      <c r="M47" t="s">
        <v>47</v>
      </c>
      <c r="O47" s="2">
        <v>8.7100000000000009</v>
      </c>
      <c r="P47">
        <v>0</v>
      </c>
      <c r="Q47" s="3">
        <v>0.9</v>
      </c>
      <c r="R47" s="2">
        <f>SUM(O47*Q47)</f>
        <v>7.8390000000000013</v>
      </c>
      <c r="S47">
        <v>7.8390000000000013</v>
      </c>
    </row>
    <row r="48" spans="1:19" x14ac:dyDescent="0.25">
      <c r="A48">
        <v>2028135306</v>
      </c>
      <c r="B48" t="s">
        <v>127</v>
      </c>
      <c r="E48" t="s">
        <v>55</v>
      </c>
      <c r="G48" t="s">
        <v>202</v>
      </c>
      <c r="H48" t="s">
        <v>126</v>
      </c>
      <c r="I48" t="s">
        <v>45</v>
      </c>
      <c r="J48" t="s">
        <v>185</v>
      </c>
      <c r="K48" s="1">
        <v>45748</v>
      </c>
      <c r="M48" t="s">
        <v>47</v>
      </c>
      <c r="O48" s="2">
        <v>43.81</v>
      </c>
      <c r="P48">
        <v>0</v>
      </c>
      <c r="Q48" s="3">
        <v>0.9</v>
      </c>
      <c r="R48" s="2">
        <f>SUM(O48*Q48)</f>
        <v>39.429000000000002</v>
      </c>
      <c r="S48">
        <v>39.429000000000002</v>
      </c>
    </row>
    <row r="49" spans="1:19" x14ac:dyDescent="0.25">
      <c r="A49">
        <v>2028246832</v>
      </c>
      <c r="B49" t="s">
        <v>175</v>
      </c>
      <c r="E49" t="s">
        <v>176</v>
      </c>
      <c r="G49" t="s">
        <v>202</v>
      </c>
      <c r="H49" t="s">
        <v>126</v>
      </c>
      <c r="I49" t="s">
        <v>45</v>
      </c>
      <c r="J49" t="s">
        <v>185</v>
      </c>
      <c r="K49" s="1">
        <v>45752</v>
      </c>
      <c r="M49" t="s">
        <v>47</v>
      </c>
      <c r="O49" s="2">
        <v>41.75</v>
      </c>
      <c r="P49">
        <v>0</v>
      </c>
      <c r="Q49" s="3">
        <v>0.9</v>
      </c>
      <c r="R49" s="2">
        <f>SUM(O49*Q49)</f>
        <v>37.575000000000003</v>
      </c>
      <c r="S49">
        <v>37.575000000000003</v>
      </c>
    </row>
    <row r="50" spans="1:19" x14ac:dyDescent="0.25">
      <c r="A50">
        <v>2028248959</v>
      </c>
      <c r="B50" t="s">
        <v>177</v>
      </c>
      <c r="E50" t="s">
        <v>88</v>
      </c>
      <c r="G50" t="s">
        <v>202</v>
      </c>
      <c r="H50" t="s">
        <v>126</v>
      </c>
      <c r="I50" t="s">
        <v>45</v>
      </c>
      <c r="J50" t="s">
        <v>185</v>
      </c>
      <c r="K50" s="1">
        <v>45753</v>
      </c>
      <c r="M50" t="s">
        <v>47</v>
      </c>
      <c r="O50" s="2">
        <v>20.399999999999999</v>
      </c>
      <c r="P50">
        <v>0</v>
      </c>
      <c r="Q50" s="3">
        <v>0.9</v>
      </c>
      <c r="R50" s="2">
        <f>SUM(O50*Q50)</f>
        <v>18.36</v>
      </c>
      <c r="S50">
        <v>18.36</v>
      </c>
    </row>
    <row r="51" spans="1:19" x14ac:dyDescent="0.25">
      <c r="A51">
        <v>2028158785</v>
      </c>
      <c r="B51" t="s">
        <v>150</v>
      </c>
      <c r="E51" t="s">
        <v>88</v>
      </c>
      <c r="G51" t="s">
        <v>203</v>
      </c>
      <c r="H51" t="s">
        <v>151</v>
      </c>
      <c r="I51" t="s">
        <v>45</v>
      </c>
      <c r="J51" t="s">
        <v>183</v>
      </c>
      <c r="K51" s="1">
        <v>45749</v>
      </c>
      <c r="M51" t="s">
        <v>47</v>
      </c>
      <c r="O51" s="2">
        <v>109.36</v>
      </c>
      <c r="P51">
        <v>0</v>
      </c>
      <c r="Q51" s="3">
        <v>0.7</v>
      </c>
      <c r="R51" s="2">
        <f>SUM(O51*Q51)</f>
        <v>76.551999999999992</v>
      </c>
      <c r="S51">
        <v>76.551999999999992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 State NB 4-7-25</vt:lpstr>
      <vt:lpstr>clean 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Janki Patel</cp:lastModifiedBy>
  <dcterms:created xsi:type="dcterms:W3CDTF">2025-04-14T13:03:02Z</dcterms:created>
  <dcterms:modified xsi:type="dcterms:W3CDTF">2025-04-15T23:47:42Z</dcterms:modified>
</cp:coreProperties>
</file>