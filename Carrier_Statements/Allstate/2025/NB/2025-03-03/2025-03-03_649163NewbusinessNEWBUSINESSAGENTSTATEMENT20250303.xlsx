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3-3-25\"/>
    </mc:Choice>
  </mc:AlternateContent>
  <xr:revisionPtr revIDLastSave="0" documentId="13_ncr:1_{9AB2781F-E1E4-49D4-B36F-8BFE38BCCCEE}" xr6:coauthVersionLast="47" xr6:coauthVersionMax="47" xr10:uidLastSave="{00000000-0000-0000-0000-000000000000}"/>
  <bookViews>
    <workbookView xWindow="-57720" yWindow="-45" windowWidth="29040" windowHeight="15720" activeTab="1" xr2:uid="{A947142A-4679-4774-A91F-239529C5E2DB}"/>
  </bookViews>
  <sheets>
    <sheet name="649163__Newbusiness_NEW_BUSINES" sheetId="1" r:id="rId1"/>
    <sheet name="Policies I practiced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2" l="1"/>
  <c r="W4" i="2"/>
  <c r="W5" i="2"/>
  <c r="W6" i="2"/>
  <c r="W7" i="2"/>
  <c r="W8" i="2"/>
  <c r="W9" i="2"/>
  <c r="W2" i="2"/>
  <c r="V3" i="2"/>
  <c r="V4" i="2"/>
  <c r="V5" i="2"/>
  <c r="V6" i="2"/>
  <c r="V7" i="2"/>
  <c r="V8" i="2"/>
  <c r="V9" i="2"/>
  <c r="V2" i="2"/>
  <c r="B19" i="3"/>
  <c r="B20" i="3"/>
  <c r="B21" i="3"/>
  <c r="B22" i="3"/>
  <c r="B18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" i="3"/>
</calcChain>
</file>

<file path=xl/sharedStrings.xml><?xml version="1.0" encoding="utf-8"?>
<sst xmlns="http://schemas.openxmlformats.org/spreadsheetml/2006/main" count="1133" uniqueCount="198">
  <si>
    <t>V20180401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</si>
  <si>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</si>
  <si>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</si>
  <si>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</si>
  <si>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</si>
  <si>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</si>
  <si>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</si>
  <si>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</si>
  <si>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</si>
  <si>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</si>
  <si>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</si>
  <si>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</si>
  <si>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</si>
  <si>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</si>
  <si>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</si>
  <si>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</si>
  <si>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</si>
  <si>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</si>
  <si>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</si>
  <si>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</si>
  <si>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</si>
  <si>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</si>
  <si>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</si>
  <si>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</si>
  <si>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</si>
  <si>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</si>
  <si>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</si>
  <si>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</si>
  <si>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</si>
  <si>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</si>
  <si>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</si>
  <si>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JASON HOFFMANN</t>
  </si>
  <si>
    <t>JENNIFER HILL</t>
  </si>
  <si>
    <t>UT</t>
  </si>
  <si>
    <t>RYAN CALTAGIRONE</t>
  </si>
  <si>
    <t>Active</t>
  </si>
  <si>
    <t>Plan Enhancer 20214</t>
  </si>
  <si>
    <t>Monthly</t>
  </si>
  <si>
    <t>AV</t>
  </si>
  <si>
    <t>Accident Fixed Benefit</t>
  </si>
  <si>
    <t>SELECT DENTAL 29304</t>
  </si>
  <si>
    <t>MIRANDA CURTIS</t>
  </si>
  <si>
    <t>NC</t>
  </si>
  <si>
    <t>CHRISTINA STAATS</t>
  </si>
  <si>
    <t>OH</t>
  </si>
  <si>
    <t>THOMAS WEINERT</t>
  </si>
  <si>
    <t>IL</t>
  </si>
  <si>
    <t>BARRY SCHUMANN</t>
  </si>
  <si>
    <t>Dental Indemnity 21618</t>
  </si>
  <si>
    <t>DANIEL NUTTLE</t>
  </si>
  <si>
    <t>ANDREW CHOI</t>
  </si>
  <si>
    <t>KRISTINA HENSON</t>
  </si>
  <si>
    <t>FL</t>
  </si>
  <si>
    <t>JEFFREY GRINDLE</t>
  </si>
  <si>
    <t>IN</t>
  </si>
  <si>
    <t>TrioMED Accident and CI 14939</t>
  </si>
  <si>
    <t>TRACY LEE</t>
  </si>
  <si>
    <t>TX</t>
  </si>
  <si>
    <t>GREGORY TEIPEL</t>
  </si>
  <si>
    <t>Cancer and Heart/Stroke 20231</t>
  </si>
  <si>
    <t>Term Life 21673</t>
  </si>
  <si>
    <t>HOLLY POPEJOY</t>
  </si>
  <si>
    <t>BRIAN STROHMAN</t>
  </si>
  <si>
    <t>BETHANY STANCLIFF</t>
  </si>
  <si>
    <t>VA</t>
  </si>
  <si>
    <t>CAROLYN ANGLIN</t>
  </si>
  <si>
    <t>MATTHEW DAUGHERTY</t>
  </si>
  <si>
    <t>JOANNE HRONOPOULOS</t>
  </si>
  <si>
    <t>ANDREA PETRUNGARO</t>
  </si>
  <si>
    <t>NHIC LM 2021 SENIOR INDEMNITY 65+</t>
  </si>
  <si>
    <t>Life Association Standalone Bundled wLM</t>
  </si>
  <si>
    <t>NHIC Dental 2020 DVH 65+</t>
  </si>
  <si>
    <t>THOMAS LANGEN</t>
  </si>
  <si>
    <t>TIMOTHY MCILVEENE</t>
  </si>
  <si>
    <t>VICTOR FUENTES</t>
  </si>
  <si>
    <t>REBECCA ANDRUSZKA</t>
  </si>
  <si>
    <t>CO</t>
  </si>
  <si>
    <t>HEATHER MILLER</t>
  </si>
  <si>
    <t>Cancer and Heart/Stroke 20231 CO-FL-MN-MI</t>
  </si>
  <si>
    <t>NHIC LM 2021 Hospital Expense Protection U65</t>
  </si>
  <si>
    <t>KIMBERLY LAUFF</t>
  </si>
  <si>
    <t>PA</t>
  </si>
  <si>
    <t>DEBORAH INSKIPT</t>
  </si>
  <si>
    <t>ARIANA KHAMMANIVONG</t>
  </si>
  <si>
    <t>PATSAMON THANADABOUTH</t>
  </si>
  <si>
    <t>LAURA SANTULLO</t>
  </si>
  <si>
    <t>KEGHAN CARLTON</t>
  </si>
  <si>
    <t>KS</t>
  </si>
  <si>
    <t>THOMAS PARDUE</t>
  </si>
  <si>
    <t>JOHN JR</t>
  </si>
  <si>
    <t>MI</t>
  </si>
  <si>
    <t>MANDAKHBAYAR SELENGE</t>
  </si>
  <si>
    <t>ODMAA ENKHTUR</t>
  </si>
  <si>
    <t>TROY CUPPLES</t>
  </si>
  <si>
    <t>JAMES COMBS</t>
  </si>
  <si>
    <t>NHIC MedSupp 2022 CO Plan F G N Age 65-80</t>
  </si>
  <si>
    <t>TYSON OWEN</t>
  </si>
  <si>
    <t>AL</t>
  </si>
  <si>
    <t>KHAMSAVAT KEOPANYA</t>
  </si>
  <si>
    <t>CONNIE BERG</t>
  </si>
  <si>
    <t>CHRISTIAN TAUGNER</t>
  </si>
  <si>
    <t>AUTUMN LEONARD</t>
  </si>
  <si>
    <t>COLLEEN FINNIGAN</t>
  </si>
  <si>
    <t>MADISON BAILEY</t>
  </si>
  <si>
    <t>HONG WANNAHWILAI</t>
  </si>
  <si>
    <t>My LIFE Wellness 21038</t>
  </si>
  <si>
    <t>ALEX SENATORE</t>
  </si>
  <si>
    <t>CAROL FOLEY</t>
  </si>
  <si>
    <t>LIFE Association Membership - C 14956 LM</t>
  </si>
  <si>
    <t>EDWINA JENSEN</t>
  </si>
  <si>
    <t>RUDY GIANNETTI</t>
  </si>
  <si>
    <t>WI</t>
  </si>
  <si>
    <t>ESTHER HERRERA-LARSEN</t>
  </si>
  <si>
    <t>Allstate Health Access</t>
  </si>
  <si>
    <t>AE</t>
  </si>
  <si>
    <t>Allstate Recuro RX Discount Card</t>
  </si>
  <si>
    <t>LESLY PILLADO</t>
  </si>
  <si>
    <t>GAVIN ZAWACKI</t>
  </si>
  <si>
    <t>JACOB YALE</t>
  </si>
  <si>
    <t>MICHELLE RATHBUN</t>
  </si>
  <si>
    <t>MICHAEL DUNAVANT</t>
  </si>
  <si>
    <t>MARIA GONZALEZ</t>
  </si>
  <si>
    <t>AZ</t>
  </si>
  <si>
    <t>ARTHUR SAMOYLOVICH</t>
  </si>
  <si>
    <t>AMY DUARTE</t>
  </si>
  <si>
    <t>Critical Illness w/ Term Life 21677</t>
  </si>
  <si>
    <t>Life Association Access</t>
  </si>
  <si>
    <t>DEBORAH LANZIDELLE</t>
  </si>
  <si>
    <t>LORI TUNSTALL</t>
  </si>
  <si>
    <t>NHIC MedSupp 2022 FL Plan F G Age 65-80</t>
  </si>
  <si>
    <t>KEVIN ENOS</t>
  </si>
  <si>
    <t>JIMMY DAVIS</t>
  </si>
  <si>
    <t>ALFRED NEWSOME</t>
  </si>
  <si>
    <t>GARY PORTUGAL</t>
  </si>
  <si>
    <t>ASHLEN CORDES</t>
  </si>
  <si>
    <t>DEREK JONES</t>
  </si>
  <si>
    <t>ALDWIN AUSTIN</t>
  </si>
  <si>
    <t>CHRISTOPHER BROUSSEAU</t>
  </si>
  <si>
    <t>JAMES MORGAN</t>
  </si>
  <si>
    <t>JULIA MACFARLANE</t>
  </si>
  <si>
    <t>DALE WALENGA</t>
  </si>
  <si>
    <t>JIANNI RANSOME-MILLER</t>
  </si>
  <si>
    <t>TIMOTHY HODGMAN</t>
  </si>
  <si>
    <t>JUDITH BOVA</t>
  </si>
  <si>
    <t>GREGORY HANSFORD</t>
  </si>
  <si>
    <t>NHIC MedSupp 2022 IL Plan F G Age 65-80</t>
  </si>
  <si>
    <t>WARDELL MCKINNEY</t>
  </si>
  <si>
    <t>ROBERT LUNDEEN</t>
  </si>
  <si>
    <t>ANTHONY HUNSBERGER</t>
  </si>
  <si>
    <t>RACHEL ARIAS</t>
  </si>
  <si>
    <t>FRANK LISKOVEC</t>
  </si>
  <si>
    <t>ALONSO PENA</t>
  </si>
  <si>
    <t>MO</t>
  </si>
  <si>
    <t>MARLON PESINA</t>
  </si>
  <si>
    <t>DEVIN LARSEN</t>
  </si>
  <si>
    <t>EVONNE SNYDER</t>
  </si>
  <si>
    <t>ALBERTO OLMOS</t>
  </si>
  <si>
    <t>BARRY BRENNER</t>
  </si>
  <si>
    <t>GONCHIG AYURZANA</t>
  </si>
  <si>
    <t>STEPHEN NARRELL</t>
  </si>
  <si>
    <t>JAY WOJTASIK</t>
  </si>
  <si>
    <t>NASANDELGER ZANA</t>
  </si>
  <si>
    <t>FATOUMATA DIAKITE</t>
  </si>
  <si>
    <t>GA</t>
  </si>
  <si>
    <t>KATHY DOMINGUEZ</t>
  </si>
  <si>
    <t>KIRK TIGUE</t>
  </si>
  <si>
    <t>ALEXANDRA JOHNSON</t>
  </si>
  <si>
    <t>MARK PIEMONTE</t>
  </si>
  <si>
    <t>JOHN PESZEK</t>
  </si>
  <si>
    <t>NHIC STM PPO All Other States</t>
  </si>
  <si>
    <t>AV1</t>
  </si>
  <si>
    <t>LIFE Association Membership - C 14956 PPO</t>
  </si>
  <si>
    <t>JOHN FINN</t>
  </si>
  <si>
    <t>SCOTT GARDNER</t>
  </si>
  <si>
    <t>LESLIE FINCH</t>
  </si>
  <si>
    <t>SHAUNDA OGLETREE</t>
  </si>
  <si>
    <t>DIMITRIOS PAPADOPOULOS</t>
  </si>
  <si>
    <t>RENEE KONESKI</t>
  </si>
  <si>
    <t>NHIC MedSupp 2022 Plan F G Age 65-80</t>
  </si>
  <si>
    <t>DENISE MBARIKA</t>
  </si>
  <si>
    <t>OK</t>
  </si>
  <si>
    <t>TOM FLETCHER</t>
  </si>
  <si>
    <t>THOMAS FOLADARE</t>
  </si>
  <si>
    <t>LUCA FLETCHER</t>
  </si>
  <si>
    <t>JAMES BENNETT</t>
  </si>
  <si>
    <t>RACQUELINE MENDOZA</t>
  </si>
  <si>
    <t>WILLIE WELLS</t>
  </si>
  <si>
    <t>CLEE CHAVIS</t>
  </si>
  <si>
    <t>HANSSI ESCHEVERRIA</t>
  </si>
  <si>
    <t>MD</t>
  </si>
  <si>
    <t>ADAM RICHTER</t>
  </si>
  <si>
    <t>BROOKS SULLIVAN</t>
  </si>
  <si>
    <t>NHIC Specified Care Association</t>
  </si>
  <si>
    <t>CHADWICK MASSIDDA</t>
  </si>
  <si>
    <t>MARY CARSON</t>
  </si>
  <si>
    <t>Allstate Plan Enhancer 20214</t>
  </si>
  <si>
    <t>Allstate SELECT DENTAL 29304</t>
  </si>
  <si>
    <t>Allstate NHIC LM 2021 Hospital Expense Protection U65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</si>
</sst>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21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1" fontId="0" fillId="0" borderId="0" xfId="0" applyNumberFormat="1"/>
    <xf numFmtId="14" fontId="0" fillId="33" borderId="0" xfId="0" applyNumberFormat="1" applyFill="1"/>
    <xf numFmtId="0" fontId="0" fillId="33" borderId="0" xfId="0" applyFill="1"/>
    <xf numFmtId="8" fontId="0" fillId="33" borderId="0" xfId="0" applyNumberFormat="1" applyFill="1"/>
    <xf numFmtId="10" fontId="0" fillId="33" borderId="0" xfId="0" applyNumberFormat="1" applyFill="1"/>
    <xf numFmtId="11" fontId="0" fillId="33" borderId="0" xfId="0" applyNumberFormat="1" applyFill="1"/>
    <xf numFmtId="14" fontId="0" fillId="0" borderId="0" xfId="0" applyNumberFormat="1" applyFill="1"/>
    <xf numFmtId="0" fontId="0" fillId="0" borderId="0" xfId="0" applyFill="1"/>
    <xf numFmtId="8" fontId="0" fillId="0" borderId="0" xfId="0" applyNumberFormat="1" applyFill="1"/>
    <xf numFmtId="10" fontId="0" fillId="0" borderId="0" xfId="0" applyNumberFormat="1" applyFill="1"/>
    <xf numFmtId="11" fontId="0" fillId="0" borderId="0" xfId="0" applyNumberFormat="1" applyFill="1"/>
    <xf numFmtId="44" fontId="0" fillId="0" borderId="0" xfId="42" applyFont="1" applyFill="1"/>
    <xf numFmtId="14" fontId="0" fillId="34" borderId="0" xfId="0" applyNumberFormat="1" applyFill="1"/>
    <xf numFmtId="0" fontId="0" fillId="34" borderId="0" xfId="0" applyFill="1"/>
    <xf numFmtId="8" fontId="0" fillId="34" borderId="0" xfId="0" applyNumberFormat="1" applyFill="1"/>
    <xf numFmtId="10" fontId="0" fillId="34" borderId="0" xfId="0" applyNumberFormat="1" applyFill="1"/>
    <xf numFmtId="11" fontId="0" fillId="34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19990-5B27-408C-B817-0C3794913EA3}">
  <dimension ref="A1:AE146"/>
  <sheetViews>
    <sheetView topLeftCell="A22" workbookViewId="0">
      <selection activeCell="A44" sqref="A44:XFD45"/>
    </sheetView>
  </sheetViews>
  <sheetFormatPr defaultRowHeight="15" x14ac:dyDescent="0.25"/>
  <cols>
    <col min="1" max="1" width="10.140625" bestFit="1" customWidth="1"/>
    <col min="2" max="2" width="14" bestFit="1" customWidth="1"/>
    <col min="3" max="3" width="25.5703125" bestFit="1" customWidth="1"/>
    <col min="4" max="4" width="8.140625" bestFit="1" customWidth="1"/>
    <col min="5" max="5" width="4.140625" bestFit="1" customWidth="1"/>
    <col min="6" max="6" width="5.28515625" bestFit="1" customWidth="1"/>
    <col min="7" max="7" width="8.5703125" bestFit="1" customWidth="1"/>
    <col min="8" max="8" width="15" bestFit="1" customWidth="1"/>
    <col min="9" max="9" width="26.42578125" bestFit="1" customWidth="1"/>
    <col min="10" max="10" width="12.140625" bestFit="1" customWidth="1"/>
    <col min="11" max="11" width="42.42578125" bestFit="1" customWidth="1"/>
    <col min="12" max="12" width="10.140625" bestFit="1" customWidth="1"/>
    <col min="13" max="13" width="12.28515625" bestFit="1" customWidth="1"/>
    <col min="14" max="14" width="14" bestFit="1" customWidth="1"/>
    <col min="15" max="15" width="12" bestFit="1" customWidth="1"/>
    <col min="16" max="16" width="16.140625" bestFit="1" customWidth="1"/>
    <col min="17" max="17" width="9" bestFit="1" customWidth="1"/>
    <col min="18" max="18" width="17.85546875" bestFit="1" customWidth="1"/>
    <col min="19" max="19" width="16.140625" bestFit="1" customWidth="1"/>
    <col min="20" max="20" width="16.7109375" bestFit="1" customWidth="1"/>
    <col min="21" max="21" width="16.5703125" bestFit="1" customWidth="1"/>
    <col min="22" max="22" width="18" bestFit="1" customWidth="1"/>
    <col min="23" max="23" width="11.5703125" bestFit="1" customWidth="1"/>
    <col min="24" max="24" width="14.7109375" bestFit="1" customWidth="1"/>
    <col min="25" max="25" width="9.5703125" bestFit="1" customWidth="1"/>
    <col min="26" max="26" width="12.7109375" bestFit="1" customWidth="1"/>
    <col min="27" max="27" width="19" bestFit="1" customWidth="1"/>
    <col min="28" max="28" width="18" bestFit="1" customWidth="1"/>
    <col min="29" max="29" width="11.42578125" bestFit="1" customWidth="1"/>
    <col min="30" max="30" width="14" bestFit="1" customWidth="1"/>
    <col min="31" max="31" width="16.28515625" bestFit="1" customWidth="1"/>
  </cols>
  <sheetData>
    <row r="1" spans="1:31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</row>
    <row r="2" spans="1:31" s="6" customFormat="1" x14ac:dyDescent="0.25">
      <c r="A2" s="5">
        <v>45723</v>
      </c>
      <c r="B2" s="6">
        <v>2027501753</v>
      </c>
      <c r="C2" s="6" t="s">
        <v>188</v>
      </c>
      <c r="F2" s="6" t="s">
        <v>189</v>
      </c>
      <c r="H2" s="6">
        <v>652037</v>
      </c>
      <c r="I2" s="6" t="s">
        <v>190</v>
      </c>
      <c r="J2" s="6" t="s">
        <v>35</v>
      </c>
      <c r="K2" s="6" t="s">
        <v>39</v>
      </c>
      <c r="L2" s="5">
        <v>45718</v>
      </c>
      <c r="N2" s="6" t="s">
        <v>37</v>
      </c>
      <c r="Q2" s="6" t="s">
        <v>38</v>
      </c>
      <c r="R2" s="7">
        <v>24.61</v>
      </c>
      <c r="S2" s="7">
        <v>24.61</v>
      </c>
      <c r="T2" s="6">
        <v>0</v>
      </c>
      <c r="U2" s="8">
        <v>0.7</v>
      </c>
      <c r="V2" s="7">
        <v>0</v>
      </c>
      <c r="W2" s="8">
        <v>0</v>
      </c>
      <c r="X2" s="7">
        <v>0</v>
      </c>
      <c r="Y2" s="7">
        <v>0</v>
      </c>
      <c r="AD2" s="9">
        <v>18067840</v>
      </c>
    </row>
    <row r="3" spans="1:31" s="6" customFormat="1" x14ac:dyDescent="0.25">
      <c r="A3" s="5">
        <v>45723</v>
      </c>
      <c r="B3" s="6">
        <v>2027501754</v>
      </c>
      <c r="C3" s="6" t="s">
        <v>188</v>
      </c>
      <c r="F3" s="6" t="s">
        <v>189</v>
      </c>
      <c r="H3" s="6">
        <v>652037</v>
      </c>
      <c r="I3" s="6" t="s">
        <v>190</v>
      </c>
      <c r="J3" s="6" t="s">
        <v>35</v>
      </c>
      <c r="K3" s="6" t="s">
        <v>125</v>
      </c>
      <c r="L3" s="5">
        <v>45718</v>
      </c>
      <c r="N3" s="6" t="s">
        <v>37</v>
      </c>
      <c r="Q3" s="6" t="s">
        <v>38</v>
      </c>
      <c r="R3" s="7">
        <v>38.07</v>
      </c>
      <c r="S3" s="7">
        <v>38.07</v>
      </c>
      <c r="T3" s="6">
        <v>0</v>
      </c>
      <c r="U3" s="8">
        <v>0.9</v>
      </c>
      <c r="V3" s="7">
        <v>0</v>
      </c>
      <c r="W3" s="8">
        <v>0</v>
      </c>
      <c r="X3" s="7">
        <v>0</v>
      </c>
      <c r="Y3" s="7">
        <v>0</v>
      </c>
      <c r="AD3" s="9">
        <v>18123200</v>
      </c>
    </row>
    <row r="4" spans="1:31" s="6" customFormat="1" x14ac:dyDescent="0.25">
      <c r="A4" s="5">
        <v>45723</v>
      </c>
      <c r="B4" s="6">
        <v>2027501755</v>
      </c>
      <c r="C4" s="6" t="s">
        <v>188</v>
      </c>
      <c r="F4" s="6" t="s">
        <v>189</v>
      </c>
      <c r="H4" s="6">
        <v>652037</v>
      </c>
      <c r="I4" s="6" t="s">
        <v>190</v>
      </c>
      <c r="J4" s="6" t="s">
        <v>35</v>
      </c>
      <c r="K4" s="6" t="s">
        <v>48</v>
      </c>
      <c r="L4" s="5">
        <v>45718</v>
      </c>
      <c r="N4" s="6" t="s">
        <v>37</v>
      </c>
      <c r="Q4" s="6" t="s">
        <v>38</v>
      </c>
      <c r="R4" s="7">
        <v>36.299999999999997</v>
      </c>
      <c r="S4" s="7">
        <v>36.299999999999997</v>
      </c>
      <c r="T4" s="6">
        <v>0</v>
      </c>
      <c r="U4" s="8">
        <v>0.42</v>
      </c>
      <c r="V4" s="7">
        <v>0</v>
      </c>
      <c r="W4" s="8">
        <v>0</v>
      </c>
      <c r="X4" s="7">
        <v>0</v>
      </c>
      <c r="Y4" s="7">
        <v>0</v>
      </c>
      <c r="AD4" s="9">
        <v>18150240</v>
      </c>
    </row>
    <row r="5" spans="1:31" s="6" customFormat="1" x14ac:dyDescent="0.25">
      <c r="A5" s="5">
        <v>45723</v>
      </c>
      <c r="B5" s="6">
        <v>2027085368</v>
      </c>
      <c r="C5" s="6" t="s">
        <v>67</v>
      </c>
      <c r="F5" s="6" t="s">
        <v>46</v>
      </c>
      <c r="H5" s="6">
        <v>768887</v>
      </c>
      <c r="I5" s="6" t="s">
        <v>68</v>
      </c>
      <c r="J5" s="6" t="s">
        <v>35</v>
      </c>
      <c r="K5" s="6" t="s">
        <v>69</v>
      </c>
      <c r="L5" s="5">
        <v>45717</v>
      </c>
      <c r="N5" s="6" t="s">
        <v>37</v>
      </c>
      <c r="Q5" s="6" t="s">
        <v>38</v>
      </c>
      <c r="R5" s="7">
        <v>68.599999999999994</v>
      </c>
      <c r="S5" s="7">
        <v>68.599999999999994</v>
      </c>
      <c r="T5" s="6">
        <v>0</v>
      </c>
      <c r="U5" s="8">
        <v>0.51</v>
      </c>
      <c r="V5" s="7">
        <v>0</v>
      </c>
      <c r="W5" s="8">
        <v>0</v>
      </c>
      <c r="X5" s="7">
        <v>0</v>
      </c>
      <c r="Y5" s="7">
        <v>0</v>
      </c>
      <c r="AD5" s="9">
        <v>18153670</v>
      </c>
    </row>
    <row r="6" spans="1:31" s="6" customFormat="1" x14ac:dyDescent="0.25">
      <c r="A6" s="5">
        <v>45723</v>
      </c>
      <c r="B6" s="6">
        <v>2027085369</v>
      </c>
      <c r="C6" s="6" t="s">
        <v>67</v>
      </c>
      <c r="F6" s="6" t="s">
        <v>46</v>
      </c>
      <c r="H6" s="6">
        <v>768887</v>
      </c>
      <c r="I6" s="6" t="s">
        <v>68</v>
      </c>
      <c r="J6" s="6" t="s">
        <v>35</v>
      </c>
      <c r="K6" s="6" t="s">
        <v>70</v>
      </c>
      <c r="L6" s="5">
        <v>45717</v>
      </c>
      <c r="N6" s="6" t="s">
        <v>37</v>
      </c>
      <c r="Q6" s="6" t="s">
        <v>38</v>
      </c>
      <c r="R6" s="7">
        <v>29.95</v>
      </c>
      <c r="S6" s="7">
        <v>29.95</v>
      </c>
      <c r="T6" s="6">
        <v>0</v>
      </c>
      <c r="U6" s="8">
        <v>0.51</v>
      </c>
      <c r="V6" s="7">
        <v>0</v>
      </c>
      <c r="W6" s="8">
        <v>0</v>
      </c>
      <c r="X6" s="7">
        <v>0</v>
      </c>
      <c r="Y6" s="7">
        <v>0</v>
      </c>
      <c r="AD6" s="9">
        <v>18108220</v>
      </c>
    </row>
    <row r="7" spans="1:31" s="6" customFormat="1" x14ac:dyDescent="0.25">
      <c r="A7" s="5">
        <v>45723</v>
      </c>
      <c r="B7" s="6">
        <v>2027085370</v>
      </c>
      <c r="C7" s="6" t="s">
        <v>67</v>
      </c>
      <c r="F7" s="6" t="s">
        <v>46</v>
      </c>
      <c r="H7" s="6">
        <v>768887</v>
      </c>
      <c r="I7" s="6" t="s">
        <v>68</v>
      </c>
      <c r="J7" s="6" t="s">
        <v>35</v>
      </c>
      <c r="K7" s="6" t="s">
        <v>71</v>
      </c>
      <c r="L7" s="5">
        <v>45717</v>
      </c>
      <c r="N7" s="6" t="s">
        <v>37</v>
      </c>
      <c r="Q7" s="6" t="s">
        <v>38</v>
      </c>
      <c r="R7" s="7">
        <v>49.02</v>
      </c>
      <c r="S7" s="7">
        <v>49.02</v>
      </c>
      <c r="T7" s="6">
        <v>0</v>
      </c>
      <c r="U7" s="8">
        <v>0.47</v>
      </c>
      <c r="V7" s="7">
        <v>0</v>
      </c>
      <c r="W7" s="8">
        <v>0</v>
      </c>
      <c r="X7" s="7">
        <v>0</v>
      </c>
      <c r="Y7" s="7">
        <v>0</v>
      </c>
      <c r="AD7" s="9">
        <v>18148670</v>
      </c>
    </row>
    <row r="8" spans="1:31" s="6" customFormat="1" x14ac:dyDescent="0.25">
      <c r="A8" s="5">
        <v>45723</v>
      </c>
      <c r="B8" s="6">
        <v>2027442567</v>
      </c>
      <c r="C8" s="6" t="s">
        <v>173</v>
      </c>
      <c r="F8" s="6" t="s">
        <v>46</v>
      </c>
      <c r="H8" s="6">
        <v>768887</v>
      </c>
      <c r="I8" s="6" t="s">
        <v>68</v>
      </c>
      <c r="J8" s="6" t="s">
        <v>35</v>
      </c>
      <c r="K8" s="6" t="s">
        <v>36</v>
      </c>
      <c r="L8" s="5">
        <v>45717</v>
      </c>
      <c r="N8" s="6" t="s">
        <v>37</v>
      </c>
      <c r="Q8" s="6" t="s">
        <v>38</v>
      </c>
      <c r="R8" s="7">
        <v>72.760000000000005</v>
      </c>
      <c r="S8" s="7">
        <v>72.760000000000005</v>
      </c>
      <c r="T8" s="6">
        <v>0</v>
      </c>
      <c r="U8" s="8">
        <v>0.7</v>
      </c>
      <c r="V8" s="7">
        <v>0</v>
      </c>
      <c r="W8" s="8">
        <v>0</v>
      </c>
      <c r="X8" s="7">
        <v>0</v>
      </c>
      <c r="Y8" s="7">
        <v>0</v>
      </c>
      <c r="AD8" s="9">
        <v>18094240</v>
      </c>
    </row>
    <row r="9" spans="1:31" s="6" customFormat="1" x14ac:dyDescent="0.25">
      <c r="A9" s="5">
        <v>45723</v>
      </c>
      <c r="B9" s="6">
        <v>2027447209</v>
      </c>
      <c r="C9" s="6" t="s">
        <v>176</v>
      </c>
      <c r="F9" s="6" t="s">
        <v>46</v>
      </c>
      <c r="H9" s="6">
        <v>768887</v>
      </c>
      <c r="I9" s="6" t="s">
        <v>68</v>
      </c>
      <c r="J9" s="6" t="s">
        <v>35</v>
      </c>
      <c r="K9" s="6" t="s">
        <v>36</v>
      </c>
      <c r="L9" s="5">
        <v>45717</v>
      </c>
      <c r="N9" s="6" t="s">
        <v>37</v>
      </c>
      <c r="Q9" s="6" t="s">
        <v>38</v>
      </c>
      <c r="R9" s="7">
        <v>58.24</v>
      </c>
      <c r="S9" s="7">
        <v>58.24</v>
      </c>
      <c r="T9" s="6">
        <v>0</v>
      </c>
      <c r="U9" s="8">
        <v>0.7</v>
      </c>
      <c r="V9" s="7">
        <v>0</v>
      </c>
      <c r="W9" s="8">
        <v>0</v>
      </c>
      <c r="X9" s="7">
        <v>0</v>
      </c>
      <c r="Y9" s="7">
        <v>0</v>
      </c>
      <c r="AD9" s="9">
        <v>18094290</v>
      </c>
    </row>
    <row r="10" spans="1:31" s="6" customFormat="1" x14ac:dyDescent="0.25">
      <c r="A10" s="5">
        <v>45723</v>
      </c>
      <c r="B10" s="6">
        <v>2026941820</v>
      </c>
      <c r="C10" s="6" t="s">
        <v>49</v>
      </c>
      <c r="F10" s="6" t="s">
        <v>46</v>
      </c>
      <c r="H10" s="6">
        <v>824062</v>
      </c>
      <c r="I10" s="6" t="s">
        <v>50</v>
      </c>
      <c r="J10" s="6" t="s">
        <v>35</v>
      </c>
      <c r="K10" s="6" t="s">
        <v>36</v>
      </c>
      <c r="L10" s="5">
        <v>45717</v>
      </c>
      <c r="N10" s="6" t="s">
        <v>37</v>
      </c>
      <c r="Q10" s="6" t="s">
        <v>38</v>
      </c>
      <c r="R10" s="7">
        <v>408.76</v>
      </c>
      <c r="S10" s="7">
        <v>408.76</v>
      </c>
      <c r="T10" s="6">
        <v>0</v>
      </c>
      <c r="U10" s="8">
        <v>0.7</v>
      </c>
      <c r="V10" s="7">
        <v>0</v>
      </c>
      <c r="W10" s="8">
        <v>0</v>
      </c>
      <c r="X10" s="7">
        <v>0</v>
      </c>
      <c r="Y10" s="7">
        <v>0</v>
      </c>
      <c r="AD10" s="9">
        <v>18093050</v>
      </c>
    </row>
    <row r="11" spans="1:31" s="6" customFormat="1" x14ac:dyDescent="0.25">
      <c r="A11" s="5">
        <v>45723</v>
      </c>
      <c r="B11" s="6">
        <v>2026941821</v>
      </c>
      <c r="C11" s="6" t="s">
        <v>49</v>
      </c>
      <c r="F11" s="6" t="s">
        <v>46</v>
      </c>
      <c r="H11" s="6">
        <v>824062</v>
      </c>
      <c r="I11" s="6" t="s">
        <v>50</v>
      </c>
      <c r="J11" s="6" t="s">
        <v>35</v>
      </c>
      <c r="K11" s="6" t="s">
        <v>40</v>
      </c>
      <c r="L11" s="5">
        <v>45717</v>
      </c>
      <c r="N11" s="6" t="s">
        <v>37</v>
      </c>
      <c r="Q11" s="6" t="s">
        <v>38</v>
      </c>
      <c r="R11" s="7">
        <v>110</v>
      </c>
      <c r="S11" s="7">
        <v>110</v>
      </c>
      <c r="T11" s="6">
        <v>0</v>
      </c>
      <c r="U11" s="8">
        <v>0.375</v>
      </c>
      <c r="V11" s="7">
        <v>0</v>
      </c>
      <c r="W11" s="8">
        <v>0</v>
      </c>
      <c r="X11" s="7">
        <v>0</v>
      </c>
      <c r="Y11" s="7">
        <v>0</v>
      </c>
      <c r="AD11" s="9">
        <v>18148360</v>
      </c>
    </row>
    <row r="12" spans="1:31" s="6" customFormat="1" x14ac:dyDescent="0.25">
      <c r="A12" s="5">
        <v>45723</v>
      </c>
      <c r="B12" s="6">
        <v>2027344205</v>
      </c>
      <c r="C12" s="6" t="s">
        <v>123</v>
      </c>
      <c r="F12" s="6" t="s">
        <v>46</v>
      </c>
      <c r="H12" s="6">
        <v>824062</v>
      </c>
      <c r="I12" s="6" t="s">
        <v>50</v>
      </c>
      <c r="J12" s="6" t="s">
        <v>35</v>
      </c>
      <c r="K12" s="6" t="s">
        <v>40</v>
      </c>
      <c r="L12" s="5">
        <v>45717</v>
      </c>
      <c r="N12" s="6" t="s">
        <v>37</v>
      </c>
      <c r="Q12" s="6" t="s">
        <v>38</v>
      </c>
      <c r="R12" s="7">
        <v>57.11</v>
      </c>
      <c r="S12" s="7">
        <v>57.11</v>
      </c>
      <c r="T12" s="6">
        <v>0</v>
      </c>
      <c r="U12" s="8">
        <v>0.375</v>
      </c>
      <c r="V12" s="7">
        <v>0</v>
      </c>
      <c r="W12" s="8">
        <v>0</v>
      </c>
      <c r="X12" s="7">
        <v>0</v>
      </c>
      <c r="Y12" s="7">
        <v>0</v>
      </c>
      <c r="AD12" s="9">
        <v>18149220</v>
      </c>
    </row>
    <row r="13" spans="1:31" s="6" customFormat="1" x14ac:dyDescent="0.25">
      <c r="A13" s="5">
        <v>45723</v>
      </c>
      <c r="B13" s="6">
        <v>2027344206</v>
      </c>
      <c r="C13" s="6" t="s">
        <v>123</v>
      </c>
      <c r="F13" s="6" t="s">
        <v>46</v>
      </c>
      <c r="H13" s="6">
        <v>824062</v>
      </c>
      <c r="I13" s="6" t="s">
        <v>50</v>
      </c>
      <c r="J13" s="6" t="s">
        <v>35</v>
      </c>
      <c r="K13" s="6" t="s">
        <v>36</v>
      </c>
      <c r="L13" s="5">
        <v>45717</v>
      </c>
      <c r="N13" s="6" t="s">
        <v>37</v>
      </c>
      <c r="Q13" s="6" t="s">
        <v>38</v>
      </c>
      <c r="R13" s="7">
        <v>56.62</v>
      </c>
      <c r="S13" s="7">
        <v>56.62</v>
      </c>
      <c r="T13" s="6">
        <v>0</v>
      </c>
      <c r="U13" s="8">
        <v>0.7</v>
      </c>
      <c r="V13" s="7">
        <v>0</v>
      </c>
      <c r="W13" s="8">
        <v>0</v>
      </c>
      <c r="X13" s="7">
        <v>0</v>
      </c>
      <c r="Y13" s="7">
        <v>0</v>
      </c>
      <c r="AD13" s="9">
        <v>18093740</v>
      </c>
    </row>
    <row r="14" spans="1:31" s="6" customFormat="1" x14ac:dyDescent="0.25">
      <c r="A14" s="5">
        <v>45723</v>
      </c>
      <c r="B14" s="6">
        <v>2027398623</v>
      </c>
      <c r="C14" s="6" t="s">
        <v>147</v>
      </c>
      <c r="F14" s="6" t="s">
        <v>46</v>
      </c>
      <c r="H14" s="6">
        <v>840313</v>
      </c>
      <c r="I14" s="6" t="s">
        <v>148</v>
      </c>
      <c r="J14" s="6" t="s">
        <v>35</v>
      </c>
      <c r="K14" s="6" t="s">
        <v>36</v>
      </c>
      <c r="L14" s="5">
        <v>45717</v>
      </c>
      <c r="N14" s="6" t="s">
        <v>37</v>
      </c>
      <c r="Q14" s="6" t="s">
        <v>38</v>
      </c>
      <c r="R14" s="7">
        <v>59.4</v>
      </c>
      <c r="S14" s="7">
        <v>59.4</v>
      </c>
      <c r="T14" s="6">
        <v>0</v>
      </c>
      <c r="U14" s="8">
        <v>0.7</v>
      </c>
      <c r="V14" s="7">
        <v>0</v>
      </c>
      <c r="W14" s="8">
        <v>0</v>
      </c>
      <c r="X14" s="7">
        <v>0</v>
      </c>
      <c r="Y14" s="7">
        <v>0</v>
      </c>
      <c r="AD14" s="9">
        <v>18094030</v>
      </c>
    </row>
    <row r="15" spans="1:31" s="6" customFormat="1" x14ac:dyDescent="0.25">
      <c r="A15" s="5">
        <v>45723</v>
      </c>
      <c r="B15" s="6">
        <v>2027436358</v>
      </c>
      <c r="C15" s="6" t="s">
        <v>168</v>
      </c>
      <c r="F15" s="6" t="s">
        <v>122</v>
      </c>
      <c r="H15" s="6">
        <v>840313</v>
      </c>
      <c r="I15" s="6" t="s">
        <v>148</v>
      </c>
      <c r="J15" s="6" t="s">
        <v>35</v>
      </c>
      <c r="K15" s="6" t="s">
        <v>169</v>
      </c>
      <c r="L15" s="5">
        <v>45717</v>
      </c>
      <c r="N15" s="6" t="s">
        <v>37</v>
      </c>
      <c r="Q15" s="6" t="s">
        <v>170</v>
      </c>
      <c r="R15" s="7">
        <v>1626.26</v>
      </c>
      <c r="S15" s="7">
        <v>1626.26</v>
      </c>
      <c r="T15" s="6">
        <v>0</v>
      </c>
      <c r="U15" s="8">
        <v>0.28999999999999998</v>
      </c>
      <c r="V15" s="7">
        <v>0</v>
      </c>
      <c r="W15" s="8">
        <v>0</v>
      </c>
      <c r="X15" s="7">
        <v>0</v>
      </c>
      <c r="Y15" s="7">
        <v>0</v>
      </c>
      <c r="AD15" s="9">
        <v>18166840</v>
      </c>
    </row>
    <row r="16" spans="1:31" s="6" customFormat="1" x14ac:dyDescent="0.25">
      <c r="A16" s="5">
        <v>45723</v>
      </c>
      <c r="B16" s="6">
        <v>2027436359</v>
      </c>
      <c r="C16" s="6" t="s">
        <v>168</v>
      </c>
      <c r="F16" s="6" t="s">
        <v>122</v>
      </c>
      <c r="H16" s="6">
        <v>840313</v>
      </c>
      <c r="I16" s="6" t="s">
        <v>148</v>
      </c>
      <c r="J16" s="6" t="s">
        <v>35</v>
      </c>
      <c r="K16" s="6" t="s">
        <v>171</v>
      </c>
      <c r="L16" s="5">
        <v>45717</v>
      </c>
      <c r="N16" s="6" t="s">
        <v>37</v>
      </c>
      <c r="Q16" s="6" t="s">
        <v>170</v>
      </c>
      <c r="R16" s="7">
        <v>15</v>
      </c>
      <c r="S16" s="7">
        <v>15</v>
      </c>
      <c r="T16" s="6">
        <v>0</v>
      </c>
      <c r="U16" s="8">
        <v>0.28999999999999998</v>
      </c>
      <c r="V16" s="7">
        <v>0</v>
      </c>
      <c r="W16" s="8">
        <v>0</v>
      </c>
      <c r="X16" s="7">
        <v>0</v>
      </c>
      <c r="Y16" s="7">
        <v>0</v>
      </c>
      <c r="AD16" s="9">
        <v>18108530</v>
      </c>
    </row>
    <row r="17" spans="1:30" s="6" customFormat="1" x14ac:dyDescent="0.25">
      <c r="A17" s="5">
        <v>45723</v>
      </c>
      <c r="B17" s="6">
        <v>2027419633</v>
      </c>
      <c r="C17" s="6" t="s">
        <v>156</v>
      </c>
      <c r="F17" s="6" t="s">
        <v>57</v>
      </c>
      <c r="H17" s="6">
        <v>806645</v>
      </c>
      <c r="I17" s="6" t="s">
        <v>157</v>
      </c>
      <c r="J17" s="6" t="s">
        <v>35</v>
      </c>
      <c r="K17" s="6" t="s">
        <v>36</v>
      </c>
      <c r="L17" s="5">
        <v>45716</v>
      </c>
      <c r="N17" s="6" t="s">
        <v>37</v>
      </c>
      <c r="Q17" s="6" t="s">
        <v>38</v>
      </c>
      <c r="R17" s="7">
        <v>163.43</v>
      </c>
      <c r="S17" s="7">
        <v>163.43</v>
      </c>
      <c r="T17" s="6">
        <v>0</v>
      </c>
      <c r="U17" s="8">
        <v>0.7</v>
      </c>
      <c r="V17" s="7">
        <v>0</v>
      </c>
      <c r="W17" s="8">
        <v>0</v>
      </c>
      <c r="X17" s="7">
        <v>0</v>
      </c>
      <c r="Y17" s="7">
        <v>0</v>
      </c>
      <c r="AD17" s="9">
        <v>18094110</v>
      </c>
    </row>
    <row r="18" spans="1:30" s="6" customFormat="1" x14ac:dyDescent="0.25">
      <c r="A18" s="5">
        <v>45723</v>
      </c>
      <c r="B18" s="6">
        <v>2027446831</v>
      </c>
      <c r="C18" s="6" t="s">
        <v>175</v>
      </c>
      <c r="F18" s="6" t="s">
        <v>46</v>
      </c>
      <c r="H18" s="6">
        <v>806645</v>
      </c>
      <c r="I18" s="6" t="s">
        <v>157</v>
      </c>
      <c r="J18" s="6" t="s">
        <v>35</v>
      </c>
      <c r="K18" s="6" t="s">
        <v>36</v>
      </c>
      <c r="L18" s="5">
        <v>45717</v>
      </c>
      <c r="N18" s="6" t="s">
        <v>37</v>
      </c>
      <c r="Q18" s="6" t="s">
        <v>38</v>
      </c>
      <c r="R18" s="7">
        <v>88.96</v>
      </c>
      <c r="S18" s="7">
        <v>88.96</v>
      </c>
      <c r="T18" s="6">
        <v>0</v>
      </c>
      <c r="U18" s="8">
        <v>0.7</v>
      </c>
      <c r="V18" s="7">
        <v>0</v>
      </c>
      <c r="W18" s="8">
        <v>0</v>
      </c>
      <c r="X18" s="7">
        <v>0</v>
      </c>
      <c r="Y18" s="7">
        <v>0</v>
      </c>
      <c r="AD18" s="9">
        <v>18094290</v>
      </c>
    </row>
    <row r="19" spans="1:30" s="6" customFormat="1" x14ac:dyDescent="0.25">
      <c r="A19" s="5">
        <v>45723</v>
      </c>
      <c r="B19" s="6">
        <v>2026926730</v>
      </c>
      <c r="C19" s="6" t="s">
        <v>45</v>
      </c>
      <c r="F19" s="6" t="s">
        <v>46</v>
      </c>
      <c r="H19" s="6">
        <v>821015</v>
      </c>
      <c r="I19" s="6" t="s">
        <v>47</v>
      </c>
      <c r="J19" s="6" t="s">
        <v>35</v>
      </c>
      <c r="K19" s="6" t="s">
        <v>36</v>
      </c>
      <c r="L19" s="5">
        <v>45722</v>
      </c>
      <c r="N19" s="6" t="s">
        <v>37</v>
      </c>
      <c r="Q19" s="6" t="s">
        <v>38</v>
      </c>
      <c r="R19" s="7">
        <v>80.16</v>
      </c>
      <c r="S19" s="7">
        <v>80.16</v>
      </c>
      <c r="T19" s="6">
        <v>0</v>
      </c>
      <c r="U19" s="8">
        <v>0.7</v>
      </c>
      <c r="V19" s="7">
        <v>0</v>
      </c>
      <c r="W19" s="8">
        <v>0</v>
      </c>
      <c r="X19" s="7">
        <v>0</v>
      </c>
      <c r="Y19" s="7">
        <v>0</v>
      </c>
      <c r="AD19" s="9">
        <v>18093000</v>
      </c>
    </row>
    <row r="20" spans="1:30" s="6" customFormat="1" x14ac:dyDescent="0.25">
      <c r="A20" s="5">
        <v>45723</v>
      </c>
      <c r="B20" s="6">
        <v>2026926731</v>
      </c>
      <c r="C20" s="6" t="s">
        <v>45</v>
      </c>
      <c r="F20" s="6" t="s">
        <v>46</v>
      </c>
      <c r="H20" s="6">
        <v>821015</v>
      </c>
      <c r="I20" s="6" t="s">
        <v>47</v>
      </c>
      <c r="J20" s="6" t="s">
        <v>35</v>
      </c>
      <c r="K20" s="6" t="s">
        <v>48</v>
      </c>
      <c r="L20" s="5">
        <v>45722</v>
      </c>
      <c r="N20" s="6" t="s">
        <v>37</v>
      </c>
      <c r="Q20" s="6" t="s">
        <v>38</v>
      </c>
      <c r="R20" s="7">
        <v>51.85</v>
      </c>
      <c r="S20" s="7">
        <v>51.85</v>
      </c>
      <c r="T20" s="6">
        <v>0</v>
      </c>
      <c r="U20" s="8">
        <v>0.42</v>
      </c>
      <c r="V20" s="7">
        <v>0</v>
      </c>
      <c r="W20" s="8">
        <v>0</v>
      </c>
      <c r="X20" s="7">
        <v>0</v>
      </c>
      <c r="Y20" s="7">
        <v>0</v>
      </c>
      <c r="AD20" s="9">
        <v>18148290</v>
      </c>
    </row>
    <row r="21" spans="1:30" s="6" customFormat="1" x14ac:dyDescent="0.25">
      <c r="A21" s="5">
        <v>45723</v>
      </c>
      <c r="B21" s="6">
        <v>2027506867</v>
      </c>
      <c r="C21" s="6" t="s">
        <v>193</v>
      </c>
      <c r="F21" s="6" t="s">
        <v>57</v>
      </c>
      <c r="H21" s="6">
        <v>821015</v>
      </c>
      <c r="I21" s="6" t="s">
        <v>47</v>
      </c>
      <c r="J21" s="6" t="s">
        <v>35</v>
      </c>
      <c r="K21" s="6" t="s">
        <v>36</v>
      </c>
      <c r="L21" s="5">
        <v>45721</v>
      </c>
      <c r="N21" s="6" t="s">
        <v>37</v>
      </c>
      <c r="Q21" s="6" t="s">
        <v>38</v>
      </c>
      <c r="R21" s="7">
        <v>73.22</v>
      </c>
      <c r="S21" s="7">
        <v>73.22</v>
      </c>
      <c r="T21" s="6">
        <v>0</v>
      </c>
      <c r="U21" s="8">
        <v>0.7</v>
      </c>
      <c r="V21" s="7">
        <v>0</v>
      </c>
      <c r="W21" s="8">
        <v>0</v>
      </c>
      <c r="X21" s="7">
        <v>0</v>
      </c>
      <c r="Y21" s="7">
        <v>0</v>
      </c>
      <c r="AD21" s="9">
        <v>18094580</v>
      </c>
    </row>
    <row r="22" spans="1:30" s="6" customFormat="1" x14ac:dyDescent="0.25">
      <c r="A22" s="5">
        <v>45723</v>
      </c>
      <c r="B22" s="6">
        <v>2026981914</v>
      </c>
      <c r="C22" s="6" t="s">
        <v>61</v>
      </c>
      <c r="F22" s="6" t="s">
        <v>46</v>
      </c>
      <c r="H22" s="6">
        <v>768271</v>
      </c>
      <c r="I22" s="6" t="s">
        <v>62</v>
      </c>
      <c r="J22" s="6" t="s">
        <v>35</v>
      </c>
      <c r="K22" s="6" t="s">
        <v>36</v>
      </c>
      <c r="L22" s="5">
        <v>45717</v>
      </c>
      <c r="N22" s="6" t="s">
        <v>37</v>
      </c>
      <c r="Q22" s="6" t="s">
        <v>38</v>
      </c>
      <c r="R22" s="7">
        <v>56.51</v>
      </c>
      <c r="S22" s="7">
        <v>56.51</v>
      </c>
      <c r="T22" s="6">
        <v>0</v>
      </c>
      <c r="U22" s="8">
        <v>0.7</v>
      </c>
      <c r="V22" s="7">
        <v>0</v>
      </c>
      <c r="W22" s="8">
        <v>0</v>
      </c>
      <c r="X22" s="7">
        <v>0</v>
      </c>
      <c r="Y22" s="7">
        <v>0</v>
      </c>
      <c r="AD22" s="9">
        <v>18093160</v>
      </c>
    </row>
    <row r="23" spans="1:30" s="6" customFormat="1" x14ac:dyDescent="0.25">
      <c r="A23" s="5">
        <v>45723</v>
      </c>
      <c r="B23" s="6">
        <v>2027086360</v>
      </c>
      <c r="C23" s="6" t="s">
        <v>72</v>
      </c>
      <c r="F23" s="6" t="s">
        <v>46</v>
      </c>
      <c r="H23" s="6">
        <v>768271</v>
      </c>
      <c r="I23" s="6" t="s">
        <v>62</v>
      </c>
      <c r="J23" s="6" t="s">
        <v>35</v>
      </c>
      <c r="K23" s="6" t="s">
        <v>36</v>
      </c>
      <c r="L23" s="5">
        <v>45717</v>
      </c>
      <c r="N23" s="6" t="s">
        <v>37</v>
      </c>
      <c r="Q23" s="6" t="s">
        <v>38</v>
      </c>
      <c r="R23" s="7">
        <v>124.72</v>
      </c>
      <c r="S23" s="7">
        <v>124.72</v>
      </c>
      <c r="T23" s="6">
        <v>0</v>
      </c>
      <c r="U23" s="8">
        <v>0.7</v>
      </c>
      <c r="V23" s="7">
        <v>0</v>
      </c>
      <c r="W23" s="8">
        <v>0</v>
      </c>
      <c r="X23" s="7">
        <v>0</v>
      </c>
      <c r="Y23" s="7">
        <v>0</v>
      </c>
      <c r="AD23" s="9">
        <v>18093240</v>
      </c>
    </row>
    <row r="24" spans="1:30" x14ac:dyDescent="0.25">
      <c r="A24" s="1">
        <v>45723</v>
      </c>
      <c r="B24">
        <v>2027319202</v>
      </c>
      <c r="C24" t="s">
        <v>106</v>
      </c>
      <c r="F24" t="s">
        <v>52</v>
      </c>
      <c r="H24">
        <v>650218</v>
      </c>
      <c r="I24" t="s">
        <v>107</v>
      </c>
      <c r="J24" t="s">
        <v>35</v>
      </c>
      <c r="K24" t="s">
        <v>79</v>
      </c>
      <c r="L24" s="1">
        <v>45717</v>
      </c>
      <c r="N24" t="s">
        <v>37</v>
      </c>
      <c r="Q24" t="s">
        <v>38</v>
      </c>
      <c r="R24" s="2">
        <v>38.81</v>
      </c>
      <c r="S24" s="2">
        <v>38.81</v>
      </c>
      <c r="T24">
        <v>0</v>
      </c>
      <c r="U24" s="3">
        <v>0.38</v>
      </c>
      <c r="V24" s="2">
        <v>0</v>
      </c>
      <c r="W24" s="3">
        <v>0</v>
      </c>
      <c r="X24" s="2">
        <v>0</v>
      </c>
      <c r="Y24" s="2">
        <v>0</v>
      </c>
      <c r="AD24" s="4">
        <v>18153700</v>
      </c>
    </row>
    <row r="25" spans="1:30" x14ac:dyDescent="0.25">
      <c r="A25" s="1">
        <v>45723</v>
      </c>
      <c r="B25">
        <v>2027319203</v>
      </c>
      <c r="C25" t="s">
        <v>106</v>
      </c>
      <c r="F25" t="s">
        <v>52</v>
      </c>
      <c r="H25">
        <v>650218</v>
      </c>
      <c r="I25" t="s">
        <v>107</v>
      </c>
      <c r="J25" t="s">
        <v>35</v>
      </c>
      <c r="K25" t="s">
        <v>78</v>
      </c>
      <c r="L25" s="1">
        <v>45717</v>
      </c>
      <c r="N25" t="s">
        <v>37</v>
      </c>
      <c r="Q25" t="s">
        <v>38</v>
      </c>
      <c r="R25" s="2">
        <v>89.14</v>
      </c>
      <c r="S25" s="2">
        <v>89.14</v>
      </c>
      <c r="T25">
        <v>0</v>
      </c>
      <c r="U25" s="3">
        <v>0.65</v>
      </c>
      <c r="V25" s="2">
        <v>0</v>
      </c>
      <c r="W25" s="3">
        <v>0</v>
      </c>
      <c r="X25" s="2">
        <v>0</v>
      </c>
      <c r="Y25" s="2">
        <v>0</v>
      </c>
      <c r="AD25" s="4">
        <v>18122800</v>
      </c>
    </row>
    <row r="26" spans="1:30" x14ac:dyDescent="0.25">
      <c r="A26" s="1">
        <v>45723</v>
      </c>
      <c r="B26">
        <v>2027319204</v>
      </c>
      <c r="C26" t="s">
        <v>106</v>
      </c>
      <c r="F26" t="s">
        <v>52</v>
      </c>
      <c r="H26">
        <v>650218</v>
      </c>
      <c r="I26" t="s">
        <v>107</v>
      </c>
      <c r="J26" t="s">
        <v>35</v>
      </c>
      <c r="K26" t="s">
        <v>36</v>
      </c>
      <c r="L26" s="1">
        <v>45717</v>
      </c>
      <c r="N26" t="s">
        <v>37</v>
      </c>
      <c r="Q26" t="s">
        <v>38</v>
      </c>
      <c r="R26" s="2">
        <v>70.7</v>
      </c>
      <c r="S26" s="2">
        <v>70.7</v>
      </c>
      <c r="T26">
        <v>0</v>
      </c>
      <c r="U26" s="3">
        <v>0.7</v>
      </c>
      <c r="V26" s="2">
        <v>0</v>
      </c>
      <c r="W26" s="3">
        <v>0</v>
      </c>
      <c r="X26" s="2">
        <v>0</v>
      </c>
      <c r="Y26" s="2">
        <v>0</v>
      </c>
      <c r="AD26" s="4">
        <v>18093580</v>
      </c>
    </row>
    <row r="27" spans="1:30" x14ac:dyDescent="0.25">
      <c r="A27" s="1">
        <v>45723</v>
      </c>
      <c r="B27">
        <v>2027319205</v>
      </c>
      <c r="C27" t="s">
        <v>106</v>
      </c>
      <c r="F27" t="s">
        <v>52</v>
      </c>
      <c r="H27">
        <v>650218</v>
      </c>
      <c r="I27" t="s">
        <v>107</v>
      </c>
      <c r="J27" t="s">
        <v>35</v>
      </c>
      <c r="K27" t="s">
        <v>108</v>
      </c>
      <c r="L27" s="1">
        <v>45717</v>
      </c>
      <c r="N27" t="s">
        <v>37</v>
      </c>
      <c r="Q27" t="s">
        <v>38</v>
      </c>
      <c r="R27" s="2">
        <v>15</v>
      </c>
      <c r="S27" s="2">
        <v>15</v>
      </c>
      <c r="T27">
        <v>0</v>
      </c>
      <c r="U27" s="3">
        <v>0.38</v>
      </c>
      <c r="V27" s="2">
        <v>0</v>
      </c>
      <c r="W27" s="3">
        <v>0</v>
      </c>
      <c r="X27" s="2">
        <v>0</v>
      </c>
      <c r="Y27" s="2">
        <v>0</v>
      </c>
      <c r="AD27" s="4">
        <v>18108330</v>
      </c>
    </row>
    <row r="28" spans="1:30" x14ac:dyDescent="0.25">
      <c r="A28" s="1">
        <v>45723</v>
      </c>
      <c r="B28">
        <v>2027382672</v>
      </c>
      <c r="C28" t="s">
        <v>138</v>
      </c>
      <c r="F28" t="s">
        <v>97</v>
      </c>
      <c r="H28">
        <v>650218</v>
      </c>
      <c r="I28" t="s">
        <v>107</v>
      </c>
      <c r="J28" t="s">
        <v>35</v>
      </c>
      <c r="K28" t="s">
        <v>79</v>
      </c>
      <c r="L28" s="1">
        <v>45717</v>
      </c>
      <c r="N28" t="s">
        <v>37</v>
      </c>
      <c r="Q28" t="s">
        <v>38</v>
      </c>
      <c r="R28" s="2">
        <v>60.11</v>
      </c>
      <c r="S28" s="2">
        <v>60.11</v>
      </c>
      <c r="T28">
        <v>0</v>
      </c>
      <c r="U28" s="3">
        <v>0.38</v>
      </c>
      <c r="V28" s="2">
        <v>0</v>
      </c>
      <c r="W28" s="3">
        <v>0</v>
      </c>
      <c r="X28" s="2">
        <v>0</v>
      </c>
      <c r="Y28" s="2">
        <v>0</v>
      </c>
      <c r="AD28" s="4">
        <v>18153730</v>
      </c>
    </row>
    <row r="29" spans="1:30" x14ac:dyDescent="0.25">
      <c r="A29" s="1">
        <v>45723</v>
      </c>
      <c r="B29">
        <v>2027382673</v>
      </c>
      <c r="C29" t="s">
        <v>138</v>
      </c>
      <c r="F29" t="s">
        <v>97</v>
      </c>
      <c r="H29">
        <v>650218</v>
      </c>
      <c r="I29" t="s">
        <v>107</v>
      </c>
      <c r="J29" t="s">
        <v>35</v>
      </c>
      <c r="K29" t="s">
        <v>55</v>
      </c>
      <c r="L29" s="1">
        <v>45717</v>
      </c>
      <c r="N29" t="s">
        <v>37</v>
      </c>
      <c r="Q29" t="s">
        <v>38</v>
      </c>
      <c r="R29" s="2">
        <v>62.54</v>
      </c>
      <c r="S29" s="2">
        <v>62.54</v>
      </c>
      <c r="T29">
        <v>0</v>
      </c>
      <c r="U29" s="3">
        <v>0.6</v>
      </c>
      <c r="V29" s="2">
        <v>0</v>
      </c>
      <c r="W29" s="3">
        <v>0</v>
      </c>
      <c r="X29" s="2">
        <v>0</v>
      </c>
      <c r="Y29" s="2">
        <v>0</v>
      </c>
      <c r="AD29" s="4">
        <v>18122920</v>
      </c>
    </row>
    <row r="30" spans="1:30" x14ac:dyDescent="0.25">
      <c r="A30" s="1">
        <v>45723</v>
      </c>
      <c r="B30">
        <v>2027519122</v>
      </c>
      <c r="C30" t="s">
        <v>194</v>
      </c>
      <c r="F30" t="s">
        <v>81</v>
      </c>
      <c r="H30">
        <v>650218</v>
      </c>
      <c r="I30" t="s">
        <v>107</v>
      </c>
      <c r="J30" t="s">
        <v>35</v>
      </c>
      <c r="K30" t="s">
        <v>79</v>
      </c>
      <c r="L30" s="1">
        <v>45719</v>
      </c>
      <c r="N30" t="s">
        <v>37</v>
      </c>
      <c r="Q30" t="s">
        <v>38</v>
      </c>
      <c r="R30" s="2">
        <v>21.97</v>
      </c>
      <c r="S30" s="2">
        <v>21.97</v>
      </c>
      <c r="T30">
        <v>0</v>
      </c>
      <c r="U30" s="3">
        <v>0.38</v>
      </c>
      <c r="V30" s="2">
        <v>0</v>
      </c>
      <c r="W30" s="3">
        <v>0</v>
      </c>
      <c r="X30" s="2">
        <v>0</v>
      </c>
      <c r="Y30" s="2">
        <v>0</v>
      </c>
      <c r="AD30" s="4">
        <v>18153780</v>
      </c>
    </row>
    <row r="31" spans="1:30" x14ac:dyDescent="0.25">
      <c r="A31" s="1">
        <v>45723</v>
      </c>
      <c r="B31">
        <v>2027519123</v>
      </c>
      <c r="C31" t="s">
        <v>194</v>
      </c>
      <c r="F31" t="s">
        <v>81</v>
      </c>
      <c r="H31">
        <v>650218</v>
      </c>
      <c r="I31" t="s">
        <v>107</v>
      </c>
      <c r="J31" t="s">
        <v>35</v>
      </c>
      <c r="K31" t="s">
        <v>108</v>
      </c>
      <c r="L31" s="1">
        <v>45719</v>
      </c>
      <c r="N31" t="s">
        <v>37</v>
      </c>
      <c r="Q31" t="s">
        <v>38</v>
      </c>
      <c r="R31" s="2">
        <v>15</v>
      </c>
      <c r="S31" s="2">
        <v>15</v>
      </c>
      <c r="T31">
        <v>0</v>
      </c>
      <c r="U31" s="3">
        <v>0.38</v>
      </c>
      <c r="V31" s="2">
        <v>0</v>
      </c>
      <c r="W31" s="3">
        <v>0</v>
      </c>
      <c r="X31" s="2">
        <v>0</v>
      </c>
      <c r="Y31" s="2">
        <v>0</v>
      </c>
      <c r="AD31" s="4">
        <v>18108660</v>
      </c>
    </row>
    <row r="32" spans="1:30" s="17" customFormat="1" x14ac:dyDescent="0.25">
      <c r="A32" s="16">
        <v>45723</v>
      </c>
      <c r="B32" s="17">
        <v>2027301089</v>
      </c>
      <c r="C32" s="17" t="s">
        <v>99</v>
      </c>
      <c r="F32" s="17" t="s">
        <v>46</v>
      </c>
      <c r="H32" s="17">
        <v>813184</v>
      </c>
      <c r="I32" s="17" t="s">
        <v>100</v>
      </c>
      <c r="J32" s="17" t="s">
        <v>35</v>
      </c>
      <c r="K32" s="17" t="s">
        <v>36</v>
      </c>
      <c r="L32" s="16">
        <v>45713</v>
      </c>
      <c r="N32" s="17" t="s">
        <v>37</v>
      </c>
      <c r="Q32" s="17" t="s">
        <v>38</v>
      </c>
      <c r="R32" s="18">
        <v>11.5</v>
      </c>
      <c r="S32" s="18">
        <v>11.5</v>
      </c>
      <c r="T32" s="17">
        <v>0</v>
      </c>
      <c r="U32" s="19">
        <v>0.7</v>
      </c>
      <c r="V32" s="18">
        <v>0</v>
      </c>
      <c r="W32" s="19">
        <v>0</v>
      </c>
      <c r="X32" s="18">
        <v>0</v>
      </c>
      <c r="Y32" s="18">
        <v>0</v>
      </c>
      <c r="AD32" s="20">
        <v>18093500</v>
      </c>
    </row>
    <row r="33" spans="1:30" s="17" customFormat="1" x14ac:dyDescent="0.25">
      <c r="A33" s="16">
        <v>45723</v>
      </c>
      <c r="B33" s="17">
        <v>2027438447</v>
      </c>
      <c r="C33" s="17" t="s">
        <v>172</v>
      </c>
      <c r="F33" s="17" t="s">
        <v>46</v>
      </c>
      <c r="H33" s="17">
        <v>813184</v>
      </c>
      <c r="I33" s="17" t="s">
        <v>100</v>
      </c>
      <c r="J33" s="17" t="s">
        <v>35</v>
      </c>
      <c r="K33" s="17" t="s">
        <v>36</v>
      </c>
      <c r="L33" s="16">
        <v>45717</v>
      </c>
      <c r="N33" s="17" t="s">
        <v>37</v>
      </c>
      <c r="Q33" s="17" t="s">
        <v>38</v>
      </c>
      <c r="R33" s="18">
        <v>101.38</v>
      </c>
      <c r="S33" s="18">
        <v>101.38</v>
      </c>
      <c r="T33" s="17">
        <v>0</v>
      </c>
      <c r="U33" s="19">
        <v>0.7</v>
      </c>
      <c r="V33" s="18">
        <v>0</v>
      </c>
      <c r="W33" s="19">
        <v>0</v>
      </c>
      <c r="X33" s="18">
        <v>0</v>
      </c>
      <c r="Y33" s="18">
        <v>0</v>
      </c>
      <c r="AD33" s="20">
        <v>18094210</v>
      </c>
    </row>
    <row r="34" spans="1:30" x14ac:dyDescent="0.25">
      <c r="A34" s="1">
        <v>45723</v>
      </c>
      <c r="B34">
        <v>2027380470</v>
      </c>
      <c r="C34" t="s">
        <v>136</v>
      </c>
      <c r="F34" t="s">
        <v>46</v>
      </c>
      <c r="H34">
        <v>822733</v>
      </c>
      <c r="I34" t="s">
        <v>137</v>
      </c>
      <c r="J34" t="s">
        <v>35</v>
      </c>
      <c r="K34" t="s">
        <v>40</v>
      </c>
      <c r="L34" s="1">
        <v>45723</v>
      </c>
      <c r="N34" t="s">
        <v>37</v>
      </c>
      <c r="Q34" t="s">
        <v>38</v>
      </c>
      <c r="R34" s="2">
        <v>60.3</v>
      </c>
      <c r="S34" s="2">
        <v>60.3</v>
      </c>
      <c r="T34">
        <v>0</v>
      </c>
      <c r="U34" s="3">
        <v>0.375</v>
      </c>
      <c r="V34" s="2">
        <v>0</v>
      </c>
      <c r="W34" s="3">
        <v>0</v>
      </c>
      <c r="X34" s="2">
        <v>0</v>
      </c>
      <c r="Y34" s="2">
        <v>0</v>
      </c>
      <c r="AD34" s="4">
        <v>18149440</v>
      </c>
    </row>
    <row r="35" spans="1:30" x14ac:dyDescent="0.25">
      <c r="A35" s="1">
        <v>45723</v>
      </c>
      <c r="B35">
        <v>2027380471</v>
      </c>
      <c r="C35" t="s">
        <v>136</v>
      </c>
      <c r="F35" t="s">
        <v>46</v>
      </c>
      <c r="H35">
        <v>822733</v>
      </c>
      <c r="I35" t="s">
        <v>137</v>
      </c>
      <c r="J35" t="s">
        <v>35</v>
      </c>
      <c r="K35" t="s">
        <v>36</v>
      </c>
      <c r="L35" s="1">
        <v>45723</v>
      </c>
      <c r="N35" t="s">
        <v>37</v>
      </c>
      <c r="Q35" t="s">
        <v>38</v>
      </c>
      <c r="R35" s="2">
        <v>11.5</v>
      </c>
      <c r="S35" s="2">
        <v>11.5</v>
      </c>
      <c r="T35">
        <v>0</v>
      </c>
      <c r="U35" s="3">
        <v>0.7</v>
      </c>
      <c r="V35" s="2">
        <v>0</v>
      </c>
      <c r="W35" s="3">
        <v>0</v>
      </c>
      <c r="X35" s="2">
        <v>0</v>
      </c>
      <c r="Y35" s="2">
        <v>0</v>
      </c>
      <c r="AD35" s="4">
        <v>18093910</v>
      </c>
    </row>
    <row r="36" spans="1:30" x14ac:dyDescent="0.25">
      <c r="A36" s="1">
        <v>45723</v>
      </c>
      <c r="B36">
        <v>2027307152</v>
      </c>
      <c r="C36" t="s">
        <v>101</v>
      </c>
      <c r="F36" t="s">
        <v>46</v>
      </c>
      <c r="H36">
        <v>669316</v>
      </c>
      <c r="I36" t="s">
        <v>102</v>
      </c>
      <c r="J36" t="s">
        <v>35</v>
      </c>
      <c r="K36" t="s">
        <v>40</v>
      </c>
      <c r="L36" s="1">
        <v>45717</v>
      </c>
      <c r="N36" t="s">
        <v>37</v>
      </c>
      <c r="Q36" t="s">
        <v>38</v>
      </c>
      <c r="R36" s="2">
        <v>61.01</v>
      </c>
      <c r="S36" s="2">
        <v>61.01</v>
      </c>
      <c r="T36">
        <v>0</v>
      </c>
      <c r="U36" s="3">
        <v>0.375</v>
      </c>
      <c r="V36" s="2">
        <v>0</v>
      </c>
      <c r="W36" s="3">
        <v>0</v>
      </c>
      <c r="X36" s="2">
        <v>0</v>
      </c>
      <c r="Y36" s="2">
        <v>0</v>
      </c>
      <c r="AD36" s="4">
        <v>18149020</v>
      </c>
    </row>
    <row r="37" spans="1:30" x14ac:dyDescent="0.25">
      <c r="A37" s="1">
        <v>45723</v>
      </c>
      <c r="B37">
        <v>2027328686</v>
      </c>
      <c r="C37" t="s">
        <v>116</v>
      </c>
      <c r="F37" t="s">
        <v>46</v>
      </c>
      <c r="H37">
        <v>669316</v>
      </c>
      <c r="I37" t="s">
        <v>102</v>
      </c>
      <c r="J37" t="s">
        <v>35</v>
      </c>
      <c r="K37" t="s">
        <v>40</v>
      </c>
      <c r="L37" s="1">
        <v>45717</v>
      </c>
      <c r="N37" t="s">
        <v>37</v>
      </c>
      <c r="Q37" t="s">
        <v>38</v>
      </c>
      <c r="R37" s="2">
        <v>61.01</v>
      </c>
      <c r="S37" s="2">
        <v>61.01</v>
      </c>
      <c r="T37">
        <v>0</v>
      </c>
      <c r="U37" s="3">
        <v>0.375</v>
      </c>
      <c r="V37" s="2">
        <v>0</v>
      </c>
      <c r="W37" s="3">
        <v>0</v>
      </c>
      <c r="X37" s="2">
        <v>0</v>
      </c>
      <c r="Y37" s="2">
        <v>0</v>
      </c>
      <c r="AD37" s="4">
        <v>18149130</v>
      </c>
    </row>
    <row r="38" spans="1:30" x14ac:dyDescent="0.25">
      <c r="A38" s="1">
        <v>45723</v>
      </c>
      <c r="B38">
        <v>2027384819</v>
      </c>
      <c r="C38" t="s">
        <v>141</v>
      </c>
      <c r="F38" t="s">
        <v>46</v>
      </c>
      <c r="H38">
        <v>669316</v>
      </c>
      <c r="I38" t="s">
        <v>102</v>
      </c>
      <c r="J38" t="s">
        <v>35</v>
      </c>
      <c r="K38" t="s">
        <v>36</v>
      </c>
      <c r="L38" s="1">
        <v>45717</v>
      </c>
      <c r="N38" t="s">
        <v>37</v>
      </c>
      <c r="Q38" t="s">
        <v>38</v>
      </c>
      <c r="R38" s="2">
        <v>59.4</v>
      </c>
      <c r="S38" s="2">
        <v>59.4</v>
      </c>
      <c r="T38">
        <v>0</v>
      </c>
      <c r="U38" s="3">
        <v>0.7</v>
      </c>
      <c r="V38" s="2">
        <v>0</v>
      </c>
      <c r="W38" s="3">
        <v>0</v>
      </c>
      <c r="X38" s="2">
        <v>0</v>
      </c>
      <c r="Y38" s="2">
        <v>0</v>
      </c>
      <c r="AD38" s="4">
        <v>18093930</v>
      </c>
    </row>
    <row r="39" spans="1:30" x14ac:dyDescent="0.25">
      <c r="A39" s="1">
        <v>45723</v>
      </c>
      <c r="B39">
        <v>2027384820</v>
      </c>
      <c r="C39" t="s">
        <v>141</v>
      </c>
      <c r="F39" t="s">
        <v>46</v>
      </c>
      <c r="H39">
        <v>669316</v>
      </c>
      <c r="I39" t="s">
        <v>102</v>
      </c>
      <c r="J39" t="s">
        <v>35</v>
      </c>
      <c r="K39" t="s">
        <v>40</v>
      </c>
      <c r="L39" s="1">
        <v>45717</v>
      </c>
      <c r="N39" t="s">
        <v>37</v>
      </c>
      <c r="Q39" t="s">
        <v>38</v>
      </c>
      <c r="R39" s="2">
        <v>51.86</v>
      </c>
      <c r="S39" s="2">
        <v>51.86</v>
      </c>
      <c r="T39">
        <v>0</v>
      </c>
      <c r="U39" s="3">
        <v>0.375</v>
      </c>
      <c r="V39" s="2">
        <v>0</v>
      </c>
      <c r="W39" s="3">
        <v>0</v>
      </c>
      <c r="X39" s="2">
        <v>0</v>
      </c>
      <c r="Y39" s="2">
        <v>0</v>
      </c>
      <c r="AD39" s="4">
        <v>18149480</v>
      </c>
    </row>
    <row r="40" spans="1:30" x14ac:dyDescent="0.25">
      <c r="A40" s="1">
        <v>45723</v>
      </c>
      <c r="B40">
        <v>2027395064</v>
      </c>
      <c r="C40" t="s">
        <v>146</v>
      </c>
      <c r="F40" t="s">
        <v>46</v>
      </c>
      <c r="H40">
        <v>669316</v>
      </c>
      <c r="I40" t="s">
        <v>102</v>
      </c>
      <c r="J40" t="s">
        <v>35</v>
      </c>
      <c r="K40" t="s">
        <v>40</v>
      </c>
      <c r="L40" s="1">
        <v>45717</v>
      </c>
      <c r="N40" t="s">
        <v>37</v>
      </c>
      <c r="Q40" t="s">
        <v>38</v>
      </c>
      <c r="R40" s="2">
        <v>51.86</v>
      </c>
      <c r="S40" s="2">
        <v>51.86</v>
      </c>
      <c r="T40">
        <v>0</v>
      </c>
      <c r="U40" s="3">
        <v>0.375</v>
      </c>
      <c r="V40" s="2">
        <v>0</v>
      </c>
      <c r="W40" s="3">
        <v>0</v>
      </c>
      <c r="X40" s="2">
        <v>0</v>
      </c>
      <c r="Y40" s="2">
        <v>0</v>
      </c>
      <c r="AD40" s="4">
        <v>18149570</v>
      </c>
    </row>
    <row r="41" spans="1:30" x14ac:dyDescent="0.25">
      <c r="A41" s="1">
        <v>45723</v>
      </c>
      <c r="B41">
        <v>2027395065</v>
      </c>
      <c r="C41" t="s">
        <v>146</v>
      </c>
      <c r="F41" t="s">
        <v>46</v>
      </c>
      <c r="H41">
        <v>669316</v>
      </c>
      <c r="I41" t="s">
        <v>102</v>
      </c>
      <c r="J41" t="s">
        <v>35</v>
      </c>
      <c r="K41" t="s">
        <v>36</v>
      </c>
      <c r="L41" s="1">
        <v>45717</v>
      </c>
      <c r="N41" t="s">
        <v>37</v>
      </c>
      <c r="Q41" t="s">
        <v>38</v>
      </c>
      <c r="R41" s="2">
        <v>110.09</v>
      </c>
      <c r="S41" s="2">
        <v>110.09</v>
      </c>
      <c r="T41">
        <v>0</v>
      </c>
      <c r="U41" s="3">
        <v>0.7</v>
      </c>
      <c r="V41" s="2">
        <v>0</v>
      </c>
      <c r="W41" s="3">
        <v>0</v>
      </c>
      <c r="X41" s="2">
        <v>0</v>
      </c>
      <c r="Y41" s="2">
        <v>0</v>
      </c>
      <c r="AD41" s="4">
        <v>18094000</v>
      </c>
    </row>
    <row r="42" spans="1:30" x14ac:dyDescent="0.25">
      <c r="A42" s="1">
        <v>45723</v>
      </c>
      <c r="B42">
        <v>2027490587</v>
      </c>
      <c r="C42" t="s">
        <v>185</v>
      </c>
      <c r="F42" t="s">
        <v>46</v>
      </c>
      <c r="H42">
        <v>669316</v>
      </c>
      <c r="I42" t="s">
        <v>102</v>
      </c>
      <c r="J42" t="s">
        <v>35</v>
      </c>
      <c r="K42" t="s">
        <v>36</v>
      </c>
      <c r="L42" s="1">
        <v>45717</v>
      </c>
      <c r="N42" t="s">
        <v>37</v>
      </c>
      <c r="Q42" t="s">
        <v>38</v>
      </c>
      <c r="R42" s="2">
        <v>90.83</v>
      </c>
      <c r="S42" s="2">
        <v>90.83</v>
      </c>
      <c r="T42">
        <v>0</v>
      </c>
      <c r="U42" s="3">
        <v>0.7</v>
      </c>
      <c r="V42" s="2">
        <v>0</v>
      </c>
      <c r="W42" s="3">
        <v>0</v>
      </c>
      <c r="X42" s="2">
        <v>0</v>
      </c>
      <c r="Y42" s="2">
        <v>0</v>
      </c>
      <c r="AD42" s="4">
        <v>18094540</v>
      </c>
    </row>
    <row r="43" spans="1:30" x14ac:dyDescent="0.25">
      <c r="A43" s="1">
        <v>45723</v>
      </c>
      <c r="B43">
        <v>2027490588</v>
      </c>
      <c r="C43" t="s">
        <v>185</v>
      </c>
      <c r="F43" t="s">
        <v>46</v>
      </c>
      <c r="H43">
        <v>669316</v>
      </c>
      <c r="I43" t="s">
        <v>102</v>
      </c>
      <c r="J43" t="s">
        <v>35</v>
      </c>
      <c r="K43" t="s">
        <v>40</v>
      </c>
      <c r="L43" s="1">
        <v>45717</v>
      </c>
      <c r="N43" t="s">
        <v>37</v>
      </c>
      <c r="Q43" t="s">
        <v>38</v>
      </c>
      <c r="R43" s="2">
        <v>51.86</v>
      </c>
      <c r="S43" s="2">
        <v>51.86</v>
      </c>
      <c r="T43">
        <v>0</v>
      </c>
      <c r="U43" s="3">
        <v>0.375</v>
      </c>
      <c r="V43" s="2">
        <v>0</v>
      </c>
      <c r="W43" s="3">
        <v>0</v>
      </c>
      <c r="X43" s="2">
        <v>0</v>
      </c>
      <c r="Y43" s="2">
        <v>0</v>
      </c>
      <c r="AD43" s="4">
        <v>18150180</v>
      </c>
    </row>
    <row r="44" spans="1:30" s="17" customFormat="1" x14ac:dyDescent="0.25">
      <c r="A44" s="16">
        <v>45723</v>
      </c>
      <c r="B44" s="17">
        <v>2027384739</v>
      </c>
      <c r="C44" s="17" t="s">
        <v>139</v>
      </c>
      <c r="F44" s="17" t="s">
        <v>46</v>
      </c>
      <c r="H44" s="17">
        <v>820873</v>
      </c>
      <c r="I44" s="17" t="s">
        <v>140</v>
      </c>
      <c r="J44" s="17" t="s">
        <v>35</v>
      </c>
      <c r="K44" s="17" t="s">
        <v>79</v>
      </c>
      <c r="L44" s="16">
        <v>45717</v>
      </c>
      <c r="N44" s="17" t="s">
        <v>37</v>
      </c>
      <c r="Q44" s="17" t="s">
        <v>114</v>
      </c>
      <c r="R44" s="18">
        <v>16.73</v>
      </c>
      <c r="S44" s="18">
        <v>16.73</v>
      </c>
      <c r="T44" s="17">
        <v>0</v>
      </c>
      <c r="U44" s="19">
        <v>0.38</v>
      </c>
      <c r="V44" s="18">
        <v>0</v>
      </c>
      <c r="W44" s="19">
        <v>0</v>
      </c>
      <c r="X44" s="18">
        <v>0</v>
      </c>
      <c r="Y44" s="18">
        <v>0</v>
      </c>
      <c r="AD44" s="20">
        <v>18153730</v>
      </c>
    </row>
    <row r="45" spans="1:30" s="17" customFormat="1" x14ac:dyDescent="0.25">
      <c r="A45" s="16">
        <v>45723</v>
      </c>
      <c r="B45" s="17">
        <v>2027384740</v>
      </c>
      <c r="C45" s="17" t="s">
        <v>139</v>
      </c>
      <c r="F45" s="17" t="s">
        <v>46</v>
      </c>
      <c r="H45" s="17">
        <v>820873</v>
      </c>
      <c r="I45" s="17" t="s">
        <v>140</v>
      </c>
      <c r="J45" s="17" t="s">
        <v>35</v>
      </c>
      <c r="K45" s="17" t="s">
        <v>108</v>
      </c>
      <c r="L45" s="16">
        <v>45717</v>
      </c>
      <c r="N45" s="17" t="s">
        <v>37</v>
      </c>
      <c r="Q45" s="17" t="s">
        <v>114</v>
      </c>
      <c r="R45" s="18">
        <v>15</v>
      </c>
      <c r="S45" s="18">
        <v>15</v>
      </c>
      <c r="T45" s="17">
        <v>0</v>
      </c>
      <c r="U45" s="19">
        <v>0.38</v>
      </c>
      <c r="V45" s="18">
        <v>0</v>
      </c>
      <c r="W45" s="19">
        <v>0</v>
      </c>
      <c r="X45" s="18">
        <v>0</v>
      </c>
      <c r="Y45" s="18">
        <v>0</v>
      </c>
      <c r="AD45" s="20">
        <v>18108440</v>
      </c>
    </row>
    <row r="46" spans="1:30" x14ac:dyDescent="0.25">
      <c r="A46" s="1">
        <v>45723</v>
      </c>
      <c r="B46">
        <v>2027175182</v>
      </c>
      <c r="C46" t="s">
        <v>80</v>
      </c>
      <c r="F46" t="s">
        <v>81</v>
      </c>
      <c r="H46">
        <v>728134</v>
      </c>
      <c r="I46" t="s">
        <v>82</v>
      </c>
      <c r="J46" t="s">
        <v>35</v>
      </c>
      <c r="K46" t="s">
        <v>71</v>
      </c>
      <c r="L46" s="1">
        <v>45717</v>
      </c>
      <c r="N46" t="s">
        <v>37</v>
      </c>
      <c r="Q46" t="s">
        <v>38</v>
      </c>
      <c r="R46" s="2">
        <v>43.59</v>
      </c>
      <c r="S46" s="2">
        <v>43.59</v>
      </c>
      <c r="T46">
        <v>0</v>
      </c>
      <c r="U46" s="3">
        <v>0.47</v>
      </c>
      <c r="V46" s="2">
        <v>0</v>
      </c>
      <c r="W46" s="3">
        <v>0</v>
      </c>
      <c r="X46" s="2">
        <v>0</v>
      </c>
      <c r="Y46" s="2">
        <v>0</v>
      </c>
      <c r="AD46" s="4">
        <v>18148760</v>
      </c>
    </row>
    <row r="47" spans="1:30" x14ac:dyDescent="0.25">
      <c r="A47" s="1">
        <v>45723</v>
      </c>
      <c r="B47">
        <v>2027327502</v>
      </c>
      <c r="C47" t="s">
        <v>110</v>
      </c>
      <c r="F47" t="s">
        <v>111</v>
      </c>
      <c r="H47">
        <v>764123</v>
      </c>
      <c r="I47" t="s">
        <v>112</v>
      </c>
      <c r="J47" t="s">
        <v>35</v>
      </c>
      <c r="K47" t="s">
        <v>113</v>
      </c>
      <c r="L47" s="1">
        <v>45713</v>
      </c>
      <c r="N47" t="s">
        <v>37</v>
      </c>
      <c r="Q47" t="s">
        <v>114</v>
      </c>
      <c r="R47" s="2">
        <v>419.06</v>
      </c>
      <c r="S47" s="2">
        <v>419.06</v>
      </c>
      <c r="T47">
        <v>0</v>
      </c>
      <c r="U47" s="3">
        <v>0.38</v>
      </c>
      <c r="V47" s="2">
        <v>0</v>
      </c>
      <c r="W47" s="3">
        <v>0</v>
      </c>
      <c r="X47" s="2">
        <v>0</v>
      </c>
      <c r="Y47" s="2">
        <v>0</v>
      </c>
      <c r="AD47" s="4">
        <v>18093630</v>
      </c>
    </row>
    <row r="48" spans="1:30" x14ac:dyDescent="0.25">
      <c r="A48" s="1">
        <v>45723</v>
      </c>
      <c r="B48">
        <v>2027327503</v>
      </c>
      <c r="C48" t="s">
        <v>110</v>
      </c>
      <c r="F48" t="s">
        <v>111</v>
      </c>
      <c r="H48">
        <v>764123</v>
      </c>
      <c r="I48" t="s">
        <v>112</v>
      </c>
      <c r="J48" t="s">
        <v>35</v>
      </c>
      <c r="K48" t="s">
        <v>115</v>
      </c>
      <c r="L48" s="1">
        <v>45713</v>
      </c>
      <c r="N48" t="s">
        <v>37</v>
      </c>
      <c r="Q48" t="s">
        <v>114</v>
      </c>
      <c r="R48" s="2">
        <v>7.09</v>
      </c>
      <c r="S48" s="2">
        <v>7.09</v>
      </c>
      <c r="T48">
        <v>0</v>
      </c>
      <c r="U48" s="3">
        <v>0.38</v>
      </c>
      <c r="V48" s="2">
        <v>0</v>
      </c>
      <c r="W48" s="3">
        <v>0</v>
      </c>
      <c r="X48" s="2">
        <v>0</v>
      </c>
      <c r="Y48" s="2">
        <v>0</v>
      </c>
      <c r="AD48" s="4">
        <v>18151160</v>
      </c>
    </row>
    <row r="49" spans="1:30" x14ac:dyDescent="0.25">
      <c r="A49" s="1">
        <v>45723</v>
      </c>
      <c r="B49">
        <v>2027356433</v>
      </c>
      <c r="C49" t="s">
        <v>130</v>
      </c>
      <c r="F49" t="s">
        <v>46</v>
      </c>
      <c r="H49">
        <v>764123</v>
      </c>
      <c r="I49" t="s">
        <v>112</v>
      </c>
      <c r="J49" t="s">
        <v>35</v>
      </c>
      <c r="K49" t="s">
        <v>113</v>
      </c>
      <c r="L49" s="1">
        <v>45714</v>
      </c>
      <c r="N49" t="s">
        <v>37</v>
      </c>
      <c r="Q49" t="s">
        <v>38</v>
      </c>
      <c r="R49" s="2">
        <v>530.48</v>
      </c>
      <c r="S49" s="2">
        <v>530.48</v>
      </c>
      <c r="T49">
        <v>0</v>
      </c>
      <c r="U49" s="3">
        <v>0.38</v>
      </c>
      <c r="V49" s="2">
        <v>0</v>
      </c>
      <c r="W49" s="3">
        <v>0</v>
      </c>
      <c r="X49" s="2">
        <v>0</v>
      </c>
      <c r="Y49" s="2">
        <v>0</v>
      </c>
      <c r="AD49" s="4">
        <v>18093810</v>
      </c>
    </row>
    <row r="50" spans="1:30" x14ac:dyDescent="0.25">
      <c r="A50" s="1">
        <v>45723</v>
      </c>
      <c r="B50">
        <v>2027356434</v>
      </c>
      <c r="C50" t="s">
        <v>130</v>
      </c>
      <c r="F50" t="s">
        <v>46</v>
      </c>
      <c r="H50">
        <v>764123</v>
      </c>
      <c r="I50" t="s">
        <v>112</v>
      </c>
      <c r="J50" t="s">
        <v>35</v>
      </c>
      <c r="K50" t="s">
        <v>115</v>
      </c>
      <c r="L50" s="1">
        <v>45714</v>
      </c>
      <c r="N50" t="s">
        <v>37</v>
      </c>
      <c r="Q50" t="s">
        <v>38</v>
      </c>
      <c r="R50" s="2">
        <v>7.09</v>
      </c>
      <c r="S50" s="2">
        <v>7.09</v>
      </c>
      <c r="T50">
        <v>0</v>
      </c>
      <c r="U50" s="3">
        <v>0.38</v>
      </c>
      <c r="V50" s="2">
        <v>0</v>
      </c>
      <c r="W50" s="3">
        <v>0</v>
      </c>
      <c r="X50" s="2">
        <v>0</v>
      </c>
      <c r="Y50" s="2">
        <v>0</v>
      </c>
      <c r="AD50" s="4">
        <v>18151180</v>
      </c>
    </row>
    <row r="51" spans="1:30" x14ac:dyDescent="0.25">
      <c r="A51" s="1">
        <v>45723</v>
      </c>
      <c r="B51">
        <v>2027356435</v>
      </c>
      <c r="C51" t="s">
        <v>130</v>
      </c>
      <c r="F51" t="s">
        <v>46</v>
      </c>
      <c r="H51">
        <v>764123</v>
      </c>
      <c r="I51" t="s">
        <v>112</v>
      </c>
      <c r="J51" t="s">
        <v>35</v>
      </c>
      <c r="K51" t="s">
        <v>126</v>
      </c>
      <c r="L51" s="1">
        <v>45714</v>
      </c>
      <c r="N51" t="s">
        <v>37</v>
      </c>
      <c r="Q51" t="s">
        <v>38</v>
      </c>
      <c r="R51" s="2">
        <v>15</v>
      </c>
      <c r="S51" s="2">
        <v>15</v>
      </c>
      <c r="T51">
        <v>0</v>
      </c>
      <c r="U51" s="3">
        <v>0.38</v>
      </c>
      <c r="V51" s="2">
        <v>0</v>
      </c>
      <c r="W51" s="3">
        <v>0</v>
      </c>
      <c r="X51" s="2">
        <v>0</v>
      </c>
      <c r="Y51" s="2">
        <v>0</v>
      </c>
      <c r="AD51" s="4">
        <v>18108400</v>
      </c>
    </row>
    <row r="52" spans="1:30" x14ac:dyDescent="0.25">
      <c r="A52" s="1">
        <v>45723</v>
      </c>
      <c r="B52">
        <v>2027406567</v>
      </c>
      <c r="C52" t="s">
        <v>154</v>
      </c>
      <c r="F52" t="s">
        <v>46</v>
      </c>
      <c r="H52">
        <v>764123</v>
      </c>
      <c r="I52" t="s">
        <v>112</v>
      </c>
      <c r="J52" t="s">
        <v>35</v>
      </c>
      <c r="K52" t="s">
        <v>36</v>
      </c>
      <c r="L52" s="1">
        <v>45715</v>
      </c>
      <c r="N52" t="s">
        <v>37</v>
      </c>
      <c r="Q52" t="s">
        <v>38</v>
      </c>
      <c r="R52" s="2">
        <v>101.22</v>
      </c>
      <c r="S52" s="2">
        <v>101.22</v>
      </c>
      <c r="T52">
        <v>0</v>
      </c>
      <c r="U52" s="3">
        <v>0.7</v>
      </c>
      <c r="V52" s="2">
        <v>0</v>
      </c>
      <c r="W52" s="3">
        <v>0</v>
      </c>
      <c r="X52" s="2">
        <v>0</v>
      </c>
      <c r="Y52" s="2">
        <v>0</v>
      </c>
      <c r="AD52" s="4">
        <v>18094060</v>
      </c>
    </row>
    <row r="53" spans="1:30" x14ac:dyDescent="0.25">
      <c r="A53" s="1">
        <v>45723</v>
      </c>
      <c r="B53">
        <v>2027506338</v>
      </c>
      <c r="C53" t="s">
        <v>191</v>
      </c>
      <c r="F53" t="s">
        <v>46</v>
      </c>
      <c r="H53">
        <v>764123</v>
      </c>
      <c r="I53" t="s">
        <v>112</v>
      </c>
      <c r="J53" t="s">
        <v>35</v>
      </c>
      <c r="K53" t="s">
        <v>113</v>
      </c>
      <c r="L53" s="1">
        <v>45718</v>
      </c>
      <c r="N53" t="s">
        <v>37</v>
      </c>
      <c r="Q53" t="s">
        <v>38</v>
      </c>
      <c r="R53" s="2">
        <v>288.68</v>
      </c>
      <c r="S53" s="2">
        <v>288.68</v>
      </c>
      <c r="T53">
        <v>0</v>
      </c>
      <c r="U53" s="3">
        <v>0.38</v>
      </c>
      <c r="V53" s="2">
        <v>0</v>
      </c>
      <c r="W53" s="3">
        <v>0</v>
      </c>
      <c r="X53" s="2">
        <v>0</v>
      </c>
      <c r="Y53" s="2">
        <v>0</v>
      </c>
      <c r="AD53" s="4">
        <v>18094580</v>
      </c>
    </row>
    <row r="54" spans="1:30" x14ac:dyDescent="0.25">
      <c r="A54" s="1">
        <v>45723</v>
      </c>
      <c r="B54">
        <v>2027506339</v>
      </c>
      <c r="C54" t="s">
        <v>191</v>
      </c>
      <c r="F54" t="s">
        <v>46</v>
      </c>
      <c r="H54">
        <v>764123</v>
      </c>
      <c r="I54" t="s">
        <v>112</v>
      </c>
      <c r="J54" t="s">
        <v>35</v>
      </c>
      <c r="K54" t="s">
        <v>115</v>
      </c>
      <c r="L54" s="1">
        <v>45718</v>
      </c>
      <c r="N54" t="s">
        <v>37</v>
      </c>
      <c r="Q54" t="s">
        <v>38</v>
      </c>
      <c r="R54" s="2">
        <v>7.09</v>
      </c>
      <c r="S54" s="2">
        <v>7.09</v>
      </c>
      <c r="T54">
        <v>0</v>
      </c>
      <c r="U54" s="3">
        <v>0.38</v>
      </c>
      <c r="V54" s="2">
        <v>0</v>
      </c>
      <c r="W54" s="3">
        <v>0</v>
      </c>
      <c r="X54" s="2">
        <v>0</v>
      </c>
      <c r="Y54" s="2">
        <v>0</v>
      </c>
      <c r="AD54" s="4">
        <v>18151220</v>
      </c>
    </row>
    <row r="55" spans="1:30" x14ac:dyDescent="0.25">
      <c r="A55" s="1">
        <v>45723</v>
      </c>
      <c r="B55">
        <v>2027506340</v>
      </c>
      <c r="C55" t="s">
        <v>191</v>
      </c>
      <c r="F55" t="s">
        <v>46</v>
      </c>
      <c r="H55">
        <v>764123</v>
      </c>
      <c r="I55" t="s">
        <v>112</v>
      </c>
      <c r="J55" t="s">
        <v>35</v>
      </c>
      <c r="K55" t="s">
        <v>192</v>
      </c>
      <c r="L55" s="1">
        <v>45718</v>
      </c>
      <c r="N55" t="s">
        <v>37</v>
      </c>
      <c r="Q55" t="s">
        <v>38</v>
      </c>
      <c r="R55" s="2">
        <v>24.61</v>
      </c>
      <c r="S55" s="2">
        <v>24.61</v>
      </c>
      <c r="T55">
        <v>0</v>
      </c>
      <c r="U55" s="3">
        <v>0.38</v>
      </c>
      <c r="V55" s="2">
        <v>0</v>
      </c>
      <c r="W55" s="3">
        <v>0</v>
      </c>
      <c r="X55" s="2">
        <v>0</v>
      </c>
      <c r="Y55" s="2">
        <v>0</v>
      </c>
      <c r="AD55" s="4">
        <v>18108650</v>
      </c>
    </row>
    <row r="56" spans="1:30" x14ac:dyDescent="0.25">
      <c r="A56" s="1">
        <v>45723</v>
      </c>
      <c r="B56">
        <v>2027506341</v>
      </c>
      <c r="C56" t="s">
        <v>191</v>
      </c>
      <c r="F56" t="s">
        <v>46</v>
      </c>
      <c r="H56">
        <v>764123</v>
      </c>
      <c r="I56" t="s">
        <v>112</v>
      </c>
      <c r="J56" t="s">
        <v>35</v>
      </c>
      <c r="K56" t="s">
        <v>126</v>
      </c>
      <c r="L56" s="1">
        <v>45718</v>
      </c>
      <c r="N56" t="s">
        <v>37</v>
      </c>
      <c r="Q56" t="s">
        <v>38</v>
      </c>
      <c r="R56" s="2">
        <v>15</v>
      </c>
      <c r="S56" s="2">
        <v>15</v>
      </c>
      <c r="T56">
        <v>0</v>
      </c>
      <c r="U56" s="3">
        <v>0.38</v>
      </c>
      <c r="V56" s="2">
        <v>0</v>
      </c>
      <c r="W56" s="3">
        <v>0</v>
      </c>
      <c r="X56" s="2">
        <v>0</v>
      </c>
      <c r="Y56" s="2">
        <v>0</v>
      </c>
      <c r="AD56" s="4">
        <v>18108650</v>
      </c>
    </row>
    <row r="57" spans="1:30" x14ac:dyDescent="0.25">
      <c r="A57" s="1">
        <v>45723</v>
      </c>
      <c r="B57">
        <v>2027399201</v>
      </c>
      <c r="C57" t="s">
        <v>149</v>
      </c>
      <c r="F57" t="s">
        <v>46</v>
      </c>
      <c r="H57">
        <v>814033</v>
      </c>
      <c r="I57" t="s">
        <v>150</v>
      </c>
      <c r="J57" t="s">
        <v>35</v>
      </c>
      <c r="K57" t="s">
        <v>40</v>
      </c>
      <c r="L57" s="1">
        <v>45717</v>
      </c>
      <c r="N57" t="s">
        <v>37</v>
      </c>
      <c r="Q57" t="s">
        <v>38</v>
      </c>
      <c r="R57" s="2">
        <v>43.36</v>
      </c>
      <c r="S57" s="2">
        <v>43.36</v>
      </c>
      <c r="T57">
        <v>0</v>
      </c>
      <c r="U57" s="3">
        <v>0.375</v>
      </c>
      <c r="V57" s="2">
        <v>0</v>
      </c>
      <c r="W57" s="3">
        <v>0</v>
      </c>
      <c r="X57" s="2">
        <v>0</v>
      </c>
      <c r="Y57" s="2">
        <v>0</v>
      </c>
      <c r="AD57" s="4">
        <v>18149600</v>
      </c>
    </row>
    <row r="58" spans="1:30" x14ac:dyDescent="0.25">
      <c r="A58" s="1">
        <v>45723</v>
      </c>
      <c r="B58">
        <v>2027399202</v>
      </c>
      <c r="C58" t="s">
        <v>149</v>
      </c>
      <c r="F58" t="s">
        <v>46</v>
      </c>
      <c r="H58">
        <v>814033</v>
      </c>
      <c r="I58" t="s">
        <v>150</v>
      </c>
      <c r="J58" t="s">
        <v>35</v>
      </c>
      <c r="K58" t="s">
        <v>36</v>
      </c>
      <c r="L58" s="1">
        <v>45717</v>
      </c>
      <c r="N58" t="s">
        <v>37</v>
      </c>
      <c r="Q58" t="s">
        <v>38</v>
      </c>
      <c r="R58" s="2">
        <v>23.85</v>
      </c>
      <c r="S58" s="2">
        <v>23.85</v>
      </c>
      <c r="T58">
        <v>0</v>
      </c>
      <c r="U58" s="3">
        <v>0.7</v>
      </c>
      <c r="V58" s="2">
        <v>0</v>
      </c>
      <c r="W58" s="3">
        <v>0</v>
      </c>
      <c r="X58" s="2">
        <v>0</v>
      </c>
      <c r="Y58" s="2">
        <v>0</v>
      </c>
      <c r="AD58" s="4">
        <v>18094030</v>
      </c>
    </row>
    <row r="59" spans="1:30" x14ac:dyDescent="0.25">
      <c r="A59" s="1">
        <v>45723</v>
      </c>
      <c r="B59">
        <v>2027435579</v>
      </c>
      <c r="C59" t="s">
        <v>167</v>
      </c>
      <c r="F59" t="s">
        <v>46</v>
      </c>
      <c r="H59">
        <v>814033</v>
      </c>
      <c r="I59" t="s">
        <v>150</v>
      </c>
      <c r="J59" t="s">
        <v>35</v>
      </c>
      <c r="K59" t="s">
        <v>36</v>
      </c>
      <c r="L59" s="1">
        <v>45717</v>
      </c>
      <c r="N59" t="s">
        <v>37</v>
      </c>
      <c r="Q59" t="s">
        <v>38</v>
      </c>
      <c r="R59" s="2">
        <v>27.5</v>
      </c>
      <c r="S59" s="2">
        <v>27.5</v>
      </c>
      <c r="T59">
        <v>0</v>
      </c>
      <c r="U59" s="3">
        <v>0.7</v>
      </c>
      <c r="V59" s="2">
        <v>0</v>
      </c>
      <c r="W59" s="3">
        <v>0</v>
      </c>
      <c r="X59" s="2">
        <v>0</v>
      </c>
      <c r="Y59" s="2">
        <v>0</v>
      </c>
      <c r="AD59" s="4">
        <v>18094200</v>
      </c>
    </row>
    <row r="60" spans="1:30" x14ac:dyDescent="0.25">
      <c r="A60" s="1">
        <v>45723</v>
      </c>
      <c r="B60">
        <v>2027492023</v>
      </c>
      <c r="C60" t="s">
        <v>186</v>
      </c>
      <c r="F60" t="s">
        <v>46</v>
      </c>
      <c r="H60">
        <v>814033</v>
      </c>
      <c r="I60" t="s">
        <v>150</v>
      </c>
      <c r="J60" t="s">
        <v>35</v>
      </c>
      <c r="K60" t="s">
        <v>69</v>
      </c>
      <c r="L60" s="1">
        <v>45717</v>
      </c>
      <c r="N60" t="s">
        <v>37</v>
      </c>
      <c r="Q60" t="s">
        <v>38</v>
      </c>
      <c r="R60" s="2">
        <v>52.26</v>
      </c>
      <c r="S60" s="2">
        <v>52.26</v>
      </c>
      <c r="T60">
        <v>0</v>
      </c>
      <c r="U60" s="3">
        <v>0.51</v>
      </c>
      <c r="V60" s="2">
        <v>0</v>
      </c>
      <c r="W60" s="3">
        <v>0</v>
      </c>
      <c r="X60" s="2">
        <v>0</v>
      </c>
      <c r="Y60" s="2">
        <v>0</v>
      </c>
      <c r="AD60" s="4">
        <v>18153780</v>
      </c>
    </row>
    <row r="61" spans="1:30" x14ac:dyDescent="0.25">
      <c r="A61" s="1">
        <v>45723</v>
      </c>
      <c r="B61">
        <v>2027492024</v>
      </c>
      <c r="C61" t="s">
        <v>186</v>
      </c>
      <c r="F61" t="s">
        <v>46</v>
      </c>
      <c r="H61">
        <v>814033</v>
      </c>
      <c r="I61" t="s">
        <v>150</v>
      </c>
      <c r="J61" t="s">
        <v>35</v>
      </c>
      <c r="K61" t="s">
        <v>70</v>
      </c>
      <c r="L61" s="1">
        <v>45717</v>
      </c>
      <c r="N61" t="s">
        <v>37</v>
      </c>
      <c r="Q61" t="s">
        <v>38</v>
      </c>
      <c r="R61" s="2">
        <v>29.95</v>
      </c>
      <c r="S61" s="2">
        <v>29.95</v>
      </c>
      <c r="T61">
        <v>0</v>
      </c>
      <c r="U61" s="3">
        <v>0.51</v>
      </c>
      <c r="V61" s="2">
        <v>0</v>
      </c>
      <c r="W61" s="3">
        <v>0</v>
      </c>
      <c r="X61" s="2">
        <v>0</v>
      </c>
      <c r="Y61" s="2">
        <v>0</v>
      </c>
      <c r="AD61" s="4">
        <v>18108630</v>
      </c>
    </row>
    <row r="62" spans="1:30" x14ac:dyDescent="0.25">
      <c r="A62" s="1">
        <v>45723</v>
      </c>
      <c r="B62">
        <v>2027374982</v>
      </c>
      <c r="C62" t="s">
        <v>132</v>
      </c>
      <c r="F62" t="s">
        <v>46</v>
      </c>
      <c r="H62">
        <v>812656</v>
      </c>
      <c r="I62" t="s">
        <v>133</v>
      </c>
      <c r="J62" t="s">
        <v>35</v>
      </c>
      <c r="K62" t="s">
        <v>36</v>
      </c>
      <c r="L62" s="1">
        <v>45717</v>
      </c>
      <c r="N62" t="s">
        <v>37</v>
      </c>
      <c r="Q62" t="s">
        <v>38</v>
      </c>
      <c r="R62" s="2">
        <v>55.59</v>
      </c>
      <c r="S62" s="2">
        <v>55.59</v>
      </c>
      <c r="T62">
        <v>0</v>
      </c>
      <c r="U62" s="3">
        <v>0.7</v>
      </c>
      <c r="V62" s="2">
        <v>0</v>
      </c>
      <c r="W62" s="3">
        <v>0</v>
      </c>
      <c r="X62" s="2">
        <v>0</v>
      </c>
      <c r="Y62" s="2">
        <v>0</v>
      </c>
      <c r="AD62" s="4">
        <v>18093880</v>
      </c>
    </row>
    <row r="63" spans="1:30" x14ac:dyDescent="0.25">
      <c r="A63" s="1">
        <v>45723</v>
      </c>
      <c r="B63">
        <v>2027400573</v>
      </c>
      <c r="C63" t="s">
        <v>153</v>
      </c>
      <c r="F63" t="s">
        <v>46</v>
      </c>
      <c r="H63">
        <v>812656</v>
      </c>
      <c r="I63" t="s">
        <v>133</v>
      </c>
      <c r="J63" t="s">
        <v>35</v>
      </c>
      <c r="K63" t="s">
        <v>36</v>
      </c>
      <c r="L63" s="1">
        <v>45717</v>
      </c>
      <c r="N63" t="s">
        <v>37</v>
      </c>
      <c r="Q63" t="s">
        <v>38</v>
      </c>
      <c r="R63" s="2">
        <v>101.22</v>
      </c>
      <c r="S63" s="2">
        <v>101.22</v>
      </c>
      <c r="T63">
        <v>0</v>
      </c>
      <c r="U63" s="3">
        <v>0.7</v>
      </c>
      <c r="V63" s="2">
        <v>0</v>
      </c>
      <c r="W63" s="3">
        <v>0</v>
      </c>
      <c r="X63" s="2">
        <v>0</v>
      </c>
      <c r="Y63" s="2">
        <v>0</v>
      </c>
      <c r="AD63" s="4">
        <v>18094040</v>
      </c>
    </row>
    <row r="64" spans="1:30" x14ac:dyDescent="0.25">
      <c r="A64" s="1">
        <v>45723</v>
      </c>
      <c r="B64">
        <v>2027391406</v>
      </c>
      <c r="C64" t="s">
        <v>143</v>
      </c>
      <c r="F64" t="s">
        <v>46</v>
      </c>
      <c r="H64">
        <v>766422</v>
      </c>
      <c r="I64" t="s">
        <v>144</v>
      </c>
      <c r="J64" t="s">
        <v>35</v>
      </c>
      <c r="K64" t="s">
        <v>145</v>
      </c>
      <c r="L64" s="1">
        <v>45717</v>
      </c>
      <c r="N64" t="s">
        <v>37</v>
      </c>
      <c r="Q64" t="s">
        <v>38</v>
      </c>
      <c r="R64" s="2">
        <v>130.76</v>
      </c>
      <c r="S64" s="2">
        <v>130.76</v>
      </c>
      <c r="T64">
        <v>0</v>
      </c>
      <c r="U64" s="3">
        <v>0.26</v>
      </c>
      <c r="V64" s="2">
        <v>0</v>
      </c>
      <c r="W64" s="3">
        <v>0</v>
      </c>
      <c r="X64" s="2">
        <v>0</v>
      </c>
      <c r="Y64" s="2">
        <v>0</v>
      </c>
      <c r="AD64" s="4">
        <v>18063160</v>
      </c>
    </row>
    <row r="65" spans="1:30" x14ac:dyDescent="0.25">
      <c r="A65" s="1">
        <v>45723</v>
      </c>
      <c r="B65">
        <v>2026970603</v>
      </c>
      <c r="C65" t="s">
        <v>56</v>
      </c>
      <c r="F65" t="s">
        <v>57</v>
      </c>
      <c r="H65">
        <v>651818</v>
      </c>
      <c r="I65" t="s">
        <v>58</v>
      </c>
      <c r="J65" t="s">
        <v>35</v>
      </c>
      <c r="K65" t="s">
        <v>59</v>
      </c>
      <c r="L65" s="1">
        <v>45723</v>
      </c>
      <c r="N65" t="s">
        <v>37</v>
      </c>
      <c r="Q65" t="s">
        <v>38</v>
      </c>
      <c r="R65" s="2">
        <v>132.5</v>
      </c>
      <c r="S65" s="2">
        <v>132.5</v>
      </c>
      <c r="T65">
        <v>0</v>
      </c>
      <c r="U65" s="3">
        <v>0.75</v>
      </c>
      <c r="V65" s="2">
        <v>0</v>
      </c>
      <c r="W65" s="3">
        <v>0</v>
      </c>
      <c r="X65" s="2">
        <v>0</v>
      </c>
      <c r="Y65" s="2">
        <v>0</v>
      </c>
      <c r="AD65" s="4">
        <v>18122550</v>
      </c>
    </row>
    <row r="66" spans="1:30" x14ac:dyDescent="0.25">
      <c r="A66" s="1">
        <v>45723</v>
      </c>
      <c r="B66">
        <v>2026970604</v>
      </c>
      <c r="C66" t="s">
        <v>56</v>
      </c>
      <c r="F66" t="s">
        <v>57</v>
      </c>
      <c r="H66">
        <v>651818</v>
      </c>
      <c r="I66" t="s">
        <v>58</v>
      </c>
      <c r="J66" t="s">
        <v>35</v>
      </c>
      <c r="K66" t="s">
        <v>60</v>
      </c>
      <c r="L66" s="1">
        <v>45723</v>
      </c>
      <c r="N66" t="s">
        <v>37</v>
      </c>
      <c r="Q66" t="s">
        <v>38</v>
      </c>
      <c r="R66" s="2">
        <v>99.25</v>
      </c>
      <c r="S66" s="2">
        <v>99.25</v>
      </c>
      <c r="T66">
        <v>0</v>
      </c>
      <c r="U66" s="3">
        <v>0.9</v>
      </c>
      <c r="V66" s="2">
        <v>0</v>
      </c>
      <c r="W66" s="3">
        <v>0</v>
      </c>
      <c r="X66" s="2">
        <v>0</v>
      </c>
      <c r="Y66" s="2">
        <v>0</v>
      </c>
      <c r="AD66" s="4">
        <v>18157020</v>
      </c>
    </row>
    <row r="67" spans="1:30" x14ac:dyDescent="0.25">
      <c r="A67" s="1">
        <v>45723</v>
      </c>
      <c r="B67">
        <v>2027235545</v>
      </c>
      <c r="C67" t="s">
        <v>93</v>
      </c>
      <c r="F67" t="s">
        <v>42</v>
      </c>
      <c r="H67">
        <v>651818</v>
      </c>
      <c r="I67" t="s">
        <v>58</v>
      </c>
      <c r="J67" t="s">
        <v>35</v>
      </c>
      <c r="K67" t="s">
        <v>36</v>
      </c>
      <c r="L67" s="1">
        <v>45723</v>
      </c>
      <c r="N67" t="s">
        <v>37</v>
      </c>
      <c r="Q67" t="s">
        <v>38</v>
      </c>
      <c r="R67" s="2">
        <v>122.53</v>
      </c>
      <c r="S67" s="2">
        <v>122.53</v>
      </c>
      <c r="T67">
        <v>0</v>
      </c>
      <c r="U67" s="3">
        <v>0.7</v>
      </c>
      <c r="V67" s="2">
        <v>0</v>
      </c>
      <c r="W67" s="3">
        <v>0</v>
      </c>
      <c r="X67" s="2">
        <v>0</v>
      </c>
      <c r="Y67" s="2">
        <v>0</v>
      </c>
      <c r="AD67" s="4">
        <v>18093430</v>
      </c>
    </row>
    <row r="68" spans="1:30" x14ac:dyDescent="0.25">
      <c r="A68" s="1">
        <v>45723</v>
      </c>
      <c r="B68">
        <v>2027235546</v>
      </c>
      <c r="C68" t="s">
        <v>93</v>
      </c>
      <c r="F68" t="s">
        <v>42</v>
      </c>
      <c r="H68">
        <v>651818</v>
      </c>
      <c r="I68" t="s">
        <v>58</v>
      </c>
      <c r="J68" t="s">
        <v>35</v>
      </c>
      <c r="K68" t="s">
        <v>59</v>
      </c>
      <c r="L68" s="1">
        <v>45723</v>
      </c>
      <c r="N68" t="s">
        <v>37</v>
      </c>
      <c r="Q68" t="s">
        <v>38</v>
      </c>
      <c r="R68" s="2">
        <v>138.88</v>
      </c>
      <c r="S68" s="2">
        <v>138.88</v>
      </c>
      <c r="T68">
        <v>0</v>
      </c>
      <c r="U68" s="3">
        <v>0.75</v>
      </c>
      <c r="V68" s="2">
        <v>0</v>
      </c>
      <c r="W68" s="3">
        <v>0</v>
      </c>
      <c r="X68" s="2">
        <v>0</v>
      </c>
      <c r="Y68" s="2">
        <v>0</v>
      </c>
      <c r="AD68" s="4">
        <v>18122710</v>
      </c>
    </row>
    <row r="69" spans="1:30" x14ac:dyDescent="0.25">
      <c r="A69" s="1">
        <v>45723</v>
      </c>
      <c r="B69">
        <v>2027298067</v>
      </c>
      <c r="C69" t="s">
        <v>96</v>
      </c>
      <c r="F69" t="s">
        <v>97</v>
      </c>
      <c r="H69">
        <v>651818</v>
      </c>
      <c r="I69" t="s">
        <v>58</v>
      </c>
      <c r="J69" t="s">
        <v>35</v>
      </c>
      <c r="K69" t="s">
        <v>36</v>
      </c>
      <c r="L69" s="1">
        <v>45723</v>
      </c>
      <c r="N69" t="s">
        <v>37</v>
      </c>
      <c r="Q69" t="s">
        <v>38</v>
      </c>
      <c r="R69" s="2">
        <v>73.56</v>
      </c>
      <c r="S69" s="2">
        <v>73.56</v>
      </c>
      <c r="T69">
        <v>0</v>
      </c>
      <c r="U69" s="3">
        <v>0.7</v>
      </c>
      <c r="V69" s="2">
        <v>0</v>
      </c>
      <c r="W69" s="3">
        <v>0</v>
      </c>
      <c r="X69" s="2">
        <v>0</v>
      </c>
      <c r="Y69" s="2">
        <v>0</v>
      </c>
      <c r="AD69" s="4">
        <v>18093480</v>
      </c>
    </row>
    <row r="70" spans="1:30" x14ac:dyDescent="0.25">
      <c r="A70" s="1">
        <v>45723</v>
      </c>
      <c r="B70">
        <v>2027298068</v>
      </c>
      <c r="C70" t="s">
        <v>96</v>
      </c>
      <c r="F70" t="s">
        <v>97</v>
      </c>
      <c r="H70">
        <v>651818</v>
      </c>
      <c r="I70" t="s">
        <v>58</v>
      </c>
      <c r="J70" t="s">
        <v>35</v>
      </c>
      <c r="K70" t="s">
        <v>60</v>
      </c>
      <c r="L70" s="1">
        <v>45723</v>
      </c>
      <c r="N70" t="s">
        <v>37</v>
      </c>
      <c r="Q70" t="s">
        <v>38</v>
      </c>
      <c r="R70" s="2">
        <v>64.92</v>
      </c>
      <c r="S70" s="2">
        <v>64.92</v>
      </c>
      <c r="T70">
        <v>0</v>
      </c>
      <c r="U70" s="3">
        <v>0.9</v>
      </c>
      <c r="V70" s="2">
        <v>0</v>
      </c>
      <c r="W70" s="3">
        <v>0</v>
      </c>
      <c r="X70" s="2">
        <v>0</v>
      </c>
      <c r="Y70" s="2">
        <v>0</v>
      </c>
      <c r="AD70" s="4">
        <v>18157060</v>
      </c>
    </row>
    <row r="71" spans="1:30" x14ac:dyDescent="0.25">
      <c r="A71" s="1">
        <v>45723</v>
      </c>
      <c r="B71">
        <v>2027298069</v>
      </c>
      <c r="C71" t="s">
        <v>96</v>
      </c>
      <c r="F71" t="s">
        <v>97</v>
      </c>
      <c r="H71">
        <v>651818</v>
      </c>
      <c r="I71" t="s">
        <v>58</v>
      </c>
      <c r="J71" t="s">
        <v>35</v>
      </c>
      <c r="K71" t="s">
        <v>59</v>
      </c>
      <c r="L71" s="1">
        <v>45723</v>
      </c>
      <c r="N71" t="s">
        <v>37</v>
      </c>
      <c r="Q71" t="s">
        <v>38</v>
      </c>
      <c r="R71" s="2">
        <v>45.28</v>
      </c>
      <c r="S71" s="2">
        <v>45.28</v>
      </c>
      <c r="T71">
        <v>0</v>
      </c>
      <c r="U71" s="3">
        <v>0.75</v>
      </c>
      <c r="V71" s="2">
        <v>0</v>
      </c>
      <c r="W71" s="3">
        <v>0</v>
      </c>
      <c r="X71" s="2">
        <v>0</v>
      </c>
      <c r="Y71" s="2">
        <v>0</v>
      </c>
      <c r="AD71" s="4">
        <v>18122730</v>
      </c>
    </row>
    <row r="72" spans="1:30" x14ac:dyDescent="0.25">
      <c r="A72" s="1">
        <v>45723</v>
      </c>
      <c r="B72">
        <v>2027400383</v>
      </c>
      <c r="C72" t="s">
        <v>151</v>
      </c>
      <c r="F72" t="s">
        <v>152</v>
      </c>
      <c r="H72">
        <v>651818</v>
      </c>
      <c r="I72" t="s">
        <v>58</v>
      </c>
      <c r="J72" t="s">
        <v>35</v>
      </c>
      <c r="K72" t="s">
        <v>59</v>
      </c>
      <c r="L72" s="1">
        <v>45723</v>
      </c>
      <c r="N72" t="s">
        <v>37</v>
      </c>
      <c r="Q72" t="s">
        <v>38</v>
      </c>
      <c r="R72" s="2">
        <v>37.9</v>
      </c>
      <c r="S72" s="2">
        <v>37.9</v>
      </c>
      <c r="T72">
        <v>0</v>
      </c>
      <c r="U72" s="3">
        <v>0.75</v>
      </c>
      <c r="V72" s="2">
        <v>0</v>
      </c>
      <c r="W72" s="3">
        <v>0</v>
      </c>
      <c r="X72" s="2">
        <v>0</v>
      </c>
      <c r="Y72" s="2">
        <v>0</v>
      </c>
      <c r="AD72" s="4">
        <v>18122960</v>
      </c>
    </row>
    <row r="73" spans="1:30" x14ac:dyDescent="0.25">
      <c r="A73" s="1">
        <v>45723</v>
      </c>
      <c r="B73">
        <v>2027400384</v>
      </c>
      <c r="C73" t="s">
        <v>151</v>
      </c>
      <c r="F73" t="s">
        <v>152</v>
      </c>
      <c r="H73">
        <v>651818</v>
      </c>
      <c r="I73" t="s">
        <v>58</v>
      </c>
      <c r="J73" t="s">
        <v>35</v>
      </c>
      <c r="K73" t="s">
        <v>60</v>
      </c>
      <c r="L73" s="1">
        <v>45723</v>
      </c>
      <c r="N73" t="s">
        <v>37</v>
      </c>
      <c r="Q73" t="s">
        <v>38</v>
      </c>
      <c r="R73" s="2">
        <v>28.58</v>
      </c>
      <c r="S73" s="2">
        <v>28.58</v>
      </c>
      <c r="T73">
        <v>0</v>
      </c>
      <c r="U73" s="3">
        <v>0.9</v>
      </c>
      <c r="V73" s="2">
        <v>0</v>
      </c>
      <c r="W73" s="3">
        <v>0</v>
      </c>
      <c r="X73" s="2">
        <v>0</v>
      </c>
      <c r="Y73" s="2">
        <v>0</v>
      </c>
      <c r="AD73" s="4">
        <v>18157240</v>
      </c>
    </row>
    <row r="74" spans="1:30" x14ac:dyDescent="0.25">
      <c r="A74" s="1">
        <v>45723</v>
      </c>
      <c r="B74">
        <v>2027400385</v>
      </c>
      <c r="C74" t="s">
        <v>151</v>
      </c>
      <c r="F74" t="s">
        <v>152</v>
      </c>
      <c r="H74">
        <v>651818</v>
      </c>
      <c r="I74" t="s">
        <v>58</v>
      </c>
      <c r="J74" t="s">
        <v>35</v>
      </c>
      <c r="K74" t="s">
        <v>36</v>
      </c>
      <c r="L74" s="1">
        <v>45723</v>
      </c>
      <c r="N74" t="s">
        <v>37</v>
      </c>
      <c r="Q74" t="s">
        <v>38</v>
      </c>
      <c r="R74" s="2">
        <v>31.28</v>
      </c>
      <c r="S74" s="2">
        <v>31.28</v>
      </c>
      <c r="T74">
        <v>0</v>
      </c>
      <c r="U74" s="3">
        <v>0.7</v>
      </c>
      <c r="V74" s="2">
        <v>0</v>
      </c>
      <c r="W74" s="3">
        <v>0</v>
      </c>
      <c r="X74" s="2">
        <v>0</v>
      </c>
      <c r="Y74" s="2">
        <v>0</v>
      </c>
      <c r="AD74" s="4">
        <v>18094040</v>
      </c>
    </row>
    <row r="75" spans="1:30" x14ac:dyDescent="0.25">
      <c r="A75" s="1">
        <v>45723</v>
      </c>
      <c r="B75">
        <v>2027429539</v>
      </c>
      <c r="C75" t="s">
        <v>159</v>
      </c>
      <c r="F75" t="s">
        <v>97</v>
      </c>
      <c r="H75">
        <v>651818</v>
      </c>
      <c r="I75" t="s">
        <v>58</v>
      </c>
      <c r="J75" t="s">
        <v>35</v>
      </c>
      <c r="K75" t="s">
        <v>36</v>
      </c>
      <c r="L75" s="1">
        <v>45723</v>
      </c>
      <c r="N75" t="s">
        <v>37</v>
      </c>
      <c r="Q75" t="s">
        <v>38</v>
      </c>
      <c r="R75" s="2">
        <v>161.30000000000001</v>
      </c>
      <c r="S75" s="2">
        <v>161.30000000000001</v>
      </c>
      <c r="T75">
        <v>0</v>
      </c>
      <c r="U75" s="3">
        <v>0.7</v>
      </c>
      <c r="V75" s="2">
        <v>0</v>
      </c>
      <c r="W75" s="3">
        <v>0</v>
      </c>
      <c r="X75" s="2">
        <v>0</v>
      </c>
      <c r="Y75" s="2">
        <v>0</v>
      </c>
      <c r="AD75" s="4">
        <v>18094160</v>
      </c>
    </row>
    <row r="76" spans="1:30" x14ac:dyDescent="0.25">
      <c r="A76" s="1">
        <v>45723</v>
      </c>
      <c r="B76">
        <v>2027429540</v>
      </c>
      <c r="C76" t="s">
        <v>159</v>
      </c>
      <c r="F76" t="s">
        <v>97</v>
      </c>
      <c r="H76">
        <v>651818</v>
      </c>
      <c r="I76" t="s">
        <v>58</v>
      </c>
      <c r="J76" t="s">
        <v>35</v>
      </c>
      <c r="K76" t="s">
        <v>59</v>
      </c>
      <c r="L76" s="1">
        <v>45723</v>
      </c>
      <c r="N76" t="s">
        <v>37</v>
      </c>
      <c r="Q76" t="s">
        <v>38</v>
      </c>
      <c r="R76" s="2">
        <v>161.83000000000001</v>
      </c>
      <c r="S76" s="2">
        <v>161.83000000000001</v>
      </c>
      <c r="T76">
        <v>0</v>
      </c>
      <c r="U76" s="3">
        <v>0.75</v>
      </c>
      <c r="V76" s="2">
        <v>0</v>
      </c>
      <c r="W76" s="3">
        <v>0</v>
      </c>
      <c r="X76" s="2">
        <v>0</v>
      </c>
      <c r="Y76" s="2">
        <v>0</v>
      </c>
      <c r="AD76" s="4">
        <v>18123020</v>
      </c>
    </row>
    <row r="77" spans="1:30" x14ac:dyDescent="0.25">
      <c r="A77" s="1">
        <v>45723</v>
      </c>
      <c r="B77">
        <v>2027482811</v>
      </c>
      <c r="C77" t="s">
        <v>184</v>
      </c>
      <c r="F77" t="s">
        <v>97</v>
      </c>
      <c r="H77">
        <v>651818</v>
      </c>
      <c r="I77" t="s">
        <v>58</v>
      </c>
      <c r="J77" t="s">
        <v>35</v>
      </c>
      <c r="K77" t="s">
        <v>40</v>
      </c>
      <c r="L77" s="1">
        <v>45723</v>
      </c>
      <c r="N77" t="s">
        <v>37</v>
      </c>
      <c r="Q77" t="s">
        <v>38</v>
      </c>
      <c r="R77" s="2">
        <v>40.1</v>
      </c>
      <c r="S77" s="2">
        <v>40.1</v>
      </c>
      <c r="T77">
        <v>0</v>
      </c>
      <c r="U77" s="3">
        <v>0.375</v>
      </c>
      <c r="V77" s="2">
        <v>0</v>
      </c>
      <c r="W77" s="3">
        <v>0</v>
      </c>
      <c r="X77" s="2">
        <v>0</v>
      </c>
      <c r="Y77" s="2">
        <v>0</v>
      </c>
      <c r="AD77" s="4">
        <v>18150100</v>
      </c>
    </row>
    <row r="78" spans="1:30" x14ac:dyDescent="0.25">
      <c r="A78" s="1">
        <v>45723</v>
      </c>
      <c r="B78">
        <v>2027482812</v>
      </c>
      <c r="C78" t="s">
        <v>184</v>
      </c>
      <c r="F78" t="s">
        <v>97</v>
      </c>
      <c r="H78">
        <v>651818</v>
      </c>
      <c r="I78" t="s">
        <v>58</v>
      </c>
      <c r="J78" t="s">
        <v>35</v>
      </c>
      <c r="K78" t="s">
        <v>36</v>
      </c>
      <c r="L78" s="1">
        <v>45723</v>
      </c>
      <c r="N78" t="s">
        <v>37</v>
      </c>
      <c r="Q78" t="s">
        <v>38</v>
      </c>
      <c r="R78" s="2">
        <v>28.73</v>
      </c>
      <c r="S78" s="2">
        <v>28.73</v>
      </c>
      <c r="T78">
        <v>0</v>
      </c>
      <c r="U78" s="3">
        <v>0.7</v>
      </c>
      <c r="V78" s="2">
        <v>0</v>
      </c>
      <c r="W78" s="3">
        <v>0</v>
      </c>
      <c r="X78" s="2">
        <v>0</v>
      </c>
      <c r="Y78" s="2">
        <v>0</v>
      </c>
      <c r="AD78" s="4">
        <v>18094480</v>
      </c>
    </row>
    <row r="79" spans="1:30" x14ac:dyDescent="0.25">
      <c r="A79" s="1">
        <v>45723</v>
      </c>
      <c r="B79">
        <v>2027482813</v>
      </c>
      <c r="C79" t="s">
        <v>184</v>
      </c>
      <c r="F79" t="s">
        <v>97</v>
      </c>
      <c r="H79">
        <v>651818</v>
      </c>
      <c r="I79" t="s">
        <v>58</v>
      </c>
      <c r="J79" t="s">
        <v>35</v>
      </c>
      <c r="K79" t="s">
        <v>60</v>
      </c>
      <c r="L79" s="1">
        <v>45723</v>
      </c>
      <c r="N79" t="s">
        <v>37</v>
      </c>
      <c r="Q79" t="s">
        <v>38</v>
      </c>
      <c r="R79" s="2">
        <v>29.25</v>
      </c>
      <c r="S79" s="2">
        <v>29.25</v>
      </c>
      <c r="T79">
        <v>0</v>
      </c>
      <c r="U79" s="3">
        <v>0.9</v>
      </c>
      <c r="V79" s="2">
        <v>0</v>
      </c>
      <c r="W79" s="3">
        <v>0</v>
      </c>
      <c r="X79" s="2">
        <v>0</v>
      </c>
      <c r="Y79" s="2">
        <v>0</v>
      </c>
      <c r="AD79" s="4">
        <v>18157390</v>
      </c>
    </row>
    <row r="80" spans="1:30" x14ac:dyDescent="0.25">
      <c r="A80" s="1">
        <v>45723</v>
      </c>
      <c r="B80">
        <v>2027482814</v>
      </c>
      <c r="C80" t="s">
        <v>184</v>
      </c>
      <c r="F80" t="s">
        <v>97</v>
      </c>
      <c r="H80">
        <v>651818</v>
      </c>
      <c r="I80" t="s">
        <v>58</v>
      </c>
      <c r="J80" t="s">
        <v>35</v>
      </c>
      <c r="K80" t="s">
        <v>59</v>
      </c>
      <c r="L80" s="1">
        <v>45723</v>
      </c>
      <c r="N80" t="s">
        <v>37</v>
      </c>
      <c r="Q80" t="s">
        <v>38</v>
      </c>
      <c r="R80" s="2">
        <v>28.75</v>
      </c>
      <c r="S80" s="2">
        <v>28.75</v>
      </c>
      <c r="T80">
        <v>0</v>
      </c>
      <c r="U80" s="3">
        <v>0.75</v>
      </c>
      <c r="V80" s="2">
        <v>0</v>
      </c>
      <c r="W80" s="3">
        <v>0</v>
      </c>
      <c r="X80" s="2">
        <v>0</v>
      </c>
      <c r="Y80" s="2">
        <v>0</v>
      </c>
      <c r="AD80" s="4">
        <v>18123160</v>
      </c>
    </row>
    <row r="81" spans="1:30" x14ac:dyDescent="0.25">
      <c r="A81" s="1">
        <v>45723</v>
      </c>
      <c r="B81">
        <v>2027111899</v>
      </c>
      <c r="C81" t="s">
        <v>75</v>
      </c>
      <c r="F81" t="s">
        <v>76</v>
      </c>
      <c r="H81">
        <v>816021</v>
      </c>
      <c r="I81" t="s">
        <v>77</v>
      </c>
      <c r="J81" t="s">
        <v>35</v>
      </c>
      <c r="K81" t="s">
        <v>36</v>
      </c>
      <c r="L81" s="1">
        <v>45717</v>
      </c>
      <c r="N81" t="s">
        <v>37</v>
      </c>
      <c r="Q81" t="s">
        <v>38</v>
      </c>
      <c r="R81" s="2">
        <v>9.6999999999999993</v>
      </c>
      <c r="S81" s="2">
        <v>9.6999999999999993</v>
      </c>
      <c r="T81">
        <v>0</v>
      </c>
      <c r="U81" s="3">
        <v>0.7</v>
      </c>
      <c r="V81" s="2">
        <v>0</v>
      </c>
      <c r="W81" s="3">
        <v>0</v>
      </c>
      <c r="X81" s="2">
        <v>0</v>
      </c>
      <c r="Y81" s="2">
        <v>0</v>
      </c>
      <c r="AD81" s="4">
        <v>18093280</v>
      </c>
    </row>
    <row r="82" spans="1:30" x14ac:dyDescent="0.25">
      <c r="A82" s="1">
        <v>45723</v>
      </c>
      <c r="B82">
        <v>2027111900</v>
      </c>
      <c r="C82" t="s">
        <v>75</v>
      </c>
      <c r="F82" t="s">
        <v>76</v>
      </c>
      <c r="H82">
        <v>816021</v>
      </c>
      <c r="I82" t="s">
        <v>77</v>
      </c>
      <c r="J82" t="s">
        <v>35</v>
      </c>
      <c r="K82" t="s">
        <v>78</v>
      </c>
      <c r="L82" s="1">
        <v>45717</v>
      </c>
      <c r="N82" t="s">
        <v>37</v>
      </c>
      <c r="Q82" t="s">
        <v>38</v>
      </c>
      <c r="R82" s="2">
        <v>28.03</v>
      </c>
      <c r="S82" s="2">
        <v>28.03</v>
      </c>
      <c r="T82">
        <v>0</v>
      </c>
      <c r="U82" s="3">
        <v>0.65</v>
      </c>
      <c r="V82" s="2">
        <v>0</v>
      </c>
      <c r="W82" s="3">
        <v>0</v>
      </c>
      <c r="X82" s="2">
        <v>0</v>
      </c>
      <c r="Y82" s="2">
        <v>0</v>
      </c>
      <c r="AD82" s="4">
        <v>18122650</v>
      </c>
    </row>
    <row r="83" spans="1:30" x14ac:dyDescent="0.25">
      <c r="A83" s="1">
        <v>45723</v>
      </c>
      <c r="B83">
        <v>2027111901</v>
      </c>
      <c r="C83" t="s">
        <v>75</v>
      </c>
      <c r="F83" t="s">
        <v>76</v>
      </c>
      <c r="H83">
        <v>816021</v>
      </c>
      <c r="I83" t="s">
        <v>77</v>
      </c>
      <c r="J83" t="s">
        <v>35</v>
      </c>
      <c r="K83" t="s">
        <v>40</v>
      </c>
      <c r="L83" s="1">
        <v>45717</v>
      </c>
      <c r="N83" t="s">
        <v>37</v>
      </c>
      <c r="Q83" t="s">
        <v>38</v>
      </c>
      <c r="R83" s="2">
        <v>53.08</v>
      </c>
      <c r="S83" s="2">
        <v>53.08</v>
      </c>
      <c r="T83">
        <v>0</v>
      </c>
      <c r="U83" s="3">
        <v>0.375</v>
      </c>
      <c r="V83" s="2">
        <v>0</v>
      </c>
      <c r="W83" s="3">
        <v>0</v>
      </c>
      <c r="X83" s="2">
        <v>0</v>
      </c>
      <c r="Y83" s="2">
        <v>0</v>
      </c>
      <c r="AD83" s="4">
        <v>18148710</v>
      </c>
    </row>
    <row r="84" spans="1:30" x14ac:dyDescent="0.25">
      <c r="A84" s="1">
        <v>45723</v>
      </c>
      <c r="B84">
        <v>2027111902</v>
      </c>
      <c r="C84" t="s">
        <v>75</v>
      </c>
      <c r="F84" t="s">
        <v>76</v>
      </c>
      <c r="H84">
        <v>816021</v>
      </c>
      <c r="I84" t="s">
        <v>77</v>
      </c>
      <c r="J84" t="s">
        <v>35</v>
      </c>
      <c r="K84" t="s">
        <v>79</v>
      </c>
      <c r="L84" s="1">
        <v>45717</v>
      </c>
      <c r="N84" t="s">
        <v>37</v>
      </c>
      <c r="Q84" t="s">
        <v>38</v>
      </c>
      <c r="R84" s="2">
        <v>29.31</v>
      </c>
      <c r="S84" s="2">
        <v>29.31</v>
      </c>
      <c r="T84">
        <v>0</v>
      </c>
      <c r="U84" s="3">
        <v>0.38</v>
      </c>
      <c r="V84" s="2">
        <v>0</v>
      </c>
      <c r="W84" s="3">
        <v>0</v>
      </c>
      <c r="X84" s="2">
        <v>0</v>
      </c>
      <c r="Y84" s="2">
        <v>0</v>
      </c>
      <c r="AD84" s="4">
        <v>18153680</v>
      </c>
    </row>
    <row r="85" spans="1:30" x14ac:dyDescent="0.25">
      <c r="A85" s="1">
        <v>45723</v>
      </c>
      <c r="B85">
        <v>2027253361</v>
      </c>
      <c r="C85" t="s">
        <v>94</v>
      </c>
      <c r="F85" t="s">
        <v>76</v>
      </c>
      <c r="H85">
        <v>816021</v>
      </c>
      <c r="I85" t="s">
        <v>77</v>
      </c>
      <c r="J85" t="s">
        <v>35</v>
      </c>
      <c r="K85" t="s">
        <v>95</v>
      </c>
      <c r="L85" s="1">
        <v>45717</v>
      </c>
      <c r="N85" t="s">
        <v>37</v>
      </c>
      <c r="Q85" t="s">
        <v>38</v>
      </c>
      <c r="R85" s="2">
        <v>136.72</v>
      </c>
      <c r="S85" s="2">
        <v>136.72</v>
      </c>
      <c r="T85">
        <v>0</v>
      </c>
      <c r="U85" s="3">
        <v>0.26</v>
      </c>
      <c r="V85" s="2">
        <v>0</v>
      </c>
      <c r="W85" s="3">
        <v>0</v>
      </c>
      <c r="X85" s="2">
        <v>0</v>
      </c>
      <c r="Y85" s="2">
        <v>0</v>
      </c>
      <c r="AD85" s="4">
        <v>18061420</v>
      </c>
    </row>
    <row r="86" spans="1:30" x14ac:dyDescent="0.25">
      <c r="A86" s="1">
        <v>45723</v>
      </c>
      <c r="B86">
        <v>2027316008</v>
      </c>
      <c r="C86" t="s">
        <v>103</v>
      </c>
      <c r="F86" t="s">
        <v>76</v>
      </c>
      <c r="H86">
        <v>816021</v>
      </c>
      <c r="I86" t="s">
        <v>77</v>
      </c>
      <c r="J86" t="s">
        <v>35</v>
      </c>
      <c r="K86" t="s">
        <v>36</v>
      </c>
      <c r="L86" s="1">
        <v>45717</v>
      </c>
      <c r="N86" t="s">
        <v>37</v>
      </c>
      <c r="Q86" t="s">
        <v>38</v>
      </c>
      <c r="R86" s="2">
        <v>19.489999999999998</v>
      </c>
      <c r="S86" s="2">
        <v>19.489999999999998</v>
      </c>
      <c r="T86">
        <v>0</v>
      </c>
      <c r="U86" s="3">
        <v>0.7</v>
      </c>
      <c r="V86" s="2">
        <v>0</v>
      </c>
      <c r="W86" s="3">
        <v>0</v>
      </c>
      <c r="X86" s="2">
        <v>0</v>
      </c>
      <c r="Y86" s="2">
        <v>0</v>
      </c>
      <c r="AD86" s="4">
        <v>18093570</v>
      </c>
    </row>
    <row r="87" spans="1:30" x14ac:dyDescent="0.25">
      <c r="A87" s="1">
        <v>45723</v>
      </c>
      <c r="B87">
        <v>2027316009</v>
      </c>
      <c r="C87" t="s">
        <v>103</v>
      </c>
      <c r="F87" t="s">
        <v>76</v>
      </c>
      <c r="H87">
        <v>816021</v>
      </c>
      <c r="I87" t="s">
        <v>77</v>
      </c>
      <c r="J87" t="s">
        <v>35</v>
      </c>
      <c r="K87" t="s">
        <v>78</v>
      </c>
      <c r="L87" s="1">
        <v>45717</v>
      </c>
      <c r="N87" t="s">
        <v>37</v>
      </c>
      <c r="Q87" t="s">
        <v>38</v>
      </c>
      <c r="R87" s="2">
        <v>23.76</v>
      </c>
      <c r="S87" s="2">
        <v>23.76</v>
      </c>
      <c r="T87">
        <v>0</v>
      </c>
      <c r="U87" s="3">
        <v>0.65</v>
      </c>
      <c r="V87" s="2">
        <v>0</v>
      </c>
      <c r="W87" s="3">
        <v>0</v>
      </c>
      <c r="X87" s="2">
        <v>0</v>
      </c>
      <c r="Y87" s="2">
        <v>0</v>
      </c>
      <c r="AD87" s="4">
        <v>18122780</v>
      </c>
    </row>
    <row r="88" spans="1:30" x14ac:dyDescent="0.25">
      <c r="A88" s="1">
        <v>45723</v>
      </c>
      <c r="B88">
        <v>2027444601</v>
      </c>
      <c r="C88" t="s">
        <v>174</v>
      </c>
      <c r="F88" t="s">
        <v>76</v>
      </c>
      <c r="H88">
        <v>816021</v>
      </c>
      <c r="I88" t="s">
        <v>77</v>
      </c>
      <c r="J88" t="s">
        <v>35</v>
      </c>
      <c r="K88" t="s">
        <v>36</v>
      </c>
      <c r="L88" s="1">
        <v>45717</v>
      </c>
      <c r="N88" t="s">
        <v>37</v>
      </c>
      <c r="Q88" t="s">
        <v>38</v>
      </c>
      <c r="R88" s="2">
        <v>9.1</v>
      </c>
      <c r="S88" s="2">
        <v>9.1</v>
      </c>
      <c r="T88">
        <v>0</v>
      </c>
      <c r="U88" s="3">
        <v>0.7</v>
      </c>
      <c r="V88" s="2">
        <v>0</v>
      </c>
      <c r="W88" s="3">
        <v>0</v>
      </c>
      <c r="X88" s="2">
        <v>0</v>
      </c>
      <c r="Y88" s="2">
        <v>0</v>
      </c>
      <c r="AD88" s="4">
        <v>18094260</v>
      </c>
    </row>
    <row r="89" spans="1:30" x14ac:dyDescent="0.25">
      <c r="A89" s="1">
        <v>45723</v>
      </c>
      <c r="B89">
        <v>2027444602</v>
      </c>
      <c r="C89" t="s">
        <v>174</v>
      </c>
      <c r="F89" t="s">
        <v>76</v>
      </c>
      <c r="H89">
        <v>816021</v>
      </c>
      <c r="I89" t="s">
        <v>77</v>
      </c>
      <c r="J89" t="s">
        <v>35</v>
      </c>
      <c r="K89" t="s">
        <v>78</v>
      </c>
      <c r="L89" s="1">
        <v>45717</v>
      </c>
      <c r="N89" t="s">
        <v>37</v>
      </c>
      <c r="Q89" t="s">
        <v>38</v>
      </c>
      <c r="R89" s="2">
        <v>59.63</v>
      </c>
      <c r="S89" s="2">
        <v>59.63</v>
      </c>
      <c r="T89">
        <v>0</v>
      </c>
      <c r="U89" s="3">
        <v>0.65</v>
      </c>
      <c r="V89" s="2">
        <v>0</v>
      </c>
      <c r="W89" s="3">
        <v>0</v>
      </c>
      <c r="X89" s="2">
        <v>0</v>
      </c>
      <c r="Y89" s="2">
        <v>0</v>
      </c>
      <c r="AD89" s="4">
        <v>18123070</v>
      </c>
    </row>
    <row r="90" spans="1:30" x14ac:dyDescent="0.25">
      <c r="A90" s="1">
        <v>45723</v>
      </c>
      <c r="B90">
        <v>2027444603</v>
      </c>
      <c r="C90" t="s">
        <v>174</v>
      </c>
      <c r="F90" t="s">
        <v>76</v>
      </c>
      <c r="H90">
        <v>816021</v>
      </c>
      <c r="I90" t="s">
        <v>77</v>
      </c>
      <c r="J90" t="s">
        <v>35</v>
      </c>
      <c r="K90" t="s">
        <v>40</v>
      </c>
      <c r="L90" s="1">
        <v>45717</v>
      </c>
      <c r="N90" t="s">
        <v>37</v>
      </c>
      <c r="Q90" t="s">
        <v>38</v>
      </c>
      <c r="R90" s="2">
        <v>53.08</v>
      </c>
      <c r="S90" s="2">
        <v>53.08</v>
      </c>
      <c r="T90">
        <v>0</v>
      </c>
      <c r="U90" s="3">
        <v>0.375</v>
      </c>
      <c r="V90" s="2">
        <v>0</v>
      </c>
      <c r="W90" s="3">
        <v>0</v>
      </c>
      <c r="X90" s="2">
        <v>0</v>
      </c>
      <c r="Y90" s="2">
        <v>0</v>
      </c>
      <c r="AD90" s="4">
        <v>18149880</v>
      </c>
    </row>
    <row r="91" spans="1:30" x14ac:dyDescent="0.25">
      <c r="A91" s="1">
        <v>45723</v>
      </c>
      <c r="B91">
        <v>2027336918</v>
      </c>
      <c r="C91" t="s">
        <v>117</v>
      </c>
      <c r="F91" t="s">
        <v>46</v>
      </c>
      <c r="H91">
        <v>812782</v>
      </c>
      <c r="I91" t="s">
        <v>118</v>
      </c>
      <c r="J91" t="s">
        <v>35</v>
      </c>
      <c r="K91" t="s">
        <v>36</v>
      </c>
      <c r="L91" s="1">
        <v>45748</v>
      </c>
      <c r="N91" t="s">
        <v>37</v>
      </c>
      <c r="Q91" t="s">
        <v>38</v>
      </c>
      <c r="R91" s="2">
        <v>46.46</v>
      </c>
      <c r="S91" s="2">
        <v>46.46</v>
      </c>
      <c r="T91">
        <v>0</v>
      </c>
      <c r="U91" s="3">
        <v>0.7</v>
      </c>
      <c r="V91" s="2">
        <v>0</v>
      </c>
      <c r="W91" s="3">
        <v>0</v>
      </c>
      <c r="X91" s="2">
        <v>0</v>
      </c>
      <c r="Y91" s="2">
        <v>0</v>
      </c>
      <c r="AD91" s="4">
        <v>18093680</v>
      </c>
    </row>
    <row r="92" spans="1:30" x14ac:dyDescent="0.25">
      <c r="A92" s="1">
        <v>45723</v>
      </c>
      <c r="B92">
        <v>2027417500</v>
      </c>
      <c r="C92" t="s">
        <v>155</v>
      </c>
      <c r="F92" t="s">
        <v>81</v>
      </c>
      <c r="H92">
        <v>649164</v>
      </c>
      <c r="I92" t="s">
        <v>31</v>
      </c>
      <c r="J92" t="s">
        <v>35</v>
      </c>
      <c r="K92" t="s">
        <v>55</v>
      </c>
      <c r="L92" s="1">
        <v>45717</v>
      </c>
      <c r="N92" t="s">
        <v>37</v>
      </c>
      <c r="Q92" t="s">
        <v>38</v>
      </c>
      <c r="R92" s="2">
        <v>75.75</v>
      </c>
      <c r="S92" s="2">
        <v>75.75</v>
      </c>
      <c r="T92">
        <v>0</v>
      </c>
      <c r="U92" s="3">
        <v>0.6</v>
      </c>
      <c r="V92" s="2">
        <v>0</v>
      </c>
      <c r="W92" s="3">
        <v>0</v>
      </c>
      <c r="X92" s="2">
        <v>0</v>
      </c>
      <c r="Y92" s="2">
        <v>0</v>
      </c>
      <c r="AD92" s="4">
        <v>18122990</v>
      </c>
    </row>
    <row r="93" spans="1:30" x14ac:dyDescent="0.25">
      <c r="A93" s="1">
        <v>45723</v>
      </c>
      <c r="B93">
        <v>2027434296</v>
      </c>
      <c r="C93" t="s">
        <v>166</v>
      </c>
      <c r="F93" t="s">
        <v>81</v>
      </c>
      <c r="H93">
        <v>649164</v>
      </c>
      <c r="I93" t="s">
        <v>31</v>
      </c>
      <c r="J93" t="s">
        <v>35</v>
      </c>
      <c r="K93" t="s">
        <v>55</v>
      </c>
      <c r="L93" s="1">
        <v>45717</v>
      </c>
      <c r="N93" t="s">
        <v>37</v>
      </c>
      <c r="Q93" t="s">
        <v>38</v>
      </c>
      <c r="R93" s="2">
        <v>52.69</v>
      </c>
      <c r="S93" s="2">
        <v>52.69</v>
      </c>
      <c r="T93">
        <v>0</v>
      </c>
      <c r="U93" s="3">
        <v>0.6</v>
      </c>
      <c r="V93" s="2">
        <v>0</v>
      </c>
      <c r="W93" s="3">
        <v>0</v>
      </c>
      <c r="X93" s="2">
        <v>0</v>
      </c>
      <c r="Y93" s="2">
        <v>0</v>
      </c>
      <c r="AD93" s="4">
        <v>18123040</v>
      </c>
    </row>
    <row r="94" spans="1:30" x14ac:dyDescent="0.25">
      <c r="A94" s="1">
        <v>45723</v>
      </c>
      <c r="B94">
        <v>2027431595</v>
      </c>
      <c r="C94" t="s">
        <v>164</v>
      </c>
      <c r="F94" t="s">
        <v>57</v>
      </c>
      <c r="H94">
        <v>822865</v>
      </c>
      <c r="I94" t="s">
        <v>165</v>
      </c>
      <c r="J94" t="s">
        <v>35</v>
      </c>
      <c r="K94" t="s">
        <v>36</v>
      </c>
      <c r="L94" s="1">
        <v>45716</v>
      </c>
      <c r="N94" t="s">
        <v>37</v>
      </c>
      <c r="Q94" t="s">
        <v>38</v>
      </c>
      <c r="R94" s="2">
        <v>73.22</v>
      </c>
      <c r="S94" s="2">
        <v>73.22</v>
      </c>
      <c r="T94">
        <v>0</v>
      </c>
      <c r="U94" s="3">
        <v>0.7</v>
      </c>
      <c r="V94" s="2">
        <v>0</v>
      </c>
      <c r="W94" s="3">
        <v>0</v>
      </c>
      <c r="X94" s="2">
        <v>0</v>
      </c>
      <c r="Y94" s="2">
        <v>0</v>
      </c>
      <c r="AD94" s="4">
        <v>18094170</v>
      </c>
    </row>
    <row r="95" spans="1:30" x14ac:dyDescent="0.25">
      <c r="A95" s="1">
        <v>45723</v>
      </c>
      <c r="B95">
        <v>2027500015</v>
      </c>
      <c r="C95" t="s">
        <v>187</v>
      </c>
      <c r="F95" t="s">
        <v>42</v>
      </c>
      <c r="H95">
        <v>822865</v>
      </c>
      <c r="I95" t="s">
        <v>165</v>
      </c>
      <c r="J95" t="s">
        <v>35</v>
      </c>
      <c r="K95" t="s">
        <v>40</v>
      </c>
      <c r="L95" s="1">
        <v>45718</v>
      </c>
      <c r="N95" t="s">
        <v>37</v>
      </c>
      <c r="Q95" t="s">
        <v>38</v>
      </c>
      <c r="R95" s="2">
        <v>36.299999999999997</v>
      </c>
      <c r="S95" s="2">
        <v>36.299999999999997</v>
      </c>
      <c r="T95">
        <v>0</v>
      </c>
      <c r="U95" s="3">
        <v>0.375</v>
      </c>
      <c r="V95" s="2">
        <v>0</v>
      </c>
      <c r="W95" s="3">
        <v>0</v>
      </c>
      <c r="X95" s="2">
        <v>0</v>
      </c>
      <c r="Y95" s="2">
        <v>0</v>
      </c>
      <c r="AD95" s="4">
        <v>18150230</v>
      </c>
    </row>
    <row r="96" spans="1:30" x14ac:dyDescent="0.25">
      <c r="A96" s="1">
        <v>45723</v>
      </c>
      <c r="B96">
        <v>2027354636</v>
      </c>
      <c r="C96" t="s">
        <v>127</v>
      </c>
      <c r="F96" t="s">
        <v>52</v>
      </c>
      <c r="H96">
        <v>649285</v>
      </c>
      <c r="I96" t="s">
        <v>128</v>
      </c>
      <c r="J96" t="s">
        <v>35</v>
      </c>
      <c r="K96" t="s">
        <v>129</v>
      </c>
      <c r="L96" s="1">
        <v>45748</v>
      </c>
      <c r="N96" t="s">
        <v>37</v>
      </c>
      <c r="Q96" t="s">
        <v>38</v>
      </c>
      <c r="R96" s="2">
        <v>213.04</v>
      </c>
      <c r="S96" s="2">
        <v>213.04</v>
      </c>
      <c r="T96">
        <v>0</v>
      </c>
      <c r="U96" s="3">
        <v>0.04</v>
      </c>
      <c r="V96" s="2">
        <v>0</v>
      </c>
      <c r="W96" s="3">
        <v>0</v>
      </c>
      <c r="X96" s="2">
        <v>0</v>
      </c>
      <c r="Y96" s="2">
        <v>0</v>
      </c>
      <c r="AD96" s="4">
        <v>18062710</v>
      </c>
    </row>
    <row r="97" spans="1:30" x14ac:dyDescent="0.25">
      <c r="A97" s="1">
        <v>45723</v>
      </c>
      <c r="B97">
        <v>2027457391</v>
      </c>
      <c r="C97" t="s">
        <v>177</v>
      </c>
      <c r="F97" t="s">
        <v>81</v>
      </c>
      <c r="H97">
        <v>649285</v>
      </c>
      <c r="I97" t="s">
        <v>128</v>
      </c>
      <c r="J97" t="s">
        <v>35</v>
      </c>
      <c r="K97" t="s">
        <v>178</v>
      </c>
      <c r="L97" s="1">
        <v>45717</v>
      </c>
      <c r="N97" t="s">
        <v>37</v>
      </c>
      <c r="Q97" t="s">
        <v>38</v>
      </c>
      <c r="R97" s="2">
        <v>133.61000000000001</v>
      </c>
      <c r="S97" s="2">
        <v>133.61000000000001</v>
      </c>
      <c r="T97">
        <v>0</v>
      </c>
      <c r="U97" s="3">
        <v>0.04</v>
      </c>
      <c r="V97" s="2">
        <v>0</v>
      </c>
      <c r="W97" s="3">
        <v>0</v>
      </c>
      <c r="X97" s="2">
        <v>0</v>
      </c>
      <c r="Y97" s="2">
        <v>0</v>
      </c>
      <c r="AD97" s="4">
        <v>18064140</v>
      </c>
    </row>
    <row r="98" spans="1:30" x14ac:dyDescent="0.25">
      <c r="A98" s="1">
        <v>45723</v>
      </c>
      <c r="B98">
        <v>2027063707</v>
      </c>
      <c r="C98" t="s">
        <v>65</v>
      </c>
      <c r="F98" t="s">
        <v>57</v>
      </c>
      <c r="H98">
        <v>753748</v>
      </c>
      <c r="I98" t="s">
        <v>66</v>
      </c>
      <c r="J98" t="s">
        <v>35</v>
      </c>
      <c r="K98" t="s">
        <v>36</v>
      </c>
      <c r="L98" s="1">
        <v>45717</v>
      </c>
      <c r="N98" t="s">
        <v>37</v>
      </c>
      <c r="Q98" t="s">
        <v>38</v>
      </c>
      <c r="R98" s="2">
        <v>131.18</v>
      </c>
      <c r="S98" s="2">
        <v>131.18</v>
      </c>
      <c r="T98">
        <v>0</v>
      </c>
      <c r="U98" s="3">
        <v>0.7</v>
      </c>
      <c r="V98" s="2">
        <v>0</v>
      </c>
      <c r="W98" s="3">
        <v>0</v>
      </c>
      <c r="X98" s="2">
        <v>0</v>
      </c>
      <c r="Y98" s="2">
        <v>0</v>
      </c>
      <c r="AD98" s="4">
        <v>18093220</v>
      </c>
    </row>
    <row r="99" spans="1:30" x14ac:dyDescent="0.25">
      <c r="A99" s="1">
        <v>45723</v>
      </c>
      <c r="B99">
        <v>2027341284</v>
      </c>
      <c r="C99" t="s">
        <v>119</v>
      </c>
      <c r="F99" t="s">
        <v>46</v>
      </c>
      <c r="H99">
        <v>766747</v>
      </c>
      <c r="I99" t="s">
        <v>120</v>
      </c>
      <c r="J99" t="s">
        <v>35</v>
      </c>
      <c r="K99" t="s">
        <v>36</v>
      </c>
      <c r="L99" s="1">
        <v>45717</v>
      </c>
      <c r="N99" t="s">
        <v>37</v>
      </c>
      <c r="Q99" t="s">
        <v>38</v>
      </c>
      <c r="R99" s="2">
        <v>262.74</v>
      </c>
      <c r="S99" s="2">
        <v>262.74</v>
      </c>
      <c r="T99">
        <v>0</v>
      </c>
      <c r="U99" s="3">
        <v>0.7</v>
      </c>
      <c r="V99" s="2">
        <v>0</v>
      </c>
      <c r="W99" s="3">
        <v>0</v>
      </c>
      <c r="X99" s="2">
        <v>0</v>
      </c>
      <c r="Y99" s="2">
        <v>0</v>
      </c>
      <c r="AD99" s="4">
        <v>18093710</v>
      </c>
    </row>
    <row r="100" spans="1:30" x14ac:dyDescent="0.25">
      <c r="A100" s="1">
        <v>45723</v>
      </c>
      <c r="B100">
        <v>2027430396</v>
      </c>
      <c r="C100" t="s">
        <v>160</v>
      </c>
      <c r="F100" t="s">
        <v>46</v>
      </c>
      <c r="H100">
        <v>807212</v>
      </c>
      <c r="I100" t="s">
        <v>161</v>
      </c>
      <c r="J100" t="s">
        <v>35</v>
      </c>
      <c r="K100" t="s">
        <v>40</v>
      </c>
      <c r="L100" s="1">
        <v>45716</v>
      </c>
      <c r="N100" t="s">
        <v>37</v>
      </c>
      <c r="Q100" t="s">
        <v>38</v>
      </c>
      <c r="R100" s="2">
        <v>113.66</v>
      </c>
      <c r="S100" s="2">
        <v>113.66</v>
      </c>
      <c r="T100">
        <v>0</v>
      </c>
      <c r="U100" s="3">
        <v>0.375</v>
      </c>
      <c r="V100" s="2">
        <v>0</v>
      </c>
      <c r="W100" s="3">
        <v>0</v>
      </c>
      <c r="X100" s="2">
        <v>0</v>
      </c>
      <c r="Y100" s="2">
        <v>0</v>
      </c>
      <c r="AD100" s="4">
        <v>18149760</v>
      </c>
    </row>
    <row r="101" spans="1:30" x14ac:dyDescent="0.25">
      <c r="A101" s="1">
        <v>45723</v>
      </c>
      <c r="B101">
        <v>2027227342</v>
      </c>
      <c r="C101" t="s">
        <v>91</v>
      </c>
      <c r="F101" t="s">
        <v>46</v>
      </c>
      <c r="H101">
        <v>760902</v>
      </c>
      <c r="I101" t="s">
        <v>92</v>
      </c>
      <c r="J101" t="s">
        <v>35</v>
      </c>
      <c r="K101" t="s">
        <v>36</v>
      </c>
      <c r="L101" s="1">
        <v>45713</v>
      </c>
      <c r="N101" t="s">
        <v>37</v>
      </c>
      <c r="Q101" t="s">
        <v>38</v>
      </c>
      <c r="R101" s="2">
        <v>19</v>
      </c>
      <c r="S101" s="2">
        <v>19</v>
      </c>
      <c r="T101">
        <v>0</v>
      </c>
      <c r="U101" s="3">
        <v>0.7</v>
      </c>
      <c r="V101" s="2">
        <v>0</v>
      </c>
      <c r="W101" s="3">
        <v>0</v>
      </c>
      <c r="X101" s="2">
        <v>0</v>
      </c>
      <c r="Y101" s="2">
        <v>0</v>
      </c>
      <c r="AD101" s="4">
        <v>18093420</v>
      </c>
    </row>
    <row r="102" spans="1:30" x14ac:dyDescent="0.25">
      <c r="A102" s="1">
        <v>45723</v>
      </c>
      <c r="B102">
        <v>2027420098</v>
      </c>
      <c r="C102" t="s">
        <v>158</v>
      </c>
      <c r="F102" t="s">
        <v>46</v>
      </c>
      <c r="H102">
        <v>760902</v>
      </c>
      <c r="I102" t="s">
        <v>92</v>
      </c>
      <c r="J102" t="s">
        <v>35</v>
      </c>
      <c r="K102" t="s">
        <v>36</v>
      </c>
      <c r="L102" s="1">
        <v>45717</v>
      </c>
      <c r="N102" t="s">
        <v>37</v>
      </c>
      <c r="Q102" t="s">
        <v>38</v>
      </c>
      <c r="R102" s="2">
        <v>19</v>
      </c>
      <c r="S102" s="2">
        <v>19</v>
      </c>
      <c r="T102">
        <v>0</v>
      </c>
      <c r="U102" s="3">
        <v>0.7</v>
      </c>
      <c r="V102" s="2">
        <v>0</v>
      </c>
      <c r="W102" s="3">
        <v>0</v>
      </c>
      <c r="X102" s="2">
        <v>0</v>
      </c>
      <c r="Y102" s="2">
        <v>0</v>
      </c>
      <c r="AD102" s="4">
        <v>18094120</v>
      </c>
    </row>
    <row r="103" spans="1:30" x14ac:dyDescent="0.25">
      <c r="A103" s="1">
        <v>45723</v>
      </c>
      <c r="B103">
        <v>2027175748</v>
      </c>
      <c r="C103" t="s">
        <v>83</v>
      </c>
      <c r="F103" t="s">
        <v>57</v>
      </c>
      <c r="H103">
        <v>789909</v>
      </c>
      <c r="I103" t="s">
        <v>84</v>
      </c>
      <c r="J103" t="s">
        <v>35</v>
      </c>
      <c r="K103" t="s">
        <v>40</v>
      </c>
      <c r="L103" s="1">
        <v>45717</v>
      </c>
      <c r="N103" t="s">
        <v>37</v>
      </c>
      <c r="Q103" t="s">
        <v>38</v>
      </c>
      <c r="R103" s="2">
        <v>46.84</v>
      </c>
      <c r="S103" s="2">
        <v>46.84</v>
      </c>
      <c r="T103">
        <v>0</v>
      </c>
      <c r="U103" s="3">
        <v>0.375</v>
      </c>
      <c r="V103" s="2">
        <v>0</v>
      </c>
      <c r="W103" s="3">
        <v>0</v>
      </c>
      <c r="X103" s="2">
        <v>0</v>
      </c>
      <c r="Y103" s="2">
        <v>0</v>
      </c>
      <c r="AD103" s="4">
        <v>18148760</v>
      </c>
    </row>
    <row r="104" spans="1:30" x14ac:dyDescent="0.25">
      <c r="A104" s="1">
        <v>45723</v>
      </c>
      <c r="B104">
        <v>2027300931</v>
      </c>
      <c r="C104" t="s">
        <v>98</v>
      </c>
      <c r="F104" t="s">
        <v>46</v>
      </c>
      <c r="H104">
        <v>789909</v>
      </c>
      <c r="I104" t="s">
        <v>84</v>
      </c>
      <c r="J104" t="s">
        <v>35</v>
      </c>
      <c r="K104" t="s">
        <v>40</v>
      </c>
      <c r="L104" s="1">
        <v>45717</v>
      </c>
      <c r="N104" t="s">
        <v>37</v>
      </c>
      <c r="Q104" t="s">
        <v>38</v>
      </c>
      <c r="R104" s="2">
        <v>48.44</v>
      </c>
      <c r="S104" s="2">
        <v>48.44</v>
      </c>
      <c r="T104">
        <v>0</v>
      </c>
      <c r="U104" s="3">
        <v>0.375</v>
      </c>
      <c r="V104" s="2">
        <v>0</v>
      </c>
      <c r="W104" s="3">
        <v>0</v>
      </c>
      <c r="X104" s="2">
        <v>0</v>
      </c>
      <c r="Y104" s="2">
        <v>0</v>
      </c>
      <c r="AD104" s="4">
        <v>18148990</v>
      </c>
    </row>
    <row r="105" spans="1:30" x14ac:dyDescent="0.25">
      <c r="A105" s="1">
        <v>45723</v>
      </c>
      <c r="B105">
        <v>2027316123</v>
      </c>
      <c r="C105" t="s">
        <v>104</v>
      </c>
      <c r="F105" t="s">
        <v>46</v>
      </c>
      <c r="H105">
        <v>789909</v>
      </c>
      <c r="I105" t="s">
        <v>84</v>
      </c>
      <c r="J105" t="s">
        <v>35</v>
      </c>
      <c r="K105" t="s">
        <v>105</v>
      </c>
      <c r="L105" s="1">
        <v>45717</v>
      </c>
      <c r="N105" t="s">
        <v>37</v>
      </c>
      <c r="Q105" t="s">
        <v>38</v>
      </c>
      <c r="R105" s="2">
        <v>19.5</v>
      </c>
      <c r="S105" s="2">
        <v>19.5</v>
      </c>
      <c r="T105">
        <v>0</v>
      </c>
      <c r="U105" s="3">
        <v>0.39</v>
      </c>
      <c r="V105" s="2">
        <v>0</v>
      </c>
      <c r="W105" s="3">
        <v>0</v>
      </c>
      <c r="X105" s="2">
        <v>0</v>
      </c>
      <c r="Y105" s="2">
        <v>0</v>
      </c>
      <c r="AD105" s="4">
        <v>18093570</v>
      </c>
    </row>
    <row r="106" spans="1:30" x14ac:dyDescent="0.25">
      <c r="A106" s="1">
        <v>45723</v>
      </c>
      <c r="B106">
        <v>2026802680</v>
      </c>
      <c r="C106" t="s">
        <v>32</v>
      </c>
      <c r="F106" t="s">
        <v>33</v>
      </c>
      <c r="H106">
        <v>673059</v>
      </c>
      <c r="I106" t="s">
        <v>34</v>
      </c>
      <c r="J106" t="s">
        <v>35</v>
      </c>
      <c r="K106" t="s">
        <v>36</v>
      </c>
      <c r="L106" s="1">
        <v>45716</v>
      </c>
      <c r="N106" t="s">
        <v>37</v>
      </c>
      <c r="Q106" t="s">
        <v>38</v>
      </c>
      <c r="R106" s="2">
        <v>104.7</v>
      </c>
      <c r="S106" s="2">
        <v>104.7</v>
      </c>
      <c r="T106">
        <v>0</v>
      </c>
      <c r="U106" s="3">
        <v>0.7</v>
      </c>
      <c r="V106" s="2">
        <v>0</v>
      </c>
      <c r="W106" s="3">
        <v>0</v>
      </c>
      <c r="X106" s="2">
        <v>0</v>
      </c>
      <c r="Y106" s="2">
        <v>0</v>
      </c>
      <c r="AD106" s="4">
        <v>18092670</v>
      </c>
    </row>
    <row r="107" spans="1:30" x14ac:dyDescent="0.25">
      <c r="A107" s="1">
        <v>45723</v>
      </c>
      <c r="B107">
        <v>2026802681</v>
      </c>
      <c r="C107" t="s">
        <v>32</v>
      </c>
      <c r="F107" t="s">
        <v>33</v>
      </c>
      <c r="H107">
        <v>673059</v>
      </c>
      <c r="I107" t="s">
        <v>34</v>
      </c>
      <c r="J107" t="s">
        <v>35</v>
      </c>
      <c r="K107" t="s">
        <v>39</v>
      </c>
      <c r="L107" s="1">
        <v>45716</v>
      </c>
      <c r="N107" t="s">
        <v>37</v>
      </c>
      <c r="Q107" t="s">
        <v>38</v>
      </c>
      <c r="R107" s="2">
        <v>25.73</v>
      </c>
      <c r="S107" s="2">
        <v>25.73</v>
      </c>
      <c r="T107">
        <v>0</v>
      </c>
      <c r="U107" s="3">
        <v>0.7</v>
      </c>
      <c r="V107" s="2">
        <v>0</v>
      </c>
      <c r="W107" s="3">
        <v>0</v>
      </c>
      <c r="X107" s="2">
        <v>0</v>
      </c>
      <c r="Y107" s="2">
        <v>0</v>
      </c>
      <c r="AD107" s="4">
        <v>18067720</v>
      </c>
    </row>
    <row r="108" spans="1:30" x14ac:dyDescent="0.25">
      <c r="A108" s="1">
        <v>45723</v>
      </c>
      <c r="B108">
        <v>2026802682</v>
      </c>
      <c r="C108" t="s">
        <v>32</v>
      </c>
      <c r="F108" t="s">
        <v>33</v>
      </c>
      <c r="H108">
        <v>673059</v>
      </c>
      <c r="I108" t="s">
        <v>34</v>
      </c>
      <c r="J108" t="s">
        <v>35</v>
      </c>
      <c r="K108" t="s">
        <v>40</v>
      </c>
      <c r="L108" s="1">
        <v>45716</v>
      </c>
      <c r="N108" t="s">
        <v>37</v>
      </c>
      <c r="Q108" t="s">
        <v>38</v>
      </c>
      <c r="R108" s="2">
        <v>24.53</v>
      </c>
      <c r="S108" s="2">
        <v>24.53</v>
      </c>
      <c r="T108">
        <v>0</v>
      </c>
      <c r="U108" s="3">
        <v>0.375</v>
      </c>
      <c r="V108" s="2">
        <v>0</v>
      </c>
      <c r="W108" s="3">
        <v>0</v>
      </c>
      <c r="X108" s="2">
        <v>0</v>
      </c>
      <c r="Y108" s="2">
        <v>0</v>
      </c>
      <c r="AD108" s="4">
        <v>18147890</v>
      </c>
    </row>
    <row r="109" spans="1:30" x14ac:dyDescent="0.25">
      <c r="A109" s="1">
        <v>45723</v>
      </c>
      <c r="B109">
        <v>2026836867</v>
      </c>
      <c r="C109" t="s">
        <v>41</v>
      </c>
      <c r="F109" t="s">
        <v>42</v>
      </c>
      <c r="H109">
        <v>673059</v>
      </c>
      <c r="I109" t="s">
        <v>34</v>
      </c>
      <c r="J109" t="s">
        <v>35</v>
      </c>
      <c r="K109" t="s">
        <v>36</v>
      </c>
      <c r="L109" s="1">
        <v>45717</v>
      </c>
      <c r="N109" t="s">
        <v>37</v>
      </c>
      <c r="Q109" t="s">
        <v>38</v>
      </c>
      <c r="R109" s="2">
        <v>56.63</v>
      </c>
      <c r="S109" s="2">
        <v>56.63</v>
      </c>
      <c r="T109">
        <v>0</v>
      </c>
      <c r="U109" s="3">
        <v>0.7</v>
      </c>
      <c r="V109" s="2">
        <v>0</v>
      </c>
      <c r="W109" s="3">
        <v>0</v>
      </c>
      <c r="X109" s="2">
        <v>0</v>
      </c>
      <c r="Y109" s="2">
        <v>0</v>
      </c>
      <c r="AD109" s="4">
        <v>18092790</v>
      </c>
    </row>
    <row r="110" spans="1:30" x14ac:dyDescent="0.25">
      <c r="A110" s="1">
        <v>45723</v>
      </c>
      <c r="B110">
        <v>2026836868</v>
      </c>
      <c r="C110" t="s">
        <v>41</v>
      </c>
      <c r="F110" t="s">
        <v>42</v>
      </c>
      <c r="H110">
        <v>673059</v>
      </c>
      <c r="I110" t="s">
        <v>34</v>
      </c>
      <c r="J110" t="s">
        <v>35</v>
      </c>
      <c r="K110" t="s">
        <v>40</v>
      </c>
      <c r="L110" s="1">
        <v>45717</v>
      </c>
      <c r="N110" t="s">
        <v>37</v>
      </c>
      <c r="Q110" t="s">
        <v>38</v>
      </c>
      <c r="R110" s="2">
        <v>59.14</v>
      </c>
      <c r="S110" s="2">
        <v>59.14</v>
      </c>
      <c r="T110">
        <v>0</v>
      </c>
      <c r="U110" s="3">
        <v>0.375</v>
      </c>
      <c r="V110" s="2">
        <v>0</v>
      </c>
      <c r="W110" s="3">
        <v>0</v>
      </c>
      <c r="X110" s="2">
        <v>0</v>
      </c>
      <c r="Y110" s="2">
        <v>0</v>
      </c>
      <c r="AD110" s="4">
        <v>18148010</v>
      </c>
    </row>
    <row r="111" spans="1:30" x14ac:dyDescent="0.25">
      <c r="A111" s="1">
        <v>45723</v>
      </c>
      <c r="B111">
        <v>2026858366</v>
      </c>
      <c r="C111" t="s">
        <v>43</v>
      </c>
      <c r="F111" t="s">
        <v>44</v>
      </c>
      <c r="H111">
        <v>673059</v>
      </c>
      <c r="I111" t="s">
        <v>34</v>
      </c>
      <c r="J111" t="s">
        <v>35</v>
      </c>
      <c r="K111" t="s">
        <v>36</v>
      </c>
      <c r="L111" s="1">
        <v>45717</v>
      </c>
      <c r="N111" t="s">
        <v>37</v>
      </c>
      <c r="Q111" t="s">
        <v>38</v>
      </c>
      <c r="R111" s="2">
        <v>79.58</v>
      </c>
      <c r="S111" s="2">
        <v>79.58</v>
      </c>
      <c r="T111">
        <v>0</v>
      </c>
      <c r="U111" s="3">
        <v>0.7</v>
      </c>
      <c r="V111" s="2">
        <v>0</v>
      </c>
      <c r="W111" s="3">
        <v>0</v>
      </c>
      <c r="X111" s="2">
        <v>0</v>
      </c>
      <c r="Y111" s="2">
        <v>0</v>
      </c>
      <c r="AD111" s="4">
        <v>18092840</v>
      </c>
    </row>
    <row r="112" spans="1:30" x14ac:dyDescent="0.25">
      <c r="A112" s="1">
        <v>45723</v>
      </c>
      <c r="B112">
        <v>2026959126</v>
      </c>
      <c r="C112" t="s">
        <v>51</v>
      </c>
      <c r="F112" t="s">
        <v>52</v>
      </c>
      <c r="H112">
        <v>673059</v>
      </c>
      <c r="I112" t="s">
        <v>34</v>
      </c>
      <c r="J112" t="s">
        <v>35</v>
      </c>
      <c r="K112" t="s">
        <v>36</v>
      </c>
      <c r="L112" s="1">
        <v>45717</v>
      </c>
      <c r="N112" t="s">
        <v>37</v>
      </c>
      <c r="Q112" t="s">
        <v>38</v>
      </c>
      <c r="R112" s="2">
        <v>41.45</v>
      </c>
      <c r="S112" s="2">
        <v>41.45</v>
      </c>
      <c r="T112">
        <v>0</v>
      </c>
      <c r="U112" s="3">
        <v>0.7</v>
      </c>
      <c r="V112" s="2">
        <v>0</v>
      </c>
      <c r="W112" s="3">
        <v>0</v>
      </c>
      <c r="X112" s="2">
        <v>0</v>
      </c>
      <c r="Y112" s="2">
        <v>0</v>
      </c>
      <c r="AD112" s="4">
        <v>18093110</v>
      </c>
    </row>
    <row r="113" spans="1:30" x14ac:dyDescent="0.25">
      <c r="A113" s="1">
        <v>45723</v>
      </c>
      <c r="B113">
        <v>2026959127</v>
      </c>
      <c r="C113" t="s">
        <v>51</v>
      </c>
      <c r="F113" t="s">
        <v>52</v>
      </c>
      <c r="H113">
        <v>673059</v>
      </c>
      <c r="I113" t="s">
        <v>34</v>
      </c>
      <c r="J113" t="s">
        <v>35</v>
      </c>
      <c r="K113" t="s">
        <v>40</v>
      </c>
      <c r="L113" s="1">
        <v>45717</v>
      </c>
      <c r="N113" t="s">
        <v>37</v>
      </c>
      <c r="Q113" t="s">
        <v>38</v>
      </c>
      <c r="R113" s="2">
        <v>57.21</v>
      </c>
      <c r="S113" s="2">
        <v>57.21</v>
      </c>
      <c r="T113">
        <v>0</v>
      </c>
      <c r="U113" s="3">
        <v>0.375</v>
      </c>
      <c r="V113" s="2">
        <v>0</v>
      </c>
      <c r="W113" s="3">
        <v>0</v>
      </c>
      <c r="X113" s="2">
        <v>0</v>
      </c>
      <c r="Y113" s="2">
        <v>0</v>
      </c>
      <c r="AD113" s="4">
        <v>18148430</v>
      </c>
    </row>
    <row r="114" spans="1:30" x14ac:dyDescent="0.25">
      <c r="A114" s="1">
        <v>45723</v>
      </c>
      <c r="B114">
        <v>2026967064</v>
      </c>
      <c r="C114" t="s">
        <v>53</v>
      </c>
      <c r="F114" t="s">
        <v>54</v>
      </c>
      <c r="H114">
        <v>673059</v>
      </c>
      <c r="I114" t="s">
        <v>34</v>
      </c>
      <c r="J114" t="s">
        <v>35</v>
      </c>
      <c r="K114" t="s">
        <v>55</v>
      </c>
      <c r="L114" s="1">
        <v>45717</v>
      </c>
      <c r="N114" t="s">
        <v>37</v>
      </c>
      <c r="Q114" t="s">
        <v>38</v>
      </c>
      <c r="R114" s="2">
        <v>27.64</v>
      </c>
      <c r="S114" s="2">
        <v>27.64</v>
      </c>
      <c r="T114">
        <v>0</v>
      </c>
      <c r="U114" s="3">
        <v>0.6</v>
      </c>
      <c r="V114" s="2">
        <v>0</v>
      </c>
      <c r="W114" s="3">
        <v>0</v>
      </c>
      <c r="X114" s="2">
        <v>0</v>
      </c>
      <c r="Y114" s="2">
        <v>0</v>
      </c>
      <c r="AD114" s="4">
        <v>18122550</v>
      </c>
    </row>
    <row r="115" spans="1:30" x14ac:dyDescent="0.25">
      <c r="A115" s="1">
        <v>45723</v>
      </c>
      <c r="B115">
        <v>2026967065</v>
      </c>
      <c r="C115" t="s">
        <v>53</v>
      </c>
      <c r="F115" t="s">
        <v>54</v>
      </c>
      <c r="H115">
        <v>673059</v>
      </c>
      <c r="I115" t="s">
        <v>34</v>
      </c>
      <c r="J115" t="s">
        <v>35</v>
      </c>
      <c r="K115" t="s">
        <v>36</v>
      </c>
      <c r="L115" s="1">
        <v>45717</v>
      </c>
      <c r="N115" t="s">
        <v>37</v>
      </c>
      <c r="Q115" t="s">
        <v>38</v>
      </c>
      <c r="R115" s="2">
        <v>36.76</v>
      </c>
      <c r="S115" s="2">
        <v>36.76</v>
      </c>
      <c r="T115">
        <v>0</v>
      </c>
      <c r="U115" s="3">
        <v>0.7</v>
      </c>
      <c r="V115" s="2">
        <v>0</v>
      </c>
      <c r="W115" s="3">
        <v>0</v>
      </c>
      <c r="X115" s="2">
        <v>0</v>
      </c>
      <c r="Y115" s="2">
        <v>0</v>
      </c>
      <c r="AD115" s="4">
        <v>18093140</v>
      </c>
    </row>
    <row r="116" spans="1:30" x14ac:dyDescent="0.25">
      <c r="A116" s="1">
        <v>45723</v>
      </c>
      <c r="B116">
        <v>2026967066</v>
      </c>
      <c r="C116" t="s">
        <v>53</v>
      </c>
      <c r="F116" t="s">
        <v>54</v>
      </c>
      <c r="H116">
        <v>673059</v>
      </c>
      <c r="I116" t="s">
        <v>34</v>
      </c>
      <c r="J116" t="s">
        <v>35</v>
      </c>
      <c r="K116" t="s">
        <v>39</v>
      </c>
      <c r="L116" s="1">
        <v>45717</v>
      </c>
      <c r="N116" t="s">
        <v>37</v>
      </c>
      <c r="Q116" t="s">
        <v>38</v>
      </c>
      <c r="R116" s="2">
        <v>8.3699999999999992</v>
      </c>
      <c r="S116" s="2">
        <v>8.3699999999999992</v>
      </c>
      <c r="T116">
        <v>0</v>
      </c>
      <c r="U116" s="3">
        <v>0.7</v>
      </c>
      <c r="V116" s="2">
        <v>0</v>
      </c>
      <c r="W116" s="3">
        <v>0</v>
      </c>
      <c r="X116" s="2">
        <v>0</v>
      </c>
      <c r="Y116" s="2">
        <v>0</v>
      </c>
      <c r="AD116" s="4">
        <v>18067750</v>
      </c>
    </row>
    <row r="117" spans="1:30" x14ac:dyDescent="0.25">
      <c r="A117" s="1">
        <v>45723</v>
      </c>
      <c r="B117">
        <v>2026967067</v>
      </c>
      <c r="C117" t="s">
        <v>53</v>
      </c>
      <c r="F117" t="s">
        <v>54</v>
      </c>
      <c r="H117">
        <v>673059</v>
      </c>
      <c r="I117" t="s">
        <v>34</v>
      </c>
      <c r="J117" t="s">
        <v>35</v>
      </c>
      <c r="K117" t="s">
        <v>40</v>
      </c>
      <c r="L117" s="1">
        <v>45717</v>
      </c>
      <c r="N117" t="s">
        <v>37</v>
      </c>
      <c r="Q117" t="s">
        <v>38</v>
      </c>
      <c r="R117" s="2">
        <v>49.42</v>
      </c>
      <c r="S117" s="2">
        <v>49.42</v>
      </c>
      <c r="T117">
        <v>0</v>
      </c>
      <c r="U117" s="3">
        <v>0.375</v>
      </c>
      <c r="V117" s="2">
        <v>0</v>
      </c>
      <c r="W117" s="3">
        <v>0</v>
      </c>
      <c r="X117" s="2">
        <v>0</v>
      </c>
      <c r="Y117" s="2">
        <v>0</v>
      </c>
      <c r="AD117" s="4">
        <v>18148460</v>
      </c>
    </row>
    <row r="118" spans="1:30" x14ac:dyDescent="0.25">
      <c r="A118" s="1">
        <v>45723</v>
      </c>
      <c r="B118">
        <v>2026988840</v>
      </c>
      <c r="C118" t="s">
        <v>63</v>
      </c>
      <c r="F118" t="s">
        <v>64</v>
      </c>
      <c r="H118">
        <v>673059</v>
      </c>
      <c r="I118" t="s">
        <v>34</v>
      </c>
      <c r="J118" t="s">
        <v>35</v>
      </c>
      <c r="K118" t="s">
        <v>36</v>
      </c>
      <c r="L118" s="1">
        <v>45717</v>
      </c>
      <c r="N118" t="s">
        <v>37</v>
      </c>
      <c r="Q118" t="s">
        <v>38</v>
      </c>
      <c r="R118" s="2">
        <v>15.29</v>
      </c>
      <c r="S118" s="2">
        <v>15.29</v>
      </c>
      <c r="T118">
        <v>0</v>
      </c>
      <c r="U118" s="3">
        <v>0.7</v>
      </c>
      <c r="V118" s="2">
        <v>0</v>
      </c>
      <c r="W118" s="3">
        <v>0</v>
      </c>
      <c r="X118" s="2">
        <v>0</v>
      </c>
      <c r="Y118" s="2">
        <v>0</v>
      </c>
      <c r="AD118" s="4">
        <v>18093180</v>
      </c>
    </row>
    <row r="119" spans="1:30" x14ac:dyDescent="0.25">
      <c r="A119" s="1">
        <v>45723</v>
      </c>
      <c r="B119">
        <v>2026988841</v>
      </c>
      <c r="C119" t="s">
        <v>63</v>
      </c>
      <c r="F119" t="s">
        <v>64</v>
      </c>
      <c r="H119">
        <v>673059</v>
      </c>
      <c r="I119" t="s">
        <v>34</v>
      </c>
      <c r="J119" t="s">
        <v>35</v>
      </c>
      <c r="K119" t="s">
        <v>39</v>
      </c>
      <c r="L119" s="1">
        <v>45717</v>
      </c>
      <c r="N119" t="s">
        <v>37</v>
      </c>
      <c r="Q119" t="s">
        <v>38</v>
      </c>
      <c r="R119" s="2">
        <v>25.73</v>
      </c>
      <c r="S119" s="2">
        <v>25.73</v>
      </c>
      <c r="T119">
        <v>0</v>
      </c>
      <c r="U119" s="3">
        <v>0.7</v>
      </c>
      <c r="V119" s="2">
        <v>0</v>
      </c>
      <c r="W119" s="3">
        <v>0</v>
      </c>
      <c r="X119" s="2">
        <v>0</v>
      </c>
      <c r="Y119" s="2">
        <v>0</v>
      </c>
      <c r="AD119" s="4">
        <v>18067760</v>
      </c>
    </row>
    <row r="120" spans="1:30" x14ac:dyDescent="0.25">
      <c r="A120" s="1">
        <v>45723</v>
      </c>
      <c r="B120">
        <v>2026988842</v>
      </c>
      <c r="C120" t="s">
        <v>63</v>
      </c>
      <c r="F120" t="s">
        <v>64</v>
      </c>
      <c r="H120">
        <v>673059</v>
      </c>
      <c r="I120" t="s">
        <v>34</v>
      </c>
      <c r="J120" t="s">
        <v>35</v>
      </c>
      <c r="K120" t="s">
        <v>40</v>
      </c>
      <c r="L120" s="1">
        <v>45717</v>
      </c>
      <c r="N120" t="s">
        <v>37</v>
      </c>
      <c r="Q120" t="s">
        <v>38</v>
      </c>
      <c r="R120" s="2">
        <v>31.14</v>
      </c>
      <c r="S120" s="2">
        <v>31.14</v>
      </c>
      <c r="T120">
        <v>0</v>
      </c>
      <c r="U120" s="3">
        <v>0.375</v>
      </c>
      <c r="V120" s="2">
        <v>0</v>
      </c>
      <c r="W120" s="3">
        <v>0</v>
      </c>
      <c r="X120" s="2">
        <v>0</v>
      </c>
      <c r="Y120" s="2">
        <v>0</v>
      </c>
      <c r="AD120" s="4">
        <v>18148550</v>
      </c>
    </row>
    <row r="121" spans="1:30" x14ac:dyDescent="0.25">
      <c r="A121" s="1">
        <v>45723</v>
      </c>
      <c r="B121">
        <v>2027177931</v>
      </c>
      <c r="C121" t="s">
        <v>85</v>
      </c>
      <c r="F121" t="s">
        <v>44</v>
      </c>
      <c r="H121">
        <v>673059</v>
      </c>
      <c r="I121" t="s">
        <v>34</v>
      </c>
      <c r="J121" t="s">
        <v>35</v>
      </c>
      <c r="K121" t="s">
        <v>39</v>
      </c>
      <c r="L121" s="1">
        <v>45717</v>
      </c>
      <c r="N121" t="s">
        <v>37</v>
      </c>
      <c r="Q121" t="s">
        <v>38</v>
      </c>
      <c r="R121" s="2">
        <v>21.44</v>
      </c>
      <c r="S121" s="2">
        <v>21.44</v>
      </c>
      <c r="T121">
        <v>0</v>
      </c>
      <c r="U121" s="3">
        <v>0.7</v>
      </c>
      <c r="V121" s="2">
        <v>0</v>
      </c>
      <c r="W121" s="3">
        <v>0</v>
      </c>
      <c r="X121" s="2">
        <v>0</v>
      </c>
      <c r="Y121" s="2">
        <v>0</v>
      </c>
      <c r="AD121" s="4">
        <v>18067760</v>
      </c>
    </row>
    <row r="122" spans="1:30" x14ac:dyDescent="0.25">
      <c r="A122" s="1">
        <v>45723</v>
      </c>
      <c r="B122">
        <v>2027177932</v>
      </c>
      <c r="C122" t="s">
        <v>85</v>
      </c>
      <c r="F122" t="s">
        <v>44</v>
      </c>
      <c r="H122">
        <v>673059</v>
      </c>
      <c r="I122" t="s">
        <v>34</v>
      </c>
      <c r="J122" t="s">
        <v>35</v>
      </c>
      <c r="K122" t="s">
        <v>36</v>
      </c>
      <c r="L122" s="1">
        <v>45717</v>
      </c>
      <c r="N122" t="s">
        <v>37</v>
      </c>
      <c r="Q122" t="s">
        <v>38</v>
      </c>
      <c r="R122" s="2">
        <v>53.04</v>
      </c>
      <c r="S122" s="2">
        <v>53.04</v>
      </c>
      <c r="T122">
        <v>0</v>
      </c>
      <c r="U122" s="3">
        <v>0.7</v>
      </c>
      <c r="V122" s="2">
        <v>0</v>
      </c>
      <c r="W122" s="3">
        <v>0</v>
      </c>
      <c r="X122" s="2">
        <v>0</v>
      </c>
      <c r="Y122" s="2">
        <v>0</v>
      </c>
      <c r="AD122" s="4">
        <v>18093340</v>
      </c>
    </row>
    <row r="123" spans="1:30" x14ac:dyDescent="0.25">
      <c r="A123" s="1">
        <v>45723</v>
      </c>
      <c r="B123">
        <v>2027183639</v>
      </c>
      <c r="C123" t="s">
        <v>89</v>
      </c>
      <c r="F123" t="s">
        <v>90</v>
      </c>
      <c r="H123">
        <v>673059</v>
      </c>
      <c r="I123" t="s">
        <v>34</v>
      </c>
      <c r="J123" t="s">
        <v>35</v>
      </c>
      <c r="K123" t="s">
        <v>36</v>
      </c>
      <c r="L123" s="1">
        <v>45717</v>
      </c>
      <c r="N123" t="s">
        <v>37</v>
      </c>
      <c r="Q123" t="s">
        <v>38</v>
      </c>
      <c r="R123" s="2">
        <v>35.04</v>
      </c>
      <c r="S123" s="2">
        <v>35.04</v>
      </c>
      <c r="T123">
        <v>0</v>
      </c>
      <c r="U123" s="3">
        <v>0.7</v>
      </c>
      <c r="V123" s="2">
        <v>0</v>
      </c>
      <c r="W123" s="3">
        <v>0</v>
      </c>
      <c r="X123" s="2">
        <v>0</v>
      </c>
      <c r="Y123" s="2">
        <v>0</v>
      </c>
      <c r="AD123" s="4">
        <v>18093360</v>
      </c>
    </row>
    <row r="124" spans="1:30" x14ac:dyDescent="0.25">
      <c r="A124" s="1">
        <v>45723</v>
      </c>
      <c r="B124">
        <v>2027183640</v>
      </c>
      <c r="C124" t="s">
        <v>89</v>
      </c>
      <c r="F124" t="s">
        <v>90</v>
      </c>
      <c r="H124">
        <v>673059</v>
      </c>
      <c r="I124" t="s">
        <v>34</v>
      </c>
      <c r="J124" t="s">
        <v>35</v>
      </c>
      <c r="K124" t="s">
        <v>40</v>
      </c>
      <c r="L124" s="1">
        <v>45717</v>
      </c>
      <c r="N124" t="s">
        <v>37</v>
      </c>
      <c r="Q124" t="s">
        <v>38</v>
      </c>
      <c r="R124" s="2">
        <v>63.34</v>
      </c>
      <c r="S124" s="2">
        <v>63.34</v>
      </c>
      <c r="T124">
        <v>0</v>
      </c>
      <c r="U124" s="3">
        <v>0.375</v>
      </c>
      <c r="V124" s="2">
        <v>0</v>
      </c>
      <c r="W124" s="3">
        <v>0</v>
      </c>
      <c r="X124" s="2">
        <v>0</v>
      </c>
      <c r="Y124" s="2">
        <v>0</v>
      </c>
      <c r="AD124" s="4">
        <v>18148790</v>
      </c>
    </row>
    <row r="125" spans="1:30" x14ac:dyDescent="0.25">
      <c r="A125" s="1">
        <v>45723</v>
      </c>
      <c r="B125">
        <v>2027321379</v>
      </c>
      <c r="C125" t="s">
        <v>109</v>
      </c>
      <c r="F125" t="s">
        <v>46</v>
      </c>
      <c r="H125">
        <v>673059</v>
      </c>
      <c r="I125" t="s">
        <v>34</v>
      </c>
      <c r="J125" t="s">
        <v>35</v>
      </c>
      <c r="K125" t="s">
        <v>36</v>
      </c>
      <c r="L125" s="1">
        <v>45713</v>
      </c>
      <c r="N125" t="s">
        <v>37</v>
      </c>
      <c r="Q125" t="s">
        <v>38</v>
      </c>
      <c r="R125" s="2">
        <v>169.06</v>
      </c>
      <c r="S125" s="2">
        <v>169.06</v>
      </c>
      <c r="T125">
        <v>0</v>
      </c>
      <c r="U125" s="3">
        <v>0.7</v>
      </c>
      <c r="V125" s="2">
        <v>0</v>
      </c>
      <c r="W125" s="3">
        <v>0</v>
      </c>
      <c r="X125" s="2">
        <v>0</v>
      </c>
      <c r="Y125" s="2">
        <v>0</v>
      </c>
      <c r="AD125" s="4">
        <v>18093600</v>
      </c>
    </row>
    <row r="126" spans="1:30" x14ac:dyDescent="0.25">
      <c r="A126" s="1">
        <v>45723</v>
      </c>
      <c r="B126">
        <v>2027321380</v>
      </c>
      <c r="C126" t="s">
        <v>109</v>
      </c>
      <c r="F126" t="s">
        <v>46</v>
      </c>
      <c r="H126">
        <v>673059</v>
      </c>
      <c r="I126" t="s">
        <v>34</v>
      </c>
      <c r="J126" t="s">
        <v>35</v>
      </c>
      <c r="K126" t="s">
        <v>40</v>
      </c>
      <c r="L126" s="1">
        <v>45713</v>
      </c>
      <c r="N126" t="s">
        <v>37</v>
      </c>
      <c r="Q126" t="s">
        <v>38</v>
      </c>
      <c r="R126" s="2">
        <v>27.64</v>
      </c>
      <c r="S126" s="2">
        <v>27.64</v>
      </c>
      <c r="T126">
        <v>0</v>
      </c>
      <c r="U126" s="3">
        <v>0.375</v>
      </c>
      <c r="V126" s="2">
        <v>0</v>
      </c>
      <c r="W126" s="3">
        <v>0</v>
      </c>
      <c r="X126" s="2">
        <v>0</v>
      </c>
      <c r="Y126" s="2">
        <v>0</v>
      </c>
      <c r="AD126" s="4">
        <v>18149100</v>
      </c>
    </row>
    <row r="127" spans="1:30" x14ac:dyDescent="0.25">
      <c r="A127" s="1">
        <v>45723</v>
      </c>
      <c r="B127">
        <v>2027343740</v>
      </c>
      <c r="C127" t="s">
        <v>121</v>
      </c>
      <c r="F127" t="s">
        <v>122</v>
      </c>
      <c r="H127">
        <v>673059</v>
      </c>
      <c r="I127" t="s">
        <v>34</v>
      </c>
      <c r="J127" t="s">
        <v>35</v>
      </c>
      <c r="K127" t="s">
        <v>36</v>
      </c>
      <c r="L127" s="1">
        <v>45714</v>
      </c>
      <c r="N127" t="s">
        <v>37</v>
      </c>
      <c r="Q127" t="s">
        <v>38</v>
      </c>
      <c r="R127" s="2">
        <v>10.82</v>
      </c>
      <c r="S127" s="2">
        <v>10.82</v>
      </c>
      <c r="T127">
        <v>0</v>
      </c>
      <c r="U127" s="3">
        <v>0.7</v>
      </c>
      <c r="V127" s="2">
        <v>0</v>
      </c>
      <c r="W127" s="3">
        <v>0</v>
      </c>
      <c r="X127" s="2">
        <v>0</v>
      </c>
      <c r="Y127" s="2">
        <v>0</v>
      </c>
      <c r="AD127" s="4">
        <v>18093730</v>
      </c>
    </row>
    <row r="128" spans="1:30" x14ac:dyDescent="0.25">
      <c r="A128" s="1">
        <v>45723</v>
      </c>
      <c r="B128">
        <v>2027343741</v>
      </c>
      <c r="C128" t="s">
        <v>121</v>
      </c>
      <c r="F128" t="s">
        <v>122</v>
      </c>
      <c r="H128">
        <v>673059</v>
      </c>
      <c r="I128" t="s">
        <v>34</v>
      </c>
      <c r="J128" t="s">
        <v>35</v>
      </c>
      <c r="K128" t="s">
        <v>40</v>
      </c>
      <c r="L128" s="1">
        <v>45714</v>
      </c>
      <c r="N128" t="s">
        <v>37</v>
      </c>
      <c r="Q128" t="s">
        <v>38</v>
      </c>
      <c r="R128" s="2">
        <v>59.58</v>
      </c>
      <c r="S128" s="2">
        <v>59.58</v>
      </c>
      <c r="T128">
        <v>0</v>
      </c>
      <c r="U128" s="3">
        <v>0.375</v>
      </c>
      <c r="V128" s="2">
        <v>0</v>
      </c>
      <c r="W128" s="3">
        <v>0</v>
      </c>
      <c r="X128" s="2">
        <v>0</v>
      </c>
      <c r="Y128" s="2">
        <v>0</v>
      </c>
      <c r="AD128" s="4">
        <v>18149220</v>
      </c>
    </row>
    <row r="129" spans="1:30" x14ac:dyDescent="0.25">
      <c r="A129" s="1">
        <v>45723</v>
      </c>
      <c r="B129">
        <v>2027348179</v>
      </c>
      <c r="C129" t="s">
        <v>124</v>
      </c>
      <c r="F129" t="s">
        <v>46</v>
      </c>
      <c r="H129">
        <v>673059</v>
      </c>
      <c r="I129" t="s">
        <v>34</v>
      </c>
      <c r="J129" t="s">
        <v>35</v>
      </c>
      <c r="K129" t="s">
        <v>113</v>
      </c>
      <c r="L129" s="1">
        <v>45716</v>
      </c>
      <c r="N129" t="s">
        <v>37</v>
      </c>
      <c r="Q129" t="s">
        <v>38</v>
      </c>
      <c r="R129" s="2">
        <v>139</v>
      </c>
      <c r="S129" s="2">
        <v>139</v>
      </c>
      <c r="T129">
        <v>0</v>
      </c>
      <c r="U129" s="3">
        <v>0.38</v>
      </c>
      <c r="V129" s="2">
        <v>0</v>
      </c>
      <c r="W129" s="3">
        <v>0</v>
      </c>
      <c r="X129" s="2">
        <v>0</v>
      </c>
      <c r="Y129" s="2">
        <v>0</v>
      </c>
      <c r="AD129" s="4">
        <v>18093760</v>
      </c>
    </row>
    <row r="130" spans="1:30" x14ac:dyDescent="0.25">
      <c r="A130" s="1">
        <v>45723</v>
      </c>
      <c r="B130">
        <v>2027348180</v>
      </c>
      <c r="C130" t="s">
        <v>124</v>
      </c>
      <c r="F130" t="s">
        <v>46</v>
      </c>
      <c r="H130">
        <v>673059</v>
      </c>
      <c r="I130" t="s">
        <v>34</v>
      </c>
      <c r="J130" t="s">
        <v>35</v>
      </c>
      <c r="K130" t="s">
        <v>125</v>
      </c>
      <c r="L130" s="1">
        <v>45716</v>
      </c>
      <c r="N130" t="s">
        <v>37</v>
      </c>
      <c r="Q130" t="s">
        <v>38</v>
      </c>
      <c r="R130" s="2">
        <v>41.61</v>
      </c>
      <c r="S130" s="2">
        <v>41.61</v>
      </c>
      <c r="T130">
        <v>0</v>
      </c>
      <c r="U130" s="3">
        <v>0.9</v>
      </c>
      <c r="V130" s="2">
        <v>0</v>
      </c>
      <c r="W130" s="3">
        <v>0</v>
      </c>
      <c r="X130" s="2">
        <v>0</v>
      </c>
      <c r="Y130" s="2">
        <v>0</v>
      </c>
      <c r="AD130" s="4">
        <v>18122860</v>
      </c>
    </row>
    <row r="131" spans="1:30" x14ac:dyDescent="0.25">
      <c r="A131" s="1">
        <v>45723</v>
      </c>
      <c r="B131">
        <v>2027348181</v>
      </c>
      <c r="C131" t="s">
        <v>124</v>
      </c>
      <c r="F131" t="s">
        <v>46</v>
      </c>
      <c r="H131">
        <v>673059</v>
      </c>
      <c r="I131" t="s">
        <v>34</v>
      </c>
      <c r="J131" t="s">
        <v>35</v>
      </c>
      <c r="K131" t="s">
        <v>36</v>
      </c>
      <c r="L131" s="1">
        <v>45716</v>
      </c>
      <c r="N131" t="s">
        <v>37</v>
      </c>
      <c r="Q131" t="s">
        <v>38</v>
      </c>
      <c r="R131" s="2">
        <v>47.95</v>
      </c>
      <c r="S131" s="2">
        <v>47.95</v>
      </c>
      <c r="T131">
        <v>0</v>
      </c>
      <c r="U131" s="3">
        <v>0.7</v>
      </c>
      <c r="V131" s="2">
        <v>0</v>
      </c>
      <c r="W131" s="3">
        <v>0</v>
      </c>
      <c r="X131" s="2">
        <v>0</v>
      </c>
      <c r="Y131" s="2">
        <v>0</v>
      </c>
      <c r="AD131" s="4">
        <v>18093760</v>
      </c>
    </row>
    <row r="132" spans="1:30" x14ac:dyDescent="0.25">
      <c r="A132" s="1">
        <v>45723</v>
      </c>
      <c r="B132">
        <v>2027348182</v>
      </c>
      <c r="C132" t="s">
        <v>124</v>
      </c>
      <c r="F132" t="s">
        <v>46</v>
      </c>
      <c r="H132">
        <v>673059</v>
      </c>
      <c r="I132" t="s">
        <v>34</v>
      </c>
      <c r="J132" t="s">
        <v>35</v>
      </c>
      <c r="K132" t="s">
        <v>126</v>
      </c>
      <c r="L132" s="1">
        <v>45716</v>
      </c>
      <c r="N132" t="s">
        <v>37</v>
      </c>
      <c r="Q132" t="s">
        <v>38</v>
      </c>
      <c r="R132" s="2">
        <v>15</v>
      </c>
      <c r="S132" s="2">
        <v>15</v>
      </c>
      <c r="T132">
        <v>0</v>
      </c>
      <c r="U132" s="3">
        <v>0.38</v>
      </c>
      <c r="V132" s="2">
        <v>0</v>
      </c>
      <c r="W132" s="3">
        <v>0</v>
      </c>
      <c r="X132" s="2">
        <v>0</v>
      </c>
      <c r="Y132" s="2">
        <v>0</v>
      </c>
      <c r="AD132" s="4">
        <v>18108380</v>
      </c>
    </row>
    <row r="133" spans="1:30" x14ac:dyDescent="0.25">
      <c r="A133" s="1">
        <v>45723</v>
      </c>
      <c r="B133">
        <v>2027476841</v>
      </c>
      <c r="C133" t="s">
        <v>182</v>
      </c>
      <c r="F133" t="s">
        <v>122</v>
      </c>
      <c r="H133">
        <v>673059</v>
      </c>
      <c r="I133" t="s">
        <v>34</v>
      </c>
      <c r="J133" t="s">
        <v>35</v>
      </c>
      <c r="K133" t="s">
        <v>36</v>
      </c>
      <c r="L133" s="1">
        <v>45717</v>
      </c>
      <c r="N133" t="s">
        <v>37</v>
      </c>
      <c r="Q133" t="s">
        <v>38</v>
      </c>
      <c r="R133" s="2">
        <v>10.82</v>
      </c>
      <c r="S133" s="2">
        <v>10.82</v>
      </c>
      <c r="T133">
        <v>0</v>
      </c>
      <c r="U133" s="3">
        <v>0.7</v>
      </c>
      <c r="V133" s="2">
        <v>0</v>
      </c>
      <c r="W133" s="3">
        <v>0</v>
      </c>
      <c r="X133" s="2">
        <v>0</v>
      </c>
      <c r="Y133" s="2">
        <v>0</v>
      </c>
      <c r="AD133" s="4">
        <v>18094440</v>
      </c>
    </row>
    <row r="134" spans="1:30" x14ac:dyDescent="0.25">
      <c r="A134" s="1">
        <v>45723</v>
      </c>
      <c r="B134">
        <v>2027476842</v>
      </c>
      <c r="C134" t="s">
        <v>182</v>
      </c>
      <c r="F134" t="s">
        <v>122</v>
      </c>
      <c r="H134">
        <v>673059</v>
      </c>
      <c r="I134" t="s">
        <v>34</v>
      </c>
      <c r="J134" t="s">
        <v>35</v>
      </c>
      <c r="K134" t="s">
        <v>40</v>
      </c>
      <c r="L134" s="1">
        <v>45717</v>
      </c>
      <c r="N134" t="s">
        <v>37</v>
      </c>
      <c r="Q134" t="s">
        <v>38</v>
      </c>
      <c r="R134" s="2">
        <v>67.23</v>
      </c>
      <c r="S134" s="2">
        <v>67.23</v>
      </c>
      <c r="T134">
        <v>0</v>
      </c>
      <c r="U134" s="3">
        <v>0.375</v>
      </c>
      <c r="V134" s="2">
        <v>0</v>
      </c>
      <c r="W134" s="3">
        <v>0</v>
      </c>
      <c r="X134" s="2">
        <v>0</v>
      </c>
      <c r="Y134" s="2">
        <v>0</v>
      </c>
      <c r="AD134" s="4">
        <v>18150060</v>
      </c>
    </row>
    <row r="135" spans="1:30" x14ac:dyDescent="0.25">
      <c r="A135" s="1">
        <v>45723</v>
      </c>
      <c r="B135">
        <v>2027182058</v>
      </c>
      <c r="C135" t="s">
        <v>86</v>
      </c>
      <c r="F135" t="s">
        <v>87</v>
      </c>
      <c r="H135">
        <v>767312</v>
      </c>
      <c r="I135" t="s">
        <v>88</v>
      </c>
      <c r="J135" t="s">
        <v>35</v>
      </c>
      <c r="K135" t="s">
        <v>40</v>
      </c>
      <c r="L135" s="1">
        <v>45707</v>
      </c>
      <c r="N135" t="s">
        <v>37</v>
      </c>
      <c r="Q135" t="s">
        <v>38</v>
      </c>
      <c r="R135" s="2">
        <v>36.69</v>
      </c>
      <c r="S135" s="2">
        <v>36.69</v>
      </c>
      <c r="T135">
        <v>0</v>
      </c>
      <c r="U135" s="3">
        <v>0.375</v>
      </c>
      <c r="V135" s="2">
        <v>0</v>
      </c>
      <c r="W135" s="3">
        <v>0</v>
      </c>
      <c r="X135" s="2">
        <v>0</v>
      </c>
      <c r="Y135" s="2">
        <v>0</v>
      </c>
      <c r="AD135" s="4">
        <v>18148780</v>
      </c>
    </row>
    <row r="136" spans="1:30" x14ac:dyDescent="0.25">
      <c r="A136" s="1">
        <v>45723</v>
      </c>
      <c r="B136">
        <v>2027357392</v>
      </c>
      <c r="C136" t="s">
        <v>131</v>
      </c>
      <c r="F136" t="s">
        <v>52</v>
      </c>
      <c r="H136">
        <v>767312</v>
      </c>
      <c r="I136" t="s">
        <v>88</v>
      </c>
      <c r="J136" t="s">
        <v>35</v>
      </c>
      <c r="K136" t="s">
        <v>60</v>
      </c>
      <c r="L136" s="1">
        <v>45714</v>
      </c>
      <c r="N136" t="s">
        <v>37</v>
      </c>
      <c r="Q136" t="s">
        <v>38</v>
      </c>
      <c r="R136" s="2">
        <v>28.94</v>
      </c>
      <c r="S136" s="2">
        <v>28.94</v>
      </c>
      <c r="T136">
        <v>0</v>
      </c>
      <c r="U136" s="3">
        <v>0.9</v>
      </c>
      <c r="V136" s="2">
        <v>0</v>
      </c>
      <c r="W136" s="3">
        <v>0</v>
      </c>
      <c r="X136" s="2">
        <v>0</v>
      </c>
      <c r="Y136" s="2">
        <v>0</v>
      </c>
      <c r="AD136" s="4">
        <v>18157160</v>
      </c>
    </row>
    <row r="137" spans="1:30" x14ac:dyDescent="0.25">
      <c r="A137" s="1">
        <v>45723</v>
      </c>
      <c r="B137">
        <v>2027375814</v>
      </c>
      <c r="C137" t="s">
        <v>134</v>
      </c>
      <c r="F137" t="s">
        <v>46</v>
      </c>
      <c r="H137">
        <v>767312</v>
      </c>
      <c r="I137" t="s">
        <v>88</v>
      </c>
      <c r="J137" t="s">
        <v>35</v>
      </c>
      <c r="K137" t="s">
        <v>40</v>
      </c>
      <c r="L137" s="1">
        <v>45715</v>
      </c>
      <c r="N137" t="s">
        <v>37</v>
      </c>
      <c r="Q137" t="s">
        <v>38</v>
      </c>
      <c r="R137" s="2">
        <v>32.520000000000003</v>
      </c>
      <c r="S137" s="2">
        <v>32.520000000000003</v>
      </c>
      <c r="T137">
        <v>0</v>
      </c>
      <c r="U137" s="3">
        <v>0.375</v>
      </c>
      <c r="V137" s="2">
        <v>0</v>
      </c>
      <c r="W137" s="3">
        <v>0</v>
      </c>
      <c r="X137" s="2">
        <v>0</v>
      </c>
      <c r="Y137" s="2">
        <v>0</v>
      </c>
      <c r="AD137" s="4">
        <v>18149400</v>
      </c>
    </row>
    <row r="138" spans="1:30" x14ac:dyDescent="0.25">
      <c r="A138" s="1">
        <v>45723</v>
      </c>
      <c r="B138">
        <v>2027378751</v>
      </c>
      <c r="C138" t="s">
        <v>135</v>
      </c>
      <c r="F138" t="s">
        <v>57</v>
      </c>
      <c r="H138">
        <v>767312</v>
      </c>
      <c r="I138" t="s">
        <v>88</v>
      </c>
      <c r="J138" t="s">
        <v>35</v>
      </c>
      <c r="K138" t="s">
        <v>36</v>
      </c>
      <c r="L138" s="1">
        <v>45717</v>
      </c>
      <c r="N138" t="s">
        <v>37</v>
      </c>
      <c r="Q138" t="s">
        <v>38</v>
      </c>
      <c r="R138" s="2">
        <v>163.43</v>
      </c>
      <c r="S138" s="2">
        <v>163.43</v>
      </c>
      <c r="T138">
        <v>0</v>
      </c>
      <c r="U138" s="3">
        <v>0.7</v>
      </c>
      <c r="V138" s="2">
        <v>0</v>
      </c>
      <c r="W138" s="3">
        <v>0</v>
      </c>
      <c r="X138" s="2">
        <v>0</v>
      </c>
      <c r="Y138" s="2">
        <v>0</v>
      </c>
      <c r="AD138" s="4">
        <v>18093900</v>
      </c>
    </row>
    <row r="139" spans="1:30" x14ac:dyDescent="0.25">
      <c r="A139" s="1">
        <v>45723</v>
      </c>
      <c r="B139">
        <v>2027431059</v>
      </c>
      <c r="C139" t="s">
        <v>162</v>
      </c>
      <c r="F139" t="s">
        <v>163</v>
      </c>
      <c r="H139">
        <v>767312</v>
      </c>
      <c r="I139" t="s">
        <v>88</v>
      </c>
      <c r="J139" t="s">
        <v>35</v>
      </c>
      <c r="K139" t="s">
        <v>40</v>
      </c>
      <c r="L139" s="1">
        <v>45716</v>
      </c>
      <c r="N139" t="s">
        <v>37</v>
      </c>
      <c r="Q139" t="s">
        <v>38</v>
      </c>
      <c r="R139" s="2">
        <v>29.06</v>
      </c>
      <c r="S139" s="2">
        <v>29.06</v>
      </c>
      <c r="T139">
        <v>0</v>
      </c>
      <c r="U139" s="3">
        <v>0.375</v>
      </c>
      <c r="V139" s="2">
        <v>0</v>
      </c>
      <c r="W139" s="3">
        <v>0</v>
      </c>
      <c r="X139" s="2">
        <v>0</v>
      </c>
      <c r="Y139" s="2">
        <v>0</v>
      </c>
      <c r="AD139" s="4">
        <v>18149760</v>
      </c>
    </row>
    <row r="140" spans="1:30" x14ac:dyDescent="0.25">
      <c r="A140" s="1">
        <v>45723</v>
      </c>
      <c r="B140">
        <v>2027468196</v>
      </c>
      <c r="C140" t="s">
        <v>179</v>
      </c>
      <c r="F140" t="s">
        <v>180</v>
      </c>
      <c r="H140">
        <v>767312</v>
      </c>
      <c r="I140" t="s">
        <v>88</v>
      </c>
      <c r="J140" t="s">
        <v>35</v>
      </c>
      <c r="K140" t="s">
        <v>40</v>
      </c>
      <c r="L140" s="1">
        <v>45717</v>
      </c>
      <c r="N140" t="s">
        <v>37</v>
      </c>
      <c r="Q140" t="s">
        <v>38</v>
      </c>
      <c r="R140" s="2">
        <v>29.08</v>
      </c>
      <c r="S140" s="2">
        <v>29.08</v>
      </c>
      <c r="T140">
        <v>0</v>
      </c>
      <c r="U140" s="3">
        <v>0.375</v>
      </c>
      <c r="V140" s="2">
        <v>0</v>
      </c>
      <c r="W140" s="3">
        <v>0</v>
      </c>
      <c r="X140" s="2">
        <v>0</v>
      </c>
      <c r="Y140" s="2">
        <v>0</v>
      </c>
      <c r="AD140" s="4">
        <v>18150020</v>
      </c>
    </row>
    <row r="141" spans="1:30" x14ac:dyDescent="0.25">
      <c r="A141" s="1">
        <v>45723</v>
      </c>
      <c r="B141">
        <v>2027475666</v>
      </c>
      <c r="C141" t="s">
        <v>181</v>
      </c>
      <c r="F141" t="s">
        <v>180</v>
      </c>
      <c r="H141">
        <v>767312</v>
      </c>
      <c r="I141" t="s">
        <v>88</v>
      </c>
      <c r="J141" t="s">
        <v>35</v>
      </c>
      <c r="K141" t="s">
        <v>40</v>
      </c>
      <c r="L141" s="1">
        <v>45717</v>
      </c>
      <c r="N141" t="s">
        <v>37</v>
      </c>
      <c r="Q141" t="s">
        <v>38</v>
      </c>
      <c r="R141" s="2">
        <v>60.58</v>
      </c>
      <c r="S141" s="2">
        <v>60.58</v>
      </c>
      <c r="T141">
        <v>0</v>
      </c>
      <c r="U141" s="3">
        <v>0.375</v>
      </c>
      <c r="V141" s="2">
        <v>0</v>
      </c>
      <c r="W141" s="3">
        <v>0</v>
      </c>
      <c r="X141" s="2">
        <v>0</v>
      </c>
      <c r="Y141" s="2">
        <v>0</v>
      </c>
      <c r="AD141" s="4">
        <v>18150060</v>
      </c>
    </row>
    <row r="142" spans="1:30" x14ac:dyDescent="0.25">
      <c r="A142" s="1">
        <v>45723</v>
      </c>
      <c r="B142">
        <v>2027478692</v>
      </c>
      <c r="C142" t="s">
        <v>183</v>
      </c>
      <c r="F142" t="s">
        <v>180</v>
      </c>
      <c r="H142">
        <v>767312</v>
      </c>
      <c r="I142" t="s">
        <v>88</v>
      </c>
      <c r="J142" t="s">
        <v>35</v>
      </c>
      <c r="K142" t="s">
        <v>40</v>
      </c>
      <c r="L142" s="1">
        <v>45717</v>
      </c>
      <c r="N142" t="s">
        <v>37</v>
      </c>
      <c r="Q142" t="s">
        <v>38</v>
      </c>
      <c r="R142" s="2">
        <v>29.08</v>
      </c>
      <c r="S142" s="2">
        <v>29.08</v>
      </c>
      <c r="T142">
        <v>0</v>
      </c>
      <c r="U142" s="3">
        <v>0.375</v>
      </c>
      <c r="V142" s="2">
        <v>0</v>
      </c>
      <c r="W142" s="3">
        <v>0</v>
      </c>
      <c r="X142" s="2">
        <v>0</v>
      </c>
      <c r="Y142" s="2">
        <v>0</v>
      </c>
      <c r="AD142" s="4">
        <v>18150080</v>
      </c>
    </row>
    <row r="143" spans="1:30" x14ac:dyDescent="0.25">
      <c r="A143" s="1">
        <v>45723</v>
      </c>
      <c r="B143">
        <v>2027388854</v>
      </c>
      <c r="C143" t="s">
        <v>142</v>
      </c>
      <c r="F143" t="s">
        <v>111</v>
      </c>
      <c r="H143">
        <v>822723</v>
      </c>
      <c r="I143" t="s">
        <v>142</v>
      </c>
      <c r="J143" t="s">
        <v>35</v>
      </c>
      <c r="K143" t="s">
        <v>40</v>
      </c>
      <c r="L143" s="1">
        <v>45717</v>
      </c>
      <c r="N143" t="s">
        <v>37</v>
      </c>
      <c r="Q143" t="s">
        <v>38</v>
      </c>
      <c r="R143" s="2">
        <v>128.91999999999999</v>
      </c>
      <c r="S143" s="2">
        <v>128.91999999999999</v>
      </c>
      <c r="T143">
        <v>0</v>
      </c>
      <c r="U143" s="3">
        <v>0.375</v>
      </c>
      <c r="V143" s="2">
        <v>0</v>
      </c>
      <c r="W143" s="3">
        <v>0</v>
      </c>
      <c r="X143" s="2">
        <v>0</v>
      </c>
      <c r="Y143" s="2">
        <v>0</v>
      </c>
      <c r="AD143" s="4">
        <v>18149510</v>
      </c>
    </row>
    <row r="144" spans="1:30" x14ac:dyDescent="0.25">
      <c r="A144" s="1">
        <v>45723</v>
      </c>
      <c r="B144">
        <v>2027388855</v>
      </c>
      <c r="C144" t="s">
        <v>142</v>
      </c>
      <c r="F144" t="s">
        <v>111</v>
      </c>
      <c r="H144">
        <v>822723</v>
      </c>
      <c r="I144" t="s">
        <v>142</v>
      </c>
      <c r="J144" t="s">
        <v>35</v>
      </c>
      <c r="K144" t="s">
        <v>36</v>
      </c>
      <c r="L144" s="1">
        <v>45717</v>
      </c>
      <c r="N144" t="s">
        <v>37</v>
      </c>
      <c r="Q144" t="s">
        <v>38</v>
      </c>
      <c r="R144" s="2">
        <v>135.06</v>
      </c>
      <c r="S144" s="2">
        <v>135.06</v>
      </c>
      <c r="T144">
        <v>0</v>
      </c>
      <c r="U144" s="3">
        <v>0.7</v>
      </c>
      <c r="V144" s="2">
        <v>0</v>
      </c>
      <c r="W144" s="3">
        <v>0</v>
      </c>
      <c r="X144" s="2">
        <v>0</v>
      </c>
      <c r="Y144" s="2">
        <v>0</v>
      </c>
      <c r="AD144" s="4">
        <v>18093960</v>
      </c>
    </row>
    <row r="145" spans="1:30" x14ac:dyDescent="0.25">
      <c r="A145" s="1">
        <v>45723</v>
      </c>
      <c r="B145">
        <v>2027108954</v>
      </c>
      <c r="C145" t="s">
        <v>73</v>
      </c>
      <c r="F145" t="s">
        <v>57</v>
      </c>
      <c r="H145">
        <v>792847</v>
      </c>
      <c r="I145" t="s">
        <v>74</v>
      </c>
      <c r="J145" t="s">
        <v>35</v>
      </c>
      <c r="K145" t="s">
        <v>36</v>
      </c>
      <c r="L145" s="1">
        <v>45717</v>
      </c>
      <c r="N145" t="s">
        <v>37</v>
      </c>
      <c r="Q145" t="s">
        <v>38</v>
      </c>
      <c r="R145" s="2">
        <v>369.95</v>
      </c>
      <c r="S145" s="2">
        <v>369.95</v>
      </c>
      <c r="T145">
        <v>0</v>
      </c>
      <c r="U145" s="3">
        <v>0.7</v>
      </c>
      <c r="V145" s="2">
        <v>0</v>
      </c>
      <c r="W145" s="3">
        <v>0</v>
      </c>
      <c r="X145" s="2">
        <v>0</v>
      </c>
      <c r="Y145" s="2">
        <v>0</v>
      </c>
      <c r="AD145" s="4">
        <v>18093270</v>
      </c>
    </row>
    <row r="146" spans="1:30" x14ac:dyDescent="0.25">
      <c r="A146" s="1">
        <v>45723</v>
      </c>
      <c r="B146">
        <v>2027108955</v>
      </c>
      <c r="C146" t="s">
        <v>73</v>
      </c>
      <c r="F146" t="s">
        <v>57</v>
      </c>
      <c r="H146">
        <v>792847</v>
      </c>
      <c r="I146" t="s">
        <v>74</v>
      </c>
      <c r="J146" t="s">
        <v>35</v>
      </c>
      <c r="K146" t="s">
        <v>40</v>
      </c>
      <c r="L146" s="1">
        <v>45717</v>
      </c>
      <c r="N146" t="s">
        <v>37</v>
      </c>
      <c r="Q146" t="s">
        <v>38</v>
      </c>
      <c r="R146" s="2">
        <v>96.98</v>
      </c>
      <c r="S146" s="2">
        <v>96.98</v>
      </c>
      <c r="T146">
        <v>0</v>
      </c>
      <c r="U146" s="3">
        <v>0.375</v>
      </c>
      <c r="V146" s="2">
        <v>0</v>
      </c>
      <c r="W146" s="3">
        <v>0</v>
      </c>
      <c r="X146" s="2">
        <v>0</v>
      </c>
      <c r="Y146" s="2">
        <v>0</v>
      </c>
      <c r="AD146" s="4">
        <v>18148700</v>
      </c>
    </row>
  </sheetData>
  <sortState xmlns:xlrd2="http://schemas.microsoft.com/office/spreadsheetml/2017/richdata2" ref="A2:AE146">
    <sortCondition ref="I2:I14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60961-4E62-4896-88B5-A9AB05F3F51A}">
  <dimension ref="A1:AF24"/>
  <sheetViews>
    <sheetView tabSelected="1" workbookViewId="0">
      <selection activeCell="G16" sqref="G16"/>
    </sheetView>
  </sheetViews>
  <sheetFormatPr defaultRowHeight="15" x14ac:dyDescent="0.25"/>
  <cols>
    <col min="2" max="2" width="14" bestFit="1" customWidth="1"/>
    <col min="9" max="9" width="22.28515625" bestFit="1" customWidth="1"/>
    <col min="11" max="11" width="42.42578125" bestFit="1" customWidth="1"/>
    <col min="18" max="18" width="17.85546875" bestFit="1" customWidth="1"/>
    <col min="19" max="19" width="16.140625" bestFit="1" customWidth="1"/>
    <col min="21" max="21" width="16.5703125" bestFit="1" customWidth="1"/>
    <col min="24" max="24" width="11.5703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 s="1">
        <v>45723</v>
      </c>
      <c r="B2">
        <v>2027519122</v>
      </c>
      <c r="C2" t="s">
        <v>194</v>
      </c>
      <c r="F2" t="s">
        <v>81</v>
      </c>
      <c r="H2">
        <v>17425766</v>
      </c>
      <c r="I2" t="s">
        <v>107</v>
      </c>
      <c r="J2" t="s">
        <v>35</v>
      </c>
      <c r="K2" t="s">
        <v>197</v>
      </c>
      <c r="L2" s="1">
        <v>45719</v>
      </c>
      <c r="N2" t="s">
        <v>37</v>
      </c>
      <c r="Q2" t="s">
        <v>38</v>
      </c>
      <c r="R2" s="2">
        <v>21.97</v>
      </c>
      <c r="S2" s="2">
        <v>21.97</v>
      </c>
      <c r="T2">
        <v>0</v>
      </c>
      <c r="U2" s="3">
        <v>0.38</v>
      </c>
      <c r="V2" s="2">
        <f>SUM(S2*U2)</f>
        <v>8.3485999999999994</v>
      </c>
      <c r="W2" s="2">
        <f>SUM(V2*6)</f>
        <v>50.0916</v>
      </c>
      <c r="X2" s="3">
        <v>0</v>
      </c>
      <c r="Y2" s="2">
        <v>0</v>
      </c>
      <c r="Z2" s="2">
        <v>0</v>
      </c>
      <c r="AE2" s="4">
        <v>18153780</v>
      </c>
    </row>
    <row r="3" spans="1:32" x14ac:dyDescent="0.25">
      <c r="A3" s="1">
        <v>45723</v>
      </c>
      <c r="B3">
        <v>2027519123</v>
      </c>
      <c r="C3" t="s">
        <v>194</v>
      </c>
      <c r="F3" t="s">
        <v>81</v>
      </c>
      <c r="H3">
        <v>17425766</v>
      </c>
      <c r="I3" t="s">
        <v>107</v>
      </c>
      <c r="J3" t="s">
        <v>35</v>
      </c>
      <c r="K3" t="s">
        <v>197</v>
      </c>
      <c r="L3" s="1">
        <v>45719</v>
      </c>
      <c r="N3" t="s">
        <v>37</v>
      </c>
      <c r="Q3" t="s">
        <v>38</v>
      </c>
      <c r="R3" s="2">
        <v>15</v>
      </c>
      <c r="S3" s="2">
        <v>15</v>
      </c>
      <c r="T3">
        <v>0</v>
      </c>
      <c r="U3" s="3">
        <v>0.38</v>
      </c>
      <c r="V3" s="2">
        <f t="shared" ref="V3:V9" si="0">SUM(S3*U3)</f>
        <v>5.7</v>
      </c>
      <c r="W3" s="2">
        <f t="shared" ref="W3:W9" si="1">SUM(V3*6)</f>
        <v>34.200000000000003</v>
      </c>
      <c r="X3" s="3">
        <v>0</v>
      </c>
      <c r="Y3" s="2">
        <v>0</v>
      </c>
      <c r="Z3" s="2">
        <v>0</v>
      </c>
      <c r="AE3" s="4">
        <v>18108660</v>
      </c>
    </row>
    <row r="4" spans="1:32" x14ac:dyDescent="0.25">
      <c r="A4" s="1">
        <v>45723</v>
      </c>
      <c r="B4">
        <v>2027307152</v>
      </c>
      <c r="C4" t="s">
        <v>101</v>
      </c>
      <c r="F4" t="s">
        <v>46</v>
      </c>
      <c r="H4">
        <v>17437820</v>
      </c>
      <c r="I4" t="s">
        <v>102</v>
      </c>
      <c r="J4" t="s">
        <v>35</v>
      </c>
      <c r="K4" t="s">
        <v>196</v>
      </c>
      <c r="L4" s="1">
        <v>45717</v>
      </c>
      <c r="N4" t="s">
        <v>37</v>
      </c>
      <c r="Q4" t="s">
        <v>38</v>
      </c>
      <c r="R4" s="2">
        <v>61.01</v>
      </c>
      <c r="S4" s="2">
        <v>61.01</v>
      </c>
      <c r="T4">
        <v>0</v>
      </c>
      <c r="U4" s="3">
        <v>0.375</v>
      </c>
      <c r="V4" s="2">
        <f t="shared" si="0"/>
        <v>22.87875</v>
      </c>
      <c r="W4" s="2">
        <f t="shared" si="1"/>
        <v>137.27250000000001</v>
      </c>
      <c r="X4" s="3">
        <v>0</v>
      </c>
      <c r="Y4" s="2">
        <v>0</v>
      </c>
      <c r="Z4" s="2">
        <v>0</v>
      </c>
      <c r="AE4" s="4">
        <v>18149020</v>
      </c>
    </row>
    <row r="5" spans="1:32" x14ac:dyDescent="0.25">
      <c r="A5" s="1">
        <v>45723</v>
      </c>
      <c r="B5">
        <v>2027328686</v>
      </c>
      <c r="C5" t="s">
        <v>116</v>
      </c>
      <c r="F5" t="s">
        <v>46</v>
      </c>
      <c r="H5">
        <v>17437820</v>
      </c>
      <c r="I5" t="s">
        <v>102</v>
      </c>
      <c r="J5" t="s">
        <v>35</v>
      </c>
      <c r="K5" t="s">
        <v>196</v>
      </c>
      <c r="L5" s="1">
        <v>45717</v>
      </c>
      <c r="N5" t="s">
        <v>37</v>
      </c>
      <c r="Q5" t="s">
        <v>38</v>
      </c>
      <c r="R5" s="2">
        <v>61.01</v>
      </c>
      <c r="S5" s="2">
        <v>61.01</v>
      </c>
      <c r="T5">
        <v>0</v>
      </c>
      <c r="U5" s="3">
        <v>0.375</v>
      </c>
      <c r="V5" s="2">
        <f t="shared" si="0"/>
        <v>22.87875</v>
      </c>
      <c r="W5" s="2">
        <f t="shared" si="1"/>
        <v>137.27250000000001</v>
      </c>
      <c r="X5" s="3">
        <v>0</v>
      </c>
      <c r="Y5" s="2">
        <v>0</v>
      </c>
      <c r="Z5" s="2">
        <v>0</v>
      </c>
      <c r="AE5" s="4">
        <v>18149130</v>
      </c>
    </row>
    <row r="6" spans="1:32" s="17" customFormat="1" x14ac:dyDescent="0.25">
      <c r="A6" s="16">
        <v>45723</v>
      </c>
      <c r="B6" s="17">
        <v>2027301089</v>
      </c>
      <c r="C6" s="17" t="s">
        <v>99</v>
      </c>
      <c r="F6" s="17" t="s">
        <v>46</v>
      </c>
      <c r="H6" s="17">
        <v>19681796</v>
      </c>
      <c r="I6" s="17" t="s">
        <v>100</v>
      </c>
      <c r="J6" s="17" t="s">
        <v>35</v>
      </c>
      <c r="K6" s="17" t="s">
        <v>195</v>
      </c>
      <c r="L6" s="16">
        <v>45713</v>
      </c>
      <c r="N6" s="17" t="s">
        <v>37</v>
      </c>
      <c r="Q6" s="17" t="s">
        <v>38</v>
      </c>
      <c r="R6" s="18">
        <v>11.5</v>
      </c>
      <c r="S6" s="18">
        <v>11.5</v>
      </c>
      <c r="T6" s="17">
        <v>0</v>
      </c>
      <c r="U6" s="19">
        <v>0.7</v>
      </c>
      <c r="V6" s="2">
        <f t="shared" si="0"/>
        <v>8.0499999999999989</v>
      </c>
      <c r="W6" s="2">
        <f t="shared" si="1"/>
        <v>48.3</v>
      </c>
      <c r="X6" s="19">
        <v>0</v>
      </c>
      <c r="Y6" s="18">
        <v>0</v>
      </c>
      <c r="Z6" s="18">
        <v>0</v>
      </c>
      <c r="AE6" s="20">
        <v>18093500</v>
      </c>
    </row>
    <row r="7" spans="1:32" s="17" customFormat="1" x14ac:dyDescent="0.25">
      <c r="A7" s="16">
        <v>45723</v>
      </c>
      <c r="B7" s="17">
        <v>2027438447</v>
      </c>
      <c r="C7" s="17" t="s">
        <v>172</v>
      </c>
      <c r="F7" s="17" t="s">
        <v>46</v>
      </c>
      <c r="H7" s="17">
        <v>19681796</v>
      </c>
      <c r="I7" s="17" t="s">
        <v>100</v>
      </c>
      <c r="J7" s="17" t="s">
        <v>35</v>
      </c>
      <c r="K7" s="17" t="s">
        <v>195</v>
      </c>
      <c r="L7" s="16">
        <v>45717</v>
      </c>
      <c r="N7" s="17" t="s">
        <v>37</v>
      </c>
      <c r="Q7" s="17" t="s">
        <v>38</v>
      </c>
      <c r="R7" s="18">
        <v>101.38</v>
      </c>
      <c r="S7" s="18">
        <v>101.38</v>
      </c>
      <c r="T7" s="17">
        <v>0</v>
      </c>
      <c r="U7" s="19">
        <v>0.7</v>
      </c>
      <c r="V7" s="2">
        <f t="shared" si="0"/>
        <v>70.965999999999994</v>
      </c>
      <c r="W7" s="2">
        <f t="shared" si="1"/>
        <v>425.79599999999994</v>
      </c>
      <c r="X7" s="19">
        <v>0</v>
      </c>
      <c r="Y7" s="18">
        <v>0</v>
      </c>
      <c r="Z7" s="18">
        <v>0</v>
      </c>
      <c r="AE7" s="20">
        <v>18094210</v>
      </c>
    </row>
    <row r="8" spans="1:32" s="17" customFormat="1" x14ac:dyDescent="0.25">
      <c r="A8" s="16">
        <v>45723</v>
      </c>
      <c r="B8" s="17">
        <v>2027384739</v>
      </c>
      <c r="C8" s="17" t="s">
        <v>139</v>
      </c>
      <c r="F8" s="17" t="s">
        <v>46</v>
      </c>
      <c r="H8" s="17">
        <v>8325282</v>
      </c>
      <c r="I8" s="17" t="s">
        <v>140</v>
      </c>
      <c r="J8" s="17" t="s">
        <v>35</v>
      </c>
      <c r="K8" s="17" t="s">
        <v>197</v>
      </c>
      <c r="L8" s="16">
        <v>45717</v>
      </c>
      <c r="N8" s="17" t="s">
        <v>37</v>
      </c>
      <c r="Q8" s="17" t="s">
        <v>114</v>
      </c>
      <c r="R8" s="18">
        <v>16.73</v>
      </c>
      <c r="S8" s="18">
        <v>16.73</v>
      </c>
      <c r="T8" s="17">
        <v>0</v>
      </c>
      <c r="U8" s="19">
        <v>0.38</v>
      </c>
      <c r="V8" s="2">
        <f t="shared" si="0"/>
        <v>6.3574000000000002</v>
      </c>
      <c r="W8" s="2">
        <f t="shared" si="1"/>
        <v>38.144400000000005</v>
      </c>
      <c r="X8" s="19">
        <v>0</v>
      </c>
      <c r="Y8" s="18">
        <v>0</v>
      </c>
      <c r="Z8" s="18">
        <v>0</v>
      </c>
      <c r="AE8" s="20">
        <v>18153730</v>
      </c>
    </row>
    <row r="9" spans="1:32" s="17" customFormat="1" x14ac:dyDescent="0.25">
      <c r="A9" s="16">
        <v>45723</v>
      </c>
      <c r="B9" s="17">
        <v>2027384740</v>
      </c>
      <c r="C9" s="17" t="s">
        <v>139</v>
      </c>
      <c r="F9" s="17" t="s">
        <v>46</v>
      </c>
      <c r="H9" s="17">
        <v>8325282</v>
      </c>
      <c r="I9" s="17" t="s">
        <v>140</v>
      </c>
      <c r="J9" s="17" t="s">
        <v>35</v>
      </c>
      <c r="K9" s="17" t="s">
        <v>197</v>
      </c>
      <c r="L9" s="16">
        <v>45717</v>
      </c>
      <c r="N9" s="17" t="s">
        <v>37</v>
      </c>
      <c r="Q9" s="17" t="s">
        <v>114</v>
      </c>
      <c r="R9" s="18">
        <v>15</v>
      </c>
      <c r="S9" s="18">
        <v>15</v>
      </c>
      <c r="T9" s="17">
        <v>0</v>
      </c>
      <c r="U9" s="19">
        <v>0.38</v>
      </c>
      <c r="V9" s="2">
        <f t="shared" si="0"/>
        <v>5.7</v>
      </c>
      <c r="W9" s="2">
        <f t="shared" si="1"/>
        <v>34.200000000000003</v>
      </c>
      <c r="X9" s="19">
        <v>0</v>
      </c>
      <c r="Y9" s="18">
        <v>0</v>
      </c>
      <c r="Z9" s="18">
        <v>0</v>
      </c>
      <c r="AE9" s="20">
        <v>18108440</v>
      </c>
    </row>
    <row r="10" spans="1:32" s="11" customFormat="1" x14ac:dyDescent="0.25">
      <c r="A10" s="10"/>
      <c r="L10" s="10"/>
      <c r="R10" s="12"/>
      <c r="S10" s="12"/>
      <c r="U10" s="13"/>
      <c r="V10" s="12"/>
      <c r="W10" s="12"/>
      <c r="X10" s="15"/>
      <c r="Y10" s="12"/>
      <c r="Z10" s="12"/>
      <c r="AE10" s="14"/>
    </row>
    <row r="11" spans="1:32" s="11" customFormat="1" x14ac:dyDescent="0.25">
      <c r="A11" s="10"/>
      <c r="L11" s="10"/>
      <c r="R11" s="12"/>
      <c r="S11" s="12"/>
      <c r="U11" s="13"/>
      <c r="V11" s="12"/>
      <c r="W11" s="12"/>
      <c r="X11" s="15"/>
      <c r="Y11" s="12"/>
      <c r="Z11" s="12"/>
      <c r="AE11" s="14"/>
    </row>
    <row r="12" spans="1:32" s="11" customFormat="1" x14ac:dyDescent="0.25">
      <c r="A12" s="10"/>
      <c r="L12" s="10"/>
      <c r="R12" s="12"/>
      <c r="S12" s="12"/>
      <c r="U12" s="13"/>
      <c r="V12" s="12"/>
      <c r="W12" s="12"/>
      <c r="X12" s="15"/>
      <c r="Y12" s="12"/>
      <c r="Z12" s="12"/>
      <c r="AE12" s="14"/>
    </row>
    <row r="13" spans="1:32" s="11" customFormat="1" x14ac:dyDescent="0.25">
      <c r="A13" s="10"/>
      <c r="L13" s="10"/>
      <c r="R13" s="12"/>
      <c r="S13" s="12"/>
      <c r="U13" s="13"/>
      <c r="V13" s="12"/>
      <c r="W13" s="12"/>
      <c r="X13" s="15"/>
      <c r="Y13" s="12"/>
      <c r="Z13" s="12"/>
      <c r="AE13" s="14"/>
    </row>
    <row r="14" spans="1:32" s="11" customFormat="1" x14ac:dyDescent="0.25">
      <c r="A14" s="10"/>
      <c r="L14" s="10"/>
      <c r="R14" s="12"/>
      <c r="S14" s="12"/>
      <c r="U14" s="13"/>
      <c r="V14" s="12"/>
      <c r="W14" s="12"/>
      <c r="X14" s="15"/>
      <c r="Y14" s="12"/>
      <c r="Z14" s="12"/>
      <c r="AE14" s="14"/>
    </row>
    <row r="15" spans="1:32" s="11" customFormat="1" x14ac:dyDescent="0.25">
      <c r="A15" s="10"/>
      <c r="L15" s="10"/>
      <c r="R15" s="12"/>
      <c r="S15" s="12"/>
      <c r="U15" s="13"/>
      <c r="V15" s="12"/>
      <c r="W15" s="12"/>
      <c r="X15" s="15"/>
      <c r="Y15" s="12"/>
      <c r="Z15" s="12"/>
      <c r="AE15" s="14"/>
    </row>
    <row r="16" spans="1:32" s="11" customFormat="1" x14ac:dyDescent="0.25">
      <c r="A16" s="10"/>
      <c r="L16" s="10"/>
      <c r="R16" s="12"/>
      <c r="S16" s="12"/>
      <c r="U16" s="13"/>
      <c r="V16" s="12"/>
      <c r="W16" s="12"/>
      <c r="X16" s="15"/>
      <c r="Y16" s="12"/>
      <c r="Z16" s="12"/>
      <c r="AE16" s="14"/>
    </row>
    <row r="17" spans="1:31" s="11" customFormat="1" x14ac:dyDescent="0.25">
      <c r="A17" s="10"/>
      <c r="L17" s="10"/>
      <c r="R17" s="12"/>
      <c r="S17" s="12"/>
      <c r="U17" s="13"/>
      <c r="V17" s="12"/>
      <c r="W17" s="12"/>
      <c r="X17" s="15"/>
      <c r="Y17" s="12"/>
      <c r="Z17" s="12"/>
      <c r="AE17" s="14"/>
    </row>
    <row r="18" spans="1:31" s="11" customFormat="1" x14ac:dyDescent="0.25">
      <c r="A18" s="10"/>
      <c r="L18" s="10"/>
      <c r="R18" s="12"/>
      <c r="S18" s="12"/>
      <c r="U18" s="13"/>
      <c r="V18" s="12"/>
      <c r="W18" s="12"/>
      <c r="X18" s="15"/>
      <c r="Y18" s="12"/>
      <c r="Z18" s="12"/>
      <c r="AE18" s="14"/>
    </row>
    <row r="19" spans="1:31" s="11" customFormat="1" x14ac:dyDescent="0.25">
      <c r="A19" s="10"/>
      <c r="L19" s="10"/>
      <c r="R19" s="12"/>
      <c r="S19" s="12"/>
      <c r="U19" s="13"/>
      <c r="V19" s="12"/>
      <c r="W19" s="12"/>
      <c r="X19" s="13"/>
      <c r="Y19" s="12"/>
      <c r="Z19" s="12"/>
      <c r="AE19" s="14"/>
    </row>
    <row r="20" spans="1:31" s="11" customFormat="1" x14ac:dyDescent="0.25">
      <c r="A20" s="10"/>
      <c r="L20" s="10"/>
      <c r="R20" s="12"/>
      <c r="S20" s="12"/>
      <c r="U20" s="13"/>
      <c r="V20" s="12"/>
      <c r="W20" s="12"/>
      <c r="X20" s="13"/>
      <c r="Y20" s="12"/>
      <c r="Z20" s="12"/>
      <c r="AE20" s="14"/>
    </row>
    <row r="21" spans="1:31" s="11" customFormat="1" x14ac:dyDescent="0.25">
      <c r="A21" s="10"/>
      <c r="L21" s="10"/>
      <c r="R21" s="12"/>
      <c r="S21" s="12"/>
      <c r="U21" s="13"/>
      <c r="V21" s="12"/>
      <c r="W21" s="12"/>
      <c r="X21" s="13"/>
      <c r="Y21" s="12"/>
      <c r="Z21" s="12"/>
      <c r="AE21" s="14"/>
    </row>
    <row r="22" spans="1:31" s="11" customFormat="1" x14ac:dyDescent="0.25">
      <c r="A22" s="10"/>
      <c r="L22" s="10"/>
      <c r="R22" s="12"/>
      <c r="S22" s="12"/>
      <c r="U22" s="13"/>
      <c r="V22" s="12"/>
      <c r="W22" s="12"/>
      <c r="X22" s="13"/>
      <c r="Y22" s="12"/>
      <c r="Z22" s="12"/>
      <c r="AE22" s="14"/>
    </row>
    <row r="23" spans="1:31" s="11" customFormat="1" x14ac:dyDescent="0.25">
      <c r="A23" s="10"/>
      <c r="L23" s="10"/>
      <c r="R23" s="12"/>
      <c r="S23" s="12"/>
      <c r="U23" s="13"/>
      <c r="V23" s="12"/>
      <c r="W23" s="12"/>
      <c r="X23" s="13"/>
      <c r="Y23" s="12"/>
      <c r="Z23" s="12"/>
      <c r="AE23" s="14"/>
    </row>
    <row r="24" spans="1:31" s="11" customForma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1C791-EF32-4300-8E83-4E72AE9028AF}">
  <dimension ref="A1:B22"/>
  <sheetViews>
    <sheetView workbookViewId="0">
      <selection activeCell="B1" sqref="B1:B22"/>
    </sheetView>
  </sheetViews>
  <sheetFormatPr defaultRowHeight="15" x14ac:dyDescent="0.25"/>
  <cols>
    <col min="2" max="2" width="9.42578125" bestFit="1" customWidth="1"/>
  </cols>
  <sheetData>
    <row r="1" spans="1:2" x14ac:dyDescent="0.25">
      <c r="A1" s="1">
        <v>45717</v>
      </c>
      <c r="B1" s="1">
        <f>DATE(YEAR(A1), MONTH(A1) +6, DAY(A1))</f>
        <v>45901</v>
      </c>
    </row>
    <row r="2" spans="1:2" x14ac:dyDescent="0.25">
      <c r="A2" s="1">
        <v>45717</v>
      </c>
      <c r="B2" s="1">
        <f t="shared" ref="B2:B18" si="0">DATE(YEAR(A2), MONTH(A2) +6, DAY(A2))</f>
        <v>45901</v>
      </c>
    </row>
    <row r="3" spans="1:2" x14ac:dyDescent="0.25">
      <c r="A3" s="1">
        <v>45717</v>
      </c>
      <c r="B3" s="1">
        <f t="shared" si="0"/>
        <v>45901</v>
      </c>
    </row>
    <row r="4" spans="1:2" x14ac:dyDescent="0.25">
      <c r="A4" s="1">
        <v>45717</v>
      </c>
      <c r="B4" s="1">
        <f t="shared" si="0"/>
        <v>45901</v>
      </c>
    </row>
    <row r="5" spans="1:2" x14ac:dyDescent="0.25">
      <c r="A5" s="1">
        <v>45717</v>
      </c>
      <c r="B5" s="1">
        <f t="shared" si="0"/>
        <v>45901</v>
      </c>
    </row>
    <row r="6" spans="1:2" x14ac:dyDescent="0.25">
      <c r="A6" s="1">
        <v>45717</v>
      </c>
      <c r="B6" s="1">
        <f t="shared" si="0"/>
        <v>45901</v>
      </c>
    </row>
    <row r="7" spans="1:2" x14ac:dyDescent="0.25">
      <c r="A7" s="1">
        <v>45717</v>
      </c>
      <c r="B7" s="1">
        <f t="shared" si="0"/>
        <v>45901</v>
      </c>
    </row>
    <row r="8" spans="1:2" x14ac:dyDescent="0.25">
      <c r="A8" s="1">
        <v>45717</v>
      </c>
      <c r="B8" s="1">
        <f t="shared" si="0"/>
        <v>45901</v>
      </c>
    </row>
    <row r="9" spans="1:2" x14ac:dyDescent="0.25">
      <c r="A9" s="1">
        <v>45717</v>
      </c>
      <c r="B9" s="1">
        <f t="shared" si="0"/>
        <v>45901</v>
      </c>
    </row>
    <row r="10" spans="1:2" x14ac:dyDescent="0.25">
      <c r="A10" s="1">
        <v>45717</v>
      </c>
      <c r="B10" s="1">
        <f t="shared" si="0"/>
        <v>45901</v>
      </c>
    </row>
    <row r="11" spans="1:2" x14ac:dyDescent="0.25">
      <c r="A11" s="1">
        <v>45717</v>
      </c>
      <c r="B11" s="1">
        <f t="shared" si="0"/>
        <v>45901</v>
      </c>
    </row>
    <row r="12" spans="1:2" x14ac:dyDescent="0.25">
      <c r="A12" s="1">
        <v>45717</v>
      </c>
      <c r="B12" s="1">
        <f t="shared" si="0"/>
        <v>45901</v>
      </c>
    </row>
    <row r="13" spans="1:2" x14ac:dyDescent="0.25">
      <c r="A13" s="1">
        <v>45722</v>
      </c>
      <c r="B13" s="1">
        <f t="shared" si="0"/>
        <v>45906</v>
      </c>
    </row>
    <row r="14" spans="1:2" x14ac:dyDescent="0.25">
      <c r="A14" s="1">
        <v>45722</v>
      </c>
      <c r="B14" s="1">
        <f t="shared" si="0"/>
        <v>45906</v>
      </c>
    </row>
    <row r="15" spans="1:2" x14ac:dyDescent="0.25">
      <c r="A15" s="1">
        <v>45721</v>
      </c>
      <c r="B15" s="1">
        <f t="shared" si="0"/>
        <v>45905</v>
      </c>
    </row>
    <row r="16" spans="1:2" x14ac:dyDescent="0.25">
      <c r="A16" s="1">
        <v>45717</v>
      </c>
      <c r="B16" s="1">
        <f t="shared" si="0"/>
        <v>45901</v>
      </c>
    </row>
    <row r="17" spans="1:2" x14ac:dyDescent="0.25">
      <c r="A17" s="1">
        <v>45717</v>
      </c>
      <c r="B17" s="1">
        <f t="shared" si="0"/>
        <v>45901</v>
      </c>
    </row>
    <row r="18" spans="1:2" x14ac:dyDescent="0.25">
      <c r="A18" s="1">
        <v>45716</v>
      </c>
      <c r="B18" s="1">
        <f>DATE(YEAR(A18), MONTH(A18) +1, DAY(A18))</f>
        <v>45744</v>
      </c>
    </row>
    <row r="19" spans="1:2" x14ac:dyDescent="0.25">
      <c r="A19" s="1">
        <v>45717</v>
      </c>
      <c r="B19" s="1">
        <f t="shared" ref="B19:B22" si="1">DATE(YEAR(A19), MONTH(A19) +1, DAY(A19))</f>
        <v>45748</v>
      </c>
    </row>
    <row r="20" spans="1:2" x14ac:dyDescent="0.25">
      <c r="A20" s="1">
        <v>45718</v>
      </c>
      <c r="B20" s="1">
        <f t="shared" si="1"/>
        <v>45749</v>
      </c>
    </row>
    <row r="21" spans="1:2" x14ac:dyDescent="0.25">
      <c r="A21" s="1">
        <v>45718</v>
      </c>
      <c r="B21" s="1">
        <f t="shared" si="1"/>
        <v>45749</v>
      </c>
    </row>
    <row r="22" spans="1:2" x14ac:dyDescent="0.25">
      <c r="A22" s="1">
        <v>45718</v>
      </c>
      <c r="B22" s="1">
        <f t="shared" si="1"/>
        <v>45749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649163__Newbusiness_NEW_BUSINES</vt:lpstr>
      <vt:lpstr>Policies I practiced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2025-03-11T15:38:45Z</dcterms:created>
  <dcterms:modified xsi:type="dcterms:W3CDTF">2025-03-12T16:11:13Z</dcterms:modified>
</cp:coreProperties>
</file>