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8-4-25\"/>
    </mc:Choice>
  </mc:AlternateContent>
  <xr:revisionPtr revIDLastSave="0" documentId="13_ncr:1_{FB6F803E-8F4F-48D7-AC5B-CEBC413D8B74}" xr6:coauthVersionLast="47" xr6:coauthVersionMax="47" xr10:uidLastSave="{00000000-0000-0000-0000-000000000000}"/>
  <bookViews>
    <workbookView xWindow="-57720" yWindow="-45" windowWidth="29040" windowHeight="15720" activeTab="1" xr2:uid="{BF3B8F9F-DB9C-4307-9903-33F26A3FDF57}"/>
  </bookViews>
  <sheets>
    <sheet name="649163__Newbusiness_NEW_BUSINES" sheetId="1" r:id="rId1"/>
    <sheet name="Sheet1" sheetId="2" r:id="rId2"/>
  </sheets>
  <definedNames>
    <definedName name="_xlnm._FilterDatabase" localSheetId="0" hidden="1">'649163__Newbusiness_NEW_BUSINES'!$A$1:$AL$237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2" i="2"/>
  <c r="H6" i="2"/>
  <c r="H8" i="2"/>
  <c r="H5" i="2"/>
  <c r="H9" i="2"/>
  <c r="H10" i="2"/>
  <c r="H2" i="2"/>
  <c r="H11" i="2"/>
  <c r="H7" i="2"/>
  <c r="H3" i="2"/>
  <c r="H4" i="2"/>
  <c r="H14" i="2"/>
  <c r="H13" i="2"/>
  <c r="H16" i="2"/>
  <c r="H18" i="2"/>
  <c r="H15" i="2"/>
  <c r="H17" i="2"/>
  <c r="H19" i="2"/>
  <c r="H12" i="2"/>
  <c r="H20" i="2"/>
  <c r="H21" i="2"/>
  <c r="H22" i="2"/>
  <c r="H23" i="2"/>
  <c r="H24" i="2"/>
  <c r="H25" i="2"/>
  <c r="H26" i="2"/>
  <c r="H27" i="2"/>
  <c r="H28" i="2"/>
  <c r="H32" i="2"/>
  <c r="H29" i="2"/>
  <c r="H35" i="2"/>
  <c r="H33" i="2"/>
  <c r="H30" i="2"/>
  <c r="H36" i="2"/>
  <c r="H34" i="2"/>
  <c r="H31" i="2"/>
  <c r="H37" i="2"/>
  <c r="H39" i="2"/>
  <c r="H38" i="2"/>
  <c r="H42" i="2"/>
  <c r="H40" i="2"/>
  <c r="H41" i="2"/>
  <c r="H43" i="2"/>
  <c r="H47" i="2"/>
  <c r="H44" i="2"/>
  <c r="H48" i="2"/>
  <c r="H45" i="2"/>
  <c r="H49" i="2"/>
  <c r="H50" i="2"/>
  <c r="H46" i="2"/>
  <c r="H51" i="2"/>
  <c r="H56" i="2"/>
  <c r="H55" i="2"/>
  <c r="H53" i="2"/>
  <c r="H54" i="2"/>
  <c r="H52" i="2"/>
  <c r="H57" i="2"/>
  <c r="H58" i="2"/>
  <c r="H59" i="2"/>
  <c r="H60" i="2"/>
  <c r="H61" i="2"/>
  <c r="H63" i="2"/>
  <c r="H65" i="2"/>
  <c r="H64" i="2"/>
  <c r="H62" i="2"/>
  <c r="H66" i="2"/>
  <c r="H67" i="2"/>
  <c r="H69" i="2"/>
  <c r="H70" i="2"/>
  <c r="H68" i="2"/>
  <c r="H71" i="2"/>
</calcChain>
</file>

<file path=xl/sharedStrings.xml><?xml version="1.0" encoding="utf-8"?>
<sst xmlns="http://schemas.openxmlformats.org/spreadsheetml/2006/main" count="4139" uniqueCount="322">
  <si>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</si>
  <si>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</si>
  <si>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</si>
  <si>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</si>
  <si>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</si>
  <si>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</si>
  <si>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</si>
  <si>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</si>
  <si>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</si>
  <si>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</si>
  <si>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</si>
  <si>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</si>
  <si>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</si>
  <si>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</si>
  <si>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</si>
  <si>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</si>
  <si>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</si>
  <si>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</si>
  <si>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</si>
  <si>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</si>
  <si>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</si>
  <si>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</si>
  <si>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</si>
  <si>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</si>
  <si>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</si>
  <si>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</si>
  <si>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</si>
  <si>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</si>
  <si>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</si>
  <si>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</si>
  <si>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</si>
  <si>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</si>
  <si>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</si>
  <si>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</si>
  <si>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</si>
  <si>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</si>
  <si>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</si>
  <si>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</si>
  <si>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</si>
  <si>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</si>
  <si>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</si>
  <si>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</si>
  <si>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</si>
  <si>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</si>
  <si>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REBECCA FERTIG</t>
  </si>
  <si>
    <t>SC</t>
  </si>
  <si>
    <t>'673059</t>
  </si>
  <si>
    <t>RYAN CALTAGIRONE</t>
  </si>
  <si>
    <t>Active</t>
  </si>
  <si>
    <t>Cancer and Heart/Stroke GI 20231</t>
  </si>
  <si>
    <t>Monthly</t>
  </si>
  <si>
    <t>AV</t>
  </si>
  <si>
    <t>[NOADMINFEE]</t>
  </si>
  <si>
    <t>Plan Enhancer 20214</t>
  </si>
  <si>
    <t>KRYSTAL THRONE</t>
  </si>
  <si>
    <t>MI</t>
  </si>
  <si>
    <t>Critical Illness w/ Term Life 21677</t>
  </si>
  <si>
    <t>Cancer and Heart/Stroke 20231 CO-FL-MN-MI</t>
  </si>
  <si>
    <t>Life Association C All Other States</t>
  </si>
  <si>
    <t>STARLA STREET</t>
  </si>
  <si>
    <t>IL</t>
  </si>
  <si>
    <t>'766747</t>
  </si>
  <si>
    <t>MICHAEL DUNAVANT</t>
  </si>
  <si>
    <t>ANTOINETTE LARSON</t>
  </si>
  <si>
    <t>AZ</t>
  </si>
  <si>
    <t>REBECCA HABERSTROH</t>
  </si>
  <si>
    <t>PA</t>
  </si>
  <si>
    <t>'728134</t>
  </si>
  <si>
    <t>DEBORAH INSKIPT</t>
  </si>
  <si>
    <t>NHIC Dental 2020 DVH 65+</t>
  </si>
  <si>
    <t>AV1</t>
  </si>
  <si>
    <t>TERRY SELF</t>
  </si>
  <si>
    <t>IN</t>
  </si>
  <si>
    <t>'877790</t>
  </si>
  <si>
    <t>MARSHA SANDEROCK</t>
  </si>
  <si>
    <t>Dental Indemnity 21618</t>
  </si>
  <si>
    <t>LAUREEN KIEMEL</t>
  </si>
  <si>
    <t>'651818</t>
  </si>
  <si>
    <t>GREGORY TEIPEL</t>
  </si>
  <si>
    <t>TAMECIA JARVIS</t>
  </si>
  <si>
    <t>MT</t>
  </si>
  <si>
    <t>Cancer and Heart/Stroke 20231</t>
  </si>
  <si>
    <t>KEVIN MYERS</t>
  </si>
  <si>
    <t>OH</t>
  </si>
  <si>
    <t>'874230</t>
  </si>
  <si>
    <t>JENNIFER HALSAVER</t>
  </si>
  <si>
    <t>SELECT DENTAL 29304</t>
  </si>
  <si>
    <t>CRAIG HUEY</t>
  </si>
  <si>
    <t>'649247</t>
  </si>
  <si>
    <t>ANNE MARIE KOZACHECK</t>
  </si>
  <si>
    <t>Accident Fixed Benefit</t>
  </si>
  <si>
    <t>STACEY GEORGE</t>
  </si>
  <si>
    <t>TX</t>
  </si>
  <si>
    <t>'753748</t>
  </si>
  <si>
    <t>MATTHEW DAUGHERTY</t>
  </si>
  <si>
    <t>JOANNE WEBER</t>
  </si>
  <si>
    <t>WY</t>
  </si>
  <si>
    <t>ROGER NALLY</t>
  </si>
  <si>
    <t>TrioMED Accident and CI 14939</t>
  </si>
  <si>
    <t>GREGORY LEONARD</t>
  </si>
  <si>
    <t>FL</t>
  </si>
  <si>
    <t>Allstate Health Cancer Only 5035</t>
  </si>
  <si>
    <t>ESTER PELEGCOHEN</t>
  </si>
  <si>
    <t>AK</t>
  </si>
  <si>
    <t>ERIC SHAW</t>
  </si>
  <si>
    <t>SD</t>
  </si>
  <si>
    <t>LANTONYA SPELLS</t>
  </si>
  <si>
    <t>'767312</t>
  </si>
  <si>
    <t>THOMAS PARDUE</t>
  </si>
  <si>
    <t>BEVERLY MAYER</t>
  </si>
  <si>
    <t>JOAN HOUY</t>
  </si>
  <si>
    <t>THOMAS WOODS</t>
  </si>
  <si>
    <t>WI</t>
  </si>
  <si>
    <t>'824076</t>
  </si>
  <si>
    <t>SAADIA ABDUL</t>
  </si>
  <si>
    <t>JACQUELYNE SCHMIDT</t>
  </si>
  <si>
    <t>NOAH HATELY</t>
  </si>
  <si>
    <t>Term Life 21673</t>
  </si>
  <si>
    <t>JUDY PAVELETZKE</t>
  </si>
  <si>
    <t>'856163</t>
  </si>
  <si>
    <t>CHAD YALE</t>
  </si>
  <si>
    <t>REGALADO LEVIN</t>
  </si>
  <si>
    <t>'816021</t>
  </si>
  <si>
    <t>HEATHER MILLER</t>
  </si>
  <si>
    <t>JENNIFER ALEXANDER</t>
  </si>
  <si>
    <t>WENDY DOUGLAS</t>
  </si>
  <si>
    <t>RACHEL BYRD</t>
  </si>
  <si>
    <t>LA</t>
  </si>
  <si>
    <t>ASHLEY YAWORSKI</t>
  </si>
  <si>
    <t>'824062</t>
  </si>
  <si>
    <t>ANDREW CHOI</t>
  </si>
  <si>
    <t>MELISSA O'BRIEN</t>
  </si>
  <si>
    <t>CAROLYN MCSPADDEN</t>
  </si>
  <si>
    <t>OK</t>
  </si>
  <si>
    <t>BUCKLIN ROBBINS</t>
  </si>
  <si>
    <t>DEVANJALI LUTHRA</t>
  </si>
  <si>
    <t>GARY SHIPLEY</t>
  </si>
  <si>
    <t>KS</t>
  </si>
  <si>
    <t>CONNOR ALEXA</t>
  </si>
  <si>
    <t>'766422</t>
  </si>
  <si>
    <t>GREGORY HANSFORD</t>
  </si>
  <si>
    <t>KIMBERLY WALLS</t>
  </si>
  <si>
    <t>TAURUS ROSS</t>
  </si>
  <si>
    <t>OWEN CASTLEMAN</t>
  </si>
  <si>
    <t>'812782</t>
  </si>
  <si>
    <t>JACOB YALE</t>
  </si>
  <si>
    <t>RAFAT SULTANA</t>
  </si>
  <si>
    <t>KEVIN BROWN</t>
  </si>
  <si>
    <t>OR</t>
  </si>
  <si>
    <t>AMARACHI OKEKE</t>
  </si>
  <si>
    <t>MD</t>
  </si>
  <si>
    <t>'823068</t>
  </si>
  <si>
    <t>RONALD MAX</t>
  </si>
  <si>
    <t>CHERIE GREEN</t>
  </si>
  <si>
    <t>'652037</t>
  </si>
  <si>
    <t>ADAM RICHTER</t>
  </si>
  <si>
    <t>ALENE HANNA</t>
  </si>
  <si>
    <t>ELLEN WEILER</t>
  </si>
  <si>
    <t>SABRELLE LEWIS</t>
  </si>
  <si>
    <t>BINAL SHAH</t>
  </si>
  <si>
    <t>'822733</t>
  </si>
  <si>
    <t>CHRISTOPHER BROUSSEAU</t>
  </si>
  <si>
    <t>JOY RITCHIE</t>
  </si>
  <si>
    <t>MICHELLE CHAMBERS</t>
  </si>
  <si>
    <t>'821015</t>
  </si>
  <si>
    <t>BARRY SCHUMANN</t>
  </si>
  <si>
    <t>SARA RIVERA</t>
  </si>
  <si>
    <t>'822865</t>
  </si>
  <si>
    <t>KIRK TIGUE</t>
  </si>
  <si>
    <t>LUOISE MCCABE</t>
  </si>
  <si>
    <t>AMARBAYASGALAN GANBOLD</t>
  </si>
  <si>
    <t>'807212</t>
  </si>
  <si>
    <t>NASANDELGER ZANA</t>
  </si>
  <si>
    <t>ROBIN FEWELL</t>
  </si>
  <si>
    <t>JEROME JR</t>
  </si>
  <si>
    <t>JAYSON BEAKE</t>
  </si>
  <si>
    <t>BECKY FLEMING-SIEBENALER</t>
  </si>
  <si>
    <t>GISELLE YANEZ</t>
  </si>
  <si>
    <t>'768271</t>
  </si>
  <si>
    <t>BRIAN STROHMAN</t>
  </si>
  <si>
    <t>CHRISTIAN ROUSSEAU</t>
  </si>
  <si>
    <t>'882035</t>
  </si>
  <si>
    <t>JASON ROLLER</t>
  </si>
  <si>
    <t>MARIE WASHINGTON</t>
  </si>
  <si>
    <t>OTNIEL MORILLA</t>
  </si>
  <si>
    <t>JILL SOBIE</t>
  </si>
  <si>
    <t>NHIC LM 2021 Hospital Expense Protection U65</t>
  </si>
  <si>
    <t>LIFE Association Membership - C 14956 LM</t>
  </si>
  <si>
    <t>JEREMY LARSON</t>
  </si>
  <si>
    <t>'840313</t>
  </si>
  <si>
    <t>ANTHONY HUNSBERGER</t>
  </si>
  <si>
    <t>DARRYL CHESTER</t>
  </si>
  <si>
    <t>ALANA BURKE</t>
  </si>
  <si>
    <t>CO</t>
  </si>
  <si>
    <t>DAVID HILFIKER</t>
  </si>
  <si>
    <t>WA</t>
  </si>
  <si>
    <t>'756418</t>
  </si>
  <si>
    <t>JARED KINYUA</t>
  </si>
  <si>
    <t>DINA CUCUNATO</t>
  </si>
  <si>
    <t>'813184</t>
  </si>
  <si>
    <t>CHRISTIAN TAUGNER</t>
  </si>
  <si>
    <t>FRANSWAYN HAWKINS</t>
  </si>
  <si>
    <t>'884595</t>
  </si>
  <si>
    <t>MICHAEL GARNETT</t>
  </si>
  <si>
    <t>ANNE RAFFETTO</t>
  </si>
  <si>
    <t>EVA NOOTEBOOM</t>
  </si>
  <si>
    <t>DEBORAH NOOTEBOOM</t>
  </si>
  <si>
    <t>DAWN PLOETZ</t>
  </si>
  <si>
    <t>'823350</t>
  </si>
  <si>
    <t>RICHARD YALE</t>
  </si>
  <si>
    <t>STEVEN KLANK</t>
  </si>
  <si>
    <t>DOUGLAS ANDREW</t>
  </si>
  <si>
    <t>'768887</t>
  </si>
  <si>
    <t>ANDREA PETRUNGARO</t>
  </si>
  <si>
    <t>SELENGE ALTANGEREL</t>
  </si>
  <si>
    <t>MICHELLE ANDREW</t>
  </si>
  <si>
    <t>MARY GARCIA</t>
  </si>
  <si>
    <t>AMBER WOOD</t>
  </si>
  <si>
    <t>ANTWAN FABRE</t>
  </si>
  <si>
    <t>FLEIX RIOS</t>
  </si>
  <si>
    <t>CARSON SILER</t>
  </si>
  <si>
    <t>UT</t>
  </si>
  <si>
    <t>JENNIFER BLODGETT</t>
  </si>
  <si>
    <t>'885445</t>
  </si>
  <si>
    <t>RYAN STOCKER</t>
  </si>
  <si>
    <t>Allstate Health Access</t>
  </si>
  <si>
    <t>Allstate Recuro RX Discount Card</t>
  </si>
  <si>
    <t>TrioMED 15k 15285</t>
  </si>
  <si>
    <t>MARY FURRY</t>
  </si>
  <si>
    <t>TrioMED 30k 15307</t>
  </si>
  <si>
    <t>NANCY FREEMAN</t>
  </si>
  <si>
    <t>RUSSELL FURRY</t>
  </si>
  <si>
    <t>GOLDA SCHONFELD</t>
  </si>
  <si>
    <t>'650218</t>
  </si>
  <si>
    <t>CAROL FOLEY</t>
  </si>
  <si>
    <t>RACHEL STERLING</t>
  </si>
  <si>
    <t>MILTON SEABOLT</t>
  </si>
  <si>
    <t>TN</t>
  </si>
  <si>
    <t>KRISTIAN WALLACE</t>
  </si>
  <si>
    <t>BOGUS APP</t>
  </si>
  <si>
    <t>DANIEL MASO</t>
  </si>
  <si>
    <t>KAREN JENKINS</t>
  </si>
  <si>
    <t>KAREN PAPPAS</t>
  </si>
  <si>
    <t>REBECCA PENNINGROTH</t>
  </si>
  <si>
    <t>SHERRI EDELMAN</t>
  </si>
  <si>
    <t>KEVIN MADSEN</t>
  </si>
  <si>
    <t>CORA PAPPAS</t>
  </si>
  <si>
    <t>'751867</t>
  </si>
  <si>
    <t>JOHN ROKEN</t>
  </si>
  <si>
    <t>DANIEL HUEPPCHEN</t>
  </si>
  <si>
    <t>LACI SHOLL</t>
  </si>
  <si>
    <t>'669316</t>
  </si>
  <si>
    <t>COLLEEN FINNIGAN</t>
  </si>
  <si>
    <t>GHESSICA LEWIS</t>
  </si>
  <si>
    <t>BEN NEATHERLIN</t>
  </si>
  <si>
    <t>SHIRLY TALABAN</t>
  </si>
  <si>
    <t>JOHNATHAN LOWRY</t>
  </si>
  <si>
    <t>'856824</t>
  </si>
  <si>
    <t>JAKE SHULMAN</t>
  </si>
  <si>
    <t>ABBY BECHERT</t>
  </si>
  <si>
    <t>NHIC STM 2022 IN Single Term</t>
  </si>
  <si>
    <t>AV3</t>
  </si>
  <si>
    <t>Life Association C IN</t>
  </si>
  <si>
    <t>SHAMAR CHRISTIAN</t>
  </si>
  <si>
    <t>SANDRA RIEHL</t>
  </si>
  <si>
    <t>MN</t>
  </si>
  <si>
    <t>GINGER CRAVEN</t>
  </si>
  <si>
    <t>LEAH SEABOLT</t>
  </si>
  <si>
    <t>NC</t>
  </si>
  <si>
    <t>MARTHA TOPORKIEWICZ</t>
  </si>
  <si>
    <t>Life Association Access</t>
  </si>
  <si>
    <t>AV6</t>
  </si>
  <si>
    <t>JEREMY MILBURN</t>
  </si>
  <si>
    <t>BRENT MERRYMAN</t>
  </si>
  <si>
    <t>KAMEY NESBITT</t>
  </si>
  <si>
    <t>ROBIN HAZELL</t>
  </si>
  <si>
    <t>PATRICIA BARBER</t>
  </si>
  <si>
    <t>AL</t>
  </si>
  <si>
    <t>OCHIRKHUU ONKHOOLJIN</t>
  </si>
  <si>
    <t>CRAIG STONE</t>
  </si>
  <si>
    <t>VA</t>
  </si>
  <si>
    <t>ELIZABETH SPRINGMAN</t>
  </si>
  <si>
    <t>PATRICK AYMOND</t>
  </si>
  <si>
    <t>BRANDON MCCOY</t>
  </si>
  <si>
    <t>EARL JOHNSON</t>
  </si>
  <si>
    <t>MIRIAM ALANIS</t>
  </si>
  <si>
    <t>'756803</t>
  </si>
  <si>
    <t>JOSE TORRES</t>
  </si>
  <si>
    <t>CB</t>
  </si>
  <si>
    <t>SCOTTIE JONES</t>
  </si>
  <si>
    <t>'792847</t>
  </si>
  <si>
    <t>VICTOR FUENTES</t>
  </si>
  <si>
    <t>CHARGEBACK</t>
  </si>
  <si>
    <t>AE</t>
  </si>
  <si>
    <t>KRYSTAL SMITH</t>
  </si>
  <si>
    <t>'843573</t>
  </si>
  <si>
    <t>JAMES ALLEN</t>
  </si>
  <si>
    <t>MELANIE EDWARDS</t>
  </si>
  <si>
    <t>PATRICIA WATTS</t>
  </si>
  <si>
    <t>THOMAS MCINTYRE</t>
  </si>
  <si>
    <t>PAMALA PATTERSON</t>
  </si>
  <si>
    <t>16912722AV6</t>
  </si>
  <si>
    <t>7470776AV6</t>
  </si>
  <si>
    <t>7146581AV6</t>
  </si>
  <si>
    <t>19586992AV6</t>
  </si>
  <si>
    <t>21104854AV6</t>
  </si>
  <si>
    <t>19681796AV6</t>
  </si>
  <si>
    <t>17094718AV6</t>
  </si>
  <si>
    <t>16865615AV6</t>
  </si>
  <si>
    <t>18201929AV6</t>
  </si>
  <si>
    <t>21564088AV6</t>
  </si>
  <si>
    <t>20212926AV6</t>
  </si>
  <si>
    <t>21421111AV6</t>
  </si>
  <si>
    <t>20724564AV6</t>
  </si>
  <si>
    <t>18828278AV6</t>
  </si>
  <si>
    <t>20220688AV6</t>
  </si>
  <si>
    <t>16633294AV6</t>
  </si>
  <si>
    <t>371819AV6</t>
  </si>
  <si>
    <t>Cancer and Heart-Stroke 20231</t>
  </si>
  <si>
    <t>Critical Illness with Term Life 21677</t>
  </si>
  <si>
    <t>Life Association C OH</t>
  </si>
  <si>
    <t>NHIC STM 2022 OH Single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</si>
</sst>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6D51-C7C4-4ADA-B64B-FA9A31473BFB}">
  <dimension ref="A1:AL237"/>
  <sheetViews>
    <sheetView topLeftCell="H97" workbookViewId="0">
      <selection activeCell="I120" sqref="I120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26.855468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4.42578125" bestFit="1" customWidth="1"/>
    <col min="17" max="17" width="12.5703125" bestFit="1" customWidth="1"/>
    <col min="18" max="18" width="42.425781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8554687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45877</v>
      </c>
      <c r="B2" s="1">
        <v>45873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2030146373</v>
      </c>
      <c r="J2" t="s">
        <v>153</v>
      </c>
      <c r="M2" t="s">
        <v>150</v>
      </c>
      <c r="O2" t="s">
        <v>154</v>
      </c>
      <c r="P2" t="s">
        <v>155</v>
      </c>
      <c r="Q2" t="s">
        <v>48</v>
      </c>
      <c r="R2" t="s">
        <v>56</v>
      </c>
      <c r="S2" s="1">
        <v>45870</v>
      </c>
      <c r="U2" t="s">
        <v>50</v>
      </c>
      <c r="X2" t="s">
        <v>51</v>
      </c>
      <c r="Y2" s="2">
        <v>97.5</v>
      </c>
      <c r="Z2" s="2">
        <v>97.5</v>
      </c>
      <c r="AA2">
        <v>6</v>
      </c>
      <c r="AB2" s="3">
        <v>0.9</v>
      </c>
      <c r="AC2" s="2">
        <v>526.5</v>
      </c>
      <c r="AD2" s="3">
        <v>0</v>
      </c>
      <c r="AE2" s="2">
        <v>0</v>
      </c>
      <c r="AF2" s="2">
        <v>526.5</v>
      </c>
      <c r="AK2" s="4">
        <v>19515650</v>
      </c>
      <c r="AL2" t="s">
        <v>52</v>
      </c>
    </row>
    <row r="3" spans="1:38" x14ac:dyDescent="0.25">
      <c r="A3" s="1">
        <v>45877</v>
      </c>
      <c r="B3" s="1">
        <v>45873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2030295016</v>
      </c>
      <c r="J3" t="s">
        <v>283</v>
      </c>
      <c r="M3" t="s">
        <v>150</v>
      </c>
      <c r="O3" t="s">
        <v>154</v>
      </c>
      <c r="P3" t="s">
        <v>155</v>
      </c>
      <c r="Q3" t="s">
        <v>48</v>
      </c>
      <c r="R3" t="s">
        <v>56</v>
      </c>
      <c r="S3" s="1">
        <v>45872</v>
      </c>
      <c r="U3" t="s">
        <v>50</v>
      </c>
      <c r="X3" t="s">
        <v>51</v>
      </c>
      <c r="Y3" s="2">
        <v>27.71</v>
      </c>
      <c r="Z3" s="2">
        <v>27.71</v>
      </c>
      <c r="AA3">
        <v>6</v>
      </c>
      <c r="AB3" s="3">
        <v>0.9</v>
      </c>
      <c r="AC3" s="2">
        <v>149.63</v>
      </c>
      <c r="AD3" s="3">
        <v>0</v>
      </c>
      <c r="AE3" s="2">
        <v>0</v>
      </c>
      <c r="AF3" s="2">
        <v>149.63</v>
      </c>
      <c r="AK3" s="4">
        <v>19516090</v>
      </c>
      <c r="AL3" t="s">
        <v>52</v>
      </c>
    </row>
    <row r="4" spans="1:38" s="6" customFormat="1" x14ac:dyDescent="0.25">
      <c r="A4" s="5">
        <v>45877</v>
      </c>
      <c r="B4" s="5">
        <v>45873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>
        <v>2030217702</v>
      </c>
      <c r="J4" s="6" t="s">
        <v>211</v>
      </c>
      <c r="M4" s="6" t="s">
        <v>60</v>
      </c>
      <c r="O4" s="6" t="s">
        <v>212</v>
      </c>
      <c r="P4" s="6" t="s">
        <v>213</v>
      </c>
      <c r="Q4" s="6" t="s">
        <v>48</v>
      </c>
      <c r="R4" s="6" t="s">
        <v>186</v>
      </c>
      <c r="S4" s="5">
        <v>45870</v>
      </c>
      <c r="U4" s="6" t="s">
        <v>50</v>
      </c>
      <c r="X4" s="6" t="s">
        <v>51</v>
      </c>
      <c r="Y4" s="7">
        <v>13.97</v>
      </c>
      <c r="Z4" s="7">
        <v>13.97</v>
      </c>
      <c r="AA4" s="6">
        <v>6</v>
      </c>
      <c r="AB4" s="8">
        <v>0.38</v>
      </c>
      <c r="AC4" s="7">
        <v>31.85</v>
      </c>
      <c r="AD4" s="8">
        <v>0</v>
      </c>
      <c r="AE4" s="7">
        <v>0</v>
      </c>
      <c r="AF4" s="7">
        <v>31.85</v>
      </c>
      <c r="AK4" s="9">
        <v>19533250</v>
      </c>
      <c r="AL4" s="6" t="s">
        <v>52</v>
      </c>
    </row>
    <row r="5" spans="1:38" s="6" customFormat="1" x14ac:dyDescent="0.25">
      <c r="A5" s="5">
        <v>45877</v>
      </c>
      <c r="B5" s="5">
        <v>45873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>
        <v>2030217703</v>
      </c>
      <c r="J5" s="6" t="s">
        <v>211</v>
      </c>
      <c r="M5" s="6" t="s">
        <v>60</v>
      </c>
      <c r="O5" s="6" t="s">
        <v>212</v>
      </c>
      <c r="P5" s="6" t="s">
        <v>213</v>
      </c>
      <c r="Q5" s="6" t="s">
        <v>48</v>
      </c>
      <c r="R5" s="6" t="s">
        <v>53</v>
      </c>
      <c r="S5" s="5">
        <v>45870</v>
      </c>
      <c r="U5" s="6" t="s">
        <v>50</v>
      </c>
      <c r="X5" s="6" t="s">
        <v>51</v>
      </c>
      <c r="Y5" s="7">
        <v>95.92</v>
      </c>
      <c r="Z5" s="7">
        <v>95.92</v>
      </c>
      <c r="AA5" s="6">
        <v>6</v>
      </c>
      <c r="AB5" s="8">
        <v>0.7</v>
      </c>
      <c r="AC5" s="7">
        <v>402.86</v>
      </c>
      <c r="AD5" s="8">
        <v>0</v>
      </c>
      <c r="AE5" s="7">
        <v>0</v>
      </c>
      <c r="AF5" s="7">
        <v>402.86</v>
      </c>
      <c r="AK5" s="9">
        <v>19502530</v>
      </c>
      <c r="AL5" s="6" t="s">
        <v>52</v>
      </c>
    </row>
    <row r="6" spans="1:38" s="6" customFormat="1" x14ac:dyDescent="0.25">
      <c r="A6" s="5">
        <v>45877</v>
      </c>
      <c r="B6" s="5">
        <v>45873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6">
        <v>2030217704</v>
      </c>
      <c r="J6" s="6" t="s">
        <v>211</v>
      </c>
      <c r="M6" s="6" t="s">
        <v>60</v>
      </c>
      <c r="O6" s="6" t="s">
        <v>212</v>
      </c>
      <c r="P6" s="6" t="s">
        <v>213</v>
      </c>
      <c r="Q6" s="6" t="s">
        <v>48</v>
      </c>
      <c r="R6" s="6" t="s">
        <v>187</v>
      </c>
      <c r="S6" s="5">
        <v>45870</v>
      </c>
      <c r="U6" s="6" t="s">
        <v>50</v>
      </c>
      <c r="X6" s="6" t="s">
        <v>51</v>
      </c>
      <c r="Y6" s="7">
        <v>15</v>
      </c>
      <c r="Z6" s="7">
        <v>15</v>
      </c>
      <c r="AA6" s="6">
        <v>6</v>
      </c>
      <c r="AB6" s="8">
        <v>0.38</v>
      </c>
      <c r="AC6" s="7">
        <v>34.200000000000003</v>
      </c>
      <c r="AD6" s="8">
        <v>0</v>
      </c>
      <c r="AE6" s="7">
        <v>0</v>
      </c>
      <c r="AF6" s="7">
        <v>34.200000000000003</v>
      </c>
      <c r="AK6" s="9">
        <v>19509350</v>
      </c>
      <c r="AL6" s="6" t="s">
        <v>52</v>
      </c>
    </row>
    <row r="7" spans="1:38" s="6" customFormat="1" x14ac:dyDescent="0.25">
      <c r="A7" s="5">
        <v>45877</v>
      </c>
      <c r="B7" s="5">
        <v>45873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  <c r="I7" s="6">
        <v>2030218150</v>
      </c>
      <c r="J7" s="6" t="s">
        <v>215</v>
      </c>
      <c r="M7" s="6" t="s">
        <v>60</v>
      </c>
      <c r="O7" s="6" t="s">
        <v>212</v>
      </c>
      <c r="P7" s="6" t="s">
        <v>213</v>
      </c>
      <c r="Q7" s="6" t="s">
        <v>48</v>
      </c>
      <c r="R7" s="6" t="s">
        <v>53</v>
      </c>
      <c r="S7" s="5">
        <v>45870</v>
      </c>
      <c r="U7" s="6" t="s">
        <v>50</v>
      </c>
      <c r="X7" s="6" t="s">
        <v>51</v>
      </c>
      <c r="Y7" s="7">
        <v>117.94</v>
      </c>
      <c r="Z7" s="7">
        <v>117.94</v>
      </c>
      <c r="AA7" s="6">
        <v>6</v>
      </c>
      <c r="AB7" s="8">
        <v>0.7</v>
      </c>
      <c r="AC7" s="7">
        <v>495.35</v>
      </c>
      <c r="AD7" s="8">
        <v>0</v>
      </c>
      <c r="AE7" s="7">
        <v>0</v>
      </c>
      <c r="AF7" s="7">
        <v>495.35</v>
      </c>
      <c r="AK7" s="9">
        <v>19502540</v>
      </c>
      <c r="AL7" s="6" t="s">
        <v>52</v>
      </c>
    </row>
    <row r="8" spans="1:38" s="6" customFormat="1" x14ac:dyDescent="0.25">
      <c r="A8" s="5">
        <v>45877</v>
      </c>
      <c r="B8" s="5">
        <v>45873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>
        <v>2030218431</v>
      </c>
      <c r="J8" s="6" t="s">
        <v>217</v>
      </c>
      <c r="M8" s="6" t="s">
        <v>60</v>
      </c>
      <c r="O8" s="6" t="s">
        <v>212</v>
      </c>
      <c r="P8" s="6" t="s">
        <v>213</v>
      </c>
      <c r="Q8" s="6" t="s">
        <v>48</v>
      </c>
      <c r="R8" s="6" t="s">
        <v>53</v>
      </c>
      <c r="S8" s="5">
        <v>45869</v>
      </c>
      <c r="U8" s="6" t="s">
        <v>50</v>
      </c>
      <c r="X8" s="6" t="s">
        <v>51</v>
      </c>
      <c r="Y8" s="7">
        <v>54.22</v>
      </c>
      <c r="Z8" s="7">
        <v>54.22</v>
      </c>
      <c r="AA8" s="6">
        <v>6</v>
      </c>
      <c r="AB8" s="8">
        <v>0.7</v>
      </c>
      <c r="AC8" s="7">
        <v>227.72</v>
      </c>
      <c r="AD8" s="8">
        <v>0</v>
      </c>
      <c r="AE8" s="7">
        <v>0</v>
      </c>
      <c r="AF8" s="7">
        <v>227.72</v>
      </c>
      <c r="AK8" s="9">
        <v>19502550</v>
      </c>
      <c r="AL8" s="6" t="s">
        <v>52</v>
      </c>
    </row>
    <row r="9" spans="1:38" s="6" customFormat="1" x14ac:dyDescent="0.25">
      <c r="A9" s="5">
        <v>45877</v>
      </c>
      <c r="B9" s="5">
        <v>45873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6">
        <v>2030254847</v>
      </c>
      <c r="J9" s="6" t="s">
        <v>269</v>
      </c>
      <c r="M9" s="6" t="s">
        <v>60</v>
      </c>
      <c r="O9" s="6" t="s">
        <v>212</v>
      </c>
      <c r="P9" s="6" t="s">
        <v>213</v>
      </c>
      <c r="Q9" s="6" t="s">
        <v>48</v>
      </c>
      <c r="R9" s="6" t="s">
        <v>225</v>
      </c>
      <c r="S9" s="5">
        <v>45870</v>
      </c>
      <c r="U9" s="6" t="s">
        <v>50</v>
      </c>
      <c r="X9" s="6" t="s">
        <v>51</v>
      </c>
      <c r="Y9" s="7">
        <v>181.4</v>
      </c>
      <c r="Z9" s="7">
        <v>181.4</v>
      </c>
      <c r="AA9" s="6">
        <v>6</v>
      </c>
      <c r="AB9" s="8">
        <v>0.38</v>
      </c>
      <c r="AC9" s="7">
        <v>413.59</v>
      </c>
      <c r="AD9" s="8">
        <v>0</v>
      </c>
      <c r="AE9" s="7">
        <v>0</v>
      </c>
      <c r="AF9" s="7">
        <v>413.59</v>
      </c>
      <c r="AK9" s="9">
        <v>19502980</v>
      </c>
      <c r="AL9" s="6" t="s">
        <v>52</v>
      </c>
    </row>
    <row r="10" spans="1:38" s="6" customFormat="1" x14ac:dyDescent="0.25">
      <c r="A10" s="5">
        <v>45877</v>
      </c>
      <c r="B10" s="5">
        <v>45873</v>
      </c>
      <c r="C10" s="6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6" t="s">
        <v>43</v>
      </c>
      <c r="I10" s="6">
        <v>2030254848</v>
      </c>
      <c r="J10" s="6" t="s">
        <v>269</v>
      </c>
      <c r="M10" s="6" t="s">
        <v>60</v>
      </c>
      <c r="O10" s="6" t="s">
        <v>212</v>
      </c>
      <c r="P10" s="6" t="s">
        <v>213</v>
      </c>
      <c r="Q10" s="6" t="s">
        <v>48</v>
      </c>
      <c r="R10" s="6" t="s">
        <v>53</v>
      </c>
      <c r="S10" s="5">
        <v>45870</v>
      </c>
      <c r="U10" s="6" t="s">
        <v>50</v>
      </c>
      <c r="X10" s="6" t="s">
        <v>51</v>
      </c>
      <c r="Y10" s="7">
        <v>72.760000000000005</v>
      </c>
      <c r="Z10" s="7">
        <v>72.760000000000005</v>
      </c>
      <c r="AA10" s="6">
        <v>6</v>
      </c>
      <c r="AB10" s="8">
        <v>0.7</v>
      </c>
      <c r="AC10" s="7">
        <v>305.58999999999997</v>
      </c>
      <c r="AD10" s="8">
        <v>0</v>
      </c>
      <c r="AE10" s="7">
        <v>0</v>
      </c>
      <c r="AF10" s="7">
        <v>305.58999999999997</v>
      </c>
      <c r="AK10" s="9">
        <v>19502990</v>
      </c>
      <c r="AL10" s="6" t="s">
        <v>52</v>
      </c>
    </row>
    <row r="11" spans="1:38" s="6" customFormat="1" x14ac:dyDescent="0.25">
      <c r="A11" s="5">
        <v>45877</v>
      </c>
      <c r="B11" s="5">
        <v>45873</v>
      </c>
      <c r="C11" s="6" t="s">
        <v>38</v>
      </c>
      <c r="D11" s="6" t="s">
        <v>39</v>
      </c>
      <c r="E11" s="6" t="s">
        <v>40</v>
      </c>
      <c r="F11" s="6" t="s">
        <v>41</v>
      </c>
      <c r="G11" s="6" t="s">
        <v>42</v>
      </c>
      <c r="H11" s="6" t="s">
        <v>43</v>
      </c>
      <c r="I11" s="6">
        <v>2030254849</v>
      </c>
      <c r="J11" s="6" t="s">
        <v>269</v>
      </c>
      <c r="M11" s="6" t="s">
        <v>60</v>
      </c>
      <c r="O11" s="6" t="s">
        <v>212</v>
      </c>
      <c r="P11" s="6" t="s">
        <v>213</v>
      </c>
      <c r="Q11" s="6" t="s">
        <v>48</v>
      </c>
      <c r="R11" s="6" t="s">
        <v>186</v>
      </c>
      <c r="S11" s="5">
        <v>45870</v>
      </c>
      <c r="U11" s="6" t="s">
        <v>50</v>
      </c>
      <c r="X11" s="6" t="s">
        <v>51</v>
      </c>
      <c r="Y11" s="7">
        <v>16.149999999999999</v>
      </c>
      <c r="Z11" s="7">
        <v>16.149999999999999</v>
      </c>
      <c r="AA11" s="6">
        <v>6</v>
      </c>
      <c r="AB11" s="8">
        <v>0.38</v>
      </c>
      <c r="AC11" s="7">
        <v>36.82</v>
      </c>
      <c r="AD11" s="8">
        <v>0</v>
      </c>
      <c r="AE11" s="7">
        <v>0</v>
      </c>
      <c r="AF11" s="7">
        <v>36.82</v>
      </c>
      <c r="AK11" s="9">
        <v>19533290</v>
      </c>
      <c r="AL11" s="6" t="s">
        <v>52</v>
      </c>
    </row>
    <row r="12" spans="1:38" s="6" customFormat="1" x14ac:dyDescent="0.25">
      <c r="A12" s="5">
        <v>45877</v>
      </c>
      <c r="B12" s="5">
        <v>45873</v>
      </c>
      <c r="C12" s="6" t="s">
        <v>38</v>
      </c>
      <c r="D12" s="6" t="s">
        <v>39</v>
      </c>
      <c r="E12" s="6" t="s">
        <v>40</v>
      </c>
      <c r="F12" s="6" t="s">
        <v>41</v>
      </c>
      <c r="G12" s="6" t="s">
        <v>42</v>
      </c>
      <c r="H12" s="6" t="s">
        <v>43</v>
      </c>
      <c r="I12" s="6">
        <v>2030254850</v>
      </c>
      <c r="J12" s="6" t="s">
        <v>269</v>
      </c>
      <c r="M12" s="6" t="s">
        <v>60</v>
      </c>
      <c r="O12" s="6" t="s">
        <v>212</v>
      </c>
      <c r="P12" s="6" t="s">
        <v>213</v>
      </c>
      <c r="Q12" s="6" t="s">
        <v>48</v>
      </c>
      <c r="R12" s="6" t="s">
        <v>226</v>
      </c>
      <c r="S12" s="5">
        <v>45870</v>
      </c>
      <c r="U12" s="6" t="s">
        <v>50</v>
      </c>
      <c r="X12" s="6" t="s">
        <v>51</v>
      </c>
      <c r="Y12" s="7">
        <v>7.09</v>
      </c>
      <c r="Z12" s="7">
        <v>7.09</v>
      </c>
      <c r="AA12" s="6">
        <v>6</v>
      </c>
      <c r="AB12" s="8">
        <v>0.38</v>
      </c>
      <c r="AC12" s="7">
        <v>16.170000000000002</v>
      </c>
      <c r="AD12" s="8">
        <v>0</v>
      </c>
      <c r="AE12" s="7">
        <v>0</v>
      </c>
      <c r="AF12" s="7">
        <v>16.170000000000002</v>
      </c>
      <c r="AK12" s="9">
        <v>19532170</v>
      </c>
      <c r="AL12" s="6" t="s">
        <v>52</v>
      </c>
    </row>
    <row r="13" spans="1:38" s="6" customFormat="1" x14ac:dyDescent="0.25">
      <c r="A13" s="5">
        <v>45877</v>
      </c>
      <c r="B13" s="5">
        <v>45873</v>
      </c>
      <c r="C13" s="6" t="s">
        <v>38</v>
      </c>
      <c r="D13" s="6" t="s">
        <v>39</v>
      </c>
      <c r="E13" s="6" t="s">
        <v>40</v>
      </c>
      <c r="F13" s="6" t="s">
        <v>41</v>
      </c>
      <c r="G13" s="6" t="s">
        <v>42</v>
      </c>
      <c r="H13" s="6" t="s">
        <v>43</v>
      </c>
      <c r="I13" s="6">
        <v>2030254851</v>
      </c>
      <c r="J13" s="6" t="s">
        <v>269</v>
      </c>
      <c r="M13" s="6" t="s">
        <v>60</v>
      </c>
      <c r="O13" s="6" t="s">
        <v>212</v>
      </c>
      <c r="P13" s="6" t="s">
        <v>213</v>
      </c>
      <c r="Q13" s="6" t="s">
        <v>48</v>
      </c>
      <c r="R13" s="6" t="s">
        <v>270</v>
      </c>
      <c r="S13" s="5">
        <v>45870</v>
      </c>
      <c r="U13" s="6" t="s">
        <v>50</v>
      </c>
      <c r="X13" s="6" t="s">
        <v>271</v>
      </c>
      <c r="Y13" s="7">
        <v>15</v>
      </c>
      <c r="Z13" s="7">
        <v>15</v>
      </c>
      <c r="AA13" s="6">
        <v>6</v>
      </c>
      <c r="AB13" s="8">
        <v>0.38</v>
      </c>
      <c r="AC13" s="7">
        <v>34.200000000000003</v>
      </c>
      <c r="AD13" s="8">
        <v>0</v>
      </c>
      <c r="AE13" s="7">
        <v>0</v>
      </c>
      <c r="AF13" s="7">
        <v>34.200000000000003</v>
      </c>
      <c r="AK13" s="9">
        <v>19509540</v>
      </c>
      <c r="AL13" s="6" t="s">
        <v>52</v>
      </c>
    </row>
    <row r="14" spans="1:38" s="6" customFormat="1" x14ac:dyDescent="0.25">
      <c r="A14" s="5">
        <v>45877</v>
      </c>
      <c r="B14" s="5">
        <v>45873</v>
      </c>
      <c r="C14" s="6" t="s">
        <v>38</v>
      </c>
      <c r="D14" s="6" t="s">
        <v>39</v>
      </c>
      <c r="E14" s="6" t="s">
        <v>40</v>
      </c>
      <c r="F14" s="6" t="s">
        <v>41</v>
      </c>
      <c r="G14" s="6" t="s">
        <v>42</v>
      </c>
      <c r="H14" s="6" t="s">
        <v>43</v>
      </c>
      <c r="I14" s="6">
        <v>2030069420</v>
      </c>
      <c r="J14" s="6" t="s">
        <v>128</v>
      </c>
      <c r="M14" s="6" t="s">
        <v>60</v>
      </c>
      <c r="O14" s="6" t="s">
        <v>129</v>
      </c>
      <c r="P14" s="6" t="s">
        <v>130</v>
      </c>
      <c r="Q14" s="6" t="s">
        <v>48</v>
      </c>
      <c r="R14" s="6" t="s">
        <v>53</v>
      </c>
      <c r="S14" s="5">
        <v>45870</v>
      </c>
      <c r="U14" s="6" t="s">
        <v>50</v>
      </c>
      <c r="X14" s="6" t="s">
        <v>51</v>
      </c>
      <c r="Y14" s="7">
        <v>27.5</v>
      </c>
      <c r="Z14" s="7">
        <v>27.5</v>
      </c>
      <c r="AA14" s="6">
        <v>6</v>
      </c>
      <c r="AB14" s="8">
        <v>0.7</v>
      </c>
      <c r="AC14" s="7">
        <v>115.5</v>
      </c>
      <c r="AD14" s="8">
        <v>0</v>
      </c>
      <c r="AE14" s="7">
        <v>0</v>
      </c>
      <c r="AF14" s="7">
        <v>115.5</v>
      </c>
      <c r="AK14" s="9">
        <v>19501780</v>
      </c>
      <c r="AL14" s="6" t="s">
        <v>52</v>
      </c>
    </row>
    <row r="15" spans="1:38" s="6" customFormat="1" x14ac:dyDescent="0.25">
      <c r="A15" s="5">
        <v>45877</v>
      </c>
      <c r="B15" s="5">
        <v>45873</v>
      </c>
      <c r="C15" s="6" t="s">
        <v>38</v>
      </c>
      <c r="D15" s="6" t="s">
        <v>39</v>
      </c>
      <c r="E15" s="6" t="s">
        <v>40</v>
      </c>
      <c r="F15" s="6" t="s">
        <v>41</v>
      </c>
      <c r="G15" s="6" t="s">
        <v>42</v>
      </c>
      <c r="H15" s="6" t="s">
        <v>43</v>
      </c>
      <c r="I15" s="6">
        <v>2030069421</v>
      </c>
      <c r="J15" s="6" t="s">
        <v>128</v>
      </c>
      <c r="M15" s="6" t="s">
        <v>60</v>
      </c>
      <c r="O15" s="6" t="s">
        <v>129</v>
      </c>
      <c r="P15" s="6" t="s">
        <v>130</v>
      </c>
      <c r="Q15" s="6" t="s">
        <v>48</v>
      </c>
      <c r="R15" s="6" t="s">
        <v>56</v>
      </c>
      <c r="S15" s="5">
        <v>45870</v>
      </c>
      <c r="U15" s="6" t="s">
        <v>50</v>
      </c>
      <c r="X15" s="6" t="s">
        <v>51</v>
      </c>
      <c r="Y15" s="7">
        <v>71.83</v>
      </c>
      <c r="Z15" s="7">
        <v>71.83</v>
      </c>
      <c r="AA15" s="6">
        <v>6</v>
      </c>
      <c r="AB15" s="8">
        <v>0.9</v>
      </c>
      <c r="AC15" s="7">
        <v>387.88</v>
      </c>
      <c r="AD15" s="8">
        <v>0</v>
      </c>
      <c r="AE15" s="7">
        <v>0</v>
      </c>
      <c r="AF15" s="7">
        <v>387.88</v>
      </c>
      <c r="AK15" s="9">
        <v>19515580</v>
      </c>
      <c r="AL15" s="6" t="s">
        <v>52</v>
      </c>
    </row>
    <row r="16" spans="1:38" s="6" customFormat="1" x14ac:dyDescent="0.25">
      <c r="A16" s="5">
        <v>45877</v>
      </c>
      <c r="B16" s="5">
        <v>45873</v>
      </c>
      <c r="C16" s="6" t="s">
        <v>38</v>
      </c>
      <c r="D16" s="6" t="s">
        <v>39</v>
      </c>
      <c r="E16" s="6" t="s">
        <v>40</v>
      </c>
      <c r="F16" s="6" t="s">
        <v>41</v>
      </c>
      <c r="G16" s="6" t="s">
        <v>42</v>
      </c>
      <c r="H16" s="6" t="s">
        <v>43</v>
      </c>
      <c r="I16" s="6">
        <v>2030240610</v>
      </c>
      <c r="J16" s="6" t="s">
        <v>245</v>
      </c>
      <c r="M16" s="6" t="s">
        <v>60</v>
      </c>
      <c r="O16" s="6" t="s">
        <v>129</v>
      </c>
      <c r="P16" s="6" t="s">
        <v>130</v>
      </c>
      <c r="Q16" s="6" t="s">
        <v>48</v>
      </c>
      <c r="R16" s="6" t="s">
        <v>86</v>
      </c>
      <c r="S16" s="5">
        <v>45901</v>
      </c>
      <c r="U16" s="6" t="s">
        <v>50</v>
      </c>
      <c r="X16" s="6" t="s">
        <v>51</v>
      </c>
      <c r="Y16" s="7">
        <v>77.48</v>
      </c>
      <c r="Z16" s="7">
        <v>77.48</v>
      </c>
      <c r="AA16" s="6">
        <v>6</v>
      </c>
      <c r="AB16" s="8">
        <v>0.375</v>
      </c>
      <c r="AC16" s="7">
        <v>174.33</v>
      </c>
      <c r="AD16" s="8">
        <v>0</v>
      </c>
      <c r="AE16" s="7">
        <v>0</v>
      </c>
      <c r="AF16" s="7">
        <v>174.33</v>
      </c>
      <c r="AK16" s="9">
        <v>19531020</v>
      </c>
      <c r="AL16" s="6" t="s">
        <v>52</v>
      </c>
    </row>
    <row r="17" spans="1:38" s="6" customFormat="1" x14ac:dyDescent="0.25">
      <c r="A17" s="5">
        <v>45877</v>
      </c>
      <c r="B17" s="5">
        <v>45873</v>
      </c>
      <c r="C17" s="6" t="s">
        <v>38</v>
      </c>
      <c r="D17" s="6" t="s">
        <v>39</v>
      </c>
      <c r="E17" s="6" t="s">
        <v>40</v>
      </c>
      <c r="F17" s="6" t="s">
        <v>41</v>
      </c>
      <c r="G17" s="6" t="s">
        <v>42</v>
      </c>
      <c r="H17" s="6" t="s">
        <v>43</v>
      </c>
      <c r="I17" s="6">
        <v>2030240611</v>
      </c>
      <c r="J17" s="6" t="s">
        <v>245</v>
      </c>
      <c r="M17" s="6" t="s">
        <v>60</v>
      </c>
      <c r="O17" s="6" t="s">
        <v>129</v>
      </c>
      <c r="P17" s="6" t="s">
        <v>130</v>
      </c>
      <c r="Q17" s="6" t="s">
        <v>48</v>
      </c>
      <c r="R17" s="6" t="s">
        <v>117</v>
      </c>
      <c r="S17" s="5">
        <v>45901</v>
      </c>
      <c r="U17" s="6" t="s">
        <v>50</v>
      </c>
      <c r="X17" s="6" t="s">
        <v>51</v>
      </c>
      <c r="Y17" s="7">
        <v>163.25</v>
      </c>
      <c r="Z17" s="7">
        <v>163.25</v>
      </c>
      <c r="AA17" s="6">
        <v>6</v>
      </c>
      <c r="AB17" s="8">
        <v>0.9</v>
      </c>
      <c r="AC17" s="7">
        <v>881.55</v>
      </c>
      <c r="AD17" s="8">
        <v>0</v>
      </c>
      <c r="AE17" s="7">
        <v>0</v>
      </c>
      <c r="AF17" s="7">
        <v>881.55</v>
      </c>
      <c r="AK17" s="9">
        <v>19535870</v>
      </c>
      <c r="AL17" s="6" t="s">
        <v>52</v>
      </c>
    </row>
    <row r="18" spans="1:38" s="6" customFormat="1" x14ac:dyDescent="0.25">
      <c r="A18" s="5">
        <v>45877</v>
      </c>
      <c r="B18" s="5">
        <v>45873</v>
      </c>
      <c r="C18" s="6" t="s">
        <v>38</v>
      </c>
      <c r="D18" s="6" t="s">
        <v>39</v>
      </c>
      <c r="E18" s="6" t="s">
        <v>40</v>
      </c>
      <c r="F18" s="6" t="s">
        <v>41</v>
      </c>
      <c r="G18" s="6" t="s">
        <v>42</v>
      </c>
      <c r="H18" s="6" t="s">
        <v>43</v>
      </c>
      <c r="I18" s="6">
        <v>2030240612</v>
      </c>
      <c r="J18" s="6" t="s">
        <v>245</v>
      </c>
      <c r="M18" s="6" t="s">
        <v>60</v>
      </c>
      <c r="O18" s="6" t="s">
        <v>129</v>
      </c>
      <c r="P18" s="6" t="s">
        <v>130</v>
      </c>
      <c r="Q18" s="6" t="s">
        <v>48</v>
      </c>
      <c r="R18" s="6" t="s">
        <v>53</v>
      </c>
      <c r="S18" s="5">
        <v>45901</v>
      </c>
      <c r="U18" s="6" t="s">
        <v>50</v>
      </c>
      <c r="X18" s="6" t="s">
        <v>51</v>
      </c>
      <c r="Y18" s="7">
        <v>61.08</v>
      </c>
      <c r="Z18" s="7">
        <v>61.08</v>
      </c>
      <c r="AA18" s="6">
        <v>6</v>
      </c>
      <c r="AB18" s="8">
        <v>0.7</v>
      </c>
      <c r="AC18" s="7">
        <v>256.54000000000002</v>
      </c>
      <c r="AD18" s="8">
        <v>0</v>
      </c>
      <c r="AE18" s="7">
        <v>0</v>
      </c>
      <c r="AF18" s="7">
        <v>256.54000000000002</v>
      </c>
      <c r="AK18" s="9">
        <v>19502780</v>
      </c>
      <c r="AL18" s="6" t="s">
        <v>52</v>
      </c>
    </row>
    <row r="19" spans="1:38" s="6" customFormat="1" x14ac:dyDescent="0.25">
      <c r="A19" s="5">
        <v>45877</v>
      </c>
      <c r="B19" s="5">
        <v>45873</v>
      </c>
      <c r="C19" s="6" t="s">
        <v>38</v>
      </c>
      <c r="D19" s="6" t="s">
        <v>39</v>
      </c>
      <c r="E19" s="6" t="s">
        <v>40</v>
      </c>
      <c r="F19" s="6" t="s">
        <v>41</v>
      </c>
      <c r="G19" s="6" t="s">
        <v>42</v>
      </c>
      <c r="H19" s="6" t="s">
        <v>43</v>
      </c>
      <c r="I19" s="6">
        <v>2030249959</v>
      </c>
      <c r="J19" s="6" t="s">
        <v>264</v>
      </c>
      <c r="M19" s="6" t="s">
        <v>265</v>
      </c>
      <c r="O19" s="6" t="s">
        <v>129</v>
      </c>
      <c r="P19" s="6" t="s">
        <v>130</v>
      </c>
      <c r="Q19" s="6" t="s">
        <v>48</v>
      </c>
      <c r="R19" s="6" t="s">
        <v>86</v>
      </c>
      <c r="S19" s="5">
        <v>45870</v>
      </c>
      <c r="U19" s="6" t="s">
        <v>50</v>
      </c>
      <c r="X19" s="6" t="s">
        <v>51</v>
      </c>
      <c r="Y19" s="7">
        <v>116.12</v>
      </c>
      <c r="Z19" s="7">
        <v>116.12</v>
      </c>
      <c r="AA19" s="6">
        <v>6</v>
      </c>
      <c r="AB19" s="8">
        <v>0.375</v>
      </c>
      <c r="AC19" s="7">
        <v>261.27</v>
      </c>
      <c r="AD19" s="8">
        <v>0</v>
      </c>
      <c r="AE19" s="7">
        <v>0</v>
      </c>
      <c r="AF19" s="7">
        <v>261.27</v>
      </c>
      <c r="AK19" s="9">
        <v>19531160</v>
      </c>
      <c r="AL19" s="6" t="s">
        <v>52</v>
      </c>
    </row>
    <row r="20" spans="1:38" s="6" customFormat="1" x14ac:dyDescent="0.25">
      <c r="A20" s="5">
        <v>45877</v>
      </c>
      <c r="B20" s="5">
        <v>45873</v>
      </c>
      <c r="C20" s="6" t="s">
        <v>38</v>
      </c>
      <c r="D20" s="6" t="s">
        <v>39</v>
      </c>
      <c r="E20" s="6" t="s">
        <v>40</v>
      </c>
      <c r="F20" s="6" t="s">
        <v>41</v>
      </c>
      <c r="G20" s="6" t="s">
        <v>42</v>
      </c>
      <c r="H20" s="6" t="s">
        <v>43</v>
      </c>
      <c r="I20" s="6">
        <v>2030249960</v>
      </c>
      <c r="J20" s="6" t="s">
        <v>264</v>
      </c>
      <c r="M20" s="6" t="s">
        <v>265</v>
      </c>
      <c r="O20" s="6" t="s">
        <v>129</v>
      </c>
      <c r="P20" s="6" t="s">
        <v>130</v>
      </c>
      <c r="Q20" s="6" t="s">
        <v>48</v>
      </c>
      <c r="R20" s="6" t="s">
        <v>117</v>
      </c>
      <c r="S20" s="5">
        <v>45870</v>
      </c>
      <c r="U20" s="6" t="s">
        <v>50</v>
      </c>
      <c r="X20" s="6" t="s">
        <v>51</v>
      </c>
      <c r="Y20" s="7">
        <v>334.75</v>
      </c>
      <c r="Z20" s="7">
        <v>334.75</v>
      </c>
      <c r="AA20" s="6">
        <v>6</v>
      </c>
      <c r="AB20" s="8">
        <v>0.9</v>
      </c>
      <c r="AC20" s="7">
        <v>1807.65</v>
      </c>
      <c r="AD20" s="8">
        <v>0</v>
      </c>
      <c r="AE20" s="7">
        <v>0</v>
      </c>
      <c r="AF20" s="7">
        <v>1807.65</v>
      </c>
      <c r="AK20" s="9">
        <v>19535890</v>
      </c>
      <c r="AL20" s="6" t="s">
        <v>52</v>
      </c>
    </row>
    <row r="21" spans="1:38" s="6" customFormat="1" x14ac:dyDescent="0.25">
      <c r="A21" s="5">
        <v>45877</v>
      </c>
      <c r="B21" s="5">
        <v>45873</v>
      </c>
      <c r="C21" s="6" t="s">
        <v>38</v>
      </c>
      <c r="D21" s="6" t="s">
        <v>39</v>
      </c>
      <c r="E21" s="6" t="s">
        <v>40</v>
      </c>
      <c r="F21" s="6" t="s">
        <v>41</v>
      </c>
      <c r="G21" s="6" t="s">
        <v>42</v>
      </c>
      <c r="H21" s="6" t="s">
        <v>43</v>
      </c>
      <c r="I21" s="6">
        <v>2030249961</v>
      </c>
      <c r="J21" s="6" t="s">
        <v>264</v>
      </c>
      <c r="M21" s="6" t="s">
        <v>265</v>
      </c>
      <c r="O21" s="6" t="s">
        <v>129</v>
      </c>
      <c r="P21" s="6" t="s">
        <v>130</v>
      </c>
      <c r="Q21" s="6" t="s">
        <v>48</v>
      </c>
      <c r="R21" s="6" t="s">
        <v>49</v>
      </c>
      <c r="S21" s="5">
        <v>45870</v>
      </c>
      <c r="U21" s="6" t="s">
        <v>50</v>
      </c>
      <c r="X21" s="6" t="s">
        <v>51</v>
      </c>
      <c r="Y21" s="7">
        <v>146.41</v>
      </c>
      <c r="Z21" s="7">
        <v>146.41</v>
      </c>
      <c r="AA21" s="6">
        <v>6</v>
      </c>
      <c r="AB21" s="8">
        <v>0.75</v>
      </c>
      <c r="AC21" s="7">
        <v>658.85</v>
      </c>
      <c r="AD21" s="8">
        <v>0</v>
      </c>
      <c r="AE21" s="7">
        <v>0</v>
      </c>
      <c r="AF21" s="7">
        <v>658.85</v>
      </c>
      <c r="AK21" s="9">
        <v>19515990</v>
      </c>
      <c r="AL21" s="6" t="s">
        <v>52</v>
      </c>
    </row>
    <row r="22" spans="1:38" x14ac:dyDescent="0.25">
      <c r="A22" s="1">
        <v>45877</v>
      </c>
      <c r="B22" s="1">
        <v>45873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>
        <v>2029885344</v>
      </c>
      <c r="J22" t="s">
        <v>87</v>
      </c>
      <c r="M22" t="s">
        <v>66</v>
      </c>
      <c r="O22" t="s">
        <v>88</v>
      </c>
      <c r="P22" t="s">
        <v>89</v>
      </c>
      <c r="Q22" t="s">
        <v>48</v>
      </c>
      <c r="R22" t="s">
        <v>90</v>
      </c>
      <c r="S22" s="1">
        <v>45870</v>
      </c>
      <c r="U22" t="s">
        <v>50</v>
      </c>
      <c r="X22" t="s">
        <v>51</v>
      </c>
      <c r="Y22" s="2">
        <v>25.73</v>
      </c>
      <c r="Z22" s="2">
        <v>25.73</v>
      </c>
      <c r="AA22">
        <v>6</v>
      </c>
      <c r="AB22" s="3">
        <v>0.7</v>
      </c>
      <c r="AC22" s="2">
        <v>108.07</v>
      </c>
      <c r="AD22" s="3">
        <v>0</v>
      </c>
      <c r="AE22" s="2">
        <v>0</v>
      </c>
      <c r="AF22" s="2">
        <v>108.07</v>
      </c>
      <c r="AK22" s="4">
        <v>19490130</v>
      </c>
      <c r="AL22" t="s">
        <v>52</v>
      </c>
    </row>
    <row r="23" spans="1:38" x14ac:dyDescent="0.25">
      <c r="A23" s="1">
        <v>45877</v>
      </c>
      <c r="B23" s="1">
        <v>45873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>
        <v>2030172566</v>
      </c>
      <c r="J23" t="s">
        <v>157</v>
      </c>
      <c r="M23" t="s">
        <v>66</v>
      </c>
      <c r="O23" t="s">
        <v>88</v>
      </c>
      <c r="P23" t="s">
        <v>89</v>
      </c>
      <c r="Q23" t="s">
        <v>48</v>
      </c>
      <c r="R23" t="s">
        <v>98</v>
      </c>
      <c r="S23" s="1">
        <v>45870</v>
      </c>
      <c r="U23" t="s">
        <v>50</v>
      </c>
      <c r="X23" t="s">
        <v>51</v>
      </c>
      <c r="Y23" s="2">
        <v>52.69</v>
      </c>
      <c r="Z23" s="2">
        <v>52.69</v>
      </c>
      <c r="AA23">
        <v>6</v>
      </c>
      <c r="AB23" s="3">
        <v>0.6</v>
      </c>
      <c r="AC23" s="2">
        <v>189.68</v>
      </c>
      <c r="AD23" s="3">
        <v>0</v>
      </c>
      <c r="AE23" s="2">
        <v>0</v>
      </c>
      <c r="AF23" s="2">
        <v>189.68</v>
      </c>
      <c r="AK23" s="4">
        <v>19515660</v>
      </c>
      <c r="AL23" t="s">
        <v>52</v>
      </c>
    </row>
    <row r="24" spans="1:38" x14ac:dyDescent="0.25">
      <c r="A24" s="1">
        <v>45877</v>
      </c>
      <c r="B24" s="1">
        <v>45873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>
        <v>2030219734</v>
      </c>
      <c r="J24" t="s">
        <v>219</v>
      </c>
      <c r="M24" t="s">
        <v>66</v>
      </c>
      <c r="O24" t="s">
        <v>88</v>
      </c>
      <c r="P24" t="s">
        <v>89</v>
      </c>
      <c r="Q24" t="s">
        <v>48</v>
      </c>
      <c r="R24" t="s">
        <v>86</v>
      </c>
      <c r="S24" s="1">
        <v>45870</v>
      </c>
      <c r="U24" t="s">
        <v>50</v>
      </c>
      <c r="X24" t="s">
        <v>51</v>
      </c>
      <c r="Y24" s="2">
        <v>35.979999999999997</v>
      </c>
      <c r="Z24" s="2">
        <v>35.979999999999997</v>
      </c>
      <c r="AA24">
        <v>6</v>
      </c>
      <c r="AB24" s="3">
        <v>0.375</v>
      </c>
      <c r="AC24" s="2">
        <v>80.959999999999994</v>
      </c>
      <c r="AD24" s="3">
        <v>0</v>
      </c>
      <c r="AE24" s="2">
        <v>0</v>
      </c>
      <c r="AF24" s="2">
        <v>80.959999999999994</v>
      </c>
      <c r="AK24" s="4">
        <v>19530770</v>
      </c>
      <c r="AL24" t="s">
        <v>52</v>
      </c>
    </row>
    <row r="25" spans="1:38" x14ac:dyDescent="0.25">
      <c r="A25" s="1">
        <v>45877</v>
      </c>
      <c r="B25" s="1">
        <v>45873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>
        <v>2030219735</v>
      </c>
      <c r="J25" t="s">
        <v>219</v>
      </c>
      <c r="M25" t="s">
        <v>66</v>
      </c>
      <c r="O25" t="s">
        <v>88</v>
      </c>
      <c r="P25" t="s">
        <v>89</v>
      </c>
      <c r="Q25" t="s">
        <v>48</v>
      </c>
      <c r="R25" t="s">
        <v>98</v>
      </c>
      <c r="S25" s="1">
        <v>45870</v>
      </c>
      <c r="U25" t="s">
        <v>50</v>
      </c>
      <c r="X25" t="s">
        <v>51</v>
      </c>
      <c r="Y25" s="2">
        <v>52.69</v>
      </c>
      <c r="Z25" s="2">
        <v>52.69</v>
      </c>
      <c r="AA25">
        <v>6</v>
      </c>
      <c r="AB25" s="3">
        <v>0.6</v>
      </c>
      <c r="AC25" s="2">
        <v>189.68</v>
      </c>
      <c r="AD25" s="3">
        <v>0</v>
      </c>
      <c r="AE25" s="2">
        <v>0</v>
      </c>
      <c r="AF25" s="2">
        <v>189.68</v>
      </c>
      <c r="AK25" s="4">
        <v>19515860</v>
      </c>
      <c r="AL25" t="s">
        <v>52</v>
      </c>
    </row>
    <row r="26" spans="1:38" x14ac:dyDescent="0.25">
      <c r="A26" s="1">
        <v>45877</v>
      </c>
      <c r="B26" s="1">
        <v>45873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>
        <v>2030197586</v>
      </c>
      <c r="J26" t="s">
        <v>188</v>
      </c>
      <c r="M26" t="s">
        <v>60</v>
      </c>
      <c r="O26" t="s">
        <v>189</v>
      </c>
      <c r="P26" t="s">
        <v>190</v>
      </c>
      <c r="Q26" t="s">
        <v>48</v>
      </c>
      <c r="R26" t="s">
        <v>53</v>
      </c>
      <c r="S26" s="1">
        <v>45870</v>
      </c>
      <c r="U26" t="s">
        <v>50</v>
      </c>
      <c r="X26" t="s">
        <v>51</v>
      </c>
      <c r="Y26" s="2">
        <v>11.5</v>
      </c>
      <c r="Z26" s="2">
        <v>11.5</v>
      </c>
      <c r="AA26">
        <v>6</v>
      </c>
      <c r="AB26" s="3">
        <v>0.7</v>
      </c>
      <c r="AC26" s="2">
        <v>48.3</v>
      </c>
      <c r="AD26" s="3">
        <v>0</v>
      </c>
      <c r="AE26" s="2">
        <v>0</v>
      </c>
      <c r="AF26" s="2">
        <v>48.3</v>
      </c>
      <c r="AK26" s="4">
        <v>19502300</v>
      </c>
      <c r="AL26" t="s">
        <v>52</v>
      </c>
    </row>
    <row r="27" spans="1:38" s="6" customFormat="1" x14ac:dyDescent="0.25">
      <c r="A27" s="5">
        <v>45877</v>
      </c>
      <c r="B27" s="5">
        <v>45873</v>
      </c>
      <c r="C27" s="6" t="s">
        <v>38</v>
      </c>
      <c r="D27" s="6" t="s">
        <v>39</v>
      </c>
      <c r="E27" s="6" t="s">
        <v>40</v>
      </c>
      <c r="F27" s="6" t="s">
        <v>41</v>
      </c>
      <c r="G27" s="6" t="s">
        <v>42</v>
      </c>
      <c r="H27" s="6" t="s">
        <v>43</v>
      </c>
      <c r="I27" s="6">
        <v>2030197587</v>
      </c>
      <c r="J27" s="6" t="s">
        <v>188</v>
      </c>
      <c r="M27" s="6" t="s">
        <v>60</v>
      </c>
      <c r="O27" s="6" t="s">
        <v>189</v>
      </c>
      <c r="P27" s="6" t="s">
        <v>190</v>
      </c>
      <c r="Q27" s="6" t="s">
        <v>48</v>
      </c>
      <c r="R27" s="6" t="s">
        <v>86</v>
      </c>
      <c r="S27" s="5">
        <v>45870</v>
      </c>
      <c r="U27" s="6" t="s">
        <v>50</v>
      </c>
      <c r="X27" s="6" t="s">
        <v>51</v>
      </c>
      <c r="Y27" s="7">
        <v>77.48</v>
      </c>
      <c r="Z27" s="7">
        <v>77.48</v>
      </c>
      <c r="AA27" s="6">
        <v>6</v>
      </c>
      <c r="AB27" s="8">
        <v>0.375</v>
      </c>
      <c r="AC27" s="7">
        <v>174.33</v>
      </c>
      <c r="AD27" s="8">
        <v>0</v>
      </c>
      <c r="AE27" s="7">
        <v>0</v>
      </c>
      <c r="AF27" s="7">
        <v>174.33</v>
      </c>
      <c r="AK27" s="9">
        <v>19530510</v>
      </c>
      <c r="AL27" s="6" t="s">
        <v>52</v>
      </c>
    </row>
    <row r="28" spans="1:38" s="6" customFormat="1" x14ac:dyDescent="0.25">
      <c r="A28" s="5">
        <v>45877</v>
      </c>
      <c r="B28" s="5">
        <v>45873</v>
      </c>
      <c r="C28" s="6" t="s">
        <v>38</v>
      </c>
      <c r="D28" s="6" t="s">
        <v>39</v>
      </c>
      <c r="E28" s="6" t="s">
        <v>40</v>
      </c>
      <c r="F28" s="6" t="s">
        <v>41</v>
      </c>
      <c r="G28" s="6" t="s">
        <v>42</v>
      </c>
      <c r="H28" s="6" t="s">
        <v>43</v>
      </c>
      <c r="I28" s="6">
        <v>2030178271</v>
      </c>
      <c r="J28" s="6" t="s">
        <v>163</v>
      </c>
      <c r="M28" s="6" t="s">
        <v>60</v>
      </c>
      <c r="O28" s="6" t="s">
        <v>164</v>
      </c>
      <c r="P28" s="6" t="s">
        <v>165</v>
      </c>
      <c r="Q28" s="6" t="s">
        <v>48</v>
      </c>
      <c r="R28" s="6" t="s">
        <v>53</v>
      </c>
      <c r="S28" s="5">
        <v>45870</v>
      </c>
      <c r="U28" s="6" t="s">
        <v>50</v>
      </c>
      <c r="X28" s="6" t="s">
        <v>51</v>
      </c>
      <c r="Y28" s="7">
        <v>88.96</v>
      </c>
      <c r="Z28" s="7">
        <v>88.96</v>
      </c>
      <c r="AA28" s="6">
        <v>6</v>
      </c>
      <c r="AB28" s="8">
        <v>0.7</v>
      </c>
      <c r="AC28" s="7">
        <v>373.63</v>
      </c>
      <c r="AD28" s="8">
        <v>0</v>
      </c>
      <c r="AE28" s="7">
        <v>0</v>
      </c>
      <c r="AF28" s="7">
        <v>373.63</v>
      </c>
      <c r="AK28" s="9">
        <v>19502080</v>
      </c>
      <c r="AL28" s="6" t="s">
        <v>52</v>
      </c>
    </row>
    <row r="29" spans="1:38" s="6" customFormat="1" x14ac:dyDescent="0.25">
      <c r="A29" s="5">
        <v>45877</v>
      </c>
      <c r="B29" s="5">
        <v>45873</v>
      </c>
      <c r="C29" s="6" t="s">
        <v>38</v>
      </c>
      <c r="D29" s="6" t="s">
        <v>39</v>
      </c>
      <c r="E29" s="6" t="s">
        <v>40</v>
      </c>
      <c r="F29" s="6" t="s">
        <v>41</v>
      </c>
      <c r="G29" s="6" t="s">
        <v>42</v>
      </c>
      <c r="H29" s="6" t="s">
        <v>43</v>
      </c>
      <c r="I29" s="6">
        <v>2030178272</v>
      </c>
      <c r="J29" s="6" t="s">
        <v>163</v>
      </c>
      <c r="M29" s="6" t="s">
        <v>60</v>
      </c>
      <c r="O29" s="6" t="s">
        <v>164</v>
      </c>
      <c r="P29" s="6" t="s">
        <v>165</v>
      </c>
      <c r="Q29" s="6" t="s">
        <v>48</v>
      </c>
      <c r="R29" s="6" t="s">
        <v>86</v>
      </c>
      <c r="S29" s="5">
        <v>45870</v>
      </c>
      <c r="U29" s="6" t="s">
        <v>50</v>
      </c>
      <c r="X29" s="6" t="s">
        <v>51</v>
      </c>
      <c r="Y29" s="7">
        <v>77.48</v>
      </c>
      <c r="Z29" s="7">
        <v>77.48</v>
      </c>
      <c r="AA29" s="6">
        <v>6</v>
      </c>
      <c r="AB29" s="8">
        <v>0.375</v>
      </c>
      <c r="AC29" s="7">
        <v>174.33</v>
      </c>
      <c r="AD29" s="8">
        <v>0</v>
      </c>
      <c r="AE29" s="7">
        <v>0</v>
      </c>
      <c r="AF29" s="7">
        <v>174.33</v>
      </c>
      <c r="AK29" s="9">
        <v>19530280</v>
      </c>
      <c r="AL29" s="6" t="s">
        <v>52</v>
      </c>
    </row>
    <row r="30" spans="1:38" s="6" customFormat="1" x14ac:dyDescent="0.25">
      <c r="A30" s="5">
        <v>45877</v>
      </c>
      <c r="B30" s="5">
        <v>45873</v>
      </c>
      <c r="C30" s="6" t="s">
        <v>38</v>
      </c>
      <c r="D30" s="6" t="s">
        <v>39</v>
      </c>
      <c r="E30" s="6" t="s">
        <v>40</v>
      </c>
      <c r="F30" s="6" t="s">
        <v>41</v>
      </c>
      <c r="G30" s="6" t="s">
        <v>42</v>
      </c>
      <c r="H30" s="6" t="s">
        <v>43</v>
      </c>
      <c r="I30" s="6">
        <v>2030295963</v>
      </c>
      <c r="J30" s="6" t="s">
        <v>284</v>
      </c>
      <c r="M30" s="6" t="s">
        <v>64</v>
      </c>
      <c r="O30" s="6" t="s">
        <v>164</v>
      </c>
      <c r="P30" s="6" t="s">
        <v>165</v>
      </c>
      <c r="Q30" s="6" t="s">
        <v>48</v>
      </c>
      <c r="R30" s="6" t="s">
        <v>86</v>
      </c>
      <c r="S30" s="5">
        <v>45873</v>
      </c>
      <c r="U30" s="6" t="s">
        <v>50</v>
      </c>
      <c r="X30" s="6" t="s">
        <v>51</v>
      </c>
      <c r="Y30" s="7">
        <v>107.88</v>
      </c>
      <c r="Z30" s="7">
        <v>107.88</v>
      </c>
      <c r="AA30" s="6">
        <v>6</v>
      </c>
      <c r="AB30" s="8">
        <v>0.375</v>
      </c>
      <c r="AC30" s="7">
        <v>242.73</v>
      </c>
      <c r="AD30" s="8">
        <v>0</v>
      </c>
      <c r="AE30" s="7">
        <v>0</v>
      </c>
      <c r="AF30" s="7">
        <v>242.73</v>
      </c>
      <c r="AK30" s="9">
        <v>19531460</v>
      </c>
      <c r="AL30" s="6" t="s">
        <v>52</v>
      </c>
    </row>
    <row r="31" spans="1:38" s="6" customFormat="1" x14ac:dyDescent="0.25">
      <c r="A31" s="5">
        <v>45877</v>
      </c>
      <c r="B31" s="5">
        <v>45873</v>
      </c>
      <c r="C31" s="6" t="s">
        <v>38</v>
      </c>
      <c r="D31" s="6" t="s">
        <v>39</v>
      </c>
      <c r="E31" s="6" t="s">
        <v>40</v>
      </c>
      <c r="F31" s="6" t="s">
        <v>41</v>
      </c>
      <c r="G31" s="6" t="s">
        <v>42</v>
      </c>
      <c r="H31" s="6" t="s">
        <v>43</v>
      </c>
      <c r="I31" s="6">
        <v>2030192580</v>
      </c>
      <c r="J31" s="6" t="s">
        <v>177</v>
      </c>
      <c r="M31" s="6" t="s">
        <v>60</v>
      </c>
      <c r="O31" s="6" t="s">
        <v>178</v>
      </c>
      <c r="P31" s="6" t="s">
        <v>179</v>
      </c>
      <c r="Q31" s="6" t="s">
        <v>48</v>
      </c>
      <c r="R31" s="6" t="s">
        <v>53</v>
      </c>
      <c r="S31" s="5">
        <v>45870</v>
      </c>
      <c r="U31" s="6" t="s">
        <v>50</v>
      </c>
      <c r="X31" s="6" t="s">
        <v>51</v>
      </c>
      <c r="Y31" s="7">
        <v>49.8</v>
      </c>
      <c r="Z31" s="7">
        <v>49.8</v>
      </c>
      <c r="AA31" s="6">
        <v>6</v>
      </c>
      <c r="AB31" s="8">
        <v>0.7</v>
      </c>
      <c r="AC31" s="7">
        <v>209.16</v>
      </c>
      <c r="AD31" s="8">
        <v>0</v>
      </c>
      <c r="AE31" s="7">
        <v>0</v>
      </c>
      <c r="AF31" s="7">
        <v>209.16</v>
      </c>
      <c r="AK31" s="9">
        <v>19502240</v>
      </c>
      <c r="AL31" s="6" t="s">
        <v>52</v>
      </c>
    </row>
    <row r="32" spans="1:38" x14ac:dyDescent="0.25">
      <c r="A32" s="1">
        <v>45877</v>
      </c>
      <c r="B32" s="1">
        <v>45873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>
        <v>2030224118</v>
      </c>
      <c r="J32" t="s">
        <v>232</v>
      </c>
      <c r="M32" t="s">
        <v>100</v>
      </c>
      <c r="O32" t="s">
        <v>233</v>
      </c>
      <c r="P32" t="s">
        <v>234</v>
      </c>
      <c r="Q32" t="s">
        <v>48</v>
      </c>
      <c r="R32" t="s">
        <v>186</v>
      </c>
      <c r="S32" s="1">
        <v>45869</v>
      </c>
      <c r="U32" t="s">
        <v>50</v>
      </c>
      <c r="X32" t="s">
        <v>51</v>
      </c>
      <c r="Y32" s="2">
        <v>11.03</v>
      </c>
      <c r="Z32" s="2">
        <v>11.03</v>
      </c>
      <c r="AA32">
        <v>6</v>
      </c>
      <c r="AB32" s="3">
        <v>0.38</v>
      </c>
      <c r="AC32" s="2">
        <v>25.15</v>
      </c>
      <c r="AD32" s="3">
        <v>0</v>
      </c>
      <c r="AE32" s="2">
        <v>0</v>
      </c>
      <c r="AF32" s="2">
        <v>25.15</v>
      </c>
      <c r="AK32" s="4">
        <v>19533260</v>
      </c>
      <c r="AL32" t="s">
        <v>52</v>
      </c>
    </row>
    <row r="33" spans="1:38" x14ac:dyDescent="0.25">
      <c r="A33" s="1">
        <v>45877</v>
      </c>
      <c r="B33" s="1">
        <v>45873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>
        <v>2030224119</v>
      </c>
      <c r="J33" t="s">
        <v>232</v>
      </c>
      <c r="M33" t="s">
        <v>100</v>
      </c>
      <c r="O33" t="s">
        <v>233</v>
      </c>
      <c r="P33" t="s">
        <v>234</v>
      </c>
      <c r="Q33" t="s">
        <v>48</v>
      </c>
      <c r="R33" t="s">
        <v>53</v>
      </c>
      <c r="S33" s="1">
        <v>45869</v>
      </c>
      <c r="U33" t="s">
        <v>50</v>
      </c>
      <c r="X33" t="s">
        <v>51</v>
      </c>
      <c r="Y33" s="2">
        <v>4.12</v>
      </c>
      <c r="Z33" s="2">
        <v>4.12</v>
      </c>
      <c r="AA33">
        <v>6</v>
      </c>
      <c r="AB33" s="3">
        <v>0.7</v>
      </c>
      <c r="AC33" s="2">
        <v>17.3</v>
      </c>
      <c r="AD33" s="3">
        <v>0</v>
      </c>
      <c r="AE33" s="2">
        <v>0</v>
      </c>
      <c r="AF33" s="2">
        <v>17.3</v>
      </c>
      <c r="AK33" s="4">
        <v>19502640</v>
      </c>
      <c r="AL33" t="s">
        <v>52</v>
      </c>
    </row>
    <row r="34" spans="1:38" x14ac:dyDescent="0.25">
      <c r="A34" s="1">
        <v>45877</v>
      </c>
      <c r="B34" s="1">
        <v>45873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>
        <v>2030224120</v>
      </c>
      <c r="J34" t="s">
        <v>232</v>
      </c>
      <c r="M34" t="s">
        <v>100</v>
      </c>
      <c r="O34" t="s">
        <v>233</v>
      </c>
      <c r="P34" t="s">
        <v>234</v>
      </c>
      <c r="Q34" t="s">
        <v>48</v>
      </c>
      <c r="R34" t="s">
        <v>187</v>
      </c>
      <c r="S34" s="1">
        <v>45869</v>
      </c>
      <c r="U34" t="s">
        <v>50</v>
      </c>
      <c r="X34" t="s">
        <v>51</v>
      </c>
      <c r="Y34" s="2">
        <v>15</v>
      </c>
      <c r="Z34" s="2">
        <v>15</v>
      </c>
      <c r="AA34">
        <v>6</v>
      </c>
      <c r="AB34" s="3">
        <v>0.38</v>
      </c>
      <c r="AC34" s="2">
        <v>34.200000000000003</v>
      </c>
      <c r="AD34" s="3">
        <v>0</v>
      </c>
      <c r="AE34" s="2">
        <v>0</v>
      </c>
      <c r="AF34" s="2">
        <v>34.200000000000003</v>
      </c>
      <c r="AK34" s="4">
        <v>19509400</v>
      </c>
      <c r="AL34" t="s">
        <v>52</v>
      </c>
    </row>
    <row r="35" spans="1:38" x14ac:dyDescent="0.25">
      <c r="A35" s="1">
        <v>45877</v>
      </c>
      <c r="B35" s="1">
        <v>45873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>
        <v>2030239023</v>
      </c>
      <c r="J35" t="s">
        <v>242</v>
      </c>
      <c r="M35" t="s">
        <v>66</v>
      </c>
      <c r="O35" t="s">
        <v>233</v>
      </c>
      <c r="P35" t="s">
        <v>234</v>
      </c>
      <c r="Q35" t="s">
        <v>48</v>
      </c>
      <c r="R35" t="s">
        <v>186</v>
      </c>
      <c r="S35" s="1">
        <v>45870</v>
      </c>
      <c r="U35" t="s">
        <v>50</v>
      </c>
      <c r="X35" t="s">
        <v>51</v>
      </c>
      <c r="Y35" s="2">
        <v>53.16</v>
      </c>
      <c r="Z35" s="2">
        <v>53.16</v>
      </c>
      <c r="AA35">
        <v>6</v>
      </c>
      <c r="AB35" s="3">
        <v>0.38</v>
      </c>
      <c r="AC35" s="2">
        <v>121.2</v>
      </c>
      <c r="AD35" s="3">
        <v>0</v>
      </c>
      <c r="AE35" s="2">
        <v>0</v>
      </c>
      <c r="AF35" s="2">
        <v>121.2</v>
      </c>
      <c r="AK35" s="4">
        <v>19533270</v>
      </c>
      <c r="AL35" t="s">
        <v>52</v>
      </c>
    </row>
    <row r="36" spans="1:38" x14ac:dyDescent="0.25">
      <c r="A36" s="1">
        <v>45877</v>
      </c>
      <c r="B36" s="1">
        <v>45873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>
        <v>2030290666</v>
      </c>
      <c r="J36" t="s">
        <v>282</v>
      </c>
      <c r="M36" t="s">
        <v>127</v>
      </c>
      <c r="O36" t="s">
        <v>233</v>
      </c>
      <c r="P36" t="s">
        <v>234</v>
      </c>
      <c r="Q36" t="s">
        <v>48</v>
      </c>
      <c r="R36" t="s">
        <v>186</v>
      </c>
      <c r="S36" s="1">
        <v>45872</v>
      </c>
      <c r="U36" t="s">
        <v>50</v>
      </c>
      <c r="X36" t="s">
        <v>51</v>
      </c>
      <c r="Y36" s="2">
        <v>31.43</v>
      </c>
      <c r="Z36" s="2">
        <v>31.43</v>
      </c>
      <c r="AA36">
        <v>6</v>
      </c>
      <c r="AB36" s="3">
        <v>0.38</v>
      </c>
      <c r="AC36" s="2">
        <v>71.66</v>
      </c>
      <c r="AD36" s="3">
        <v>0</v>
      </c>
      <c r="AE36" s="2">
        <v>0</v>
      </c>
      <c r="AF36" s="2">
        <v>71.66</v>
      </c>
      <c r="AK36" s="4">
        <v>19533310</v>
      </c>
      <c r="AL36" t="s">
        <v>52</v>
      </c>
    </row>
    <row r="37" spans="1:38" x14ac:dyDescent="0.25">
      <c r="A37" s="1">
        <v>45877</v>
      </c>
      <c r="B37" s="1">
        <v>45873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>
        <v>2030290667</v>
      </c>
      <c r="J37" t="s">
        <v>282</v>
      </c>
      <c r="M37" t="s">
        <v>127</v>
      </c>
      <c r="O37" t="s">
        <v>233</v>
      </c>
      <c r="P37" t="s">
        <v>234</v>
      </c>
      <c r="Q37" t="s">
        <v>48</v>
      </c>
      <c r="R37" t="s">
        <v>187</v>
      </c>
      <c r="S37" s="1">
        <v>45872</v>
      </c>
      <c r="U37" t="s">
        <v>50</v>
      </c>
      <c r="X37" t="s">
        <v>51</v>
      </c>
      <c r="Y37" s="2">
        <v>15</v>
      </c>
      <c r="Z37" s="2">
        <v>15</v>
      </c>
      <c r="AA37">
        <v>6</v>
      </c>
      <c r="AB37" s="3">
        <v>0.38</v>
      </c>
      <c r="AC37" s="2">
        <v>34.200000000000003</v>
      </c>
      <c r="AD37" s="3">
        <v>0</v>
      </c>
      <c r="AE37" s="2">
        <v>0</v>
      </c>
      <c r="AF37" s="2">
        <v>34.200000000000003</v>
      </c>
      <c r="AK37" s="4">
        <v>19509660</v>
      </c>
      <c r="AL37" t="s">
        <v>52</v>
      </c>
    </row>
    <row r="38" spans="1:38" x14ac:dyDescent="0.25">
      <c r="A38" s="1">
        <v>45877</v>
      </c>
      <c r="B38" s="1">
        <v>45873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>
        <v>2030027170</v>
      </c>
      <c r="J38" t="s">
        <v>118</v>
      </c>
      <c r="M38" t="s">
        <v>112</v>
      </c>
      <c r="O38" t="s">
        <v>119</v>
      </c>
      <c r="P38" t="s">
        <v>120</v>
      </c>
      <c r="Q38" t="s">
        <v>48</v>
      </c>
      <c r="R38" t="s">
        <v>53</v>
      </c>
      <c r="S38" s="1">
        <v>45870</v>
      </c>
      <c r="U38" t="s">
        <v>50</v>
      </c>
      <c r="X38" t="s">
        <v>51</v>
      </c>
      <c r="Y38" s="2">
        <v>113.17</v>
      </c>
      <c r="Z38" s="2">
        <v>113.17</v>
      </c>
      <c r="AA38">
        <v>6</v>
      </c>
      <c r="AB38" s="3">
        <v>0.7</v>
      </c>
      <c r="AC38" s="2">
        <v>475.31</v>
      </c>
      <c r="AD38" s="3">
        <v>0</v>
      </c>
      <c r="AE38" s="2">
        <v>0</v>
      </c>
      <c r="AF38" s="2">
        <v>475.31</v>
      </c>
      <c r="AK38" s="4">
        <v>19501710</v>
      </c>
      <c r="AL38" t="s">
        <v>52</v>
      </c>
    </row>
    <row r="39" spans="1:38" x14ac:dyDescent="0.25">
      <c r="A39" s="1">
        <v>45877</v>
      </c>
      <c r="B39" s="1">
        <v>45873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>
        <v>2030027171</v>
      </c>
      <c r="J39" t="s">
        <v>118</v>
      </c>
      <c r="M39" t="s">
        <v>112</v>
      </c>
      <c r="O39" t="s">
        <v>119</v>
      </c>
      <c r="P39" t="s">
        <v>120</v>
      </c>
      <c r="Q39" t="s">
        <v>48</v>
      </c>
      <c r="R39" t="s">
        <v>49</v>
      </c>
      <c r="S39" s="1">
        <v>45870</v>
      </c>
      <c r="U39" t="s">
        <v>50</v>
      </c>
      <c r="X39" t="s">
        <v>51</v>
      </c>
      <c r="Y39" s="2">
        <v>68.25</v>
      </c>
      <c r="Z39" s="2">
        <v>68.25</v>
      </c>
      <c r="AA39">
        <v>6</v>
      </c>
      <c r="AB39" s="3">
        <v>0.75</v>
      </c>
      <c r="AC39" s="2">
        <v>307.13</v>
      </c>
      <c r="AD39" s="3">
        <v>0</v>
      </c>
      <c r="AE39" s="2">
        <v>0</v>
      </c>
      <c r="AF39" s="2">
        <v>307.13</v>
      </c>
      <c r="AK39" s="4">
        <v>19515550</v>
      </c>
      <c r="AL39" t="s">
        <v>52</v>
      </c>
    </row>
    <row r="40" spans="1:38" x14ac:dyDescent="0.25">
      <c r="A40" s="1">
        <v>45877</v>
      </c>
      <c r="B40" s="1">
        <v>45873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>
        <v>2030218379</v>
      </c>
      <c r="J40" t="s">
        <v>216</v>
      </c>
      <c r="M40" t="s">
        <v>92</v>
      </c>
      <c r="O40" t="s">
        <v>119</v>
      </c>
      <c r="P40" t="s">
        <v>120</v>
      </c>
      <c r="Q40" t="s">
        <v>48</v>
      </c>
      <c r="R40" t="s">
        <v>53</v>
      </c>
      <c r="S40" s="1">
        <v>45870</v>
      </c>
      <c r="U40" t="s">
        <v>50</v>
      </c>
      <c r="X40" t="s">
        <v>51</v>
      </c>
      <c r="Y40" s="2">
        <v>119.52</v>
      </c>
      <c r="Z40" s="2">
        <v>119.52</v>
      </c>
      <c r="AA40">
        <v>6</v>
      </c>
      <c r="AB40" s="3">
        <v>0.7</v>
      </c>
      <c r="AC40" s="2">
        <v>501.98</v>
      </c>
      <c r="AD40" s="3">
        <v>0</v>
      </c>
      <c r="AE40" s="2">
        <v>0</v>
      </c>
      <c r="AF40" s="2">
        <v>501.98</v>
      </c>
      <c r="AK40" s="4">
        <v>19502550</v>
      </c>
      <c r="AL40" t="s">
        <v>52</v>
      </c>
    </row>
    <row r="41" spans="1:38" x14ac:dyDescent="0.25">
      <c r="A41" s="1">
        <v>45877</v>
      </c>
      <c r="B41" s="1">
        <v>45873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>
        <v>2030250107</v>
      </c>
      <c r="J41" t="s">
        <v>266</v>
      </c>
      <c r="M41" t="s">
        <v>92</v>
      </c>
      <c r="O41" t="s">
        <v>119</v>
      </c>
      <c r="P41" t="s">
        <v>120</v>
      </c>
      <c r="Q41" t="s">
        <v>48</v>
      </c>
      <c r="R41" t="s">
        <v>86</v>
      </c>
      <c r="S41" s="1">
        <v>45870</v>
      </c>
      <c r="U41" t="s">
        <v>50</v>
      </c>
      <c r="X41" t="s">
        <v>51</v>
      </c>
      <c r="Y41" s="2">
        <v>50.3</v>
      </c>
      <c r="Z41" s="2">
        <v>50.3</v>
      </c>
      <c r="AA41">
        <v>6</v>
      </c>
      <c r="AB41" s="3">
        <v>0.375</v>
      </c>
      <c r="AC41" s="2">
        <v>113.18</v>
      </c>
      <c r="AD41" s="3">
        <v>0</v>
      </c>
      <c r="AE41" s="2">
        <v>0</v>
      </c>
      <c r="AF41" s="2">
        <v>113.18</v>
      </c>
      <c r="AK41" s="4">
        <v>19531160</v>
      </c>
      <c r="AL41" t="s">
        <v>52</v>
      </c>
    </row>
    <row r="42" spans="1:38" x14ac:dyDescent="0.25">
      <c r="A42" s="1">
        <v>45877</v>
      </c>
      <c r="B42" s="1">
        <v>45873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>
        <v>2030250108</v>
      </c>
      <c r="J42" t="s">
        <v>266</v>
      </c>
      <c r="M42" t="s">
        <v>92</v>
      </c>
      <c r="O42" t="s">
        <v>119</v>
      </c>
      <c r="P42" t="s">
        <v>120</v>
      </c>
      <c r="Q42" t="s">
        <v>48</v>
      </c>
      <c r="R42" t="s">
        <v>53</v>
      </c>
      <c r="S42" s="1">
        <v>45870</v>
      </c>
      <c r="U42" t="s">
        <v>50</v>
      </c>
      <c r="X42" t="s">
        <v>51</v>
      </c>
      <c r="Y42" s="2">
        <v>74.44</v>
      </c>
      <c r="Z42" s="2">
        <v>74.44</v>
      </c>
      <c r="AA42">
        <v>6</v>
      </c>
      <c r="AB42" s="3">
        <v>0.7</v>
      </c>
      <c r="AC42" s="2">
        <v>312.64999999999998</v>
      </c>
      <c r="AD42" s="3">
        <v>0</v>
      </c>
      <c r="AE42" s="2">
        <v>0</v>
      </c>
      <c r="AF42" s="2">
        <v>312.64999999999998</v>
      </c>
      <c r="AK42" s="4">
        <v>19502920</v>
      </c>
      <c r="AL42" t="s">
        <v>52</v>
      </c>
    </row>
    <row r="43" spans="1:38" x14ac:dyDescent="0.25">
      <c r="A43" s="1">
        <v>45877</v>
      </c>
      <c r="B43" s="1">
        <v>45873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>
        <v>2030250109</v>
      </c>
      <c r="J43" t="s">
        <v>266</v>
      </c>
      <c r="M43" t="s">
        <v>92</v>
      </c>
      <c r="O43" t="s">
        <v>119</v>
      </c>
      <c r="P43" t="s">
        <v>120</v>
      </c>
      <c r="Q43" t="s">
        <v>48</v>
      </c>
      <c r="R43" t="s">
        <v>49</v>
      </c>
      <c r="S43" s="1">
        <v>45870</v>
      </c>
      <c r="U43" t="s">
        <v>50</v>
      </c>
      <c r="X43" t="s">
        <v>51</v>
      </c>
      <c r="Y43" s="2">
        <v>58.93</v>
      </c>
      <c r="Z43" s="2">
        <v>58.93</v>
      </c>
      <c r="AA43">
        <v>6</v>
      </c>
      <c r="AB43" s="3">
        <v>0.75</v>
      </c>
      <c r="AC43" s="2">
        <v>265.19</v>
      </c>
      <c r="AD43" s="3">
        <v>0</v>
      </c>
      <c r="AE43" s="2">
        <v>0</v>
      </c>
      <c r="AF43" s="2">
        <v>265.19</v>
      </c>
      <c r="AK43" s="4">
        <v>19515990</v>
      </c>
      <c r="AL43" t="s">
        <v>52</v>
      </c>
    </row>
    <row r="44" spans="1:38" x14ac:dyDescent="0.25">
      <c r="A44" s="1">
        <v>45877</v>
      </c>
      <c r="B44" s="1">
        <v>45873</v>
      </c>
      <c r="C44" t="s">
        <v>288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>
        <v>2029686006</v>
      </c>
      <c r="J44" t="s">
        <v>299</v>
      </c>
      <c r="M44" t="s">
        <v>92</v>
      </c>
      <c r="O44" t="s">
        <v>119</v>
      </c>
      <c r="P44" t="s">
        <v>120</v>
      </c>
      <c r="Q44" t="s">
        <v>292</v>
      </c>
      <c r="R44" t="s">
        <v>53</v>
      </c>
      <c r="S44" s="1">
        <v>45840</v>
      </c>
      <c r="U44" t="s">
        <v>50</v>
      </c>
      <c r="X44" t="s">
        <v>293</v>
      </c>
      <c r="AF44" s="2">
        <v>119.2</v>
      </c>
      <c r="AG44" s="2">
        <v>19.87</v>
      </c>
      <c r="AJ44" s="2">
        <v>99.33</v>
      </c>
    </row>
    <row r="45" spans="1:38" x14ac:dyDescent="0.25">
      <c r="A45" s="1">
        <v>45877</v>
      </c>
      <c r="B45" s="1">
        <v>45873</v>
      </c>
      <c r="C45" t="s">
        <v>288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>
        <v>2029686007</v>
      </c>
      <c r="J45" t="s">
        <v>299</v>
      </c>
      <c r="M45" t="s">
        <v>92</v>
      </c>
      <c r="O45" t="s">
        <v>119</v>
      </c>
      <c r="P45" t="s">
        <v>120</v>
      </c>
      <c r="Q45" t="s">
        <v>292</v>
      </c>
      <c r="R45" t="s">
        <v>49</v>
      </c>
      <c r="S45" s="1">
        <v>45840</v>
      </c>
      <c r="U45" t="s">
        <v>50</v>
      </c>
      <c r="X45" t="s">
        <v>293</v>
      </c>
      <c r="AF45" s="2">
        <v>135.04</v>
      </c>
      <c r="AG45" s="2">
        <v>22.51</v>
      </c>
      <c r="AJ45" s="2">
        <v>112.53</v>
      </c>
    </row>
    <row r="46" spans="1:38" s="6" customFormat="1" x14ac:dyDescent="0.25">
      <c r="A46" s="5">
        <v>45877</v>
      </c>
      <c r="B46" s="5">
        <v>45873</v>
      </c>
      <c r="C46" s="6" t="s">
        <v>38</v>
      </c>
      <c r="D46" s="6" t="s">
        <v>39</v>
      </c>
      <c r="E46" s="6" t="s">
        <v>40</v>
      </c>
      <c r="F46" s="6" t="s">
        <v>41</v>
      </c>
      <c r="G46" s="6" t="s">
        <v>42</v>
      </c>
      <c r="H46" s="6" t="s">
        <v>43</v>
      </c>
      <c r="I46" s="6">
        <v>2030207729</v>
      </c>
      <c r="J46" s="6" t="s">
        <v>198</v>
      </c>
      <c r="M46" s="6" t="s">
        <v>112</v>
      </c>
      <c r="O46" s="6" t="s">
        <v>199</v>
      </c>
      <c r="P46" s="6" t="s">
        <v>200</v>
      </c>
      <c r="Q46" s="6" t="s">
        <v>48</v>
      </c>
      <c r="R46" s="6" t="s">
        <v>53</v>
      </c>
      <c r="S46" s="5">
        <v>45870</v>
      </c>
      <c r="U46" s="6" t="s">
        <v>50</v>
      </c>
      <c r="X46" s="6" t="s">
        <v>51</v>
      </c>
      <c r="Y46" s="7">
        <v>36.58</v>
      </c>
      <c r="Z46" s="7">
        <v>36.58</v>
      </c>
      <c r="AA46" s="6">
        <v>6</v>
      </c>
      <c r="AB46" s="8">
        <v>0.7</v>
      </c>
      <c r="AC46" s="7">
        <v>153.63999999999999</v>
      </c>
      <c r="AD46" s="8">
        <v>0</v>
      </c>
      <c r="AE46" s="7">
        <v>0</v>
      </c>
      <c r="AF46" s="7">
        <v>153.63999999999999</v>
      </c>
      <c r="AK46" s="9">
        <v>19502440</v>
      </c>
      <c r="AL46" s="6" t="s">
        <v>52</v>
      </c>
    </row>
    <row r="47" spans="1:38" x14ac:dyDescent="0.25">
      <c r="A47" s="1">
        <v>45877</v>
      </c>
      <c r="B47" s="1">
        <v>45873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>
        <v>2030176830</v>
      </c>
      <c r="J47" t="s">
        <v>159</v>
      </c>
      <c r="M47" t="s">
        <v>92</v>
      </c>
      <c r="O47" t="s">
        <v>160</v>
      </c>
      <c r="P47" t="s">
        <v>161</v>
      </c>
      <c r="Q47" t="s">
        <v>48</v>
      </c>
      <c r="R47" t="s">
        <v>86</v>
      </c>
      <c r="S47" s="1">
        <v>45868</v>
      </c>
      <c r="U47" t="s">
        <v>50</v>
      </c>
      <c r="X47" t="s">
        <v>51</v>
      </c>
      <c r="Y47" s="2">
        <v>69.3</v>
      </c>
      <c r="Z47" s="2">
        <v>69.3</v>
      </c>
      <c r="AA47">
        <v>6</v>
      </c>
      <c r="AB47" s="3">
        <v>0.375</v>
      </c>
      <c r="AC47" s="2">
        <v>155.93</v>
      </c>
      <c r="AD47" s="3">
        <v>0</v>
      </c>
      <c r="AE47" s="2">
        <v>0</v>
      </c>
      <c r="AF47" s="2">
        <v>155.93</v>
      </c>
      <c r="AK47" s="4">
        <v>19530260</v>
      </c>
      <c r="AL47" t="s">
        <v>52</v>
      </c>
    </row>
    <row r="48" spans="1:38" x14ac:dyDescent="0.25">
      <c r="A48" s="1">
        <v>45877</v>
      </c>
      <c r="B48" s="1">
        <v>45873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>
        <v>2030176831</v>
      </c>
      <c r="J48" t="s">
        <v>159</v>
      </c>
      <c r="M48" t="s">
        <v>92</v>
      </c>
      <c r="O48" t="s">
        <v>160</v>
      </c>
      <c r="P48" t="s">
        <v>161</v>
      </c>
      <c r="Q48" t="s">
        <v>48</v>
      </c>
      <c r="R48" t="s">
        <v>53</v>
      </c>
      <c r="S48" s="1">
        <v>45868</v>
      </c>
      <c r="U48" t="s">
        <v>50</v>
      </c>
      <c r="X48" t="s">
        <v>51</v>
      </c>
      <c r="Y48" s="2">
        <v>13</v>
      </c>
      <c r="Z48" s="2">
        <v>13</v>
      </c>
      <c r="AA48">
        <v>6</v>
      </c>
      <c r="AB48" s="3">
        <v>0.7</v>
      </c>
      <c r="AC48" s="2">
        <v>54.6</v>
      </c>
      <c r="AD48" s="3">
        <v>0</v>
      </c>
      <c r="AE48" s="2">
        <v>0</v>
      </c>
      <c r="AF48" s="2">
        <v>54.6</v>
      </c>
      <c r="AK48" s="4">
        <v>19502060</v>
      </c>
      <c r="AL48" t="s">
        <v>52</v>
      </c>
    </row>
    <row r="49" spans="1:38" x14ac:dyDescent="0.25">
      <c r="A49" s="1">
        <v>45877</v>
      </c>
      <c r="B49" s="1">
        <v>45873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>
        <v>2030218902</v>
      </c>
      <c r="J49" t="s">
        <v>218</v>
      </c>
      <c r="M49" t="s">
        <v>60</v>
      </c>
      <c r="O49" t="s">
        <v>160</v>
      </c>
      <c r="P49" t="s">
        <v>161</v>
      </c>
      <c r="Q49" t="s">
        <v>48</v>
      </c>
      <c r="R49" t="s">
        <v>53</v>
      </c>
      <c r="S49" s="1">
        <v>45876</v>
      </c>
      <c r="U49" t="s">
        <v>50</v>
      </c>
      <c r="X49" t="s">
        <v>51</v>
      </c>
      <c r="Y49" s="2">
        <v>45.68</v>
      </c>
      <c r="Z49" s="2">
        <v>45.68</v>
      </c>
      <c r="AA49">
        <v>6</v>
      </c>
      <c r="AB49" s="3">
        <v>0.7</v>
      </c>
      <c r="AC49" s="2">
        <v>191.86</v>
      </c>
      <c r="AD49" s="3">
        <v>0</v>
      </c>
      <c r="AE49" s="2">
        <v>0</v>
      </c>
      <c r="AF49" s="2">
        <v>191.86</v>
      </c>
      <c r="AK49" s="4">
        <v>19502560</v>
      </c>
      <c r="AL49" t="s">
        <v>52</v>
      </c>
    </row>
    <row r="50" spans="1:38" x14ac:dyDescent="0.25">
      <c r="A50" s="1">
        <v>45877</v>
      </c>
      <c r="B50" s="1">
        <v>45873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>
        <v>2030244227</v>
      </c>
      <c r="J50" t="s">
        <v>250</v>
      </c>
      <c r="M50" t="s">
        <v>60</v>
      </c>
      <c r="O50" t="s">
        <v>251</v>
      </c>
      <c r="P50" t="s">
        <v>252</v>
      </c>
      <c r="Q50" t="s">
        <v>48</v>
      </c>
      <c r="R50" t="s">
        <v>86</v>
      </c>
      <c r="S50" s="1">
        <v>45870</v>
      </c>
      <c r="U50" t="s">
        <v>50</v>
      </c>
      <c r="X50" t="s">
        <v>51</v>
      </c>
      <c r="Y50" s="2">
        <v>60.48</v>
      </c>
      <c r="Z50" s="2">
        <v>60.48</v>
      </c>
      <c r="AA50">
        <v>6</v>
      </c>
      <c r="AB50" s="3">
        <v>0.375</v>
      </c>
      <c r="AC50" s="2">
        <v>136.08000000000001</v>
      </c>
      <c r="AD50" s="3">
        <v>0</v>
      </c>
      <c r="AE50" s="2">
        <v>0</v>
      </c>
      <c r="AF50" s="2">
        <v>136.08000000000001</v>
      </c>
      <c r="AK50" s="4">
        <v>19531080</v>
      </c>
      <c r="AL50" t="s">
        <v>52</v>
      </c>
    </row>
    <row r="51" spans="1:38" x14ac:dyDescent="0.25">
      <c r="A51" s="1">
        <v>45877</v>
      </c>
      <c r="B51" s="1">
        <v>45873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>
        <v>2030244228</v>
      </c>
      <c r="J51" t="s">
        <v>250</v>
      </c>
      <c r="M51" t="s">
        <v>60</v>
      </c>
      <c r="O51" t="s">
        <v>251</v>
      </c>
      <c r="P51" t="s">
        <v>252</v>
      </c>
      <c r="Q51" t="s">
        <v>48</v>
      </c>
      <c r="R51" t="s">
        <v>53</v>
      </c>
      <c r="S51" s="1">
        <v>45870</v>
      </c>
      <c r="U51" t="s">
        <v>50</v>
      </c>
      <c r="X51" t="s">
        <v>51</v>
      </c>
      <c r="Y51" s="2">
        <v>41.29</v>
      </c>
      <c r="Z51" s="2">
        <v>41.29</v>
      </c>
      <c r="AA51">
        <v>6</v>
      </c>
      <c r="AB51" s="3">
        <v>0.7</v>
      </c>
      <c r="AC51" s="2">
        <v>173.42</v>
      </c>
      <c r="AD51" s="3">
        <v>0</v>
      </c>
      <c r="AE51" s="2">
        <v>0</v>
      </c>
      <c r="AF51" s="2">
        <v>173.42</v>
      </c>
      <c r="AK51" s="4">
        <v>19502840</v>
      </c>
      <c r="AL51" t="s">
        <v>52</v>
      </c>
    </row>
    <row r="52" spans="1:38" x14ac:dyDescent="0.25">
      <c r="A52" s="1">
        <v>45877</v>
      </c>
      <c r="B52" s="1">
        <v>45873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>
        <v>2029760156</v>
      </c>
      <c r="J52" t="s">
        <v>65</v>
      </c>
      <c r="M52" t="s">
        <v>66</v>
      </c>
      <c r="O52" t="s">
        <v>67</v>
      </c>
      <c r="P52" t="s">
        <v>68</v>
      </c>
      <c r="Q52" t="s">
        <v>48</v>
      </c>
      <c r="R52" t="s">
        <v>69</v>
      </c>
      <c r="S52" s="1">
        <v>45870</v>
      </c>
      <c r="U52" t="s">
        <v>50</v>
      </c>
      <c r="X52" t="s">
        <v>70</v>
      </c>
      <c r="Y52" s="2">
        <v>737.64</v>
      </c>
      <c r="Z52" s="2">
        <v>737.64</v>
      </c>
      <c r="AA52">
        <v>1</v>
      </c>
      <c r="AB52" s="3">
        <v>0.47</v>
      </c>
      <c r="AC52" s="2">
        <v>346.69</v>
      </c>
      <c r="AD52" s="3">
        <v>0</v>
      </c>
      <c r="AE52" s="2">
        <v>0</v>
      </c>
      <c r="AF52" s="2">
        <v>346.69</v>
      </c>
      <c r="AK52" s="4">
        <v>19529560</v>
      </c>
    </row>
    <row r="53" spans="1:38" x14ac:dyDescent="0.25">
      <c r="A53" s="1">
        <v>45877</v>
      </c>
      <c r="B53" s="1">
        <v>45873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>
        <v>2030100049</v>
      </c>
      <c r="J53" t="s">
        <v>138</v>
      </c>
      <c r="M53" t="s">
        <v>92</v>
      </c>
      <c r="O53" t="s">
        <v>139</v>
      </c>
      <c r="P53" t="s">
        <v>140</v>
      </c>
      <c r="Q53" t="s">
        <v>48</v>
      </c>
      <c r="R53" t="s">
        <v>53</v>
      </c>
      <c r="S53" s="1">
        <v>45870</v>
      </c>
      <c r="U53" t="s">
        <v>50</v>
      </c>
      <c r="X53" t="s">
        <v>51</v>
      </c>
      <c r="Y53" s="2">
        <v>89.52</v>
      </c>
      <c r="Z53" s="2">
        <v>89.52</v>
      </c>
      <c r="AA53">
        <v>6</v>
      </c>
      <c r="AB53" s="3">
        <v>0.7</v>
      </c>
      <c r="AC53" s="2">
        <v>375.98</v>
      </c>
      <c r="AD53" s="3">
        <v>0</v>
      </c>
      <c r="AE53" s="2">
        <v>0</v>
      </c>
      <c r="AF53" s="2">
        <v>375.98</v>
      </c>
      <c r="AK53" s="4">
        <v>19501850</v>
      </c>
      <c r="AL53" t="s">
        <v>52</v>
      </c>
    </row>
    <row r="54" spans="1:38" x14ac:dyDescent="0.25">
      <c r="A54" s="1">
        <v>45877</v>
      </c>
      <c r="B54" s="1">
        <v>45873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>
        <v>2030100050</v>
      </c>
      <c r="J54" t="s">
        <v>138</v>
      </c>
      <c r="M54" t="s">
        <v>92</v>
      </c>
      <c r="O54" t="s">
        <v>139</v>
      </c>
      <c r="P54" t="s">
        <v>140</v>
      </c>
      <c r="Q54" t="s">
        <v>48</v>
      </c>
      <c r="R54" t="s">
        <v>86</v>
      </c>
      <c r="S54" s="1">
        <v>45870</v>
      </c>
      <c r="U54" t="s">
        <v>50</v>
      </c>
      <c r="X54" t="s">
        <v>51</v>
      </c>
      <c r="Y54" s="2">
        <v>28.38</v>
      </c>
      <c r="Z54" s="2">
        <v>28.38</v>
      </c>
      <c r="AA54">
        <v>6</v>
      </c>
      <c r="AB54" s="3">
        <v>0.375</v>
      </c>
      <c r="AC54" s="2">
        <v>63.86</v>
      </c>
      <c r="AD54" s="3">
        <v>0</v>
      </c>
      <c r="AE54" s="2">
        <v>0</v>
      </c>
      <c r="AF54" s="2">
        <v>63.86</v>
      </c>
      <c r="AK54" s="4">
        <v>19530080</v>
      </c>
      <c r="AL54" t="s">
        <v>52</v>
      </c>
    </row>
    <row r="55" spans="1:38" x14ac:dyDescent="0.25">
      <c r="A55" s="1">
        <v>45877</v>
      </c>
      <c r="B55" s="1">
        <v>45873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>
        <v>2029840830</v>
      </c>
      <c r="J55" t="s">
        <v>76</v>
      </c>
      <c r="M55" t="s">
        <v>60</v>
      </c>
      <c r="O55" t="s">
        <v>77</v>
      </c>
      <c r="P55" t="s">
        <v>78</v>
      </c>
      <c r="Q55" t="s">
        <v>48</v>
      </c>
      <c r="R55" t="s">
        <v>53</v>
      </c>
      <c r="S55" s="1">
        <v>45876</v>
      </c>
      <c r="U55" t="s">
        <v>50</v>
      </c>
      <c r="X55" t="s">
        <v>51</v>
      </c>
      <c r="Y55" s="2">
        <v>159.24</v>
      </c>
      <c r="Z55" s="2">
        <v>159.24</v>
      </c>
      <c r="AA55">
        <v>6</v>
      </c>
      <c r="AB55" s="3">
        <v>0.7</v>
      </c>
      <c r="AC55" s="2">
        <v>668.81</v>
      </c>
      <c r="AD55" s="3">
        <v>0</v>
      </c>
      <c r="AE55" s="2">
        <v>0</v>
      </c>
      <c r="AF55" s="2">
        <v>668.81</v>
      </c>
      <c r="AK55" s="4">
        <v>19501490</v>
      </c>
      <c r="AL55" t="s">
        <v>52</v>
      </c>
    </row>
    <row r="56" spans="1:38" x14ac:dyDescent="0.25">
      <c r="A56" s="1">
        <v>45877</v>
      </c>
      <c r="B56" s="1">
        <v>45873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>
        <v>2029842748</v>
      </c>
      <c r="J56" t="s">
        <v>79</v>
      </c>
      <c r="M56" t="s">
        <v>80</v>
      </c>
      <c r="O56" t="s">
        <v>77</v>
      </c>
      <c r="P56" t="s">
        <v>78</v>
      </c>
      <c r="Q56" t="s">
        <v>48</v>
      </c>
      <c r="R56" t="s">
        <v>53</v>
      </c>
      <c r="S56" s="1">
        <v>45876</v>
      </c>
      <c r="U56" t="s">
        <v>50</v>
      </c>
      <c r="X56" t="s">
        <v>51</v>
      </c>
      <c r="Y56" s="2">
        <v>51</v>
      </c>
      <c r="Z56" s="2">
        <v>51</v>
      </c>
      <c r="AA56">
        <v>6</v>
      </c>
      <c r="AB56" s="3">
        <v>0.7</v>
      </c>
      <c r="AC56" s="2">
        <v>214.2</v>
      </c>
      <c r="AD56" s="3">
        <v>0</v>
      </c>
      <c r="AE56" s="2">
        <v>0</v>
      </c>
      <c r="AF56" s="2">
        <v>214.2</v>
      </c>
      <c r="AK56" s="4">
        <v>19501500</v>
      </c>
      <c r="AL56" t="s">
        <v>52</v>
      </c>
    </row>
    <row r="57" spans="1:38" x14ac:dyDescent="0.25">
      <c r="A57" s="1">
        <v>45877</v>
      </c>
      <c r="B57" s="1">
        <v>45873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>
        <v>2029842749</v>
      </c>
      <c r="J57" t="s">
        <v>79</v>
      </c>
      <c r="M57" t="s">
        <v>80</v>
      </c>
      <c r="O57" t="s">
        <v>77</v>
      </c>
      <c r="P57" t="s">
        <v>78</v>
      </c>
      <c r="Q57" t="s">
        <v>48</v>
      </c>
      <c r="R57" t="s">
        <v>81</v>
      </c>
      <c r="S57" s="1">
        <v>45876</v>
      </c>
      <c r="U57" t="s">
        <v>50</v>
      </c>
      <c r="X57" t="s">
        <v>51</v>
      </c>
      <c r="Y57" s="2">
        <v>191.89</v>
      </c>
      <c r="Z57" s="2">
        <v>191.89</v>
      </c>
      <c r="AA57">
        <v>6</v>
      </c>
      <c r="AB57" s="3">
        <v>0.75</v>
      </c>
      <c r="AC57" s="2">
        <v>863.51</v>
      </c>
      <c r="AD57" s="3">
        <v>0</v>
      </c>
      <c r="AE57" s="2">
        <v>0</v>
      </c>
      <c r="AF57" s="2">
        <v>863.51</v>
      </c>
      <c r="AK57" s="4">
        <v>19515450</v>
      </c>
      <c r="AL57" t="s">
        <v>52</v>
      </c>
    </row>
    <row r="58" spans="1:38" x14ac:dyDescent="0.25">
      <c r="A58" s="1">
        <v>45877</v>
      </c>
      <c r="B58" s="1">
        <v>45873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>
        <v>2029919052</v>
      </c>
      <c r="J58" t="s">
        <v>95</v>
      </c>
      <c r="M58" t="s">
        <v>96</v>
      </c>
      <c r="O58" t="s">
        <v>77</v>
      </c>
      <c r="P58" t="s">
        <v>78</v>
      </c>
      <c r="Q58" t="s">
        <v>48</v>
      </c>
      <c r="R58" t="s">
        <v>53</v>
      </c>
      <c r="S58" s="1">
        <v>45876</v>
      </c>
      <c r="U58" t="s">
        <v>50</v>
      </c>
      <c r="X58" t="s">
        <v>51</v>
      </c>
      <c r="Y58" s="2">
        <v>69.37</v>
      </c>
      <c r="Z58" s="2">
        <v>69.37</v>
      </c>
      <c r="AA58">
        <v>6</v>
      </c>
      <c r="AB58" s="3">
        <v>0.7</v>
      </c>
      <c r="AC58" s="2">
        <v>291.35000000000002</v>
      </c>
      <c r="AD58" s="3">
        <v>0</v>
      </c>
      <c r="AE58" s="2">
        <v>0</v>
      </c>
      <c r="AF58" s="2">
        <v>291.35000000000002</v>
      </c>
      <c r="AK58" s="4">
        <v>19501570</v>
      </c>
      <c r="AL58" t="s">
        <v>52</v>
      </c>
    </row>
    <row r="59" spans="1:38" x14ac:dyDescent="0.25">
      <c r="A59" s="1">
        <v>45877</v>
      </c>
      <c r="B59" s="1">
        <v>45873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>
        <v>2029919053</v>
      </c>
      <c r="J59" t="s">
        <v>95</v>
      </c>
      <c r="M59" t="s">
        <v>96</v>
      </c>
      <c r="O59" t="s">
        <v>77</v>
      </c>
      <c r="P59" t="s">
        <v>78</v>
      </c>
      <c r="Q59" t="s">
        <v>48</v>
      </c>
      <c r="R59" t="s">
        <v>81</v>
      </c>
      <c r="S59" s="1">
        <v>45876</v>
      </c>
      <c r="U59" t="s">
        <v>50</v>
      </c>
      <c r="X59" t="s">
        <v>51</v>
      </c>
      <c r="Y59" s="2">
        <v>219.55</v>
      </c>
      <c r="Z59" s="2">
        <v>219.55</v>
      </c>
      <c r="AA59">
        <v>6</v>
      </c>
      <c r="AB59" s="3">
        <v>0.75</v>
      </c>
      <c r="AC59" s="2">
        <v>987.98</v>
      </c>
      <c r="AD59" s="3">
        <v>0</v>
      </c>
      <c r="AE59" s="2">
        <v>0</v>
      </c>
      <c r="AF59" s="2">
        <v>987.98</v>
      </c>
      <c r="AK59" s="4">
        <v>19515490</v>
      </c>
      <c r="AL59" t="s">
        <v>52</v>
      </c>
    </row>
    <row r="60" spans="1:38" x14ac:dyDescent="0.25">
      <c r="A60" s="1">
        <v>45877</v>
      </c>
      <c r="B60" s="1">
        <v>45873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>
        <v>2029959146</v>
      </c>
      <c r="J60" t="s">
        <v>102</v>
      </c>
      <c r="M60" t="s">
        <v>103</v>
      </c>
      <c r="O60" t="s">
        <v>77</v>
      </c>
      <c r="P60" t="s">
        <v>78</v>
      </c>
      <c r="Q60" t="s">
        <v>48</v>
      </c>
      <c r="R60" t="s">
        <v>81</v>
      </c>
      <c r="S60" s="1">
        <v>45876</v>
      </c>
      <c r="U60" t="s">
        <v>50</v>
      </c>
      <c r="X60" t="s">
        <v>51</v>
      </c>
      <c r="Y60" s="2">
        <v>187</v>
      </c>
      <c r="Z60" s="2">
        <v>187</v>
      </c>
      <c r="AA60">
        <v>6</v>
      </c>
      <c r="AB60" s="3">
        <v>0.75</v>
      </c>
      <c r="AC60" s="2">
        <v>841.5</v>
      </c>
      <c r="AD60" s="3">
        <v>0</v>
      </c>
      <c r="AE60" s="2">
        <v>0</v>
      </c>
      <c r="AF60" s="2">
        <v>841.5</v>
      </c>
      <c r="AK60" s="4">
        <v>19515520</v>
      </c>
      <c r="AL60" t="s">
        <v>52</v>
      </c>
    </row>
    <row r="61" spans="1:38" x14ac:dyDescent="0.25">
      <c r="A61" s="1">
        <v>45877</v>
      </c>
      <c r="B61" s="1">
        <v>45873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>
        <v>2029959147</v>
      </c>
      <c r="J61" t="s">
        <v>102</v>
      </c>
      <c r="M61" t="s">
        <v>103</v>
      </c>
      <c r="O61" t="s">
        <v>77</v>
      </c>
      <c r="P61" t="s">
        <v>78</v>
      </c>
      <c r="Q61" t="s">
        <v>48</v>
      </c>
      <c r="R61" t="s">
        <v>53</v>
      </c>
      <c r="S61" s="1">
        <v>45876</v>
      </c>
      <c r="U61" t="s">
        <v>50</v>
      </c>
      <c r="X61" t="s">
        <v>51</v>
      </c>
      <c r="Y61" s="2">
        <v>122.32</v>
      </c>
      <c r="Z61" s="2">
        <v>122.32</v>
      </c>
      <c r="AA61">
        <v>6</v>
      </c>
      <c r="AB61" s="3">
        <v>0.7</v>
      </c>
      <c r="AC61" s="2">
        <v>513.74</v>
      </c>
      <c r="AD61" s="3">
        <v>0</v>
      </c>
      <c r="AE61" s="2">
        <v>0</v>
      </c>
      <c r="AF61" s="2">
        <v>513.74</v>
      </c>
      <c r="AK61" s="4">
        <v>19501610</v>
      </c>
      <c r="AL61" t="s">
        <v>52</v>
      </c>
    </row>
    <row r="62" spans="1:38" x14ac:dyDescent="0.25">
      <c r="A62" s="1">
        <v>45877</v>
      </c>
      <c r="B62" s="1">
        <v>45873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>
        <v>2029963806</v>
      </c>
      <c r="J62" t="s">
        <v>104</v>
      </c>
      <c r="M62" t="s">
        <v>105</v>
      </c>
      <c r="O62" t="s">
        <v>77</v>
      </c>
      <c r="P62" t="s">
        <v>78</v>
      </c>
      <c r="Q62" t="s">
        <v>48</v>
      </c>
      <c r="R62" t="s">
        <v>56</v>
      </c>
      <c r="S62" s="1">
        <v>45876</v>
      </c>
      <c r="U62" t="s">
        <v>50</v>
      </c>
      <c r="X62" t="s">
        <v>51</v>
      </c>
      <c r="Y62" s="2">
        <v>92.65</v>
      </c>
      <c r="Z62" s="2">
        <v>92.65</v>
      </c>
      <c r="AA62">
        <v>6</v>
      </c>
      <c r="AB62" s="3">
        <v>0.9</v>
      </c>
      <c r="AC62" s="2">
        <v>500.31</v>
      </c>
      <c r="AD62" s="3">
        <v>0</v>
      </c>
      <c r="AE62" s="2">
        <v>0</v>
      </c>
      <c r="AF62" s="2">
        <v>500.31</v>
      </c>
      <c r="AK62" s="4">
        <v>19515520</v>
      </c>
      <c r="AL62" t="s">
        <v>52</v>
      </c>
    </row>
    <row r="63" spans="1:38" x14ac:dyDescent="0.25">
      <c r="A63" s="1">
        <v>45877</v>
      </c>
      <c r="B63" s="1">
        <v>45873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>
        <v>2030013620</v>
      </c>
      <c r="J63" t="s">
        <v>116</v>
      </c>
      <c r="M63" t="s">
        <v>103</v>
      </c>
      <c r="O63" t="s">
        <v>77</v>
      </c>
      <c r="P63" t="s">
        <v>78</v>
      </c>
      <c r="Q63" t="s">
        <v>48</v>
      </c>
      <c r="R63" t="s">
        <v>53</v>
      </c>
      <c r="S63" s="1">
        <v>45876</v>
      </c>
      <c r="U63" t="s">
        <v>50</v>
      </c>
      <c r="X63" t="s">
        <v>51</v>
      </c>
      <c r="Y63" s="2">
        <v>64.63</v>
      </c>
      <c r="Z63" s="2">
        <v>64.63</v>
      </c>
      <c r="AA63">
        <v>6</v>
      </c>
      <c r="AB63" s="3">
        <v>0.7</v>
      </c>
      <c r="AC63" s="2">
        <v>271.45</v>
      </c>
      <c r="AD63" s="3">
        <v>0</v>
      </c>
      <c r="AE63" s="2">
        <v>0</v>
      </c>
      <c r="AF63" s="2">
        <v>271.45</v>
      </c>
      <c r="AK63" s="4">
        <v>19501690</v>
      </c>
      <c r="AL63" t="s">
        <v>52</v>
      </c>
    </row>
    <row r="64" spans="1:38" x14ac:dyDescent="0.25">
      <c r="A64" s="1">
        <v>45877</v>
      </c>
      <c r="B64" s="1">
        <v>45873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>
        <v>2030013621</v>
      </c>
      <c r="J64" t="s">
        <v>116</v>
      </c>
      <c r="M64" t="s">
        <v>103</v>
      </c>
      <c r="O64" t="s">
        <v>77</v>
      </c>
      <c r="P64" t="s">
        <v>78</v>
      </c>
      <c r="Q64" t="s">
        <v>48</v>
      </c>
      <c r="R64" t="s">
        <v>117</v>
      </c>
      <c r="S64" s="1">
        <v>45876</v>
      </c>
      <c r="U64" t="s">
        <v>50</v>
      </c>
      <c r="X64" t="s">
        <v>51</v>
      </c>
      <c r="Y64" s="2">
        <v>47.08</v>
      </c>
      <c r="Z64" s="2">
        <v>47.08</v>
      </c>
      <c r="AA64">
        <v>6</v>
      </c>
      <c r="AB64" s="3">
        <v>0.9</v>
      </c>
      <c r="AC64" s="2">
        <v>254.23</v>
      </c>
      <c r="AD64" s="3">
        <v>0</v>
      </c>
      <c r="AE64" s="2">
        <v>0</v>
      </c>
      <c r="AF64" s="2">
        <v>254.23</v>
      </c>
      <c r="AK64" s="4">
        <v>19535700</v>
      </c>
      <c r="AL64" t="s">
        <v>52</v>
      </c>
    </row>
    <row r="65" spans="1:38" x14ac:dyDescent="0.25">
      <c r="A65" s="1">
        <v>45877</v>
      </c>
      <c r="B65" s="1">
        <v>45873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>
        <v>2030013622</v>
      </c>
      <c r="J65" t="s">
        <v>116</v>
      </c>
      <c r="M65" t="s">
        <v>103</v>
      </c>
      <c r="O65" t="s">
        <v>77</v>
      </c>
      <c r="P65" t="s">
        <v>78</v>
      </c>
      <c r="Q65" t="s">
        <v>48</v>
      </c>
      <c r="R65" t="s">
        <v>81</v>
      </c>
      <c r="S65" s="1">
        <v>45876</v>
      </c>
      <c r="U65" t="s">
        <v>50</v>
      </c>
      <c r="X65" t="s">
        <v>51</v>
      </c>
      <c r="Y65" s="2">
        <v>59.5</v>
      </c>
      <c r="Z65" s="2">
        <v>59.5</v>
      </c>
      <c r="AA65">
        <v>6</v>
      </c>
      <c r="AB65" s="3">
        <v>0.75</v>
      </c>
      <c r="AC65" s="2">
        <v>267.75</v>
      </c>
      <c r="AD65" s="3">
        <v>0</v>
      </c>
      <c r="AE65" s="2">
        <v>0</v>
      </c>
      <c r="AF65" s="2">
        <v>267.75</v>
      </c>
      <c r="AK65" s="4">
        <v>19515540</v>
      </c>
      <c r="AL65" t="s">
        <v>52</v>
      </c>
    </row>
    <row r="66" spans="1:38" x14ac:dyDescent="0.25">
      <c r="A66" s="1">
        <v>45877</v>
      </c>
      <c r="B66" s="1">
        <v>45873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>
        <v>2030047485</v>
      </c>
      <c r="J66" t="s">
        <v>125</v>
      </c>
      <c r="M66" t="s">
        <v>103</v>
      </c>
      <c r="O66" t="s">
        <v>77</v>
      </c>
      <c r="P66" t="s">
        <v>78</v>
      </c>
      <c r="Q66" t="s">
        <v>48</v>
      </c>
      <c r="R66" t="s">
        <v>81</v>
      </c>
      <c r="S66" s="1">
        <v>45876</v>
      </c>
      <c r="U66" t="s">
        <v>50</v>
      </c>
      <c r="X66" t="s">
        <v>51</v>
      </c>
      <c r="Y66" s="2">
        <v>152.19999999999999</v>
      </c>
      <c r="Z66" s="2">
        <v>152.19999999999999</v>
      </c>
      <c r="AA66">
        <v>6</v>
      </c>
      <c r="AB66" s="3">
        <v>0.75</v>
      </c>
      <c r="AC66" s="2">
        <v>684.9</v>
      </c>
      <c r="AD66" s="3">
        <v>0</v>
      </c>
      <c r="AE66" s="2">
        <v>0</v>
      </c>
      <c r="AF66" s="2">
        <v>684.9</v>
      </c>
      <c r="AK66" s="4">
        <v>19515560</v>
      </c>
      <c r="AL66" t="s">
        <v>52</v>
      </c>
    </row>
    <row r="67" spans="1:38" x14ac:dyDescent="0.25">
      <c r="A67" s="1">
        <v>45877</v>
      </c>
      <c r="B67" s="1">
        <v>45873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>
        <v>2030047486</v>
      </c>
      <c r="J67" t="s">
        <v>125</v>
      </c>
      <c r="M67" t="s">
        <v>103</v>
      </c>
      <c r="O67" t="s">
        <v>77</v>
      </c>
      <c r="P67" t="s">
        <v>78</v>
      </c>
      <c r="Q67" t="s">
        <v>48</v>
      </c>
      <c r="R67" t="s">
        <v>53</v>
      </c>
      <c r="S67" s="1">
        <v>45876</v>
      </c>
      <c r="U67" t="s">
        <v>50</v>
      </c>
      <c r="X67" t="s">
        <v>51</v>
      </c>
      <c r="Y67" s="2">
        <v>94.38</v>
      </c>
      <c r="Z67" s="2">
        <v>94.38</v>
      </c>
      <c r="AA67">
        <v>6</v>
      </c>
      <c r="AB67" s="3">
        <v>0.7</v>
      </c>
      <c r="AC67" s="2">
        <v>396.4</v>
      </c>
      <c r="AD67" s="3">
        <v>0</v>
      </c>
      <c r="AE67" s="2">
        <v>0</v>
      </c>
      <c r="AF67" s="2">
        <v>396.4</v>
      </c>
      <c r="AK67" s="4">
        <v>19501750</v>
      </c>
      <c r="AL67" t="s">
        <v>52</v>
      </c>
    </row>
    <row r="68" spans="1:38" x14ac:dyDescent="0.25">
      <c r="A68" s="1">
        <v>45877</v>
      </c>
      <c r="B68" s="1">
        <v>45873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>
        <v>2030047733</v>
      </c>
      <c r="J68" t="s">
        <v>126</v>
      </c>
      <c r="M68" t="s">
        <v>127</v>
      </c>
      <c r="O68" t="s">
        <v>77</v>
      </c>
      <c r="P68" t="s">
        <v>78</v>
      </c>
      <c r="Q68" t="s">
        <v>48</v>
      </c>
      <c r="R68" t="s">
        <v>53</v>
      </c>
      <c r="S68" s="1">
        <v>45876</v>
      </c>
      <c r="U68" t="s">
        <v>50</v>
      </c>
      <c r="X68" t="s">
        <v>51</v>
      </c>
      <c r="Y68" s="2">
        <v>75.459999999999994</v>
      </c>
      <c r="Z68" s="2">
        <v>75.459999999999994</v>
      </c>
      <c r="AA68">
        <v>6</v>
      </c>
      <c r="AB68" s="3">
        <v>0.7</v>
      </c>
      <c r="AC68" s="2">
        <v>316.93</v>
      </c>
      <c r="AD68" s="3">
        <v>0</v>
      </c>
      <c r="AE68" s="2">
        <v>0</v>
      </c>
      <c r="AF68" s="2">
        <v>316.93</v>
      </c>
      <c r="AK68" s="4">
        <v>19501750</v>
      </c>
      <c r="AL68" t="s">
        <v>52</v>
      </c>
    </row>
    <row r="69" spans="1:38" x14ac:dyDescent="0.25">
      <c r="A69" s="1">
        <v>45877</v>
      </c>
      <c r="B69" s="1">
        <v>45873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>
        <v>2030047734</v>
      </c>
      <c r="J69" t="s">
        <v>126</v>
      </c>
      <c r="M69" t="s">
        <v>127</v>
      </c>
      <c r="O69" t="s">
        <v>77</v>
      </c>
      <c r="P69" t="s">
        <v>78</v>
      </c>
      <c r="Q69" t="s">
        <v>48</v>
      </c>
      <c r="R69" t="s">
        <v>56</v>
      </c>
      <c r="S69" s="1">
        <v>45876</v>
      </c>
      <c r="U69" t="s">
        <v>50</v>
      </c>
      <c r="X69" t="s">
        <v>51</v>
      </c>
      <c r="Y69" s="2">
        <v>70.959999999999994</v>
      </c>
      <c r="Z69" s="2">
        <v>70.959999999999994</v>
      </c>
      <c r="AA69">
        <v>6</v>
      </c>
      <c r="AB69" s="3">
        <v>0.9</v>
      </c>
      <c r="AC69" s="2">
        <v>383.18</v>
      </c>
      <c r="AD69" s="3">
        <v>0</v>
      </c>
      <c r="AE69" s="2">
        <v>0</v>
      </c>
      <c r="AF69" s="2">
        <v>383.18</v>
      </c>
      <c r="AK69" s="4">
        <v>19515560</v>
      </c>
      <c r="AL69" t="s">
        <v>52</v>
      </c>
    </row>
    <row r="70" spans="1:38" x14ac:dyDescent="0.25">
      <c r="A70" s="1">
        <v>45877</v>
      </c>
      <c r="B70" s="1">
        <v>45873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>
        <v>2030074689</v>
      </c>
      <c r="J70" t="s">
        <v>131</v>
      </c>
      <c r="M70" t="s">
        <v>60</v>
      </c>
      <c r="O70" t="s">
        <v>77</v>
      </c>
      <c r="P70" t="s">
        <v>78</v>
      </c>
      <c r="Q70" t="s">
        <v>48</v>
      </c>
      <c r="R70" t="s">
        <v>53</v>
      </c>
      <c r="S70" s="1">
        <v>45870</v>
      </c>
      <c r="U70" t="s">
        <v>50</v>
      </c>
      <c r="X70" t="s">
        <v>51</v>
      </c>
      <c r="Y70" s="2">
        <v>183.13</v>
      </c>
      <c r="Z70" s="2">
        <v>183.13</v>
      </c>
      <c r="AA70">
        <v>6</v>
      </c>
      <c r="AB70" s="3">
        <v>0.7</v>
      </c>
      <c r="AC70" s="2">
        <v>769.15</v>
      </c>
      <c r="AD70" s="3">
        <v>0</v>
      </c>
      <c r="AE70" s="2">
        <v>0</v>
      </c>
      <c r="AF70" s="2">
        <v>769.15</v>
      </c>
      <c r="AK70" s="4">
        <v>19501790</v>
      </c>
      <c r="AL70" t="s">
        <v>52</v>
      </c>
    </row>
    <row r="71" spans="1:38" x14ac:dyDescent="0.25">
      <c r="A71" s="1">
        <v>45877</v>
      </c>
      <c r="B71" s="1">
        <v>45873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>
        <v>2030074690</v>
      </c>
      <c r="J71" t="s">
        <v>131</v>
      </c>
      <c r="M71" t="s">
        <v>60</v>
      </c>
      <c r="O71" t="s">
        <v>77</v>
      </c>
      <c r="P71" t="s">
        <v>78</v>
      </c>
      <c r="Q71" t="s">
        <v>48</v>
      </c>
      <c r="R71" t="s">
        <v>49</v>
      </c>
      <c r="S71" s="1">
        <v>45870</v>
      </c>
      <c r="U71" t="s">
        <v>50</v>
      </c>
      <c r="X71" t="s">
        <v>51</v>
      </c>
      <c r="Y71" s="2">
        <v>138.94999999999999</v>
      </c>
      <c r="Z71" s="2">
        <v>138.94999999999999</v>
      </c>
      <c r="AA71">
        <v>6</v>
      </c>
      <c r="AB71" s="3">
        <v>0.75</v>
      </c>
      <c r="AC71" s="2">
        <v>625.28</v>
      </c>
      <c r="AD71" s="3">
        <v>0</v>
      </c>
      <c r="AE71" s="2">
        <v>0</v>
      </c>
      <c r="AF71" s="2">
        <v>625.28</v>
      </c>
      <c r="AK71" s="4">
        <v>19515590</v>
      </c>
      <c r="AL71" t="s">
        <v>52</v>
      </c>
    </row>
    <row r="72" spans="1:38" x14ac:dyDescent="0.25">
      <c r="A72" s="1">
        <v>45877</v>
      </c>
      <c r="B72" s="1">
        <v>45873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>
        <v>2030090690</v>
      </c>
      <c r="J72" t="s">
        <v>136</v>
      </c>
      <c r="M72" t="s">
        <v>137</v>
      </c>
      <c r="O72" t="s">
        <v>77</v>
      </c>
      <c r="P72" t="s">
        <v>78</v>
      </c>
      <c r="Q72" t="s">
        <v>48</v>
      </c>
      <c r="R72" t="s">
        <v>81</v>
      </c>
      <c r="S72" s="1">
        <v>45876</v>
      </c>
      <c r="U72" t="s">
        <v>50</v>
      </c>
      <c r="X72" t="s">
        <v>51</v>
      </c>
      <c r="Y72" s="2">
        <v>52.6</v>
      </c>
      <c r="Z72" s="2">
        <v>52.6</v>
      </c>
      <c r="AA72">
        <v>6</v>
      </c>
      <c r="AB72" s="3">
        <v>0.75</v>
      </c>
      <c r="AC72" s="2">
        <v>236.7</v>
      </c>
      <c r="AD72" s="3">
        <v>0</v>
      </c>
      <c r="AE72" s="2">
        <v>0</v>
      </c>
      <c r="AF72" s="2">
        <v>236.7</v>
      </c>
      <c r="AK72" s="4">
        <v>19515600</v>
      </c>
      <c r="AL72" t="s">
        <v>52</v>
      </c>
    </row>
    <row r="73" spans="1:38" x14ac:dyDescent="0.25">
      <c r="A73" s="1">
        <v>45877</v>
      </c>
      <c r="B73" s="1">
        <v>45873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>
        <v>2030090691</v>
      </c>
      <c r="J73" t="s">
        <v>136</v>
      </c>
      <c r="M73" t="s">
        <v>137</v>
      </c>
      <c r="O73" t="s">
        <v>77</v>
      </c>
      <c r="P73" t="s">
        <v>78</v>
      </c>
      <c r="Q73" t="s">
        <v>48</v>
      </c>
      <c r="R73" t="s">
        <v>117</v>
      </c>
      <c r="S73" s="1">
        <v>45876</v>
      </c>
      <c r="U73" t="s">
        <v>50</v>
      </c>
      <c r="X73" t="s">
        <v>51</v>
      </c>
      <c r="Y73" s="2">
        <v>13.31</v>
      </c>
      <c r="Z73" s="2">
        <v>13.31</v>
      </c>
      <c r="AA73">
        <v>6</v>
      </c>
      <c r="AB73" s="3">
        <v>0.9</v>
      </c>
      <c r="AC73" s="2">
        <v>71.87</v>
      </c>
      <c r="AD73" s="3">
        <v>0</v>
      </c>
      <c r="AE73" s="2">
        <v>0</v>
      </c>
      <c r="AF73" s="2">
        <v>71.87</v>
      </c>
      <c r="AK73" s="4">
        <v>19535720</v>
      </c>
      <c r="AL73" t="s">
        <v>52</v>
      </c>
    </row>
    <row r="74" spans="1:38" x14ac:dyDescent="0.25">
      <c r="A74" s="1">
        <v>45877</v>
      </c>
      <c r="B74" s="1">
        <v>45873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>
        <v>2030189267</v>
      </c>
      <c r="J74" t="s">
        <v>175</v>
      </c>
      <c r="M74" t="s">
        <v>55</v>
      </c>
      <c r="O74" t="s">
        <v>77</v>
      </c>
      <c r="P74" t="s">
        <v>78</v>
      </c>
      <c r="Q74" t="s">
        <v>48</v>
      </c>
      <c r="R74" t="s">
        <v>90</v>
      </c>
      <c r="S74" s="1">
        <v>45876</v>
      </c>
      <c r="U74" t="s">
        <v>50</v>
      </c>
      <c r="X74" t="s">
        <v>51</v>
      </c>
      <c r="Y74" s="2">
        <v>25.73</v>
      </c>
      <c r="Z74" s="2">
        <v>25.73</v>
      </c>
      <c r="AA74">
        <v>6</v>
      </c>
      <c r="AB74" s="3">
        <v>0.7</v>
      </c>
      <c r="AC74" s="2">
        <v>108.07</v>
      </c>
      <c r="AD74" s="3">
        <v>0</v>
      </c>
      <c r="AE74" s="2">
        <v>0</v>
      </c>
      <c r="AF74" s="2">
        <v>108.07</v>
      </c>
      <c r="AK74" s="4">
        <v>19490160</v>
      </c>
      <c r="AL74" t="s">
        <v>52</v>
      </c>
    </row>
    <row r="75" spans="1:38" x14ac:dyDescent="0.25">
      <c r="A75" s="1">
        <v>45877</v>
      </c>
      <c r="B75" s="1">
        <v>45873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>
        <v>2030189268</v>
      </c>
      <c r="J75" t="s">
        <v>175</v>
      </c>
      <c r="M75" t="s">
        <v>55</v>
      </c>
      <c r="O75" t="s">
        <v>77</v>
      </c>
      <c r="P75" t="s">
        <v>78</v>
      </c>
      <c r="Q75" t="s">
        <v>48</v>
      </c>
      <c r="R75" t="s">
        <v>57</v>
      </c>
      <c r="S75" s="1">
        <v>45876</v>
      </c>
      <c r="U75" t="s">
        <v>50</v>
      </c>
      <c r="X75" t="s">
        <v>51</v>
      </c>
      <c r="Y75" s="2">
        <v>24.4</v>
      </c>
      <c r="Z75" s="2">
        <v>24.4</v>
      </c>
      <c r="AA75">
        <v>6</v>
      </c>
      <c r="AB75" s="3">
        <v>0.65</v>
      </c>
      <c r="AC75" s="2">
        <v>95.16</v>
      </c>
      <c r="AD75" s="3">
        <v>0</v>
      </c>
      <c r="AE75" s="2">
        <v>0</v>
      </c>
      <c r="AF75" s="2">
        <v>95.16</v>
      </c>
      <c r="AK75" s="4">
        <v>19515740</v>
      </c>
      <c r="AL75" t="s">
        <v>52</v>
      </c>
    </row>
    <row r="76" spans="1:38" x14ac:dyDescent="0.25">
      <c r="A76" s="1">
        <v>45877</v>
      </c>
      <c r="B76" s="1">
        <v>45873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>
        <v>2030189269</v>
      </c>
      <c r="J76" t="s">
        <v>175</v>
      </c>
      <c r="M76" t="s">
        <v>55</v>
      </c>
      <c r="O76" t="s">
        <v>77</v>
      </c>
      <c r="P76" t="s">
        <v>78</v>
      </c>
      <c r="Q76" t="s">
        <v>48</v>
      </c>
      <c r="R76" t="s">
        <v>86</v>
      </c>
      <c r="S76" s="1">
        <v>45876</v>
      </c>
      <c r="U76" t="s">
        <v>50</v>
      </c>
      <c r="X76" t="s">
        <v>51</v>
      </c>
      <c r="Y76" s="2">
        <v>47.06</v>
      </c>
      <c r="Z76" s="2">
        <v>47.06</v>
      </c>
      <c r="AA76">
        <v>6</v>
      </c>
      <c r="AB76" s="3">
        <v>0.375</v>
      </c>
      <c r="AC76" s="2">
        <v>105.89</v>
      </c>
      <c r="AD76" s="3">
        <v>0</v>
      </c>
      <c r="AE76" s="2">
        <v>0</v>
      </c>
      <c r="AF76" s="2">
        <v>105.89</v>
      </c>
      <c r="AK76" s="4">
        <v>19530430</v>
      </c>
      <c r="AL76" t="s">
        <v>52</v>
      </c>
    </row>
    <row r="77" spans="1:38" x14ac:dyDescent="0.25">
      <c r="A77" s="1">
        <v>45877</v>
      </c>
      <c r="B77" s="1">
        <v>45873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>
        <v>2030192140</v>
      </c>
      <c r="J77" t="s">
        <v>176</v>
      </c>
      <c r="M77" t="s">
        <v>80</v>
      </c>
      <c r="O77" t="s">
        <v>77</v>
      </c>
      <c r="P77" t="s">
        <v>78</v>
      </c>
      <c r="Q77" t="s">
        <v>48</v>
      </c>
      <c r="R77" t="s">
        <v>53</v>
      </c>
      <c r="S77" s="1">
        <v>45876</v>
      </c>
      <c r="U77" t="s">
        <v>50</v>
      </c>
      <c r="X77" t="s">
        <v>51</v>
      </c>
      <c r="Y77" s="2">
        <v>34</v>
      </c>
      <c r="Z77" s="2">
        <v>34</v>
      </c>
      <c r="AA77">
        <v>6</v>
      </c>
      <c r="AB77" s="3">
        <v>0.7</v>
      </c>
      <c r="AC77" s="2">
        <v>142.80000000000001</v>
      </c>
      <c r="AD77" s="3">
        <v>0</v>
      </c>
      <c r="AE77" s="2">
        <v>0</v>
      </c>
      <c r="AF77" s="2">
        <v>142.80000000000001</v>
      </c>
      <c r="AK77" s="4">
        <v>19502240</v>
      </c>
      <c r="AL77" t="s">
        <v>52</v>
      </c>
    </row>
    <row r="78" spans="1:38" x14ac:dyDescent="0.25">
      <c r="A78" s="1">
        <v>45877</v>
      </c>
      <c r="B78" s="1">
        <v>45873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>
        <v>2030192141</v>
      </c>
      <c r="J78" t="s">
        <v>176</v>
      </c>
      <c r="M78" t="s">
        <v>80</v>
      </c>
      <c r="O78" t="s">
        <v>77</v>
      </c>
      <c r="P78" t="s">
        <v>78</v>
      </c>
      <c r="Q78" t="s">
        <v>48</v>
      </c>
      <c r="R78" t="s">
        <v>49</v>
      </c>
      <c r="S78" s="1">
        <v>45876</v>
      </c>
      <c r="U78" t="s">
        <v>50</v>
      </c>
      <c r="X78" t="s">
        <v>51</v>
      </c>
      <c r="Y78" s="2">
        <v>76.45</v>
      </c>
      <c r="Z78" s="2">
        <v>76.45</v>
      </c>
      <c r="AA78">
        <v>6</v>
      </c>
      <c r="AB78" s="3">
        <v>0.75</v>
      </c>
      <c r="AC78" s="2">
        <v>344.03</v>
      </c>
      <c r="AD78" s="3">
        <v>0</v>
      </c>
      <c r="AE78" s="2">
        <v>0</v>
      </c>
      <c r="AF78" s="2">
        <v>344.03</v>
      </c>
      <c r="AK78" s="4">
        <v>19515750</v>
      </c>
      <c r="AL78" t="s">
        <v>52</v>
      </c>
    </row>
    <row r="79" spans="1:38" x14ac:dyDescent="0.25">
      <c r="A79" s="1">
        <v>45877</v>
      </c>
      <c r="B79" s="1">
        <v>45873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>
        <v>2030193265</v>
      </c>
      <c r="J79" t="s">
        <v>183</v>
      </c>
      <c r="M79" t="s">
        <v>60</v>
      </c>
      <c r="O79" t="s">
        <v>77</v>
      </c>
      <c r="P79" t="s">
        <v>78</v>
      </c>
      <c r="Q79" t="s">
        <v>48</v>
      </c>
      <c r="R79" t="s">
        <v>53</v>
      </c>
      <c r="S79" s="1">
        <v>45875</v>
      </c>
      <c r="U79" t="s">
        <v>50</v>
      </c>
      <c r="X79" t="s">
        <v>51</v>
      </c>
      <c r="Y79" s="2">
        <v>117.94</v>
      </c>
      <c r="Z79" s="2">
        <v>117.94</v>
      </c>
      <c r="AA79">
        <v>6</v>
      </c>
      <c r="AB79" s="3">
        <v>0.7</v>
      </c>
      <c r="AC79" s="2">
        <v>495.35</v>
      </c>
      <c r="AD79" s="3">
        <v>0</v>
      </c>
      <c r="AE79" s="2">
        <v>0</v>
      </c>
      <c r="AF79" s="2">
        <v>495.35</v>
      </c>
      <c r="AK79" s="4">
        <v>19502250</v>
      </c>
      <c r="AL79" t="s">
        <v>52</v>
      </c>
    </row>
    <row r="80" spans="1:38" x14ac:dyDescent="0.25">
      <c r="A80" s="1">
        <v>45877</v>
      </c>
      <c r="B80" s="1">
        <v>45873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>
        <v>2030244616</v>
      </c>
      <c r="J80" t="s">
        <v>254</v>
      </c>
      <c r="M80" t="s">
        <v>92</v>
      </c>
      <c r="O80" t="s">
        <v>77</v>
      </c>
      <c r="P80" t="s">
        <v>78</v>
      </c>
      <c r="Q80" t="s">
        <v>48</v>
      </c>
      <c r="R80" t="s">
        <v>53</v>
      </c>
      <c r="S80" s="1">
        <v>45875</v>
      </c>
      <c r="U80" t="s">
        <v>50</v>
      </c>
      <c r="X80" t="s">
        <v>51</v>
      </c>
      <c r="Y80" s="2">
        <v>104.98</v>
      </c>
      <c r="Z80" s="2">
        <v>104.98</v>
      </c>
      <c r="AA80">
        <v>6</v>
      </c>
      <c r="AB80" s="3">
        <v>0.7</v>
      </c>
      <c r="AC80" s="2">
        <v>440.92</v>
      </c>
      <c r="AD80" s="3">
        <v>0</v>
      </c>
      <c r="AE80" s="2">
        <v>0</v>
      </c>
      <c r="AF80" s="2">
        <v>440.92</v>
      </c>
      <c r="AK80" s="4">
        <v>19502840</v>
      </c>
      <c r="AL80" t="s">
        <v>52</v>
      </c>
    </row>
    <row r="81" spans="1:38" x14ac:dyDescent="0.25">
      <c r="A81" s="1">
        <v>45877</v>
      </c>
      <c r="B81" s="1">
        <v>45873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>
        <v>2030244617</v>
      </c>
      <c r="J81" t="s">
        <v>254</v>
      </c>
      <c r="M81" t="s">
        <v>92</v>
      </c>
      <c r="O81" t="s">
        <v>77</v>
      </c>
      <c r="P81" t="s">
        <v>78</v>
      </c>
      <c r="Q81" t="s">
        <v>48</v>
      </c>
      <c r="R81" t="s">
        <v>49</v>
      </c>
      <c r="S81" s="1">
        <v>45875</v>
      </c>
      <c r="U81" t="s">
        <v>50</v>
      </c>
      <c r="X81" t="s">
        <v>51</v>
      </c>
      <c r="Y81" s="2">
        <v>95.25</v>
      </c>
      <c r="Z81" s="2">
        <v>95.25</v>
      </c>
      <c r="AA81">
        <v>6</v>
      </c>
      <c r="AB81" s="3">
        <v>0.75</v>
      </c>
      <c r="AC81" s="2">
        <v>428.63</v>
      </c>
      <c r="AD81" s="3">
        <v>0</v>
      </c>
      <c r="AE81" s="2">
        <v>0</v>
      </c>
      <c r="AF81" s="2">
        <v>428.63</v>
      </c>
      <c r="AK81" s="4">
        <v>19515980</v>
      </c>
      <c r="AL81" t="s">
        <v>52</v>
      </c>
    </row>
    <row r="82" spans="1:38" x14ac:dyDescent="0.25">
      <c r="A82" s="1">
        <v>45877</v>
      </c>
      <c r="B82" s="1">
        <v>45873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>
        <v>2030283762</v>
      </c>
      <c r="J82" t="s">
        <v>279</v>
      </c>
      <c r="M82" t="s">
        <v>280</v>
      </c>
      <c r="O82" t="s">
        <v>77</v>
      </c>
      <c r="P82" t="s">
        <v>78</v>
      </c>
      <c r="Q82" t="s">
        <v>48</v>
      </c>
      <c r="R82" t="s">
        <v>117</v>
      </c>
      <c r="S82" s="1">
        <v>45871</v>
      </c>
      <c r="U82" t="s">
        <v>50</v>
      </c>
      <c r="X82" t="s">
        <v>51</v>
      </c>
      <c r="Y82" s="2">
        <v>60.67</v>
      </c>
      <c r="Z82" s="2">
        <v>60.67</v>
      </c>
      <c r="AA82">
        <v>6</v>
      </c>
      <c r="AB82" s="3">
        <v>0.9</v>
      </c>
      <c r="AC82" s="2">
        <v>327.62</v>
      </c>
      <c r="AD82" s="3">
        <v>0</v>
      </c>
      <c r="AE82" s="2">
        <v>0</v>
      </c>
      <c r="AF82" s="2">
        <v>327.62</v>
      </c>
      <c r="AK82" s="4">
        <v>19535920</v>
      </c>
      <c r="AL82" t="s">
        <v>52</v>
      </c>
    </row>
    <row r="83" spans="1:38" x14ac:dyDescent="0.25">
      <c r="A83" s="1">
        <v>45877</v>
      </c>
      <c r="B83" s="1">
        <v>45873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>
        <v>2030032829</v>
      </c>
      <c r="J83" t="s">
        <v>121</v>
      </c>
      <c r="M83" t="s">
        <v>60</v>
      </c>
      <c r="O83" t="s">
        <v>122</v>
      </c>
      <c r="P83" t="s">
        <v>123</v>
      </c>
      <c r="Q83" t="s">
        <v>48</v>
      </c>
      <c r="R83" t="s">
        <v>53</v>
      </c>
      <c r="S83" s="1">
        <v>45870</v>
      </c>
      <c r="U83" t="s">
        <v>50</v>
      </c>
      <c r="X83" t="s">
        <v>51</v>
      </c>
      <c r="Y83" s="2">
        <v>58.24</v>
      </c>
      <c r="Z83" s="2">
        <v>58.24</v>
      </c>
      <c r="AA83">
        <v>6</v>
      </c>
      <c r="AB83" s="3">
        <v>0.7</v>
      </c>
      <c r="AC83" s="2">
        <v>244.61</v>
      </c>
      <c r="AD83" s="3">
        <v>0</v>
      </c>
      <c r="AE83" s="2">
        <v>0</v>
      </c>
      <c r="AF83" s="2">
        <v>244.61</v>
      </c>
      <c r="AK83" s="4">
        <v>19501730</v>
      </c>
      <c r="AL83" t="s">
        <v>52</v>
      </c>
    </row>
    <row r="84" spans="1:38" x14ac:dyDescent="0.25">
      <c r="A84" s="1">
        <v>45877</v>
      </c>
      <c r="B84" s="1">
        <v>45873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>
        <v>2030032830</v>
      </c>
      <c r="J84" t="s">
        <v>121</v>
      </c>
      <c r="M84" t="s">
        <v>60</v>
      </c>
      <c r="O84" t="s">
        <v>122</v>
      </c>
      <c r="P84" t="s">
        <v>123</v>
      </c>
      <c r="Q84" t="s">
        <v>48</v>
      </c>
      <c r="R84" t="s">
        <v>81</v>
      </c>
      <c r="S84" s="1">
        <v>45870</v>
      </c>
      <c r="U84" t="s">
        <v>50</v>
      </c>
      <c r="X84" t="s">
        <v>51</v>
      </c>
      <c r="Y84" s="2">
        <v>21.4</v>
      </c>
      <c r="Z84" s="2">
        <v>21.4</v>
      </c>
      <c r="AA84">
        <v>6</v>
      </c>
      <c r="AB84" s="3">
        <v>0.75</v>
      </c>
      <c r="AC84" s="2">
        <v>96.3</v>
      </c>
      <c r="AD84" s="3">
        <v>0</v>
      </c>
      <c r="AE84" s="2">
        <v>0</v>
      </c>
      <c r="AF84" s="2">
        <v>96.3</v>
      </c>
      <c r="AK84" s="4">
        <v>19515560</v>
      </c>
      <c r="AL84" t="s">
        <v>52</v>
      </c>
    </row>
    <row r="85" spans="1:38" x14ac:dyDescent="0.25">
      <c r="A85" s="1">
        <v>45877</v>
      </c>
      <c r="B85" s="1">
        <v>45873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>
        <v>2030199397</v>
      </c>
      <c r="J85" t="s">
        <v>192</v>
      </c>
      <c r="M85" t="s">
        <v>193</v>
      </c>
      <c r="O85" t="s">
        <v>122</v>
      </c>
      <c r="P85" t="s">
        <v>123</v>
      </c>
      <c r="Q85" t="s">
        <v>48</v>
      </c>
      <c r="R85" t="s">
        <v>86</v>
      </c>
      <c r="S85" s="1">
        <v>45870</v>
      </c>
      <c r="U85" t="s">
        <v>50</v>
      </c>
      <c r="X85" t="s">
        <v>51</v>
      </c>
      <c r="Y85" s="2">
        <v>63.62</v>
      </c>
      <c r="Z85" s="2">
        <v>63.62</v>
      </c>
      <c r="AA85">
        <v>6</v>
      </c>
      <c r="AB85" s="3">
        <v>0.375</v>
      </c>
      <c r="AC85" s="2">
        <v>143.15</v>
      </c>
      <c r="AD85" s="3">
        <v>0</v>
      </c>
      <c r="AE85" s="2">
        <v>0</v>
      </c>
      <c r="AF85" s="2">
        <v>143.15</v>
      </c>
      <c r="AK85" s="4">
        <v>19530540</v>
      </c>
      <c r="AL85" t="s">
        <v>52</v>
      </c>
    </row>
    <row r="86" spans="1:38" x14ac:dyDescent="0.25">
      <c r="A86" s="1">
        <v>45877</v>
      </c>
      <c r="B86" s="1">
        <v>45873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>
        <v>2030199398</v>
      </c>
      <c r="J86" t="s">
        <v>192</v>
      </c>
      <c r="M86" t="s">
        <v>193</v>
      </c>
      <c r="O86" t="s">
        <v>122</v>
      </c>
      <c r="P86" t="s">
        <v>123</v>
      </c>
      <c r="Q86" t="s">
        <v>48</v>
      </c>
      <c r="R86" t="s">
        <v>53</v>
      </c>
      <c r="S86" s="1">
        <v>45870</v>
      </c>
      <c r="U86" t="s">
        <v>50</v>
      </c>
      <c r="X86" t="s">
        <v>51</v>
      </c>
      <c r="Y86" s="2">
        <v>9.1</v>
      </c>
      <c r="Z86" s="2">
        <v>9.1</v>
      </c>
      <c r="AA86">
        <v>6</v>
      </c>
      <c r="AB86" s="3">
        <v>0.7</v>
      </c>
      <c r="AC86" s="2">
        <v>38.22</v>
      </c>
      <c r="AD86" s="3">
        <v>0</v>
      </c>
      <c r="AE86" s="2">
        <v>0</v>
      </c>
      <c r="AF86" s="2">
        <v>38.22</v>
      </c>
      <c r="AK86" s="4">
        <v>19502330</v>
      </c>
      <c r="AL86" t="s">
        <v>52</v>
      </c>
    </row>
    <row r="87" spans="1:38" x14ac:dyDescent="0.25">
      <c r="A87" s="1">
        <v>45877</v>
      </c>
      <c r="B87" s="1">
        <v>45873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>
        <v>2030199399</v>
      </c>
      <c r="J87" t="s">
        <v>192</v>
      </c>
      <c r="M87" t="s">
        <v>193</v>
      </c>
      <c r="O87" t="s">
        <v>122</v>
      </c>
      <c r="P87" t="s">
        <v>123</v>
      </c>
      <c r="Q87" t="s">
        <v>48</v>
      </c>
      <c r="R87" t="s">
        <v>49</v>
      </c>
      <c r="S87" s="1">
        <v>45870</v>
      </c>
      <c r="U87" t="s">
        <v>50</v>
      </c>
      <c r="X87" t="s">
        <v>51</v>
      </c>
      <c r="Y87" s="2">
        <v>7.66</v>
      </c>
      <c r="Z87" s="2">
        <v>7.66</v>
      </c>
      <c r="AA87">
        <v>6</v>
      </c>
      <c r="AB87" s="3">
        <v>0.75</v>
      </c>
      <c r="AC87" s="2">
        <v>34.47</v>
      </c>
      <c r="AD87" s="3">
        <v>0</v>
      </c>
      <c r="AE87" s="2">
        <v>0</v>
      </c>
      <c r="AF87" s="2">
        <v>34.47</v>
      </c>
      <c r="AK87" s="4">
        <v>19515790</v>
      </c>
      <c r="AL87" t="s">
        <v>52</v>
      </c>
    </row>
    <row r="88" spans="1:38" x14ac:dyDescent="0.25">
      <c r="A88" s="1">
        <v>45877</v>
      </c>
      <c r="B88" s="1">
        <v>45873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>
        <v>2030221957</v>
      </c>
      <c r="J88" t="s">
        <v>230</v>
      </c>
      <c r="M88" t="s">
        <v>193</v>
      </c>
      <c r="O88" t="s">
        <v>122</v>
      </c>
      <c r="P88" t="s">
        <v>123</v>
      </c>
      <c r="Q88" t="s">
        <v>48</v>
      </c>
      <c r="R88" t="s">
        <v>86</v>
      </c>
      <c r="S88" s="1">
        <v>45870</v>
      </c>
      <c r="U88" t="s">
        <v>50</v>
      </c>
      <c r="X88" t="s">
        <v>51</v>
      </c>
      <c r="Y88" s="2">
        <v>125.4</v>
      </c>
      <c r="Z88" s="2">
        <v>125.4</v>
      </c>
      <c r="AA88">
        <v>6</v>
      </c>
      <c r="AB88" s="3">
        <v>0.375</v>
      </c>
      <c r="AC88" s="2">
        <v>282.14999999999998</v>
      </c>
      <c r="AD88" s="3">
        <v>0</v>
      </c>
      <c r="AE88" s="2">
        <v>0</v>
      </c>
      <c r="AF88" s="2">
        <v>282.14999999999998</v>
      </c>
      <c r="AK88" s="4">
        <v>19530800</v>
      </c>
      <c r="AL88" t="s">
        <v>52</v>
      </c>
    </row>
    <row r="89" spans="1:38" x14ac:dyDescent="0.25">
      <c r="A89" s="1">
        <v>45877</v>
      </c>
      <c r="B89" s="1">
        <v>45873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>
        <v>2030221958</v>
      </c>
      <c r="J89" t="s">
        <v>230</v>
      </c>
      <c r="M89" t="s">
        <v>193</v>
      </c>
      <c r="O89" t="s">
        <v>122</v>
      </c>
      <c r="P89" t="s">
        <v>123</v>
      </c>
      <c r="Q89" t="s">
        <v>48</v>
      </c>
      <c r="R89" t="s">
        <v>53</v>
      </c>
      <c r="S89" s="1">
        <v>45870</v>
      </c>
      <c r="U89" t="s">
        <v>50</v>
      </c>
      <c r="X89" t="s">
        <v>51</v>
      </c>
      <c r="Y89" s="2">
        <v>18.28</v>
      </c>
      <c r="Z89" s="2">
        <v>18.28</v>
      </c>
      <c r="AA89">
        <v>6</v>
      </c>
      <c r="AB89" s="3">
        <v>0.7</v>
      </c>
      <c r="AC89" s="2">
        <v>76.78</v>
      </c>
      <c r="AD89" s="3">
        <v>0</v>
      </c>
      <c r="AE89" s="2">
        <v>0</v>
      </c>
      <c r="AF89" s="2">
        <v>76.78</v>
      </c>
      <c r="AK89" s="4">
        <v>19502620</v>
      </c>
      <c r="AL89" t="s">
        <v>52</v>
      </c>
    </row>
    <row r="90" spans="1:38" x14ac:dyDescent="0.25">
      <c r="A90" s="1">
        <v>45877</v>
      </c>
      <c r="B90" s="1">
        <v>45873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>
        <v>2030221959</v>
      </c>
      <c r="J90" t="s">
        <v>230</v>
      </c>
      <c r="M90" t="s">
        <v>193</v>
      </c>
      <c r="O90" t="s">
        <v>122</v>
      </c>
      <c r="P90" t="s">
        <v>123</v>
      </c>
      <c r="Q90" t="s">
        <v>48</v>
      </c>
      <c r="R90" t="s">
        <v>49</v>
      </c>
      <c r="S90" s="1">
        <v>45870</v>
      </c>
      <c r="U90" t="s">
        <v>50</v>
      </c>
      <c r="X90" t="s">
        <v>51</v>
      </c>
      <c r="Y90" s="2">
        <v>42.85</v>
      </c>
      <c r="Z90" s="2">
        <v>42.85</v>
      </c>
      <c r="AA90">
        <v>6</v>
      </c>
      <c r="AB90" s="3">
        <v>0.75</v>
      </c>
      <c r="AC90" s="2">
        <v>192.83</v>
      </c>
      <c r="AD90" s="3">
        <v>0</v>
      </c>
      <c r="AE90" s="2">
        <v>0</v>
      </c>
      <c r="AF90" s="2">
        <v>192.83</v>
      </c>
      <c r="AK90" s="4">
        <v>19515880</v>
      </c>
      <c r="AL90" t="s">
        <v>52</v>
      </c>
    </row>
    <row r="91" spans="1:38" x14ac:dyDescent="0.25">
      <c r="A91" s="1">
        <v>45877</v>
      </c>
      <c r="B91" s="1">
        <v>45873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>
        <v>2030126257</v>
      </c>
      <c r="J91" t="s">
        <v>143</v>
      </c>
      <c r="M91" t="s">
        <v>100</v>
      </c>
      <c r="O91" t="s">
        <v>144</v>
      </c>
      <c r="P91" t="s">
        <v>145</v>
      </c>
      <c r="Q91" t="s">
        <v>48</v>
      </c>
      <c r="R91" t="s">
        <v>53</v>
      </c>
      <c r="S91" s="1">
        <v>45870</v>
      </c>
      <c r="U91" t="s">
        <v>50</v>
      </c>
      <c r="X91" t="s">
        <v>51</v>
      </c>
      <c r="Y91" s="2">
        <v>63.95</v>
      </c>
      <c r="Z91" s="2">
        <v>63.95</v>
      </c>
      <c r="AA91">
        <v>6</v>
      </c>
      <c r="AB91" s="3">
        <v>0.7</v>
      </c>
      <c r="AC91" s="2">
        <v>268.58999999999997</v>
      </c>
      <c r="AD91" s="3">
        <v>0</v>
      </c>
      <c r="AE91" s="2">
        <v>0</v>
      </c>
      <c r="AF91" s="2">
        <v>268.58999999999997</v>
      </c>
      <c r="AK91" s="4">
        <v>19501930</v>
      </c>
      <c r="AL91" t="s">
        <v>52</v>
      </c>
    </row>
    <row r="92" spans="1:38" x14ac:dyDescent="0.25">
      <c r="A92" s="1">
        <v>45877</v>
      </c>
      <c r="B92" s="1">
        <v>45873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>
        <v>2030208530</v>
      </c>
      <c r="J92" t="s">
        <v>204</v>
      </c>
      <c r="M92" t="s">
        <v>195</v>
      </c>
      <c r="O92" t="s">
        <v>144</v>
      </c>
      <c r="P92" t="s">
        <v>145</v>
      </c>
      <c r="Q92" t="s">
        <v>48</v>
      </c>
      <c r="R92" t="s">
        <v>49</v>
      </c>
      <c r="S92" s="1">
        <v>45870</v>
      </c>
      <c r="U92" t="s">
        <v>50</v>
      </c>
      <c r="X92" t="s">
        <v>51</v>
      </c>
      <c r="Y92" s="2">
        <v>51.6</v>
      </c>
      <c r="Z92" s="2">
        <v>51.6</v>
      </c>
      <c r="AA92">
        <v>6</v>
      </c>
      <c r="AB92" s="3">
        <v>0.75</v>
      </c>
      <c r="AC92" s="2">
        <v>232.2</v>
      </c>
      <c r="AD92" s="3">
        <v>0</v>
      </c>
      <c r="AE92" s="2">
        <v>0</v>
      </c>
      <c r="AF92" s="2">
        <v>232.2</v>
      </c>
      <c r="AK92" s="4">
        <v>19515820</v>
      </c>
      <c r="AL92" t="s">
        <v>52</v>
      </c>
    </row>
    <row r="93" spans="1:38" x14ac:dyDescent="0.25">
      <c r="A93" s="1">
        <v>45877</v>
      </c>
      <c r="B93" s="1">
        <v>45873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>
        <v>2030227223</v>
      </c>
      <c r="J93" t="s">
        <v>235</v>
      </c>
      <c r="M93" t="s">
        <v>45</v>
      </c>
      <c r="O93" t="s">
        <v>144</v>
      </c>
      <c r="P93" t="s">
        <v>145</v>
      </c>
      <c r="Q93" t="s">
        <v>48</v>
      </c>
      <c r="R93" t="s">
        <v>53</v>
      </c>
      <c r="S93" s="1">
        <v>45870</v>
      </c>
      <c r="U93" t="s">
        <v>50</v>
      </c>
      <c r="X93" t="s">
        <v>51</v>
      </c>
      <c r="Y93" s="2">
        <v>48.9</v>
      </c>
      <c r="Z93" s="2">
        <v>48.9</v>
      </c>
      <c r="AA93">
        <v>6</v>
      </c>
      <c r="AB93" s="3">
        <v>0.7</v>
      </c>
      <c r="AC93" s="2">
        <v>205.38</v>
      </c>
      <c r="AD93" s="3">
        <v>0</v>
      </c>
      <c r="AE93" s="2">
        <v>0</v>
      </c>
      <c r="AF93" s="2">
        <v>205.38</v>
      </c>
      <c r="AK93" s="4">
        <v>19502680</v>
      </c>
      <c r="AL93" t="s">
        <v>52</v>
      </c>
    </row>
    <row r="94" spans="1:38" x14ac:dyDescent="0.25">
      <c r="A94" s="1">
        <v>45877</v>
      </c>
      <c r="B94" s="1">
        <v>45873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>
        <v>2030227224</v>
      </c>
      <c r="J94" t="s">
        <v>235</v>
      </c>
      <c r="M94" t="s">
        <v>45</v>
      </c>
      <c r="O94" t="s">
        <v>144</v>
      </c>
      <c r="P94" t="s">
        <v>145</v>
      </c>
      <c r="Q94" t="s">
        <v>48</v>
      </c>
      <c r="R94" t="s">
        <v>86</v>
      </c>
      <c r="S94" s="1">
        <v>45870</v>
      </c>
      <c r="U94" t="s">
        <v>50</v>
      </c>
      <c r="X94" t="s">
        <v>51</v>
      </c>
      <c r="Y94" s="2">
        <v>25.31</v>
      </c>
      <c r="Z94" s="2">
        <v>25.31</v>
      </c>
      <c r="AA94">
        <v>6</v>
      </c>
      <c r="AB94" s="3">
        <v>0.375</v>
      </c>
      <c r="AC94" s="2">
        <v>56.95</v>
      </c>
      <c r="AD94" s="3">
        <v>0</v>
      </c>
      <c r="AE94" s="2">
        <v>0</v>
      </c>
      <c r="AF94" s="2">
        <v>56.95</v>
      </c>
      <c r="AK94" s="4">
        <v>19530880</v>
      </c>
      <c r="AL94" t="s">
        <v>52</v>
      </c>
    </row>
    <row r="95" spans="1:38" x14ac:dyDescent="0.25">
      <c r="A95" s="1">
        <v>45877</v>
      </c>
      <c r="B95" s="1">
        <v>45873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>
        <v>2030239835</v>
      </c>
      <c r="J95" t="s">
        <v>243</v>
      </c>
      <c r="M95" t="s">
        <v>64</v>
      </c>
      <c r="O95" t="s">
        <v>144</v>
      </c>
      <c r="P95" t="s">
        <v>145</v>
      </c>
      <c r="Q95" t="s">
        <v>48</v>
      </c>
      <c r="R95" t="s">
        <v>53</v>
      </c>
      <c r="S95" s="1">
        <v>45870</v>
      </c>
      <c r="U95" t="s">
        <v>50</v>
      </c>
      <c r="X95" t="s">
        <v>51</v>
      </c>
      <c r="Y95" s="2">
        <v>186.78</v>
      </c>
      <c r="Z95" s="2">
        <v>186.78</v>
      </c>
      <c r="AA95">
        <v>6</v>
      </c>
      <c r="AB95" s="3">
        <v>0.7</v>
      </c>
      <c r="AC95" s="2">
        <v>784.48</v>
      </c>
      <c r="AD95" s="3">
        <v>0</v>
      </c>
      <c r="AE95" s="2">
        <v>0</v>
      </c>
      <c r="AF95" s="2">
        <v>784.48</v>
      </c>
      <c r="AK95" s="4">
        <v>19502770</v>
      </c>
      <c r="AL95" t="s">
        <v>52</v>
      </c>
    </row>
    <row r="96" spans="1:38" x14ac:dyDescent="0.25">
      <c r="A96" s="1">
        <v>45877</v>
      </c>
      <c r="B96" s="1">
        <v>45873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>
        <v>2030239836</v>
      </c>
      <c r="J96" t="s">
        <v>243</v>
      </c>
      <c r="M96" t="s">
        <v>64</v>
      </c>
      <c r="O96" t="s">
        <v>144</v>
      </c>
      <c r="P96" t="s">
        <v>145</v>
      </c>
      <c r="Q96" t="s">
        <v>48</v>
      </c>
      <c r="R96" t="s">
        <v>49</v>
      </c>
      <c r="S96" s="1">
        <v>45870</v>
      </c>
      <c r="U96" t="s">
        <v>50</v>
      </c>
      <c r="X96" t="s">
        <v>51</v>
      </c>
      <c r="Y96" s="2">
        <v>66.73</v>
      </c>
      <c r="Z96" s="2">
        <v>66.73</v>
      </c>
      <c r="AA96">
        <v>6</v>
      </c>
      <c r="AB96" s="3">
        <v>0.75</v>
      </c>
      <c r="AC96" s="2">
        <v>300.29000000000002</v>
      </c>
      <c r="AD96" s="3">
        <v>0</v>
      </c>
      <c r="AE96" s="2">
        <v>0</v>
      </c>
      <c r="AF96" s="2">
        <v>300.29000000000002</v>
      </c>
      <c r="AK96" s="4">
        <v>19515960</v>
      </c>
      <c r="AL96" t="s">
        <v>52</v>
      </c>
    </row>
    <row r="97" spans="1:38" x14ac:dyDescent="0.25">
      <c r="A97" s="1">
        <v>45877</v>
      </c>
      <c r="B97" s="1">
        <v>45873</v>
      </c>
      <c r="C97" t="s">
        <v>288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>
        <v>2029540826</v>
      </c>
      <c r="J97" t="s">
        <v>297</v>
      </c>
      <c r="M97" t="s">
        <v>60</v>
      </c>
      <c r="O97" t="s">
        <v>144</v>
      </c>
      <c r="P97" t="s">
        <v>145</v>
      </c>
      <c r="Q97" t="s">
        <v>292</v>
      </c>
      <c r="R97" t="s">
        <v>86</v>
      </c>
      <c r="S97" s="1">
        <v>45828</v>
      </c>
      <c r="U97" t="s">
        <v>50</v>
      </c>
      <c r="X97" t="s">
        <v>293</v>
      </c>
      <c r="AF97" s="2">
        <v>240.26</v>
      </c>
      <c r="AG97" s="2">
        <v>40.04</v>
      </c>
      <c r="AJ97" s="2">
        <v>200.22</v>
      </c>
    </row>
    <row r="98" spans="1:38" x14ac:dyDescent="0.25">
      <c r="A98" s="1">
        <v>45877</v>
      </c>
      <c r="B98" s="1">
        <v>45873</v>
      </c>
      <c r="C98" t="s">
        <v>288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>
        <v>2029540827</v>
      </c>
      <c r="J98" t="s">
        <v>297</v>
      </c>
      <c r="M98" t="s">
        <v>60</v>
      </c>
      <c r="O98" t="s">
        <v>144</v>
      </c>
      <c r="P98" t="s">
        <v>145</v>
      </c>
      <c r="Q98" t="s">
        <v>292</v>
      </c>
      <c r="R98" t="s">
        <v>53</v>
      </c>
      <c r="S98" s="1">
        <v>45828</v>
      </c>
      <c r="U98" t="s">
        <v>50</v>
      </c>
      <c r="X98" t="s">
        <v>293</v>
      </c>
      <c r="AF98" s="2">
        <v>322.18</v>
      </c>
      <c r="AG98" s="2">
        <v>53.7</v>
      </c>
      <c r="AJ98" s="2">
        <v>268.48</v>
      </c>
    </row>
    <row r="99" spans="1:38" x14ac:dyDescent="0.25">
      <c r="A99" s="1">
        <v>45877</v>
      </c>
      <c r="B99" s="1">
        <v>45873</v>
      </c>
      <c r="C99" t="s">
        <v>288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>
        <v>2029540828</v>
      </c>
      <c r="J99" t="s">
        <v>297</v>
      </c>
      <c r="M99" t="s">
        <v>60</v>
      </c>
      <c r="O99" t="s">
        <v>144</v>
      </c>
      <c r="P99" t="s">
        <v>145</v>
      </c>
      <c r="Q99" t="s">
        <v>292</v>
      </c>
      <c r="R99" t="s">
        <v>49</v>
      </c>
      <c r="S99" s="1">
        <v>45828</v>
      </c>
      <c r="U99" t="s">
        <v>50</v>
      </c>
      <c r="X99" t="s">
        <v>293</v>
      </c>
      <c r="AF99" s="2">
        <v>405.18</v>
      </c>
      <c r="AG99" s="2">
        <v>67.53</v>
      </c>
      <c r="AJ99" s="2">
        <v>337.65</v>
      </c>
    </row>
    <row r="100" spans="1:38" x14ac:dyDescent="0.25">
      <c r="A100" s="5">
        <v>45877</v>
      </c>
      <c r="B100" s="5">
        <v>45873</v>
      </c>
      <c r="C100" s="6" t="s">
        <v>288</v>
      </c>
      <c r="D100" s="6" t="s">
        <v>39</v>
      </c>
      <c r="E100" s="6" t="s">
        <v>40</v>
      </c>
      <c r="F100" s="6" t="s">
        <v>41</v>
      </c>
      <c r="G100" s="6" t="s">
        <v>42</v>
      </c>
      <c r="H100" s="6" t="s">
        <v>43</v>
      </c>
      <c r="I100" s="6">
        <v>2029856999</v>
      </c>
      <c r="J100" s="6" t="s">
        <v>300</v>
      </c>
      <c r="K100" s="6"/>
      <c r="L100" s="6"/>
      <c r="M100" s="6" t="s">
        <v>60</v>
      </c>
      <c r="N100" s="6"/>
      <c r="O100" s="6" t="s">
        <v>144</v>
      </c>
      <c r="P100" s="6" t="s">
        <v>145</v>
      </c>
      <c r="Q100" s="6" t="s">
        <v>292</v>
      </c>
      <c r="R100" s="6" t="s">
        <v>86</v>
      </c>
      <c r="S100" s="5">
        <v>45870</v>
      </c>
      <c r="T100" s="6"/>
      <c r="U100" s="6" t="s">
        <v>50</v>
      </c>
      <c r="V100" s="6"/>
      <c r="W100" s="6"/>
      <c r="X100" s="6" t="s">
        <v>293</v>
      </c>
      <c r="Y100" s="6"/>
      <c r="Z100" s="6"/>
      <c r="AA100" s="6"/>
      <c r="AB100" s="6"/>
      <c r="AC100" s="6"/>
      <c r="AD100" s="6"/>
      <c r="AE100" s="6"/>
      <c r="AF100" s="7">
        <v>136.08000000000001</v>
      </c>
      <c r="AG100" s="7">
        <v>0</v>
      </c>
      <c r="AH100" s="6"/>
      <c r="AI100" s="6"/>
      <c r="AJ100" s="7">
        <v>136.08000000000001</v>
      </c>
      <c r="AK100" s="6"/>
      <c r="AL100" s="6"/>
    </row>
    <row r="101" spans="1:38" x14ac:dyDescent="0.25">
      <c r="A101" s="1">
        <v>45877</v>
      </c>
      <c r="B101" s="1">
        <v>45873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>
        <v>2030245942</v>
      </c>
      <c r="J101" t="s">
        <v>256</v>
      </c>
      <c r="M101" t="s">
        <v>92</v>
      </c>
      <c r="O101" t="s">
        <v>257</v>
      </c>
      <c r="P101" t="s">
        <v>258</v>
      </c>
      <c r="Q101" t="s">
        <v>48</v>
      </c>
      <c r="R101" t="s">
        <v>53</v>
      </c>
      <c r="S101" s="1">
        <v>45870</v>
      </c>
      <c r="U101" t="s">
        <v>50</v>
      </c>
      <c r="X101" t="s">
        <v>51</v>
      </c>
      <c r="Y101" s="2">
        <v>55.89</v>
      </c>
      <c r="Z101" s="2">
        <v>55.89</v>
      </c>
      <c r="AA101">
        <v>6</v>
      </c>
      <c r="AB101" s="3">
        <v>0.7</v>
      </c>
      <c r="AC101" s="2">
        <v>234.74</v>
      </c>
      <c r="AD101" s="3">
        <v>0</v>
      </c>
      <c r="AE101" s="2">
        <v>0</v>
      </c>
      <c r="AF101" s="2">
        <v>234.74</v>
      </c>
      <c r="AK101" s="4">
        <v>19502860</v>
      </c>
      <c r="AL101" t="s">
        <v>52</v>
      </c>
    </row>
    <row r="102" spans="1:38" x14ac:dyDescent="0.25">
      <c r="A102" s="1">
        <v>45877</v>
      </c>
      <c r="B102" s="1">
        <v>45873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>
        <v>2030260595</v>
      </c>
      <c r="J102" t="s">
        <v>274</v>
      </c>
      <c r="M102" t="s">
        <v>100</v>
      </c>
      <c r="O102" t="s">
        <v>257</v>
      </c>
      <c r="P102" t="s">
        <v>258</v>
      </c>
      <c r="Q102" t="s">
        <v>48</v>
      </c>
      <c r="R102" t="s">
        <v>86</v>
      </c>
      <c r="S102" s="1">
        <v>45871</v>
      </c>
      <c r="U102" t="s">
        <v>50</v>
      </c>
      <c r="X102" t="s">
        <v>51</v>
      </c>
      <c r="Y102" s="2">
        <v>24.54</v>
      </c>
      <c r="Z102" s="2">
        <v>24.54</v>
      </c>
      <c r="AA102">
        <v>6</v>
      </c>
      <c r="AB102" s="3">
        <v>0.375</v>
      </c>
      <c r="AC102" s="2">
        <v>55.22</v>
      </c>
      <c r="AD102" s="3">
        <v>0</v>
      </c>
      <c r="AE102" s="2">
        <v>0</v>
      </c>
      <c r="AF102" s="2">
        <v>55.22</v>
      </c>
      <c r="AK102" s="4">
        <v>19531270</v>
      </c>
      <c r="AL102" t="s">
        <v>52</v>
      </c>
    </row>
    <row r="103" spans="1:38" x14ac:dyDescent="0.25">
      <c r="A103" s="1">
        <v>45877</v>
      </c>
      <c r="B103" s="1">
        <v>45873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>
        <v>2030260596</v>
      </c>
      <c r="J103" t="s">
        <v>274</v>
      </c>
      <c r="M103" t="s">
        <v>100</v>
      </c>
      <c r="O103" t="s">
        <v>257</v>
      </c>
      <c r="P103" t="s">
        <v>258</v>
      </c>
      <c r="Q103" t="s">
        <v>48</v>
      </c>
      <c r="R103" t="s">
        <v>53</v>
      </c>
      <c r="S103" s="1">
        <v>45871</v>
      </c>
      <c r="U103" t="s">
        <v>50</v>
      </c>
      <c r="X103" t="s">
        <v>51</v>
      </c>
      <c r="Y103" s="2">
        <v>10.29</v>
      </c>
      <c r="Z103" s="2">
        <v>10.29</v>
      </c>
      <c r="AA103">
        <v>6</v>
      </c>
      <c r="AB103" s="3">
        <v>0.7</v>
      </c>
      <c r="AC103" s="2">
        <v>43.22</v>
      </c>
      <c r="AD103" s="3">
        <v>0</v>
      </c>
      <c r="AE103" s="2">
        <v>0</v>
      </c>
      <c r="AF103" s="2">
        <v>43.22</v>
      </c>
      <c r="AK103" s="4">
        <v>19503030</v>
      </c>
      <c r="AL103" t="s">
        <v>52</v>
      </c>
    </row>
    <row r="104" spans="1:38" x14ac:dyDescent="0.25">
      <c r="A104" s="1">
        <v>45877</v>
      </c>
      <c r="B104" s="1">
        <v>45873</v>
      </c>
      <c r="C104" t="s">
        <v>288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>
        <v>2029971777</v>
      </c>
      <c r="J104" t="s">
        <v>274</v>
      </c>
      <c r="M104" t="s">
        <v>100</v>
      </c>
      <c r="O104" t="s">
        <v>257</v>
      </c>
      <c r="P104" t="s">
        <v>258</v>
      </c>
      <c r="Q104" t="s">
        <v>292</v>
      </c>
      <c r="R104" t="s">
        <v>86</v>
      </c>
      <c r="S104" s="1">
        <v>45870</v>
      </c>
      <c r="U104" t="s">
        <v>50</v>
      </c>
      <c r="X104" t="s">
        <v>293</v>
      </c>
      <c r="AF104" s="2">
        <v>55.22</v>
      </c>
      <c r="AG104" s="2">
        <v>0</v>
      </c>
      <c r="AJ104" s="2">
        <v>55.22</v>
      </c>
    </row>
    <row r="105" spans="1:38" x14ac:dyDescent="0.25">
      <c r="A105" s="1">
        <v>45877</v>
      </c>
      <c r="B105" s="1">
        <v>45873</v>
      </c>
      <c r="C105" t="s">
        <v>288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>
        <v>2029971778</v>
      </c>
      <c r="J105" t="s">
        <v>274</v>
      </c>
      <c r="M105" t="s">
        <v>100</v>
      </c>
      <c r="O105" t="s">
        <v>257</v>
      </c>
      <c r="P105" t="s">
        <v>258</v>
      </c>
      <c r="Q105" t="s">
        <v>292</v>
      </c>
      <c r="R105" t="s">
        <v>53</v>
      </c>
      <c r="S105" s="1">
        <v>45870</v>
      </c>
      <c r="U105" t="s">
        <v>50</v>
      </c>
      <c r="X105" t="s">
        <v>293</v>
      </c>
      <c r="AF105" s="2">
        <v>43.22</v>
      </c>
      <c r="AG105" s="2">
        <v>0</v>
      </c>
      <c r="AJ105" s="2">
        <v>43.22</v>
      </c>
    </row>
    <row r="106" spans="1:38" s="6" customFormat="1" x14ac:dyDescent="0.25">
      <c r="A106" s="5">
        <v>45877</v>
      </c>
      <c r="B106" s="5">
        <v>45873</v>
      </c>
      <c r="C106" s="6" t="s">
        <v>288</v>
      </c>
      <c r="D106" s="6" t="s">
        <v>39</v>
      </c>
      <c r="E106" s="6" t="s">
        <v>40</v>
      </c>
      <c r="F106" s="6" t="s">
        <v>41</v>
      </c>
      <c r="G106" s="6" t="s">
        <v>42</v>
      </c>
      <c r="H106" s="6" t="s">
        <v>43</v>
      </c>
      <c r="I106" s="6">
        <v>2029272189</v>
      </c>
      <c r="J106" s="6" t="s">
        <v>294</v>
      </c>
      <c r="M106" s="6" t="s">
        <v>60</v>
      </c>
      <c r="O106" s="6" t="s">
        <v>295</v>
      </c>
      <c r="P106" s="6" t="s">
        <v>296</v>
      </c>
      <c r="Q106" s="6" t="s">
        <v>292</v>
      </c>
      <c r="R106" s="6" t="s">
        <v>86</v>
      </c>
      <c r="S106" s="5">
        <v>45822</v>
      </c>
      <c r="U106" s="6" t="s">
        <v>50</v>
      </c>
      <c r="X106" s="6" t="s">
        <v>293</v>
      </c>
      <c r="AF106" s="7">
        <v>73.510000000000005</v>
      </c>
      <c r="AG106" s="7">
        <v>12.25</v>
      </c>
      <c r="AJ106" s="7">
        <v>61.26</v>
      </c>
    </row>
    <row r="107" spans="1:38" s="6" customFormat="1" x14ac:dyDescent="0.25">
      <c r="A107" s="5">
        <v>45877</v>
      </c>
      <c r="B107" s="5">
        <v>45873</v>
      </c>
      <c r="C107" s="6" t="s">
        <v>288</v>
      </c>
      <c r="D107" s="6" t="s">
        <v>39</v>
      </c>
      <c r="E107" s="6" t="s">
        <v>40</v>
      </c>
      <c r="F107" s="6" t="s">
        <v>41</v>
      </c>
      <c r="G107" s="6" t="s">
        <v>42</v>
      </c>
      <c r="H107" s="6" t="s">
        <v>43</v>
      </c>
      <c r="I107" s="6">
        <v>2029272190</v>
      </c>
      <c r="J107" s="6" t="s">
        <v>294</v>
      </c>
      <c r="M107" s="6" t="s">
        <v>60</v>
      </c>
      <c r="O107" s="6" t="s">
        <v>295</v>
      </c>
      <c r="P107" s="6" t="s">
        <v>296</v>
      </c>
      <c r="Q107" s="6" t="s">
        <v>292</v>
      </c>
      <c r="R107" s="6" t="s">
        <v>53</v>
      </c>
      <c r="S107" s="5">
        <v>45822</v>
      </c>
      <c r="U107" s="6" t="s">
        <v>50</v>
      </c>
      <c r="X107" s="6" t="s">
        <v>293</v>
      </c>
      <c r="AF107" s="7">
        <v>48.3</v>
      </c>
      <c r="AG107" s="7">
        <v>8.0500000000000007</v>
      </c>
      <c r="AJ107" s="7">
        <v>40.25</v>
      </c>
    </row>
    <row r="108" spans="1:38" x14ac:dyDescent="0.25">
      <c r="A108" s="1">
        <v>45877</v>
      </c>
      <c r="B108" s="1">
        <v>45873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>
        <v>2030199535</v>
      </c>
      <c r="J108" t="s">
        <v>194</v>
      </c>
      <c r="M108" t="s">
        <v>195</v>
      </c>
      <c r="O108" t="s">
        <v>196</v>
      </c>
      <c r="P108" t="s">
        <v>197</v>
      </c>
      <c r="Q108" t="s">
        <v>48</v>
      </c>
      <c r="R108" t="s">
        <v>75</v>
      </c>
      <c r="S108" s="1">
        <v>45868</v>
      </c>
      <c r="U108" t="s">
        <v>50</v>
      </c>
      <c r="X108" t="s">
        <v>51</v>
      </c>
      <c r="Y108" s="2">
        <v>22.02</v>
      </c>
      <c r="Z108" s="2">
        <v>22.02</v>
      </c>
      <c r="AA108">
        <v>6</v>
      </c>
      <c r="AB108" s="3">
        <v>0.42</v>
      </c>
      <c r="AC108" s="2">
        <v>55.49</v>
      </c>
      <c r="AD108" s="3">
        <v>0</v>
      </c>
      <c r="AE108" s="2">
        <v>0</v>
      </c>
      <c r="AF108" s="2">
        <v>55.49</v>
      </c>
      <c r="AK108" s="4">
        <v>19530540</v>
      </c>
      <c r="AL108" t="s">
        <v>52</v>
      </c>
    </row>
    <row r="109" spans="1:38" x14ac:dyDescent="0.25">
      <c r="A109" s="1">
        <v>45877</v>
      </c>
      <c r="B109" s="1">
        <v>45873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>
        <v>2030199536</v>
      </c>
      <c r="J109" t="s">
        <v>194</v>
      </c>
      <c r="M109" t="s">
        <v>195</v>
      </c>
      <c r="O109" t="s">
        <v>196</v>
      </c>
      <c r="P109" t="s">
        <v>197</v>
      </c>
      <c r="Q109" t="s">
        <v>48</v>
      </c>
      <c r="R109" t="s">
        <v>49</v>
      </c>
      <c r="S109" s="1">
        <v>45868</v>
      </c>
      <c r="U109" t="s">
        <v>50</v>
      </c>
      <c r="X109" t="s">
        <v>51</v>
      </c>
      <c r="Y109" s="2">
        <v>152.33000000000001</v>
      </c>
      <c r="Z109" s="2">
        <v>152.33000000000001</v>
      </c>
      <c r="AA109">
        <v>6</v>
      </c>
      <c r="AB109" s="3">
        <v>0.75</v>
      </c>
      <c r="AC109" s="2">
        <v>685.49</v>
      </c>
      <c r="AD109" s="3">
        <v>0</v>
      </c>
      <c r="AE109" s="2">
        <v>0</v>
      </c>
      <c r="AF109" s="2">
        <v>685.49</v>
      </c>
      <c r="AK109" s="4">
        <v>19515790</v>
      </c>
      <c r="AL109" t="s">
        <v>52</v>
      </c>
    </row>
    <row r="110" spans="1:38" x14ac:dyDescent="0.25">
      <c r="A110" s="1">
        <v>45877</v>
      </c>
      <c r="B110" s="1">
        <v>45873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>
        <v>2030285553</v>
      </c>
      <c r="J110" t="s">
        <v>281</v>
      </c>
      <c r="M110" t="s">
        <v>195</v>
      </c>
      <c r="O110" t="s">
        <v>196</v>
      </c>
      <c r="P110" t="s">
        <v>197</v>
      </c>
      <c r="Q110" t="s">
        <v>48</v>
      </c>
      <c r="R110" t="s">
        <v>75</v>
      </c>
      <c r="S110" s="1">
        <v>45871</v>
      </c>
      <c r="U110" t="s">
        <v>50</v>
      </c>
      <c r="X110" t="s">
        <v>51</v>
      </c>
      <c r="Y110" s="2">
        <v>86.66</v>
      </c>
      <c r="Z110" s="2">
        <v>86.66</v>
      </c>
      <c r="AA110">
        <v>6</v>
      </c>
      <c r="AB110" s="3">
        <v>0.42</v>
      </c>
      <c r="AC110" s="2">
        <v>218.38</v>
      </c>
      <c r="AD110" s="3">
        <v>0</v>
      </c>
      <c r="AE110" s="2">
        <v>0</v>
      </c>
      <c r="AF110" s="2">
        <v>218.38</v>
      </c>
      <c r="AK110" s="4">
        <v>19531430</v>
      </c>
      <c r="AL110" t="s">
        <v>52</v>
      </c>
    </row>
    <row r="111" spans="1:38" x14ac:dyDescent="0.25">
      <c r="A111" s="1">
        <v>45877</v>
      </c>
      <c r="B111" s="1">
        <v>45873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>
        <v>2030192704</v>
      </c>
      <c r="J111" t="s">
        <v>180</v>
      </c>
      <c r="M111" t="s">
        <v>60</v>
      </c>
      <c r="O111" t="s">
        <v>181</v>
      </c>
      <c r="P111" t="s">
        <v>182</v>
      </c>
      <c r="Q111" t="s">
        <v>48</v>
      </c>
      <c r="R111" t="s">
        <v>53</v>
      </c>
      <c r="S111" s="1">
        <v>45870</v>
      </c>
      <c r="U111" t="s">
        <v>50</v>
      </c>
      <c r="X111" t="s">
        <v>51</v>
      </c>
      <c r="Y111" s="2">
        <v>72.760000000000005</v>
      </c>
      <c r="Z111" s="2">
        <v>72.760000000000005</v>
      </c>
      <c r="AA111">
        <v>6</v>
      </c>
      <c r="AB111" s="3">
        <v>0.7</v>
      </c>
      <c r="AC111" s="2">
        <v>305.58999999999997</v>
      </c>
      <c r="AD111" s="3">
        <v>0</v>
      </c>
      <c r="AE111" s="2">
        <v>0</v>
      </c>
      <c r="AF111" s="2">
        <v>305.58999999999997</v>
      </c>
      <c r="AK111" s="4">
        <v>19502240</v>
      </c>
      <c r="AL111" t="s">
        <v>52</v>
      </c>
    </row>
    <row r="112" spans="1:38" x14ac:dyDescent="0.25">
      <c r="A112" s="1">
        <v>45877</v>
      </c>
      <c r="B112" s="1">
        <v>45873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>
        <v>2029846251</v>
      </c>
      <c r="J112" t="s">
        <v>82</v>
      </c>
      <c r="M112" t="s">
        <v>83</v>
      </c>
      <c r="O112" t="s">
        <v>84</v>
      </c>
      <c r="P112" t="s">
        <v>85</v>
      </c>
      <c r="Q112" t="s">
        <v>48</v>
      </c>
      <c r="R112" t="s">
        <v>86</v>
      </c>
      <c r="S112" s="1">
        <v>45870</v>
      </c>
      <c r="U112" t="s">
        <v>50</v>
      </c>
      <c r="X112" t="s">
        <v>51</v>
      </c>
      <c r="Y112" s="2">
        <v>74.16</v>
      </c>
      <c r="Z112" s="2">
        <v>74.16</v>
      </c>
      <c r="AA112">
        <v>6</v>
      </c>
      <c r="AB112" s="3">
        <v>0.375</v>
      </c>
      <c r="AC112" s="2">
        <v>166.86</v>
      </c>
      <c r="AD112" s="3">
        <v>0</v>
      </c>
      <c r="AE112" s="2">
        <v>0</v>
      </c>
      <c r="AF112" s="2">
        <v>166.86</v>
      </c>
      <c r="AK112" s="4">
        <v>19529790</v>
      </c>
      <c r="AL112" t="s">
        <v>52</v>
      </c>
    </row>
    <row r="113" spans="1:38" x14ac:dyDescent="0.25">
      <c r="A113" s="1">
        <v>45877</v>
      </c>
      <c r="B113" s="1">
        <v>45873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>
        <v>2029846252</v>
      </c>
      <c r="J113" t="s">
        <v>82</v>
      </c>
      <c r="M113" t="s">
        <v>83</v>
      </c>
      <c r="O113" t="s">
        <v>84</v>
      </c>
      <c r="P113" t="s">
        <v>85</v>
      </c>
      <c r="Q113" t="s">
        <v>48</v>
      </c>
      <c r="R113" t="s">
        <v>53</v>
      </c>
      <c r="S113" s="1">
        <v>45870</v>
      </c>
      <c r="U113" t="s">
        <v>50</v>
      </c>
      <c r="X113" t="s">
        <v>51</v>
      </c>
      <c r="Y113" s="2">
        <v>254.94</v>
      </c>
      <c r="Z113" s="2">
        <v>254.94</v>
      </c>
      <c r="AA113">
        <v>6</v>
      </c>
      <c r="AB113" s="3">
        <v>0.7</v>
      </c>
      <c r="AC113" s="2">
        <v>1070.75</v>
      </c>
      <c r="AD113" s="3">
        <v>0</v>
      </c>
      <c r="AE113" s="2">
        <v>0</v>
      </c>
      <c r="AF113" s="2">
        <v>1070.75</v>
      </c>
      <c r="AK113" s="4">
        <v>19501500</v>
      </c>
      <c r="AL113" t="s">
        <v>52</v>
      </c>
    </row>
    <row r="114" spans="1:38" x14ac:dyDescent="0.25">
      <c r="A114" s="1">
        <v>45877</v>
      </c>
      <c r="B114" s="1">
        <v>45873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>
        <v>2029989548</v>
      </c>
      <c r="J114" t="s">
        <v>110</v>
      </c>
      <c r="M114" t="s">
        <v>83</v>
      </c>
      <c r="O114" t="s">
        <v>84</v>
      </c>
      <c r="P114" t="s">
        <v>85</v>
      </c>
      <c r="Q114" t="s">
        <v>48</v>
      </c>
      <c r="R114" t="s">
        <v>53</v>
      </c>
      <c r="S114" s="1">
        <v>45870</v>
      </c>
      <c r="U114" t="s">
        <v>50</v>
      </c>
      <c r="X114" t="s">
        <v>51</v>
      </c>
      <c r="Y114" s="2">
        <v>44</v>
      </c>
      <c r="Z114" s="2">
        <v>44</v>
      </c>
      <c r="AA114">
        <v>6</v>
      </c>
      <c r="AB114" s="3">
        <v>0.7</v>
      </c>
      <c r="AC114" s="2">
        <v>184.8</v>
      </c>
      <c r="AD114" s="3">
        <v>0</v>
      </c>
      <c r="AE114" s="2">
        <v>0</v>
      </c>
      <c r="AF114" s="2">
        <v>184.8</v>
      </c>
      <c r="AK114" s="4">
        <v>19501660</v>
      </c>
      <c r="AL114" t="s">
        <v>52</v>
      </c>
    </row>
    <row r="115" spans="1:38" x14ac:dyDescent="0.25">
      <c r="A115" s="1">
        <v>45877</v>
      </c>
      <c r="B115" s="1">
        <v>45873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>
        <v>2030241261</v>
      </c>
      <c r="J115" t="s">
        <v>246</v>
      </c>
      <c r="M115" t="s">
        <v>66</v>
      </c>
      <c r="O115" t="s">
        <v>247</v>
      </c>
      <c r="P115" t="s">
        <v>248</v>
      </c>
      <c r="Q115" t="s">
        <v>48</v>
      </c>
      <c r="R115" t="s">
        <v>186</v>
      </c>
      <c r="S115" s="1">
        <v>45870</v>
      </c>
      <c r="U115" t="s">
        <v>50</v>
      </c>
      <c r="X115" t="s">
        <v>51</v>
      </c>
      <c r="Y115" s="2">
        <v>46.13</v>
      </c>
      <c r="Z115" s="2">
        <v>46.13</v>
      </c>
      <c r="AA115">
        <v>6</v>
      </c>
      <c r="AB115" s="3">
        <v>0.38</v>
      </c>
      <c r="AC115" s="2">
        <v>105.18</v>
      </c>
      <c r="AD115" s="3">
        <v>0</v>
      </c>
      <c r="AE115" s="2">
        <v>0</v>
      </c>
      <c r="AF115" s="2">
        <v>105.18</v>
      </c>
      <c r="AK115" s="4">
        <v>19533280</v>
      </c>
      <c r="AL115" t="s">
        <v>52</v>
      </c>
    </row>
    <row r="116" spans="1:38" x14ac:dyDescent="0.25">
      <c r="A116" s="1">
        <v>45877</v>
      </c>
      <c r="B116" s="1">
        <v>45873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>
        <v>2030247772</v>
      </c>
      <c r="J116" t="s">
        <v>263</v>
      </c>
      <c r="M116" t="s">
        <v>66</v>
      </c>
      <c r="O116" t="s">
        <v>247</v>
      </c>
      <c r="P116" t="s">
        <v>248</v>
      </c>
      <c r="Q116" t="s">
        <v>48</v>
      </c>
      <c r="R116" t="s">
        <v>186</v>
      </c>
      <c r="S116" s="1">
        <v>45870</v>
      </c>
      <c r="U116" t="s">
        <v>50</v>
      </c>
      <c r="X116" t="s">
        <v>51</v>
      </c>
      <c r="Y116" s="2">
        <v>27.15</v>
      </c>
      <c r="Z116" s="2">
        <v>27.15</v>
      </c>
      <c r="AA116">
        <v>6</v>
      </c>
      <c r="AB116" s="3">
        <v>0.38</v>
      </c>
      <c r="AC116" s="2">
        <v>61.9</v>
      </c>
      <c r="AD116" s="3">
        <v>0</v>
      </c>
      <c r="AE116" s="2">
        <v>0</v>
      </c>
      <c r="AF116" s="2">
        <v>61.9</v>
      </c>
      <c r="AK116" s="4">
        <v>19533280</v>
      </c>
      <c r="AL116" t="s">
        <v>52</v>
      </c>
    </row>
    <row r="117" spans="1:38" x14ac:dyDescent="0.25">
      <c r="A117" s="1">
        <v>45877</v>
      </c>
      <c r="B117" s="1">
        <v>45873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>
        <v>2030269154</v>
      </c>
      <c r="J117" t="s">
        <v>276</v>
      </c>
      <c r="M117" t="s">
        <v>277</v>
      </c>
      <c r="O117" t="s">
        <v>247</v>
      </c>
      <c r="P117" t="s">
        <v>248</v>
      </c>
      <c r="Q117" t="s">
        <v>48</v>
      </c>
      <c r="R117" t="s">
        <v>186</v>
      </c>
      <c r="S117" s="1">
        <v>45871</v>
      </c>
      <c r="U117" t="s">
        <v>50</v>
      </c>
      <c r="X117" t="s">
        <v>51</v>
      </c>
      <c r="Y117" s="2">
        <v>37.83</v>
      </c>
      <c r="Z117" s="2">
        <v>37.83</v>
      </c>
      <c r="AA117">
        <v>6</v>
      </c>
      <c r="AB117" s="3">
        <v>0.38</v>
      </c>
      <c r="AC117" s="2">
        <v>86.25</v>
      </c>
      <c r="AD117" s="3">
        <v>0</v>
      </c>
      <c r="AE117" s="2">
        <v>0</v>
      </c>
      <c r="AF117" s="2">
        <v>86.25</v>
      </c>
      <c r="AK117" s="4">
        <v>19533300</v>
      </c>
      <c r="AL117" t="s">
        <v>52</v>
      </c>
    </row>
    <row r="118" spans="1:38" x14ac:dyDescent="0.25">
      <c r="A118" s="1">
        <v>45877</v>
      </c>
      <c r="B118" s="1">
        <v>45873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>
        <v>2030269155</v>
      </c>
      <c r="J118" t="s">
        <v>276</v>
      </c>
      <c r="M118" t="s">
        <v>277</v>
      </c>
      <c r="O118" t="s">
        <v>247</v>
      </c>
      <c r="P118" t="s">
        <v>248</v>
      </c>
      <c r="Q118" t="s">
        <v>48</v>
      </c>
      <c r="R118" t="s">
        <v>86</v>
      </c>
      <c r="S118" s="1">
        <v>45871</v>
      </c>
      <c r="U118" t="s">
        <v>50</v>
      </c>
      <c r="X118" t="s">
        <v>51</v>
      </c>
      <c r="Y118" s="2">
        <v>43.91</v>
      </c>
      <c r="Z118" s="2">
        <v>43.91</v>
      </c>
      <c r="AA118">
        <v>6</v>
      </c>
      <c r="AB118" s="3">
        <v>0.375</v>
      </c>
      <c r="AC118" s="2">
        <v>98.8</v>
      </c>
      <c r="AD118" s="3">
        <v>0</v>
      </c>
      <c r="AE118" s="2">
        <v>0</v>
      </c>
      <c r="AF118" s="2">
        <v>98.8</v>
      </c>
      <c r="AK118" s="4">
        <v>19531310</v>
      </c>
      <c r="AL118" t="s">
        <v>52</v>
      </c>
    </row>
    <row r="119" spans="1:38" x14ac:dyDescent="0.25">
      <c r="A119" s="1">
        <v>45877</v>
      </c>
      <c r="B119" s="1">
        <v>45873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>
        <v>2030269156</v>
      </c>
      <c r="J119" t="s">
        <v>276</v>
      </c>
      <c r="M119" t="s">
        <v>277</v>
      </c>
      <c r="O119" t="s">
        <v>247</v>
      </c>
      <c r="P119" t="s">
        <v>248</v>
      </c>
      <c r="Q119" t="s">
        <v>48</v>
      </c>
      <c r="R119" t="s">
        <v>187</v>
      </c>
      <c r="S119" s="1">
        <v>45871</v>
      </c>
      <c r="U119" t="s">
        <v>50</v>
      </c>
      <c r="X119" t="s">
        <v>51</v>
      </c>
      <c r="Y119" s="2">
        <v>15</v>
      </c>
      <c r="Z119" s="2">
        <v>15</v>
      </c>
      <c r="AA119">
        <v>6</v>
      </c>
      <c r="AB119" s="3">
        <v>0.38</v>
      </c>
      <c r="AC119" s="2">
        <v>34.200000000000003</v>
      </c>
      <c r="AD119" s="3">
        <v>0</v>
      </c>
      <c r="AE119" s="2">
        <v>0</v>
      </c>
      <c r="AF119" s="2">
        <v>34.200000000000003</v>
      </c>
      <c r="AK119" s="4">
        <v>19509590</v>
      </c>
      <c r="AL119" t="s">
        <v>52</v>
      </c>
    </row>
    <row r="120" spans="1:38" x14ac:dyDescent="0.25">
      <c r="A120" s="1">
        <v>45877</v>
      </c>
      <c r="B120" s="1">
        <v>45873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>
        <v>2030302271</v>
      </c>
      <c r="J120" t="s">
        <v>285</v>
      </c>
      <c r="M120" t="s">
        <v>60</v>
      </c>
      <c r="O120" t="s">
        <v>286</v>
      </c>
      <c r="P120" t="s">
        <v>287</v>
      </c>
      <c r="Q120" t="s">
        <v>48</v>
      </c>
      <c r="R120" t="s">
        <v>86</v>
      </c>
      <c r="S120" s="1">
        <v>45873</v>
      </c>
      <c r="U120" t="s">
        <v>50</v>
      </c>
      <c r="X120" t="s">
        <v>51</v>
      </c>
      <c r="Y120" s="2">
        <v>71.16</v>
      </c>
      <c r="Z120" s="2">
        <v>71.16</v>
      </c>
      <c r="AA120">
        <v>6</v>
      </c>
      <c r="AB120" s="3">
        <v>0.375</v>
      </c>
      <c r="AC120" s="2">
        <v>160.11000000000001</v>
      </c>
      <c r="AD120" s="3">
        <v>0</v>
      </c>
      <c r="AE120" s="2">
        <v>0</v>
      </c>
      <c r="AF120" s="2">
        <v>160.11000000000001</v>
      </c>
      <c r="AK120" s="4">
        <v>19531480</v>
      </c>
      <c r="AL120" t="s">
        <v>52</v>
      </c>
    </row>
    <row r="121" spans="1:38" x14ac:dyDescent="0.25">
      <c r="A121" s="1">
        <v>45877</v>
      </c>
      <c r="B121" s="1">
        <v>45873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>
        <v>2030178516</v>
      </c>
      <c r="J121" t="s">
        <v>166</v>
      </c>
      <c r="M121" t="s">
        <v>45</v>
      </c>
      <c r="O121" t="s">
        <v>167</v>
      </c>
      <c r="P121" t="s">
        <v>168</v>
      </c>
      <c r="Q121" t="s">
        <v>48</v>
      </c>
      <c r="R121" t="s">
        <v>86</v>
      </c>
      <c r="S121" s="1">
        <v>45867</v>
      </c>
      <c r="U121" t="s">
        <v>50</v>
      </c>
      <c r="X121" t="s">
        <v>51</v>
      </c>
      <c r="Y121" s="2">
        <v>23.34</v>
      </c>
      <c r="Z121" s="2">
        <v>23.34</v>
      </c>
      <c r="AA121">
        <v>6</v>
      </c>
      <c r="AB121" s="3">
        <v>0.375</v>
      </c>
      <c r="AC121" s="2">
        <v>52.52</v>
      </c>
      <c r="AD121" s="3">
        <v>0</v>
      </c>
      <c r="AE121" s="2">
        <v>0</v>
      </c>
      <c r="AF121" s="2">
        <v>52.52</v>
      </c>
      <c r="AK121" s="4">
        <v>19530280</v>
      </c>
      <c r="AL121" t="s">
        <v>52</v>
      </c>
    </row>
    <row r="122" spans="1:38" x14ac:dyDescent="0.25">
      <c r="A122" s="1">
        <v>45877</v>
      </c>
      <c r="B122" s="1">
        <v>45873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>
        <v>2030178517</v>
      </c>
      <c r="J122" t="s">
        <v>166</v>
      </c>
      <c r="M122" t="s">
        <v>45</v>
      </c>
      <c r="O122" t="s">
        <v>167</v>
      </c>
      <c r="P122" t="s">
        <v>168</v>
      </c>
      <c r="Q122" t="s">
        <v>48</v>
      </c>
      <c r="R122" t="s">
        <v>53</v>
      </c>
      <c r="S122" s="1">
        <v>45867</v>
      </c>
      <c r="U122" t="s">
        <v>50</v>
      </c>
      <c r="X122" t="s">
        <v>51</v>
      </c>
      <c r="Y122" s="2">
        <v>31.15</v>
      </c>
      <c r="Z122" s="2">
        <v>31.15</v>
      </c>
      <c r="AA122">
        <v>6</v>
      </c>
      <c r="AB122" s="3">
        <v>0.7</v>
      </c>
      <c r="AC122" s="2">
        <v>130.83000000000001</v>
      </c>
      <c r="AD122" s="3">
        <v>0</v>
      </c>
      <c r="AE122" s="2">
        <v>0</v>
      </c>
      <c r="AF122" s="2">
        <v>130.83000000000001</v>
      </c>
      <c r="AK122" s="4">
        <v>19502080</v>
      </c>
      <c r="AL122" t="s">
        <v>52</v>
      </c>
    </row>
    <row r="123" spans="1:38" x14ac:dyDescent="0.25">
      <c r="A123" s="1">
        <v>45877</v>
      </c>
      <c r="B123" s="1">
        <v>45873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>
        <v>2030188782</v>
      </c>
      <c r="J123" t="s">
        <v>174</v>
      </c>
      <c r="M123" t="s">
        <v>64</v>
      </c>
      <c r="O123" t="s">
        <v>167</v>
      </c>
      <c r="P123" t="s">
        <v>168</v>
      </c>
      <c r="Q123" t="s">
        <v>48</v>
      </c>
      <c r="R123" t="s">
        <v>86</v>
      </c>
      <c r="S123" s="1">
        <v>45871</v>
      </c>
      <c r="U123" t="s">
        <v>50</v>
      </c>
      <c r="X123" t="s">
        <v>51</v>
      </c>
      <c r="Y123" s="2">
        <v>27.49</v>
      </c>
      <c r="Z123" s="2">
        <v>27.49</v>
      </c>
      <c r="AA123">
        <v>6</v>
      </c>
      <c r="AB123" s="3">
        <v>0.375</v>
      </c>
      <c r="AC123" s="2">
        <v>61.85</v>
      </c>
      <c r="AD123" s="3">
        <v>0</v>
      </c>
      <c r="AE123" s="2">
        <v>0</v>
      </c>
      <c r="AF123" s="2">
        <v>61.85</v>
      </c>
      <c r="AK123" s="4">
        <v>19530420</v>
      </c>
      <c r="AL123" t="s">
        <v>52</v>
      </c>
    </row>
    <row r="124" spans="1:38" x14ac:dyDescent="0.25">
      <c r="A124" s="1">
        <v>45877</v>
      </c>
      <c r="B124" s="1">
        <v>45873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>
        <v>2030188783</v>
      </c>
      <c r="J124" t="s">
        <v>174</v>
      </c>
      <c r="M124" t="s">
        <v>64</v>
      </c>
      <c r="O124" t="s">
        <v>167</v>
      </c>
      <c r="P124" t="s">
        <v>168</v>
      </c>
      <c r="Q124" t="s">
        <v>48</v>
      </c>
      <c r="R124" t="s">
        <v>53</v>
      </c>
      <c r="S124" s="1">
        <v>45871</v>
      </c>
      <c r="U124" t="s">
        <v>50</v>
      </c>
      <c r="X124" t="s">
        <v>51</v>
      </c>
      <c r="Y124" s="2">
        <v>110.16</v>
      </c>
      <c r="Z124" s="2">
        <v>110.16</v>
      </c>
      <c r="AA124">
        <v>6</v>
      </c>
      <c r="AB124" s="3">
        <v>0.7</v>
      </c>
      <c r="AC124" s="2">
        <v>462.67</v>
      </c>
      <c r="AD124" s="3">
        <v>0</v>
      </c>
      <c r="AE124" s="2">
        <v>0</v>
      </c>
      <c r="AF124" s="2">
        <v>462.67</v>
      </c>
      <c r="AK124" s="4">
        <v>19502200</v>
      </c>
      <c r="AL124" t="s">
        <v>52</v>
      </c>
    </row>
    <row r="125" spans="1:38" x14ac:dyDescent="0.25">
      <c r="A125" s="1">
        <v>45877</v>
      </c>
      <c r="B125" s="1">
        <v>45873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>
        <v>2030231567</v>
      </c>
      <c r="J125" t="s">
        <v>238</v>
      </c>
      <c r="M125" t="s">
        <v>237</v>
      </c>
      <c r="O125" t="s">
        <v>167</v>
      </c>
      <c r="P125" t="s">
        <v>168</v>
      </c>
      <c r="Q125" t="s">
        <v>48</v>
      </c>
      <c r="R125" t="s">
        <v>86</v>
      </c>
      <c r="S125" s="1">
        <v>45869</v>
      </c>
      <c r="U125" t="s">
        <v>50</v>
      </c>
      <c r="X125" t="s">
        <v>51</v>
      </c>
      <c r="Y125" s="2">
        <v>27.04</v>
      </c>
      <c r="Z125" s="2">
        <v>27.04</v>
      </c>
      <c r="AA125">
        <v>6</v>
      </c>
      <c r="AB125" s="3">
        <v>0.375</v>
      </c>
      <c r="AC125" s="2">
        <v>60.84</v>
      </c>
      <c r="AD125" s="3">
        <v>0</v>
      </c>
      <c r="AE125" s="2">
        <v>0</v>
      </c>
      <c r="AF125" s="2">
        <v>60.84</v>
      </c>
      <c r="AK125" s="4">
        <v>19530970</v>
      </c>
      <c r="AL125" t="s">
        <v>52</v>
      </c>
    </row>
    <row r="126" spans="1:38" x14ac:dyDescent="0.25">
      <c r="A126" s="1">
        <v>45877</v>
      </c>
      <c r="B126" s="1">
        <v>45873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>
        <v>2030244691</v>
      </c>
      <c r="J126" t="s">
        <v>255</v>
      </c>
      <c r="M126" t="s">
        <v>64</v>
      </c>
      <c r="O126" t="s">
        <v>167</v>
      </c>
      <c r="P126" t="s">
        <v>168</v>
      </c>
      <c r="Q126" t="s">
        <v>48</v>
      </c>
      <c r="R126" t="s">
        <v>86</v>
      </c>
      <c r="S126" s="1">
        <v>45870</v>
      </c>
      <c r="U126" t="s">
        <v>50</v>
      </c>
      <c r="X126" t="s">
        <v>51</v>
      </c>
      <c r="Y126" s="2">
        <v>73.08</v>
      </c>
      <c r="Z126" s="2">
        <v>73.08</v>
      </c>
      <c r="AA126">
        <v>6</v>
      </c>
      <c r="AB126" s="3">
        <v>0.375</v>
      </c>
      <c r="AC126" s="2">
        <v>164.43</v>
      </c>
      <c r="AD126" s="3">
        <v>0</v>
      </c>
      <c r="AE126" s="2">
        <v>0</v>
      </c>
      <c r="AF126" s="2">
        <v>164.43</v>
      </c>
      <c r="AK126" s="4">
        <v>19531080</v>
      </c>
      <c r="AL126" t="s">
        <v>52</v>
      </c>
    </row>
    <row r="127" spans="1:38" x14ac:dyDescent="0.25">
      <c r="A127" s="1">
        <v>45877</v>
      </c>
      <c r="B127" s="1">
        <v>45873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>
        <v>2030244692</v>
      </c>
      <c r="J127" t="s">
        <v>255</v>
      </c>
      <c r="M127" t="s">
        <v>64</v>
      </c>
      <c r="O127" t="s">
        <v>167</v>
      </c>
      <c r="P127" t="s">
        <v>168</v>
      </c>
      <c r="Q127" t="s">
        <v>48</v>
      </c>
      <c r="R127" t="s">
        <v>53</v>
      </c>
      <c r="S127" s="1">
        <v>45870</v>
      </c>
      <c r="U127" t="s">
        <v>50</v>
      </c>
      <c r="X127" t="s">
        <v>51</v>
      </c>
      <c r="Y127" s="2">
        <v>62.15</v>
      </c>
      <c r="Z127" s="2">
        <v>62.15</v>
      </c>
      <c r="AA127">
        <v>6</v>
      </c>
      <c r="AB127" s="3">
        <v>0.7</v>
      </c>
      <c r="AC127" s="2">
        <v>261.02999999999997</v>
      </c>
      <c r="AD127" s="3">
        <v>0</v>
      </c>
      <c r="AE127" s="2">
        <v>0</v>
      </c>
      <c r="AF127" s="2">
        <v>261.02999999999997</v>
      </c>
      <c r="AK127" s="4">
        <v>19502840</v>
      </c>
      <c r="AL127" t="s">
        <v>52</v>
      </c>
    </row>
    <row r="128" spans="1:38" x14ac:dyDescent="0.25">
      <c r="A128" s="1">
        <v>45877</v>
      </c>
      <c r="B128" s="1">
        <v>45873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>
        <v>2029774475</v>
      </c>
      <c r="J128" t="s">
        <v>71</v>
      </c>
      <c r="M128" t="s">
        <v>72</v>
      </c>
      <c r="O128" t="s">
        <v>73</v>
      </c>
      <c r="P128" t="s">
        <v>74</v>
      </c>
      <c r="Q128" t="s">
        <v>48</v>
      </c>
      <c r="R128" t="s">
        <v>75</v>
      </c>
      <c r="S128" s="1">
        <v>45870</v>
      </c>
      <c r="U128" t="s">
        <v>50</v>
      </c>
      <c r="X128" t="s">
        <v>51</v>
      </c>
      <c r="Y128" s="2">
        <v>101.22</v>
      </c>
      <c r="Z128" s="2">
        <v>101.22</v>
      </c>
      <c r="AA128">
        <v>6</v>
      </c>
      <c r="AB128" s="3">
        <v>0.42</v>
      </c>
      <c r="AC128" s="2">
        <v>255.07</v>
      </c>
      <c r="AD128" s="3">
        <v>0</v>
      </c>
      <c r="AE128" s="2">
        <v>0</v>
      </c>
      <c r="AF128" s="2">
        <v>255.07</v>
      </c>
      <c r="AK128" s="4">
        <v>19529620</v>
      </c>
      <c r="AL128" t="s">
        <v>52</v>
      </c>
    </row>
    <row r="129" spans="1:38" x14ac:dyDescent="0.25">
      <c r="A129" s="1">
        <v>45877</v>
      </c>
      <c r="B129" s="1">
        <v>45873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>
        <v>2030077715</v>
      </c>
      <c r="J129" t="s">
        <v>134</v>
      </c>
      <c r="M129" t="s">
        <v>72</v>
      </c>
      <c r="O129" t="s">
        <v>73</v>
      </c>
      <c r="P129" t="s">
        <v>74</v>
      </c>
      <c r="Q129" t="s">
        <v>48</v>
      </c>
      <c r="R129" t="s">
        <v>86</v>
      </c>
      <c r="S129" s="1">
        <v>45870</v>
      </c>
      <c r="U129" t="s">
        <v>50</v>
      </c>
      <c r="X129" t="s">
        <v>51</v>
      </c>
      <c r="Y129" s="2">
        <v>48.15</v>
      </c>
      <c r="Z129" s="2">
        <v>48.15</v>
      </c>
      <c r="AA129">
        <v>6</v>
      </c>
      <c r="AB129" s="3">
        <v>0.375</v>
      </c>
      <c r="AC129" s="2">
        <v>108.34</v>
      </c>
      <c r="AD129" s="3">
        <v>0</v>
      </c>
      <c r="AE129" s="2">
        <v>0</v>
      </c>
      <c r="AF129" s="2">
        <v>108.34</v>
      </c>
      <c r="AK129" s="4">
        <v>19530030</v>
      </c>
      <c r="AL129" t="s">
        <v>52</v>
      </c>
    </row>
    <row r="130" spans="1:38" x14ac:dyDescent="0.25">
      <c r="A130" s="1">
        <v>45877</v>
      </c>
      <c r="B130" s="1">
        <v>45873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>
        <v>2030077716</v>
      </c>
      <c r="J130" t="s">
        <v>134</v>
      </c>
      <c r="M130" t="s">
        <v>72</v>
      </c>
      <c r="O130" t="s">
        <v>73</v>
      </c>
      <c r="P130" t="s">
        <v>74</v>
      </c>
      <c r="Q130" t="s">
        <v>48</v>
      </c>
      <c r="R130" t="s">
        <v>53</v>
      </c>
      <c r="S130" s="1">
        <v>45870</v>
      </c>
      <c r="U130" t="s">
        <v>50</v>
      </c>
      <c r="X130" t="s">
        <v>51</v>
      </c>
      <c r="Y130" s="2">
        <v>3.52</v>
      </c>
      <c r="Z130" s="2">
        <v>3.52</v>
      </c>
      <c r="AA130">
        <v>6</v>
      </c>
      <c r="AB130" s="3">
        <v>0.7</v>
      </c>
      <c r="AC130" s="2">
        <v>14.78</v>
      </c>
      <c r="AD130" s="3">
        <v>0</v>
      </c>
      <c r="AE130" s="2">
        <v>0</v>
      </c>
      <c r="AF130" s="2">
        <v>14.78</v>
      </c>
      <c r="AK130" s="4">
        <v>19501800</v>
      </c>
      <c r="AL130" t="s">
        <v>52</v>
      </c>
    </row>
    <row r="131" spans="1:38" x14ac:dyDescent="0.25">
      <c r="A131" s="1">
        <v>45877</v>
      </c>
      <c r="B131" s="1">
        <v>45873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>
        <v>2030107691</v>
      </c>
      <c r="J131" t="s">
        <v>141</v>
      </c>
      <c r="M131" t="s">
        <v>72</v>
      </c>
      <c r="O131" t="s">
        <v>73</v>
      </c>
      <c r="P131" t="s">
        <v>74</v>
      </c>
      <c r="Q131" t="s">
        <v>48</v>
      </c>
      <c r="R131" t="s">
        <v>69</v>
      </c>
      <c r="S131" s="1">
        <v>45870</v>
      </c>
      <c r="U131" t="s">
        <v>50</v>
      </c>
      <c r="X131" t="s">
        <v>51</v>
      </c>
      <c r="Y131" s="2">
        <v>133.13</v>
      </c>
      <c r="Z131" s="2">
        <v>133.13</v>
      </c>
      <c r="AA131">
        <v>6</v>
      </c>
      <c r="AB131" s="3">
        <v>0.47</v>
      </c>
      <c r="AC131" s="2">
        <v>375.43</v>
      </c>
      <c r="AD131" s="3">
        <v>0</v>
      </c>
      <c r="AE131" s="2">
        <v>0</v>
      </c>
      <c r="AF131" s="2">
        <v>375.43</v>
      </c>
      <c r="AK131" s="4">
        <v>19530110</v>
      </c>
      <c r="AL131" t="s">
        <v>52</v>
      </c>
    </row>
    <row r="132" spans="1:38" x14ac:dyDescent="0.25">
      <c r="A132" s="1">
        <v>45877</v>
      </c>
      <c r="B132" s="1">
        <v>45873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>
        <v>2030247060</v>
      </c>
      <c r="J132" t="s">
        <v>259</v>
      </c>
      <c r="M132" t="s">
        <v>72</v>
      </c>
      <c r="O132" t="s">
        <v>73</v>
      </c>
      <c r="P132" t="s">
        <v>74</v>
      </c>
      <c r="Q132" t="s">
        <v>48</v>
      </c>
      <c r="R132" t="s">
        <v>260</v>
      </c>
      <c r="S132" s="1">
        <v>45870</v>
      </c>
      <c r="U132" t="s">
        <v>50</v>
      </c>
      <c r="X132" t="s">
        <v>261</v>
      </c>
      <c r="Y132" s="2">
        <v>110.01</v>
      </c>
      <c r="Z132" s="2">
        <v>110.01</v>
      </c>
      <c r="AA132">
        <v>3</v>
      </c>
      <c r="AB132" s="3">
        <v>0.19</v>
      </c>
      <c r="AC132" s="2">
        <v>62.71</v>
      </c>
      <c r="AD132" s="3">
        <v>0</v>
      </c>
      <c r="AE132" s="2">
        <v>0</v>
      </c>
      <c r="AF132" s="2">
        <v>62.71</v>
      </c>
      <c r="AK132" s="4">
        <v>19539070</v>
      </c>
      <c r="AL132" t="s">
        <v>52</v>
      </c>
    </row>
    <row r="133" spans="1:38" x14ac:dyDescent="0.25">
      <c r="A133" s="1">
        <v>45877</v>
      </c>
      <c r="B133" s="1">
        <v>45873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>
        <v>2030247061</v>
      </c>
      <c r="J133" t="s">
        <v>259</v>
      </c>
      <c r="M133" t="s">
        <v>72</v>
      </c>
      <c r="O133" t="s">
        <v>73</v>
      </c>
      <c r="P133" t="s">
        <v>74</v>
      </c>
      <c r="Q133" t="s">
        <v>48</v>
      </c>
      <c r="R133" t="s">
        <v>262</v>
      </c>
      <c r="S133" s="1">
        <v>45870</v>
      </c>
      <c r="U133" t="s">
        <v>50</v>
      </c>
      <c r="X133" t="s">
        <v>261</v>
      </c>
      <c r="Y133" s="2">
        <v>15</v>
      </c>
      <c r="Z133" s="2">
        <v>15</v>
      </c>
      <c r="AA133">
        <v>3</v>
      </c>
      <c r="AB133" s="3">
        <v>0.19</v>
      </c>
      <c r="AC133" s="2">
        <v>8.5500000000000007</v>
      </c>
      <c r="AD133" s="3">
        <v>0</v>
      </c>
      <c r="AE133" s="2">
        <v>0</v>
      </c>
      <c r="AF133" s="2">
        <v>8.5500000000000007</v>
      </c>
      <c r="AK133" s="4">
        <v>19509500</v>
      </c>
      <c r="AL133" t="s">
        <v>52</v>
      </c>
    </row>
    <row r="134" spans="1:38" x14ac:dyDescent="0.25">
      <c r="A134" s="1">
        <v>45877</v>
      </c>
      <c r="B134" s="1">
        <v>45873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>
        <v>2029887594</v>
      </c>
      <c r="J134" t="s">
        <v>91</v>
      </c>
      <c r="M134" t="s">
        <v>92</v>
      </c>
      <c r="O134" t="s">
        <v>93</v>
      </c>
      <c r="P134" t="s">
        <v>94</v>
      </c>
      <c r="Q134" t="s">
        <v>48</v>
      </c>
      <c r="R134" t="s">
        <v>56</v>
      </c>
      <c r="S134" s="1">
        <v>45870</v>
      </c>
      <c r="U134" t="s">
        <v>50</v>
      </c>
      <c r="X134" t="s">
        <v>51</v>
      </c>
      <c r="Y134" s="2">
        <v>305.58</v>
      </c>
      <c r="Z134" s="2">
        <v>305.58</v>
      </c>
      <c r="AA134">
        <v>6</v>
      </c>
      <c r="AB134" s="3">
        <v>0.9</v>
      </c>
      <c r="AC134" s="2">
        <v>1650.13</v>
      </c>
      <c r="AD134" s="3">
        <v>0</v>
      </c>
      <c r="AE134" s="2">
        <v>0</v>
      </c>
      <c r="AF134" s="2">
        <v>1650.13</v>
      </c>
      <c r="AK134" s="4">
        <v>19515480</v>
      </c>
      <c r="AL134" t="s">
        <v>52</v>
      </c>
    </row>
    <row r="135" spans="1:38" x14ac:dyDescent="0.25">
      <c r="A135" s="1">
        <v>45877</v>
      </c>
      <c r="B135" s="1">
        <v>45873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>
        <v>2029887595</v>
      </c>
      <c r="J135" t="s">
        <v>91</v>
      </c>
      <c r="M135" t="s">
        <v>92</v>
      </c>
      <c r="O135" t="s">
        <v>93</v>
      </c>
      <c r="P135" t="s">
        <v>94</v>
      </c>
      <c r="Q135" t="s">
        <v>48</v>
      </c>
      <c r="R135" t="s">
        <v>53</v>
      </c>
      <c r="S135" s="1">
        <v>45870</v>
      </c>
      <c r="U135" t="s">
        <v>50</v>
      </c>
      <c r="X135" t="s">
        <v>51</v>
      </c>
      <c r="Y135" s="2">
        <v>141.47</v>
      </c>
      <c r="Z135" s="2">
        <v>141.47</v>
      </c>
      <c r="AA135">
        <v>6</v>
      </c>
      <c r="AB135" s="3">
        <v>0.7</v>
      </c>
      <c r="AC135" s="2">
        <v>594.16999999999996</v>
      </c>
      <c r="AD135" s="3">
        <v>0</v>
      </c>
      <c r="AE135" s="2">
        <v>0</v>
      </c>
      <c r="AF135" s="2">
        <v>594.16999999999996</v>
      </c>
      <c r="AK135" s="4">
        <v>19501540</v>
      </c>
      <c r="AL135" t="s">
        <v>52</v>
      </c>
    </row>
    <row r="136" spans="1:38" x14ac:dyDescent="0.25">
      <c r="A136" s="1">
        <v>45877</v>
      </c>
      <c r="B136" s="1">
        <v>45873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>
        <v>2030034362</v>
      </c>
      <c r="J136" t="s">
        <v>124</v>
      </c>
      <c r="M136" t="s">
        <v>64</v>
      </c>
      <c r="O136" t="s">
        <v>93</v>
      </c>
      <c r="P136" t="s">
        <v>94</v>
      </c>
      <c r="Q136" t="s">
        <v>48</v>
      </c>
      <c r="R136" t="s">
        <v>56</v>
      </c>
      <c r="S136" s="1">
        <v>45870</v>
      </c>
      <c r="U136" t="s">
        <v>50</v>
      </c>
      <c r="X136" t="s">
        <v>51</v>
      </c>
      <c r="Y136" s="2">
        <v>146.5</v>
      </c>
      <c r="Z136" s="2">
        <v>146.5</v>
      </c>
      <c r="AA136">
        <v>6</v>
      </c>
      <c r="AB136" s="3">
        <v>0.9</v>
      </c>
      <c r="AC136" s="2">
        <v>791.1</v>
      </c>
      <c r="AD136" s="3">
        <v>0</v>
      </c>
      <c r="AE136" s="2">
        <v>0</v>
      </c>
      <c r="AF136" s="2">
        <v>791.1</v>
      </c>
      <c r="AK136" s="4">
        <v>19515560</v>
      </c>
      <c r="AL136" t="s">
        <v>52</v>
      </c>
    </row>
    <row r="137" spans="1:38" x14ac:dyDescent="0.25">
      <c r="A137" s="1">
        <v>45877</v>
      </c>
      <c r="B137" s="1">
        <v>45873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>
        <v>2030034363</v>
      </c>
      <c r="J137" t="s">
        <v>124</v>
      </c>
      <c r="M137" t="s">
        <v>64</v>
      </c>
      <c r="O137" t="s">
        <v>93</v>
      </c>
      <c r="P137" t="s">
        <v>94</v>
      </c>
      <c r="Q137" t="s">
        <v>48</v>
      </c>
      <c r="R137" t="s">
        <v>53</v>
      </c>
      <c r="S137" s="1">
        <v>45870</v>
      </c>
      <c r="U137" t="s">
        <v>50</v>
      </c>
      <c r="X137" t="s">
        <v>51</v>
      </c>
      <c r="Y137" s="2">
        <v>152.25</v>
      </c>
      <c r="Z137" s="2">
        <v>152.25</v>
      </c>
      <c r="AA137">
        <v>6</v>
      </c>
      <c r="AB137" s="3">
        <v>0.7</v>
      </c>
      <c r="AC137" s="2">
        <v>639.45000000000005</v>
      </c>
      <c r="AD137" s="3">
        <v>0</v>
      </c>
      <c r="AE137" s="2">
        <v>0</v>
      </c>
      <c r="AF137" s="2">
        <v>639.45000000000005</v>
      </c>
      <c r="AK137" s="4">
        <v>19501740</v>
      </c>
      <c r="AL137" t="s">
        <v>52</v>
      </c>
    </row>
    <row r="138" spans="1:38" x14ac:dyDescent="0.25">
      <c r="A138" s="1">
        <v>45877</v>
      </c>
      <c r="B138" s="1">
        <v>45873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>
        <v>2030122970</v>
      </c>
      <c r="J138" t="s">
        <v>142</v>
      </c>
      <c r="M138" t="s">
        <v>92</v>
      </c>
      <c r="O138" t="s">
        <v>93</v>
      </c>
      <c r="P138" t="s">
        <v>94</v>
      </c>
      <c r="Q138" t="s">
        <v>48</v>
      </c>
      <c r="R138" t="s">
        <v>117</v>
      </c>
      <c r="S138" s="1">
        <v>45870</v>
      </c>
      <c r="U138" t="s">
        <v>50</v>
      </c>
      <c r="X138" t="s">
        <v>51</v>
      </c>
      <c r="Y138" s="2">
        <v>102.38</v>
      </c>
      <c r="Z138" s="2">
        <v>102.38</v>
      </c>
      <c r="AA138">
        <v>6</v>
      </c>
      <c r="AB138" s="3">
        <v>0.9</v>
      </c>
      <c r="AC138" s="2">
        <v>552.85</v>
      </c>
      <c r="AD138" s="3">
        <v>0</v>
      </c>
      <c r="AE138" s="2">
        <v>0</v>
      </c>
      <c r="AF138" s="2">
        <v>552.85</v>
      </c>
      <c r="AK138" s="4">
        <v>19535740</v>
      </c>
      <c r="AL138" t="s">
        <v>52</v>
      </c>
    </row>
    <row r="139" spans="1:38" x14ac:dyDescent="0.25">
      <c r="A139" s="1">
        <v>45877</v>
      </c>
      <c r="B139" s="1">
        <v>45873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>
        <v>2030131760</v>
      </c>
      <c r="J139" t="s">
        <v>147</v>
      </c>
      <c r="M139" t="s">
        <v>148</v>
      </c>
      <c r="O139" t="s">
        <v>93</v>
      </c>
      <c r="P139" t="s">
        <v>94</v>
      </c>
      <c r="Q139" t="s">
        <v>48</v>
      </c>
      <c r="R139" t="s">
        <v>53</v>
      </c>
      <c r="S139" s="1">
        <v>45870</v>
      </c>
      <c r="U139" t="s">
        <v>50</v>
      </c>
      <c r="X139" t="s">
        <v>51</v>
      </c>
      <c r="Y139" s="2">
        <v>183.3</v>
      </c>
      <c r="Z139" s="2">
        <v>183.3</v>
      </c>
      <c r="AA139">
        <v>6</v>
      </c>
      <c r="AB139" s="3">
        <v>0.7</v>
      </c>
      <c r="AC139" s="2">
        <v>769.86</v>
      </c>
      <c r="AD139" s="3">
        <v>0</v>
      </c>
      <c r="AE139" s="2">
        <v>0</v>
      </c>
      <c r="AF139" s="2">
        <v>769.86</v>
      </c>
      <c r="AK139" s="4">
        <v>19501950</v>
      </c>
      <c r="AL139" t="s">
        <v>52</v>
      </c>
    </row>
    <row r="140" spans="1:38" x14ac:dyDescent="0.25">
      <c r="A140" s="1">
        <v>45877</v>
      </c>
      <c r="B140" s="1">
        <v>45873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>
        <v>2030152138</v>
      </c>
      <c r="J140" t="s">
        <v>156</v>
      </c>
      <c r="M140" t="s">
        <v>148</v>
      </c>
      <c r="O140" t="s">
        <v>93</v>
      </c>
      <c r="P140" t="s">
        <v>94</v>
      </c>
      <c r="Q140" t="s">
        <v>48</v>
      </c>
      <c r="R140" t="s">
        <v>53</v>
      </c>
      <c r="S140" s="1">
        <v>45870</v>
      </c>
      <c r="U140" t="s">
        <v>50</v>
      </c>
      <c r="X140" t="s">
        <v>51</v>
      </c>
      <c r="Y140" s="2">
        <v>183.3</v>
      </c>
      <c r="Z140" s="2">
        <v>183.3</v>
      </c>
      <c r="AA140">
        <v>6</v>
      </c>
      <c r="AB140" s="3">
        <v>0.7</v>
      </c>
      <c r="AC140" s="2">
        <v>769.86</v>
      </c>
      <c r="AD140" s="3">
        <v>0</v>
      </c>
      <c r="AE140" s="2">
        <v>0</v>
      </c>
      <c r="AF140" s="2">
        <v>769.86</v>
      </c>
      <c r="AK140" s="4">
        <v>19501980</v>
      </c>
      <c r="AL140" t="s">
        <v>52</v>
      </c>
    </row>
    <row r="141" spans="1:38" x14ac:dyDescent="0.25">
      <c r="A141" s="1">
        <v>45877</v>
      </c>
      <c r="B141" s="1">
        <v>45873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>
        <v>2030231315</v>
      </c>
      <c r="J141" t="s">
        <v>236</v>
      </c>
      <c r="M141" t="s">
        <v>237</v>
      </c>
      <c r="O141" t="s">
        <v>93</v>
      </c>
      <c r="P141" t="s">
        <v>94</v>
      </c>
      <c r="Q141" t="s">
        <v>48</v>
      </c>
      <c r="R141" t="s">
        <v>56</v>
      </c>
      <c r="S141" s="1">
        <v>45870</v>
      </c>
      <c r="U141" t="s">
        <v>50</v>
      </c>
      <c r="X141" t="s">
        <v>51</v>
      </c>
      <c r="Y141" s="2">
        <v>165.37</v>
      </c>
      <c r="Z141" s="2">
        <v>165.37</v>
      </c>
      <c r="AA141">
        <v>6</v>
      </c>
      <c r="AB141" s="3">
        <v>0.9</v>
      </c>
      <c r="AC141" s="2">
        <v>893</v>
      </c>
      <c r="AD141" s="3">
        <v>0</v>
      </c>
      <c r="AE141" s="2">
        <v>0</v>
      </c>
      <c r="AF141" s="2">
        <v>893</v>
      </c>
      <c r="AK141" s="4">
        <v>19515940</v>
      </c>
      <c r="AL141" t="s">
        <v>52</v>
      </c>
    </row>
    <row r="142" spans="1:38" x14ac:dyDescent="0.25">
      <c r="A142" s="1">
        <v>45877</v>
      </c>
      <c r="B142" s="1">
        <v>45873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>
        <v>2030231316</v>
      </c>
      <c r="J142" t="s">
        <v>236</v>
      </c>
      <c r="M142" t="s">
        <v>237</v>
      </c>
      <c r="O142" t="s">
        <v>93</v>
      </c>
      <c r="P142" t="s">
        <v>94</v>
      </c>
      <c r="Q142" t="s">
        <v>48</v>
      </c>
      <c r="R142" t="s">
        <v>86</v>
      </c>
      <c r="S142" s="1">
        <v>45870</v>
      </c>
      <c r="U142" t="s">
        <v>50</v>
      </c>
      <c r="X142" t="s">
        <v>51</v>
      </c>
      <c r="Y142" s="2">
        <v>50.63</v>
      </c>
      <c r="Z142" s="2">
        <v>50.63</v>
      </c>
      <c r="AA142">
        <v>6</v>
      </c>
      <c r="AB142" s="3">
        <v>0.375</v>
      </c>
      <c r="AC142" s="2">
        <v>113.92</v>
      </c>
      <c r="AD142" s="3">
        <v>0</v>
      </c>
      <c r="AE142" s="2">
        <v>0</v>
      </c>
      <c r="AF142" s="2">
        <v>113.92</v>
      </c>
      <c r="AK142" s="4">
        <v>19530960</v>
      </c>
      <c r="AL142" t="s">
        <v>52</v>
      </c>
    </row>
    <row r="143" spans="1:38" x14ac:dyDescent="0.25">
      <c r="A143" s="1">
        <v>45877</v>
      </c>
      <c r="B143" s="1">
        <v>45873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>
        <v>2030232070</v>
      </c>
      <c r="J143" t="s">
        <v>239</v>
      </c>
      <c r="M143" t="s">
        <v>133</v>
      </c>
      <c r="O143" t="s">
        <v>93</v>
      </c>
      <c r="P143" t="s">
        <v>94</v>
      </c>
      <c r="Q143" t="s">
        <v>48</v>
      </c>
      <c r="R143" t="s">
        <v>56</v>
      </c>
      <c r="S143" s="1">
        <v>45870</v>
      </c>
      <c r="U143" t="s">
        <v>50</v>
      </c>
      <c r="X143" t="s">
        <v>51</v>
      </c>
      <c r="Y143" s="2">
        <v>260.01</v>
      </c>
      <c r="Z143" s="2">
        <v>260.01</v>
      </c>
      <c r="AA143">
        <v>6</v>
      </c>
      <c r="AB143" s="3">
        <v>0.9</v>
      </c>
      <c r="AC143" s="2">
        <v>1404.05</v>
      </c>
      <c r="AD143" s="3">
        <v>0</v>
      </c>
      <c r="AE143" s="2">
        <v>0</v>
      </c>
      <c r="AF143" s="2">
        <v>1404.05</v>
      </c>
      <c r="AK143" s="4">
        <v>19515950</v>
      </c>
      <c r="AL143" t="s">
        <v>52</v>
      </c>
    </row>
    <row r="144" spans="1:38" x14ac:dyDescent="0.25">
      <c r="A144" s="1">
        <v>45877</v>
      </c>
      <c r="B144" s="1">
        <v>45873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>
        <v>2030240510</v>
      </c>
      <c r="J144" t="s">
        <v>244</v>
      </c>
      <c r="M144" t="s">
        <v>137</v>
      </c>
      <c r="O144" t="s">
        <v>93</v>
      </c>
      <c r="P144" t="s">
        <v>94</v>
      </c>
      <c r="Q144" t="s">
        <v>48</v>
      </c>
      <c r="R144" t="s">
        <v>53</v>
      </c>
      <c r="S144" s="1">
        <v>45870</v>
      </c>
      <c r="U144" t="s">
        <v>50</v>
      </c>
      <c r="X144" t="s">
        <v>51</v>
      </c>
      <c r="Y144" s="2">
        <v>32.979999999999997</v>
      </c>
      <c r="Z144" s="2">
        <v>32.979999999999997</v>
      </c>
      <c r="AA144">
        <v>6</v>
      </c>
      <c r="AB144" s="3">
        <v>0.7</v>
      </c>
      <c r="AC144" s="2">
        <v>138.52000000000001</v>
      </c>
      <c r="AD144" s="3">
        <v>0</v>
      </c>
      <c r="AE144" s="2">
        <v>0</v>
      </c>
      <c r="AF144" s="2">
        <v>138.52000000000001</v>
      </c>
      <c r="AK144" s="4">
        <v>19502780</v>
      </c>
      <c r="AL144" t="s">
        <v>52</v>
      </c>
    </row>
    <row r="145" spans="1:38" x14ac:dyDescent="0.25">
      <c r="A145" s="1">
        <v>45877</v>
      </c>
      <c r="B145" s="1">
        <v>45873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>
        <v>2030240511</v>
      </c>
      <c r="J145" t="s">
        <v>244</v>
      </c>
      <c r="M145" t="s">
        <v>137</v>
      </c>
      <c r="O145" t="s">
        <v>93</v>
      </c>
      <c r="P145" t="s">
        <v>94</v>
      </c>
      <c r="Q145" t="s">
        <v>48</v>
      </c>
      <c r="R145" t="s">
        <v>81</v>
      </c>
      <c r="S145" s="1">
        <v>45870</v>
      </c>
      <c r="U145" t="s">
        <v>50</v>
      </c>
      <c r="X145" t="s">
        <v>51</v>
      </c>
      <c r="Y145" s="2">
        <v>182.28</v>
      </c>
      <c r="Z145" s="2">
        <v>182.28</v>
      </c>
      <c r="AA145">
        <v>6</v>
      </c>
      <c r="AB145" s="3">
        <v>0.75</v>
      </c>
      <c r="AC145" s="2">
        <v>820.26</v>
      </c>
      <c r="AD145" s="3">
        <v>0</v>
      </c>
      <c r="AE145" s="2">
        <v>0</v>
      </c>
      <c r="AF145" s="2">
        <v>820.26</v>
      </c>
      <c r="AK145" s="4">
        <v>19515960</v>
      </c>
      <c r="AL145" t="s">
        <v>52</v>
      </c>
    </row>
    <row r="146" spans="1:38" x14ac:dyDescent="0.25">
      <c r="A146" s="1">
        <v>45877</v>
      </c>
      <c r="B146" s="1">
        <v>45873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>
        <v>2030240512</v>
      </c>
      <c r="J146" t="s">
        <v>244</v>
      </c>
      <c r="M146" t="s">
        <v>137</v>
      </c>
      <c r="O146" t="s">
        <v>93</v>
      </c>
      <c r="P146" t="s">
        <v>94</v>
      </c>
      <c r="Q146" t="s">
        <v>48</v>
      </c>
      <c r="R146" t="s">
        <v>117</v>
      </c>
      <c r="S146" s="1">
        <v>45870</v>
      </c>
      <c r="U146" t="s">
        <v>50</v>
      </c>
      <c r="X146" t="s">
        <v>51</v>
      </c>
      <c r="Y146" s="2">
        <v>27.81</v>
      </c>
      <c r="Z146" s="2">
        <v>27.81</v>
      </c>
      <c r="AA146">
        <v>6</v>
      </c>
      <c r="AB146" s="3">
        <v>0.9</v>
      </c>
      <c r="AC146" s="2">
        <v>150.16999999999999</v>
      </c>
      <c r="AD146" s="3">
        <v>0</v>
      </c>
      <c r="AE146" s="2">
        <v>0</v>
      </c>
      <c r="AF146" s="2">
        <v>150.16999999999999</v>
      </c>
      <c r="AK146" s="4">
        <v>19535870</v>
      </c>
      <c r="AL146" t="s">
        <v>52</v>
      </c>
    </row>
    <row r="147" spans="1:38" x14ac:dyDescent="0.25">
      <c r="A147" s="1">
        <v>45877</v>
      </c>
      <c r="B147" s="1">
        <v>45873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>
        <v>2030251974</v>
      </c>
      <c r="J147" t="s">
        <v>267</v>
      </c>
      <c r="M147" t="s">
        <v>268</v>
      </c>
      <c r="O147" t="s">
        <v>93</v>
      </c>
      <c r="P147" t="s">
        <v>94</v>
      </c>
      <c r="Q147" t="s">
        <v>48</v>
      </c>
      <c r="R147" t="s">
        <v>53</v>
      </c>
      <c r="S147" s="1">
        <v>45870</v>
      </c>
      <c r="U147" t="s">
        <v>50</v>
      </c>
      <c r="X147" t="s">
        <v>51</v>
      </c>
      <c r="Y147" s="2">
        <v>9.98</v>
      </c>
      <c r="Z147" s="2">
        <v>9.98</v>
      </c>
      <c r="AA147">
        <v>6</v>
      </c>
      <c r="AB147" s="3">
        <v>0.7</v>
      </c>
      <c r="AC147" s="2">
        <v>41.92</v>
      </c>
      <c r="AD147" s="3">
        <v>0</v>
      </c>
      <c r="AE147" s="2">
        <v>0</v>
      </c>
      <c r="AF147" s="2">
        <v>41.92</v>
      </c>
      <c r="AK147" s="4">
        <v>19502940</v>
      </c>
      <c r="AL147" t="s">
        <v>52</v>
      </c>
    </row>
    <row r="148" spans="1:38" x14ac:dyDescent="0.25">
      <c r="A148" s="1">
        <v>45877</v>
      </c>
      <c r="B148" s="1">
        <v>45873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>
        <v>2030251975</v>
      </c>
      <c r="J148" t="s">
        <v>267</v>
      </c>
      <c r="M148" t="s">
        <v>268</v>
      </c>
      <c r="O148" t="s">
        <v>93</v>
      </c>
      <c r="P148" t="s">
        <v>94</v>
      </c>
      <c r="Q148" t="s">
        <v>48</v>
      </c>
      <c r="R148" t="s">
        <v>86</v>
      </c>
      <c r="S148" s="1">
        <v>45870</v>
      </c>
      <c r="U148" t="s">
        <v>50</v>
      </c>
      <c r="X148" t="s">
        <v>51</v>
      </c>
      <c r="Y148" s="2">
        <v>22.84</v>
      </c>
      <c r="Z148" s="2">
        <v>22.84</v>
      </c>
      <c r="AA148">
        <v>6</v>
      </c>
      <c r="AB148" s="3">
        <v>0.375</v>
      </c>
      <c r="AC148" s="2">
        <v>51.39</v>
      </c>
      <c r="AD148" s="3">
        <v>0</v>
      </c>
      <c r="AE148" s="2">
        <v>0</v>
      </c>
      <c r="AF148" s="2">
        <v>51.39</v>
      </c>
      <c r="AK148" s="4">
        <v>19531180</v>
      </c>
      <c r="AL148" t="s">
        <v>52</v>
      </c>
    </row>
    <row r="149" spans="1:38" x14ac:dyDescent="0.25">
      <c r="A149" s="1">
        <v>45877</v>
      </c>
      <c r="B149" s="1">
        <v>45873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>
        <v>2029734153</v>
      </c>
      <c r="J149" t="s">
        <v>59</v>
      </c>
      <c r="M149" t="s">
        <v>60</v>
      </c>
      <c r="O149" t="s">
        <v>61</v>
      </c>
      <c r="P149" t="s">
        <v>62</v>
      </c>
      <c r="Q149" t="s">
        <v>48</v>
      </c>
      <c r="R149" t="s">
        <v>53</v>
      </c>
      <c r="S149" s="1">
        <v>45870</v>
      </c>
      <c r="U149" t="s">
        <v>50</v>
      </c>
      <c r="X149" t="s">
        <v>51</v>
      </c>
      <c r="Y149" s="2">
        <v>115.38</v>
      </c>
      <c r="Z149" s="2">
        <v>115.38</v>
      </c>
      <c r="AA149">
        <v>6</v>
      </c>
      <c r="AB149" s="3">
        <v>0.7</v>
      </c>
      <c r="AC149" s="2">
        <v>484.6</v>
      </c>
      <c r="AD149" s="3">
        <v>0</v>
      </c>
      <c r="AE149" s="2">
        <v>0</v>
      </c>
      <c r="AF149" s="2">
        <v>484.6</v>
      </c>
      <c r="AK149" s="4">
        <v>19501240</v>
      </c>
      <c r="AL149" t="s">
        <v>52</v>
      </c>
    </row>
    <row r="150" spans="1:38" x14ac:dyDescent="0.25">
      <c r="A150" s="1">
        <v>45877</v>
      </c>
      <c r="B150" s="1">
        <v>45873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>
        <v>2030187569</v>
      </c>
      <c r="J150" t="s">
        <v>173</v>
      </c>
      <c r="M150" t="s">
        <v>60</v>
      </c>
      <c r="O150" t="s">
        <v>61</v>
      </c>
      <c r="P150" t="s">
        <v>62</v>
      </c>
      <c r="Q150" t="s">
        <v>48</v>
      </c>
      <c r="R150" t="s">
        <v>53</v>
      </c>
      <c r="S150" s="1">
        <v>45870</v>
      </c>
      <c r="U150" t="s">
        <v>50</v>
      </c>
      <c r="X150" t="s">
        <v>51</v>
      </c>
      <c r="Y150" s="2">
        <v>169.06</v>
      </c>
      <c r="Z150" s="2">
        <v>169.06</v>
      </c>
      <c r="AA150">
        <v>6</v>
      </c>
      <c r="AB150" s="3">
        <v>0.7</v>
      </c>
      <c r="AC150" s="2">
        <v>710.05</v>
      </c>
      <c r="AD150" s="3">
        <v>0</v>
      </c>
      <c r="AE150" s="2">
        <v>0</v>
      </c>
      <c r="AF150" s="2">
        <v>710.05</v>
      </c>
      <c r="AK150" s="4">
        <v>19502180</v>
      </c>
      <c r="AL150" t="s">
        <v>52</v>
      </c>
    </row>
    <row r="151" spans="1:38" x14ac:dyDescent="0.25">
      <c r="A151" s="1">
        <v>45877</v>
      </c>
      <c r="B151" s="1">
        <v>45873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>
        <v>2030208505</v>
      </c>
      <c r="J151" t="s">
        <v>201</v>
      </c>
      <c r="M151" t="s">
        <v>150</v>
      </c>
      <c r="O151" t="s">
        <v>202</v>
      </c>
      <c r="P151" t="s">
        <v>203</v>
      </c>
      <c r="Q151" t="s">
        <v>48</v>
      </c>
      <c r="R151" t="s">
        <v>56</v>
      </c>
      <c r="S151" s="1">
        <v>45870</v>
      </c>
      <c r="U151" t="s">
        <v>50</v>
      </c>
      <c r="X151" t="s">
        <v>51</v>
      </c>
      <c r="Y151" s="2">
        <v>70.13</v>
      </c>
      <c r="Z151" s="2">
        <v>70.13</v>
      </c>
      <c r="AA151">
        <v>6</v>
      </c>
      <c r="AB151" s="3">
        <v>0.9</v>
      </c>
      <c r="AC151" s="2">
        <v>378.7</v>
      </c>
      <c r="AD151" s="3">
        <v>0</v>
      </c>
      <c r="AE151" s="2">
        <v>0</v>
      </c>
      <c r="AF151" s="2">
        <v>378.7</v>
      </c>
      <c r="AK151" s="4">
        <v>19515820</v>
      </c>
      <c r="AL151" t="s">
        <v>52</v>
      </c>
    </row>
    <row r="152" spans="1:38" x14ac:dyDescent="0.25">
      <c r="A152" s="1">
        <v>45877</v>
      </c>
      <c r="B152" s="1">
        <v>45873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>
        <v>2030184968</v>
      </c>
      <c r="J152" t="s">
        <v>170</v>
      </c>
      <c r="M152" t="s">
        <v>60</v>
      </c>
      <c r="O152" t="s">
        <v>171</v>
      </c>
      <c r="P152" t="s">
        <v>172</v>
      </c>
      <c r="Q152" t="s">
        <v>48</v>
      </c>
      <c r="R152" t="s">
        <v>53</v>
      </c>
      <c r="S152" s="1">
        <v>45867</v>
      </c>
      <c r="U152" t="s">
        <v>50</v>
      </c>
      <c r="X152" t="s">
        <v>51</v>
      </c>
      <c r="Y152" s="2">
        <v>18.45</v>
      </c>
      <c r="Z152" s="2">
        <v>18.45</v>
      </c>
      <c r="AA152">
        <v>6</v>
      </c>
      <c r="AB152" s="3">
        <v>0.7</v>
      </c>
      <c r="AC152" s="2">
        <v>77.489999999999995</v>
      </c>
      <c r="AD152" s="3">
        <v>0</v>
      </c>
      <c r="AE152" s="2">
        <v>0</v>
      </c>
      <c r="AF152" s="2">
        <v>77.489999999999995</v>
      </c>
      <c r="AK152" s="4">
        <v>19502160</v>
      </c>
      <c r="AL152" t="s">
        <v>52</v>
      </c>
    </row>
    <row r="153" spans="1:38" x14ac:dyDescent="0.25">
      <c r="A153" s="1">
        <v>45877</v>
      </c>
      <c r="B153" s="1">
        <v>45873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>
        <v>2030217751</v>
      </c>
      <c r="J153" t="s">
        <v>214</v>
      </c>
      <c r="M153" t="s">
        <v>60</v>
      </c>
      <c r="O153" t="s">
        <v>171</v>
      </c>
      <c r="P153" t="s">
        <v>172</v>
      </c>
      <c r="Q153" t="s">
        <v>48</v>
      </c>
      <c r="R153" t="s">
        <v>53</v>
      </c>
      <c r="S153" s="1">
        <v>45869</v>
      </c>
      <c r="U153" t="s">
        <v>50</v>
      </c>
      <c r="X153" t="s">
        <v>51</v>
      </c>
      <c r="Y153" s="2">
        <v>60.8</v>
      </c>
      <c r="Z153" s="2">
        <v>60.8</v>
      </c>
      <c r="AA153">
        <v>6</v>
      </c>
      <c r="AB153" s="3">
        <v>0.7</v>
      </c>
      <c r="AC153" s="2">
        <v>255.36</v>
      </c>
      <c r="AD153" s="3">
        <v>0</v>
      </c>
      <c r="AE153" s="2">
        <v>0</v>
      </c>
      <c r="AF153" s="2">
        <v>255.36</v>
      </c>
      <c r="AK153" s="4">
        <v>19502530</v>
      </c>
      <c r="AL153" t="s">
        <v>52</v>
      </c>
    </row>
    <row r="154" spans="1:38" x14ac:dyDescent="0.25">
      <c r="A154" s="1">
        <v>45877</v>
      </c>
      <c r="B154" s="1">
        <v>45873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>
        <v>2030275368</v>
      </c>
      <c r="J154" t="s">
        <v>278</v>
      </c>
      <c r="M154" t="s">
        <v>60</v>
      </c>
      <c r="O154" t="s">
        <v>171</v>
      </c>
      <c r="P154" t="s">
        <v>172</v>
      </c>
      <c r="Q154" t="s">
        <v>48</v>
      </c>
      <c r="R154" t="s">
        <v>53</v>
      </c>
      <c r="S154" s="1">
        <v>45871</v>
      </c>
      <c r="U154" t="s">
        <v>50</v>
      </c>
      <c r="X154" t="s">
        <v>51</v>
      </c>
      <c r="Y154" s="2">
        <v>103.18</v>
      </c>
      <c r="Z154" s="2">
        <v>103.18</v>
      </c>
      <c r="AA154">
        <v>6</v>
      </c>
      <c r="AB154" s="3">
        <v>0.7</v>
      </c>
      <c r="AC154" s="2">
        <v>433.36</v>
      </c>
      <c r="AD154" s="3">
        <v>0</v>
      </c>
      <c r="AE154" s="2">
        <v>0</v>
      </c>
      <c r="AF154" s="2">
        <v>433.36</v>
      </c>
      <c r="AK154" s="4">
        <v>19503110</v>
      </c>
      <c r="AL154" t="s">
        <v>52</v>
      </c>
    </row>
    <row r="155" spans="1:38" x14ac:dyDescent="0.25">
      <c r="A155" s="1">
        <v>45877</v>
      </c>
      <c r="B155" s="1">
        <v>45873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>
        <v>2030214513</v>
      </c>
      <c r="J155" t="s">
        <v>207</v>
      </c>
      <c r="M155" t="s">
        <v>60</v>
      </c>
      <c r="O155" t="s">
        <v>208</v>
      </c>
      <c r="P155" t="s">
        <v>209</v>
      </c>
      <c r="Q155" t="s">
        <v>48</v>
      </c>
      <c r="R155" t="s">
        <v>53</v>
      </c>
      <c r="S155" s="1">
        <v>45870</v>
      </c>
      <c r="U155" t="s">
        <v>50</v>
      </c>
      <c r="X155" t="s">
        <v>51</v>
      </c>
      <c r="Y155" s="2">
        <v>109.2</v>
      </c>
      <c r="Z155" s="2">
        <v>109.2</v>
      </c>
      <c r="AA155">
        <v>6</v>
      </c>
      <c r="AB155" s="3">
        <v>0.7</v>
      </c>
      <c r="AC155" s="2">
        <v>458.64</v>
      </c>
      <c r="AD155" s="3">
        <v>0</v>
      </c>
      <c r="AE155" s="2">
        <v>0</v>
      </c>
      <c r="AF155" s="2">
        <v>458.64</v>
      </c>
      <c r="AK155" s="4">
        <v>19502480</v>
      </c>
      <c r="AL155" t="s">
        <v>52</v>
      </c>
    </row>
    <row r="156" spans="1:38" x14ac:dyDescent="0.25">
      <c r="A156" s="1">
        <v>45877</v>
      </c>
      <c r="B156" s="1">
        <v>45873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>
        <v>2030257376</v>
      </c>
      <c r="J156" t="s">
        <v>272</v>
      </c>
      <c r="M156" t="s">
        <v>148</v>
      </c>
      <c r="O156" t="s">
        <v>208</v>
      </c>
      <c r="P156" t="s">
        <v>209</v>
      </c>
      <c r="Q156" t="s">
        <v>48</v>
      </c>
      <c r="R156" t="s">
        <v>86</v>
      </c>
      <c r="S156" s="1">
        <v>45870</v>
      </c>
      <c r="U156" t="s">
        <v>50</v>
      </c>
      <c r="X156" t="s">
        <v>51</v>
      </c>
      <c r="Y156" s="2">
        <v>88.69</v>
      </c>
      <c r="Z156" s="2">
        <v>88.69</v>
      </c>
      <c r="AA156">
        <v>6</v>
      </c>
      <c r="AB156" s="3">
        <v>0.375</v>
      </c>
      <c r="AC156" s="2">
        <v>199.55</v>
      </c>
      <c r="AD156" s="3">
        <v>0</v>
      </c>
      <c r="AE156" s="2">
        <v>0</v>
      </c>
      <c r="AF156" s="2">
        <v>199.55</v>
      </c>
      <c r="AK156" s="4">
        <v>19531260</v>
      </c>
      <c r="AL156" t="s">
        <v>52</v>
      </c>
    </row>
    <row r="157" spans="1:38" x14ac:dyDescent="0.25">
      <c r="A157" s="1">
        <v>45877</v>
      </c>
      <c r="B157" s="1">
        <v>45873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>
        <v>2030257377</v>
      </c>
      <c r="J157" t="s">
        <v>272</v>
      </c>
      <c r="M157" t="s">
        <v>148</v>
      </c>
      <c r="O157" t="s">
        <v>208</v>
      </c>
      <c r="P157" t="s">
        <v>209</v>
      </c>
      <c r="Q157" t="s">
        <v>48</v>
      </c>
      <c r="R157" t="s">
        <v>53</v>
      </c>
      <c r="S157" s="1">
        <v>45870</v>
      </c>
      <c r="U157" t="s">
        <v>50</v>
      </c>
      <c r="X157" t="s">
        <v>51</v>
      </c>
      <c r="Y157" s="2">
        <v>122.12</v>
      </c>
      <c r="Z157" s="2">
        <v>122.12</v>
      </c>
      <c r="AA157">
        <v>6</v>
      </c>
      <c r="AB157" s="3">
        <v>0.7</v>
      </c>
      <c r="AC157" s="2">
        <v>512.9</v>
      </c>
      <c r="AD157" s="3">
        <v>0</v>
      </c>
      <c r="AE157" s="2">
        <v>0</v>
      </c>
      <c r="AF157" s="2">
        <v>512.9</v>
      </c>
      <c r="AK157" s="4">
        <v>19503020</v>
      </c>
      <c r="AL157" t="s">
        <v>52</v>
      </c>
    </row>
    <row r="158" spans="1:38" x14ac:dyDescent="0.25">
      <c r="A158" s="1">
        <v>45877</v>
      </c>
      <c r="B158" s="1">
        <v>45873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>
        <v>2030257378</v>
      </c>
      <c r="J158" t="s">
        <v>272</v>
      </c>
      <c r="M158" t="s">
        <v>148</v>
      </c>
      <c r="O158" t="s">
        <v>208</v>
      </c>
      <c r="P158" t="s">
        <v>209</v>
      </c>
      <c r="Q158" t="s">
        <v>48</v>
      </c>
      <c r="R158" t="s">
        <v>49</v>
      </c>
      <c r="S158" s="1">
        <v>45870</v>
      </c>
      <c r="U158" t="s">
        <v>50</v>
      </c>
      <c r="X158" t="s">
        <v>51</v>
      </c>
      <c r="Y158" s="2">
        <v>78.849999999999994</v>
      </c>
      <c r="Z158" s="2">
        <v>78.849999999999994</v>
      </c>
      <c r="AA158">
        <v>6</v>
      </c>
      <c r="AB158" s="3">
        <v>0.75</v>
      </c>
      <c r="AC158" s="2">
        <v>354.83</v>
      </c>
      <c r="AD158" s="3">
        <v>0</v>
      </c>
      <c r="AE158" s="2">
        <v>0</v>
      </c>
      <c r="AF158" s="2">
        <v>354.83</v>
      </c>
      <c r="AK158" s="4">
        <v>19516010</v>
      </c>
      <c r="AL158" t="s">
        <v>52</v>
      </c>
    </row>
    <row r="159" spans="1:38" x14ac:dyDescent="0.25">
      <c r="A159" s="1">
        <v>45877</v>
      </c>
      <c r="B159" s="1">
        <v>45873</v>
      </c>
      <c r="C159" t="s">
        <v>288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>
        <v>2029603239</v>
      </c>
      <c r="J159" t="s">
        <v>298</v>
      </c>
      <c r="M159" t="s">
        <v>92</v>
      </c>
      <c r="O159" t="s">
        <v>208</v>
      </c>
      <c r="P159" t="s">
        <v>209</v>
      </c>
      <c r="Q159" t="s">
        <v>292</v>
      </c>
      <c r="R159" t="s">
        <v>53</v>
      </c>
      <c r="S159" s="1">
        <v>45839</v>
      </c>
      <c r="U159" t="s">
        <v>50</v>
      </c>
      <c r="X159" t="s">
        <v>293</v>
      </c>
      <c r="AF159" s="2">
        <v>107.52</v>
      </c>
      <c r="AG159" s="2">
        <v>17.920000000000002</v>
      </c>
      <c r="AJ159" s="2">
        <v>89.6</v>
      </c>
    </row>
    <row r="160" spans="1:38" x14ac:dyDescent="0.25">
      <c r="A160" s="1">
        <v>45877</v>
      </c>
      <c r="B160" s="1">
        <v>45873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>
        <v>2030138181</v>
      </c>
      <c r="J160" t="s">
        <v>149</v>
      </c>
      <c r="M160" t="s">
        <v>150</v>
      </c>
      <c r="O160" t="s">
        <v>151</v>
      </c>
      <c r="P160" t="s">
        <v>152</v>
      </c>
      <c r="Q160" t="s">
        <v>48</v>
      </c>
      <c r="R160" t="s">
        <v>56</v>
      </c>
      <c r="S160" s="1">
        <v>45870</v>
      </c>
      <c r="U160" t="s">
        <v>50</v>
      </c>
      <c r="X160" t="s">
        <v>51</v>
      </c>
      <c r="Y160" s="2">
        <v>44.67</v>
      </c>
      <c r="Z160" s="2">
        <v>44.67</v>
      </c>
      <c r="AA160">
        <v>6</v>
      </c>
      <c r="AB160" s="3">
        <v>0.9</v>
      </c>
      <c r="AC160" s="2">
        <v>241.22</v>
      </c>
      <c r="AD160" s="3">
        <v>0</v>
      </c>
      <c r="AE160" s="2">
        <v>0</v>
      </c>
      <c r="AF160" s="2">
        <v>241.22</v>
      </c>
      <c r="AK160" s="4">
        <v>19515650</v>
      </c>
      <c r="AL160" t="s">
        <v>52</v>
      </c>
    </row>
    <row r="161" spans="1:38" x14ac:dyDescent="0.25">
      <c r="A161" s="1">
        <v>45877</v>
      </c>
      <c r="B161" s="1">
        <v>45873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>
        <v>2030138182</v>
      </c>
      <c r="J161" t="s">
        <v>149</v>
      </c>
      <c r="M161" t="s">
        <v>150</v>
      </c>
      <c r="O161" t="s">
        <v>151</v>
      </c>
      <c r="P161" t="s">
        <v>152</v>
      </c>
      <c r="Q161" t="s">
        <v>48</v>
      </c>
      <c r="R161" t="s">
        <v>75</v>
      </c>
      <c r="S161" s="1">
        <v>45870</v>
      </c>
      <c r="U161" t="s">
        <v>50</v>
      </c>
      <c r="X161" t="s">
        <v>51</v>
      </c>
      <c r="Y161" s="2">
        <v>21.08</v>
      </c>
      <c r="Z161" s="2">
        <v>21.08</v>
      </c>
      <c r="AA161">
        <v>6</v>
      </c>
      <c r="AB161" s="3">
        <v>0.42</v>
      </c>
      <c r="AC161" s="2">
        <v>53.12</v>
      </c>
      <c r="AD161" s="3">
        <v>0</v>
      </c>
      <c r="AE161" s="2">
        <v>0</v>
      </c>
      <c r="AF161" s="2">
        <v>53.12</v>
      </c>
      <c r="AK161" s="4">
        <v>19530160</v>
      </c>
      <c r="AL161" t="s">
        <v>52</v>
      </c>
    </row>
    <row r="162" spans="1:38" x14ac:dyDescent="0.25">
      <c r="A162" s="1">
        <v>45877</v>
      </c>
      <c r="B162" s="1">
        <v>45873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>
        <v>2030138183</v>
      </c>
      <c r="J162" t="s">
        <v>149</v>
      </c>
      <c r="M162" t="s">
        <v>150</v>
      </c>
      <c r="O162" t="s">
        <v>151</v>
      </c>
      <c r="P162" t="s">
        <v>152</v>
      </c>
      <c r="Q162" t="s">
        <v>48</v>
      </c>
      <c r="R162" t="s">
        <v>90</v>
      </c>
      <c r="S162" s="1">
        <v>45870</v>
      </c>
      <c r="U162" t="s">
        <v>50</v>
      </c>
      <c r="X162" t="s">
        <v>51</v>
      </c>
      <c r="Y162" s="2">
        <v>24.61</v>
      </c>
      <c r="Z162" s="2">
        <v>24.61</v>
      </c>
      <c r="AA162">
        <v>6</v>
      </c>
      <c r="AB162" s="3">
        <v>0.7</v>
      </c>
      <c r="AC162" s="2">
        <v>103.36</v>
      </c>
      <c r="AD162" s="3">
        <v>0</v>
      </c>
      <c r="AE162" s="2">
        <v>0</v>
      </c>
      <c r="AF162" s="2">
        <v>103.36</v>
      </c>
      <c r="AK162" s="4">
        <v>19490150</v>
      </c>
      <c r="AL162" t="s">
        <v>52</v>
      </c>
    </row>
    <row r="163" spans="1:38" x14ac:dyDescent="0.25">
      <c r="A163" s="1">
        <v>45877</v>
      </c>
      <c r="B163" s="1">
        <v>45873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>
        <v>2030175284</v>
      </c>
      <c r="J163" t="s">
        <v>158</v>
      </c>
      <c r="M163" t="s">
        <v>150</v>
      </c>
      <c r="O163" t="s">
        <v>151</v>
      </c>
      <c r="P163" t="s">
        <v>152</v>
      </c>
      <c r="Q163" t="s">
        <v>48</v>
      </c>
      <c r="R163" t="s">
        <v>75</v>
      </c>
      <c r="S163" s="1">
        <v>45870</v>
      </c>
      <c r="U163" t="s">
        <v>50</v>
      </c>
      <c r="X163" t="s">
        <v>51</v>
      </c>
      <c r="Y163" s="2">
        <v>32.81</v>
      </c>
      <c r="Z163" s="2">
        <v>32.81</v>
      </c>
      <c r="AA163">
        <v>6</v>
      </c>
      <c r="AB163" s="3">
        <v>0.42</v>
      </c>
      <c r="AC163" s="2">
        <v>82.68</v>
      </c>
      <c r="AD163" s="3">
        <v>0</v>
      </c>
      <c r="AE163" s="2">
        <v>0</v>
      </c>
      <c r="AF163" s="2">
        <v>82.68</v>
      </c>
      <c r="AK163" s="4">
        <v>19530240</v>
      </c>
      <c r="AL163" t="s">
        <v>52</v>
      </c>
    </row>
    <row r="164" spans="1:38" x14ac:dyDescent="0.25">
      <c r="A164" s="1">
        <v>45877</v>
      </c>
      <c r="B164" s="1">
        <v>45873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>
        <v>2030175285</v>
      </c>
      <c r="J164" t="s">
        <v>158</v>
      </c>
      <c r="M164" t="s">
        <v>150</v>
      </c>
      <c r="O164" t="s">
        <v>151</v>
      </c>
      <c r="P164" t="s">
        <v>152</v>
      </c>
      <c r="Q164" t="s">
        <v>48</v>
      </c>
      <c r="R164" t="s">
        <v>90</v>
      </c>
      <c r="S164" s="1">
        <v>45870</v>
      </c>
      <c r="U164" t="s">
        <v>50</v>
      </c>
      <c r="X164" t="s">
        <v>51</v>
      </c>
      <c r="Y164" s="2">
        <v>24.61</v>
      </c>
      <c r="Z164" s="2">
        <v>24.61</v>
      </c>
      <c r="AA164">
        <v>6</v>
      </c>
      <c r="AB164" s="3">
        <v>0.7</v>
      </c>
      <c r="AC164" s="2">
        <v>103.36</v>
      </c>
      <c r="AD164" s="3">
        <v>0</v>
      </c>
      <c r="AE164" s="2">
        <v>0</v>
      </c>
      <c r="AF164" s="2">
        <v>103.36</v>
      </c>
      <c r="AK164" s="4">
        <v>19490150</v>
      </c>
      <c r="AL164" t="s">
        <v>52</v>
      </c>
    </row>
    <row r="165" spans="1:38" x14ac:dyDescent="0.25">
      <c r="A165" s="1">
        <v>45877</v>
      </c>
      <c r="B165" s="1">
        <v>45873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>
        <v>2030194091</v>
      </c>
      <c r="J165" t="s">
        <v>184</v>
      </c>
      <c r="M165" t="s">
        <v>150</v>
      </c>
      <c r="O165" t="s">
        <v>151</v>
      </c>
      <c r="P165" t="s">
        <v>152</v>
      </c>
      <c r="Q165" t="s">
        <v>48</v>
      </c>
      <c r="R165" t="s">
        <v>90</v>
      </c>
      <c r="S165" s="1">
        <v>45870</v>
      </c>
      <c r="U165" t="s">
        <v>50</v>
      </c>
      <c r="X165" t="s">
        <v>51</v>
      </c>
      <c r="Y165" s="2">
        <v>78.97</v>
      </c>
      <c r="Z165" s="2">
        <v>78.97</v>
      </c>
      <c r="AA165">
        <v>6</v>
      </c>
      <c r="AB165" s="3">
        <v>0.7</v>
      </c>
      <c r="AC165" s="2">
        <v>331.67</v>
      </c>
      <c r="AD165" s="3">
        <v>0</v>
      </c>
      <c r="AE165" s="2">
        <v>0</v>
      </c>
      <c r="AF165" s="2">
        <v>331.67</v>
      </c>
      <c r="AK165" s="4">
        <v>19490160</v>
      </c>
      <c r="AL165" t="s">
        <v>52</v>
      </c>
    </row>
    <row r="166" spans="1:38" x14ac:dyDescent="0.25">
      <c r="A166" s="1">
        <v>45877</v>
      </c>
      <c r="B166" s="1">
        <v>45873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>
        <v>2030194092</v>
      </c>
      <c r="J166" t="s">
        <v>184</v>
      </c>
      <c r="M166" t="s">
        <v>150</v>
      </c>
      <c r="O166" t="s">
        <v>151</v>
      </c>
      <c r="P166" t="s">
        <v>152</v>
      </c>
      <c r="Q166" t="s">
        <v>48</v>
      </c>
      <c r="R166" t="s">
        <v>56</v>
      </c>
      <c r="S166" s="1">
        <v>45870</v>
      </c>
      <c r="U166" t="s">
        <v>50</v>
      </c>
      <c r="X166" t="s">
        <v>51</v>
      </c>
      <c r="Y166" s="2">
        <v>162.37</v>
      </c>
      <c r="Z166" s="2">
        <v>162.37</v>
      </c>
      <c r="AA166">
        <v>6</v>
      </c>
      <c r="AB166" s="3">
        <v>0.9</v>
      </c>
      <c r="AC166" s="2">
        <v>876.8</v>
      </c>
      <c r="AD166" s="3">
        <v>0</v>
      </c>
      <c r="AE166" s="2">
        <v>0</v>
      </c>
      <c r="AF166" s="2">
        <v>876.8</v>
      </c>
      <c r="AK166" s="4">
        <v>19515750</v>
      </c>
      <c r="AL166" t="s">
        <v>52</v>
      </c>
    </row>
    <row r="167" spans="1:38" x14ac:dyDescent="0.25">
      <c r="A167" s="1">
        <v>45877</v>
      </c>
      <c r="B167" s="1">
        <v>45873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>
        <v>2030198367</v>
      </c>
      <c r="J167" t="s">
        <v>191</v>
      </c>
      <c r="M167" t="s">
        <v>150</v>
      </c>
      <c r="O167" t="s">
        <v>151</v>
      </c>
      <c r="P167" t="s">
        <v>152</v>
      </c>
      <c r="Q167" t="s">
        <v>48</v>
      </c>
      <c r="R167" t="s">
        <v>75</v>
      </c>
      <c r="S167" s="1">
        <v>45870</v>
      </c>
      <c r="U167" t="s">
        <v>50</v>
      </c>
      <c r="X167" t="s">
        <v>51</v>
      </c>
      <c r="Y167" s="2">
        <v>33.36</v>
      </c>
      <c r="Z167" s="2">
        <v>33.36</v>
      </c>
      <c r="AA167">
        <v>6</v>
      </c>
      <c r="AB167" s="3">
        <v>0.42</v>
      </c>
      <c r="AC167" s="2">
        <v>84.07</v>
      </c>
      <c r="AD167" s="3">
        <v>0</v>
      </c>
      <c r="AE167" s="2">
        <v>0</v>
      </c>
      <c r="AF167" s="2">
        <v>84.07</v>
      </c>
      <c r="AK167" s="4">
        <v>19530520</v>
      </c>
      <c r="AL167" t="s">
        <v>52</v>
      </c>
    </row>
    <row r="168" spans="1:38" x14ac:dyDescent="0.25">
      <c r="A168" s="1">
        <v>45877</v>
      </c>
      <c r="B168" s="1">
        <v>45873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>
        <v>2030198368</v>
      </c>
      <c r="J168" t="s">
        <v>191</v>
      </c>
      <c r="M168" t="s">
        <v>150</v>
      </c>
      <c r="O168" t="s">
        <v>151</v>
      </c>
      <c r="P168" t="s">
        <v>152</v>
      </c>
      <c r="Q168" t="s">
        <v>48</v>
      </c>
      <c r="R168" t="s">
        <v>56</v>
      </c>
      <c r="S168" s="1">
        <v>45870</v>
      </c>
      <c r="U168" t="s">
        <v>50</v>
      </c>
      <c r="X168" t="s">
        <v>51</v>
      </c>
      <c r="Y168" s="2">
        <v>79.77</v>
      </c>
      <c r="Z168" s="2">
        <v>79.77</v>
      </c>
      <c r="AA168">
        <v>6</v>
      </c>
      <c r="AB168" s="3">
        <v>0.9</v>
      </c>
      <c r="AC168" s="2">
        <v>430.76</v>
      </c>
      <c r="AD168" s="3">
        <v>0</v>
      </c>
      <c r="AE168" s="2">
        <v>0</v>
      </c>
      <c r="AF168" s="2">
        <v>430.76</v>
      </c>
      <c r="AK168" s="4">
        <v>19515780</v>
      </c>
      <c r="AL168" t="s">
        <v>52</v>
      </c>
    </row>
    <row r="169" spans="1:38" x14ac:dyDescent="0.25">
      <c r="A169" s="1">
        <v>45877</v>
      </c>
      <c r="B169" s="1">
        <v>45873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>
        <v>2030198369</v>
      </c>
      <c r="J169" t="s">
        <v>191</v>
      </c>
      <c r="M169" t="s">
        <v>150</v>
      </c>
      <c r="O169" t="s">
        <v>151</v>
      </c>
      <c r="P169" t="s">
        <v>152</v>
      </c>
      <c r="Q169" t="s">
        <v>48</v>
      </c>
      <c r="R169" t="s">
        <v>90</v>
      </c>
      <c r="S169" s="1">
        <v>45870</v>
      </c>
      <c r="U169" t="s">
        <v>50</v>
      </c>
      <c r="X169" t="s">
        <v>51</v>
      </c>
      <c r="Y169" s="2">
        <v>48</v>
      </c>
      <c r="Z169" s="2">
        <v>48</v>
      </c>
      <c r="AA169">
        <v>6</v>
      </c>
      <c r="AB169" s="3">
        <v>0.7</v>
      </c>
      <c r="AC169" s="2">
        <v>201.6</v>
      </c>
      <c r="AD169" s="3">
        <v>0</v>
      </c>
      <c r="AE169" s="2">
        <v>0</v>
      </c>
      <c r="AF169" s="2">
        <v>201.6</v>
      </c>
      <c r="AK169" s="4">
        <v>19490160</v>
      </c>
      <c r="AL169" t="s">
        <v>52</v>
      </c>
    </row>
    <row r="170" spans="1:38" x14ac:dyDescent="0.25">
      <c r="A170" s="1">
        <v>45877</v>
      </c>
      <c r="B170" s="1">
        <v>45873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>
        <v>2030215068</v>
      </c>
      <c r="J170" t="s">
        <v>210</v>
      </c>
      <c r="M170" t="s">
        <v>150</v>
      </c>
      <c r="O170" t="s">
        <v>151</v>
      </c>
      <c r="P170" t="s">
        <v>152</v>
      </c>
      <c r="Q170" t="s">
        <v>48</v>
      </c>
      <c r="R170" t="s">
        <v>56</v>
      </c>
      <c r="S170" s="1">
        <v>45870</v>
      </c>
      <c r="U170" t="s">
        <v>50</v>
      </c>
      <c r="X170" t="s">
        <v>51</v>
      </c>
      <c r="Y170" s="2">
        <v>169.32</v>
      </c>
      <c r="Z170" s="2">
        <v>169.32</v>
      </c>
      <c r="AA170">
        <v>6</v>
      </c>
      <c r="AB170" s="3">
        <v>0.9</v>
      </c>
      <c r="AC170" s="2">
        <v>914.33</v>
      </c>
      <c r="AD170" s="3">
        <v>0</v>
      </c>
      <c r="AE170" s="2">
        <v>0</v>
      </c>
      <c r="AF170" s="2">
        <v>914.33</v>
      </c>
      <c r="AK170" s="4">
        <v>19515840</v>
      </c>
      <c r="AL170" t="s">
        <v>52</v>
      </c>
    </row>
    <row r="171" spans="1:38" x14ac:dyDescent="0.25">
      <c r="A171" s="1">
        <v>45877</v>
      </c>
      <c r="B171" s="1">
        <v>45873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>
        <v>2030215069</v>
      </c>
      <c r="J171" t="s">
        <v>210</v>
      </c>
      <c r="M171" t="s">
        <v>150</v>
      </c>
      <c r="O171" t="s">
        <v>151</v>
      </c>
      <c r="P171" t="s">
        <v>152</v>
      </c>
      <c r="Q171" t="s">
        <v>48</v>
      </c>
      <c r="R171" t="s">
        <v>90</v>
      </c>
      <c r="S171" s="1">
        <v>45870</v>
      </c>
      <c r="U171" t="s">
        <v>50</v>
      </c>
      <c r="X171" t="s">
        <v>51</v>
      </c>
      <c r="Y171" s="2">
        <v>24.61</v>
      </c>
      <c r="Z171" s="2">
        <v>24.61</v>
      </c>
      <c r="AA171">
        <v>6</v>
      </c>
      <c r="AB171" s="3">
        <v>0.7</v>
      </c>
      <c r="AC171" s="2">
        <v>103.36</v>
      </c>
      <c r="AD171" s="3">
        <v>0</v>
      </c>
      <c r="AE171" s="2">
        <v>0</v>
      </c>
      <c r="AF171" s="2">
        <v>103.36</v>
      </c>
      <c r="AK171" s="4">
        <v>19490170</v>
      </c>
      <c r="AL171" t="s">
        <v>52</v>
      </c>
    </row>
    <row r="172" spans="1:38" x14ac:dyDescent="0.25">
      <c r="A172" s="1">
        <v>45877</v>
      </c>
      <c r="B172" s="1">
        <v>45873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>
        <v>2030215070</v>
      </c>
      <c r="J172" t="s">
        <v>210</v>
      </c>
      <c r="M172" t="s">
        <v>150</v>
      </c>
      <c r="O172" t="s">
        <v>151</v>
      </c>
      <c r="P172" t="s">
        <v>152</v>
      </c>
      <c r="Q172" t="s">
        <v>48</v>
      </c>
      <c r="R172" t="s">
        <v>75</v>
      </c>
      <c r="S172" s="1">
        <v>45870</v>
      </c>
      <c r="U172" t="s">
        <v>50</v>
      </c>
      <c r="X172" t="s">
        <v>51</v>
      </c>
      <c r="Y172" s="2">
        <v>38.85</v>
      </c>
      <c r="Z172" s="2">
        <v>38.85</v>
      </c>
      <c r="AA172">
        <v>6</v>
      </c>
      <c r="AB172" s="3">
        <v>0.42</v>
      </c>
      <c r="AC172" s="2">
        <v>97.9</v>
      </c>
      <c r="AD172" s="3">
        <v>0</v>
      </c>
      <c r="AE172" s="2">
        <v>0</v>
      </c>
      <c r="AF172" s="2">
        <v>97.9</v>
      </c>
      <c r="AK172" s="4">
        <v>19530710</v>
      </c>
      <c r="AL172" t="s">
        <v>52</v>
      </c>
    </row>
    <row r="173" spans="1:38" x14ac:dyDescent="0.25">
      <c r="A173" s="1">
        <v>45877</v>
      </c>
      <c r="B173" s="1">
        <v>45873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>
        <v>2030259634</v>
      </c>
      <c r="J173" t="s">
        <v>273</v>
      </c>
      <c r="M173" t="s">
        <v>150</v>
      </c>
      <c r="O173" t="s">
        <v>151</v>
      </c>
      <c r="P173" t="s">
        <v>152</v>
      </c>
      <c r="Q173" t="s">
        <v>48</v>
      </c>
      <c r="R173" t="s">
        <v>56</v>
      </c>
      <c r="S173" s="1">
        <v>45871</v>
      </c>
      <c r="U173" t="s">
        <v>50</v>
      </c>
      <c r="X173" t="s">
        <v>51</v>
      </c>
      <c r="Y173" s="2">
        <v>129.13999999999999</v>
      </c>
      <c r="Z173" s="2">
        <v>129.13999999999999</v>
      </c>
      <c r="AA173">
        <v>6</v>
      </c>
      <c r="AB173" s="3">
        <v>0.9</v>
      </c>
      <c r="AC173" s="2">
        <v>697.36</v>
      </c>
      <c r="AD173" s="3">
        <v>0</v>
      </c>
      <c r="AE173" s="2">
        <v>0</v>
      </c>
      <c r="AF173" s="2">
        <v>697.36</v>
      </c>
      <c r="AK173" s="4">
        <v>19516020</v>
      </c>
      <c r="AL173" t="s">
        <v>52</v>
      </c>
    </row>
    <row r="174" spans="1:38" x14ac:dyDescent="0.25">
      <c r="A174" s="1">
        <v>45877</v>
      </c>
      <c r="B174" s="1">
        <v>45873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>
        <v>2030259635</v>
      </c>
      <c r="J174" t="s">
        <v>273</v>
      </c>
      <c r="M174" t="s">
        <v>150</v>
      </c>
      <c r="O174" t="s">
        <v>151</v>
      </c>
      <c r="P174" t="s">
        <v>152</v>
      </c>
      <c r="Q174" t="s">
        <v>48</v>
      </c>
      <c r="R174" t="s">
        <v>90</v>
      </c>
      <c r="S174" s="1">
        <v>45871</v>
      </c>
      <c r="U174" t="s">
        <v>50</v>
      </c>
      <c r="X174" t="s">
        <v>51</v>
      </c>
      <c r="Y174" s="2">
        <v>24.61</v>
      </c>
      <c r="Z174" s="2">
        <v>24.61</v>
      </c>
      <c r="AA174">
        <v>6</v>
      </c>
      <c r="AB174" s="3">
        <v>0.7</v>
      </c>
      <c r="AC174" s="2">
        <v>103.36</v>
      </c>
      <c r="AD174" s="3">
        <v>0</v>
      </c>
      <c r="AE174" s="2">
        <v>0</v>
      </c>
      <c r="AF174" s="2">
        <v>103.36</v>
      </c>
      <c r="AK174" s="4">
        <v>19490190</v>
      </c>
      <c r="AL174" t="s">
        <v>52</v>
      </c>
    </row>
    <row r="175" spans="1:38" x14ac:dyDescent="0.25">
      <c r="A175" s="1">
        <v>45877</v>
      </c>
      <c r="B175" s="1">
        <v>45873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>
        <v>2030261121</v>
      </c>
      <c r="J175" t="s">
        <v>275</v>
      </c>
      <c r="M175" t="s">
        <v>150</v>
      </c>
      <c r="O175" t="s">
        <v>151</v>
      </c>
      <c r="P175" t="s">
        <v>152</v>
      </c>
      <c r="Q175" t="s">
        <v>48</v>
      </c>
      <c r="R175" t="s">
        <v>56</v>
      </c>
      <c r="S175" s="1">
        <v>45871</v>
      </c>
      <c r="U175" t="s">
        <v>50</v>
      </c>
      <c r="X175" t="s">
        <v>51</v>
      </c>
      <c r="Y175" s="2">
        <v>149.66999999999999</v>
      </c>
      <c r="Z175" s="2">
        <v>149.66999999999999</v>
      </c>
      <c r="AA175">
        <v>6</v>
      </c>
      <c r="AB175" s="3">
        <v>0.9</v>
      </c>
      <c r="AC175" s="2">
        <v>808.22</v>
      </c>
      <c r="AD175" s="3">
        <v>0</v>
      </c>
      <c r="AE175" s="2">
        <v>0</v>
      </c>
      <c r="AF175" s="2">
        <v>808.22</v>
      </c>
      <c r="AK175" s="4">
        <v>19516020</v>
      </c>
      <c r="AL175" t="s">
        <v>52</v>
      </c>
    </row>
    <row r="176" spans="1:38" x14ac:dyDescent="0.25">
      <c r="A176" s="1">
        <v>45877</v>
      </c>
      <c r="B176" s="1">
        <v>45873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>
        <v>2030261122</v>
      </c>
      <c r="J176" t="s">
        <v>275</v>
      </c>
      <c r="M176" t="s">
        <v>150</v>
      </c>
      <c r="O176" t="s">
        <v>151</v>
      </c>
      <c r="P176" t="s">
        <v>152</v>
      </c>
      <c r="Q176" t="s">
        <v>48</v>
      </c>
      <c r="R176" t="s">
        <v>75</v>
      </c>
      <c r="S176" s="1">
        <v>45871</v>
      </c>
      <c r="U176" t="s">
        <v>50</v>
      </c>
      <c r="X176" t="s">
        <v>51</v>
      </c>
      <c r="Y176" s="2">
        <v>38.85</v>
      </c>
      <c r="Z176" s="2">
        <v>38.85</v>
      </c>
      <c r="AA176">
        <v>6</v>
      </c>
      <c r="AB176" s="3">
        <v>0.42</v>
      </c>
      <c r="AC176" s="2">
        <v>97.9</v>
      </c>
      <c r="AD176" s="3">
        <v>0</v>
      </c>
      <c r="AE176" s="2">
        <v>0</v>
      </c>
      <c r="AF176" s="2">
        <v>97.9</v>
      </c>
      <c r="AK176" s="4">
        <v>19531280</v>
      </c>
      <c r="AL176" t="s">
        <v>52</v>
      </c>
    </row>
    <row r="177" spans="1:38" x14ac:dyDescent="0.25">
      <c r="A177" s="1">
        <v>45877</v>
      </c>
      <c r="B177" s="1">
        <v>45873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>
        <v>2030261123</v>
      </c>
      <c r="J177" t="s">
        <v>275</v>
      </c>
      <c r="M177" t="s">
        <v>150</v>
      </c>
      <c r="O177" t="s">
        <v>151</v>
      </c>
      <c r="P177" t="s">
        <v>152</v>
      </c>
      <c r="Q177" t="s">
        <v>48</v>
      </c>
      <c r="R177" t="s">
        <v>90</v>
      </c>
      <c r="S177" s="1">
        <v>45871</v>
      </c>
      <c r="U177" t="s">
        <v>50</v>
      </c>
      <c r="X177" t="s">
        <v>51</v>
      </c>
      <c r="Y177" s="2">
        <v>24.61</v>
      </c>
      <c r="Z177" s="2">
        <v>24.61</v>
      </c>
      <c r="AA177">
        <v>6</v>
      </c>
      <c r="AB177" s="3">
        <v>0.7</v>
      </c>
      <c r="AC177" s="2">
        <v>103.36</v>
      </c>
      <c r="AD177" s="3">
        <v>0</v>
      </c>
      <c r="AE177" s="2">
        <v>0</v>
      </c>
      <c r="AF177" s="2">
        <v>103.36</v>
      </c>
      <c r="AK177" s="4">
        <v>19490190</v>
      </c>
      <c r="AL177" t="s">
        <v>52</v>
      </c>
    </row>
    <row r="178" spans="1:38" x14ac:dyDescent="0.25">
      <c r="A178" s="1">
        <v>45877</v>
      </c>
      <c r="B178" s="1">
        <v>45873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>
        <v>2029684178</v>
      </c>
      <c r="J178" t="s">
        <v>44</v>
      </c>
      <c r="M178" t="s">
        <v>45</v>
      </c>
      <c r="O178" t="s">
        <v>46</v>
      </c>
      <c r="P178" t="s">
        <v>47</v>
      </c>
      <c r="Q178" t="s">
        <v>48</v>
      </c>
      <c r="R178" t="s">
        <v>49</v>
      </c>
      <c r="S178" s="1">
        <v>45870</v>
      </c>
      <c r="U178" t="s">
        <v>50</v>
      </c>
      <c r="X178" t="s">
        <v>51</v>
      </c>
      <c r="Y178" s="2">
        <v>89.02</v>
      </c>
      <c r="Z178" s="2">
        <v>89.02</v>
      </c>
      <c r="AA178">
        <v>6</v>
      </c>
      <c r="AB178" s="3">
        <v>0.75</v>
      </c>
      <c r="AC178" s="2">
        <v>400.59</v>
      </c>
      <c r="AD178" s="3">
        <v>0</v>
      </c>
      <c r="AE178" s="2">
        <v>0</v>
      </c>
      <c r="AF178" s="2">
        <v>400.59</v>
      </c>
      <c r="AK178" s="4">
        <v>19515320</v>
      </c>
      <c r="AL178" t="s">
        <v>52</v>
      </c>
    </row>
    <row r="179" spans="1:38" x14ac:dyDescent="0.25">
      <c r="A179" s="1">
        <v>45877</v>
      </c>
      <c r="B179" s="1">
        <v>45873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>
        <v>2029684179</v>
      </c>
      <c r="J179" t="s">
        <v>44</v>
      </c>
      <c r="M179" t="s">
        <v>45</v>
      </c>
      <c r="O179" t="s">
        <v>46</v>
      </c>
      <c r="P179" t="s">
        <v>47</v>
      </c>
      <c r="Q179" t="s">
        <v>48</v>
      </c>
      <c r="R179" t="s">
        <v>53</v>
      </c>
      <c r="S179" s="1">
        <v>45870</v>
      </c>
      <c r="U179" t="s">
        <v>50</v>
      </c>
      <c r="X179" t="s">
        <v>51</v>
      </c>
      <c r="Y179" s="2">
        <v>62.4</v>
      </c>
      <c r="Z179" s="2">
        <v>62.4</v>
      </c>
      <c r="AA179">
        <v>6</v>
      </c>
      <c r="AB179" s="3">
        <v>0.7</v>
      </c>
      <c r="AC179" s="2">
        <v>262.08</v>
      </c>
      <c r="AD179" s="3">
        <v>0</v>
      </c>
      <c r="AE179" s="2">
        <v>0</v>
      </c>
      <c r="AF179" s="2">
        <v>262.08</v>
      </c>
      <c r="AK179" s="4">
        <v>19501080</v>
      </c>
      <c r="AL179" t="s">
        <v>52</v>
      </c>
    </row>
    <row r="180" spans="1:38" x14ac:dyDescent="0.25">
      <c r="A180" s="1">
        <v>45877</v>
      </c>
      <c r="B180" s="1">
        <v>45873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>
        <v>2029686370</v>
      </c>
      <c r="J180" t="s">
        <v>54</v>
      </c>
      <c r="M180" t="s">
        <v>55</v>
      </c>
      <c r="O180" t="s">
        <v>46</v>
      </c>
      <c r="P180" t="s">
        <v>47</v>
      </c>
      <c r="Q180" t="s">
        <v>48</v>
      </c>
      <c r="R180" t="s">
        <v>56</v>
      </c>
      <c r="S180" s="1">
        <v>45870</v>
      </c>
      <c r="U180" t="s">
        <v>50</v>
      </c>
      <c r="X180" t="s">
        <v>51</v>
      </c>
      <c r="Y180" s="2">
        <v>30.09</v>
      </c>
      <c r="Z180" s="2">
        <v>30.09</v>
      </c>
      <c r="AA180">
        <v>6</v>
      </c>
      <c r="AB180" s="3">
        <v>0.9</v>
      </c>
      <c r="AC180" s="2">
        <v>162.49</v>
      </c>
      <c r="AD180" s="3">
        <v>0</v>
      </c>
      <c r="AE180" s="2">
        <v>0</v>
      </c>
      <c r="AF180" s="2">
        <v>162.49</v>
      </c>
      <c r="AK180" s="4">
        <v>19515320</v>
      </c>
      <c r="AL180" t="s">
        <v>52</v>
      </c>
    </row>
    <row r="181" spans="1:38" x14ac:dyDescent="0.25">
      <c r="A181" s="1">
        <v>45877</v>
      </c>
      <c r="B181" s="1">
        <v>45873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>
        <v>2029686371</v>
      </c>
      <c r="J181" t="s">
        <v>54</v>
      </c>
      <c r="M181" t="s">
        <v>55</v>
      </c>
      <c r="O181" t="s">
        <v>46</v>
      </c>
      <c r="P181" t="s">
        <v>47</v>
      </c>
      <c r="Q181" t="s">
        <v>48</v>
      </c>
      <c r="R181" t="s">
        <v>57</v>
      </c>
      <c r="S181" s="1">
        <v>45870</v>
      </c>
      <c r="U181" t="s">
        <v>50</v>
      </c>
      <c r="X181" t="s">
        <v>51</v>
      </c>
      <c r="Y181" s="2">
        <v>26.05</v>
      </c>
      <c r="Z181" s="2">
        <v>26.05</v>
      </c>
      <c r="AA181">
        <v>6</v>
      </c>
      <c r="AB181" s="3">
        <v>0.65</v>
      </c>
      <c r="AC181" s="2">
        <v>101.6</v>
      </c>
      <c r="AD181" s="3">
        <v>0</v>
      </c>
      <c r="AE181" s="2">
        <v>0</v>
      </c>
      <c r="AF181" s="2">
        <v>101.6</v>
      </c>
      <c r="AK181" s="4">
        <v>19515320</v>
      </c>
      <c r="AL181" t="s">
        <v>52</v>
      </c>
    </row>
    <row r="182" spans="1:38" x14ac:dyDescent="0.25">
      <c r="A182" s="1">
        <v>45877</v>
      </c>
      <c r="B182" s="1">
        <v>45873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>
        <v>2029686373</v>
      </c>
      <c r="J182" t="s">
        <v>54</v>
      </c>
      <c r="M182" t="s">
        <v>55</v>
      </c>
      <c r="O182" t="s">
        <v>46</v>
      </c>
      <c r="P182" t="s">
        <v>47</v>
      </c>
      <c r="Q182" t="s">
        <v>48</v>
      </c>
      <c r="R182" t="s">
        <v>53</v>
      </c>
      <c r="S182" s="1">
        <v>45870</v>
      </c>
      <c r="U182" t="s">
        <v>50</v>
      </c>
      <c r="X182" t="s">
        <v>51</v>
      </c>
      <c r="Y182" s="2">
        <v>70.37</v>
      </c>
      <c r="Z182" s="2">
        <v>70.37</v>
      </c>
      <c r="AA182">
        <v>6</v>
      </c>
      <c r="AB182" s="3">
        <v>0.7</v>
      </c>
      <c r="AC182" s="2">
        <v>295.55</v>
      </c>
      <c r="AD182" s="3">
        <v>0</v>
      </c>
      <c r="AE182" s="2">
        <v>0</v>
      </c>
      <c r="AF182" s="2">
        <v>295.55</v>
      </c>
      <c r="AK182" s="4">
        <v>19501090</v>
      </c>
      <c r="AL182" t="s">
        <v>52</v>
      </c>
    </row>
    <row r="183" spans="1:38" x14ac:dyDescent="0.25">
      <c r="A183" s="1">
        <v>45877</v>
      </c>
      <c r="B183" s="1">
        <v>45873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>
        <v>2029686375</v>
      </c>
      <c r="J183" t="s">
        <v>54</v>
      </c>
      <c r="M183" t="s">
        <v>55</v>
      </c>
      <c r="O183" t="s">
        <v>46</v>
      </c>
      <c r="P183" t="s">
        <v>47</v>
      </c>
      <c r="Q183" t="s">
        <v>48</v>
      </c>
      <c r="R183" t="s">
        <v>58</v>
      </c>
      <c r="S183" s="1">
        <v>45870</v>
      </c>
      <c r="U183" t="s">
        <v>50</v>
      </c>
      <c r="X183" t="s">
        <v>51</v>
      </c>
      <c r="Y183" s="2">
        <v>15</v>
      </c>
      <c r="Z183" s="2">
        <v>15</v>
      </c>
      <c r="AA183">
        <v>6</v>
      </c>
      <c r="AB183" s="3">
        <v>0.28999999999999998</v>
      </c>
      <c r="AC183" s="2">
        <v>26.1</v>
      </c>
      <c r="AD183" s="3">
        <v>0</v>
      </c>
      <c r="AE183" s="2">
        <v>0</v>
      </c>
      <c r="AF183" s="2">
        <v>26.1</v>
      </c>
      <c r="AK183" s="4">
        <v>19508730</v>
      </c>
      <c r="AL183" t="s">
        <v>52</v>
      </c>
    </row>
    <row r="184" spans="1:38" x14ac:dyDescent="0.25">
      <c r="A184" s="1">
        <v>45877</v>
      </c>
      <c r="B184" s="1">
        <v>45873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>
        <v>2029743262</v>
      </c>
      <c r="J184" t="s">
        <v>63</v>
      </c>
      <c r="M184" t="s">
        <v>64</v>
      </c>
      <c r="O184" t="s">
        <v>46</v>
      </c>
      <c r="P184" t="s">
        <v>47</v>
      </c>
      <c r="Q184" t="s">
        <v>48</v>
      </c>
      <c r="R184" t="s">
        <v>53</v>
      </c>
      <c r="S184" s="1">
        <v>45870</v>
      </c>
      <c r="U184" t="s">
        <v>50</v>
      </c>
      <c r="X184" t="s">
        <v>51</v>
      </c>
      <c r="Y184" s="2">
        <v>46.72</v>
      </c>
      <c r="Z184" s="2">
        <v>46.72</v>
      </c>
      <c r="AA184">
        <v>6</v>
      </c>
      <c r="AB184" s="3">
        <v>0.7</v>
      </c>
      <c r="AC184" s="2">
        <v>196.22</v>
      </c>
      <c r="AD184" s="3">
        <v>0</v>
      </c>
      <c r="AE184" s="2">
        <v>0</v>
      </c>
      <c r="AF184" s="2">
        <v>196.22</v>
      </c>
      <c r="AK184" s="4">
        <v>19501270</v>
      </c>
      <c r="AL184" t="s">
        <v>52</v>
      </c>
    </row>
    <row r="185" spans="1:38" x14ac:dyDescent="0.25">
      <c r="A185" s="1">
        <v>45877</v>
      </c>
      <c r="B185" s="1">
        <v>45873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>
        <v>2029941663</v>
      </c>
      <c r="J185" t="s">
        <v>97</v>
      </c>
      <c r="M185" t="s">
        <v>60</v>
      </c>
      <c r="O185" t="s">
        <v>46</v>
      </c>
      <c r="P185" t="s">
        <v>47</v>
      </c>
      <c r="Q185" t="s">
        <v>48</v>
      </c>
      <c r="R185" t="s">
        <v>49</v>
      </c>
      <c r="S185" s="1">
        <v>45870</v>
      </c>
      <c r="U185" t="s">
        <v>50</v>
      </c>
      <c r="X185" t="s">
        <v>51</v>
      </c>
      <c r="Y185" s="2">
        <v>121.99</v>
      </c>
      <c r="Z185" s="2">
        <v>121.99</v>
      </c>
      <c r="AA185">
        <v>6</v>
      </c>
      <c r="AB185" s="3">
        <v>0.75</v>
      </c>
      <c r="AC185" s="2">
        <v>548.96</v>
      </c>
      <c r="AD185" s="3">
        <v>0</v>
      </c>
      <c r="AE185" s="2">
        <v>0</v>
      </c>
      <c r="AF185" s="2">
        <v>548.96</v>
      </c>
      <c r="AK185" s="4">
        <v>19515500</v>
      </c>
      <c r="AL185" t="s">
        <v>52</v>
      </c>
    </row>
    <row r="186" spans="1:38" x14ac:dyDescent="0.25">
      <c r="A186" s="1">
        <v>45877</v>
      </c>
      <c r="B186" s="1">
        <v>45873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>
        <v>2029941664</v>
      </c>
      <c r="J186" t="s">
        <v>97</v>
      </c>
      <c r="M186" t="s">
        <v>60</v>
      </c>
      <c r="O186" t="s">
        <v>46</v>
      </c>
      <c r="P186" t="s">
        <v>47</v>
      </c>
      <c r="Q186" t="s">
        <v>48</v>
      </c>
      <c r="R186" t="s">
        <v>53</v>
      </c>
      <c r="S186" s="1">
        <v>45870</v>
      </c>
      <c r="U186" t="s">
        <v>50</v>
      </c>
      <c r="X186" t="s">
        <v>51</v>
      </c>
      <c r="Y186" s="2">
        <v>109.55</v>
      </c>
      <c r="Z186" s="2">
        <v>109.55</v>
      </c>
      <c r="AA186">
        <v>6</v>
      </c>
      <c r="AB186" s="3">
        <v>0.7</v>
      </c>
      <c r="AC186" s="2">
        <v>460.11</v>
      </c>
      <c r="AD186" s="3">
        <v>0</v>
      </c>
      <c r="AE186" s="2">
        <v>0</v>
      </c>
      <c r="AF186" s="2">
        <v>460.11</v>
      </c>
      <c r="AK186" s="4">
        <v>19501590</v>
      </c>
      <c r="AL186" t="s">
        <v>52</v>
      </c>
    </row>
    <row r="187" spans="1:38" x14ac:dyDescent="0.25">
      <c r="A187" s="1">
        <v>45877</v>
      </c>
      <c r="B187" s="1">
        <v>45873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>
        <v>2029941665</v>
      </c>
      <c r="J187" t="s">
        <v>97</v>
      </c>
      <c r="M187" t="s">
        <v>60</v>
      </c>
      <c r="O187" t="s">
        <v>46</v>
      </c>
      <c r="P187" t="s">
        <v>47</v>
      </c>
      <c r="Q187" t="s">
        <v>48</v>
      </c>
      <c r="R187" t="s">
        <v>98</v>
      </c>
      <c r="S187" s="1">
        <v>45870</v>
      </c>
      <c r="U187" t="s">
        <v>50</v>
      </c>
      <c r="X187" t="s">
        <v>51</v>
      </c>
      <c r="Y187" s="2">
        <v>52.69</v>
      </c>
      <c r="Z187" s="2">
        <v>52.69</v>
      </c>
      <c r="AA187">
        <v>6</v>
      </c>
      <c r="AB187" s="3">
        <v>0.6</v>
      </c>
      <c r="AC187" s="2">
        <v>189.68</v>
      </c>
      <c r="AD187" s="3">
        <v>0</v>
      </c>
      <c r="AE187" s="2">
        <v>0</v>
      </c>
      <c r="AF187" s="2">
        <v>189.68</v>
      </c>
      <c r="AK187" s="4">
        <v>19515510</v>
      </c>
      <c r="AL187" t="s">
        <v>52</v>
      </c>
    </row>
    <row r="188" spans="1:38" x14ac:dyDescent="0.25">
      <c r="A188" s="1">
        <v>45877</v>
      </c>
      <c r="B188" s="1">
        <v>45873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>
        <v>2029954061</v>
      </c>
      <c r="J188" t="s">
        <v>99</v>
      </c>
      <c r="M188" t="s">
        <v>100</v>
      </c>
      <c r="O188" t="s">
        <v>46</v>
      </c>
      <c r="P188" t="s">
        <v>47</v>
      </c>
      <c r="Q188" t="s">
        <v>48</v>
      </c>
      <c r="R188" t="s">
        <v>53</v>
      </c>
      <c r="S188" s="1">
        <v>45870</v>
      </c>
      <c r="U188" t="s">
        <v>50</v>
      </c>
      <c r="X188" t="s">
        <v>51</v>
      </c>
      <c r="Y188" s="2">
        <v>41.75</v>
      </c>
      <c r="Z188" s="2">
        <v>41.75</v>
      </c>
      <c r="AA188">
        <v>6</v>
      </c>
      <c r="AB188" s="3">
        <v>0.7</v>
      </c>
      <c r="AC188" s="2">
        <v>175.35</v>
      </c>
      <c r="AD188" s="3">
        <v>0</v>
      </c>
      <c r="AE188" s="2">
        <v>0</v>
      </c>
      <c r="AF188" s="2">
        <v>175.35</v>
      </c>
      <c r="AK188" s="4">
        <v>19501600</v>
      </c>
      <c r="AL188" t="s">
        <v>52</v>
      </c>
    </row>
    <row r="189" spans="1:38" x14ac:dyDescent="0.25">
      <c r="A189" s="1">
        <v>45877</v>
      </c>
      <c r="B189" s="1">
        <v>45873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>
        <v>2029954062</v>
      </c>
      <c r="J189" t="s">
        <v>99</v>
      </c>
      <c r="M189" t="s">
        <v>100</v>
      </c>
      <c r="O189" t="s">
        <v>46</v>
      </c>
      <c r="P189" t="s">
        <v>47</v>
      </c>
      <c r="Q189" t="s">
        <v>48</v>
      </c>
      <c r="R189" t="s">
        <v>101</v>
      </c>
      <c r="S189" s="1">
        <v>45870</v>
      </c>
      <c r="U189" t="s">
        <v>50</v>
      </c>
      <c r="X189" t="s">
        <v>51</v>
      </c>
      <c r="Y189" s="2">
        <v>41.64</v>
      </c>
      <c r="Z189" s="2">
        <v>41.64</v>
      </c>
      <c r="AA189">
        <v>6</v>
      </c>
      <c r="AB189" s="3">
        <v>0.75</v>
      </c>
      <c r="AC189" s="2">
        <v>187.38</v>
      </c>
      <c r="AD189" s="3">
        <v>0</v>
      </c>
      <c r="AE189" s="2">
        <v>0</v>
      </c>
      <c r="AF189" s="2">
        <v>187.38</v>
      </c>
      <c r="AK189" s="4">
        <v>19515510</v>
      </c>
      <c r="AL189" t="s">
        <v>52</v>
      </c>
    </row>
    <row r="190" spans="1:38" x14ac:dyDescent="0.25">
      <c r="A190" s="1">
        <v>45877</v>
      </c>
      <c r="B190" s="1">
        <v>45873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>
        <v>2029988590</v>
      </c>
      <c r="J190" t="s">
        <v>109</v>
      </c>
      <c r="M190" t="s">
        <v>64</v>
      </c>
      <c r="O190" t="s">
        <v>46</v>
      </c>
      <c r="P190" t="s">
        <v>47</v>
      </c>
      <c r="Q190" t="s">
        <v>48</v>
      </c>
      <c r="R190" t="s">
        <v>101</v>
      </c>
      <c r="S190" s="1">
        <v>45870</v>
      </c>
      <c r="U190" t="s">
        <v>50</v>
      </c>
      <c r="X190" t="s">
        <v>51</v>
      </c>
      <c r="Y190" s="2">
        <v>94.83</v>
      </c>
      <c r="Z190" s="2">
        <v>94.83</v>
      </c>
      <c r="AA190">
        <v>6</v>
      </c>
      <c r="AB190" s="3">
        <v>0.75</v>
      </c>
      <c r="AC190" s="2">
        <v>426.74</v>
      </c>
      <c r="AD190" s="3">
        <v>0</v>
      </c>
      <c r="AE190" s="2">
        <v>0</v>
      </c>
      <c r="AF190" s="2">
        <v>426.74</v>
      </c>
      <c r="AK190" s="4">
        <v>19515530</v>
      </c>
      <c r="AL190" t="s">
        <v>52</v>
      </c>
    </row>
    <row r="191" spans="1:38" x14ac:dyDescent="0.25">
      <c r="A191" s="1">
        <v>45877</v>
      </c>
      <c r="B191" s="1">
        <v>45873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>
        <v>2029988591</v>
      </c>
      <c r="J191" t="s">
        <v>109</v>
      </c>
      <c r="M191" t="s">
        <v>64</v>
      </c>
      <c r="O191" t="s">
        <v>46</v>
      </c>
      <c r="P191" t="s">
        <v>47</v>
      </c>
      <c r="Q191" t="s">
        <v>48</v>
      </c>
      <c r="R191" t="s">
        <v>53</v>
      </c>
      <c r="S191" s="1">
        <v>45870</v>
      </c>
      <c r="U191" t="s">
        <v>50</v>
      </c>
      <c r="X191" t="s">
        <v>51</v>
      </c>
      <c r="Y191" s="2">
        <v>51.74</v>
      </c>
      <c r="Z191" s="2">
        <v>51.74</v>
      </c>
      <c r="AA191">
        <v>6</v>
      </c>
      <c r="AB191" s="3">
        <v>0.7</v>
      </c>
      <c r="AC191" s="2">
        <v>217.31</v>
      </c>
      <c r="AD191" s="3">
        <v>0</v>
      </c>
      <c r="AE191" s="2">
        <v>0</v>
      </c>
      <c r="AF191" s="2">
        <v>217.31</v>
      </c>
      <c r="AK191" s="4">
        <v>19501660</v>
      </c>
      <c r="AL191" t="s">
        <v>52</v>
      </c>
    </row>
    <row r="192" spans="1:38" x14ac:dyDescent="0.25">
      <c r="A192" s="1">
        <v>45877</v>
      </c>
      <c r="B192" s="1">
        <v>45873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>
        <v>2030012896</v>
      </c>
      <c r="J192" t="s">
        <v>115</v>
      </c>
      <c r="M192" t="s">
        <v>100</v>
      </c>
      <c r="O192" t="s">
        <v>46</v>
      </c>
      <c r="P192" t="s">
        <v>47</v>
      </c>
      <c r="Q192" t="s">
        <v>48</v>
      </c>
      <c r="R192" t="s">
        <v>53</v>
      </c>
      <c r="S192" s="1">
        <v>45888</v>
      </c>
      <c r="U192" t="s">
        <v>50</v>
      </c>
      <c r="X192" t="s">
        <v>51</v>
      </c>
      <c r="Y192" s="2">
        <v>78.23</v>
      </c>
      <c r="Z192" s="2">
        <v>78.23</v>
      </c>
      <c r="AA192">
        <v>6</v>
      </c>
      <c r="AB192" s="3">
        <v>0.7</v>
      </c>
      <c r="AC192" s="2">
        <v>328.57</v>
      </c>
      <c r="AD192" s="3">
        <v>0</v>
      </c>
      <c r="AE192" s="2">
        <v>0</v>
      </c>
      <c r="AF192" s="2">
        <v>328.57</v>
      </c>
      <c r="AK192" s="4">
        <v>19501690</v>
      </c>
      <c r="AL192" t="s">
        <v>52</v>
      </c>
    </row>
    <row r="193" spans="1:38" x14ac:dyDescent="0.25">
      <c r="A193" s="1">
        <v>45877</v>
      </c>
      <c r="B193" s="1">
        <v>45873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>
        <v>2030012897</v>
      </c>
      <c r="J193" t="s">
        <v>115</v>
      </c>
      <c r="M193" t="s">
        <v>100</v>
      </c>
      <c r="O193" t="s">
        <v>46</v>
      </c>
      <c r="P193" t="s">
        <v>47</v>
      </c>
      <c r="Q193" t="s">
        <v>48</v>
      </c>
      <c r="R193" t="s">
        <v>101</v>
      </c>
      <c r="S193" s="1">
        <v>45888</v>
      </c>
      <c r="U193" t="s">
        <v>50</v>
      </c>
      <c r="X193" t="s">
        <v>51</v>
      </c>
      <c r="Y193" s="2">
        <v>44.06</v>
      </c>
      <c r="Z193" s="2">
        <v>44.06</v>
      </c>
      <c r="AA193">
        <v>6</v>
      </c>
      <c r="AB193" s="3">
        <v>0.75</v>
      </c>
      <c r="AC193" s="2">
        <v>198.27</v>
      </c>
      <c r="AD193" s="3">
        <v>0</v>
      </c>
      <c r="AE193" s="2">
        <v>0</v>
      </c>
      <c r="AF193" s="2">
        <v>198.27</v>
      </c>
      <c r="AK193" s="4">
        <v>19515540</v>
      </c>
      <c r="AL193" t="s">
        <v>52</v>
      </c>
    </row>
    <row r="194" spans="1:38" x14ac:dyDescent="0.25">
      <c r="A194" s="1">
        <v>45877</v>
      </c>
      <c r="B194" s="1">
        <v>45873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>
        <v>2030012898</v>
      </c>
      <c r="J194" t="s">
        <v>115</v>
      </c>
      <c r="M194" t="s">
        <v>100</v>
      </c>
      <c r="O194" t="s">
        <v>46</v>
      </c>
      <c r="P194" t="s">
        <v>47</v>
      </c>
      <c r="Q194" t="s">
        <v>48</v>
      </c>
      <c r="R194" t="s">
        <v>86</v>
      </c>
      <c r="S194" s="1">
        <v>45888</v>
      </c>
      <c r="U194" t="s">
        <v>50</v>
      </c>
      <c r="X194" t="s">
        <v>51</v>
      </c>
      <c r="Y194" s="2">
        <v>34.89</v>
      </c>
      <c r="Z194" s="2">
        <v>34.89</v>
      </c>
      <c r="AA194">
        <v>6</v>
      </c>
      <c r="AB194" s="3">
        <v>0.375</v>
      </c>
      <c r="AC194" s="2">
        <v>78.5</v>
      </c>
      <c r="AD194" s="3">
        <v>0</v>
      </c>
      <c r="AE194" s="2">
        <v>0</v>
      </c>
      <c r="AF194" s="2">
        <v>78.5</v>
      </c>
      <c r="AK194" s="4">
        <v>19529970</v>
      </c>
      <c r="AL194" t="s">
        <v>52</v>
      </c>
    </row>
    <row r="195" spans="1:38" x14ac:dyDescent="0.25">
      <c r="A195" s="1">
        <v>45877</v>
      </c>
      <c r="B195" s="1">
        <v>45873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>
        <v>2030177911</v>
      </c>
      <c r="J195" t="s">
        <v>162</v>
      </c>
      <c r="M195" t="s">
        <v>64</v>
      </c>
      <c r="O195" t="s">
        <v>46</v>
      </c>
      <c r="P195" t="s">
        <v>47</v>
      </c>
      <c r="Q195" t="s">
        <v>48</v>
      </c>
      <c r="R195" t="s">
        <v>101</v>
      </c>
      <c r="S195" s="1">
        <v>45870</v>
      </c>
      <c r="U195" t="s">
        <v>50</v>
      </c>
      <c r="X195" t="s">
        <v>51</v>
      </c>
      <c r="Y195" s="2">
        <v>34.450000000000003</v>
      </c>
      <c r="Z195" s="2">
        <v>34.450000000000003</v>
      </c>
      <c r="AA195">
        <v>6</v>
      </c>
      <c r="AB195" s="3">
        <v>0.75</v>
      </c>
      <c r="AC195" s="2">
        <v>155.03</v>
      </c>
      <c r="AD195" s="3">
        <v>0</v>
      </c>
      <c r="AE195" s="2">
        <v>0</v>
      </c>
      <c r="AF195" s="2">
        <v>155.03</v>
      </c>
      <c r="AK195" s="4">
        <v>19515690</v>
      </c>
      <c r="AL195" t="s">
        <v>52</v>
      </c>
    </row>
    <row r="196" spans="1:38" x14ac:dyDescent="0.25">
      <c r="A196" s="1">
        <v>45877</v>
      </c>
      <c r="B196" s="1">
        <v>45873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>
        <v>2030177912</v>
      </c>
      <c r="J196" t="s">
        <v>162</v>
      </c>
      <c r="M196" t="s">
        <v>64</v>
      </c>
      <c r="O196" t="s">
        <v>46</v>
      </c>
      <c r="P196" t="s">
        <v>47</v>
      </c>
      <c r="Q196" t="s">
        <v>48</v>
      </c>
      <c r="R196" t="s">
        <v>53</v>
      </c>
      <c r="S196" s="1">
        <v>45870</v>
      </c>
      <c r="U196" t="s">
        <v>50</v>
      </c>
      <c r="X196" t="s">
        <v>51</v>
      </c>
      <c r="Y196" s="2">
        <v>38.1</v>
      </c>
      <c r="Z196" s="2">
        <v>38.1</v>
      </c>
      <c r="AA196">
        <v>6</v>
      </c>
      <c r="AB196" s="3">
        <v>0.7</v>
      </c>
      <c r="AC196" s="2">
        <v>160.02000000000001</v>
      </c>
      <c r="AD196" s="3">
        <v>0</v>
      </c>
      <c r="AE196" s="2">
        <v>0</v>
      </c>
      <c r="AF196" s="2">
        <v>160.02000000000001</v>
      </c>
      <c r="AK196" s="4">
        <v>19502070</v>
      </c>
      <c r="AL196" t="s">
        <v>52</v>
      </c>
    </row>
    <row r="197" spans="1:38" x14ac:dyDescent="0.25">
      <c r="A197" s="1">
        <v>45877</v>
      </c>
      <c r="B197" s="1">
        <v>45873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>
        <v>2030196604</v>
      </c>
      <c r="J197" t="s">
        <v>185</v>
      </c>
      <c r="M197" t="s">
        <v>55</v>
      </c>
      <c r="O197" t="s">
        <v>46</v>
      </c>
      <c r="P197" t="s">
        <v>47</v>
      </c>
      <c r="Q197" t="s">
        <v>48</v>
      </c>
      <c r="R197" t="s">
        <v>57</v>
      </c>
      <c r="S197" s="1">
        <v>45870</v>
      </c>
      <c r="U197" t="s">
        <v>50</v>
      </c>
      <c r="X197" t="s">
        <v>51</v>
      </c>
      <c r="Y197" s="2">
        <v>95.5</v>
      </c>
      <c r="Z197" s="2">
        <v>95.5</v>
      </c>
      <c r="AA197">
        <v>6</v>
      </c>
      <c r="AB197" s="3">
        <v>0.65</v>
      </c>
      <c r="AC197" s="2">
        <v>372.45</v>
      </c>
      <c r="AD197" s="3">
        <v>0</v>
      </c>
      <c r="AE197" s="2">
        <v>0</v>
      </c>
      <c r="AF197" s="2">
        <v>372.45</v>
      </c>
      <c r="AK197" s="4">
        <v>19515760</v>
      </c>
      <c r="AL197" t="s">
        <v>52</v>
      </c>
    </row>
    <row r="198" spans="1:38" x14ac:dyDescent="0.25">
      <c r="A198" s="1">
        <v>45877</v>
      </c>
      <c r="B198" s="1">
        <v>45873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>
        <v>2030196605</v>
      </c>
      <c r="J198" t="s">
        <v>185</v>
      </c>
      <c r="M198" t="s">
        <v>55</v>
      </c>
      <c r="O198" t="s">
        <v>46</v>
      </c>
      <c r="P198" t="s">
        <v>47</v>
      </c>
      <c r="Q198" t="s">
        <v>48</v>
      </c>
      <c r="R198" t="s">
        <v>53</v>
      </c>
      <c r="S198" s="1">
        <v>45870</v>
      </c>
      <c r="U198" t="s">
        <v>50</v>
      </c>
      <c r="X198" t="s">
        <v>51</v>
      </c>
      <c r="Y198" s="2">
        <v>70.37</v>
      </c>
      <c r="Z198" s="2">
        <v>70.37</v>
      </c>
      <c r="AA198">
        <v>6</v>
      </c>
      <c r="AB198" s="3">
        <v>0.7</v>
      </c>
      <c r="AC198" s="2">
        <v>295.55</v>
      </c>
      <c r="AD198" s="3">
        <v>0</v>
      </c>
      <c r="AE198" s="2">
        <v>0</v>
      </c>
      <c r="AF198" s="2">
        <v>295.55</v>
      </c>
      <c r="AK198" s="4">
        <v>19502280</v>
      </c>
      <c r="AL198" t="s">
        <v>52</v>
      </c>
    </row>
    <row r="199" spans="1:38" x14ac:dyDescent="0.25">
      <c r="A199" s="1">
        <v>45877</v>
      </c>
      <c r="B199" s="1">
        <v>45873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>
        <v>2030196606</v>
      </c>
      <c r="J199" t="s">
        <v>185</v>
      </c>
      <c r="M199" t="s">
        <v>55</v>
      </c>
      <c r="O199" t="s">
        <v>46</v>
      </c>
      <c r="P199" t="s">
        <v>47</v>
      </c>
      <c r="Q199" t="s">
        <v>48</v>
      </c>
      <c r="R199" t="s">
        <v>186</v>
      </c>
      <c r="S199" s="1">
        <v>45870</v>
      </c>
      <c r="U199" t="s">
        <v>50</v>
      </c>
      <c r="X199" t="s">
        <v>51</v>
      </c>
      <c r="Y199" s="2">
        <v>30.64</v>
      </c>
      <c r="Z199" s="2">
        <v>30.64</v>
      </c>
      <c r="AA199">
        <v>6</v>
      </c>
      <c r="AB199" s="3">
        <v>0.38</v>
      </c>
      <c r="AC199" s="2">
        <v>69.86</v>
      </c>
      <c r="AD199" s="3">
        <v>0</v>
      </c>
      <c r="AE199" s="2">
        <v>0</v>
      </c>
      <c r="AF199" s="2">
        <v>69.86</v>
      </c>
      <c r="AK199" s="4">
        <v>19533230</v>
      </c>
      <c r="AL199" t="s">
        <v>52</v>
      </c>
    </row>
    <row r="200" spans="1:38" x14ac:dyDescent="0.25">
      <c r="A200" s="1">
        <v>45877</v>
      </c>
      <c r="B200" s="1">
        <v>45873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>
        <v>2030196607</v>
      </c>
      <c r="J200" t="s">
        <v>185</v>
      </c>
      <c r="M200" t="s">
        <v>55</v>
      </c>
      <c r="O200" t="s">
        <v>46</v>
      </c>
      <c r="P200" t="s">
        <v>47</v>
      </c>
      <c r="Q200" t="s">
        <v>48</v>
      </c>
      <c r="R200" t="s">
        <v>86</v>
      </c>
      <c r="S200" s="1">
        <v>45870</v>
      </c>
      <c r="U200" t="s">
        <v>50</v>
      </c>
      <c r="X200" t="s">
        <v>51</v>
      </c>
      <c r="Y200" s="2">
        <v>79.17</v>
      </c>
      <c r="Z200" s="2">
        <v>79.17</v>
      </c>
      <c r="AA200">
        <v>6</v>
      </c>
      <c r="AB200" s="3">
        <v>0.375</v>
      </c>
      <c r="AC200" s="2">
        <v>178.13</v>
      </c>
      <c r="AD200" s="3">
        <v>0</v>
      </c>
      <c r="AE200" s="2">
        <v>0</v>
      </c>
      <c r="AF200" s="2">
        <v>178.13</v>
      </c>
      <c r="AK200" s="4">
        <v>19530490</v>
      </c>
      <c r="AL200" t="s">
        <v>52</v>
      </c>
    </row>
    <row r="201" spans="1:38" x14ac:dyDescent="0.25">
      <c r="A201" s="1">
        <v>45877</v>
      </c>
      <c r="B201" s="1">
        <v>45873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>
        <v>2030196608</v>
      </c>
      <c r="J201" t="s">
        <v>185</v>
      </c>
      <c r="M201" t="s">
        <v>55</v>
      </c>
      <c r="O201" t="s">
        <v>46</v>
      </c>
      <c r="P201" t="s">
        <v>47</v>
      </c>
      <c r="Q201" t="s">
        <v>48</v>
      </c>
      <c r="R201" t="s">
        <v>187</v>
      </c>
      <c r="S201" s="1">
        <v>45870</v>
      </c>
      <c r="U201" t="s">
        <v>50</v>
      </c>
      <c r="X201" t="s">
        <v>51</v>
      </c>
      <c r="Y201" s="2">
        <v>15</v>
      </c>
      <c r="Z201" s="2">
        <v>15</v>
      </c>
      <c r="AA201">
        <v>6</v>
      </c>
      <c r="AB201" s="3">
        <v>0.38</v>
      </c>
      <c r="AC201" s="2">
        <v>34.200000000000003</v>
      </c>
      <c r="AD201" s="3">
        <v>0</v>
      </c>
      <c r="AE201" s="2">
        <v>0</v>
      </c>
      <c r="AF201" s="2">
        <v>34.200000000000003</v>
      </c>
      <c r="AK201" s="4">
        <v>19509240</v>
      </c>
      <c r="AL201" t="s">
        <v>52</v>
      </c>
    </row>
    <row r="202" spans="1:38" x14ac:dyDescent="0.25">
      <c r="A202" s="1">
        <v>45877</v>
      </c>
      <c r="B202" s="1">
        <v>45873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>
        <v>2030202445</v>
      </c>
      <c r="J202" t="s">
        <v>54</v>
      </c>
      <c r="M202" t="s">
        <v>55</v>
      </c>
      <c r="O202" t="s">
        <v>46</v>
      </c>
      <c r="P202" t="s">
        <v>47</v>
      </c>
      <c r="Q202" t="s">
        <v>48</v>
      </c>
      <c r="R202" t="s">
        <v>86</v>
      </c>
      <c r="S202" s="1">
        <v>45870</v>
      </c>
      <c r="U202" t="s">
        <v>50</v>
      </c>
      <c r="X202" t="s">
        <v>51</v>
      </c>
      <c r="Y202" s="2">
        <v>109.84</v>
      </c>
      <c r="Z202" s="2">
        <v>109.84</v>
      </c>
      <c r="AA202">
        <v>6</v>
      </c>
      <c r="AB202" s="3">
        <v>0.375</v>
      </c>
      <c r="AC202" s="2">
        <v>247.14</v>
      </c>
      <c r="AD202" s="3">
        <v>0</v>
      </c>
      <c r="AE202" s="2">
        <v>0</v>
      </c>
      <c r="AF202" s="2">
        <v>247.14</v>
      </c>
      <c r="AK202" s="4">
        <v>19530590</v>
      </c>
      <c r="AL202" t="s">
        <v>52</v>
      </c>
    </row>
    <row r="203" spans="1:38" x14ac:dyDescent="0.25">
      <c r="A203" s="1">
        <v>45877</v>
      </c>
      <c r="B203" s="1">
        <v>45873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>
        <v>2030220180</v>
      </c>
      <c r="J203" t="s">
        <v>220</v>
      </c>
      <c r="M203" t="s">
        <v>221</v>
      </c>
      <c r="O203" t="s">
        <v>46</v>
      </c>
      <c r="P203" t="s">
        <v>47</v>
      </c>
      <c r="Q203" t="s">
        <v>48</v>
      </c>
      <c r="R203" t="s">
        <v>53</v>
      </c>
      <c r="S203" s="1">
        <v>45870</v>
      </c>
      <c r="U203" t="s">
        <v>50</v>
      </c>
      <c r="X203" t="s">
        <v>51</v>
      </c>
      <c r="Y203" s="2">
        <v>87.68</v>
      </c>
      <c r="Z203" s="2">
        <v>87.68</v>
      </c>
      <c r="AA203">
        <v>6</v>
      </c>
      <c r="AB203" s="3">
        <v>0.7</v>
      </c>
      <c r="AC203" s="2">
        <v>368.26</v>
      </c>
      <c r="AD203" s="3">
        <v>0</v>
      </c>
      <c r="AE203" s="2">
        <v>0</v>
      </c>
      <c r="AF203" s="2">
        <v>368.26</v>
      </c>
      <c r="AK203" s="4">
        <v>19502580</v>
      </c>
      <c r="AL203" t="s">
        <v>52</v>
      </c>
    </row>
    <row r="204" spans="1:38" x14ac:dyDescent="0.25">
      <c r="A204" s="1">
        <v>45877</v>
      </c>
      <c r="B204" s="1">
        <v>45873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>
        <v>2030220181</v>
      </c>
      <c r="J204" t="s">
        <v>220</v>
      </c>
      <c r="M204" t="s">
        <v>221</v>
      </c>
      <c r="O204" t="s">
        <v>46</v>
      </c>
      <c r="P204" t="s">
        <v>47</v>
      </c>
      <c r="Q204" t="s">
        <v>48</v>
      </c>
      <c r="R204" t="s">
        <v>90</v>
      </c>
      <c r="S204" s="1">
        <v>45870</v>
      </c>
      <c r="U204" t="s">
        <v>50</v>
      </c>
      <c r="X204" t="s">
        <v>51</v>
      </c>
      <c r="Y204" s="2">
        <v>25.73</v>
      </c>
      <c r="Z204" s="2">
        <v>25.73</v>
      </c>
      <c r="AA204">
        <v>6</v>
      </c>
      <c r="AB204" s="3">
        <v>0.7</v>
      </c>
      <c r="AC204" s="2">
        <v>108.07</v>
      </c>
      <c r="AD204" s="3">
        <v>0</v>
      </c>
      <c r="AE204" s="2">
        <v>0</v>
      </c>
      <c r="AF204" s="2">
        <v>108.07</v>
      </c>
      <c r="AK204" s="4">
        <v>19490180</v>
      </c>
      <c r="AL204" t="s">
        <v>52</v>
      </c>
    </row>
    <row r="205" spans="1:38" x14ac:dyDescent="0.25">
      <c r="A205" s="1">
        <v>45877</v>
      </c>
      <c r="B205" s="1">
        <v>45873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>
        <v>2030220182</v>
      </c>
      <c r="J205" t="s">
        <v>220</v>
      </c>
      <c r="M205" t="s">
        <v>221</v>
      </c>
      <c r="O205" t="s">
        <v>46</v>
      </c>
      <c r="P205" t="s">
        <v>47</v>
      </c>
      <c r="Q205" t="s">
        <v>48</v>
      </c>
      <c r="R205" t="s">
        <v>49</v>
      </c>
      <c r="S205" s="1">
        <v>45870</v>
      </c>
      <c r="U205" t="s">
        <v>50</v>
      </c>
      <c r="X205" t="s">
        <v>51</v>
      </c>
      <c r="Y205" s="2">
        <v>13.42</v>
      </c>
      <c r="Z205" s="2">
        <v>13.42</v>
      </c>
      <c r="AA205">
        <v>6</v>
      </c>
      <c r="AB205" s="3">
        <v>0.75</v>
      </c>
      <c r="AC205" s="2">
        <v>60.39</v>
      </c>
      <c r="AD205" s="3">
        <v>0</v>
      </c>
      <c r="AE205" s="2">
        <v>0</v>
      </c>
      <c r="AF205" s="2">
        <v>60.39</v>
      </c>
      <c r="AK205" s="4">
        <v>19515870</v>
      </c>
      <c r="AL205" t="s">
        <v>52</v>
      </c>
    </row>
    <row r="206" spans="1:38" x14ac:dyDescent="0.25">
      <c r="A206" s="1">
        <v>45877</v>
      </c>
      <c r="B206" s="1">
        <v>45873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>
        <v>2030243690</v>
      </c>
      <c r="J206" t="s">
        <v>249</v>
      </c>
      <c r="M206" t="s">
        <v>100</v>
      </c>
      <c r="O206" t="s">
        <v>46</v>
      </c>
      <c r="P206" t="s">
        <v>47</v>
      </c>
      <c r="Q206" t="s">
        <v>48</v>
      </c>
      <c r="R206" t="s">
        <v>53</v>
      </c>
      <c r="S206" s="1">
        <v>45870</v>
      </c>
      <c r="U206" t="s">
        <v>50</v>
      </c>
      <c r="X206" t="s">
        <v>51</v>
      </c>
      <c r="Y206" s="2">
        <v>100.95</v>
      </c>
      <c r="Z206" s="2">
        <v>100.95</v>
      </c>
      <c r="AA206">
        <v>6</v>
      </c>
      <c r="AB206" s="3">
        <v>0.7</v>
      </c>
      <c r="AC206" s="2">
        <v>423.99</v>
      </c>
      <c r="AD206" s="3">
        <v>0</v>
      </c>
      <c r="AE206" s="2">
        <v>0</v>
      </c>
      <c r="AF206" s="2">
        <v>423.99</v>
      </c>
      <c r="AK206" s="4">
        <v>19502830</v>
      </c>
      <c r="AL206" t="s">
        <v>52</v>
      </c>
    </row>
    <row r="207" spans="1:38" x14ac:dyDescent="0.25">
      <c r="A207" s="1">
        <v>45877</v>
      </c>
      <c r="B207" s="1">
        <v>45873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>
        <v>2030243691</v>
      </c>
      <c r="J207" t="s">
        <v>249</v>
      </c>
      <c r="M207" t="s">
        <v>100</v>
      </c>
      <c r="O207" t="s">
        <v>46</v>
      </c>
      <c r="P207" t="s">
        <v>47</v>
      </c>
      <c r="Q207" t="s">
        <v>48</v>
      </c>
      <c r="R207" t="s">
        <v>49</v>
      </c>
      <c r="S207" s="1">
        <v>45870</v>
      </c>
      <c r="U207" t="s">
        <v>50</v>
      </c>
      <c r="X207" t="s">
        <v>51</v>
      </c>
      <c r="Y207" s="2">
        <v>79.180000000000007</v>
      </c>
      <c r="Z207" s="2">
        <v>79.180000000000007</v>
      </c>
      <c r="AA207">
        <v>6</v>
      </c>
      <c r="AB207" s="3">
        <v>0.75</v>
      </c>
      <c r="AC207" s="2">
        <v>356.31</v>
      </c>
      <c r="AD207" s="3">
        <v>0</v>
      </c>
      <c r="AE207" s="2">
        <v>0</v>
      </c>
      <c r="AF207" s="2">
        <v>356.31</v>
      </c>
      <c r="AK207" s="4">
        <v>19515970</v>
      </c>
      <c r="AL207" t="s">
        <v>52</v>
      </c>
    </row>
    <row r="208" spans="1:38" x14ac:dyDescent="0.25">
      <c r="A208" s="1">
        <v>45877</v>
      </c>
      <c r="B208" s="1">
        <v>45873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>
        <v>2030220294</v>
      </c>
      <c r="J208" t="s">
        <v>222</v>
      </c>
      <c r="M208" t="s">
        <v>66</v>
      </c>
      <c r="O208" t="s">
        <v>223</v>
      </c>
      <c r="P208" t="s">
        <v>224</v>
      </c>
      <c r="Q208" t="s">
        <v>48</v>
      </c>
      <c r="R208" t="s">
        <v>86</v>
      </c>
      <c r="S208" s="1">
        <v>45870</v>
      </c>
      <c r="U208" t="s">
        <v>50</v>
      </c>
      <c r="X208" t="s">
        <v>51</v>
      </c>
      <c r="Y208" s="2">
        <v>36.11</v>
      </c>
      <c r="Z208" s="2">
        <v>36.11</v>
      </c>
      <c r="AA208">
        <v>6</v>
      </c>
      <c r="AB208" s="3">
        <v>0.375</v>
      </c>
      <c r="AC208" s="2">
        <v>81.25</v>
      </c>
      <c r="AD208" s="3">
        <v>0</v>
      </c>
      <c r="AE208" s="2">
        <v>0</v>
      </c>
      <c r="AF208" s="2">
        <v>81.25</v>
      </c>
      <c r="AK208" s="4">
        <v>19530780</v>
      </c>
      <c r="AL208" t="s">
        <v>52</v>
      </c>
    </row>
    <row r="209" spans="1:38" x14ac:dyDescent="0.25">
      <c r="A209" s="1">
        <v>45877</v>
      </c>
      <c r="B209" s="1">
        <v>45873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>
        <v>2030220295</v>
      </c>
      <c r="J209" t="s">
        <v>222</v>
      </c>
      <c r="M209" t="s">
        <v>66</v>
      </c>
      <c r="O209" t="s">
        <v>223</v>
      </c>
      <c r="P209" t="s">
        <v>224</v>
      </c>
      <c r="Q209" t="s">
        <v>48</v>
      </c>
      <c r="R209" t="s">
        <v>225</v>
      </c>
      <c r="S209" s="1">
        <v>45870</v>
      </c>
      <c r="U209" t="s">
        <v>50</v>
      </c>
      <c r="X209" t="s">
        <v>51</v>
      </c>
      <c r="Y209" s="2">
        <v>153.62</v>
      </c>
      <c r="Z209" s="2">
        <v>153.62</v>
      </c>
      <c r="AA209">
        <v>6</v>
      </c>
      <c r="AB209" s="3">
        <v>0.38</v>
      </c>
      <c r="AC209" s="2">
        <v>350.25</v>
      </c>
      <c r="AD209" s="3">
        <v>0</v>
      </c>
      <c r="AE209" s="2">
        <v>0</v>
      </c>
      <c r="AF209" s="2">
        <v>350.25</v>
      </c>
      <c r="AK209" s="4">
        <v>19502590</v>
      </c>
      <c r="AL209" t="s">
        <v>52</v>
      </c>
    </row>
    <row r="210" spans="1:38" x14ac:dyDescent="0.25">
      <c r="A210" s="1">
        <v>45877</v>
      </c>
      <c r="B210" s="1">
        <v>45873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>
        <v>2030220296</v>
      </c>
      <c r="J210" t="s">
        <v>222</v>
      </c>
      <c r="M210" t="s">
        <v>66</v>
      </c>
      <c r="O210" t="s">
        <v>223</v>
      </c>
      <c r="P210" t="s">
        <v>224</v>
      </c>
      <c r="Q210" t="s">
        <v>48</v>
      </c>
      <c r="R210" t="s">
        <v>226</v>
      </c>
      <c r="S210" s="1">
        <v>45870</v>
      </c>
      <c r="U210" t="s">
        <v>50</v>
      </c>
      <c r="X210" t="s">
        <v>51</v>
      </c>
      <c r="Y210" s="2">
        <v>7.09</v>
      </c>
      <c r="Z210" s="2">
        <v>7.09</v>
      </c>
      <c r="AA210">
        <v>6</v>
      </c>
      <c r="AB210" s="3">
        <v>0.38</v>
      </c>
      <c r="AC210" s="2">
        <v>16.170000000000002</v>
      </c>
      <c r="AD210" s="3">
        <v>0</v>
      </c>
      <c r="AE210" s="2">
        <v>0</v>
      </c>
      <c r="AF210" s="2">
        <v>16.170000000000002</v>
      </c>
      <c r="AK210" s="4">
        <v>19532120</v>
      </c>
      <c r="AL210" t="s">
        <v>52</v>
      </c>
    </row>
    <row r="211" spans="1:38" x14ac:dyDescent="0.25">
      <c r="A211" s="1">
        <v>45877</v>
      </c>
      <c r="B211" s="1">
        <v>45873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>
        <v>2030220297</v>
      </c>
      <c r="J211" t="s">
        <v>222</v>
      </c>
      <c r="M211" t="s">
        <v>66</v>
      </c>
      <c r="O211" t="s">
        <v>223</v>
      </c>
      <c r="P211" t="s">
        <v>224</v>
      </c>
      <c r="Q211" t="s">
        <v>48</v>
      </c>
      <c r="R211" t="s">
        <v>227</v>
      </c>
      <c r="S211" s="1">
        <v>45870</v>
      </c>
      <c r="U211" t="s">
        <v>50</v>
      </c>
      <c r="X211" t="s">
        <v>51</v>
      </c>
      <c r="Y211" s="2">
        <v>54.6</v>
      </c>
      <c r="Z211" s="2">
        <v>54.6</v>
      </c>
      <c r="AA211">
        <v>6</v>
      </c>
      <c r="AB211" s="3">
        <v>0.6</v>
      </c>
      <c r="AC211" s="2">
        <v>196.56</v>
      </c>
      <c r="AD211" s="3">
        <v>0</v>
      </c>
      <c r="AE211" s="2">
        <v>0</v>
      </c>
      <c r="AF211" s="2">
        <v>196.56</v>
      </c>
      <c r="AK211" s="4">
        <v>19515870</v>
      </c>
      <c r="AL211" t="s">
        <v>52</v>
      </c>
    </row>
    <row r="212" spans="1:38" x14ac:dyDescent="0.25">
      <c r="A212" s="1">
        <v>45877</v>
      </c>
      <c r="B212" s="1">
        <v>45873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>
        <v>2030221926</v>
      </c>
      <c r="J212" t="s">
        <v>228</v>
      </c>
      <c r="M212" t="s">
        <v>66</v>
      </c>
      <c r="O212" t="s">
        <v>223</v>
      </c>
      <c r="P212" t="s">
        <v>224</v>
      </c>
      <c r="Q212" t="s">
        <v>48</v>
      </c>
      <c r="R212" t="s">
        <v>86</v>
      </c>
      <c r="S212" s="1">
        <v>45870</v>
      </c>
      <c r="U212" t="s">
        <v>50</v>
      </c>
      <c r="X212" t="s">
        <v>51</v>
      </c>
      <c r="Y212" s="2">
        <v>36.11</v>
      </c>
      <c r="Z212" s="2">
        <v>36.11</v>
      </c>
      <c r="AA212">
        <v>6</v>
      </c>
      <c r="AB212" s="3">
        <v>0.375</v>
      </c>
      <c r="AC212" s="2">
        <v>81.25</v>
      </c>
      <c r="AD212" s="3">
        <v>0</v>
      </c>
      <c r="AE212" s="2">
        <v>0</v>
      </c>
      <c r="AF212" s="2">
        <v>81.25</v>
      </c>
      <c r="AK212" s="4">
        <v>19530800</v>
      </c>
      <c r="AL212" t="s">
        <v>52</v>
      </c>
    </row>
    <row r="213" spans="1:38" x14ac:dyDescent="0.25">
      <c r="A213" s="1">
        <v>45877</v>
      </c>
      <c r="B213" s="1">
        <v>45873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>
        <v>2030221927</v>
      </c>
      <c r="J213" t="s">
        <v>228</v>
      </c>
      <c r="M213" t="s">
        <v>66</v>
      </c>
      <c r="O213" t="s">
        <v>223</v>
      </c>
      <c r="P213" t="s">
        <v>224</v>
      </c>
      <c r="Q213" t="s">
        <v>48</v>
      </c>
      <c r="R213" t="s">
        <v>186</v>
      </c>
      <c r="S213" s="1">
        <v>45870</v>
      </c>
      <c r="U213" t="s">
        <v>50</v>
      </c>
      <c r="X213" t="s">
        <v>51</v>
      </c>
      <c r="Y213" s="2">
        <v>55.16</v>
      </c>
      <c r="Z213" s="2">
        <v>55.16</v>
      </c>
      <c r="AA213">
        <v>6</v>
      </c>
      <c r="AB213" s="3">
        <v>0.38</v>
      </c>
      <c r="AC213" s="2">
        <v>125.76</v>
      </c>
      <c r="AD213" s="3">
        <v>0</v>
      </c>
      <c r="AE213" s="2">
        <v>0</v>
      </c>
      <c r="AF213" s="2">
        <v>125.76</v>
      </c>
      <c r="AK213" s="4">
        <v>19533260</v>
      </c>
      <c r="AL213" t="s">
        <v>52</v>
      </c>
    </row>
    <row r="214" spans="1:38" x14ac:dyDescent="0.25">
      <c r="A214" s="1">
        <v>45877</v>
      </c>
      <c r="B214" s="1">
        <v>45873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>
        <v>2030221928</v>
      </c>
      <c r="J214" t="s">
        <v>228</v>
      </c>
      <c r="M214" t="s">
        <v>66</v>
      </c>
      <c r="O214" t="s">
        <v>223</v>
      </c>
      <c r="P214" t="s">
        <v>224</v>
      </c>
      <c r="Q214" t="s">
        <v>48</v>
      </c>
      <c r="R214" t="s">
        <v>229</v>
      </c>
      <c r="S214" s="1">
        <v>45870</v>
      </c>
      <c r="U214" t="s">
        <v>50</v>
      </c>
      <c r="X214" t="s">
        <v>51</v>
      </c>
      <c r="Y214" s="2">
        <v>109.84</v>
      </c>
      <c r="Z214" s="2">
        <v>109.84</v>
      </c>
      <c r="AA214">
        <v>6</v>
      </c>
      <c r="AB214" s="3">
        <v>0.6</v>
      </c>
      <c r="AC214" s="2">
        <v>395.42</v>
      </c>
      <c r="AD214" s="3">
        <v>0</v>
      </c>
      <c r="AE214" s="2">
        <v>0</v>
      </c>
      <c r="AF214" s="2">
        <v>395.42</v>
      </c>
      <c r="AK214" s="4">
        <v>19515880</v>
      </c>
      <c r="AL214" t="s">
        <v>52</v>
      </c>
    </row>
    <row r="215" spans="1:38" x14ac:dyDescent="0.25">
      <c r="A215" s="1">
        <v>45877</v>
      </c>
      <c r="B215" s="1">
        <v>45873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>
        <v>2030222256</v>
      </c>
      <c r="J215" t="s">
        <v>231</v>
      </c>
      <c r="M215" t="s">
        <v>66</v>
      </c>
      <c r="O215" t="s">
        <v>223</v>
      </c>
      <c r="P215" t="s">
        <v>224</v>
      </c>
      <c r="Q215" t="s">
        <v>48</v>
      </c>
      <c r="R215" t="s">
        <v>69</v>
      </c>
      <c r="S215" s="1">
        <v>45870</v>
      </c>
      <c r="U215" t="s">
        <v>50</v>
      </c>
      <c r="X215" t="s">
        <v>51</v>
      </c>
      <c r="Y215" s="2">
        <v>48.22</v>
      </c>
      <c r="Z215" s="2">
        <v>48.22</v>
      </c>
      <c r="AA215">
        <v>6</v>
      </c>
      <c r="AB215" s="3">
        <v>0.47</v>
      </c>
      <c r="AC215" s="2">
        <v>135.97999999999999</v>
      </c>
      <c r="AD215" s="3">
        <v>0</v>
      </c>
      <c r="AE215" s="2">
        <v>0</v>
      </c>
      <c r="AF215" s="2">
        <v>135.97999999999999</v>
      </c>
      <c r="AK215" s="4">
        <v>19530810</v>
      </c>
      <c r="AL215" t="s">
        <v>52</v>
      </c>
    </row>
    <row r="216" spans="1:38" x14ac:dyDescent="0.25">
      <c r="A216" s="1">
        <v>45877</v>
      </c>
      <c r="B216" s="1">
        <v>45873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>
        <v>2030232582</v>
      </c>
      <c r="J216" t="s">
        <v>240</v>
      </c>
      <c r="M216" t="s">
        <v>66</v>
      </c>
      <c r="O216" t="s">
        <v>223</v>
      </c>
      <c r="P216" t="s">
        <v>224</v>
      </c>
      <c r="Q216" t="s">
        <v>48</v>
      </c>
      <c r="R216" t="s">
        <v>86</v>
      </c>
      <c r="S216" s="1">
        <v>45870</v>
      </c>
      <c r="U216" t="s">
        <v>50</v>
      </c>
      <c r="X216" t="s">
        <v>51</v>
      </c>
      <c r="Y216" s="2">
        <v>170.76</v>
      </c>
      <c r="Z216" s="2">
        <v>170.76</v>
      </c>
      <c r="AA216">
        <v>6</v>
      </c>
      <c r="AB216" s="3">
        <v>0.375</v>
      </c>
      <c r="AC216" s="2">
        <v>384.21</v>
      </c>
      <c r="AD216" s="3">
        <v>0</v>
      </c>
      <c r="AE216" s="2">
        <v>0</v>
      </c>
      <c r="AF216" s="2">
        <v>384.21</v>
      </c>
      <c r="AK216" s="4">
        <v>19530980</v>
      </c>
      <c r="AL216" t="s">
        <v>52</v>
      </c>
    </row>
    <row r="217" spans="1:38" x14ac:dyDescent="0.25">
      <c r="A217" s="1">
        <v>45877</v>
      </c>
      <c r="B217" s="1">
        <v>45873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>
        <v>2030232583</v>
      </c>
      <c r="J217" t="s">
        <v>240</v>
      </c>
      <c r="M217" t="s">
        <v>66</v>
      </c>
      <c r="O217" t="s">
        <v>223</v>
      </c>
      <c r="P217" t="s">
        <v>224</v>
      </c>
      <c r="Q217" t="s">
        <v>48</v>
      </c>
      <c r="R217" t="s">
        <v>225</v>
      </c>
      <c r="S217" s="1">
        <v>45870</v>
      </c>
      <c r="U217" t="s">
        <v>50</v>
      </c>
      <c r="X217" t="s">
        <v>51</v>
      </c>
      <c r="Y217" s="2">
        <v>435.15</v>
      </c>
      <c r="Z217" s="2">
        <v>435.15</v>
      </c>
      <c r="AA217">
        <v>6</v>
      </c>
      <c r="AB217" s="3">
        <v>0.38</v>
      </c>
      <c r="AC217" s="2">
        <v>992.14</v>
      </c>
      <c r="AD217" s="3">
        <v>0</v>
      </c>
      <c r="AE217" s="2">
        <v>0</v>
      </c>
      <c r="AF217" s="2">
        <v>992.14</v>
      </c>
      <c r="AK217" s="4">
        <v>19502740</v>
      </c>
      <c r="AL217" t="s">
        <v>52</v>
      </c>
    </row>
    <row r="218" spans="1:38" x14ac:dyDescent="0.25">
      <c r="A218" s="1">
        <v>45877</v>
      </c>
      <c r="B218" s="1">
        <v>45873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>
        <v>2030232584</v>
      </c>
      <c r="J218" t="s">
        <v>240</v>
      </c>
      <c r="M218" t="s">
        <v>66</v>
      </c>
      <c r="O218" t="s">
        <v>223</v>
      </c>
      <c r="P218" t="s">
        <v>224</v>
      </c>
      <c r="Q218" t="s">
        <v>48</v>
      </c>
      <c r="R218" t="s">
        <v>229</v>
      </c>
      <c r="S218" s="1">
        <v>45870</v>
      </c>
      <c r="U218" t="s">
        <v>50</v>
      </c>
      <c r="X218" t="s">
        <v>51</v>
      </c>
      <c r="Y218" s="2">
        <v>145.87</v>
      </c>
      <c r="Z218" s="2">
        <v>145.87</v>
      </c>
      <c r="AA218">
        <v>6</v>
      </c>
      <c r="AB218" s="3">
        <v>0.6</v>
      </c>
      <c r="AC218" s="2">
        <v>525.13</v>
      </c>
      <c r="AD218" s="3">
        <v>0</v>
      </c>
      <c r="AE218" s="2">
        <v>0</v>
      </c>
      <c r="AF218" s="2">
        <v>525.13</v>
      </c>
      <c r="AK218" s="4">
        <v>19515950</v>
      </c>
      <c r="AL218" t="s">
        <v>52</v>
      </c>
    </row>
    <row r="219" spans="1:38" x14ac:dyDescent="0.25">
      <c r="A219" s="1">
        <v>45877</v>
      </c>
      <c r="B219" s="1">
        <v>45873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>
        <v>2030232585</v>
      </c>
      <c r="J219" t="s">
        <v>240</v>
      </c>
      <c r="M219" t="s">
        <v>66</v>
      </c>
      <c r="O219" t="s">
        <v>223</v>
      </c>
      <c r="P219" t="s">
        <v>224</v>
      </c>
      <c r="Q219" t="s">
        <v>48</v>
      </c>
      <c r="R219" t="s">
        <v>117</v>
      </c>
      <c r="S219" s="1">
        <v>45870</v>
      </c>
      <c r="U219" t="s">
        <v>50</v>
      </c>
      <c r="X219" t="s">
        <v>51</v>
      </c>
      <c r="Y219" s="2">
        <v>174</v>
      </c>
      <c r="Z219" s="2">
        <v>174</v>
      </c>
      <c r="AA219">
        <v>6</v>
      </c>
      <c r="AB219" s="3">
        <v>0.9</v>
      </c>
      <c r="AC219" s="2">
        <v>939.6</v>
      </c>
      <c r="AD219" s="3">
        <v>0</v>
      </c>
      <c r="AE219" s="2">
        <v>0</v>
      </c>
      <c r="AF219" s="2">
        <v>939.6</v>
      </c>
      <c r="AK219" s="4">
        <v>19535860</v>
      </c>
      <c r="AL219" t="s">
        <v>52</v>
      </c>
    </row>
    <row r="220" spans="1:38" x14ac:dyDescent="0.25">
      <c r="A220" s="1">
        <v>45877</v>
      </c>
      <c r="B220" s="1">
        <v>45873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>
        <v>2030232586</v>
      </c>
      <c r="J220" t="s">
        <v>240</v>
      </c>
      <c r="M220" t="s">
        <v>66</v>
      </c>
      <c r="O220" t="s">
        <v>223</v>
      </c>
      <c r="P220" t="s">
        <v>224</v>
      </c>
      <c r="Q220" t="s">
        <v>48</v>
      </c>
      <c r="R220" t="s">
        <v>186</v>
      </c>
      <c r="S220" s="1">
        <v>45870</v>
      </c>
      <c r="U220" t="s">
        <v>50</v>
      </c>
      <c r="X220" t="s">
        <v>51</v>
      </c>
      <c r="Y220" s="2">
        <v>91.94</v>
      </c>
      <c r="Z220" s="2">
        <v>91.94</v>
      </c>
      <c r="AA220">
        <v>6</v>
      </c>
      <c r="AB220" s="3">
        <v>0.38</v>
      </c>
      <c r="AC220" s="2">
        <v>209.62</v>
      </c>
      <c r="AD220" s="3">
        <v>0</v>
      </c>
      <c r="AE220" s="2">
        <v>0</v>
      </c>
      <c r="AF220" s="2">
        <v>209.62</v>
      </c>
      <c r="AK220" s="4">
        <v>19533270</v>
      </c>
      <c r="AL220" t="s">
        <v>52</v>
      </c>
    </row>
    <row r="221" spans="1:38" x14ac:dyDescent="0.25">
      <c r="A221" s="1">
        <v>45877</v>
      </c>
      <c r="B221" s="1">
        <v>45873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>
        <v>2030232587</v>
      </c>
      <c r="J221" t="s">
        <v>240</v>
      </c>
      <c r="M221" t="s">
        <v>66</v>
      </c>
      <c r="O221" t="s">
        <v>223</v>
      </c>
      <c r="P221" t="s">
        <v>224</v>
      </c>
      <c r="Q221" t="s">
        <v>48</v>
      </c>
      <c r="R221" t="s">
        <v>226</v>
      </c>
      <c r="S221" s="1">
        <v>45870</v>
      </c>
      <c r="U221" t="s">
        <v>50</v>
      </c>
      <c r="X221" t="s">
        <v>51</v>
      </c>
      <c r="Y221" s="2">
        <v>7.09</v>
      </c>
      <c r="Z221" s="2">
        <v>7.09</v>
      </c>
      <c r="AA221">
        <v>6</v>
      </c>
      <c r="AB221" s="3">
        <v>0.38</v>
      </c>
      <c r="AC221" s="2">
        <v>16.170000000000002</v>
      </c>
      <c r="AD221" s="3">
        <v>0</v>
      </c>
      <c r="AE221" s="2">
        <v>0</v>
      </c>
      <c r="AF221" s="2">
        <v>16.170000000000002</v>
      </c>
      <c r="AK221" s="4">
        <v>19532140</v>
      </c>
      <c r="AL221" t="s">
        <v>52</v>
      </c>
    </row>
    <row r="222" spans="1:38" x14ac:dyDescent="0.25">
      <c r="A222" s="1">
        <v>45877</v>
      </c>
      <c r="B222" s="1">
        <v>45873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>
        <v>2030236297</v>
      </c>
      <c r="J222" t="s">
        <v>241</v>
      </c>
      <c r="M222" t="s">
        <v>66</v>
      </c>
      <c r="O222" t="s">
        <v>223</v>
      </c>
      <c r="P222" t="s">
        <v>224</v>
      </c>
      <c r="Q222" t="s">
        <v>48</v>
      </c>
      <c r="R222" t="s">
        <v>86</v>
      </c>
      <c r="S222" s="1">
        <v>45870</v>
      </c>
      <c r="U222" t="s">
        <v>50</v>
      </c>
      <c r="X222" t="s">
        <v>51</v>
      </c>
      <c r="Y222" s="2">
        <v>40.119999999999997</v>
      </c>
      <c r="Z222" s="2">
        <v>40.119999999999997</v>
      </c>
      <c r="AA222">
        <v>6</v>
      </c>
      <c r="AB222" s="3">
        <v>0.375</v>
      </c>
      <c r="AC222" s="2">
        <v>90.27</v>
      </c>
      <c r="AD222" s="3">
        <v>0</v>
      </c>
      <c r="AE222" s="2">
        <v>0</v>
      </c>
      <c r="AF222" s="2">
        <v>90.27</v>
      </c>
      <c r="AK222" s="4">
        <v>19530990</v>
      </c>
      <c r="AL222" t="s">
        <v>52</v>
      </c>
    </row>
    <row r="223" spans="1:38" x14ac:dyDescent="0.25">
      <c r="A223" s="1">
        <v>45877</v>
      </c>
      <c r="B223" s="1">
        <v>45873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>
        <v>2030002924</v>
      </c>
      <c r="J223" t="s">
        <v>111</v>
      </c>
      <c r="M223" t="s">
        <v>112</v>
      </c>
      <c r="O223" t="s">
        <v>113</v>
      </c>
      <c r="P223" t="s">
        <v>114</v>
      </c>
      <c r="Q223" t="s">
        <v>48</v>
      </c>
      <c r="R223" t="s">
        <v>49</v>
      </c>
      <c r="S223" s="1">
        <v>45870</v>
      </c>
      <c r="U223" t="s">
        <v>50</v>
      </c>
      <c r="X223" t="s">
        <v>51</v>
      </c>
      <c r="Y223" s="2">
        <v>74.25</v>
      </c>
      <c r="Z223" s="2">
        <v>74.25</v>
      </c>
      <c r="AA223">
        <v>6</v>
      </c>
      <c r="AB223" s="3">
        <v>0.75</v>
      </c>
      <c r="AC223" s="2">
        <v>334.13</v>
      </c>
      <c r="AD223" s="3">
        <v>0</v>
      </c>
      <c r="AE223" s="2">
        <v>0</v>
      </c>
      <c r="AF223" s="2">
        <v>334.13</v>
      </c>
      <c r="AK223" s="4">
        <v>19515540</v>
      </c>
      <c r="AL223" t="s">
        <v>52</v>
      </c>
    </row>
    <row r="224" spans="1:38" x14ac:dyDescent="0.25">
      <c r="A224" s="1">
        <v>45877</v>
      </c>
      <c r="B224" s="1">
        <v>45873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>
        <v>2030002925</v>
      </c>
      <c r="J224" t="s">
        <v>111</v>
      </c>
      <c r="M224" t="s">
        <v>112</v>
      </c>
      <c r="O224" t="s">
        <v>113</v>
      </c>
      <c r="P224" t="s">
        <v>114</v>
      </c>
      <c r="Q224" t="s">
        <v>48</v>
      </c>
      <c r="R224" t="s">
        <v>53</v>
      </c>
      <c r="S224" s="1">
        <v>45870</v>
      </c>
      <c r="U224" t="s">
        <v>50</v>
      </c>
      <c r="X224" t="s">
        <v>51</v>
      </c>
      <c r="Y224" s="2">
        <v>51</v>
      </c>
      <c r="Z224" s="2">
        <v>51</v>
      </c>
      <c r="AA224">
        <v>6</v>
      </c>
      <c r="AB224" s="3">
        <v>0.7</v>
      </c>
      <c r="AC224" s="2">
        <v>214.2</v>
      </c>
      <c r="AD224" s="3">
        <v>0</v>
      </c>
      <c r="AE224" s="2">
        <v>0</v>
      </c>
      <c r="AF224" s="2">
        <v>214.2</v>
      </c>
      <c r="AK224" s="4">
        <v>19501690</v>
      </c>
      <c r="AL224" t="s">
        <v>52</v>
      </c>
    </row>
    <row r="225" spans="1:38" x14ac:dyDescent="0.25">
      <c r="A225" s="1">
        <v>45877</v>
      </c>
      <c r="B225" s="1">
        <v>45873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>
        <v>2030002926</v>
      </c>
      <c r="J225" t="s">
        <v>111</v>
      </c>
      <c r="M225" t="s">
        <v>112</v>
      </c>
      <c r="O225" t="s">
        <v>113</v>
      </c>
      <c r="P225" t="s">
        <v>114</v>
      </c>
      <c r="Q225" t="s">
        <v>48</v>
      </c>
      <c r="R225" t="s">
        <v>86</v>
      </c>
      <c r="S225" s="1">
        <v>45870</v>
      </c>
      <c r="U225" t="s">
        <v>50</v>
      </c>
      <c r="X225" t="s">
        <v>51</v>
      </c>
      <c r="Y225" s="2">
        <v>188.04</v>
      </c>
      <c r="Z225" s="2">
        <v>188.04</v>
      </c>
      <c r="AA225">
        <v>6</v>
      </c>
      <c r="AB225" s="3">
        <v>0.375</v>
      </c>
      <c r="AC225" s="2">
        <v>423.09</v>
      </c>
      <c r="AD225" s="3">
        <v>0</v>
      </c>
      <c r="AE225" s="2">
        <v>0</v>
      </c>
      <c r="AF225" s="2">
        <v>423.09</v>
      </c>
      <c r="AK225" s="4">
        <v>19529960</v>
      </c>
      <c r="AL225" t="s">
        <v>52</v>
      </c>
    </row>
    <row r="226" spans="1:38" x14ac:dyDescent="0.25">
      <c r="A226" s="1">
        <v>45877</v>
      </c>
      <c r="B226" s="1">
        <v>45873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>
        <v>2030084951</v>
      </c>
      <c r="J226" t="s">
        <v>135</v>
      </c>
      <c r="M226" t="s">
        <v>60</v>
      </c>
      <c r="O226" t="s">
        <v>113</v>
      </c>
      <c r="P226" t="s">
        <v>114</v>
      </c>
      <c r="Q226" t="s">
        <v>48</v>
      </c>
      <c r="R226" t="s">
        <v>49</v>
      </c>
      <c r="S226" s="1">
        <v>45870</v>
      </c>
      <c r="U226" t="s">
        <v>50</v>
      </c>
      <c r="X226" t="s">
        <v>51</v>
      </c>
      <c r="Y226" s="2">
        <v>36.01</v>
      </c>
      <c r="Z226" s="2">
        <v>36.01</v>
      </c>
      <c r="AA226">
        <v>6</v>
      </c>
      <c r="AB226" s="3">
        <v>0.75</v>
      </c>
      <c r="AC226" s="2">
        <v>162.05000000000001</v>
      </c>
      <c r="AD226" s="3">
        <v>0</v>
      </c>
      <c r="AE226" s="2">
        <v>0</v>
      </c>
      <c r="AF226" s="2">
        <v>162.05000000000001</v>
      </c>
      <c r="AK226" s="4">
        <v>19515590</v>
      </c>
      <c r="AL226" t="s">
        <v>52</v>
      </c>
    </row>
    <row r="227" spans="1:38" x14ac:dyDescent="0.25">
      <c r="A227" s="1">
        <v>45877</v>
      </c>
      <c r="B227" s="1">
        <v>45873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>
        <v>2030084952</v>
      </c>
      <c r="J227" t="s">
        <v>135</v>
      </c>
      <c r="M227" t="s">
        <v>60</v>
      </c>
      <c r="O227" t="s">
        <v>113</v>
      </c>
      <c r="P227" t="s">
        <v>114</v>
      </c>
      <c r="Q227" t="s">
        <v>48</v>
      </c>
      <c r="R227" t="s">
        <v>86</v>
      </c>
      <c r="S227" s="1">
        <v>45870</v>
      </c>
      <c r="U227" t="s">
        <v>50</v>
      </c>
      <c r="X227" t="s">
        <v>51</v>
      </c>
      <c r="Y227" s="2">
        <v>77.48</v>
      </c>
      <c r="Z227" s="2">
        <v>77.48</v>
      </c>
      <c r="AA227">
        <v>6</v>
      </c>
      <c r="AB227" s="3">
        <v>0.375</v>
      </c>
      <c r="AC227" s="2">
        <v>174.33</v>
      </c>
      <c r="AD227" s="3">
        <v>0</v>
      </c>
      <c r="AE227" s="2">
        <v>0</v>
      </c>
      <c r="AF227" s="2">
        <v>174.33</v>
      </c>
      <c r="AK227" s="4">
        <v>19530040</v>
      </c>
      <c r="AL227" t="s">
        <v>52</v>
      </c>
    </row>
    <row r="228" spans="1:38" x14ac:dyDescent="0.25">
      <c r="A228" s="1">
        <v>45877</v>
      </c>
      <c r="B228" s="1">
        <v>45873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>
        <v>2030084953</v>
      </c>
      <c r="J228" t="s">
        <v>135</v>
      </c>
      <c r="M228" t="s">
        <v>60</v>
      </c>
      <c r="O228" t="s">
        <v>113</v>
      </c>
      <c r="P228" t="s">
        <v>114</v>
      </c>
      <c r="Q228" t="s">
        <v>48</v>
      </c>
      <c r="R228" t="s">
        <v>53</v>
      </c>
      <c r="S228" s="1">
        <v>45870</v>
      </c>
      <c r="U228" t="s">
        <v>50</v>
      </c>
      <c r="X228" t="s">
        <v>51</v>
      </c>
      <c r="Y228" s="2">
        <v>11.5</v>
      </c>
      <c r="Z228" s="2">
        <v>11.5</v>
      </c>
      <c r="AA228">
        <v>6</v>
      </c>
      <c r="AB228" s="3">
        <v>0.7</v>
      </c>
      <c r="AC228" s="2">
        <v>48.3</v>
      </c>
      <c r="AD228" s="3">
        <v>0</v>
      </c>
      <c r="AE228" s="2">
        <v>0</v>
      </c>
      <c r="AF228" s="2">
        <v>48.3</v>
      </c>
      <c r="AK228" s="4">
        <v>19501820</v>
      </c>
      <c r="AL228" t="s">
        <v>52</v>
      </c>
    </row>
    <row r="229" spans="1:38" x14ac:dyDescent="0.25">
      <c r="A229" s="1">
        <v>45877</v>
      </c>
      <c r="B229" s="1">
        <v>45873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>
        <v>2030127609</v>
      </c>
      <c r="J229" t="s">
        <v>146</v>
      </c>
      <c r="M229" t="s">
        <v>60</v>
      </c>
      <c r="O229" t="s">
        <v>113</v>
      </c>
      <c r="P229" t="s">
        <v>114</v>
      </c>
      <c r="Q229" t="s">
        <v>48</v>
      </c>
      <c r="R229" t="s">
        <v>69</v>
      </c>
      <c r="S229" s="1">
        <v>45870</v>
      </c>
      <c r="U229" t="s">
        <v>50</v>
      </c>
      <c r="X229" t="s">
        <v>51</v>
      </c>
      <c r="Y229" s="2">
        <v>94.04</v>
      </c>
      <c r="Z229" s="2">
        <v>94.04</v>
      </c>
      <c r="AA229">
        <v>6</v>
      </c>
      <c r="AB229" s="3">
        <v>0.47</v>
      </c>
      <c r="AC229" s="2">
        <v>265.19</v>
      </c>
      <c r="AD229" s="3">
        <v>0</v>
      </c>
      <c r="AE229" s="2">
        <v>0</v>
      </c>
      <c r="AF229" s="2">
        <v>265.19</v>
      </c>
      <c r="AK229" s="4">
        <v>19530140</v>
      </c>
      <c r="AL229" t="s">
        <v>52</v>
      </c>
    </row>
    <row r="230" spans="1:38" x14ac:dyDescent="0.25">
      <c r="A230" s="1">
        <v>45877</v>
      </c>
      <c r="B230" s="1">
        <v>45873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>
        <v>2029985113</v>
      </c>
      <c r="J230" t="s">
        <v>106</v>
      </c>
      <c r="M230" t="s">
        <v>60</v>
      </c>
      <c r="O230" t="s">
        <v>107</v>
      </c>
      <c r="P230" t="s">
        <v>108</v>
      </c>
      <c r="Q230" t="s">
        <v>48</v>
      </c>
      <c r="R230" t="s">
        <v>53</v>
      </c>
      <c r="S230" s="1">
        <v>45870</v>
      </c>
      <c r="U230" t="s">
        <v>50</v>
      </c>
      <c r="X230" t="s">
        <v>51</v>
      </c>
      <c r="Y230" s="2">
        <v>30</v>
      </c>
      <c r="Z230" s="2">
        <v>30</v>
      </c>
      <c r="AA230">
        <v>6</v>
      </c>
      <c r="AB230" s="3">
        <v>0.7</v>
      </c>
      <c r="AC230" s="2">
        <v>126</v>
      </c>
      <c r="AD230" s="3">
        <v>0</v>
      </c>
      <c r="AE230" s="2">
        <v>0</v>
      </c>
      <c r="AF230" s="2">
        <v>126</v>
      </c>
      <c r="AK230" s="4">
        <v>19501650</v>
      </c>
      <c r="AL230" t="s">
        <v>52</v>
      </c>
    </row>
    <row r="231" spans="1:38" x14ac:dyDescent="0.25">
      <c r="A231" s="1">
        <v>45877</v>
      </c>
      <c r="B231" s="1">
        <v>45873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>
        <v>2030076661</v>
      </c>
      <c r="J231" t="s">
        <v>132</v>
      </c>
      <c r="M231" t="s">
        <v>133</v>
      </c>
      <c r="O231" t="s">
        <v>107</v>
      </c>
      <c r="P231" t="s">
        <v>108</v>
      </c>
      <c r="Q231" t="s">
        <v>48</v>
      </c>
      <c r="R231" t="s">
        <v>53</v>
      </c>
      <c r="S231" s="1">
        <v>45870</v>
      </c>
      <c r="U231" t="s">
        <v>50</v>
      </c>
      <c r="X231" t="s">
        <v>51</v>
      </c>
      <c r="Y231" s="2">
        <v>68.42</v>
      </c>
      <c r="Z231" s="2">
        <v>68.42</v>
      </c>
      <c r="AA231">
        <v>6</v>
      </c>
      <c r="AB231" s="3">
        <v>0.7</v>
      </c>
      <c r="AC231" s="2">
        <v>287.36</v>
      </c>
      <c r="AD231" s="3">
        <v>0</v>
      </c>
      <c r="AE231" s="2">
        <v>0</v>
      </c>
      <c r="AF231" s="2">
        <v>287.36</v>
      </c>
      <c r="AK231" s="4">
        <v>19501800</v>
      </c>
      <c r="AL231" t="s">
        <v>52</v>
      </c>
    </row>
    <row r="232" spans="1:38" x14ac:dyDescent="0.25">
      <c r="A232" s="1">
        <v>45877</v>
      </c>
      <c r="B232" s="1">
        <v>45873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>
        <v>2030183460</v>
      </c>
      <c r="J232" t="s">
        <v>169</v>
      </c>
      <c r="M232" t="s">
        <v>64</v>
      </c>
      <c r="O232" t="s">
        <v>107</v>
      </c>
      <c r="P232" t="s">
        <v>108</v>
      </c>
      <c r="Q232" t="s">
        <v>48</v>
      </c>
      <c r="R232" t="s">
        <v>86</v>
      </c>
      <c r="S232" s="1">
        <v>45867</v>
      </c>
      <c r="U232" t="s">
        <v>50</v>
      </c>
      <c r="X232" t="s">
        <v>51</v>
      </c>
      <c r="Y232" s="2">
        <v>32.340000000000003</v>
      </c>
      <c r="Z232" s="2">
        <v>32.340000000000003</v>
      </c>
      <c r="AA232">
        <v>6</v>
      </c>
      <c r="AB232" s="3">
        <v>0.375</v>
      </c>
      <c r="AC232" s="2">
        <v>72.77</v>
      </c>
      <c r="AD232" s="3">
        <v>0</v>
      </c>
      <c r="AE232" s="2">
        <v>0</v>
      </c>
      <c r="AF232" s="2">
        <v>72.77</v>
      </c>
      <c r="AK232" s="4">
        <v>19530350</v>
      </c>
      <c r="AL232" t="s">
        <v>52</v>
      </c>
    </row>
    <row r="233" spans="1:38" x14ac:dyDescent="0.25">
      <c r="A233" s="1">
        <v>45877</v>
      </c>
      <c r="B233" s="1">
        <v>45873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>
        <v>2030209119</v>
      </c>
      <c r="J233" t="s">
        <v>205</v>
      </c>
      <c r="M233" t="s">
        <v>137</v>
      </c>
      <c r="O233" t="s">
        <v>107</v>
      </c>
      <c r="P233" t="s">
        <v>108</v>
      </c>
      <c r="Q233" t="s">
        <v>48</v>
      </c>
      <c r="R233" t="s">
        <v>86</v>
      </c>
      <c r="S233" s="1">
        <v>45870</v>
      </c>
      <c r="U233" t="s">
        <v>50</v>
      </c>
      <c r="X233" t="s">
        <v>51</v>
      </c>
      <c r="Y233" s="2">
        <v>27.69</v>
      </c>
      <c r="Z233" s="2">
        <v>27.69</v>
      </c>
      <c r="AA233">
        <v>6</v>
      </c>
      <c r="AB233" s="3">
        <v>0.375</v>
      </c>
      <c r="AC233" s="2">
        <v>62.3</v>
      </c>
      <c r="AD233" s="3">
        <v>0</v>
      </c>
      <c r="AE233" s="2">
        <v>0</v>
      </c>
      <c r="AF233" s="2">
        <v>62.3</v>
      </c>
      <c r="AK233" s="4">
        <v>19530670</v>
      </c>
      <c r="AL233" t="s">
        <v>52</v>
      </c>
    </row>
    <row r="234" spans="1:38" x14ac:dyDescent="0.25">
      <c r="A234" s="1">
        <v>45877</v>
      </c>
      <c r="B234" s="1">
        <v>45873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>
        <v>2030209148</v>
      </c>
      <c r="J234" t="s">
        <v>206</v>
      </c>
      <c r="M234" t="s">
        <v>137</v>
      </c>
      <c r="O234" t="s">
        <v>107</v>
      </c>
      <c r="P234" t="s">
        <v>108</v>
      </c>
      <c r="Q234" t="s">
        <v>48</v>
      </c>
      <c r="R234" t="s">
        <v>53</v>
      </c>
      <c r="S234" s="1">
        <v>45870</v>
      </c>
      <c r="U234" t="s">
        <v>50</v>
      </c>
      <c r="X234" t="s">
        <v>51</v>
      </c>
      <c r="Y234" s="2">
        <v>48.47</v>
      </c>
      <c r="Z234" s="2">
        <v>48.47</v>
      </c>
      <c r="AA234">
        <v>6</v>
      </c>
      <c r="AB234" s="3">
        <v>0.7</v>
      </c>
      <c r="AC234" s="2">
        <v>203.57</v>
      </c>
      <c r="AD234" s="3">
        <v>0</v>
      </c>
      <c r="AE234" s="2">
        <v>0</v>
      </c>
      <c r="AF234" s="2">
        <v>203.57</v>
      </c>
      <c r="AK234" s="4">
        <v>19502450</v>
      </c>
      <c r="AL234" t="s">
        <v>52</v>
      </c>
    </row>
    <row r="235" spans="1:38" s="6" customFormat="1" x14ac:dyDescent="0.25">
      <c r="A235" s="1">
        <v>45877</v>
      </c>
      <c r="B235" s="1">
        <v>45873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>
        <v>2030244414</v>
      </c>
      <c r="J235" t="s">
        <v>253</v>
      </c>
      <c r="K235"/>
      <c r="L235"/>
      <c r="M235" t="s">
        <v>133</v>
      </c>
      <c r="N235"/>
      <c r="O235" t="s">
        <v>107</v>
      </c>
      <c r="P235" t="s">
        <v>108</v>
      </c>
      <c r="Q235" t="s">
        <v>48</v>
      </c>
      <c r="R235" t="s">
        <v>117</v>
      </c>
      <c r="S235" s="1">
        <v>45870</v>
      </c>
      <c r="T235"/>
      <c r="U235" t="s">
        <v>50</v>
      </c>
      <c r="V235"/>
      <c r="W235"/>
      <c r="X235" t="s">
        <v>51</v>
      </c>
      <c r="Y235" s="2">
        <v>34.75</v>
      </c>
      <c r="Z235" s="2">
        <v>34.75</v>
      </c>
      <c r="AA235">
        <v>6</v>
      </c>
      <c r="AB235" s="3">
        <v>0.9</v>
      </c>
      <c r="AC235" s="2">
        <v>187.65</v>
      </c>
      <c r="AD235" s="3">
        <v>0</v>
      </c>
      <c r="AE235" s="2">
        <v>0</v>
      </c>
      <c r="AF235" s="2">
        <v>187.65</v>
      </c>
      <c r="AG235"/>
      <c r="AH235"/>
      <c r="AI235"/>
      <c r="AJ235"/>
      <c r="AK235" s="4">
        <v>19535880</v>
      </c>
      <c r="AL235" t="s">
        <v>52</v>
      </c>
    </row>
    <row r="236" spans="1:38" x14ac:dyDescent="0.25">
      <c r="A236" s="1">
        <v>45877</v>
      </c>
      <c r="B236" s="1">
        <v>45873</v>
      </c>
      <c r="C236" t="s">
        <v>288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>
        <v>2029192670</v>
      </c>
      <c r="J236" t="s">
        <v>289</v>
      </c>
      <c r="M236" t="s">
        <v>92</v>
      </c>
      <c r="O236" t="s">
        <v>290</v>
      </c>
      <c r="P236" t="s">
        <v>291</v>
      </c>
      <c r="Q236" t="s">
        <v>292</v>
      </c>
      <c r="R236" t="s">
        <v>86</v>
      </c>
      <c r="S236" s="1">
        <v>45810</v>
      </c>
      <c r="U236" t="s">
        <v>50</v>
      </c>
      <c r="X236" t="s">
        <v>293</v>
      </c>
      <c r="AF236" s="2">
        <v>110.68</v>
      </c>
      <c r="AG236" s="2">
        <v>18.45</v>
      </c>
      <c r="AJ236" s="2">
        <v>92.23</v>
      </c>
    </row>
    <row r="237" spans="1:38" x14ac:dyDescent="0.25">
      <c r="A237" s="1">
        <v>45877</v>
      </c>
      <c r="B237" s="1">
        <v>45873</v>
      </c>
      <c r="C237" t="s">
        <v>288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>
        <v>2029192671</v>
      </c>
      <c r="J237" t="s">
        <v>289</v>
      </c>
      <c r="M237" t="s">
        <v>92</v>
      </c>
      <c r="O237" t="s">
        <v>290</v>
      </c>
      <c r="P237" t="s">
        <v>291</v>
      </c>
      <c r="Q237" t="s">
        <v>292</v>
      </c>
      <c r="R237" t="s">
        <v>53</v>
      </c>
      <c r="S237" s="1">
        <v>45810</v>
      </c>
      <c r="U237" t="s">
        <v>50</v>
      </c>
      <c r="X237" t="s">
        <v>293</v>
      </c>
      <c r="AF237" s="2">
        <v>394.8</v>
      </c>
      <c r="AG237" s="2">
        <v>65.8</v>
      </c>
      <c r="AJ237" s="2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3C36-0098-47D3-82E3-5A57C5CACD52}">
  <dimension ref="A1:U71"/>
  <sheetViews>
    <sheetView tabSelected="1" topLeftCell="A39" workbookViewId="0">
      <selection activeCell="A68" sqref="A68"/>
    </sheetView>
  </sheetViews>
  <sheetFormatPr defaultRowHeight="15" x14ac:dyDescent="0.25"/>
  <cols>
    <col min="1" max="1" width="14.140625" bestFit="1" customWidth="1"/>
    <col min="2" max="2" width="26.85546875" bestFit="1" customWidth="1"/>
    <col min="4" max="4" width="15.85546875" customWidth="1"/>
    <col min="5" max="5" width="24.42578125" bestFit="1" customWidth="1"/>
    <col min="6" max="6" width="42.42578125" bestFit="1" customWidth="1"/>
    <col min="7" max="7" width="9.42578125" bestFit="1" customWidth="1"/>
    <col min="8" max="8" width="12.28515625" bestFit="1" customWidth="1"/>
    <col min="15" max="15" width="9.28515625" bestFit="1" customWidth="1"/>
    <col min="16" max="16" width="9.28515625" customWidth="1"/>
  </cols>
  <sheetData>
    <row r="1" spans="1:21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21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21" x14ac:dyDescent="0.25">
      <c r="A2" s="6">
        <v>2030254847</v>
      </c>
      <c r="B2" s="6" t="s">
        <v>269</v>
      </c>
      <c r="C2" s="6" t="s">
        <v>60</v>
      </c>
      <c r="D2" s="6" t="s">
        <v>301</v>
      </c>
      <c r="E2" s="6" t="s">
        <v>213</v>
      </c>
      <c r="F2" s="6" t="s">
        <v>225</v>
      </c>
      <c r="G2" s="5">
        <v>45870</v>
      </c>
      <c r="H2" s="1">
        <f t="shared" ref="H2:H33" si="0">DATE(YEAR(G2), MONTH(G2) +1, DAY(G2))</f>
        <v>45901</v>
      </c>
      <c r="I2" t="s">
        <v>38</v>
      </c>
      <c r="J2" t="s">
        <v>51</v>
      </c>
      <c r="K2" s="7">
        <v>181.4</v>
      </c>
      <c r="L2" s="7">
        <v>181.4</v>
      </c>
      <c r="M2" s="6">
        <v>6</v>
      </c>
      <c r="N2" s="8">
        <v>0.38</v>
      </c>
      <c r="O2" s="7">
        <v>413.59</v>
      </c>
      <c r="P2" s="7">
        <f>O2/6</f>
        <v>68.931666666666658</v>
      </c>
      <c r="Q2" s="6" t="s">
        <v>186</v>
      </c>
      <c r="R2" s="6"/>
      <c r="S2" s="6"/>
      <c r="T2" s="6"/>
      <c r="U2" s="6"/>
    </row>
    <row r="3" spans="1:21" x14ac:dyDescent="0.25">
      <c r="A3" s="6">
        <v>2030254850</v>
      </c>
      <c r="B3" s="6" t="s">
        <v>269</v>
      </c>
      <c r="C3" s="6" t="s">
        <v>60</v>
      </c>
      <c r="D3" s="6" t="s">
        <v>301</v>
      </c>
      <c r="E3" s="6" t="s">
        <v>213</v>
      </c>
      <c r="F3" s="6" t="s">
        <v>226</v>
      </c>
      <c r="G3" s="5">
        <v>45870</v>
      </c>
      <c r="H3" s="1">
        <f t="shared" si="0"/>
        <v>45901</v>
      </c>
      <c r="I3" t="s">
        <v>38</v>
      </c>
      <c r="J3" t="s">
        <v>51</v>
      </c>
      <c r="K3" s="7">
        <v>7.09</v>
      </c>
      <c r="L3" s="7">
        <v>7.09</v>
      </c>
      <c r="M3" s="6">
        <v>6</v>
      </c>
      <c r="N3" s="8">
        <v>0.38</v>
      </c>
      <c r="O3" s="7">
        <v>16.170000000000002</v>
      </c>
      <c r="P3" s="7">
        <f t="shared" ref="P3:P65" si="1">O3/6</f>
        <v>2.6950000000000003</v>
      </c>
      <c r="Q3" s="6" t="s">
        <v>186</v>
      </c>
      <c r="R3" s="6"/>
      <c r="S3" s="6"/>
      <c r="T3" s="6"/>
      <c r="U3" s="6"/>
    </row>
    <row r="4" spans="1:21" s="6" customFormat="1" x14ac:dyDescent="0.25">
      <c r="A4" s="6">
        <v>2030254851</v>
      </c>
      <c r="B4" s="6" t="s">
        <v>269</v>
      </c>
      <c r="C4" s="6" t="s">
        <v>60</v>
      </c>
      <c r="D4" s="6" t="s">
        <v>301</v>
      </c>
      <c r="E4" s="6" t="s">
        <v>213</v>
      </c>
      <c r="F4" s="6" t="s">
        <v>270</v>
      </c>
      <c r="G4" s="5">
        <v>45870</v>
      </c>
      <c r="H4" s="1">
        <f t="shared" si="0"/>
        <v>45901</v>
      </c>
      <c r="I4" t="s">
        <v>38</v>
      </c>
      <c r="J4" t="s">
        <v>51</v>
      </c>
      <c r="K4" s="7">
        <v>15</v>
      </c>
      <c r="L4" s="7">
        <v>15</v>
      </c>
      <c r="M4" s="6">
        <v>6</v>
      </c>
      <c r="N4" s="8">
        <v>0.38</v>
      </c>
      <c r="O4" s="7">
        <v>34.200000000000003</v>
      </c>
      <c r="P4" s="7">
        <f t="shared" si="1"/>
        <v>5.7</v>
      </c>
      <c r="Q4" s="6" t="s">
        <v>186</v>
      </c>
      <c r="R4"/>
      <c r="S4"/>
      <c r="T4"/>
      <c r="U4"/>
    </row>
    <row r="5" spans="1:21" s="6" customFormat="1" x14ac:dyDescent="0.25">
      <c r="A5" s="6">
        <v>2030217704</v>
      </c>
      <c r="B5" s="6" t="s">
        <v>211</v>
      </c>
      <c r="C5" s="6" t="s">
        <v>60</v>
      </c>
      <c r="D5" s="6" t="s">
        <v>301</v>
      </c>
      <c r="E5" s="6" t="s">
        <v>213</v>
      </c>
      <c r="F5" s="6" t="s">
        <v>187</v>
      </c>
      <c r="G5" s="5">
        <v>45870</v>
      </c>
      <c r="H5" s="1">
        <f t="shared" si="0"/>
        <v>45901</v>
      </c>
      <c r="I5" t="s">
        <v>38</v>
      </c>
      <c r="J5" t="s">
        <v>51</v>
      </c>
      <c r="K5" s="7">
        <v>15</v>
      </c>
      <c r="L5" s="7">
        <v>15</v>
      </c>
      <c r="M5" s="6">
        <v>6</v>
      </c>
      <c r="N5" s="8">
        <v>0.38</v>
      </c>
      <c r="O5" s="7">
        <v>34.200000000000003</v>
      </c>
      <c r="P5" s="7">
        <f t="shared" si="1"/>
        <v>5.7</v>
      </c>
      <c r="Q5" t="s">
        <v>186</v>
      </c>
      <c r="R5"/>
      <c r="S5"/>
      <c r="T5"/>
      <c r="U5"/>
    </row>
    <row r="6" spans="1:21" s="6" customFormat="1" x14ac:dyDescent="0.25">
      <c r="A6" s="6">
        <v>2030217702</v>
      </c>
      <c r="B6" s="6" t="s">
        <v>211</v>
      </c>
      <c r="C6" s="6" t="s">
        <v>60</v>
      </c>
      <c r="D6" s="6" t="s">
        <v>301</v>
      </c>
      <c r="E6" s="6" t="s">
        <v>213</v>
      </c>
      <c r="F6" s="6" t="s">
        <v>186</v>
      </c>
      <c r="G6" s="5">
        <v>45870</v>
      </c>
      <c r="H6" s="1">
        <f t="shared" si="0"/>
        <v>45901</v>
      </c>
      <c r="I6" t="s">
        <v>38</v>
      </c>
      <c r="J6" t="s">
        <v>51</v>
      </c>
      <c r="K6" s="7">
        <v>13.97</v>
      </c>
      <c r="L6" s="7">
        <v>13.97</v>
      </c>
      <c r="M6" s="6">
        <v>6</v>
      </c>
      <c r="N6" s="8">
        <v>0.38</v>
      </c>
      <c r="O6" s="7">
        <v>31.85</v>
      </c>
      <c r="P6" s="7">
        <f t="shared" si="1"/>
        <v>5.3083333333333336</v>
      </c>
      <c r="Q6" t="s">
        <v>186</v>
      </c>
    </row>
    <row r="7" spans="1:21" s="6" customFormat="1" x14ac:dyDescent="0.25">
      <c r="A7" s="6">
        <v>2030254849</v>
      </c>
      <c r="B7" s="6" t="s">
        <v>269</v>
      </c>
      <c r="C7" s="6" t="s">
        <v>60</v>
      </c>
      <c r="D7" s="6" t="s">
        <v>301</v>
      </c>
      <c r="E7" s="6" t="s">
        <v>213</v>
      </c>
      <c r="F7" s="6" t="s">
        <v>186</v>
      </c>
      <c r="G7" s="5">
        <v>45870</v>
      </c>
      <c r="H7" s="1">
        <f t="shared" si="0"/>
        <v>45901</v>
      </c>
      <c r="I7" t="s">
        <v>38</v>
      </c>
      <c r="J7" t="s">
        <v>51</v>
      </c>
      <c r="K7" s="7">
        <v>16.149999999999999</v>
      </c>
      <c r="L7" s="7">
        <v>16.149999999999999</v>
      </c>
      <c r="M7" s="6">
        <v>6</v>
      </c>
      <c r="N7" s="8">
        <v>0.38</v>
      </c>
      <c r="O7" s="7">
        <v>36.82</v>
      </c>
      <c r="P7" s="7">
        <f t="shared" si="1"/>
        <v>6.1366666666666667</v>
      </c>
      <c r="Q7" t="s">
        <v>186</v>
      </c>
      <c r="R7"/>
      <c r="S7"/>
      <c r="T7"/>
      <c r="U7"/>
    </row>
    <row r="8" spans="1:21" s="6" customFormat="1" x14ac:dyDescent="0.25">
      <c r="A8" s="6">
        <v>2030217703</v>
      </c>
      <c r="B8" s="6" t="s">
        <v>211</v>
      </c>
      <c r="C8" s="6" t="s">
        <v>60</v>
      </c>
      <c r="D8" s="6" t="s">
        <v>301</v>
      </c>
      <c r="E8" s="6" t="s">
        <v>213</v>
      </c>
      <c r="F8" s="6" t="s">
        <v>53</v>
      </c>
      <c r="G8" s="5">
        <v>45870</v>
      </c>
      <c r="H8" s="1">
        <f t="shared" si="0"/>
        <v>45901</v>
      </c>
      <c r="I8" t="s">
        <v>38</v>
      </c>
      <c r="J8" t="s">
        <v>51</v>
      </c>
      <c r="K8" s="7">
        <v>95.92</v>
      </c>
      <c r="L8" s="7">
        <v>95.92</v>
      </c>
      <c r="M8" s="6">
        <v>6</v>
      </c>
      <c r="N8" s="8">
        <v>0.7</v>
      </c>
      <c r="O8" s="7">
        <v>402.86</v>
      </c>
      <c r="P8" s="7">
        <f t="shared" si="1"/>
        <v>67.143333333333331</v>
      </c>
      <c r="Q8" t="s">
        <v>53</v>
      </c>
      <c r="R8"/>
      <c r="S8"/>
      <c r="T8"/>
      <c r="U8"/>
    </row>
    <row r="9" spans="1:21" s="6" customFormat="1" x14ac:dyDescent="0.25">
      <c r="A9" s="6">
        <v>2030218150</v>
      </c>
      <c r="B9" s="6" t="s">
        <v>215</v>
      </c>
      <c r="C9" s="6" t="s">
        <v>60</v>
      </c>
      <c r="D9" s="6" t="s">
        <v>301</v>
      </c>
      <c r="E9" s="6" t="s">
        <v>213</v>
      </c>
      <c r="F9" s="6" t="s">
        <v>53</v>
      </c>
      <c r="G9" s="5">
        <v>45870</v>
      </c>
      <c r="H9" s="1">
        <f t="shared" si="0"/>
        <v>45901</v>
      </c>
      <c r="I9" t="s">
        <v>38</v>
      </c>
      <c r="J9" t="s">
        <v>51</v>
      </c>
      <c r="K9" s="7">
        <v>117.94</v>
      </c>
      <c r="L9" s="7">
        <v>117.94</v>
      </c>
      <c r="M9" s="6">
        <v>6</v>
      </c>
      <c r="N9" s="8">
        <v>0.7</v>
      </c>
      <c r="O9" s="7">
        <v>495.35</v>
      </c>
      <c r="P9" s="7">
        <f t="shared" si="1"/>
        <v>82.558333333333337</v>
      </c>
      <c r="Q9" t="s">
        <v>53</v>
      </c>
      <c r="R9"/>
      <c r="S9"/>
      <c r="T9"/>
      <c r="U9"/>
    </row>
    <row r="10" spans="1:21" s="6" customFormat="1" x14ac:dyDescent="0.25">
      <c r="A10" s="6">
        <v>2030218431</v>
      </c>
      <c r="B10" s="6" t="s">
        <v>217</v>
      </c>
      <c r="C10" s="6" t="s">
        <v>60</v>
      </c>
      <c r="D10" s="6" t="s">
        <v>301</v>
      </c>
      <c r="E10" s="6" t="s">
        <v>213</v>
      </c>
      <c r="F10" s="6" t="s">
        <v>53</v>
      </c>
      <c r="G10" s="5">
        <v>45869</v>
      </c>
      <c r="H10" s="1">
        <f t="shared" si="0"/>
        <v>45900</v>
      </c>
      <c r="I10" t="s">
        <v>38</v>
      </c>
      <c r="J10" t="s">
        <v>51</v>
      </c>
      <c r="K10" s="7">
        <v>54.22</v>
      </c>
      <c r="L10" s="7">
        <v>54.22</v>
      </c>
      <c r="M10" s="6">
        <v>6</v>
      </c>
      <c r="N10" s="8">
        <v>0.7</v>
      </c>
      <c r="O10" s="7">
        <v>227.72</v>
      </c>
      <c r="P10" s="7">
        <f t="shared" si="1"/>
        <v>37.953333333333333</v>
      </c>
      <c r="Q10" t="s">
        <v>53</v>
      </c>
    </row>
    <row r="11" spans="1:21" s="6" customFormat="1" x14ac:dyDescent="0.25">
      <c r="A11" s="6">
        <v>2030254848</v>
      </c>
      <c r="B11" s="6" t="s">
        <v>269</v>
      </c>
      <c r="C11" s="6" t="s">
        <v>60</v>
      </c>
      <c r="D11" s="6" t="s">
        <v>301</v>
      </c>
      <c r="E11" s="6" t="s">
        <v>213</v>
      </c>
      <c r="F11" s="6" t="s">
        <v>53</v>
      </c>
      <c r="G11" s="5">
        <v>45870</v>
      </c>
      <c r="H11" s="1">
        <f t="shared" si="0"/>
        <v>45901</v>
      </c>
      <c r="I11" t="s">
        <v>38</v>
      </c>
      <c r="J11" t="s">
        <v>51</v>
      </c>
      <c r="K11" s="7">
        <v>72.760000000000005</v>
      </c>
      <c r="L11" s="7">
        <v>72.760000000000005</v>
      </c>
      <c r="M11" s="6">
        <v>6</v>
      </c>
      <c r="N11" s="8">
        <v>0.7</v>
      </c>
      <c r="O11" s="7">
        <v>305.58999999999997</v>
      </c>
      <c r="P11" s="7">
        <f t="shared" si="1"/>
        <v>50.931666666666665</v>
      </c>
      <c r="Q11" t="s">
        <v>53</v>
      </c>
    </row>
    <row r="12" spans="1:21" s="6" customFormat="1" x14ac:dyDescent="0.25">
      <c r="A12" s="6">
        <v>2030249961</v>
      </c>
      <c r="B12" s="6" t="s">
        <v>264</v>
      </c>
      <c r="C12" s="6" t="s">
        <v>265</v>
      </c>
      <c r="D12" s="6" t="s">
        <v>302</v>
      </c>
      <c r="E12" s="6" t="s">
        <v>130</v>
      </c>
      <c r="F12" s="6" t="s">
        <v>49</v>
      </c>
      <c r="G12" s="5">
        <v>45870</v>
      </c>
      <c r="H12" s="1">
        <f t="shared" si="0"/>
        <v>45901</v>
      </c>
      <c r="I12" t="s">
        <v>38</v>
      </c>
      <c r="J12" t="s">
        <v>51</v>
      </c>
      <c r="K12" s="7">
        <v>146.41</v>
      </c>
      <c r="L12" s="7">
        <v>146.41</v>
      </c>
      <c r="M12" s="6">
        <v>6</v>
      </c>
      <c r="N12" s="8">
        <v>0.75</v>
      </c>
      <c r="O12" s="7">
        <v>658.85</v>
      </c>
      <c r="P12" s="7">
        <f t="shared" si="1"/>
        <v>109.80833333333334</v>
      </c>
      <c r="Q12" t="s">
        <v>318</v>
      </c>
      <c r="R12"/>
      <c r="S12"/>
      <c r="T12"/>
      <c r="U12"/>
    </row>
    <row r="13" spans="1:21" s="6" customFormat="1" x14ac:dyDescent="0.25">
      <c r="A13" s="6">
        <v>2030069421</v>
      </c>
      <c r="B13" s="6" t="s">
        <v>128</v>
      </c>
      <c r="C13" s="6" t="s">
        <v>60</v>
      </c>
      <c r="D13" s="6" t="s">
        <v>302</v>
      </c>
      <c r="E13" s="6" t="s">
        <v>130</v>
      </c>
      <c r="F13" s="6" t="s">
        <v>56</v>
      </c>
      <c r="G13" s="5">
        <v>45870</v>
      </c>
      <c r="H13" s="1">
        <f t="shared" si="0"/>
        <v>45901</v>
      </c>
      <c r="I13" t="s">
        <v>38</v>
      </c>
      <c r="J13" t="s">
        <v>51</v>
      </c>
      <c r="K13" s="7">
        <v>71.83</v>
      </c>
      <c r="L13" s="7">
        <v>71.83</v>
      </c>
      <c r="M13" s="6">
        <v>6</v>
      </c>
      <c r="N13" s="8">
        <v>0.9</v>
      </c>
      <c r="O13" s="7">
        <v>387.88</v>
      </c>
      <c r="P13" s="7">
        <f t="shared" si="1"/>
        <v>64.646666666666661</v>
      </c>
      <c r="Q13" s="6" t="s">
        <v>319</v>
      </c>
      <c r="R13"/>
      <c r="S13"/>
      <c r="T13"/>
      <c r="U13"/>
    </row>
    <row r="14" spans="1:21" s="6" customFormat="1" x14ac:dyDescent="0.25">
      <c r="A14" s="6">
        <v>2030069420</v>
      </c>
      <c r="B14" s="6" t="s">
        <v>128</v>
      </c>
      <c r="C14" s="6" t="s">
        <v>60</v>
      </c>
      <c r="D14" s="6" t="s">
        <v>302</v>
      </c>
      <c r="E14" s="6" t="s">
        <v>130</v>
      </c>
      <c r="F14" s="6" t="s">
        <v>53</v>
      </c>
      <c r="G14" s="5">
        <v>45870</v>
      </c>
      <c r="H14" s="1">
        <f t="shared" si="0"/>
        <v>45901</v>
      </c>
      <c r="I14" t="s">
        <v>38</v>
      </c>
      <c r="J14" t="s">
        <v>51</v>
      </c>
      <c r="K14" s="7">
        <v>27.5</v>
      </c>
      <c r="L14" s="7">
        <v>27.5</v>
      </c>
      <c r="M14" s="6">
        <v>6</v>
      </c>
      <c r="N14" s="8">
        <v>0.7</v>
      </c>
      <c r="O14" s="7">
        <v>115.5</v>
      </c>
      <c r="P14" s="7">
        <f t="shared" si="1"/>
        <v>19.25</v>
      </c>
      <c r="Q14" t="s">
        <v>53</v>
      </c>
    </row>
    <row r="15" spans="1:21" s="6" customFormat="1" x14ac:dyDescent="0.25">
      <c r="A15" s="6">
        <v>2030240612</v>
      </c>
      <c r="B15" s="6" t="s">
        <v>245</v>
      </c>
      <c r="C15" s="6" t="s">
        <v>60</v>
      </c>
      <c r="D15" s="6" t="s">
        <v>302</v>
      </c>
      <c r="E15" s="6" t="s">
        <v>130</v>
      </c>
      <c r="F15" s="6" t="s">
        <v>53</v>
      </c>
      <c r="G15" s="5">
        <v>45901</v>
      </c>
      <c r="H15" s="1">
        <f t="shared" si="0"/>
        <v>45931</v>
      </c>
      <c r="I15" t="s">
        <v>38</v>
      </c>
      <c r="J15" t="s">
        <v>51</v>
      </c>
      <c r="K15" s="7">
        <v>61.08</v>
      </c>
      <c r="L15" s="7">
        <v>61.08</v>
      </c>
      <c r="M15" s="6">
        <v>6</v>
      </c>
      <c r="N15" s="8">
        <v>0.7</v>
      </c>
      <c r="O15" s="7">
        <v>256.54000000000002</v>
      </c>
      <c r="P15" s="7">
        <f t="shared" si="1"/>
        <v>42.756666666666668</v>
      </c>
      <c r="Q15" t="s">
        <v>53</v>
      </c>
      <c r="R15"/>
      <c r="S15"/>
      <c r="T15"/>
      <c r="U15"/>
    </row>
    <row r="16" spans="1:21" s="6" customFormat="1" x14ac:dyDescent="0.25">
      <c r="A16" s="6">
        <v>2030240610</v>
      </c>
      <c r="B16" s="6" t="s">
        <v>245</v>
      </c>
      <c r="C16" s="6" t="s">
        <v>60</v>
      </c>
      <c r="D16" s="6" t="s">
        <v>302</v>
      </c>
      <c r="E16" s="6" t="s">
        <v>130</v>
      </c>
      <c r="F16" s="6" t="s">
        <v>86</v>
      </c>
      <c r="G16" s="5">
        <v>45901</v>
      </c>
      <c r="H16" s="1">
        <f t="shared" si="0"/>
        <v>45931</v>
      </c>
      <c r="I16" t="s">
        <v>38</v>
      </c>
      <c r="J16" t="s">
        <v>51</v>
      </c>
      <c r="K16" s="7">
        <v>77.48</v>
      </c>
      <c r="L16" s="7">
        <v>77.48</v>
      </c>
      <c r="M16" s="6">
        <v>6</v>
      </c>
      <c r="N16" s="8">
        <v>0.375</v>
      </c>
      <c r="O16" s="7">
        <v>174.33</v>
      </c>
      <c r="P16" s="7">
        <f t="shared" si="1"/>
        <v>29.055000000000003</v>
      </c>
      <c r="Q16" t="s">
        <v>86</v>
      </c>
      <c r="R16"/>
      <c r="S16"/>
      <c r="T16"/>
      <c r="U16"/>
    </row>
    <row r="17" spans="1:21" s="6" customFormat="1" x14ac:dyDescent="0.25">
      <c r="A17" s="6">
        <v>2030249959</v>
      </c>
      <c r="B17" s="6" t="s">
        <v>264</v>
      </c>
      <c r="C17" s="6" t="s">
        <v>265</v>
      </c>
      <c r="D17" s="6" t="s">
        <v>302</v>
      </c>
      <c r="E17" s="6" t="s">
        <v>130</v>
      </c>
      <c r="F17" s="6" t="s">
        <v>86</v>
      </c>
      <c r="G17" s="5">
        <v>45870</v>
      </c>
      <c r="H17" s="1">
        <f t="shared" si="0"/>
        <v>45901</v>
      </c>
      <c r="I17" t="s">
        <v>38</v>
      </c>
      <c r="J17" t="s">
        <v>51</v>
      </c>
      <c r="K17" s="7">
        <v>116.12</v>
      </c>
      <c r="L17" s="7">
        <v>116.12</v>
      </c>
      <c r="M17" s="6">
        <v>6</v>
      </c>
      <c r="N17" s="8">
        <v>0.375</v>
      </c>
      <c r="O17" s="7">
        <v>261.27</v>
      </c>
      <c r="P17" s="7">
        <f t="shared" si="1"/>
        <v>43.544999999999995</v>
      </c>
      <c r="Q17" t="s">
        <v>86</v>
      </c>
      <c r="R17"/>
      <c r="S17"/>
      <c r="T17"/>
      <c r="U17"/>
    </row>
    <row r="18" spans="1:21" s="6" customFormat="1" x14ac:dyDescent="0.25">
      <c r="A18" s="6">
        <v>2030240611</v>
      </c>
      <c r="B18" s="6" t="s">
        <v>245</v>
      </c>
      <c r="C18" s="6" t="s">
        <v>60</v>
      </c>
      <c r="D18" s="6" t="s">
        <v>302</v>
      </c>
      <c r="E18" s="6" t="s">
        <v>130</v>
      </c>
      <c r="F18" s="6" t="s">
        <v>117</v>
      </c>
      <c r="G18" s="5">
        <v>45901</v>
      </c>
      <c r="H18" s="1">
        <f t="shared" si="0"/>
        <v>45931</v>
      </c>
      <c r="I18" t="s">
        <v>38</v>
      </c>
      <c r="J18" t="s">
        <v>51</v>
      </c>
      <c r="K18" s="7">
        <v>163.25</v>
      </c>
      <c r="L18" s="7">
        <v>163.25</v>
      </c>
      <c r="M18" s="6">
        <v>6</v>
      </c>
      <c r="N18" s="8">
        <v>0.9</v>
      </c>
      <c r="O18" s="7">
        <v>881.55</v>
      </c>
      <c r="P18" s="7">
        <f t="shared" si="1"/>
        <v>146.92499999999998</v>
      </c>
      <c r="Q18" t="s">
        <v>117</v>
      </c>
      <c r="R18"/>
      <c r="S18"/>
      <c r="T18"/>
      <c r="U18"/>
    </row>
    <row r="19" spans="1:21" s="6" customFormat="1" x14ac:dyDescent="0.25">
      <c r="A19" s="6">
        <v>2030249960</v>
      </c>
      <c r="B19" s="6" t="s">
        <v>264</v>
      </c>
      <c r="C19" s="6" t="s">
        <v>265</v>
      </c>
      <c r="D19" s="6" t="s">
        <v>302</v>
      </c>
      <c r="E19" s="6" t="s">
        <v>130</v>
      </c>
      <c r="F19" s="6" t="s">
        <v>117</v>
      </c>
      <c r="G19" s="5">
        <v>45870</v>
      </c>
      <c r="H19" s="1">
        <f t="shared" si="0"/>
        <v>45901</v>
      </c>
      <c r="I19" t="s">
        <v>38</v>
      </c>
      <c r="J19" t="s">
        <v>51</v>
      </c>
      <c r="K19" s="7">
        <v>334.75</v>
      </c>
      <c r="L19" s="7">
        <v>334.75</v>
      </c>
      <c r="M19" s="6">
        <v>6</v>
      </c>
      <c r="N19" s="8">
        <v>0.9</v>
      </c>
      <c r="O19" s="7">
        <v>1807.65</v>
      </c>
      <c r="P19" s="7">
        <f t="shared" si="1"/>
        <v>301.27500000000003</v>
      </c>
      <c r="Q19" t="s">
        <v>117</v>
      </c>
      <c r="R19"/>
      <c r="S19"/>
      <c r="T19"/>
      <c r="U19"/>
    </row>
    <row r="20" spans="1:21" s="6" customFormat="1" x14ac:dyDescent="0.25">
      <c r="A20" s="6">
        <v>2030197586</v>
      </c>
      <c r="B20" s="6" t="s">
        <v>188</v>
      </c>
      <c r="C20" s="6" t="s">
        <v>60</v>
      </c>
      <c r="D20" s="6" t="s">
        <v>303</v>
      </c>
      <c r="E20" s="6" t="s">
        <v>190</v>
      </c>
      <c r="F20" s="6" t="s">
        <v>53</v>
      </c>
      <c r="G20" s="5">
        <v>45870</v>
      </c>
      <c r="H20" s="1">
        <f t="shared" si="0"/>
        <v>45901</v>
      </c>
      <c r="I20" t="s">
        <v>38</v>
      </c>
      <c r="J20" t="s">
        <v>51</v>
      </c>
      <c r="K20" s="7">
        <v>11.5</v>
      </c>
      <c r="L20" s="7">
        <v>11.5</v>
      </c>
      <c r="M20" s="6">
        <v>6</v>
      </c>
      <c r="N20" s="8">
        <v>0.7</v>
      </c>
      <c r="O20" s="7">
        <v>48.3</v>
      </c>
      <c r="P20" s="7">
        <f t="shared" si="1"/>
        <v>8.0499999999999989</v>
      </c>
      <c r="Q20" t="s">
        <v>53</v>
      </c>
      <c r="R20"/>
      <c r="S20"/>
      <c r="T20"/>
      <c r="U20"/>
    </row>
    <row r="21" spans="1:21" s="6" customFormat="1" x14ac:dyDescent="0.25">
      <c r="A21" s="6">
        <v>2030197587</v>
      </c>
      <c r="B21" s="6" t="s">
        <v>188</v>
      </c>
      <c r="C21" s="6" t="s">
        <v>60</v>
      </c>
      <c r="D21" s="6" t="s">
        <v>303</v>
      </c>
      <c r="E21" s="6" t="s">
        <v>190</v>
      </c>
      <c r="F21" s="6" t="s">
        <v>86</v>
      </c>
      <c r="G21" s="5">
        <v>45870</v>
      </c>
      <c r="H21" s="1">
        <f t="shared" si="0"/>
        <v>45901</v>
      </c>
      <c r="I21" t="s">
        <v>38</v>
      </c>
      <c r="J21" t="s">
        <v>51</v>
      </c>
      <c r="K21" s="7">
        <v>77.48</v>
      </c>
      <c r="L21" s="7">
        <v>77.48</v>
      </c>
      <c r="M21" s="6">
        <v>6</v>
      </c>
      <c r="N21" s="8">
        <v>0.375</v>
      </c>
      <c r="O21" s="7">
        <v>174.33</v>
      </c>
      <c r="P21" s="7">
        <f t="shared" si="1"/>
        <v>29.055000000000003</v>
      </c>
      <c r="Q21" t="s">
        <v>86</v>
      </c>
      <c r="R21"/>
      <c r="S21"/>
      <c r="T21"/>
      <c r="U21"/>
    </row>
    <row r="22" spans="1:21" x14ac:dyDescent="0.25">
      <c r="A22" s="6">
        <v>2030178271</v>
      </c>
      <c r="B22" s="6" t="s">
        <v>163</v>
      </c>
      <c r="C22" s="6" t="s">
        <v>60</v>
      </c>
      <c r="D22" s="6" t="s">
        <v>304</v>
      </c>
      <c r="E22" s="6" t="s">
        <v>165</v>
      </c>
      <c r="F22" s="6" t="s">
        <v>53</v>
      </c>
      <c r="G22" s="5">
        <v>45870</v>
      </c>
      <c r="H22" s="1">
        <f t="shared" si="0"/>
        <v>45901</v>
      </c>
      <c r="I22" t="s">
        <v>38</v>
      </c>
      <c r="J22" t="s">
        <v>51</v>
      </c>
      <c r="K22" s="7">
        <v>88.96</v>
      </c>
      <c r="L22" s="7">
        <v>88.96</v>
      </c>
      <c r="M22" s="6">
        <v>6</v>
      </c>
      <c r="N22" s="8">
        <v>0.7</v>
      </c>
      <c r="O22" s="7">
        <v>373.63</v>
      </c>
      <c r="P22" s="7">
        <f t="shared" si="1"/>
        <v>62.271666666666668</v>
      </c>
      <c r="Q22" t="s">
        <v>53</v>
      </c>
    </row>
    <row r="23" spans="1:21" x14ac:dyDescent="0.25">
      <c r="A23" s="6">
        <v>2030178272</v>
      </c>
      <c r="B23" s="6" t="s">
        <v>163</v>
      </c>
      <c r="C23" s="6" t="s">
        <v>60</v>
      </c>
      <c r="D23" s="6" t="s">
        <v>304</v>
      </c>
      <c r="E23" s="6" t="s">
        <v>165</v>
      </c>
      <c r="F23" s="6" t="s">
        <v>86</v>
      </c>
      <c r="G23" s="5">
        <v>45870</v>
      </c>
      <c r="H23" s="1">
        <f t="shared" si="0"/>
        <v>45901</v>
      </c>
      <c r="I23" t="s">
        <v>38</v>
      </c>
      <c r="J23" t="s">
        <v>51</v>
      </c>
      <c r="K23" s="7">
        <v>77.48</v>
      </c>
      <c r="L23" s="7">
        <v>77.48</v>
      </c>
      <c r="M23" s="6">
        <v>6</v>
      </c>
      <c r="N23" s="8">
        <v>0.375</v>
      </c>
      <c r="O23" s="7">
        <v>174.33</v>
      </c>
      <c r="P23" s="7">
        <f t="shared" si="1"/>
        <v>29.055000000000003</v>
      </c>
      <c r="Q23" t="s">
        <v>86</v>
      </c>
    </row>
    <row r="24" spans="1:21" x14ac:dyDescent="0.25">
      <c r="A24" s="6">
        <v>2030295963</v>
      </c>
      <c r="B24" s="6" t="s">
        <v>284</v>
      </c>
      <c r="C24" s="6" t="s">
        <v>64</v>
      </c>
      <c r="D24" s="6" t="s">
        <v>304</v>
      </c>
      <c r="E24" s="6" t="s">
        <v>165</v>
      </c>
      <c r="F24" s="6" t="s">
        <v>86</v>
      </c>
      <c r="G24" s="5">
        <v>45873</v>
      </c>
      <c r="H24" s="1">
        <f t="shared" si="0"/>
        <v>45904</v>
      </c>
      <c r="I24" t="s">
        <v>38</v>
      </c>
      <c r="J24" t="s">
        <v>51</v>
      </c>
      <c r="K24" s="7">
        <v>107.88</v>
      </c>
      <c r="L24" s="7">
        <v>107.88</v>
      </c>
      <c r="M24" s="6">
        <v>6</v>
      </c>
      <c r="N24" s="8">
        <v>0.375</v>
      </c>
      <c r="O24" s="7">
        <v>242.73</v>
      </c>
      <c r="P24" s="7">
        <f t="shared" si="1"/>
        <v>40.454999999999998</v>
      </c>
      <c r="Q24" t="s">
        <v>86</v>
      </c>
    </row>
    <row r="25" spans="1:21" x14ac:dyDescent="0.25">
      <c r="A25" s="6">
        <v>2030192580</v>
      </c>
      <c r="B25" s="6" t="s">
        <v>177</v>
      </c>
      <c r="C25" s="6" t="s">
        <v>60</v>
      </c>
      <c r="D25" s="6" t="s">
        <v>305</v>
      </c>
      <c r="E25" s="6" t="s">
        <v>179</v>
      </c>
      <c r="F25" s="6" t="s">
        <v>53</v>
      </c>
      <c r="G25" s="5">
        <v>45870</v>
      </c>
      <c r="H25" s="1">
        <f t="shared" si="0"/>
        <v>45901</v>
      </c>
      <c r="I25" t="s">
        <v>38</v>
      </c>
      <c r="J25" t="s">
        <v>51</v>
      </c>
      <c r="K25" s="7">
        <v>49.8</v>
      </c>
      <c r="L25" s="7">
        <v>49.8</v>
      </c>
      <c r="M25" s="6">
        <v>6</v>
      </c>
      <c r="N25" s="8">
        <v>0.7</v>
      </c>
      <c r="O25" s="7">
        <v>209.16</v>
      </c>
      <c r="P25" s="7">
        <f t="shared" si="1"/>
        <v>34.86</v>
      </c>
      <c r="Q25" t="s">
        <v>53</v>
      </c>
    </row>
    <row r="26" spans="1:21" s="6" customFormat="1" x14ac:dyDescent="0.25">
      <c r="A26" s="6">
        <v>2030207729</v>
      </c>
      <c r="B26" s="6" t="s">
        <v>198</v>
      </c>
      <c r="C26" s="6" t="s">
        <v>112</v>
      </c>
      <c r="D26" s="6" t="s">
        <v>306</v>
      </c>
      <c r="E26" s="6" t="s">
        <v>200</v>
      </c>
      <c r="F26" s="6" t="s">
        <v>53</v>
      </c>
      <c r="G26" s="5">
        <v>45870</v>
      </c>
      <c r="H26" s="1">
        <f t="shared" si="0"/>
        <v>45901</v>
      </c>
      <c r="I26" t="s">
        <v>38</v>
      </c>
      <c r="J26" t="s">
        <v>51</v>
      </c>
      <c r="K26" s="7">
        <v>36.58</v>
      </c>
      <c r="L26" s="7">
        <v>36.58</v>
      </c>
      <c r="M26" s="6">
        <v>6</v>
      </c>
      <c r="N26" s="8">
        <v>0.7</v>
      </c>
      <c r="O26" s="7">
        <v>153.63999999999999</v>
      </c>
      <c r="P26" s="7">
        <f t="shared" si="1"/>
        <v>25.606666666666666</v>
      </c>
      <c r="Q26" t="s">
        <v>53</v>
      </c>
    </row>
    <row r="27" spans="1:21" s="6" customFormat="1" x14ac:dyDescent="0.25">
      <c r="A27" s="6">
        <v>2030100049</v>
      </c>
      <c r="B27" s="6" t="s">
        <v>138</v>
      </c>
      <c r="C27" s="6" t="s">
        <v>92</v>
      </c>
      <c r="D27" s="6" t="s">
        <v>307</v>
      </c>
      <c r="E27" s="6" t="s">
        <v>140</v>
      </c>
      <c r="F27" s="6" t="s">
        <v>53</v>
      </c>
      <c r="G27" s="5">
        <v>45870</v>
      </c>
      <c r="H27" s="1">
        <f t="shared" si="0"/>
        <v>45901</v>
      </c>
      <c r="I27" t="s">
        <v>38</v>
      </c>
      <c r="J27" t="s">
        <v>51</v>
      </c>
      <c r="K27" s="7">
        <v>89.52</v>
      </c>
      <c r="L27" s="7">
        <v>89.52</v>
      </c>
      <c r="M27" s="6">
        <v>6</v>
      </c>
      <c r="N27" s="8">
        <v>0.7</v>
      </c>
      <c r="O27" s="7">
        <v>375.98</v>
      </c>
      <c r="P27" s="7">
        <f t="shared" si="1"/>
        <v>62.663333333333334</v>
      </c>
      <c r="Q27" t="s">
        <v>53</v>
      </c>
    </row>
    <row r="28" spans="1:21" s="6" customFormat="1" x14ac:dyDescent="0.25">
      <c r="A28" s="6">
        <v>2030100050</v>
      </c>
      <c r="B28" s="6" t="s">
        <v>138</v>
      </c>
      <c r="C28" s="6" t="s">
        <v>92</v>
      </c>
      <c r="D28" s="6" t="s">
        <v>307</v>
      </c>
      <c r="E28" s="6" t="s">
        <v>140</v>
      </c>
      <c r="F28" s="6" t="s">
        <v>86</v>
      </c>
      <c r="G28" s="5">
        <v>45870</v>
      </c>
      <c r="H28" s="1">
        <f t="shared" si="0"/>
        <v>45901</v>
      </c>
      <c r="I28" t="s">
        <v>38</v>
      </c>
      <c r="J28" t="s">
        <v>51</v>
      </c>
      <c r="K28" s="7">
        <v>28.38</v>
      </c>
      <c r="L28" s="7">
        <v>28.38</v>
      </c>
      <c r="M28" s="6">
        <v>6</v>
      </c>
      <c r="N28" s="8">
        <v>0.375</v>
      </c>
      <c r="O28" s="7">
        <v>63.86</v>
      </c>
      <c r="P28" s="7">
        <f t="shared" si="1"/>
        <v>10.643333333333333</v>
      </c>
      <c r="Q28" t="s">
        <v>86</v>
      </c>
      <c r="R28"/>
      <c r="S28"/>
      <c r="T28"/>
      <c r="U28"/>
    </row>
    <row r="29" spans="1:21" s="6" customFormat="1" x14ac:dyDescent="0.25">
      <c r="A29" s="6">
        <v>2030032830</v>
      </c>
      <c r="B29" s="6" t="s">
        <v>121</v>
      </c>
      <c r="C29" s="6" t="s">
        <v>60</v>
      </c>
      <c r="D29" s="6" t="s">
        <v>308</v>
      </c>
      <c r="E29" s="6" t="s">
        <v>123</v>
      </c>
      <c r="F29" s="6" t="s">
        <v>81</v>
      </c>
      <c r="G29" s="5">
        <v>45870</v>
      </c>
      <c r="H29" s="1">
        <f t="shared" si="0"/>
        <v>45901</v>
      </c>
      <c r="I29" t="s">
        <v>38</v>
      </c>
      <c r="J29" t="s">
        <v>51</v>
      </c>
      <c r="K29" s="7">
        <v>21.4</v>
      </c>
      <c r="L29" s="7">
        <v>21.4</v>
      </c>
      <c r="M29" s="6">
        <v>6</v>
      </c>
      <c r="N29" s="8">
        <v>0.75</v>
      </c>
      <c r="O29" s="7">
        <v>96.3</v>
      </c>
      <c r="P29" s="7">
        <f t="shared" si="1"/>
        <v>16.05</v>
      </c>
      <c r="Q29" s="6" t="s">
        <v>318</v>
      </c>
    </row>
    <row r="30" spans="1:21" s="6" customFormat="1" x14ac:dyDescent="0.25">
      <c r="A30" s="6">
        <v>2030199399</v>
      </c>
      <c r="B30" s="6" t="s">
        <v>192</v>
      </c>
      <c r="C30" s="6" t="s">
        <v>193</v>
      </c>
      <c r="D30" s="6" t="s">
        <v>308</v>
      </c>
      <c r="E30" s="6" t="s">
        <v>123</v>
      </c>
      <c r="F30" s="6" t="s">
        <v>49</v>
      </c>
      <c r="G30" s="5">
        <v>45870</v>
      </c>
      <c r="H30" s="1">
        <f t="shared" si="0"/>
        <v>45901</v>
      </c>
      <c r="I30" t="s">
        <v>38</v>
      </c>
      <c r="J30" t="s">
        <v>51</v>
      </c>
      <c r="K30" s="7">
        <v>7.66</v>
      </c>
      <c r="L30" s="7">
        <v>7.66</v>
      </c>
      <c r="M30" s="6">
        <v>6</v>
      </c>
      <c r="N30" s="8">
        <v>0.75</v>
      </c>
      <c r="O30" s="7">
        <v>34.47</v>
      </c>
      <c r="P30" s="7">
        <f t="shared" si="1"/>
        <v>5.7450000000000001</v>
      </c>
      <c r="Q30" t="s">
        <v>318</v>
      </c>
      <c r="R30"/>
      <c r="S30"/>
      <c r="T30"/>
      <c r="U30"/>
    </row>
    <row r="31" spans="1:21" x14ac:dyDescent="0.25">
      <c r="A31" s="6">
        <v>2030221959</v>
      </c>
      <c r="B31" s="6" t="s">
        <v>230</v>
      </c>
      <c r="C31" s="6" t="s">
        <v>193</v>
      </c>
      <c r="D31" s="6" t="s">
        <v>308</v>
      </c>
      <c r="E31" s="6" t="s">
        <v>123</v>
      </c>
      <c r="F31" s="6" t="s">
        <v>49</v>
      </c>
      <c r="G31" s="5">
        <v>45870</v>
      </c>
      <c r="H31" s="1">
        <f t="shared" si="0"/>
        <v>45901</v>
      </c>
      <c r="I31" t="s">
        <v>38</v>
      </c>
      <c r="J31" t="s">
        <v>51</v>
      </c>
      <c r="K31" s="7">
        <v>42.85</v>
      </c>
      <c r="L31" s="7">
        <v>42.85</v>
      </c>
      <c r="M31" s="6">
        <v>6</v>
      </c>
      <c r="N31" s="8">
        <v>0.75</v>
      </c>
      <c r="O31" s="7">
        <v>192.83</v>
      </c>
      <c r="P31" s="7">
        <f t="shared" si="1"/>
        <v>32.138333333333335</v>
      </c>
      <c r="Q31" t="s">
        <v>318</v>
      </c>
    </row>
    <row r="32" spans="1:21" x14ac:dyDescent="0.25">
      <c r="A32" s="6">
        <v>2030032829</v>
      </c>
      <c r="B32" s="6" t="s">
        <v>121</v>
      </c>
      <c r="C32" s="6" t="s">
        <v>60</v>
      </c>
      <c r="D32" s="6" t="s">
        <v>308</v>
      </c>
      <c r="E32" s="6" t="s">
        <v>123</v>
      </c>
      <c r="F32" s="6" t="s">
        <v>53</v>
      </c>
      <c r="G32" s="5">
        <v>45870</v>
      </c>
      <c r="H32" s="1">
        <f t="shared" si="0"/>
        <v>45901</v>
      </c>
      <c r="I32" t="s">
        <v>38</v>
      </c>
      <c r="J32" t="s">
        <v>51</v>
      </c>
      <c r="K32" s="7">
        <v>58.24</v>
      </c>
      <c r="L32" s="7">
        <v>58.24</v>
      </c>
      <c r="M32" s="6">
        <v>6</v>
      </c>
      <c r="N32" s="8">
        <v>0.7</v>
      </c>
      <c r="O32" s="7">
        <v>244.61</v>
      </c>
      <c r="P32" s="7">
        <f t="shared" si="1"/>
        <v>40.768333333333338</v>
      </c>
      <c r="Q32" t="s">
        <v>53</v>
      </c>
    </row>
    <row r="33" spans="1:21" x14ac:dyDescent="0.25">
      <c r="A33" s="6">
        <v>2030199398</v>
      </c>
      <c r="B33" s="6" t="s">
        <v>192</v>
      </c>
      <c r="C33" s="6" t="s">
        <v>193</v>
      </c>
      <c r="D33" s="6" t="s">
        <v>308</v>
      </c>
      <c r="E33" s="6" t="s">
        <v>123</v>
      </c>
      <c r="F33" s="6" t="s">
        <v>53</v>
      </c>
      <c r="G33" s="5">
        <v>45870</v>
      </c>
      <c r="H33" s="1">
        <f t="shared" si="0"/>
        <v>45901</v>
      </c>
      <c r="I33" t="s">
        <v>38</v>
      </c>
      <c r="J33" t="s">
        <v>51</v>
      </c>
      <c r="K33" s="7">
        <v>9.1</v>
      </c>
      <c r="L33" s="7">
        <v>9.1</v>
      </c>
      <c r="M33" s="6">
        <v>6</v>
      </c>
      <c r="N33" s="8">
        <v>0.7</v>
      </c>
      <c r="O33" s="7">
        <v>38.22</v>
      </c>
      <c r="P33" s="7">
        <f t="shared" si="1"/>
        <v>6.37</v>
      </c>
      <c r="Q33" t="s">
        <v>53</v>
      </c>
    </row>
    <row r="34" spans="1:21" x14ac:dyDescent="0.25">
      <c r="A34" s="6">
        <v>2030221958</v>
      </c>
      <c r="B34" s="6" t="s">
        <v>230</v>
      </c>
      <c r="C34" s="6" t="s">
        <v>193</v>
      </c>
      <c r="D34" s="6" t="s">
        <v>308</v>
      </c>
      <c r="E34" s="6" t="s">
        <v>123</v>
      </c>
      <c r="F34" s="6" t="s">
        <v>53</v>
      </c>
      <c r="G34" s="5">
        <v>45870</v>
      </c>
      <c r="H34" s="1">
        <f t="shared" ref="H34:H65" si="2">DATE(YEAR(G34), MONTH(G34) +1, DAY(G34))</f>
        <v>45901</v>
      </c>
      <c r="I34" t="s">
        <v>38</v>
      </c>
      <c r="J34" t="s">
        <v>51</v>
      </c>
      <c r="K34" s="7">
        <v>18.28</v>
      </c>
      <c r="L34" s="7">
        <v>18.28</v>
      </c>
      <c r="M34" s="6">
        <v>6</v>
      </c>
      <c r="N34" s="8">
        <v>0.7</v>
      </c>
      <c r="O34" s="7">
        <v>76.78</v>
      </c>
      <c r="P34" s="7">
        <f t="shared" si="1"/>
        <v>12.796666666666667</v>
      </c>
      <c r="Q34" t="s">
        <v>53</v>
      </c>
    </row>
    <row r="35" spans="1:21" x14ac:dyDescent="0.25">
      <c r="A35" s="6">
        <v>2030199397</v>
      </c>
      <c r="B35" s="6" t="s">
        <v>192</v>
      </c>
      <c r="C35" s="6" t="s">
        <v>193</v>
      </c>
      <c r="D35" s="6" t="s">
        <v>308</v>
      </c>
      <c r="E35" s="6" t="s">
        <v>123</v>
      </c>
      <c r="F35" s="6" t="s">
        <v>86</v>
      </c>
      <c r="G35" s="5">
        <v>45870</v>
      </c>
      <c r="H35" s="1">
        <f t="shared" si="2"/>
        <v>45901</v>
      </c>
      <c r="I35" t="s">
        <v>38</v>
      </c>
      <c r="J35" t="s">
        <v>51</v>
      </c>
      <c r="K35" s="7">
        <v>63.62</v>
      </c>
      <c r="L35" s="7">
        <v>63.62</v>
      </c>
      <c r="M35" s="6">
        <v>6</v>
      </c>
      <c r="N35" s="8">
        <v>0.375</v>
      </c>
      <c r="O35" s="7">
        <v>143.15</v>
      </c>
      <c r="P35" s="7">
        <f t="shared" si="1"/>
        <v>23.858333333333334</v>
      </c>
      <c r="Q35" t="s">
        <v>86</v>
      </c>
    </row>
    <row r="36" spans="1:21" x14ac:dyDescent="0.25">
      <c r="A36" s="6">
        <v>2030221957</v>
      </c>
      <c r="B36" s="6" t="s">
        <v>230</v>
      </c>
      <c r="C36" s="6" t="s">
        <v>193</v>
      </c>
      <c r="D36" s="6" t="s">
        <v>308</v>
      </c>
      <c r="E36" s="6" t="s">
        <v>123</v>
      </c>
      <c r="F36" s="6" t="s">
        <v>86</v>
      </c>
      <c r="G36" s="5">
        <v>45870</v>
      </c>
      <c r="H36" s="1">
        <f t="shared" si="2"/>
        <v>45901</v>
      </c>
      <c r="I36" t="s">
        <v>38</v>
      </c>
      <c r="J36" t="s">
        <v>51</v>
      </c>
      <c r="K36" s="7">
        <v>125.4</v>
      </c>
      <c r="L36" s="7">
        <v>125.4</v>
      </c>
      <c r="M36" s="6">
        <v>6</v>
      </c>
      <c r="N36" s="8">
        <v>0.375</v>
      </c>
      <c r="O36" s="7">
        <v>282.14999999999998</v>
      </c>
      <c r="P36" s="7">
        <f t="shared" si="1"/>
        <v>47.024999999999999</v>
      </c>
      <c r="Q36" t="s">
        <v>86</v>
      </c>
    </row>
    <row r="37" spans="1:21" x14ac:dyDescent="0.25">
      <c r="A37" s="6">
        <v>2030245942</v>
      </c>
      <c r="B37" s="6" t="s">
        <v>256</v>
      </c>
      <c r="C37" s="6" t="s">
        <v>92</v>
      </c>
      <c r="D37" s="6" t="s">
        <v>309</v>
      </c>
      <c r="E37" s="6" t="s">
        <v>258</v>
      </c>
      <c r="F37" s="6" t="s">
        <v>53</v>
      </c>
      <c r="G37" s="5">
        <v>45870</v>
      </c>
      <c r="H37" s="1">
        <f t="shared" si="2"/>
        <v>45901</v>
      </c>
      <c r="I37" t="s">
        <v>38</v>
      </c>
      <c r="J37" t="s">
        <v>51</v>
      </c>
      <c r="K37" s="7">
        <v>55.89</v>
      </c>
      <c r="L37" s="7">
        <v>55.89</v>
      </c>
      <c r="M37" s="6">
        <v>6</v>
      </c>
      <c r="N37" s="8">
        <v>0.7</v>
      </c>
      <c r="O37" s="7">
        <v>234.74</v>
      </c>
      <c r="P37" s="7">
        <f t="shared" si="1"/>
        <v>39.123333333333335</v>
      </c>
      <c r="Q37" t="s">
        <v>53</v>
      </c>
    </row>
    <row r="38" spans="1:21" x14ac:dyDescent="0.25">
      <c r="A38" s="6">
        <v>2030260596</v>
      </c>
      <c r="B38" s="6" t="s">
        <v>274</v>
      </c>
      <c r="C38" s="6" t="s">
        <v>100</v>
      </c>
      <c r="D38" s="6" t="s">
        <v>309</v>
      </c>
      <c r="E38" s="6" t="s">
        <v>258</v>
      </c>
      <c r="F38" s="6" t="s">
        <v>53</v>
      </c>
      <c r="G38" s="5">
        <v>45871</v>
      </c>
      <c r="H38" s="1">
        <f t="shared" si="2"/>
        <v>45902</v>
      </c>
      <c r="I38" t="s">
        <v>38</v>
      </c>
      <c r="J38" t="s">
        <v>51</v>
      </c>
      <c r="K38" s="7">
        <v>10.29</v>
      </c>
      <c r="L38" s="7">
        <v>10.29</v>
      </c>
      <c r="M38" s="6">
        <v>6</v>
      </c>
      <c r="N38" s="8">
        <v>0.7</v>
      </c>
      <c r="O38" s="7">
        <v>43.22</v>
      </c>
      <c r="P38" s="7">
        <f t="shared" si="1"/>
        <v>7.2033333333333331</v>
      </c>
      <c r="Q38" t="s">
        <v>53</v>
      </c>
    </row>
    <row r="39" spans="1:21" x14ac:dyDescent="0.25">
      <c r="A39" s="6">
        <v>2030260595</v>
      </c>
      <c r="B39" s="6" t="s">
        <v>274</v>
      </c>
      <c r="C39" s="6" t="s">
        <v>100</v>
      </c>
      <c r="D39" s="6" t="s">
        <v>309</v>
      </c>
      <c r="E39" s="6" t="s">
        <v>258</v>
      </c>
      <c r="F39" s="6" t="s">
        <v>86</v>
      </c>
      <c r="G39" s="5">
        <v>45871</v>
      </c>
      <c r="H39" s="1">
        <f t="shared" si="2"/>
        <v>45902</v>
      </c>
      <c r="I39" t="s">
        <v>38</v>
      </c>
      <c r="J39" t="s">
        <v>51</v>
      </c>
      <c r="K39" s="7">
        <v>24.54</v>
      </c>
      <c r="L39" s="7">
        <v>24.54</v>
      </c>
      <c r="M39" s="6">
        <v>6</v>
      </c>
      <c r="N39" s="8">
        <v>0.375</v>
      </c>
      <c r="O39" s="7">
        <v>55.22</v>
      </c>
      <c r="P39" s="7">
        <f t="shared" si="1"/>
        <v>9.2033333333333331</v>
      </c>
      <c r="Q39" t="s">
        <v>86</v>
      </c>
    </row>
    <row r="40" spans="1:21" x14ac:dyDescent="0.25">
      <c r="A40" s="6">
        <v>2029846252</v>
      </c>
      <c r="B40" s="6" t="s">
        <v>82</v>
      </c>
      <c r="C40" s="6" t="s">
        <v>83</v>
      </c>
      <c r="D40" s="6" t="s">
        <v>310</v>
      </c>
      <c r="E40" s="6" t="s">
        <v>85</v>
      </c>
      <c r="F40" s="6" t="s">
        <v>53</v>
      </c>
      <c r="G40" s="5">
        <v>45870</v>
      </c>
      <c r="H40" s="1">
        <f t="shared" si="2"/>
        <v>45901</v>
      </c>
      <c r="I40" t="s">
        <v>38</v>
      </c>
      <c r="J40" t="s">
        <v>51</v>
      </c>
      <c r="K40" s="7">
        <v>254.94</v>
      </c>
      <c r="L40" s="7">
        <v>254.94</v>
      </c>
      <c r="M40" s="6">
        <v>6</v>
      </c>
      <c r="N40" s="8">
        <v>0.7</v>
      </c>
      <c r="O40" s="7">
        <v>1070.75</v>
      </c>
      <c r="P40" s="7">
        <f t="shared" si="1"/>
        <v>178.45833333333334</v>
      </c>
      <c r="Q40" t="s">
        <v>53</v>
      </c>
    </row>
    <row r="41" spans="1:21" x14ac:dyDescent="0.25">
      <c r="A41" s="6">
        <v>2029989548</v>
      </c>
      <c r="B41" s="6" t="s">
        <v>110</v>
      </c>
      <c r="C41" s="6" t="s">
        <v>83</v>
      </c>
      <c r="D41" s="6" t="s">
        <v>310</v>
      </c>
      <c r="E41" s="6" t="s">
        <v>85</v>
      </c>
      <c r="F41" s="6" t="s">
        <v>53</v>
      </c>
      <c r="G41" s="5">
        <v>45870</v>
      </c>
      <c r="H41" s="1">
        <f t="shared" si="2"/>
        <v>45901</v>
      </c>
      <c r="I41" t="s">
        <v>38</v>
      </c>
      <c r="J41" t="s">
        <v>51</v>
      </c>
      <c r="K41" s="7">
        <v>44</v>
      </c>
      <c r="L41" s="7">
        <v>44</v>
      </c>
      <c r="M41" s="6">
        <v>6</v>
      </c>
      <c r="N41" s="8">
        <v>0.7</v>
      </c>
      <c r="O41" s="7">
        <v>184.8</v>
      </c>
      <c r="P41" s="7">
        <f t="shared" si="1"/>
        <v>30.8</v>
      </c>
      <c r="Q41" t="s">
        <v>53</v>
      </c>
      <c r="R41" s="6"/>
      <c r="S41" s="6"/>
      <c r="T41" s="6"/>
      <c r="U41" s="6"/>
    </row>
    <row r="42" spans="1:21" x14ac:dyDescent="0.25">
      <c r="A42" s="6">
        <v>2029846251</v>
      </c>
      <c r="B42" s="6" t="s">
        <v>82</v>
      </c>
      <c r="C42" s="6" t="s">
        <v>83</v>
      </c>
      <c r="D42" s="6" t="s">
        <v>310</v>
      </c>
      <c r="E42" s="6" t="s">
        <v>85</v>
      </c>
      <c r="F42" s="6" t="s">
        <v>86</v>
      </c>
      <c r="G42" s="5">
        <v>45870</v>
      </c>
      <c r="H42" s="1">
        <f t="shared" si="2"/>
        <v>45901</v>
      </c>
      <c r="I42" t="s">
        <v>38</v>
      </c>
      <c r="J42" t="s">
        <v>51</v>
      </c>
      <c r="K42" s="7">
        <v>74.16</v>
      </c>
      <c r="L42" s="7">
        <v>74.16</v>
      </c>
      <c r="M42" s="6">
        <v>6</v>
      </c>
      <c r="N42" s="8">
        <v>0.375</v>
      </c>
      <c r="O42" s="7">
        <v>166.86</v>
      </c>
      <c r="P42" s="7">
        <f t="shared" si="1"/>
        <v>27.810000000000002</v>
      </c>
      <c r="Q42" t="s">
        <v>86</v>
      </c>
    </row>
    <row r="43" spans="1:21" s="6" customFormat="1" x14ac:dyDescent="0.25">
      <c r="A43" s="6">
        <v>2030302271</v>
      </c>
      <c r="B43" s="6" t="s">
        <v>285</v>
      </c>
      <c r="C43" s="6" t="s">
        <v>60</v>
      </c>
      <c r="D43" s="6" t="s">
        <v>311</v>
      </c>
      <c r="E43" s="6" t="s">
        <v>287</v>
      </c>
      <c r="F43" s="6" t="s">
        <v>86</v>
      </c>
      <c r="G43" s="5">
        <v>45873</v>
      </c>
      <c r="H43" s="1">
        <f t="shared" si="2"/>
        <v>45904</v>
      </c>
      <c r="I43" t="s">
        <v>38</v>
      </c>
      <c r="J43" t="s">
        <v>51</v>
      </c>
      <c r="K43" s="7">
        <v>71.16</v>
      </c>
      <c r="L43" s="7">
        <v>71.16</v>
      </c>
      <c r="M43" s="6">
        <v>6</v>
      </c>
      <c r="N43" s="8">
        <v>0.375</v>
      </c>
      <c r="O43" s="7">
        <v>160.11000000000001</v>
      </c>
      <c r="P43" s="7">
        <f t="shared" si="1"/>
        <v>26.685000000000002</v>
      </c>
      <c r="Q43" t="s">
        <v>86</v>
      </c>
      <c r="R43"/>
      <c r="S43"/>
      <c r="T43"/>
      <c r="U43"/>
    </row>
    <row r="44" spans="1:21" x14ac:dyDescent="0.25">
      <c r="A44" s="6">
        <v>2030178517</v>
      </c>
      <c r="B44" s="6" t="s">
        <v>166</v>
      </c>
      <c r="C44" s="6" t="s">
        <v>45</v>
      </c>
      <c r="D44" s="6" t="s">
        <v>312</v>
      </c>
      <c r="E44" s="6" t="s">
        <v>168</v>
      </c>
      <c r="F44" s="6" t="s">
        <v>53</v>
      </c>
      <c r="G44" s="5">
        <v>45867</v>
      </c>
      <c r="H44" s="1">
        <f t="shared" si="2"/>
        <v>45898</v>
      </c>
      <c r="I44" t="s">
        <v>38</v>
      </c>
      <c r="J44" t="s">
        <v>51</v>
      </c>
      <c r="K44" s="7">
        <v>31.15</v>
      </c>
      <c r="L44" s="7">
        <v>31.15</v>
      </c>
      <c r="M44" s="6">
        <v>6</v>
      </c>
      <c r="N44" s="8">
        <v>0.7</v>
      </c>
      <c r="O44" s="7">
        <v>130.83000000000001</v>
      </c>
      <c r="P44" s="7">
        <f t="shared" si="1"/>
        <v>21.805000000000003</v>
      </c>
      <c r="Q44" t="s">
        <v>53</v>
      </c>
      <c r="R44" s="6"/>
      <c r="S44" s="6"/>
      <c r="T44" s="6"/>
      <c r="U44" s="6"/>
    </row>
    <row r="45" spans="1:21" x14ac:dyDescent="0.25">
      <c r="A45" s="6">
        <v>2030188783</v>
      </c>
      <c r="B45" s="6" t="s">
        <v>174</v>
      </c>
      <c r="C45" s="6" t="s">
        <v>64</v>
      </c>
      <c r="D45" s="6" t="s">
        <v>312</v>
      </c>
      <c r="E45" s="6" t="s">
        <v>168</v>
      </c>
      <c r="F45" s="6" t="s">
        <v>53</v>
      </c>
      <c r="G45" s="5">
        <v>45871</v>
      </c>
      <c r="H45" s="1">
        <f t="shared" si="2"/>
        <v>45902</v>
      </c>
      <c r="I45" t="s">
        <v>38</v>
      </c>
      <c r="J45" t="s">
        <v>51</v>
      </c>
      <c r="K45" s="7">
        <v>110.16</v>
      </c>
      <c r="L45" s="7">
        <v>110.16</v>
      </c>
      <c r="M45" s="6">
        <v>6</v>
      </c>
      <c r="N45" s="8">
        <v>0.7</v>
      </c>
      <c r="O45" s="7">
        <v>462.67</v>
      </c>
      <c r="P45" s="7">
        <f t="shared" si="1"/>
        <v>77.111666666666665</v>
      </c>
      <c r="Q45" t="s">
        <v>53</v>
      </c>
    </row>
    <row r="46" spans="1:21" x14ac:dyDescent="0.25">
      <c r="A46" s="6">
        <v>2030244692</v>
      </c>
      <c r="B46" s="6" t="s">
        <v>255</v>
      </c>
      <c r="C46" s="6" t="s">
        <v>64</v>
      </c>
      <c r="D46" s="6" t="s">
        <v>312</v>
      </c>
      <c r="E46" s="6" t="s">
        <v>168</v>
      </c>
      <c r="F46" s="6" t="s">
        <v>53</v>
      </c>
      <c r="G46" s="5">
        <v>45870</v>
      </c>
      <c r="H46" s="1">
        <f t="shared" si="2"/>
        <v>45901</v>
      </c>
      <c r="I46" t="s">
        <v>38</v>
      </c>
      <c r="J46" t="s">
        <v>51</v>
      </c>
      <c r="K46" s="7">
        <v>62.15</v>
      </c>
      <c r="L46" s="7">
        <v>62.15</v>
      </c>
      <c r="M46" s="6">
        <v>6</v>
      </c>
      <c r="N46" s="8">
        <v>0.7</v>
      </c>
      <c r="O46" s="7">
        <v>261.02999999999997</v>
      </c>
      <c r="P46" s="7">
        <f t="shared" si="1"/>
        <v>43.504999999999995</v>
      </c>
      <c r="Q46" t="s">
        <v>53</v>
      </c>
      <c r="R46" s="6"/>
      <c r="S46" s="6"/>
      <c r="T46" s="6"/>
      <c r="U46" s="6"/>
    </row>
    <row r="47" spans="1:21" x14ac:dyDescent="0.25">
      <c r="A47" s="6">
        <v>2030178516</v>
      </c>
      <c r="B47" s="6" t="s">
        <v>166</v>
      </c>
      <c r="C47" s="6" t="s">
        <v>45</v>
      </c>
      <c r="D47" s="6" t="s">
        <v>312</v>
      </c>
      <c r="E47" s="6" t="s">
        <v>168</v>
      </c>
      <c r="F47" s="6" t="s">
        <v>86</v>
      </c>
      <c r="G47" s="5">
        <v>45867</v>
      </c>
      <c r="H47" s="1">
        <f t="shared" si="2"/>
        <v>45898</v>
      </c>
      <c r="I47" t="s">
        <v>38</v>
      </c>
      <c r="J47" t="s">
        <v>51</v>
      </c>
      <c r="K47" s="7">
        <v>23.34</v>
      </c>
      <c r="L47" s="7">
        <v>23.34</v>
      </c>
      <c r="M47" s="6">
        <v>6</v>
      </c>
      <c r="N47" s="8">
        <v>0.375</v>
      </c>
      <c r="O47" s="7">
        <v>52.52</v>
      </c>
      <c r="P47" s="7">
        <f t="shared" si="1"/>
        <v>8.7533333333333339</v>
      </c>
      <c r="Q47" t="s">
        <v>86</v>
      </c>
    </row>
    <row r="48" spans="1:21" x14ac:dyDescent="0.25">
      <c r="A48" s="6">
        <v>2030188782</v>
      </c>
      <c r="B48" s="6" t="s">
        <v>174</v>
      </c>
      <c r="C48" s="6" t="s">
        <v>64</v>
      </c>
      <c r="D48" s="6" t="s">
        <v>312</v>
      </c>
      <c r="E48" s="6" t="s">
        <v>168</v>
      </c>
      <c r="F48" s="6" t="s">
        <v>86</v>
      </c>
      <c r="G48" s="5">
        <v>45871</v>
      </c>
      <c r="H48" s="1">
        <f t="shared" si="2"/>
        <v>45902</v>
      </c>
      <c r="I48" t="s">
        <v>38</v>
      </c>
      <c r="J48" t="s">
        <v>51</v>
      </c>
      <c r="K48" s="7">
        <v>27.49</v>
      </c>
      <c r="L48" s="7">
        <v>27.49</v>
      </c>
      <c r="M48" s="6">
        <v>6</v>
      </c>
      <c r="N48" s="8">
        <v>0.375</v>
      </c>
      <c r="O48" s="7">
        <v>61.85</v>
      </c>
      <c r="P48" s="7">
        <f t="shared" si="1"/>
        <v>10.308333333333334</v>
      </c>
      <c r="Q48" t="s">
        <v>86</v>
      </c>
    </row>
    <row r="49" spans="1:21" s="6" customFormat="1" x14ac:dyDescent="0.25">
      <c r="A49" s="6">
        <v>2030231567</v>
      </c>
      <c r="B49" s="6" t="s">
        <v>238</v>
      </c>
      <c r="C49" s="6" t="s">
        <v>237</v>
      </c>
      <c r="D49" s="6" t="s">
        <v>312</v>
      </c>
      <c r="E49" s="6" t="s">
        <v>168</v>
      </c>
      <c r="F49" s="6" t="s">
        <v>86</v>
      </c>
      <c r="G49" s="5">
        <v>45869</v>
      </c>
      <c r="H49" s="1">
        <f t="shared" si="2"/>
        <v>45900</v>
      </c>
      <c r="I49" t="s">
        <v>38</v>
      </c>
      <c r="J49" t="s">
        <v>51</v>
      </c>
      <c r="K49" s="7">
        <v>27.04</v>
      </c>
      <c r="L49" s="7">
        <v>27.04</v>
      </c>
      <c r="M49" s="6">
        <v>6</v>
      </c>
      <c r="N49" s="8">
        <v>0.375</v>
      </c>
      <c r="O49" s="7">
        <v>60.84</v>
      </c>
      <c r="P49" s="7">
        <f t="shared" si="1"/>
        <v>10.14</v>
      </c>
      <c r="Q49" t="s">
        <v>86</v>
      </c>
      <c r="R49"/>
      <c r="S49"/>
      <c r="T49"/>
      <c r="U49"/>
    </row>
    <row r="50" spans="1:21" s="6" customFormat="1" x14ac:dyDescent="0.25">
      <c r="A50" s="6">
        <v>2030244691</v>
      </c>
      <c r="B50" s="6" t="s">
        <v>255</v>
      </c>
      <c r="C50" s="6" t="s">
        <v>64</v>
      </c>
      <c r="D50" s="6" t="s">
        <v>312</v>
      </c>
      <c r="E50" s="6" t="s">
        <v>168</v>
      </c>
      <c r="F50" s="6" t="s">
        <v>86</v>
      </c>
      <c r="G50" s="5">
        <v>45870</v>
      </c>
      <c r="H50" s="1">
        <f t="shared" si="2"/>
        <v>45901</v>
      </c>
      <c r="I50" t="s">
        <v>38</v>
      </c>
      <c r="J50" t="s">
        <v>51</v>
      </c>
      <c r="K50" s="7">
        <v>73.08</v>
      </c>
      <c r="L50" s="7">
        <v>73.08</v>
      </c>
      <c r="M50" s="6">
        <v>6</v>
      </c>
      <c r="N50" s="8">
        <v>0.375</v>
      </c>
      <c r="O50" s="7">
        <v>164.43</v>
      </c>
      <c r="P50" s="7">
        <f t="shared" si="1"/>
        <v>27.405000000000001</v>
      </c>
      <c r="Q50" t="s">
        <v>86</v>
      </c>
      <c r="R50"/>
      <c r="S50"/>
      <c r="T50"/>
      <c r="U50"/>
    </row>
    <row r="51" spans="1:21" s="6" customFormat="1" x14ac:dyDescent="0.25">
      <c r="A51" s="6">
        <v>2029774475</v>
      </c>
      <c r="B51" s="6" t="s">
        <v>71</v>
      </c>
      <c r="C51" s="6" t="s">
        <v>72</v>
      </c>
      <c r="D51" s="6" t="s">
        <v>313</v>
      </c>
      <c r="E51" s="6" t="s">
        <v>74</v>
      </c>
      <c r="F51" s="6" t="s">
        <v>75</v>
      </c>
      <c r="G51" s="5">
        <v>45870</v>
      </c>
      <c r="H51" s="1">
        <f t="shared" si="2"/>
        <v>45901</v>
      </c>
      <c r="I51" t="s">
        <v>38</v>
      </c>
      <c r="J51" t="s">
        <v>51</v>
      </c>
      <c r="K51" s="7">
        <v>101.22</v>
      </c>
      <c r="L51" s="7">
        <v>101.22</v>
      </c>
      <c r="M51" s="6">
        <v>6</v>
      </c>
      <c r="N51" s="8">
        <v>0.42</v>
      </c>
      <c r="O51" s="7">
        <v>255.07</v>
      </c>
      <c r="P51" s="7">
        <f t="shared" si="1"/>
        <v>42.511666666666663</v>
      </c>
      <c r="Q51" t="s">
        <v>75</v>
      </c>
      <c r="R51"/>
      <c r="S51"/>
      <c r="T51"/>
      <c r="U51"/>
    </row>
    <row r="52" spans="1:21" x14ac:dyDescent="0.25">
      <c r="A52" s="6">
        <v>2030247061</v>
      </c>
      <c r="B52" s="6" t="s">
        <v>259</v>
      </c>
      <c r="C52" s="6" t="s">
        <v>72</v>
      </c>
      <c r="D52" s="6" t="s">
        <v>313</v>
      </c>
      <c r="E52" s="6" t="s">
        <v>74</v>
      </c>
      <c r="F52" s="6" t="s">
        <v>262</v>
      </c>
      <c r="G52" s="5">
        <v>45870</v>
      </c>
      <c r="H52" s="1">
        <f t="shared" si="2"/>
        <v>45901</v>
      </c>
      <c r="I52" t="s">
        <v>38</v>
      </c>
      <c r="J52" t="s">
        <v>51</v>
      </c>
      <c r="K52" s="7">
        <v>15</v>
      </c>
      <c r="L52" s="7">
        <v>15</v>
      </c>
      <c r="M52" s="6">
        <v>6</v>
      </c>
      <c r="N52" s="8">
        <v>0.19</v>
      </c>
      <c r="O52" s="7">
        <v>8.5500000000000007</v>
      </c>
      <c r="P52" s="7">
        <f t="shared" si="1"/>
        <v>1.425</v>
      </c>
      <c r="Q52" t="s">
        <v>320</v>
      </c>
    </row>
    <row r="53" spans="1:21" x14ac:dyDescent="0.25">
      <c r="A53" s="6">
        <v>2030107691</v>
      </c>
      <c r="B53" s="6" t="s">
        <v>141</v>
      </c>
      <c r="C53" s="6" t="s">
        <v>72</v>
      </c>
      <c r="D53" s="6" t="s">
        <v>313</v>
      </c>
      <c r="E53" s="6" t="s">
        <v>74</v>
      </c>
      <c r="F53" s="6" t="s">
        <v>69</v>
      </c>
      <c r="G53" s="5">
        <v>45870</v>
      </c>
      <c r="H53" s="1">
        <f t="shared" si="2"/>
        <v>45901</v>
      </c>
      <c r="I53" t="s">
        <v>38</v>
      </c>
      <c r="J53" t="s">
        <v>51</v>
      </c>
      <c r="K53" s="7">
        <v>133.13</v>
      </c>
      <c r="L53" s="7">
        <v>133.13</v>
      </c>
      <c r="M53" s="6">
        <v>6</v>
      </c>
      <c r="N53" s="8">
        <v>0.47</v>
      </c>
      <c r="O53" s="7">
        <v>375.43</v>
      </c>
      <c r="P53" s="7">
        <f t="shared" si="1"/>
        <v>62.571666666666665</v>
      </c>
      <c r="Q53" s="6" t="s">
        <v>69</v>
      </c>
      <c r="R53" s="6"/>
      <c r="S53" s="6"/>
      <c r="T53" s="6"/>
      <c r="U53" s="6"/>
    </row>
    <row r="54" spans="1:21" x14ac:dyDescent="0.25">
      <c r="A54" s="6">
        <v>2030247060</v>
      </c>
      <c r="B54" s="6" t="s">
        <v>259</v>
      </c>
      <c r="C54" s="6" t="s">
        <v>72</v>
      </c>
      <c r="D54" s="6" t="s">
        <v>313</v>
      </c>
      <c r="E54" s="6" t="s">
        <v>74</v>
      </c>
      <c r="F54" s="6" t="s">
        <v>260</v>
      </c>
      <c r="G54" s="5">
        <v>45870</v>
      </c>
      <c r="H54" s="1">
        <f t="shared" si="2"/>
        <v>45901</v>
      </c>
      <c r="I54" t="s">
        <v>38</v>
      </c>
      <c r="J54" t="s">
        <v>51</v>
      </c>
      <c r="K54" s="7">
        <v>110.01</v>
      </c>
      <c r="L54" s="7">
        <v>110.01</v>
      </c>
      <c r="M54" s="6">
        <v>6</v>
      </c>
      <c r="N54" s="8">
        <v>0.19</v>
      </c>
      <c r="O54" s="7">
        <v>62.71</v>
      </c>
      <c r="P54" s="7">
        <f t="shared" si="1"/>
        <v>10.451666666666666</v>
      </c>
      <c r="Q54" t="s">
        <v>321</v>
      </c>
    </row>
    <row r="55" spans="1:21" x14ac:dyDescent="0.25">
      <c r="A55" s="6">
        <v>2030077716</v>
      </c>
      <c r="B55" s="6" t="s">
        <v>134</v>
      </c>
      <c r="C55" s="6" t="s">
        <v>72</v>
      </c>
      <c r="D55" s="6" t="s">
        <v>313</v>
      </c>
      <c r="E55" s="6" t="s">
        <v>74</v>
      </c>
      <c r="F55" s="6" t="s">
        <v>53</v>
      </c>
      <c r="G55" s="5">
        <v>45870</v>
      </c>
      <c r="H55" s="1">
        <f t="shared" si="2"/>
        <v>45901</v>
      </c>
      <c r="I55" t="s">
        <v>38</v>
      </c>
      <c r="J55" t="s">
        <v>51</v>
      </c>
      <c r="K55" s="7">
        <v>3.52</v>
      </c>
      <c r="L55" s="7">
        <v>3.52</v>
      </c>
      <c r="M55" s="6">
        <v>6</v>
      </c>
      <c r="N55" s="8">
        <v>0.7</v>
      </c>
      <c r="O55" s="7">
        <v>14.78</v>
      </c>
      <c r="P55" s="7">
        <f t="shared" si="1"/>
        <v>2.4633333333333334</v>
      </c>
      <c r="Q55" t="s">
        <v>53</v>
      </c>
      <c r="R55" s="6"/>
      <c r="S55" s="6"/>
      <c r="T55" s="6"/>
      <c r="U55" s="6"/>
    </row>
    <row r="56" spans="1:21" x14ac:dyDescent="0.25">
      <c r="A56" s="6">
        <v>2030077715</v>
      </c>
      <c r="B56" s="6" t="s">
        <v>134</v>
      </c>
      <c r="C56" s="6" t="s">
        <v>72</v>
      </c>
      <c r="D56" s="6" t="s">
        <v>313</v>
      </c>
      <c r="E56" s="6" t="s">
        <v>74</v>
      </c>
      <c r="F56" s="6" t="s">
        <v>86</v>
      </c>
      <c r="G56" s="5">
        <v>45870</v>
      </c>
      <c r="H56" s="1">
        <f t="shared" si="2"/>
        <v>45901</v>
      </c>
      <c r="I56" t="s">
        <v>38</v>
      </c>
      <c r="J56" t="s">
        <v>51</v>
      </c>
      <c r="K56" s="7">
        <v>48.15</v>
      </c>
      <c r="L56" s="7">
        <v>48.15</v>
      </c>
      <c r="M56" s="6">
        <v>6</v>
      </c>
      <c r="N56" s="8">
        <v>0.375</v>
      </c>
      <c r="O56" s="7">
        <v>108.34</v>
      </c>
      <c r="P56" s="7">
        <f t="shared" si="1"/>
        <v>18.056666666666668</v>
      </c>
      <c r="Q56" t="s">
        <v>86</v>
      </c>
    </row>
    <row r="57" spans="1:21" x14ac:dyDescent="0.25">
      <c r="A57" s="6">
        <v>2029734153</v>
      </c>
      <c r="B57" s="6" t="s">
        <v>59</v>
      </c>
      <c r="C57" s="6" t="s">
        <v>60</v>
      </c>
      <c r="D57" s="6" t="s">
        <v>314</v>
      </c>
      <c r="E57" s="6" t="s">
        <v>62</v>
      </c>
      <c r="F57" s="6" t="s">
        <v>53</v>
      </c>
      <c r="G57" s="5">
        <v>45870</v>
      </c>
      <c r="H57" s="1">
        <f t="shared" si="2"/>
        <v>45901</v>
      </c>
      <c r="I57" t="s">
        <v>38</v>
      </c>
      <c r="J57" t="s">
        <v>51</v>
      </c>
      <c r="K57" s="7">
        <v>115.38</v>
      </c>
      <c r="L57" s="7">
        <v>115.38</v>
      </c>
      <c r="M57" s="6">
        <v>6</v>
      </c>
      <c r="N57" s="8">
        <v>0.7</v>
      </c>
      <c r="O57" s="7">
        <v>484.6</v>
      </c>
      <c r="P57" s="7">
        <f t="shared" si="1"/>
        <v>80.766666666666666</v>
      </c>
      <c r="Q57" t="s">
        <v>53</v>
      </c>
    </row>
    <row r="58" spans="1:21" x14ac:dyDescent="0.25">
      <c r="A58" s="6">
        <v>2030187569</v>
      </c>
      <c r="B58" s="6" t="s">
        <v>173</v>
      </c>
      <c r="C58" s="6" t="s">
        <v>60</v>
      </c>
      <c r="D58" s="6" t="s">
        <v>314</v>
      </c>
      <c r="E58" s="6" t="s">
        <v>62</v>
      </c>
      <c r="F58" s="6" t="s">
        <v>53</v>
      </c>
      <c r="G58" s="5">
        <v>45870</v>
      </c>
      <c r="H58" s="1">
        <f t="shared" si="2"/>
        <v>45901</v>
      </c>
      <c r="I58" t="s">
        <v>38</v>
      </c>
      <c r="J58" t="s">
        <v>51</v>
      </c>
      <c r="K58" s="7">
        <v>169.06</v>
      </c>
      <c r="L58" s="7">
        <v>169.06</v>
      </c>
      <c r="M58" s="6">
        <v>6</v>
      </c>
      <c r="N58" s="8">
        <v>0.7</v>
      </c>
      <c r="O58" s="7">
        <v>710.05</v>
      </c>
      <c r="P58" s="7">
        <f t="shared" si="1"/>
        <v>118.34166666666665</v>
      </c>
      <c r="Q58" t="s">
        <v>53</v>
      </c>
    </row>
    <row r="59" spans="1:21" x14ac:dyDescent="0.25">
      <c r="A59" s="6">
        <v>2030184968</v>
      </c>
      <c r="B59" s="6" t="s">
        <v>170</v>
      </c>
      <c r="C59" s="6" t="s">
        <v>60</v>
      </c>
      <c r="D59" s="6" t="s">
        <v>315</v>
      </c>
      <c r="E59" s="6" t="s">
        <v>172</v>
      </c>
      <c r="F59" s="6" t="s">
        <v>53</v>
      </c>
      <c r="G59" s="5">
        <v>45867</v>
      </c>
      <c r="H59" s="1">
        <f t="shared" si="2"/>
        <v>45898</v>
      </c>
      <c r="I59" t="s">
        <v>38</v>
      </c>
      <c r="J59" t="s">
        <v>51</v>
      </c>
      <c r="K59" s="7">
        <v>18.45</v>
      </c>
      <c r="L59" s="7">
        <v>18.45</v>
      </c>
      <c r="M59" s="6">
        <v>6</v>
      </c>
      <c r="N59" s="8">
        <v>0.7</v>
      </c>
      <c r="O59" s="7">
        <v>77.489999999999995</v>
      </c>
      <c r="P59" s="7">
        <f t="shared" si="1"/>
        <v>12.914999999999999</v>
      </c>
      <c r="Q59" t="s">
        <v>53</v>
      </c>
    </row>
    <row r="60" spans="1:21" x14ac:dyDescent="0.25">
      <c r="A60" s="6">
        <v>2030217751</v>
      </c>
      <c r="B60" s="6" t="s">
        <v>214</v>
      </c>
      <c r="C60" s="6" t="s">
        <v>60</v>
      </c>
      <c r="D60" s="6" t="s">
        <v>315</v>
      </c>
      <c r="E60" s="6" t="s">
        <v>172</v>
      </c>
      <c r="F60" s="6" t="s">
        <v>53</v>
      </c>
      <c r="G60" s="5">
        <v>45869</v>
      </c>
      <c r="H60" s="1">
        <f t="shared" si="2"/>
        <v>45900</v>
      </c>
      <c r="I60" t="s">
        <v>38</v>
      </c>
      <c r="J60" t="s">
        <v>51</v>
      </c>
      <c r="K60" s="7">
        <v>60.8</v>
      </c>
      <c r="L60" s="7">
        <v>60.8</v>
      </c>
      <c r="M60" s="6">
        <v>6</v>
      </c>
      <c r="N60" s="8">
        <v>0.7</v>
      </c>
      <c r="O60" s="7">
        <v>255.36</v>
      </c>
      <c r="P60" s="7">
        <f t="shared" si="1"/>
        <v>42.56</v>
      </c>
      <c r="Q60" t="s">
        <v>53</v>
      </c>
    </row>
    <row r="61" spans="1:21" x14ac:dyDescent="0.25">
      <c r="A61" s="6">
        <v>2030275368</v>
      </c>
      <c r="B61" s="6" t="s">
        <v>278</v>
      </c>
      <c r="C61" s="6" t="s">
        <v>60</v>
      </c>
      <c r="D61" s="6" t="s">
        <v>315</v>
      </c>
      <c r="E61" s="6" t="s">
        <v>172</v>
      </c>
      <c r="F61" s="6" t="s">
        <v>53</v>
      </c>
      <c r="G61" s="5">
        <v>45871</v>
      </c>
      <c r="H61" s="1">
        <f t="shared" si="2"/>
        <v>45902</v>
      </c>
      <c r="I61" t="s">
        <v>38</v>
      </c>
      <c r="J61" t="s">
        <v>51</v>
      </c>
      <c r="K61" s="7">
        <v>103.18</v>
      </c>
      <c r="L61" s="7">
        <v>103.18</v>
      </c>
      <c r="M61" s="6">
        <v>6</v>
      </c>
      <c r="N61" s="8">
        <v>0.7</v>
      </c>
      <c r="O61" s="7">
        <v>433.36</v>
      </c>
      <c r="P61" s="7">
        <f t="shared" si="1"/>
        <v>72.226666666666674</v>
      </c>
      <c r="Q61" t="s">
        <v>53</v>
      </c>
    </row>
    <row r="62" spans="1:21" x14ac:dyDescent="0.25">
      <c r="A62" s="6">
        <v>2030257378</v>
      </c>
      <c r="B62" s="6" t="s">
        <v>272</v>
      </c>
      <c r="C62" s="6" t="s">
        <v>148</v>
      </c>
      <c r="D62" s="6" t="s">
        <v>316</v>
      </c>
      <c r="E62" s="6" t="s">
        <v>209</v>
      </c>
      <c r="F62" s="6" t="s">
        <v>49</v>
      </c>
      <c r="G62" s="5">
        <v>45870</v>
      </c>
      <c r="H62" s="1">
        <f t="shared" si="2"/>
        <v>45901</v>
      </c>
      <c r="I62" t="s">
        <v>38</v>
      </c>
      <c r="J62" t="s">
        <v>51</v>
      </c>
      <c r="K62" s="7">
        <v>78.849999999999994</v>
      </c>
      <c r="L62" s="7">
        <v>78.849999999999994</v>
      </c>
      <c r="M62" s="6">
        <v>6</v>
      </c>
      <c r="N62" s="8">
        <v>0.75</v>
      </c>
      <c r="O62" s="7">
        <v>354.83</v>
      </c>
      <c r="P62" s="7">
        <f t="shared" si="1"/>
        <v>59.138333333333328</v>
      </c>
      <c r="Q62" t="s">
        <v>318</v>
      </c>
      <c r="R62" s="6"/>
      <c r="S62" s="6"/>
      <c r="T62" s="6"/>
      <c r="U62" s="6"/>
    </row>
    <row r="63" spans="1:21" x14ac:dyDescent="0.25">
      <c r="A63" s="6">
        <v>2030214513</v>
      </c>
      <c r="B63" s="6" t="s">
        <v>207</v>
      </c>
      <c r="C63" s="6" t="s">
        <v>60</v>
      </c>
      <c r="D63" s="6" t="s">
        <v>316</v>
      </c>
      <c r="E63" s="6" t="s">
        <v>209</v>
      </c>
      <c r="F63" s="6" t="s">
        <v>53</v>
      </c>
      <c r="G63" s="5">
        <v>45870</v>
      </c>
      <c r="H63" s="1">
        <f t="shared" si="2"/>
        <v>45901</v>
      </c>
      <c r="I63" t="s">
        <v>38</v>
      </c>
      <c r="J63" t="s">
        <v>51</v>
      </c>
      <c r="K63" s="7">
        <v>109.2</v>
      </c>
      <c r="L63" s="7">
        <v>109.2</v>
      </c>
      <c r="M63" s="6">
        <v>6</v>
      </c>
      <c r="N63" s="8">
        <v>0.7</v>
      </c>
      <c r="O63" s="7">
        <v>458.64</v>
      </c>
      <c r="P63" s="7">
        <f t="shared" si="1"/>
        <v>76.44</v>
      </c>
      <c r="Q63" t="s">
        <v>53</v>
      </c>
    </row>
    <row r="64" spans="1:21" x14ac:dyDescent="0.25">
      <c r="A64" s="6">
        <v>2030257377</v>
      </c>
      <c r="B64" s="6" t="s">
        <v>272</v>
      </c>
      <c r="C64" s="6" t="s">
        <v>148</v>
      </c>
      <c r="D64" s="6" t="s">
        <v>316</v>
      </c>
      <c r="E64" s="6" t="s">
        <v>209</v>
      </c>
      <c r="F64" s="6" t="s">
        <v>53</v>
      </c>
      <c r="G64" s="5">
        <v>45870</v>
      </c>
      <c r="H64" s="1">
        <f t="shared" si="2"/>
        <v>45901</v>
      </c>
      <c r="I64" t="s">
        <v>38</v>
      </c>
      <c r="J64" t="s">
        <v>51</v>
      </c>
      <c r="K64" s="7">
        <v>122.12</v>
      </c>
      <c r="L64" s="7">
        <v>122.12</v>
      </c>
      <c r="M64" s="6">
        <v>6</v>
      </c>
      <c r="N64" s="8">
        <v>0.7</v>
      </c>
      <c r="O64" s="7">
        <v>512.9</v>
      </c>
      <c r="P64" s="7">
        <f t="shared" si="1"/>
        <v>85.483333333333334</v>
      </c>
      <c r="Q64" t="s">
        <v>53</v>
      </c>
    </row>
    <row r="65" spans="1:17" x14ac:dyDescent="0.25">
      <c r="A65" s="6">
        <v>2030257376</v>
      </c>
      <c r="B65" s="6" t="s">
        <v>272</v>
      </c>
      <c r="C65" s="6" t="s">
        <v>148</v>
      </c>
      <c r="D65" s="6" t="s">
        <v>316</v>
      </c>
      <c r="E65" s="6" t="s">
        <v>209</v>
      </c>
      <c r="F65" s="6" t="s">
        <v>86</v>
      </c>
      <c r="G65" s="5">
        <v>45870</v>
      </c>
      <c r="H65" s="1">
        <f t="shared" si="2"/>
        <v>45901</v>
      </c>
      <c r="I65" t="s">
        <v>38</v>
      </c>
      <c r="J65" t="s">
        <v>51</v>
      </c>
      <c r="K65" s="7">
        <v>88.69</v>
      </c>
      <c r="L65" s="7">
        <v>88.69</v>
      </c>
      <c r="M65" s="6">
        <v>6</v>
      </c>
      <c r="N65" s="8">
        <v>0.375</v>
      </c>
      <c r="O65" s="7">
        <v>199.55</v>
      </c>
      <c r="P65" s="7">
        <f t="shared" si="1"/>
        <v>33.258333333333333</v>
      </c>
      <c r="Q65" t="s">
        <v>86</v>
      </c>
    </row>
    <row r="66" spans="1:17" x14ac:dyDescent="0.25">
      <c r="A66" s="6">
        <v>2029985113</v>
      </c>
      <c r="B66" s="6" t="s">
        <v>106</v>
      </c>
      <c r="C66" s="6" t="s">
        <v>60</v>
      </c>
      <c r="D66" s="6" t="s">
        <v>317</v>
      </c>
      <c r="E66" s="6" t="s">
        <v>108</v>
      </c>
      <c r="F66" s="6" t="s">
        <v>53</v>
      </c>
      <c r="G66" s="5">
        <v>45870</v>
      </c>
      <c r="H66" s="1">
        <f t="shared" ref="H66:H97" si="3">DATE(YEAR(G66), MONTH(G66) +1, DAY(G66))</f>
        <v>45901</v>
      </c>
      <c r="I66" t="s">
        <v>38</v>
      </c>
      <c r="J66" t="s">
        <v>51</v>
      </c>
      <c r="K66" s="7">
        <v>30</v>
      </c>
      <c r="L66" s="7">
        <v>30</v>
      </c>
      <c r="M66" s="6">
        <v>6</v>
      </c>
      <c r="N66" s="8">
        <v>0.7</v>
      </c>
      <c r="O66" s="7">
        <v>126</v>
      </c>
      <c r="P66" s="7">
        <f t="shared" ref="P66:P71" si="4">O66/6</f>
        <v>21</v>
      </c>
      <c r="Q66" t="s">
        <v>53</v>
      </c>
    </row>
    <row r="67" spans="1:17" x14ac:dyDescent="0.25">
      <c r="A67" s="6">
        <v>2030076661</v>
      </c>
      <c r="B67" s="6" t="s">
        <v>132</v>
      </c>
      <c r="C67" s="6" t="s">
        <v>133</v>
      </c>
      <c r="D67" s="6" t="s">
        <v>317</v>
      </c>
      <c r="E67" s="6" t="s">
        <v>108</v>
      </c>
      <c r="F67" s="6" t="s">
        <v>53</v>
      </c>
      <c r="G67" s="5">
        <v>45870</v>
      </c>
      <c r="H67" s="1">
        <f t="shared" si="3"/>
        <v>45901</v>
      </c>
      <c r="I67" t="s">
        <v>38</v>
      </c>
      <c r="J67" t="s">
        <v>51</v>
      </c>
      <c r="K67" s="7">
        <v>68.42</v>
      </c>
      <c r="L67" s="7">
        <v>68.42</v>
      </c>
      <c r="M67" s="6">
        <v>6</v>
      </c>
      <c r="N67" s="8">
        <v>0.7</v>
      </c>
      <c r="O67" s="7">
        <v>287.36</v>
      </c>
      <c r="P67" s="7">
        <f t="shared" si="4"/>
        <v>47.893333333333338</v>
      </c>
      <c r="Q67" t="s">
        <v>53</v>
      </c>
    </row>
    <row r="68" spans="1:17" x14ac:dyDescent="0.25">
      <c r="A68" s="6">
        <v>2030209148</v>
      </c>
      <c r="B68" s="6" t="s">
        <v>206</v>
      </c>
      <c r="C68" s="6" t="s">
        <v>137</v>
      </c>
      <c r="D68" s="6" t="s">
        <v>317</v>
      </c>
      <c r="E68" s="6" t="s">
        <v>108</v>
      </c>
      <c r="F68" s="6" t="s">
        <v>53</v>
      </c>
      <c r="G68" s="5">
        <v>45870</v>
      </c>
      <c r="H68" s="1">
        <f t="shared" si="3"/>
        <v>45901</v>
      </c>
      <c r="I68" t="s">
        <v>38</v>
      </c>
      <c r="J68" t="s">
        <v>51</v>
      </c>
      <c r="K68" s="7">
        <v>48.47</v>
      </c>
      <c r="L68" s="7">
        <v>48.47</v>
      </c>
      <c r="M68" s="6">
        <v>6</v>
      </c>
      <c r="N68" s="8">
        <v>0.7</v>
      </c>
      <c r="O68" s="7">
        <v>203.57</v>
      </c>
      <c r="P68" s="7">
        <f t="shared" si="4"/>
        <v>33.928333333333335</v>
      </c>
      <c r="Q68" t="s">
        <v>53</v>
      </c>
    </row>
    <row r="69" spans="1:17" x14ac:dyDescent="0.25">
      <c r="A69" s="6">
        <v>2030183460</v>
      </c>
      <c r="B69" s="6" t="s">
        <v>169</v>
      </c>
      <c r="C69" s="6" t="s">
        <v>64</v>
      </c>
      <c r="D69" s="6" t="s">
        <v>317</v>
      </c>
      <c r="E69" s="6" t="s">
        <v>108</v>
      </c>
      <c r="F69" s="6" t="s">
        <v>86</v>
      </c>
      <c r="G69" s="5">
        <v>45867</v>
      </c>
      <c r="H69" s="1">
        <f t="shared" si="3"/>
        <v>45898</v>
      </c>
      <c r="I69" t="s">
        <v>38</v>
      </c>
      <c r="J69" t="s">
        <v>51</v>
      </c>
      <c r="K69" s="7">
        <v>32.340000000000003</v>
      </c>
      <c r="L69" s="7">
        <v>32.340000000000003</v>
      </c>
      <c r="M69" s="6">
        <v>6</v>
      </c>
      <c r="N69" s="8">
        <v>0.375</v>
      </c>
      <c r="O69" s="7">
        <v>72.77</v>
      </c>
      <c r="P69" s="7">
        <f t="shared" si="4"/>
        <v>12.128333333333332</v>
      </c>
      <c r="Q69" t="s">
        <v>86</v>
      </c>
    </row>
    <row r="70" spans="1:17" x14ac:dyDescent="0.25">
      <c r="A70" s="6">
        <v>2030209119</v>
      </c>
      <c r="B70" s="6" t="s">
        <v>205</v>
      </c>
      <c r="C70" s="6" t="s">
        <v>137</v>
      </c>
      <c r="D70" s="6" t="s">
        <v>317</v>
      </c>
      <c r="E70" s="6" t="s">
        <v>108</v>
      </c>
      <c r="F70" s="6" t="s">
        <v>86</v>
      </c>
      <c r="G70" s="5">
        <v>45870</v>
      </c>
      <c r="H70" s="1">
        <f t="shared" si="3"/>
        <v>45901</v>
      </c>
      <c r="I70" t="s">
        <v>38</v>
      </c>
      <c r="J70" t="s">
        <v>51</v>
      </c>
      <c r="K70" s="7">
        <v>27.69</v>
      </c>
      <c r="L70" s="7">
        <v>27.69</v>
      </c>
      <c r="M70" s="6">
        <v>6</v>
      </c>
      <c r="N70" s="8">
        <v>0.375</v>
      </c>
      <c r="O70" s="7">
        <v>62.3</v>
      </c>
      <c r="P70" s="7">
        <f t="shared" si="4"/>
        <v>10.383333333333333</v>
      </c>
      <c r="Q70" t="s">
        <v>86</v>
      </c>
    </row>
    <row r="71" spans="1:17" x14ac:dyDescent="0.25">
      <c r="A71" s="6">
        <v>2030244414</v>
      </c>
      <c r="B71" s="6" t="s">
        <v>253</v>
      </c>
      <c r="C71" s="6" t="s">
        <v>133</v>
      </c>
      <c r="D71" s="6" t="s">
        <v>317</v>
      </c>
      <c r="E71" s="6" t="s">
        <v>108</v>
      </c>
      <c r="F71" s="6" t="s">
        <v>117</v>
      </c>
      <c r="G71" s="5">
        <v>45870</v>
      </c>
      <c r="H71" s="1">
        <f t="shared" si="3"/>
        <v>45901</v>
      </c>
      <c r="I71" t="s">
        <v>38</v>
      </c>
      <c r="J71" t="s">
        <v>51</v>
      </c>
      <c r="K71" s="7">
        <v>34.75</v>
      </c>
      <c r="L71" s="7">
        <v>34.75</v>
      </c>
      <c r="M71" s="6">
        <v>6</v>
      </c>
      <c r="N71" s="8">
        <v>0.9</v>
      </c>
      <c r="O71" s="7">
        <v>187.65</v>
      </c>
      <c r="P71" s="7">
        <f t="shared" si="4"/>
        <v>31.275000000000002</v>
      </c>
      <c r="Q71" t="s">
        <v>117</v>
      </c>
    </row>
  </sheetData>
  <sortState xmlns:xlrd2="http://schemas.microsoft.com/office/spreadsheetml/2017/richdata2" ref="A2:U87">
    <sortCondition sortBy="cellColor" ref="E2:E87" dxfId="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2025-08-12T13:54:46Z</dcterms:created>
  <dcterms:modified xsi:type="dcterms:W3CDTF">2025-08-13T02:35:16Z</dcterms:modified>
</cp:coreProperties>
</file>