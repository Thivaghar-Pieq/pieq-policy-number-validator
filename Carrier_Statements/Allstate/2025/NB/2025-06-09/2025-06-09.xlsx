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6-9-25\"/>
    </mc:Choice>
  </mc:AlternateContent>
  <xr:revisionPtr revIDLastSave="0" documentId="13_ncr:1_{2E39F213-7825-4148-A278-6B6FE5C9ECAA}" xr6:coauthVersionLast="47" xr6:coauthVersionMax="47" xr10:uidLastSave="{00000000-0000-0000-0000-000000000000}"/>
  <bookViews>
    <workbookView xWindow="-28920" yWindow="-120" windowWidth="29040" windowHeight="15720" xr2:uid="{E4A5297F-F70A-489E-A20C-AFE73430E777}"/>
  </bookViews>
  <sheets>
    <sheet name="649163__Newbusiness_NEW_BUSINES" sheetId="1" r:id="rId1"/>
    <sheet name="Sheet1" sheetId="2" r:id="rId2"/>
  </sheets>
  <definedNames>
    <definedName name="_xlnm._FilterDatabase" localSheetId="0" hidden="1">'649163__Newbusiness_NEW_BUSINES'!$A$1:$AL$93</definedName>
    <definedName name="_xlnm._FilterDatabase" localSheetId="1" hidden="1">Sheet1!$A$1:$Y$12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2" i="2"/>
</calcChain>
</file>

<file path=xl/sharedStrings.xml><?xml version="1.0" encoding="utf-8"?>
<sst xmlns="http://schemas.openxmlformats.org/spreadsheetml/2006/main" count="1457" uniqueCount="164">
  <si>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</si>
  <si>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</si>
  <si>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</si>
  <si>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</si>
  <si>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</si>
  <si>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</si>
  <si>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</si>
  <si>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</si>
  <si>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</si>
  <si>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</si>
  <si>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</si>
  <si>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</si>
  <si>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</si>
  <si>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</si>
  <si>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</si>
  <si>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</si>
  <si>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</si>
  <si>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</si>
  <si>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</si>
  <si>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</si>
  <si>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</si>
  <si>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</si>
  <si>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</si>
  <si>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</si>
  <si>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</si>
  <si>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</si>
  <si>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</si>
  <si>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</si>
  <si>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</si>
  <si>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</si>
  <si>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</si>
  <si>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</si>
  <si>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</si>
  <si>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</si>
  <si>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</si>
  <si>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</si>
  <si>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</si>
  <si>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</si>
  <si>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</si>
  <si>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</si>
  <si>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</si>
  <si>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</si>
  <si>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DOLORES LOMAS</t>
  </si>
  <si>
    <t>TX</t>
  </si>
  <si>
    <t>CHRISTOPHER BROUSSEAU</t>
  </si>
  <si>
    <t>Active</t>
  </si>
  <si>
    <t>Plan Enhancer 20214</t>
  </si>
  <si>
    <t>Monthly</t>
  </si>
  <si>
    <t>AV</t>
  </si>
  <si>
    <t>[NOADMINFEE]</t>
  </si>
  <si>
    <t>SELECT DENTAL 29304</t>
  </si>
  <si>
    <t>Term Life 21673</t>
  </si>
  <si>
    <t>RYAN COVERDELL</t>
  </si>
  <si>
    <t>MT</t>
  </si>
  <si>
    <t>GREGORY TEIPEL</t>
  </si>
  <si>
    <t>Cancer and Heart/Stroke 20231</t>
  </si>
  <si>
    <t>JOHNNY PATTERSON</t>
  </si>
  <si>
    <t>OK</t>
  </si>
  <si>
    <t>THOMAS PARDUE</t>
  </si>
  <si>
    <t>ERIC SINATRA</t>
  </si>
  <si>
    <t>SD</t>
  </si>
  <si>
    <t>Critical Illness w/ Term Life 21677</t>
  </si>
  <si>
    <t>SUSAN BURGENER</t>
  </si>
  <si>
    <t>IL</t>
  </si>
  <si>
    <t>RAGEN THIGPEN</t>
  </si>
  <si>
    <t>AL</t>
  </si>
  <si>
    <t>MATTHEW POWERS</t>
  </si>
  <si>
    <t>JACE BROADBENT</t>
  </si>
  <si>
    <t>UT</t>
  </si>
  <si>
    <t>MATTHEW DAUGHERTY</t>
  </si>
  <si>
    <t>Cancer and Heart/Stroke GI 20231</t>
  </si>
  <si>
    <t>SAMUEL BANKOLE</t>
  </si>
  <si>
    <t>KAREN KASINGER</t>
  </si>
  <si>
    <t>JAMES ALLEN</t>
  </si>
  <si>
    <t>BUDSABA BOONRUANG</t>
  </si>
  <si>
    <t>VICTOR FUENTES</t>
  </si>
  <si>
    <t>Allstate Health Access</t>
  </si>
  <si>
    <t>Allstate Recuro RX Discount Card</t>
  </si>
  <si>
    <t>Life Association Access</t>
  </si>
  <si>
    <t>AV6</t>
  </si>
  <si>
    <t>JOEL LOREDO</t>
  </si>
  <si>
    <t>ANDREA PETRUNGARO</t>
  </si>
  <si>
    <t>KIMBERLY WEITH</t>
  </si>
  <si>
    <t>FL</t>
  </si>
  <si>
    <t>Cancer and Heart/Stroke 20231 CO-FL-MN-MI</t>
  </si>
  <si>
    <t>JUDAH WIGGINS</t>
  </si>
  <si>
    <t>PA</t>
  </si>
  <si>
    <t>JOHN ROKEN</t>
  </si>
  <si>
    <t>NHIC LM 2021 Hospital Expense Protection U65</t>
  </si>
  <si>
    <t>Accident Fixed Benefit</t>
  </si>
  <si>
    <t>MELINDY MERCADO</t>
  </si>
  <si>
    <t>IA</t>
  </si>
  <si>
    <t>RYAN CALTAGIRONE</t>
  </si>
  <si>
    <t>LYNN PUANGCO</t>
  </si>
  <si>
    <t>RICARDO SANTOS</t>
  </si>
  <si>
    <t>RODNEY CARBAUGH</t>
  </si>
  <si>
    <t>DAGNEY OLSON</t>
  </si>
  <si>
    <t>AZ</t>
  </si>
  <si>
    <t>KIRK TIGUE</t>
  </si>
  <si>
    <t>JENNIFER QUESINBERRY</t>
  </si>
  <si>
    <t>BARRY SCHUMANN</t>
  </si>
  <si>
    <t>APRIL FERNANDEZ</t>
  </si>
  <si>
    <t>ANDREW CHOI</t>
  </si>
  <si>
    <t>MICHELLE ZERNIK</t>
  </si>
  <si>
    <t>GARY PORTUGAL</t>
  </si>
  <si>
    <t>BRETT BLIZZARD</t>
  </si>
  <si>
    <t>MD</t>
  </si>
  <si>
    <t>RONALD MAX</t>
  </si>
  <si>
    <t>LYNNE HARPER</t>
  </si>
  <si>
    <t>DEBORAH INSKIPT</t>
  </si>
  <si>
    <t>NHIC Dental 2020 DVH 65+</t>
  </si>
  <si>
    <t>CHARLES CARSPECKEN</t>
  </si>
  <si>
    <t>JENNIFER JACKSON</t>
  </si>
  <si>
    <t>AE</t>
  </si>
  <si>
    <t>MONTHER MUSTAFA</t>
  </si>
  <si>
    <t>MORGAN DOWDING</t>
  </si>
  <si>
    <t>JUANITA SIMMONS</t>
  </si>
  <si>
    <t>SC</t>
  </si>
  <si>
    <t>DANIELLE HALL</t>
  </si>
  <si>
    <t>JEFFERY COMPANION</t>
  </si>
  <si>
    <t>ABIGAIL AMOATENG</t>
  </si>
  <si>
    <t>JAKE SHULMAN</t>
  </si>
  <si>
    <t>LIFE Association Membership - C 14956 LM</t>
  </si>
  <si>
    <t>BEVERLY GATHANY</t>
  </si>
  <si>
    <t>AV1</t>
  </si>
  <si>
    <t>NANCY MOSINSKI</t>
  </si>
  <si>
    <t>CHRISTIAN TAUGNER</t>
  </si>
  <si>
    <t>ALIRAZA DAMANI</t>
  </si>
  <si>
    <t>THOMAS KUCAN</t>
  </si>
  <si>
    <t>National General STM CO-CT-IA-KS-MD-MO-ND-OR-SD</t>
  </si>
  <si>
    <t>AV3</t>
  </si>
  <si>
    <t>OYUNCHIMEG BALDAN</t>
  </si>
  <si>
    <t>NASANDELGER ZANA</t>
  </si>
  <si>
    <t>DULGUUN ERDENEBAATAR</t>
  </si>
  <si>
    <t>MICHELLE DENTON</t>
  </si>
  <si>
    <t>GENE VOLLMER</t>
  </si>
  <si>
    <t>LENA PITTS</t>
  </si>
  <si>
    <t>ANGELA PORTER</t>
  </si>
  <si>
    <t>MATTHEW MURLICK</t>
  </si>
  <si>
    <t>RAYMOND HADDAD</t>
  </si>
  <si>
    <t>ANNE MARIE KOZACHECK</t>
  </si>
  <si>
    <t>CB</t>
  </si>
  <si>
    <t>AMBROS SIKO</t>
  </si>
  <si>
    <t>CHARGEBACK</t>
  </si>
  <si>
    <t>ISAIAH JONES</t>
  </si>
  <si>
    <t>COLLEEN FINNIGAN</t>
  </si>
  <si>
    <t>LAURA KANE</t>
  </si>
  <si>
    <t>SAADIA ABDUL</t>
  </si>
  <si>
    <t>ROXANNE WHITE</t>
  </si>
  <si>
    <t>YVETTE JACQUES</t>
  </si>
  <si>
    <t>NICOLE GARDNER</t>
  </si>
  <si>
    <t>SAMUEL JOHN</t>
  </si>
  <si>
    <t>ANDRII FEDORENKO</t>
  </si>
  <si>
    <t>16912722AV6</t>
  </si>
  <si>
    <t>7470776AV6</t>
  </si>
  <si>
    <t>19586992AV6</t>
  </si>
  <si>
    <t>19681796AV6</t>
  </si>
  <si>
    <t>18201929A6</t>
  </si>
  <si>
    <t>21421111AV6</t>
  </si>
  <si>
    <t>20220688AV6</t>
  </si>
  <si>
    <t>19200754AV6</t>
  </si>
  <si>
    <t>16202925AV6</t>
  </si>
  <si>
    <t>371819AV6</t>
  </si>
  <si>
    <t>21283956AV6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</si>
</sst>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167A-FC69-4052-802E-17CA7620AECF}">
  <dimension ref="A1:AL93"/>
  <sheetViews>
    <sheetView tabSelected="1" topLeftCell="A45" workbookViewId="0">
      <selection activeCell="P1" sqref="P1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" bestFit="1" customWidth="1"/>
    <col min="8" max="8" width="17.7109375" bestFit="1" customWidth="1"/>
    <col min="9" max="9" width="14" bestFit="1" customWidth="1"/>
    <col min="10" max="10" width="24.14062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4.42578125" bestFit="1" customWidth="1"/>
    <col min="17" max="17" width="12.5703125" bestFit="1" customWidth="1"/>
    <col min="18" max="18" width="49.4257812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8554687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45821</v>
      </c>
      <c r="B2" s="1">
        <v>45817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2029267677</v>
      </c>
      <c r="J2" t="s">
        <v>80</v>
      </c>
      <c r="M2" t="s">
        <v>63</v>
      </c>
      <c r="O2">
        <v>768887</v>
      </c>
      <c r="P2" t="s">
        <v>81</v>
      </c>
      <c r="Q2" t="s">
        <v>45</v>
      </c>
      <c r="R2" t="s">
        <v>50</v>
      </c>
      <c r="S2" s="1">
        <v>45812</v>
      </c>
      <c r="U2" t="s">
        <v>47</v>
      </c>
      <c r="X2" t="s">
        <v>48</v>
      </c>
      <c r="Y2" s="2">
        <v>121.09</v>
      </c>
      <c r="Z2" s="2">
        <v>121.09</v>
      </c>
      <c r="AA2">
        <v>6</v>
      </c>
      <c r="AB2" s="3">
        <v>0.375</v>
      </c>
      <c r="AC2" s="2">
        <v>272.45</v>
      </c>
      <c r="AD2" s="3">
        <v>0</v>
      </c>
      <c r="AE2" s="2">
        <v>0</v>
      </c>
      <c r="AF2" s="2">
        <v>272.45</v>
      </c>
      <c r="AK2" s="4">
        <v>19009350</v>
      </c>
      <c r="AL2" t="s">
        <v>49</v>
      </c>
    </row>
    <row r="3" spans="1:38" x14ac:dyDescent="0.25">
      <c r="A3" s="1">
        <v>45821</v>
      </c>
      <c r="B3" s="1">
        <v>45817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2029267678</v>
      </c>
      <c r="J3" t="s">
        <v>80</v>
      </c>
      <c r="M3" t="s">
        <v>63</v>
      </c>
      <c r="O3">
        <v>768887</v>
      </c>
      <c r="P3" t="s">
        <v>81</v>
      </c>
      <c r="Q3" t="s">
        <v>45</v>
      </c>
      <c r="R3" t="s">
        <v>46</v>
      </c>
      <c r="S3" s="1">
        <v>45812</v>
      </c>
      <c r="U3" t="s">
        <v>47</v>
      </c>
      <c r="X3" t="s">
        <v>48</v>
      </c>
      <c r="Y3" s="2">
        <v>145.41999999999999</v>
      </c>
      <c r="Z3" s="2">
        <v>145.41999999999999</v>
      </c>
      <c r="AA3">
        <v>6</v>
      </c>
      <c r="AB3" s="3">
        <v>0.7</v>
      </c>
      <c r="AC3" s="2">
        <v>610.76</v>
      </c>
      <c r="AD3" s="3">
        <v>0</v>
      </c>
      <c r="AE3" s="2">
        <v>0</v>
      </c>
      <c r="AF3" s="2">
        <v>610.76</v>
      </c>
      <c r="AK3" s="4">
        <v>18991920</v>
      </c>
      <c r="AL3" t="s">
        <v>49</v>
      </c>
    </row>
    <row r="4" spans="1:38" x14ac:dyDescent="0.25">
      <c r="A4" s="1">
        <v>45821</v>
      </c>
      <c r="B4" s="1">
        <v>45817</v>
      </c>
      <c r="C4" t="s">
        <v>141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2029113309</v>
      </c>
      <c r="J4" t="s">
        <v>150</v>
      </c>
      <c r="M4" t="s">
        <v>63</v>
      </c>
      <c r="O4">
        <v>768887</v>
      </c>
      <c r="P4" t="s">
        <v>81</v>
      </c>
      <c r="Q4" t="s">
        <v>143</v>
      </c>
      <c r="R4" t="s">
        <v>46</v>
      </c>
      <c r="S4" s="1">
        <v>45809</v>
      </c>
      <c r="U4" t="s">
        <v>47</v>
      </c>
      <c r="X4" t="s">
        <v>113</v>
      </c>
      <c r="AF4" s="2">
        <v>249.48</v>
      </c>
      <c r="AG4" s="2">
        <v>41.58</v>
      </c>
      <c r="AJ4" s="2">
        <v>207.9</v>
      </c>
    </row>
    <row r="5" spans="1:38" x14ac:dyDescent="0.25">
      <c r="A5" s="1">
        <v>45821</v>
      </c>
      <c r="B5" s="1">
        <v>45817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2029276298</v>
      </c>
      <c r="J5" t="s">
        <v>101</v>
      </c>
      <c r="M5" t="s">
        <v>63</v>
      </c>
      <c r="O5">
        <v>824062</v>
      </c>
      <c r="P5" t="s">
        <v>102</v>
      </c>
      <c r="Q5" t="s">
        <v>45</v>
      </c>
      <c r="R5" t="s">
        <v>50</v>
      </c>
      <c r="S5" s="1">
        <v>45812</v>
      </c>
      <c r="U5" t="s">
        <v>47</v>
      </c>
      <c r="X5" t="s">
        <v>48</v>
      </c>
      <c r="Y5" s="2">
        <v>41.17</v>
      </c>
      <c r="Z5" s="2">
        <v>41.17</v>
      </c>
      <c r="AA5">
        <v>6</v>
      </c>
      <c r="AB5" s="3">
        <v>0.375</v>
      </c>
      <c r="AC5" s="2">
        <v>92.63</v>
      </c>
      <c r="AD5" s="3">
        <v>0</v>
      </c>
      <c r="AE5" s="2">
        <v>0</v>
      </c>
      <c r="AF5" s="2">
        <v>92.63</v>
      </c>
      <c r="AK5" s="4">
        <v>19009440</v>
      </c>
      <c r="AL5" t="s">
        <v>49</v>
      </c>
    </row>
    <row r="6" spans="1:38" x14ac:dyDescent="0.25">
      <c r="A6" s="1">
        <v>45821</v>
      </c>
      <c r="B6" s="1">
        <v>45817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2029276299</v>
      </c>
      <c r="J6" t="s">
        <v>101</v>
      </c>
      <c r="M6" t="s">
        <v>63</v>
      </c>
      <c r="O6">
        <v>824062</v>
      </c>
      <c r="P6" t="s">
        <v>102</v>
      </c>
      <c r="Q6" t="s">
        <v>45</v>
      </c>
      <c r="R6" t="s">
        <v>51</v>
      </c>
      <c r="S6" s="1">
        <v>45812</v>
      </c>
      <c r="U6" t="s">
        <v>47</v>
      </c>
      <c r="X6" t="s">
        <v>48</v>
      </c>
      <c r="Y6" s="2">
        <v>44.13</v>
      </c>
      <c r="Z6" s="2">
        <v>44.13</v>
      </c>
      <c r="AA6">
        <v>6</v>
      </c>
      <c r="AB6" s="3">
        <v>0.9</v>
      </c>
      <c r="AC6" s="2">
        <v>238.3</v>
      </c>
      <c r="AD6" s="3">
        <v>0</v>
      </c>
      <c r="AE6" s="2">
        <v>0</v>
      </c>
      <c r="AF6" s="2">
        <v>238.3</v>
      </c>
      <c r="AK6" s="4">
        <v>19013080</v>
      </c>
      <c r="AL6" t="s">
        <v>49</v>
      </c>
    </row>
    <row r="7" spans="1:38" x14ac:dyDescent="0.25">
      <c r="A7" s="1">
        <v>45821</v>
      </c>
      <c r="B7" s="1">
        <v>45817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2029276300</v>
      </c>
      <c r="J7" t="s">
        <v>101</v>
      </c>
      <c r="M7" t="s">
        <v>63</v>
      </c>
      <c r="O7">
        <v>824062</v>
      </c>
      <c r="P7" t="s">
        <v>102</v>
      </c>
      <c r="Q7" t="s">
        <v>45</v>
      </c>
      <c r="R7" t="s">
        <v>46</v>
      </c>
      <c r="S7" s="1">
        <v>45812</v>
      </c>
      <c r="U7" t="s">
        <v>47</v>
      </c>
      <c r="X7" t="s">
        <v>48</v>
      </c>
      <c r="Y7" s="2">
        <v>57.35</v>
      </c>
      <c r="Z7" s="2">
        <v>57.35</v>
      </c>
      <c r="AA7">
        <v>6</v>
      </c>
      <c r="AB7" s="3">
        <v>0.7</v>
      </c>
      <c r="AC7" s="2">
        <v>240.87</v>
      </c>
      <c r="AD7" s="3">
        <v>0</v>
      </c>
      <c r="AE7" s="2">
        <v>0</v>
      </c>
      <c r="AF7" s="2">
        <v>240.87</v>
      </c>
      <c r="AK7" s="4">
        <v>18991980</v>
      </c>
      <c r="AL7" t="s">
        <v>49</v>
      </c>
    </row>
    <row r="8" spans="1:38" x14ac:dyDescent="0.25">
      <c r="A8" s="1">
        <v>45821</v>
      </c>
      <c r="B8" s="1">
        <v>45817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2029290190</v>
      </c>
      <c r="J8" t="s">
        <v>114</v>
      </c>
      <c r="M8" t="s">
        <v>63</v>
      </c>
      <c r="O8">
        <v>824062</v>
      </c>
      <c r="P8" t="s">
        <v>102</v>
      </c>
      <c r="Q8" t="s">
        <v>45</v>
      </c>
      <c r="R8" t="s">
        <v>50</v>
      </c>
      <c r="S8" s="1">
        <v>45839</v>
      </c>
      <c r="U8" t="s">
        <v>47</v>
      </c>
      <c r="X8" t="s">
        <v>48</v>
      </c>
      <c r="Y8" s="2">
        <v>41.91</v>
      </c>
      <c r="Z8" s="2">
        <v>41.91</v>
      </c>
      <c r="AA8">
        <v>6</v>
      </c>
      <c r="AB8" s="3">
        <v>0.375</v>
      </c>
      <c r="AC8" s="2">
        <v>94.3</v>
      </c>
      <c r="AD8" s="3">
        <v>0</v>
      </c>
      <c r="AE8" s="2">
        <v>0</v>
      </c>
      <c r="AF8" s="2">
        <v>94.3</v>
      </c>
      <c r="AK8" s="4">
        <v>19009570</v>
      </c>
      <c r="AL8" t="s">
        <v>49</v>
      </c>
    </row>
    <row r="9" spans="1:38" x14ac:dyDescent="0.25">
      <c r="A9" s="1">
        <v>45821</v>
      </c>
      <c r="B9" s="1">
        <v>45817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2029290191</v>
      </c>
      <c r="J9" t="s">
        <v>114</v>
      </c>
      <c r="M9" t="s">
        <v>63</v>
      </c>
      <c r="O9">
        <v>824062</v>
      </c>
      <c r="P9" t="s">
        <v>102</v>
      </c>
      <c r="Q9" t="s">
        <v>45</v>
      </c>
      <c r="R9" t="s">
        <v>61</v>
      </c>
      <c r="S9" s="1">
        <v>45839</v>
      </c>
      <c r="U9" t="s">
        <v>47</v>
      </c>
      <c r="X9" t="s">
        <v>48</v>
      </c>
      <c r="Y9" s="2">
        <v>79.510000000000005</v>
      </c>
      <c r="Z9" s="2">
        <v>79.510000000000005</v>
      </c>
      <c r="AA9">
        <v>6</v>
      </c>
      <c r="AB9" s="3">
        <v>0.9</v>
      </c>
      <c r="AC9" s="2">
        <v>429.35</v>
      </c>
      <c r="AD9" s="3">
        <v>0</v>
      </c>
      <c r="AE9" s="2">
        <v>0</v>
      </c>
      <c r="AF9" s="2">
        <v>429.35</v>
      </c>
      <c r="AK9" s="4">
        <v>18999840</v>
      </c>
      <c r="AL9" t="s">
        <v>49</v>
      </c>
    </row>
    <row r="10" spans="1:38" x14ac:dyDescent="0.25">
      <c r="A10" s="1">
        <v>45821</v>
      </c>
      <c r="B10" s="1">
        <v>45817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2029335780</v>
      </c>
      <c r="J10" t="s">
        <v>138</v>
      </c>
      <c r="M10" t="s">
        <v>63</v>
      </c>
      <c r="O10">
        <v>824062</v>
      </c>
      <c r="P10" t="s">
        <v>102</v>
      </c>
      <c r="Q10" t="s">
        <v>45</v>
      </c>
      <c r="R10" t="s">
        <v>61</v>
      </c>
      <c r="S10" s="1">
        <v>45815</v>
      </c>
      <c r="U10" t="s">
        <v>47</v>
      </c>
      <c r="X10" t="s">
        <v>48</v>
      </c>
      <c r="Y10" s="2">
        <v>82.13</v>
      </c>
      <c r="Z10" s="2">
        <v>82.13</v>
      </c>
      <c r="AA10">
        <v>6</v>
      </c>
      <c r="AB10" s="3">
        <v>0.9</v>
      </c>
      <c r="AC10" s="2">
        <v>443.5</v>
      </c>
      <c r="AD10" s="3">
        <v>0</v>
      </c>
      <c r="AE10" s="2">
        <v>0</v>
      </c>
      <c r="AF10" s="2">
        <v>443.5</v>
      </c>
      <c r="AK10" s="4">
        <v>18999920</v>
      </c>
      <c r="AL10" t="s">
        <v>49</v>
      </c>
    </row>
    <row r="11" spans="1:38" x14ac:dyDescent="0.25">
      <c r="A11" s="1">
        <v>45821</v>
      </c>
      <c r="B11" s="1">
        <v>45817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2029335781</v>
      </c>
      <c r="J11" t="s">
        <v>138</v>
      </c>
      <c r="M11" t="s">
        <v>63</v>
      </c>
      <c r="O11">
        <v>824062</v>
      </c>
      <c r="P11" t="s">
        <v>102</v>
      </c>
      <c r="Q11" t="s">
        <v>45</v>
      </c>
      <c r="R11" t="s">
        <v>46</v>
      </c>
      <c r="S11" s="1">
        <v>45815</v>
      </c>
      <c r="U11" t="s">
        <v>47</v>
      </c>
      <c r="X11" t="s">
        <v>48</v>
      </c>
      <c r="Y11" s="2">
        <v>11.5</v>
      </c>
      <c r="Z11" s="2">
        <v>11.5</v>
      </c>
      <c r="AA11">
        <v>6</v>
      </c>
      <c r="AB11" s="3">
        <v>0.7</v>
      </c>
      <c r="AC11" s="2">
        <v>48.3</v>
      </c>
      <c r="AD11" s="3">
        <v>0</v>
      </c>
      <c r="AE11" s="2">
        <v>0</v>
      </c>
      <c r="AF11" s="2">
        <v>48.3</v>
      </c>
      <c r="AK11" s="4">
        <v>18992420</v>
      </c>
      <c r="AL11" t="s">
        <v>49</v>
      </c>
    </row>
    <row r="12" spans="1:38" x14ac:dyDescent="0.25">
      <c r="A12" s="1">
        <v>45821</v>
      </c>
      <c r="B12" s="1">
        <v>45817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2029335782</v>
      </c>
      <c r="J12" t="s">
        <v>138</v>
      </c>
      <c r="M12" t="s">
        <v>63</v>
      </c>
      <c r="O12">
        <v>824062</v>
      </c>
      <c r="P12" t="s">
        <v>102</v>
      </c>
      <c r="Q12" t="s">
        <v>45</v>
      </c>
      <c r="R12" t="s">
        <v>76</v>
      </c>
      <c r="S12" s="1">
        <v>45815</v>
      </c>
      <c r="U12" t="s">
        <v>47</v>
      </c>
      <c r="X12" t="s">
        <v>48</v>
      </c>
      <c r="Y12" s="2">
        <v>131.32</v>
      </c>
      <c r="Z12" s="2">
        <v>131.32</v>
      </c>
      <c r="AA12">
        <v>6</v>
      </c>
      <c r="AB12" s="3">
        <v>0.38</v>
      </c>
      <c r="AC12" s="2">
        <v>299.41000000000003</v>
      </c>
      <c r="AD12" s="3">
        <v>0</v>
      </c>
      <c r="AE12" s="2">
        <v>0</v>
      </c>
      <c r="AF12" s="2">
        <v>299.41000000000003</v>
      </c>
      <c r="AK12" s="4">
        <v>18992420</v>
      </c>
      <c r="AL12" t="s">
        <v>49</v>
      </c>
    </row>
    <row r="13" spans="1:38" x14ac:dyDescent="0.25">
      <c r="A13" s="1">
        <v>45821</v>
      </c>
      <c r="B13" s="1">
        <v>45817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2029335783</v>
      </c>
      <c r="J13" t="s">
        <v>138</v>
      </c>
      <c r="M13" t="s">
        <v>63</v>
      </c>
      <c r="O13">
        <v>824062</v>
      </c>
      <c r="P13" t="s">
        <v>102</v>
      </c>
      <c r="Q13" t="s">
        <v>45</v>
      </c>
      <c r="R13" t="s">
        <v>78</v>
      </c>
      <c r="S13" s="1">
        <v>45815</v>
      </c>
      <c r="U13" t="s">
        <v>47</v>
      </c>
      <c r="X13" t="s">
        <v>79</v>
      </c>
      <c r="Y13" s="2">
        <v>15</v>
      </c>
      <c r="Z13" s="2">
        <v>15</v>
      </c>
      <c r="AA13">
        <v>6</v>
      </c>
      <c r="AB13" s="3">
        <v>0.38</v>
      </c>
      <c r="AC13" s="2">
        <v>34.200000000000003</v>
      </c>
      <c r="AD13" s="3">
        <v>0</v>
      </c>
      <c r="AE13" s="2">
        <v>0</v>
      </c>
      <c r="AF13" s="2">
        <v>34.200000000000003</v>
      </c>
      <c r="AK13" s="4">
        <v>18996640</v>
      </c>
      <c r="AL13" t="s">
        <v>49</v>
      </c>
    </row>
    <row r="14" spans="1:38" x14ac:dyDescent="0.25">
      <c r="A14" s="1">
        <v>45821</v>
      </c>
      <c r="B14" s="1">
        <v>45817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2029358060</v>
      </c>
      <c r="J14" t="s">
        <v>139</v>
      </c>
      <c r="M14" t="s">
        <v>86</v>
      </c>
      <c r="O14">
        <v>649247</v>
      </c>
      <c r="P14" t="s">
        <v>140</v>
      </c>
      <c r="Q14" t="s">
        <v>45</v>
      </c>
      <c r="R14" t="s">
        <v>110</v>
      </c>
      <c r="S14" s="1">
        <v>45817</v>
      </c>
      <c r="U14" t="s">
        <v>47</v>
      </c>
      <c r="X14" t="s">
        <v>48</v>
      </c>
      <c r="Y14" s="2">
        <v>60.6</v>
      </c>
      <c r="Z14" s="2">
        <v>60.6</v>
      </c>
      <c r="AA14">
        <v>6</v>
      </c>
      <c r="AB14" s="3">
        <v>0.47</v>
      </c>
      <c r="AC14" s="2">
        <v>170.89</v>
      </c>
      <c r="AD14" s="3">
        <v>0</v>
      </c>
      <c r="AE14" s="2">
        <v>0</v>
      </c>
      <c r="AF14" s="2">
        <v>170.89</v>
      </c>
      <c r="AK14" s="4">
        <v>19010020</v>
      </c>
      <c r="AL14" t="s">
        <v>49</v>
      </c>
    </row>
    <row r="15" spans="1:38" x14ac:dyDescent="0.25">
      <c r="A15" s="1">
        <v>45821</v>
      </c>
      <c r="B15" s="1">
        <v>45817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2029275519</v>
      </c>
      <c r="J15" t="s">
        <v>99</v>
      </c>
      <c r="M15" t="s">
        <v>63</v>
      </c>
      <c r="O15">
        <v>821015</v>
      </c>
      <c r="P15" t="s">
        <v>100</v>
      </c>
      <c r="Q15" t="s">
        <v>45</v>
      </c>
      <c r="R15" t="s">
        <v>50</v>
      </c>
      <c r="S15" s="1">
        <v>45815</v>
      </c>
      <c r="U15" t="s">
        <v>47</v>
      </c>
      <c r="X15" t="s">
        <v>48</v>
      </c>
      <c r="Y15" s="2">
        <v>156.16</v>
      </c>
      <c r="Z15" s="2">
        <v>156.16</v>
      </c>
      <c r="AA15">
        <v>6</v>
      </c>
      <c r="AB15" s="3">
        <v>0.375</v>
      </c>
      <c r="AC15" s="2">
        <v>351.36</v>
      </c>
      <c r="AD15" s="3">
        <v>0</v>
      </c>
      <c r="AE15" s="2">
        <v>0</v>
      </c>
      <c r="AF15" s="2">
        <v>351.36</v>
      </c>
      <c r="AK15" s="4">
        <v>19009420</v>
      </c>
      <c r="AL15" t="s">
        <v>49</v>
      </c>
    </row>
    <row r="16" spans="1:38" x14ac:dyDescent="0.25">
      <c r="A16" s="1">
        <v>45821</v>
      </c>
      <c r="B16" s="1">
        <v>45817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2029275520</v>
      </c>
      <c r="J16" t="s">
        <v>99</v>
      </c>
      <c r="M16" t="s">
        <v>63</v>
      </c>
      <c r="O16">
        <v>821015</v>
      </c>
      <c r="P16" t="s">
        <v>100</v>
      </c>
      <c r="Q16" t="s">
        <v>45</v>
      </c>
      <c r="R16" t="s">
        <v>51</v>
      </c>
      <c r="S16" s="1">
        <v>45815</v>
      </c>
      <c r="U16" t="s">
        <v>47</v>
      </c>
      <c r="X16" t="s">
        <v>48</v>
      </c>
      <c r="Y16" s="2">
        <v>75.75</v>
      </c>
      <c r="Z16" s="2">
        <v>75.75</v>
      </c>
      <c r="AA16">
        <v>6</v>
      </c>
      <c r="AB16" s="3">
        <v>0.9</v>
      </c>
      <c r="AC16" s="2">
        <v>409.05</v>
      </c>
      <c r="AD16" s="3">
        <v>0</v>
      </c>
      <c r="AE16" s="2">
        <v>0</v>
      </c>
      <c r="AF16" s="2">
        <v>409.05</v>
      </c>
      <c r="AK16" s="4">
        <v>19013080</v>
      </c>
      <c r="AL16" t="s">
        <v>49</v>
      </c>
    </row>
    <row r="17" spans="1:38" x14ac:dyDescent="0.25">
      <c r="A17" s="1">
        <v>45821</v>
      </c>
      <c r="B17" s="1">
        <v>45817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2029275521</v>
      </c>
      <c r="J17" t="s">
        <v>99</v>
      </c>
      <c r="M17" t="s">
        <v>63</v>
      </c>
      <c r="O17">
        <v>821015</v>
      </c>
      <c r="P17" t="s">
        <v>100</v>
      </c>
      <c r="Q17" t="s">
        <v>45</v>
      </c>
      <c r="R17" t="s">
        <v>46</v>
      </c>
      <c r="S17" s="1">
        <v>45815</v>
      </c>
      <c r="U17" t="s">
        <v>47</v>
      </c>
      <c r="X17" t="s">
        <v>48</v>
      </c>
      <c r="Y17" s="2">
        <v>341.13</v>
      </c>
      <c r="Z17" s="2">
        <v>341.13</v>
      </c>
      <c r="AA17">
        <v>6</v>
      </c>
      <c r="AB17" s="3">
        <v>0.7</v>
      </c>
      <c r="AC17" s="2">
        <v>1432.75</v>
      </c>
      <c r="AD17" s="3">
        <v>0</v>
      </c>
      <c r="AE17" s="2">
        <v>0</v>
      </c>
      <c r="AF17" s="2">
        <v>1432.75</v>
      </c>
      <c r="AK17" s="4">
        <v>18991970</v>
      </c>
      <c r="AL17" t="s">
        <v>49</v>
      </c>
    </row>
    <row r="18" spans="1:38" x14ac:dyDescent="0.25">
      <c r="A18" s="1">
        <v>45821</v>
      </c>
      <c r="B18" s="1">
        <v>45817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2029275522</v>
      </c>
      <c r="J18" t="s">
        <v>99</v>
      </c>
      <c r="M18" t="s">
        <v>63</v>
      </c>
      <c r="O18">
        <v>821015</v>
      </c>
      <c r="P18" t="s">
        <v>100</v>
      </c>
      <c r="Q18" t="s">
        <v>45</v>
      </c>
      <c r="R18" t="s">
        <v>55</v>
      </c>
      <c r="S18" s="1">
        <v>45815</v>
      </c>
      <c r="U18" t="s">
        <v>47</v>
      </c>
      <c r="X18" t="s">
        <v>48</v>
      </c>
      <c r="Y18" s="2">
        <v>76.8</v>
      </c>
      <c r="Z18" s="2">
        <v>76.8</v>
      </c>
      <c r="AA18">
        <v>6</v>
      </c>
      <c r="AB18" s="3">
        <v>0.75</v>
      </c>
      <c r="AC18" s="2">
        <v>345.6</v>
      </c>
      <c r="AD18" s="3">
        <v>0</v>
      </c>
      <c r="AE18" s="2">
        <v>0</v>
      </c>
      <c r="AF18" s="2">
        <v>345.6</v>
      </c>
      <c r="AK18" s="4">
        <v>18999810</v>
      </c>
      <c r="AL18" t="s">
        <v>49</v>
      </c>
    </row>
    <row r="19" spans="1:38" x14ac:dyDescent="0.25">
      <c r="A19" s="1">
        <v>45821</v>
      </c>
      <c r="B19" s="1">
        <v>45817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2029313140</v>
      </c>
      <c r="J19" t="s">
        <v>125</v>
      </c>
      <c r="M19" t="s">
        <v>63</v>
      </c>
      <c r="O19">
        <v>813184</v>
      </c>
      <c r="P19" t="s">
        <v>126</v>
      </c>
      <c r="Q19" t="s">
        <v>45</v>
      </c>
      <c r="R19" t="s">
        <v>46</v>
      </c>
      <c r="S19" s="1">
        <v>45814</v>
      </c>
      <c r="U19" t="s">
        <v>47</v>
      </c>
      <c r="X19" t="s">
        <v>48</v>
      </c>
      <c r="Y19" s="2">
        <v>80.16</v>
      </c>
      <c r="Z19" s="2">
        <v>80.16</v>
      </c>
      <c r="AA19">
        <v>6</v>
      </c>
      <c r="AB19" s="3">
        <v>0.7</v>
      </c>
      <c r="AC19" s="2">
        <v>336.67</v>
      </c>
      <c r="AD19" s="3">
        <v>0</v>
      </c>
      <c r="AE19" s="2">
        <v>0</v>
      </c>
      <c r="AF19" s="2">
        <v>336.67</v>
      </c>
      <c r="AK19" s="4">
        <v>18992270</v>
      </c>
      <c r="AL19" t="s">
        <v>49</v>
      </c>
    </row>
    <row r="20" spans="1:38" x14ac:dyDescent="0.25">
      <c r="A20" s="1">
        <v>45821</v>
      </c>
      <c r="B20" s="1">
        <v>45817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2029329171</v>
      </c>
      <c r="J20" t="s">
        <v>134</v>
      </c>
      <c r="M20" t="s">
        <v>63</v>
      </c>
      <c r="O20">
        <v>813184</v>
      </c>
      <c r="P20" t="s">
        <v>126</v>
      </c>
      <c r="Q20" t="s">
        <v>45</v>
      </c>
      <c r="R20" t="s">
        <v>46</v>
      </c>
      <c r="S20" s="1">
        <v>45815</v>
      </c>
      <c r="U20" t="s">
        <v>47</v>
      </c>
      <c r="X20" t="s">
        <v>48</v>
      </c>
      <c r="Y20" s="2">
        <v>76.709999999999994</v>
      </c>
      <c r="Z20" s="2">
        <v>76.709999999999994</v>
      </c>
      <c r="AA20">
        <v>6</v>
      </c>
      <c r="AB20" s="3">
        <v>0.7</v>
      </c>
      <c r="AC20" s="2">
        <v>322.18</v>
      </c>
      <c r="AD20" s="3">
        <v>0</v>
      </c>
      <c r="AE20" s="2">
        <v>0</v>
      </c>
      <c r="AF20" s="2">
        <v>322.18</v>
      </c>
      <c r="AK20" s="4">
        <v>18992370</v>
      </c>
      <c r="AL20" t="s">
        <v>49</v>
      </c>
    </row>
    <row r="21" spans="1:38" x14ac:dyDescent="0.25">
      <c r="A21" s="1">
        <v>45821</v>
      </c>
      <c r="B21" s="1">
        <v>45817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2028704938</v>
      </c>
      <c r="J21" t="s">
        <v>42</v>
      </c>
      <c r="M21" t="s">
        <v>43</v>
      </c>
      <c r="O21">
        <v>822733</v>
      </c>
      <c r="P21" t="s">
        <v>44</v>
      </c>
      <c r="Q21" t="s">
        <v>45</v>
      </c>
      <c r="R21" t="s">
        <v>46</v>
      </c>
      <c r="S21" s="1">
        <v>45815</v>
      </c>
      <c r="U21" t="s">
        <v>47</v>
      </c>
      <c r="X21" t="s">
        <v>48</v>
      </c>
      <c r="Y21" s="2">
        <v>109.9</v>
      </c>
      <c r="Z21" s="2">
        <v>109.9</v>
      </c>
      <c r="AA21">
        <v>6</v>
      </c>
      <c r="AB21" s="3">
        <v>0.7</v>
      </c>
      <c r="AC21" s="2">
        <v>461.58</v>
      </c>
      <c r="AD21" s="3">
        <v>0</v>
      </c>
      <c r="AE21" s="2">
        <v>0</v>
      </c>
      <c r="AF21" s="2">
        <v>461.58</v>
      </c>
      <c r="AK21" s="4">
        <v>18991230</v>
      </c>
      <c r="AL21" t="s">
        <v>49</v>
      </c>
    </row>
    <row r="22" spans="1:38" x14ac:dyDescent="0.25">
      <c r="A22" s="1">
        <v>45821</v>
      </c>
      <c r="B22" s="1">
        <v>45817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2028704939</v>
      </c>
      <c r="J22" t="s">
        <v>42</v>
      </c>
      <c r="M22" t="s">
        <v>43</v>
      </c>
      <c r="O22">
        <v>822733</v>
      </c>
      <c r="P22" t="s">
        <v>44</v>
      </c>
      <c r="Q22" t="s">
        <v>45</v>
      </c>
      <c r="R22" t="s">
        <v>50</v>
      </c>
      <c r="S22" s="1">
        <v>45815</v>
      </c>
      <c r="U22" t="s">
        <v>47</v>
      </c>
      <c r="X22" t="s">
        <v>48</v>
      </c>
      <c r="Y22" s="2">
        <v>68.19</v>
      </c>
      <c r="Z22" s="2">
        <v>68.19</v>
      </c>
      <c r="AA22">
        <v>6</v>
      </c>
      <c r="AB22" s="3">
        <v>0.375</v>
      </c>
      <c r="AC22" s="2">
        <v>153.43</v>
      </c>
      <c r="AD22" s="3">
        <v>0</v>
      </c>
      <c r="AE22" s="2">
        <v>0</v>
      </c>
      <c r="AF22" s="2">
        <v>153.43</v>
      </c>
      <c r="AK22" s="4">
        <v>19008460</v>
      </c>
      <c r="AL22" t="s">
        <v>49</v>
      </c>
    </row>
    <row r="23" spans="1:38" x14ac:dyDescent="0.25">
      <c r="A23" s="1">
        <v>45821</v>
      </c>
      <c r="B23" s="1">
        <v>45817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2028704940</v>
      </c>
      <c r="J23" t="s">
        <v>42</v>
      </c>
      <c r="M23" t="s">
        <v>43</v>
      </c>
      <c r="O23">
        <v>822733</v>
      </c>
      <c r="P23" t="s">
        <v>44</v>
      </c>
      <c r="Q23" t="s">
        <v>45</v>
      </c>
      <c r="R23" t="s">
        <v>51</v>
      </c>
      <c r="S23" s="1">
        <v>45815</v>
      </c>
      <c r="U23" t="s">
        <v>47</v>
      </c>
      <c r="X23" t="s">
        <v>48</v>
      </c>
      <c r="Y23" s="2">
        <v>29.46</v>
      </c>
      <c r="Z23" s="2">
        <v>29.46</v>
      </c>
      <c r="AA23">
        <v>6</v>
      </c>
      <c r="AB23" s="3">
        <v>0.9</v>
      </c>
      <c r="AC23" s="2">
        <v>159.08000000000001</v>
      </c>
      <c r="AD23" s="3">
        <v>0</v>
      </c>
      <c r="AE23" s="2">
        <v>0</v>
      </c>
      <c r="AF23" s="2">
        <v>159.08000000000001</v>
      </c>
      <c r="AK23" s="4">
        <v>19012780</v>
      </c>
      <c r="AL23" t="s">
        <v>49</v>
      </c>
    </row>
    <row r="24" spans="1:38" x14ac:dyDescent="0.25">
      <c r="A24" s="1">
        <v>45821</v>
      </c>
      <c r="B24" s="1">
        <v>45817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2029224029</v>
      </c>
      <c r="J24" t="s">
        <v>71</v>
      </c>
      <c r="M24" t="s">
        <v>43</v>
      </c>
      <c r="O24">
        <v>822733</v>
      </c>
      <c r="P24" t="s">
        <v>44</v>
      </c>
      <c r="Q24" t="s">
        <v>45</v>
      </c>
      <c r="R24" t="s">
        <v>46</v>
      </c>
      <c r="S24" s="1">
        <v>45810</v>
      </c>
      <c r="U24" t="s">
        <v>47</v>
      </c>
      <c r="X24" t="s">
        <v>48</v>
      </c>
      <c r="Y24" s="2">
        <v>89.52</v>
      </c>
      <c r="Z24" s="2">
        <v>89.52</v>
      </c>
      <c r="AA24">
        <v>6</v>
      </c>
      <c r="AB24" s="3">
        <v>0.7</v>
      </c>
      <c r="AC24" s="2">
        <v>375.98</v>
      </c>
      <c r="AD24" s="3">
        <v>0</v>
      </c>
      <c r="AE24" s="2">
        <v>0</v>
      </c>
      <c r="AF24" s="2">
        <v>375.98</v>
      </c>
      <c r="AK24" s="4">
        <v>18991730</v>
      </c>
      <c r="AL24" t="s">
        <v>49</v>
      </c>
    </row>
    <row r="25" spans="1:38" x14ac:dyDescent="0.25">
      <c r="A25" s="1">
        <v>45821</v>
      </c>
      <c r="B25" s="1">
        <v>45817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2029287071</v>
      </c>
      <c r="J25" t="s">
        <v>112</v>
      </c>
      <c r="M25" t="s">
        <v>43</v>
      </c>
      <c r="O25">
        <v>822733</v>
      </c>
      <c r="P25" t="s">
        <v>44</v>
      </c>
      <c r="Q25" t="s">
        <v>45</v>
      </c>
      <c r="R25" t="s">
        <v>46</v>
      </c>
      <c r="S25" s="1">
        <v>45813</v>
      </c>
      <c r="U25" t="s">
        <v>47</v>
      </c>
      <c r="X25" t="s">
        <v>113</v>
      </c>
      <c r="Y25" s="2">
        <v>89.52</v>
      </c>
      <c r="Z25" s="2">
        <v>89.52</v>
      </c>
      <c r="AA25">
        <v>0</v>
      </c>
      <c r="AB25" s="3">
        <v>0.7</v>
      </c>
      <c r="AC25" s="2">
        <v>0</v>
      </c>
      <c r="AD25" s="3">
        <v>0</v>
      </c>
      <c r="AE25" s="2">
        <v>0</v>
      </c>
      <c r="AF25" s="2">
        <v>0</v>
      </c>
      <c r="AK25" s="4">
        <v>18992040</v>
      </c>
    </row>
    <row r="26" spans="1:38" x14ac:dyDescent="0.25">
      <c r="A26" s="1">
        <v>45821</v>
      </c>
      <c r="B26" s="1">
        <v>45817</v>
      </c>
      <c r="C26" t="s">
        <v>141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2028754748</v>
      </c>
      <c r="J26" t="s">
        <v>142</v>
      </c>
      <c r="M26" t="s">
        <v>43</v>
      </c>
      <c r="O26">
        <v>822733</v>
      </c>
      <c r="P26" t="s">
        <v>44</v>
      </c>
      <c r="Q26" t="s">
        <v>143</v>
      </c>
      <c r="R26" t="s">
        <v>46</v>
      </c>
      <c r="S26" s="1">
        <v>45815</v>
      </c>
      <c r="U26" t="s">
        <v>47</v>
      </c>
      <c r="X26" t="s">
        <v>113</v>
      </c>
      <c r="AF26" s="2">
        <v>375.98</v>
      </c>
      <c r="AG26" s="2">
        <v>62.66</v>
      </c>
      <c r="AJ26" s="2">
        <v>313.32</v>
      </c>
    </row>
    <row r="27" spans="1:38" x14ac:dyDescent="0.25">
      <c r="A27" s="1">
        <v>45821</v>
      </c>
      <c r="B27" s="1">
        <v>45817</v>
      </c>
      <c r="C27" t="s">
        <v>141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2028803827</v>
      </c>
      <c r="J27" t="s">
        <v>144</v>
      </c>
      <c r="M27" t="s">
        <v>63</v>
      </c>
      <c r="O27">
        <v>669316</v>
      </c>
      <c r="P27" t="s">
        <v>145</v>
      </c>
      <c r="Q27" t="s">
        <v>143</v>
      </c>
      <c r="R27" t="s">
        <v>50</v>
      </c>
      <c r="S27" s="1">
        <v>45809</v>
      </c>
      <c r="U27" t="s">
        <v>47</v>
      </c>
      <c r="X27" t="s">
        <v>113</v>
      </c>
      <c r="AF27" s="2">
        <v>116.68</v>
      </c>
      <c r="AG27" s="2">
        <v>19.45</v>
      </c>
      <c r="AJ27" s="2">
        <v>97.23</v>
      </c>
    </row>
    <row r="28" spans="1:38" x14ac:dyDescent="0.25">
      <c r="A28" s="1">
        <v>45821</v>
      </c>
      <c r="B28" s="1">
        <v>45817</v>
      </c>
      <c r="C28" t="s">
        <v>141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2028803828</v>
      </c>
      <c r="J28" t="s">
        <v>144</v>
      </c>
      <c r="M28" t="s">
        <v>63</v>
      </c>
      <c r="O28">
        <v>669316</v>
      </c>
      <c r="P28" t="s">
        <v>145</v>
      </c>
      <c r="Q28" t="s">
        <v>143</v>
      </c>
      <c r="R28" t="s">
        <v>46</v>
      </c>
      <c r="S28" s="1">
        <v>45809</v>
      </c>
      <c r="U28" t="s">
        <v>47</v>
      </c>
      <c r="X28" t="s">
        <v>113</v>
      </c>
      <c r="AF28" s="2">
        <v>279.33999999999997</v>
      </c>
      <c r="AG28" s="2">
        <v>46.56</v>
      </c>
      <c r="AJ28" s="2">
        <v>232.78</v>
      </c>
    </row>
    <row r="29" spans="1:38" x14ac:dyDescent="0.25">
      <c r="A29" s="1">
        <v>45821</v>
      </c>
      <c r="B29" s="1">
        <v>45817</v>
      </c>
      <c r="C29" t="s">
        <v>141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2029184592</v>
      </c>
      <c r="J29" t="s">
        <v>152</v>
      </c>
      <c r="M29" t="s">
        <v>63</v>
      </c>
      <c r="O29">
        <v>669316</v>
      </c>
      <c r="P29" t="s">
        <v>145</v>
      </c>
      <c r="Q29" t="s">
        <v>143</v>
      </c>
      <c r="R29" t="s">
        <v>50</v>
      </c>
      <c r="S29" s="1">
        <v>45809</v>
      </c>
      <c r="U29" t="s">
        <v>47</v>
      </c>
      <c r="X29" t="s">
        <v>113</v>
      </c>
      <c r="AF29" s="2">
        <v>116.68</v>
      </c>
      <c r="AG29" s="2">
        <v>19.45</v>
      </c>
      <c r="AJ29" s="2">
        <v>97.23</v>
      </c>
    </row>
    <row r="30" spans="1:38" x14ac:dyDescent="0.25">
      <c r="A30" s="1">
        <v>45821</v>
      </c>
      <c r="B30" s="1">
        <v>45817</v>
      </c>
      <c r="C30" t="s">
        <v>141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2029184593</v>
      </c>
      <c r="J30" t="s">
        <v>152</v>
      </c>
      <c r="M30" t="s">
        <v>63</v>
      </c>
      <c r="O30">
        <v>669316</v>
      </c>
      <c r="P30" t="s">
        <v>145</v>
      </c>
      <c r="Q30" t="s">
        <v>143</v>
      </c>
      <c r="R30" t="s">
        <v>46</v>
      </c>
      <c r="S30" s="1">
        <v>45809</v>
      </c>
      <c r="U30" t="s">
        <v>47</v>
      </c>
      <c r="X30" t="s">
        <v>113</v>
      </c>
      <c r="AF30" s="2">
        <v>261.66000000000003</v>
      </c>
      <c r="AG30" s="2">
        <v>43.61</v>
      </c>
      <c r="AJ30" s="2">
        <v>218.05</v>
      </c>
    </row>
    <row r="31" spans="1:38" x14ac:dyDescent="0.25">
      <c r="A31" s="1">
        <v>45821</v>
      </c>
      <c r="B31" s="1">
        <v>45817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2029284253</v>
      </c>
      <c r="J31" t="s">
        <v>108</v>
      </c>
      <c r="M31" t="s">
        <v>86</v>
      </c>
      <c r="O31">
        <v>728134</v>
      </c>
      <c r="P31" t="s">
        <v>109</v>
      </c>
      <c r="Q31" t="s">
        <v>45</v>
      </c>
      <c r="R31" t="s">
        <v>110</v>
      </c>
      <c r="S31" s="1">
        <v>45813</v>
      </c>
      <c r="U31" t="s">
        <v>47</v>
      </c>
      <c r="X31" t="s">
        <v>48</v>
      </c>
      <c r="Y31" s="2">
        <v>75.88</v>
      </c>
      <c r="Z31" s="2">
        <v>75.88</v>
      </c>
      <c r="AA31">
        <v>6</v>
      </c>
      <c r="AB31" s="3">
        <v>0.47</v>
      </c>
      <c r="AC31" s="2">
        <v>213.98</v>
      </c>
      <c r="AD31" s="3">
        <v>0</v>
      </c>
      <c r="AE31" s="2">
        <v>0</v>
      </c>
      <c r="AF31" s="2">
        <v>213.98</v>
      </c>
      <c r="AK31" s="4">
        <v>19009500</v>
      </c>
      <c r="AL31" t="s">
        <v>49</v>
      </c>
    </row>
    <row r="32" spans="1:38" x14ac:dyDescent="0.25">
      <c r="A32" s="1">
        <v>45821</v>
      </c>
      <c r="B32" s="1">
        <v>45817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2029303774</v>
      </c>
      <c r="J32" t="s">
        <v>123</v>
      </c>
      <c r="M32" t="s">
        <v>86</v>
      </c>
      <c r="O32">
        <v>728134</v>
      </c>
      <c r="P32" t="s">
        <v>109</v>
      </c>
      <c r="Q32" t="s">
        <v>45</v>
      </c>
      <c r="R32" t="s">
        <v>110</v>
      </c>
      <c r="S32" s="1">
        <v>45798</v>
      </c>
      <c r="U32" t="s">
        <v>47</v>
      </c>
      <c r="X32" t="s">
        <v>124</v>
      </c>
      <c r="Y32" s="2">
        <v>37.32</v>
      </c>
      <c r="Z32" s="2">
        <v>37.32</v>
      </c>
      <c r="AA32">
        <v>1</v>
      </c>
      <c r="AB32" s="3">
        <v>0.47</v>
      </c>
      <c r="AC32" s="2">
        <v>17.54</v>
      </c>
      <c r="AD32" s="3">
        <v>0</v>
      </c>
      <c r="AE32" s="2">
        <v>0</v>
      </c>
      <c r="AF32" s="2">
        <v>17.54</v>
      </c>
      <c r="AK32" s="4">
        <v>19009680</v>
      </c>
    </row>
    <row r="33" spans="1:38" x14ac:dyDescent="0.25">
      <c r="A33" s="1">
        <v>45821</v>
      </c>
      <c r="B33" s="1">
        <v>45817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2029278180</v>
      </c>
      <c r="J33" t="s">
        <v>103</v>
      </c>
      <c r="M33" t="s">
        <v>63</v>
      </c>
      <c r="O33">
        <v>812656</v>
      </c>
      <c r="P33" t="s">
        <v>104</v>
      </c>
      <c r="Q33" t="s">
        <v>45</v>
      </c>
      <c r="R33" t="s">
        <v>46</v>
      </c>
      <c r="S33" s="1">
        <v>45812</v>
      </c>
      <c r="U33" t="s">
        <v>47</v>
      </c>
      <c r="X33" t="s">
        <v>48</v>
      </c>
      <c r="Y33" s="2">
        <v>183.13</v>
      </c>
      <c r="Z33" s="2">
        <v>183.13</v>
      </c>
      <c r="AA33">
        <v>6</v>
      </c>
      <c r="AB33" s="3">
        <v>0.7</v>
      </c>
      <c r="AC33" s="2">
        <v>769.15</v>
      </c>
      <c r="AD33" s="3">
        <v>0</v>
      </c>
      <c r="AE33" s="2">
        <v>0</v>
      </c>
      <c r="AF33" s="2">
        <v>769.15</v>
      </c>
      <c r="AK33" s="4">
        <v>18992000</v>
      </c>
      <c r="AL33" t="s">
        <v>49</v>
      </c>
    </row>
    <row r="34" spans="1:38" x14ac:dyDescent="0.25">
      <c r="A34" s="1">
        <v>45821</v>
      </c>
      <c r="B34" s="1">
        <v>45817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2029331330</v>
      </c>
      <c r="J34" t="s">
        <v>136</v>
      </c>
      <c r="M34" t="s">
        <v>63</v>
      </c>
      <c r="O34">
        <v>812656</v>
      </c>
      <c r="P34" t="s">
        <v>104</v>
      </c>
      <c r="Q34" t="s">
        <v>45</v>
      </c>
      <c r="R34" t="s">
        <v>46</v>
      </c>
      <c r="S34" s="1">
        <v>45815</v>
      </c>
      <c r="U34" t="s">
        <v>47</v>
      </c>
      <c r="X34" t="s">
        <v>48</v>
      </c>
      <c r="Y34" s="2">
        <v>100.21</v>
      </c>
      <c r="Z34" s="2">
        <v>100.21</v>
      </c>
      <c r="AA34">
        <v>6</v>
      </c>
      <c r="AB34" s="3">
        <v>0.7</v>
      </c>
      <c r="AC34" s="2">
        <v>420.88</v>
      </c>
      <c r="AD34" s="3">
        <v>0</v>
      </c>
      <c r="AE34" s="2">
        <v>0</v>
      </c>
      <c r="AF34" s="2">
        <v>420.88</v>
      </c>
      <c r="AK34" s="4">
        <v>18992380</v>
      </c>
      <c r="AL34" t="s">
        <v>49</v>
      </c>
    </row>
    <row r="35" spans="1:38" x14ac:dyDescent="0.25">
      <c r="A35" s="1">
        <v>45821</v>
      </c>
      <c r="B35" s="1">
        <v>45817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2028773699</v>
      </c>
      <c r="J35" t="s">
        <v>52</v>
      </c>
      <c r="M35" t="s">
        <v>53</v>
      </c>
      <c r="O35">
        <v>651818</v>
      </c>
      <c r="P35" t="s">
        <v>54</v>
      </c>
      <c r="Q35" t="s">
        <v>45</v>
      </c>
      <c r="R35" t="s">
        <v>55</v>
      </c>
      <c r="S35" s="1">
        <v>45815</v>
      </c>
      <c r="U35" t="s">
        <v>47</v>
      </c>
      <c r="X35" t="s">
        <v>48</v>
      </c>
      <c r="Y35" s="2">
        <v>123.55</v>
      </c>
      <c r="Z35" s="2">
        <v>123.55</v>
      </c>
      <c r="AA35">
        <v>6</v>
      </c>
      <c r="AB35" s="3">
        <v>0.75</v>
      </c>
      <c r="AC35" s="2">
        <v>555.98</v>
      </c>
      <c r="AD35" s="3">
        <v>0</v>
      </c>
      <c r="AE35" s="2">
        <v>0</v>
      </c>
      <c r="AF35" s="2">
        <v>555.98</v>
      </c>
      <c r="AK35" s="4">
        <v>18999550</v>
      </c>
      <c r="AL35" t="s">
        <v>49</v>
      </c>
    </row>
    <row r="36" spans="1:38" x14ac:dyDescent="0.25">
      <c r="A36" s="1">
        <v>45821</v>
      </c>
      <c r="B36" s="1">
        <v>45817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2028773700</v>
      </c>
      <c r="J36" t="s">
        <v>52</v>
      </c>
      <c r="M36" t="s">
        <v>53</v>
      </c>
      <c r="O36">
        <v>651818</v>
      </c>
      <c r="P36" t="s">
        <v>54</v>
      </c>
      <c r="Q36" t="s">
        <v>45</v>
      </c>
      <c r="R36" t="s">
        <v>51</v>
      </c>
      <c r="S36" s="1">
        <v>45815</v>
      </c>
      <c r="U36" t="s">
        <v>47</v>
      </c>
      <c r="X36" t="s">
        <v>48</v>
      </c>
      <c r="Y36" s="2">
        <v>33.25</v>
      </c>
      <c r="Z36" s="2">
        <v>33.25</v>
      </c>
      <c r="AA36">
        <v>6</v>
      </c>
      <c r="AB36" s="3">
        <v>0.9</v>
      </c>
      <c r="AC36" s="2">
        <v>179.55</v>
      </c>
      <c r="AD36" s="3">
        <v>0</v>
      </c>
      <c r="AE36" s="2">
        <v>0</v>
      </c>
      <c r="AF36" s="2">
        <v>179.55</v>
      </c>
      <c r="AK36" s="4">
        <v>19012790</v>
      </c>
      <c r="AL36" t="s">
        <v>49</v>
      </c>
    </row>
    <row r="37" spans="1:38" x14ac:dyDescent="0.25">
      <c r="A37" s="1">
        <v>45821</v>
      </c>
      <c r="B37" s="1">
        <v>45817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2028859180</v>
      </c>
      <c r="J37" t="s">
        <v>59</v>
      </c>
      <c r="M37" t="s">
        <v>60</v>
      </c>
      <c r="O37">
        <v>651818</v>
      </c>
      <c r="P37" t="s">
        <v>54</v>
      </c>
      <c r="Q37" t="s">
        <v>45</v>
      </c>
      <c r="R37" t="s">
        <v>61</v>
      </c>
      <c r="S37" s="1">
        <v>45815</v>
      </c>
      <c r="U37" t="s">
        <v>47</v>
      </c>
      <c r="X37" t="s">
        <v>48</v>
      </c>
      <c r="Y37" s="2">
        <v>57.67</v>
      </c>
      <c r="Z37" s="2">
        <v>57.67</v>
      </c>
      <c r="AA37">
        <v>6</v>
      </c>
      <c r="AB37" s="3">
        <v>0.9</v>
      </c>
      <c r="AC37" s="2">
        <v>311.42</v>
      </c>
      <c r="AD37" s="3">
        <v>0</v>
      </c>
      <c r="AE37" s="2">
        <v>0</v>
      </c>
      <c r="AF37" s="2">
        <v>311.42</v>
      </c>
      <c r="AK37" s="4">
        <v>18999630</v>
      </c>
      <c r="AL37" t="s">
        <v>49</v>
      </c>
    </row>
    <row r="38" spans="1:38" x14ac:dyDescent="0.25">
      <c r="A38" s="1">
        <v>45821</v>
      </c>
      <c r="B38" s="1">
        <v>45817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2028982416</v>
      </c>
      <c r="J38" t="s">
        <v>62</v>
      </c>
      <c r="M38" t="s">
        <v>63</v>
      </c>
      <c r="O38">
        <v>651818</v>
      </c>
      <c r="P38" t="s">
        <v>54</v>
      </c>
      <c r="Q38" t="s">
        <v>45</v>
      </c>
      <c r="R38" t="s">
        <v>46</v>
      </c>
      <c r="S38" s="1">
        <v>45815</v>
      </c>
      <c r="U38" t="s">
        <v>47</v>
      </c>
      <c r="X38" t="s">
        <v>48</v>
      </c>
      <c r="Y38" s="2">
        <v>101.38</v>
      </c>
      <c r="Z38" s="2">
        <v>101.38</v>
      </c>
      <c r="AA38">
        <v>6</v>
      </c>
      <c r="AB38" s="3">
        <v>0.7</v>
      </c>
      <c r="AC38" s="2">
        <v>425.8</v>
      </c>
      <c r="AD38" s="3">
        <v>0</v>
      </c>
      <c r="AE38" s="2">
        <v>0</v>
      </c>
      <c r="AF38" s="2">
        <v>425.8</v>
      </c>
      <c r="AK38" s="4">
        <v>18991570</v>
      </c>
      <c r="AL38" t="s">
        <v>49</v>
      </c>
    </row>
    <row r="39" spans="1:38" x14ac:dyDescent="0.25">
      <c r="A39" s="1">
        <v>45821</v>
      </c>
      <c r="B39" s="1">
        <v>45817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2028982417</v>
      </c>
      <c r="J39" t="s">
        <v>62</v>
      </c>
      <c r="M39" t="s">
        <v>63</v>
      </c>
      <c r="O39">
        <v>651818</v>
      </c>
      <c r="P39" t="s">
        <v>54</v>
      </c>
      <c r="Q39" t="s">
        <v>45</v>
      </c>
      <c r="R39" t="s">
        <v>51</v>
      </c>
      <c r="S39" s="1">
        <v>45815</v>
      </c>
      <c r="U39" t="s">
        <v>47</v>
      </c>
      <c r="X39" t="s">
        <v>48</v>
      </c>
      <c r="Y39" s="2">
        <v>146.88</v>
      </c>
      <c r="Z39" s="2">
        <v>146.88</v>
      </c>
      <c r="AA39">
        <v>6</v>
      </c>
      <c r="AB39" s="3">
        <v>0.9</v>
      </c>
      <c r="AC39" s="2">
        <v>793.15</v>
      </c>
      <c r="AD39" s="3">
        <v>0</v>
      </c>
      <c r="AE39" s="2">
        <v>0</v>
      </c>
      <c r="AF39" s="2">
        <v>793.15</v>
      </c>
      <c r="AK39" s="4">
        <v>19012950</v>
      </c>
      <c r="AL39" t="s">
        <v>49</v>
      </c>
    </row>
    <row r="40" spans="1:38" x14ac:dyDescent="0.25">
      <c r="A40" s="1">
        <v>45821</v>
      </c>
      <c r="B40" s="1">
        <v>45817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2029031423</v>
      </c>
      <c r="J40" t="s">
        <v>64</v>
      </c>
      <c r="M40" t="s">
        <v>65</v>
      </c>
      <c r="O40">
        <v>651818</v>
      </c>
      <c r="P40" t="s">
        <v>54</v>
      </c>
      <c r="Q40" t="s">
        <v>45</v>
      </c>
      <c r="R40" t="s">
        <v>46</v>
      </c>
      <c r="S40" s="1">
        <v>45815</v>
      </c>
      <c r="U40" t="s">
        <v>47</v>
      </c>
      <c r="X40" t="s">
        <v>48</v>
      </c>
      <c r="Y40" s="2">
        <v>103.5</v>
      </c>
      <c r="Z40" s="2">
        <v>103.5</v>
      </c>
      <c r="AA40">
        <v>6</v>
      </c>
      <c r="AB40" s="3">
        <v>0.7</v>
      </c>
      <c r="AC40" s="2">
        <v>434.7</v>
      </c>
      <c r="AD40" s="3">
        <v>0</v>
      </c>
      <c r="AE40" s="2">
        <v>0</v>
      </c>
      <c r="AF40" s="2">
        <v>434.7</v>
      </c>
      <c r="AK40" s="4">
        <v>18991590</v>
      </c>
      <c r="AL40" t="s">
        <v>49</v>
      </c>
    </row>
    <row r="41" spans="1:38" x14ac:dyDescent="0.25">
      <c r="A41" s="1">
        <v>45821</v>
      </c>
      <c r="B41" s="1">
        <v>45817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2029031424</v>
      </c>
      <c r="J41" t="s">
        <v>64</v>
      </c>
      <c r="M41" t="s">
        <v>65</v>
      </c>
      <c r="O41">
        <v>651818</v>
      </c>
      <c r="P41" t="s">
        <v>54</v>
      </c>
      <c r="Q41" t="s">
        <v>45</v>
      </c>
      <c r="R41" t="s">
        <v>55</v>
      </c>
      <c r="S41" s="1">
        <v>45815</v>
      </c>
      <c r="U41" t="s">
        <v>47</v>
      </c>
      <c r="X41" t="s">
        <v>48</v>
      </c>
      <c r="Y41" s="2">
        <v>163.80000000000001</v>
      </c>
      <c r="Z41" s="2">
        <v>163.80000000000001</v>
      </c>
      <c r="AA41">
        <v>6</v>
      </c>
      <c r="AB41" s="3">
        <v>0.75</v>
      </c>
      <c r="AC41" s="2">
        <v>737.1</v>
      </c>
      <c r="AD41" s="3">
        <v>0</v>
      </c>
      <c r="AE41" s="2">
        <v>0</v>
      </c>
      <c r="AF41" s="2">
        <v>737.1</v>
      </c>
      <c r="AK41" s="4">
        <v>18999670</v>
      </c>
      <c r="AL41" t="s">
        <v>49</v>
      </c>
    </row>
    <row r="42" spans="1:38" x14ac:dyDescent="0.25">
      <c r="A42" s="1">
        <v>45821</v>
      </c>
      <c r="B42" s="1">
        <v>45817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2029031425</v>
      </c>
      <c r="J42" t="s">
        <v>64</v>
      </c>
      <c r="M42" t="s">
        <v>65</v>
      </c>
      <c r="O42">
        <v>651818</v>
      </c>
      <c r="P42" t="s">
        <v>54</v>
      </c>
      <c r="Q42" t="s">
        <v>45</v>
      </c>
      <c r="R42" t="s">
        <v>51</v>
      </c>
      <c r="S42" s="1">
        <v>45815</v>
      </c>
      <c r="U42" t="s">
        <v>47</v>
      </c>
      <c r="X42" t="s">
        <v>48</v>
      </c>
      <c r="Y42" s="2">
        <v>134.16999999999999</v>
      </c>
      <c r="Z42" s="2">
        <v>134.16999999999999</v>
      </c>
      <c r="AA42">
        <v>6</v>
      </c>
      <c r="AB42" s="3">
        <v>0.9</v>
      </c>
      <c r="AC42" s="2">
        <v>724.52</v>
      </c>
      <c r="AD42" s="3">
        <v>0</v>
      </c>
      <c r="AE42" s="2">
        <v>0</v>
      </c>
      <c r="AF42" s="2">
        <v>724.52</v>
      </c>
      <c r="AK42" s="4">
        <v>19012950</v>
      </c>
      <c r="AL42" t="s">
        <v>49</v>
      </c>
    </row>
    <row r="43" spans="1:38" x14ac:dyDescent="0.25">
      <c r="A43" s="1">
        <v>45821</v>
      </c>
      <c r="B43" s="1">
        <v>45817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2029299955</v>
      </c>
      <c r="J43" t="s">
        <v>120</v>
      </c>
      <c r="M43" t="s">
        <v>43</v>
      </c>
      <c r="O43">
        <v>856824</v>
      </c>
      <c r="P43" t="s">
        <v>121</v>
      </c>
      <c r="Q43" t="s">
        <v>45</v>
      </c>
      <c r="R43" t="s">
        <v>88</v>
      </c>
      <c r="S43" s="1">
        <v>45813</v>
      </c>
      <c r="U43" t="s">
        <v>47</v>
      </c>
      <c r="X43" t="s">
        <v>48</v>
      </c>
      <c r="Y43" s="2">
        <v>13.66</v>
      </c>
      <c r="Z43" s="2">
        <v>13.66</v>
      </c>
      <c r="AA43">
        <v>6</v>
      </c>
      <c r="AB43" s="3">
        <v>0.38</v>
      </c>
      <c r="AC43" s="2">
        <v>31.14</v>
      </c>
      <c r="AD43" s="3">
        <v>0</v>
      </c>
      <c r="AE43" s="2">
        <v>0</v>
      </c>
      <c r="AF43" s="2">
        <v>31.14</v>
      </c>
      <c r="AK43" s="4">
        <v>19010850</v>
      </c>
      <c r="AL43" t="s">
        <v>49</v>
      </c>
    </row>
    <row r="44" spans="1:38" x14ac:dyDescent="0.25">
      <c r="A44" s="1">
        <v>45821</v>
      </c>
      <c r="B44" s="1">
        <v>45817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2029299956</v>
      </c>
      <c r="J44" t="s">
        <v>120</v>
      </c>
      <c r="M44" t="s">
        <v>43</v>
      </c>
      <c r="O44">
        <v>856824</v>
      </c>
      <c r="P44" t="s">
        <v>121</v>
      </c>
      <c r="Q44" t="s">
        <v>45</v>
      </c>
      <c r="R44" t="s">
        <v>50</v>
      </c>
      <c r="S44" s="1">
        <v>45813</v>
      </c>
      <c r="U44" t="s">
        <v>47</v>
      </c>
      <c r="X44" t="s">
        <v>48</v>
      </c>
      <c r="Y44" s="2">
        <v>19.45</v>
      </c>
      <c r="Z44" s="2">
        <v>19.45</v>
      </c>
      <c r="AA44">
        <v>6</v>
      </c>
      <c r="AB44" s="3">
        <v>0.375</v>
      </c>
      <c r="AC44" s="2">
        <v>43.76</v>
      </c>
      <c r="AD44" s="3">
        <v>0</v>
      </c>
      <c r="AE44" s="2">
        <v>0</v>
      </c>
      <c r="AF44" s="2">
        <v>43.76</v>
      </c>
      <c r="AK44" s="4">
        <v>19009660</v>
      </c>
      <c r="AL44" t="s">
        <v>49</v>
      </c>
    </row>
    <row r="45" spans="1:38" x14ac:dyDescent="0.25">
      <c r="A45" s="1">
        <v>45821</v>
      </c>
      <c r="B45" s="1">
        <v>45817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2029299957</v>
      </c>
      <c r="J45" t="s">
        <v>120</v>
      </c>
      <c r="M45" t="s">
        <v>43</v>
      </c>
      <c r="O45">
        <v>856824</v>
      </c>
      <c r="P45" t="s">
        <v>121</v>
      </c>
      <c r="Q45" t="s">
        <v>45</v>
      </c>
      <c r="R45" t="s">
        <v>122</v>
      </c>
      <c r="S45" s="1">
        <v>45813</v>
      </c>
      <c r="U45" t="s">
        <v>47</v>
      </c>
      <c r="X45" t="s">
        <v>48</v>
      </c>
      <c r="Y45" s="2">
        <v>15</v>
      </c>
      <c r="Z45" s="2">
        <v>15</v>
      </c>
      <c r="AA45">
        <v>6</v>
      </c>
      <c r="AB45" s="3">
        <v>0.38</v>
      </c>
      <c r="AC45" s="2">
        <v>34.200000000000003</v>
      </c>
      <c r="AD45" s="3">
        <v>0</v>
      </c>
      <c r="AE45" s="2">
        <v>0</v>
      </c>
      <c r="AF45" s="2">
        <v>34.200000000000003</v>
      </c>
      <c r="AK45" s="4">
        <v>18996540</v>
      </c>
      <c r="AL45" t="s">
        <v>49</v>
      </c>
    </row>
    <row r="46" spans="1:38" x14ac:dyDescent="0.25">
      <c r="A46" s="1">
        <v>45821</v>
      </c>
      <c r="B46" s="1">
        <v>45817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2029246956</v>
      </c>
      <c r="J46" t="s">
        <v>72</v>
      </c>
      <c r="M46" t="s">
        <v>63</v>
      </c>
      <c r="O46">
        <v>843573</v>
      </c>
      <c r="P46" t="s">
        <v>73</v>
      </c>
      <c r="Q46" t="s">
        <v>45</v>
      </c>
      <c r="R46" t="s">
        <v>46</v>
      </c>
      <c r="S46" s="1">
        <v>45811</v>
      </c>
      <c r="U46" t="s">
        <v>47</v>
      </c>
      <c r="X46" t="s">
        <v>48</v>
      </c>
      <c r="Y46" s="2">
        <v>28</v>
      </c>
      <c r="Z46" s="2">
        <v>28</v>
      </c>
      <c r="AA46">
        <v>6</v>
      </c>
      <c r="AB46" s="3">
        <v>0.7</v>
      </c>
      <c r="AC46" s="2">
        <v>117.6</v>
      </c>
      <c r="AD46" s="3">
        <v>0</v>
      </c>
      <c r="AE46" s="2">
        <v>0</v>
      </c>
      <c r="AF46" s="2">
        <v>117.6</v>
      </c>
      <c r="AK46" s="4">
        <v>18991800</v>
      </c>
      <c r="AL46" t="s">
        <v>49</v>
      </c>
    </row>
    <row r="47" spans="1:38" x14ac:dyDescent="0.25">
      <c r="A47" s="1">
        <v>45821</v>
      </c>
      <c r="B47" s="1">
        <v>45817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2029270540</v>
      </c>
      <c r="J47" t="s">
        <v>85</v>
      </c>
      <c r="M47" t="s">
        <v>86</v>
      </c>
      <c r="O47">
        <v>751867</v>
      </c>
      <c r="P47" t="s">
        <v>87</v>
      </c>
      <c r="Q47" t="s">
        <v>45</v>
      </c>
      <c r="R47" t="s">
        <v>88</v>
      </c>
      <c r="S47" s="1">
        <v>45812</v>
      </c>
      <c r="U47" t="s">
        <v>47</v>
      </c>
      <c r="X47" t="s">
        <v>48</v>
      </c>
      <c r="Y47" s="2">
        <v>30.27</v>
      </c>
      <c r="Z47" s="2">
        <v>30.27</v>
      </c>
      <c r="AA47">
        <v>6</v>
      </c>
      <c r="AB47" s="3">
        <v>0.38</v>
      </c>
      <c r="AC47" s="2">
        <v>69.02</v>
      </c>
      <c r="AD47" s="3">
        <v>0</v>
      </c>
      <c r="AE47" s="2">
        <v>0</v>
      </c>
      <c r="AF47" s="2">
        <v>69.02</v>
      </c>
      <c r="AK47" s="4">
        <v>19010830</v>
      </c>
      <c r="AL47" t="s">
        <v>49</v>
      </c>
    </row>
    <row r="48" spans="1:38" x14ac:dyDescent="0.25">
      <c r="A48" s="1">
        <v>45821</v>
      </c>
      <c r="B48" s="1">
        <v>45817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2029270541</v>
      </c>
      <c r="J48" t="s">
        <v>85</v>
      </c>
      <c r="M48" t="s">
        <v>86</v>
      </c>
      <c r="O48">
        <v>751867</v>
      </c>
      <c r="P48" t="s">
        <v>87</v>
      </c>
      <c r="Q48" t="s">
        <v>45</v>
      </c>
      <c r="R48" t="s">
        <v>89</v>
      </c>
      <c r="S48" s="1">
        <v>45812</v>
      </c>
      <c r="U48" t="s">
        <v>47</v>
      </c>
      <c r="X48" t="s">
        <v>48</v>
      </c>
      <c r="Y48" s="2">
        <v>25.73</v>
      </c>
      <c r="Z48" s="2">
        <v>25.73</v>
      </c>
      <c r="AA48">
        <v>6</v>
      </c>
      <c r="AB48" s="3">
        <v>0.7</v>
      </c>
      <c r="AC48" s="2">
        <v>108.07</v>
      </c>
      <c r="AD48" s="3">
        <v>0</v>
      </c>
      <c r="AE48" s="2">
        <v>0</v>
      </c>
      <c r="AF48" s="2">
        <v>108.07</v>
      </c>
      <c r="AK48" s="4">
        <v>18985940</v>
      </c>
      <c r="AL48" t="s">
        <v>49</v>
      </c>
    </row>
    <row r="49" spans="1:38" x14ac:dyDescent="0.25">
      <c r="A49" s="1">
        <v>45821</v>
      </c>
      <c r="B49" s="1">
        <v>45817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2029270542</v>
      </c>
      <c r="J49" t="s">
        <v>85</v>
      </c>
      <c r="M49" t="s">
        <v>86</v>
      </c>
      <c r="O49">
        <v>751867</v>
      </c>
      <c r="P49" t="s">
        <v>87</v>
      </c>
      <c r="Q49" t="s">
        <v>45</v>
      </c>
      <c r="R49" t="s">
        <v>50</v>
      </c>
      <c r="S49" s="1">
        <v>45812</v>
      </c>
      <c r="U49" t="s">
        <v>47</v>
      </c>
      <c r="X49" t="s">
        <v>48</v>
      </c>
      <c r="Y49" s="2">
        <v>24.88</v>
      </c>
      <c r="Z49" s="2">
        <v>24.88</v>
      </c>
      <c r="AA49">
        <v>6</v>
      </c>
      <c r="AB49" s="3">
        <v>0.375</v>
      </c>
      <c r="AC49" s="2">
        <v>55.98</v>
      </c>
      <c r="AD49" s="3">
        <v>0</v>
      </c>
      <c r="AE49" s="2">
        <v>0</v>
      </c>
      <c r="AF49" s="2">
        <v>55.98</v>
      </c>
      <c r="AK49" s="4">
        <v>19009380</v>
      </c>
      <c r="AL49" t="s">
        <v>49</v>
      </c>
    </row>
    <row r="50" spans="1:38" x14ac:dyDescent="0.25">
      <c r="A50" s="1">
        <v>45821</v>
      </c>
      <c r="B50" s="1">
        <v>45817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2029274943</v>
      </c>
      <c r="J50" t="s">
        <v>95</v>
      </c>
      <c r="M50" t="s">
        <v>86</v>
      </c>
      <c r="O50">
        <v>751867</v>
      </c>
      <c r="P50" t="s">
        <v>87</v>
      </c>
      <c r="Q50" t="s">
        <v>45</v>
      </c>
      <c r="R50" t="s">
        <v>88</v>
      </c>
      <c r="S50" s="1">
        <v>45839</v>
      </c>
      <c r="U50" t="s">
        <v>47</v>
      </c>
      <c r="X50" t="s">
        <v>48</v>
      </c>
      <c r="Y50" s="2">
        <v>46.13</v>
      </c>
      <c r="Z50" s="2">
        <v>46.13</v>
      </c>
      <c r="AA50">
        <v>6</v>
      </c>
      <c r="AB50" s="3">
        <v>0.38</v>
      </c>
      <c r="AC50" s="2">
        <v>105.18</v>
      </c>
      <c r="AD50" s="3">
        <v>0</v>
      </c>
      <c r="AE50" s="2">
        <v>0</v>
      </c>
      <c r="AF50" s="2">
        <v>105.18</v>
      </c>
      <c r="AK50" s="4">
        <v>19010840</v>
      </c>
      <c r="AL50" t="s">
        <v>49</v>
      </c>
    </row>
    <row r="51" spans="1:38" x14ac:dyDescent="0.25">
      <c r="A51" s="1">
        <v>45821</v>
      </c>
      <c r="B51" s="1">
        <v>45817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2029275099</v>
      </c>
      <c r="J51" t="s">
        <v>96</v>
      </c>
      <c r="M51" t="s">
        <v>97</v>
      </c>
      <c r="O51">
        <v>822865</v>
      </c>
      <c r="P51" t="s">
        <v>98</v>
      </c>
      <c r="Q51" t="s">
        <v>45</v>
      </c>
      <c r="R51" t="s">
        <v>50</v>
      </c>
      <c r="S51" s="1">
        <v>45812</v>
      </c>
      <c r="U51" t="s">
        <v>47</v>
      </c>
      <c r="X51" t="s">
        <v>48</v>
      </c>
      <c r="Y51" s="2">
        <v>27.12</v>
      </c>
      <c r="Z51" s="2">
        <v>27.12</v>
      </c>
      <c r="AA51">
        <v>6</v>
      </c>
      <c r="AB51" s="3">
        <v>0.375</v>
      </c>
      <c r="AC51" s="2">
        <v>61.02</v>
      </c>
      <c r="AD51" s="3">
        <v>0</v>
      </c>
      <c r="AE51" s="2">
        <v>0</v>
      </c>
      <c r="AF51" s="2">
        <v>61.02</v>
      </c>
      <c r="AK51" s="4">
        <v>19009420</v>
      </c>
      <c r="AL51" t="s">
        <v>49</v>
      </c>
    </row>
    <row r="52" spans="1:38" x14ac:dyDescent="0.25">
      <c r="A52" s="1">
        <v>45821</v>
      </c>
      <c r="B52" s="1">
        <v>45817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2029275100</v>
      </c>
      <c r="J52" t="s">
        <v>96</v>
      </c>
      <c r="M52" t="s">
        <v>97</v>
      </c>
      <c r="O52">
        <v>822865</v>
      </c>
      <c r="P52" t="s">
        <v>98</v>
      </c>
      <c r="Q52" t="s">
        <v>45</v>
      </c>
      <c r="R52" t="s">
        <v>46</v>
      </c>
      <c r="S52" s="1">
        <v>45812</v>
      </c>
      <c r="U52" t="s">
        <v>47</v>
      </c>
      <c r="X52" t="s">
        <v>48</v>
      </c>
      <c r="Y52" s="2">
        <v>37.43</v>
      </c>
      <c r="Z52" s="2">
        <v>37.43</v>
      </c>
      <c r="AA52">
        <v>6</v>
      </c>
      <c r="AB52" s="3">
        <v>0.7</v>
      </c>
      <c r="AC52" s="2">
        <v>157.21</v>
      </c>
      <c r="AD52" s="3">
        <v>0</v>
      </c>
      <c r="AE52" s="2">
        <v>0</v>
      </c>
      <c r="AF52" s="2">
        <v>157.21</v>
      </c>
      <c r="AK52" s="4">
        <v>18991960</v>
      </c>
      <c r="AL52" t="s">
        <v>49</v>
      </c>
    </row>
    <row r="53" spans="1:38" x14ac:dyDescent="0.25">
      <c r="A53" s="1">
        <v>45821</v>
      </c>
      <c r="B53" s="1">
        <v>45817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2029182577</v>
      </c>
      <c r="J53" t="s">
        <v>67</v>
      </c>
      <c r="M53" t="s">
        <v>68</v>
      </c>
      <c r="O53">
        <v>753748</v>
      </c>
      <c r="P53" t="s">
        <v>69</v>
      </c>
      <c r="Q53" t="s">
        <v>45</v>
      </c>
      <c r="R53" t="s">
        <v>70</v>
      </c>
      <c r="S53" s="1">
        <v>45816</v>
      </c>
      <c r="U53" t="s">
        <v>47</v>
      </c>
      <c r="X53" t="s">
        <v>48</v>
      </c>
      <c r="Y53" s="2">
        <v>21.82</v>
      </c>
      <c r="Z53" s="2">
        <v>21.82</v>
      </c>
      <c r="AA53">
        <v>6</v>
      </c>
      <c r="AB53" s="3">
        <v>0.75</v>
      </c>
      <c r="AC53" s="2">
        <v>98.19</v>
      </c>
      <c r="AD53" s="3">
        <v>0</v>
      </c>
      <c r="AE53" s="2">
        <v>0</v>
      </c>
      <c r="AF53" s="2">
        <v>98.19</v>
      </c>
      <c r="AK53" s="4">
        <v>18999700</v>
      </c>
      <c r="AL53" t="s">
        <v>49</v>
      </c>
    </row>
    <row r="54" spans="1:38" x14ac:dyDescent="0.25">
      <c r="A54" s="1">
        <v>45821</v>
      </c>
      <c r="B54" s="1">
        <v>45817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2029182578</v>
      </c>
      <c r="J54" t="s">
        <v>67</v>
      </c>
      <c r="M54" t="s">
        <v>68</v>
      </c>
      <c r="O54">
        <v>753748</v>
      </c>
      <c r="P54" t="s">
        <v>69</v>
      </c>
      <c r="Q54" t="s">
        <v>45</v>
      </c>
      <c r="R54" t="s">
        <v>46</v>
      </c>
      <c r="S54" s="1">
        <v>45816</v>
      </c>
      <c r="U54" t="s">
        <v>47</v>
      </c>
      <c r="X54" t="s">
        <v>48</v>
      </c>
      <c r="Y54" s="2">
        <v>63.95</v>
      </c>
      <c r="Z54" s="2">
        <v>63.95</v>
      </c>
      <c r="AA54">
        <v>6</v>
      </c>
      <c r="AB54" s="3">
        <v>0.7</v>
      </c>
      <c r="AC54" s="2">
        <v>268.58999999999997</v>
      </c>
      <c r="AD54" s="3">
        <v>0</v>
      </c>
      <c r="AE54" s="2">
        <v>0</v>
      </c>
      <c r="AF54" s="2">
        <v>268.58999999999997</v>
      </c>
      <c r="AK54" s="4">
        <v>18991690</v>
      </c>
      <c r="AL54" t="s">
        <v>49</v>
      </c>
    </row>
    <row r="55" spans="1:38" x14ac:dyDescent="0.25">
      <c r="A55" s="1">
        <v>45821</v>
      </c>
      <c r="B55" s="1">
        <v>45817</v>
      </c>
      <c r="C55" t="s">
        <v>141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2028839656</v>
      </c>
      <c r="J55" t="s">
        <v>148</v>
      </c>
      <c r="M55" t="s">
        <v>43</v>
      </c>
      <c r="O55">
        <v>753748</v>
      </c>
      <c r="P55" t="s">
        <v>69</v>
      </c>
      <c r="Q55" t="s">
        <v>143</v>
      </c>
      <c r="R55" t="s">
        <v>46</v>
      </c>
      <c r="S55" s="1">
        <v>45809</v>
      </c>
      <c r="U55" t="s">
        <v>47</v>
      </c>
      <c r="X55" t="s">
        <v>113</v>
      </c>
      <c r="AF55" s="2">
        <v>119.2</v>
      </c>
      <c r="AG55" s="2">
        <v>19.87</v>
      </c>
      <c r="AJ55" s="2">
        <v>99.33</v>
      </c>
    </row>
    <row r="56" spans="1:38" x14ac:dyDescent="0.25">
      <c r="A56" s="1">
        <v>45821</v>
      </c>
      <c r="B56" s="1">
        <v>45817</v>
      </c>
      <c r="C56" t="s">
        <v>141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2028839657</v>
      </c>
      <c r="J56" t="s">
        <v>148</v>
      </c>
      <c r="M56" t="s">
        <v>43</v>
      </c>
      <c r="O56">
        <v>753748</v>
      </c>
      <c r="P56" t="s">
        <v>69</v>
      </c>
      <c r="Q56" t="s">
        <v>143</v>
      </c>
      <c r="R56" t="s">
        <v>61</v>
      </c>
      <c r="S56" s="1">
        <v>45809</v>
      </c>
      <c r="U56" t="s">
        <v>47</v>
      </c>
      <c r="X56" t="s">
        <v>113</v>
      </c>
      <c r="AF56" s="2">
        <v>1551.2</v>
      </c>
      <c r="AG56" s="2">
        <v>258.52999999999997</v>
      </c>
      <c r="AJ56" s="2">
        <v>1292.67</v>
      </c>
    </row>
    <row r="57" spans="1:38" x14ac:dyDescent="0.25">
      <c r="A57" s="1">
        <v>45821</v>
      </c>
      <c r="B57" s="1">
        <v>45817</v>
      </c>
      <c r="C57" t="s">
        <v>141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2029019139</v>
      </c>
      <c r="J57" t="s">
        <v>149</v>
      </c>
      <c r="M57" t="s">
        <v>43</v>
      </c>
      <c r="O57">
        <v>753748</v>
      </c>
      <c r="P57" t="s">
        <v>69</v>
      </c>
      <c r="Q57" t="s">
        <v>143</v>
      </c>
      <c r="R57" t="s">
        <v>61</v>
      </c>
      <c r="S57" s="1">
        <v>45814</v>
      </c>
      <c r="U57" t="s">
        <v>47</v>
      </c>
      <c r="X57" t="s">
        <v>113</v>
      </c>
      <c r="AF57" s="2">
        <v>738.13</v>
      </c>
      <c r="AG57" s="2">
        <v>123.02</v>
      </c>
      <c r="AJ57" s="2">
        <v>615.11</v>
      </c>
    </row>
    <row r="58" spans="1:38" x14ac:dyDescent="0.25">
      <c r="A58" s="1">
        <v>45821</v>
      </c>
      <c r="B58" s="1">
        <v>45817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2029132494</v>
      </c>
      <c r="J58" t="s">
        <v>66</v>
      </c>
      <c r="M58" t="s">
        <v>57</v>
      </c>
      <c r="O58">
        <v>820140</v>
      </c>
      <c r="P58" t="s">
        <v>66</v>
      </c>
      <c r="Q58" t="s">
        <v>45</v>
      </c>
      <c r="R58" t="s">
        <v>50</v>
      </c>
      <c r="S58" s="1">
        <v>45809</v>
      </c>
      <c r="U58" t="s">
        <v>47</v>
      </c>
      <c r="X58" t="s">
        <v>48</v>
      </c>
      <c r="Y58" s="2">
        <v>43.59</v>
      </c>
      <c r="Z58" s="2">
        <v>43.59</v>
      </c>
      <c r="AA58">
        <v>6</v>
      </c>
      <c r="AB58" s="3">
        <v>9.5000000000000001E-2</v>
      </c>
      <c r="AC58" s="2">
        <v>24.85</v>
      </c>
      <c r="AD58" s="3">
        <v>0</v>
      </c>
      <c r="AE58" s="2">
        <v>0</v>
      </c>
      <c r="AF58" s="2">
        <v>24.85</v>
      </c>
      <c r="AK58" s="4">
        <v>19009010</v>
      </c>
      <c r="AL58" t="s">
        <v>49</v>
      </c>
    </row>
    <row r="59" spans="1:38" x14ac:dyDescent="0.25">
      <c r="A59" s="1">
        <v>45821</v>
      </c>
      <c r="B59" s="1">
        <v>45817</v>
      </c>
      <c r="C59" t="s">
        <v>38</v>
      </c>
      <c r="D59" t="s">
        <v>39</v>
      </c>
      <c r="E59" t="s">
        <v>40</v>
      </c>
      <c r="F59">
        <v>649163</v>
      </c>
      <c r="G59">
        <v>20411454</v>
      </c>
      <c r="H59" t="s">
        <v>41</v>
      </c>
      <c r="I59">
        <v>2029132495</v>
      </c>
      <c r="J59" t="s">
        <v>66</v>
      </c>
      <c r="M59" t="s">
        <v>57</v>
      </c>
      <c r="O59">
        <v>820140</v>
      </c>
      <c r="P59" t="s">
        <v>66</v>
      </c>
      <c r="Q59" t="s">
        <v>45</v>
      </c>
      <c r="R59" t="s">
        <v>46</v>
      </c>
      <c r="S59" s="1">
        <v>45809</v>
      </c>
      <c r="U59" t="s">
        <v>47</v>
      </c>
      <c r="X59" t="s">
        <v>48</v>
      </c>
      <c r="Y59" s="2">
        <v>77.48</v>
      </c>
      <c r="Z59" s="2">
        <v>77.48</v>
      </c>
      <c r="AA59">
        <v>6</v>
      </c>
      <c r="AB59" s="3">
        <v>0.3</v>
      </c>
      <c r="AC59" s="2">
        <v>139.46</v>
      </c>
      <c r="AD59" s="3">
        <v>0</v>
      </c>
      <c r="AE59" s="2">
        <v>0</v>
      </c>
      <c r="AF59" s="2">
        <v>139.46</v>
      </c>
      <c r="AK59" s="4">
        <v>18991650</v>
      </c>
      <c r="AL59" t="s">
        <v>49</v>
      </c>
    </row>
    <row r="60" spans="1:38" x14ac:dyDescent="0.25">
      <c r="A60" s="1">
        <v>45821</v>
      </c>
      <c r="B60" s="1">
        <v>45817</v>
      </c>
      <c r="C60" t="s">
        <v>38</v>
      </c>
      <c r="D60" t="s">
        <v>39</v>
      </c>
      <c r="E60" t="s">
        <v>40</v>
      </c>
      <c r="F60">
        <v>649163</v>
      </c>
      <c r="G60">
        <v>20411454</v>
      </c>
      <c r="H60" t="s">
        <v>41</v>
      </c>
      <c r="I60">
        <v>2029319950</v>
      </c>
      <c r="J60" t="s">
        <v>131</v>
      </c>
      <c r="M60" t="s">
        <v>63</v>
      </c>
      <c r="O60">
        <v>807212</v>
      </c>
      <c r="P60" t="s">
        <v>132</v>
      </c>
      <c r="Q60" t="s">
        <v>45</v>
      </c>
      <c r="R60" t="s">
        <v>46</v>
      </c>
      <c r="S60" s="1">
        <v>45814</v>
      </c>
      <c r="U60" t="s">
        <v>47</v>
      </c>
      <c r="X60" t="s">
        <v>48</v>
      </c>
      <c r="Y60" s="2">
        <v>37.18</v>
      </c>
      <c r="Z60" s="2">
        <v>37.18</v>
      </c>
      <c r="AA60">
        <v>6</v>
      </c>
      <c r="AB60" s="3">
        <v>0.7</v>
      </c>
      <c r="AC60" s="2">
        <v>156.16</v>
      </c>
      <c r="AD60" s="3">
        <v>0</v>
      </c>
      <c r="AE60" s="2">
        <v>0</v>
      </c>
      <c r="AF60" s="2">
        <v>156.16</v>
      </c>
      <c r="AK60" s="4">
        <v>18992320</v>
      </c>
      <c r="AL60" t="s">
        <v>49</v>
      </c>
    </row>
    <row r="61" spans="1:38" x14ac:dyDescent="0.25">
      <c r="A61" s="1">
        <v>45821</v>
      </c>
      <c r="B61" s="1">
        <v>45817</v>
      </c>
      <c r="C61" t="s">
        <v>38</v>
      </c>
      <c r="D61" t="s">
        <v>39</v>
      </c>
      <c r="E61" t="s">
        <v>40</v>
      </c>
      <c r="F61">
        <v>649163</v>
      </c>
      <c r="G61">
        <v>20411454</v>
      </c>
      <c r="H61" t="s">
        <v>41</v>
      </c>
      <c r="I61">
        <v>2029320617</v>
      </c>
      <c r="J61" t="s">
        <v>133</v>
      </c>
      <c r="M61" t="s">
        <v>63</v>
      </c>
      <c r="O61">
        <v>807212</v>
      </c>
      <c r="P61" t="s">
        <v>132</v>
      </c>
      <c r="Q61" t="s">
        <v>45</v>
      </c>
      <c r="R61" t="s">
        <v>46</v>
      </c>
      <c r="S61" s="1">
        <v>45814</v>
      </c>
      <c r="U61" t="s">
        <v>47</v>
      </c>
      <c r="X61" t="s">
        <v>48</v>
      </c>
      <c r="Y61" s="2">
        <v>15.75</v>
      </c>
      <c r="Z61" s="2">
        <v>15.75</v>
      </c>
      <c r="AA61">
        <v>6</v>
      </c>
      <c r="AB61" s="3">
        <v>0.7</v>
      </c>
      <c r="AC61" s="2">
        <v>66.150000000000006</v>
      </c>
      <c r="AD61" s="3">
        <v>0</v>
      </c>
      <c r="AE61" s="2">
        <v>0</v>
      </c>
      <c r="AF61" s="2">
        <v>66.150000000000006</v>
      </c>
      <c r="AK61" s="4">
        <v>18992330</v>
      </c>
      <c r="AL61" t="s">
        <v>49</v>
      </c>
    </row>
    <row r="62" spans="1:38" x14ac:dyDescent="0.25">
      <c r="A62" s="1">
        <v>45821</v>
      </c>
      <c r="B62" s="1">
        <v>45817</v>
      </c>
      <c r="C62" t="s">
        <v>38</v>
      </c>
      <c r="D62" t="s">
        <v>39</v>
      </c>
      <c r="E62" t="s">
        <v>40</v>
      </c>
      <c r="F62">
        <v>649163</v>
      </c>
      <c r="G62">
        <v>20411454</v>
      </c>
      <c r="H62" t="s">
        <v>41</v>
      </c>
      <c r="I62">
        <v>2029274820</v>
      </c>
      <c r="J62" t="s">
        <v>93</v>
      </c>
      <c r="M62" t="s">
        <v>63</v>
      </c>
      <c r="O62">
        <v>812994</v>
      </c>
      <c r="P62" t="s">
        <v>94</v>
      </c>
      <c r="Q62" t="s">
        <v>45</v>
      </c>
      <c r="R62" t="s">
        <v>46</v>
      </c>
      <c r="S62" s="1">
        <v>45839</v>
      </c>
      <c r="U62" t="s">
        <v>47</v>
      </c>
      <c r="X62" t="s">
        <v>48</v>
      </c>
      <c r="Y62" s="2">
        <v>377.02</v>
      </c>
      <c r="Z62" s="2">
        <v>377.02</v>
      </c>
      <c r="AA62">
        <v>6</v>
      </c>
      <c r="AB62" s="3">
        <v>0.7</v>
      </c>
      <c r="AC62" s="2">
        <v>1583.48</v>
      </c>
      <c r="AD62" s="3">
        <v>0</v>
      </c>
      <c r="AE62" s="2">
        <v>0</v>
      </c>
      <c r="AF62" s="2">
        <v>1583.48</v>
      </c>
      <c r="AK62" s="4">
        <v>18991960</v>
      </c>
      <c r="AL62" t="s">
        <v>49</v>
      </c>
    </row>
    <row r="63" spans="1:38" x14ac:dyDescent="0.25">
      <c r="A63" s="1">
        <v>45821</v>
      </c>
      <c r="B63" s="1">
        <v>45817</v>
      </c>
      <c r="C63" t="s">
        <v>38</v>
      </c>
      <c r="D63" t="s">
        <v>39</v>
      </c>
      <c r="E63" t="s">
        <v>40</v>
      </c>
      <c r="F63">
        <v>649163</v>
      </c>
      <c r="G63">
        <v>20411454</v>
      </c>
      <c r="H63" t="s">
        <v>41</v>
      </c>
      <c r="I63">
        <v>2029283859</v>
      </c>
      <c r="J63" t="s">
        <v>105</v>
      </c>
      <c r="M63" t="s">
        <v>106</v>
      </c>
      <c r="O63">
        <v>823068</v>
      </c>
      <c r="P63" t="s">
        <v>107</v>
      </c>
      <c r="Q63" t="s">
        <v>45</v>
      </c>
      <c r="R63" t="s">
        <v>89</v>
      </c>
      <c r="S63" s="1">
        <v>45818</v>
      </c>
      <c r="U63" t="s">
        <v>47</v>
      </c>
      <c r="X63" t="s">
        <v>48</v>
      </c>
      <c r="Y63" s="2">
        <v>24.61</v>
      </c>
      <c r="Z63" s="2">
        <v>24.61</v>
      </c>
      <c r="AA63">
        <v>6</v>
      </c>
      <c r="AB63" s="3">
        <v>0.7</v>
      </c>
      <c r="AC63" s="2">
        <v>103.36</v>
      </c>
      <c r="AD63" s="3">
        <v>0</v>
      </c>
      <c r="AE63" s="2">
        <v>0</v>
      </c>
      <c r="AF63" s="2">
        <v>103.36</v>
      </c>
      <c r="AK63" s="4">
        <v>18985950</v>
      </c>
      <c r="AL63" t="s">
        <v>49</v>
      </c>
    </row>
    <row r="64" spans="1:38" x14ac:dyDescent="0.25">
      <c r="A64" s="1">
        <v>45821</v>
      </c>
      <c r="B64" s="1">
        <v>45817</v>
      </c>
      <c r="C64" t="s">
        <v>38</v>
      </c>
      <c r="D64" t="s">
        <v>39</v>
      </c>
      <c r="E64" t="s">
        <v>40</v>
      </c>
      <c r="F64">
        <v>649163</v>
      </c>
      <c r="G64">
        <v>20411454</v>
      </c>
      <c r="H64" t="s">
        <v>41</v>
      </c>
      <c r="I64">
        <v>2029283860</v>
      </c>
      <c r="J64" t="s">
        <v>105</v>
      </c>
      <c r="M64" t="s">
        <v>106</v>
      </c>
      <c r="O64">
        <v>823068</v>
      </c>
      <c r="P64" t="s">
        <v>107</v>
      </c>
      <c r="Q64" t="s">
        <v>45</v>
      </c>
      <c r="R64" t="s">
        <v>61</v>
      </c>
      <c r="S64" s="1">
        <v>45818</v>
      </c>
      <c r="U64" t="s">
        <v>47</v>
      </c>
      <c r="X64" t="s">
        <v>48</v>
      </c>
      <c r="Y64" s="2">
        <v>69.75</v>
      </c>
      <c r="Z64" s="2">
        <v>69.75</v>
      </c>
      <c r="AA64">
        <v>6</v>
      </c>
      <c r="AB64" s="3">
        <v>0.9</v>
      </c>
      <c r="AC64" s="2">
        <v>376.65</v>
      </c>
      <c r="AD64" s="3">
        <v>0</v>
      </c>
      <c r="AE64" s="2">
        <v>0</v>
      </c>
      <c r="AF64" s="2">
        <v>376.65</v>
      </c>
      <c r="AK64" s="4">
        <v>18999830</v>
      </c>
      <c r="AL64" t="s">
        <v>49</v>
      </c>
    </row>
    <row r="65" spans="1:38" x14ac:dyDescent="0.25">
      <c r="A65" s="1">
        <v>45821</v>
      </c>
      <c r="B65" s="1">
        <v>45817</v>
      </c>
      <c r="C65" t="s">
        <v>38</v>
      </c>
      <c r="D65" t="s">
        <v>39</v>
      </c>
      <c r="E65" t="s">
        <v>40</v>
      </c>
      <c r="F65">
        <v>649163</v>
      </c>
      <c r="G65">
        <v>20411454</v>
      </c>
      <c r="H65" t="s">
        <v>41</v>
      </c>
      <c r="I65">
        <v>2029273125</v>
      </c>
      <c r="J65" t="s">
        <v>90</v>
      </c>
      <c r="M65" t="s">
        <v>91</v>
      </c>
      <c r="O65">
        <v>673059</v>
      </c>
      <c r="P65" t="s">
        <v>92</v>
      </c>
      <c r="Q65" t="s">
        <v>45</v>
      </c>
      <c r="R65" t="s">
        <v>61</v>
      </c>
      <c r="S65" s="1">
        <v>45839</v>
      </c>
      <c r="U65" t="s">
        <v>47</v>
      </c>
      <c r="X65" t="s">
        <v>48</v>
      </c>
      <c r="Y65" s="2">
        <v>41.4</v>
      </c>
      <c r="Z65" s="2">
        <v>41.4</v>
      </c>
      <c r="AA65">
        <v>6</v>
      </c>
      <c r="AB65" s="3">
        <v>0.9</v>
      </c>
      <c r="AC65" s="2">
        <v>223.56</v>
      </c>
      <c r="AD65" s="3">
        <v>0</v>
      </c>
      <c r="AE65" s="2">
        <v>0</v>
      </c>
      <c r="AF65" s="2">
        <v>223.56</v>
      </c>
      <c r="AK65" s="4">
        <v>18999810</v>
      </c>
      <c r="AL65" t="s">
        <v>49</v>
      </c>
    </row>
    <row r="66" spans="1:38" x14ac:dyDescent="0.25">
      <c r="A66" s="1">
        <v>45821</v>
      </c>
      <c r="B66" s="1">
        <v>45817</v>
      </c>
      <c r="C66" t="s">
        <v>38</v>
      </c>
      <c r="D66" t="s">
        <v>39</v>
      </c>
      <c r="E66" t="s">
        <v>40</v>
      </c>
      <c r="F66">
        <v>649163</v>
      </c>
      <c r="G66">
        <v>20411454</v>
      </c>
      <c r="H66" t="s">
        <v>41</v>
      </c>
      <c r="I66">
        <v>2029273126</v>
      </c>
      <c r="J66" t="s">
        <v>90</v>
      </c>
      <c r="M66" t="s">
        <v>91</v>
      </c>
      <c r="O66">
        <v>673059</v>
      </c>
      <c r="P66" t="s">
        <v>92</v>
      </c>
      <c r="Q66" t="s">
        <v>45</v>
      </c>
      <c r="R66" t="s">
        <v>46</v>
      </c>
      <c r="S66" s="1">
        <v>45839</v>
      </c>
      <c r="U66" t="s">
        <v>47</v>
      </c>
      <c r="X66" t="s">
        <v>48</v>
      </c>
      <c r="Y66" s="2">
        <v>85.63</v>
      </c>
      <c r="Z66" s="2">
        <v>85.63</v>
      </c>
      <c r="AA66">
        <v>6</v>
      </c>
      <c r="AB66" s="3">
        <v>0.7</v>
      </c>
      <c r="AC66" s="2">
        <v>359.65</v>
      </c>
      <c r="AD66" s="3">
        <v>0</v>
      </c>
      <c r="AE66" s="2">
        <v>0</v>
      </c>
      <c r="AF66" s="2">
        <v>359.65</v>
      </c>
      <c r="AK66" s="4">
        <v>18991950</v>
      </c>
      <c r="AL66" t="s">
        <v>49</v>
      </c>
    </row>
    <row r="67" spans="1:38" x14ac:dyDescent="0.25">
      <c r="A67" s="1">
        <v>45821</v>
      </c>
      <c r="B67" s="1">
        <v>45817</v>
      </c>
      <c r="C67" t="s">
        <v>38</v>
      </c>
      <c r="D67" t="s">
        <v>39</v>
      </c>
      <c r="E67" t="s">
        <v>40</v>
      </c>
      <c r="F67">
        <v>649163</v>
      </c>
      <c r="G67">
        <v>20411454</v>
      </c>
      <c r="H67" t="s">
        <v>41</v>
      </c>
      <c r="I67">
        <v>2029285746</v>
      </c>
      <c r="J67" t="s">
        <v>111</v>
      </c>
      <c r="M67" t="s">
        <v>68</v>
      </c>
      <c r="O67">
        <v>673059</v>
      </c>
      <c r="P67" t="s">
        <v>92</v>
      </c>
      <c r="Q67" t="s">
        <v>45</v>
      </c>
      <c r="R67" t="s">
        <v>55</v>
      </c>
      <c r="S67" s="1">
        <v>45839</v>
      </c>
      <c r="U67" t="s">
        <v>47</v>
      </c>
      <c r="X67" t="s">
        <v>48</v>
      </c>
      <c r="Y67" s="2">
        <v>65.88</v>
      </c>
      <c r="Z67" s="2">
        <v>65.88</v>
      </c>
      <c r="AA67">
        <v>6</v>
      </c>
      <c r="AB67" s="3">
        <v>0.75</v>
      </c>
      <c r="AC67" s="2">
        <v>296.45999999999998</v>
      </c>
      <c r="AD67" s="3">
        <v>0</v>
      </c>
      <c r="AE67" s="2">
        <v>0</v>
      </c>
      <c r="AF67" s="2">
        <v>296.45999999999998</v>
      </c>
      <c r="AK67" s="4">
        <v>18999830</v>
      </c>
      <c r="AL67" t="s">
        <v>49</v>
      </c>
    </row>
    <row r="68" spans="1:38" x14ac:dyDescent="0.25">
      <c r="A68" s="1">
        <v>45821</v>
      </c>
      <c r="B68" s="1">
        <v>45817</v>
      </c>
      <c r="C68" t="s">
        <v>38</v>
      </c>
      <c r="D68" t="s">
        <v>39</v>
      </c>
      <c r="E68" t="s">
        <v>40</v>
      </c>
      <c r="F68">
        <v>649163</v>
      </c>
      <c r="G68">
        <v>20411454</v>
      </c>
      <c r="H68" t="s">
        <v>41</v>
      </c>
      <c r="I68">
        <v>2029285747</v>
      </c>
      <c r="J68" t="s">
        <v>111</v>
      </c>
      <c r="M68" t="s">
        <v>68</v>
      </c>
      <c r="O68">
        <v>673059</v>
      </c>
      <c r="P68" t="s">
        <v>92</v>
      </c>
      <c r="Q68" t="s">
        <v>45</v>
      </c>
      <c r="R68" t="s">
        <v>46</v>
      </c>
      <c r="S68" s="1">
        <v>45839</v>
      </c>
      <c r="U68" t="s">
        <v>47</v>
      </c>
      <c r="X68" t="s">
        <v>48</v>
      </c>
      <c r="Y68" s="2">
        <v>75.69</v>
      </c>
      <c r="Z68" s="2">
        <v>75.69</v>
      </c>
      <c r="AA68">
        <v>6</v>
      </c>
      <c r="AB68" s="3">
        <v>0.7</v>
      </c>
      <c r="AC68" s="2">
        <v>317.89999999999998</v>
      </c>
      <c r="AD68" s="3">
        <v>0</v>
      </c>
      <c r="AE68" s="2">
        <v>0</v>
      </c>
      <c r="AF68" s="2">
        <v>317.89999999999998</v>
      </c>
      <c r="AK68" s="4">
        <v>18992040</v>
      </c>
      <c r="AL68" t="s">
        <v>49</v>
      </c>
    </row>
    <row r="69" spans="1:38" x14ac:dyDescent="0.25">
      <c r="A69" s="1">
        <v>45821</v>
      </c>
      <c r="B69" s="1">
        <v>45817</v>
      </c>
      <c r="C69" t="s">
        <v>38</v>
      </c>
      <c r="D69" t="s">
        <v>39</v>
      </c>
      <c r="E69" t="s">
        <v>40</v>
      </c>
      <c r="F69">
        <v>649163</v>
      </c>
      <c r="G69">
        <v>20411454</v>
      </c>
      <c r="H69" t="s">
        <v>41</v>
      </c>
      <c r="I69">
        <v>2029285748</v>
      </c>
      <c r="J69" t="s">
        <v>111</v>
      </c>
      <c r="M69" t="s">
        <v>68</v>
      </c>
      <c r="O69">
        <v>673059</v>
      </c>
      <c r="P69" t="s">
        <v>92</v>
      </c>
      <c r="Q69" t="s">
        <v>45</v>
      </c>
      <c r="R69" t="s">
        <v>50</v>
      </c>
      <c r="S69" s="1">
        <v>45839</v>
      </c>
      <c r="U69" t="s">
        <v>47</v>
      </c>
      <c r="X69" t="s">
        <v>48</v>
      </c>
      <c r="Y69" s="2">
        <v>16.03</v>
      </c>
      <c r="Z69" s="2">
        <v>16.03</v>
      </c>
      <c r="AA69">
        <v>6</v>
      </c>
      <c r="AB69" s="3">
        <v>0.375</v>
      </c>
      <c r="AC69" s="2">
        <v>36.07</v>
      </c>
      <c r="AD69" s="3">
        <v>0</v>
      </c>
      <c r="AE69" s="2">
        <v>0</v>
      </c>
      <c r="AF69" s="2">
        <v>36.07</v>
      </c>
      <c r="AK69" s="4">
        <v>19009530</v>
      </c>
      <c r="AL69" t="s">
        <v>49</v>
      </c>
    </row>
    <row r="70" spans="1:38" x14ac:dyDescent="0.25">
      <c r="A70" s="1">
        <v>45821</v>
      </c>
      <c r="B70" s="1">
        <v>45817</v>
      </c>
      <c r="C70" t="s">
        <v>38</v>
      </c>
      <c r="D70" t="s">
        <v>39</v>
      </c>
      <c r="E70" t="s">
        <v>40</v>
      </c>
      <c r="F70">
        <v>649163</v>
      </c>
      <c r="G70">
        <v>20411454</v>
      </c>
      <c r="H70" t="s">
        <v>41</v>
      </c>
      <c r="I70">
        <v>2029292529</v>
      </c>
      <c r="J70" t="s">
        <v>115</v>
      </c>
      <c r="M70" t="s">
        <v>68</v>
      </c>
      <c r="O70">
        <v>673059</v>
      </c>
      <c r="P70" t="s">
        <v>92</v>
      </c>
      <c r="Q70" t="s">
        <v>45</v>
      </c>
      <c r="R70" t="s">
        <v>46</v>
      </c>
      <c r="S70" s="1">
        <v>45821</v>
      </c>
      <c r="U70" t="s">
        <v>47</v>
      </c>
      <c r="X70" t="s">
        <v>48</v>
      </c>
      <c r="Y70" s="2">
        <v>94.38</v>
      </c>
      <c r="Z70" s="2">
        <v>94.38</v>
      </c>
      <c r="AA70">
        <v>6</v>
      </c>
      <c r="AB70" s="3">
        <v>0.7</v>
      </c>
      <c r="AC70" s="2">
        <v>396.4</v>
      </c>
      <c r="AD70" s="3">
        <v>0</v>
      </c>
      <c r="AE70" s="2">
        <v>0</v>
      </c>
      <c r="AF70" s="2">
        <v>396.4</v>
      </c>
      <c r="AK70" s="4">
        <v>18992090</v>
      </c>
      <c r="AL70" t="s">
        <v>49</v>
      </c>
    </row>
    <row r="71" spans="1:38" x14ac:dyDescent="0.25">
      <c r="A71" s="1">
        <v>45821</v>
      </c>
      <c r="B71" s="1">
        <v>45817</v>
      </c>
      <c r="C71" t="s">
        <v>38</v>
      </c>
      <c r="D71" t="s">
        <v>39</v>
      </c>
      <c r="E71" t="s">
        <v>40</v>
      </c>
      <c r="F71">
        <v>649163</v>
      </c>
      <c r="G71">
        <v>20411454</v>
      </c>
      <c r="H71" t="s">
        <v>41</v>
      </c>
      <c r="I71">
        <v>2029295310</v>
      </c>
      <c r="J71" t="s">
        <v>116</v>
      </c>
      <c r="M71" t="s">
        <v>117</v>
      </c>
      <c r="O71">
        <v>673059</v>
      </c>
      <c r="P71" t="s">
        <v>92</v>
      </c>
      <c r="Q71" t="s">
        <v>45</v>
      </c>
      <c r="R71" t="s">
        <v>61</v>
      </c>
      <c r="S71" s="1">
        <v>45813</v>
      </c>
      <c r="U71" t="s">
        <v>47</v>
      </c>
      <c r="X71" t="s">
        <v>48</v>
      </c>
      <c r="Y71" s="2">
        <v>64.42</v>
      </c>
      <c r="Z71" s="2">
        <v>64.42</v>
      </c>
      <c r="AA71">
        <v>6</v>
      </c>
      <c r="AB71" s="3">
        <v>0.9</v>
      </c>
      <c r="AC71" s="2">
        <v>347.87</v>
      </c>
      <c r="AD71" s="3">
        <v>0</v>
      </c>
      <c r="AE71" s="2">
        <v>0</v>
      </c>
      <c r="AF71" s="2">
        <v>347.87</v>
      </c>
      <c r="AK71" s="4">
        <v>18999860</v>
      </c>
      <c r="AL71" t="s">
        <v>49</v>
      </c>
    </row>
    <row r="72" spans="1:38" x14ac:dyDescent="0.25">
      <c r="A72" s="1">
        <v>45821</v>
      </c>
      <c r="B72" s="1">
        <v>45817</v>
      </c>
      <c r="C72" t="s">
        <v>38</v>
      </c>
      <c r="D72" t="s">
        <v>39</v>
      </c>
      <c r="E72" t="s">
        <v>40</v>
      </c>
      <c r="F72">
        <v>649163</v>
      </c>
      <c r="G72">
        <v>20411454</v>
      </c>
      <c r="H72" t="s">
        <v>41</v>
      </c>
      <c r="I72">
        <v>2029295311</v>
      </c>
      <c r="J72" t="s">
        <v>116</v>
      </c>
      <c r="M72" t="s">
        <v>117</v>
      </c>
      <c r="O72">
        <v>673059</v>
      </c>
      <c r="P72" t="s">
        <v>92</v>
      </c>
      <c r="Q72" t="s">
        <v>45</v>
      </c>
      <c r="R72" t="s">
        <v>46</v>
      </c>
      <c r="S72" s="1">
        <v>45813</v>
      </c>
      <c r="U72" t="s">
        <v>47</v>
      </c>
      <c r="X72" t="s">
        <v>48</v>
      </c>
      <c r="Y72" s="2">
        <v>45.04</v>
      </c>
      <c r="Z72" s="2">
        <v>45.04</v>
      </c>
      <c r="AA72">
        <v>6</v>
      </c>
      <c r="AB72" s="3">
        <v>0.7</v>
      </c>
      <c r="AC72" s="2">
        <v>189.17</v>
      </c>
      <c r="AD72" s="3">
        <v>0</v>
      </c>
      <c r="AE72" s="2">
        <v>0</v>
      </c>
      <c r="AF72" s="2">
        <v>189.17</v>
      </c>
      <c r="AK72" s="4">
        <v>18992120</v>
      </c>
      <c r="AL72" t="s">
        <v>49</v>
      </c>
    </row>
    <row r="73" spans="1:38" x14ac:dyDescent="0.25">
      <c r="A73" s="1">
        <v>45821</v>
      </c>
      <c r="B73" s="1">
        <v>45817</v>
      </c>
      <c r="C73" t="s">
        <v>38</v>
      </c>
      <c r="D73" t="s">
        <v>39</v>
      </c>
      <c r="E73" t="s">
        <v>40</v>
      </c>
      <c r="F73">
        <v>649163</v>
      </c>
      <c r="G73">
        <v>20411454</v>
      </c>
      <c r="H73" t="s">
        <v>41</v>
      </c>
      <c r="I73">
        <v>2029295312</v>
      </c>
      <c r="J73" t="s">
        <v>116</v>
      </c>
      <c r="M73" t="s">
        <v>117</v>
      </c>
      <c r="O73">
        <v>673059</v>
      </c>
      <c r="P73" t="s">
        <v>92</v>
      </c>
      <c r="Q73" t="s">
        <v>45</v>
      </c>
      <c r="R73" t="s">
        <v>50</v>
      </c>
      <c r="S73" s="1">
        <v>45813</v>
      </c>
      <c r="U73" t="s">
        <v>47</v>
      </c>
      <c r="X73" t="s">
        <v>48</v>
      </c>
      <c r="Y73" s="2">
        <v>33.81</v>
      </c>
      <c r="Z73" s="2">
        <v>33.81</v>
      </c>
      <c r="AA73">
        <v>6</v>
      </c>
      <c r="AB73" s="3">
        <v>0.375</v>
      </c>
      <c r="AC73" s="2">
        <v>76.069999999999993</v>
      </c>
      <c r="AD73" s="3">
        <v>0</v>
      </c>
      <c r="AE73" s="2">
        <v>0</v>
      </c>
      <c r="AF73" s="2">
        <v>76.069999999999993</v>
      </c>
      <c r="AK73" s="4">
        <v>19009610</v>
      </c>
      <c r="AL73" t="s">
        <v>49</v>
      </c>
    </row>
    <row r="74" spans="1:38" x14ac:dyDescent="0.25">
      <c r="A74" s="1">
        <v>45821</v>
      </c>
      <c r="B74" s="1">
        <v>45817</v>
      </c>
      <c r="C74" t="s">
        <v>38</v>
      </c>
      <c r="D74" t="s">
        <v>39</v>
      </c>
      <c r="E74" t="s">
        <v>40</v>
      </c>
      <c r="F74">
        <v>649163</v>
      </c>
      <c r="G74">
        <v>20411454</v>
      </c>
      <c r="H74" t="s">
        <v>41</v>
      </c>
      <c r="I74">
        <v>2029296854</v>
      </c>
      <c r="J74" t="s">
        <v>118</v>
      </c>
      <c r="M74" t="s">
        <v>68</v>
      </c>
      <c r="O74">
        <v>673059</v>
      </c>
      <c r="P74" t="s">
        <v>92</v>
      </c>
      <c r="Q74" t="s">
        <v>45</v>
      </c>
      <c r="R74" t="s">
        <v>46</v>
      </c>
      <c r="S74" s="1">
        <v>45839</v>
      </c>
      <c r="U74" t="s">
        <v>47</v>
      </c>
      <c r="X74" t="s">
        <v>48</v>
      </c>
      <c r="Y74" s="2">
        <v>115.4</v>
      </c>
      <c r="Z74" s="2">
        <v>115.4</v>
      </c>
      <c r="AA74">
        <v>6</v>
      </c>
      <c r="AB74" s="3">
        <v>0.7</v>
      </c>
      <c r="AC74" s="2">
        <v>484.68</v>
      </c>
      <c r="AD74" s="3">
        <v>0</v>
      </c>
      <c r="AE74" s="2">
        <v>0</v>
      </c>
      <c r="AF74" s="2">
        <v>484.68</v>
      </c>
      <c r="AK74" s="4">
        <v>18992130</v>
      </c>
      <c r="AL74" t="s">
        <v>49</v>
      </c>
    </row>
    <row r="75" spans="1:38" x14ac:dyDescent="0.25">
      <c r="A75" s="1">
        <v>45821</v>
      </c>
      <c r="B75" s="1">
        <v>45817</v>
      </c>
      <c r="C75" t="s">
        <v>38</v>
      </c>
      <c r="D75" t="s">
        <v>39</v>
      </c>
      <c r="E75" t="s">
        <v>40</v>
      </c>
      <c r="F75">
        <v>649163</v>
      </c>
      <c r="G75">
        <v>20411454</v>
      </c>
      <c r="H75" t="s">
        <v>41</v>
      </c>
      <c r="I75">
        <v>2029296855</v>
      </c>
      <c r="J75" t="s">
        <v>118</v>
      </c>
      <c r="M75" t="s">
        <v>68</v>
      </c>
      <c r="O75">
        <v>673059</v>
      </c>
      <c r="P75" t="s">
        <v>92</v>
      </c>
      <c r="Q75" t="s">
        <v>45</v>
      </c>
      <c r="R75" t="s">
        <v>70</v>
      </c>
      <c r="S75" s="1">
        <v>45839</v>
      </c>
      <c r="U75" t="s">
        <v>47</v>
      </c>
      <c r="X75" t="s">
        <v>48</v>
      </c>
      <c r="Y75" s="2">
        <v>49.33</v>
      </c>
      <c r="Z75" s="2">
        <v>49.33</v>
      </c>
      <c r="AA75">
        <v>6</v>
      </c>
      <c r="AB75" s="3">
        <v>0.75</v>
      </c>
      <c r="AC75" s="2">
        <v>221.99</v>
      </c>
      <c r="AD75" s="3">
        <v>0</v>
      </c>
      <c r="AE75" s="2">
        <v>0</v>
      </c>
      <c r="AF75" s="2">
        <v>221.99</v>
      </c>
      <c r="AK75" s="4">
        <v>18999860</v>
      </c>
      <c r="AL75" t="s">
        <v>49</v>
      </c>
    </row>
    <row r="76" spans="1:38" x14ac:dyDescent="0.25">
      <c r="A76" s="1">
        <v>45821</v>
      </c>
      <c r="B76" s="1">
        <v>45817</v>
      </c>
      <c r="C76" t="s">
        <v>38</v>
      </c>
      <c r="D76" t="s">
        <v>39</v>
      </c>
      <c r="E76" t="s">
        <v>40</v>
      </c>
      <c r="F76">
        <v>649163</v>
      </c>
      <c r="G76">
        <v>20411454</v>
      </c>
      <c r="H76" t="s">
        <v>41</v>
      </c>
      <c r="I76">
        <v>2029330414</v>
      </c>
      <c r="J76" t="s">
        <v>135</v>
      </c>
      <c r="M76" t="s">
        <v>97</v>
      </c>
      <c r="O76">
        <v>673059</v>
      </c>
      <c r="P76" t="s">
        <v>92</v>
      </c>
      <c r="Q76" t="s">
        <v>45</v>
      </c>
      <c r="R76" t="s">
        <v>70</v>
      </c>
      <c r="S76" s="1">
        <v>45839</v>
      </c>
      <c r="U76" t="s">
        <v>47</v>
      </c>
      <c r="X76" t="s">
        <v>48</v>
      </c>
      <c r="Y76" s="2">
        <v>102.91</v>
      </c>
      <c r="Z76" s="2">
        <v>102.91</v>
      </c>
      <c r="AA76">
        <v>6</v>
      </c>
      <c r="AB76" s="3">
        <v>0.75</v>
      </c>
      <c r="AC76" s="2">
        <v>463.1</v>
      </c>
      <c r="AD76" s="3">
        <v>0</v>
      </c>
      <c r="AE76" s="2">
        <v>0</v>
      </c>
      <c r="AF76" s="2">
        <v>463.1</v>
      </c>
      <c r="AK76" s="4">
        <v>18999910</v>
      </c>
      <c r="AL76" t="s">
        <v>49</v>
      </c>
    </row>
    <row r="77" spans="1:38" x14ac:dyDescent="0.25">
      <c r="A77" s="1">
        <v>45821</v>
      </c>
      <c r="B77" s="1">
        <v>45817</v>
      </c>
      <c r="C77" t="s">
        <v>38</v>
      </c>
      <c r="D77" t="s">
        <v>39</v>
      </c>
      <c r="E77" t="s">
        <v>40</v>
      </c>
      <c r="F77">
        <v>649163</v>
      </c>
      <c r="G77">
        <v>20411454</v>
      </c>
      <c r="H77" t="s">
        <v>41</v>
      </c>
      <c r="I77">
        <v>2029330415</v>
      </c>
      <c r="J77" t="s">
        <v>135</v>
      </c>
      <c r="M77" t="s">
        <v>97</v>
      </c>
      <c r="O77">
        <v>673059</v>
      </c>
      <c r="P77" t="s">
        <v>92</v>
      </c>
      <c r="Q77" t="s">
        <v>45</v>
      </c>
      <c r="R77" t="s">
        <v>46</v>
      </c>
      <c r="S77" s="1">
        <v>45839</v>
      </c>
      <c r="U77" t="s">
        <v>47</v>
      </c>
      <c r="X77" t="s">
        <v>48</v>
      </c>
      <c r="Y77" s="2">
        <v>38.1</v>
      </c>
      <c r="Z77" s="2">
        <v>38.1</v>
      </c>
      <c r="AA77">
        <v>6</v>
      </c>
      <c r="AB77" s="3">
        <v>0.7</v>
      </c>
      <c r="AC77" s="2">
        <v>160.02000000000001</v>
      </c>
      <c r="AD77" s="3">
        <v>0</v>
      </c>
      <c r="AE77" s="2">
        <v>0</v>
      </c>
      <c r="AF77" s="2">
        <v>160.02000000000001</v>
      </c>
      <c r="AK77" s="4">
        <v>18992380</v>
      </c>
      <c r="AL77" t="s">
        <v>49</v>
      </c>
    </row>
    <row r="78" spans="1:38" x14ac:dyDescent="0.25">
      <c r="A78" s="1">
        <v>45821</v>
      </c>
      <c r="B78" s="1">
        <v>45817</v>
      </c>
      <c r="C78" t="s">
        <v>141</v>
      </c>
      <c r="D78" t="s">
        <v>39</v>
      </c>
      <c r="E78" t="s">
        <v>40</v>
      </c>
      <c r="F78">
        <v>649163</v>
      </c>
      <c r="G78">
        <v>20411454</v>
      </c>
      <c r="H78" t="s">
        <v>41</v>
      </c>
      <c r="I78">
        <v>2028815307</v>
      </c>
      <c r="J78" t="s">
        <v>146</v>
      </c>
      <c r="M78" t="s">
        <v>63</v>
      </c>
      <c r="O78">
        <v>824076</v>
      </c>
      <c r="P78" t="s">
        <v>147</v>
      </c>
      <c r="Q78" t="s">
        <v>143</v>
      </c>
      <c r="R78" t="s">
        <v>46</v>
      </c>
      <c r="S78" s="1">
        <v>45809</v>
      </c>
      <c r="U78" t="s">
        <v>47</v>
      </c>
      <c r="X78" t="s">
        <v>113</v>
      </c>
      <c r="AF78" s="2">
        <v>256.54000000000002</v>
      </c>
      <c r="AG78" s="2">
        <v>42.76</v>
      </c>
      <c r="AJ78" s="2">
        <v>213.78</v>
      </c>
    </row>
    <row r="79" spans="1:38" x14ac:dyDescent="0.25">
      <c r="A79" s="1">
        <v>45821</v>
      </c>
      <c r="B79" s="1">
        <v>45817</v>
      </c>
      <c r="C79" t="s">
        <v>141</v>
      </c>
      <c r="D79" t="s">
        <v>39</v>
      </c>
      <c r="E79" t="s">
        <v>40</v>
      </c>
      <c r="F79">
        <v>649163</v>
      </c>
      <c r="G79">
        <v>20411454</v>
      </c>
      <c r="H79" t="s">
        <v>41</v>
      </c>
      <c r="I79">
        <v>2028815308</v>
      </c>
      <c r="J79" t="s">
        <v>146</v>
      </c>
      <c r="M79" t="s">
        <v>63</v>
      </c>
      <c r="O79">
        <v>824076</v>
      </c>
      <c r="P79" t="s">
        <v>147</v>
      </c>
      <c r="Q79" t="s">
        <v>143</v>
      </c>
      <c r="R79" t="s">
        <v>50</v>
      </c>
      <c r="S79" s="1">
        <v>45809</v>
      </c>
      <c r="U79" t="s">
        <v>47</v>
      </c>
      <c r="X79" t="s">
        <v>113</v>
      </c>
      <c r="AF79" s="2">
        <v>171.43</v>
      </c>
      <c r="AG79" s="2">
        <v>28.57</v>
      </c>
      <c r="AJ79" s="2">
        <v>142.86000000000001</v>
      </c>
    </row>
    <row r="80" spans="1:38" x14ac:dyDescent="0.25">
      <c r="A80" s="1">
        <v>45821</v>
      </c>
      <c r="B80" s="1">
        <v>45817</v>
      </c>
      <c r="C80" t="s">
        <v>38</v>
      </c>
      <c r="D80" t="s">
        <v>39</v>
      </c>
      <c r="E80" t="s">
        <v>40</v>
      </c>
      <c r="F80">
        <v>649163</v>
      </c>
      <c r="G80">
        <v>20411454</v>
      </c>
      <c r="H80" t="s">
        <v>41</v>
      </c>
      <c r="I80">
        <v>2029314343</v>
      </c>
      <c r="J80" t="s">
        <v>127</v>
      </c>
      <c r="M80" t="s">
        <v>106</v>
      </c>
      <c r="O80">
        <v>734068</v>
      </c>
      <c r="P80" t="s">
        <v>128</v>
      </c>
      <c r="Q80" t="s">
        <v>45</v>
      </c>
      <c r="R80" t="s">
        <v>129</v>
      </c>
      <c r="S80" s="1">
        <v>45814</v>
      </c>
      <c r="U80" t="s">
        <v>47</v>
      </c>
      <c r="X80" t="s">
        <v>130</v>
      </c>
      <c r="Y80" s="2">
        <v>278.07</v>
      </c>
      <c r="Z80" s="2">
        <v>278.07</v>
      </c>
      <c r="AA80">
        <v>3</v>
      </c>
      <c r="AB80" s="3">
        <v>0.27</v>
      </c>
      <c r="AC80" s="2">
        <v>225.24</v>
      </c>
      <c r="AD80" s="3">
        <v>0</v>
      </c>
      <c r="AE80" s="2">
        <v>0</v>
      </c>
      <c r="AF80" s="2">
        <v>225.24</v>
      </c>
      <c r="AK80" s="4">
        <v>19015080</v>
      </c>
      <c r="AL80" t="s">
        <v>49</v>
      </c>
    </row>
    <row r="81" spans="1:38" x14ac:dyDescent="0.25">
      <c r="A81" s="1">
        <v>45821</v>
      </c>
      <c r="B81" s="1">
        <v>45817</v>
      </c>
      <c r="C81" t="s">
        <v>38</v>
      </c>
      <c r="D81" t="s">
        <v>39</v>
      </c>
      <c r="E81" t="s">
        <v>40</v>
      </c>
      <c r="F81">
        <v>649163</v>
      </c>
      <c r="G81">
        <v>20411454</v>
      </c>
      <c r="H81" t="s">
        <v>41</v>
      </c>
      <c r="I81">
        <v>2028788679</v>
      </c>
      <c r="J81" t="s">
        <v>56</v>
      </c>
      <c r="M81" t="s">
        <v>57</v>
      </c>
      <c r="O81">
        <v>767312</v>
      </c>
      <c r="P81" t="s">
        <v>58</v>
      </c>
      <c r="Q81" t="s">
        <v>45</v>
      </c>
      <c r="R81" t="s">
        <v>55</v>
      </c>
      <c r="S81" s="1">
        <v>45809</v>
      </c>
      <c r="U81" t="s">
        <v>47</v>
      </c>
      <c r="X81" t="s">
        <v>48</v>
      </c>
      <c r="Y81" s="2">
        <v>71.3</v>
      </c>
      <c r="Z81" s="2">
        <v>71.3</v>
      </c>
      <c r="AA81">
        <v>6</v>
      </c>
      <c r="AB81" s="3">
        <v>0.75</v>
      </c>
      <c r="AC81" s="2">
        <v>320.85000000000002</v>
      </c>
      <c r="AD81" s="3">
        <v>0</v>
      </c>
      <c r="AE81" s="2">
        <v>0</v>
      </c>
      <c r="AF81" s="2">
        <v>320.85000000000002</v>
      </c>
      <c r="AK81" s="4">
        <v>18999560</v>
      </c>
      <c r="AL81" t="s">
        <v>49</v>
      </c>
    </row>
    <row r="82" spans="1:38" x14ac:dyDescent="0.25">
      <c r="A82" s="1">
        <v>45821</v>
      </c>
      <c r="B82" s="1">
        <v>45817</v>
      </c>
      <c r="C82" t="s">
        <v>38</v>
      </c>
      <c r="D82" t="s">
        <v>39</v>
      </c>
      <c r="E82" t="s">
        <v>40</v>
      </c>
      <c r="F82">
        <v>649163</v>
      </c>
      <c r="G82">
        <v>20411454</v>
      </c>
      <c r="H82" t="s">
        <v>41</v>
      </c>
      <c r="I82">
        <v>2028788680</v>
      </c>
      <c r="J82" t="s">
        <v>56</v>
      </c>
      <c r="M82" t="s">
        <v>57</v>
      </c>
      <c r="O82">
        <v>767312</v>
      </c>
      <c r="P82" t="s">
        <v>58</v>
      </c>
      <c r="Q82" t="s">
        <v>45</v>
      </c>
      <c r="R82" t="s">
        <v>50</v>
      </c>
      <c r="S82" s="1">
        <v>45809</v>
      </c>
      <c r="U82" t="s">
        <v>47</v>
      </c>
      <c r="X82" t="s">
        <v>48</v>
      </c>
      <c r="Y82" s="2">
        <v>51.49</v>
      </c>
      <c r="Z82" s="2">
        <v>51.49</v>
      </c>
      <c r="AA82">
        <v>6</v>
      </c>
      <c r="AB82" s="3">
        <v>0.375</v>
      </c>
      <c r="AC82" s="2">
        <v>115.85</v>
      </c>
      <c r="AD82" s="3">
        <v>0</v>
      </c>
      <c r="AE82" s="2">
        <v>0</v>
      </c>
      <c r="AF82" s="2">
        <v>115.85</v>
      </c>
      <c r="AK82" s="4">
        <v>19008540</v>
      </c>
      <c r="AL82" t="s">
        <v>49</v>
      </c>
    </row>
    <row r="83" spans="1:38" x14ac:dyDescent="0.25">
      <c r="A83" s="1">
        <v>45821</v>
      </c>
      <c r="B83" s="1">
        <v>45817</v>
      </c>
      <c r="C83" t="s">
        <v>38</v>
      </c>
      <c r="D83" t="s">
        <v>39</v>
      </c>
      <c r="E83" t="s">
        <v>40</v>
      </c>
      <c r="F83">
        <v>649163</v>
      </c>
      <c r="G83">
        <v>20411454</v>
      </c>
      <c r="H83" t="s">
        <v>41</v>
      </c>
      <c r="I83">
        <v>2029268503</v>
      </c>
      <c r="J83" t="s">
        <v>82</v>
      </c>
      <c r="M83" t="s">
        <v>83</v>
      </c>
      <c r="O83">
        <v>767312</v>
      </c>
      <c r="P83" t="s">
        <v>58</v>
      </c>
      <c r="Q83" t="s">
        <v>45</v>
      </c>
      <c r="R83" t="s">
        <v>46</v>
      </c>
      <c r="S83" s="1">
        <v>45839</v>
      </c>
      <c r="U83" t="s">
        <v>47</v>
      </c>
      <c r="X83" t="s">
        <v>48</v>
      </c>
      <c r="Y83" s="2">
        <v>59.57</v>
      </c>
      <c r="Z83" s="2">
        <v>59.57</v>
      </c>
      <c r="AA83">
        <v>6</v>
      </c>
      <c r="AB83" s="3">
        <v>0.7</v>
      </c>
      <c r="AC83" s="2">
        <v>250.19</v>
      </c>
      <c r="AD83" s="3">
        <v>0</v>
      </c>
      <c r="AE83" s="2">
        <v>0</v>
      </c>
      <c r="AF83" s="2">
        <v>250.19</v>
      </c>
      <c r="AK83" s="4">
        <v>18991930</v>
      </c>
      <c r="AL83" t="s">
        <v>49</v>
      </c>
    </row>
    <row r="84" spans="1:38" x14ac:dyDescent="0.25">
      <c r="A84" s="1">
        <v>45821</v>
      </c>
      <c r="B84" s="1">
        <v>45817</v>
      </c>
      <c r="C84" t="s">
        <v>38</v>
      </c>
      <c r="D84" t="s">
        <v>39</v>
      </c>
      <c r="E84" t="s">
        <v>40</v>
      </c>
      <c r="F84">
        <v>649163</v>
      </c>
      <c r="G84">
        <v>20411454</v>
      </c>
      <c r="H84" t="s">
        <v>41</v>
      </c>
      <c r="I84">
        <v>2029268504</v>
      </c>
      <c r="J84" t="s">
        <v>82</v>
      </c>
      <c r="M84" t="s">
        <v>83</v>
      </c>
      <c r="O84">
        <v>767312</v>
      </c>
      <c r="P84" t="s">
        <v>58</v>
      </c>
      <c r="Q84" t="s">
        <v>45</v>
      </c>
      <c r="R84" t="s">
        <v>84</v>
      </c>
      <c r="S84" s="1">
        <v>45839</v>
      </c>
      <c r="U84" t="s">
        <v>47</v>
      </c>
      <c r="X84" t="s">
        <v>48</v>
      </c>
      <c r="Y84" s="2">
        <v>87.26</v>
      </c>
      <c r="Z84" s="2">
        <v>87.26</v>
      </c>
      <c r="AA84">
        <v>6</v>
      </c>
      <c r="AB84" s="3">
        <v>0.65</v>
      </c>
      <c r="AC84" s="2">
        <v>340.31</v>
      </c>
      <c r="AD84" s="3">
        <v>0</v>
      </c>
      <c r="AE84" s="2">
        <v>0</v>
      </c>
      <c r="AF84" s="2">
        <v>340.31</v>
      </c>
      <c r="AK84" s="4">
        <v>18999800</v>
      </c>
      <c r="AL84" t="s">
        <v>49</v>
      </c>
    </row>
    <row r="85" spans="1:38" x14ac:dyDescent="0.25">
      <c r="A85" s="1">
        <v>45821</v>
      </c>
      <c r="B85" s="1">
        <v>45817</v>
      </c>
      <c r="C85" t="s">
        <v>38</v>
      </c>
      <c r="D85" t="s">
        <v>39</v>
      </c>
      <c r="E85" t="s">
        <v>40</v>
      </c>
      <c r="F85">
        <v>649163</v>
      </c>
      <c r="G85">
        <v>20411454</v>
      </c>
      <c r="H85" t="s">
        <v>41</v>
      </c>
      <c r="I85">
        <v>2029268505</v>
      </c>
      <c r="J85" t="s">
        <v>82</v>
      </c>
      <c r="M85" t="s">
        <v>83</v>
      </c>
      <c r="O85">
        <v>767312</v>
      </c>
      <c r="P85" t="s">
        <v>58</v>
      </c>
      <c r="Q85" t="s">
        <v>45</v>
      </c>
      <c r="R85" t="s">
        <v>50</v>
      </c>
      <c r="S85" s="1">
        <v>45839</v>
      </c>
      <c r="U85" t="s">
        <v>47</v>
      </c>
      <c r="X85" t="s">
        <v>48</v>
      </c>
      <c r="Y85" s="2">
        <v>24.54</v>
      </c>
      <c r="Z85" s="2">
        <v>24.54</v>
      </c>
      <c r="AA85">
        <v>6</v>
      </c>
      <c r="AB85" s="3">
        <v>0.375</v>
      </c>
      <c r="AC85" s="2">
        <v>55.22</v>
      </c>
      <c r="AD85" s="3">
        <v>0</v>
      </c>
      <c r="AE85" s="2">
        <v>0</v>
      </c>
      <c r="AF85" s="2">
        <v>55.22</v>
      </c>
      <c r="AK85" s="4">
        <v>19009360</v>
      </c>
      <c r="AL85" t="s">
        <v>49</v>
      </c>
    </row>
    <row r="86" spans="1:38" x14ac:dyDescent="0.25">
      <c r="A86" s="1">
        <v>45821</v>
      </c>
      <c r="B86" s="1">
        <v>45817</v>
      </c>
      <c r="C86" t="s">
        <v>38</v>
      </c>
      <c r="D86" t="s">
        <v>39</v>
      </c>
      <c r="E86" t="s">
        <v>40</v>
      </c>
      <c r="F86">
        <v>649163</v>
      </c>
      <c r="G86">
        <v>20411454</v>
      </c>
      <c r="H86" t="s">
        <v>41</v>
      </c>
      <c r="I86">
        <v>2029299442</v>
      </c>
      <c r="J86" t="s">
        <v>119</v>
      </c>
      <c r="M86" t="s">
        <v>83</v>
      </c>
      <c r="O86">
        <v>767312</v>
      </c>
      <c r="P86" t="s">
        <v>58</v>
      </c>
      <c r="Q86" t="s">
        <v>45</v>
      </c>
      <c r="R86" t="s">
        <v>50</v>
      </c>
      <c r="S86" s="1">
        <v>45813</v>
      </c>
      <c r="U86" t="s">
        <v>47</v>
      </c>
      <c r="X86" t="s">
        <v>48</v>
      </c>
      <c r="Y86" s="2">
        <v>28.87</v>
      </c>
      <c r="Z86" s="2">
        <v>28.87</v>
      </c>
      <c r="AA86">
        <v>6</v>
      </c>
      <c r="AB86" s="3">
        <v>0.375</v>
      </c>
      <c r="AC86" s="2">
        <v>64.959999999999994</v>
      </c>
      <c r="AD86" s="3">
        <v>0</v>
      </c>
      <c r="AE86" s="2">
        <v>0</v>
      </c>
      <c r="AF86" s="2">
        <v>64.959999999999994</v>
      </c>
      <c r="AK86" s="4">
        <v>19009640</v>
      </c>
      <c r="AL86" t="s">
        <v>49</v>
      </c>
    </row>
    <row r="87" spans="1:38" x14ac:dyDescent="0.25">
      <c r="A87" s="1">
        <v>45821</v>
      </c>
      <c r="B87" s="1">
        <v>45817</v>
      </c>
      <c r="C87" t="s">
        <v>38</v>
      </c>
      <c r="D87" t="s">
        <v>39</v>
      </c>
      <c r="E87" t="s">
        <v>40</v>
      </c>
      <c r="F87">
        <v>649163</v>
      </c>
      <c r="G87">
        <v>20411454</v>
      </c>
      <c r="H87" t="s">
        <v>41</v>
      </c>
      <c r="I87">
        <v>2029332244</v>
      </c>
      <c r="J87" t="s">
        <v>137</v>
      </c>
      <c r="M87" t="s">
        <v>43</v>
      </c>
      <c r="O87">
        <v>767312</v>
      </c>
      <c r="P87" t="s">
        <v>58</v>
      </c>
      <c r="Q87" t="s">
        <v>45</v>
      </c>
      <c r="R87" t="s">
        <v>50</v>
      </c>
      <c r="S87" s="1">
        <v>45815</v>
      </c>
      <c r="U87" t="s">
        <v>47</v>
      </c>
      <c r="X87" t="s">
        <v>48</v>
      </c>
      <c r="Y87" s="2">
        <v>32.880000000000003</v>
      </c>
      <c r="Z87" s="2">
        <v>32.880000000000003</v>
      </c>
      <c r="AA87">
        <v>6</v>
      </c>
      <c r="AB87" s="3">
        <v>0.375</v>
      </c>
      <c r="AC87" s="2">
        <v>73.98</v>
      </c>
      <c r="AD87" s="3">
        <v>0</v>
      </c>
      <c r="AE87" s="2">
        <v>0</v>
      </c>
      <c r="AF87" s="2">
        <v>73.98</v>
      </c>
      <c r="AK87" s="4">
        <v>19009910</v>
      </c>
      <c r="AL87" t="s">
        <v>49</v>
      </c>
    </row>
    <row r="88" spans="1:38" x14ac:dyDescent="0.25">
      <c r="A88" s="1">
        <v>45821</v>
      </c>
      <c r="B88" s="1">
        <v>45817</v>
      </c>
      <c r="C88" t="s">
        <v>141</v>
      </c>
      <c r="D88" t="s">
        <v>39</v>
      </c>
      <c r="E88" t="s">
        <v>40</v>
      </c>
      <c r="F88">
        <v>649163</v>
      </c>
      <c r="G88">
        <v>20411454</v>
      </c>
      <c r="H88" t="s">
        <v>41</v>
      </c>
      <c r="I88">
        <v>2029143991</v>
      </c>
      <c r="J88" t="s">
        <v>151</v>
      </c>
      <c r="M88" t="s">
        <v>97</v>
      </c>
      <c r="O88">
        <v>767312</v>
      </c>
      <c r="P88" t="s">
        <v>58</v>
      </c>
      <c r="Q88" t="s">
        <v>143</v>
      </c>
      <c r="R88" t="s">
        <v>50</v>
      </c>
      <c r="S88" s="1">
        <v>45805</v>
      </c>
      <c r="U88" t="s">
        <v>47</v>
      </c>
      <c r="X88" t="s">
        <v>113</v>
      </c>
      <c r="AF88" s="2">
        <v>71.8</v>
      </c>
      <c r="AG88" s="2">
        <v>11.97</v>
      </c>
      <c r="AJ88" s="2">
        <v>59.83</v>
      </c>
    </row>
    <row r="89" spans="1:38" x14ac:dyDescent="0.25">
      <c r="A89" s="1">
        <v>45821</v>
      </c>
      <c r="B89" s="1">
        <v>45817</v>
      </c>
      <c r="C89" t="s">
        <v>38</v>
      </c>
      <c r="D89" t="s">
        <v>39</v>
      </c>
      <c r="E89" t="s">
        <v>40</v>
      </c>
      <c r="F89">
        <v>649163</v>
      </c>
      <c r="G89">
        <v>20411454</v>
      </c>
      <c r="H89" t="s">
        <v>41</v>
      </c>
      <c r="I89">
        <v>2029251257</v>
      </c>
      <c r="J89" t="s">
        <v>74</v>
      </c>
      <c r="M89" t="s">
        <v>63</v>
      </c>
      <c r="O89">
        <v>792847</v>
      </c>
      <c r="P89" t="s">
        <v>75</v>
      </c>
      <c r="Q89" t="s">
        <v>45</v>
      </c>
      <c r="R89" t="s">
        <v>76</v>
      </c>
      <c r="S89" s="1">
        <v>45811</v>
      </c>
      <c r="U89" t="s">
        <v>47</v>
      </c>
      <c r="X89" t="s">
        <v>48</v>
      </c>
      <c r="Y89" s="2">
        <v>226.98</v>
      </c>
      <c r="Z89" s="2">
        <v>226.98</v>
      </c>
      <c r="AA89">
        <v>6</v>
      </c>
      <c r="AB89" s="3">
        <v>0.38</v>
      </c>
      <c r="AC89" s="2">
        <v>517.51</v>
      </c>
      <c r="AD89" s="3">
        <v>0</v>
      </c>
      <c r="AE89" s="2">
        <v>0</v>
      </c>
      <c r="AF89" s="2">
        <v>517.51</v>
      </c>
      <c r="AK89" s="4">
        <v>18991830</v>
      </c>
      <c r="AL89" t="s">
        <v>49</v>
      </c>
    </row>
    <row r="90" spans="1:38" x14ac:dyDescent="0.25">
      <c r="A90" s="1">
        <v>45821</v>
      </c>
      <c r="B90" s="1">
        <v>45817</v>
      </c>
      <c r="C90" t="s">
        <v>38</v>
      </c>
      <c r="D90" t="s">
        <v>39</v>
      </c>
      <c r="E90" t="s">
        <v>40</v>
      </c>
      <c r="F90">
        <v>649163</v>
      </c>
      <c r="G90">
        <v>20411454</v>
      </c>
      <c r="H90" t="s">
        <v>41</v>
      </c>
      <c r="I90">
        <v>2029251258</v>
      </c>
      <c r="J90" t="s">
        <v>74</v>
      </c>
      <c r="M90" t="s">
        <v>63</v>
      </c>
      <c r="O90">
        <v>792847</v>
      </c>
      <c r="P90" t="s">
        <v>75</v>
      </c>
      <c r="Q90" t="s">
        <v>45</v>
      </c>
      <c r="R90" t="s">
        <v>77</v>
      </c>
      <c r="S90" s="1">
        <v>45811</v>
      </c>
      <c r="U90" t="s">
        <v>47</v>
      </c>
      <c r="X90" t="s">
        <v>48</v>
      </c>
      <c r="Y90" s="2">
        <v>7.09</v>
      </c>
      <c r="Z90" s="2">
        <v>7.09</v>
      </c>
      <c r="AA90">
        <v>6</v>
      </c>
      <c r="AB90" s="3">
        <v>0.38</v>
      </c>
      <c r="AC90" s="2">
        <v>16.170000000000002</v>
      </c>
      <c r="AD90" s="3">
        <v>0</v>
      </c>
      <c r="AE90" s="2">
        <v>0</v>
      </c>
      <c r="AF90" s="2">
        <v>16.170000000000002</v>
      </c>
      <c r="AK90" s="4">
        <v>19010340</v>
      </c>
      <c r="AL90" t="s">
        <v>49</v>
      </c>
    </row>
    <row r="91" spans="1:38" x14ac:dyDescent="0.25">
      <c r="A91" s="1">
        <v>45821</v>
      </c>
      <c r="B91" s="1">
        <v>45817</v>
      </c>
      <c r="C91" t="s">
        <v>38</v>
      </c>
      <c r="D91" t="s">
        <v>39</v>
      </c>
      <c r="E91" t="s">
        <v>40</v>
      </c>
      <c r="F91">
        <v>649163</v>
      </c>
      <c r="G91">
        <v>20411454</v>
      </c>
      <c r="H91" t="s">
        <v>41</v>
      </c>
      <c r="I91">
        <v>2029251259</v>
      </c>
      <c r="J91" t="s">
        <v>74</v>
      </c>
      <c r="M91" t="s">
        <v>63</v>
      </c>
      <c r="O91">
        <v>792847</v>
      </c>
      <c r="P91" t="s">
        <v>75</v>
      </c>
      <c r="Q91" t="s">
        <v>45</v>
      </c>
      <c r="R91" t="s">
        <v>46</v>
      </c>
      <c r="S91" s="1">
        <v>45811</v>
      </c>
      <c r="U91" t="s">
        <v>47</v>
      </c>
      <c r="X91" t="s">
        <v>48</v>
      </c>
      <c r="Y91" s="2">
        <v>74.58</v>
      </c>
      <c r="Z91" s="2">
        <v>74.58</v>
      </c>
      <c r="AA91">
        <v>6</v>
      </c>
      <c r="AB91" s="3">
        <v>0.7</v>
      </c>
      <c r="AC91" s="2">
        <v>313.24</v>
      </c>
      <c r="AD91" s="3">
        <v>0</v>
      </c>
      <c r="AE91" s="2">
        <v>0</v>
      </c>
      <c r="AF91" s="2">
        <v>313.24</v>
      </c>
      <c r="AK91" s="4">
        <v>18991830</v>
      </c>
      <c r="AL91" t="s">
        <v>49</v>
      </c>
    </row>
    <row r="92" spans="1:38" x14ac:dyDescent="0.25">
      <c r="A92" s="1">
        <v>45821</v>
      </c>
      <c r="B92" s="1">
        <v>45817</v>
      </c>
      <c r="C92" t="s">
        <v>38</v>
      </c>
      <c r="D92" t="s">
        <v>39</v>
      </c>
      <c r="E92" t="s">
        <v>40</v>
      </c>
      <c r="F92">
        <v>649163</v>
      </c>
      <c r="G92">
        <v>20411454</v>
      </c>
      <c r="H92" t="s">
        <v>41</v>
      </c>
      <c r="I92">
        <v>2029251260</v>
      </c>
      <c r="J92" t="s">
        <v>74</v>
      </c>
      <c r="M92" t="s">
        <v>63</v>
      </c>
      <c r="O92">
        <v>792847</v>
      </c>
      <c r="P92" t="s">
        <v>75</v>
      </c>
      <c r="Q92" t="s">
        <v>45</v>
      </c>
      <c r="R92" t="s">
        <v>70</v>
      </c>
      <c r="S92" s="1">
        <v>45811</v>
      </c>
      <c r="U92" t="s">
        <v>47</v>
      </c>
      <c r="X92" t="s">
        <v>48</v>
      </c>
      <c r="Y92" s="2">
        <v>37.93</v>
      </c>
      <c r="Z92" s="2">
        <v>37.93</v>
      </c>
      <c r="AA92">
        <v>6</v>
      </c>
      <c r="AB92" s="3">
        <v>0.75</v>
      </c>
      <c r="AC92" s="2">
        <v>170.69</v>
      </c>
      <c r="AD92" s="3">
        <v>0</v>
      </c>
      <c r="AE92" s="2">
        <v>0</v>
      </c>
      <c r="AF92" s="2">
        <v>170.69</v>
      </c>
      <c r="AK92" s="4">
        <v>18999760</v>
      </c>
      <c r="AL92" t="s">
        <v>49</v>
      </c>
    </row>
    <row r="93" spans="1:38" x14ac:dyDescent="0.25">
      <c r="A93" s="1">
        <v>45821</v>
      </c>
      <c r="B93" s="1">
        <v>45817</v>
      </c>
      <c r="C93" t="s">
        <v>38</v>
      </c>
      <c r="D93" t="s">
        <v>39</v>
      </c>
      <c r="E93" t="s">
        <v>40</v>
      </c>
      <c r="F93">
        <v>649163</v>
      </c>
      <c r="G93">
        <v>20411454</v>
      </c>
      <c r="H93" t="s">
        <v>41</v>
      </c>
      <c r="I93">
        <v>2029251261</v>
      </c>
      <c r="J93" t="s">
        <v>74</v>
      </c>
      <c r="M93" t="s">
        <v>63</v>
      </c>
      <c r="O93">
        <v>792847</v>
      </c>
      <c r="P93" t="s">
        <v>75</v>
      </c>
      <c r="Q93" t="s">
        <v>45</v>
      </c>
      <c r="R93" t="s">
        <v>78</v>
      </c>
      <c r="S93" s="1">
        <v>45811</v>
      </c>
      <c r="U93" t="s">
        <v>47</v>
      </c>
      <c r="X93" t="s">
        <v>79</v>
      </c>
      <c r="Y93" s="2">
        <v>15</v>
      </c>
      <c r="Z93" s="2">
        <v>15</v>
      </c>
      <c r="AA93">
        <v>6</v>
      </c>
      <c r="AB93" s="3">
        <v>0.38</v>
      </c>
      <c r="AC93" s="2">
        <v>34.200000000000003</v>
      </c>
      <c r="AD93" s="3">
        <v>0</v>
      </c>
      <c r="AE93" s="2">
        <v>0</v>
      </c>
      <c r="AF93" s="2">
        <v>34.200000000000003</v>
      </c>
      <c r="AK93" s="4">
        <v>18996400</v>
      </c>
      <c r="AL9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D806-1737-4C46-9042-C5070ADF15A1}">
  <dimension ref="A1:Y69"/>
  <sheetViews>
    <sheetView topLeftCell="I1" workbookViewId="0">
      <selection activeCell="Y2" sqref="Y2:Y39"/>
    </sheetView>
  </sheetViews>
  <sheetFormatPr defaultRowHeight="15" x14ac:dyDescent="0.25"/>
  <cols>
    <col min="1" max="1" width="14" bestFit="1" customWidth="1"/>
    <col min="2" max="2" width="24.140625" bestFit="1" customWidth="1"/>
    <col min="3" max="3" width="8.140625" bestFit="1" customWidth="1"/>
    <col min="4" max="4" width="4.140625" bestFit="1" customWidth="1"/>
    <col min="5" max="5" width="5.28515625" bestFit="1" customWidth="1"/>
    <col min="6" max="6" width="8.5703125" bestFit="1" customWidth="1"/>
    <col min="7" max="7" width="15" bestFit="1" customWidth="1"/>
    <col min="8" max="8" width="24.42578125" bestFit="1" customWidth="1"/>
    <col min="9" max="9" width="12.5703125" bestFit="1" customWidth="1"/>
    <col min="10" max="10" width="49.42578125" bestFit="1" customWidth="1"/>
    <col min="11" max="11" width="10.140625" bestFit="1" customWidth="1"/>
    <col min="12" max="12" width="12.28515625" bestFit="1" customWidth="1"/>
    <col min="13" max="13" width="14" bestFit="1" customWidth="1"/>
    <col min="14" max="14" width="12" bestFit="1" customWidth="1"/>
    <col min="15" max="15" width="16.140625" bestFit="1" customWidth="1"/>
    <col min="16" max="16" width="9" bestFit="1" customWidth="1"/>
    <col min="17" max="17" width="17.85546875" bestFit="1" customWidth="1"/>
    <col min="18" max="18" width="16.140625" bestFit="1" customWidth="1"/>
    <col min="19" max="19" width="16.7109375" bestFit="1" customWidth="1"/>
    <col min="20" max="20" width="16.5703125" bestFit="1" customWidth="1"/>
    <col min="21" max="21" width="18" bestFit="1" customWidth="1"/>
    <col min="22" max="22" width="11.5703125" bestFit="1" customWidth="1"/>
    <col min="23" max="23" width="14.7109375" bestFit="1" customWidth="1"/>
    <col min="24" max="24" width="9.85546875" bestFit="1" customWidth="1"/>
    <col min="25" max="25" width="12.7109375" bestFit="1" customWidth="1"/>
  </cols>
  <sheetData>
    <row r="1" spans="1:2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</row>
    <row r="2" spans="1:25" x14ac:dyDescent="0.25">
      <c r="A2">
        <v>2029267677</v>
      </c>
      <c r="B2" t="s">
        <v>80</v>
      </c>
      <c r="E2" t="s">
        <v>63</v>
      </c>
      <c r="G2" t="s">
        <v>153</v>
      </c>
      <c r="H2" t="s">
        <v>81</v>
      </c>
      <c r="I2" t="s">
        <v>45</v>
      </c>
      <c r="J2" t="s">
        <v>50</v>
      </c>
      <c r="K2" s="1">
        <v>45812</v>
      </c>
      <c r="M2" t="s">
        <v>47</v>
      </c>
      <c r="P2" t="s">
        <v>48</v>
      </c>
      <c r="Q2" s="2">
        <v>121.09</v>
      </c>
      <c r="R2" s="2">
        <v>121.09</v>
      </c>
      <c r="S2">
        <v>6</v>
      </c>
      <c r="T2" s="3">
        <v>0.375</v>
      </c>
      <c r="U2" s="2">
        <v>272.45</v>
      </c>
      <c r="V2" s="3">
        <v>0</v>
      </c>
      <c r="W2" s="2">
        <v>0</v>
      </c>
      <c r="X2" s="2">
        <v>272.45</v>
      </c>
      <c r="Y2" s="2">
        <f>SUM(X2/6)</f>
        <v>45.408333333333331</v>
      </c>
    </row>
    <row r="3" spans="1:25" x14ac:dyDescent="0.25">
      <c r="A3">
        <v>2029267678</v>
      </c>
      <c r="B3" t="s">
        <v>80</v>
      </c>
      <c r="E3" t="s">
        <v>63</v>
      </c>
      <c r="G3" t="s">
        <v>153</v>
      </c>
      <c r="H3" t="s">
        <v>81</v>
      </c>
      <c r="I3" t="s">
        <v>45</v>
      </c>
      <c r="J3" t="s">
        <v>46</v>
      </c>
      <c r="K3" s="1">
        <v>45812</v>
      </c>
      <c r="M3" t="s">
        <v>47</v>
      </c>
      <c r="P3" t="s">
        <v>48</v>
      </c>
      <c r="Q3" s="2">
        <v>145.41999999999999</v>
      </c>
      <c r="R3" s="2">
        <v>145.41999999999999</v>
      </c>
      <c r="S3">
        <v>6</v>
      </c>
      <c r="T3" s="3">
        <v>0.7</v>
      </c>
      <c r="U3" s="2">
        <v>610.76</v>
      </c>
      <c r="V3" s="3">
        <v>0</v>
      </c>
      <c r="W3" s="2">
        <v>0</v>
      </c>
      <c r="X3" s="2">
        <v>610.76</v>
      </c>
      <c r="Y3" s="2">
        <f t="shared" ref="Y3:Y39" si="0">SUM(X3/6)</f>
        <v>101.79333333333334</v>
      </c>
    </row>
    <row r="4" spans="1:25" x14ac:dyDescent="0.25">
      <c r="A4">
        <v>2029276298</v>
      </c>
      <c r="B4" t="s">
        <v>101</v>
      </c>
      <c r="E4" t="s">
        <v>63</v>
      </c>
      <c r="G4" t="s">
        <v>154</v>
      </c>
      <c r="H4" t="s">
        <v>102</v>
      </c>
      <c r="I4" t="s">
        <v>45</v>
      </c>
      <c r="J4" t="s">
        <v>50</v>
      </c>
      <c r="K4" s="1">
        <v>45812</v>
      </c>
      <c r="M4" t="s">
        <v>47</v>
      </c>
      <c r="P4" t="s">
        <v>48</v>
      </c>
      <c r="Q4" s="2">
        <v>41.17</v>
      </c>
      <c r="R4" s="2">
        <v>41.17</v>
      </c>
      <c r="S4">
        <v>6</v>
      </c>
      <c r="T4" s="3">
        <v>0.375</v>
      </c>
      <c r="U4" s="2">
        <v>92.63</v>
      </c>
      <c r="V4" s="3">
        <v>0</v>
      </c>
      <c r="W4" s="2">
        <v>0</v>
      </c>
      <c r="X4" s="2">
        <v>92.63</v>
      </c>
      <c r="Y4" s="2">
        <f t="shared" si="0"/>
        <v>15.438333333333333</v>
      </c>
    </row>
    <row r="5" spans="1:25" x14ac:dyDescent="0.25">
      <c r="A5">
        <v>2029276299</v>
      </c>
      <c r="B5" t="s">
        <v>101</v>
      </c>
      <c r="E5" t="s">
        <v>63</v>
      </c>
      <c r="G5" t="s">
        <v>154</v>
      </c>
      <c r="H5" t="s">
        <v>102</v>
      </c>
      <c r="I5" t="s">
        <v>45</v>
      </c>
      <c r="J5" t="s">
        <v>51</v>
      </c>
      <c r="K5" s="1">
        <v>45812</v>
      </c>
      <c r="M5" t="s">
        <v>47</v>
      </c>
      <c r="P5" t="s">
        <v>48</v>
      </c>
      <c r="Q5" s="2">
        <v>44.13</v>
      </c>
      <c r="R5" s="2">
        <v>44.13</v>
      </c>
      <c r="S5">
        <v>6</v>
      </c>
      <c r="T5" s="3">
        <v>0.9</v>
      </c>
      <c r="U5" s="2">
        <v>238.3</v>
      </c>
      <c r="V5" s="3">
        <v>0</v>
      </c>
      <c r="W5" s="2">
        <v>0</v>
      </c>
      <c r="X5" s="2">
        <v>238.3</v>
      </c>
      <c r="Y5" s="2">
        <f t="shared" si="0"/>
        <v>39.716666666666669</v>
      </c>
    </row>
    <row r="6" spans="1:25" x14ac:dyDescent="0.25">
      <c r="A6">
        <v>2029276300</v>
      </c>
      <c r="B6" t="s">
        <v>101</v>
      </c>
      <c r="E6" t="s">
        <v>63</v>
      </c>
      <c r="G6" t="s">
        <v>154</v>
      </c>
      <c r="H6" t="s">
        <v>102</v>
      </c>
      <c r="I6" t="s">
        <v>45</v>
      </c>
      <c r="J6" t="s">
        <v>46</v>
      </c>
      <c r="K6" s="1">
        <v>45812</v>
      </c>
      <c r="M6" t="s">
        <v>47</v>
      </c>
      <c r="P6" t="s">
        <v>48</v>
      </c>
      <c r="Q6" s="2">
        <v>57.35</v>
      </c>
      <c r="R6" s="2">
        <v>57.35</v>
      </c>
      <c r="S6">
        <v>6</v>
      </c>
      <c r="T6" s="3">
        <v>0.7</v>
      </c>
      <c r="U6" s="2">
        <v>240.87</v>
      </c>
      <c r="V6" s="3">
        <v>0</v>
      </c>
      <c r="W6" s="2">
        <v>0</v>
      </c>
      <c r="X6" s="2">
        <v>240.87</v>
      </c>
      <c r="Y6" s="2">
        <f t="shared" si="0"/>
        <v>40.145000000000003</v>
      </c>
    </row>
    <row r="7" spans="1:25" x14ac:dyDescent="0.25">
      <c r="A7">
        <v>2029290190</v>
      </c>
      <c r="B7" t="s">
        <v>114</v>
      </c>
      <c r="E7" t="s">
        <v>63</v>
      </c>
      <c r="G7" t="s">
        <v>154</v>
      </c>
      <c r="H7" t="s">
        <v>102</v>
      </c>
      <c r="I7" t="s">
        <v>45</v>
      </c>
      <c r="J7" t="s">
        <v>50</v>
      </c>
      <c r="K7" s="1">
        <v>45839</v>
      </c>
      <c r="M7" t="s">
        <v>47</v>
      </c>
      <c r="P7" t="s">
        <v>48</v>
      </c>
      <c r="Q7" s="2">
        <v>41.91</v>
      </c>
      <c r="R7" s="2">
        <v>41.91</v>
      </c>
      <c r="S7">
        <v>6</v>
      </c>
      <c r="T7" s="3">
        <v>0.375</v>
      </c>
      <c r="U7" s="2">
        <v>94.3</v>
      </c>
      <c r="V7" s="3">
        <v>0</v>
      </c>
      <c r="W7" s="2">
        <v>0</v>
      </c>
      <c r="X7" s="2">
        <v>94.3</v>
      </c>
      <c r="Y7" s="2">
        <f t="shared" si="0"/>
        <v>15.716666666666667</v>
      </c>
    </row>
    <row r="8" spans="1:25" x14ac:dyDescent="0.25">
      <c r="A8">
        <v>2029290191</v>
      </c>
      <c r="B8" t="s">
        <v>114</v>
      </c>
      <c r="E8" t="s">
        <v>63</v>
      </c>
      <c r="G8" t="s">
        <v>154</v>
      </c>
      <c r="H8" t="s">
        <v>102</v>
      </c>
      <c r="I8" t="s">
        <v>45</v>
      </c>
      <c r="J8" t="s">
        <v>61</v>
      </c>
      <c r="K8" s="1">
        <v>45839</v>
      </c>
      <c r="M8" t="s">
        <v>47</v>
      </c>
      <c r="P8" t="s">
        <v>48</v>
      </c>
      <c r="Q8" s="2">
        <v>79.510000000000005</v>
      </c>
      <c r="R8" s="2">
        <v>79.510000000000005</v>
      </c>
      <c r="S8">
        <v>6</v>
      </c>
      <c r="T8" s="3">
        <v>0.9</v>
      </c>
      <c r="U8" s="2">
        <v>429.35</v>
      </c>
      <c r="V8" s="3">
        <v>0</v>
      </c>
      <c r="W8" s="2">
        <v>0</v>
      </c>
      <c r="X8" s="2">
        <v>429.35</v>
      </c>
      <c r="Y8" s="2">
        <f t="shared" si="0"/>
        <v>71.558333333333337</v>
      </c>
    </row>
    <row r="9" spans="1:25" x14ac:dyDescent="0.25">
      <c r="A9">
        <v>2029335780</v>
      </c>
      <c r="B9" t="s">
        <v>138</v>
      </c>
      <c r="E9" t="s">
        <v>63</v>
      </c>
      <c r="G9" t="s">
        <v>154</v>
      </c>
      <c r="H9" t="s">
        <v>102</v>
      </c>
      <c r="I9" t="s">
        <v>45</v>
      </c>
      <c r="J9" t="s">
        <v>61</v>
      </c>
      <c r="K9" s="1">
        <v>45815</v>
      </c>
      <c r="M9" t="s">
        <v>47</v>
      </c>
      <c r="P9" t="s">
        <v>48</v>
      </c>
      <c r="Q9" s="2">
        <v>82.13</v>
      </c>
      <c r="R9" s="2">
        <v>82.13</v>
      </c>
      <c r="S9">
        <v>6</v>
      </c>
      <c r="T9" s="3">
        <v>0.9</v>
      </c>
      <c r="U9" s="2">
        <v>443.5</v>
      </c>
      <c r="V9" s="3">
        <v>0</v>
      </c>
      <c r="W9" s="2">
        <v>0</v>
      </c>
      <c r="X9" s="2">
        <v>443.5</v>
      </c>
      <c r="Y9" s="2">
        <f t="shared" si="0"/>
        <v>73.916666666666671</v>
      </c>
    </row>
    <row r="10" spans="1:25" x14ac:dyDescent="0.25">
      <c r="A10">
        <v>2029335781</v>
      </c>
      <c r="B10" t="s">
        <v>138</v>
      </c>
      <c r="E10" t="s">
        <v>63</v>
      </c>
      <c r="G10" t="s">
        <v>154</v>
      </c>
      <c r="H10" t="s">
        <v>102</v>
      </c>
      <c r="I10" t="s">
        <v>45</v>
      </c>
      <c r="J10" t="s">
        <v>46</v>
      </c>
      <c r="K10" s="1">
        <v>45815</v>
      </c>
      <c r="M10" t="s">
        <v>47</v>
      </c>
      <c r="P10" t="s">
        <v>48</v>
      </c>
      <c r="Q10" s="2">
        <v>11.5</v>
      </c>
      <c r="R10" s="2">
        <v>11.5</v>
      </c>
      <c r="S10">
        <v>6</v>
      </c>
      <c r="T10" s="3">
        <v>0.7</v>
      </c>
      <c r="U10" s="2">
        <v>48.3</v>
      </c>
      <c r="V10" s="3">
        <v>0</v>
      </c>
      <c r="W10" s="2">
        <v>0</v>
      </c>
      <c r="X10" s="2">
        <v>48.3</v>
      </c>
      <c r="Y10" s="2">
        <f t="shared" si="0"/>
        <v>8.0499999999999989</v>
      </c>
    </row>
    <row r="11" spans="1:25" x14ac:dyDescent="0.25">
      <c r="A11">
        <v>2029335782</v>
      </c>
      <c r="B11" t="s">
        <v>138</v>
      </c>
      <c r="E11" t="s">
        <v>63</v>
      </c>
      <c r="G11" t="s">
        <v>154</v>
      </c>
      <c r="H11" t="s">
        <v>102</v>
      </c>
      <c r="I11" t="s">
        <v>45</v>
      </c>
      <c r="J11" t="s">
        <v>76</v>
      </c>
      <c r="K11" s="1">
        <v>45815</v>
      </c>
      <c r="M11" t="s">
        <v>47</v>
      </c>
      <c r="P11" t="s">
        <v>48</v>
      </c>
      <c r="Q11" s="2">
        <v>131.32</v>
      </c>
      <c r="R11" s="2">
        <v>131.32</v>
      </c>
      <c r="S11">
        <v>6</v>
      </c>
      <c r="T11" s="3">
        <v>0.38</v>
      </c>
      <c r="U11" s="2">
        <v>299.41000000000003</v>
      </c>
      <c r="V11" s="3">
        <v>0</v>
      </c>
      <c r="W11" s="2">
        <v>0</v>
      </c>
      <c r="X11" s="2">
        <v>299.41000000000003</v>
      </c>
      <c r="Y11" s="2">
        <f t="shared" si="0"/>
        <v>49.901666666666671</v>
      </c>
    </row>
    <row r="12" spans="1:25" x14ac:dyDescent="0.25">
      <c r="A12">
        <v>2029335783</v>
      </c>
      <c r="B12" t="s">
        <v>138</v>
      </c>
      <c r="E12" t="s">
        <v>63</v>
      </c>
      <c r="G12" t="s">
        <v>154</v>
      </c>
      <c r="H12" t="s">
        <v>102</v>
      </c>
      <c r="I12" t="s">
        <v>45</v>
      </c>
      <c r="J12" t="s">
        <v>78</v>
      </c>
      <c r="K12" s="1">
        <v>45815</v>
      </c>
      <c r="M12" t="s">
        <v>47</v>
      </c>
      <c r="P12" t="s">
        <v>79</v>
      </c>
      <c r="Q12" s="2">
        <v>15</v>
      </c>
      <c r="R12" s="2">
        <v>15</v>
      </c>
      <c r="S12">
        <v>6</v>
      </c>
      <c r="T12" s="3">
        <v>0.38</v>
      </c>
      <c r="U12" s="2">
        <v>34.200000000000003</v>
      </c>
      <c r="V12" s="3">
        <v>0</v>
      </c>
      <c r="W12" s="2">
        <v>0</v>
      </c>
      <c r="X12" s="2">
        <v>34.200000000000003</v>
      </c>
      <c r="Y12" s="2">
        <f t="shared" si="0"/>
        <v>5.7</v>
      </c>
    </row>
    <row r="13" spans="1:25" x14ac:dyDescent="0.25">
      <c r="A13">
        <v>2029275519</v>
      </c>
      <c r="B13" t="s">
        <v>99</v>
      </c>
      <c r="E13" t="s">
        <v>63</v>
      </c>
      <c r="G13" t="s">
        <v>155</v>
      </c>
      <c r="H13" t="s">
        <v>100</v>
      </c>
      <c r="I13" t="s">
        <v>45</v>
      </c>
      <c r="J13" t="s">
        <v>50</v>
      </c>
      <c r="K13" s="1">
        <v>45815</v>
      </c>
      <c r="M13" t="s">
        <v>47</v>
      </c>
      <c r="P13" t="s">
        <v>48</v>
      </c>
      <c r="Q13" s="2">
        <v>156.16</v>
      </c>
      <c r="R13" s="2">
        <v>156.16</v>
      </c>
      <c r="S13">
        <v>6</v>
      </c>
      <c r="T13" s="3">
        <v>0.375</v>
      </c>
      <c r="U13" s="2">
        <v>351.36</v>
      </c>
      <c r="V13" s="3">
        <v>0</v>
      </c>
      <c r="W13" s="2">
        <v>0</v>
      </c>
      <c r="X13" s="2">
        <v>351.36</v>
      </c>
      <c r="Y13" s="2">
        <f t="shared" si="0"/>
        <v>58.56</v>
      </c>
    </row>
    <row r="14" spans="1:25" x14ac:dyDescent="0.25">
      <c r="A14">
        <v>2029275520</v>
      </c>
      <c r="B14" t="s">
        <v>99</v>
      </c>
      <c r="E14" t="s">
        <v>63</v>
      </c>
      <c r="G14" t="s">
        <v>155</v>
      </c>
      <c r="H14" t="s">
        <v>100</v>
      </c>
      <c r="I14" t="s">
        <v>45</v>
      </c>
      <c r="J14" t="s">
        <v>51</v>
      </c>
      <c r="K14" s="1">
        <v>45815</v>
      </c>
      <c r="M14" t="s">
        <v>47</v>
      </c>
      <c r="P14" t="s">
        <v>48</v>
      </c>
      <c r="Q14" s="2">
        <v>75.75</v>
      </c>
      <c r="R14" s="2">
        <v>75.75</v>
      </c>
      <c r="S14">
        <v>6</v>
      </c>
      <c r="T14" s="3">
        <v>0.9</v>
      </c>
      <c r="U14" s="2">
        <v>409.05</v>
      </c>
      <c r="V14" s="3">
        <v>0</v>
      </c>
      <c r="W14" s="2">
        <v>0</v>
      </c>
      <c r="X14" s="2">
        <v>409.05</v>
      </c>
      <c r="Y14" s="2">
        <f t="shared" si="0"/>
        <v>68.174999999999997</v>
      </c>
    </row>
    <row r="15" spans="1:25" x14ac:dyDescent="0.25">
      <c r="A15">
        <v>2029275521</v>
      </c>
      <c r="B15" t="s">
        <v>99</v>
      </c>
      <c r="E15" t="s">
        <v>63</v>
      </c>
      <c r="G15" t="s">
        <v>155</v>
      </c>
      <c r="H15" t="s">
        <v>100</v>
      </c>
      <c r="I15" t="s">
        <v>45</v>
      </c>
      <c r="J15" t="s">
        <v>46</v>
      </c>
      <c r="K15" s="1">
        <v>45815</v>
      </c>
      <c r="M15" t="s">
        <v>47</v>
      </c>
      <c r="P15" t="s">
        <v>48</v>
      </c>
      <c r="Q15" s="2">
        <v>341.13</v>
      </c>
      <c r="R15" s="2">
        <v>341.13</v>
      </c>
      <c r="S15">
        <v>6</v>
      </c>
      <c r="T15" s="3">
        <v>0.7</v>
      </c>
      <c r="U15" s="2">
        <v>1432.75</v>
      </c>
      <c r="V15" s="3">
        <v>0</v>
      </c>
      <c r="W15" s="2">
        <v>0</v>
      </c>
      <c r="X15" s="2">
        <v>1432.75</v>
      </c>
      <c r="Y15" s="2">
        <f t="shared" si="0"/>
        <v>238.79166666666666</v>
      </c>
    </row>
    <row r="16" spans="1:25" x14ac:dyDescent="0.25">
      <c r="A16">
        <v>2029275522</v>
      </c>
      <c r="B16" t="s">
        <v>99</v>
      </c>
      <c r="E16" t="s">
        <v>63</v>
      </c>
      <c r="G16" t="s">
        <v>155</v>
      </c>
      <c r="H16" t="s">
        <v>100</v>
      </c>
      <c r="I16" t="s">
        <v>45</v>
      </c>
      <c r="J16" t="s">
        <v>55</v>
      </c>
      <c r="K16" s="1">
        <v>45815</v>
      </c>
      <c r="M16" t="s">
        <v>47</v>
      </c>
      <c r="P16" t="s">
        <v>48</v>
      </c>
      <c r="Q16" s="2">
        <v>76.8</v>
      </c>
      <c r="R16" s="2">
        <v>76.8</v>
      </c>
      <c r="S16">
        <v>6</v>
      </c>
      <c r="T16" s="3">
        <v>0.75</v>
      </c>
      <c r="U16" s="2">
        <v>345.6</v>
      </c>
      <c r="V16" s="3">
        <v>0</v>
      </c>
      <c r="W16" s="2">
        <v>0</v>
      </c>
      <c r="X16" s="2">
        <v>345.6</v>
      </c>
      <c r="Y16" s="2">
        <f t="shared" si="0"/>
        <v>57.6</v>
      </c>
    </row>
    <row r="17" spans="1:25" x14ac:dyDescent="0.25">
      <c r="A17">
        <v>2029313140</v>
      </c>
      <c r="B17" t="s">
        <v>125</v>
      </c>
      <c r="E17" t="s">
        <v>63</v>
      </c>
      <c r="G17" t="s">
        <v>156</v>
      </c>
      <c r="H17" t="s">
        <v>126</v>
      </c>
      <c r="I17" t="s">
        <v>45</v>
      </c>
      <c r="J17" t="s">
        <v>46</v>
      </c>
      <c r="K17" s="1">
        <v>45814</v>
      </c>
      <c r="M17" t="s">
        <v>47</v>
      </c>
      <c r="P17" t="s">
        <v>48</v>
      </c>
      <c r="Q17" s="2">
        <v>80.16</v>
      </c>
      <c r="R17" s="2">
        <v>80.16</v>
      </c>
      <c r="S17">
        <v>6</v>
      </c>
      <c r="T17" s="3">
        <v>0.7</v>
      </c>
      <c r="U17" s="2">
        <v>336.67</v>
      </c>
      <c r="V17" s="3">
        <v>0</v>
      </c>
      <c r="W17" s="2">
        <v>0</v>
      </c>
      <c r="X17" s="2">
        <v>336.67</v>
      </c>
      <c r="Y17" s="2">
        <f t="shared" si="0"/>
        <v>56.111666666666672</v>
      </c>
    </row>
    <row r="18" spans="1:25" x14ac:dyDescent="0.25">
      <c r="A18">
        <v>2029329171</v>
      </c>
      <c r="B18" t="s">
        <v>134</v>
      </c>
      <c r="E18" t="s">
        <v>63</v>
      </c>
      <c r="G18" t="s">
        <v>156</v>
      </c>
      <c r="H18" t="s">
        <v>126</v>
      </c>
      <c r="I18" t="s">
        <v>45</v>
      </c>
      <c r="J18" t="s">
        <v>46</v>
      </c>
      <c r="K18" s="1">
        <v>45815</v>
      </c>
      <c r="M18" t="s">
        <v>47</v>
      </c>
      <c r="P18" t="s">
        <v>48</v>
      </c>
      <c r="Q18" s="2">
        <v>76.709999999999994</v>
      </c>
      <c r="R18" s="2">
        <v>76.709999999999994</v>
      </c>
      <c r="S18">
        <v>6</v>
      </c>
      <c r="T18" s="3">
        <v>0.7</v>
      </c>
      <c r="U18" s="2">
        <v>322.18</v>
      </c>
      <c r="V18" s="3">
        <v>0</v>
      </c>
      <c r="W18" s="2">
        <v>0</v>
      </c>
      <c r="X18" s="2">
        <v>322.18</v>
      </c>
      <c r="Y18" s="2">
        <f t="shared" si="0"/>
        <v>53.696666666666665</v>
      </c>
    </row>
    <row r="19" spans="1:25" x14ac:dyDescent="0.25">
      <c r="A19">
        <v>2029299955</v>
      </c>
      <c r="B19" t="s">
        <v>120</v>
      </c>
      <c r="E19" t="s">
        <v>43</v>
      </c>
      <c r="G19" t="s">
        <v>157</v>
      </c>
      <c r="H19" t="s">
        <v>121</v>
      </c>
      <c r="I19" t="s">
        <v>45</v>
      </c>
      <c r="J19" t="s">
        <v>88</v>
      </c>
      <c r="K19" s="1">
        <v>45813</v>
      </c>
      <c r="M19" t="s">
        <v>47</v>
      </c>
      <c r="P19" t="s">
        <v>48</v>
      </c>
      <c r="Q19" s="2">
        <v>13.66</v>
      </c>
      <c r="R19" s="2">
        <v>13.66</v>
      </c>
      <c r="S19">
        <v>6</v>
      </c>
      <c r="T19" s="3">
        <v>0.38</v>
      </c>
      <c r="U19" s="2">
        <v>31.14</v>
      </c>
      <c r="V19" s="3">
        <v>0</v>
      </c>
      <c r="W19" s="2">
        <v>0</v>
      </c>
      <c r="X19" s="2">
        <v>31.14</v>
      </c>
      <c r="Y19" s="2">
        <f t="shared" si="0"/>
        <v>5.19</v>
      </c>
    </row>
    <row r="20" spans="1:25" x14ac:dyDescent="0.25">
      <c r="A20">
        <v>2029299956</v>
      </c>
      <c r="B20" t="s">
        <v>120</v>
      </c>
      <c r="E20" t="s">
        <v>43</v>
      </c>
      <c r="G20" t="s">
        <v>157</v>
      </c>
      <c r="H20" t="s">
        <v>121</v>
      </c>
      <c r="I20" t="s">
        <v>45</v>
      </c>
      <c r="J20" t="s">
        <v>50</v>
      </c>
      <c r="K20" s="1">
        <v>45813</v>
      </c>
      <c r="M20" t="s">
        <v>47</v>
      </c>
      <c r="P20" t="s">
        <v>48</v>
      </c>
      <c r="Q20" s="2">
        <v>19.45</v>
      </c>
      <c r="R20" s="2">
        <v>19.45</v>
      </c>
      <c r="S20">
        <v>6</v>
      </c>
      <c r="T20" s="3">
        <v>0.375</v>
      </c>
      <c r="U20" s="2">
        <v>43.76</v>
      </c>
      <c r="V20" s="3">
        <v>0</v>
      </c>
      <c r="W20" s="2">
        <v>0</v>
      </c>
      <c r="X20" s="2">
        <v>43.76</v>
      </c>
      <c r="Y20" s="2">
        <f t="shared" si="0"/>
        <v>7.293333333333333</v>
      </c>
    </row>
    <row r="21" spans="1:25" x14ac:dyDescent="0.25">
      <c r="A21">
        <v>2029299957</v>
      </c>
      <c r="B21" t="s">
        <v>120</v>
      </c>
      <c r="E21" t="s">
        <v>43</v>
      </c>
      <c r="G21" t="s">
        <v>157</v>
      </c>
      <c r="H21" t="s">
        <v>121</v>
      </c>
      <c r="I21" t="s">
        <v>45</v>
      </c>
      <c r="J21" t="s">
        <v>122</v>
      </c>
      <c r="K21" s="1">
        <v>45813</v>
      </c>
      <c r="M21" t="s">
        <v>47</v>
      </c>
      <c r="P21" t="s">
        <v>48</v>
      </c>
      <c r="Q21" s="2">
        <v>15</v>
      </c>
      <c r="R21" s="2">
        <v>15</v>
      </c>
      <c r="S21">
        <v>6</v>
      </c>
      <c r="T21" s="3">
        <v>0.38</v>
      </c>
      <c r="U21" s="2">
        <v>34.200000000000003</v>
      </c>
      <c r="V21" s="3">
        <v>0</v>
      </c>
      <c r="W21" s="2">
        <v>0</v>
      </c>
      <c r="X21" s="2">
        <v>34.200000000000003</v>
      </c>
      <c r="Y21" s="2">
        <f t="shared" si="0"/>
        <v>5.7</v>
      </c>
    </row>
    <row r="22" spans="1:25" x14ac:dyDescent="0.25">
      <c r="A22">
        <v>2029275099</v>
      </c>
      <c r="B22" t="s">
        <v>96</v>
      </c>
      <c r="E22" t="s">
        <v>97</v>
      </c>
      <c r="G22" t="s">
        <v>158</v>
      </c>
      <c r="H22" t="s">
        <v>98</v>
      </c>
      <c r="I22" t="s">
        <v>45</v>
      </c>
      <c r="J22" t="s">
        <v>50</v>
      </c>
      <c r="K22" s="1">
        <v>45812</v>
      </c>
      <c r="M22" t="s">
        <v>47</v>
      </c>
      <c r="P22" t="s">
        <v>48</v>
      </c>
      <c r="Q22" s="2">
        <v>27.12</v>
      </c>
      <c r="R22" s="2">
        <v>27.12</v>
      </c>
      <c r="S22">
        <v>6</v>
      </c>
      <c r="T22" s="3">
        <v>0.375</v>
      </c>
      <c r="U22" s="2">
        <v>61.02</v>
      </c>
      <c r="V22" s="3">
        <v>0</v>
      </c>
      <c r="W22" s="2">
        <v>0</v>
      </c>
      <c r="X22" s="2">
        <v>61.02</v>
      </c>
      <c r="Y22" s="2">
        <f t="shared" si="0"/>
        <v>10.17</v>
      </c>
    </row>
    <row r="23" spans="1:25" x14ac:dyDescent="0.25">
      <c r="A23">
        <v>2029275100</v>
      </c>
      <c r="B23" t="s">
        <v>96</v>
      </c>
      <c r="E23" t="s">
        <v>97</v>
      </c>
      <c r="G23" t="s">
        <v>158</v>
      </c>
      <c r="H23" t="s">
        <v>98</v>
      </c>
      <c r="I23" t="s">
        <v>45</v>
      </c>
      <c r="J23" t="s">
        <v>46</v>
      </c>
      <c r="K23" s="1">
        <v>45812</v>
      </c>
      <c r="M23" t="s">
        <v>47</v>
      </c>
      <c r="P23" t="s">
        <v>48</v>
      </c>
      <c r="Q23" s="2">
        <v>37.43</v>
      </c>
      <c r="R23" s="2">
        <v>37.43</v>
      </c>
      <c r="S23">
        <v>6</v>
      </c>
      <c r="T23" s="3">
        <v>0.7</v>
      </c>
      <c r="U23" s="2">
        <v>157.21</v>
      </c>
      <c r="V23" s="3">
        <v>0</v>
      </c>
      <c r="W23" s="2">
        <v>0</v>
      </c>
      <c r="X23" s="2">
        <v>157.21</v>
      </c>
      <c r="Y23" s="2">
        <f t="shared" si="0"/>
        <v>26.201666666666668</v>
      </c>
    </row>
    <row r="24" spans="1:25" x14ac:dyDescent="0.25">
      <c r="A24">
        <v>2029319950</v>
      </c>
      <c r="B24" t="s">
        <v>131</v>
      </c>
      <c r="E24" t="s">
        <v>63</v>
      </c>
      <c r="G24" t="s">
        <v>159</v>
      </c>
      <c r="H24" t="s">
        <v>132</v>
      </c>
      <c r="I24" t="s">
        <v>45</v>
      </c>
      <c r="J24" t="s">
        <v>46</v>
      </c>
      <c r="K24" s="1">
        <v>45814</v>
      </c>
      <c r="M24" t="s">
        <v>47</v>
      </c>
      <c r="P24" t="s">
        <v>48</v>
      </c>
      <c r="Q24" s="2">
        <v>37.18</v>
      </c>
      <c r="R24" s="2">
        <v>37.18</v>
      </c>
      <c r="S24">
        <v>6</v>
      </c>
      <c r="T24" s="3">
        <v>0.7</v>
      </c>
      <c r="U24" s="2">
        <v>156.16</v>
      </c>
      <c r="V24" s="3">
        <v>0</v>
      </c>
      <c r="W24" s="2">
        <v>0</v>
      </c>
      <c r="X24" s="2">
        <v>156.16</v>
      </c>
      <c r="Y24" s="2">
        <f t="shared" si="0"/>
        <v>26.026666666666667</v>
      </c>
    </row>
    <row r="25" spans="1:25" x14ac:dyDescent="0.25">
      <c r="A25">
        <v>2029320617</v>
      </c>
      <c r="B25" t="s">
        <v>133</v>
      </c>
      <c r="E25" t="s">
        <v>63</v>
      </c>
      <c r="G25" t="s">
        <v>159</v>
      </c>
      <c r="H25" t="s">
        <v>132</v>
      </c>
      <c r="I25" t="s">
        <v>45</v>
      </c>
      <c r="J25" t="s">
        <v>46</v>
      </c>
      <c r="K25" s="1">
        <v>45814</v>
      </c>
      <c r="M25" t="s">
        <v>47</v>
      </c>
      <c r="P25" t="s">
        <v>48</v>
      </c>
      <c r="Q25" s="2">
        <v>15.75</v>
      </c>
      <c r="R25" s="2">
        <v>15.75</v>
      </c>
      <c r="S25">
        <v>6</v>
      </c>
      <c r="T25" s="3">
        <v>0.7</v>
      </c>
      <c r="U25" s="2">
        <v>66.150000000000006</v>
      </c>
      <c r="V25" s="3">
        <v>0</v>
      </c>
      <c r="W25" s="2">
        <v>0</v>
      </c>
      <c r="X25" s="2">
        <v>66.150000000000006</v>
      </c>
      <c r="Y25" s="2">
        <f t="shared" si="0"/>
        <v>11.025</v>
      </c>
    </row>
    <row r="26" spans="1:25" x14ac:dyDescent="0.25">
      <c r="A26">
        <v>2029274820</v>
      </c>
      <c r="B26" t="s">
        <v>93</v>
      </c>
      <c r="E26" t="s">
        <v>63</v>
      </c>
      <c r="G26" t="s">
        <v>160</v>
      </c>
      <c r="H26" t="s">
        <v>94</v>
      </c>
      <c r="I26" t="s">
        <v>45</v>
      </c>
      <c r="J26" t="s">
        <v>46</v>
      </c>
      <c r="K26" s="1">
        <v>45839</v>
      </c>
      <c r="M26" t="s">
        <v>47</v>
      </c>
      <c r="P26" t="s">
        <v>48</v>
      </c>
      <c r="Q26" s="2">
        <v>377.02</v>
      </c>
      <c r="R26" s="2">
        <v>377.02</v>
      </c>
      <c r="S26">
        <v>6</v>
      </c>
      <c r="T26" s="3">
        <v>0.7</v>
      </c>
      <c r="U26" s="2">
        <v>1583.48</v>
      </c>
      <c r="V26" s="3">
        <v>0</v>
      </c>
      <c r="W26" s="2">
        <v>0</v>
      </c>
      <c r="X26" s="2">
        <v>1583.48</v>
      </c>
      <c r="Y26" s="2">
        <f t="shared" si="0"/>
        <v>263.91333333333336</v>
      </c>
    </row>
    <row r="27" spans="1:25" x14ac:dyDescent="0.25">
      <c r="A27">
        <v>2029314343</v>
      </c>
      <c r="B27" t="s">
        <v>127</v>
      </c>
      <c r="E27" t="s">
        <v>106</v>
      </c>
      <c r="G27" t="s">
        <v>161</v>
      </c>
      <c r="H27" t="s">
        <v>128</v>
      </c>
      <c r="I27" t="s">
        <v>45</v>
      </c>
      <c r="J27" t="s">
        <v>129</v>
      </c>
      <c r="K27" s="1">
        <v>45814</v>
      </c>
      <c r="M27" t="s">
        <v>47</v>
      </c>
      <c r="P27" t="s">
        <v>130</v>
      </c>
      <c r="Q27" s="2">
        <v>278.07</v>
      </c>
      <c r="R27" s="2">
        <v>278.07</v>
      </c>
      <c r="S27">
        <v>3</v>
      </c>
      <c r="T27" s="3">
        <v>0.27</v>
      </c>
      <c r="U27" s="2">
        <v>225.24</v>
      </c>
      <c r="V27" s="3">
        <v>0</v>
      </c>
      <c r="W27" s="2">
        <v>0</v>
      </c>
      <c r="X27" s="2">
        <v>225.24</v>
      </c>
      <c r="Y27" s="2">
        <f t="shared" si="0"/>
        <v>37.54</v>
      </c>
    </row>
    <row r="28" spans="1:25" x14ac:dyDescent="0.25">
      <c r="A28">
        <v>2028788679</v>
      </c>
      <c r="B28" t="s">
        <v>56</v>
      </c>
      <c r="E28" t="s">
        <v>57</v>
      </c>
      <c r="G28" t="s">
        <v>162</v>
      </c>
      <c r="H28" t="s">
        <v>58</v>
      </c>
      <c r="I28" t="s">
        <v>45</v>
      </c>
      <c r="J28" t="s">
        <v>55</v>
      </c>
      <c r="K28" s="1">
        <v>45809</v>
      </c>
      <c r="M28" t="s">
        <v>47</v>
      </c>
      <c r="P28" t="s">
        <v>48</v>
      </c>
      <c r="Q28" s="2">
        <v>71.3</v>
      </c>
      <c r="R28" s="2">
        <v>71.3</v>
      </c>
      <c r="S28">
        <v>6</v>
      </c>
      <c r="T28" s="3">
        <v>0.75</v>
      </c>
      <c r="U28" s="2">
        <v>320.85000000000002</v>
      </c>
      <c r="V28" s="3">
        <v>0</v>
      </c>
      <c r="W28" s="2">
        <v>0</v>
      </c>
      <c r="X28" s="2">
        <v>320.85000000000002</v>
      </c>
      <c r="Y28" s="2">
        <f t="shared" si="0"/>
        <v>53.475000000000001</v>
      </c>
    </row>
    <row r="29" spans="1:25" x14ac:dyDescent="0.25">
      <c r="A29">
        <v>2028788680</v>
      </c>
      <c r="B29" t="s">
        <v>56</v>
      </c>
      <c r="E29" t="s">
        <v>57</v>
      </c>
      <c r="G29" t="s">
        <v>162</v>
      </c>
      <c r="H29" t="s">
        <v>58</v>
      </c>
      <c r="I29" t="s">
        <v>45</v>
      </c>
      <c r="J29" t="s">
        <v>50</v>
      </c>
      <c r="K29" s="1">
        <v>45809</v>
      </c>
      <c r="M29" t="s">
        <v>47</v>
      </c>
      <c r="P29" t="s">
        <v>48</v>
      </c>
      <c r="Q29" s="2">
        <v>51.49</v>
      </c>
      <c r="R29" s="2">
        <v>51.49</v>
      </c>
      <c r="S29">
        <v>6</v>
      </c>
      <c r="T29" s="3">
        <v>0.375</v>
      </c>
      <c r="U29" s="2">
        <v>115.85</v>
      </c>
      <c r="V29" s="3">
        <v>0</v>
      </c>
      <c r="W29" s="2">
        <v>0</v>
      </c>
      <c r="X29" s="2">
        <v>115.85</v>
      </c>
      <c r="Y29" s="2">
        <f t="shared" si="0"/>
        <v>19.308333333333334</v>
      </c>
    </row>
    <row r="30" spans="1:25" x14ac:dyDescent="0.25">
      <c r="A30">
        <v>2029268503</v>
      </c>
      <c r="B30" t="s">
        <v>82</v>
      </c>
      <c r="E30" t="s">
        <v>83</v>
      </c>
      <c r="G30" t="s">
        <v>162</v>
      </c>
      <c r="H30" t="s">
        <v>58</v>
      </c>
      <c r="I30" t="s">
        <v>45</v>
      </c>
      <c r="J30" t="s">
        <v>46</v>
      </c>
      <c r="K30" s="1">
        <v>45839</v>
      </c>
      <c r="M30" t="s">
        <v>47</v>
      </c>
      <c r="P30" t="s">
        <v>48</v>
      </c>
      <c r="Q30" s="2">
        <v>59.57</v>
      </c>
      <c r="R30" s="2">
        <v>59.57</v>
      </c>
      <c r="S30">
        <v>6</v>
      </c>
      <c r="T30" s="3">
        <v>0.7</v>
      </c>
      <c r="U30" s="2">
        <v>250.19</v>
      </c>
      <c r="V30" s="3">
        <v>0</v>
      </c>
      <c r="W30" s="2">
        <v>0</v>
      </c>
      <c r="X30" s="2">
        <v>250.19</v>
      </c>
      <c r="Y30" s="2">
        <f t="shared" si="0"/>
        <v>41.698333333333331</v>
      </c>
    </row>
    <row r="31" spans="1:25" x14ac:dyDescent="0.25">
      <c r="A31">
        <v>2029268504</v>
      </c>
      <c r="B31" t="s">
        <v>82</v>
      </c>
      <c r="E31" t="s">
        <v>83</v>
      </c>
      <c r="G31" t="s">
        <v>162</v>
      </c>
      <c r="H31" t="s">
        <v>58</v>
      </c>
      <c r="I31" t="s">
        <v>45</v>
      </c>
      <c r="J31" t="s">
        <v>84</v>
      </c>
      <c r="K31" s="1">
        <v>45839</v>
      </c>
      <c r="M31" t="s">
        <v>47</v>
      </c>
      <c r="P31" t="s">
        <v>48</v>
      </c>
      <c r="Q31" s="2">
        <v>87.26</v>
      </c>
      <c r="R31" s="2">
        <v>87.26</v>
      </c>
      <c r="S31">
        <v>6</v>
      </c>
      <c r="T31" s="3">
        <v>0.65</v>
      </c>
      <c r="U31" s="2">
        <v>340.31</v>
      </c>
      <c r="V31" s="3">
        <v>0</v>
      </c>
      <c r="W31" s="2">
        <v>0</v>
      </c>
      <c r="X31" s="2">
        <v>340.31</v>
      </c>
      <c r="Y31" s="2">
        <f t="shared" si="0"/>
        <v>56.718333333333334</v>
      </c>
    </row>
    <row r="32" spans="1:25" x14ac:dyDescent="0.25">
      <c r="A32">
        <v>2029268505</v>
      </c>
      <c r="B32" t="s">
        <v>82</v>
      </c>
      <c r="E32" t="s">
        <v>83</v>
      </c>
      <c r="G32" t="s">
        <v>162</v>
      </c>
      <c r="H32" t="s">
        <v>58</v>
      </c>
      <c r="I32" t="s">
        <v>45</v>
      </c>
      <c r="J32" t="s">
        <v>50</v>
      </c>
      <c r="K32" s="1">
        <v>45839</v>
      </c>
      <c r="M32" t="s">
        <v>47</v>
      </c>
      <c r="P32" t="s">
        <v>48</v>
      </c>
      <c r="Q32" s="2">
        <v>24.54</v>
      </c>
      <c r="R32" s="2">
        <v>24.54</v>
      </c>
      <c r="S32">
        <v>6</v>
      </c>
      <c r="T32" s="3">
        <v>0.375</v>
      </c>
      <c r="U32" s="2">
        <v>55.22</v>
      </c>
      <c r="V32" s="3">
        <v>0</v>
      </c>
      <c r="W32" s="2">
        <v>0</v>
      </c>
      <c r="X32" s="2">
        <v>55.22</v>
      </c>
      <c r="Y32" s="2">
        <f t="shared" si="0"/>
        <v>9.2033333333333331</v>
      </c>
    </row>
    <row r="33" spans="1:25" x14ac:dyDescent="0.25">
      <c r="A33">
        <v>2029299442</v>
      </c>
      <c r="B33" t="s">
        <v>119</v>
      </c>
      <c r="E33" t="s">
        <v>83</v>
      </c>
      <c r="G33" t="s">
        <v>162</v>
      </c>
      <c r="H33" t="s">
        <v>58</v>
      </c>
      <c r="I33" t="s">
        <v>45</v>
      </c>
      <c r="J33" t="s">
        <v>50</v>
      </c>
      <c r="K33" s="1">
        <v>45813</v>
      </c>
      <c r="M33" t="s">
        <v>47</v>
      </c>
      <c r="P33" t="s">
        <v>48</v>
      </c>
      <c r="Q33" s="2">
        <v>28.87</v>
      </c>
      <c r="R33" s="2">
        <v>28.87</v>
      </c>
      <c r="S33">
        <v>6</v>
      </c>
      <c r="T33" s="3">
        <v>0.375</v>
      </c>
      <c r="U33" s="2">
        <v>64.959999999999994</v>
      </c>
      <c r="V33" s="3">
        <v>0</v>
      </c>
      <c r="W33" s="2">
        <v>0</v>
      </c>
      <c r="X33" s="2">
        <v>64.959999999999994</v>
      </c>
      <c r="Y33" s="2">
        <f t="shared" si="0"/>
        <v>10.826666666666666</v>
      </c>
    </row>
    <row r="34" spans="1:25" x14ac:dyDescent="0.25">
      <c r="A34">
        <v>2029332244</v>
      </c>
      <c r="B34" t="s">
        <v>137</v>
      </c>
      <c r="E34" t="s">
        <v>43</v>
      </c>
      <c r="G34" t="s">
        <v>162</v>
      </c>
      <c r="H34" t="s">
        <v>58</v>
      </c>
      <c r="I34" t="s">
        <v>45</v>
      </c>
      <c r="J34" t="s">
        <v>50</v>
      </c>
      <c r="K34" s="1">
        <v>45815</v>
      </c>
      <c r="M34" t="s">
        <v>47</v>
      </c>
      <c r="P34" t="s">
        <v>48</v>
      </c>
      <c r="Q34" s="2">
        <v>32.880000000000003</v>
      </c>
      <c r="R34" s="2">
        <v>32.880000000000003</v>
      </c>
      <c r="S34">
        <v>6</v>
      </c>
      <c r="T34" s="3">
        <v>0.375</v>
      </c>
      <c r="U34" s="2">
        <v>73.98</v>
      </c>
      <c r="V34" s="3">
        <v>0</v>
      </c>
      <c r="W34" s="2">
        <v>0</v>
      </c>
      <c r="X34" s="2">
        <v>73.98</v>
      </c>
      <c r="Y34" s="2">
        <f t="shared" si="0"/>
        <v>12.33</v>
      </c>
    </row>
    <row r="35" spans="1:25" x14ac:dyDescent="0.25">
      <c r="A35">
        <v>2029251257</v>
      </c>
      <c r="B35" t="s">
        <v>74</v>
      </c>
      <c r="E35" t="s">
        <v>63</v>
      </c>
      <c r="G35" t="s">
        <v>163</v>
      </c>
      <c r="H35" t="s">
        <v>75</v>
      </c>
      <c r="I35" t="s">
        <v>45</v>
      </c>
      <c r="J35" t="s">
        <v>76</v>
      </c>
      <c r="K35" s="1">
        <v>45811</v>
      </c>
      <c r="M35" t="s">
        <v>47</v>
      </c>
      <c r="P35" t="s">
        <v>48</v>
      </c>
      <c r="Q35" s="2">
        <v>226.98</v>
      </c>
      <c r="R35" s="2">
        <v>226.98</v>
      </c>
      <c r="S35">
        <v>6</v>
      </c>
      <c r="T35" s="3">
        <v>0.38</v>
      </c>
      <c r="U35" s="2">
        <v>517.51</v>
      </c>
      <c r="V35" s="3">
        <v>0</v>
      </c>
      <c r="W35" s="2">
        <v>0</v>
      </c>
      <c r="X35" s="2">
        <v>517.51</v>
      </c>
      <c r="Y35" s="2">
        <f t="shared" si="0"/>
        <v>86.251666666666665</v>
      </c>
    </row>
    <row r="36" spans="1:25" x14ac:dyDescent="0.25">
      <c r="A36">
        <v>2029251258</v>
      </c>
      <c r="B36" t="s">
        <v>74</v>
      </c>
      <c r="E36" t="s">
        <v>63</v>
      </c>
      <c r="G36" t="s">
        <v>163</v>
      </c>
      <c r="H36" t="s">
        <v>75</v>
      </c>
      <c r="I36" t="s">
        <v>45</v>
      </c>
      <c r="J36" t="s">
        <v>77</v>
      </c>
      <c r="K36" s="1">
        <v>45811</v>
      </c>
      <c r="M36" t="s">
        <v>47</v>
      </c>
      <c r="P36" t="s">
        <v>48</v>
      </c>
      <c r="Q36" s="2">
        <v>7.09</v>
      </c>
      <c r="R36" s="2">
        <v>7.09</v>
      </c>
      <c r="S36">
        <v>6</v>
      </c>
      <c r="T36" s="3">
        <v>0.38</v>
      </c>
      <c r="U36" s="2">
        <v>16.170000000000002</v>
      </c>
      <c r="V36" s="3">
        <v>0</v>
      </c>
      <c r="W36" s="2">
        <v>0</v>
      </c>
      <c r="X36" s="2">
        <v>16.170000000000002</v>
      </c>
      <c r="Y36" s="2">
        <f t="shared" si="0"/>
        <v>2.6950000000000003</v>
      </c>
    </row>
    <row r="37" spans="1:25" x14ac:dyDescent="0.25">
      <c r="A37">
        <v>2029251259</v>
      </c>
      <c r="B37" t="s">
        <v>74</v>
      </c>
      <c r="E37" t="s">
        <v>63</v>
      </c>
      <c r="G37" t="s">
        <v>163</v>
      </c>
      <c r="H37" t="s">
        <v>75</v>
      </c>
      <c r="I37" t="s">
        <v>45</v>
      </c>
      <c r="J37" t="s">
        <v>46</v>
      </c>
      <c r="K37" s="1">
        <v>45811</v>
      </c>
      <c r="M37" t="s">
        <v>47</v>
      </c>
      <c r="P37" t="s">
        <v>48</v>
      </c>
      <c r="Q37" s="2">
        <v>74.58</v>
      </c>
      <c r="R37" s="2">
        <v>74.58</v>
      </c>
      <c r="S37">
        <v>6</v>
      </c>
      <c r="T37" s="3">
        <v>0.7</v>
      </c>
      <c r="U37" s="2">
        <v>313.24</v>
      </c>
      <c r="V37" s="3">
        <v>0</v>
      </c>
      <c r="W37" s="2">
        <v>0</v>
      </c>
      <c r="X37" s="2">
        <v>313.24</v>
      </c>
      <c r="Y37" s="2">
        <f t="shared" si="0"/>
        <v>52.206666666666671</v>
      </c>
    </row>
    <row r="38" spans="1:25" x14ac:dyDescent="0.25">
      <c r="A38">
        <v>2029251260</v>
      </c>
      <c r="B38" t="s">
        <v>74</v>
      </c>
      <c r="E38" t="s">
        <v>63</v>
      </c>
      <c r="G38" t="s">
        <v>163</v>
      </c>
      <c r="H38" t="s">
        <v>75</v>
      </c>
      <c r="I38" t="s">
        <v>45</v>
      </c>
      <c r="J38" t="s">
        <v>70</v>
      </c>
      <c r="K38" s="1">
        <v>45811</v>
      </c>
      <c r="M38" t="s">
        <v>47</v>
      </c>
      <c r="P38" t="s">
        <v>48</v>
      </c>
      <c r="Q38" s="2">
        <v>37.93</v>
      </c>
      <c r="R38" s="2">
        <v>37.93</v>
      </c>
      <c r="S38">
        <v>6</v>
      </c>
      <c r="T38" s="3">
        <v>0.75</v>
      </c>
      <c r="U38" s="2">
        <v>170.69</v>
      </c>
      <c r="V38" s="3">
        <v>0</v>
      </c>
      <c r="W38" s="2">
        <v>0</v>
      </c>
      <c r="X38" s="2">
        <v>170.69</v>
      </c>
      <c r="Y38" s="2">
        <f t="shared" si="0"/>
        <v>28.448333333333334</v>
      </c>
    </row>
    <row r="39" spans="1:25" x14ac:dyDescent="0.25">
      <c r="A39">
        <v>2029251261</v>
      </c>
      <c r="B39" t="s">
        <v>74</v>
      </c>
      <c r="E39" t="s">
        <v>63</v>
      </c>
      <c r="G39" t="s">
        <v>163</v>
      </c>
      <c r="H39" t="s">
        <v>75</v>
      </c>
      <c r="I39" t="s">
        <v>45</v>
      </c>
      <c r="J39" t="s">
        <v>78</v>
      </c>
      <c r="K39" s="1">
        <v>45811</v>
      </c>
      <c r="M39" t="s">
        <v>47</v>
      </c>
      <c r="P39" t="s">
        <v>79</v>
      </c>
      <c r="Q39" s="2">
        <v>15</v>
      </c>
      <c r="R39" s="2">
        <v>15</v>
      </c>
      <c r="S39">
        <v>6</v>
      </c>
      <c r="T39" s="3">
        <v>0.38</v>
      </c>
      <c r="U39" s="2">
        <v>34.200000000000003</v>
      </c>
      <c r="V39" s="3">
        <v>0</v>
      </c>
      <c r="W39" s="2">
        <v>0</v>
      </c>
      <c r="X39" s="2">
        <v>34.200000000000003</v>
      </c>
      <c r="Y39" s="2">
        <f t="shared" si="0"/>
        <v>5.7</v>
      </c>
    </row>
    <row r="40" spans="1:25" x14ac:dyDescent="0.25">
      <c r="K40" s="1"/>
      <c r="Q40" s="2"/>
      <c r="R40" s="2"/>
      <c r="T40" s="3"/>
      <c r="U40" s="2"/>
      <c r="V40" s="3"/>
      <c r="W40" s="2"/>
      <c r="X40" s="2"/>
    </row>
    <row r="41" spans="1:25" x14ac:dyDescent="0.25">
      <c r="K41" s="1"/>
      <c r="Q41" s="2"/>
      <c r="R41" s="2"/>
      <c r="T41" s="3"/>
      <c r="U41" s="2"/>
      <c r="V41" s="3"/>
      <c r="W41" s="2"/>
      <c r="X41" s="2"/>
    </row>
    <row r="42" spans="1:25" x14ac:dyDescent="0.25">
      <c r="K42" s="1"/>
      <c r="Q42" s="2"/>
      <c r="R42" s="2"/>
      <c r="T42" s="3"/>
      <c r="U42" s="2"/>
      <c r="V42" s="3"/>
      <c r="W42" s="2"/>
      <c r="X42" s="2"/>
    </row>
    <row r="43" spans="1:25" x14ac:dyDescent="0.25">
      <c r="K43" s="1"/>
      <c r="Q43" s="2"/>
      <c r="R43" s="2"/>
      <c r="T43" s="3"/>
      <c r="U43" s="2"/>
      <c r="V43" s="3"/>
      <c r="W43" s="2"/>
      <c r="X43" s="2"/>
    </row>
    <row r="44" spans="1:25" x14ac:dyDescent="0.25">
      <c r="K44" s="1"/>
      <c r="Q44" s="2"/>
      <c r="R44" s="2"/>
      <c r="T44" s="3"/>
      <c r="U44" s="2"/>
      <c r="V44" s="3"/>
      <c r="W44" s="2"/>
      <c r="X44" s="2"/>
    </row>
    <row r="45" spans="1:25" x14ac:dyDescent="0.25">
      <c r="K45" s="1"/>
      <c r="Q45" s="2"/>
      <c r="R45" s="2"/>
      <c r="T45" s="3"/>
      <c r="U45" s="2"/>
      <c r="V45" s="3"/>
      <c r="W45" s="2"/>
      <c r="X45" s="2"/>
    </row>
    <row r="46" spans="1:25" x14ac:dyDescent="0.25">
      <c r="K46" s="1"/>
      <c r="Q46" s="2"/>
      <c r="R46" s="2"/>
      <c r="T46" s="3"/>
      <c r="U46" s="2"/>
      <c r="V46" s="3"/>
      <c r="W46" s="2"/>
      <c r="X46" s="2"/>
    </row>
    <row r="47" spans="1:25" x14ac:dyDescent="0.25">
      <c r="K47" s="1"/>
      <c r="Q47" s="2"/>
      <c r="R47" s="2"/>
      <c r="T47" s="3"/>
      <c r="U47" s="2"/>
      <c r="V47" s="3"/>
      <c r="W47" s="2"/>
      <c r="X47" s="2"/>
    </row>
    <row r="48" spans="1:25" x14ac:dyDescent="0.25">
      <c r="K48" s="1"/>
      <c r="X48" s="2"/>
      <c r="Y48" s="2"/>
    </row>
    <row r="49" spans="11:25" x14ac:dyDescent="0.25">
      <c r="K49" s="1"/>
      <c r="X49" s="2"/>
      <c r="Y49" s="2"/>
    </row>
    <row r="50" spans="11:25" x14ac:dyDescent="0.25">
      <c r="K50" s="1"/>
      <c r="X50" s="2"/>
      <c r="Y50" s="2"/>
    </row>
    <row r="51" spans="11:25" x14ac:dyDescent="0.25">
      <c r="K51" s="1"/>
      <c r="Q51" s="2"/>
      <c r="R51" s="2"/>
      <c r="T51" s="3"/>
      <c r="U51" s="2"/>
      <c r="V51" s="3"/>
      <c r="W51" s="2"/>
      <c r="X51" s="2"/>
    </row>
    <row r="52" spans="11:25" x14ac:dyDescent="0.25">
      <c r="K52" s="1"/>
      <c r="Q52" s="2"/>
      <c r="R52" s="2"/>
      <c r="T52" s="3"/>
      <c r="U52" s="2"/>
      <c r="V52" s="3"/>
      <c r="W52" s="2"/>
      <c r="X52" s="2"/>
    </row>
    <row r="53" spans="11:25" x14ac:dyDescent="0.25">
      <c r="K53" s="1"/>
      <c r="Q53" s="2"/>
      <c r="R53" s="2"/>
      <c r="T53" s="3"/>
      <c r="U53" s="2"/>
      <c r="V53" s="3"/>
      <c r="W53" s="2"/>
      <c r="X53" s="2"/>
    </row>
    <row r="54" spans="11:25" x14ac:dyDescent="0.25">
      <c r="K54" s="1"/>
      <c r="Q54" s="2"/>
      <c r="R54" s="2"/>
      <c r="T54" s="3"/>
      <c r="U54" s="2"/>
      <c r="V54" s="3"/>
      <c r="W54" s="2"/>
      <c r="X54" s="2"/>
    </row>
    <row r="55" spans="11:25" x14ac:dyDescent="0.25">
      <c r="K55" s="1"/>
      <c r="Q55" s="2"/>
      <c r="R55" s="2"/>
      <c r="T55" s="3"/>
      <c r="U55" s="2"/>
      <c r="V55" s="3"/>
      <c r="W55" s="2"/>
      <c r="X55" s="2"/>
    </row>
    <row r="56" spans="11:25" x14ac:dyDescent="0.25">
      <c r="K56" s="1"/>
      <c r="Q56" s="2"/>
      <c r="R56" s="2"/>
      <c r="T56" s="3"/>
      <c r="U56" s="2"/>
      <c r="V56" s="3"/>
      <c r="W56" s="2"/>
      <c r="X56" s="2"/>
    </row>
    <row r="57" spans="11:25" x14ac:dyDescent="0.25">
      <c r="K57" s="1"/>
      <c r="Q57" s="2"/>
      <c r="R57" s="2"/>
      <c r="T57" s="3"/>
      <c r="U57" s="2"/>
      <c r="V57" s="3"/>
      <c r="W57" s="2"/>
      <c r="X57" s="2"/>
    </row>
    <row r="58" spans="11:25" x14ac:dyDescent="0.25">
      <c r="K58" s="1"/>
      <c r="Q58" s="2"/>
      <c r="R58" s="2"/>
      <c r="T58" s="3"/>
      <c r="U58" s="2"/>
      <c r="V58" s="3"/>
      <c r="W58" s="2"/>
      <c r="X58" s="2"/>
    </row>
    <row r="59" spans="11:25" x14ac:dyDescent="0.25">
      <c r="K59" s="1"/>
      <c r="Q59" s="2"/>
      <c r="R59" s="2"/>
      <c r="T59" s="3"/>
      <c r="U59" s="2"/>
      <c r="V59" s="3"/>
      <c r="W59" s="2"/>
      <c r="X59" s="2"/>
    </row>
    <row r="60" spans="11:25" x14ac:dyDescent="0.25">
      <c r="K60" s="1"/>
      <c r="Q60" s="2"/>
      <c r="R60" s="2"/>
      <c r="T60" s="3"/>
      <c r="U60" s="2"/>
      <c r="V60" s="3"/>
      <c r="W60" s="2"/>
      <c r="X60" s="2"/>
    </row>
    <row r="61" spans="11:25" x14ac:dyDescent="0.25">
      <c r="K61" s="1"/>
      <c r="Q61" s="2"/>
      <c r="R61" s="2"/>
      <c r="T61" s="3"/>
      <c r="U61" s="2"/>
      <c r="V61" s="3"/>
      <c r="W61" s="2"/>
      <c r="X61" s="2"/>
    </row>
    <row r="62" spans="11:25" x14ac:dyDescent="0.25">
      <c r="K62" s="1"/>
      <c r="Q62" s="2"/>
      <c r="R62" s="2"/>
      <c r="T62" s="3"/>
      <c r="U62" s="2"/>
      <c r="V62" s="3"/>
      <c r="W62" s="2"/>
      <c r="X62" s="2"/>
    </row>
    <row r="63" spans="11:25" x14ac:dyDescent="0.25">
      <c r="K63" s="1"/>
      <c r="Q63" s="2"/>
      <c r="R63" s="2"/>
      <c r="T63" s="3"/>
      <c r="U63" s="2"/>
      <c r="V63" s="3"/>
      <c r="W63" s="2"/>
      <c r="X63" s="2"/>
    </row>
    <row r="64" spans="11:25" x14ac:dyDescent="0.25">
      <c r="K64" s="1"/>
      <c r="Q64" s="2"/>
      <c r="R64" s="2"/>
      <c r="T64" s="3"/>
      <c r="U64" s="2"/>
      <c r="V64" s="3"/>
      <c r="W64" s="2"/>
      <c r="X64" s="2"/>
    </row>
    <row r="65" spans="11:25" x14ac:dyDescent="0.25">
      <c r="K65" s="1"/>
      <c r="Q65" s="2"/>
      <c r="R65" s="2"/>
      <c r="T65" s="3"/>
      <c r="U65" s="2"/>
      <c r="V65" s="3"/>
      <c r="W65" s="2"/>
      <c r="X65" s="2"/>
    </row>
    <row r="66" spans="11:25" x14ac:dyDescent="0.25">
      <c r="K66" s="1"/>
      <c r="Q66" s="2"/>
      <c r="R66" s="2"/>
      <c r="T66" s="3"/>
      <c r="U66" s="2"/>
      <c r="V66" s="3"/>
      <c r="W66" s="2"/>
      <c r="X66" s="2"/>
    </row>
    <row r="67" spans="11:25" x14ac:dyDescent="0.25">
      <c r="K67" s="1"/>
      <c r="Q67" s="2"/>
      <c r="R67" s="2"/>
      <c r="T67" s="3"/>
      <c r="U67" s="2"/>
      <c r="V67" s="3"/>
      <c r="W67" s="2"/>
      <c r="X67" s="2"/>
    </row>
    <row r="68" spans="11:25" x14ac:dyDescent="0.25">
      <c r="K68" s="1"/>
      <c r="X68" s="2"/>
      <c r="Y68" s="2"/>
    </row>
    <row r="69" spans="11:25" x14ac:dyDescent="0.25">
      <c r="K69" s="1"/>
      <c r="X69" s="2"/>
      <c r="Y69" s="2"/>
    </row>
  </sheetData>
  <sortState xmlns:xlrd2="http://schemas.microsoft.com/office/spreadsheetml/2017/richdata2" ref="A2:Y69">
    <sortCondition ref="H2:H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2025-06-16T12:34:17Z</dcterms:created>
  <dcterms:modified xsi:type="dcterms:W3CDTF">2025-07-11T16:47:32Z</dcterms:modified>
</cp:coreProperties>
</file>