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5\3-24-25\"/>
    </mc:Choice>
  </mc:AlternateContent>
  <xr:revisionPtr revIDLastSave="0" documentId="8_{BB981EB2-F97E-4D2E-8CD9-E70EDADFF8D8}" xr6:coauthVersionLast="47" xr6:coauthVersionMax="47" xr10:uidLastSave="{00000000-0000-0000-0000-000000000000}"/>
  <bookViews>
    <workbookView xWindow="-57720" yWindow="-45" windowWidth="29040" windowHeight="15720" activeTab="1" xr2:uid="{4F2F013C-7D96-42D2-A757-45E2F9BD4931}"/>
  </bookViews>
  <sheets>
    <sheet name="649163__Newbusiness_NEW_BUSINES" sheetId="1" r:id="rId1"/>
    <sheet name="clean data" sheetId="2" r:id="rId2"/>
    <sheet name="Sheet1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3" l="1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1" i="3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2" i="2"/>
</calcChain>
</file>

<file path=xl/sharedStrings.xml><?xml version="1.0" encoding="utf-8"?>
<sst xmlns="http://schemas.openxmlformats.org/spreadsheetml/2006/main" count="1412" uniqueCount="141">
  <si>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</si>
  <si>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</si>
  <si>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</si>
  <si>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</si>
  <si>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</si>
  <si>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</si>
  <si>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</si>
  <si>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</si>
  <si>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</si>
  <si>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</si>
  <si>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</si>
  <si>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</si>
  <si>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</si>
  <si>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</si>
  <si>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</si>
  <si>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</si>
  <si>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</si>
  <si>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</si>
  <si>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</si>
  <si>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</si>
  <si>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</si>
  <si>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</si>
  <si>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</si>
  <si>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</si>
  <si>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</si>
  <si>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</si>
  <si>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</si>
  <si>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</si>
  <si>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</si>
  <si>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</si>
  <si>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</si>
  <si>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</si>
  <si>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</si>
  <si>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</si>
  <si>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</si>
  <si>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</si>
  <si>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</si>
  <si>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</si>
  <si>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</si>
  <si>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NGIS</t>
  </si>
  <si>
    <t>NGIS-NHIC</t>
  </si>
  <si>
    <t>JASON HOFFMANN</t>
  </si>
  <si>
    <t>MARY MUNIZ</t>
  </si>
  <si>
    <t>TX</t>
  </si>
  <si>
    <t>THOMAS PARDUE</t>
  </si>
  <si>
    <t>Active</t>
  </si>
  <si>
    <t>Plan Enhancer 20214</t>
  </si>
  <si>
    <t>Monthly</t>
  </si>
  <si>
    <t>AV</t>
  </si>
  <si>
    <t>ODMAA ENKHTUR</t>
  </si>
  <si>
    <t>IL</t>
  </si>
  <si>
    <t>LISA EMS</t>
  </si>
  <si>
    <t>WI</t>
  </si>
  <si>
    <t>CHAD YALE</t>
  </si>
  <si>
    <t>SELECT DENTAL 29304</t>
  </si>
  <si>
    <t>TERESA COUSINEAU-VESELICA</t>
  </si>
  <si>
    <t>GA</t>
  </si>
  <si>
    <t>RYAN CALTAGIRONE</t>
  </si>
  <si>
    <t>Allstate Health Access</t>
  </si>
  <si>
    <t>TrioMED 30k 15307</t>
  </si>
  <si>
    <t>Term Life 21673</t>
  </si>
  <si>
    <t>ANGELA ROBSON</t>
  </si>
  <si>
    <t>WY</t>
  </si>
  <si>
    <t>GREGORY TEIPEL</t>
  </si>
  <si>
    <t>Cancer and Heart/Stroke 20231</t>
  </si>
  <si>
    <t>NADINE JOLI-COEUR</t>
  </si>
  <si>
    <t>TIMOTHY HODGMAN</t>
  </si>
  <si>
    <t>JACKSON BETTIS</t>
  </si>
  <si>
    <t>PAMELA DEATON</t>
  </si>
  <si>
    <t>PAULETTE HORTON</t>
  </si>
  <si>
    <t>GREGORY HANSFORD</t>
  </si>
  <si>
    <t>AUDREY FAUST</t>
  </si>
  <si>
    <t>BARRY BRENNER</t>
  </si>
  <si>
    <t>TAVARES HILL</t>
  </si>
  <si>
    <t>STEVEN WERNER</t>
  </si>
  <si>
    <t>DERREK MARTINEZ</t>
  </si>
  <si>
    <t>CO</t>
  </si>
  <si>
    <t>HEATHER MILLER</t>
  </si>
  <si>
    <t>Critical Illness w/ Term Life 21677</t>
  </si>
  <si>
    <t>NHIC LM 2021 Hospital Expense Protection U65</t>
  </si>
  <si>
    <t>BOGAC EDIZER</t>
  </si>
  <si>
    <t>JACOB YALE</t>
  </si>
  <si>
    <t>THI DINH</t>
  </si>
  <si>
    <t>KY</t>
  </si>
  <si>
    <t>CINDY BAKER</t>
  </si>
  <si>
    <t>OH</t>
  </si>
  <si>
    <t>ANDREW CHOI</t>
  </si>
  <si>
    <t>AMBER LOPEZ</t>
  </si>
  <si>
    <t>ARKAN SHAKER</t>
  </si>
  <si>
    <t>PATRICK KELLY</t>
  </si>
  <si>
    <t>PA</t>
  </si>
  <si>
    <t>DEBORAH INSKIPT</t>
  </si>
  <si>
    <t>CHINYERE ALIKOR</t>
  </si>
  <si>
    <t>FL</t>
  </si>
  <si>
    <t>NHIC Dental 2020 DVH 65+</t>
  </si>
  <si>
    <t>THOMAS WEINERT</t>
  </si>
  <si>
    <t>BARRY SCHUMANN</t>
  </si>
  <si>
    <t>CANDACE LARA</t>
  </si>
  <si>
    <t>KYLEE MORR</t>
  </si>
  <si>
    <t>IN</t>
  </si>
  <si>
    <t>AE</t>
  </si>
  <si>
    <t>DOBROMILA PAVLASOVA</t>
  </si>
  <si>
    <t>DALE WALENGA</t>
  </si>
  <si>
    <t>LINDA BENNETT</t>
  </si>
  <si>
    <t>SC</t>
  </si>
  <si>
    <t>MONIKA AUFDERHEIDE</t>
  </si>
  <si>
    <t>NANCY LUTES</t>
  </si>
  <si>
    <t>Cancer and Heart/Stroke 20231 CO-FL-MN-MI</t>
  </si>
  <si>
    <t>JOSEPH ALCORN</t>
  </si>
  <si>
    <t>ANDREW ZESSAR</t>
  </si>
  <si>
    <t>JAKE SHULMAN</t>
  </si>
  <si>
    <t>REGINA HOWE</t>
  </si>
  <si>
    <t>ANGELA COTY</t>
  </si>
  <si>
    <t>FRANK LISKOVEC</t>
  </si>
  <si>
    <t>JESSICA MITCHELL</t>
  </si>
  <si>
    <t>ESTHER HERRERA-LARSEN</t>
  </si>
  <si>
    <t>Allstate Recuro RX Discount Card</t>
  </si>
  <si>
    <t>Life Association Access</t>
  </si>
  <si>
    <t>BECKY SKIPWORTH</t>
  </si>
  <si>
    <t>RYOSUKE USHIJIMA</t>
  </si>
  <si>
    <t>UT</t>
  </si>
  <si>
    <t>DANIELLE SPACHT</t>
  </si>
  <si>
    <t>ZACHARY BATIO</t>
  </si>
  <si>
    <t>RONALD MAX</t>
  </si>
  <si>
    <t>MD</t>
  </si>
  <si>
    <t>Accident Fixed Benefit</t>
  </si>
  <si>
    <t>KAYLA KRUM</t>
  </si>
  <si>
    <t>IA</t>
  </si>
  <si>
    <t>KAREN HAMRICK</t>
  </si>
  <si>
    <t>GABRIELLA MILLER</t>
  </si>
  <si>
    <t>ANTHONY LOUIS</t>
  </si>
  <si>
    <t>Allstate SELECT DENTAL 29304</t>
  </si>
  <si>
    <t>Allstate Plan Enhancer 20214</t>
  </si>
  <si>
    <t>Allstate Term Life 21673</t>
  </si>
  <si>
    <t>Allstate Cancer and Heart-Stroke 20231</t>
  </si>
  <si>
    <t>Allstate Cancer and Heart-Stroke 20231 CO-FL-MN-MI</t>
  </si>
  <si>
    <t>Allstate NHIC LM 2021 Hospital Expense Protection U65</t>
  </si>
  <si>
    <t>Allstate Critical Illness with Term Life 21677</t>
  </si>
  <si>
    <t>Allstate Accident Fixed Benefit</t>
  </si>
  <si>
    <t>Allstate TrioMED 30k 15307</t>
  </si>
  <si>
    <t>Allstate NHIC Dental 2020 DVH 65+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</si>
</sst>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1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0" fontId="0" fillId="33" borderId="0" xfId="0" applyNumberFormat="1" applyFill="1"/>
    <xf numFmtId="0" fontId="0" fillId="0" borderId="0" xfId="0" applyFill="1"/>
    <xf numFmtId="14" fontId="0" fillId="34" borderId="0" xfId="0" applyNumberForma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96E59-4062-496A-B465-E9B6C394D42D}">
  <dimension ref="A1:AL81"/>
  <sheetViews>
    <sheetView topLeftCell="K85" workbookViewId="0">
      <selection activeCell="R55" sqref="R55"/>
    </sheetView>
  </sheetViews>
  <sheetFormatPr defaultRowHeight="15" x14ac:dyDescent="0.25"/>
  <cols>
    <col min="1" max="1" width="10.140625" bestFit="1" customWidth="1"/>
    <col min="2" max="2" width="16" bestFit="1" customWidth="1"/>
    <col min="3" max="3" width="14.28515625" bestFit="1" customWidth="1"/>
    <col min="4" max="4" width="11.5703125" bestFit="1" customWidth="1"/>
    <col min="5" max="5" width="10.42578125" bestFit="1" customWidth="1"/>
    <col min="6" max="6" width="8.140625" bestFit="1" customWidth="1"/>
    <col min="7" max="7" width="9" bestFit="1" customWidth="1"/>
    <col min="8" max="8" width="17.7109375" bestFit="1" customWidth="1"/>
    <col min="9" max="9" width="14" bestFit="1" customWidth="1"/>
    <col min="10" max="10" width="27.140625" bestFit="1" customWidth="1"/>
    <col min="11" max="11" width="8.140625" bestFit="1" customWidth="1"/>
    <col min="12" max="12" width="4.140625" bestFit="1" customWidth="1"/>
    <col min="13" max="13" width="5.28515625" bestFit="1" customWidth="1"/>
    <col min="14" max="14" width="8.5703125" bestFit="1" customWidth="1"/>
    <col min="15" max="15" width="15" bestFit="1" customWidth="1"/>
    <col min="16" max="16" width="23.42578125" bestFit="1" customWidth="1"/>
    <col min="17" max="17" width="12.140625" bestFit="1" customWidth="1"/>
    <col min="18" max="18" width="42.42578125" bestFit="1" customWidth="1"/>
    <col min="19" max="19" width="10.140625" bestFit="1" customWidth="1"/>
    <col min="20" max="20" width="12.28515625" bestFit="1" customWidth="1"/>
    <col min="21" max="21" width="14" bestFit="1" customWidth="1"/>
    <col min="22" max="22" width="12" bestFit="1" customWidth="1"/>
    <col min="23" max="23" width="16.140625" bestFit="1" customWidth="1"/>
    <col min="24" max="24" width="9" bestFit="1" customWidth="1"/>
    <col min="25" max="25" width="17.85546875" bestFit="1" customWidth="1"/>
    <col min="26" max="26" width="16.140625" bestFit="1" customWidth="1"/>
    <col min="27" max="27" width="16.7109375" bestFit="1" customWidth="1"/>
    <col min="28" max="28" width="16.5703125" bestFit="1" customWidth="1"/>
    <col min="29" max="29" width="18" bestFit="1" customWidth="1"/>
    <col min="30" max="30" width="11.5703125" bestFit="1" customWidth="1"/>
    <col min="31" max="31" width="14.7109375" bestFit="1" customWidth="1"/>
    <col min="32" max="32" width="9.5703125" bestFit="1" customWidth="1"/>
    <col min="33" max="33" width="12.7109375" bestFit="1" customWidth="1"/>
    <col min="34" max="34" width="19" bestFit="1" customWidth="1"/>
    <col min="35" max="35" width="18" bestFit="1" customWidth="1"/>
    <col min="36" max="36" width="11.42578125" bestFit="1" customWidth="1"/>
    <col min="37" max="37" width="14" bestFit="1" customWidth="1"/>
    <col min="38" max="38" width="16.28515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45744</v>
      </c>
      <c r="B2" s="1">
        <v>45740</v>
      </c>
      <c r="C2" t="s">
        <v>38</v>
      </c>
      <c r="D2" t="s">
        <v>39</v>
      </c>
      <c r="E2" t="s">
        <v>40</v>
      </c>
      <c r="F2">
        <v>649163</v>
      </c>
      <c r="G2">
        <v>20411454</v>
      </c>
      <c r="H2" t="s">
        <v>41</v>
      </c>
      <c r="I2">
        <v>2027602220</v>
      </c>
      <c r="J2" t="s">
        <v>42</v>
      </c>
      <c r="M2" t="s">
        <v>43</v>
      </c>
      <c r="O2">
        <v>767312</v>
      </c>
      <c r="P2" t="s">
        <v>44</v>
      </c>
      <c r="Q2" t="s">
        <v>45</v>
      </c>
      <c r="R2" t="s">
        <v>46</v>
      </c>
      <c r="S2" s="1">
        <v>45739</v>
      </c>
      <c r="U2" t="s">
        <v>47</v>
      </c>
      <c r="X2" t="s">
        <v>48</v>
      </c>
      <c r="Y2" s="2">
        <v>83</v>
      </c>
      <c r="Z2" s="2">
        <v>83</v>
      </c>
      <c r="AA2">
        <v>0</v>
      </c>
      <c r="AB2" s="3">
        <v>0.7</v>
      </c>
      <c r="AC2" s="2">
        <v>0</v>
      </c>
      <c r="AD2" s="3">
        <v>0</v>
      </c>
      <c r="AE2" s="2">
        <v>0</v>
      </c>
      <c r="AF2" s="2">
        <v>0</v>
      </c>
      <c r="AK2" s="4">
        <v>18237820</v>
      </c>
    </row>
    <row r="3" spans="1:38" x14ac:dyDescent="0.25">
      <c r="A3" s="1">
        <v>45744</v>
      </c>
      <c r="B3" s="1">
        <v>45740</v>
      </c>
      <c r="C3" t="s">
        <v>38</v>
      </c>
      <c r="D3" t="s">
        <v>39</v>
      </c>
      <c r="E3" t="s">
        <v>40</v>
      </c>
      <c r="F3">
        <v>649163</v>
      </c>
      <c r="G3">
        <v>20411454</v>
      </c>
      <c r="H3" t="s">
        <v>41</v>
      </c>
      <c r="I3">
        <v>2027803899</v>
      </c>
      <c r="J3" t="s">
        <v>49</v>
      </c>
      <c r="M3" t="s">
        <v>50</v>
      </c>
      <c r="O3">
        <v>760902</v>
      </c>
      <c r="P3" t="s">
        <v>49</v>
      </c>
      <c r="Q3" t="s">
        <v>45</v>
      </c>
      <c r="R3" t="s">
        <v>46</v>
      </c>
      <c r="S3" s="1">
        <v>45740</v>
      </c>
      <c r="U3" t="s">
        <v>47</v>
      </c>
      <c r="X3" t="s">
        <v>48</v>
      </c>
      <c r="Y3" s="2">
        <v>19</v>
      </c>
      <c r="Z3" s="2">
        <v>19</v>
      </c>
      <c r="AA3">
        <v>0</v>
      </c>
      <c r="AB3" s="3">
        <v>0.7</v>
      </c>
      <c r="AC3" s="2">
        <v>0</v>
      </c>
      <c r="AD3" s="3">
        <v>0</v>
      </c>
      <c r="AE3" s="2">
        <v>0</v>
      </c>
      <c r="AF3" s="2">
        <v>0</v>
      </c>
      <c r="AK3" s="4">
        <v>18237880</v>
      </c>
    </row>
    <row r="4" spans="1:38" x14ac:dyDescent="0.25">
      <c r="A4" s="1">
        <v>45744</v>
      </c>
      <c r="B4" s="1">
        <v>45740</v>
      </c>
      <c r="C4" t="s">
        <v>38</v>
      </c>
      <c r="D4" t="s">
        <v>39</v>
      </c>
      <c r="E4" t="s">
        <v>40</v>
      </c>
      <c r="F4">
        <v>649163</v>
      </c>
      <c r="G4">
        <v>20411454</v>
      </c>
      <c r="H4" t="s">
        <v>41</v>
      </c>
      <c r="I4">
        <v>2027836412</v>
      </c>
      <c r="J4" t="s">
        <v>51</v>
      </c>
      <c r="M4" t="s">
        <v>52</v>
      </c>
      <c r="O4">
        <v>856163</v>
      </c>
      <c r="P4" t="s">
        <v>53</v>
      </c>
      <c r="Q4" t="s">
        <v>45</v>
      </c>
      <c r="R4" t="s">
        <v>54</v>
      </c>
      <c r="S4" s="1">
        <v>45736</v>
      </c>
      <c r="U4" t="s">
        <v>47</v>
      </c>
      <c r="X4" t="s">
        <v>48</v>
      </c>
      <c r="Y4" s="2">
        <v>95.66</v>
      </c>
      <c r="Z4" s="2">
        <v>95.66</v>
      </c>
      <c r="AA4">
        <v>0</v>
      </c>
      <c r="AB4" s="3">
        <v>0.375</v>
      </c>
      <c r="AC4" s="2">
        <v>0</v>
      </c>
      <c r="AD4" s="3">
        <v>0</v>
      </c>
      <c r="AE4" s="2">
        <v>0</v>
      </c>
      <c r="AF4" s="2">
        <v>0</v>
      </c>
      <c r="AK4" s="4">
        <v>18252060</v>
      </c>
    </row>
    <row r="5" spans="1:38" x14ac:dyDescent="0.25">
      <c r="A5" s="1">
        <v>45744</v>
      </c>
      <c r="B5" s="1">
        <v>45740</v>
      </c>
      <c r="C5" t="s">
        <v>38</v>
      </c>
      <c r="D5" t="s">
        <v>39</v>
      </c>
      <c r="E5" t="s">
        <v>40</v>
      </c>
      <c r="F5">
        <v>649163</v>
      </c>
      <c r="G5">
        <v>20411454</v>
      </c>
      <c r="H5" t="s">
        <v>41</v>
      </c>
      <c r="I5">
        <v>2027854738</v>
      </c>
      <c r="J5" t="s">
        <v>55</v>
      </c>
      <c r="M5" t="s">
        <v>56</v>
      </c>
      <c r="O5">
        <v>673059</v>
      </c>
      <c r="P5" t="s">
        <v>57</v>
      </c>
      <c r="Q5" t="s">
        <v>45</v>
      </c>
      <c r="R5" t="s">
        <v>58</v>
      </c>
      <c r="S5" s="1">
        <v>45734</v>
      </c>
      <c r="U5" t="s">
        <v>47</v>
      </c>
      <c r="X5" t="s">
        <v>48</v>
      </c>
      <c r="Y5" s="2">
        <v>217.56</v>
      </c>
      <c r="Z5" s="2">
        <v>217.56</v>
      </c>
      <c r="AA5">
        <v>0</v>
      </c>
      <c r="AB5" s="3">
        <v>0.38</v>
      </c>
      <c r="AC5" s="2">
        <v>0</v>
      </c>
      <c r="AD5" s="3">
        <v>0</v>
      </c>
      <c r="AE5" s="2">
        <v>0</v>
      </c>
      <c r="AF5" s="2">
        <v>0</v>
      </c>
      <c r="AK5" s="4">
        <v>18237920</v>
      </c>
    </row>
    <row r="6" spans="1:38" x14ac:dyDescent="0.25">
      <c r="A6" s="1">
        <v>45744</v>
      </c>
      <c r="B6" s="1">
        <v>45740</v>
      </c>
      <c r="C6" t="s">
        <v>38</v>
      </c>
      <c r="D6" t="s">
        <v>39</v>
      </c>
      <c r="E6" t="s">
        <v>40</v>
      </c>
      <c r="F6">
        <v>649163</v>
      </c>
      <c r="G6">
        <v>20411454</v>
      </c>
      <c r="H6" t="s">
        <v>41</v>
      </c>
      <c r="I6">
        <v>2027854739</v>
      </c>
      <c r="J6" t="s">
        <v>55</v>
      </c>
      <c r="M6" t="s">
        <v>56</v>
      </c>
      <c r="O6">
        <v>673059</v>
      </c>
      <c r="P6" t="s">
        <v>57</v>
      </c>
      <c r="Q6" t="s">
        <v>45</v>
      </c>
      <c r="R6" t="s">
        <v>59</v>
      </c>
      <c r="S6" s="1">
        <v>45734</v>
      </c>
      <c r="U6" t="s">
        <v>47</v>
      </c>
      <c r="X6" t="s">
        <v>48</v>
      </c>
      <c r="Y6" s="2">
        <v>109.84</v>
      </c>
      <c r="Z6" s="2">
        <v>109.84</v>
      </c>
      <c r="AA6">
        <v>0</v>
      </c>
      <c r="AB6" s="3">
        <v>0.6</v>
      </c>
      <c r="AC6" s="2">
        <v>0</v>
      </c>
      <c r="AD6" s="3">
        <v>0</v>
      </c>
      <c r="AE6" s="2">
        <v>0</v>
      </c>
      <c r="AF6" s="2">
        <v>0</v>
      </c>
      <c r="AK6" s="4">
        <v>18246760</v>
      </c>
    </row>
    <row r="7" spans="1:38" x14ac:dyDescent="0.25">
      <c r="A7" s="1">
        <v>45744</v>
      </c>
      <c r="B7" s="1">
        <v>45740</v>
      </c>
      <c r="C7" t="s">
        <v>38</v>
      </c>
      <c r="D7" t="s">
        <v>39</v>
      </c>
      <c r="E7" t="s">
        <v>40</v>
      </c>
      <c r="F7">
        <v>649163</v>
      </c>
      <c r="G7">
        <v>20411454</v>
      </c>
      <c r="H7" t="s">
        <v>41</v>
      </c>
      <c r="I7">
        <v>2027854740</v>
      </c>
      <c r="J7" t="s">
        <v>55</v>
      </c>
      <c r="M7" t="s">
        <v>56</v>
      </c>
      <c r="O7">
        <v>673059</v>
      </c>
      <c r="P7" t="s">
        <v>57</v>
      </c>
      <c r="Q7" t="s">
        <v>45</v>
      </c>
      <c r="R7" t="s">
        <v>60</v>
      </c>
      <c r="S7" s="1">
        <v>45734</v>
      </c>
      <c r="U7" t="s">
        <v>47</v>
      </c>
      <c r="X7" t="s">
        <v>48</v>
      </c>
      <c r="Y7" s="2">
        <v>51.63</v>
      </c>
      <c r="Z7" s="2">
        <v>51.63</v>
      </c>
      <c r="AA7">
        <v>0</v>
      </c>
      <c r="AB7" s="3">
        <v>0.9</v>
      </c>
      <c r="AC7" s="2">
        <v>0</v>
      </c>
      <c r="AD7" s="3">
        <v>0</v>
      </c>
      <c r="AE7" s="2">
        <v>0</v>
      </c>
      <c r="AF7" s="2">
        <v>0</v>
      </c>
      <c r="AK7" s="4">
        <v>18255240</v>
      </c>
    </row>
    <row r="8" spans="1:38" x14ac:dyDescent="0.25">
      <c r="A8" s="1">
        <v>45744</v>
      </c>
      <c r="B8" s="1">
        <v>45740</v>
      </c>
      <c r="C8" t="s">
        <v>38</v>
      </c>
      <c r="D8" t="s">
        <v>39</v>
      </c>
      <c r="E8" t="s">
        <v>40</v>
      </c>
      <c r="F8">
        <v>649163</v>
      </c>
      <c r="G8">
        <v>20411454</v>
      </c>
      <c r="H8" t="s">
        <v>41</v>
      </c>
      <c r="I8">
        <v>2027854741</v>
      </c>
      <c r="J8" t="s">
        <v>55</v>
      </c>
      <c r="M8" t="s">
        <v>56</v>
      </c>
      <c r="O8">
        <v>673059</v>
      </c>
      <c r="P8" t="s">
        <v>57</v>
      </c>
      <c r="Q8" t="s">
        <v>45</v>
      </c>
      <c r="R8" t="s">
        <v>54</v>
      </c>
      <c r="S8" s="1">
        <v>45734</v>
      </c>
      <c r="U8" t="s">
        <v>47</v>
      </c>
      <c r="X8" t="s">
        <v>48</v>
      </c>
      <c r="Y8" s="2">
        <v>24.7</v>
      </c>
      <c r="Z8" s="2">
        <v>24.7</v>
      </c>
      <c r="AA8">
        <v>0</v>
      </c>
      <c r="AB8" s="3">
        <v>0.375</v>
      </c>
      <c r="AC8" s="2">
        <v>0</v>
      </c>
      <c r="AD8" s="3">
        <v>0</v>
      </c>
      <c r="AE8" s="2">
        <v>0</v>
      </c>
      <c r="AF8" s="2">
        <v>0</v>
      </c>
      <c r="AK8" s="4">
        <v>18252070</v>
      </c>
    </row>
    <row r="9" spans="1:38" x14ac:dyDescent="0.25">
      <c r="A9" s="1">
        <v>45744</v>
      </c>
      <c r="B9" s="1">
        <v>45740</v>
      </c>
      <c r="C9" t="s">
        <v>38</v>
      </c>
      <c r="D9" t="s">
        <v>39</v>
      </c>
      <c r="E9" t="s">
        <v>40</v>
      </c>
      <c r="F9">
        <v>649163</v>
      </c>
      <c r="G9">
        <v>20411454</v>
      </c>
      <c r="H9" t="s">
        <v>41</v>
      </c>
      <c r="I9">
        <v>2027855573</v>
      </c>
      <c r="J9" t="s">
        <v>61</v>
      </c>
      <c r="M9" t="s">
        <v>62</v>
      </c>
      <c r="O9">
        <v>651818</v>
      </c>
      <c r="P9" t="s">
        <v>63</v>
      </c>
      <c r="Q9" t="s">
        <v>45</v>
      </c>
      <c r="R9" t="s">
        <v>46</v>
      </c>
      <c r="S9" s="1">
        <v>45734</v>
      </c>
      <c r="U9" t="s">
        <v>47</v>
      </c>
      <c r="X9" t="s">
        <v>48</v>
      </c>
      <c r="Y9" s="2">
        <v>79.84</v>
      </c>
      <c r="Z9" s="2">
        <v>79.84</v>
      </c>
      <c r="AA9">
        <v>0</v>
      </c>
      <c r="AB9" s="3">
        <v>0.7</v>
      </c>
      <c r="AC9" s="2">
        <v>0</v>
      </c>
      <c r="AD9" s="3">
        <v>0</v>
      </c>
      <c r="AE9" s="2">
        <v>0</v>
      </c>
      <c r="AF9" s="2">
        <v>0</v>
      </c>
      <c r="AK9" s="4">
        <v>18237920</v>
      </c>
    </row>
    <row r="10" spans="1:38" x14ac:dyDescent="0.25">
      <c r="A10" s="1">
        <v>45744</v>
      </c>
      <c r="B10" s="1">
        <v>45740</v>
      </c>
      <c r="C10" t="s">
        <v>38</v>
      </c>
      <c r="D10" t="s">
        <v>39</v>
      </c>
      <c r="E10" t="s">
        <v>40</v>
      </c>
      <c r="F10">
        <v>649163</v>
      </c>
      <c r="G10">
        <v>20411454</v>
      </c>
      <c r="H10" t="s">
        <v>41</v>
      </c>
      <c r="I10">
        <v>2027855574</v>
      </c>
      <c r="J10" t="s">
        <v>61</v>
      </c>
      <c r="M10" t="s">
        <v>62</v>
      </c>
      <c r="O10">
        <v>651818</v>
      </c>
      <c r="P10" t="s">
        <v>63</v>
      </c>
      <c r="Q10" t="s">
        <v>45</v>
      </c>
      <c r="R10" t="s">
        <v>64</v>
      </c>
      <c r="S10" s="1">
        <v>45734</v>
      </c>
      <c r="U10" t="s">
        <v>47</v>
      </c>
      <c r="X10" t="s">
        <v>48</v>
      </c>
      <c r="Y10" s="2">
        <v>75.8</v>
      </c>
      <c r="Z10" s="2">
        <v>75.8</v>
      </c>
      <c r="AA10">
        <v>0</v>
      </c>
      <c r="AB10" s="3">
        <v>0.75</v>
      </c>
      <c r="AC10" s="2">
        <v>0</v>
      </c>
      <c r="AD10" s="3">
        <v>0</v>
      </c>
      <c r="AE10" s="2">
        <v>0</v>
      </c>
      <c r="AF10" s="2">
        <v>0</v>
      </c>
      <c r="AK10" s="4">
        <v>18246760</v>
      </c>
    </row>
    <row r="11" spans="1:38" x14ac:dyDescent="0.25">
      <c r="A11" s="1">
        <v>45744</v>
      </c>
      <c r="B11" s="1">
        <v>45740</v>
      </c>
      <c r="C11" t="s">
        <v>38</v>
      </c>
      <c r="D11" t="s">
        <v>39</v>
      </c>
      <c r="E11" t="s">
        <v>40</v>
      </c>
      <c r="F11">
        <v>649163</v>
      </c>
      <c r="G11">
        <v>20411454</v>
      </c>
      <c r="H11" t="s">
        <v>41</v>
      </c>
      <c r="I11">
        <v>2027857788</v>
      </c>
      <c r="J11" t="s">
        <v>65</v>
      </c>
      <c r="M11" t="s">
        <v>43</v>
      </c>
      <c r="O11">
        <v>822723</v>
      </c>
      <c r="P11" t="s">
        <v>66</v>
      </c>
      <c r="Q11" t="s">
        <v>45</v>
      </c>
      <c r="R11" t="s">
        <v>54</v>
      </c>
      <c r="S11" s="1">
        <v>45748</v>
      </c>
      <c r="U11" t="s">
        <v>47</v>
      </c>
      <c r="X11" t="s">
        <v>48</v>
      </c>
      <c r="Y11" s="2">
        <v>37.869999999999997</v>
      </c>
      <c r="Z11" s="2">
        <v>37.869999999999997</v>
      </c>
      <c r="AA11">
        <v>0</v>
      </c>
      <c r="AB11" s="3">
        <v>0.375</v>
      </c>
      <c r="AC11" s="2">
        <v>0</v>
      </c>
      <c r="AD11" s="3">
        <v>0</v>
      </c>
      <c r="AE11" s="2">
        <v>0</v>
      </c>
      <c r="AF11" s="2">
        <v>0</v>
      </c>
      <c r="AK11" s="4">
        <v>18252090</v>
      </c>
    </row>
    <row r="12" spans="1:38" x14ac:dyDescent="0.25">
      <c r="A12" s="1">
        <v>45744</v>
      </c>
      <c r="B12" s="1">
        <v>45740</v>
      </c>
      <c r="C12" t="s">
        <v>38</v>
      </c>
      <c r="D12" t="s">
        <v>39</v>
      </c>
      <c r="E12" t="s">
        <v>40</v>
      </c>
      <c r="F12">
        <v>649163</v>
      </c>
      <c r="G12">
        <v>20411454</v>
      </c>
      <c r="H12" t="s">
        <v>41</v>
      </c>
      <c r="I12">
        <v>2027857789</v>
      </c>
      <c r="J12" t="s">
        <v>65</v>
      </c>
      <c r="M12" t="s">
        <v>43</v>
      </c>
      <c r="O12">
        <v>822723</v>
      </c>
      <c r="P12" t="s">
        <v>66</v>
      </c>
      <c r="Q12" t="s">
        <v>45</v>
      </c>
      <c r="R12" t="s">
        <v>46</v>
      </c>
      <c r="S12" s="1">
        <v>45748</v>
      </c>
      <c r="U12" t="s">
        <v>47</v>
      </c>
      <c r="X12" t="s">
        <v>48</v>
      </c>
      <c r="Y12" s="2">
        <v>140.6</v>
      </c>
      <c r="Z12" s="2">
        <v>140.6</v>
      </c>
      <c r="AA12">
        <v>0</v>
      </c>
      <c r="AB12" s="3">
        <v>0.7</v>
      </c>
      <c r="AC12" s="2">
        <v>0</v>
      </c>
      <c r="AD12" s="3">
        <v>0</v>
      </c>
      <c r="AE12" s="2">
        <v>0</v>
      </c>
      <c r="AF12" s="2">
        <v>0</v>
      </c>
      <c r="AK12" s="4">
        <v>18237940</v>
      </c>
    </row>
    <row r="13" spans="1:38" x14ac:dyDescent="0.25">
      <c r="A13" s="1">
        <v>45744</v>
      </c>
      <c r="B13" s="1">
        <v>45740</v>
      </c>
      <c r="C13" t="s">
        <v>38</v>
      </c>
      <c r="D13" t="s">
        <v>39</v>
      </c>
      <c r="E13" t="s">
        <v>40</v>
      </c>
      <c r="F13">
        <v>649163</v>
      </c>
      <c r="G13">
        <v>20411454</v>
      </c>
      <c r="H13" t="s">
        <v>41</v>
      </c>
      <c r="I13">
        <v>2027858971</v>
      </c>
      <c r="J13" t="s">
        <v>67</v>
      </c>
      <c r="M13" t="s">
        <v>50</v>
      </c>
      <c r="O13">
        <v>813181</v>
      </c>
      <c r="P13" t="s">
        <v>68</v>
      </c>
      <c r="Q13" t="s">
        <v>45</v>
      </c>
      <c r="R13" t="s">
        <v>54</v>
      </c>
      <c r="S13" s="1">
        <v>45748</v>
      </c>
      <c r="U13" t="s">
        <v>47</v>
      </c>
      <c r="X13" t="s">
        <v>48</v>
      </c>
      <c r="Y13" s="2">
        <v>57.11</v>
      </c>
      <c r="Z13" s="2">
        <v>57.11</v>
      </c>
      <c r="AA13">
        <v>0</v>
      </c>
      <c r="AB13" s="3">
        <v>0.375</v>
      </c>
      <c r="AC13" s="2">
        <v>0</v>
      </c>
      <c r="AD13" s="3">
        <v>0</v>
      </c>
      <c r="AE13" s="2">
        <v>0</v>
      </c>
      <c r="AF13" s="2">
        <v>0</v>
      </c>
      <c r="AK13" s="4">
        <v>18252100</v>
      </c>
    </row>
    <row r="14" spans="1:38" x14ac:dyDescent="0.25">
      <c r="A14" s="1">
        <v>45744</v>
      </c>
      <c r="B14" s="1">
        <v>45740</v>
      </c>
      <c r="C14" t="s">
        <v>38</v>
      </c>
      <c r="D14" t="s">
        <v>39</v>
      </c>
      <c r="E14" t="s">
        <v>40</v>
      </c>
      <c r="F14">
        <v>649163</v>
      </c>
      <c r="G14">
        <v>20411454</v>
      </c>
      <c r="H14" t="s">
        <v>41</v>
      </c>
      <c r="I14">
        <v>2027858972</v>
      </c>
      <c r="J14" t="s">
        <v>67</v>
      </c>
      <c r="M14" t="s">
        <v>50</v>
      </c>
      <c r="O14">
        <v>813181</v>
      </c>
      <c r="P14" t="s">
        <v>68</v>
      </c>
      <c r="Q14" t="s">
        <v>45</v>
      </c>
      <c r="R14" t="s">
        <v>46</v>
      </c>
      <c r="S14" s="1">
        <v>45748</v>
      </c>
      <c r="U14" t="s">
        <v>47</v>
      </c>
      <c r="X14" t="s">
        <v>48</v>
      </c>
      <c r="Y14" s="2">
        <v>11.5</v>
      </c>
      <c r="Z14" s="2">
        <v>11.5</v>
      </c>
      <c r="AA14">
        <v>0</v>
      </c>
      <c r="AB14" s="3">
        <v>0.7</v>
      </c>
      <c r="AC14" s="2">
        <v>0</v>
      </c>
      <c r="AD14" s="3">
        <v>0</v>
      </c>
      <c r="AE14" s="2">
        <v>0</v>
      </c>
      <c r="AF14" s="2">
        <v>0</v>
      </c>
      <c r="AK14" s="4">
        <v>18237940</v>
      </c>
    </row>
    <row r="15" spans="1:38" x14ac:dyDescent="0.25">
      <c r="A15" s="1">
        <v>45744</v>
      </c>
      <c r="B15" s="1">
        <v>45740</v>
      </c>
      <c r="C15" t="s">
        <v>38</v>
      </c>
      <c r="D15" t="s">
        <v>39</v>
      </c>
      <c r="E15" t="s">
        <v>40</v>
      </c>
      <c r="F15">
        <v>649163</v>
      </c>
      <c r="G15">
        <v>20411454</v>
      </c>
      <c r="H15" t="s">
        <v>41</v>
      </c>
      <c r="I15">
        <v>2027864149</v>
      </c>
      <c r="J15" t="s">
        <v>69</v>
      </c>
      <c r="M15" t="s">
        <v>50</v>
      </c>
      <c r="O15">
        <v>766422</v>
      </c>
      <c r="P15" t="s">
        <v>70</v>
      </c>
      <c r="Q15" t="s">
        <v>45</v>
      </c>
      <c r="R15" t="s">
        <v>54</v>
      </c>
      <c r="S15" s="1">
        <v>45735</v>
      </c>
      <c r="U15" t="s">
        <v>47</v>
      </c>
      <c r="X15" t="s">
        <v>48</v>
      </c>
      <c r="Y15" s="2">
        <v>57.11</v>
      </c>
      <c r="Z15" s="2">
        <v>57.11</v>
      </c>
      <c r="AA15">
        <v>0</v>
      </c>
      <c r="AB15" s="3">
        <v>0.375</v>
      </c>
      <c r="AC15" s="2">
        <v>0</v>
      </c>
      <c r="AD15" s="3">
        <v>0</v>
      </c>
      <c r="AE15" s="2">
        <v>0</v>
      </c>
      <c r="AF15" s="2">
        <v>0</v>
      </c>
      <c r="AK15" s="4">
        <v>18252130</v>
      </c>
    </row>
    <row r="16" spans="1:38" x14ac:dyDescent="0.25">
      <c r="A16" s="1">
        <v>45744</v>
      </c>
      <c r="B16" s="1">
        <v>45740</v>
      </c>
      <c r="C16" t="s">
        <v>38</v>
      </c>
      <c r="D16" t="s">
        <v>39</v>
      </c>
      <c r="E16" t="s">
        <v>40</v>
      </c>
      <c r="F16">
        <v>649163</v>
      </c>
      <c r="G16">
        <v>20411454</v>
      </c>
      <c r="H16" t="s">
        <v>41</v>
      </c>
      <c r="I16">
        <v>2027864150</v>
      </c>
      <c r="J16" t="s">
        <v>69</v>
      </c>
      <c r="M16" t="s">
        <v>50</v>
      </c>
      <c r="O16">
        <v>766422</v>
      </c>
      <c r="P16" t="s">
        <v>70</v>
      </c>
      <c r="Q16" t="s">
        <v>45</v>
      </c>
      <c r="R16" t="s">
        <v>46</v>
      </c>
      <c r="S16" s="1">
        <v>45735</v>
      </c>
      <c r="U16" t="s">
        <v>47</v>
      </c>
      <c r="X16" t="s">
        <v>48</v>
      </c>
      <c r="Y16" s="2">
        <v>20.56</v>
      </c>
      <c r="Z16" s="2">
        <v>20.56</v>
      </c>
      <c r="AA16">
        <v>0</v>
      </c>
      <c r="AB16" s="3">
        <v>0.7</v>
      </c>
      <c r="AC16" s="2">
        <v>0</v>
      </c>
      <c r="AD16" s="3">
        <v>0</v>
      </c>
      <c r="AE16" s="2">
        <v>0</v>
      </c>
      <c r="AF16" s="2">
        <v>0</v>
      </c>
      <c r="AK16" s="4">
        <v>18237980</v>
      </c>
    </row>
    <row r="17" spans="1:37" x14ac:dyDescent="0.25">
      <c r="A17" s="1">
        <v>45744</v>
      </c>
      <c r="B17" s="1">
        <v>45740</v>
      </c>
      <c r="C17" t="s">
        <v>38</v>
      </c>
      <c r="D17" t="s">
        <v>39</v>
      </c>
      <c r="E17" t="s">
        <v>40</v>
      </c>
      <c r="F17">
        <v>649163</v>
      </c>
      <c r="G17">
        <v>20411454</v>
      </c>
      <c r="H17" t="s">
        <v>41</v>
      </c>
      <c r="I17">
        <v>2027864779</v>
      </c>
      <c r="J17" t="s">
        <v>71</v>
      </c>
      <c r="M17" t="s">
        <v>43</v>
      </c>
      <c r="O17">
        <v>806645</v>
      </c>
      <c r="P17" t="s">
        <v>72</v>
      </c>
      <c r="Q17" t="s">
        <v>45</v>
      </c>
      <c r="R17" t="s">
        <v>54</v>
      </c>
      <c r="S17" s="1">
        <v>45748</v>
      </c>
      <c r="U17" t="s">
        <v>47</v>
      </c>
      <c r="X17" t="s">
        <v>48</v>
      </c>
      <c r="Y17" s="2">
        <v>57.96</v>
      </c>
      <c r="Z17" s="2">
        <v>57.96</v>
      </c>
      <c r="AA17">
        <v>0</v>
      </c>
      <c r="AB17" s="3">
        <v>0.375</v>
      </c>
      <c r="AC17" s="2">
        <v>0</v>
      </c>
      <c r="AD17" s="3">
        <v>0</v>
      </c>
      <c r="AE17" s="2">
        <v>0</v>
      </c>
      <c r="AF17" s="2">
        <v>0</v>
      </c>
      <c r="AK17" s="4">
        <v>18252140</v>
      </c>
    </row>
    <row r="18" spans="1:37" x14ac:dyDescent="0.25">
      <c r="A18" s="1">
        <v>45744</v>
      </c>
      <c r="B18" s="1">
        <v>45740</v>
      </c>
      <c r="C18" t="s">
        <v>38</v>
      </c>
      <c r="D18" t="s">
        <v>39</v>
      </c>
      <c r="E18" t="s">
        <v>40</v>
      </c>
      <c r="F18">
        <v>649163</v>
      </c>
      <c r="G18">
        <v>20411454</v>
      </c>
      <c r="H18" t="s">
        <v>41</v>
      </c>
      <c r="I18">
        <v>2027864780</v>
      </c>
      <c r="J18" t="s">
        <v>71</v>
      </c>
      <c r="M18" t="s">
        <v>43</v>
      </c>
      <c r="O18">
        <v>806645</v>
      </c>
      <c r="P18" t="s">
        <v>72</v>
      </c>
      <c r="Q18" t="s">
        <v>45</v>
      </c>
      <c r="R18" t="s">
        <v>46</v>
      </c>
      <c r="S18" s="1">
        <v>45748</v>
      </c>
      <c r="U18" t="s">
        <v>47</v>
      </c>
      <c r="X18" t="s">
        <v>48</v>
      </c>
      <c r="Y18" s="2">
        <v>18.100000000000001</v>
      </c>
      <c r="Z18" s="2">
        <v>18.100000000000001</v>
      </c>
      <c r="AA18">
        <v>0</v>
      </c>
      <c r="AB18" s="3">
        <v>0.7</v>
      </c>
      <c r="AC18" s="2">
        <v>0</v>
      </c>
      <c r="AD18" s="3">
        <v>0</v>
      </c>
      <c r="AE18" s="2">
        <v>0</v>
      </c>
      <c r="AF18" s="2">
        <v>0</v>
      </c>
      <c r="AK18" s="4">
        <v>18237980</v>
      </c>
    </row>
    <row r="19" spans="1:37" x14ac:dyDescent="0.25">
      <c r="A19" s="1">
        <v>45744</v>
      </c>
      <c r="B19" s="1">
        <v>45740</v>
      </c>
      <c r="C19" t="s">
        <v>38</v>
      </c>
      <c r="D19" t="s">
        <v>39</v>
      </c>
      <c r="E19" t="s">
        <v>40</v>
      </c>
      <c r="F19">
        <v>649163</v>
      </c>
      <c r="G19">
        <v>20411454</v>
      </c>
      <c r="H19" t="s">
        <v>41</v>
      </c>
      <c r="I19">
        <v>2027864781</v>
      </c>
      <c r="J19" t="s">
        <v>71</v>
      </c>
      <c r="M19" t="s">
        <v>43</v>
      </c>
      <c r="O19">
        <v>806645</v>
      </c>
      <c r="P19" t="s">
        <v>72</v>
      </c>
      <c r="Q19" t="s">
        <v>45</v>
      </c>
      <c r="R19" t="s">
        <v>60</v>
      </c>
      <c r="S19" s="1">
        <v>45748</v>
      </c>
      <c r="U19" t="s">
        <v>47</v>
      </c>
      <c r="X19" t="s">
        <v>48</v>
      </c>
      <c r="Y19" s="2">
        <v>45.45</v>
      </c>
      <c r="Z19" s="2">
        <v>45.45</v>
      </c>
      <c r="AA19">
        <v>0</v>
      </c>
      <c r="AB19" s="3">
        <v>0.9</v>
      </c>
      <c r="AC19" s="2">
        <v>0</v>
      </c>
      <c r="AD19" s="3">
        <v>0</v>
      </c>
      <c r="AE19" s="2">
        <v>0</v>
      </c>
      <c r="AF19" s="2">
        <v>0</v>
      </c>
      <c r="AK19" s="4">
        <v>18255250</v>
      </c>
    </row>
    <row r="20" spans="1:37" x14ac:dyDescent="0.25">
      <c r="A20" s="1">
        <v>45744</v>
      </c>
      <c r="B20" s="1">
        <v>45740</v>
      </c>
      <c r="C20" t="s">
        <v>38</v>
      </c>
      <c r="D20" t="s">
        <v>39</v>
      </c>
      <c r="E20" t="s">
        <v>40</v>
      </c>
      <c r="F20">
        <v>649163</v>
      </c>
      <c r="G20">
        <v>20411454</v>
      </c>
      <c r="H20" t="s">
        <v>41</v>
      </c>
      <c r="I20">
        <v>2027865745</v>
      </c>
      <c r="J20" t="s">
        <v>73</v>
      </c>
      <c r="M20" t="s">
        <v>50</v>
      </c>
      <c r="O20">
        <v>757039</v>
      </c>
      <c r="P20" t="s">
        <v>74</v>
      </c>
      <c r="Q20" t="s">
        <v>45</v>
      </c>
      <c r="R20" t="s">
        <v>64</v>
      </c>
      <c r="S20" s="1">
        <v>45748</v>
      </c>
      <c r="U20" t="s">
        <v>47</v>
      </c>
      <c r="X20" t="s">
        <v>48</v>
      </c>
      <c r="Y20" s="2">
        <v>103.83</v>
      </c>
      <c r="Z20" s="2">
        <v>103.83</v>
      </c>
      <c r="AA20">
        <v>0</v>
      </c>
      <c r="AB20" s="3">
        <v>0.75</v>
      </c>
      <c r="AC20" s="2">
        <v>0</v>
      </c>
      <c r="AD20" s="3">
        <v>0</v>
      </c>
      <c r="AE20" s="2">
        <v>0</v>
      </c>
      <c r="AF20" s="2">
        <v>0</v>
      </c>
      <c r="AK20" s="4">
        <v>18246790</v>
      </c>
    </row>
    <row r="21" spans="1:37" x14ac:dyDescent="0.25">
      <c r="A21" s="1">
        <v>45744</v>
      </c>
      <c r="B21" s="1">
        <v>45740</v>
      </c>
      <c r="C21" t="s">
        <v>38</v>
      </c>
      <c r="D21" t="s">
        <v>39</v>
      </c>
      <c r="E21" t="s">
        <v>40</v>
      </c>
      <c r="F21">
        <v>649163</v>
      </c>
      <c r="G21">
        <v>20411454</v>
      </c>
      <c r="H21" t="s">
        <v>41</v>
      </c>
      <c r="I21">
        <v>2027867337</v>
      </c>
      <c r="J21" t="s">
        <v>75</v>
      </c>
      <c r="M21" t="s">
        <v>76</v>
      </c>
      <c r="O21">
        <v>816021</v>
      </c>
      <c r="P21" t="s">
        <v>77</v>
      </c>
      <c r="Q21" t="s">
        <v>45</v>
      </c>
      <c r="R21" t="s">
        <v>54</v>
      </c>
      <c r="S21" s="1">
        <v>45736</v>
      </c>
      <c r="U21" t="s">
        <v>47</v>
      </c>
      <c r="X21" t="s">
        <v>48</v>
      </c>
      <c r="Y21" s="2">
        <v>45.39</v>
      </c>
      <c r="Z21" s="2">
        <v>45.39</v>
      </c>
      <c r="AA21">
        <v>0</v>
      </c>
      <c r="AB21" s="3">
        <v>0.375</v>
      </c>
      <c r="AC21" s="2">
        <v>0</v>
      </c>
      <c r="AD21" s="3">
        <v>0</v>
      </c>
      <c r="AE21" s="2">
        <v>0</v>
      </c>
      <c r="AF21" s="2">
        <v>0</v>
      </c>
      <c r="AK21" s="4">
        <v>18252160</v>
      </c>
    </row>
    <row r="22" spans="1:37" x14ac:dyDescent="0.25">
      <c r="A22" s="1">
        <v>45744</v>
      </c>
      <c r="B22" s="1">
        <v>45740</v>
      </c>
      <c r="C22" t="s">
        <v>38</v>
      </c>
      <c r="D22" t="s">
        <v>39</v>
      </c>
      <c r="E22" t="s">
        <v>40</v>
      </c>
      <c r="F22">
        <v>649163</v>
      </c>
      <c r="G22">
        <v>20411454</v>
      </c>
      <c r="H22" t="s">
        <v>41</v>
      </c>
      <c r="I22">
        <v>2027867338</v>
      </c>
      <c r="J22" t="s">
        <v>75</v>
      </c>
      <c r="M22" t="s">
        <v>76</v>
      </c>
      <c r="O22">
        <v>816021</v>
      </c>
      <c r="P22" t="s">
        <v>77</v>
      </c>
      <c r="Q22" t="s">
        <v>45</v>
      </c>
      <c r="R22" t="s">
        <v>46</v>
      </c>
      <c r="S22" s="1">
        <v>45736</v>
      </c>
      <c r="U22" t="s">
        <v>47</v>
      </c>
      <c r="X22" t="s">
        <v>48</v>
      </c>
      <c r="Y22" s="2">
        <v>9.1</v>
      </c>
      <c r="Z22" s="2">
        <v>9.1</v>
      </c>
      <c r="AA22">
        <v>0</v>
      </c>
      <c r="AB22" s="3">
        <v>0.7</v>
      </c>
      <c r="AC22" s="2">
        <v>0</v>
      </c>
      <c r="AD22" s="3">
        <v>0</v>
      </c>
      <c r="AE22" s="2">
        <v>0</v>
      </c>
      <c r="AF22" s="2">
        <v>0</v>
      </c>
      <c r="AK22" s="4">
        <v>18238010</v>
      </c>
    </row>
    <row r="23" spans="1:37" x14ac:dyDescent="0.25">
      <c r="A23" s="1">
        <v>45744</v>
      </c>
      <c r="B23" s="1">
        <v>45740</v>
      </c>
      <c r="C23" t="s">
        <v>38</v>
      </c>
      <c r="D23" t="s">
        <v>39</v>
      </c>
      <c r="E23" t="s">
        <v>40</v>
      </c>
      <c r="F23">
        <v>649163</v>
      </c>
      <c r="G23">
        <v>20411454</v>
      </c>
      <c r="H23" t="s">
        <v>41</v>
      </c>
      <c r="I23">
        <v>2027867339</v>
      </c>
      <c r="J23" t="s">
        <v>75</v>
      </c>
      <c r="M23" t="s">
        <v>76</v>
      </c>
      <c r="O23">
        <v>816021</v>
      </c>
      <c r="P23" t="s">
        <v>77</v>
      </c>
      <c r="Q23" t="s">
        <v>45</v>
      </c>
      <c r="R23" t="s">
        <v>78</v>
      </c>
      <c r="S23" s="1">
        <v>45736</v>
      </c>
      <c r="U23" t="s">
        <v>47</v>
      </c>
      <c r="X23" t="s">
        <v>48</v>
      </c>
      <c r="Y23" s="2">
        <v>59.42</v>
      </c>
      <c r="Z23" s="2">
        <v>59.42</v>
      </c>
      <c r="AA23">
        <v>0</v>
      </c>
      <c r="AB23" s="3">
        <v>0.9</v>
      </c>
      <c r="AC23" s="2">
        <v>0</v>
      </c>
      <c r="AD23" s="3">
        <v>0</v>
      </c>
      <c r="AE23" s="2">
        <v>0</v>
      </c>
      <c r="AF23" s="2">
        <v>0</v>
      </c>
      <c r="AK23" s="4">
        <v>18246790</v>
      </c>
    </row>
    <row r="24" spans="1:37" x14ac:dyDescent="0.25">
      <c r="A24" s="1">
        <v>45744</v>
      </c>
      <c r="B24" s="1">
        <v>45740</v>
      </c>
      <c r="C24" t="s">
        <v>38</v>
      </c>
      <c r="D24" t="s">
        <v>39</v>
      </c>
      <c r="E24" t="s">
        <v>40</v>
      </c>
      <c r="F24">
        <v>649163</v>
      </c>
      <c r="G24">
        <v>20411454</v>
      </c>
      <c r="H24" t="s">
        <v>41</v>
      </c>
      <c r="I24">
        <v>2027867340</v>
      </c>
      <c r="J24" t="s">
        <v>75</v>
      </c>
      <c r="M24" t="s">
        <v>76</v>
      </c>
      <c r="O24">
        <v>816021</v>
      </c>
      <c r="P24" t="s">
        <v>77</v>
      </c>
      <c r="Q24" t="s">
        <v>45</v>
      </c>
      <c r="R24" t="s">
        <v>79</v>
      </c>
      <c r="S24" s="1">
        <v>45736</v>
      </c>
      <c r="U24" t="s">
        <v>47</v>
      </c>
      <c r="X24" t="s">
        <v>48</v>
      </c>
      <c r="Y24" s="2">
        <v>16.91</v>
      </c>
      <c r="Z24" s="2">
        <v>16.91</v>
      </c>
      <c r="AA24">
        <v>0</v>
      </c>
      <c r="AB24" s="3">
        <v>0.38</v>
      </c>
      <c r="AC24" s="2">
        <v>0</v>
      </c>
      <c r="AD24" s="3">
        <v>0</v>
      </c>
      <c r="AE24" s="2">
        <v>0</v>
      </c>
      <c r="AF24" s="2">
        <v>0</v>
      </c>
      <c r="AK24" s="4">
        <v>18253490</v>
      </c>
    </row>
    <row r="25" spans="1:37" x14ac:dyDescent="0.25">
      <c r="A25" s="1">
        <v>45744</v>
      </c>
      <c r="B25" s="1">
        <v>45740</v>
      </c>
      <c r="C25" t="s">
        <v>38</v>
      </c>
      <c r="D25" t="s">
        <v>39</v>
      </c>
      <c r="E25" t="s">
        <v>40</v>
      </c>
      <c r="F25">
        <v>649163</v>
      </c>
      <c r="G25">
        <v>20411454</v>
      </c>
      <c r="H25" t="s">
        <v>41</v>
      </c>
      <c r="I25">
        <v>2027868981</v>
      </c>
      <c r="J25" t="s">
        <v>80</v>
      </c>
      <c r="M25" t="s">
        <v>50</v>
      </c>
      <c r="O25">
        <v>812782</v>
      </c>
      <c r="P25" t="s">
        <v>81</v>
      </c>
      <c r="Q25" t="s">
        <v>45</v>
      </c>
      <c r="R25" t="s">
        <v>54</v>
      </c>
      <c r="S25" s="1">
        <v>45748</v>
      </c>
      <c r="U25" t="s">
        <v>47</v>
      </c>
      <c r="X25" t="s">
        <v>48</v>
      </c>
      <c r="Y25" s="2">
        <v>150.44999999999999</v>
      </c>
      <c r="Z25" s="2">
        <v>150.44999999999999</v>
      </c>
      <c r="AA25">
        <v>0</v>
      </c>
      <c r="AB25" s="3">
        <v>0.375</v>
      </c>
      <c r="AC25" s="2">
        <v>0</v>
      </c>
      <c r="AD25" s="3">
        <v>0</v>
      </c>
      <c r="AE25" s="2">
        <v>0</v>
      </c>
      <c r="AF25" s="2">
        <v>0</v>
      </c>
      <c r="AK25" s="4">
        <v>18252180</v>
      </c>
    </row>
    <row r="26" spans="1:37" x14ac:dyDescent="0.25">
      <c r="A26" s="1">
        <v>45744</v>
      </c>
      <c r="B26" s="1">
        <v>45740</v>
      </c>
      <c r="C26" t="s">
        <v>38</v>
      </c>
      <c r="D26" t="s">
        <v>39</v>
      </c>
      <c r="E26" t="s">
        <v>40</v>
      </c>
      <c r="F26">
        <v>649163</v>
      </c>
      <c r="G26">
        <v>20411454</v>
      </c>
      <c r="H26" t="s">
        <v>41</v>
      </c>
      <c r="I26">
        <v>2027868982</v>
      </c>
      <c r="J26" t="s">
        <v>80</v>
      </c>
      <c r="M26" t="s">
        <v>50</v>
      </c>
      <c r="O26">
        <v>812782</v>
      </c>
      <c r="P26" t="s">
        <v>81</v>
      </c>
      <c r="Q26" t="s">
        <v>45</v>
      </c>
      <c r="R26" t="s">
        <v>46</v>
      </c>
      <c r="S26" s="1">
        <v>45748</v>
      </c>
      <c r="U26" t="s">
        <v>47</v>
      </c>
      <c r="X26" t="s">
        <v>48</v>
      </c>
      <c r="Y26" s="2">
        <v>15.75</v>
      </c>
      <c r="Z26" s="2">
        <v>15.75</v>
      </c>
      <c r="AA26">
        <v>0</v>
      </c>
      <c r="AB26" s="3">
        <v>0.7</v>
      </c>
      <c r="AC26" s="2">
        <v>0</v>
      </c>
      <c r="AD26" s="3">
        <v>0</v>
      </c>
      <c r="AE26" s="2">
        <v>0</v>
      </c>
      <c r="AF26" s="2">
        <v>0</v>
      </c>
      <c r="AK26" s="4">
        <v>18238020</v>
      </c>
    </row>
    <row r="27" spans="1:37" x14ac:dyDescent="0.25">
      <c r="A27" s="1">
        <v>45744</v>
      </c>
      <c r="B27" s="1">
        <v>45740</v>
      </c>
      <c r="C27" t="s">
        <v>38</v>
      </c>
      <c r="D27" t="s">
        <v>39</v>
      </c>
      <c r="E27" t="s">
        <v>40</v>
      </c>
      <c r="F27">
        <v>649163</v>
      </c>
      <c r="G27">
        <v>20411454</v>
      </c>
      <c r="H27" t="s">
        <v>41</v>
      </c>
      <c r="I27">
        <v>2027869112</v>
      </c>
      <c r="J27" t="s">
        <v>82</v>
      </c>
      <c r="M27" t="s">
        <v>83</v>
      </c>
      <c r="O27">
        <v>673059</v>
      </c>
      <c r="P27" t="s">
        <v>57</v>
      </c>
      <c r="Q27" t="s">
        <v>45</v>
      </c>
      <c r="R27" t="s">
        <v>60</v>
      </c>
      <c r="S27" s="1">
        <v>45734</v>
      </c>
      <c r="U27" t="s">
        <v>47</v>
      </c>
      <c r="X27" t="s">
        <v>48</v>
      </c>
      <c r="Y27" s="2">
        <v>9.8000000000000007</v>
      </c>
      <c r="Z27" s="2">
        <v>9.8000000000000007</v>
      </c>
      <c r="AA27">
        <v>0</v>
      </c>
      <c r="AB27" s="3">
        <v>0.9</v>
      </c>
      <c r="AC27" s="2">
        <v>0</v>
      </c>
      <c r="AD27" s="3">
        <v>0</v>
      </c>
      <c r="AE27" s="2">
        <v>0</v>
      </c>
      <c r="AF27" s="2">
        <v>0</v>
      </c>
      <c r="AK27" s="4">
        <v>18255270</v>
      </c>
    </row>
    <row r="28" spans="1:37" x14ac:dyDescent="0.25">
      <c r="A28" s="1">
        <v>45744</v>
      </c>
      <c r="B28" s="1">
        <v>45740</v>
      </c>
      <c r="C28" t="s">
        <v>38</v>
      </c>
      <c r="D28" t="s">
        <v>39</v>
      </c>
      <c r="E28" t="s">
        <v>40</v>
      </c>
      <c r="F28">
        <v>649163</v>
      </c>
      <c r="G28">
        <v>20411454</v>
      </c>
      <c r="H28" t="s">
        <v>41</v>
      </c>
      <c r="I28">
        <v>2027869113</v>
      </c>
      <c r="J28" t="s">
        <v>82</v>
      </c>
      <c r="M28" t="s">
        <v>83</v>
      </c>
      <c r="O28">
        <v>673059</v>
      </c>
      <c r="P28" t="s">
        <v>57</v>
      </c>
      <c r="Q28" t="s">
        <v>45</v>
      </c>
      <c r="R28" t="s">
        <v>54</v>
      </c>
      <c r="S28" s="1">
        <v>45734</v>
      </c>
      <c r="U28" t="s">
        <v>47</v>
      </c>
      <c r="X28" t="s">
        <v>48</v>
      </c>
      <c r="Y28" s="2">
        <v>45.77</v>
      </c>
      <c r="Z28" s="2">
        <v>45.77</v>
      </c>
      <c r="AA28">
        <v>0</v>
      </c>
      <c r="AB28" s="3">
        <v>0.375</v>
      </c>
      <c r="AC28" s="2">
        <v>0</v>
      </c>
      <c r="AD28" s="3">
        <v>0</v>
      </c>
      <c r="AE28" s="2">
        <v>0</v>
      </c>
      <c r="AF28" s="2">
        <v>0</v>
      </c>
      <c r="AK28" s="4">
        <v>18252180</v>
      </c>
    </row>
    <row r="29" spans="1:37" x14ac:dyDescent="0.25">
      <c r="A29" s="1">
        <v>45744</v>
      </c>
      <c r="B29" s="1">
        <v>45740</v>
      </c>
      <c r="C29" t="s">
        <v>38</v>
      </c>
      <c r="D29" t="s">
        <v>39</v>
      </c>
      <c r="E29" t="s">
        <v>40</v>
      </c>
      <c r="F29">
        <v>649163</v>
      </c>
      <c r="G29">
        <v>20411454</v>
      </c>
      <c r="H29" t="s">
        <v>41</v>
      </c>
      <c r="I29">
        <v>2027869985</v>
      </c>
      <c r="J29" t="s">
        <v>84</v>
      </c>
      <c r="M29" t="s">
        <v>85</v>
      </c>
      <c r="O29">
        <v>824062</v>
      </c>
      <c r="P29" t="s">
        <v>86</v>
      </c>
      <c r="Q29" t="s">
        <v>45</v>
      </c>
      <c r="R29" t="s">
        <v>46</v>
      </c>
      <c r="S29" s="1">
        <v>45748</v>
      </c>
      <c r="U29" t="s">
        <v>47</v>
      </c>
      <c r="X29" t="s">
        <v>48</v>
      </c>
      <c r="Y29" s="2">
        <v>104.01</v>
      </c>
      <c r="Z29" s="2">
        <v>104.01</v>
      </c>
      <c r="AA29">
        <v>0</v>
      </c>
      <c r="AB29" s="3">
        <v>0.7</v>
      </c>
      <c r="AC29" s="2">
        <v>0</v>
      </c>
      <c r="AD29" s="3">
        <v>0</v>
      </c>
      <c r="AE29" s="2">
        <v>0</v>
      </c>
      <c r="AF29" s="2">
        <v>0</v>
      </c>
      <c r="AK29" s="4">
        <v>18238020</v>
      </c>
    </row>
    <row r="30" spans="1:37" x14ac:dyDescent="0.25">
      <c r="A30" s="1">
        <v>45744</v>
      </c>
      <c r="B30" s="1">
        <v>45740</v>
      </c>
      <c r="C30" t="s">
        <v>38</v>
      </c>
      <c r="D30" t="s">
        <v>39</v>
      </c>
      <c r="E30" t="s">
        <v>40</v>
      </c>
      <c r="F30">
        <v>649163</v>
      </c>
      <c r="G30">
        <v>20411454</v>
      </c>
      <c r="H30" t="s">
        <v>41</v>
      </c>
      <c r="I30">
        <v>2027869986</v>
      </c>
      <c r="J30" t="s">
        <v>84</v>
      </c>
      <c r="M30" t="s">
        <v>85</v>
      </c>
      <c r="O30">
        <v>824062</v>
      </c>
      <c r="P30" t="s">
        <v>86</v>
      </c>
      <c r="Q30" t="s">
        <v>45</v>
      </c>
      <c r="R30" t="s">
        <v>54</v>
      </c>
      <c r="S30" s="1">
        <v>45748</v>
      </c>
      <c r="U30" t="s">
        <v>47</v>
      </c>
      <c r="X30" t="s">
        <v>48</v>
      </c>
      <c r="Y30" s="2">
        <v>46.05</v>
      </c>
      <c r="Z30" s="2">
        <v>46.05</v>
      </c>
      <c r="AA30">
        <v>0</v>
      </c>
      <c r="AB30" s="3">
        <v>0.375</v>
      </c>
      <c r="AC30" s="2">
        <v>0</v>
      </c>
      <c r="AD30" s="3">
        <v>0</v>
      </c>
      <c r="AE30" s="2">
        <v>0</v>
      </c>
      <c r="AF30" s="2">
        <v>0</v>
      </c>
      <c r="AK30" s="4">
        <v>18252200</v>
      </c>
    </row>
    <row r="31" spans="1:37" x14ac:dyDescent="0.25">
      <c r="A31" s="1">
        <v>45744</v>
      </c>
      <c r="B31" s="1">
        <v>45740</v>
      </c>
      <c r="C31" t="s">
        <v>38</v>
      </c>
      <c r="D31" t="s">
        <v>39</v>
      </c>
      <c r="E31" t="s">
        <v>40</v>
      </c>
      <c r="F31">
        <v>649163</v>
      </c>
      <c r="G31">
        <v>20411454</v>
      </c>
      <c r="H31" t="s">
        <v>41</v>
      </c>
      <c r="I31">
        <v>2027871488</v>
      </c>
      <c r="J31" t="s">
        <v>87</v>
      </c>
      <c r="M31" t="s">
        <v>76</v>
      </c>
      <c r="O31">
        <v>816021</v>
      </c>
      <c r="P31" t="s">
        <v>77</v>
      </c>
      <c r="Q31" t="s">
        <v>45</v>
      </c>
      <c r="R31" t="s">
        <v>54</v>
      </c>
      <c r="S31" s="1">
        <v>45734</v>
      </c>
      <c r="U31" t="s">
        <v>47</v>
      </c>
      <c r="X31" t="s">
        <v>48</v>
      </c>
      <c r="Y31" s="2">
        <v>45.39</v>
      </c>
      <c r="Z31" s="2">
        <v>45.39</v>
      </c>
      <c r="AA31">
        <v>0</v>
      </c>
      <c r="AB31" s="3">
        <v>0.375</v>
      </c>
      <c r="AC31" s="2">
        <v>0</v>
      </c>
      <c r="AD31" s="3">
        <v>0</v>
      </c>
      <c r="AE31" s="2">
        <v>0</v>
      </c>
      <c r="AF31" s="2">
        <v>0</v>
      </c>
      <c r="AK31" s="4">
        <v>18252200</v>
      </c>
    </row>
    <row r="32" spans="1:37" x14ac:dyDescent="0.25">
      <c r="A32" s="1">
        <v>45744</v>
      </c>
      <c r="B32" s="1">
        <v>45740</v>
      </c>
      <c r="C32" t="s">
        <v>38</v>
      </c>
      <c r="D32" t="s">
        <v>39</v>
      </c>
      <c r="E32" t="s">
        <v>40</v>
      </c>
      <c r="F32">
        <v>649163</v>
      </c>
      <c r="G32">
        <v>20411454</v>
      </c>
      <c r="H32" t="s">
        <v>41</v>
      </c>
      <c r="I32">
        <v>2027871489</v>
      </c>
      <c r="J32" t="s">
        <v>87</v>
      </c>
      <c r="M32" t="s">
        <v>76</v>
      </c>
      <c r="O32">
        <v>816021</v>
      </c>
      <c r="P32" t="s">
        <v>77</v>
      </c>
      <c r="Q32" t="s">
        <v>45</v>
      </c>
      <c r="R32" t="s">
        <v>46</v>
      </c>
      <c r="S32" s="1">
        <v>45734</v>
      </c>
      <c r="U32" t="s">
        <v>47</v>
      </c>
      <c r="X32" t="s">
        <v>48</v>
      </c>
      <c r="Y32" s="2">
        <v>9.1</v>
      </c>
      <c r="Z32" s="2">
        <v>9.1</v>
      </c>
      <c r="AA32">
        <v>0</v>
      </c>
      <c r="AB32" s="3">
        <v>0.7</v>
      </c>
      <c r="AC32" s="2">
        <v>0</v>
      </c>
      <c r="AD32" s="3">
        <v>0</v>
      </c>
      <c r="AE32" s="2">
        <v>0</v>
      </c>
      <c r="AF32" s="2">
        <v>0</v>
      </c>
      <c r="AK32" s="4">
        <v>18238030</v>
      </c>
    </row>
    <row r="33" spans="1:37" x14ac:dyDescent="0.25">
      <c r="A33" s="1">
        <v>45744</v>
      </c>
      <c r="B33" s="1">
        <v>45740</v>
      </c>
      <c r="C33" t="s">
        <v>38</v>
      </c>
      <c r="D33" t="s">
        <v>39</v>
      </c>
      <c r="E33" t="s">
        <v>40</v>
      </c>
      <c r="F33">
        <v>649163</v>
      </c>
      <c r="G33">
        <v>20411454</v>
      </c>
      <c r="H33" t="s">
        <v>41</v>
      </c>
      <c r="I33">
        <v>2027874426</v>
      </c>
      <c r="J33" t="s">
        <v>88</v>
      </c>
      <c r="M33" t="s">
        <v>50</v>
      </c>
      <c r="O33">
        <v>651818</v>
      </c>
      <c r="P33" t="s">
        <v>63</v>
      </c>
      <c r="Q33" t="s">
        <v>45</v>
      </c>
      <c r="R33" t="s">
        <v>78</v>
      </c>
      <c r="S33" s="1">
        <v>45734</v>
      </c>
      <c r="U33" t="s">
        <v>47</v>
      </c>
      <c r="X33" t="s">
        <v>48</v>
      </c>
      <c r="Y33" s="2">
        <v>80.16</v>
      </c>
      <c r="Z33" s="2">
        <v>80.16</v>
      </c>
      <c r="AA33">
        <v>0</v>
      </c>
      <c r="AB33" s="3">
        <v>0.9</v>
      </c>
      <c r="AC33" s="2">
        <v>0</v>
      </c>
      <c r="AD33" s="3">
        <v>0</v>
      </c>
      <c r="AE33" s="2">
        <v>0</v>
      </c>
      <c r="AF33" s="2">
        <v>0</v>
      </c>
      <c r="AK33" s="4">
        <v>18246810</v>
      </c>
    </row>
    <row r="34" spans="1:37" x14ac:dyDescent="0.25">
      <c r="A34" s="1">
        <v>45744</v>
      </c>
      <c r="B34" s="1">
        <v>45740</v>
      </c>
      <c r="C34" t="s">
        <v>38</v>
      </c>
      <c r="D34" t="s">
        <v>39</v>
      </c>
      <c r="E34" t="s">
        <v>40</v>
      </c>
      <c r="F34">
        <v>649163</v>
      </c>
      <c r="G34">
        <v>20411454</v>
      </c>
      <c r="H34" t="s">
        <v>41</v>
      </c>
      <c r="I34">
        <v>2027874427</v>
      </c>
      <c r="J34" t="s">
        <v>88</v>
      </c>
      <c r="M34" t="s">
        <v>50</v>
      </c>
      <c r="O34">
        <v>651818</v>
      </c>
      <c r="P34" t="s">
        <v>63</v>
      </c>
      <c r="Q34" t="s">
        <v>45</v>
      </c>
      <c r="R34" t="s">
        <v>46</v>
      </c>
      <c r="S34" s="1">
        <v>45734</v>
      </c>
      <c r="U34" t="s">
        <v>47</v>
      </c>
      <c r="X34" t="s">
        <v>48</v>
      </c>
      <c r="Y34" s="2">
        <v>48.19</v>
      </c>
      <c r="Z34" s="2">
        <v>48.19</v>
      </c>
      <c r="AA34">
        <v>0</v>
      </c>
      <c r="AB34" s="3">
        <v>0.7</v>
      </c>
      <c r="AC34" s="2">
        <v>0</v>
      </c>
      <c r="AD34" s="3">
        <v>0</v>
      </c>
      <c r="AE34" s="2">
        <v>0</v>
      </c>
      <c r="AF34" s="2">
        <v>0</v>
      </c>
      <c r="AK34" s="4">
        <v>18238060</v>
      </c>
    </row>
    <row r="35" spans="1:37" x14ac:dyDescent="0.25">
      <c r="A35" s="1">
        <v>45744</v>
      </c>
      <c r="B35" s="1">
        <v>45740</v>
      </c>
      <c r="C35" t="s">
        <v>38</v>
      </c>
      <c r="D35" t="s">
        <v>39</v>
      </c>
      <c r="E35" t="s">
        <v>40</v>
      </c>
      <c r="F35">
        <v>649163</v>
      </c>
      <c r="G35">
        <v>20411454</v>
      </c>
      <c r="H35" t="s">
        <v>41</v>
      </c>
      <c r="I35">
        <v>2027883494</v>
      </c>
      <c r="J35" t="s">
        <v>89</v>
      </c>
      <c r="M35" t="s">
        <v>90</v>
      </c>
      <c r="O35">
        <v>728134</v>
      </c>
      <c r="P35" t="s">
        <v>91</v>
      </c>
      <c r="Q35" t="s">
        <v>45</v>
      </c>
      <c r="R35" t="s">
        <v>54</v>
      </c>
      <c r="S35" s="1">
        <v>45735</v>
      </c>
      <c r="U35" t="s">
        <v>47</v>
      </c>
      <c r="X35" t="s">
        <v>48</v>
      </c>
      <c r="Y35" s="2">
        <v>49.98</v>
      </c>
      <c r="Z35" s="2">
        <v>49.98</v>
      </c>
      <c r="AA35">
        <v>0</v>
      </c>
      <c r="AB35" s="3">
        <v>0.375</v>
      </c>
      <c r="AC35" s="2">
        <v>0</v>
      </c>
      <c r="AD35" s="3">
        <v>0</v>
      </c>
      <c r="AE35" s="2">
        <v>0</v>
      </c>
      <c r="AF35" s="2">
        <v>0</v>
      </c>
      <c r="AK35" s="4">
        <v>18252290</v>
      </c>
    </row>
    <row r="36" spans="1:37" x14ac:dyDescent="0.25">
      <c r="A36" s="1">
        <v>45744</v>
      </c>
      <c r="B36" s="1">
        <v>45740</v>
      </c>
      <c r="C36" t="s">
        <v>38</v>
      </c>
      <c r="D36" t="s">
        <v>39</v>
      </c>
      <c r="E36" t="s">
        <v>40</v>
      </c>
      <c r="F36">
        <v>649163</v>
      </c>
      <c r="G36">
        <v>20411454</v>
      </c>
      <c r="H36" t="s">
        <v>41</v>
      </c>
      <c r="I36">
        <v>2027883703</v>
      </c>
      <c r="J36" t="s">
        <v>92</v>
      </c>
      <c r="M36" t="s">
        <v>93</v>
      </c>
      <c r="O36">
        <v>767312</v>
      </c>
      <c r="P36" t="s">
        <v>44</v>
      </c>
      <c r="Q36" t="s">
        <v>45</v>
      </c>
      <c r="R36" t="s">
        <v>94</v>
      </c>
      <c r="S36" s="1">
        <v>45735</v>
      </c>
      <c r="U36" t="s">
        <v>47</v>
      </c>
      <c r="X36" t="s">
        <v>48</v>
      </c>
      <c r="Y36" s="2">
        <v>31.52</v>
      </c>
      <c r="Z36" s="2">
        <v>31.52</v>
      </c>
      <c r="AA36">
        <v>0</v>
      </c>
      <c r="AB36" s="3">
        <v>0.47</v>
      </c>
      <c r="AC36" s="2">
        <v>0</v>
      </c>
      <c r="AD36" s="3">
        <v>0</v>
      </c>
      <c r="AE36" s="2">
        <v>0</v>
      </c>
      <c r="AF36" s="2">
        <v>0</v>
      </c>
      <c r="AK36" s="4">
        <v>18252300</v>
      </c>
    </row>
    <row r="37" spans="1:37" x14ac:dyDescent="0.25">
      <c r="A37" s="1">
        <v>45744</v>
      </c>
      <c r="B37" s="1">
        <v>45740</v>
      </c>
      <c r="C37" t="s">
        <v>38</v>
      </c>
      <c r="D37" t="s">
        <v>39</v>
      </c>
      <c r="E37" t="s">
        <v>40</v>
      </c>
      <c r="F37">
        <v>649163</v>
      </c>
      <c r="G37">
        <v>20411454</v>
      </c>
      <c r="H37" t="s">
        <v>41</v>
      </c>
      <c r="I37">
        <v>2027884610</v>
      </c>
      <c r="J37" t="s">
        <v>95</v>
      </c>
      <c r="M37" t="s">
        <v>50</v>
      </c>
      <c r="O37">
        <v>821015</v>
      </c>
      <c r="P37" t="s">
        <v>96</v>
      </c>
      <c r="Q37" t="s">
        <v>45</v>
      </c>
      <c r="R37" t="s">
        <v>46</v>
      </c>
      <c r="S37" s="1">
        <v>45740</v>
      </c>
      <c r="U37" t="s">
        <v>47</v>
      </c>
      <c r="X37" t="s">
        <v>48</v>
      </c>
      <c r="Y37" s="2">
        <v>80.16</v>
      </c>
      <c r="Z37" s="2">
        <v>80.16</v>
      </c>
      <c r="AA37">
        <v>0</v>
      </c>
      <c r="AB37" s="3">
        <v>0.7</v>
      </c>
      <c r="AC37" s="2">
        <v>0</v>
      </c>
      <c r="AD37" s="3">
        <v>0</v>
      </c>
      <c r="AE37" s="2">
        <v>0</v>
      </c>
      <c r="AF37" s="2">
        <v>0</v>
      </c>
      <c r="AK37" s="4">
        <v>18238120</v>
      </c>
    </row>
    <row r="38" spans="1:37" x14ac:dyDescent="0.25">
      <c r="A38" s="1">
        <v>45744</v>
      </c>
      <c r="B38" s="1">
        <v>45740</v>
      </c>
      <c r="C38" t="s">
        <v>38</v>
      </c>
      <c r="D38" t="s">
        <v>39</v>
      </c>
      <c r="E38" t="s">
        <v>40</v>
      </c>
      <c r="F38">
        <v>649163</v>
      </c>
      <c r="G38">
        <v>20411454</v>
      </c>
      <c r="H38" t="s">
        <v>41</v>
      </c>
      <c r="I38">
        <v>2027884611</v>
      </c>
      <c r="J38" t="s">
        <v>95</v>
      </c>
      <c r="M38" t="s">
        <v>50</v>
      </c>
      <c r="O38">
        <v>821015</v>
      </c>
      <c r="P38" t="s">
        <v>96</v>
      </c>
      <c r="Q38" t="s">
        <v>45</v>
      </c>
      <c r="R38" t="s">
        <v>54</v>
      </c>
      <c r="S38" s="1">
        <v>45740</v>
      </c>
      <c r="U38" t="s">
        <v>47</v>
      </c>
      <c r="X38" t="s">
        <v>48</v>
      </c>
      <c r="Y38" s="2">
        <v>57.11</v>
      </c>
      <c r="Z38" s="2">
        <v>57.11</v>
      </c>
      <c r="AA38">
        <v>0</v>
      </c>
      <c r="AB38" s="3">
        <v>0.375</v>
      </c>
      <c r="AC38" s="2">
        <v>0</v>
      </c>
      <c r="AD38" s="3">
        <v>0</v>
      </c>
      <c r="AE38" s="2">
        <v>0</v>
      </c>
      <c r="AF38" s="2">
        <v>0</v>
      </c>
      <c r="AK38" s="4">
        <v>18252300</v>
      </c>
    </row>
    <row r="39" spans="1:37" x14ac:dyDescent="0.25">
      <c r="A39" s="1">
        <v>45744</v>
      </c>
      <c r="B39" s="1">
        <v>45740</v>
      </c>
      <c r="C39" t="s">
        <v>38</v>
      </c>
      <c r="D39" t="s">
        <v>39</v>
      </c>
      <c r="E39" t="s">
        <v>40</v>
      </c>
      <c r="F39">
        <v>649163</v>
      </c>
      <c r="G39">
        <v>20411454</v>
      </c>
      <c r="H39" t="s">
        <v>41</v>
      </c>
      <c r="I39">
        <v>2027888085</v>
      </c>
      <c r="J39" t="s">
        <v>97</v>
      </c>
      <c r="M39" t="s">
        <v>43</v>
      </c>
      <c r="O39">
        <v>806645</v>
      </c>
      <c r="P39" t="s">
        <v>72</v>
      </c>
      <c r="Q39" t="s">
        <v>45</v>
      </c>
      <c r="R39" t="s">
        <v>46</v>
      </c>
      <c r="S39" s="1">
        <v>45735</v>
      </c>
      <c r="U39" t="s">
        <v>47</v>
      </c>
      <c r="X39" t="s">
        <v>48</v>
      </c>
      <c r="Y39" s="2">
        <v>143.15</v>
      </c>
      <c r="Z39" s="2">
        <v>143.15</v>
      </c>
      <c r="AA39">
        <v>0</v>
      </c>
      <c r="AB39" s="3">
        <v>0.7</v>
      </c>
      <c r="AC39" s="2">
        <v>0</v>
      </c>
      <c r="AD39" s="3">
        <v>0</v>
      </c>
      <c r="AE39" s="2">
        <v>0</v>
      </c>
      <c r="AF39" s="2">
        <v>0</v>
      </c>
      <c r="AK39" s="4">
        <v>18238150</v>
      </c>
    </row>
    <row r="40" spans="1:37" x14ac:dyDescent="0.25">
      <c r="A40" s="1">
        <v>45744</v>
      </c>
      <c r="B40" s="1">
        <v>45740</v>
      </c>
      <c r="C40" t="s">
        <v>38</v>
      </c>
      <c r="D40" t="s">
        <v>39</v>
      </c>
      <c r="E40" t="s">
        <v>40</v>
      </c>
      <c r="F40">
        <v>649163</v>
      </c>
      <c r="G40">
        <v>20411454</v>
      </c>
      <c r="H40" t="s">
        <v>41</v>
      </c>
      <c r="I40">
        <v>2027888086</v>
      </c>
      <c r="J40" t="s">
        <v>97</v>
      </c>
      <c r="M40" t="s">
        <v>43</v>
      </c>
      <c r="O40">
        <v>806645</v>
      </c>
      <c r="P40" t="s">
        <v>72</v>
      </c>
      <c r="Q40" t="s">
        <v>45</v>
      </c>
      <c r="R40" t="s">
        <v>54</v>
      </c>
      <c r="S40" s="1">
        <v>45735</v>
      </c>
      <c r="U40" t="s">
        <v>47</v>
      </c>
      <c r="X40" t="s">
        <v>48</v>
      </c>
      <c r="Y40" s="2">
        <v>120.04</v>
      </c>
      <c r="Z40" s="2">
        <v>120.04</v>
      </c>
      <c r="AA40">
        <v>0</v>
      </c>
      <c r="AB40" s="3">
        <v>0.375</v>
      </c>
      <c r="AC40" s="2">
        <v>0</v>
      </c>
      <c r="AD40" s="3">
        <v>0</v>
      </c>
      <c r="AE40" s="2">
        <v>0</v>
      </c>
      <c r="AF40" s="2">
        <v>0</v>
      </c>
      <c r="AK40" s="4">
        <v>18252340</v>
      </c>
    </row>
    <row r="41" spans="1:37" x14ac:dyDescent="0.25">
      <c r="A41" s="1">
        <v>45744</v>
      </c>
      <c r="B41" s="1">
        <v>45740</v>
      </c>
      <c r="C41" t="s">
        <v>38</v>
      </c>
      <c r="D41" t="s">
        <v>39</v>
      </c>
      <c r="E41" t="s">
        <v>40</v>
      </c>
      <c r="F41">
        <v>649163</v>
      </c>
      <c r="G41">
        <v>20411454</v>
      </c>
      <c r="H41" t="s">
        <v>41</v>
      </c>
      <c r="I41">
        <v>2027889655</v>
      </c>
      <c r="J41" t="s">
        <v>98</v>
      </c>
      <c r="M41" t="s">
        <v>99</v>
      </c>
      <c r="O41">
        <v>673059</v>
      </c>
      <c r="P41" t="s">
        <v>57</v>
      </c>
      <c r="Q41" t="s">
        <v>45</v>
      </c>
      <c r="R41" t="s">
        <v>54</v>
      </c>
      <c r="S41" s="1">
        <v>45735</v>
      </c>
      <c r="U41" t="s">
        <v>47</v>
      </c>
      <c r="X41" t="s">
        <v>100</v>
      </c>
      <c r="Y41" s="2">
        <v>47.79</v>
      </c>
      <c r="Z41" s="2">
        <v>47.79</v>
      </c>
      <c r="AA41">
        <v>0</v>
      </c>
      <c r="AB41" s="3">
        <v>0.375</v>
      </c>
      <c r="AC41" s="2">
        <v>0</v>
      </c>
      <c r="AD41" s="3">
        <v>0</v>
      </c>
      <c r="AE41" s="2">
        <v>0</v>
      </c>
      <c r="AF41" s="2">
        <v>0</v>
      </c>
      <c r="AK41" s="4">
        <v>18252350</v>
      </c>
    </row>
    <row r="42" spans="1:37" x14ac:dyDescent="0.25">
      <c r="A42" s="1">
        <v>45744</v>
      </c>
      <c r="B42" s="1">
        <v>45740</v>
      </c>
      <c r="C42" t="s">
        <v>38</v>
      </c>
      <c r="D42" t="s">
        <v>39</v>
      </c>
      <c r="E42" t="s">
        <v>40</v>
      </c>
      <c r="F42">
        <v>649163</v>
      </c>
      <c r="G42">
        <v>20411454</v>
      </c>
      <c r="H42" t="s">
        <v>41</v>
      </c>
      <c r="I42">
        <v>2027895298</v>
      </c>
      <c r="J42" t="s">
        <v>101</v>
      </c>
      <c r="M42" t="s">
        <v>50</v>
      </c>
      <c r="O42">
        <v>820873</v>
      </c>
      <c r="P42" t="s">
        <v>102</v>
      </c>
      <c r="Q42" t="s">
        <v>45</v>
      </c>
      <c r="R42" t="s">
        <v>64</v>
      </c>
      <c r="S42" s="1">
        <v>45735</v>
      </c>
      <c r="U42" t="s">
        <v>47</v>
      </c>
      <c r="X42" t="s">
        <v>48</v>
      </c>
      <c r="Y42" s="2">
        <v>166.25</v>
      </c>
      <c r="Z42" s="2">
        <v>166.25</v>
      </c>
      <c r="AA42">
        <v>0</v>
      </c>
      <c r="AB42" s="3">
        <v>0.75</v>
      </c>
      <c r="AC42" s="2">
        <v>0</v>
      </c>
      <c r="AD42" s="3">
        <v>0</v>
      </c>
      <c r="AE42" s="2">
        <v>0</v>
      </c>
      <c r="AF42" s="2">
        <v>0</v>
      </c>
      <c r="AK42" s="4">
        <v>18246840</v>
      </c>
    </row>
    <row r="43" spans="1:37" x14ac:dyDescent="0.25">
      <c r="A43" s="1">
        <v>45744</v>
      </c>
      <c r="B43" s="1">
        <v>45740</v>
      </c>
      <c r="C43" t="s">
        <v>38</v>
      </c>
      <c r="D43" t="s">
        <v>39</v>
      </c>
      <c r="E43" t="s">
        <v>40</v>
      </c>
      <c r="F43">
        <v>649163</v>
      </c>
      <c r="G43">
        <v>20411454</v>
      </c>
      <c r="H43" t="s">
        <v>41</v>
      </c>
      <c r="I43">
        <v>2027895299</v>
      </c>
      <c r="J43" t="s">
        <v>101</v>
      </c>
      <c r="M43" t="s">
        <v>50</v>
      </c>
      <c r="O43">
        <v>820873</v>
      </c>
      <c r="P43" t="s">
        <v>102</v>
      </c>
      <c r="Q43" t="s">
        <v>45</v>
      </c>
      <c r="R43" t="s">
        <v>46</v>
      </c>
      <c r="S43" s="1">
        <v>45735</v>
      </c>
      <c r="U43" t="s">
        <v>47</v>
      </c>
      <c r="X43" t="s">
        <v>48</v>
      </c>
      <c r="Y43" s="2">
        <v>62.75</v>
      </c>
      <c r="Z43" s="2">
        <v>62.75</v>
      </c>
      <c r="AA43">
        <v>0</v>
      </c>
      <c r="AB43" s="3">
        <v>0.7</v>
      </c>
      <c r="AC43" s="2">
        <v>0</v>
      </c>
      <c r="AD43" s="3">
        <v>0</v>
      </c>
      <c r="AE43" s="2">
        <v>0</v>
      </c>
      <c r="AF43" s="2">
        <v>0</v>
      </c>
      <c r="AK43" s="4">
        <v>18238200</v>
      </c>
    </row>
    <row r="44" spans="1:37" x14ac:dyDescent="0.25">
      <c r="A44" s="1">
        <v>45744</v>
      </c>
      <c r="B44" s="1">
        <v>45740</v>
      </c>
      <c r="C44" t="s">
        <v>38</v>
      </c>
      <c r="D44" t="s">
        <v>39</v>
      </c>
      <c r="E44" t="s">
        <v>40</v>
      </c>
      <c r="F44">
        <v>649163</v>
      </c>
      <c r="G44">
        <v>20411454</v>
      </c>
      <c r="H44" t="s">
        <v>41</v>
      </c>
      <c r="I44">
        <v>2027903851</v>
      </c>
      <c r="J44" t="s">
        <v>103</v>
      </c>
      <c r="M44" t="s">
        <v>104</v>
      </c>
      <c r="O44">
        <v>673059</v>
      </c>
      <c r="P44" t="s">
        <v>57</v>
      </c>
      <c r="Q44" t="s">
        <v>45</v>
      </c>
      <c r="R44" t="s">
        <v>46</v>
      </c>
      <c r="S44" s="1">
        <v>45743</v>
      </c>
      <c r="U44" t="s">
        <v>47</v>
      </c>
      <c r="X44" t="s">
        <v>48</v>
      </c>
      <c r="Y44" s="2">
        <v>76.489999999999995</v>
      </c>
      <c r="Z44" s="2">
        <v>76.489999999999995</v>
      </c>
      <c r="AA44">
        <v>0</v>
      </c>
      <c r="AB44" s="3">
        <v>0.7</v>
      </c>
      <c r="AC44" s="2">
        <v>0</v>
      </c>
      <c r="AD44" s="3">
        <v>0</v>
      </c>
      <c r="AE44" s="2">
        <v>0</v>
      </c>
      <c r="AF44" s="2">
        <v>0</v>
      </c>
      <c r="AK44" s="4">
        <v>18238250</v>
      </c>
    </row>
    <row r="45" spans="1:37" x14ac:dyDescent="0.25">
      <c r="A45" s="1">
        <v>45744</v>
      </c>
      <c r="B45" s="1">
        <v>45740</v>
      </c>
      <c r="C45" t="s">
        <v>38</v>
      </c>
      <c r="D45" t="s">
        <v>39</v>
      </c>
      <c r="E45" t="s">
        <v>40</v>
      </c>
      <c r="F45">
        <v>649163</v>
      </c>
      <c r="G45">
        <v>20411454</v>
      </c>
      <c r="H45" t="s">
        <v>41</v>
      </c>
      <c r="I45">
        <v>2027913472</v>
      </c>
      <c r="J45" t="s">
        <v>105</v>
      </c>
      <c r="M45" t="s">
        <v>76</v>
      </c>
      <c r="O45">
        <v>816021</v>
      </c>
      <c r="P45" t="s">
        <v>77</v>
      </c>
      <c r="Q45" t="s">
        <v>45</v>
      </c>
      <c r="R45" t="s">
        <v>46</v>
      </c>
      <c r="S45" s="1">
        <v>45738</v>
      </c>
      <c r="U45" t="s">
        <v>47</v>
      </c>
      <c r="X45" t="s">
        <v>48</v>
      </c>
      <c r="Y45" s="2">
        <v>7.89</v>
      </c>
      <c r="Z45" s="2">
        <v>7.89</v>
      </c>
      <c r="AA45">
        <v>0</v>
      </c>
      <c r="AB45" s="3">
        <v>0.7</v>
      </c>
      <c r="AC45" s="2">
        <v>0</v>
      </c>
      <c r="AD45" s="3">
        <v>0</v>
      </c>
      <c r="AE45" s="2">
        <v>0</v>
      </c>
      <c r="AF45" s="2">
        <v>0</v>
      </c>
      <c r="AK45" s="4">
        <v>18238300</v>
      </c>
    </row>
    <row r="46" spans="1:37" x14ac:dyDescent="0.25">
      <c r="A46" s="1">
        <v>45744</v>
      </c>
      <c r="B46" s="1">
        <v>45740</v>
      </c>
      <c r="C46" t="s">
        <v>38</v>
      </c>
      <c r="D46" t="s">
        <v>39</v>
      </c>
      <c r="E46" t="s">
        <v>40</v>
      </c>
      <c r="F46">
        <v>649163</v>
      </c>
      <c r="G46">
        <v>20411454</v>
      </c>
      <c r="H46" t="s">
        <v>41</v>
      </c>
      <c r="I46">
        <v>2027913473</v>
      </c>
      <c r="J46" t="s">
        <v>105</v>
      </c>
      <c r="M46" t="s">
        <v>76</v>
      </c>
      <c r="O46">
        <v>816021</v>
      </c>
      <c r="P46" t="s">
        <v>77</v>
      </c>
      <c r="Q46" t="s">
        <v>45</v>
      </c>
      <c r="R46" t="s">
        <v>79</v>
      </c>
      <c r="S46" s="1">
        <v>45738</v>
      </c>
      <c r="U46" t="s">
        <v>47</v>
      </c>
      <c r="X46" t="s">
        <v>48</v>
      </c>
      <c r="Y46" s="2">
        <v>40.270000000000003</v>
      </c>
      <c r="Z46" s="2">
        <v>40.270000000000003</v>
      </c>
      <c r="AA46">
        <v>0</v>
      </c>
      <c r="AB46" s="3">
        <v>0.38</v>
      </c>
      <c r="AC46" s="2">
        <v>0</v>
      </c>
      <c r="AD46" s="3">
        <v>0</v>
      </c>
      <c r="AE46" s="2">
        <v>0</v>
      </c>
      <c r="AF46" s="2">
        <v>0</v>
      </c>
      <c r="AK46" s="4">
        <v>18253510</v>
      </c>
    </row>
    <row r="47" spans="1:37" x14ac:dyDescent="0.25">
      <c r="A47" s="1">
        <v>45744</v>
      </c>
      <c r="B47" s="1">
        <v>45740</v>
      </c>
      <c r="C47" t="s">
        <v>38</v>
      </c>
      <c r="D47" t="s">
        <v>39</v>
      </c>
      <c r="E47" t="s">
        <v>40</v>
      </c>
      <c r="F47">
        <v>649163</v>
      </c>
      <c r="G47">
        <v>20411454</v>
      </c>
      <c r="H47" t="s">
        <v>41</v>
      </c>
      <c r="I47">
        <v>2027913474</v>
      </c>
      <c r="J47" t="s">
        <v>105</v>
      </c>
      <c r="M47" t="s">
        <v>76</v>
      </c>
      <c r="O47">
        <v>816021</v>
      </c>
      <c r="P47" t="s">
        <v>77</v>
      </c>
      <c r="Q47" t="s">
        <v>45</v>
      </c>
      <c r="R47" t="s">
        <v>78</v>
      </c>
      <c r="S47" s="1">
        <v>45738</v>
      </c>
      <c r="U47" t="s">
        <v>47</v>
      </c>
      <c r="X47" t="s">
        <v>48</v>
      </c>
      <c r="Y47" s="2">
        <v>111.54</v>
      </c>
      <c r="Z47" s="2">
        <v>111.54</v>
      </c>
      <c r="AA47">
        <v>0</v>
      </c>
      <c r="AB47" s="3">
        <v>0.9</v>
      </c>
      <c r="AC47" s="2">
        <v>0</v>
      </c>
      <c r="AD47" s="3">
        <v>0</v>
      </c>
      <c r="AE47" s="2">
        <v>0</v>
      </c>
      <c r="AF47" s="2">
        <v>0</v>
      </c>
      <c r="AK47" s="4">
        <v>18246890</v>
      </c>
    </row>
    <row r="48" spans="1:37" x14ac:dyDescent="0.25">
      <c r="A48" s="1">
        <v>45744</v>
      </c>
      <c r="B48" s="1">
        <v>45740</v>
      </c>
      <c r="C48" t="s">
        <v>38</v>
      </c>
      <c r="D48" t="s">
        <v>39</v>
      </c>
      <c r="E48" t="s">
        <v>40</v>
      </c>
      <c r="F48">
        <v>649163</v>
      </c>
      <c r="G48">
        <v>20411454</v>
      </c>
      <c r="H48" t="s">
        <v>41</v>
      </c>
      <c r="I48">
        <v>2027914615</v>
      </c>
      <c r="J48" t="s">
        <v>106</v>
      </c>
      <c r="M48" t="s">
        <v>76</v>
      </c>
      <c r="O48">
        <v>816021</v>
      </c>
      <c r="P48" t="s">
        <v>77</v>
      </c>
      <c r="Q48" t="s">
        <v>45</v>
      </c>
      <c r="R48" t="s">
        <v>54</v>
      </c>
      <c r="S48" s="1">
        <v>45738</v>
      </c>
      <c r="U48" t="s">
        <v>47</v>
      </c>
      <c r="X48" t="s">
        <v>100</v>
      </c>
      <c r="Y48" s="2">
        <v>45.39</v>
      </c>
      <c r="Z48" s="2">
        <v>45.39</v>
      </c>
      <c r="AA48">
        <v>0</v>
      </c>
      <c r="AB48" s="3">
        <v>0.375</v>
      </c>
      <c r="AC48" s="2">
        <v>0</v>
      </c>
      <c r="AD48" s="3">
        <v>0</v>
      </c>
      <c r="AE48" s="2">
        <v>0</v>
      </c>
      <c r="AF48" s="2">
        <v>0</v>
      </c>
      <c r="AK48" s="4">
        <v>18252500</v>
      </c>
    </row>
    <row r="49" spans="1:37" x14ac:dyDescent="0.25">
      <c r="A49" s="1">
        <v>45744</v>
      </c>
      <c r="B49" s="1">
        <v>45740</v>
      </c>
      <c r="C49" t="s">
        <v>38</v>
      </c>
      <c r="D49" t="s">
        <v>39</v>
      </c>
      <c r="E49" t="s">
        <v>40</v>
      </c>
      <c r="F49">
        <v>649163</v>
      </c>
      <c r="G49">
        <v>20411454</v>
      </c>
      <c r="H49" t="s">
        <v>41</v>
      </c>
      <c r="I49">
        <v>2027914616</v>
      </c>
      <c r="J49" t="s">
        <v>106</v>
      </c>
      <c r="M49" t="s">
        <v>76</v>
      </c>
      <c r="O49">
        <v>816021</v>
      </c>
      <c r="P49" t="s">
        <v>77</v>
      </c>
      <c r="Q49" t="s">
        <v>45</v>
      </c>
      <c r="R49" t="s">
        <v>46</v>
      </c>
      <c r="S49" s="1">
        <v>45738</v>
      </c>
      <c r="U49" t="s">
        <v>47</v>
      </c>
      <c r="X49" t="s">
        <v>100</v>
      </c>
      <c r="Y49" s="2">
        <v>9.1</v>
      </c>
      <c r="Z49" s="2">
        <v>9.1</v>
      </c>
      <c r="AA49">
        <v>0</v>
      </c>
      <c r="AB49" s="3">
        <v>0.7</v>
      </c>
      <c r="AC49" s="2">
        <v>0</v>
      </c>
      <c r="AD49" s="3">
        <v>0</v>
      </c>
      <c r="AE49" s="2">
        <v>0</v>
      </c>
      <c r="AF49" s="2">
        <v>0</v>
      </c>
      <c r="AK49" s="4">
        <v>18238300</v>
      </c>
    </row>
    <row r="50" spans="1:37" x14ac:dyDescent="0.25">
      <c r="A50" s="1">
        <v>45744</v>
      </c>
      <c r="B50" s="1">
        <v>45740</v>
      </c>
      <c r="C50" t="s">
        <v>38</v>
      </c>
      <c r="D50" t="s">
        <v>39</v>
      </c>
      <c r="E50" t="s">
        <v>40</v>
      </c>
      <c r="F50">
        <v>649163</v>
      </c>
      <c r="G50">
        <v>20411454</v>
      </c>
      <c r="H50" t="s">
        <v>41</v>
      </c>
      <c r="I50">
        <v>2027914617</v>
      </c>
      <c r="J50" t="s">
        <v>106</v>
      </c>
      <c r="M50" t="s">
        <v>76</v>
      </c>
      <c r="O50">
        <v>816021</v>
      </c>
      <c r="P50" t="s">
        <v>77</v>
      </c>
      <c r="Q50" t="s">
        <v>45</v>
      </c>
      <c r="R50" t="s">
        <v>107</v>
      </c>
      <c r="S50" s="1">
        <v>45738</v>
      </c>
      <c r="U50" t="s">
        <v>47</v>
      </c>
      <c r="X50" t="s">
        <v>100</v>
      </c>
      <c r="Y50" s="2">
        <v>65.28</v>
      </c>
      <c r="Z50" s="2">
        <v>65.28</v>
      </c>
      <c r="AA50">
        <v>0</v>
      </c>
      <c r="AB50" s="3">
        <v>0.65</v>
      </c>
      <c r="AC50" s="2">
        <v>0</v>
      </c>
      <c r="AD50" s="3">
        <v>0</v>
      </c>
      <c r="AE50" s="2">
        <v>0</v>
      </c>
      <c r="AF50" s="2">
        <v>0</v>
      </c>
      <c r="AK50" s="4">
        <v>18246890</v>
      </c>
    </row>
    <row r="51" spans="1:37" x14ac:dyDescent="0.25">
      <c r="A51" s="1">
        <v>45744</v>
      </c>
      <c r="B51" s="1">
        <v>45740</v>
      </c>
      <c r="C51" t="s">
        <v>38</v>
      </c>
      <c r="D51" t="s">
        <v>39</v>
      </c>
      <c r="E51" t="s">
        <v>40</v>
      </c>
      <c r="F51">
        <v>649163</v>
      </c>
      <c r="G51">
        <v>20411454</v>
      </c>
      <c r="H51" t="s">
        <v>41</v>
      </c>
      <c r="I51">
        <v>2027916110</v>
      </c>
      <c r="J51" t="s">
        <v>108</v>
      </c>
      <c r="M51" t="s">
        <v>50</v>
      </c>
      <c r="O51">
        <v>651818</v>
      </c>
      <c r="P51" t="s">
        <v>63</v>
      </c>
      <c r="Q51" t="s">
        <v>45</v>
      </c>
      <c r="R51" t="s">
        <v>46</v>
      </c>
      <c r="S51" s="1">
        <v>45737</v>
      </c>
      <c r="U51" t="s">
        <v>47</v>
      </c>
      <c r="X51" t="s">
        <v>48</v>
      </c>
      <c r="Y51" s="2">
        <v>49.8</v>
      </c>
      <c r="Z51" s="2">
        <v>49.8</v>
      </c>
      <c r="AA51">
        <v>0</v>
      </c>
      <c r="AB51" s="3">
        <v>0.7</v>
      </c>
      <c r="AC51" s="2">
        <v>0</v>
      </c>
      <c r="AD51" s="3">
        <v>0</v>
      </c>
      <c r="AE51" s="2">
        <v>0</v>
      </c>
      <c r="AF51" s="2">
        <v>0</v>
      </c>
      <c r="AK51" s="4">
        <v>18238320</v>
      </c>
    </row>
    <row r="52" spans="1:37" x14ac:dyDescent="0.25">
      <c r="A52" s="1">
        <v>45744</v>
      </c>
      <c r="B52" s="1">
        <v>45740</v>
      </c>
      <c r="C52" t="s">
        <v>38</v>
      </c>
      <c r="D52" t="s">
        <v>39</v>
      </c>
      <c r="E52" t="s">
        <v>40</v>
      </c>
      <c r="F52">
        <v>649163</v>
      </c>
      <c r="G52">
        <v>20411454</v>
      </c>
      <c r="H52" t="s">
        <v>41</v>
      </c>
      <c r="I52">
        <v>2027916111</v>
      </c>
      <c r="J52" t="s">
        <v>108</v>
      </c>
      <c r="M52" t="s">
        <v>50</v>
      </c>
      <c r="O52">
        <v>651818</v>
      </c>
      <c r="P52" t="s">
        <v>63</v>
      </c>
      <c r="Q52" t="s">
        <v>45</v>
      </c>
      <c r="R52" t="s">
        <v>64</v>
      </c>
      <c r="S52" s="1">
        <v>45737</v>
      </c>
      <c r="U52" t="s">
        <v>47</v>
      </c>
      <c r="X52" t="s">
        <v>48</v>
      </c>
      <c r="Y52" s="2">
        <v>28.23</v>
      </c>
      <c r="Z52" s="2">
        <v>28.23</v>
      </c>
      <c r="AA52">
        <v>0</v>
      </c>
      <c r="AB52" s="3">
        <v>0.75</v>
      </c>
      <c r="AC52" s="2">
        <v>0</v>
      </c>
      <c r="AD52" s="3">
        <v>0</v>
      </c>
      <c r="AE52" s="2">
        <v>0</v>
      </c>
      <c r="AF52" s="2">
        <v>0</v>
      </c>
      <c r="AK52" s="4">
        <v>18246910</v>
      </c>
    </row>
    <row r="53" spans="1:37" x14ac:dyDescent="0.25">
      <c r="A53" s="1">
        <v>45744</v>
      </c>
      <c r="B53" s="1">
        <v>45740</v>
      </c>
      <c r="C53" t="s">
        <v>38</v>
      </c>
      <c r="D53" t="s">
        <v>39</v>
      </c>
      <c r="E53" t="s">
        <v>40</v>
      </c>
      <c r="F53">
        <v>649163</v>
      </c>
      <c r="G53">
        <v>20411454</v>
      </c>
      <c r="H53" t="s">
        <v>41</v>
      </c>
      <c r="I53">
        <v>2027916436</v>
      </c>
      <c r="J53" t="s">
        <v>109</v>
      </c>
      <c r="M53" t="s">
        <v>50</v>
      </c>
      <c r="O53">
        <v>856824</v>
      </c>
      <c r="P53" t="s">
        <v>110</v>
      </c>
      <c r="Q53" t="s">
        <v>45</v>
      </c>
      <c r="R53" t="s">
        <v>54</v>
      </c>
      <c r="S53" s="1">
        <v>45748</v>
      </c>
      <c r="U53" t="s">
        <v>47</v>
      </c>
      <c r="X53" t="s">
        <v>48</v>
      </c>
      <c r="Y53" s="2">
        <v>22.52</v>
      </c>
      <c r="Z53" s="2">
        <v>22.52</v>
      </c>
      <c r="AA53">
        <v>0</v>
      </c>
      <c r="AB53" s="3">
        <v>0.375</v>
      </c>
      <c r="AC53" s="2">
        <v>0</v>
      </c>
      <c r="AD53" s="3">
        <v>0</v>
      </c>
      <c r="AE53" s="2">
        <v>0</v>
      </c>
      <c r="AF53" s="2">
        <v>0</v>
      </c>
      <c r="AK53" s="4">
        <v>18252510</v>
      </c>
    </row>
    <row r="54" spans="1:37" x14ac:dyDescent="0.25">
      <c r="A54" s="1">
        <v>45744</v>
      </c>
      <c r="B54" s="1">
        <v>45740</v>
      </c>
      <c r="C54" t="s">
        <v>38</v>
      </c>
      <c r="D54" t="s">
        <v>39</v>
      </c>
      <c r="E54" t="s">
        <v>40</v>
      </c>
      <c r="F54">
        <v>649163</v>
      </c>
      <c r="G54">
        <v>20411454</v>
      </c>
      <c r="H54" t="s">
        <v>41</v>
      </c>
      <c r="I54">
        <v>2027920262</v>
      </c>
      <c r="J54" t="s">
        <v>106</v>
      </c>
      <c r="M54" t="s">
        <v>76</v>
      </c>
      <c r="O54">
        <v>816021</v>
      </c>
      <c r="P54" t="s">
        <v>77</v>
      </c>
      <c r="Q54" t="s">
        <v>45</v>
      </c>
      <c r="R54" t="s">
        <v>54</v>
      </c>
      <c r="S54" s="1">
        <v>45744</v>
      </c>
      <c r="U54" t="s">
        <v>47</v>
      </c>
      <c r="X54" t="s">
        <v>48</v>
      </c>
      <c r="Y54" s="2">
        <v>53.08</v>
      </c>
      <c r="Z54" s="2">
        <v>53.08</v>
      </c>
      <c r="AA54">
        <v>0</v>
      </c>
      <c r="AB54" s="3">
        <v>0.375</v>
      </c>
      <c r="AC54" s="2">
        <v>0</v>
      </c>
      <c r="AD54" s="3">
        <v>0</v>
      </c>
      <c r="AE54" s="2">
        <v>0</v>
      </c>
      <c r="AF54" s="2">
        <v>0</v>
      </c>
      <c r="AK54" s="4">
        <v>18252560</v>
      </c>
    </row>
    <row r="55" spans="1:37" x14ac:dyDescent="0.25">
      <c r="A55" s="1">
        <v>45744</v>
      </c>
      <c r="B55" s="1">
        <v>45740</v>
      </c>
      <c r="C55" t="s">
        <v>38</v>
      </c>
      <c r="D55" t="s">
        <v>39</v>
      </c>
      <c r="E55" t="s">
        <v>40</v>
      </c>
      <c r="F55">
        <v>649163</v>
      </c>
      <c r="G55">
        <v>20411454</v>
      </c>
      <c r="H55" t="s">
        <v>41</v>
      </c>
      <c r="I55">
        <v>2027920263</v>
      </c>
      <c r="J55" t="s">
        <v>106</v>
      </c>
      <c r="M55" t="s">
        <v>76</v>
      </c>
      <c r="O55">
        <v>816021</v>
      </c>
      <c r="P55" t="s">
        <v>77</v>
      </c>
      <c r="Q55" t="s">
        <v>45</v>
      </c>
      <c r="R55" t="s">
        <v>46</v>
      </c>
      <c r="S55" s="1">
        <v>45744</v>
      </c>
      <c r="U55" t="s">
        <v>47</v>
      </c>
      <c r="X55" t="s">
        <v>48</v>
      </c>
      <c r="Y55" s="2">
        <v>9.1</v>
      </c>
      <c r="Z55" s="2">
        <v>9.1</v>
      </c>
      <c r="AA55">
        <v>0</v>
      </c>
      <c r="AB55" s="3">
        <v>0.7</v>
      </c>
      <c r="AC55" s="2">
        <v>0</v>
      </c>
      <c r="AD55" s="3">
        <v>0</v>
      </c>
      <c r="AE55" s="2">
        <v>0</v>
      </c>
      <c r="AF55" s="2">
        <v>0</v>
      </c>
      <c r="AK55" s="4">
        <v>18238340</v>
      </c>
    </row>
    <row r="56" spans="1:37" x14ac:dyDescent="0.25">
      <c r="A56" s="1">
        <v>45744</v>
      </c>
      <c r="B56" s="1">
        <v>45740</v>
      </c>
      <c r="C56" t="s">
        <v>38</v>
      </c>
      <c r="D56" t="s">
        <v>39</v>
      </c>
      <c r="E56" t="s">
        <v>40</v>
      </c>
      <c r="F56">
        <v>649163</v>
      </c>
      <c r="G56">
        <v>20411454</v>
      </c>
      <c r="H56" t="s">
        <v>41</v>
      </c>
      <c r="I56">
        <v>2027920264</v>
      </c>
      <c r="J56" t="s">
        <v>106</v>
      </c>
      <c r="M56" t="s">
        <v>76</v>
      </c>
      <c r="O56">
        <v>816021</v>
      </c>
      <c r="P56" t="s">
        <v>77</v>
      </c>
      <c r="Q56" t="s">
        <v>45</v>
      </c>
      <c r="R56" t="s">
        <v>107</v>
      </c>
      <c r="S56" s="1">
        <v>45744</v>
      </c>
      <c r="U56" t="s">
        <v>47</v>
      </c>
      <c r="X56" t="s">
        <v>48</v>
      </c>
      <c r="Y56" s="2">
        <v>65.28</v>
      </c>
      <c r="Z56" s="2">
        <v>65.28</v>
      </c>
      <c r="AA56">
        <v>0</v>
      </c>
      <c r="AB56" s="3">
        <v>0.65</v>
      </c>
      <c r="AC56" s="2">
        <v>0</v>
      </c>
      <c r="AD56" s="3">
        <v>0</v>
      </c>
      <c r="AE56" s="2">
        <v>0</v>
      </c>
      <c r="AF56" s="2">
        <v>0</v>
      </c>
      <c r="AK56" s="4">
        <v>18246920</v>
      </c>
    </row>
    <row r="57" spans="1:37" x14ac:dyDescent="0.25">
      <c r="A57" s="1">
        <v>45744</v>
      </c>
      <c r="B57" s="1">
        <v>45740</v>
      </c>
      <c r="C57" t="s">
        <v>38</v>
      </c>
      <c r="D57" t="s">
        <v>39</v>
      </c>
      <c r="E57" t="s">
        <v>40</v>
      </c>
      <c r="F57">
        <v>649163</v>
      </c>
      <c r="G57">
        <v>20411454</v>
      </c>
      <c r="H57" t="s">
        <v>41</v>
      </c>
      <c r="I57">
        <v>2027932280</v>
      </c>
      <c r="J57" t="s">
        <v>111</v>
      </c>
      <c r="M57" t="s">
        <v>50</v>
      </c>
      <c r="O57">
        <v>812782</v>
      </c>
      <c r="P57" t="s">
        <v>81</v>
      </c>
      <c r="Q57" t="s">
        <v>45</v>
      </c>
      <c r="R57" t="s">
        <v>54</v>
      </c>
      <c r="S57" s="1">
        <v>45778</v>
      </c>
      <c r="U57" t="s">
        <v>47</v>
      </c>
      <c r="X57" t="s">
        <v>48</v>
      </c>
      <c r="Y57" s="2">
        <v>70.010000000000005</v>
      </c>
      <c r="Z57" s="2">
        <v>70.010000000000005</v>
      </c>
      <c r="AA57">
        <v>0</v>
      </c>
      <c r="AB57" s="3">
        <v>0.375</v>
      </c>
      <c r="AC57" s="2">
        <v>0</v>
      </c>
      <c r="AD57" s="3">
        <v>0</v>
      </c>
      <c r="AE57" s="2">
        <v>0</v>
      </c>
      <c r="AF57" s="2">
        <v>0</v>
      </c>
      <c r="AK57" s="4">
        <v>18252630</v>
      </c>
    </row>
    <row r="58" spans="1:37" x14ac:dyDescent="0.25">
      <c r="A58" s="1">
        <v>45744</v>
      </c>
      <c r="B58" s="1">
        <v>45740</v>
      </c>
      <c r="C58" t="s">
        <v>38</v>
      </c>
      <c r="D58" t="s">
        <v>39</v>
      </c>
      <c r="E58" t="s">
        <v>40</v>
      </c>
      <c r="F58">
        <v>649163</v>
      </c>
      <c r="G58">
        <v>20411454</v>
      </c>
      <c r="H58" t="s">
        <v>41</v>
      </c>
      <c r="I58">
        <v>2027933173</v>
      </c>
      <c r="J58" t="s">
        <v>112</v>
      </c>
      <c r="M58" t="s">
        <v>52</v>
      </c>
      <c r="O58">
        <v>814033</v>
      </c>
      <c r="P58" t="s">
        <v>113</v>
      </c>
      <c r="Q58" t="s">
        <v>45</v>
      </c>
      <c r="R58" t="s">
        <v>64</v>
      </c>
      <c r="S58" s="1">
        <v>45748</v>
      </c>
      <c r="U58" t="s">
        <v>47</v>
      </c>
      <c r="X58" t="s">
        <v>48</v>
      </c>
      <c r="Y58" s="2">
        <v>49.93</v>
      </c>
      <c r="Z58" s="2">
        <v>49.93</v>
      </c>
      <c r="AA58">
        <v>0</v>
      </c>
      <c r="AB58" s="3">
        <v>0.75</v>
      </c>
      <c r="AC58" s="2">
        <v>0</v>
      </c>
      <c r="AD58" s="3">
        <v>0</v>
      </c>
      <c r="AE58" s="2">
        <v>0</v>
      </c>
      <c r="AF58" s="2">
        <v>0</v>
      </c>
      <c r="AK58" s="4">
        <v>18246940</v>
      </c>
    </row>
    <row r="59" spans="1:37" x14ac:dyDescent="0.25">
      <c r="A59" s="1">
        <v>45744</v>
      </c>
      <c r="B59" s="1">
        <v>45740</v>
      </c>
      <c r="C59" t="s">
        <v>38</v>
      </c>
      <c r="D59" t="s">
        <v>39</v>
      </c>
      <c r="E59" t="s">
        <v>40</v>
      </c>
      <c r="F59">
        <v>649163</v>
      </c>
      <c r="G59">
        <v>20411454</v>
      </c>
      <c r="H59" t="s">
        <v>41</v>
      </c>
      <c r="I59">
        <v>2027933174</v>
      </c>
      <c r="J59" t="s">
        <v>112</v>
      </c>
      <c r="M59" t="s">
        <v>52</v>
      </c>
      <c r="O59">
        <v>814033</v>
      </c>
      <c r="P59" t="s">
        <v>113</v>
      </c>
      <c r="Q59" t="s">
        <v>45</v>
      </c>
      <c r="R59" t="s">
        <v>46</v>
      </c>
      <c r="S59" s="1">
        <v>45748</v>
      </c>
      <c r="U59" t="s">
        <v>47</v>
      </c>
      <c r="X59" t="s">
        <v>48</v>
      </c>
      <c r="Y59" s="2">
        <v>46.54</v>
      </c>
      <c r="Z59" s="2">
        <v>46.54</v>
      </c>
      <c r="AA59">
        <v>0</v>
      </c>
      <c r="AB59" s="3">
        <v>0.7</v>
      </c>
      <c r="AC59" s="2">
        <v>0</v>
      </c>
      <c r="AD59" s="3">
        <v>0</v>
      </c>
      <c r="AE59" s="2">
        <v>0</v>
      </c>
      <c r="AF59" s="2">
        <v>0</v>
      </c>
      <c r="AK59" s="4">
        <v>18238380</v>
      </c>
    </row>
    <row r="60" spans="1:37" x14ac:dyDescent="0.25">
      <c r="A60" s="1">
        <v>45744</v>
      </c>
      <c r="B60" s="1">
        <v>45740</v>
      </c>
      <c r="C60" t="s">
        <v>38</v>
      </c>
      <c r="D60" t="s">
        <v>39</v>
      </c>
      <c r="E60" t="s">
        <v>40</v>
      </c>
      <c r="F60">
        <v>649163</v>
      </c>
      <c r="G60">
        <v>20411454</v>
      </c>
      <c r="H60" t="s">
        <v>41</v>
      </c>
      <c r="I60">
        <v>2027934654</v>
      </c>
      <c r="J60" t="s">
        <v>114</v>
      </c>
      <c r="M60" t="s">
        <v>50</v>
      </c>
      <c r="O60">
        <v>764123</v>
      </c>
      <c r="P60" t="s">
        <v>115</v>
      </c>
      <c r="Q60" t="s">
        <v>45</v>
      </c>
      <c r="R60" t="s">
        <v>58</v>
      </c>
      <c r="S60" s="1">
        <v>45737</v>
      </c>
      <c r="U60" t="s">
        <v>47</v>
      </c>
      <c r="X60" t="s">
        <v>48</v>
      </c>
      <c r="Y60" s="2">
        <v>181.4</v>
      </c>
      <c r="Z60" s="2">
        <v>181.4</v>
      </c>
      <c r="AA60">
        <v>0</v>
      </c>
      <c r="AB60" s="3">
        <v>0.38</v>
      </c>
      <c r="AC60" s="2">
        <v>0</v>
      </c>
      <c r="AD60" s="3">
        <v>0</v>
      </c>
      <c r="AE60" s="2">
        <v>0</v>
      </c>
      <c r="AF60" s="2">
        <v>0</v>
      </c>
      <c r="AK60" s="4">
        <v>18238390</v>
      </c>
    </row>
    <row r="61" spans="1:37" x14ac:dyDescent="0.25">
      <c r="A61" s="1">
        <v>45744</v>
      </c>
      <c r="B61" s="1">
        <v>45740</v>
      </c>
      <c r="C61" t="s">
        <v>38</v>
      </c>
      <c r="D61" t="s">
        <v>39</v>
      </c>
      <c r="E61" t="s">
        <v>40</v>
      </c>
      <c r="F61">
        <v>649163</v>
      </c>
      <c r="G61">
        <v>20411454</v>
      </c>
      <c r="H61" t="s">
        <v>41</v>
      </c>
      <c r="I61">
        <v>2027934655</v>
      </c>
      <c r="J61" t="s">
        <v>114</v>
      </c>
      <c r="M61" t="s">
        <v>50</v>
      </c>
      <c r="O61">
        <v>764123</v>
      </c>
      <c r="P61" t="s">
        <v>115</v>
      </c>
      <c r="Q61" t="s">
        <v>45</v>
      </c>
      <c r="R61" t="s">
        <v>116</v>
      </c>
      <c r="S61" s="1">
        <v>45737</v>
      </c>
      <c r="U61" t="s">
        <v>47</v>
      </c>
      <c r="X61" t="s">
        <v>48</v>
      </c>
      <c r="Y61" s="2">
        <v>7.09</v>
      </c>
      <c r="Z61" s="2">
        <v>7.09</v>
      </c>
      <c r="AA61">
        <v>0</v>
      </c>
      <c r="AB61" s="3">
        <v>0.38</v>
      </c>
      <c r="AC61" s="2">
        <v>0</v>
      </c>
      <c r="AD61" s="3">
        <v>0</v>
      </c>
      <c r="AE61" s="2">
        <v>0</v>
      </c>
      <c r="AF61" s="2">
        <v>0</v>
      </c>
      <c r="AK61" s="4">
        <v>18253110</v>
      </c>
    </row>
    <row r="62" spans="1:37" x14ac:dyDescent="0.25">
      <c r="A62" s="1">
        <v>45744</v>
      </c>
      <c r="B62" s="1">
        <v>45740</v>
      </c>
      <c r="C62" t="s">
        <v>38</v>
      </c>
      <c r="D62" t="s">
        <v>39</v>
      </c>
      <c r="E62" t="s">
        <v>40</v>
      </c>
      <c r="F62">
        <v>649163</v>
      </c>
      <c r="G62">
        <v>20411454</v>
      </c>
      <c r="H62" t="s">
        <v>41</v>
      </c>
      <c r="I62">
        <v>2027934656</v>
      </c>
      <c r="J62" t="s">
        <v>114</v>
      </c>
      <c r="M62" t="s">
        <v>50</v>
      </c>
      <c r="O62">
        <v>764123</v>
      </c>
      <c r="P62" t="s">
        <v>115</v>
      </c>
      <c r="Q62" t="s">
        <v>45</v>
      </c>
      <c r="R62" t="s">
        <v>117</v>
      </c>
      <c r="S62" s="1">
        <v>45737</v>
      </c>
      <c r="U62" t="s">
        <v>47</v>
      </c>
      <c r="X62" t="s">
        <v>48</v>
      </c>
      <c r="Y62" s="2">
        <v>15</v>
      </c>
      <c r="Z62" s="2">
        <v>15</v>
      </c>
      <c r="AA62">
        <v>0</v>
      </c>
      <c r="AB62" s="3">
        <v>0.38</v>
      </c>
      <c r="AC62" s="2">
        <v>0</v>
      </c>
      <c r="AD62" s="3">
        <v>0</v>
      </c>
      <c r="AE62" s="2">
        <v>0</v>
      </c>
      <c r="AF62" s="2">
        <v>0</v>
      </c>
      <c r="AK62" s="4">
        <v>18244790</v>
      </c>
    </row>
    <row r="63" spans="1:37" x14ac:dyDescent="0.25">
      <c r="A63" s="1">
        <v>45744</v>
      </c>
      <c r="B63" s="1">
        <v>45740</v>
      </c>
      <c r="C63" t="s">
        <v>38</v>
      </c>
      <c r="D63" t="s">
        <v>39</v>
      </c>
      <c r="E63" t="s">
        <v>40</v>
      </c>
      <c r="F63">
        <v>649163</v>
      </c>
      <c r="G63">
        <v>20411454</v>
      </c>
      <c r="H63" t="s">
        <v>41</v>
      </c>
      <c r="I63">
        <v>2027936971</v>
      </c>
      <c r="J63" t="s">
        <v>118</v>
      </c>
      <c r="M63" t="s">
        <v>76</v>
      </c>
      <c r="O63">
        <v>816021</v>
      </c>
      <c r="P63" t="s">
        <v>77</v>
      </c>
      <c r="Q63" t="s">
        <v>45</v>
      </c>
      <c r="R63" t="s">
        <v>46</v>
      </c>
      <c r="S63" s="1">
        <v>45748</v>
      </c>
      <c r="U63" t="s">
        <v>47</v>
      </c>
      <c r="X63" t="s">
        <v>48</v>
      </c>
      <c r="Y63" s="2">
        <v>27.38</v>
      </c>
      <c r="Z63" s="2">
        <v>27.38</v>
      </c>
      <c r="AA63">
        <v>0</v>
      </c>
      <c r="AB63" s="3">
        <v>0.7</v>
      </c>
      <c r="AC63" s="2">
        <v>0</v>
      </c>
      <c r="AD63" s="3">
        <v>0</v>
      </c>
      <c r="AE63" s="2">
        <v>0</v>
      </c>
      <c r="AF63" s="2">
        <v>0</v>
      </c>
      <c r="AK63" s="4">
        <v>18238410</v>
      </c>
    </row>
    <row r="64" spans="1:37" x14ac:dyDescent="0.25">
      <c r="A64" s="1">
        <v>45744</v>
      </c>
      <c r="B64" s="1">
        <v>45740</v>
      </c>
      <c r="C64" t="s">
        <v>38</v>
      </c>
      <c r="D64" t="s">
        <v>39</v>
      </c>
      <c r="E64" t="s">
        <v>40</v>
      </c>
      <c r="F64">
        <v>649163</v>
      </c>
      <c r="G64">
        <v>20411454</v>
      </c>
      <c r="H64" t="s">
        <v>41</v>
      </c>
      <c r="I64">
        <v>2027936972</v>
      </c>
      <c r="J64" t="s">
        <v>118</v>
      </c>
      <c r="M64" t="s">
        <v>76</v>
      </c>
      <c r="O64">
        <v>816021</v>
      </c>
      <c r="P64" t="s">
        <v>77</v>
      </c>
      <c r="Q64" t="s">
        <v>45</v>
      </c>
      <c r="R64" t="s">
        <v>107</v>
      </c>
      <c r="S64" s="1">
        <v>45748</v>
      </c>
      <c r="U64" t="s">
        <v>47</v>
      </c>
      <c r="X64" t="s">
        <v>48</v>
      </c>
      <c r="Y64" s="2">
        <v>57.48</v>
      </c>
      <c r="Z64" s="2">
        <v>57.48</v>
      </c>
      <c r="AA64">
        <v>0</v>
      </c>
      <c r="AB64" s="3">
        <v>0.65</v>
      </c>
      <c r="AC64" s="2">
        <v>0</v>
      </c>
      <c r="AD64" s="3">
        <v>0</v>
      </c>
      <c r="AE64" s="2">
        <v>0</v>
      </c>
      <c r="AF64" s="2">
        <v>0</v>
      </c>
      <c r="AK64" s="4">
        <v>18246940</v>
      </c>
    </row>
    <row r="65" spans="1:37" x14ac:dyDescent="0.25">
      <c r="A65" s="1">
        <v>45744</v>
      </c>
      <c r="B65" s="1">
        <v>45740</v>
      </c>
      <c r="C65" t="s">
        <v>38</v>
      </c>
      <c r="D65" t="s">
        <v>39</v>
      </c>
      <c r="E65" t="s">
        <v>40</v>
      </c>
      <c r="F65">
        <v>649163</v>
      </c>
      <c r="G65">
        <v>20411454</v>
      </c>
      <c r="H65" t="s">
        <v>41</v>
      </c>
      <c r="I65">
        <v>2027937824</v>
      </c>
      <c r="J65" t="s">
        <v>119</v>
      </c>
      <c r="M65" t="s">
        <v>120</v>
      </c>
      <c r="O65">
        <v>673059</v>
      </c>
      <c r="P65" t="s">
        <v>57</v>
      </c>
      <c r="Q65" t="s">
        <v>45</v>
      </c>
      <c r="R65" t="s">
        <v>46</v>
      </c>
      <c r="S65" s="1">
        <v>45748</v>
      </c>
      <c r="U65" t="s">
        <v>47</v>
      </c>
      <c r="X65" t="s">
        <v>48</v>
      </c>
      <c r="Y65" s="2">
        <v>142.59</v>
      </c>
      <c r="Z65" s="2">
        <v>142.59</v>
      </c>
      <c r="AA65">
        <v>0</v>
      </c>
      <c r="AB65" s="3">
        <v>0.7</v>
      </c>
      <c r="AC65" s="2">
        <v>0</v>
      </c>
      <c r="AD65" s="3">
        <v>0</v>
      </c>
      <c r="AE65" s="2">
        <v>0</v>
      </c>
      <c r="AF65" s="2">
        <v>0</v>
      </c>
      <c r="AK65" s="4">
        <v>18238420</v>
      </c>
    </row>
    <row r="66" spans="1:37" x14ac:dyDescent="0.25">
      <c r="A66" s="1">
        <v>45744</v>
      </c>
      <c r="B66" s="1">
        <v>45740</v>
      </c>
      <c r="C66" t="s">
        <v>38</v>
      </c>
      <c r="D66" t="s">
        <v>39</v>
      </c>
      <c r="E66" t="s">
        <v>40</v>
      </c>
      <c r="F66">
        <v>649163</v>
      </c>
      <c r="G66">
        <v>20411454</v>
      </c>
      <c r="H66" t="s">
        <v>41</v>
      </c>
      <c r="I66">
        <v>2027937825</v>
      </c>
      <c r="J66" t="s">
        <v>119</v>
      </c>
      <c r="M66" t="s">
        <v>120</v>
      </c>
      <c r="O66">
        <v>673059</v>
      </c>
      <c r="P66" t="s">
        <v>57</v>
      </c>
      <c r="Q66" t="s">
        <v>45</v>
      </c>
      <c r="R66" t="s">
        <v>54</v>
      </c>
      <c r="S66" s="1">
        <v>45748</v>
      </c>
      <c r="U66" t="s">
        <v>47</v>
      </c>
      <c r="X66" t="s">
        <v>48</v>
      </c>
      <c r="Y66" s="2">
        <v>43.03</v>
      </c>
      <c r="Z66" s="2">
        <v>43.03</v>
      </c>
      <c r="AA66">
        <v>0</v>
      </c>
      <c r="AB66" s="3">
        <v>0.375</v>
      </c>
      <c r="AC66" s="2">
        <v>0</v>
      </c>
      <c r="AD66" s="3">
        <v>0</v>
      </c>
      <c r="AE66" s="2">
        <v>0</v>
      </c>
      <c r="AF66" s="2">
        <v>0</v>
      </c>
      <c r="AK66" s="4">
        <v>18252680</v>
      </c>
    </row>
    <row r="67" spans="1:37" x14ac:dyDescent="0.25">
      <c r="A67" s="1">
        <v>45744</v>
      </c>
      <c r="B67" s="1">
        <v>45740</v>
      </c>
      <c r="C67" t="s">
        <v>38</v>
      </c>
      <c r="D67" t="s">
        <v>39</v>
      </c>
      <c r="E67" t="s">
        <v>40</v>
      </c>
      <c r="F67">
        <v>649163</v>
      </c>
      <c r="G67">
        <v>20411454</v>
      </c>
      <c r="H67" t="s">
        <v>41</v>
      </c>
      <c r="I67">
        <v>2027938138</v>
      </c>
      <c r="J67" t="s">
        <v>121</v>
      </c>
      <c r="M67" t="s">
        <v>90</v>
      </c>
      <c r="O67">
        <v>728134</v>
      </c>
      <c r="P67" t="s">
        <v>91</v>
      </c>
      <c r="Q67" t="s">
        <v>45</v>
      </c>
      <c r="R67" t="s">
        <v>54</v>
      </c>
      <c r="S67" s="1">
        <v>45748</v>
      </c>
      <c r="U67" t="s">
        <v>47</v>
      </c>
      <c r="X67" t="s">
        <v>48</v>
      </c>
      <c r="Y67" s="2">
        <v>39.979999999999997</v>
      </c>
      <c r="Z67" s="2">
        <v>39.979999999999997</v>
      </c>
      <c r="AA67">
        <v>0</v>
      </c>
      <c r="AB67" s="3">
        <v>0.375</v>
      </c>
      <c r="AC67" s="2">
        <v>0</v>
      </c>
      <c r="AD67" s="3">
        <v>0</v>
      </c>
      <c r="AE67" s="2">
        <v>0</v>
      </c>
      <c r="AF67" s="2">
        <v>0</v>
      </c>
      <c r="AK67" s="4">
        <v>18252690</v>
      </c>
    </row>
    <row r="68" spans="1:37" x14ac:dyDescent="0.25">
      <c r="A68" s="1">
        <v>45744</v>
      </c>
      <c r="B68" s="1">
        <v>45740</v>
      </c>
      <c r="C68" t="s">
        <v>38</v>
      </c>
      <c r="D68" t="s">
        <v>39</v>
      </c>
      <c r="E68" t="s">
        <v>40</v>
      </c>
      <c r="F68">
        <v>649163</v>
      </c>
      <c r="G68">
        <v>20411454</v>
      </c>
      <c r="H68" t="s">
        <v>41</v>
      </c>
      <c r="I68">
        <v>2027943424</v>
      </c>
      <c r="J68" t="s">
        <v>122</v>
      </c>
      <c r="M68" t="s">
        <v>50</v>
      </c>
      <c r="O68">
        <v>812782</v>
      </c>
      <c r="P68" t="s">
        <v>81</v>
      </c>
      <c r="Q68" t="s">
        <v>45</v>
      </c>
      <c r="R68" t="s">
        <v>54</v>
      </c>
      <c r="S68" s="1">
        <v>45748</v>
      </c>
      <c r="U68" t="s">
        <v>47</v>
      </c>
      <c r="X68" t="s">
        <v>48</v>
      </c>
      <c r="Y68" s="2">
        <v>22.52</v>
      </c>
      <c r="Z68" s="2">
        <v>22.52</v>
      </c>
      <c r="AA68">
        <v>0</v>
      </c>
      <c r="AB68" s="3">
        <v>0.375</v>
      </c>
      <c r="AC68" s="2">
        <v>0</v>
      </c>
      <c r="AD68" s="3">
        <v>0</v>
      </c>
      <c r="AE68" s="2">
        <v>0</v>
      </c>
      <c r="AF68" s="2">
        <v>0</v>
      </c>
      <c r="AK68" s="4">
        <v>18252740</v>
      </c>
    </row>
    <row r="69" spans="1:37" x14ac:dyDescent="0.25">
      <c r="A69" s="1">
        <v>45744</v>
      </c>
      <c r="B69" s="1">
        <v>45740</v>
      </c>
      <c r="C69" t="s">
        <v>38</v>
      </c>
      <c r="D69" t="s">
        <v>39</v>
      </c>
      <c r="E69" t="s">
        <v>40</v>
      </c>
      <c r="F69">
        <v>649163</v>
      </c>
      <c r="G69">
        <v>20411454</v>
      </c>
      <c r="H69" t="s">
        <v>41</v>
      </c>
      <c r="I69">
        <v>2027953566</v>
      </c>
      <c r="J69" t="s">
        <v>123</v>
      </c>
      <c r="M69" t="s">
        <v>124</v>
      </c>
      <c r="O69">
        <v>823068</v>
      </c>
      <c r="P69" t="s">
        <v>123</v>
      </c>
      <c r="Q69" t="s">
        <v>45</v>
      </c>
      <c r="R69" t="s">
        <v>125</v>
      </c>
      <c r="S69" s="1">
        <v>45738</v>
      </c>
      <c r="U69" t="s">
        <v>47</v>
      </c>
      <c r="X69" t="s">
        <v>48</v>
      </c>
      <c r="Y69" s="2">
        <v>24.61</v>
      </c>
      <c r="Z69" s="2">
        <v>24.61</v>
      </c>
      <c r="AA69">
        <v>0</v>
      </c>
      <c r="AB69" s="3">
        <v>0.7</v>
      </c>
      <c r="AC69" s="2">
        <v>0</v>
      </c>
      <c r="AD69" s="3">
        <v>0</v>
      </c>
      <c r="AE69" s="2">
        <v>0</v>
      </c>
      <c r="AF69" s="2">
        <v>0</v>
      </c>
      <c r="AK69" s="4">
        <v>18230960</v>
      </c>
    </row>
    <row r="70" spans="1:37" x14ac:dyDescent="0.25">
      <c r="A70" s="1">
        <v>45744</v>
      </c>
      <c r="B70" s="1">
        <v>45740</v>
      </c>
      <c r="C70" t="s">
        <v>38</v>
      </c>
      <c r="D70" t="s">
        <v>39</v>
      </c>
      <c r="E70" t="s">
        <v>40</v>
      </c>
      <c r="F70">
        <v>649163</v>
      </c>
      <c r="G70">
        <v>20411454</v>
      </c>
      <c r="H70" t="s">
        <v>41</v>
      </c>
      <c r="I70">
        <v>2027953567</v>
      </c>
      <c r="J70" t="s">
        <v>123</v>
      </c>
      <c r="M70" t="s">
        <v>124</v>
      </c>
      <c r="O70">
        <v>823068</v>
      </c>
      <c r="P70" t="s">
        <v>123</v>
      </c>
      <c r="Q70" t="s">
        <v>45</v>
      </c>
      <c r="R70" t="s">
        <v>60</v>
      </c>
      <c r="S70" s="1">
        <v>45738</v>
      </c>
      <c r="U70" t="s">
        <v>47</v>
      </c>
      <c r="X70" t="s">
        <v>48</v>
      </c>
      <c r="Y70" s="2">
        <v>32.869999999999997</v>
      </c>
      <c r="Z70" s="2">
        <v>32.869999999999997</v>
      </c>
      <c r="AA70">
        <v>0</v>
      </c>
      <c r="AB70" s="3">
        <v>0.9</v>
      </c>
      <c r="AC70" s="2">
        <v>0</v>
      </c>
      <c r="AD70" s="3">
        <v>0</v>
      </c>
      <c r="AE70" s="2">
        <v>0</v>
      </c>
      <c r="AF70" s="2">
        <v>0</v>
      </c>
      <c r="AK70" s="4">
        <v>18255480</v>
      </c>
    </row>
    <row r="71" spans="1:37" x14ac:dyDescent="0.25">
      <c r="A71" s="1">
        <v>45744</v>
      </c>
      <c r="B71" s="1">
        <v>45740</v>
      </c>
      <c r="C71" t="s">
        <v>38</v>
      </c>
      <c r="D71" t="s">
        <v>39</v>
      </c>
      <c r="E71" t="s">
        <v>40</v>
      </c>
      <c r="F71">
        <v>649163</v>
      </c>
      <c r="G71">
        <v>20411454</v>
      </c>
      <c r="H71" t="s">
        <v>41</v>
      </c>
      <c r="I71">
        <v>2027953568</v>
      </c>
      <c r="J71" t="s">
        <v>123</v>
      </c>
      <c r="M71" t="s">
        <v>124</v>
      </c>
      <c r="O71">
        <v>823068</v>
      </c>
      <c r="P71" t="s">
        <v>123</v>
      </c>
      <c r="Q71" t="s">
        <v>45</v>
      </c>
      <c r="R71" t="s">
        <v>78</v>
      </c>
      <c r="S71" s="1">
        <v>45738</v>
      </c>
      <c r="U71" t="s">
        <v>47</v>
      </c>
      <c r="X71" t="s">
        <v>48</v>
      </c>
      <c r="Y71" s="2">
        <v>129.13999999999999</v>
      </c>
      <c r="Z71" s="2">
        <v>129.13999999999999</v>
      </c>
      <c r="AA71">
        <v>0</v>
      </c>
      <c r="AB71" s="3">
        <v>0.9</v>
      </c>
      <c r="AC71" s="2">
        <v>0</v>
      </c>
      <c r="AD71" s="3">
        <v>0</v>
      </c>
      <c r="AE71" s="2">
        <v>0</v>
      </c>
      <c r="AF71" s="2">
        <v>0</v>
      </c>
      <c r="AK71" s="4">
        <v>18246980</v>
      </c>
    </row>
    <row r="72" spans="1:37" x14ac:dyDescent="0.25">
      <c r="A72" s="1">
        <v>45744</v>
      </c>
      <c r="B72" s="1">
        <v>45740</v>
      </c>
      <c r="C72" t="s">
        <v>38</v>
      </c>
      <c r="D72" t="s">
        <v>39</v>
      </c>
      <c r="E72" t="s">
        <v>40</v>
      </c>
      <c r="F72">
        <v>649163</v>
      </c>
      <c r="G72">
        <v>20411454</v>
      </c>
      <c r="H72" t="s">
        <v>41</v>
      </c>
      <c r="I72">
        <v>2027956292</v>
      </c>
      <c r="J72" t="s">
        <v>126</v>
      </c>
      <c r="M72" t="s">
        <v>127</v>
      </c>
      <c r="O72">
        <v>812782</v>
      </c>
      <c r="P72" t="s">
        <v>81</v>
      </c>
      <c r="Q72" t="s">
        <v>45</v>
      </c>
      <c r="R72" t="s">
        <v>46</v>
      </c>
      <c r="S72" s="1">
        <v>45748</v>
      </c>
      <c r="U72" t="s">
        <v>47</v>
      </c>
      <c r="X72" t="s">
        <v>48</v>
      </c>
      <c r="Y72" s="2">
        <v>65.510000000000005</v>
      </c>
      <c r="Z72" s="2">
        <v>65.510000000000005</v>
      </c>
      <c r="AA72">
        <v>0</v>
      </c>
      <c r="AB72" s="3">
        <v>0.7</v>
      </c>
      <c r="AC72" s="2">
        <v>0</v>
      </c>
      <c r="AD72" s="3">
        <v>0</v>
      </c>
      <c r="AE72" s="2">
        <v>0</v>
      </c>
      <c r="AF72" s="2">
        <v>0</v>
      </c>
      <c r="AK72" s="4">
        <v>18238510</v>
      </c>
    </row>
    <row r="73" spans="1:37" x14ac:dyDescent="0.25">
      <c r="A73" s="1">
        <v>45744</v>
      </c>
      <c r="B73" s="1">
        <v>45740</v>
      </c>
      <c r="C73" t="s">
        <v>38</v>
      </c>
      <c r="D73" t="s">
        <v>39</v>
      </c>
      <c r="E73" t="s">
        <v>40</v>
      </c>
      <c r="F73">
        <v>649163</v>
      </c>
      <c r="G73">
        <v>20411454</v>
      </c>
      <c r="H73" t="s">
        <v>41</v>
      </c>
      <c r="I73">
        <v>2027956679</v>
      </c>
      <c r="J73" t="s">
        <v>98</v>
      </c>
      <c r="M73" t="s">
        <v>99</v>
      </c>
      <c r="O73">
        <v>673059</v>
      </c>
      <c r="P73" t="s">
        <v>57</v>
      </c>
      <c r="Q73" t="s">
        <v>45</v>
      </c>
      <c r="R73" t="s">
        <v>54</v>
      </c>
      <c r="S73" s="1">
        <v>45738</v>
      </c>
      <c r="U73" t="s">
        <v>47</v>
      </c>
      <c r="X73" t="s">
        <v>48</v>
      </c>
      <c r="Y73" s="2">
        <v>47.79</v>
      </c>
      <c r="Z73" s="2">
        <v>47.79</v>
      </c>
      <c r="AA73">
        <v>0</v>
      </c>
      <c r="AB73" s="3">
        <v>0.375</v>
      </c>
      <c r="AC73" s="2">
        <v>0</v>
      </c>
      <c r="AD73" s="3">
        <v>0</v>
      </c>
      <c r="AE73" s="2">
        <v>0</v>
      </c>
      <c r="AF73" s="2">
        <v>0</v>
      </c>
      <c r="AK73" s="4">
        <v>18252800</v>
      </c>
    </row>
    <row r="74" spans="1:37" x14ac:dyDescent="0.25">
      <c r="A74" s="1">
        <v>45744</v>
      </c>
      <c r="B74" s="1">
        <v>45740</v>
      </c>
      <c r="C74" t="s">
        <v>38</v>
      </c>
      <c r="D74" t="s">
        <v>39</v>
      </c>
      <c r="E74" t="s">
        <v>40</v>
      </c>
      <c r="F74">
        <v>649163</v>
      </c>
      <c r="G74">
        <v>20411454</v>
      </c>
      <c r="H74" t="s">
        <v>41</v>
      </c>
      <c r="I74">
        <v>2027957199</v>
      </c>
      <c r="J74" t="s">
        <v>128</v>
      </c>
      <c r="M74" t="s">
        <v>124</v>
      </c>
      <c r="O74">
        <v>823068</v>
      </c>
      <c r="P74" t="s">
        <v>123</v>
      </c>
      <c r="Q74" t="s">
        <v>45</v>
      </c>
      <c r="R74" t="s">
        <v>60</v>
      </c>
      <c r="S74" s="1">
        <v>45743</v>
      </c>
      <c r="U74" t="s">
        <v>47</v>
      </c>
      <c r="X74" t="s">
        <v>48</v>
      </c>
      <c r="Y74" s="2">
        <v>96.17</v>
      </c>
      <c r="Z74" s="2">
        <v>96.17</v>
      </c>
      <c r="AA74">
        <v>0</v>
      </c>
      <c r="AB74" s="3">
        <v>0.9</v>
      </c>
      <c r="AC74" s="2">
        <v>0</v>
      </c>
      <c r="AD74" s="3">
        <v>0</v>
      </c>
      <c r="AE74" s="2">
        <v>0</v>
      </c>
      <c r="AF74" s="2">
        <v>0</v>
      </c>
      <c r="AK74" s="4">
        <v>18255480</v>
      </c>
    </row>
    <row r="75" spans="1:37" x14ac:dyDescent="0.25">
      <c r="A75" s="1">
        <v>45744</v>
      </c>
      <c r="B75" s="1">
        <v>45740</v>
      </c>
      <c r="C75" t="s">
        <v>38</v>
      </c>
      <c r="D75" t="s">
        <v>39</v>
      </c>
      <c r="E75" t="s">
        <v>40</v>
      </c>
      <c r="F75">
        <v>649163</v>
      </c>
      <c r="G75">
        <v>20411454</v>
      </c>
      <c r="H75" t="s">
        <v>41</v>
      </c>
      <c r="I75">
        <v>2027965410</v>
      </c>
      <c r="J75" t="s">
        <v>129</v>
      </c>
      <c r="M75" t="s">
        <v>76</v>
      </c>
      <c r="O75">
        <v>816021</v>
      </c>
      <c r="P75" t="s">
        <v>77</v>
      </c>
      <c r="Q75" t="s">
        <v>45</v>
      </c>
      <c r="R75" t="s">
        <v>54</v>
      </c>
      <c r="S75" s="1">
        <v>45738</v>
      </c>
      <c r="U75" t="s">
        <v>47</v>
      </c>
      <c r="X75" t="s">
        <v>48</v>
      </c>
      <c r="Y75" s="2">
        <v>29.18</v>
      </c>
      <c r="Z75" s="2">
        <v>29.18</v>
      </c>
      <c r="AA75">
        <v>0</v>
      </c>
      <c r="AB75" s="3">
        <v>0.375</v>
      </c>
      <c r="AC75" s="2">
        <v>0</v>
      </c>
      <c r="AD75" s="3">
        <v>0</v>
      </c>
      <c r="AE75" s="2">
        <v>0</v>
      </c>
      <c r="AF75" s="2">
        <v>0</v>
      </c>
      <c r="AK75" s="4">
        <v>18252860</v>
      </c>
    </row>
    <row r="76" spans="1:37" x14ac:dyDescent="0.25">
      <c r="A76" s="1">
        <v>45744</v>
      </c>
      <c r="B76" s="1">
        <v>45740</v>
      </c>
      <c r="C76" t="s">
        <v>38</v>
      </c>
      <c r="D76" t="s">
        <v>39</v>
      </c>
      <c r="E76" t="s">
        <v>40</v>
      </c>
      <c r="F76">
        <v>649163</v>
      </c>
      <c r="G76">
        <v>20411454</v>
      </c>
      <c r="H76" t="s">
        <v>41</v>
      </c>
      <c r="I76">
        <v>2027965411</v>
      </c>
      <c r="J76" t="s">
        <v>129</v>
      </c>
      <c r="M76" t="s">
        <v>76</v>
      </c>
      <c r="O76">
        <v>816021</v>
      </c>
      <c r="P76" t="s">
        <v>77</v>
      </c>
      <c r="Q76" t="s">
        <v>45</v>
      </c>
      <c r="R76" t="s">
        <v>79</v>
      </c>
      <c r="S76" s="1">
        <v>45738</v>
      </c>
      <c r="U76" t="s">
        <v>47</v>
      </c>
      <c r="X76" t="s">
        <v>48</v>
      </c>
      <c r="Y76" s="2">
        <v>16.91</v>
      </c>
      <c r="Z76" s="2">
        <v>16.91</v>
      </c>
      <c r="AA76">
        <v>0</v>
      </c>
      <c r="AB76" s="3">
        <v>0.38</v>
      </c>
      <c r="AC76" s="2">
        <v>0</v>
      </c>
      <c r="AD76" s="3">
        <v>0</v>
      </c>
      <c r="AE76" s="2">
        <v>0</v>
      </c>
      <c r="AF76" s="2">
        <v>0</v>
      </c>
      <c r="AK76" s="4">
        <v>18253530</v>
      </c>
    </row>
    <row r="77" spans="1:37" x14ac:dyDescent="0.25">
      <c r="A77" s="1">
        <v>45744</v>
      </c>
      <c r="B77" s="1">
        <v>45740</v>
      </c>
      <c r="C77" t="s">
        <v>38</v>
      </c>
      <c r="D77" t="s">
        <v>39</v>
      </c>
      <c r="E77" t="s">
        <v>40</v>
      </c>
      <c r="F77">
        <v>649163</v>
      </c>
      <c r="G77">
        <v>20411454</v>
      </c>
      <c r="H77" t="s">
        <v>41</v>
      </c>
      <c r="I77">
        <v>2027965412</v>
      </c>
      <c r="J77" t="s">
        <v>129</v>
      </c>
      <c r="M77" t="s">
        <v>76</v>
      </c>
      <c r="O77">
        <v>816021</v>
      </c>
      <c r="P77" t="s">
        <v>77</v>
      </c>
      <c r="Q77" t="s">
        <v>45</v>
      </c>
      <c r="R77" t="s">
        <v>46</v>
      </c>
      <c r="S77" s="1">
        <v>45738</v>
      </c>
      <c r="U77" t="s">
        <v>47</v>
      </c>
      <c r="X77" t="s">
        <v>48</v>
      </c>
      <c r="Y77" s="2">
        <v>9.6999999999999993</v>
      </c>
      <c r="Z77" s="2">
        <v>9.6999999999999993</v>
      </c>
      <c r="AA77">
        <v>0</v>
      </c>
      <c r="AB77" s="3">
        <v>0.7</v>
      </c>
      <c r="AC77" s="2">
        <v>0</v>
      </c>
      <c r="AD77" s="3">
        <v>0</v>
      </c>
      <c r="AE77" s="2">
        <v>0</v>
      </c>
      <c r="AF77" s="2">
        <v>0</v>
      </c>
      <c r="AK77" s="4">
        <v>18238550</v>
      </c>
    </row>
    <row r="78" spans="1:37" x14ac:dyDescent="0.25">
      <c r="A78" s="1">
        <v>45744</v>
      </c>
      <c r="B78" s="1">
        <v>45740</v>
      </c>
      <c r="C78" t="s">
        <v>38</v>
      </c>
      <c r="D78" t="s">
        <v>39</v>
      </c>
      <c r="E78" t="s">
        <v>40</v>
      </c>
      <c r="F78">
        <v>649163</v>
      </c>
      <c r="G78">
        <v>20411454</v>
      </c>
      <c r="H78" t="s">
        <v>41</v>
      </c>
      <c r="I78">
        <v>2027965413</v>
      </c>
      <c r="J78" t="s">
        <v>129</v>
      </c>
      <c r="M78" t="s">
        <v>76</v>
      </c>
      <c r="O78">
        <v>816021</v>
      </c>
      <c r="P78" t="s">
        <v>77</v>
      </c>
      <c r="Q78" t="s">
        <v>45</v>
      </c>
      <c r="R78" t="s">
        <v>60</v>
      </c>
      <c r="S78" s="1">
        <v>45738</v>
      </c>
      <c r="U78" t="s">
        <v>47</v>
      </c>
      <c r="X78" t="s">
        <v>48</v>
      </c>
      <c r="Y78" s="2">
        <v>12.92</v>
      </c>
      <c r="Z78" s="2">
        <v>12.92</v>
      </c>
      <c r="AA78">
        <v>0</v>
      </c>
      <c r="AB78" s="3">
        <v>0.9</v>
      </c>
      <c r="AC78" s="2">
        <v>0</v>
      </c>
      <c r="AD78" s="3">
        <v>0</v>
      </c>
      <c r="AE78" s="2">
        <v>0</v>
      </c>
      <c r="AF78" s="2">
        <v>0</v>
      </c>
      <c r="AK78" s="4">
        <v>18255500</v>
      </c>
    </row>
    <row r="79" spans="1:37" x14ac:dyDescent="0.25">
      <c r="A79" s="1">
        <v>45744</v>
      </c>
      <c r="B79" s="1">
        <v>45740</v>
      </c>
      <c r="C79" t="s">
        <v>38</v>
      </c>
      <c r="D79" t="s">
        <v>39</v>
      </c>
      <c r="E79" t="s">
        <v>40</v>
      </c>
      <c r="F79">
        <v>649163</v>
      </c>
      <c r="G79">
        <v>20411454</v>
      </c>
      <c r="H79" t="s">
        <v>41</v>
      </c>
      <c r="I79">
        <v>2027965414</v>
      </c>
      <c r="J79" t="s">
        <v>129</v>
      </c>
      <c r="M79" t="s">
        <v>76</v>
      </c>
      <c r="O79">
        <v>816021</v>
      </c>
      <c r="P79" t="s">
        <v>77</v>
      </c>
      <c r="Q79" t="s">
        <v>45</v>
      </c>
      <c r="R79" t="s">
        <v>107</v>
      </c>
      <c r="S79" s="1">
        <v>45738</v>
      </c>
      <c r="U79" t="s">
        <v>47</v>
      </c>
      <c r="X79" t="s">
        <v>48</v>
      </c>
      <c r="Y79" s="2">
        <v>13.48</v>
      </c>
      <c r="Z79" s="2">
        <v>13.48</v>
      </c>
      <c r="AA79">
        <v>0</v>
      </c>
      <c r="AB79" s="3">
        <v>0.65</v>
      </c>
      <c r="AC79" s="2">
        <v>0</v>
      </c>
      <c r="AD79" s="3">
        <v>0</v>
      </c>
      <c r="AE79" s="2">
        <v>0</v>
      </c>
      <c r="AF79" s="2">
        <v>0</v>
      </c>
      <c r="AK79" s="4">
        <v>18247000</v>
      </c>
    </row>
    <row r="80" spans="1:37" x14ac:dyDescent="0.25">
      <c r="A80" s="1">
        <v>45744</v>
      </c>
      <c r="B80" s="1">
        <v>45740</v>
      </c>
      <c r="C80" t="s">
        <v>38</v>
      </c>
      <c r="D80" t="s">
        <v>39</v>
      </c>
      <c r="E80" t="s">
        <v>40</v>
      </c>
      <c r="F80">
        <v>649163</v>
      </c>
      <c r="G80">
        <v>20411454</v>
      </c>
      <c r="H80" t="s">
        <v>41</v>
      </c>
      <c r="I80">
        <v>2027965833</v>
      </c>
      <c r="J80" t="s">
        <v>130</v>
      </c>
      <c r="M80" t="s">
        <v>93</v>
      </c>
      <c r="O80">
        <v>812782</v>
      </c>
      <c r="P80" t="s">
        <v>81</v>
      </c>
      <c r="Q80" t="s">
        <v>45</v>
      </c>
      <c r="R80" t="s">
        <v>46</v>
      </c>
      <c r="S80" s="1">
        <v>45738</v>
      </c>
      <c r="U80" t="s">
        <v>47</v>
      </c>
      <c r="X80" t="s">
        <v>48</v>
      </c>
      <c r="Y80" s="2">
        <v>17.07</v>
      </c>
      <c r="Z80" s="2">
        <v>17.07</v>
      </c>
      <c r="AA80">
        <v>0</v>
      </c>
      <c r="AB80" s="3">
        <v>0.7</v>
      </c>
      <c r="AC80" s="2">
        <v>0</v>
      </c>
      <c r="AD80" s="3">
        <v>0</v>
      </c>
      <c r="AE80" s="2">
        <v>0</v>
      </c>
      <c r="AF80" s="2">
        <v>0</v>
      </c>
      <c r="AK80" s="4">
        <v>18238550</v>
      </c>
    </row>
    <row r="81" spans="1:37" x14ac:dyDescent="0.25">
      <c r="A81" s="1">
        <v>45744</v>
      </c>
      <c r="B81" s="1">
        <v>45740</v>
      </c>
      <c r="C81" t="s">
        <v>38</v>
      </c>
      <c r="D81" t="s">
        <v>39</v>
      </c>
      <c r="E81" t="s">
        <v>40</v>
      </c>
      <c r="F81">
        <v>649163</v>
      </c>
      <c r="G81">
        <v>20411454</v>
      </c>
      <c r="H81" t="s">
        <v>41</v>
      </c>
      <c r="I81">
        <v>2027965834</v>
      </c>
      <c r="J81" t="s">
        <v>130</v>
      </c>
      <c r="M81" t="s">
        <v>93</v>
      </c>
      <c r="O81">
        <v>812782</v>
      </c>
      <c r="P81" t="s">
        <v>81</v>
      </c>
      <c r="Q81" t="s">
        <v>45</v>
      </c>
      <c r="R81" t="s">
        <v>107</v>
      </c>
      <c r="S81" s="1">
        <v>45738</v>
      </c>
      <c r="U81" t="s">
        <v>47</v>
      </c>
      <c r="X81" t="s">
        <v>48</v>
      </c>
      <c r="Y81" s="2">
        <v>9.51</v>
      </c>
      <c r="Z81" s="2">
        <v>9.51</v>
      </c>
      <c r="AA81">
        <v>0</v>
      </c>
      <c r="AB81" s="3">
        <v>0.65</v>
      </c>
      <c r="AC81" s="2">
        <v>0</v>
      </c>
      <c r="AD81" s="3">
        <v>0</v>
      </c>
      <c r="AE81" s="2">
        <v>0</v>
      </c>
      <c r="AF81" s="2">
        <v>0</v>
      </c>
      <c r="AK81" s="4">
        <v>18247000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94ACC-15C8-46D6-A7B5-56AF1D922A82}">
  <dimension ref="A1:N81"/>
  <sheetViews>
    <sheetView tabSelected="1" workbookViewId="0">
      <selection activeCell="A38" sqref="A38"/>
    </sheetView>
  </sheetViews>
  <sheetFormatPr defaultRowHeight="15" x14ac:dyDescent="0.25"/>
  <cols>
    <col min="1" max="1" width="14" bestFit="1" customWidth="1"/>
    <col min="2" max="2" width="27.140625" bestFit="1" customWidth="1"/>
    <col min="3" max="3" width="5.28515625" bestFit="1" customWidth="1"/>
    <col min="4" max="4" width="15" bestFit="1" customWidth="1"/>
    <col min="5" max="5" width="23.42578125" bestFit="1" customWidth="1"/>
    <col min="6" max="6" width="12.140625" bestFit="1" customWidth="1"/>
    <col min="7" max="7" width="49.5703125" bestFit="1" customWidth="1"/>
    <col min="8" max="8" width="10.140625" bestFit="1" customWidth="1"/>
    <col min="9" max="9" width="12.28515625" bestFit="1" customWidth="1"/>
    <col min="10" max="10" width="12" bestFit="1" customWidth="1"/>
    <col min="11" max="11" width="9" bestFit="1" customWidth="1"/>
    <col min="12" max="12" width="17.85546875" bestFit="1" customWidth="1"/>
    <col min="13" max="13" width="16.5703125" bestFit="1" customWidth="1"/>
    <col min="14" max="14" width="14.7109375" bestFit="1" customWidth="1"/>
  </cols>
  <sheetData>
    <row r="1" spans="1:14" x14ac:dyDescent="0.25">
      <c r="A1" t="s">
        <v>8</v>
      </c>
      <c r="B1" t="s">
        <v>9</v>
      </c>
      <c r="C1" t="s">
        <v>12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21</v>
      </c>
      <c r="K1" t="s">
        <v>23</v>
      </c>
      <c r="L1" t="s">
        <v>24</v>
      </c>
      <c r="M1" t="s">
        <v>27</v>
      </c>
      <c r="N1" t="s">
        <v>30</v>
      </c>
    </row>
    <row r="2" spans="1:14" s="5" customFormat="1" x14ac:dyDescent="0.25">
      <c r="A2" s="5">
        <v>2027869986</v>
      </c>
      <c r="B2" s="5" t="s">
        <v>84</v>
      </c>
      <c r="C2" s="5" t="s">
        <v>85</v>
      </c>
      <c r="D2" s="5">
        <v>7470776</v>
      </c>
      <c r="E2" s="5" t="s">
        <v>86</v>
      </c>
      <c r="F2" s="5" t="s">
        <v>45</v>
      </c>
      <c r="G2" s="5" t="s">
        <v>131</v>
      </c>
      <c r="H2" s="6">
        <v>45748</v>
      </c>
      <c r="J2" s="5">
        <v>6</v>
      </c>
      <c r="K2" s="5" t="s">
        <v>48</v>
      </c>
      <c r="L2" s="7">
        <v>46.05</v>
      </c>
      <c r="M2" s="8">
        <v>0.375</v>
      </c>
      <c r="N2" s="7">
        <f>SUM(L2*M2)</f>
        <v>17.268749999999997</v>
      </c>
    </row>
    <row r="3" spans="1:14" s="5" customFormat="1" x14ac:dyDescent="0.25">
      <c r="A3" s="5">
        <v>2027869985</v>
      </c>
      <c r="B3" s="5" t="s">
        <v>84</v>
      </c>
      <c r="C3" s="5" t="s">
        <v>85</v>
      </c>
      <c r="D3" s="5">
        <v>7470776</v>
      </c>
      <c r="E3" s="5" t="s">
        <v>86</v>
      </c>
      <c r="F3" s="5" t="s">
        <v>45</v>
      </c>
      <c r="G3" s="5" t="s">
        <v>132</v>
      </c>
      <c r="H3" s="6">
        <v>45748</v>
      </c>
      <c r="J3" s="5">
        <v>6</v>
      </c>
      <c r="K3" s="5" t="s">
        <v>48</v>
      </c>
      <c r="L3" s="7">
        <v>104.01</v>
      </c>
      <c r="M3" s="8">
        <v>0.7</v>
      </c>
      <c r="N3" s="7">
        <f t="shared" ref="N3:N66" si="0">SUM(L3*M3)</f>
        <v>72.807000000000002</v>
      </c>
    </row>
    <row r="4" spans="1:14" x14ac:dyDescent="0.25">
      <c r="A4">
        <v>2027864780</v>
      </c>
      <c r="B4" t="s">
        <v>71</v>
      </c>
      <c r="C4" t="s">
        <v>43</v>
      </c>
      <c r="D4">
        <v>21348299</v>
      </c>
      <c r="E4" t="s">
        <v>72</v>
      </c>
      <c r="F4" t="s">
        <v>45</v>
      </c>
      <c r="G4" t="s">
        <v>132</v>
      </c>
      <c r="H4" s="1">
        <v>45748</v>
      </c>
      <c r="J4">
        <v>1</v>
      </c>
      <c r="K4" t="s">
        <v>100</v>
      </c>
      <c r="L4" s="2">
        <v>18.100000000000001</v>
      </c>
      <c r="M4" s="3">
        <v>0.7</v>
      </c>
      <c r="N4" s="7">
        <f t="shared" si="0"/>
        <v>12.67</v>
      </c>
    </row>
    <row r="5" spans="1:14" x14ac:dyDescent="0.25">
      <c r="A5">
        <v>2027864781</v>
      </c>
      <c r="B5" t="s">
        <v>71</v>
      </c>
      <c r="C5" t="s">
        <v>43</v>
      </c>
      <c r="D5">
        <v>21348299</v>
      </c>
      <c r="E5" t="s">
        <v>72</v>
      </c>
      <c r="F5" t="s">
        <v>45</v>
      </c>
      <c r="G5" t="s">
        <v>133</v>
      </c>
      <c r="H5" s="1">
        <v>45748</v>
      </c>
      <c r="J5">
        <v>1</v>
      </c>
      <c r="K5" t="s">
        <v>100</v>
      </c>
      <c r="L5" s="2">
        <v>45.45</v>
      </c>
      <c r="M5" s="3">
        <v>0.9</v>
      </c>
      <c r="N5" s="7">
        <f t="shared" si="0"/>
        <v>40.905000000000001</v>
      </c>
    </row>
    <row r="6" spans="1:14" x14ac:dyDescent="0.25">
      <c r="A6">
        <v>2027864779</v>
      </c>
      <c r="B6" t="s">
        <v>71</v>
      </c>
      <c r="C6" t="s">
        <v>43</v>
      </c>
      <c r="D6">
        <v>21348299</v>
      </c>
      <c r="E6" t="s">
        <v>72</v>
      </c>
      <c r="F6" t="s">
        <v>45</v>
      </c>
      <c r="G6" t="s">
        <v>131</v>
      </c>
      <c r="H6" s="1">
        <v>45748</v>
      </c>
      <c r="J6">
        <v>1</v>
      </c>
      <c r="K6" t="s">
        <v>100</v>
      </c>
      <c r="L6" s="2">
        <v>57.96</v>
      </c>
      <c r="M6" s="3">
        <v>0.375</v>
      </c>
      <c r="N6" s="7">
        <f t="shared" si="0"/>
        <v>21.734999999999999</v>
      </c>
    </row>
    <row r="7" spans="1:14" x14ac:dyDescent="0.25">
      <c r="A7">
        <v>2027888086</v>
      </c>
      <c r="B7" t="s">
        <v>97</v>
      </c>
      <c r="C7" t="s">
        <v>43</v>
      </c>
      <c r="D7">
        <v>21348299</v>
      </c>
      <c r="E7" t="s">
        <v>72</v>
      </c>
      <c r="F7" t="s">
        <v>45</v>
      </c>
      <c r="G7" t="s">
        <v>131</v>
      </c>
      <c r="H7" s="1">
        <v>45735</v>
      </c>
      <c r="J7">
        <v>1</v>
      </c>
      <c r="K7" t="s">
        <v>100</v>
      </c>
      <c r="L7" s="2">
        <v>120.04</v>
      </c>
      <c r="M7" s="3">
        <v>0.375</v>
      </c>
      <c r="N7" s="7">
        <f t="shared" si="0"/>
        <v>45.015000000000001</v>
      </c>
    </row>
    <row r="8" spans="1:14" x14ac:dyDescent="0.25">
      <c r="A8">
        <v>2027888085</v>
      </c>
      <c r="B8" s="9" t="s">
        <v>97</v>
      </c>
      <c r="C8" t="s">
        <v>43</v>
      </c>
      <c r="D8">
        <v>21348299</v>
      </c>
      <c r="E8" t="s">
        <v>72</v>
      </c>
      <c r="F8" t="s">
        <v>45</v>
      </c>
      <c r="G8" t="s">
        <v>132</v>
      </c>
      <c r="H8" s="1">
        <v>45735</v>
      </c>
      <c r="J8">
        <v>1</v>
      </c>
      <c r="K8" t="s">
        <v>100</v>
      </c>
      <c r="L8" s="2">
        <v>143.15</v>
      </c>
      <c r="M8" s="3">
        <v>0.7</v>
      </c>
      <c r="N8" s="7">
        <f t="shared" si="0"/>
        <v>100.205</v>
      </c>
    </row>
    <row r="9" spans="1:14" s="5" customFormat="1" x14ac:dyDescent="0.25">
      <c r="A9" s="5">
        <v>2027884611</v>
      </c>
      <c r="B9" s="5" t="s">
        <v>95</v>
      </c>
      <c r="C9" s="5" t="s">
        <v>50</v>
      </c>
      <c r="D9" s="5">
        <v>19586992</v>
      </c>
      <c r="E9" s="5" t="s">
        <v>96</v>
      </c>
      <c r="F9" s="5" t="s">
        <v>45</v>
      </c>
      <c r="G9" s="5" t="s">
        <v>131</v>
      </c>
      <c r="H9" s="6">
        <v>45740</v>
      </c>
      <c r="J9" s="5">
        <v>6</v>
      </c>
      <c r="K9" s="5" t="s">
        <v>48</v>
      </c>
      <c r="L9" s="7">
        <v>57.11</v>
      </c>
      <c r="M9" s="8">
        <v>0.375</v>
      </c>
      <c r="N9" s="7">
        <f t="shared" si="0"/>
        <v>21.416249999999998</v>
      </c>
    </row>
    <row r="10" spans="1:14" s="5" customFormat="1" x14ac:dyDescent="0.25">
      <c r="A10" s="5">
        <v>2027884610</v>
      </c>
      <c r="B10" s="5" t="s">
        <v>95</v>
      </c>
      <c r="C10" s="5" t="s">
        <v>50</v>
      </c>
      <c r="D10" s="5">
        <v>19586992</v>
      </c>
      <c r="E10" s="5" t="s">
        <v>96</v>
      </c>
      <c r="F10" s="5" t="s">
        <v>45</v>
      </c>
      <c r="G10" s="5" t="s">
        <v>132</v>
      </c>
      <c r="H10" s="6">
        <v>45740</v>
      </c>
      <c r="J10" s="5">
        <v>6</v>
      </c>
      <c r="K10" s="5" t="s">
        <v>48</v>
      </c>
      <c r="L10" s="7">
        <v>80.16</v>
      </c>
      <c r="M10" s="8">
        <v>0.7</v>
      </c>
      <c r="N10" s="7">
        <f t="shared" si="0"/>
        <v>56.111999999999995</v>
      </c>
    </row>
    <row r="11" spans="1:14" x14ac:dyDescent="0.25">
      <c r="A11">
        <v>2027836412</v>
      </c>
      <c r="B11" t="s">
        <v>51</v>
      </c>
      <c r="C11" t="s">
        <v>52</v>
      </c>
      <c r="D11">
        <v>20003537</v>
      </c>
      <c r="E11" t="s">
        <v>53</v>
      </c>
      <c r="F11" t="s">
        <v>45</v>
      </c>
      <c r="G11" t="s">
        <v>131</v>
      </c>
      <c r="H11" s="1">
        <v>45736</v>
      </c>
      <c r="J11">
        <v>1</v>
      </c>
      <c r="K11" t="s">
        <v>100</v>
      </c>
      <c r="L11" s="2">
        <v>95.66</v>
      </c>
      <c r="M11" s="3">
        <v>0.375</v>
      </c>
      <c r="N11" s="7">
        <f t="shared" si="0"/>
        <v>35.872500000000002</v>
      </c>
    </row>
    <row r="12" spans="1:14" s="5" customFormat="1" x14ac:dyDescent="0.25">
      <c r="A12" s="5">
        <v>2027895299</v>
      </c>
      <c r="B12" s="5" t="s">
        <v>101</v>
      </c>
      <c r="C12" s="5" t="s">
        <v>50</v>
      </c>
      <c r="D12" s="5">
        <v>8325282</v>
      </c>
      <c r="E12" s="5" t="s">
        <v>102</v>
      </c>
      <c r="F12" s="5" t="s">
        <v>45</v>
      </c>
      <c r="G12" s="5" t="s">
        <v>132</v>
      </c>
      <c r="H12" s="6">
        <v>45735</v>
      </c>
      <c r="J12" s="5">
        <v>6</v>
      </c>
      <c r="K12" s="5" t="s">
        <v>48</v>
      </c>
      <c r="L12" s="7">
        <v>62.75</v>
      </c>
      <c r="M12" s="8">
        <v>0.7</v>
      </c>
      <c r="N12" s="7">
        <f t="shared" si="0"/>
        <v>43.924999999999997</v>
      </c>
    </row>
    <row r="13" spans="1:14" s="5" customFormat="1" x14ac:dyDescent="0.25">
      <c r="A13" s="5">
        <v>2027895298</v>
      </c>
      <c r="B13" s="5" t="s">
        <v>101</v>
      </c>
      <c r="C13" s="5" t="s">
        <v>50</v>
      </c>
      <c r="D13" s="5">
        <v>8325282</v>
      </c>
      <c r="E13" s="5" t="s">
        <v>102</v>
      </c>
      <c r="F13" s="5" t="s">
        <v>45</v>
      </c>
      <c r="G13" s="5" t="s">
        <v>134</v>
      </c>
      <c r="H13" s="6">
        <v>45735</v>
      </c>
      <c r="J13" s="5">
        <v>6</v>
      </c>
      <c r="K13" s="5" t="s">
        <v>48</v>
      </c>
      <c r="L13" s="7">
        <v>166.25</v>
      </c>
      <c r="M13" s="8">
        <v>0.75</v>
      </c>
      <c r="N13" s="7">
        <f t="shared" si="0"/>
        <v>124.6875</v>
      </c>
    </row>
    <row r="14" spans="1:14" x14ac:dyDescent="0.25">
      <c r="A14">
        <v>2027938138</v>
      </c>
      <c r="B14" t="s">
        <v>121</v>
      </c>
      <c r="C14" t="s">
        <v>90</v>
      </c>
      <c r="D14">
        <v>17528908</v>
      </c>
      <c r="E14" t="s">
        <v>91</v>
      </c>
      <c r="F14" t="s">
        <v>45</v>
      </c>
      <c r="G14" t="s">
        <v>131</v>
      </c>
      <c r="H14" s="1">
        <v>45748</v>
      </c>
      <c r="J14">
        <v>1</v>
      </c>
      <c r="K14" t="s">
        <v>100</v>
      </c>
      <c r="L14" s="2">
        <v>39.979999999999997</v>
      </c>
      <c r="M14" s="3">
        <v>0.375</v>
      </c>
      <c r="N14" s="7">
        <f t="shared" si="0"/>
        <v>14.9925</v>
      </c>
    </row>
    <row r="15" spans="1:14" x14ac:dyDescent="0.25">
      <c r="A15">
        <v>2027883494</v>
      </c>
      <c r="B15" t="s">
        <v>89</v>
      </c>
      <c r="C15" t="s">
        <v>90</v>
      </c>
      <c r="D15">
        <v>17528908</v>
      </c>
      <c r="E15" t="s">
        <v>91</v>
      </c>
      <c r="F15" t="s">
        <v>45</v>
      </c>
      <c r="G15" t="s">
        <v>131</v>
      </c>
      <c r="H15" s="1">
        <v>45735</v>
      </c>
      <c r="J15">
        <v>1</v>
      </c>
      <c r="K15" t="s">
        <v>100</v>
      </c>
      <c r="L15" s="2">
        <v>49.98</v>
      </c>
      <c r="M15" s="3">
        <v>0.375</v>
      </c>
      <c r="N15" s="7">
        <f t="shared" si="0"/>
        <v>18.7425</v>
      </c>
    </row>
    <row r="16" spans="1:14" s="5" customFormat="1" x14ac:dyDescent="0.25">
      <c r="A16" s="5">
        <v>2027934655</v>
      </c>
      <c r="B16" s="5" t="s">
        <v>114</v>
      </c>
      <c r="C16" s="5" t="s">
        <v>50</v>
      </c>
      <c r="D16" s="5">
        <v>17301495</v>
      </c>
      <c r="E16" s="5" t="s">
        <v>115</v>
      </c>
      <c r="F16" s="5" t="s">
        <v>45</v>
      </c>
      <c r="G16" s="5" t="s">
        <v>136</v>
      </c>
      <c r="H16" s="6">
        <v>45737</v>
      </c>
      <c r="J16" s="5">
        <v>6</v>
      </c>
      <c r="K16" s="5" t="s">
        <v>48</v>
      </c>
      <c r="L16" s="7">
        <v>7.09</v>
      </c>
      <c r="M16" s="8">
        <v>0.38</v>
      </c>
      <c r="N16" s="7">
        <f t="shared" si="0"/>
        <v>2.6941999999999999</v>
      </c>
    </row>
    <row r="17" spans="1:14" s="5" customFormat="1" x14ac:dyDescent="0.25">
      <c r="A17" s="5">
        <v>2027934656</v>
      </c>
      <c r="B17" s="5" t="s">
        <v>114</v>
      </c>
      <c r="C17" s="5" t="s">
        <v>50</v>
      </c>
      <c r="D17" s="5">
        <v>17301495</v>
      </c>
      <c r="E17" s="5" t="s">
        <v>115</v>
      </c>
      <c r="F17" s="5" t="s">
        <v>45</v>
      </c>
      <c r="G17" s="5" t="s">
        <v>136</v>
      </c>
      <c r="H17" s="6">
        <v>45737</v>
      </c>
      <c r="J17" s="5">
        <v>6</v>
      </c>
      <c r="K17" s="5" t="s">
        <v>48</v>
      </c>
      <c r="L17" s="7">
        <v>15</v>
      </c>
      <c r="M17" s="8">
        <v>0.38</v>
      </c>
      <c r="N17" s="7">
        <f t="shared" si="0"/>
        <v>5.7</v>
      </c>
    </row>
    <row r="18" spans="1:14" s="5" customFormat="1" x14ac:dyDescent="0.25">
      <c r="A18" s="5">
        <v>2027934654</v>
      </c>
      <c r="B18" s="5" t="s">
        <v>114</v>
      </c>
      <c r="C18" s="5" t="s">
        <v>50</v>
      </c>
      <c r="D18" s="5">
        <v>17301495</v>
      </c>
      <c r="E18" s="5" t="s">
        <v>115</v>
      </c>
      <c r="F18" s="5" t="s">
        <v>45</v>
      </c>
      <c r="G18" s="5" t="s">
        <v>136</v>
      </c>
      <c r="H18" s="6">
        <v>45737</v>
      </c>
      <c r="J18" s="5">
        <v>6</v>
      </c>
      <c r="K18" s="5" t="s">
        <v>48</v>
      </c>
      <c r="L18" s="7">
        <v>181.4</v>
      </c>
      <c r="M18" s="8">
        <v>0.38</v>
      </c>
      <c r="N18" s="7">
        <f t="shared" si="0"/>
        <v>68.932000000000002</v>
      </c>
    </row>
    <row r="19" spans="1:14" s="5" customFormat="1" x14ac:dyDescent="0.25">
      <c r="A19" s="5">
        <v>2027933174</v>
      </c>
      <c r="B19" s="5" t="s">
        <v>112</v>
      </c>
      <c r="C19" s="5" t="s">
        <v>52</v>
      </c>
      <c r="D19" s="5">
        <v>8814784</v>
      </c>
      <c r="E19" s="5" t="s">
        <v>113</v>
      </c>
      <c r="F19" s="5" t="s">
        <v>45</v>
      </c>
      <c r="G19" s="5" t="s">
        <v>132</v>
      </c>
      <c r="H19" s="6">
        <v>45748</v>
      </c>
      <c r="J19" s="5">
        <v>6</v>
      </c>
      <c r="K19" s="5" t="s">
        <v>48</v>
      </c>
      <c r="L19" s="7">
        <v>46.54</v>
      </c>
      <c r="M19" s="8">
        <v>0.7</v>
      </c>
      <c r="N19" s="7">
        <f t="shared" si="0"/>
        <v>32.577999999999996</v>
      </c>
    </row>
    <row r="20" spans="1:14" s="5" customFormat="1" x14ac:dyDescent="0.25">
      <c r="A20" s="5">
        <v>2027933173</v>
      </c>
      <c r="B20" s="5" t="s">
        <v>112</v>
      </c>
      <c r="C20" s="5" t="s">
        <v>52</v>
      </c>
      <c r="D20" s="5">
        <v>8814784</v>
      </c>
      <c r="E20" s="5" t="s">
        <v>113</v>
      </c>
      <c r="F20" s="5" t="s">
        <v>45</v>
      </c>
      <c r="G20" s="5" t="s">
        <v>134</v>
      </c>
      <c r="H20" s="6">
        <v>45748</v>
      </c>
      <c r="J20" s="5">
        <v>6</v>
      </c>
      <c r="K20" s="5" t="s">
        <v>48</v>
      </c>
      <c r="L20" s="7">
        <v>49.93</v>
      </c>
      <c r="M20" s="8">
        <v>0.75</v>
      </c>
      <c r="N20" s="7">
        <f t="shared" si="0"/>
        <v>37.447499999999998</v>
      </c>
    </row>
    <row r="21" spans="1:14" s="5" customFormat="1" x14ac:dyDescent="0.25">
      <c r="A21" s="5">
        <v>2027864150</v>
      </c>
      <c r="B21" s="5" t="s">
        <v>69</v>
      </c>
      <c r="C21" s="5" t="s">
        <v>50</v>
      </c>
      <c r="D21" s="5">
        <v>17094718</v>
      </c>
      <c r="E21" s="5" t="s">
        <v>70</v>
      </c>
      <c r="F21" s="5" t="s">
        <v>45</v>
      </c>
      <c r="G21" s="5" t="s">
        <v>132</v>
      </c>
      <c r="H21" s="6">
        <v>45735</v>
      </c>
      <c r="J21" s="5">
        <v>6</v>
      </c>
      <c r="K21" s="5" t="s">
        <v>48</v>
      </c>
      <c r="L21" s="7">
        <v>20.56</v>
      </c>
      <c r="M21" s="8">
        <v>0.7</v>
      </c>
      <c r="N21" s="7">
        <f t="shared" si="0"/>
        <v>14.391999999999998</v>
      </c>
    </row>
    <row r="22" spans="1:14" s="5" customFormat="1" x14ac:dyDescent="0.25">
      <c r="A22" s="5">
        <v>2027864149</v>
      </c>
      <c r="B22" s="5" t="s">
        <v>69</v>
      </c>
      <c r="C22" s="5" t="s">
        <v>50</v>
      </c>
      <c r="D22" s="5">
        <v>17094718</v>
      </c>
      <c r="E22" s="5" t="s">
        <v>70</v>
      </c>
      <c r="F22" s="5" t="s">
        <v>45</v>
      </c>
      <c r="G22" s="5" t="s">
        <v>131</v>
      </c>
      <c r="H22" s="6">
        <v>45735</v>
      </c>
      <c r="J22" s="5">
        <v>6</v>
      </c>
      <c r="K22" s="5" t="s">
        <v>48</v>
      </c>
      <c r="L22" s="7">
        <v>57.11</v>
      </c>
      <c r="M22" s="8">
        <v>0.375</v>
      </c>
      <c r="N22" s="7">
        <f t="shared" si="0"/>
        <v>21.416249999999998</v>
      </c>
    </row>
    <row r="23" spans="1:14" x14ac:dyDescent="0.25">
      <c r="A23">
        <v>2027916111</v>
      </c>
      <c r="B23" t="s">
        <v>108</v>
      </c>
      <c r="C23" t="s">
        <v>50</v>
      </c>
      <c r="D23">
        <v>8307933</v>
      </c>
      <c r="E23" t="s">
        <v>63</v>
      </c>
      <c r="F23" t="s">
        <v>45</v>
      </c>
      <c r="G23" t="s">
        <v>134</v>
      </c>
      <c r="H23" s="1">
        <v>45737</v>
      </c>
      <c r="J23">
        <v>1</v>
      </c>
      <c r="K23" t="s">
        <v>100</v>
      </c>
      <c r="L23" s="2">
        <v>28.23</v>
      </c>
      <c r="M23" s="3">
        <v>0.75</v>
      </c>
      <c r="N23" s="7">
        <f t="shared" si="0"/>
        <v>21.172499999999999</v>
      </c>
    </row>
    <row r="24" spans="1:14" x14ac:dyDescent="0.25">
      <c r="A24">
        <v>2027874427</v>
      </c>
      <c r="B24" t="s">
        <v>88</v>
      </c>
      <c r="C24" t="s">
        <v>50</v>
      </c>
      <c r="D24">
        <v>8307933</v>
      </c>
      <c r="E24" t="s">
        <v>63</v>
      </c>
      <c r="F24" t="s">
        <v>45</v>
      </c>
      <c r="G24" t="s">
        <v>132</v>
      </c>
      <c r="H24" s="1">
        <v>45734</v>
      </c>
      <c r="J24">
        <v>1</v>
      </c>
      <c r="K24" t="s">
        <v>100</v>
      </c>
      <c r="L24" s="2">
        <v>48.19</v>
      </c>
      <c r="M24" s="3">
        <v>0.7</v>
      </c>
      <c r="N24" s="7">
        <f t="shared" si="0"/>
        <v>33.732999999999997</v>
      </c>
    </row>
    <row r="25" spans="1:14" x14ac:dyDescent="0.25">
      <c r="A25">
        <v>2027916110</v>
      </c>
      <c r="B25" t="s">
        <v>108</v>
      </c>
      <c r="C25" t="s">
        <v>50</v>
      </c>
      <c r="D25">
        <v>8307933</v>
      </c>
      <c r="E25" t="s">
        <v>63</v>
      </c>
      <c r="F25" t="s">
        <v>45</v>
      </c>
      <c r="G25" t="s">
        <v>132</v>
      </c>
      <c r="H25" s="1">
        <v>45737</v>
      </c>
      <c r="J25">
        <v>1</v>
      </c>
      <c r="K25" t="s">
        <v>100</v>
      </c>
      <c r="L25" s="2">
        <v>49.8</v>
      </c>
      <c r="M25" s="3">
        <v>0.7</v>
      </c>
      <c r="N25" s="7">
        <f t="shared" si="0"/>
        <v>34.859999999999992</v>
      </c>
    </row>
    <row r="26" spans="1:14" x14ac:dyDescent="0.25">
      <c r="A26">
        <v>2027855574</v>
      </c>
      <c r="B26" t="s">
        <v>61</v>
      </c>
      <c r="C26" t="s">
        <v>62</v>
      </c>
      <c r="D26">
        <v>8307933</v>
      </c>
      <c r="E26" t="s">
        <v>63</v>
      </c>
      <c r="F26" t="s">
        <v>45</v>
      </c>
      <c r="G26" t="s">
        <v>134</v>
      </c>
      <c r="H26" s="1">
        <v>45734</v>
      </c>
      <c r="J26">
        <v>1</v>
      </c>
      <c r="K26" t="s">
        <v>100</v>
      </c>
      <c r="L26" s="2">
        <v>75.8</v>
      </c>
      <c r="M26" s="3">
        <v>0.75</v>
      </c>
      <c r="N26" s="7">
        <f t="shared" si="0"/>
        <v>56.849999999999994</v>
      </c>
    </row>
    <row r="27" spans="1:14" x14ac:dyDescent="0.25">
      <c r="A27">
        <v>2027855573</v>
      </c>
      <c r="B27" t="s">
        <v>61</v>
      </c>
      <c r="C27" t="s">
        <v>62</v>
      </c>
      <c r="D27">
        <v>8307933</v>
      </c>
      <c r="E27" t="s">
        <v>63</v>
      </c>
      <c r="F27" t="s">
        <v>45</v>
      </c>
      <c r="G27" t="s">
        <v>132</v>
      </c>
      <c r="H27" s="1">
        <v>45734</v>
      </c>
      <c r="J27">
        <v>1</v>
      </c>
      <c r="K27" t="s">
        <v>100</v>
      </c>
      <c r="L27" s="2">
        <v>79.84</v>
      </c>
      <c r="M27" s="3">
        <v>0.7</v>
      </c>
      <c r="N27" s="7">
        <f t="shared" si="0"/>
        <v>55.887999999999998</v>
      </c>
    </row>
    <row r="28" spans="1:14" x14ac:dyDescent="0.25">
      <c r="A28">
        <v>2027874426</v>
      </c>
      <c r="B28" t="s">
        <v>88</v>
      </c>
      <c r="C28" t="s">
        <v>50</v>
      </c>
      <c r="D28">
        <v>8307933</v>
      </c>
      <c r="E28" t="s">
        <v>63</v>
      </c>
      <c r="F28" t="s">
        <v>45</v>
      </c>
      <c r="G28" t="s">
        <v>137</v>
      </c>
      <c r="H28" s="1">
        <v>45734</v>
      </c>
      <c r="J28">
        <v>1</v>
      </c>
      <c r="K28" t="s">
        <v>100</v>
      </c>
      <c r="L28" s="2">
        <v>80.16</v>
      </c>
      <c r="M28" s="3">
        <v>0.9</v>
      </c>
      <c r="N28" s="7">
        <f t="shared" si="0"/>
        <v>72.144000000000005</v>
      </c>
    </row>
    <row r="29" spans="1:14" s="5" customFormat="1" x14ac:dyDescent="0.25">
      <c r="A29" s="5">
        <v>2027913472</v>
      </c>
      <c r="B29" s="5" t="s">
        <v>105</v>
      </c>
      <c r="C29" s="5" t="s">
        <v>76</v>
      </c>
      <c r="D29" s="5">
        <v>16865615</v>
      </c>
      <c r="E29" s="5" t="s">
        <v>77</v>
      </c>
      <c r="F29" s="5" t="s">
        <v>45</v>
      </c>
      <c r="G29" s="5" t="s">
        <v>132</v>
      </c>
      <c r="H29" s="6">
        <v>45738</v>
      </c>
      <c r="J29" s="5">
        <v>6</v>
      </c>
      <c r="K29" s="5" t="s">
        <v>48</v>
      </c>
      <c r="L29" s="7">
        <v>7.89</v>
      </c>
      <c r="M29" s="8">
        <v>0.7</v>
      </c>
      <c r="N29" s="7">
        <f t="shared" si="0"/>
        <v>5.5229999999999997</v>
      </c>
    </row>
    <row r="30" spans="1:14" s="5" customFormat="1" x14ac:dyDescent="0.25">
      <c r="A30" s="5">
        <v>2027867338</v>
      </c>
      <c r="B30" s="5" t="s">
        <v>75</v>
      </c>
      <c r="C30" s="5" t="s">
        <v>76</v>
      </c>
      <c r="D30" s="5">
        <v>16865615</v>
      </c>
      <c r="E30" s="5" t="s">
        <v>77</v>
      </c>
      <c r="F30" s="5" t="s">
        <v>45</v>
      </c>
      <c r="G30" s="5" t="s">
        <v>132</v>
      </c>
      <c r="H30" s="6">
        <v>45736</v>
      </c>
      <c r="J30" s="5">
        <v>6</v>
      </c>
      <c r="K30" s="5" t="s">
        <v>48</v>
      </c>
      <c r="L30" s="7">
        <v>9.1</v>
      </c>
      <c r="M30" s="8">
        <v>0.7</v>
      </c>
      <c r="N30" s="7">
        <f t="shared" si="0"/>
        <v>6.3699999999999992</v>
      </c>
    </row>
    <row r="31" spans="1:14" s="5" customFormat="1" x14ac:dyDescent="0.25">
      <c r="A31" s="5">
        <v>2027871489</v>
      </c>
      <c r="B31" s="5" t="s">
        <v>87</v>
      </c>
      <c r="C31" s="5" t="s">
        <v>76</v>
      </c>
      <c r="D31" s="5">
        <v>16865615</v>
      </c>
      <c r="E31" s="5" t="s">
        <v>77</v>
      </c>
      <c r="F31" s="5" t="s">
        <v>45</v>
      </c>
      <c r="G31" s="5" t="s">
        <v>132</v>
      </c>
      <c r="H31" s="6">
        <v>45734</v>
      </c>
      <c r="J31" s="5">
        <v>6</v>
      </c>
      <c r="K31" s="5" t="s">
        <v>48</v>
      </c>
      <c r="L31" s="7">
        <v>9.1</v>
      </c>
      <c r="M31" s="8">
        <v>0.7</v>
      </c>
      <c r="N31" s="7">
        <f t="shared" si="0"/>
        <v>6.3699999999999992</v>
      </c>
    </row>
    <row r="32" spans="1:14" s="5" customFormat="1" x14ac:dyDescent="0.25">
      <c r="A32" s="5">
        <v>2027914616</v>
      </c>
      <c r="B32" s="5" t="s">
        <v>106</v>
      </c>
      <c r="C32" s="5" t="s">
        <v>76</v>
      </c>
      <c r="D32" s="5">
        <v>16865615</v>
      </c>
      <c r="E32" s="5" t="s">
        <v>77</v>
      </c>
      <c r="F32" s="5" t="s">
        <v>45</v>
      </c>
      <c r="G32" s="5" t="s">
        <v>132</v>
      </c>
      <c r="H32" s="6">
        <v>45738</v>
      </c>
      <c r="J32" s="5">
        <v>6</v>
      </c>
      <c r="K32" s="5" t="s">
        <v>100</v>
      </c>
      <c r="L32" s="7">
        <v>9.1</v>
      </c>
      <c r="M32" s="8">
        <v>0.7</v>
      </c>
      <c r="N32" s="7">
        <f t="shared" si="0"/>
        <v>6.3699999999999992</v>
      </c>
    </row>
    <row r="33" spans="1:14" s="5" customFormat="1" x14ac:dyDescent="0.25">
      <c r="A33" s="5">
        <v>2027920263</v>
      </c>
      <c r="B33" s="5" t="s">
        <v>106</v>
      </c>
      <c r="C33" s="5" t="s">
        <v>76</v>
      </c>
      <c r="D33" s="5">
        <v>16865615</v>
      </c>
      <c r="E33" s="5" t="s">
        <v>77</v>
      </c>
      <c r="F33" s="5" t="s">
        <v>45</v>
      </c>
      <c r="G33" s="5" t="s">
        <v>132</v>
      </c>
      <c r="H33" s="6">
        <v>45744</v>
      </c>
      <c r="J33" s="5">
        <v>6</v>
      </c>
      <c r="K33" s="5" t="s">
        <v>48</v>
      </c>
      <c r="L33" s="7">
        <v>9.1</v>
      </c>
      <c r="M33" s="8">
        <v>0.7</v>
      </c>
      <c r="N33" s="7">
        <f t="shared" si="0"/>
        <v>6.3699999999999992</v>
      </c>
    </row>
    <row r="34" spans="1:14" s="5" customFormat="1" x14ac:dyDescent="0.25">
      <c r="A34" s="5">
        <v>2027965412</v>
      </c>
      <c r="B34" s="5" t="s">
        <v>129</v>
      </c>
      <c r="C34" s="5" t="s">
        <v>76</v>
      </c>
      <c r="D34" s="5">
        <v>16865615</v>
      </c>
      <c r="E34" s="5" t="s">
        <v>77</v>
      </c>
      <c r="F34" s="5" t="s">
        <v>45</v>
      </c>
      <c r="G34" s="5" t="s">
        <v>132</v>
      </c>
      <c r="H34" s="6">
        <v>45738</v>
      </c>
      <c r="J34" s="5">
        <v>6</v>
      </c>
      <c r="K34" s="5" t="s">
        <v>48</v>
      </c>
      <c r="L34" s="7">
        <v>9.6999999999999993</v>
      </c>
      <c r="M34" s="8">
        <v>0.7</v>
      </c>
      <c r="N34" s="7">
        <f t="shared" si="0"/>
        <v>6.7899999999999991</v>
      </c>
    </row>
    <row r="35" spans="1:14" s="5" customFormat="1" x14ac:dyDescent="0.25">
      <c r="A35" s="5">
        <v>2027965413</v>
      </c>
      <c r="B35" s="5" t="s">
        <v>129</v>
      </c>
      <c r="C35" s="5" t="s">
        <v>76</v>
      </c>
      <c r="D35" s="5">
        <v>16865615</v>
      </c>
      <c r="E35" s="5" t="s">
        <v>77</v>
      </c>
      <c r="F35" s="5" t="s">
        <v>45</v>
      </c>
      <c r="G35" s="5" t="s">
        <v>133</v>
      </c>
      <c r="H35" s="6">
        <v>45738</v>
      </c>
      <c r="J35" s="5">
        <v>6</v>
      </c>
      <c r="K35" s="5" t="s">
        <v>48</v>
      </c>
      <c r="L35" s="7">
        <v>12.92</v>
      </c>
      <c r="M35" s="8">
        <v>0.9</v>
      </c>
      <c r="N35" s="7">
        <f t="shared" si="0"/>
        <v>11.628</v>
      </c>
    </row>
    <row r="36" spans="1:14" s="5" customFormat="1" x14ac:dyDescent="0.25">
      <c r="A36" s="5">
        <v>2027965414</v>
      </c>
      <c r="B36" s="5" t="s">
        <v>129</v>
      </c>
      <c r="C36" s="5" t="s">
        <v>76</v>
      </c>
      <c r="D36" s="5">
        <v>16865615</v>
      </c>
      <c r="E36" s="5" t="s">
        <v>77</v>
      </c>
      <c r="F36" s="5" t="s">
        <v>45</v>
      </c>
      <c r="G36" s="5" t="s">
        <v>135</v>
      </c>
      <c r="H36" s="6">
        <v>45738</v>
      </c>
      <c r="J36" s="5">
        <v>6</v>
      </c>
      <c r="K36" s="5" t="s">
        <v>48</v>
      </c>
      <c r="L36" s="7">
        <v>13.48</v>
      </c>
      <c r="M36" s="8">
        <v>0.65</v>
      </c>
      <c r="N36" s="7">
        <f t="shared" si="0"/>
        <v>8.7620000000000005</v>
      </c>
    </row>
    <row r="37" spans="1:14" s="5" customFormat="1" x14ac:dyDescent="0.25">
      <c r="A37" s="5">
        <v>2027867340</v>
      </c>
      <c r="B37" s="5" t="s">
        <v>75</v>
      </c>
      <c r="C37" s="5" t="s">
        <v>76</v>
      </c>
      <c r="D37" s="5">
        <v>16865615</v>
      </c>
      <c r="E37" s="5" t="s">
        <v>77</v>
      </c>
      <c r="F37" s="5" t="s">
        <v>45</v>
      </c>
      <c r="G37" s="5" t="s">
        <v>136</v>
      </c>
      <c r="H37" s="6">
        <v>45736</v>
      </c>
      <c r="J37" s="5">
        <v>6</v>
      </c>
      <c r="K37" s="5" t="s">
        <v>48</v>
      </c>
      <c r="L37" s="7">
        <v>16.91</v>
      </c>
      <c r="M37" s="8">
        <v>0.38</v>
      </c>
      <c r="N37" s="7">
        <f t="shared" si="0"/>
        <v>6.4257999999999997</v>
      </c>
    </row>
    <row r="38" spans="1:14" s="5" customFormat="1" x14ac:dyDescent="0.25">
      <c r="A38" s="5">
        <v>2027965411</v>
      </c>
      <c r="B38" s="5" t="s">
        <v>129</v>
      </c>
      <c r="C38" s="5" t="s">
        <v>76</v>
      </c>
      <c r="D38" s="5">
        <v>16865615</v>
      </c>
      <c r="E38" s="5" t="s">
        <v>77</v>
      </c>
      <c r="F38" s="5" t="s">
        <v>45</v>
      </c>
      <c r="G38" s="5" t="s">
        <v>136</v>
      </c>
      <c r="H38" s="6">
        <v>45738</v>
      </c>
      <c r="J38" s="5">
        <v>6</v>
      </c>
      <c r="K38" s="5" t="s">
        <v>48</v>
      </c>
      <c r="L38" s="7">
        <v>16.91</v>
      </c>
      <c r="M38" s="8">
        <v>0.38</v>
      </c>
      <c r="N38" s="7">
        <f t="shared" si="0"/>
        <v>6.4257999999999997</v>
      </c>
    </row>
    <row r="39" spans="1:14" s="5" customFormat="1" x14ac:dyDescent="0.25">
      <c r="A39" s="5">
        <v>2027936971</v>
      </c>
      <c r="B39" s="5" t="s">
        <v>118</v>
      </c>
      <c r="C39" s="5" t="s">
        <v>76</v>
      </c>
      <c r="D39" s="5">
        <v>16865615</v>
      </c>
      <c r="E39" s="5" t="s">
        <v>77</v>
      </c>
      <c r="F39" s="5" t="s">
        <v>45</v>
      </c>
      <c r="G39" s="5" t="s">
        <v>132</v>
      </c>
      <c r="H39" s="6">
        <v>45748</v>
      </c>
      <c r="J39" s="5">
        <v>6</v>
      </c>
      <c r="K39" s="5" t="s">
        <v>48</v>
      </c>
      <c r="L39" s="7">
        <v>27.38</v>
      </c>
      <c r="M39" s="8">
        <v>0.7</v>
      </c>
      <c r="N39" s="7">
        <f t="shared" si="0"/>
        <v>19.165999999999997</v>
      </c>
    </row>
    <row r="40" spans="1:14" s="5" customFormat="1" x14ac:dyDescent="0.25">
      <c r="A40" s="5">
        <v>2027965410</v>
      </c>
      <c r="B40" s="5" t="s">
        <v>129</v>
      </c>
      <c r="C40" s="5" t="s">
        <v>76</v>
      </c>
      <c r="D40" s="5">
        <v>16865615</v>
      </c>
      <c r="E40" s="5" t="s">
        <v>77</v>
      </c>
      <c r="F40" s="5" t="s">
        <v>45</v>
      </c>
      <c r="G40" s="5" t="s">
        <v>131</v>
      </c>
      <c r="H40" s="6">
        <v>45738</v>
      </c>
      <c r="J40" s="5">
        <v>6</v>
      </c>
      <c r="K40" s="5" t="s">
        <v>48</v>
      </c>
      <c r="L40" s="7">
        <v>29.18</v>
      </c>
      <c r="M40" s="8">
        <v>0.375</v>
      </c>
      <c r="N40" s="7">
        <f t="shared" si="0"/>
        <v>10.942499999999999</v>
      </c>
    </row>
    <row r="41" spans="1:14" s="5" customFormat="1" x14ac:dyDescent="0.25">
      <c r="A41" s="5">
        <v>2027913473</v>
      </c>
      <c r="B41" s="5" t="s">
        <v>105</v>
      </c>
      <c r="C41" s="5" t="s">
        <v>76</v>
      </c>
      <c r="D41" s="5">
        <v>16865615</v>
      </c>
      <c r="E41" s="5" t="s">
        <v>77</v>
      </c>
      <c r="F41" s="5" t="s">
        <v>45</v>
      </c>
      <c r="G41" s="5" t="s">
        <v>136</v>
      </c>
      <c r="H41" s="6">
        <v>45738</v>
      </c>
      <c r="J41" s="5">
        <v>6</v>
      </c>
      <c r="K41" s="5" t="s">
        <v>48</v>
      </c>
      <c r="L41" s="7">
        <v>40.270000000000003</v>
      </c>
      <c r="M41" s="8">
        <v>0.38</v>
      </c>
      <c r="N41" s="7">
        <f t="shared" si="0"/>
        <v>15.302600000000002</v>
      </c>
    </row>
    <row r="42" spans="1:14" s="5" customFormat="1" x14ac:dyDescent="0.25">
      <c r="A42" s="5">
        <v>2027867337</v>
      </c>
      <c r="B42" s="5" t="s">
        <v>75</v>
      </c>
      <c r="C42" s="5" t="s">
        <v>76</v>
      </c>
      <c r="D42" s="5">
        <v>16865615</v>
      </c>
      <c r="E42" s="5" t="s">
        <v>77</v>
      </c>
      <c r="F42" s="5" t="s">
        <v>45</v>
      </c>
      <c r="G42" s="5" t="s">
        <v>131</v>
      </c>
      <c r="H42" s="6">
        <v>45736</v>
      </c>
      <c r="J42" s="5">
        <v>6</v>
      </c>
      <c r="K42" s="5" t="s">
        <v>48</v>
      </c>
      <c r="L42" s="7">
        <v>45.39</v>
      </c>
      <c r="M42" s="8">
        <v>0.375</v>
      </c>
      <c r="N42" s="7">
        <f t="shared" si="0"/>
        <v>17.021250000000002</v>
      </c>
    </row>
    <row r="43" spans="1:14" s="5" customFormat="1" x14ac:dyDescent="0.25">
      <c r="A43" s="5">
        <v>2027871488</v>
      </c>
      <c r="B43" s="5" t="s">
        <v>87</v>
      </c>
      <c r="C43" s="5" t="s">
        <v>76</v>
      </c>
      <c r="D43" s="5">
        <v>16865615</v>
      </c>
      <c r="E43" s="5" t="s">
        <v>77</v>
      </c>
      <c r="F43" s="5" t="s">
        <v>45</v>
      </c>
      <c r="G43" s="5" t="s">
        <v>131</v>
      </c>
      <c r="H43" s="6">
        <v>45734</v>
      </c>
      <c r="J43" s="5">
        <v>6</v>
      </c>
      <c r="K43" s="5" t="s">
        <v>48</v>
      </c>
      <c r="L43" s="7">
        <v>45.39</v>
      </c>
      <c r="M43" s="8">
        <v>0.375</v>
      </c>
      <c r="N43" s="7">
        <f t="shared" si="0"/>
        <v>17.021250000000002</v>
      </c>
    </row>
    <row r="44" spans="1:14" s="5" customFormat="1" x14ac:dyDescent="0.25">
      <c r="A44" s="5">
        <v>2027914615</v>
      </c>
      <c r="B44" s="5" t="s">
        <v>106</v>
      </c>
      <c r="C44" s="5" t="s">
        <v>76</v>
      </c>
      <c r="D44" s="5">
        <v>16865615</v>
      </c>
      <c r="E44" s="5" t="s">
        <v>77</v>
      </c>
      <c r="F44" s="5" t="s">
        <v>45</v>
      </c>
      <c r="G44" s="5" t="s">
        <v>131</v>
      </c>
      <c r="H44" s="6">
        <v>45738</v>
      </c>
      <c r="J44" s="5">
        <v>6</v>
      </c>
      <c r="K44" s="5" t="s">
        <v>100</v>
      </c>
      <c r="L44" s="7">
        <v>45.39</v>
      </c>
      <c r="M44" s="8">
        <v>0.375</v>
      </c>
      <c r="N44" s="7">
        <f t="shared" si="0"/>
        <v>17.021250000000002</v>
      </c>
    </row>
    <row r="45" spans="1:14" s="5" customFormat="1" x14ac:dyDescent="0.25">
      <c r="A45" s="5">
        <v>2027920262</v>
      </c>
      <c r="B45" s="5" t="s">
        <v>106</v>
      </c>
      <c r="C45" s="5" t="s">
        <v>76</v>
      </c>
      <c r="D45" s="5">
        <v>16865615</v>
      </c>
      <c r="E45" s="5" t="s">
        <v>77</v>
      </c>
      <c r="F45" s="5" t="s">
        <v>45</v>
      </c>
      <c r="G45" s="5" t="s">
        <v>131</v>
      </c>
      <c r="H45" s="6">
        <v>45744</v>
      </c>
      <c r="J45" s="5">
        <v>6</v>
      </c>
      <c r="K45" s="5" t="s">
        <v>48</v>
      </c>
      <c r="L45" s="7">
        <v>53.08</v>
      </c>
      <c r="M45" s="8">
        <v>0.375</v>
      </c>
      <c r="N45" s="7">
        <f t="shared" si="0"/>
        <v>19.905000000000001</v>
      </c>
    </row>
    <row r="46" spans="1:14" s="5" customFormat="1" x14ac:dyDescent="0.25">
      <c r="A46" s="5">
        <v>2027936972</v>
      </c>
      <c r="B46" s="5" t="s">
        <v>118</v>
      </c>
      <c r="C46" s="5" t="s">
        <v>76</v>
      </c>
      <c r="D46" s="5">
        <v>16865615</v>
      </c>
      <c r="E46" s="5" t="s">
        <v>77</v>
      </c>
      <c r="F46" s="5" t="s">
        <v>45</v>
      </c>
      <c r="G46" s="5" t="s">
        <v>135</v>
      </c>
      <c r="H46" s="6">
        <v>45748</v>
      </c>
      <c r="J46" s="5">
        <v>6</v>
      </c>
      <c r="K46" s="5" t="s">
        <v>48</v>
      </c>
      <c r="L46" s="7">
        <v>57.48</v>
      </c>
      <c r="M46" s="8">
        <v>0.65</v>
      </c>
      <c r="N46" s="7">
        <f t="shared" si="0"/>
        <v>37.362000000000002</v>
      </c>
    </row>
    <row r="47" spans="1:14" s="5" customFormat="1" x14ac:dyDescent="0.25">
      <c r="A47" s="5">
        <v>2027867339</v>
      </c>
      <c r="B47" s="5" t="s">
        <v>75</v>
      </c>
      <c r="C47" s="5" t="s">
        <v>76</v>
      </c>
      <c r="D47" s="5">
        <v>16865615</v>
      </c>
      <c r="E47" s="5" t="s">
        <v>77</v>
      </c>
      <c r="F47" s="5" t="s">
        <v>45</v>
      </c>
      <c r="G47" s="5" t="s">
        <v>137</v>
      </c>
      <c r="H47" s="6">
        <v>45736</v>
      </c>
      <c r="J47" s="5">
        <v>6</v>
      </c>
      <c r="K47" s="5" t="s">
        <v>48</v>
      </c>
      <c r="L47" s="7">
        <v>59.42</v>
      </c>
      <c r="M47" s="8">
        <v>0.9</v>
      </c>
      <c r="N47" s="7">
        <f t="shared" si="0"/>
        <v>53.478000000000002</v>
      </c>
    </row>
    <row r="48" spans="1:14" s="5" customFormat="1" x14ac:dyDescent="0.25">
      <c r="A48" s="5">
        <v>2027914617</v>
      </c>
      <c r="B48" s="5" t="s">
        <v>106</v>
      </c>
      <c r="C48" s="5" t="s">
        <v>76</v>
      </c>
      <c r="D48" s="5">
        <v>16865615</v>
      </c>
      <c r="E48" s="5" t="s">
        <v>77</v>
      </c>
      <c r="F48" s="5" t="s">
        <v>45</v>
      </c>
      <c r="G48" s="5" t="s">
        <v>135</v>
      </c>
      <c r="H48" s="6">
        <v>45738</v>
      </c>
      <c r="J48" s="5">
        <v>6</v>
      </c>
      <c r="K48" s="5" t="s">
        <v>100</v>
      </c>
      <c r="L48" s="7">
        <v>65.28</v>
      </c>
      <c r="M48" s="8">
        <v>0.65</v>
      </c>
      <c r="N48" s="7">
        <f t="shared" si="0"/>
        <v>42.432000000000002</v>
      </c>
    </row>
    <row r="49" spans="1:14" s="5" customFormat="1" x14ac:dyDescent="0.25">
      <c r="A49" s="5">
        <v>2027920264</v>
      </c>
      <c r="B49" s="5" t="s">
        <v>106</v>
      </c>
      <c r="C49" s="5" t="s">
        <v>76</v>
      </c>
      <c r="D49" s="5">
        <v>16865615</v>
      </c>
      <c r="E49" s="5" t="s">
        <v>77</v>
      </c>
      <c r="F49" s="5" t="s">
        <v>45</v>
      </c>
      <c r="G49" s="5" t="s">
        <v>135</v>
      </c>
      <c r="H49" s="6">
        <v>45744</v>
      </c>
      <c r="J49" s="5">
        <v>6</v>
      </c>
      <c r="K49" s="5" t="s">
        <v>48</v>
      </c>
      <c r="L49" s="7">
        <v>65.28</v>
      </c>
      <c r="M49" s="8">
        <v>0.65</v>
      </c>
      <c r="N49" s="7">
        <f t="shared" si="0"/>
        <v>42.432000000000002</v>
      </c>
    </row>
    <row r="50" spans="1:14" s="5" customFormat="1" x14ac:dyDescent="0.25">
      <c r="A50" s="5">
        <v>2027913474</v>
      </c>
      <c r="B50" s="5" t="s">
        <v>105</v>
      </c>
      <c r="C50" s="5" t="s">
        <v>76</v>
      </c>
      <c r="D50" s="5">
        <v>16865615</v>
      </c>
      <c r="E50" s="5" t="s">
        <v>77</v>
      </c>
      <c r="F50" s="5" t="s">
        <v>45</v>
      </c>
      <c r="G50" s="5" t="s">
        <v>137</v>
      </c>
      <c r="H50" s="6">
        <v>45738</v>
      </c>
      <c r="J50" s="5">
        <v>6</v>
      </c>
      <c r="K50" s="5" t="s">
        <v>48</v>
      </c>
      <c r="L50" s="7">
        <v>111.54</v>
      </c>
      <c r="M50" s="8">
        <v>0.9</v>
      </c>
      <c r="N50" s="7">
        <f t="shared" si="0"/>
        <v>100.38600000000001</v>
      </c>
    </row>
    <row r="51" spans="1:14" x14ac:dyDescent="0.25">
      <c r="A51">
        <v>2027965834</v>
      </c>
      <c r="B51" t="s">
        <v>130</v>
      </c>
      <c r="C51" t="s">
        <v>93</v>
      </c>
      <c r="D51">
        <v>18754354</v>
      </c>
      <c r="E51" t="s">
        <v>81</v>
      </c>
      <c r="F51" t="s">
        <v>45</v>
      </c>
      <c r="G51" t="s">
        <v>135</v>
      </c>
      <c r="H51" s="1">
        <v>45738</v>
      </c>
      <c r="J51">
        <v>1</v>
      </c>
      <c r="K51" t="s">
        <v>100</v>
      </c>
      <c r="L51" s="2">
        <v>9.51</v>
      </c>
      <c r="M51" s="3">
        <v>0.65</v>
      </c>
      <c r="N51" s="7">
        <f t="shared" si="0"/>
        <v>6.1814999999999998</v>
      </c>
    </row>
    <row r="52" spans="1:14" x14ac:dyDescent="0.25">
      <c r="A52">
        <v>2027868982</v>
      </c>
      <c r="B52" t="s">
        <v>80</v>
      </c>
      <c r="C52" t="s">
        <v>50</v>
      </c>
      <c r="D52">
        <v>18754354</v>
      </c>
      <c r="E52" t="s">
        <v>81</v>
      </c>
      <c r="F52" t="s">
        <v>45</v>
      </c>
      <c r="G52" t="s">
        <v>132</v>
      </c>
      <c r="H52" s="1">
        <v>45748</v>
      </c>
      <c r="J52">
        <v>1</v>
      </c>
      <c r="K52" t="s">
        <v>100</v>
      </c>
      <c r="L52" s="2">
        <v>15.75</v>
      </c>
      <c r="M52" s="3">
        <v>0.7</v>
      </c>
      <c r="N52" s="7">
        <f t="shared" si="0"/>
        <v>11.024999999999999</v>
      </c>
    </row>
    <row r="53" spans="1:14" x14ac:dyDescent="0.25">
      <c r="A53">
        <v>2027965833</v>
      </c>
      <c r="B53" t="s">
        <v>130</v>
      </c>
      <c r="C53" t="s">
        <v>93</v>
      </c>
      <c r="D53">
        <v>18754354</v>
      </c>
      <c r="E53" t="s">
        <v>81</v>
      </c>
      <c r="F53" t="s">
        <v>45</v>
      </c>
      <c r="G53" t="s">
        <v>132</v>
      </c>
      <c r="H53" s="1">
        <v>45738</v>
      </c>
      <c r="J53">
        <v>1</v>
      </c>
      <c r="K53" t="s">
        <v>100</v>
      </c>
      <c r="L53" s="2">
        <v>17.07</v>
      </c>
      <c r="M53" s="3">
        <v>0.7</v>
      </c>
      <c r="N53" s="7">
        <f t="shared" si="0"/>
        <v>11.949</v>
      </c>
    </row>
    <row r="54" spans="1:14" x14ac:dyDescent="0.25">
      <c r="A54">
        <v>2027943424</v>
      </c>
      <c r="B54" t="s">
        <v>122</v>
      </c>
      <c r="C54" t="s">
        <v>50</v>
      </c>
      <c r="D54">
        <v>18754354</v>
      </c>
      <c r="E54" t="s">
        <v>81</v>
      </c>
      <c r="F54" t="s">
        <v>45</v>
      </c>
      <c r="G54" t="s">
        <v>131</v>
      </c>
      <c r="H54" s="1">
        <v>45748</v>
      </c>
      <c r="J54">
        <v>1</v>
      </c>
      <c r="K54" t="s">
        <v>100</v>
      </c>
      <c r="L54" s="2">
        <v>22.52</v>
      </c>
      <c r="M54" s="3">
        <v>0.375</v>
      </c>
      <c r="N54" s="7">
        <f t="shared" si="0"/>
        <v>8.4450000000000003</v>
      </c>
    </row>
    <row r="55" spans="1:14" x14ac:dyDescent="0.25">
      <c r="A55">
        <v>2027956292</v>
      </c>
      <c r="B55" t="s">
        <v>126</v>
      </c>
      <c r="C55" t="s">
        <v>127</v>
      </c>
      <c r="D55">
        <v>18754354</v>
      </c>
      <c r="E55" t="s">
        <v>81</v>
      </c>
      <c r="F55" t="s">
        <v>45</v>
      </c>
      <c r="G55" t="s">
        <v>132</v>
      </c>
      <c r="H55" s="1">
        <v>45748</v>
      </c>
      <c r="J55">
        <v>1</v>
      </c>
      <c r="K55" t="s">
        <v>100</v>
      </c>
      <c r="L55" s="2">
        <v>65.510000000000005</v>
      </c>
      <c r="M55" s="3">
        <v>0.7</v>
      </c>
      <c r="N55" s="7">
        <f t="shared" si="0"/>
        <v>45.856999999999999</v>
      </c>
    </row>
    <row r="56" spans="1:14" x14ac:dyDescent="0.25">
      <c r="A56">
        <v>2027932280</v>
      </c>
      <c r="B56" t="s">
        <v>111</v>
      </c>
      <c r="C56" t="s">
        <v>50</v>
      </c>
      <c r="D56">
        <v>18754354</v>
      </c>
      <c r="E56" t="s">
        <v>81</v>
      </c>
      <c r="F56" t="s">
        <v>45</v>
      </c>
      <c r="G56" t="s">
        <v>131</v>
      </c>
      <c r="H56" s="1">
        <v>45778</v>
      </c>
      <c r="J56">
        <v>1</v>
      </c>
      <c r="K56" t="s">
        <v>100</v>
      </c>
      <c r="L56" s="2">
        <v>70.010000000000005</v>
      </c>
      <c r="M56" s="3">
        <v>0.375</v>
      </c>
      <c r="N56" s="7">
        <f t="shared" si="0"/>
        <v>26.253750000000004</v>
      </c>
    </row>
    <row r="57" spans="1:14" x14ac:dyDescent="0.25">
      <c r="A57">
        <v>2027868981</v>
      </c>
      <c r="B57" t="s">
        <v>80</v>
      </c>
      <c r="C57" t="s">
        <v>50</v>
      </c>
      <c r="D57">
        <v>18754354</v>
      </c>
      <c r="E57" t="s">
        <v>81</v>
      </c>
      <c r="F57" t="s">
        <v>45</v>
      </c>
      <c r="G57" t="s">
        <v>131</v>
      </c>
      <c r="H57" s="1">
        <v>45748</v>
      </c>
      <c r="J57">
        <v>1</v>
      </c>
      <c r="K57" t="s">
        <v>100</v>
      </c>
      <c r="L57" s="2">
        <v>150.44999999999999</v>
      </c>
      <c r="M57" s="3">
        <v>0.375</v>
      </c>
      <c r="N57" s="7">
        <f t="shared" si="0"/>
        <v>56.418749999999996</v>
      </c>
    </row>
    <row r="58" spans="1:14" s="5" customFormat="1" x14ac:dyDescent="0.25">
      <c r="A58" s="5">
        <v>2027916436</v>
      </c>
      <c r="B58" s="5" t="s">
        <v>109</v>
      </c>
      <c r="C58" s="5" t="s">
        <v>50</v>
      </c>
      <c r="D58" s="5">
        <v>18201929</v>
      </c>
      <c r="E58" s="5" t="s">
        <v>110</v>
      </c>
      <c r="F58" s="5" t="s">
        <v>45</v>
      </c>
      <c r="G58" s="5" t="s">
        <v>131</v>
      </c>
      <c r="H58" s="6">
        <v>45748</v>
      </c>
      <c r="J58" s="5">
        <v>6</v>
      </c>
      <c r="K58" s="5" t="s">
        <v>48</v>
      </c>
      <c r="L58" s="7">
        <v>22.52</v>
      </c>
      <c r="M58" s="8">
        <v>0.375</v>
      </c>
      <c r="N58" s="7">
        <f t="shared" si="0"/>
        <v>8.4450000000000003</v>
      </c>
    </row>
    <row r="59" spans="1:14" s="5" customFormat="1" x14ac:dyDescent="0.25">
      <c r="A59" s="5">
        <v>2027803899</v>
      </c>
      <c r="B59" s="5" t="s">
        <v>49</v>
      </c>
      <c r="C59" s="5" t="s">
        <v>50</v>
      </c>
      <c r="D59" s="5">
        <v>20999157</v>
      </c>
      <c r="E59" s="5" t="s">
        <v>49</v>
      </c>
      <c r="F59" s="5" t="s">
        <v>45</v>
      </c>
      <c r="G59" s="5" t="s">
        <v>132</v>
      </c>
      <c r="H59" s="6">
        <v>45740</v>
      </c>
      <c r="J59" s="5">
        <v>6</v>
      </c>
      <c r="K59" s="5" t="s">
        <v>48</v>
      </c>
      <c r="L59" s="7">
        <v>19</v>
      </c>
      <c r="M59" s="8">
        <v>0.7</v>
      </c>
      <c r="N59" s="7">
        <f t="shared" si="0"/>
        <v>13.299999999999999</v>
      </c>
    </row>
    <row r="60" spans="1:14" s="5" customFormat="1" x14ac:dyDescent="0.25">
      <c r="A60" s="5">
        <v>2027858972</v>
      </c>
      <c r="B60" s="5" t="s">
        <v>67</v>
      </c>
      <c r="C60" s="5" t="s">
        <v>50</v>
      </c>
      <c r="D60" s="5">
        <v>8244481</v>
      </c>
      <c r="E60" s="5" t="s">
        <v>68</v>
      </c>
      <c r="F60" s="5" t="s">
        <v>45</v>
      </c>
      <c r="G60" s="5" t="s">
        <v>132</v>
      </c>
      <c r="H60" s="6">
        <v>45748</v>
      </c>
      <c r="J60" s="5">
        <v>6</v>
      </c>
      <c r="K60" s="5" t="s">
        <v>48</v>
      </c>
      <c r="L60" s="7">
        <v>11.5</v>
      </c>
      <c r="M60" s="8">
        <v>0.7</v>
      </c>
      <c r="N60" s="7">
        <f t="shared" si="0"/>
        <v>8.0499999999999989</v>
      </c>
    </row>
    <row r="61" spans="1:14" s="5" customFormat="1" x14ac:dyDescent="0.25">
      <c r="A61" s="5">
        <v>2027858971</v>
      </c>
      <c r="B61" s="5" t="s">
        <v>67</v>
      </c>
      <c r="C61" s="5" t="s">
        <v>50</v>
      </c>
      <c r="D61" s="5">
        <v>8244481</v>
      </c>
      <c r="E61" s="5" t="s">
        <v>68</v>
      </c>
      <c r="F61" s="5" t="s">
        <v>45</v>
      </c>
      <c r="G61" s="5" t="s">
        <v>131</v>
      </c>
      <c r="H61" s="6">
        <v>45748</v>
      </c>
      <c r="J61" s="5">
        <v>6</v>
      </c>
      <c r="K61" s="5" t="s">
        <v>48</v>
      </c>
      <c r="L61" s="7">
        <v>57.11</v>
      </c>
      <c r="M61" s="8">
        <v>0.375</v>
      </c>
      <c r="N61" s="7">
        <f t="shared" si="0"/>
        <v>21.416249999999998</v>
      </c>
    </row>
    <row r="62" spans="1:14" x14ac:dyDescent="0.25">
      <c r="A62">
        <v>2027953566</v>
      </c>
      <c r="B62" t="s">
        <v>123</v>
      </c>
      <c r="C62" t="s">
        <v>124</v>
      </c>
      <c r="D62">
        <v>5442438</v>
      </c>
      <c r="E62" t="s">
        <v>123</v>
      </c>
      <c r="F62" t="s">
        <v>45</v>
      </c>
      <c r="G62" t="s">
        <v>138</v>
      </c>
      <c r="H62" s="1">
        <v>45738</v>
      </c>
      <c r="J62">
        <v>1</v>
      </c>
      <c r="K62" t="s">
        <v>100</v>
      </c>
      <c r="L62" s="2">
        <v>24.61</v>
      </c>
      <c r="M62" s="3">
        <v>0.7</v>
      </c>
      <c r="N62" s="7">
        <f t="shared" si="0"/>
        <v>17.226999999999997</v>
      </c>
    </row>
    <row r="63" spans="1:14" x14ac:dyDescent="0.25">
      <c r="A63">
        <v>2027953567</v>
      </c>
      <c r="B63" t="s">
        <v>123</v>
      </c>
      <c r="C63" t="s">
        <v>124</v>
      </c>
      <c r="D63">
        <v>5442438</v>
      </c>
      <c r="E63" t="s">
        <v>123</v>
      </c>
      <c r="F63" t="s">
        <v>45</v>
      </c>
      <c r="G63" t="s">
        <v>133</v>
      </c>
      <c r="H63" s="1">
        <v>45738</v>
      </c>
      <c r="J63">
        <v>1</v>
      </c>
      <c r="K63" t="s">
        <v>100</v>
      </c>
      <c r="L63" s="2">
        <v>32.869999999999997</v>
      </c>
      <c r="M63" s="3">
        <v>0.9</v>
      </c>
      <c r="N63" s="7">
        <f t="shared" si="0"/>
        <v>29.582999999999998</v>
      </c>
    </row>
    <row r="64" spans="1:14" x14ac:dyDescent="0.25">
      <c r="A64">
        <v>2027957199</v>
      </c>
      <c r="B64" t="s">
        <v>128</v>
      </c>
      <c r="C64" t="s">
        <v>124</v>
      </c>
      <c r="D64">
        <v>5442438</v>
      </c>
      <c r="E64" t="s">
        <v>123</v>
      </c>
      <c r="F64" t="s">
        <v>45</v>
      </c>
      <c r="G64" t="s">
        <v>133</v>
      </c>
      <c r="H64" s="1">
        <v>45743</v>
      </c>
      <c r="J64">
        <v>1</v>
      </c>
      <c r="K64" t="s">
        <v>100</v>
      </c>
      <c r="L64" s="2">
        <v>96.17</v>
      </c>
      <c r="M64" s="3">
        <v>0.9</v>
      </c>
      <c r="N64" s="7">
        <f t="shared" si="0"/>
        <v>86.552999999999997</v>
      </c>
    </row>
    <row r="65" spans="1:14" x14ac:dyDescent="0.25">
      <c r="A65">
        <v>2027953568</v>
      </c>
      <c r="B65" t="s">
        <v>123</v>
      </c>
      <c r="C65" t="s">
        <v>124</v>
      </c>
      <c r="D65">
        <v>5442438</v>
      </c>
      <c r="E65" t="s">
        <v>123</v>
      </c>
      <c r="F65" t="s">
        <v>45</v>
      </c>
      <c r="G65" t="s">
        <v>137</v>
      </c>
      <c r="H65" s="1">
        <v>45738</v>
      </c>
      <c r="J65">
        <v>1</v>
      </c>
      <c r="K65" t="s">
        <v>100</v>
      </c>
      <c r="L65" s="2">
        <v>129.13999999999999</v>
      </c>
      <c r="M65" s="3">
        <v>0.9</v>
      </c>
      <c r="N65" s="7">
        <f t="shared" si="0"/>
        <v>116.22599999999998</v>
      </c>
    </row>
    <row r="66" spans="1:14" x14ac:dyDescent="0.25">
      <c r="A66">
        <v>2027869112</v>
      </c>
      <c r="B66" t="s">
        <v>82</v>
      </c>
      <c r="C66" t="s">
        <v>83</v>
      </c>
      <c r="D66">
        <v>8977234</v>
      </c>
      <c r="E66" t="s">
        <v>57</v>
      </c>
      <c r="F66" t="s">
        <v>45</v>
      </c>
      <c r="G66" t="s">
        <v>133</v>
      </c>
      <c r="H66" s="1">
        <v>45734</v>
      </c>
      <c r="J66">
        <v>1</v>
      </c>
      <c r="K66" t="s">
        <v>100</v>
      </c>
      <c r="L66" s="2">
        <v>9.8000000000000007</v>
      </c>
      <c r="M66" s="3">
        <v>0.9</v>
      </c>
      <c r="N66" s="7">
        <f t="shared" si="0"/>
        <v>8.82</v>
      </c>
    </row>
    <row r="67" spans="1:14" x14ac:dyDescent="0.25">
      <c r="A67">
        <v>2027854741</v>
      </c>
      <c r="B67" t="s">
        <v>55</v>
      </c>
      <c r="C67" t="s">
        <v>56</v>
      </c>
      <c r="D67">
        <v>8977234</v>
      </c>
      <c r="E67" t="s">
        <v>57</v>
      </c>
      <c r="F67" t="s">
        <v>45</v>
      </c>
      <c r="G67" t="s">
        <v>131</v>
      </c>
      <c r="H67" s="1">
        <v>45734</v>
      </c>
      <c r="J67">
        <v>1</v>
      </c>
      <c r="K67" t="s">
        <v>100</v>
      </c>
      <c r="L67" s="2">
        <v>24.7</v>
      </c>
      <c r="M67" s="3">
        <v>0.375</v>
      </c>
      <c r="N67" s="7">
        <f t="shared" ref="N67:N81" si="1">SUM(L67*M67)</f>
        <v>9.2624999999999993</v>
      </c>
    </row>
    <row r="68" spans="1:14" x14ac:dyDescent="0.25">
      <c r="A68">
        <v>2027937825</v>
      </c>
      <c r="B68" t="s">
        <v>119</v>
      </c>
      <c r="C68" t="s">
        <v>120</v>
      </c>
      <c r="D68">
        <v>8977234</v>
      </c>
      <c r="E68" t="s">
        <v>57</v>
      </c>
      <c r="F68" t="s">
        <v>45</v>
      </c>
      <c r="G68" t="s">
        <v>131</v>
      </c>
      <c r="H68" s="1">
        <v>45748</v>
      </c>
      <c r="J68">
        <v>1</v>
      </c>
      <c r="K68" t="s">
        <v>100</v>
      </c>
      <c r="L68" s="2">
        <v>43.03</v>
      </c>
      <c r="M68" s="3">
        <v>0.375</v>
      </c>
      <c r="N68" s="7">
        <f t="shared" si="1"/>
        <v>16.13625</v>
      </c>
    </row>
    <row r="69" spans="1:14" x14ac:dyDescent="0.25">
      <c r="A69">
        <v>2027869113</v>
      </c>
      <c r="B69" t="s">
        <v>82</v>
      </c>
      <c r="C69" t="s">
        <v>83</v>
      </c>
      <c r="D69">
        <v>8977234</v>
      </c>
      <c r="E69" t="s">
        <v>57</v>
      </c>
      <c r="F69" t="s">
        <v>45</v>
      </c>
      <c r="G69" t="s">
        <v>131</v>
      </c>
      <c r="H69" s="1">
        <v>45734</v>
      </c>
      <c r="J69">
        <v>1</v>
      </c>
      <c r="K69" t="s">
        <v>100</v>
      </c>
      <c r="L69" s="2">
        <v>45.77</v>
      </c>
      <c r="M69" s="3">
        <v>0.375</v>
      </c>
      <c r="N69" s="7">
        <f t="shared" si="1"/>
        <v>17.16375</v>
      </c>
    </row>
    <row r="70" spans="1:14" x14ac:dyDescent="0.25">
      <c r="A70">
        <v>2027889655</v>
      </c>
      <c r="B70" t="s">
        <v>98</v>
      </c>
      <c r="C70" t="s">
        <v>99</v>
      </c>
      <c r="D70">
        <v>8977234</v>
      </c>
      <c r="E70" t="s">
        <v>57</v>
      </c>
      <c r="F70" t="s">
        <v>45</v>
      </c>
      <c r="G70" t="s">
        <v>131</v>
      </c>
      <c r="H70" s="1">
        <v>45735</v>
      </c>
      <c r="J70">
        <v>1</v>
      </c>
      <c r="K70" t="s">
        <v>100</v>
      </c>
      <c r="L70" s="2">
        <v>47.79</v>
      </c>
      <c r="M70" s="3">
        <v>0.375</v>
      </c>
      <c r="N70" s="7">
        <f t="shared" si="1"/>
        <v>17.921250000000001</v>
      </c>
    </row>
    <row r="71" spans="1:14" x14ac:dyDescent="0.25">
      <c r="A71">
        <v>2027956679</v>
      </c>
      <c r="B71" t="s">
        <v>98</v>
      </c>
      <c r="C71" t="s">
        <v>99</v>
      </c>
      <c r="D71">
        <v>8977234</v>
      </c>
      <c r="E71" t="s">
        <v>57</v>
      </c>
      <c r="F71" t="s">
        <v>45</v>
      </c>
      <c r="G71" t="s">
        <v>131</v>
      </c>
      <c r="H71" s="1">
        <v>45738</v>
      </c>
      <c r="J71">
        <v>1</v>
      </c>
      <c r="K71" t="s">
        <v>100</v>
      </c>
      <c r="L71" s="2">
        <v>47.79</v>
      </c>
      <c r="M71" s="3">
        <v>0.375</v>
      </c>
      <c r="N71" s="7">
        <f t="shared" si="1"/>
        <v>17.921250000000001</v>
      </c>
    </row>
    <row r="72" spans="1:14" x14ac:dyDescent="0.25">
      <c r="A72">
        <v>2027854740</v>
      </c>
      <c r="B72" t="s">
        <v>55</v>
      </c>
      <c r="C72" t="s">
        <v>56</v>
      </c>
      <c r="D72">
        <v>8977234</v>
      </c>
      <c r="E72" t="s">
        <v>57</v>
      </c>
      <c r="F72" t="s">
        <v>45</v>
      </c>
      <c r="G72" t="s">
        <v>133</v>
      </c>
      <c r="H72" s="1">
        <v>45734</v>
      </c>
      <c r="J72">
        <v>1</v>
      </c>
      <c r="K72" t="s">
        <v>100</v>
      </c>
      <c r="L72" s="2">
        <v>51.63</v>
      </c>
      <c r="M72" s="3">
        <v>0.9</v>
      </c>
      <c r="N72" s="7">
        <f t="shared" si="1"/>
        <v>46.467000000000006</v>
      </c>
    </row>
    <row r="73" spans="1:14" x14ac:dyDescent="0.25">
      <c r="A73">
        <v>2027903851</v>
      </c>
      <c r="B73" t="s">
        <v>103</v>
      </c>
      <c r="C73" t="s">
        <v>104</v>
      </c>
      <c r="D73">
        <v>8977234</v>
      </c>
      <c r="E73" t="s">
        <v>57</v>
      </c>
      <c r="F73" t="s">
        <v>45</v>
      </c>
      <c r="G73" t="s">
        <v>132</v>
      </c>
      <c r="H73" s="1">
        <v>45743</v>
      </c>
      <c r="J73">
        <v>1</v>
      </c>
      <c r="K73" t="s">
        <v>100</v>
      </c>
      <c r="L73" s="2">
        <v>76.489999999999995</v>
      </c>
      <c r="M73" s="3">
        <v>0.7</v>
      </c>
      <c r="N73" s="7">
        <f t="shared" si="1"/>
        <v>53.542999999999992</v>
      </c>
    </row>
    <row r="74" spans="1:14" x14ac:dyDescent="0.25">
      <c r="A74">
        <v>2027854739</v>
      </c>
      <c r="B74" t="s">
        <v>55</v>
      </c>
      <c r="C74" t="s">
        <v>56</v>
      </c>
      <c r="D74">
        <v>8977234</v>
      </c>
      <c r="E74" t="s">
        <v>57</v>
      </c>
      <c r="F74" t="s">
        <v>45</v>
      </c>
      <c r="G74" t="s">
        <v>139</v>
      </c>
      <c r="H74" s="1">
        <v>45734</v>
      </c>
      <c r="J74">
        <v>1</v>
      </c>
      <c r="K74" t="s">
        <v>100</v>
      </c>
      <c r="L74" s="2">
        <v>109.84</v>
      </c>
      <c r="M74" s="3">
        <v>0.6</v>
      </c>
      <c r="N74" s="7">
        <f t="shared" si="1"/>
        <v>65.903999999999996</v>
      </c>
    </row>
    <row r="75" spans="1:14" x14ac:dyDescent="0.25">
      <c r="A75">
        <v>2027937824</v>
      </c>
      <c r="B75" t="s">
        <v>119</v>
      </c>
      <c r="C75" t="s">
        <v>120</v>
      </c>
      <c r="D75">
        <v>8977234</v>
      </c>
      <c r="E75" t="s">
        <v>57</v>
      </c>
      <c r="F75" t="s">
        <v>45</v>
      </c>
      <c r="G75" t="s">
        <v>132</v>
      </c>
      <c r="H75" s="1">
        <v>45748</v>
      </c>
      <c r="J75">
        <v>1</v>
      </c>
      <c r="K75" t="s">
        <v>100</v>
      </c>
      <c r="L75" s="2">
        <v>142.59</v>
      </c>
      <c r="M75" s="3">
        <v>0.7</v>
      </c>
      <c r="N75" s="7">
        <f t="shared" si="1"/>
        <v>99.813000000000002</v>
      </c>
    </row>
    <row r="76" spans="1:14" x14ac:dyDescent="0.25">
      <c r="A76">
        <v>2027854738</v>
      </c>
      <c r="B76" t="s">
        <v>55</v>
      </c>
      <c r="C76" t="s">
        <v>56</v>
      </c>
      <c r="D76">
        <v>8977234</v>
      </c>
      <c r="E76" t="s">
        <v>57</v>
      </c>
      <c r="F76" t="s">
        <v>45</v>
      </c>
      <c r="G76" t="s">
        <v>58</v>
      </c>
      <c r="H76" s="1">
        <v>45734</v>
      </c>
      <c r="J76">
        <v>1</v>
      </c>
      <c r="K76" t="s">
        <v>100</v>
      </c>
      <c r="L76" s="2">
        <v>217.56</v>
      </c>
      <c r="M76" s="3">
        <v>0.38</v>
      </c>
      <c r="N76" s="7">
        <f t="shared" si="1"/>
        <v>82.672799999999995</v>
      </c>
    </row>
    <row r="77" spans="1:14" s="5" customFormat="1" x14ac:dyDescent="0.25">
      <c r="A77" s="5">
        <v>2027865745</v>
      </c>
      <c r="B77" s="5" t="s">
        <v>73</v>
      </c>
      <c r="C77" s="5" t="s">
        <v>50</v>
      </c>
      <c r="D77" s="5">
        <v>19481808</v>
      </c>
      <c r="E77" s="5" t="s">
        <v>74</v>
      </c>
      <c r="F77" s="5" t="s">
        <v>45</v>
      </c>
      <c r="G77" s="5" t="s">
        <v>134</v>
      </c>
      <c r="H77" s="6">
        <v>45748</v>
      </c>
      <c r="J77" s="5">
        <v>6</v>
      </c>
      <c r="K77" s="5" t="s">
        <v>48</v>
      </c>
      <c r="L77" s="7">
        <v>103.83</v>
      </c>
      <c r="M77" s="8">
        <v>0.75</v>
      </c>
      <c r="N77" s="7">
        <f t="shared" si="1"/>
        <v>77.872500000000002</v>
      </c>
    </row>
    <row r="78" spans="1:14" s="5" customFormat="1" x14ac:dyDescent="0.25">
      <c r="A78" s="5">
        <v>2027883703</v>
      </c>
      <c r="B78" s="5" t="s">
        <v>92</v>
      </c>
      <c r="C78" s="5" t="s">
        <v>93</v>
      </c>
      <c r="D78" s="5">
        <v>371819</v>
      </c>
      <c r="E78" s="5" t="s">
        <v>44</v>
      </c>
      <c r="F78" s="5" t="s">
        <v>45</v>
      </c>
      <c r="G78" s="5" t="s">
        <v>140</v>
      </c>
      <c r="H78" s="6">
        <v>45735</v>
      </c>
      <c r="J78" s="5">
        <v>6</v>
      </c>
      <c r="K78" s="5" t="s">
        <v>48</v>
      </c>
      <c r="L78" s="7">
        <v>31.52</v>
      </c>
      <c r="M78" s="8">
        <v>0.47</v>
      </c>
      <c r="N78" s="7">
        <f t="shared" si="1"/>
        <v>14.814399999999999</v>
      </c>
    </row>
    <row r="79" spans="1:14" s="5" customFormat="1" x14ac:dyDescent="0.25">
      <c r="A79" s="5">
        <v>2027602220</v>
      </c>
      <c r="B79" s="5" t="s">
        <v>42</v>
      </c>
      <c r="C79" s="5" t="s">
        <v>43</v>
      </c>
      <c r="D79" s="5">
        <v>371819</v>
      </c>
      <c r="E79" s="5" t="s">
        <v>44</v>
      </c>
      <c r="F79" s="5" t="s">
        <v>45</v>
      </c>
      <c r="G79" s="5" t="s">
        <v>132</v>
      </c>
      <c r="H79" s="6">
        <v>45739</v>
      </c>
      <c r="J79" s="5">
        <v>6</v>
      </c>
      <c r="K79" s="5" t="s">
        <v>48</v>
      </c>
      <c r="L79" s="7">
        <v>83</v>
      </c>
      <c r="M79" s="8">
        <v>0.7</v>
      </c>
      <c r="N79" s="7">
        <f t="shared" si="1"/>
        <v>58.099999999999994</v>
      </c>
    </row>
    <row r="80" spans="1:14" x14ac:dyDescent="0.25">
      <c r="A80">
        <v>2027857788</v>
      </c>
      <c r="B80" t="s">
        <v>65</v>
      </c>
      <c r="C80" t="s">
        <v>43</v>
      </c>
      <c r="D80">
        <v>18581063</v>
      </c>
      <c r="E80" t="s">
        <v>66</v>
      </c>
      <c r="F80" t="s">
        <v>45</v>
      </c>
      <c r="G80" t="s">
        <v>131</v>
      </c>
      <c r="H80" s="1">
        <v>45748</v>
      </c>
      <c r="J80">
        <v>1</v>
      </c>
      <c r="K80" t="s">
        <v>100</v>
      </c>
      <c r="L80" s="2">
        <v>37.869999999999997</v>
      </c>
      <c r="M80" s="3">
        <v>0.375</v>
      </c>
      <c r="N80" s="7">
        <f t="shared" si="1"/>
        <v>14.201249999999998</v>
      </c>
    </row>
    <row r="81" spans="1:14" x14ac:dyDescent="0.25">
      <c r="A81">
        <v>2027857789</v>
      </c>
      <c r="B81" t="s">
        <v>65</v>
      </c>
      <c r="C81" t="s">
        <v>43</v>
      </c>
      <c r="D81">
        <v>18581063</v>
      </c>
      <c r="E81" t="s">
        <v>66</v>
      </c>
      <c r="F81" t="s">
        <v>45</v>
      </c>
      <c r="G81" t="s">
        <v>132</v>
      </c>
      <c r="H81" s="1">
        <v>45748</v>
      </c>
      <c r="J81">
        <v>1</v>
      </c>
      <c r="K81" t="s">
        <v>100</v>
      </c>
      <c r="L81" s="2">
        <v>140.6</v>
      </c>
      <c r="M81" s="3">
        <v>0.7</v>
      </c>
      <c r="N81" s="7">
        <f t="shared" si="1"/>
        <v>98.419999999999987</v>
      </c>
    </row>
  </sheetData>
  <sortState xmlns:xlrd2="http://schemas.microsoft.com/office/spreadsheetml/2017/richdata2" ref="A2:N81">
    <sortCondition ref="E2:E81"/>
    <sortCondition ref="L2:L8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066FD-2C86-4768-9D1C-7247F863C108}">
  <dimension ref="A1:B80"/>
  <sheetViews>
    <sheetView topLeftCell="A46" workbookViewId="0">
      <selection activeCell="B42" sqref="B42:B80"/>
    </sheetView>
  </sheetViews>
  <sheetFormatPr defaultRowHeight="15" x14ac:dyDescent="0.25"/>
  <cols>
    <col min="1" max="2" width="9.42578125" style="1" bestFit="1" customWidth="1"/>
  </cols>
  <sheetData>
    <row r="1" spans="1:2" x14ac:dyDescent="0.25">
      <c r="A1" s="1">
        <v>45748</v>
      </c>
      <c r="B1" s="1">
        <f>DATE(YEAR(A1), MONTH(A1) +1, DAY(A1))</f>
        <v>45778</v>
      </c>
    </row>
    <row r="2" spans="1:2" x14ac:dyDescent="0.25">
      <c r="A2" s="1">
        <v>45748</v>
      </c>
      <c r="B2" s="1">
        <f t="shared" ref="B2:B65" si="0">DATE(YEAR(A2), MONTH(A2) +1, DAY(A2))</f>
        <v>45778</v>
      </c>
    </row>
    <row r="3" spans="1:2" x14ac:dyDescent="0.25">
      <c r="A3" s="1">
        <v>45748</v>
      </c>
      <c r="B3" s="1">
        <f t="shared" si="0"/>
        <v>45778</v>
      </c>
    </row>
    <row r="4" spans="1:2" x14ac:dyDescent="0.25">
      <c r="A4" s="1">
        <v>45735</v>
      </c>
      <c r="B4" s="1">
        <f t="shared" si="0"/>
        <v>45766</v>
      </c>
    </row>
    <row r="5" spans="1:2" x14ac:dyDescent="0.25">
      <c r="A5" s="1">
        <v>45735</v>
      </c>
      <c r="B5" s="1">
        <f t="shared" si="0"/>
        <v>45766</v>
      </c>
    </row>
    <row r="6" spans="1:2" x14ac:dyDescent="0.25">
      <c r="A6" s="1">
        <v>45736</v>
      </c>
      <c r="B6" s="1">
        <f t="shared" si="0"/>
        <v>45767</v>
      </c>
    </row>
    <row r="7" spans="1:2" x14ac:dyDescent="0.25">
      <c r="A7" s="1">
        <v>45748</v>
      </c>
      <c r="B7" s="1">
        <f t="shared" si="0"/>
        <v>45778</v>
      </c>
    </row>
    <row r="8" spans="1:2" x14ac:dyDescent="0.25">
      <c r="A8" s="1">
        <v>45735</v>
      </c>
      <c r="B8" s="1">
        <f t="shared" si="0"/>
        <v>45766</v>
      </c>
    </row>
    <row r="9" spans="1:2" x14ac:dyDescent="0.25">
      <c r="A9" s="1">
        <v>45737</v>
      </c>
      <c r="B9" s="1">
        <f t="shared" si="0"/>
        <v>45768</v>
      </c>
    </row>
    <row r="10" spans="1:2" x14ac:dyDescent="0.25">
      <c r="A10" s="1">
        <v>45734</v>
      </c>
      <c r="B10" s="1">
        <f t="shared" si="0"/>
        <v>45765</v>
      </c>
    </row>
    <row r="11" spans="1:2" x14ac:dyDescent="0.25">
      <c r="A11" s="1">
        <v>45737</v>
      </c>
      <c r="B11" s="1">
        <f t="shared" si="0"/>
        <v>45768</v>
      </c>
    </row>
    <row r="12" spans="1:2" x14ac:dyDescent="0.25">
      <c r="A12" s="1">
        <v>45734</v>
      </c>
      <c r="B12" s="1">
        <f t="shared" si="0"/>
        <v>45765</v>
      </c>
    </row>
    <row r="13" spans="1:2" x14ac:dyDescent="0.25">
      <c r="A13" s="1">
        <v>45734</v>
      </c>
      <c r="B13" s="1">
        <f t="shared" si="0"/>
        <v>45765</v>
      </c>
    </row>
    <row r="14" spans="1:2" x14ac:dyDescent="0.25">
      <c r="A14" s="1">
        <v>45734</v>
      </c>
      <c r="B14" s="1">
        <f t="shared" si="0"/>
        <v>45765</v>
      </c>
    </row>
    <row r="15" spans="1:2" x14ac:dyDescent="0.25">
      <c r="A15" s="1">
        <v>45738</v>
      </c>
      <c r="B15" s="1">
        <f t="shared" si="0"/>
        <v>45769</v>
      </c>
    </row>
    <row r="16" spans="1:2" x14ac:dyDescent="0.25">
      <c r="A16" s="1">
        <v>45738</v>
      </c>
      <c r="B16" s="1">
        <f t="shared" si="0"/>
        <v>45769</v>
      </c>
    </row>
    <row r="17" spans="1:2" x14ac:dyDescent="0.25">
      <c r="A17" s="1">
        <v>45738</v>
      </c>
      <c r="B17" s="1">
        <f t="shared" si="0"/>
        <v>45769</v>
      </c>
    </row>
    <row r="18" spans="1:2" x14ac:dyDescent="0.25">
      <c r="A18" s="1">
        <v>45738</v>
      </c>
      <c r="B18" s="1">
        <f t="shared" si="0"/>
        <v>45769</v>
      </c>
    </row>
    <row r="19" spans="1:2" x14ac:dyDescent="0.25">
      <c r="A19" s="1">
        <v>45748</v>
      </c>
      <c r="B19" s="1">
        <f t="shared" si="0"/>
        <v>45778</v>
      </c>
    </row>
    <row r="20" spans="1:2" x14ac:dyDescent="0.25">
      <c r="A20" s="1">
        <v>45738</v>
      </c>
      <c r="B20" s="1">
        <f t="shared" si="0"/>
        <v>45769</v>
      </c>
    </row>
    <row r="21" spans="1:2" x14ac:dyDescent="0.25">
      <c r="A21" s="1">
        <v>45748</v>
      </c>
      <c r="B21" s="1">
        <f t="shared" si="0"/>
        <v>45778</v>
      </c>
    </row>
    <row r="22" spans="1:2" x14ac:dyDescent="0.25">
      <c r="A22" s="1">
        <v>45748</v>
      </c>
      <c r="B22" s="1">
        <f t="shared" si="0"/>
        <v>45778</v>
      </c>
    </row>
    <row r="23" spans="1:2" x14ac:dyDescent="0.25">
      <c r="A23" s="1">
        <v>45778</v>
      </c>
      <c r="B23" s="1">
        <f t="shared" si="0"/>
        <v>45809</v>
      </c>
    </row>
    <row r="24" spans="1:2" x14ac:dyDescent="0.25">
      <c r="A24" s="1">
        <v>45748</v>
      </c>
      <c r="B24" s="1">
        <f t="shared" si="0"/>
        <v>45778</v>
      </c>
    </row>
    <row r="25" spans="1:2" x14ac:dyDescent="0.25">
      <c r="A25" s="1">
        <v>45738</v>
      </c>
      <c r="B25" s="1">
        <f t="shared" si="0"/>
        <v>45769</v>
      </c>
    </row>
    <row r="26" spans="1:2" x14ac:dyDescent="0.25">
      <c r="A26" s="1">
        <v>45738</v>
      </c>
      <c r="B26" s="1">
        <f t="shared" si="0"/>
        <v>45769</v>
      </c>
    </row>
    <row r="27" spans="1:2" x14ac:dyDescent="0.25">
      <c r="A27" s="1">
        <v>45743</v>
      </c>
      <c r="B27" s="1">
        <f t="shared" si="0"/>
        <v>45774</v>
      </c>
    </row>
    <row r="28" spans="1:2" x14ac:dyDescent="0.25">
      <c r="A28" s="1">
        <v>45738</v>
      </c>
      <c r="B28" s="1">
        <f t="shared" si="0"/>
        <v>45769</v>
      </c>
    </row>
    <row r="29" spans="1:2" x14ac:dyDescent="0.25">
      <c r="A29" s="1">
        <v>45734</v>
      </c>
      <c r="B29" s="1">
        <f t="shared" si="0"/>
        <v>45765</v>
      </c>
    </row>
    <row r="30" spans="1:2" x14ac:dyDescent="0.25">
      <c r="A30" s="1">
        <v>45734</v>
      </c>
      <c r="B30" s="1">
        <f t="shared" si="0"/>
        <v>45765</v>
      </c>
    </row>
    <row r="31" spans="1:2" x14ac:dyDescent="0.25">
      <c r="A31" s="1">
        <v>45748</v>
      </c>
      <c r="B31" s="1">
        <f t="shared" si="0"/>
        <v>45778</v>
      </c>
    </row>
    <row r="32" spans="1:2" x14ac:dyDescent="0.25">
      <c r="A32" s="1">
        <v>45734</v>
      </c>
      <c r="B32" s="1">
        <f t="shared" si="0"/>
        <v>45765</v>
      </c>
    </row>
    <row r="33" spans="1:2" x14ac:dyDescent="0.25">
      <c r="A33" s="1">
        <v>45735</v>
      </c>
      <c r="B33" s="1">
        <f t="shared" si="0"/>
        <v>45766</v>
      </c>
    </row>
    <row r="34" spans="1:2" x14ac:dyDescent="0.25">
      <c r="A34" s="1">
        <v>45738</v>
      </c>
      <c r="B34" s="1">
        <f t="shared" si="0"/>
        <v>45769</v>
      </c>
    </row>
    <row r="35" spans="1:2" x14ac:dyDescent="0.25">
      <c r="A35" s="1">
        <v>45734</v>
      </c>
      <c r="B35" s="1">
        <f t="shared" si="0"/>
        <v>45765</v>
      </c>
    </row>
    <row r="36" spans="1:2" x14ac:dyDescent="0.25">
      <c r="A36" s="1">
        <v>45743</v>
      </c>
      <c r="B36" s="1">
        <f t="shared" si="0"/>
        <v>45774</v>
      </c>
    </row>
    <row r="37" spans="1:2" x14ac:dyDescent="0.25">
      <c r="A37" s="1">
        <v>45734</v>
      </c>
      <c r="B37" s="1">
        <f t="shared" si="0"/>
        <v>45765</v>
      </c>
    </row>
    <row r="38" spans="1:2" x14ac:dyDescent="0.25">
      <c r="A38" s="1">
        <v>45748</v>
      </c>
      <c r="B38" s="1">
        <f t="shared" si="0"/>
        <v>45778</v>
      </c>
    </row>
    <row r="39" spans="1:2" x14ac:dyDescent="0.25">
      <c r="A39" s="1">
        <v>45734</v>
      </c>
      <c r="B39" s="1">
        <f t="shared" si="0"/>
        <v>45765</v>
      </c>
    </row>
    <row r="40" spans="1:2" x14ac:dyDescent="0.25">
      <c r="A40" s="1">
        <v>45748</v>
      </c>
      <c r="B40" s="1">
        <f t="shared" si="0"/>
        <v>45778</v>
      </c>
    </row>
    <row r="41" spans="1:2" s="11" customFormat="1" x14ac:dyDescent="0.25">
      <c r="A41" s="10">
        <v>45748</v>
      </c>
      <c r="B41" s="10">
        <f t="shared" si="0"/>
        <v>45778</v>
      </c>
    </row>
    <row r="42" spans="1:2" x14ac:dyDescent="0.25">
      <c r="A42" s="1">
        <v>45748</v>
      </c>
      <c r="B42" s="10">
        <f t="shared" si="0"/>
        <v>45778</v>
      </c>
    </row>
    <row r="43" spans="1:2" x14ac:dyDescent="0.25">
      <c r="A43" s="1">
        <v>45748</v>
      </c>
      <c r="B43" s="10">
        <f t="shared" si="0"/>
        <v>45778</v>
      </c>
    </row>
    <row r="44" spans="1:2" x14ac:dyDescent="0.25">
      <c r="A44" s="1">
        <v>45740</v>
      </c>
      <c r="B44" s="10">
        <f t="shared" si="0"/>
        <v>45771</v>
      </c>
    </row>
    <row r="45" spans="1:2" x14ac:dyDescent="0.25">
      <c r="A45" s="1">
        <v>45740</v>
      </c>
      <c r="B45" s="10">
        <f t="shared" si="0"/>
        <v>45771</v>
      </c>
    </row>
    <row r="46" spans="1:2" x14ac:dyDescent="0.25">
      <c r="A46" s="1">
        <v>45735</v>
      </c>
      <c r="B46" s="10">
        <f t="shared" si="0"/>
        <v>45766</v>
      </c>
    </row>
    <row r="47" spans="1:2" x14ac:dyDescent="0.25">
      <c r="A47" s="1">
        <v>45735</v>
      </c>
      <c r="B47" s="10">
        <f t="shared" si="0"/>
        <v>45766</v>
      </c>
    </row>
    <row r="48" spans="1:2" x14ac:dyDescent="0.25">
      <c r="A48" s="1">
        <v>45737</v>
      </c>
      <c r="B48" s="10">
        <f t="shared" si="0"/>
        <v>45768</v>
      </c>
    </row>
    <row r="49" spans="1:2" x14ac:dyDescent="0.25">
      <c r="A49" s="1">
        <v>45737</v>
      </c>
      <c r="B49" s="10">
        <f t="shared" si="0"/>
        <v>45768</v>
      </c>
    </row>
    <row r="50" spans="1:2" x14ac:dyDescent="0.25">
      <c r="A50" s="1">
        <v>45737</v>
      </c>
      <c r="B50" s="10">
        <f t="shared" si="0"/>
        <v>45768</v>
      </c>
    </row>
    <row r="51" spans="1:2" x14ac:dyDescent="0.25">
      <c r="A51" s="1">
        <v>45748</v>
      </c>
      <c r="B51" s="10">
        <f t="shared" si="0"/>
        <v>45778</v>
      </c>
    </row>
    <row r="52" spans="1:2" x14ac:dyDescent="0.25">
      <c r="A52" s="1">
        <v>45748</v>
      </c>
      <c r="B52" s="10">
        <f t="shared" si="0"/>
        <v>45778</v>
      </c>
    </row>
    <row r="53" spans="1:2" x14ac:dyDescent="0.25">
      <c r="A53" s="1">
        <v>45735</v>
      </c>
      <c r="B53" s="10">
        <f t="shared" si="0"/>
        <v>45766</v>
      </c>
    </row>
    <row r="54" spans="1:2" x14ac:dyDescent="0.25">
      <c r="A54" s="1">
        <v>45735</v>
      </c>
      <c r="B54" s="10">
        <f t="shared" si="0"/>
        <v>45766</v>
      </c>
    </row>
    <row r="55" spans="1:2" x14ac:dyDescent="0.25">
      <c r="A55" s="1">
        <v>45738</v>
      </c>
      <c r="B55" s="10">
        <f t="shared" si="0"/>
        <v>45769</v>
      </c>
    </row>
    <row r="56" spans="1:2" x14ac:dyDescent="0.25">
      <c r="A56" s="1">
        <v>45736</v>
      </c>
      <c r="B56" s="10">
        <f t="shared" si="0"/>
        <v>45767</v>
      </c>
    </row>
    <row r="57" spans="1:2" x14ac:dyDescent="0.25">
      <c r="A57" s="1">
        <v>45734</v>
      </c>
      <c r="B57" s="10">
        <f t="shared" si="0"/>
        <v>45765</v>
      </c>
    </row>
    <row r="58" spans="1:2" x14ac:dyDescent="0.25">
      <c r="A58" s="1">
        <v>45744</v>
      </c>
      <c r="B58" s="10">
        <f t="shared" si="0"/>
        <v>45775</v>
      </c>
    </row>
    <row r="59" spans="1:2" x14ac:dyDescent="0.25">
      <c r="A59" s="1">
        <v>45738</v>
      </c>
      <c r="B59" s="10">
        <f t="shared" si="0"/>
        <v>45769</v>
      </c>
    </row>
    <row r="60" spans="1:2" x14ac:dyDescent="0.25">
      <c r="A60" s="1">
        <v>45738</v>
      </c>
      <c r="B60" s="10">
        <f t="shared" si="0"/>
        <v>45769</v>
      </c>
    </row>
    <row r="61" spans="1:2" x14ac:dyDescent="0.25">
      <c r="A61" s="1">
        <v>45738</v>
      </c>
      <c r="B61" s="10">
        <f t="shared" si="0"/>
        <v>45769</v>
      </c>
    </row>
    <row r="62" spans="1:2" x14ac:dyDescent="0.25">
      <c r="A62" s="1">
        <v>45736</v>
      </c>
      <c r="B62" s="10">
        <f t="shared" si="0"/>
        <v>45767</v>
      </c>
    </row>
    <row r="63" spans="1:2" x14ac:dyDescent="0.25">
      <c r="A63" s="1">
        <v>45738</v>
      </c>
      <c r="B63" s="10">
        <f t="shared" si="0"/>
        <v>45769</v>
      </c>
    </row>
    <row r="64" spans="1:2" x14ac:dyDescent="0.25">
      <c r="A64" s="1">
        <v>45748</v>
      </c>
      <c r="B64" s="10">
        <f t="shared" si="0"/>
        <v>45778</v>
      </c>
    </row>
    <row r="65" spans="1:2" x14ac:dyDescent="0.25">
      <c r="A65" s="1">
        <v>45738</v>
      </c>
      <c r="B65" s="10">
        <f t="shared" si="0"/>
        <v>45769</v>
      </c>
    </row>
    <row r="66" spans="1:2" x14ac:dyDescent="0.25">
      <c r="A66" s="1">
        <v>45738</v>
      </c>
      <c r="B66" s="10">
        <f t="shared" ref="B66:B80" si="1">DATE(YEAR(A66), MONTH(A66) +1, DAY(A66))</f>
        <v>45769</v>
      </c>
    </row>
    <row r="67" spans="1:2" x14ac:dyDescent="0.25">
      <c r="A67" s="1">
        <v>45736</v>
      </c>
      <c r="B67" s="10">
        <f t="shared" si="1"/>
        <v>45767</v>
      </c>
    </row>
    <row r="68" spans="1:2" x14ac:dyDescent="0.25">
      <c r="A68" s="1">
        <v>45734</v>
      </c>
      <c r="B68" s="10">
        <f t="shared" si="1"/>
        <v>45765</v>
      </c>
    </row>
    <row r="69" spans="1:2" x14ac:dyDescent="0.25">
      <c r="A69" s="1">
        <v>45744</v>
      </c>
      <c r="B69" s="10">
        <f t="shared" si="1"/>
        <v>45775</v>
      </c>
    </row>
    <row r="70" spans="1:2" x14ac:dyDescent="0.25">
      <c r="A70" s="1">
        <v>45748</v>
      </c>
      <c r="B70" s="10">
        <f t="shared" si="1"/>
        <v>45778</v>
      </c>
    </row>
    <row r="71" spans="1:2" x14ac:dyDescent="0.25">
      <c r="A71" s="1">
        <v>45736</v>
      </c>
      <c r="B71" s="10">
        <f t="shared" si="1"/>
        <v>45767</v>
      </c>
    </row>
    <row r="72" spans="1:2" x14ac:dyDescent="0.25">
      <c r="A72" s="1">
        <v>45744</v>
      </c>
      <c r="B72" s="10">
        <f t="shared" si="1"/>
        <v>45775</v>
      </c>
    </row>
    <row r="73" spans="1:2" x14ac:dyDescent="0.25">
      <c r="A73" s="1">
        <v>45738</v>
      </c>
      <c r="B73" s="10">
        <f t="shared" si="1"/>
        <v>45769</v>
      </c>
    </row>
    <row r="74" spans="1:2" x14ac:dyDescent="0.25">
      <c r="A74" s="1">
        <v>45748</v>
      </c>
      <c r="B74" s="10">
        <f t="shared" si="1"/>
        <v>45778</v>
      </c>
    </row>
    <row r="75" spans="1:2" x14ac:dyDescent="0.25">
      <c r="A75" s="1">
        <v>45740</v>
      </c>
      <c r="B75" s="10">
        <f t="shared" si="1"/>
        <v>45771</v>
      </c>
    </row>
    <row r="76" spans="1:2" x14ac:dyDescent="0.25">
      <c r="A76" s="1">
        <v>45748</v>
      </c>
      <c r="B76" s="10">
        <f t="shared" si="1"/>
        <v>45778</v>
      </c>
    </row>
    <row r="77" spans="1:2" x14ac:dyDescent="0.25">
      <c r="A77" s="1">
        <v>45748</v>
      </c>
      <c r="B77" s="10">
        <f t="shared" si="1"/>
        <v>45778</v>
      </c>
    </row>
    <row r="78" spans="1:2" x14ac:dyDescent="0.25">
      <c r="A78" s="1">
        <v>45748</v>
      </c>
      <c r="B78" s="10">
        <f t="shared" si="1"/>
        <v>45778</v>
      </c>
    </row>
    <row r="79" spans="1:2" x14ac:dyDescent="0.25">
      <c r="A79" s="1">
        <v>45735</v>
      </c>
      <c r="B79" s="10">
        <f t="shared" si="1"/>
        <v>45766</v>
      </c>
    </row>
    <row r="80" spans="1:2" x14ac:dyDescent="0.25">
      <c r="A80" s="1">
        <v>45739</v>
      </c>
      <c r="B80" s="10">
        <f t="shared" si="1"/>
        <v>45770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649163__Newbusiness_NEW_BUSINES</vt:lpstr>
      <vt:lpstr>clean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2025-03-31T13:22:00Z</dcterms:created>
  <dcterms:modified xsi:type="dcterms:W3CDTF">2025-04-01T19:05:18Z</dcterms:modified>
</cp:coreProperties>
</file>