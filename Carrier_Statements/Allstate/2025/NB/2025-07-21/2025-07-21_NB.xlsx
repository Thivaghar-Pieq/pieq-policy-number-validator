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7-21-25\"/>
    </mc:Choice>
  </mc:AlternateContent>
  <xr:revisionPtr revIDLastSave="0" documentId="13_ncr:1_{4FBF3B9E-9B28-46C2-8A7D-2FD2B8A078E6}" xr6:coauthVersionLast="47" xr6:coauthVersionMax="47" xr10:uidLastSave="{00000000-0000-0000-0000-000000000000}"/>
  <bookViews>
    <workbookView xWindow="28680" yWindow="-120" windowWidth="29040" windowHeight="16440" activeTab="1" xr2:uid="{4CA2E398-6028-4083-B48C-1740C918A1BB}"/>
  </bookViews>
  <sheets>
    <sheet name="649163__Newbusiness_NEW_BUSINES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2" i="2"/>
</calcChain>
</file>

<file path=xl/sharedStrings.xml><?xml version="1.0" encoding="utf-8"?>
<sst xmlns="http://schemas.openxmlformats.org/spreadsheetml/2006/main" count="1906" uniqueCount="304">
  <si>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</si>
  <si>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</si>
  <si>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</si>
  <si>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</si>
  <si>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</si>
  <si>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</si>
  <si>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</si>
  <si>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</si>
  <si>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</si>
  <si>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</si>
  <si>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</si>
  <si>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</si>
  <si>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</si>
  <si>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</si>
  <si>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</si>
  <si>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</si>
  <si>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</si>
  <si>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</si>
  <si>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</si>
  <si>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</si>
  <si>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</si>
  <si>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</si>
  <si>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</si>
  <si>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</si>
  <si>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</si>
  <si>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</si>
  <si>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</si>
  <si>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</si>
  <si>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</si>
  <si>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</si>
  <si>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</si>
  <si>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</si>
  <si>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</si>
  <si>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</si>
  <si>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</si>
  <si>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</si>
  <si>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</si>
  <si>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</si>
  <si>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</si>
  <si>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</si>
  <si>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</si>
  <si>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'649163</t>
  </si>
  <si>
    <t>'20411454</t>
  </si>
  <si>
    <t>JASON HOFFMANN</t>
  </si>
  <si>
    <t>'2029624409</t>
  </si>
  <si>
    <t>ASHLEY DOUGLAS</t>
  </si>
  <si>
    <t>AZ</t>
  </si>
  <si>
    <t>'822865</t>
  </si>
  <si>
    <t>KIRK TIGUE</t>
  </si>
  <si>
    <t>Active</t>
  </si>
  <si>
    <t>SELECT DENTAL 29304</t>
  </si>
  <si>
    <t>Monthly</t>
  </si>
  <si>
    <t>AV</t>
  </si>
  <si>
    <t>[NOADMINFEE]</t>
  </si>
  <si>
    <t>'2029624410</t>
  </si>
  <si>
    <t>Plan Enhancer 20214</t>
  </si>
  <si>
    <t>'2029865610</t>
  </si>
  <si>
    <t>ANNETTE COMPTON</t>
  </si>
  <si>
    <t>TX</t>
  </si>
  <si>
    <t>'2029865611</t>
  </si>
  <si>
    <t>'2029874506</t>
  </si>
  <si>
    <t>AKEEM LAWRENCE</t>
  </si>
  <si>
    <t>'856824</t>
  </si>
  <si>
    <t>JAKE SHULMAN</t>
  </si>
  <si>
    <t>'2029874507</t>
  </si>
  <si>
    <t>'2029878252</t>
  </si>
  <si>
    <t>JACOB DEUSER</t>
  </si>
  <si>
    <t>IL</t>
  </si>
  <si>
    <t>'824076</t>
  </si>
  <si>
    <t>SAADIA ABDUL</t>
  </si>
  <si>
    <t>'2029878253</t>
  </si>
  <si>
    <t>Cancer and Heart/Stroke GI 20231</t>
  </si>
  <si>
    <t>'2029935514</t>
  </si>
  <si>
    <t>TERRIE PALAZZO</t>
  </si>
  <si>
    <t>WI</t>
  </si>
  <si>
    <t>'822723</t>
  </si>
  <si>
    <t>TIMOTHY HODGMAN</t>
  </si>
  <si>
    <t>'2029935617</t>
  </si>
  <si>
    <t>CINDI THONE</t>
  </si>
  <si>
    <t>FL</t>
  </si>
  <si>
    <t>'2029938123</t>
  </si>
  <si>
    <t>KENZIE DUKE</t>
  </si>
  <si>
    <t>UT</t>
  </si>
  <si>
    <t>'767312</t>
  </si>
  <si>
    <t>THOMAS PARDUE</t>
  </si>
  <si>
    <t>'2029938124</t>
  </si>
  <si>
    <t>Critical Illness w/ Term Life 21677</t>
  </si>
  <si>
    <t>'2029938125</t>
  </si>
  <si>
    <t>'2029944313</t>
  </si>
  <si>
    <t>MELANIE EDWARDS</t>
  </si>
  <si>
    <t>'812782</t>
  </si>
  <si>
    <t>JACOB YALE</t>
  </si>
  <si>
    <t>'2029944314</t>
  </si>
  <si>
    <t>'2029946799</t>
  </si>
  <si>
    <t>RULA KHOURY</t>
  </si>
  <si>
    <t>'822381</t>
  </si>
  <si>
    <t>JEFFREY HORN</t>
  </si>
  <si>
    <t>'2029949953</t>
  </si>
  <si>
    <t>MICHAEL MALONE</t>
  </si>
  <si>
    <t>'813184</t>
  </si>
  <si>
    <t>CHRISTIAN TAUGNER</t>
  </si>
  <si>
    <t>'2029951220</t>
  </si>
  <si>
    <t>DARBRA HERRICK</t>
  </si>
  <si>
    <t>'673059</t>
  </si>
  <si>
    <t>RYAN CALTAGIRONE</t>
  </si>
  <si>
    <t>'2029951923</t>
  </si>
  <si>
    <t>URIEL MARTINEZ</t>
  </si>
  <si>
    <t>'2029951924</t>
  </si>
  <si>
    <t>'2029951925</t>
  </si>
  <si>
    <t>Cancer and Heart/Stroke 20231</t>
  </si>
  <si>
    <t>'2029955371</t>
  </si>
  <si>
    <t>MELISSA LOUIE</t>
  </si>
  <si>
    <t>CO</t>
  </si>
  <si>
    <t>'824082</t>
  </si>
  <si>
    <t>JOEL LEE</t>
  </si>
  <si>
    <t>'2029955372</t>
  </si>
  <si>
    <t>'2029955373</t>
  </si>
  <si>
    <t>Cancer and Heart/Stroke 20231 CO-FL-MN-MI</t>
  </si>
  <si>
    <t>'2029955374</t>
  </si>
  <si>
    <t>NHIC LM 2021 Hospital Expense Protection U65</t>
  </si>
  <si>
    <t>'2029957805</t>
  </si>
  <si>
    <t>JULIE JENSEN</t>
  </si>
  <si>
    <t>IN</t>
  </si>
  <si>
    <t>'877790</t>
  </si>
  <si>
    <t>MARSHA SANDEROCK</t>
  </si>
  <si>
    <t>'2029957806</t>
  </si>
  <si>
    <t>'2029958122</t>
  </si>
  <si>
    <t>LATISHA HOLLIS</t>
  </si>
  <si>
    <t>'839554</t>
  </si>
  <si>
    <t>LATESHA ROSE</t>
  </si>
  <si>
    <t>'2029958337</t>
  </si>
  <si>
    <t>KOREY PATRICK</t>
  </si>
  <si>
    <t>'2029962418</t>
  </si>
  <si>
    <t>ROBERT PARKER</t>
  </si>
  <si>
    <t>'816021</t>
  </si>
  <si>
    <t>HEATHER MILLER</t>
  </si>
  <si>
    <t>'2029962419</t>
  </si>
  <si>
    <t>'2029963379</t>
  </si>
  <si>
    <t>BATTSETSEG TUMENBAYAR</t>
  </si>
  <si>
    <t>'807212</t>
  </si>
  <si>
    <t>NASANDELGER ZANA</t>
  </si>
  <si>
    <t>'2029966004</t>
  </si>
  <si>
    <t>SCOTT GARDNER</t>
  </si>
  <si>
    <t>'768887</t>
  </si>
  <si>
    <t>ANDREA PETRUNGARO</t>
  </si>
  <si>
    <t>'2029966915</t>
  </si>
  <si>
    <t>ROBYN REINMANN</t>
  </si>
  <si>
    <t>'766747</t>
  </si>
  <si>
    <t>MICHAEL DUNAVANT</t>
  </si>
  <si>
    <t>'2029967973</t>
  </si>
  <si>
    <t>SEMAB QURESHI</t>
  </si>
  <si>
    <t>MD</t>
  </si>
  <si>
    <t>'823068</t>
  </si>
  <si>
    <t>RONALD MAX</t>
  </si>
  <si>
    <t>Dental Indemnity 21618</t>
  </si>
  <si>
    <t>'2029967974</t>
  </si>
  <si>
    <t>Accident Fixed Benefit</t>
  </si>
  <si>
    <t>'2029967975</t>
  </si>
  <si>
    <t>'2029968822</t>
  </si>
  <si>
    <t>GREGORY THOMAS</t>
  </si>
  <si>
    <t>'814033</t>
  </si>
  <si>
    <t>FRANK LISKOVEC</t>
  </si>
  <si>
    <t>'2029968823</t>
  </si>
  <si>
    <t>'2029969179</t>
  </si>
  <si>
    <t>JOYCE EVANS</t>
  </si>
  <si>
    <t>PA</t>
  </si>
  <si>
    <t>'650218</t>
  </si>
  <si>
    <t>CAROL FOLEY</t>
  </si>
  <si>
    <t>'2029969604</t>
  </si>
  <si>
    <t>STEPHEN DUNCAN</t>
  </si>
  <si>
    <t>'2029969605</t>
  </si>
  <si>
    <t>'2029969606</t>
  </si>
  <si>
    <t>'2029971479</t>
  </si>
  <si>
    <t>'2029971480</t>
  </si>
  <si>
    <t>'2029971777</t>
  </si>
  <si>
    <t>KAMEY NESBITT</t>
  </si>
  <si>
    <t>'2029971778</t>
  </si>
  <si>
    <t>'2029973107</t>
  </si>
  <si>
    <t>ADAM OVERSTREET</t>
  </si>
  <si>
    <t>OK</t>
  </si>
  <si>
    <t>'820140</t>
  </si>
  <si>
    <t>MATTHEW POWERS</t>
  </si>
  <si>
    <t>'2029973108</t>
  </si>
  <si>
    <t>'2029973525</t>
  </si>
  <si>
    <t>MARISSA WOODS</t>
  </si>
  <si>
    <t>'2029973759</t>
  </si>
  <si>
    <t>ROBERT TOBIAS</t>
  </si>
  <si>
    <t>'812994</t>
  </si>
  <si>
    <t>RICARDO SANTOS</t>
  </si>
  <si>
    <t>'2029976823</t>
  </si>
  <si>
    <t>DAIONA MANIGAULT</t>
  </si>
  <si>
    <t>'702406</t>
  </si>
  <si>
    <t>SCOTT AGUGLIA</t>
  </si>
  <si>
    <t>'2029982793</t>
  </si>
  <si>
    <t>MEGAN RAMOS</t>
  </si>
  <si>
    <t>'2029982794</t>
  </si>
  <si>
    <t>'2029985833</t>
  </si>
  <si>
    <t>DARLA JACKSON</t>
  </si>
  <si>
    <t>'2029985834</t>
  </si>
  <si>
    <t>'2029985851</t>
  </si>
  <si>
    <t>ANDREA ACHIMAS</t>
  </si>
  <si>
    <t>'823350</t>
  </si>
  <si>
    <t>RICHARD YALE</t>
  </si>
  <si>
    <t>'2029985852</t>
  </si>
  <si>
    <t>'2029989666</t>
  </si>
  <si>
    <t>ZACHARY PUGH</t>
  </si>
  <si>
    <t>'812656</t>
  </si>
  <si>
    <t>GARY PORTUGAL</t>
  </si>
  <si>
    <t>'2029989667</t>
  </si>
  <si>
    <t>'2029994615</t>
  </si>
  <si>
    <t>STACIE GIBSON</t>
  </si>
  <si>
    <t>SC</t>
  </si>
  <si>
    <t>'2029995393</t>
  </si>
  <si>
    <t>TIMOTHY LOVING</t>
  </si>
  <si>
    <t>'877182</t>
  </si>
  <si>
    <t>ERICA SOLIVAN</t>
  </si>
  <si>
    <t>NHIC STM PPO All Other States</t>
  </si>
  <si>
    <t>AV3</t>
  </si>
  <si>
    <t>'2029995394</t>
  </si>
  <si>
    <t>'2029995395</t>
  </si>
  <si>
    <t>LIFE Association Membership - C 14956 PPO</t>
  </si>
  <si>
    <t>'2030006364</t>
  </si>
  <si>
    <t>KLYNTON JOHNSON</t>
  </si>
  <si>
    <t>'856163</t>
  </si>
  <si>
    <t>CHAD YALE</t>
  </si>
  <si>
    <t>Allstate Health Access</t>
  </si>
  <si>
    <t>'2030006365</t>
  </si>
  <si>
    <t>Allstate Recuro RX Discount Card</t>
  </si>
  <si>
    <t>'2030006366</t>
  </si>
  <si>
    <t>Life Association Access</t>
  </si>
  <si>
    <t>AV6</t>
  </si>
  <si>
    <t>'2030008352</t>
  </si>
  <si>
    <t>YVETTE POPE</t>
  </si>
  <si>
    <t>'2030008353</t>
  </si>
  <si>
    <t>'2030009011</t>
  </si>
  <si>
    <t>LAWRENCE WHITE</t>
  </si>
  <si>
    <t>Term Life 21673</t>
  </si>
  <si>
    <t>'2030016326</t>
  </si>
  <si>
    <t>BUYANDELGER BOLORTUYA</t>
  </si>
  <si>
    <t>'2030016430</t>
  </si>
  <si>
    <t>MICHAEL POPOVIC</t>
  </si>
  <si>
    <t>'2030016431</t>
  </si>
  <si>
    <t>'2030016432</t>
  </si>
  <si>
    <t>'2030016857</t>
  </si>
  <si>
    <t>'2030017049</t>
  </si>
  <si>
    <t>MUNKHJARGAL CHULUUNBAT</t>
  </si>
  <si>
    <t>'2030017882</t>
  </si>
  <si>
    <t>'2030023417</t>
  </si>
  <si>
    <t>MIRCEA CALBAZA</t>
  </si>
  <si>
    <t>Allstate Health Access (GI)</t>
  </si>
  <si>
    <t>'2030023418</t>
  </si>
  <si>
    <t>'2030023419</t>
  </si>
  <si>
    <t>Life Association Access (GI)</t>
  </si>
  <si>
    <t>'2030028578</t>
  </si>
  <si>
    <t>JOEL LOREDO</t>
  </si>
  <si>
    <t>'2030028579</t>
  </si>
  <si>
    <t>'2030028580</t>
  </si>
  <si>
    <t>'2030032416</t>
  </si>
  <si>
    <t>RACHEL PETSINGER</t>
  </si>
  <si>
    <t>'840313</t>
  </si>
  <si>
    <t>ANTHONY HUNSBERGER</t>
  </si>
  <si>
    <t>'2030055176</t>
  </si>
  <si>
    <t>JAMES MCFARLAND</t>
  </si>
  <si>
    <t>'2030055437</t>
  </si>
  <si>
    <t>JAY WOJTASIK</t>
  </si>
  <si>
    <t>'2030055518</t>
  </si>
  <si>
    <t>MUNKHNASAN MIJIDDORJ</t>
  </si>
  <si>
    <t>CB</t>
  </si>
  <si>
    <t>'2029018988</t>
  </si>
  <si>
    <t>JONATHAN RICHARDSON</t>
  </si>
  <si>
    <t>AL</t>
  </si>
  <si>
    <t>CHARGEBACK</t>
  </si>
  <si>
    <t>AE</t>
  </si>
  <si>
    <t>'2029018989</t>
  </si>
  <si>
    <t>'2029018990</t>
  </si>
  <si>
    <t>'2029018991</t>
  </si>
  <si>
    <t>'2029080816</t>
  </si>
  <si>
    <t>ROSA GUERRA</t>
  </si>
  <si>
    <t>'756803</t>
  </si>
  <si>
    <t>JOSE TORRES</t>
  </si>
  <si>
    <t>'2029276498</t>
  </si>
  <si>
    <t>JANIE PYLES</t>
  </si>
  <si>
    <t>'822733</t>
  </si>
  <si>
    <t>CHRISTOPHER BROUSSEAU</t>
  </si>
  <si>
    <t>16912722AV6</t>
  </si>
  <si>
    <t>7146581AV6</t>
  </si>
  <si>
    <t>19681796AV6</t>
  </si>
  <si>
    <t>8814784AV6</t>
  </si>
  <si>
    <t>16865615AV6</t>
  </si>
  <si>
    <t>18201929AV6</t>
  </si>
  <si>
    <t>2158366AV6</t>
  </si>
  <si>
    <t>6634327AV6</t>
  </si>
  <si>
    <t>21421111AV6</t>
  </si>
  <si>
    <t>21436172AV6</t>
  </si>
  <si>
    <t>20724564AV6</t>
  </si>
  <si>
    <t>18828278AV6</t>
  </si>
  <si>
    <t>20220688AV6</t>
  </si>
  <si>
    <t>19200754AV6</t>
  </si>
  <si>
    <t>16633294AV6</t>
  </si>
  <si>
    <t>8971826AV6</t>
  </si>
  <si>
    <t>371819AV6</t>
  </si>
  <si>
    <t>Cancer and Heart-Stroke 20231 CO-FL-MN-MI</t>
  </si>
  <si>
    <t>Cancer and Heart-Stroke 20231</t>
  </si>
  <si>
    <t>Critical Illness with Term Life 21677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</si>
</sst>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198-748B-44BC-8E58-C7F407E79534}">
  <dimension ref="A1:AL94"/>
  <sheetViews>
    <sheetView workbookViewId="0">
      <selection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45863</v>
      </c>
      <c r="B2" s="1">
        <v>45859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45838</v>
      </c>
      <c r="U2" t="s">
        <v>51</v>
      </c>
      <c r="X2" t="s">
        <v>52</v>
      </c>
      <c r="Y2" s="2">
        <v>18.62</v>
      </c>
      <c r="Z2" s="2">
        <v>18.62</v>
      </c>
      <c r="AA2">
        <v>6</v>
      </c>
      <c r="AB2" s="3">
        <v>0.375</v>
      </c>
      <c r="AC2" s="2">
        <v>41.9</v>
      </c>
      <c r="AD2" s="3">
        <v>0</v>
      </c>
      <c r="AE2" s="2">
        <v>0</v>
      </c>
      <c r="AF2" s="2">
        <v>41.9</v>
      </c>
      <c r="AK2" s="4">
        <v>19334410</v>
      </c>
      <c r="AL2" t="s">
        <v>53</v>
      </c>
    </row>
    <row r="3" spans="1:38" x14ac:dyDescent="0.25">
      <c r="A3" s="1">
        <v>45863</v>
      </c>
      <c r="B3" s="1">
        <v>45859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45</v>
      </c>
      <c r="M3" t="s">
        <v>46</v>
      </c>
      <c r="O3" t="s">
        <v>47</v>
      </c>
      <c r="P3" t="s">
        <v>48</v>
      </c>
      <c r="Q3" t="s">
        <v>49</v>
      </c>
      <c r="R3" t="s">
        <v>55</v>
      </c>
      <c r="S3" s="1">
        <v>45838</v>
      </c>
      <c r="U3" t="s">
        <v>51</v>
      </c>
      <c r="X3" t="s">
        <v>52</v>
      </c>
      <c r="Y3" s="2">
        <v>49.18</v>
      </c>
      <c r="Z3" s="2">
        <v>49.18</v>
      </c>
      <c r="AA3">
        <v>6</v>
      </c>
      <c r="AB3" s="3">
        <v>0.7</v>
      </c>
      <c r="AC3" s="2">
        <v>206.56</v>
      </c>
      <c r="AD3" s="3">
        <v>0</v>
      </c>
      <c r="AE3" s="2">
        <v>0</v>
      </c>
      <c r="AF3" s="2">
        <v>206.56</v>
      </c>
      <c r="AK3" s="4">
        <v>19319430</v>
      </c>
      <c r="AL3" t="s">
        <v>53</v>
      </c>
    </row>
    <row r="4" spans="1:38" x14ac:dyDescent="0.25">
      <c r="A4" s="1">
        <v>45863</v>
      </c>
      <c r="B4" s="1">
        <v>45859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56</v>
      </c>
      <c r="J4" t="s">
        <v>57</v>
      </c>
      <c r="M4" t="s">
        <v>58</v>
      </c>
      <c r="O4" t="s">
        <v>47</v>
      </c>
      <c r="P4" t="s">
        <v>48</v>
      </c>
      <c r="Q4" t="s">
        <v>49</v>
      </c>
      <c r="R4" t="s">
        <v>50</v>
      </c>
      <c r="S4" s="1">
        <v>45857</v>
      </c>
      <c r="U4" t="s">
        <v>51</v>
      </c>
      <c r="X4" t="s">
        <v>52</v>
      </c>
      <c r="Y4" s="2">
        <v>28.38</v>
      </c>
      <c r="Z4" s="2">
        <v>28.38</v>
      </c>
      <c r="AA4">
        <v>6</v>
      </c>
      <c r="AB4" s="3">
        <v>0.375</v>
      </c>
      <c r="AC4" s="2">
        <v>63.86</v>
      </c>
      <c r="AD4" s="3">
        <v>0</v>
      </c>
      <c r="AE4" s="2">
        <v>0</v>
      </c>
      <c r="AF4" s="2">
        <v>63.86</v>
      </c>
      <c r="AK4" s="4">
        <v>19334570</v>
      </c>
      <c r="AL4" t="s">
        <v>53</v>
      </c>
    </row>
    <row r="5" spans="1:38" x14ac:dyDescent="0.25">
      <c r="A5" s="1">
        <v>45863</v>
      </c>
      <c r="B5" s="1">
        <v>45859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59</v>
      </c>
      <c r="J5" t="s">
        <v>57</v>
      </c>
      <c r="M5" t="s">
        <v>58</v>
      </c>
      <c r="O5" t="s">
        <v>47</v>
      </c>
      <c r="P5" t="s">
        <v>48</v>
      </c>
      <c r="Q5" t="s">
        <v>49</v>
      </c>
      <c r="R5" t="s">
        <v>55</v>
      </c>
      <c r="S5" s="1">
        <v>45857</v>
      </c>
      <c r="U5" t="s">
        <v>51</v>
      </c>
      <c r="X5" t="s">
        <v>52</v>
      </c>
      <c r="Y5" s="2">
        <v>28.38</v>
      </c>
      <c r="Z5" s="2">
        <v>28.38</v>
      </c>
      <c r="AA5">
        <v>6</v>
      </c>
      <c r="AB5" s="3">
        <v>0.7</v>
      </c>
      <c r="AC5" s="2">
        <v>119.2</v>
      </c>
      <c r="AD5" s="3">
        <v>0</v>
      </c>
      <c r="AE5" s="2">
        <v>0</v>
      </c>
      <c r="AF5" s="2">
        <v>119.2</v>
      </c>
      <c r="AK5" s="4">
        <v>19319690</v>
      </c>
      <c r="AL5" t="s">
        <v>53</v>
      </c>
    </row>
    <row r="6" spans="1:38" x14ac:dyDescent="0.25">
      <c r="A6" s="1">
        <v>45863</v>
      </c>
      <c r="B6" s="1">
        <v>45859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60</v>
      </c>
      <c r="J6" t="s">
        <v>61</v>
      </c>
      <c r="M6" t="s">
        <v>58</v>
      </c>
      <c r="O6" t="s">
        <v>62</v>
      </c>
      <c r="P6" t="s">
        <v>63</v>
      </c>
      <c r="Q6" t="s">
        <v>49</v>
      </c>
      <c r="R6" t="s">
        <v>50</v>
      </c>
      <c r="S6" s="1">
        <v>45870</v>
      </c>
      <c r="U6" t="s">
        <v>51</v>
      </c>
      <c r="X6" t="s">
        <v>52</v>
      </c>
      <c r="Y6" s="2">
        <v>28.38</v>
      </c>
      <c r="Z6" s="2">
        <v>28.38</v>
      </c>
      <c r="AA6">
        <v>6</v>
      </c>
      <c r="AB6" s="3">
        <v>0.375</v>
      </c>
      <c r="AC6" s="2">
        <v>63.86</v>
      </c>
      <c r="AD6" s="3">
        <v>0</v>
      </c>
      <c r="AE6" s="2">
        <v>0</v>
      </c>
      <c r="AF6" s="2">
        <v>63.86</v>
      </c>
      <c r="AK6" s="4">
        <v>19334590</v>
      </c>
      <c r="AL6" t="s">
        <v>53</v>
      </c>
    </row>
    <row r="7" spans="1:38" x14ac:dyDescent="0.25">
      <c r="A7" s="1">
        <v>45863</v>
      </c>
      <c r="B7" s="1">
        <v>45859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64</v>
      </c>
      <c r="J7" t="s">
        <v>61</v>
      </c>
      <c r="M7" t="s">
        <v>58</v>
      </c>
      <c r="O7" t="s">
        <v>62</v>
      </c>
      <c r="P7" t="s">
        <v>63</v>
      </c>
      <c r="Q7" t="s">
        <v>49</v>
      </c>
      <c r="R7" t="s">
        <v>55</v>
      </c>
      <c r="S7" s="1">
        <v>45870</v>
      </c>
      <c r="U7" t="s">
        <v>51</v>
      </c>
      <c r="X7" t="s">
        <v>52</v>
      </c>
      <c r="Y7" s="2">
        <v>28.38</v>
      </c>
      <c r="Z7" s="2">
        <v>28.38</v>
      </c>
      <c r="AA7">
        <v>6</v>
      </c>
      <c r="AB7" s="3">
        <v>0.7</v>
      </c>
      <c r="AC7" s="2">
        <v>119.2</v>
      </c>
      <c r="AD7" s="3">
        <v>0</v>
      </c>
      <c r="AE7" s="2">
        <v>0</v>
      </c>
      <c r="AF7" s="2">
        <v>119.2</v>
      </c>
      <c r="AK7" s="4">
        <v>19319700</v>
      </c>
      <c r="AL7" t="s">
        <v>53</v>
      </c>
    </row>
    <row r="8" spans="1:38" x14ac:dyDescent="0.25">
      <c r="A8" s="1">
        <v>45863</v>
      </c>
      <c r="B8" s="1">
        <v>45859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65</v>
      </c>
      <c r="J8" t="s">
        <v>66</v>
      </c>
      <c r="M8" t="s">
        <v>67</v>
      </c>
      <c r="O8" t="s">
        <v>68</v>
      </c>
      <c r="P8" t="s">
        <v>69</v>
      </c>
      <c r="Q8" t="s">
        <v>49</v>
      </c>
      <c r="R8" t="s">
        <v>55</v>
      </c>
      <c r="S8" s="1">
        <v>45853</v>
      </c>
      <c r="U8" t="s">
        <v>51</v>
      </c>
      <c r="X8" t="s">
        <v>52</v>
      </c>
      <c r="Y8" s="2">
        <v>39.25</v>
      </c>
      <c r="Z8" s="2">
        <v>39.25</v>
      </c>
      <c r="AA8">
        <v>6</v>
      </c>
      <c r="AB8" s="3">
        <v>0.7</v>
      </c>
      <c r="AC8" s="2">
        <v>164.85</v>
      </c>
      <c r="AD8" s="3">
        <v>0</v>
      </c>
      <c r="AE8" s="2">
        <v>0</v>
      </c>
      <c r="AF8" s="2">
        <v>164.85</v>
      </c>
      <c r="AK8" s="4">
        <v>19319700</v>
      </c>
      <c r="AL8" t="s">
        <v>53</v>
      </c>
    </row>
    <row r="9" spans="1:38" x14ac:dyDescent="0.25">
      <c r="A9" s="1">
        <v>45863</v>
      </c>
      <c r="B9" s="1">
        <v>45859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70</v>
      </c>
      <c r="J9" t="s">
        <v>66</v>
      </c>
      <c r="M9" t="s">
        <v>67</v>
      </c>
      <c r="O9" t="s">
        <v>68</v>
      </c>
      <c r="P9" t="s">
        <v>69</v>
      </c>
      <c r="Q9" t="s">
        <v>49</v>
      </c>
      <c r="R9" t="s">
        <v>71</v>
      </c>
      <c r="S9" s="1">
        <v>45853</v>
      </c>
      <c r="U9" t="s">
        <v>51</v>
      </c>
      <c r="X9" t="s">
        <v>52</v>
      </c>
      <c r="Y9" s="2">
        <v>15.97</v>
      </c>
      <c r="Z9" s="2">
        <v>15.97</v>
      </c>
      <c r="AA9">
        <v>6</v>
      </c>
      <c r="AB9" s="3">
        <v>0.75</v>
      </c>
      <c r="AC9" s="2">
        <v>71.87</v>
      </c>
      <c r="AD9" s="3">
        <v>0</v>
      </c>
      <c r="AE9" s="2">
        <v>0</v>
      </c>
      <c r="AF9" s="2">
        <v>71.87</v>
      </c>
      <c r="AK9" s="4">
        <v>19328440</v>
      </c>
      <c r="AL9" t="s">
        <v>53</v>
      </c>
    </row>
    <row r="10" spans="1:38" x14ac:dyDescent="0.25">
      <c r="A10" s="1">
        <v>45863</v>
      </c>
      <c r="B10" s="1">
        <v>45859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72</v>
      </c>
      <c r="J10" t="s">
        <v>73</v>
      </c>
      <c r="M10" t="s">
        <v>74</v>
      </c>
      <c r="O10" t="s">
        <v>75</v>
      </c>
      <c r="P10" t="s">
        <v>76</v>
      </c>
      <c r="Q10" t="s">
        <v>49</v>
      </c>
      <c r="R10" t="s">
        <v>55</v>
      </c>
      <c r="S10" s="1">
        <v>45853</v>
      </c>
      <c r="U10" t="s">
        <v>51</v>
      </c>
      <c r="X10" t="s">
        <v>52</v>
      </c>
      <c r="Y10" s="2">
        <v>155.81</v>
      </c>
      <c r="Z10" s="2">
        <v>155.81</v>
      </c>
      <c r="AA10">
        <v>6</v>
      </c>
      <c r="AB10" s="3">
        <v>0.7</v>
      </c>
      <c r="AC10" s="2">
        <v>654.4</v>
      </c>
      <c r="AD10" s="3">
        <v>0</v>
      </c>
      <c r="AE10" s="2">
        <v>0</v>
      </c>
      <c r="AF10" s="2">
        <v>654.4</v>
      </c>
      <c r="AK10" s="4">
        <v>19319740</v>
      </c>
      <c r="AL10" t="s">
        <v>53</v>
      </c>
    </row>
    <row r="11" spans="1:38" x14ac:dyDescent="0.25">
      <c r="A11" s="1">
        <v>45863</v>
      </c>
      <c r="B11" s="1">
        <v>45859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77</v>
      </c>
      <c r="J11" t="s">
        <v>78</v>
      </c>
      <c r="M11" t="s">
        <v>79</v>
      </c>
      <c r="O11" t="s">
        <v>62</v>
      </c>
      <c r="P11" t="s">
        <v>63</v>
      </c>
      <c r="Q11" t="s">
        <v>49</v>
      </c>
      <c r="R11" t="s">
        <v>55</v>
      </c>
      <c r="S11" s="1">
        <v>45870</v>
      </c>
      <c r="U11" t="s">
        <v>51</v>
      </c>
      <c r="X11" t="s">
        <v>52</v>
      </c>
      <c r="Y11" s="2">
        <v>10.29</v>
      </c>
      <c r="Z11" s="2">
        <v>10.29</v>
      </c>
      <c r="AA11">
        <v>6</v>
      </c>
      <c r="AB11" s="3">
        <v>0.7</v>
      </c>
      <c r="AC11" s="2">
        <v>43.22</v>
      </c>
      <c r="AD11" s="3">
        <v>0</v>
      </c>
      <c r="AE11" s="2">
        <v>0</v>
      </c>
      <c r="AF11" s="2">
        <v>43.22</v>
      </c>
      <c r="AK11" s="4">
        <v>19319740</v>
      </c>
      <c r="AL11" t="s">
        <v>53</v>
      </c>
    </row>
    <row r="12" spans="1:38" x14ac:dyDescent="0.25">
      <c r="A12" s="1">
        <v>45863</v>
      </c>
      <c r="B12" s="1">
        <v>45859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80</v>
      </c>
      <c r="J12" t="s">
        <v>81</v>
      </c>
      <c r="M12" t="s">
        <v>82</v>
      </c>
      <c r="O12" t="s">
        <v>83</v>
      </c>
      <c r="P12" t="s">
        <v>84</v>
      </c>
      <c r="Q12" t="s">
        <v>49</v>
      </c>
      <c r="R12" t="s">
        <v>55</v>
      </c>
      <c r="S12" s="1">
        <v>45853</v>
      </c>
      <c r="U12" t="s">
        <v>51</v>
      </c>
      <c r="X12" t="s">
        <v>52</v>
      </c>
      <c r="Y12" s="2">
        <v>75.900000000000006</v>
      </c>
      <c r="Z12" s="2">
        <v>75.900000000000006</v>
      </c>
      <c r="AA12">
        <v>6</v>
      </c>
      <c r="AB12" s="3">
        <v>0.7</v>
      </c>
      <c r="AC12" s="2">
        <v>318.77999999999997</v>
      </c>
      <c r="AD12" s="3">
        <v>0</v>
      </c>
      <c r="AE12" s="2">
        <v>0</v>
      </c>
      <c r="AF12" s="2">
        <v>318.77999999999997</v>
      </c>
      <c r="AK12" s="4">
        <v>19319750</v>
      </c>
      <c r="AL12" t="s">
        <v>53</v>
      </c>
    </row>
    <row r="13" spans="1:38" x14ac:dyDescent="0.25">
      <c r="A13" s="1">
        <v>45863</v>
      </c>
      <c r="B13" s="1">
        <v>45859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85</v>
      </c>
      <c r="J13" t="s">
        <v>81</v>
      </c>
      <c r="M13" t="s">
        <v>82</v>
      </c>
      <c r="O13" t="s">
        <v>83</v>
      </c>
      <c r="P13" t="s">
        <v>84</v>
      </c>
      <c r="Q13" t="s">
        <v>49</v>
      </c>
      <c r="R13" t="s">
        <v>86</v>
      </c>
      <c r="S13" s="1">
        <v>45853</v>
      </c>
      <c r="U13" t="s">
        <v>51</v>
      </c>
      <c r="X13" t="s">
        <v>52</v>
      </c>
      <c r="Y13" s="2">
        <v>50.87</v>
      </c>
      <c r="Z13" s="2">
        <v>50.87</v>
      </c>
      <c r="AA13">
        <v>6</v>
      </c>
      <c r="AB13" s="3">
        <v>0.9</v>
      </c>
      <c r="AC13" s="2">
        <v>274.7</v>
      </c>
      <c r="AD13" s="3">
        <v>0</v>
      </c>
      <c r="AE13" s="2">
        <v>0</v>
      </c>
      <c r="AF13" s="2">
        <v>274.7</v>
      </c>
      <c r="AK13" s="4">
        <v>19328450</v>
      </c>
      <c r="AL13" t="s">
        <v>53</v>
      </c>
    </row>
    <row r="14" spans="1:38" x14ac:dyDescent="0.25">
      <c r="A14" s="1">
        <v>45863</v>
      </c>
      <c r="B14" s="1">
        <v>45859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87</v>
      </c>
      <c r="J14" t="s">
        <v>81</v>
      </c>
      <c r="M14" t="s">
        <v>82</v>
      </c>
      <c r="O14" t="s">
        <v>83</v>
      </c>
      <c r="P14" t="s">
        <v>84</v>
      </c>
      <c r="Q14" t="s">
        <v>49</v>
      </c>
      <c r="R14" t="s">
        <v>50</v>
      </c>
      <c r="S14" s="1">
        <v>45853</v>
      </c>
      <c r="U14" t="s">
        <v>51</v>
      </c>
      <c r="X14" t="s">
        <v>52</v>
      </c>
      <c r="Y14" s="2">
        <v>110.61</v>
      </c>
      <c r="Z14" s="2">
        <v>110.61</v>
      </c>
      <c r="AA14">
        <v>6</v>
      </c>
      <c r="AB14" s="3">
        <v>0.375</v>
      </c>
      <c r="AC14" s="2">
        <v>248.87</v>
      </c>
      <c r="AD14" s="3">
        <v>0</v>
      </c>
      <c r="AE14" s="2">
        <v>0</v>
      </c>
      <c r="AF14" s="2">
        <v>248.87</v>
      </c>
      <c r="AK14" s="4">
        <v>19334640</v>
      </c>
      <c r="AL14" t="s">
        <v>53</v>
      </c>
    </row>
    <row r="15" spans="1:38" x14ac:dyDescent="0.25">
      <c r="A15" s="1">
        <v>45863</v>
      </c>
      <c r="B15" s="1">
        <v>45859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88</v>
      </c>
      <c r="J15" t="s">
        <v>89</v>
      </c>
      <c r="M15" t="s">
        <v>67</v>
      </c>
      <c r="O15" t="s">
        <v>90</v>
      </c>
      <c r="P15" t="s">
        <v>91</v>
      </c>
      <c r="Q15" t="s">
        <v>49</v>
      </c>
      <c r="R15" t="s">
        <v>50</v>
      </c>
      <c r="S15" s="1">
        <v>45870</v>
      </c>
      <c r="U15" t="s">
        <v>51</v>
      </c>
      <c r="X15" t="s">
        <v>52</v>
      </c>
      <c r="Y15" s="2">
        <v>149.87</v>
      </c>
      <c r="Z15" s="2">
        <v>149.87</v>
      </c>
      <c r="AA15">
        <v>6</v>
      </c>
      <c r="AB15" s="3">
        <v>0.375</v>
      </c>
      <c r="AC15" s="2">
        <v>337.21</v>
      </c>
      <c r="AD15" s="3">
        <v>0</v>
      </c>
      <c r="AE15" s="2">
        <v>0</v>
      </c>
      <c r="AF15" s="2">
        <v>337.21</v>
      </c>
      <c r="AK15" s="4">
        <v>19334700</v>
      </c>
      <c r="AL15" t="s">
        <v>53</v>
      </c>
    </row>
    <row r="16" spans="1:38" x14ac:dyDescent="0.25">
      <c r="A16" s="1">
        <v>45863</v>
      </c>
      <c r="B16" s="1">
        <v>45859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92</v>
      </c>
      <c r="J16" t="s">
        <v>89</v>
      </c>
      <c r="M16" t="s">
        <v>67</v>
      </c>
      <c r="O16" t="s">
        <v>90</v>
      </c>
      <c r="P16" t="s">
        <v>91</v>
      </c>
      <c r="Q16" t="s">
        <v>49</v>
      </c>
      <c r="R16" t="s">
        <v>55</v>
      </c>
      <c r="S16" s="1">
        <v>45870</v>
      </c>
      <c r="U16" t="s">
        <v>51</v>
      </c>
      <c r="X16" t="s">
        <v>52</v>
      </c>
      <c r="Y16" s="2">
        <v>15.75</v>
      </c>
      <c r="Z16" s="2">
        <v>15.75</v>
      </c>
      <c r="AA16">
        <v>6</v>
      </c>
      <c r="AB16" s="3">
        <v>0.7</v>
      </c>
      <c r="AC16" s="2">
        <v>66.150000000000006</v>
      </c>
      <c r="AD16" s="3">
        <v>0</v>
      </c>
      <c r="AE16" s="2">
        <v>0</v>
      </c>
      <c r="AF16" s="2">
        <v>66.150000000000006</v>
      </c>
      <c r="AK16" s="4">
        <v>19319790</v>
      </c>
      <c r="AL16" t="s">
        <v>53</v>
      </c>
    </row>
    <row r="17" spans="1:38" x14ac:dyDescent="0.25">
      <c r="A17" s="1">
        <v>45863</v>
      </c>
      <c r="B17" s="1">
        <v>45859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93</v>
      </c>
      <c r="J17" t="s">
        <v>94</v>
      </c>
      <c r="M17" t="s">
        <v>67</v>
      </c>
      <c r="O17" t="s">
        <v>95</v>
      </c>
      <c r="P17" t="s">
        <v>96</v>
      </c>
      <c r="Q17" t="s">
        <v>49</v>
      </c>
      <c r="R17" t="s">
        <v>55</v>
      </c>
      <c r="S17" s="1">
        <v>45870</v>
      </c>
      <c r="U17" t="s">
        <v>51</v>
      </c>
      <c r="X17" t="s">
        <v>52</v>
      </c>
      <c r="Y17" s="2">
        <v>114.24</v>
      </c>
      <c r="Z17" s="2">
        <v>114.24</v>
      </c>
      <c r="AA17">
        <v>6</v>
      </c>
      <c r="AB17" s="3">
        <v>0.7</v>
      </c>
      <c r="AC17" s="2">
        <v>479.81</v>
      </c>
      <c r="AD17" s="3">
        <v>0</v>
      </c>
      <c r="AE17" s="2">
        <v>0</v>
      </c>
      <c r="AF17" s="2">
        <v>479.81</v>
      </c>
      <c r="AK17" s="4">
        <v>19319820</v>
      </c>
      <c r="AL17" t="s">
        <v>53</v>
      </c>
    </row>
    <row r="18" spans="1:38" x14ac:dyDescent="0.25">
      <c r="A18" s="1">
        <v>45863</v>
      </c>
      <c r="B18" s="1">
        <v>45859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97</v>
      </c>
      <c r="J18" t="s">
        <v>98</v>
      </c>
      <c r="M18" t="s">
        <v>79</v>
      </c>
      <c r="O18" t="s">
        <v>99</v>
      </c>
      <c r="P18" t="s">
        <v>100</v>
      </c>
      <c r="Q18" t="s">
        <v>49</v>
      </c>
      <c r="R18" t="s">
        <v>55</v>
      </c>
      <c r="S18" s="1">
        <v>45853</v>
      </c>
      <c r="U18" t="s">
        <v>51</v>
      </c>
      <c r="X18" t="s">
        <v>52</v>
      </c>
      <c r="Y18" s="2">
        <v>31.1</v>
      </c>
      <c r="Z18" s="2">
        <v>31.1</v>
      </c>
      <c r="AA18">
        <v>6</v>
      </c>
      <c r="AB18" s="3">
        <v>0.7</v>
      </c>
      <c r="AC18" s="2">
        <v>130.62</v>
      </c>
      <c r="AD18" s="3">
        <v>0</v>
      </c>
      <c r="AE18" s="2">
        <v>0</v>
      </c>
      <c r="AF18" s="2">
        <v>130.62</v>
      </c>
      <c r="AK18" s="4">
        <v>19319860</v>
      </c>
      <c r="AL18" t="s">
        <v>53</v>
      </c>
    </row>
    <row r="19" spans="1:38" x14ac:dyDescent="0.25">
      <c r="A19" s="1">
        <v>45863</v>
      </c>
      <c r="B19" s="1">
        <v>45859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101</v>
      </c>
      <c r="J19" t="s">
        <v>102</v>
      </c>
      <c r="M19" t="s">
        <v>82</v>
      </c>
      <c r="O19" t="s">
        <v>103</v>
      </c>
      <c r="P19" t="s">
        <v>104</v>
      </c>
      <c r="Q19" t="s">
        <v>49</v>
      </c>
      <c r="R19" t="s">
        <v>55</v>
      </c>
      <c r="S19" s="1">
        <v>45853</v>
      </c>
      <c r="U19" t="s">
        <v>51</v>
      </c>
      <c r="X19" t="s">
        <v>52</v>
      </c>
      <c r="Y19" s="2">
        <v>125.48</v>
      </c>
      <c r="Z19" s="2">
        <v>125.48</v>
      </c>
      <c r="AA19">
        <v>6</v>
      </c>
      <c r="AB19" s="3">
        <v>0.7</v>
      </c>
      <c r="AC19" s="2">
        <v>527.02</v>
      </c>
      <c r="AD19" s="3">
        <v>0</v>
      </c>
      <c r="AE19" s="2">
        <v>0</v>
      </c>
      <c r="AF19" s="2">
        <v>527.02</v>
      </c>
      <c r="AK19" s="4">
        <v>19319870</v>
      </c>
      <c r="AL19" t="s">
        <v>53</v>
      </c>
    </row>
    <row r="20" spans="1:38" x14ac:dyDescent="0.25">
      <c r="A20" s="1">
        <v>45863</v>
      </c>
      <c r="B20" s="1">
        <v>45859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105</v>
      </c>
      <c r="J20" t="s">
        <v>106</v>
      </c>
      <c r="M20" t="s">
        <v>67</v>
      </c>
      <c r="O20" t="s">
        <v>68</v>
      </c>
      <c r="P20" t="s">
        <v>69</v>
      </c>
      <c r="Q20" t="s">
        <v>49</v>
      </c>
      <c r="R20" t="s">
        <v>50</v>
      </c>
      <c r="S20" s="1">
        <v>45853</v>
      </c>
      <c r="U20" t="s">
        <v>51</v>
      </c>
      <c r="X20" t="s">
        <v>52</v>
      </c>
      <c r="Y20" s="2">
        <v>77.48</v>
      </c>
      <c r="Z20" s="2">
        <v>77.48</v>
      </c>
      <c r="AA20">
        <v>6</v>
      </c>
      <c r="AB20" s="3">
        <v>0.375</v>
      </c>
      <c r="AC20" s="2">
        <v>174.33</v>
      </c>
      <c r="AD20" s="3">
        <v>0</v>
      </c>
      <c r="AE20" s="2">
        <v>0</v>
      </c>
      <c r="AF20" s="2">
        <v>174.33</v>
      </c>
      <c r="AK20" s="4">
        <v>19334800</v>
      </c>
      <c r="AL20" t="s">
        <v>53</v>
      </c>
    </row>
    <row r="21" spans="1:38" x14ac:dyDescent="0.25">
      <c r="A21" s="1">
        <v>45863</v>
      </c>
      <c r="B21" s="1">
        <v>45859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107</v>
      </c>
      <c r="J21" t="s">
        <v>106</v>
      </c>
      <c r="M21" t="s">
        <v>67</v>
      </c>
      <c r="O21" t="s">
        <v>68</v>
      </c>
      <c r="P21" t="s">
        <v>69</v>
      </c>
      <c r="Q21" t="s">
        <v>49</v>
      </c>
      <c r="R21" t="s">
        <v>55</v>
      </c>
      <c r="S21" s="1">
        <v>45853</v>
      </c>
      <c r="U21" t="s">
        <v>51</v>
      </c>
      <c r="X21" t="s">
        <v>52</v>
      </c>
      <c r="Y21" s="2">
        <v>41.5</v>
      </c>
      <c r="Z21" s="2">
        <v>41.5</v>
      </c>
      <c r="AA21">
        <v>6</v>
      </c>
      <c r="AB21" s="3">
        <v>0.7</v>
      </c>
      <c r="AC21" s="2">
        <v>174.3</v>
      </c>
      <c r="AD21" s="3">
        <v>0</v>
      </c>
      <c r="AE21" s="2">
        <v>0</v>
      </c>
      <c r="AF21" s="2">
        <v>174.3</v>
      </c>
      <c r="AK21" s="4">
        <v>19319880</v>
      </c>
      <c r="AL21" t="s">
        <v>53</v>
      </c>
    </row>
    <row r="22" spans="1:38" x14ac:dyDescent="0.25">
      <c r="A22" s="1">
        <v>45863</v>
      </c>
      <c r="B22" s="1">
        <v>45859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108</v>
      </c>
      <c r="J22" t="s">
        <v>106</v>
      </c>
      <c r="M22" t="s">
        <v>67</v>
      </c>
      <c r="O22" t="s">
        <v>68</v>
      </c>
      <c r="P22" t="s">
        <v>69</v>
      </c>
      <c r="Q22" t="s">
        <v>49</v>
      </c>
      <c r="R22" t="s">
        <v>109</v>
      </c>
      <c r="S22" s="1">
        <v>45853</v>
      </c>
      <c r="U22" t="s">
        <v>51</v>
      </c>
      <c r="X22" t="s">
        <v>52</v>
      </c>
      <c r="Y22" s="2">
        <v>19.25</v>
      </c>
      <c r="Z22" s="2">
        <v>19.25</v>
      </c>
      <c r="AA22">
        <v>6</v>
      </c>
      <c r="AB22" s="3">
        <v>0.75</v>
      </c>
      <c r="AC22" s="2">
        <v>86.63</v>
      </c>
      <c r="AD22" s="3">
        <v>0</v>
      </c>
      <c r="AE22" s="2">
        <v>0</v>
      </c>
      <c r="AF22" s="2">
        <v>86.63</v>
      </c>
      <c r="AK22" s="4">
        <v>19328480</v>
      </c>
      <c r="AL22" t="s">
        <v>53</v>
      </c>
    </row>
    <row r="23" spans="1:38" x14ac:dyDescent="0.25">
      <c r="A23" s="1">
        <v>45863</v>
      </c>
      <c r="B23" s="1">
        <v>45859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110</v>
      </c>
      <c r="J23" t="s">
        <v>111</v>
      </c>
      <c r="M23" t="s">
        <v>112</v>
      </c>
      <c r="O23" t="s">
        <v>113</v>
      </c>
      <c r="P23" t="s">
        <v>114</v>
      </c>
      <c r="Q23" t="s">
        <v>49</v>
      </c>
      <c r="R23" t="s">
        <v>50</v>
      </c>
      <c r="S23" s="1">
        <v>45853</v>
      </c>
      <c r="U23" t="s">
        <v>51</v>
      </c>
      <c r="X23" t="s">
        <v>52</v>
      </c>
      <c r="Y23" s="2">
        <v>63.62</v>
      </c>
      <c r="Z23" s="2">
        <v>63.62</v>
      </c>
      <c r="AA23">
        <v>6</v>
      </c>
      <c r="AB23" s="3">
        <v>0.375</v>
      </c>
      <c r="AC23" s="2">
        <v>143.15</v>
      </c>
      <c r="AD23" s="3">
        <v>0</v>
      </c>
      <c r="AE23" s="2">
        <v>0</v>
      </c>
      <c r="AF23" s="2">
        <v>143.15</v>
      </c>
      <c r="AK23" s="4">
        <v>19334830</v>
      </c>
      <c r="AL23" t="s">
        <v>53</v>
      </c>
    </row>
    <row r="24" spans="1:38" x14ac:dyDescent="0.25">
      <c r="A24" s="1">
        <v>45863</v>
      </c>
      <c r="B24" s="1">
        <v>45859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115</v>
      </c>
      <c r="J24" t="s">
        <v>111</v>
      </c>
      <c r="M24" t="s">
        <v>112</v>
      </c>
      <c r="O24" t="s">
        <v>113</v>
      </c>
      <c r="P24" t="s">
        <v>114</v>
      </c>
      <c r="Q24" t="s">
        <v>49</v>
      </c>
      <c r="R24" t="s">
        <v>55</v>
      </c>
      <c r="S24" s="1">
        <v>45853</v>
      </c>
      <c r="U24" t="s">
        <v>51</v>
      </c>
      <c r="X24" t="s">
        <v>52</v>
      </c>
      <c r="Y24" s="2">
        <v>9.6999999999999993</v>
      </c>
      <c r="Z24" s="2">
        <v>9.6999999999999993</v>
      </c>
      <c r="AA24">
        <v>6</v>
      </c>
      <c r="AB24" s="3">
        <v>0.7</v>
      </c>
      <c r="AC24" s="2">
        <v>40.74</v>
      </c>
      <c r="AD24" s="3">
        <v>0</v>
      </c>
      <c r="AE24" s="2">
        <v>0</v>
      </c>
      <c r="AF24" s="2">
        <v>40.74</v>
      </c>
      <c r="AK24" s="4">
        <v>19319910</v>
      </c>
      <c r="AL24" t="s">
        <v>53</v>
      </c>
    </row>
    <row r="25" spans="1:38" x14ac:dyDescent="0.25">
      <c r="A25" s="1">
        <v>45863</v>
      </c>
      <c r="B25" s="1">
        <v>45859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116</v>
      </c>
      <c r="J25" t="s">
        <v>111</v>
      </c>
      <c r="M25" t="s">
        <v>112</v>
      </c>
      <c r="O25" t="s">
        <v>113</v>
      </c>
      <c r="P25" t="s">
        <v>114</v>
      </c>
      <c r="Q25" t="s">
        <v>49</v>
      </c>
      <c r="R25" t="s">
        <v>117</v>
      </c>
      <c r="S25" s="1">
        <v>45853</v>
      </c>
      <c r="U25" t="s">
        <v>51</v>
      </c>
      <c r="X25" t="s">
        <v>52</v>
      </c>
      <c r="Y25" s="2">
        <v>29.98</v>
      </c>
      <c r="Z25" s="2">
        <v>29.98</v>
      </c>
      <c r="AA25">
        <v>6</v>
      </c>
      <c r="AB25" s="3">
        <v>0.65</v>
      </c>
      <c r="AC25" s="2">
        <v>116.92</v>
      </c>
      <c r="AD25" s="3">
        <v>0</v>
      </c>
      <c r="AE25" s="2">
        <v>0</v>
      </c>
      <c r="AF25" s="2">
        <v>116.92</v>
      </c>
      <c r="AK25" s="4">
        <v>19328490</v>
      </c>
      <c r="AL25" t="s">
        <v>53</v>
      </c>
    </row>
    <row r="26" spans="1:38" x14ac:dyDescent="0.25">
      <c r="A26" s="1">
        <v>45863</v>
      </c>
      <c r="B26" s="1">
        <v>45859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118</v>
      </c>
      <c r="J26" t="s">
        <v>111</v>
      </c>
      <c r="M26" t="s">
        <v>112</v>
      </c>
      <c r="O26" t="s">
        <v>113</v>
      </c>
      <c r="P26" t="s">
        <v>114</v>
      </c>
      <c r="Q26" t="s">
        <v>49</v>
      </c>
      <c r="R26" t="s">
        <v>119</v>
      </c>
      <c r="S26" s="1">
        <v>45853</v>
      </c>
      <c r="U26" t="s">
        <v>51</v>
      </c>
      <c r="X26" t="s">
        <v>52</v>
      </c>
      <c r="Y26" s="2">
        <v>33.31</v>
      </c>
      <c r="Z26" s="2">
        <v>33.31</v>
      </c>
      <c r="AA26">
        <v>6</v>
      </c>
      <c r="AB26" s="3">
        <v>0.38</v>
      </c>
      <c r="AC26" s="2">
        <v>75.95</v>
      </c>
      <c r="AD26" s="3">
        <v>0</v>
      </c>
      <c r="AE26" s="2">
        <v>0</v>
      </c>
      <c r="AF26" s="2">
        <v>75.95</v>
      </c>
      <c r="AK26" s="4">
        <v>19336420</v>
      </c>
      <c r="AL26" t="s">
        <v>53</v>
      </c>
    </row>
    <row r="27" spans="1:38" x14ac:dyDescent="0.25">
      <c r="A27" s="1">
        <v>45863</v>
      </c>
      <c r="B27" s="1">
        <v>45859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120</v>
      </c>
      <c r="J27" t="s">
        <v>121</v>
      </c>
      <c r="M27" t="s">
        <v>122</v>
      </c>
      <c r="O27" t="s">
        <v>123</v>
      </c>
      <c r="P27" t="s">
        <v>124</v>
      </c>
      <c r="Q27" t="s">
        <v>49</v>
      </c>
      <c r="R27" t="s">
        <v>50</v>
      </c>
      <c r="S27" s="1">
        <v>45854</v>
      </c>
      <c r="U27" t="s">
        <v>51</v>
      </c>
      <c r="X27" t="s">
        <v>52</v>
      </c>
      <c r="Y27" s="2">
        <v>58.15</v>
      </c>
      <c r="Z27" s="2">
        <v>58.15</v>
      </c>
      <c r="AA27">
        <v>6</v>
      </c>
      <c r="AB27" s="3">
        <v>0.375</v>
      </c>
      <c r="AC27" s="2">
        <v>130.84</v>
      </c>
      <c r="AD27" s="3">
        <v>0</v>
      </c>
      <c r="AE27" s="2">
        <v>0</v>
      </c>
      <c r="AF27" s="2">
        <v>130.84</v>
      </c>
      <c r="AK27" s="4">
        <v>19334850</v>
      </c>
      <c r="AL27" t="s">
        <v>53</v>
      </c>
    </row>
    <row r="28" spans="1:38" x14ac:dyDescent="0.25">
      <c r="A28" s="1">
        <v>45863</v>
      </c>
      <c r="B28" s="1">
        <v>45859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125</v>
      </c>
      <c r="J28" t="s">
        <v>121</v>
      </c>
      <c r="M28" t="s">
        <v>122</v>
      </c>
      <c r="O28" t="s">
        <v>123</v>
      </c>
      <c r="P28" t="s">
        <v>124</v>
      </c>
      <c r="Q28" t="s">
        <v>49</v>
      </c>
      <c r="R28" t="s">
        <v>55</v>
      </c>
      <c r="S28" s="1">
        <v>45854</v>
      </c>
      <c r="U28" t="s">
        <v>51</v>
      </c>
      <c r="X28" t="s">
        <v>52</v>
      </c>
      <c r="Y28" s="2">
        <v>12.4</v>
      </c>
      <c r="Z28" s="2">
        <v>12.4</v>
      </c>
      <c r="AA28">
        <v>6</v>
      </c>
      <c r="AB28" s="3">
        <v>0.7</v>
      </c>
      <c r="AC28" s="2">
        <v>52.08</v>
      </c>
      <c r="AD28" s="3">
        <v>0</v>
      </c>
      <c r="AE28" s="2">
        <v>0</v>
      </c>
      <c r="AF28" s="2">
        <v>52.08</v>
      </c>
      <c r="AK28" s="4">
        <v>19319920</v>
      </c>
      <c r="AL28" t="s">
        <v>53</v>
      </c>
    </row>
    <row r="29" spans="1:38" x14ac:dyDescent="0.25">
      <c r="A29" s="1">
        <v>45863</v>
      </c>
      <c r="B29" s="1">
        <v>45859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126</v>
      </c>
      <c r="J29" t="s">
        <v>127</v>
      </c>
      <c r="M29" t="s">
        <v>67</v>
      </c>
      <c r="O29" t="s">
        <v>128</v>
      </c>
      <c r="P29" t="s">
        <v>129</v>
      </c>
      <c r="Q29" t="s">
        <v>49</v>
      </c>
      <c r="R29" t="s">
        <v>55</v>
      </c>
      <c r="S29" s="1">
        <v>45853</v>
      </c>
      <c r="U29" t="s">
        <v>51</v>
      </c>
      <c r="X29" t="s">
        <v>52</v>
      </c>
      <c r="Y29" s="2">
        <v>69.25</v>
      </c>
      <c r="Z29" s="2">
        <v>69.25</v>
      </c>
      <c r="AA29">
        <v>6</v>
      </c>
      <c r="AB29" s="3">
        <v>0.7</v>
      </c>
      <c r="AC29" s="2">
        <v>290.85000000000002</v>
      </c>
      <c r="AD29" s="3">
        <v>0</v>
      </c>
      <c r="AE29" s="2">
        <v>0</v>
      </c>
      <c r="AF29" s="2">
        <v>290.85000000000002</v>
      </c>
      <c r="AK29" s="4">
        <v>19319930</v>
      </c>
      <c r="AL29" t="s">
        <v>53</v>
      </c>
    </row>
    <row r="30" spans="1:38" x14ac:dyDescent="0.25">
      <c r="A30" s="1">
        <v>45863</v>
      </c>
      <c r="B30" s="1">
        <v>45859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130</v>
      </c>
      <c r="J30" t="s">
        <v>131</v>
      </c>
      <c r="M30" t="s">
        <v>67</v>
      </c>
      <c r="O30" t="s">
        <v>128</v>
      </c>
      <c r="P30" t="s">
        <v>129</v>
      </c>
      <c r="Q30" t="s">
        <v>49</v>
      </c>
      <c r="R30" t="s">
        <v>55</v>
      </c>
      <c r="S30" s="1">
        <v>45853</v>
      </c>
      <c r="U30" t="s">
        <v>51</v>
      </c>
      <c r="X30" t="s">
        <v>52</v>
      </c>
      <c r="Y30" s="2">
        <v>56.5</v>
      </c>
      <c r="Z30" s="2">
        <v>56.5</v>
      </c>
      <c r="AA30">
        <v>6</v>
      </c>
      <c r="AB30" s="3">
        <v>0.7</v>
      </c>
      <c r="AC30" s="2">
        <v>237.3</v>
      </c>
      <c r="AD30" s="3">
        <v>0</v>
      </c>
      <c r="AE30" s="2">
        <v>0</v>
      </c>
      <c r="AF30" s="2">
        <v>237.3</v>
      </c>
      <c r="AK30" s="4">
        <v>19319930</v>
      </c>
      <c r="AL30" t="s">
        <v>53</v>
      </c>
    </row>
    <row r="31" spans="1:38" x14ac:dyDescent="0.25">
      <c r="A31" s="1">
        <v>45863</v>
      </c>
      <c r="B31" s="1">
        <v>45859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132</v>
      </c>
      <c r="J31" t="s">
        <v>133</v>
      </c>
      <c r="M31" t="s">
        <v>46</v>
      </c>
      <c r="O31" t="s">
        <v>134</v>
      </c>
      <c r="P31" t="s">
        <v>135</v>
      </c>
      <c r="Q31" t="s">
        <v>49</v>
      </c>
      <c r="R31" t="s">
        <v>50</v>
      </c>
      <c r="S31" s="1">
        <v>45870</v>
      </c>
      <c r="U31" t="s">
        <v>51</v>
      </c>
      <c r="X31" t="s">
        <v>52</v>
      </c>
      <c r="Y31" s="2">
        <v>71.28</v>
      </c>
      <c r="Z31" s="2">
        <v>71.28</v>
      </c>
      <c r="AA31">
        <v>6</v>
      </c>
      <c r="AB31" s="3">
        <v>0.375</v>
      </c>
      <c r="AC31" s="2">
        <v>160.38</v>
      </c>
      <c r="AD31" s="3">
        <v>0</v>
      </c>
      <c r="AE31" s="2">
        <v>0</v>
      </c>
      <c r="AF31" s="2">
        <v>160.38</v>
      </c>
      <c r="AK31" s="4">
        <v>19334900</v>
      </c>
      <c r="AL31" t="s">
        <v>53</v>
      </c>
    </row>
    <row r="32" spans="1:38" x14ac:dyDescent="0.25">
      <c r="A32" s="1">
        <v>45863</v>
      </c>
      <c r="B32" s="1">
        <v>45859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136</v>
      </c>
      <c r="J32" t="s">
        <v>133</v>
      </c>
      <c r="M32" t="s">
        <v>46</v>
      </c>
      <c r="O32" t="s">
        <v>134</v>
      </c>
      <c r="P32" t="s">
        <v>135</v>
      </c>
      <c r="Q32" t="s">
        <v>49</v>
      </c>
      <c r="R32" t="s">
        <v>71</v>
      </c>
      <c r="S32" s="1">
        <v>45870</v>
      </c>
      <c r="U32" t="s">
        <v>51</v>
      </c>
      <c r="X32" t="s">
        <v>52</v>
      </c>
      <c r="Y32" s="2">
        <v>86.14</v>
      </c>
      <c r="Z32" s="2">
        <v>86.14</v>
      </c>
      <c r="AA32">
        <v>6</v>
      </c>
      <c r="AB32" s="3">
        <v>0.75</v>
      </c>
      <c r="AC32" s="2">
        <v>387.63</v>
      </c>
      <c r="AD32" s="3">
        <v>0</v>
      </c>
      <c r="AE32" s="2">
        <v>0</v>
      </c>
      <c r="AF32" s="2">
        <v>387.63</v>
      </c>
      <c r="AK32" s="4">
        <v>19328500</v>
      </c>
      <c r="AL32" t="s">
        <v>53</v>
      </c>
    </row>
    <row r="33" spans="1:38" x14ac:dyDescent="0.25">
      <c r="A33" s="1">
        <v>45863</v>
      </c>
      <c r="B33" s="1">
        <v>45859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137</v>
      </c>
      <c r="J33" t="s">
        <v>138</v>
      </c>
      <c r="M33" t="s">
        <v>67</v>
      </c>
      <c r="O33" t="s">
        <v>139</v>
      </c>
      <c r="P33" t="s">
        <v>140</v>
      </c>
      <c r="Q33" t="s">
        <v>49</v>
      </c>
      <c r="R33" t="s">
        <v>55</v>
      </c>
      <c r="S33" s="1">
        <v>45854</v>
      </c>
      <c r="U33" t="s">
        <v>51</v>
      </c>
      <c r="X33" t="s">
        <v>52</v>
      </c>
      <c r="Y33" s="2">
        <v>20.56</v>
      </c>
      <c r="Z33" s="2">
        <v>20.56</v>
      </c>
      <c r="AA33">
        <v>6</v>
      </c>
      <c r="AB33" s="3">
        <v>0.7</v>
      </c>
      <c r="AC33" s="2">
        <v>86.35</v>
      </c>
      <c r="AD33" s="3">
        <v>0</v>
      </c>
      <c r="AE33" s="2">
        <v>0</v>
      </c>
      <c r="AF33" s="2">
        <v>86.35</v>
      </c>
      <c r="AK33" s="4">
        <v>19319980</v>
      </c>
      <c r="AL33" t="s">
        <v>53</v>
      </c>
    </row>
    <row r="34" spans="1:38" x14ac:dyDescent="0.25">
      <c r="A34" s="1">
        <v>45863</v>
      </c>
      <c r="B34" s="1">
        <v>45859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141</v>
      </c>
      <c r="J34" t="s">
        <v>142</v>
      </c>
      <c r="M34" t="s">
        <v>67</v>
      </c>
      <c r="O34" t="s">
        <v>143</v>
      </c>
      <c r="P34" t="s">
        <v>144</v>
      </c>
      <c r="Q34" t="s">
        <v>49</v>
      </c>
      <c r="R34" t="s">
        <v>55</v>
      </c>
      <c r="S34" s="1">
        <v>45854</v>
      </c>
      <c r="U34" t="s">
        <v>51</v>
      </c>
      <c r="X34" t="s">
        <v>52</v>
      </c>
      <c r="Y34" s="2">
        <v>72.760000000000005</v>
      </c>
      <c r="Z34" s="2">
        <v>72.760000000000005</v>
      </c>
      <c r="AA34">
        <v>6</v>
      </c>
      <c r="AB34" s="3">
        <v>0.7</v>
      </c>
      <c r="AC34" s="2">
        <v>305.58999999999997</v>
      </c>
      <c r="AD34" s="3">
        <v>0</v>
      </c>
      <c r="AE34" s="2">
        <v>0</v>
      </c>
      <c r="AF34" s="2">
        <v>305.58999999999997</v>
      </c>
      <c r="AK34" s="4">
        <v>19320020</v>
      </c>
      <c r="AL34" t="s">
        <v>53</v>
      </c>
    </row>
    <row r="35" spans="1:38" x14ac:dyDescent="0.25">
      <c r="A35" s="1">
        <v>45863</v>
      </c>
      <c r="B35" s="1">
        <v>45859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145</v>
      </c>
      <c r="J35" t="s">
        <v>146</v>
      </c>
      <c r="M35" t="s">
        <v>67</v>
      </c>
      <c r="O35" t="s">
        <v>147</v>
      </c>
      <c r="P35" t="s">
        <v>148</v>
      </c>
      <c r="Q35" t="s">
        <v>49</v>
      </c>
      <c r="R35" t="s">
        <v>55</v>
      </c>
      <c r="S35" s="1">
        <v>45870</v>
      </c>
      <c r="U35" t="s">
        <v>51</v>
      </c>
      <c r="X35" t="s">
        <v>52</v>
      </c>
      <c r="Y35" s="2">
        <v>85.62</v>
      </c>
      <c r="Z35" s="2">
        <v>85.62</v>
      </c>
      <c r="AA35">
        <v>6</v>
      </c>
      <c r="AB35" s="3">
        <v>0.7</v>
      </c>
      <c r="AC35" s="2">
        <v>359.6</v>
      </c>
      <c r="AD35" s="3">
        <v>0</v>
      </c>
      <c r="AE35" s="2">
        <v>0</v>
      </c>
      <c r="AF35" s="2">
        <v>359.6</v>
      </c>
      <c r="AK35" s="4">
        <v>19320030</v>
      </c>
      <c r="AL35" t="s">
        <v>53</v>
      </c>
    </row>
    <row r="36" spans="1:38" x14ac:dyDescent="0.25">
      <c r="A36" s="1">
        <v>45863</v>
      </c>
      <c r="B36" s="1">
        <v>45859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149</v>
      </c>
      <c r="J36" t="s">
        <v>150</v>
      </c>
      <c r="M36" t="s">
        <v>151</v>
      </c>
      <c r="O36" t="s">
        <v>152</v>
      </c>
      <c r="P36" t="s">
        <v>153</v>
      </c>
      <c r="Q36" t="s">
        <v>49</v>
      </c>
      <c r="R36" t="s">
        <v>154</v>
      </c>
      <c r="S36" s="1">
        <v>45854</v>
      </c>
      <c r="U36" t="s">
        <v>51</v>
      </c>
      <c r="X36" t="s">
        <v>52</v>
      </c>
      <c r="Y36" s="2">
        <v>32.81</v>
      </c>
      <c r="Z36" s="2">
        <v>32.81</v>
      </c>
      <c r="AA36">
        <v>6</v>
      </c>
      <c r="AB36" s="3">
        <v>0.42</v>
      </c>
      <c r="AC36" s="2">
        <v>82.68</v>
      </c>
      <c r="AD36" s="3">
        <v>0</v>
      </c>
      <c r="AE36" s="2">
        <v>0</v>
      </c>
      <c r="AF36" s="2">
        <v>82.68</v>
      </c>
      <c r="AK36" s="4">
        <v>19334970</v>
      </c>
      <c r="AL36" t="s">
        <v>53</v>
      </c>
    </row>
    <row r="37" spans="1:38" x14ac:dyDescent="0.25">
      <c r="A37" s="1">
        <v>45863</v>
      </c>
      <c r="B37" s="1">
        <v>45859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155</v>
      </c>
      <c r="J37" t="s">
        <v>150</v>
      </c>
      <c r="M37" t="s">
        <v>151</v>
      </c>
      <c r="O37" t="s">
        <v>152</v>
      </c>
      <c r="P37" t="s">
        <v>153</v>
      </c>
      <c r="Q37" t="s">
        <v>49</v>
      </c>
      <c r="R37" t="s">
        <v>156</v>
      </c>
      <c r="S37" s="1">
        <v>45854</v>
      </c>
      <c r="U37" t="s">
        <v>51</v>
      </c>
      <c r="X37" t="s">
        <v>52</v>
      </c>
      <c r="Y37" s="2">
        <v>24.61</v>
      </c>
      <c r="Z37" s="2">
        <v>24.61</v>
      </c>
      <c r="AA37">
        <v>6</v>
      </c>
      <c r="AB37" s="3">
        <v>0.7</v>
      </c>
      <c r="AC37" s="2">
        <v>103.36</v>
      </c>
      <c r="AD37" s="3">
        <v>0</v>
      </c>
      <c r="AE37" s="2">
        <v>0</v>
      </c>
      <c r="AF37" s="2">
        <v>103.36</v>
      </c>
      <c r="AK37" s="4">
        <v>19312130</v>
      </c>
      <c r="AL37" t="s">
        <v>53</v>
      </c>
    </row>
    <row r="38" spans="1:38" x14ac:dyDescent="0.25">
      <c r="A38" s="1">
        <v>45863</v>
      </c>
      <c r="B38" s="1">
        <v>45859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157</v>
      </c>
      <c r="J38" t="s">
        <v>150</v>
      </c>
      <c r="M38" t="s">
        <v>151</v>
      </c>
      <c r="O38" t="s">
        <v>152</v>
      </c>
      <c r="P38" t="s">
        <v>153</v>
      </c>
      <c r="Q38" t="s">
        <v>49</v>
      </c>
      <c r="R38" t="s">
        <v>86</v>
      </c>
      <c r="S38" s="1">
        <v>45854</v>
      </c>
      <c r="U38" t="s">
        <v>51</v>
      </c>
      <c r="X38" t="s">
        <v>52</v>
      </c>
      <c r="Y38" s="2">
        <v>107.63</v>
      </c>
      <c r="Z38" s="2">
        <v>107.63</v>
      </c>
      <c r="AA38">
        <v>6</v>
      </c>
      <c r="AB38" s="3">
        <v>0.9</v>
      </c>
      <c r="AC38" s="2">
        <v>581.20000000000005</v>
      </c>
      <c r="AD38" s="3">
        <v>0</v>
      </c>
      <c r="AE38" s="2">
        <v>0</v>
      </c>
      <c r="AF38" s="2">
        <v>581.20000000000005</v>
      </c>
      <c r="AK38" s="4">
        <v>19328530</v>
      </c>
      <c r="AL38" t="s">
        <v>53</v>
      </c>
    </row>
    <row r="39" spans="1:38" x14ac:dyDescent="0.25">
      <c r="A39" s="1">
        <v>45863</v>
      </c>
      <c r="B39" s="1">
        <v>45859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158</v>
      </c>
      <c r="J39" t="s">
        <v>159</v>
      </c>
      <c r="M39" t="s">
        <v>67</v>
      </c>
      <c r="O39" t="s">
        <v>160</v>
      </c>
      <c r="P39" t="s">
        <v>161</v>
      </c>
      <c r="Q39" t="s">
        <v>49</v>
      </c>
      <c r="R39" t="s">
        <v>154</v>
      </c>
      <c r="S39" s="1">
        <v>45854</v>
      </c>
      <c r="U39" t="s">
        <v>51</v>
      </c>
      <c r="X39" t="s">
        <v>52</v>
      </c>
      <c r="Y39" s="2">
        <v>25.08</v>
      </c>
      <c r="Z39" s="2">
        <v>25.08</v>
      </c>
      <c r="AA39">
        <v>6</v>
      </c>
      <c r="AB39" s="3">
        <v>0.42</v>
      </c>
      <c r="AC39" s="2">
        <v>63.2</v>
      </c>
      <c r="AD39" s="3">
        <v>0</v>
      </c>
      <c r="AE39" s="2">
        <v>0</v>
      </c>
      <c r="AF39" s="2">
        <v>63.2</v>
      </c>
      <c r="AK39" s="4">
        <v>19334980</v>
      </c>
      <c r="AL39" t="s">
        <v>53</v>
      </c>
    </row>
    <row r="40" spans="1:38" x14ac:dyDescent="0.25">
      <c r="A40" s="1">
        <v>45863</v>
      </c>
      <c r="B40" s="1">
        <v>45859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162</v>
      </c>
      <c r="J40" t="s">
        <v>159</v>
      </c>
      <c r="M40" t="s">
        <v>67</v>
      </c>
      <c r="O40" t="s">
        <v>160</v>
      </c>
      <c r="P40" t="s">
        <v>161</v>
      </c>
      <c r="Q40" t="s">
        <v>49</v>
      </c>
      <c r="R40" t="s">
        <v>55</v>
      </c>
      <c r="S40" s="1">
        <v>45854</v>
      </c>
      <c r="U40" t="s">
        <v>51</v>
      </c>
      <c r="X40" t="s">
        <v>52</v>
      </c>
      <c r="Y40" s="2">
        <v>62.8</v>
      </c>
      <c r="Z40" s="2">
        <v>62.8</v>
      </c>
      <c r="AA40">
        <v>6</v>
      </c>
      <c r="AB40" s="3">
        <v>0.7</v>
      </c>
      <c r="AC40" s="2">
        <v>263.76</v>
      </c>
      <c r="AD40" s="3">
        <v>0</v>
      </c>
      <c r="AE40" s="2">
        <v>0</v>
      </c>
      <c r="AF40" s="2">
        <v>263.76</v>
      </c>
      <c r="AK40" s="4">
        <v>19320050</v>
      </c>
      <c r="AL40" t="s">
        <v>53</v>
      </c>
    </row>
    <row r="41" spans="1:38" x14ac:dyDescent="0.25">
      <c r="A41" s="1">
        <v>45863</v>
      </c>
      <c r="B41" s="1">
        <v>45859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163</v>
      </c>
      <c r="J41" t="s">
        <v>164</v>
      </c>
      <c r="M41" t="s">
        <v>165</v>
      </c>
      <c r="O41" t="s">
        <v>166</v>
      </c>
      <c r="P41" t="s">
        <v>167</v>
      </c>
      <c r="Q41" t="s">
        <v>49</v>
      </c>
      <c r="R41" t="s">
        <v>119</v>
      </c>
      <c r="S41" s="1">
        <v>45870</v>
      </c>
      <c r="U41" t="s">
        <v>51</v>
      </c>
      <c r="X41" t="s">
        <v>52</v>
      </c>
      <c r="Y41" s="2">
        <v>61.39</v>
      </c>
      <c r="Z41" s="2">
        <v>61.39</v>
      </c>
      <c r="AA41">
        <v>6</v>
      </c>
      <c r="AB41" s="3">
        <v>0.38</v>
      </c>
      <c r="AC41" s="2">
        <v>139.97</v>
      </c>
      <c r="AD41" s="3">
        <v>0</v>
      </c>
      <c r="AE41" s="2">
        <v>0</v>
      </c>
      <c r="AF41" s="2">
        <v>139.97</v>
      </c>
      <c r="AK41" s="4">
        <v>19336420</v>
      </c>
      <c r="AL41" t="s">
        <v>53</v>
      </c>
    </row>
    <row r="42" spans="1:38" x14ac:dyDescent="0.25">
      <c r="A42" s="1">
        <v>45863</v>
      </c>
      <c r="B42" s="1">
        <v>45859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168</v>
      </c>
      <c r="J42" t="s">
        <v>169</v>
      </c>
      <c r="M42" t="s">
        <v>112</v>
      </c>
      <c r="O42" t="s">
        <v>134</v>
      </c>
      <c r="P42" t="s">
        <v>135</v>
      </c>
      <c r="Q42" t="s">
        <v>49</v>
      </c>
      <c r="R42" t="s">
        <v>55</v>
      </c>
      <c r="S42" s="1">
        <v>45854</v>
      </c>
      <c r="U42" t="s">
        <v>51</v>
      </c>
      <c r="X42" t="s">
        <v>52</v>
      </c>
      <c r="Y42" s="2">
        <v>9.1</v>
      </c>
      <c r="Z42" s="2">
        <v>9.1</v>
      </c>
      <c r="AA42">
        <v>6</v>
      </c>
      <c r="AB42" s="3">
        <v>0.7</v>
      </c>
      <c r="AC42" s="2">
        <v>38.22</v>
      </c>
      <c r="AD42" s="3">
        <v>0</v>
      </c>
      <c r="AE42" s="2">
        <v>0</v>
      </c>
      <c r="AF42" s="2">
        <v>38.22</v>
      </c>
      <c r="AK42" s="4">
        <v>19320060</v>
      </c>
      <c r="AL42" t="s">
        <v>53</v>
      </c>
    </row>
    <row r="43" spans="1:38" x14ac:dyDescent="0.25">
      <c r="A43" s="1">
        <v>45863</v>
      </c>
      <c r="B43" s="1">
        <v>45859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170</v>
      </c>
      <c r="J43" t="s">
        <v>169</v>
      </c>
      <c r="M43" t="s">
        <v>112</v>
      </c>
      <c r="O43" t="s">
        <v>134</v>
      </c>
      <c r="P43" t="s">
        <v>135</v>
      </c>
      <c r="Q43" t="s">
        <v>49</v>
      </c>
      <c r="R43" t="s">
        <v>71</v>
      </c>
      <c r="S43" s="1">
        <v>45854</v>
      </c>
      <c r="U43" t="s">
        <v>51</v>
      </c>
      <c r="X43" t="s">
        <v>52</v>
      </c>
      <c r="Y43" s="2">
        <v>52.84</v>
      </c>
      <c r="Z43" s="2">
        <v>52.84</v>
      </c>
      <c r="AA43">
        <v>6</v>
      </c>
      <c r="AB43" s="3">
        <v>0.75</v>
      </c>
      <c r="AC43" s="2">
        <v>237.78</v>
      </c>
      <c r="AD43" s="3">
        <v>0</v>
      </c>
      <c r="AE43" s="2">
        <v>0</v>
      </c>
      <c r="AF43" s="2">
        <v>237.78</v>
      </c>
      <c r="AK43" s="4">
        <v>19328540</v>
      </c>
      <c r="AL43" t="s">
        <v>53</v>
      </c>
    </row>
    <row r="44" spans="1:38" x14ac:dyDescent="0.25">
      <c r="A44" s="1">
        <v>45863</v>
      </c>
      <c r="B44" s="1">
        <v>45859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171</v>
      </c>
      <c r="J44" t="s">
        <v>169</v>
      </c>
      <c r="M44" t="s">
        <v>112</v>
      </c>
      <c r="O44" t="s">
        <v>134</v>
      </c>
      <c r="P44" t="s">
        <v>135</v>
      </c>
      <c r="Q44" t="s">
        <v>49</v>
      </c>
      <c r="R44" t="s">
        <v>50</v>
      </c>
      <c r="S44" s="1">
        <v>45854</v>
      </c>
      <c r="U44" t="s">
        <v>51</v>
      </c>
      <c r="X44" t="s">
        <v>52</v>
      </c>
      <c r="Y44" s="2">
        <v>63.62</v>
      </c>
      <c r="Z44" s="2">
        <v>63.62</v>
      </c>
      <c r="AA44">
        <v>6</v>
      </c>
      <c r="AB44" s="3">
        <v>0.375</v>
      </c>
      <c r="AC44" s="2">
        <v>143.15</v>
      </c>
      <c r="AD44" s="3">
        <v>0</v>
      </c>
      <c r="AE44" s="2">
        <v>0</v>
      </c>
      <c r="AF44" s="2">
        <v>143.15</v>
      </c>
      <c r="AK44" s="4">
        <v>19335000</v>
      </c>
      <c r="AL44" t="s">
        <v>53</v>
      </c>
    </row>
    <row r="45" spans="1:38" x14ac:dyDescent="0.25">
      <c r="A45" s="1">
        <v>45863</v>
      </c>
      <c r="B45" s="1">
        <v>45859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172</v>
      </c>
      <c r="J45" t="s">
        <v>76</v>
      </c>
      <c r="M45" t="s">
        <v>74</v>
      </c>
      <c r="O45" t="s">
        <v>75</v>
      </c>
      <c r="P45" t="s">
        <v>76</v>
      </c>
      <c r="Q45" t="s">
        <v>49</v>
      </c>
      <c r="R45" t="s">
        <v>55</v>
      </c>
      <c r="S45" s="1">
        <v>45854</v>
      </c>
      <c r="U45" t="s">
        <v>51</v>
      </c>
      <c r="X45" t="s">
        <v>52</v>
      </c>
      <c r="Y45" s="2">
        <v>15.75</v>
      </c>
      <c r="Z45" s="2">
        <v>15.75</v>
      </c>
      <c r="AA45">
        <v>6</v>
      </c>
      <c r="AB45" s="3">
        <v>0.7</v>
      </c>
      <c r="AC45" s="2">
        <v>66.150000000000006</v>
      </c>
      <c r="AD45" s="3">
        <v>0</v>
      </c>
      <c r="AE45" s="2">
        <v>0</v>
      </c>
      <c r="AF45" s="2">
        <v>66.150000000000006</v>
      </c>
      <c r="AK45" s="4">
        <v>19320090</v>
      </c>
      <c r="AL45" t="s">
        <v>53</v>
      </c>
    </row>
    <row r="46" spans="1:38" x14ac:dyDescent="0.25">
      <c r="A46" s="1">
        <v>45863</v>
      </c>
      <c r="B46" s="1">
        <v>45859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173</v>
      </c>
      <c r="J46" t="s">
        <v>76</v>
      </c>
      <c r="M46" t="s">
        <v>74</v>
      </c>
      <c r="O46" t="s">
        <v>75</v>
      </c>
      <c r="P46" t="s">
        <v>76</v>
      </c>
      <c r="Q46" t="s">
        <v>49</v>
      </c>
      <c r="R46" t="s">
        <v>50</v>
      </c>
      <c r="S46" s="1">
        <v>45854</v>
      </c>
      <c r="U46" t="s">
        <v>51</v>
      </c>
      <c r="X46" t="s">
        <v>52</v>
      </c>
      <c r="Y46" s="2">
        <v>188.04</v>
      </c>
      <c r="Z46" s="2">
        <v>188.04</v>
      </c>
      <c r="AA46">
        <v>6</v>
      </c>
      <c r="AB46" s="3">
        <v>0.375</v>
      </c>
      <c r="AC46" s="2">
        <v>423.09</v>
      </c>
      <c r="AD46" s="3">
        <v>0</v>
      </c>
      <c r="AE46" s="2">
        <v>0</v>
      </c>
      <c r="AF46" s="2">
        <v>423.09</v>
      </c>
      <c r="AK46" s="4">
        <v>19335020</v>
      </c>
      <c r="AL46" t="s">
        <v>53</v>
      </c>
    </row>
    <row r="47" spans="1:38" x14ac:dyDescent="0.25">
      <c r="A47" s="1">
        <v>45863</v>
      </c>
      <c r="B47" s="1">
        <v>45859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174</v>
      </c>
      <c r="J47" t="s">
        <v>175</v>
      </c>
      <c r="M47" t="s">
        <v>79</v>
      </c>
      <c r="O47" t="s">
        <v>62</v>
      </c>
      <c r="P47" t="s">
        <v>63</v>
      </c>
      <c r="Q47" t="s">
        <v>49</v>
      </c>
      <c r="R47" t="s">
        <v>50</v>
      </c>
      <c r="S47" s="1">
        <v>45870</v>
      </c>
      <c r="U47" t="s">
        <v>51</v>
      </c>
      <c r="X47" t="s">
        <v>52</v>
      </c>
      <c r="Y47" s="2">
        <v>24.54</v>
      </c>
      <c r="Z47" s="2">
        <v>24.54</v>
      </c>
      <c r="AA47">
        <v>6</v>
      </c>
      <c r="AB47" s="3">
        <v>0.375</v>
      </c>
      <c r="AC47" s="2">
        <v>55.22</v>
      </c>
      <c r="AD47" s="3">
        <v>0</v>
      </c>
      <c r="AE47" s="2">
        <v>0</v>
      </c>
      <c r="AF47" s="2">
        <v>55.22</v>
      </c>
      <c r="AK47" s="4">
        <v>19335030</v>
      </c>
      <c r="AL47" t="s">
        <v>53</v>
      </c>
    </row>
    <row r="48" spans="1:38" x14ac:dyDescent="0.25">
      <c r="A48" s="1">
        <v>45863</v>
      </c>
      <c r="B48" s="1">
        <v>45859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176</v>
      </c>
      <c r="J48" t="s">
        <v>175</v>
      </c>
      <c r="M48" t="s">
        <v>79</v>
      </c>
      <c r="O48" t="s">
        <v>62</v>
      </c>
      <c r="P48" t="s">
        <v>63</v>
      </c>
      <c r="Q48" t="s">
        <v>49</v>
      </c>
      <c r="R48" t="s">
        <v>55</v>
      </c>
      <c r="S48" s="1">
        <v>45870</v>
      </c>
      <c r="U48" t="s">
        <v>51</v>
      </c>
      <c r="X48" t="s">
        <v>52</v>
      </c>
      <c r="Y48" s="2">
        <v>10.29</v>
      </c>
      <c r="Z48" s="2">
        <v>10.29</v>
      </c>
      <c r="AA48">
        <v>6</v>
      </c>
      <c r="AB48" s="3">
        <v>0.7</v>
      </c>
      <c r="AC48" s="2">
        <v>43.22</v>
      </c>
      <c r="AD48" s="3">
        <v>0</v>
      </c>
      <c r="AE48" s="2">
        <v>0</v>
      </c>
      <c r="AF48" s="2">
        <v>43.22</v>
      </c>
      <c r="AK48" s="4">
        <v>19320100</v>
      </c>
      <c r="AL48" t="s">
        <v>53</v>
      </c>
    </row>
    <row r="49" spans="1:38" x14ac:dyDescent="0.25">
      <c r="A49" s="1">
        <v>45863</v>
      </c>
      <c r="B49" s="1">
        <v>45859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177</v>
      </c>
      <c r="J49" t="s">
        <v>178</v>
      </c>
      <c r="M49" t="s">
        <v>179</v>
      </c>
      <c r="O49" t="s">
        <v>180</v>
      </c>
      <c r="P49" t="s">
        <v>181</v>
      </c>
      <c r="Q49" t="s">
        <v>49</v>
      </c>
      <c r="R49" t="s">
        <v>50</v>
      </c>
      <c r="S49" s="1">
        <v>45854</v>
      </c>
      <c r="U49" t="s">
        <v>51</v>
      </c>
      <c r="X49" t="s">
        <v>52</v>
      </c>
      <c r="Y49" s="2">
        <v>44.56</v>
      </c>
      <c r="Z49" s="2">
        <v>44.56</v>
      </c>
      <c r="AA49">
        <v>6</v>
      </c>
      <c r="AB49" s="3">
        <v>9.5000000000000001E-2</v>
      </c>
      <c r="AC49" s="2">
        <v>25.4</v>
      </c>
      <c r="AD49" s="3">
        <v>0</v>
      </c>
      <c r="AE49" s="2">
        <v>0</v>
      </c>
      <c r="AF49" s="2">
        <v>25.4</v>
      </c>
      <c r="AK49" s="4">
        <v>19335060</v>
      </c>
      <c r="AL49" t="s">
        <v>53</v>
      </c>
    </row>
    <row r="50" spans="1:38" x14ac:dyDescent="0.25">
      <c r="A50" s="1">
        <v>45863</v>
      </c>
      <c r="B50" s="1">
        <v>45859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182</v>
      </c>
      <c r="J50" t="s">
        <v>178</v>
      </c>
      <c r="M50" t="s">
        <v>179</v>
      </c>
      <c r="O50" t="s">
        <v>180</v>
      </c>
      <c r="P50" t="s">
        <v>181</v>
      </c>
      <c r="Q50" t="s">
        <v>49</v>
      </c>
      <c r="R50" t="s">
        <v>55</v>
      </c>
      <c r="S50" s="1">
        <v>45854</v>
      </c>
      <c r="U50" t="s">
        <v>51</v>
      </c>
      <c r="X50" t="s">
        <v>52</v>
      </c>
      <c r="Y50" s="2">
        <v>19</v>
      </c>
      <c r="Z50" s="2">
        <v>19</v>
      </c>
      <c r="AA50">
        <v>6</v>
      </c>
      <c r="AB50" s="3">
        <v>0.3</v>
      </c>
      <c r="AC50" s="2">
        <v>34.200000000000003</v>
      </c>
      <c r="AD50" s="3">
        <v>0</v>
      </c>
      <c r="AE50" s="2">
        <v>0</v>
      </c>
      <c r="AF50" s="2">
        <v>34.200000000000003</v>
      </c>
      <c r="AK50" s="4">
        <v>19320120</v>
      </c>
      <c r="AL50" t="s">
        <v>53</v>
      </c>
    </row>
    <row r="51" spans="1:38" x14ac:dyDescent="0.25">
      <c r="A51" s="1">
        <v>45863</v>
      </c>
      <c r="B51" s="1">
        <v>45859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183</v>
      </c>
      <c r="J51" t="s">
        <v>184</v>
      </c>
      <c r="M51" t="s">
        <v>67</v>
      </c>
      <c r="O51" t="s">
        <v>90</v>
      </c>
      <c r="P51" t="s">
        <v>91</v>
      </c>
      <c r="Q51" t="s">
        <v>49</v>
      </c>
      <c r="R51" t="s">
        <v>55</v>
      </c>
      <c r="S51" s="1">
        <v>45870</v>
      </c>
      <c r="U51" t="s">
        <v>51</v>
      </c>
      <c r="X51" t="s">
        <v>52</v>
      </c>
      <c r="Y51" s="2">
        <v>74</v>
      </c>
      <c r="Z51" s="2">
        <v>74</v>
      </c>
      <c r="AA51">
        <v>6</v>
      </c>
      <c r="AB51" s="3">
        <v>0.7</v>
      </c>
      <c r="AC51" s="2">
        <v>310.8</v>
      </c>
      <c r="AD51" s="3">
        <v>0</v>
      </c>
      <c r="AE51" s="2">
        <v>0</v>
      </c>
      <c r="AF51" s="2">
        <v>310.8</v>
      </c>
      <c r="AK51" s="4">
        <v>19320120</v>
      </c>
      <c r="AL51" t="s">
        <v>53</v>
      </c>
    </row>
    <row r="52" spans="1:38" x14ac:dyDescent="0.25">
      <c r="A52" s="1">
        <v>45863</v>
      </c>
      <c r="B52" s="1">
        <v>45859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185</v>
      </c>
      <c r="J52" t="s">
        <v>186</v>
      </c>
      <c r="M52" t="s">
        <v>74</v>
      </c>
      <c r="O52" t="s">
        <v>187</v>
      </c>
      <c r="P52" t="s">
        <v>188</v>
      </c>
      <c r="Q52" t="s">
        <v>49</v>
      </c>
      <c r="R52" t="s">
        <v>55</v>
      </c>
      <c r="S52" s="1">
        <v>45854</v>
      </c>
      <c r="U52" t="s">
        <v>51</v>
      </c>
      <c r="X52" t="s">
        <v>52</v>
      </c>
      <c r="Y52" s="2">
        <v>115.98</v>
      </c>
      <c r="Z52" s="2">
        <v>115.98</v>
      </c>
      <c r="AA52">
        <v>6</v>
      </c>
      <c r="AB52" s="3">
        <v>0.7</v>
      </c>
      <c r="AC52" s="2">
        <v>487.12</v>
      </c>
      <c r="AD52" s="3">
        <v>0</v>
      </c>
      <c r="AE52" s="2">
        <v>0</v>
      </c>
      <c r="AF52" s="2">
        <v>487.12</v>
      </c>
      <c r="AK52" s="4">
        <v>19320120</v>
      </c>
      <c r="AL52" t="s">
        <v>53</v>
      </c>
    </row>
    <row r="53" spans="1:38" x14ac:dyDescent="0.25">
      <c r="A53" s="1">
        <v>45863</v>
      </c>
      <c r="B53" s="1">
        <v>45859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189</v>
      </c>
      <c r="J53" t="s">
        <v>190</v>
      </c>
      <c r="M53" t="s">
        <v>165</v>
      </c>
      <c r="O53" t="s">
        <v>191</v>
      </c>
      <c r="P53" t="s">
        <v>192</v>
      </c>
      <c r="Q53" t="s">
        <v>49</v>
      </c>
      <c r="R53" t="s">
        <v>50</v>
      </c>
      <c r="S53" s="1">
        <v>45854</v>
      </c>
      <c r="U53" t="s">
        <v>51</v>
      </c>
      <c r="X53" t="s">
        <v>52</v>
      </c>
      <c r="Y53" s="2">
        <v>49.12</v>
      </c>
      <c r="Z53" s="2">
        <v>49.12</v>
      </c>
      <c r="AA53">
        <v>6</v>
      </c>
      <c r="AB53" s="3">
        <v>0.375</v>
      </c>
      <c r="AC53" s="2">
        <v>110.52</v>
      </c>
      <c r="AD53" s="3">
        <v>0</v>
      </c>
      <c r="AE53" s="2">
        <v>0</v>
      </c>
      <c r="AF53" s="2">
        <v>110.52</v>
      </c>
      <c r="AK53" s="4">
        <v>19335100</v>
      </c>
      <c r="AL53" t="s">
        <v>53</v>
      </c>
    </row>
    <row r="54" spans="1:38" x14ac:dyDescent="0.25">
      <c r="A54" s="1">
        <v>45863</v>
      </c>
      <c r="B54" s="1">
        <v>45859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193</v>
      </c>
      <c r="J54" t="s">
        <v>194</v>
      </c>
      <c r="M54" t="s">
        <v>67</v>
      </c>
      <c r="O54" t="s">
        <v>90</v>
      </c>
      <c r="P54" t="s">
        <v>91</v>
      </c>
      <c r="Q54" t="s">
        <v>49</v>
      </c>
      <c r="R54" t="s">
        <v>55</v>
      </c>
      <c r="S54" s="1">
        <v>45901</v>
      </c>
      <c r="U54" t="s">
        <v>51</v>
      </c>
      <c r="X54" t="s">
        <v>52</v>
      </c>
      <c r="Y54" s="2">
        <v>46.46</v>
      </c>
      <c r="Z54" s="2">
        <v>46.46</v>
      </c>
      <c r="AA54">
        <v>6</v>
      </c>
      <c r="AB54" s="3">
        <v>0.7</v>
      </c>
      <c r="AC54" s="2">
        <v>195.13</v>
      </c>
      <c r="AD54" s="3">
        <v>0</v>
      </c>
      <c r="AE54" s="2">
        <v>0</v>
      </c>
      <c r="AF54" s="2">
        <v>195.13</v>
      </c>
      <c r="AK54" s="4">
        <v>19320200</v>
      </c>
      <c r="AL54" t="s">
        <v>53</v>
      </c>
    </row>
    <row r="55" spans="1:38" x14ac:dyDescent="0.25">
      <c r="A55" s="1">
        <v>45863</v>
      </c>
      <c r="B55" s="1">
        <v>45859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195</v>
      </c>
      <c r="J55" t="s">
        <v>194</v>
      </c>
      <c r="M55" t="s">
        <v>67</v>
      </c>
      <c r="O55" t="s">
        <v>90</v>
      </c>
      <c r="P55" t="s">
        <v>91</v>
      </c>
      <c r="Q55" t="s">
        <v>49</v>
      </c>
      <c r="R55" t="s">
        <v>50</v>
      </c>
      <c r="S55" s="1">
        <v>45901</v>
      </c>
      <c r="U55" t="s">
        <v>51</v>
      </c>
      <c r="X55" t="s">
        <v>52</v>
      </c>
      <c r="Y55" s="2">
        <v>53.87</v>
      </c>
      <c r="Z55" s="2">
        <v>53.87</v>
      </c>
      <c r="AA55">
        <v>6</v>
      </c>
      <c r="AB55" s="3">
        <v>0.375</v>
      </c>
      <c r="AC55" s="2">
        <v>121.21</v>
      </c>
      <c r="AD55" s="3">
        <v>0</v>
      </c>
      <c r="AE55" s="2">
        <v>0</v>
      </c>
      <c r="AF55" s="2">
        <v>121.21</v>
      </c>
      <c r="AK55" s="4">
        <v>19335150</v>
      </c>
      <c r="AL55" t="s">
        <v>53</v>
      </c>
    </row>
    <row r="56" spans="1:38" x14ac:dyDescent="0.25">
      <c r="A56" s="1">
        <v>45863</v>
      </c>
      <c r="B56" s="1">
        <v>45859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196</v>
      </c>
      <c r="J56" t="s">
        <v>197</v>
      </c>
      <c r="M56" t="s">
        <v>112</v>
      </c>
      <c r="O56" t="s">
        <v>134</v>
      </c>
      <c r="P56" t="s">
        <v>135</v>
      </c>
      <c r="Q56" t="s">
        <v>49</v>
      </c>
      <c r="R56" t="s">
        <v>55</v>
      </c>
      <c r="S56" s="1">
        <v>45870</v>
      </c>
      <c r="U56" t="s">
        <v>51</v>
      </c>
      <c r="X56" t="s">
        <v>52</v>
      </c>
      <c r="Y56" s="2">
        <v>9.1</v>
      </c>
      <c r="Z56" s="2">
        <v>9.1</v>
      </c>
      <c r="AA56">
        <v>6</v>
      </c>
      <c r="AB56" s="3">
        <v>0.7</v>
      </c>
      <c r="AC56" s="2">
        <v>38.22</v>
      </c>
      <c r="AD56" s="3">
        <v>0</v>
      </c>
      <c r="AE56" s="2">
        <v>0</v>
      </c>
      <c r="AF56" s="2">
        <v>38.22</v>
      </c>
      <c r="AK56" s="4">
        <v>19320230</v>
      </c>
      <c r="AL56" t="s">
        <v>53</v>
      </c>
    </row>
    <row r="57" spans="1:38" x14ac:dyDescent="0.25">
      <c r="A57" s="1">
        <v>45863</v>
      </c>
      <c r="B57" s="1">
        <v>45859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198</v>
      </c>
      <c r="J57" t="s">
        <v>197</v>
      </c>
      <c r="M57" t="s">
        <v>112</v>
      </c>
      <c r="O57" t="s">
        <v>134</v>
      </c>
      <c r="P57" t="s">
        <v>135</v>
      </c>
      <c r="Q57" t="s">
        <v>49</v>
      </c>
      <c r="R57" t="s">
        <v>117</v>
      </c>
      <c r="S57" s="1">
        <v>45870</v>
      </c>
      <c r="U57" t="s">
        <v>51</v>
      </c>
      <c r="X57" t="s">
        <v>52</v>
      </c>
      <c r="Y57" s="2">
        <v>96.73</v>
      </c>
      <c r="Z57" s="2">
        <v>96.73</v>
      </c>
      <c r="AA57">
        <v>6</v>
      </c>
      <c r="AB57" s="3">
        <v>0.65</v>
      </c>
      <c r="AC57" s="2">
        <v>377.25</v>
      </c>
      <c r="AD57" s="3">
        <v>0</v>
      </c>
      <c r="AE57" s="2">
        <v>0</v>
      </c>
      <c r="AF57" s="2">
        <v>377.25</v>
      </c>
      <c r="AK57" s="4">
        <v>19328560</v>
      </c>
      <c r="AL57" t="s">
        <v>53</v>
      </c>
    </row>
    <row r="58" spans="1:38" x14ac:dyDescent="0.25">
      <c r="A58" s="1">
        <v>45863</v>
      </c>
      <c r="B58" s="1">
        <v>45859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199</v>
      </c>
      <c r="J58" t="s">
        <v>200</v>
      </c>
      <c r="M58" t="s">
        <v>67</v>
      </c>
      <c r="O58" t="s">
        <v>201</v>
      </c>
      <c r="P58" t="s">
        <v>202</v>
      </c>
      <c r="Q58" t="s">
        <v>49</v>
      </c>
      <c r="R58" t="s">
        <v>50</v>
      </c>
      <c r="S58" s="1">
        <v>45855</v>
      </c>
      <c r="U58" t="s">
        <v>51</v>
      </c>
      <c r="X58" t="s">
        <v>52</v>
      </c>
      <c r="Y58" s="2">
        <v>149.87</v>
      </c>
      <c r="Z58" s="2">
        <v>149.87</v>
      </c>
      <c r="AA58">
        <v>6</v>
      </c>
      <c r="AB58" s="3">
        <v>0.375</v>
      </c>
      <c r="AC58" s="2">
        <v>337.21</v>
      </c>
      <c r="AD58" s="3">
        <v>0</v>
      </c>
      <c r="AE58" s="2">
        <v>0</v>
      </c>
      <c r="AF58" s="2">
        <v>337.21</v>
      </c>
      <c r="AK58" s="4">
        <v>19335190</v>
      </c>
      <c r="AL58" t="s">
        <v>53</v>
      </c>
    </row>
    <row r="59" spans="1:38" x14ac:dyDescent="0.25">
      <c r="A59" s="1">
        <v>45863</v>
      </c>
      <c r="B59" s="1">
        <v>45859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203</v>
      </c>
      <c r="J59" t="s">
        <v>200</v>
      </c>
      <c r="M59" t="s">
        <v>67</v>
      </c>
      <c r="O59" t="s">
        <v>201</v>
      </c>
      <c r="P59" t="s">
        <v>202</v>
      </c>
      <c r="Q59" t="s">
        <v>49</v>
      </c>
      <c r="R59" t="s">
        <v>55</v>
      </c>
      <c r="S59" s="1">
        <v>45855</v>
      </c>
      <c r="U59" t="s">
        <v>51</v>
      </c>
      <c r="X59" t="s">
        <v>52</v>
      </c>
      <c r="Y59" s="2">
        <v>15.75</v>
      </c>
      <c r="Z59" s="2">
        <v>15.75</v>
      </c>
      <c r="AA59">
        <v>6</v>
      </c>
      <c r="AB59" s="3">
        <v>0.7</v>
      </c>
      <c r="AC59" s="2">
        <v>66.150000000000006</v>
      </c>
      <c r="AD59" s="3">
        <v>0</v>
      </c>
      <c r="AE59" s="2">
        <v>0</v>
      </c>
      <c r="AF59" s="2">
        <v>66.150000000000006</v>
      </c>
      <c r="AK59" s="4">
        <v>19320230</v>
      </c>
      <c r="AL59" t="s">
        <v>53</v>
      </c>
    </row>
    <row r="60" spans="1:38" x14ac:dyDescent="0.25">
      <c r="A60" s="1">
        <v>45863</v>
      </c>
      <c r="B60" s="1">
        <v>45859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204</v>
      </c>
      <c r="J60" t="s">
        <v>205</v>
      </c>
      <c r="M60" t="s">
        <v>58</v>
      </c>
      <c r="O60" t="s">
        <v>206</v>
      </c>
      <c r="P60" t="s">
        <v>207</v>
      </c>
      <c r="Q60" t="s">
        <v>49</v>
      </c>
      <c r="R60" t="s">
        <v>50</v>
      </c>
      <c r="S60" s="1">
        <v>45855</v>
      </c>
      <c r="U60" t="s">
        <v>51</v>
      </c>
      <c r="X60" t="s">
        <v>52</v>
      </c>
      <c r="Y60" s="2">
        <v>50.3</v>
      </c>
      <c r="Z60" s="2">
        <v>50.3</v>
      </c>
      <c r="AA60">
        <v>6</v>
      </c>
      <c r="AB60" s="3">
        <v>0.375</v>
      </c>
      <c r="AC60" s="2">
        <v>113.18</v>
      </c>
      <c r="AD60" s="3">
        <v>0</v>
      </c>
      <c r="AE60" s="2">
        <v>0</v>
      </c>
      <c r="AF60" s="2">
        <v>113.18</v>
      </c>
      <c r="AK60" s="4">
        <v>19335240</v>
      </c>
      <c r="AL60" t="s">
        <v>53</v>
      </c>
    </row>
    <row r="61" spans="1:38" x14ac:dyDescent="0.25">
      <c r="A61" s="1">
        <v>45863</v>
      </c>
      <c r="B61" s="1">
        <v>45859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208</v>
      </c>
      <c r="J61" t="s">
        <v>205</v>
      </c>
      <c r="M61" t="s">
        <v>58</v>
      </c>
      <c r="O61" t="s">
        <v>206</v>
      </c>
      <c r="P61" t="s">
        <v>207</v>
      </c>
      <c r="Q61" t="s">
        <v>49</v>
      </c>
      <c r="R61" t="s">
        <v>55</v>
      </c>
      <c r="S61" s="1">
        <v>45855</v>
      </c>
      <c r="U61" t="s">
        <v>51</v>
      </c>
      <c r="X61" t="s">
        <v>52</v>
      </c>
      <c r="Y61" s="2">
        <v>13</v>
      </c>
      <c r="Z61" s="2">
        <v>13</v>
      </c>
      <c r="AA61">
        <v>6</v>
      </c>
      <c r="AB61" s="3">
        <v>0.7</v>
      </c>
      <c r="AC61" s="2">
        <v>54.6</v>
      </c>
      <c r="AD61" s="3">
        <v>0</v>
      </c>
      <c r="AE61" s="2">
        <v>0</v>
      </c>
      <c r="AF61" s="2">
        <v>54.6</v>
      </c>
      <c r="AK61" s="4">
        <v>19320280</v>
      </c>
      <c r="AL61" t="s">
        <v>53</v>
      </c>
    </row>
    <row r="62" spans="1:38" x14ac:dyDescent="0.25">
      <c r="A62" s="1">
        <v>45863</v>
      </c>
      <c r="B62" s="1">
        <v>45859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209</v>
      </c>
      <c r="J62" t="s">
        <v>210</v>
      </c>
      <c r="M62" t="s">
        <v>211</v>
      </c>
      <c r="O62" t="s">
        <v>99</v>
      </c>
      <c r="P62" t="s">
        <v>100</v>
      </c>
      <c r="Q62" t="s">
        <v>49</v>
      </c>
      <c r="R62" t="s">
        <v>55</v>
      </c>
      <c r="S62" s="1">
        <v>45855</v>
      </c>
      <c r="U62" t="s">
        <v>51</v>
      </c>
      <c r="X62" t="s">
        <v>52</v>
      </c>
      <c r="Y62" s="2">
        <v>28.45</v>
      </c>
      <c r="Z62" s="2">
        <v>28.45</v>
      </c>
      <c r="AA62">
        <v>6</v>
      </c>
      <c r="AB62" s="3">
        <v>0.7</v>
      </c>
      <c r="AC62" s="2">
        <v>119.49</v>
      </c>
      <c r="AD62" s="3">
        <v>0</v>
      </c>
      <c r="AE62" s="2">
        <v>0</v>
      </c>
      <c r="AF62" s="2">
        <v>119.49</v>
      </c>
      <c r="AK62" s="4">
        <v>19320330</v>
      </c>
      <c r="AL62" t="s">
        <v>53</v>
      </c>
    </row>
    <row r="63" spans="1:38" x14ac:dyDescent="0.25">
      <c r="A63" s="1">
        <v>45863</v>
      </c>
      <c r="B63" s="1">
        <v>45859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212</v>
      </c>
      <c r="J63" t="s">
        <v>213</v>
      </c>
      <c r="M63" t="s">
        <v>79</v>
      </c>
      <c r="O63" t="s">
        <v>214</v>
      </c>
      <c r="P63" t="s">
        <v>215</v>
      </c>
      <c r="Q63" t="s">
        <v>49</v>
      </c>
      <c r="R63" t="s">
        <v>216</v>
      </c>
      <c r="S63" s="1">
        <v>45855</v>
      </c>
      <c r="U63" t="s">
        <v>51</v>
      </c>
      <c r="X63" t="s">
        <v>217</v>
      </c>
      <c r="Y63" s="2">
        <v>154.38</v>
      </c>
      <c r="Z63" s="2">
        <v>154.38</v>
      </c>
      <c r="AA63">
        <v>3</v>
      </c>
      <c r="AB63" s="3">
        <v>0.28999999999999998</v>
      </c>
      <c r="AC63" s="2">
        <v>134.31</v>
      </c>
      <c r="AD63" s="3">
        <v>0</v>
      </c>
      <c r="AE63" s="2">
        <v>0</v>
      </c>
      <c r="AF63" s="2">
        <v>134.31</v>
      </c>
      <c r="AK63" s="4">
        <v>19340580</v>
      </c>
      <c r="AL63" t="s">
        <v>53</v>
      </c>
    </row>
    <row r="64" spans="1:38" x14ac:dyDescent="0.25">
      <c r="A64" s="1">
        <v>45863</v>
      </c>
      <c r="B64" s="1">
        <v>45859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218</v>
      </c>
      <c r="J64" t="s">
        <v>213</v>
      </c>
      <c r="M64" t="s">
        <v>79</v>
      </c>
      <c r="O64" t="s">
        <v>214</v>
      </c>
      <c r="P64" t="s">
        <v>215</v>
      </c>
      <c r="Q64" t="s">
        <v>49</v>
      </c>
      <c r="R64" t="s">
        <v>156</v>
      </c>
      <c r="S64" s="1">
        <v>45855</v>
      </c>
      <c r="U64" t="s">
        <v>51</v>
      </c>
      <c r="X64" t="s">
        <v>52</v>
      </c>
      <c r="Y64" s="2">
        <v>25.73</v>
      </c>
      <c r="Z64" s="2">
        <v>25.73</v>
      </c>
      <c r="AA64">
        <v>6</v>
      </c>
      <c r="AB64" s="3">
        <v>0.7</v>
      </c>
      <c r="AC64" s="2">
        <v>108.07</v>
      </c>
      <c r="AD64" s="3">
        <v>0</v>
      </c>
      <c r="AE64" s="2">
        <v>0</v>
      </c>
      <c r="AF64" s="2">
        <v>108.07</v>
      </c>
      <c r="AK64" s="4">
        <v>19312150</v>
      </c>
      <c r="AL64" t="s">
        <v>53</v>
      </c>
    </row>
    <row r="65" spans="1:38" x14ac:dyDescent="0.25">
      <c r="A65" s="1">
        <v>45863</v>
      </c>
      <c r="B65" s="1">
        <v>45859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219</v>
      </c>
      <c r="J65" t="s">
        <v>213</v>
      </c>
      <c r="M65" t="s">
        <v>79</v>
      </c>
      <c r="O65" t="s">
        <v>214</v>
      </c>
      <c r="P65" t="s">
        <v>215</v>
      </c>
      <c r="Q65" t="s">
        <v>49</v>
      </c>
      <c r="R65" t="s">
        <v>220</v>
      </c>
      <c r="S65" s="1">
        <v>45855</v>
      </c>
      <c r="U65" t="s">
        <v>51</v>
      </c>
      <c r="X65" t="s">
        <v>217</v>
      </c>
      <c r="Y65" s="2">
        <v>15</v>
      </c>
      <c r="Z65" s="2">
        <v>15</v>
      </c>
      <c r="AA65">
        <v>3</v>
      </c>
      <c r="AB65" s="3">
        <v>0.28999999999999998</v>
      </c>
      <c r="AC65" s="2">
        <v>13.05</v>
      </c>
      <c r="AD65" s="3">
        <v>0</v>
      </c>
      <c r="AE65" s="2">
        <v>0</v>
      </c>
      <c r="AF65" s="2">
        <v>13.05</v>
      </c>
      <c r="AK65" s="4">
        <v>19326200</v>
      </c>
      <c r="AL65" t="s">
        <v>53</v>
      </c>
    </row>
    <row r="66" spans="1:38" x14ac:dyDescent="0.25">
      <c r="A66" s="1">
        <v>45863</v>
      </c>
      <c r="B66" s="1">
        <v>45859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221</v>
      </c>
      <c r="J66" t="s">
        <v>222</v>
      </c>
      <c r="M66" t="s">
        <v>67</v>
      </c>
      <c r="O66" t="s">
        <v>223</v>
      </c>
      <c r="P66" t="s">
        <v>224</v>
      </c>
      <c r="Q66" t="s">
        <v>49</v>
      </c>
      <c r="R66" t="s">
        <v>225</v>
      </c>
      <c r="S66" s="1">
        <v>45856</v>
      </c>
      <c r="U66" t="s">
        <v>51</v>
      </c>
      <c r="X66" t="s">
        <v>52</v>
      </c>
      <c r="Y66" s="2">
        <v>284.87</v>
      </c>
      <c r="Z66" s="2">
        <v>284.87</v>
      </c>
      <c r="AA66">
        <v>6</v>
      </c>
      <c r="AB66" s="3">
        <v>0.38</v>
      </c>
      <c r="AC66" s="2">
        <v>649.5</v>
      </c>
      <c r="AD66" s="3">
        <v>0</v>
      </c>
      <c r="AE66" s="2">
        <v>0</v>
      </c>
      <c r="AF66" s="2">
        <v>649.5</v>
      </c>
      <c r="AK66" s="4">
        <v>19320410</v>
      </c>
      <c r="AL66" t="s">
        <v>53</v>
      </c>
    </row>
    <row r="67" spans="1:38" x14ac:dyDescent="0.25">
      <c r="A67" s="1">
        <v>45863</v>
      </c>
      <c r="B67" s="1">
        <v>45859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226</v>
      </c>
      <c r="J67" t="s">
        <v>222</v>
      </c>
      <c r="M67" t="s">
        <v>67</v>
      </c>
      <c r="O67" t="s">
        <v>223</v>
      </c>
      <c r="P67" t="s">
        <v>224</v>
      </c>
      <c r="Q67" t="s">
        <v>49</v>
      </c>
      <c r="R67" t="s">
        <v>227</v>
      </c>
      <c r="S67" s="1">
        <v>45856</v>
      </c>
      <c r="U67" t="s">
        <v>51</v>
      </c>
      <c r="X67" t="s">
        <v>52</v>
      </c>
      <c r="Y67" s="2">
        <v>7.09</v>
      </c>
      <c r="Z67" s="2">
        <v>7.09</v>
      </c>
      <c r="AA67">
        <v>6</v>
      </c>
      <c r="AB67" s="3">
        <v>0.38</v>
      </c>
      <c r="AC67" s="2">
        <v>16.170000000000002</v>
      </c>
      <c r="AD67" s="3">
        <v>0</v>
      </c>
      <c r="AE67" s="2">
        <v>0</v>
      </c>
      <c r="AF67" s="2">
        <v>16.170000000000002</v>
      </c>
      <c r="AK67" s="4">
        <v>19336020</v>
      </c>
      <c r="AL67" t="s">
        <v>53</v>
      </c>
    </row>
    <row r="68" spans="1:38" x14ac:dyDescent="0.25">
      <c r="A68" s="1">
        <v>45863</v>
      </c>
      <c r="B68" s="1">
        <v>45859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228</v>
      </c>
      <c r="J68" t="s">
        <v>222</v>
      </c>
      <c r="M68" t="s">
        <v>67</v>
      </c>
      <c r="O68" t="s">
        <v>223</v>
      </c>
      <c r="P68" t="s">
        <v>224</v>
      </c>
      <c r="Q68" t="s">
        <v>49</v>
      </c>
      <c r="R68" t="s">
        <v>229</v>
      </c>
      <c r="S68" s="1">
        <v>45856</v>
      </c>
      <c r="U68" t="s">
        <v>51</v>
      </c>
      <c r="X68" t="s">
        <v>230</v>
      </c>
      <c r="Y68" s="2">
        <v>15</v>
      </c>
      <c r="Z68" s="2">
        <v>15</v>
      </c>
      <c r="AA68">
        <v>6</v>
      </c>
      <c r="AB68" s="3">
        <v>0.38</v>
      </c>
      <c r="AC68" s="2">
        <v>34.200000000000003</v>
      </c>
      <c r="AD68" s="3">
        <v>0</v>
      </c>
      <c r="AE68" s="2">
        <v>0</v>
      </c>
      <c r="AF68" s="2">
        <v>34.200000000000003</v>
      </c>
      <c r="AK68" s="4">
        <v>19326230</v>
      </c>
      <c r="AL68" t="s">
        <v>53</v>
      </c>
    </row>
    <row r="69" spans="1:38" x14ac:dyDescent="0.25">
      <c r="A69" s="1">
        <v>45863</v>
      </c>
      <c r="B69" s="1">
        <v>45859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231</v>
      </c>
      <c r="J69" t="s">
        <v>232</v>
      </c>
      <c r="M69" t="s">
        <v>46</v>
      </c>
      <c r="O69" t="s">
        <v>103</v>
      </c>
      <c r="P69" t="s">
        <v>104</v>
      </c>
      <c r="Q69" t="s">
        <v>49</v>
      </c>
      <c r="R69" t="s">
        <v>71</v>
      </c>
      <c r="S69" s="1">
        <v>45856</v>
      </c>
      <c r="U69" t="s">
        <v>51</v>
      </c>
      <c r="X69" t="s">
        <v>52</v>
      </c>
      <c r="Y69" s="2">
        <v>66.73</v>
      </c>
      <c r="Z69" s="2">
        <v>66.73</v>
      </c>
      <c r="AA69">
        <v>6</v>
      </c>
      <c r="AB69" s="3">
        <v>0.75</v>
      </c>
      <c r="AC69" s="2">
        <v>300.29000000000002</v>
      </c>
      <c r="AD69" s="3">
        <v>0</v>
      </c>
      <c r="AE69" s="2">
        <v>0</v>
      </c>
      <c r="AF69" s="2">
        <v>300.29000000000002</v>
      </c>
      <c r="AK69" s="4">
        <v>19328590</v>
      </c>
      <c r="AL69" t="s">
        <v>53</v>
      </c>
    </row>
    <row r="70" spans="1:38" x14ac:dyDescent="0.25">
      <c r="A70" s="1">
        <v>45863</v>
      </c>
      <c r="B70" s="1">
        <v>45859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233</v>
      </c>
      <c r="J70" t="s">
        <v>232</v>
      </c>
      <c r="M70" t="s">
        <v>46</v>
      </c>
      <c r="O70" t="s">
        <v>103</v>
      </c>
      <c r="P70" t="s">
        <v>104</v>
      </c>
      <c r="Q70" t="s">
        <v>49</v>
      </c>
      <c r="R70" t="s">
        <v>55</v>
      </c>
      <c r="S70" s="1">
        <v>45856</v>
      </c>
      <c r="U70" t="s">
        <v>51</v>
      </c>
      <c r="X70" t="s">
        <v>52</v>
      </c>
      <c r="Y70" s="2">
        <v>31.28</v>
      </c>
      <c r="Z70" s="2">
        <v>31.28</v>
      </c>
      <c r="AA70">
        <v>6</v>
      </c>
      <c r="AB70" s="3">
        <v>0.7</v>
      </c>
      <c r="AC70" s="2">
        <v>131.38</v>
      </c>
      <c r="AD70" s="3">
        <v>0</v>
      </c>
      <c r="AE70" s="2">
        <v>0</v>
      </c>
      <c r="AF70" s="2">
        <v>131.38</v>
      </c>
      <c r="AK70" s="4">
        <v>19320430</v>
      </c>
      <c r="AL70" t="s">
        <v>53</v>
      </c>
    </row>
    <row r="71" spans="1:38" x14ac:dyDescent="0.25">
      <c r="A71" s="1">
        <v>45863</v>
      </c>
      <c r="B71" s="1">
        <v>45859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234</v>
      </c>
      <c r="J71" t="s">
        <v>235</v>
      </c>
      <c r="M71" t="s">
        <v>67</v>
      </c>
      <c r="O71" t="s">
        <v>128</v>
      </c>
      <c r="P71" t="s">
        <v>129</v>
      </c>
      <c r="Q71" t="s">
        <v>49</v>
      </c>
      <c r="R71" t="s">
        <v>236</v>
      </c>
      <c r="S71" s="1">
        <v>45856</v>
      </c>
      <c r="U71" t="s">
        <v>51</v>
      </c>
      <c r="X71" t="s">
        <v>52</v>
      </c>
      <c r="Y71" s="2">
        <v>58.46</v>
      </c>
      <c r="Z71" s="2">
        <v>58.46</v>
      </c>
      <c r="AA71">
        <v>6</v>
      </c>
      <c r="AB71" s="3">
        <v>0.9</v>
      </c>
      <c r="AC71" s="2">
        <v>315.68</v>
      </c>
      <c r="AD71" s="3">
        <v>0</v>
      </c>
      <c r="AE71" s="2">
        <v>0</v>
      </c>
      <c r="AF71" s="2">
        <v>315.68</v>
      </c>
      <c r="AK71" s="4">
        <v>19338760</v>
      </c>
      <c r="AL71" t="s">
        <v>53</v>
      </c>
    </row>
    <row r="72" spans="1:38" x14ac:dyDescent="0.25">
      <c r="A72" s="1">
        <v>45863</v>
      </c>
      <c r="B72" s="1">
        <v>45859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237</v>
      </c>
      <c r="J72" t="s">
        <v>238</v>
      </c>
      <c r="M72" t="s">
        <v>67</v>
      </c>
      <c r="O72" t="s">
        <v>139</v>
      </c>
      <c r="P72" t="s">
        <v>140</v>
      </c>
      <c r="Q72" t="s">
        <v>49</v>
      </c>
      <c r="R72" t="s">
        <v>55</v>
      </c>
      <c r="S72" s="1">
        <v>45856</v>
      </c>
      <c r="U72" t="s">
        <v>51</v>
      </c>
      <c r="X72" t="s">
        <v>52</v>
      </c>
      <c r="Y72" s="2">
        <v>60.25</v>
      </c>
      <c r="Z72" s="2">
        <v>60.25</v>
      </c>
      <c r="AA72">
        <v>6</v>
      </c>
      <c r="AB72" s="3">
        <v>0.7</v>
      </c>
      <c r="AC72" s="2">
        <v>253.05</v>
      </c>
      <c r="AD72" s="3">
        <v>0</v>
      </c>
      <c r="AE72" s="2">
        <v>0</v>
      </c>
      <c r="AF72" s="2">
        <v>253.05</v>
      </c>
      <c r="AK72" s="4">
        <v>19320470</v>
      </c>
      <c r="AL72" t="s">
        <v>53</v>
      </c>
    </row>
    <row r="73" spans="1:38" x14ac:dyDescent="0.25">
      <c r="A73" s="1">
        <v>45863</v>
      </c>
      <c r="B73" s="1">
        <v>45859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239</v>
      </c>
      <c r="J73" t="s">
        <v>240</v>
      </c>
      <c r="M73" t="s">
        <v>122</v>
      </c>
      <c r="O73" t="s">
        <v>123</v>
      </c>
      <c r="P73" t="s">
        <v>124</v>
      </c>
      <c r="Q73" t="s">
        <v>49</v>
      </c>
      <c r="R73" t="s">
        <v>55</v>
      </c>
      <c r="S73" s="1">
        <v>45870</v>
      </c>
      <c r="U73" t="s">
        <v>51</v>
      </c>
      <c r="X73" t="s">
        <v>52</v>
      </c>
      <c r="Y73" s="2">
        <v>3.52</v>
      </c>
      <c r="Z73" s="2">
        <v>3.52</v>
      </c>
      <c r="AA73">
        <v>6</v>
      </c>
      <c r="AB73" s="3">
        <v>0.7</v>
      </c>
      <c r="AC73" s="2">
        <v>14.78</v>
      </c>
      <c r="AD73" s="3">
        <v>0</v>
      </c>
      <c r="AE73" s="2">
        <v>0</v>
      </c>
      <c r="AF73" s="2">
        <v>14.78</v>
      </c>
      <c r="AK73" s="4">
        <v>19320470</v>
      </c>
      <c r="AL73" t="s">
        <v>53</v>
      </c>
    </row>
    <row r="74" spans="1:38" x14ac:dyDescent="0.25">
      <c r="A74" s="1">
        <v>45863</v>
      </c>
      <c r="B74" s="1">
        <v>45859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241</v>
      </c>
      <c r="J74" t="s">
        <v>240</v>
      </c>
      <c r="M74" t="s">
        <v>122</v>
      </c>
      <c r="O74" t="s">
        <v>123</v>
      </c>
      <c r="P74" t="s">
        <v>124</v>
      </c>
      <c r="Q74" t="s">
        <v>49</v>
      </c>
      <c r="R74" t="s">
        <v>86</v>
      </c>
      <c r="S74" s="1">
        <v>45870</v>
      </c>
      <c r="U74" t="s">
        <v>51</v>
      </c>
      <c r="X74" t="s">
        <v>52</v>
      </c>
      <c r="Y74" s="2">
        <v>58.63</v>
      </c>
      <c r="Z74" s="2">
        <v>58.63</v>
      </c>
      <c r="AA74">
        <v>6</v>
      </c>
      <c r="AB74" s="3">
        <v>0.9</v>
      </c>
      <c r="AC74" s="2">
        <v>316.60000000000002</v>
      </c>
      <c r="AD74" s="3">
        <v>0</v>
      </c>
      <c r="AE74" s="2">
        <v>0</v>
      </c>
      <c r="AF74" s="2">
        <v>316.60000000000002</v>
      </c>
      <c r="AK74" s="4">
        <v>19328610</v>
      </c>
      <c r="AL74" t="s">
        <v>53</v>
      </c>
    </row>
    <row r="75" spans="1:38" x14ac:dyDescent="0.25">
      <c r="A75" s="1">
        <v>45863</v>
      </c>
      <c r="B75" s="1">
        <v>45859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242</v>
      </c>
      <c r="J75" t="s">
        <v>240</v>
      </c>
      <c r="M75" t="s">
        <v>122</v>
      </c>
      <c r="O75" t="s">
        <v>123</v>
      </c>
      <c r="P75" t="s">
        <v>124</v>
      </c>
      <c r="Q75" t="s">
        <v>49</v>
      </c>
      <c r="R75" t="s">
        <v>50</v>
      </c>
      <c r="S75" s="1">
        <v>45870</v>
      </c>
      <c r="U75" t="s">
        <v>51</v>
      </c>
      <c r="X75" t="s">
        <v>52</v>
      </c>
      <c r="Y75" s="2">
        <v>58.15</v>
      </c>
      <c r="Z75" s="2">
        <v>58.15</v>
      </c>
      <c r="AA75">
        <v>6</v>
      </c>
      <c r="AB75" s="3">
        <v>0.375</v>
      </c>
      <c r="AC75" s="2">
        <v>130.84</v>
      </c>
      <c r="AD75" s="3">
        <v>0</v>
      </c>
      <c r="AE75" s="2">
        <v>0</v>
      </c>
      <c r="AF75" s="2">
        <v>130.84</v>
      </c>
      <c r="AK75" s="4">
        <v>19335480</v>
      </c>
      <c r="AL75" t="s">
        <v>53</v>
      </c>
    </row>
    <row r="76" spans="1:38" x14ac:dyDescent="0.25">
      <c r="A76" s="1">
        <v>45863</v>
      </c>
      <c r="B76" s="1">
        <v>45859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243</v>
      </c>
      <c r="J76" t="s">
        <v>140</v>
      </c>
      <c r="M76" t="s">
        <v>67</v>
      </c>
      <c r="O76" t="s">
        <v>139</v>
      </c>
      <c r="P76" t="s">
        <v>140</v>
      </c>
      <c r="Q76" t="s">
        <v>49</v>
      </c>
      <c r="R76" t="s">
        <v>55</v>
      </c>
      <c r="S76" s="1">
        <v>45856</v>
      </c>
      <c r="U76" t="s">
        <v>51</v>
      </c>
      <c r="X76" t="s">
        <v>52</v>
      </c>
      <c r="Y76" s="2">
        <v>51</v>
      </c>
      <c r="Z76" s="2">
        <v>51</v>
      </c>
      <c r="AA76">
        <v>6</v>
      </c>
      <c r="AB76" s="3">
        <v>0.7</v>
      </c>
      <c r="AC76" s="2">
        <v>214.2</v>
      </c>
      <c r="AD76" s="3">
        <v>0</v>
      </c>
      <c r="AE76" s="2">
        <v>0</v>
      </c>
      <c r="AF76" s="2">
        <v>214.2</v>
      </c>
      <c r="AK76" s="4">
        <v>19320480</v>
      </c>
      <c r="AL76" t="s">
        <v>53</v>
      </c>
    </row>
    <row r="77" spans="1:38" x14ac:dyDescent="0.25">
      <c r="A77" s="1">
        <v>45863</v>
      </c>
      <c r="B77" s="1">
        <v>45859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244</v>
      </c>
      <c r="J77" t="s">
        <v>245</v>
      </c>
      <c r="M77" t="s">
        <v>67</v>
      </c>
      <c r="O77" t="s">
        <v>139</v>
      </c>
      <c r="P77" t="s">
        <v>140</v>
      </c>
      <c r="Q77" t="s">
        <v>49</v>
      </c>
      <c r="R77" t="s">
        <v>55</v>
      </c>
      <c r="S77" s="1">
        <v>45856</v>
      </c>
      <c r="U77" t="s">
        <v>51</v>
      </c>
      <c r="X77" t="s">
        <v>52</v>
      </c>
      <c r="Y77" s="2">
        <v>34</v>
      </c>
      <c r="Z77" s="2">
        <v>34</v>
      </c>
      <c r="AA77">
        <v>6</v>
      </c>
      <c r="AB77" s="3">
        <v>0.7</v>
      </c>
      <c r="AC77" s="2">
        <v>142.80000000000001</v>
      </c>
      <c r="AD77" s="3">
        <v>0</v>
      </c>
      <c r="AE77" s="2">
        <v>0</v>
      </c>
      <c r="AF77" s="2">
        <v>142.80000000000001</v>
      </c>
      <c r="AK77" s="4">
        <v>19320480</v>
      </c>
      <c r="AL77" t="s">
        <v>53</v>
      </c>
    </row>
    <row r="78" spans="1:38" x14ac:dyDescent="0.25">
      <c r="A78" s="1">
        <v>45863</v>
      </c>
      <c r="B78" s="1">
        <v>45859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246</v>
      </c>
      <c r="J78" t="s">
        <v>129</v>
      </c>
      <c r="M78" t="s">
        <v>67</v>
      </c>
      <c r="O78" t="s">
        <v>128</v>
      </c>
      <c r="P78" t="s">
        <v>129</v>
      </c>
      <c r="Q78" t="s">
        <v>49</v>
      </c>
      <c r="R78" t="s">
        <v>55</v>
      </c>
      <c r="S78" s="1">
        <v>45856</v>
      </c>
      <c r="U78" t="s">
        <v>51</v>
      </c>
      <c r="X78" t="s">
        <v>52</v>
      </c>
      <c r="Y78" s="2">
        <v>56.5</v>
      </c>
      <c r="Z78" s="2">
        <v>56.5</v>
      </c>
      <c r="AA78">
        <v>6</v>
      </c>
      <c r="AB78" s="3">
        <v>0.7</v>
      </c>
      <c r="AC78" s="2">
        <v>237.3</v>
      </c>
      <c r="AD78" s="3">
        <v>0</v>
      </c>
      <c r="AE78" s="2">
        <v>0</v>
      </c>
      <c r="AF78" s="2">
        <v>237.3</v>
      </c>
      <c r="AK78" s="4">
        <v>19320480</v>
      </c>
      <c r="AL78" t="s">
        <v>53</v>
      </c>
    </row>
    <row r="79" spans="1:38" x14ac:dyDescent="0.25">
      <c r="A79" s="1">
        <v>45863</v>
      </c>
      <c r="B79" s="1">
        <v>45859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247</v>
      </c>
      <c r="J79" t="s">
        <v>248</v>
      </c>
      <c r="M79" t="s">
        <v>67</v>
      </c>
      <c r="O79" t="s">
        <v>223</v>
      </c>
      <c r="P79" t="s">
        <v>224</v>
      </c>
      <c r="Q79" t="s">
        <v>49</v>
      </c>
      <c r="R79" t="s">
        <v>249</v>
      </c>
      <c r="S79" s="1">
        <v>45857</v>
      </c>
      <c r="U79" t="s">
        <v>51</v>
      </c>
      <c r="X79" t="s">
        <v>52</v>
      </c>
      <c r="Y79" s="2">
        <v>316.91000000000003</v>
      </c>
      <c r="Z79" s="2">
        <v>316.91000000000003</v>
      </c>
      <c r="AA79">
        <v>6</v>
      </c>
      <c r="AB79" s="3">
        <v>0.19</v>
      </c>
      <c r="AC79" s="2">
        <v>361.28</v>
      </c>
      <c r="AD79" s="3">
        <v>0</v>
      </c>
      <c r="AE79" s="2">
        <v>0</v>
      </c>
      <c r="AF79" s="2">
        <v>361.28</v>
      </c>
      <c r="AK79" s="4">
        <v>19320500</v>
      </c>
      <c r="AL79" t="s">
        <v>53</v>
      </c>
    </row>
    <row r="80" spans="1:38" x14ac:dyDescent="0.25">
      <c r="A80" s="1">
        <v>45863</v>
      </c>
      <c r="B80" s="1">
        <v>45859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250</v>
      </c>
      <c r="J80" t="s">
        <v>248</v>
      </c>
      <c r="M80" t="s">
        <v>67</v>
      </c>
      <c r="O80" t="s">
        <v>223</v>
      </c>
      <c r="P80" t="s">
        <v>224</v>
      </c>
      <c r="Q80" t="s">
        <v>49</v>
      </c>
      <c r="R80" t="s">
        <v>55</v>
      </c>
      <c r="S80" s="1">
        <v>45857</v>
      </c>
      <c r="U80" t="s">
        <v>51</v>
      </c>
      <c r="X80" t="s">
        <v>52</v>
      </c>
      <c r="Y80" s="2">
        <v>198.36</v>
      </c>
      <c r="Z80" s="2">
        <v>198.36</v>
      </c>
      <c r="AA80">
        <v>6</v>
      </c>
      <c r="AB80" s="3">
        <v>0.7</v>
      </c>
      <c r="AC80" s="2">
        <v>833.11</v>
      </c>
      <c r="AD80" s="3">
        <v>0</v>
      </c>
      <c r="AE80" s="2">
        <v>0</v>
      </c>
      <c r="AF80" s="2">
        <v>833.11</v>
      </c>
      <c r="AK80" s="4">
        <v>19320500</v>
      </c>
      <c r="AL80" t="s">
        <v>53</v>
      </c>
    </row>
    <row r="81" spans="1:38" x14ac:dyDescent="0.25">
      <c r="A81" s="1">
        <v>45863</v>
      </c>
      <c r="B81" s="1">
        <v>45859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251</v>
      </c>
      <c r="J81" t="s">
        <v>248</v>
      </c>
      <c r="M81" t="s">
        <v>67</v>
      </c>
      <c r="O81" t="s">
        <v>223</v>
      </c>
      <c r="P81" t="s">
        <v>224</v>
      </c>
      <c r="Q81" t="s">
        <v>49</v>
      </c>
      <c r="R81" t="s">
        <v>252</v>
      </c>
      <c r="S81" s="1">
        <v>45857</v>
      </c>
      <c r="U81" t="s">
        <v>51</v>
      </c>
      <c r="X81" t="s">
        <v>230</v>
      </c>
      <c r="Y81" s="2">
        <v>15</v>
      </c>
      <c r="Z81" s="2">
        <v>15</v>
      </c>
      <c r="AA81">
        <v>6</v>
      </c>
      <c r="AB81" s="3">
        <v>0.19</v>
      </c>
      <c r="AC81" s="2">
        <v>17.100000000000001</v>
      </c>
      <c r="AD81" s="3">
        <v>0</v>
      </c>
      <c r="AE81" s="2">
        <v>0</v>
      </c>
      <c r="AF81" s="2">
        <v>17.100000000000001</v>
      </c>
      <c r="AK81" s="4">
        <v>19326280</v>
      </c>
      <c r="AL81" t="s">
        <v>53</v>
      </c>
    </row>
    <row r="82" spans="1:38" x14ac:dyDescent="0.25">
      <c r="A82" s="1">
        <v>45863</v>
      </c>
      <c r="B82" s="1">
        <v>45859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253</v>
      </c>
      <c r="J82" t="s">
        <v>254</v>
      </c>
      <c r="M82" t="s">
        <v>67</v>
      </c>
      <c r="O82" t="s">
        <v>143</v>
      </c>
      <c r="P82" t="s">
        <v>144</v>
      </c>
      <c r="Q82" t="s">
        <v>49</v>
      </c>
      <c r="R82" t="s">
        <v>227</v>
      </c>
      <c r="S82" s="1">
        <v>45857</v>
      </c>
      <c r="U82" t="s">
        <v>51</v>
      </c>
      <c r="X82" t="s">
        <v>52</v>
      </c>
      <c r="Y82" s="2">
        <v>7.09</v>
      </c>
      <c r="Z82" s="2">
        <v>7.09</v>
      </c>
      <c r="AA82">
        <v>6</v>
      </c>
      <c r="AB82" s="3">
        <v>0.38</v>
      </c>
      <c r="AC82" s="2">
        <v>16.170000000000002</v>
      </c>
      <c r="AD82" s="3">
        <v>0</v>
      </c>
      <c r="AE82" s="2">
        <v>0</v>
      </c>
      <c r="AF82" s="2">
        <v>16.170000000000002</v>
      </c>
      <c r="AK82" s="4">
        <v>19336040</v>
      </c>
      <c r="AL82" t="s">
        <v>53</v>
      </c>
    </row>
    <row r="83" spans="1:38" x14ac:dyDescent="0.25">
      <c r="A83" s="1">
        <v>45863</v>
      </c>
      <c r="B83" s="1">
        <v>45859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255</v>
      </c>
      <c r="J83" t="s">
        <v>254</v>
      </c>
      <c r="M83" t="s">
        <v>67</v>
      </c>
      <c r="O83" t="s">
        <v>143</v>
      </c>
      <c r="P83" t="s">
        <v>144</v>
      </c>
      <c r="Q83" t="s">
        <v>49</v>
      </c>
      <c r="R83" t="s">
        <v>225</v>
      </c>
      <c r="S83" s="1">
        <v>45857</v>
      </c>
      <c r="U83" t="s">
        <v>51</v>
      </c>
      <c r="X83" t="s">
        <v>52</v>
      </c>
      <c r="Y83" s="2">
        <v>530.48</v>
      </c>
      <c r="Z83" s="2">
        <v>530.48</v>
      </c>
      <c r="AA83">
        <v>6</v>
      </c>
      <c r="AB83" s="3">
        <v>0.38</v>
      </c>
      <c r="AC83" s="2">
        <v>1209.49</v>
      </c>
      <c r="AD83" s="3">
        <v>0</v>
      </c>
      <c r="AE83" s="2">
        <v>0</v>
      </c>
      <c r="AF83" s="2">
        <v>1209.49</v>
      </c>
      <c r="AK83" s="4">
        <v>19320530</v>
      </c>
      <c r="AL83" t="s">
        <v>53</v>
      </c>
    </row>
    <row r="84" spans="1:38" x14ac:dyDescent="0.25">
      <c r="A84" s="1">
        <v>45863</v>
      </c>
      <c r="B84" s="1">
        <v>45859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256</v>
      </c>
      <c r="J84" t="s">
        <v>254</v>
      </c>
      <c r="M84" t="s">
        <v>67</v>
      </c>
      <c r="O84" t="s">
        <v>143</v>
      </c>
      <c r="P84" t="s">
        <v>144</v>
      </c>
      <c r="Q84" t="s">
        <v>49</v>
      </c>
      <c r="R84" t="s">
        <v>229</v>
      </c>
      <c r="S84" s="1">
        <v>45857</v>
      </c>
      <c r="U84" t="s">
        <v>51</v>
      </c>
      <c r="X84" t="s">
        <v>230</v>
      </c>
      <c r="Y84" s="2">
        <v>15</v>
      </c>
      <c r="Z84" s="2">
        <v>15</v>
      </c>
      <c r="AA84">
        <v>6</v>
      </c>
      <c r="AB84" s="3">
        <v>0.38</v>
      </c>
      <c r="AC84" s="2">
        <v>34.200000000000003</v>
      </c>
      <c r="AD84" s="3">
        <v>0</v>
      </c>
      <c r="AE84" s="2">
        <v>0</v>
      </c>
      <c r="AF84" s="2">
        <v>34.200000000000003</v>
      </c>
      <c r="AK84" s="4">
        <v>19326300</v>
      </c>
      <c r="AL84" t="s">
        <v>53</v>
      </c>
    </row>
    <row r="85" spans="1:38" x14ac:dyDescent="0.25">
      <c r="A85" s="1">
        <v>45863</v>
      </c>
      <c r="B85" s="1">
        <v>45859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257</v>
      </c>
      <c r="J85" t="s">
        <v>258</v>
      </c>
      <c r="M85" t="s">
        <v>67</v>
      </c>
      <c r="O85" t="s">
        <v>259</v>
      </c>
      <c r="P85" t="s">
        <v>260</v>
      </c>
      <c r="Q85" t="s">
        <v>49</v>
      </c>
      <c r="R85" t="s">
        <v>55</v>
      </c>
      <c r="S85" s="1">
        <v>45870</v>
      </c>
      <c r="U85" t="s">
        <v>51</v>
      </c>
      <c r="X85" t="s">
        <v>52</v>
      </c>
      <c r="Y85" s="2">
        <v>34</v>
      </c>
      <c r="Z85" s="2">
        <v>34</v>
      </c>
      <c r="AA85">
        <v>6</v>
      </c>
      <c r="AB85" s="3">
        <v>0.7</v>
      </c>
      <c r="AC85" s="2">
        <v>142.80000000000001</v>
      </c>
      <c r="AD85" s="3">
        <v>0</v>
      </c>
      <c r="AE85" s="2">
        <v>0</v>
      </c>
      <c r="AF85" s="2">
        <v>142.80000000000001</v>
      </c>
      <c r="AK85" s="4">
        <v>19320550</v>
      </c>
      <c r="AL85" t="s">
        <v>53</v>
      </c>
    </row>
    <row r="86" spans="1:38" x14ac:dyDescent="0.25">
      <c r="A86" s="1">
        <v>45863</v>
      </c>
      <c r="B86" s="1">
        <v>45859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261</v>
      </c>
      <c r="J86" t="s">
        <v>262</v>
      </c>
      <c r="M86" t="s">
        <v>67</v>
      </c>
      <c r="O86" t="s">
        <v>206</v>
      </c>
      <c r="P86" t="s">
        <v>207</v>
      </c>
      <c r="Q86" t="s">
        <v>49</v>
      </c>
      <c r="R86" t="s">
        <v>55</v>
      </c>
      <c r="S86" s="1">
        <v>45870</v>
      </c>
      <c r="U86" t="s">
        <v>51</v>
      </c>
      <c r="X86" t="s">
        <v>52</v>
      </c>
      <c r="Y86" s="2">
        <v>33.119999999999997</v>
      </c>
      <c r="Z86" s="2">
        <v>33.119999999999997</v>
      </c>
      <c r="AA86">
        <v>6</v>
      </c>
      <c r="AB86" s="3">
        <v>0.7</v>
      </c>
      <c r="AC86" s="2">
        <v>139.1</v>
      </c>
      <c r="AD86" s="3">
        <v>0</v>
      </c>
      <c r="AE86" s="2">
        <v>0</v>
      </c>
      <c r="AF86" s="2">
        <v>139.1</v>
      </c>
      <c r="AK86" s="4">
        <v>19320630</v>
      </c>
      <c r="AL86" t="s">
        <v>53</v>
      </c>
    </row>
    <row r="87" spans="1:38" x14ac:dyDescent="0.25">
      <c r="A87" s="1">
        <v>45863</v>
      </c>
      <c r="B87" s="1">
        <v>45859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263</v>
      </c>
      <c r="J87" t="s">
        <v>264</v>
      </c>
      <c r="M87" t="s">
        <v>67</v>
      </c>
      <c r="O87" t="s">
        <v>139</v>
      </c>
      <c r="P87" t="s">
        <v>140</v>
      </c>
      <c r="Q87" t="s">
        <v>49</v>
      </c>
      <c r="R87" t="s">
        <v>55</v>
      </c>
      <c r="S87" s="1">
        <v>45859</v>
      </c>
      <c r="U87" t="s">
        <v>51</v>
      </c>
      <c r="X87" t="s">
        <v>52</v>
      </c>
      <c r="Y87" s="2">
        <v>32.200000000000003</v>
      </c>
      <c r="Z87" s="2">
        <v>32.200000000000003</v>
      </c>
      <c r="AA87">
        <v>6</v>
      </c>
      <c r="AB87" s="3">
        <v>0.7</v>
      </c>
      <c r="AC87" s="2">
        <v>135.24</v>
      </c>
      <c r="AD87" s="3">
        <v>0</v>
      </c>
      <c r="AE87" s="2">
        <v>0</v>
      </c>
      <c r="AF87" s="2">
        <v>135.24</v>
      </c>
      <c r="AK87" s="4">
        <v>19320630</v>
      </c>
      <c r="AL87" t="s">
        <v>53</v>
      </c>
    </row>
    <row r="88" spans="1:38" x14ac:dyDescent="0.25">
      <c r="A88" s="1">
        <v>45863</v>
      </c>
      <c r="B88" s="1">
        <v>45859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265</v>
      </c>
      <c r="J88" t="s">
        <v>266</v>
      </c>
      <c r="M88" t="s">
        <v>67</v>
      </c>
      <c r="O88" t="s">
        <v>139</v>
      </c>
      <c r="P88" t="s">
        <v>140</v>
      </c>
      <c r="Q88" t="s">
        <v>49</v>
      </c>
      <c r="R88" t="s">
        <v>55</v>
      </c>
      <c r="S88" s="1">
        <v>45859</v>
      </c>
      <c r="U88" t="s">
        <v>51</v>
      </c>
      <c r="X88" t="s">
        <v>52</v>
      </c>
      <c r="Y88" s="2">
        <v>34</v>
      </c>
      <c r="Z88" s="2">
        <v>34</v>
      </c>
      <c r="AA88">
        <v>6</v>
      </c>
      <c r="AB88" s="3">
        <v>0.7</v>
      </c>
      <c r="AC88" s="2">
        <v>142.80000000000001</v>
      </c>
      <c r="AD88" s="3">
        <v>0</v>
      </c>
      <c r="AE88" s="2">
        <v>0</v>
      </c>
      <c r="AF88" s="2">
        <v>142.80000000000001</v>
      </c>
      <c r="AK88" s="4">
        <v>19320630</v>
      </c>
      <c r="AL88" t="s">
        <v>53</v>
      </c>
    </row>
    <row r="89" spans="1:38" x14ac:dyDescent="0.25">
      <c r="A89" s="1">
        <v>45863</v>
      </c>
      <c r="B89" s="1">
        <v>45859</v>
      </c>
      <c r="C89" t="s">
        <v>267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268</v>
      </c>
      <c r="J89" t="s">
        <v>269</v>
      </c>
      <c r="M89" t="s">
        <v>270</v>
      </c>
      <c r="O89" t="s">
        <v>83</v>
      </c>
      <c r="P89" t="s">
        <v>84</v>
      </c>
      <c r="Q89" t="s">
        <v>271</v>
      </c>
      <c r="R89" t="s">
        <v>50</v>
      </c>
      <c r="S89" s="1">
        <v>45797</v>
      </c>
      <c r="U89" t="s">
        <v>51</v>
      </c>
      <c r="X89" t="s">
        <v>272</v>
      </c>
      <c r="AF89" s="2">
        <v>53.53</v>
      </c>
      <c r="AG89" s="2">
        <v>8.92</v>
      </c>
      <c r="AJ89" s="2">
        <v>44.61</v>
      </c>
    </row>
    <row r="90" spans="1:38" x14ac:dyDescent="0.25">
      <c r="A90" s="1">
        <v>45863</v>
      </c>
      <c r="B90" s="1">
        <v>45859</v>
      </c>
      <c r="C90" t="s">
        <v>267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273</v>
      </c>
      <c r="J90" t="s">
        <v>269</v>
      </c>
      <c r="M90" t="s">
        <v>270</v>
      </c>
      <c r="O90" t="s">
        <v>83</v>
      </c>
      <c r="P90" t="s">
        <v>84</v>
      </c>
      <c r="Q90" t="s">
        <v>271</v>
      </c>
      <c r="R90" t="s">
        <v>55</v>
      </c>
      <c r="S90" s="1">
        <v>45797</v>
      </c>
      <c r="U90" t="s">
        <v>51</v>
      </c>
      <c r="X90" t="s">
        <v>272</v>
      </c>
      <c r="AF90" s="2">
        <v>308.95</v>
      </c>
      <c r="AG90" s="2">
        <v>51.49</v>
      </c>
      <c r="AJ90" s="2">
        <v>257.45999999999998</v>
      </c>
    </row>
    <row r="91" spans="1:38" x14ac:dyDescent="0.25">
      <c r="A91" s="1">
        <v>45863</v>
      </c>
      <c r="B91" s="1">
        <v>45859</v>
      </c>
      <c r="C91" t="s">
        <v>267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274</v>
      </c>
      <c r="J91" t="s">
        <v>269</v>
      </c>
      <c r="M91" t="s">
        <v>270</v>
      </c>
      <c r="O91" t="s">
        <v>83</v>
      </c>
      <c r="P91" t="s">
        <v>84</v>
      </c>
      <c r="Q91" t="s">
        <v>271</v>
      </c>
      <c r="R91" t="s">
        <v>236</v>
      </c>
      <c r="S91" s="1">
        <v>45797</v>
      </c>
      <c r="U91" t="s">
        <v>51</v>
      </c>
      <c r="X91" t="s">
        <v>272</v>
      </c>
      <c r="AF91" s="2">
        <v>235.82</v>
      </c>
      <c r="AG91" s="2">
        <v>39.299999999999997</v>
      </c>
      <c r="AJ91" s="2">
        <v>196.52</v>
      </c>
    </row>
    <row r="92" spans="1:38" x14ac:dyDescent="0.25">
      <c r="A92" s="1">
        <v>45863</v>
      </c>
      <c r="B92" s="1">
        <v>45859</v>
      </c>
      <c r="C92" t="s">
        <v>267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275</v>
      </c>
      <c r="J92" t="s">
        <v>269</v>
      </c>
      <c r="M92" t="s">
        <v>270</v>
      </c>
      <c r="O92" t="s">
        <v>83</v>
      </c>
      <c r="P92" t="s">
        <v>84</v>
      </c>
      <c r="Q92" t="s">
        <v>271</v>
      </c>
      <c r="R92" t="s">
        <v>86</v>
      </c>
      <c r="S92" s="1">
        <v>45797</v>
      </c>
      <c r="U92" t="s">
        <v>51</v>
      </c>
      <c r="X92" t="s">
        <v>272</v>
      </c>
      <c r="AF92" s="2">
        <v>360.45</v>
      </c>
      <c r="AG92" s="2">
        <v>60.08</v>
      </c>
      <c r="AJ92" s="2">
        <v>300.37</v>
      </c>
    </row>
    <row r="93" spans="1:38" x14ac:dyDescent="0.25">
      <c r="A93" s="1">
        <v>45863</v>
      </c>
      <c r="B93" s="1">
        <v>45859</v>
      </c>
      <c r="C93" t="s">
        <v>267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276</v>
      </c>
      <c r="J93" t="s">
        <v>277</v>
      </c>
      <c r="M93" t="s">
        <v>67</v>
      </c>
      <c r="O93" t="s">
        <v>278</v>
      </c>
      <c r="P93" t="s">
        <v>279</v>
      </c>
      <c r="Q93" t="s">
        <v>271</v>
      </c>
      <c r="R93" t="s">
        <v>50</v>
      </c>
      <c r="S93" s="1">
        <v>45800</v>
      </c>
      <c r="U93" t="s">
        <v>51</v>
      </c>
      <c r="X93" t="s">
        <v>272</v>
      </c>
      <c r="AF93" s="2">
        <v>137.27000000000001</v>
      </c>
      <c r="AG93" s="2">
        <v>45.76</v>
      </c>
      <c r="AJ93" s="2">
        <v>91.51</v>
      </c>
    </row>
    <row r="94" spans="1:38" x14ac:dyDescent="0.25">
      <c r="A94" s="1">
        <v>45863</v>
      </c>
      <c r="B94" s="1">
        <v>45859</v>
      </c>
      <c r="C94" t="s">
        <v>267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280</v>
      </c>
      <c r="J94" t="s">
        <v>281</v>
      </c>
      <c r="M94" t="s">
        <v>58</v>
      </c>
      <c r="O94" t="s">
        <v>282</v>
      </c>
      <c r="P94" t="s">
        <v>283</v>
      </c>
      <c r="Q94" t="s">
        <v>271</v>
      </c>
      <c r="R94" t="s">
        <v>55</v>
      </c>
      <c r="S94" s="1">
        <v>45823</v>
      </c>
      <c r="U94" t="s">
        <v>51</v>
      </c>
      <c r="X94" t="s">
        <v>272</v>
      </c>
      <c r="AF94" s="2">
        <v>204.79</v>
      </c>
      <c r="AG94" s="2">
        <v>34.130000000000003</v>
      </c>
      <c r="AJ94" s="2">
        <v>170.66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BB80-E5E5-44BA-92E1-2F963886EA80}">
  <dimension ref="A1:Q54"/>
  <sheetViews>
    <sheetView tabSelected="1" topLeftCell="A15" workbookViewId="0">
      <selection activeCell="P2" sqref="P2:P54"/>
    </sheetView>
  </sheetViews>
  <sheetFormatPr defaultRowHeight="15" x14ac:dyDescent="0.25"/>
  <cols>
    <col min="1" max="1" width="14.140625" bestFit="1" customWidth="1"/>
    <col min="2" max="2" width="26.85546875" bestFit="1" customWidth="1"/>
    <col min="4" max="4" width="15" bestFit="1" customWidth="1"/>
    <col min="5" max="5" width="24.42578125" bestFit="1" customWidth="1"/>
    <col min="6" max="6" width="42.42578125" bestFit="1" customWidth="1"/>
    <col min="7" max="7" width="9.42578125" bestFit="1" customWidth="1"/>
    <col min="8" max="8" width="14.28515625" customWidth="1"/>
    <col min="15" max="15" width="18" bestFit="1" customWidth="1"/>
    <col min="16" max="16" width="18" customWidth="1"/>
  </cols>
  <sheetData>
    <row r="1" spans="1:17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17</v>
      </c>
      <c r="G1" t="s">
        <v>18</v>
      </c>
      <c r="H1" t="s">
        <v>19</v>
      </c>
      <c r="I1" t="s">
        <v>21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</row>
    <row r="2" spans="1:17" s="5" customFormat="1" x14ac:dyDescent="0.25">
      <c r="A2" s="5">
        <v>2030028579</v>
      </c>
      <c r="B2" s="5" t="s">
        <v>254</v>
      </c>
      <c r="C2" s="5" t="s">
        <v>67</v>
      </c>
      <c r="D2" s="5" t="s">
        <v>284</v>
      </c>
      <c r="E2" s="5" t="s">
        <v>144</v>
      </c>
      <c r="F2" s="5" t="s">
        <v>225</v>
      </c>
      <c r="G2" s="6">
        <v>45857</v>
      </c>
      <c r="H2" s="6">
        <f>DATE(YEAR(G2), MONTH(G2) +1, DAY(G2))</f>
        <v>45888</v>
      </c>
      <c r="I2" s="5">
        <v>6</v>
      </c>
      <c r="J2" s="5" t="s">
        <v>52</v>
      </c>
      <c r="K2" s="7">
        <v>530.48</v>
      </c>
      <c r="L2" s="7">
        <v>530.48</v>
      </c>
      <c r="M2" s="5">
        <v>6</v>
      </c>
      <c r="N2" s="8">
        <v>0.38</v>
      </c>
      <c r="O2" s="7">
        <v>1209.49</v>
      </c>
      <c r="P2" s="7">
        <f>O2/6</f>
        <v>201.58166666666668</v>
      </c>
      <c r="Q2" s="5" t="s">
        <v>119</v>
      </c>
    </row>
    <row r="3" spans="1:17" s="5" customFormat="1" x14ac:dyDescent="0.25">
      <c r="A3" s="5">
        <v>2030028578</v>
      </c>
      <c r="B3" s="5" t="s">
        <v>254</v>
      </c>
      <c r="C3" s="5" t="s">
        <v>67</v>
      </c>
      <c r="D3" s="5" t="s">
        <v>284</v>
      </c>
      <c r="E3" s="5" t="s">
        <v>144</v>
      </c>
      <c r="F3" s="5" t="s">
        <v>227</v>
      </c>
      <c r="G3" s="6">
        <v>45857</v>
      </c>
      <c r="H3" s="6">
        <f t="shared" ref="H3:H54" si="0">DATE(YEAR(G3), MONTH(G3) +1, DAY(G3))</f>
        <v>45888</v>
      </c>
      <c r="I3" s="5">
        <v>6</v>
      </c>
      <c r="J3" s="5" t="s">
        <v>52</v>
      </c>
      <c r="K3" s="7">
        <v>7.09</v>
      </c>
      <c r="L3" s="7">
        <v>7.09</v>
      </c>
      <c r="M3" s="5">
        <v>6</v>
      </c>
      <c r="N3" s="8">
        <v>0.38</v>
      </c>
      <c r="O3" s="7">
        <v>16.170000000000002</v>
      </c>
      <c r="P3" s="7">
        <f t="shared" ref="P3:P54" si="1">O3/6</f>
        <v>2.6950000000000003</v>
      </c>
      <c r="Q3" s="5" t="s">
        <v>119</v>
      </c>
    </row>
    <row r="4" spans="1:17" s="5" customFormat="1" x14ac:dyDescent="0.25">
      <c r="A4" s="5">
        <v>2029985834</v>
      </c>
      <c r="B4" s="5" t="s">
        <v>197</v>
      </c>
      <c r="C4" s="5" t="s">
        <v>112</v>
      </c>
      <c r="D4" s="5" t="s">
        <v>288</v>
      </c>
      <c r="E4" s="5" t="s">
        <v>135</v>
      </c>
      <c r="F4" s="5" t="s">
        <v>117</v>
      </c>
      <c r="G4" s="6">
        <v>45870</v>
      </c>
      <c r="H4" s="6">
        <f t="shared" si="0"/>
        <v>45901</v>
      </c>
      <c r="I4" s="5">
        <v>6</v>
      </c>
      <c r="J4" s="5" t="s">
        <v>52</v>
      </c>
      <c r="K4" s="7">
        <v>96.73</v>
      </c>
      <c r="L4" s="7">
        <v>96.73</v>
      </c>
      <c r="M4" s="5">
        <v>6</v>
      </c>
      <c r="N4" s="8">
        <v>0.65</v>
      </c>
      <c r="O4" s="7">
        <v>377.25</v>
      </c>
      <c r="P4" s="7">
        <f t="shared" si="1"/>
        <v>62.875</v>
      </c>
      <c r="Q4" s="5" t="s">
        <v>301</v>
      </c>
    </row>
    <row r="5" spans="1:17" s="5" customFormat="1" x14ac:dyDescent="0.25">
      <c r="A5" s="5">
        <v>2029955373</v>
      </c>
      <c r="B5" s="5" t="s">
        <v>111</v>
      </c>
      <c r="C5" s="5" t="s">
        <v>112</v>
      </c>
      <c r="D5" s="5" t="s">
        <v>291</v>
      </c>
      <c r="E5" s="5" t="s">
        <v>114</v>
      </c>
      <c r="F5" s="5" t="s">
        <v>117</v>
      </c>
      <c r="G5" s="6">
        <v>45853</v>
      </c>
      <c r="H5" s="6">
        <f t="shared" si="0"/>
        <v>45884</v>
      </c>
      <c r="I5" s="5">
        <v>6</v>
      </c>
      <c r="J5" s="5" t="s">
        <v>52</v>
      </c>
      <c r="K5" s="7">
        <v>29.98</v>
      </c>
      <c r="L5" s="7">
        <v>29.98</v>
      </c>
      <c r="M5" s="5">
        <v>6</v>
      </c>
      <c r="N5" s="8">
        <v>0.65</v>
      </c>
      <c r="O5" s="7">
        <v>116.92</v>
      </c>
      <c r="P5" s="7">
        <f t="shared" si="1"/>
        <v>19.486666666666668</v>
      </c>
      <c r="Q5" s="5" t="s">
        <v>301</v>
      </c>
    </row>
    <row r="6" spans="1:17" s="5" customFormat="1" x14ac:dyDescent="0.25">
      <c r="A6" s="5">
        <v>2029962419</v>
      </c>
      <c r="B6" s="5" t="s">
        <v>133</v>
      </c>
      <c r="C6" s="5" t="s">
        <v>46</v>
      </c>
      <c r="D6" s="5" t="s">
        <v>288</v>
      </c>
      <c r="E6" s="5" t="s">
        <v>135</v>
      </c>
      <c r="F6" s="5" t="s">
        <v>71</v>
      </c>
      <c r="G6" s="6">
        <v>45870</v>
      </c>
      <c r="H6" s="6">
        <f t="shared" si="0"/>
        <v>45901</v>
      </c>
      <c r="I6" s="5">
        <v>6</v>
      </c>
      <c r="J6" s="5" t="s">
        <v>52</v>
      </c>
      <c r="K6" s="7">
        <v>86.14</v>
      </c>
      <c r="L6" s="7">
        <v>86.14</v>
      </c>
      <c r="M6" s="5">
        <v>6</v>
      </c>
      <c r="N6" s="8">
        <v>0.75</v>
      </c>
      <c r="O6" s="7">
        <v>387.63</v>
      </c>
      <c r="P6" s="7">
        <f t="shared" si="1"/>
        <v>64.605000000000004</v>
      </c>
      <c r="Q6" s="5" t="s">
        <v>302</v>
      </c>
    </row>
    <row r="7" spans="1:17" s="5" customFormat="1" x14ac:dyDescent="0.25">
      <c r="A7" s="5">
        <v>2029969605</v>
      </c>
      <c r="B7" s="5" t="s">
        <v>169</v>
      </c>
      <c r="C7" s="5" t="s">
        <v>112</v>
      </c>
      <c r="D7" s="5" t="s">
        <v>288</v>
      </c>
      <c r="E7" s="5" t="s">
        <v>135</v>
      </c>
      <c r="F7" s="5" t="s">
        <v>71</v>
      </c>
      <c r="G7" s="6">
        <v>45854</v>
      </c>
      <c r="H7" s="6">
        <f t="shared" si="0"/>
        <v>45885</v>
      </c>
      <c r="I7" s="5">
        <v>6</v>
      </c>
      <c r="J7" s="5" t="s">
        <v>52</v>
      </c>
      <c r="K7" s="7">
        <v>52.84</v>
      </c>
      <c r="L7" s="7">
        <v>52.84</v>
      </c>
      <c r="M7" s="5">
        <v>6</v>
      </c>
      <c r="N7" s="8">
        <v>0.75</v>
      </c>
      <c r="O7" s="7">
        <v>237.78</v>
      </c>
      <c r="P7" s="7">
        <f t="shared" si="1"/>
        <v>39.630000000000003</v>
      </c>
      <c r="Q7" s="5" t="s">
        <v>302</v>
      </c>
    </row>
    <row r="8" spans="1:17" s="5" customFormat="1" x14ac:dyDescent="0.25">
      <c r="A8" s="5">
        <v>2030016431</v>
      </c>
      <c r="B8" s="5" t="s">
        <v>240</v>
      </c>
      <c r="C8" s="5" t="s">
        <v>122</v>
      </c>
      <c r="D8" s="5" t="s">
        <v>294</v>
      </c>
      <c r="E8" s="5" t="s">
        <v>124</v>
      </c>
      <c r="F8" s="5" t="s">
        <v>86</v>
      </c>
      <c r="G8" s="6">
        <v>45870</v>
      </c>
      <c r="H8" s="6">
        <f t="shared" si="0"/>
        <v>45901</v>
      </c>
      <c r="I8" s="5">
        <v>6</v>
      </c>
      <c r="J8" s="5" t="s">
        <v>52</v>
      </c>
      <c r="K8" s="7">
        <v>58.63</v>
      </c>
      <c r="L8" s="7">
        <v>58.63</v>
      </c>
      <c r="M8" s="5">
        <v>6</v>
      </c>
      <c r="N8" s="8">
        <v>0.9</v>
      </c>
      <c r="O8" s="7">
        <v>316.60000000000002</v>
      </c>
      <c r="P8" s="7">
        <f t="shared" si="1"/>
        <v>52.766666666666673</v>
      </c>
      <c r="Q8" s="5" t="s">
        <v>303</v>
      </c>
    </row>
    <row r="9" spans="1:17" s="5" customFormat="1" x14ac:dyDescent="0.25">
      <c r="A9" s="5">
        <v>2029938124</v>
      </c>
      <c r="B9" s="5" t="s">
        <v>81</v>
      </c>
      <c r="C9" s="5" t="s">
        <v>82</v>
      </c>
      <c r="D9" s="5" t="s">
        <v>300</v>
      </c>
      <c r="E9" s="5" t="s">
        <v>84</v>
      </c>
      <c r="F9" s="5" t="s">
        <v>86</v>
      </c>
      <c r="G9" s="6">
        <v>45853</v>
      </c>
      <c r="H9" s="6">
        <f t="shared" si="0"/>
        <v>45884</v>
      </c>
      <c r="I9" s="5">
        <v>6</v>
      </c>
      <c r="J9" s="5" t="s">
        <v>52</v>
      </c>
      <c r="K9" s="7">
        <v>50.87</v>
      </c>
      <c r="L9" s="7">
        <v>50.87</v>
      </c>
      <c r="M9" s="5">
        <v>6</v>
      </c>
      <c r="N9" s="8">
        <v>0.9</v>
      </c>
      <c r="O9" s="7">
        <v>274.7</v>
      </c>
      <c r="P9" s="7">
        <f t="shared" si="1"/>
        <v>45.783333333333331</v>
      </c>
      <c r="Q9" s="5" t="s">
        <v>303</v>
      </c>
    </row>
    <row r="10" spans="1:17" s="5" customFormat="1" x14ac:dyDescent="0.25">
      <c r="A10" s="5">
        <v>2029968822</v>
      </c>
      <c r="B10" s="5" t="s">
        <v>159</v>
      </c>
      <c r="C10" s="5" t="s">
        <v>67</v>
      </c>
      <c r="D10" s="5" t="s">
        <v>287</v>
      </c>
      <c r="E10" s="5" t="s">
        <v>161</v>
      </c>
      <c r="F10" s="5" t="s">
        <v>154</v>
      </c>
      <c r="G10" s="6">
        <v>45854</v>
      </c>
      <c r="H10" s="6">
        <f t="shared" si="0"/>
        <v>45885</v>
      </c>
      <c r="I10" s="5">
        <v>6</v>
      </c>
      <c r="J10" s="5" t="s">
        <v>52</v>
      </c>
      <c r="K10" s="7">
        <v>25.08</v>
      </c>
      <c r="L10" s="7">
        <v>25.08</v>
      </c>
      <c r="M10" s="5">
        <v>6</v>
      </c>
      <c r="N10" s="8">
        <v>0.42</v>
      </c>
      <c r="O10" s="7">
        <v>63.2</v>
      </c>
      <c r="P10" s="7">
        <f t="shared" si="1"/>
        <v>10.533333333333333</v>
      </c>
      <c r="Q10" s="5" t="s">
        <v>154</v>
      </c>
    </row>
    <row r="11" spans="1:17" s="5" customFormat="1" x14ac:dyDescent="0.25">
      <c r="A11" s="5">
        <v>2030028580</v>
      </c>
      <c r="B11" s="5" t="s">
        <v>254</v>
      </c>
      <c r="C11" s="5" t="s">
        <v>67</v>
      </c>
      <c r="D11" s="5" t="s">
        <v>284</v>
      </c>
      <c r="E11" s="5" t="s">
        <v>144</v>
      </c>
      <c r="F11" s="5" t="s">
        <v>229</v>
      </c>
      <c r="G11" s="6">
        <v>45857</v>
      </c>
      <c r="H11" s="6">
        <f t="shared" si="0"/>
        <v>45888</v>
      </c>
      <c r="I11" s="5">
        <v>6</v>
      </c>
      <c r="J11" s="5" t="s">
        <v>52</v>
      </c>
      <c r="K11" s="7">
        <v>15</v>
      </c>
      <c r="L11" s="7">
        <v>15</v>
      </c>
      <c r="M11" s="5">
        <v>6</v>
      </c>
      <c r="N11" s="8">
        <v>0.38</v>
      </c>
      <c r="O11" s="7">
        <v>34.200000000000003</v>
      </c>
      <c r="P11" s="7">
        <f t="shared" si="1"/>
        <v>5.7</v>
      </c>
      <c r="Q11" s="5" t="s">
        <v>119</v>
      </c>
    </row>
    <row r="12" spans="1:17" s="5" customFormat="1" x14ac:dyDescent="0.25">
      <c r="A12" s="5">
        <v>2029955374</v>
      </c>
      <c r="B12" s="5" t="s">
        <v>111</v>
      </c>
      <c r="C12" s="5" t="s">
        <v>112</v>
      </c>
      <c r="D12" s="5" t="s">
        <v>291</v>
      </c>
      <c r="E12" s="5" t="s">
        <v>114</v>
      </c>
      <c r="F12" s="5" t="s">
        <v>119</v>
      </c>
      <c r="G12" s="6">
        <v>45853</v>
      </c>
      <c r="H12" s="6">
        <f t="shared" si="0"/>
        <v>45884</v>
      </c>
      <c r="I12" s="5">
        <v>6</v>
      </c>
      <c r="J12" s="5" t="s">
        <v>52</v>
      </c>
      <c r="K12" s="7">
        <v>33.31</v>
      </c>
      <c r="L12" s="7">
        <v>33.31</v>
      </c>
      <c r="M12" s="5">
        <v>6</v>
      </c>
      <c r="N12" s="8">
        <v>0.38</v>
      </c>
      <c r="O12" s="7">
        <v>75.95</v>
      </c>
      <c r="P12" s="7">
        <f t="shared" si="1"/>
        <v>12.658333333333333</v>
      </c>
      <c r="Q12" s="5" t="s">
        <v>119</v>
      </c>
    </row>
    <row r="13" spans="1:17" s="5" customFormat="1" x14ac:dyDescent="0.25">
      <c r="A13" s="5">
        <v>2029966004</v>
      </c>
      <c r="B13" s="5" t="s">
        <v>142</v>
      </c>
      <c r="C13" s="5" t="s">
        <v>67</v>
      </c>
      <c r="D13" s="5" t="s">
        <v>284</v>
      </c>
      <c r="E13" s="5" t="s">
        <v>144</v>
      </c>
      <c r="F13" s="5" t="s">
        <v>55</v>
      </c>
      <c r="G13" s="6">
        <v>45854</v>
      </c>
      <c r="H13" s="6">
        <f t="shared" si="0"/>
        <v>45885</v>
      </c>
      <c r="I13" s="5">
        <v>6</v>
      </c>
      <c r="J13" s="5" t="s">
        <v>52</v>
      </c>
      <c r="K13" s="7">
        <v>72.760000000000005</v>
      </c>
      <c r="L13" s="7">
        <v>72.760000000000005</v>
      </c>
      <c r="M13" s="5">
        <v>6</v>
      </c>
      <c r="N13" s="8">
        <v>0.7</v>
      </c>
      <c r="O13" s="7">
        <v>305.58999999999997</v>
      </c>
      <c r="P13" s="7">
        <f t="shared" si="1"/>
        <v>50.931666666666665</v>
      </c>
      <c r="Q13" s="5" t="s">
        <v>55</v>
      </c>
    </row>
    <row r="14" spans="1:17" s="5" customFormat="1" x14ac:dyDescent="0.25">
      <c r="A14" s="5">
        <v>2030032416</v>
      </c>
      <c r="B14" s="5" t="s">
        <v>258</v>
      </c>
      <c r="C14" s="5" t="s">
        <v>67</v>
      </c>
      <c r="D14" s="5" t="s">
        <v>285</v>
      </c>
      <c r="E14" s="5" t="s">
        <v>260</v>
      </c>
      <c r="F14" s="5" t="s">
        <v>55</v>
      </c>
      <c r="G14" s="6">
        <v>45870</v>
      </c>
      <c r="H14" s="6">
        <f t="shared" si="0"/>
        <v>45901</v>
      </c>
      <c r="I14" s="5">
        <v>6</v>
      </c>
      <c r="J14" s="5" t="s">
        <v>52</v>
      </c>
      <c r="K14" s="7">
        <v>34</v>
      </c>
      <c r="L14" s="7">
        <v>34</v>
      </c>
      <c r="M14" s="5">
        <v>6</v>
      </c>
      <c r="N14" s="8">
        <v>0.7</v>
      </c>
      <c r="O14" s="7">
        <v>142.80000000000001</v>
      </c>
      <c r="P14" s="7">
        <f t="shared" si="1"/>
        <v>23.8</v>
      </c>
      <c r="Q14" s="5" t="s">
        <v>55</v>
      </c>
    </row>
    <row r="15" spans="1:17" s="5" customFormat="1" x14ac:dyDescent="0.25">
      <c r="A15" s="5">
        <v>2029949953</v>
      </c>
      <c r="B15" s="5" t="s">
        <v>98</v>
      </c>
      <c r="C15" s="5" t="s">
        <v>79</v>
      </c>
      <c r="D15" s="5" t="s">
        <v>286</v>
      </c>
      <c r="E15" s="5" t="s">
        <v>100</v>
      </c>
      <c r="F15" s="5" t="s">
        <v>55</v>
      </c>
      <c r="G15" s="6">
        <v>45853</v>
      </c>
      <c r="H15" s="6">
        <f t="shared" si="0"/>
        <v>45884</v>
      </c>
      <c r="I15" s="5">
        <v>6</v>
      </c>
      <c r="J15" s="5" t="s">
        <v>52</v>
      </c>
      <c r="K15" s="7">
        <v>31.1</v>
      </c>
      <c r="L15" s="7">
        <v>31.1</v>
      </c>
      <c r="M15" s="5">
        <v>6</v>
      </c>
      <c r="N15" s="8">
        <v>0.7</v>
      </c>
      <c r="O15" s="7">
        <v>130.62</v>
      </c>
      <c r="P15" s="7">
        <f t="shared" si="1"/>
        <v>21.77</v>
      </c>
      <c r="Q15" s="5" t="s">
        <v>55</v>
      </c>
    </row>
    <row r="16" spans="1:17" s="5" customFormat="1" x14ac:dyDescent="0.25">
      <c r="A16" s="5">
        <v>2029994615</v>
      </c>
      <c r="B16" s="5" t="s">
        <v>210</v>
      </c>
      <c r="C16" s="5" t="s">
        <v>211</v>
      </c>
      <c r="D16" s="5" t="s">
        <v>286</v>
      </c>
      <c r="E16" s="5" t="s">
        <v>100</v>
      </c>
      <c r="F16" s="5" t="s">
        <v>55</v>
      </c>
      <c r="G16" s="6">
        <v>45855</v>
      </c>
      <c r="H16" s="6">
        <f t="shared" si="0"/>
        <v>45886</v>
      </c>
      <c r="I16" s="5">
        <v>6</v>
      </c>
      <c r="J16" s="5" t="s">
        <v>52</v>
      </c>
      <c r="K16" s="7">
        <v>28.45</v>
      </c>
      <c r="L16" s="7">
        <v>28.45</v>
      </c>
      <c r="M16" s="5">
        <v>6</v>
      </c>
      <c r="N16" s="8">
        <v>0.7</v>
      </c>
      <c r="O16" s="7">
        <v>119.49</v>
      </c>
      <c r="P16" s="7">
        <f t="shared" si="1"/>
        <v>19.914999999999999</v>
      </c>
      <c r="Q16" s="5" t="s">
        <v>55</v>
      </c>
    </row>
    <row r="17" spans="1:17" s="5" customFormat="1" x14ac:dyDescent="0.25">
      <c r="A17" s="5">
        <v>2029968823</v>
      </c>
      <c r="B17" s="5" t="s">
        <v>159</v>
      </c>
      <c r="C17" s="5" t="s">
        <v>67</v>
      </c>
      <c r="D17" s="5" t="s">
        <v>287</v>
      </c>
      <c r="E17" s="5" t="s">
        <v>161</v>
      </c>
      <c r="F17" s="5" t="s">
        <v>55</v>
      </c>
      <c r="G17" s="6">
        <v>45854</v>
      </c>
      <c r="H17" s="6">
        <f t="shared" si="0"/>
        <v>45885</v>
      </c>
      <c r="I17" s="5">
        <v>6</v>
      </c>
      <c r="J17" s="5" t="s">
        <v>52</v>
      </c>
      <c r="K17" s="7">
        <v>62.8</v>
      </c>
      <c r="L17" s="7">
        <v>62.8</v>
      </c>
      <c r="M17" s="5">
        <v>6</v>
      </c>
      <c r="N17" s="8">
        <v>0.7</v>
      </c>
      <c r="O17" s="7">
        <v>263.76</v>
      </c>
      <c r="P17" s="7">
        <f t="shared" si="1"/>
        <v>43.96</v>
      </c>
      <c r="Q17" s="5" t="s">
        <v>55</v>
      </c>
    </row>
    <row r="18" spans="1:17" s="5" customFormat="1" x14ac:dyDescent="0.25">
      <c r="A18" s="5">
        <v>2029969604</v>
      </c>
      <c r="B18" s="5" t="s">
        <v>169</v>
      </c>
      <c r="C18" s="5" t="s">
        <v>112</v>
      </c>
      <c r="D18" s="5" t="s">
        <v>288</v>
      </c>
      <c r="E18" s="5" t="s">
        <v>135</v>
      </c>
      <c r="F18" s="5" t="s">
        <v>55</v>
      </c>
      <c r="G18" s="6">
        <v>45854</v>
      </c>
      <c r="H18" s="6">
        <f t="shared" si="0"/>
        <v>45885</v>
      </c>
      <c r="I18" s="5">
        <v>6</v>
      </c>
      <c r="J18" s="5" t="s">
        <v>52</v>
      </c>
      <c r="K18" s="7">
        <v>9.1</v>
      </c>
      <c r="L18" s="7">
        <v>9.1</v>
      </c>
      <c r="M18" s="5">
        <v>6</v>
      </c>
      <c r="N18" s="8">
        <v>0.7</v>
      </c>
      <c r="O18" s="7">
        <v>38.22</v>
      </c>
      <c r="P18" s="7">
        <f t="shared" si="1"/>
        <v>6.37</v>
      </c>
      <c r="Q18" s="5" t="s">
        <v>55</v>
      </c>
    </row>
    <row r="19" spans="1:17" s="5" customFormat="1" x14ac:dyDescent="0.25">
      <c r="A19" s="5">
        <v>2029985833</v>
      </c>
      <c r="B19" s="5" t="s">
        <v>197</v>
      </c>
      <c r="C19" s="5" t="s">
        <v>112</v>
      </c>
      <c r="D19" s="5" t="s">
        <v>288</v>
      </c>
      <c r="E19" s="5" t="s">
        <v>135</v>
      </c>
      <c r="F19" s="5" t="s">
        <v>55</v>
      </c>
      <c r="G19" s="6">
        <v>45870</v>
      </c>
      <c r="H19" s="6">
        <f t="shared" si="0"/>
        <v>45901</v>
      </c>
      <c r="I19" s="5">
        <v>6</v>
      </c>
      <c r="J19" s="5" t="s">
        <v>52</v>
      </c>
      <c r="K19" s="7">
        <v>9.1</v>
      </c>
      <c r="L19" s="7">
        <v>9.1</v>
      </c>
      <c r="M19" s="5">
        <v>6</v>
      </c>
      <c r="N19" s="8">
        <v>0.7</v>
      </c>
      <c r="O19" s="7">
        <v>38.22</v>
      </c>
      <c r="P19" s="7">
        <f t="shared" si="1"/>
        <v>6.37</v>
      </c>
      <c r="Q19" s="5" t="s">
        <v>55</v>
      </c>
    </row>
    <row r="20" spans="1:17" s="5" customFormat="1" x14ac:dyDescent="0.25">
      <c r="A20" s="5">
        <v>2029874507</v>
      </c>
      <c r="B20" s="5" t="s">
        <v>61</v>
      </c>
      <c r="C20" s="5" t="s">
        <v>58</v>
      </c>
      <c r="D20" s="5" t="s">
        <v>289</v>
      </c>
      <c r="E20" s="5" t="s">
        <v>63</v>
      </c>
      <c r="F20" s="5" t="s">
        <v>55</v>
      </c>
      <c r="G20" s="6">
        <v>45870</v>
      </c>
      <c r="H20" s="6">
        <f t="shared" si="0"/>
        <v>45901</v>
      </c>
      <c r="I20" s="5">
        <v>6</v>
      </c>
      <c r="J20" s="5" t="s">
        <v>52</v>
      </c>
      <c r="K20" s="7">
        <v>28.38</v>
      </c>
      <c r="L20" s="7">
        <v>28.38</v>
      </c>
      <c r="M20" s="5">
        <v>6</v>
      </c>
      <c r="N20" s="8">
        <v>0.7</v>
      </c>
      <c r="O20" s="7">
        <v>119.2</v>
      </c>
      <c r="P20" s="7">
        <f t="shared" si="1"/>
        <v>19.866666666666667</v>
      </c>
      <c r="Q20" s="5" t="s">
        <v>55</v>
      </c>
    </row>
    <row r="21" spans="1:17" s="5" customFormat="1" x14ac:dyDescent="0.25">
      <c r="A21" s="5">
        <v>2029935617</v>
      </c>
      <c r="B21" s="5" t="s">
        <v>78</v>
      </c>
      <c r="C21" s="5" t="s">
        <v>79</v>
      </c>
      <c r="D21" s="5" t="s">
        <v>289</v>
      </c>
      <c r="E21" s="5" t="s">
        <v>63</v>
      </c>
      <c r="F21" s="5" t="s">
        <v>55</v>
      </c>
      <c r="G21" s="6">
        <v>45870</v>
      </c>
      <c r="H21" s="6">
        <f t="shared" si="0"/>
        <v>45901</v>
      </c>
      <c r="I21" s="5">
        <v>6</v>
      </c>
      <c r="J21" s="5" t="s">
        <v>52</v>
      </c>
      <c r="K21" s="7">
        <v>10.29</v>
      </c>
      <c r="L21" s="7">
        <v>10.29</v>
      </c>
      <c r="M21" s="5">
        <v>6</v>
      </c>
      <c r="N21" s="8">
        <v>0.7</v>
      </c>
      <c r="O21" s="7">
        <v>43.22</v>
      </c>
      <c r="P21" s="7">
        <f t="shared" si="1"/>
        <v>7.2033333333333331</v>
      </c>
      <c r="Q21" s="5" t="s">
        <v>55</v>
      </c>
    </row>
    <row r="22" spans="1:17" s="5" customFormat="1" x14ac:dyDescent="0.25">
      <c r="A22" s="5">
        <v>2029971778</v>
      </c>
      <c r="B22" s="5" t="s">
        <v>175</v>
      </c>
      <c r="C22" s="5" t="s">
        <v>79</v>
      </c>
      <c r="D22" s="5" t="s">
        <v>289</v>
      </c>
      <c r="E22" s="5" t="s">
        <v>63</v>
      </c>
      <c r="F22" s="5" t="s">
        <v>55</v>
      </c>
      <c r="G22" s="6">
        <v>45870</v>
      </c>
      <c r="H22" s="6">
        <f t="shared" si="0"/>
        <v>45901</v>
      </c>
      <c r="I22" s="5">
        <v>6</v>
      </c>
      <c r="J22" s="5" t="s">
        <v>52</v>
      </c>
      <c r="K22" s="7">
        <v>10.29</v>
      </c>
      <c r="L22" s="7">
        <v>10.29</v>
      </c>
      <c r="M22" s="5">
        <v>6</v>
      </c>
      <c r="N22" s="8">
        <v>0.7</v>
      </c>
      <c r="O22" s="7">
        <v>43.22</v>
      </c>
      <c r="P22" s="7">
        <f t="shared" si="1"/>
        <v>7.2033333333333331</v>
      </c>
      <c r="Q22" s="5" t="s">
        <v>55</v>
      </c>
    </row>
    <row r="23" spans="1:17" s="5" customFormat="1" x14ac:dyDescent="0.25">
      <c r="A23" s="5">
        <v>2029946799</v>
      </c>
      <c r="B23" s="5" t="s">
        <v>94</v>
      </c>
      <c r="C23" s="5" t="s">
        <v>67</v>
      </c>
      <c r="D23" s="5" t="s">
        <v>290</v>
      </c>
      <c r="E23" s="5" t="s">
        <v>96</v>
      </c>
      <c r="F23" s="5" t="s">
        <v>55</v>
      </c>
      <c r="G23" s="6">
        <v>45870</v>
      </c>
      <c r="H23" s="6">
        <f t="shared" si="0"/>
        <v>45901</v>
      </c>
      <c r="I23" s="5">
        <v>6</v>
      </c>
      <c r="J23" s="5" t="s">
        <v>52</v>
      </c>
      <c r="K23" s="7">
        <v>114.24</v>
      </c>
      <c r="L23" s="7">
        <v>114.24</v>
      </c>
      <c r="M23" s="5">
        <v>6</v>
      </c>
      <c r="N23" s="8">
        <v>0.7</v>
      </c>
      <c r="O23" s="7">
        <v>479.81</v>
      </c>
      <c r="P23" s="7">
        <f t="shared" si="1"/>
        <v>79.968333333333334</v>
      </c>
      <c r="Q23" s="5" t="s">
        <v>55</v>
      </c>
    </row>
    <row r="24" spans="1:17" s="5" customFormat="1" x14ac:dyDescent="0.25">
      <c r="A24" s="5">
        <v>2029955372</v>
      </c>
      <c r="B24" s="5" t="s">
        <v>111</v>
      </c>
      <c r="C24" s="5" t="s">
        <v>112</v>
      </c>
      <c r="D24" s="5" t="s">
        <v>291</v>
      </c>
      <c r="E24" s="5" t="s">
        <v>114</v>
      </c>
      <c r="F24" s="5" t="s">
        <v>55</v>
      </c>
      <c r="G24" s="6">
        <v>45853</v>
      </c>
      <c r="H24" s="6">
        <f t="shared" si="0"/>
        <v>45884</v>
      </c>
      <c r="I24" s="5">
        <v>6</v>
      </c>
      <c r="J24" s="5" t="s">
        <v>52</v>
      </c>
      <c r="K24" s="7">
        <v>9.6999999999999993</v>
      </c>
      <c r="L24" s="7">
        <v>9.6999999999999993</v>
      </c>
      <c r="M24" s="5">
        <v>6</v>
      </c>
      <c r="N24" s="8">
        <v>0.7</v>
      </c>
      <c r="O24" s="7">
        <v>40.74</v>
      </c>
      <c r="P24" s="7">
        <f t="shared" si="1"/>
        <v>6.79</v>
      </c>
      <c r="Q24" s="5" t="s">
        <v>55</v>
      </c>
    </row>
    <row r="25" spans="1:17" s="5" customFormat="1" x14ac:dyDescent="0.25">
      <c r="A25" s="5">
        <v>2029624410</v>
      </c>
      <c r="B25" s="5" t="s">
        <v>45</v>
      </c>
      <c r="C25" s="5" t="s">
        <v>46</v>
      </c>
      <c r="D25" s="5" t="s">
        <v>292</v>
      </c>
      <c r="E25" s="5" t="s">
        <v>48</v>
      </c>
      <c r="F25" s="5" t="s">
        <v>55</v>
      </c>
      <c r="G25" s="6">
        <v>45838</v>
      </c>
      <c r="H25" s="6">
        <f t="shared" si="0"/>
        <v>45868</v>
      </c>
      <c r="I25" s="5">
        <v>6</v>
      </c>
      <c r="J25" s="5" t="s">
        <v>52</v>
      </c>
      <c r="K25" s="7">
        <v>49.18</v>
      </c>
      <c r="L25" s="7">
        <v>49.18</v>
      </c>
      <c r="M25" s="5">
        <v>6</v>
      </c>
      <c r="N25" s="8">
        <v>0.7</v>
      </c>
      <c r="O25" s="7">
        <v>206.56</v>
      </c>
      <c r="P25" s="7">
        <f t="shared" si="1"/>
        <v>34.426666666666669</v>
      </c>
      <c r="Q25" s="5" t="s">
        <v>55</v>
      </c>
    </row>
    <row r="26" spans="1:17" s="5" customFormat="1" x14ac:dyDescent="0.25">
      <c r="A26" s="5">
        <v>2029865611</v>
      </c>
      <c r="B26" s="5" t="s">
        <v>57</v>
      </c>
      <c r="C26" s="5" t="s">
        <v>58</v>
      </c>
      <c r="D26" s="5" t="s">
        <v>292</v>
      </c>
      <c r="E26" s="5" t="s">
        <v>48</v>
      </c>
      <c r="F26" s="5" t="s">
        <v>55</v>
      </c>
      <c r="G26" s="6">
        <v>45857</v>
      </c>
      <c r="H26" s="6">
        <f t="shared" si="0"/>
        <v>45888</v>
      </c>
      <c r="I26" s="5">
        <v>6</v>
      </c>
      <c r="J26" s="5" t="s">
        <v>52</v>
      </c>
      <c r="K26" s="7">
        <v>28.38</v>
      </c>
      <c r="L26" s="7">
        <v>28.38</v>
      </c>
      <c r="M26" s="5">
        <v>6</v>
      </c>
      <c r="N26" s="8">
        <v>0.7</v>
      </c>
      <c r="O26" s="7">
        <v>119.2</v>
      </c>
      <c r="P26" s="7">
        <f t="shared" si="1"/>
        <v>19.866666666666667</v>
      </c>
      <c r="Q26" s="5" t="s">
        <v>55</v>
      </c>
    </row>
    <row r="27" spans="1:17" s="5" customFormat="1" x14ac:dyDescent="0.25">
      <c r="A27" s="5">
        <v>2029958122</v>
      </c>
      <c r="B27" s="5" t="s">
        <v>127</v>
      </c>
      <c r="C27" s="5" t="s">
        <v>67</v>
      </c>
      <c r="D27" s="5" t="s">
        <v>293</v>
      </c>
      <c r="E27" s="5" t="s">
        <v>129</v>
      </c>
      <c r="F27" s="5" t="s">
        <v>55</v>
      </c>
      <c r="G27" s="6">
        <v>45853</v>
      </c>
      <c r="H27" s="6">
        <f t="shared" si="0"/>
        <v>45884</v>
      </c>
      <c r="I27" s="5">
        <v>6</v>
      </c>
      <c r="J27" s="5" t="s">
        <v>52</v>
      </c>
      <c r="K27" s="7">
        <v>69.25</v>
      </c>
      <c r="L27" s="7">
        <v>69.25</v>
      </c>
      <c r="M27" s="5">
        <v>6</v>
      </c>
      <c r="N27" s="8">
        <v>0.7</v>
      </c>
      <c r="O27" s="7">
        <v>290.85000000000002</v>
      </c>
      <c r="P27" s="7">
        <f t="shared" si="1"/>
        <v>48.475000000000001</v>
      </c>
      <c r="Q27" s="5" t="s">
        <v>55</v>
      </c>
    </row>
    <row r="28" spans="1:17" s="5" customFormat="1" x14ac:dyDescent="0.25">
      <c r="A28" s="5">
        <v>2029958337</v>
      </c>
      <c r="B28" s="5" t="s">
        <v>131</v>
      </c>
      <c r="C28" s="5" t="s">
        <v>67</v>
      </c>
      <c r="D28" s="5" t="s">
        <v>293</v>
      </c>
      <c r="E28" s="5" t="s">
        <v>129</v>
      </c>
      <c r="F28" s="5" t="s">
        <v>55</v>
      </c>
      <c r="G28" s="6">
        <v>45853</v>
      </c>
      <c r="H28" s="6">
        <f t="shared" si="0"/>
        <v>45884</v>
      </c>
      <c r="I28" s="5">
        <v>6</v>
      </c>
      <c r="J28" s="5" t="s">
        <v>52</v>
      </c>
      <c r="K28" s="7">
        <v>56.5</v>
      </c>
      <c r="L28" s="7">
        <v>56.5</v>
      </c>
      <c r="M28" s="5">
        <v>6</v>
      </c>
      <c r="N28" s="8">
        <v>0.7</v>
      </c>
      <c r="O28" s="7">
        <v>237.3</v>
      </c>
      <c r="P28" s="7">
        <f t="shared" si="1"/>
        <v>39.550000000000004</v>
      </c>
      <c r="Q28" s="5" t="s">
        <v>55</v>
      </c>
    </row>
    <row r="29" spans="1:17" s="5" customFormat="1" x14ac:dyDescent="0.25">
      <c r="A29" s="5">
        <v>2030017882</v>
      </c>
      <c r="B29" s="5" t="s">
        <v>129</v>
      </c>
      <c r="C29" s="5" t="s">
        <v>67</v>
      </c>
      <c r="D29" s="5" t="s">
        <v>293</v>
      </c>
      <c r="E29" s="5" t="s">
        <v>129</v>
      </c>
      <c r="F29" s="5" t="s">
        <v>55</v>
      </c>
      <c r="G29" s="6">
        <v>45856</v>
      </c>
      <c r="H29" s="6">
        <f t="shared" si="0"/>
        <v>45887</v>
      </c>
      <c r="I29" s="5">
        <v>6</v>
      </c>
      <c r="J29" s="5" t="s">
        <v>52</v>
      </c>
      <c r="K29" s="7">
        <v>56.5</v>
      </c>
      <c r="L29" s="7">
        <v>56.5</v>
      </c>
      <c r="M29" s="5">
        <v>6</v>
      </c>
      <c r="N29" s="8">
        <v>0.7</v>
      </c>
      <c r="O29" s="7">
        <v>237.3</v>
      </c>
      <c r="P29" s="7">
        <f t="shared" si="1"/>
        <v>39.550000000000004</v>
      </c>
      <c r="Q29" s="5" t="s">
        <v>55</v>
      </c>
    </row>
    <row r="30" spans="1:17" s="5" customFormat="1" x14ac:dyDescent="0.25">
      <c r="A30" s="5">
        <v>2029957806</v>
      </c>
      <c r="B30" s="5" t="s">
        <v>121</v>
      </c>
      <c r="C30" s="5" t="s">
        <v>122</v>
      </c>
      <c r="D30" s="5" t="s">
        <v>294</v>
      </c>
      <c r="E30" s="5" t="s">
        <v>124</v>
      </c>
      <c r="F30" s="5" t="s">
        <v>55</v>
      </c>
      <c r="G30" s="6">
        <v>45854</v>
      </c>
      <c r="H30" s="6">
        <f t="shared" si="0"/>
        <v>45885</v>
      </c>
      <c r="I30" s="5">
        <v>6</v>
      </c>
      <c r="J30" s="5" t="s">
        <v>52</v>
      </c>
      <c r="K30" s="7">
        <v>12.4</v>
      </c>
      <c r="L30" s="7">
        <v>12.4</v>
      </c>
      <c r="M30" s="5">
        <v>6</v>
      </c>
      <c r="N30" s="8">
        <v>0.7</v>
      </c>
      <c r="O30" s="7">
        <v>52.08</v>
      </c>
      <c r="P30" s="7">
        <f t="shared" si="1"/>
        <v>8.68</v>
      </c>
      <c r="Q30" s="5" t="s">
        <v>55</v>
      </c>
    </row>
    <row r="31" spans="1:17" s="5" customFormat="1" x14ac:dyDescent="0.25">
      <c r="A31" s="5">
        <v>2030016430</v>
      </c>
      <c r="B31" s="5" t="s">
        <v>240</v>
      </c>
      <c r="C31" s="5" t="s">
        <v>122</v>
      </c>
      <c r="D31" s="5" t="s">
        <v>294</v>
      </c>
      <c r="E31" s="5" t="s">
        <v>124</v>
      </c>
      <c r="F31" s="5" t="s">
        <v>55</v>
      </c>
      <c r="G31" s="6">
        <v>45870</v>
      </c>
      <c r="H31" s="6">
        <f t="shared" si="0"/>
        <v>45901</v>
      </c>
      <c r="I31" s="5">
        <v>6</v>
      </c>
      <c r="J31" s="5" t="s">
        <v>52</v>
      </c>
      <c r="K31" s="7">
        <v>3.52</v>
      </c>
      <c r="L31" s="7">
        <v>3.52</v>
      </c>
      <c r="M31" s="5">
        <v>6</v>
      </c>
      <c r="N31" s="8">
        <v>0.7</v>
      </c>
      <c r="O31" s="7">
        <v>14.78</v>
      </c>
      <c r="P31" s="7">
        <f t="shared" si="1"/>
        <v>2.4633333333333334</v>
      </c>
      <c r="Q31" s="5" t="s">
        <v>55</v>
      </c>
    </row>
    <row r="32" spans="1:17" s="5" customFormat="1" x14ac:dyDescent="0.25">
      <c r="A32" s="5">
        <v>2029966915</v>
      </c>
      <c r="B32" s="5" t="s">
        <v>146</v>
      </c>
      <c r="C32" s="5" t="s">
        <v>67</v>
      </c>
      <c r="D32" s="5" t="s">
        <v>295</v>
      </c>
      <c r="E32" s="5" t="s">
        <v>148</v>
      </c>
      <c r="F32" s="5" t="s">
        <v>55</v>
      </c>
      <c r="G32" s="6">
        <v>45870</v>
      </c>
      <c r="H32" s="6">
        <f t="shared" si="0"/>
        <v>45901</v>
      </c>
      <c r="I32" s="5">
        <v>6</v>
      </c>
      <c r="J32" s="5" t="s">
        <v>52</v>
      </c>
      <c r="K32" s="7">
        <v>85.62</v>
      </c>
      <c r="L32" s="7">
        <v>85.62</v>
      </c>
      <c r="M32" s="5">
        <v>6</v>
      </c>
      <c r="N32" s="8">
        <v>0.7</v>
      </c>
      <c r="O32" s="7">
        <v>359.6</v>
      </c>
      <c r="P32" s="7">
        <f t="shared" si="1"/>
        <v>59.933333333333337</v>
      </c>
      <c r="Q32" s="5" t="s">
        <v>55</v>
      </c>
    </row>
    <row r="33" spans="1:17" s="5" customFormat="1" x14ac:dyDescent="0.25">
      <c r="A33" s="5">
        <v>2029963379</v>
      </c>
      <c r="B33" s="5" t="s">
        <v>138</v>
      </c>
      <c r="C33" s="5" t="s">
        <v>67</v>
      </c>
      <c r="D33" s="5" t="s">
        <v>296</v>
      </c>
      <c r="E33" s="5" t="s">
        <v>140</v>
      </c>
      <c r="F33" s="5" t="s">
        <v>55</v>
      </c>
      <c r="G33" s="6">
        <v>45854</v>
      </c>
      <c r="H33" s="6">
        <f t="shared" si="0"/>
        <v>45885</v>
      </c>
      <c r="I33" s="5">
        <v>6</v>
      </c>
      <c r="J33" s="5" t="s">
        <v>52</v>
      </c>
      <c r="K33" s="7">
        <v>20.56</v>
      </c>
      <c r="L33" s="7">
        <v>20.56</v>
      </c>
      <c r="M33" s="5">
        <v>6</v>
      </c>
      <c r="N33" s="8">
        <v>0.7</v>
      </c>
      <c r="O33" s="7">
        <v>86.35</v>
      </c>
      <c r="P33" s="7">
        <f t="shared" si="1"/>
        <v>14.391666666666666</v>
      </c>
      <c r="Q33" s="5" t="s">
        <v>55</v>
      </c>
    </row>
    <row r="34" spans="1:17" s="5" customFormat="1" x14ac:dyDescent="0.25">
      <c r="A34" s="5">
        <v>2030016326</v>
      </c>
      <c r="B34" s="5" t="s">
        <v>238</v>
      </c>
      <c r="C34" s="5" t="s">
        <v>67</v>
      </c>
      <c r="D34" s="5" t="s">
        <v>296</v>
      </c>
      <c r="E34" s="5" t="s">
        <v>140</v>
      </c>
      <c r="F34" s="5" t="s">
        <v>55</v>
      </c>
      <c r="G34" s="6">
        <v>45856</v>
      </c>
      <c r="H34" s="6">
        <f t="shared" si="0"/>
        <v>45887</v>
      </c>
      <c r="I34" s="5">
        <v>6</v>
      </c>
      <c r="J34" s="5" t="s">
        <v>52</v>
      </c>
      <c r="K34" s="7">
        <v>60.25</v>
      </c>
      <c r="L34" s="7">
        <v>60.25</v>
      </c>
      <c r="M34" s="5">
        <v>6</v>
      </c>
      <c r="N34" s="8">
        <v>0.7</v>
      </c>
      <c r="O34" s="7">
        <v>253.05</v>
      </c>
      <c r="P34" s="7">
        <f t="shared" si="1"/>
        <v>42.175000000000004</v>
      </c>
      <c r="Q34" s="5" t="s">
        <v>55</v>
      </c>
    </row>
    <row r="35" spans="1:17" s="5" customFormat="1" x14ac:dyDescent="0.25">
      <c r="A35" s="5">
        <v>2030016857</v>
      </c>
      <c r="B35" s="5" t="s">
        <v>140</v>
      </c>
      <c r="C35" s="5" t="s">
        <v>67</v>
      </c>
      <c r="D35" s="5" t="s">
        <v>296</v>
      </c>
      <c r="E35" s="5" t="s">
        <v>140</v>
      </c>
      <c r="F35" s="5" t="s">
        <v>55</v>
      </c>
      <c r="G35" s="6">
        <v>45856</v>
      </c>
      <c r="H35" s="6">
        <f t="shared" si="0"/>
        <v>45887</v>
      </c>
      <c r="I35" s="5">
        <v>6</v>
      </c>
      <c r="J35" s="5" t="s">
        <v>52</v>
      </c>
      <c r="K35" s="7">
        <v>51</v>
      </c>
      <c r="L35" s="7">
        <v>51</v>
      </c>
      <c r="M35" s="5">
        <v>6</v>
      </c>
      <c r="N35" s="8">
        <v>0.7</v>
      </c>
      <c r="O35" s="7">
        <v>214.2</v>
      </c>
      <c r="P35" s="7">
        <f t="shared" si="1"/>
        <v>35.699999999999996</v>
      </c>
      <c r="Q35" s="5" t="s">
        <v>55</v>
      </c>
    </row>
    <row r="36" spans="1:17" s="5" customFormat="1" x14ac:dyDescent="0.25">
      <c r="A36" s="5">
        <v>2030017049</v>
      </c>
      <c r="B36" s="5" t="s">
        <v>245</v>
      </c>
      <c r="C36" s="5" t="s">
        <v>67</v>
      </c>
      <c r="D36" s="5" t="s">
        <v>296</v>
      </c>
      <c r="E36" s="5" t="s">
        <v>140</v>
      </c>
      <c r="F36" s="5" t="s">
        <v>55</v>
      </c>
      <c r="G36" s="6">
        <v>45856</v>
      </c>
      <c r="H36" s="6">
        <f t="shared" si="0"/>
        <v>45887</v>
      </c>
      <c r="I36" s="5">
        <v>6</v>
      </c>
      <c r="J36" s="5" t="s">
        <v>52</v>
      </c>
      <c r="K36" s="7">
        <v>34</v>
      </c>
      <c r="L36" s="7">
        <v>34</v>
      </c>
      <c r="M36" s="5">
        <v>6</v>
      </c>
      <c r="N36" s="8">
        <v>0.7</v>
      </c>
      <c r="O36" s="7">
        <v>142.80000000000001</v>
      </c>
      <c r="P36" s="7">
        <f t="shared" si="1"/>
        <v>23.8</v>
      </c>
      <c r="Q36" s="5" t="s">
        <v>55</v>
      </c>
    </row>
    <row r="37" spans="1:17" s="5" customFormat="1" x14ac:dyDescent="0.25">
      <c r="A37" s="5">
        <v>2030055437</v>
      </c>
      <c r="B37" s="5" t="s">
        <v>264</v>
      </c>
      <c r="C37" s="5" t="s">
        <v>67</v>
      </c>
      <c r="D37" s="5" t="s">
        <v>296</v>
      </c>
      <c r="E37" s="5" t="s">
        <v>140</v>
      </c>
      <c r="F37" s="5" t="s">
        <v>55</v>
      </c>
      <c r="G37" s="6">
        <v>45859</v>
      </c>
      <c r="H37" s="6">
        <f t="shared" si="0"/>
        <v>45890</v>
      </c>
      <c r="I37" s="5">
        <v>6</v>
      </c>
      <c r="J37" s="5" t="s">
        <v>52</v>
      </c>
      <c r="K37" s="7">
        <v>32.200000000000003</v>
      </c>
      <c r="L37" s="7">
        <v>32.200000000000003</v>
      </c>
      <c r="M37" s="5">
        <v>6</v>
      </c>
      <c r="N37" s="8">
        <v>0.7</v>
      </c>
      <c r="O37" s="7">
        <v>135.24</v>
      </c>
      <c r="P37" s="7">
        <f t="shared" si="1"/>
        <v>22.540000000000003</v>
      </c>
      <c r="Q37" s="5" t="s">
        <v>55</v>
      </c>
    </row>
    <row r="38" spans="1:17" s="5" customFormat="1" x14ac:dyDescent="0.25">
      <c r="A38" s="5">
        <v>2030055518</v>
      </c>
      <c r="B38" s="5" t="s">
        <v>266</v>
      </c>
      <c r="C38" s="5" t="s">
        <v>67</v>
      </c>
      <c r="D38" s="5" t="s">
        <v>296</v>
      </c>
      <c r="E38" s="5" t="s">
        <v>140</v>
      </c>
      <c r="F38" s="5" t="s">
        <v>55</v>
      </c>
      <c r="G38" s="6">
        <v>45859</v>
      </c>
      <c r="H38" s="6">
        <f t="shared" si="0"/>
        <v>45890</v>
      </c>
      <c r="I38" s="5">
        <v>6</v>
      </c>
      <c r="J38" s="5" t="s">
        <v>52</v>
      </c>
      <c r="K38" s="7">
        <v>34</v>
      </c>
      <c r="L38" s="7">
        <v>34</v>
      </c>
      <c r="M38" s="5">
        <v>6</v>
      </c>
      <c r="N38" s="8">
        <v>0.7</v>
      </c>
      <c r="O38" s="7">
        <v>142.80000000000001</v>
      </c>
      <c r="P38" s="7">
        <f t="shared" si="1"/>
        <v>23.8</v>
      </c>
      <c r="Q38" s="5" t="s">
        <v>55</v>
      </c>
    </row>
    <row r="39" spans="1:17" s="5" customFormat="1" x14ac:dyDescent="0.25">
      <c r="A39" s="5">
        <v>2029973759</v>
      </c>
      <c r="B39" s="5" t="s">
        <v>186</v>
      </c>
      <c r="C39" s="5" t="s">
        <v>74</v>
      </c>
      <c r="D39" s="5" t="s">
        <v>297</v>
      </c>
      <c r="E39" s="5" t="s">
        <v>188</v>
      </c>
      <c r="F39" s="5" t="s">
        <v>55</v>
      </c>
      <c r="G39" s="6">
        <v>45854</v>
      </c>
      <c r="H39" s="6">
        <f t="shared" si="0"/>
        <v>45885</v>
      </c>
      <c r="I39" s="5">
        <v>6</v>
      </c>
      <c r="J39" s="5" t="s">
        <v>52</v>
      </c>
      <c r="K39" s="7">
        <v>115.98</v>
      </c>
      <c r="L39" s="7">
        <v>115.98</v>
      </c>
      <c r="M39" s="5">
        <v>6</v>
      </c>
      <c r="N39" s="8">
        <v>0.7</v>
      </c>
      <c r="O39" s="7">
        <v>487.12</v>
      </c>
      <c r="P39" s="7">
        <f t="shared" si="1"/>
        <v>81.186666666666667</v>
      </c>
      <c r="Q39" s="5" t="s">
        <v>55</v>
      </c>
    </row>
    <row r="40" spans="1:17" s="5" customFormat="1" x14ac:dyDescent="0.25">
      <c r="A40" s="5">
        <v>2029985852</v>
      </c>
      <c r="B40" s="5" t="s">
        <v>200</v>
      </c>
      <c r="C40" s="5" t="s">
        <v>67</v>
      </c>
      <c r="D40" s="5" t="s">
        <v>298</v>
      </c>
      <c r="E40" s="5" t="s">
        <v>202</v>
      </c>
      <c r="F40" s="5" t="s">
        <v>55</v>
      </c>
      <c r="G40" s="6">
        <v>45855</v>
      </c>
      <c r="H40" s="6">
        <f t="shared" si="0"/>
        <v>45886</v>
      </c>
      <c r="I40" s="5">
        <v>6</v>
      </c>
      <c r="J40" s="5" t="s">
        <v>52</v>
      </c>
      <c r="K40" s="7">
        <v>15.75</v>
      </c>
      <c r="L40" s="7">
        <v>15.75</v>
      </c>
      <c r="M40" s="5">
        <v>6</v>
      </c>
      <c r="N40" s="8">
        <v>0.7</v>
      </c>
      <c r="O40" s="7">
        <v>66.150000000000006</v>
      </c>
      <c r="P40" s="7">
        <f t="shared" si="1"/>
        <v>11.025</v>
      </c>
      <c r="Q40" s="5" t="s">
        <v>55</v>
      </c>
    </row>
    <row r="41" spans="1:17" s="5" customFormat="1" x14ac:dyDescent="0.25">
      <c r="A41" s="5">
        <v>2029938123</v>
      </c>
      <c r="B41" s="5" t="s">
        <v>81</v>
      </c>
      <c r="C41" s="5" t="s">
        <v>82</v>
      </c>
      <c r="D41" s="5" t="s">
        <v>300</v>
      </c>
      <c r="E41" s="5" t="s">
        <v>84</v>
      </c>
      <c r="F41" s="5" t="s">
        <v>55</v>
      </c>
      <c r="G41" s="6">
        <v>45853</v>
      </c>
      <c r="H41" s="6">
        <f t="shared" si="0"/>
        <v>45884</v>
      </c>
      <c r="I41" s="5">
        <v>6</v>
      </c>
      <c r="J41" s="5" t="s">
        <v>52</v>
      </c>
      <c r="K41" s="7">
        <v>75.900000000000006</v>
      </c>
      <c r="L41" s="7">
        <v>75.900000000000006</v>
      </c>
      <c r="M41" s="5">
        <v>6</v>
      </c>
      <c r="N41" s="8">
        <v>0.7</v>
      </c>
      <c r="O41" s="7">
        <v>318.77999999999997</v>
      </c>
      <c r="P41" s="7">
        <f t="shared" si="1"/>
        <v>53.129999999999995</v>
      </c>
      <c r="Q41" s="5" t="s">
        <v>55</v>
      </c>
    </row>
    <row r="42" spans="1:17" s="5" customFormat="1" x14ac:dyDescent="0.25">
      <c r="A42" s="5">
        <v>2029962418</v>
      </c>
      <c r="B42" s="5" t="s">
        <v>133</v>
      </c>
      <c r="C42" s="5" t="s">
        <v>46</v>
      </c>
      <c r="D42" s="5" t="s">
        <v>288</v>
      </c>
      <c r="E42" s="5" t="s">
        <v>135</v>
      </c>
      <c r="F42" s="5" t="s">
        <v>50</v>
      </c>
      <c r="G42" s="6">
        <v>45870</v>
      </c>
      <c r="H42" s="6">
        <f t="shared" si="0"/>
        <v>45901</v>
      </c>
      <c r="I42" s="5">
        <v>6</v>
      </c>
      <c r="J42" s="5" t="s">
        <v>52</v>
      </c>
      <c r="K42" s="7">
        <v>71.28</v>
      </c>
      <c r="L42" s="7">
        <v>71.28</v>
      </c>
      <c r="M42" s="5">
        <v>6</v>
      </c>
      <c r="N42" s="8">
        <v>0.375</v>
      </c>
      <c r="O42" s="7">
        <v>160.38</v>
      </c>
      <c r="P42" s="7">
        <f t="shared" si="1"/>
        <v>26.73</v>
      </c>
      <c r="Q42" s="5" t="s">
        <v>50</v>
      </c>
    </row>
    <row r="43" spans="1:17" s="5" customFormat="1" x14ac:dyDescent="0.25">
      <c r="A43" s="5">
        <v>2029969606</v>
      </c>
      <c r="B43" s="5" t="s">
        <v>169</v>
      </c>
      <c r="C43" s="5" t="s">
        <v>112</v>
      </c>
      <c r="D43" s="5" t="s">
        <v>288</v>
      </c>
      <c r="E43" s="5" t="s">
        <v>135</v>
      </c>
      <c r="F43" s="5" t="s">
        <v>50</v>
      </c>
      <c r="G43" s="6">
        <v>45854</v>
      </c>
      <c r="H43" s="6">
        <f t="shared" si="0"/>
        <v>45885</v>
      </c>
      <c r="I43" s="5">
        <v>6</v>
      </c>
      <c r="J43" s="5" t="s">
        <v>52</v>
      </c>
      <c r="K43" s="7">
        <v>63.62</v>
      </c>
      <c r="L43" s="7">
        <v>63.62</v>
      </c>
      <c r="M43" s="5">
        <v>6</v>
      </c>
      <c r="N43" s="8">
        <v>0.375</v>
      </c>
      <c r="O43" s="7">
        <v>143.15</v>
      </c>
      <c r="P43" s="7">
        <f t="shared" si="1"/>
        <v>23.858333333333334</v>
      </c>
      <c r="Q43" s="5" t="s">
        <v>50</v>
      </c>
    </row>
    <row r="44" spans="1:17" s="5" customFormat="1" x14ac:dyDescent="0.25">
      <c r="A44" s="5">
        <v>2029874506</v>
      </c>
      <c r="B44" s="5" t="s">
        <v>61</v>
      </c>
      <c r="C44" s="5" t="s">
        <v>58</v>
      </c>
      <c r="D44" s="5" t="s">
        <v>289</v>
      </c>
      <c r="E44" s="5" t="s">
        <v>63</v>
      </c>
      <c r="F44" s="5" t="s">
        <v>50</v>
      </c>
      <c r="G44" s="6">
        <v>45870</v>
      </c>
      <c r="H44" s="6">
        <f t="shared" si="0"/>
        <v>45901</v>
      </c>
      <c r="I44" s="5">
        <v>6</v>
      </c>
      <c r="J44" s="5" t="s">
        <v>52</v>
      </c>
      <c r="K44" s="7">
        <v>28.38</v>
      </c>
      <c r="L44" s="7">
        <v>28.38</v>
      </c>
      <c r="M44" s="5">
        <v>6</v>
      </c>
      <c r="N44" s="8">
        <v>0.375</v>
      </c>
      <c r="O44" s="7">
        <v>63.86</v>
      </c>
      <c r="P44" s="7">
        <f t="shared" si="1"/>
        <v>10.643333333333333</v>
      </c>
      <c r="Q44" s="5" t="s">
        <v>50</v>
      </c>
    </row>
    <row r="45" spans="1:17" s="5" customFormat="1" x14ac:dyDescent="0.25">
      <c r="A45" s="5">
        <v>2029971777</v>
      </c>
      <c r="B45" s="5" t="s">
        <v>175</v>
      </c>
      <c r="C45" s="5" t="s">
        <v>79</v>
      </c>
      <c r="D45" s="5" t="s">
        <v>289</v>
      </c>
      <c r="E45" s="5" t="s">
        <v>63</v>
      </c>
      <c r="F45" s="5" t="s">
        <v>50</v>
      </c>
      <c r="G45" s="6">
        <v>45870</v>
      </c>
      <c r="H45" s="6">
        <f t="shared" si="0"/>
        <v>45901</v>
      </c>
      <c r="I45" s="5">
        <v>6</v>
      </c>
      <c r="J45" s="5" t="s">
        <v>52</v>
      </c>
      <c r="K45" s="7">
        <v>24.54</v>
      </c>
      <c r="L45" s="7">
        <v>24.54</v>
      </c>
      <c r="M45" s="5">
        <v>6</v>
      </c>
      <c r="N45" s="8">
        <v>0.375</v>
      </c>
      <c r="O45" s="7">
        <v>55.22</v>
      </c>
      <c r="P45" s="7">
        <f t="shared" si="1"/>
        <v>9.2033333333333331</v>
      </c>
      <c r="Q45" s="5" t="s">
        <v>50</v>
      </c>
    </row>
    <row r="46" spans="1:17" s="5" customFormat="1" x14ac:dyDescent="0.25">
      <c r="A46" s="5">
        <v>2029955371</v>
      </c>
      <c r="B46" s="5" t="s">
        <v>111</v>
      </c>
      <c r="C46" s="5" t="s">
        <v>112</v>
      </c>
      <c r="D46" s="5" t="s">
        <v>291</v>
      </c>
      <c r="E46" s="5" t="s">
        <v>114</v>
      </c>
      <c r="F46" s="5" t="s">
        <v>50</v>
      </c>
      <c r="G46" s="6">
        <v>45853</v>
      </c>
      <c r="H46" s="6">
        <f t="shared" si="0"/>
        <v>45884</v>
      </c>
      <c r="I46" s="5">
        <v>6</v>
      </c>
      <c r="J46" s="5" t="s">
        <v>52</v>
      </c>
      <c r="K46" s="7">
        <v>63.62</v>
      </c>
      <c r="L46" s="7">
        <v>63.62</v>
      </c>
      <c r="M46" s="5">
        <v>6</v>
      </c>
      <c r="N46" s="8">
        <v>0.375</v>
      </c>
      <c r="O46" s="7">
        <v>143.15</v>
      </c>
      <c r="P46" s="7">
        <f t="shared" si="1"/>
        <v>23.858333333333334</v>
      </c>
      <c r="Q46" s="5" t="s">
        <v>50</v>
      </c>
    </row>
    <row r="47" spans="1:17" s="5" customFormat="1" x14ac:dyDescent="0.25">
      <c r="A47" s="5">
        <v>2029624409</v>
      </c>
      <c r="B47" s="5" t="s">
        <v>45</v>
      </c>
      <c r="C47" s="5" t="s">
        <v>46</v>
      </c>
      <c r="D47" s="5" t="s">
        <v>292</v>
      </c>
      <c r="E47" s="5" t="s">
        <v>48</v>
      </c>
      <c r="F47" s="5" t="s">
        <v>50</v>
      </c>
      <c r="G47" s="6">
        <v>45838</v>
      </c>
      <c r="H47" s="6">
        <f t="shared" si="0"/>
        <v>45868</v>
      </c>
      <c r="I47" s="5">
        <v>6</v>
      </c>
      <c r="J47" s="5" t="s">
        <v>52</v>
      </c>
      <c r="K47" s="7">
        <v>18.62</v>
      </c>
      <c r="L47" s="7">
        <v>18.62</v>
      </c>
      <c r="M47" s="5">
        <v>6</v>
      </c>
      <c r="N47" s="8">
        <v>0.375</v>
      </c>
      <c r="O47" s="7">
        <v>41.9</v>
      </c>
      <c r="P47" s="7">
        <f t="shared" si="1"/>
        <v>6.9833333333333334</v>
      </c>
      <c r="Q47" s="5" t="s">
        <v>50</v>
      </c>
    </row>
    <row r="48" spans="1:17" s="5" customFormat="1" x14ac:dyDescent="0.25">
      <c r="A48" s="5">
        <v>2029865610</v>
      </c>
      <c r="B48" s="5" t="s">
        <v>57</v>
      </c>
      <c r="C48" s="5" t="s">
        <v>58</v>
      </c>
      <c r="D48" s="5" t="s">
        <v>292</v>
      </c>
      <c r="E48" s="5" t="s">
        <v>48</v>
      </c>
      <c r="F48" s="5" t="s">
        <v>50</v>
      </c>
      <c r="G48" s="6">
        <v>45857</v>
      </c>
      <c r="H48" s="6">
        <f t="shared" si="0"/>
        <v>45888</v>
      </c>
      <c r="I48" s="5">
        <v>6</v>
      </c>
      <c r="J48" s="5" t="s">
        <v>52</v>
      </c>
      <c r="K48" s="7">
        <v>28.38</v>
      </c>
      <c r="L48" s="7">
        <v>28.38</v>
      </c>
      <c r="M48" s="5">
        <v>6</v>
      </c>
      <c r="N48" s="8">
        <v>0.375</v>
      </c>
      <c r="O48" s="7">
        <v>63.86</v>
      </c>
      <c r="P48" s="7">
        <f t="shared" si="1"/>
        <v>10.643333333333333</v>
      </c>
      <c r="Q48" s="5" t="s">
        <v>50</v>
      </c>
    </row>
    <row r="49" spans="1:17" s="5" customFormat="1" x14ac:dyDescent="0.25">
      <c r="A49" s="5">
        <v>2029957805</v>
      </c>
      <c r="B49" s="5" t="s">
        <v>121</v>
      </c>
      <c r="C49" s="5" t="s">
        <v>122</v>
      </c>
      <c r="D49" s="5" t="s">
        <v>294</v>
      </c>
      <c r="E49" s="5" t="s">
        <v>124</v>
      </c>
      <c r="F49" s="5" t="s">
        <v>50</v>
      </c>
      <c r="G49" s="6">
        <v>45854</v>
      </c>
      <c r="H49" s="6">
        <f t="shared" si="0"/>
        <v>45885</v>
      </c>
      <c r="I49" s="5">
        <v>6</v>
      </c>
      <c r="J49" s="5" t="s">
        <v>52</v>
      </c>
      <c r="K49" s="7">
        <v>58.15</v>
      </c>
      <c r="L49" s="7">
        <v>58.15</v>
      </c>
      <c r="M49" s="5">
        <v>6</v>
      </c>
      <c r="N49" s="8">
        <v>0.375</v>
      </c>
      <c r="O49" s="7">
        <v>130.84</v>
      </c>
      <c r="P49" s="7">
        <f t="shared" si="1"/>
        <v>21.806666666666668</v>
      </c>
      <c r="Q49" s="5" t="s">
        <v>50</v>
      </c>
    </row>
    <row r="50" spans="1:17" s="5" customFormat="1" x14ac:dyDescent="0.25">
      <c r="A50" s="5">
        <v>2030016432</v>
      </c>
      <c r="B50" s="5" t="s">
        <v>240</v>
      </c>
      <c r="C50" s="5" t="s">
        <v>122</v>
      </c>
      <c r="D50" s="5" t="s">
        <v>294</v>
      </c>
      <c r="E50" s="5" t="s">
        <v>124</v>
      </c>
      <c r="F50" s="5" t="s">
        <v>50</v>
      </c>
      <c r="G50" s="6">
        <v>45870</v>
      </c>
      <c r="H50" s="6">
        <f t="shared" si="0"/>
        <v>45901</v>
      </c>
      <c r="I50" s="5">
        <v>6</v>
      </c>
      <c r="J50" s="5" t="s">
        <v>52</v>
      </c>
      <c r="K50" s="7">
        <v>58.15</v>
      </c>
      <c r="L50" s="7">
        <v>58.15</v>
      </c>
      <c r="M50" s="5">
        <v>6</v>
      </c>
      <c r="N50" s="8">
        <v>0.375</v>
      </c>
      <c r="O50" s="7">
        <v>130.84</v>
      </c>
      <c r="P50" s="7">
        <f t="shared" si="1"/>
        <v>21.806666666666668</v>
      </c>
      <c r="Q50" s="5" t="s">
        <v>50</v>
      </c>
    </row>
    <row r="51" spans="1:17" s="5" customFormat="1" x14ac:dyDescent="0.25">
      <c r="A51" s="5">
        <v>2029985851</v>
      </c>
      <c r="B51" s="5" t="s">
        <v>200</v>
      </c>
      <c r="C51" s="5" t="s">
        <v>67</v>
      </c>
      <c r="D51" s="5" t="s">
        <v>298</v>
      </c>
      <c r="E51" s="5" t="s">
        <v>202</v>
      </c>
      <c r="F51" s="5" t="s">
        <v>50</v>
      </c>
      <c r="G51" s="6">
        <v>45855</v>
      </c>
      <c r="H51" s="6">
        <f t="shared" si="0"/>
        <v>45886</v>
      </c>
      <c r="I51" s="5">
        <v>6</v>
      </c>
      <c r="J51" s="5" t="s">
        <v>52</v>
      </c>
      <c r="K51" s="7">
        <v>149.87</v>
      </c>
      <c r="L51" s="7">
        <v>149.87</v>
      </c>
      <c r="M51" s="5">
        <v>6</v>
      </c>
      <c r="N51" s="8">
        <v>0.375</v>
      </c>
      <c r="O51" s="7">
        <v>337.21</v>
      </c>
      <c r="P51" s="7">
        <f t="shared" si="1"/>
        <v>56.201666666666661</v>
      </c>
      <c r="Q51" s="5" t="s">
        <v>50</v>
      </c>
    </row>
    <row r="52" spans="1:17" s="5" customFormat="1" x14ac:dyDescent="0.25">
      <c r="A52" s="5">
        <v>2029976823</v>
      </c>
      <c r="B52" s="5" t="s">
        <v>190</v>
      </c>
      <c r="C52" s="5" t="s">
        <v>165</v>
      </c>
      <c r="D52" s="5" t="s">
        <v>299</v>
      </c>
      <c r="E52" s="5" t="s">
        <v>192</v>
      </c>
      <c r="F52" s="5" t="s">
        <v>50</v>
      </c>
      <c r="G52" s="6">
        <v>45854</v>
      </c>
      <c r="H52" s="6">
        <f t="shared" si="0"/>
        <v>45885</v>
      </c>
      <c r="I52" s="5">
        <v>6</v>
      </c>
      <c r="J52" s="5" t="s">
        <v>52</v>
      </c>
      <c r="K52" s="7">
        <v>49.12</v>
      </c>
      <c r="L52" s="7">
        <v>49.12</v>
      </c>
      <c r="M52" s="5">
        <v>6</v>
      </c>
      <c r="N52" s="8">
        <v>0.375</v>
      </c>
      <c r="O52" s="7">
        <v>110.52</v>
      </c>
      <c r="P52" s="7">
        <f t="shared" si="1"/>
        <v>18.419999999999998</v>
      </c>
      <c r="Q52" s="5" t="s">
        <v>50</v>
      </c>
    </row>
    <row r="53" spans="1:17" s="5" customFormat="1" x14ac:dyDescent="0.25">
      <c r="A53" s="5">
        <v>2029938125</v>
      </c>
      <c r="B53" s="5" t="s">
        <v>81</v>
      </c>
      <c r="C53" s="5" t="s">
        <v>82</v>
      </c>
      <c r="D53" s="5" t="s">
        <v>300</v>
      </c>
      <c r="E53" s="5" t="s">
        <v>84</v>
      </c>
      <c r="F53" s="5" t="s">
        <v>50</v>
      </c>
      <c r="G53" s="6">
        <v>45853</v>
      </c>
      <c r="H53" s="6">
        <f t="shared" si="0"/>
        <v>45884</v>
      </c>
      <c r="I53" s="5">
        <v>6</v>
      </c>
      <c r="J53" s="5" t="s">
        <v>52</v>
      </c>
      <c r="K53" s="7">
        <v>110.61</v>
      </c>
      <c r="L53" s="7">
        <v>110.61</v>
      </c>
      <c r="M53" s="5">
        <v>6</v>
      </c>
      <c r="N53" s="8">
        <v>0.375</v>
      </c>
      <c r="O53" s="7">
        <v>248.87</v>
      </c>
      <c r="P53" s="7">
        <f t="shared" si="1"/>
        <v>41.478333333333332</v>
      </c>
      <c r="Q53" s="5" t="s">
        <v>50</v>
      </c>
    </row>
    <row r="54" spans="1:17" s="5" customFormat="1" x14ac:dyDescent="0.25">
      <c r="A54" s="5">
        <v>2030009011</v>
      </c>
      <c r="B54" s="5" t="s">
        <v>235</v>
      </c>
      <c r="C54" s="5" t="s">
        <v>67</v>
      </c>
      <c r="D54" s="5" t="s">
        <v>293</v>
      </c>
      <c r="E54" s="5" t="s">
        <v>129</v>
      </c>
      <c r="F54" s="5" t="s">
        <v>236</v>
      </c>
      <c r="G54" s="6">
        <v>45856</v>
      </c>
      <c r="H54" s="6">
        <f t="shared" si="0"/>
        <v>45887</v>
      </c>
      <c r="I54" s="5">
        <v>6</v>
      </c>
      <c r="J54" s="5" t="s">
        <v>52</v>
      </c>
      <c r="K54" s="7">
        <v>58.46</v>
      </c>
      <c r="L54" s="7">
        <v>58.46</v>
      </c>
      <c r="M54" s="5">
        <v>6</v>
      </c>
      <c r="N54" s="8">
        <v>0.9</v>
      </c>
      <c r="O54" s="7">
        <v>315.68</v>
      </c>
      <c r="P54" s="7">
        <f t="shared" si="1"/>
        <v>52.613333333333337</v>
      </c>
      <c r="Q54" s="5" t="s">
        <v>236</v>
      </c>
    </row>
  </sheetData>
  <sortState xmlns:xlrd2="http://schemas.microsoft.com/office/spreadsheetml/2017/richdata2" ref="A2:AF54">
    <sortCondition ref="F2:F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649163__Newbusiness_NEW_BUSINES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2025-07-28T18:01:22Z</dcterms:created>
  <dcterms:modified xsi:type="dcterms:W3CDTF">2025-07-29T17:49:16Z</dcterms:modified>
</cp:coreProperties>
</file>