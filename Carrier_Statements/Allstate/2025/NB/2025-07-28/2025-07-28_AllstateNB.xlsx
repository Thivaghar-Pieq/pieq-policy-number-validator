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7-28-25\"/>
    </mc:Choice>
  </mc:AlternateContent>
  <xr:revisionPtr revIDLastSave="0" documentId="13_ncr:9_{B68AF041-0C0B-4009-A080-29645F42A04D}" xr6:coauthVersionLast="47" xr6:coauthVersionMax="47" xr10:uidLastSave="{00000000-0000-0000-0000-000000000000}"/>
  <bookViews>
    <workbookView xWindow="28680" yWindow="-120" windowWidth="29040" windowHeight="16440" xr2:uid="{15301290-A084-4C8A-98F2-4E1948135C0F}"/>
  </bookViews>
  <sheets>
    <sheet name="649163__Newbusiness_NEW_BUSINES" sheetId="1" r:id="rId1"/>
  </sheets>
  <calcPr calcId="0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2" i="1"/>
</calcChain>
</file>

<file path=xl/sharedStrings.xml><?xml version="1.0" encoding="utf-8"?>
<sst xmlns="http://schemas.openxmlformats.org/spreadsheetml/2006/main" count="350" uniqueCount="95">
  <si>
    <t>Policy Number</t>
  </si>
  <si>
    <t>Policyholder Name</t>
  </si>
  <si>
    <t>Address</t>
  </si>
  <si>
    <t>State</t>
  </si>
  <si>
    <t>Writing Agent ID</t>
  </si>
  <si>
    <t>Writing Agent Name</t>
  </si>
  <si>
    <t>Policy Status</t>
  </si>
  <si>
    <t>Product</t>
  </si>
  <si>
    <t>Issue Date</t>
  </si>
  <si>
    <t>Collected Premium</t>
  </si>
  <si>
    <t>Commissionable</t>
  </si>
  <si>
    <t>Months Advanced</t>
  </si>
  <si>
    <t>Commission Rate</t>
  </si>
  <si>
    <t>Gross Commission</t>
  </si>
  <si>
    <t>ELIZABETH SAKANIS</t>
  </si>
  <si>
    <t>IL</t>
  </si>
  <si>
    <t>ANTHONY HUNSBERGER</t>
  </si>
  <si>
    <t>Active</t>
  </si>
  <si>
    <t>Plan Enhancer 20214</t>
  </si>
  <si>
    <t>SELECT DENTAL 29304</t>
  </si>
  <si>
    <t>EMILY WHITAKER</t>
  </si>
  <si>
    <t>CO</t>
  </si>
  <si>
    <t>HEATHER MILLER</t>
  </si>
  <si>
    <t>NHIC LM 2021 Hospital Expense Protection U65</t>
  </si>
  <si>
    <t>Cancer and Heart/Stroke 20231 CO-FL-MN-MI</t>
  </si>
  <si>
    <t>AKRAM NASHER</t>
  </si>
  <si>
    <t>ANDREW CHOI</t>
  </si>
  <si>
    <t>My Life Wellness Senior 5018 5019 Standalone</t>
  </si>
  <si>
    <t>Dental Indemnity 21618</t>
  </si>
  <si>
    <t>JUNETTA WRIGHT</t>
  </si>
  <si>
    <t>OK</t>
  </si>
  <si>
    <t>THOMAS PARDUE</t>
  </si>
  <si>
    <t>Term Life 21673</t>
  </si>
  <si>
    <t>DEBRA CORNELISON</t>
  </si>
  <si>
    <t>AZ</t>
  </si>
  <si>
    <t>SHERYL SLOAN</t>
  </si>
  <si>
    <t>RICHARD YALE</t>
  </si>
  <si>
    <t>BARBARA HOCKER</t>
  </si>
  <si>
    <t>TOM SERIO</t>
  </si>
  <si>
    <t>NHIC Dental 2020 DVH 65+</t>
  </si>
  <si>
    <t>LA HICKS</t>
  </si>
  <si>
    <t>LATESHA ROSE</t>
  </si>
  <si>
    <t>ROGER KESTLER</t>
  </si>
  <si>
    <t>OR</t>
  </si>
  <si>
    <t>CECILIA RUDESILL</t>
  </si>
  <si>
    <t>Cancer and Heart/Stroke GI 20231</t>
  </si>
  <si>
    <t>DEBORAH SOLLITT</t>
  </si>
  <si>
    <t>VICTOR FUENTES</t>
  </si>
  <si>
    <t>Allstate Health Access</t>
  </si>
  <si>
    <t>Life Association Access</t>
  </si>
  <si>
    <t>NASANJARGAL ZANA</t>
  </si>
  <si>
    <t>NASANDELGER ZANA</t>
  </si>
  <si>
    <t>TONYA BLACK</t>
  </si>
  <si>
    <t>WA</t>
  </si>
  <si>
    <t>JAKE SHULMAN</t>
  </si>
  <si>
    <t>Critical Illness w/ Term Life 21677</t>
  </si>
  <si>
    <t>MIKE WEASE</t>
  </si>
  <si>
    <t>JAMES ALLEN</t>
  </si>
  <si>
    <t>KEERA BROMLEY</t>
  </si>
  <si>
    <t>BARRY SCHUMANN</t>
  </si>
  <si>
    <t>LEXIE BERGMAN</t>
  </si>
  <si>
    <t>FL</t>
  </si>
  <si>
    <t>AMBER RASMUSSEN</t>
  </si>
  <si>
    <t>LAUREN CARR</t>
  </si>
  <si>
    <t>WILLIAM GESKE</t>
  </si>
  <si>
    <t>MARIUS ACHIMAS</t>
  </si>
  <si>
    <t>DAWN THORNTON</t>
  </si>
  <si>
    <t>IN</t>
  </si>
  <si>
    <t>MARCIE HOUSE</t>
  </si>
  <si>
    <t>GARY HUMMEL</t>
  </si>
  <si>
    <t>OH</t>
  </si>
  <si>
    <t>JENNIFER HALSAVER</t>
  </si>
  <si>
    <t>ANGELA BENJAMIN</t>
  </si>
  <si>
    <t>NC</t>
  </si>
  <si>
    <t>KIRK TIGUE</t>
  </si>
  <si>
    <t>RALUCA CHEREGI</t>
  </si>
  <si>
    <t>7470776AV6</t>
  </si>
  <si>
    <t>7146581AV6</t>
  </si>
  <si>
    <t>19586992AV6</t>
  </si>
  <si>
    <t>16865615AV6</t>
  </si>
  <si>
    <t>18201929AV6</t>
  </si>
  <si>
    <t>17143996AV6</t>
  </si>
  <si>
    <t>21564088AV6</t>
  </si>
  <si>
    <t>21421111AV6</t>
  </si>
  <si>
    <t>21436172AV6</t>
  </si>
  <si>
    <t>20220688AV6</t>
  </si>
  <si>
    <t>16633294AV6</t>
  </si>
  <si>
    <t>371819AV6</t>
  </si>
  <si>
    <t>20490188AV6</t>
  </si>
  <si>
    <t>21283956AV6</t>
  </si>
  <si>
    <t>21313588AV6</t>
  </si>
  <si>
    <t>Cancer and Heart-Stroke 20231 CO-FL-MN-MI</t>
  </si>
  <si>
    <t>Cancer and Heart-Stroke 20231</t>
  </si>
  <si>
    <t>Critical Illness with Term Life 21677</t>
  </si>
  <si>
    <t>My Life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</si>
</sst>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9DFE-4A68-46FB-B79A-5D074489D103}">
  <dimension ref="A1:AE49"/>
  <sheetViews>
    <sheetView tabSelected="1" workbookViewId="0">
      <selection activeCell="N2" sqref="N2"/>
    </sheetView>
  </sheetViews>
  <sheetFormatPr defaultRowHeight="15" x14ac:dyDescent="0.25"/>
  <cols>
    <col min="1" max="1" width="14.28515625" bestFit="1" customWidth="1"/>
    <col min="5" max="5" width="15.7109375" bestFit="1" customWidth="1"/>
    <col min="6" max="6" width="23.7109375" bestFit="1" customWidth="1"/>
    <col min="8" max="8" width="43" bestFit="1" customWidth="1"/>
    <col min="9" max="9" width="9.7109375" bestFit="1" customWidth="1"/>
    <col min="15" max="15" width="9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s="1" customFormat="1" x14ac:dyDescent="0.25">
      <c r="A2" s="1">
        <v>2030071688</v>
      </c>
      <c r="B2" s="1" t="s">
        <v>46</v>
      </c>
      <c r="D2" s="1" t="s">
        <v>15</v>
      </c>
      <c r="E2" s="1" t="s">
        <v>89</v>
      </c>
      <c r="F2" s="1" t="s">
        <v>47</v>
      </c>
      <c r="G2" s="1" t="s">
        <v>17</v>
      </c>
      <c r="H2" s="1" t="s">
        <v>48</v>
      </c>
      <c r="I2" s="2">
        <v>45870</v>
      </c>
      <c r="J2" s="3">
        <v>241.74</v>
      </c>
      <c r="K2" s="3">
        <v>241.74</v>
      </c>
      <c r="L2" s="1">
        <v>6</v>
      </c>
      <c r="M2" s="4">
        <v>0.38</v>
      </c>
      <c r="N2" s="3">
        <v>551.16999999999996</v>
      </c>
      <c r="O2" s="3">
        <f>N2/6</f>
        <v>91.861666666666665</v>
      </c>
      <c r="P2" s="1" t="s">
        <v>23</v>
      </c>
    </row>
    <row r="3" spans="1:16" s="1" customFormat="1" x14ac:dyDescent="0.25">
      <c r="A3" s="1">
        <v>2029619221</v>
      </c>
      <c r="B3" s="1" t="s">
        <v>20</v>
      </c>
      <c r="D3" s="1" t="s">
        <v>21</v>
      </c>
      <c r="E3" s="1" t="s">
        <v>79</v>
      </c>
      <c r="F3" s="1" t="s">
        <v>22</v>
      </c>
      <c r="G3" s="1" t="s">
        <v>17</v>
      </c>
      <c r="H3" s="1" t="s">
        <v>24</v>
      </c>
      <c r="I3" s="2">
        <v>45870</v>
      </c>
      <c r="J3" s="3">
        <v>20.76</v>
      </c>
      <c r="K3" s="3">
        <v>20.76</v>
      </c>
      <c r="L3" s="1">
        <v>6</v>
      </c>
      <c r="M3" s="4">
        <v>0.65</v>
      </c>
      <c r="N3" s="3">
        <v>80.959999999999994</v>
      </c>
      <c r="O3" s="3">
        <f t="shared" ref="O3:O49" si="0">N3/6</f>
        <v>13.493333333333332</v>
      </c>
      <c r="P3" s="1" t="s">
        <v>91</v>
      </c>
    </row>
    <row r="4" spans="1:16" s="1" customFormat="1" x14ac:dyDescent="0.25">
      <c r="A4" s="1">
        <v>2030068616</v>
      </c>
      <c r="B4" s="1" t="s">
        <v>44</v>
      </c>
      <c r="D4" s="1" t="s">
        <v>21</v>
      </c>
      <c r="E4" s="1" t="s">
        <v>79</v>
      </c>
      <c r="F4" s="1" t="s">
        <v>22</v>
      </c>
      <c r="G4" s="1" t="s">
        <v>17</v>
      </c>
      <c r="H4" s="1" t="s">
        <v>45</v>
      </c>
      <c r="I4" s="2">
        <v>45870</v>
      </c>
      <c r="J4" s="3">
        <v>13.42</v>
      </c>
      <c r="K4" s="3">
        <v>13.42</v>
      </c>
      <c r="L4" s="1">
        <v>6</v>
      </c>
      <c r="M4" s="4">
        <v>0.75</v>
      </c>
      <c r="N4" s="3">
        <v>60.39</v>
      </c>
      <c r="O4" s="3">
        <f t="shared" si="0"/>
        <v>10.065</v>
      </c>
      <c r="P4" s="1" t="s">
        <v>92</v>
      </c>
    </row>
    <row r="5" spans="1:16" s="1" customFormat="1" x14ac:dyDescent="0.25">
      <c r="A5" s="1">
        <v>2030077439</v>
      </c>
      <c r="B5" s="1" t="s">
        <v>52</v>
      </c>
      <c r="D5" s="1" t="s">
        <v>53</v>
      </c>
      <c r="E5" s="1" t="s">
        <v>80</v>
      </c>
      <c r="F5" s="1" t="s">
        <v>54</v>
      </c>
      <c r="G5" s="1" t="s">
        <v>17</v>
      </c>
      <c r="H5" s="1" t="s">
        <v>45</v>
      </c>
      <c r="I5" s="2">
        <v>45860</v>
      </c>
      <c r="J5" s="3">
        <v>48.01</v>
      </c>
      <c r="K5" s="3">
        <v>48.01</v>
      </c>
      <c r="L5" s="1">
        <v>6</v>
      </c>
      <c r="M5" s="4">
        <v>0.75</v>
      </c>
      <c r="N5" s="3">
        <v>216.05</v>
      </c>
      <c r="O5" s="3">
        <f t="shared" si="0"/>
        <v>36.008333333333333</v>
      </c>
      <c r="P5" s="1" t="s">
        <v>92</v>
      </c>
    </row>
    <row r="6" spans="1:16" s="1" customFormat="1" x14ac:dyDescent="0.25">
      <c r="A6" s="1">
        <v>2030100065</v>
      </c>
      <c r="B6" s="1" t="s">
        <v>62</v>
      </c>
      <c r="D6" s="1" t="s">
        <v>15</v>
      </c>
      <c r="E6" s="1" t="s">
        <v>80</v>
      </c>
      <c r="F6" s="1" t="s">
        <v>54</v>
      </c>
      <c r="G6" s="1" t="s">
        <v>17</v>
      </c>
      <c r="H6" s="1" t="s">
        <v>45</v>
      </c>
      <c r="I6" s="2">
        <v>45870</v>
      </c>
      <c r="J6" s="3">
        <v>21.78</v>
      </c>
      <c r="K6" s="3">
        <v>21.78</v>
      </c>
      <c r="L6" s="1">
        <v>6</v>
      </c>
      <c r="M6" s="4">
        <v>0.75</v>
      </c>
      <c r="N6" s="3">
        <v>98.01</v>
      </c>
      <c r="O6" s="3">
        <f t="shared" si="0"/>
        <v>16.335000000000001</v>
      </c>
      <c r="P6" s="1" t="s">
        <v>92</v>
      </c>
    </row>
    <row r="7" spans="1:16" s="1" customFormat="1" x14ac:dyDescent="0.25">
      <c r="A7" s="1">
        <v>2030127212</v>
      </c>
      <c r="B7" s="1" t="s">
        <v>69</v>
      </c>
      <c r="D7" s="1" t="s">
        <v>70</v>
      </c>
      <c r="E7" s="1" t="s">
        <v>82</v>
      </c>
      <c r="F7" s="1" t="s">
        <v>71</v>
      </c>
      <c r="G7" s="1" t="s">
        <v>17</v>
      </c>
      <c r="H7" s="1" t="s">
        <v>45</v>
      </c>
      <c r="I7" s="2">
        <v>45870</v>
      </c>
      <c r="J7" s="3">
        <v>86.14</v>
      </c>
      <c r="K7" s="3">
        <v>86.14</v>
      </c>
      <c r="L7" s="1">
        <v>6</v>
      </c>
      <c r="M7" s="4">
        <v>0.75</v>
      </c>
      <c r="N7" s="3">
        <v>387.63</v>
      </c>
      <c r="O7" s="3">
        <f t="shared" si="0"/>
        <v>64.605000000000004</v>
      </c>
      <c r="P7" s="1" t="s">
        <v>92</v>
      </c>
    </row>
    <row r="8" spans="1:16" s="1" customFormat="1" x14ac:dyDescent="0.25">
      <c r="A8" s="1">
        <v>2030071687</v>
      </c>
      <c r="B8" s="1" t="s">
        <v>46</v>
      </c>
      <c r="D8" s="1" t="s">
        <v>15</v>
      </c>
      <c r="E8" s="1" t="s">
        <v>89</v>
      </c>
      <c r="F8" s="1" t="s">
        <v>47</v>
      </c>
      <c r="G8" s="1" t="s">
        <v>17</v>
      </c>
      <c r="H8" s="1" t="s">
        <v>45</v>
      </c>
      <c r="I8" s="2">
        <v>45870</v>
      </c>
      <c r="J8" s="3">
        <v>174.01</v>
      </c>
      <c r="K8" s="3">
        <v>174.01</v>
      </c>
      <c r="L8" s="1">
        <v>6</v>
      </c>
      <c r="M8" s="4">
        <v>0.75</v>
      </c>
      <c r="N8" s="3">
        <v>783.05</v>
      </c>
      <c r="O8" s="3">
        <f t="shared" si="0"/>
        <v>130.50833333333333</v>
      </c>
      <c r="P8" s="1" t="s">
        <v>92</v>
      </c>
    </row>
    <row r="9" spans="1:16" s="1" customFormat="1" x14ac:dyDescent="0.25">
      <c r="A9" s="1">
        <v>2030145092</v>
      </c>
      <c r="B9" s="1" t="s">
        <v>75</v>
      </c>
      <c r="D9" s="1" t="s">
        <v>15</v>
      </c>
      <c r="E9" s="1" t="s">
        <v>76</v>
      </c>
      <c r="F9" s="1" t="s">
        <v>26</v>
      </c>
      <c r="G9" s="1" t="s">
        <v>17</v>
      </c>
      <c r="H9" s="1" t="s">
        <v>55</v>
      </c>
      <c r="I9" s="2">
        <v>45864</v>
      </c>
      <c r="J9" s="3">
        <v>62.71</v>
      </c>
      <c r="K9" s="3">
        <v>62.71</v>
      </c>
      <c r="L9" s="1">
        <v>6</v>
      </c>
      <c r="M9" s="4">
        <v>0.9</v>
      </c>
      <c r="N9" s="3">
        <v>338.63</v>
      </c>
      <c r="O9" s="3">
        <f t="shared" si="0"/>
        <v>56.438333333333333</v>
      </c>
      <c r="P9" s="1" t="s">
        <v>93</v>
      </c>
    </row>
    <row r="10" spans="1:16" s="1" customFormat="1" x14ac:dyDescent="0.25">
      <c r="A10" s="1">
        <v>2030108810</v>
      </c>
      <c r="B10" s="1" t="s">
        <v>63</v>
      </c>
      <c r="D10" s="1" t="s">
        <v>21</v>
      </c>
      <c r="E10" s="1" t="s">
        <v>90</v>
      </c>
      <c r="F10" s="1" t="s">
        <v>64</v>
      </c>
      <c r="G10" s="1" t="s">
        <v>17</v>
      </c>
      <c r="H10" s="1" t="s">
        <v>55</v>
      </c>
      <c r="I10" s="2">
        <v>45862</v>
      </c>
      <c r="J10" s="3">
        <v>36.130000000000003</v>
      </c>
      <c r="K10" s="3">
        <v>36.130000000000003</v>
      </c>
      <c r="L10" s="1">
        <v>6</v>
      </c>
      <c r="M10" s="4">
        <v>0.9</v>
      </c>
      <c r="N10" s="3">
        <v>195.1</v>
      </c>
      <c r="O10" s="3">
        <f t="shared" si="0"/>
        <v>32.516666666666666</v>
      </c>
      <c r="P10" s="1" t="s">
        <v>93</v>
      </c>
    </row>
    <row r="11" spans="1:16" s="1" customFormat="1" x14ac:dyDescent="0.25">
      <c r="A11" s="1">
        <v>2029771832</v>
      </c>
      <c r="B11" s="1" t="s">
        <v>25</v>
      </c>
      <c r="D11" s="1" t="s">
        <v>15</v>
      </c>
      <c r="E11" s="1" t="s">
        <v>76</v>
      </c>
      <c r="F11" s="1" t="s">
        <v>26</v>
      </c>
      <c r="G11" s="1" t="s">
        <v>17</v>
      </c>
      <c r="H11" s="1" t="s">
        <v>28</v>
      </c>
      <c r="I11" s="2">
        <v>45870</v>
      </c>
      <c r="J11" s="3">
        <v>104.56</v>
      </c>
      <c r="K11" s="3">
        <v>104.56</v>
      </c>
      <c r="L11" s="1">
        <v>6</v>
      </c>
      <c r="M11" s="4">
        <v>0.42</v>
      </c>
      <c r="N11" s="3">
        <v>263.49</v>
      </c>
      <c r="O11" s="3">
        <f t="shared" si="0"/>
        <v>43.914999999999999</v>
      </c>
      <c r="P11" s="1" t="s">
        <v>28</v>
      </c>
    </row>
    <row r="12" spans="1:16" s="1" customFormat="1" x14ac:dyDescent="0.25">
      <c r="A12" s="1">
        <v>2030084096</v>
      </c>
      <c r="B12" s="1" t="s">
        <v>56</v>
      </c>
      <c r="D12" s="1" t="s">
        <v>15</v>
      </c>
      <c r="E12" s="1" t="s">
        <v>81</v>
      </c>
      <c r="F12" s="1" t="s">
        <v>57</v>
      </c>
      <c r="G12" s="1" t="s">
        <v>17</v>
      </c>
      <c r="H12" s="1" t="s">
        <v>28</v>
      </c>
      <c r="I12" s="2">
        <v>45862</v>
      </c>
      <c r="J12" s="3">
        <v>25.08</v>
      </c>
      <c r="K12" s="3">
        <v>25.08</v>
      </c>
      <c r="L12" s="1">
        <v>6</v>
      </c>
      <c r="M12" s="4">
        <v>0.42</v>
      </c>
      <c r="N12" s="3">
        <v>63.2</v>
      </c>
      <c r="O12" s="3">
        <f t="shared" si="0"/>
        <v>10.533333333333333</v>
      </c>
      <c r="P12" s="1" t="s">
        <v>28</v>
      </c>
    </row>
    <row r="13" spans="1:16" s="1" customFormat="1" x14ac:dyDescent="0.25">
      <c r="A13" s="1">
        <v>2030071689</v>
      </c>
      <c r="B13" s="1" t="s">
        <v>46</v>
      </c>
      <c r="D13" s="1" t="s">
        <v>15</v>
      </c>
      <c r="E13" s="1" t="s">
        <v>89</v>
      </c>
      <c r="F13" s="1" t="s">
        <v>47</v>
      </c>
      <c r="G13" s="1" t="s">
        <v>17</v>
      </c>
      <c r="H13" s="1" t="s">
        <v>49</v>
      </c>
      <c r="I13" s="2">
        <v>45870</v>
      </c>
      <c r="J13" s="3">
        <v>15</v>
      </c>
      <c r="K13" s="3">
        <v>15</v>
      </c>
      <c r="L13" s="1">
        <v>6</v>
      </c>
      <c r="M13" s="4">
        <v>0.38</v>
      </c>
      <c r="N13" s="3">
        <v>34.200000000000003</v>
      </c>
      <c r="O13" s="3">
        <f t="shared" si="0"/>
        <v>5.7</v>
      </c>
      <c r="P13" s="1" t="s">
        <v>23</v>
      </c>
    </row>
    <row r="14" spans="1:16" s="1" customFormat="1" x14ac:dyDescent="0.25">
      <c r="A14" s="1">
        <v>2029771831</v>
      </c>
      <c r="B14" s="1" t="s">
        <v>25</v>
      </c>
      <c r="D14" s="1" t="s">
        <v>15</v>
      </c>
      <c r="E14" s="1" t="s">
        <v>76</v>
      </c>
      <c r="F14" s="1" t="s">
        <v>26</v>
      </c>
      <c r="G14" s="1" t="s">
        <v>17</v>
      </c>
      <c r="H14" s="1" t="s">
        <v>27</v>
      </c>
      <c r="I14" s="2">
        <v>45870</v>
      </c>
      <c r="J14" s="3">
        <v>29.95</v>
      </c>
      <c r="K14" s="3">
        <v>29.95</v>
      </c>
      <c r="L14" s="1">
        <v>6</v>
      </c>
      <c r="M14" s="4">
        <v>0.39</v>
      </c>
      <c r="N14" s="3">
        <v>70.08</v>
      </c>
      <c r="O14" s="3">
        <f t="shared" si="0"/>
        <v>11.68</v>
      </c>
      <c r="P14" s="1" t="s">
        <v>94</v>
      </c>
    </row>
    <row r="15" spans="1:16" s="1" customFormat="1" x14ac:dyDescent="0.25">
      <c r="A15" s="1">
        <v>2029984580</v>
      </c>
      <c r="B15" s="1" t="s">
        <v>37</v>
      </c>
      <c r="D15" s="1" t="s">
        <v>15</v>
      </c>
      <c r="E15" s="1" t="s">
        <v>88</v>
      </c>
      <c r="F15" s="1" t="s">
        <v>38</v>
      </c>
      <c r="G15" s="1" t="s">
        <v>17</v>
      </c>
      <c r="H15" s="1" t="s">
        <v>39</v>
      </c>
      <c r="I15" s="2">
        <v>45865</v>
      </c>
      <c r="J15" s="3">
        <v>94.04</v>
      </c>
      <c r="K15" s="3">
        <v>94.04</v>
      </c>
      <c r="L15" s="1">
        <v>6</v>
      </c>
      <c r="M15" s="4">
        <v>0.47</v>
      </c>
      <c r="N15" s="3">
        <v>265.19</v>
      </c>
      <c r="O15" s="3">
        <f t="shared" si="0"/>
        <v>44.198333333333331</v>
      </c>
      <c r="P15" s="1" t="s">
        <v>39</v>
      </c>
    </row>
    <row r="16" spans="1:16" s="1" customFormat="1" x14ac:dyDescent="0.25">
      <c r="A16" s="1">
        <v>2029619219</v>
      </c>
      <c r="B16" s="1" t="s">
        <v>20</v>
      </c>
      <c r="D16" s="1" t="s">
        <v>21</v>
      </c>
      <c r="E16" s="1" t="s">
        <v>79</v>
      </c>
      <c r="F16" s="1" t="s">
        <v>22</v>
      </c>
      <c r="G16" s="1" t="s">
        <v>17</v>
      </c>
      <c r="H16" s="1" t="s">
        <v>23</v>
      </c>
      <c r="I16" s="2">
        <v>45870</v>
      </c>
      <c r="J16" s="3">
        <v>23.69</v>
      </c>
      <c r="K16" s="3">
        <v>23.69</v>
      </c>
      <c r="L16" s="1">
        <v>6</v>
      </c>
      <c r="M16" s="4">
        <v>0.38</v>
      </c>
      <c r="N16" s="3">
        <v>54.01</v>
      </c>
      <c r="O16" s="3">
        <f t="shared" si="0"/>
        <v>9.0016666666666669</v>
      </c>
      <c r="P16" s="1" t="s">
        <v>23</v>
      </c>
    </row>
    <row r="17" spans="1:16" s="1" customFormat="1" x14ac:dyDescent="0.25">
      <c r="A17" s="1">
        <v>2030108811</v>
      </c>
      <c r="B17" s="1" t="s">
        <v>63</v>
      </c>
      <c r="D17" s="1" t="s">
        <v>21</v>
      </c>
      <c r="E17" s="1" t="s">
        <v>90</v>
      </c>
      <c r="F17" s="1" t="s">
        <v>64</v>
      </c>
      <c r="G17" s="1" t="s">
        <v>17</v>
      </c>
      <c r="H17" s="1" t="s">
        <v>23</v>
      </c>
      <c r="I17" s="2">
        <v>45862</v>
      </c>
      <c r="J17" s="3">
        <v>16.91</v>
      </c>
      <c r="K17" s="3">
        <v>16.91</v>
      </c>
      <c r="L17" s="1">
        <v>6</v>
      </c>
      <c r="M17" s="4">
        <v>0.38</v>
      </c>
      <c r="N17" s="3">
        <v>38.549999999999997</v>
      </c>
      <c r="O17" s="3">
        <f t="shared" si="0"/>
        <v>6.4249999999999998</v>
      </c>
      <c r="P17" s="1" t="s">
        <v>23</v>
      </c>
    </row>
    <row r="18" spans="1:16" s="1" customFormat="1" x14ac:dyDescent="0.25">
      <c r="A18" s="1">
        <v>2029771833</v>
      </c>
      <c r="B18" s="1" t="s">
        <v>25</v>
      </c>
      <c r="D18" s="1" t="s">
        <v>15</v>
      </c>
      <c r="E18" s="1" t="s">
        <v>76</v>
      </c>
      <c r="F18" s="1" t="s">
        <v>26</v>
      </c>
      <c r="G18" s="1" t="s">
        <v>17</v>
      </c>
      <c r="H18" s="1" t="s">
        <v>18</v>
      </c>
      <c r="I18" s="2">
        <v>45870</v>
      </c>
      <c r="J18" s="3">
        <v>86.25</v>
      </c>
      <c r="K18" s="3">
        <v>86.25</v>
      </c>
      <c r="L18" s="1">
        <v>6</v>
      </c>
      <c r="M18" s="4">
        <v>0.7</v>
      </c>
      <c r="N18" s="3">
        <v>362.25</v>
      </c>
      <c r="O18" s="3">
        <f t="shared" si="0"/>
        <v>60.375</v>
      </c>
      <c r="P18" s="1" t="s">
        <v>18</v>
      </c>
    </row>
    <row r="19" spans="1:16" s="1" customFormat="1" x14ac:dyDescent="0.25">
      <c r="A19" s="1">
        <v>2030145093</v>
      </c>
      <c r="B19" s="1" t="s">
        <v>75</v>
      </c>
      <c r="D19" s="1" t="s">
        <v>15</v>
      </c>
      <c r="E19" s="1" t="s">
        <v>76</v>
      </c>
      <c r="F19" s="1" t="s">
        <v>26</v>
      </c>
      <c r="G19" s="1" t="s">
        <v>17</v>
      </c>
      <c r="H19" s="1" t="s">
        <v>18</v>
      </c>
      <c r="I19" s="2">
        <v>45864</v>
      </c>
      <c r="J19" s="3">
        <v>102.7</v>
      </c>
      <c r="K19" s="3">
        <v>102.7</v>
      </c>
      <c r="L19" s="1">
        <v>6</v>
      </c>
      <c r="M19" s="4">
        <v>0.7</v>
      </c>
      <c r="N19" s="3">
        <v>431.34</v>
      </c>
      <c r="O19" s="3">
        <f t="shared" si="0"/>
        <v>71.89</v>
      </c>
      <c r="P19" s="1" t="s">
        <v>18</v>
      </c>
    </row>
    <row r="20" spans="1:16" s="1" customFormat="1" x14ac:dyDescent="0.25">
      <c r="A20" s="1">
        <v>2029333773</v>
      </c>
      <c r="B20" s="1" t="s">
        <v>14</v>
      </c>
      <c r="D20" s="1" t="s">
        <v>15</v>
      </c>
      <c r="E20" s="1" t="s">
        <v>77</v>
      </c>
      <c r="F20" s="1" t="s">
        <v>16</v>
      </c>
      <c r="G20" s="1" t="s">
        <v>17</v>
      </c>
      <c r="H20" s="1" t="s">
        <v>18</v>
      </c>
      <c r="I20" s="2">
        <v>45870</v>
      </c>
      <c r="J20" s="3">
        <v>19</v>
      </c>
      <c r="K20" s="3">
        <v>19</v>
      </c>
      <c r="L20" s="1">
        <v>6</v>
      </c>
      <c r="M20" s="4">
        <v>0.7</v>
      </c>
      <c r="N20" s="3">
        <v>79.8</v>
      </c>
      <c r="O20" s="3">
        <f t="shared" si="0"/>
        <v>13.299999999999999</v>
      </c>
      <c r="P20" s="1" t="s">
        <v>18</v>
      </c>
    </row>
    <row r="21" spans="1:16" s="1" customFormat="1" x14ac:dyDescent="0.25">
      <c r="A21" s="1">
        <v>2030089050</v>
      </c>
      <c r="B21" s="1" t="s">
        <v>58</v>
      </c>
      <c r="D21" s="1" t="s">
        <v>34</v>
      </c>
      <c r="E21" s="1" t="s">
        <v>78</v>
      </c>
      <c r="F21" s="1" t="s">
        <v>59</v>
      </c>
      <c r="G21" s="1" t="s">
        <v>17</v>
      </c>
      <c r="H21" s="1" t="s">
        <v>18</v>
      </c>
      <c r="I21" s="2">
        <v>45870</v>
      </c>
      <c r="J21" s="3">
        <v>42.47</v>
      </c>
      <c r="K21" s="3">
        <v>42.47</v>
      </c>
      <c r="L21" s="1">
        <v>6</v>
      </c>
      <c r="M21" s="4">
        <v>0.7</v>
      </c>
      <c r="N21" s="3">
        <v>178.37</v>
      </c>
      <c r="O21" s="3">
        <f t="shared" si="0"/>
        <v>29.728333333333335</v>
      </c>
      <c r="P21" s="1" t="s">
        <v>18</v>
      </c>
    </row>
    <row r="22" spans="1:16" s="1" customFormat="1" x14ac:dyDescent="0.25">
      <c r="A22" s="1">
        <v>2029619220</v>
      </c>
      <c r="B22" s="1" t="s">
        <v>20</v>
      </c>
      <c r="D22" s="1" t="s">
        <v>21</v>
      </c>
      <c r="E22" s="1" t="s">
        <v>79</v>
      </c>
      <c r="F22" s="1" t="s">
        <v>22</v>
      </c>
      <c r="G22" s="1" t="s">
        <v>17</v>
      </c>
      <c r="H22" s="1" t="s">
        <v>18</v>
      </c>
      <c r="I22" s="2">
        <v>45870</v>
      </c>
      <c r="J22" s="3">
        <v>9.1</v>
      </c>
      <c r="K22" s="3">
        <v>9.1</v>
      </c>
      <c r="L22" s="1">
        <v>6</v>
      </c>
      <c r="M22" s="4">
        <v>0.7</v>
      </c>
      <c r="N22" s="3">
        <v>38.22</v>
      </c>
      <c r="O22" s="3">
        <f t="shared" si="0"/>
        <v>6.37</v>
      </c>
      <c r="P22" s="1" t="s">
        <v>18</v>
      </c>
    </row>
    <row r="23" spans="1:16" s="1" customFormat="1" x14ac:dyDescent="0.25">
      <c r="A23" s="1">
        <v>2029971836</v>
      </c>
      <c r="B23" s="1" t="s">
        <v>33</v>
      </c>
      <c r="D23" s="1" t="s">
        <v>21</v>
      </c>
      <c r="E23" s="1" t="s">
        <v>79</v>
      </c>
      <c r="F23" s="1" t="s">
        <v>22</v>
      </c>
      <c r="G23" s="1" t="s">
        <v>17</v>
      </c>
      <c r="H23" s="1" t="s">
        <v>18</v>
      </c>
      <c r="I23" s="2">
        <v>45870</v>
      </c>
      <c r="J23" s="3">
        <v>8.49</v>
      </c>
      <c r="K23" s="3">
        <v>8.49</v>
      </c>
      <c r="L23" s="1">
        <v>6</v>
      </c>
      <c r="M23" s="4">
        <v>0.7</v>
      </c>
      <c r="N23" s="3">
        <v>35.659999999999997</v>
      </c>
      <c r="O23" s="3">
        <f t="shared" si="0"/>
        <v>5.9433333333333325</v>
      </c>
      <c r="P23" s="1" t="s">
        <v>18</v>
      </c>
    </row>
    <row r="24" spans="1:16" s="1" customFormat="1" x14ac:dyDescent="0.25">
      <c r="A24" s="1">
        <v>2030068615</v>
      </c>
      <c r="B24" s="1" t="s">
        <v>44</v>
      </c>
      <c r="D24" s="1" t="s">
        <v>21</v>
      </c>
      <c r="E24" s="1" t="s">
        <v>79</v>
      </c>
      <c r="F24" s="1" t="s">
        <v>22</v>
      </c>
      <c r="G24" s="1" t="s">
        <v>17</v>
      </c>
      <c r="H24" s="1" t="s">
        <v>18</v>
      </c>
      <c r="I24" s="2">
        <v>45870</v>
      </c>
      <c r="J24" s="3">
        <v>18.2</v>
      </c>
      <c r="K24" s="3">
        <v>18.2</v>
      </c>
      <c r="L24" s="1">
        <v>6</v>
      </c>
      <c r="M24" s="4">
        <v>0.7</v>
      </c>
      <c r="N24" s="3">
        <v>76.44</v>
      </c>
      <c r="O24" s="3">
        <f t="shared" si="0"/>
        <v>12.74</v>
      </c>
      <c r="P24" s="1" t="s">
        <v>18</v>
      </c>
    </row>
    <row r="25" spans="1:16" s="1" customFormat="1" x14ac:dyDescent="0.25">
      <c r="A25" s="1">
        <v>2030100064</v>
      </c>
      <c r="B25" s="1" t="s">
        <v>62</v>
      </c>
      <c r="D25" s="1" t="s">
        <v>15</v>
      </c>
      <c r="E25" s="1" t="s">
        <v>80</v>
      </c>
      <c r="F25" s="1" t="s">
        <v>54</v>
      </c>
      <c r="G25" s="1" t="s">
        <v>17</v>
      </c>
      <c r="H25" s="1" t="s">
        <v>18</v>
      </c>
      <c r="I25" s="2">
        <v>45870</v>
      </c>
      <c r="J25" s="3">
        <v>47.69</v>
      </c>
      <c r="K25" s="3">
        <v>47.69</v>
      </c>
      <c r="L25" s="1">
        <v>6</v>
      </c>
      <c r="M25" s="4">
        <v>0.7</v>
      </c>
      <c r="N25" s="3">
        <v>200.3</v>
      </c>
      <c r="O25" s="3">
        <f t="shared" si="0"/>
        <v>33.383333333333333</v>
      </c>
      <c r="P25" s="1" t="s">
        <v>18</v>
      </c>
    </row>
    <row r="26" spans="1:16" s="1" customFormat="1" x14ac:dyDescent="0.25">
      <c r="A26" s="1">
        <v>2030084097</v>
      </c>
      <c r="B26" s="1" t="s">
        <v>56</v>
      </c>
      <c r="D26" s="1" t="s">
        <v>15</v>
      </c>
      <c r="E26" s="1" t="s">
        <v>81</v>
      </c>
      <c r="F26" s="1" t="s">
        <v>57</v>
      </c>
      <c r="G26" s="1" t="s">
        <v>17</v>
      </c>
      <c r="H26" s="1" t="s">
        <v>18</v>
      </c>
      <c r="I26" s="2">
        <v>45862</v>
      </c>
      <c r="J26" s="3">
        <v>19</v>
      </c>
      <c r="K26" s="3">
        <v>19</v>
      </c>
      <c r="L26" s="1">
        <v>6</v>
      </c>
      <c r="M26" s="4">
        <v>0.7</v>
      </c>
      <c r="N26" s="3">
        <v>79.8</v>
      </c>
      <c r="O26" s="3">
        <f t="shared" si="0"/>
        <v>13.299999999999999</v>
      </c>
      <c r="P26" s="1" t="s">
        <v>18</v>
      </c>
    </row>
    <row r="27" spans="1:16" s="1" customFormat="1" x14ac:dyDescent="0.25">
      <c r="A27" s="1">
        <v>2030127211</v>
      </c>
      <c r="B27" s="1" t="s">
        <v>69</v>
      </c>
      <c r="D27" s="1" t="s">
        <v>70</v>
      </c>
      <c r="E27" s="1" t="s">
        <v>82</v>
      </c>
      <c r="F27" s="1" t="s">
        <v>71</v>
      </c>
      <c r="G27" s="1" t="s">
        <v>17</v>
      </c>
      <c r="H27" s="1" t="s">
        <v>18</v>
      </c>
      <c r="I27" s="2">
        <v>45870</v>
      </c>
      <c r="J27" s="3">
        <v>98.08</v>
      </c>
      <c r="K27" s="3">
        <v>98.08</v>
      </c>
      <c r="L27" s="1">
        <v>6</v>
      </c>
      <c r="M27" s="4">
        <v>0.7</v>
      </c>
      <c r="N27" s="3">
        <v>411.94</v>
      </c>
      <c r="O27" s="3">
        <f t="shared" si="0"/>
        <v>68.656666666666666</v>
      </c>
      <c r="P27" s="1" t="s">
        <v>18</v>
      </c>
    </row>
    <row r="28" spans="1:16" s="1" customFormat="1" x14ac:dyDescent="0.25">
      <c r="A28" s="1">
        <v>2030129459</v>
      </c>
      <c r="B28" s="1" t="s">
        <v>72</v>
      </c>
      <c r="D28" s="1" t="s">
        <v>73</v>
      </c>
      <c r="E28" s="1" t="s">
        <v>83</v>
      </c>
      <c r="F28" s="1" t="s">
        <v>74</v>
      </c>
      <c r="G28" s="1" t="s">
        <v>17</v>
      </c>
      <c r="H28" s="1" t="s">
        <v>18</v>
      </c>
      <c r="I28" s="2">
        <v>45863</v>
      </c>
      <c r="J28" s="3">
        <v>30.68</v>
      </c>
      <c r="K28" s="3">
        <v>30.68</v>
      </c>
      <c r="L28" s="1">
        <v>6</v>
      </c>
      <c r="M28" s="4">
        <v>0.7</v>
      </c>
      <c r="N28" s="3">
        <v>128.86000000000001</v>
      </c>
      <c r="O28" s="3">
        <f t="shared" si="0"/>
        <v>21.47666666666667</v>
      </c>
      <c r="P28" s="1" t="s">
        <v>18</v>
      </c>
    </row>
    <row r="29" spans="1:16" s="1" customFormat="1" x14ac:dyDescent="0.25">
      <c r="A29" s="1">
        <v>2029992083</v>
      </c>
      <c r="B29" s="1" t="s">
        <v>40</v>
      </c>
      <c r="D29" s="1" t="s">
        <v>15</v>
      </c>
      <c r="E29" s="1" t="s">
        <v>84</v>
      </c>
      <c r="F29" s="1" t="s">
        <v>41</v>
      </c>
      <c r="G29" s="1" t="s">
        <v>17</v>
      </c>
      <c r="H29" s="1" t="s">
        <v>18</v>
      </c>
      <c r="I29" s="2">
        <v>45860</v>
      </c>
      <c r="J29" s="3">
        <v>84.57</v>
      </c>
      <c r="K29" s="3">
        <v>84.57</v>
      </c>
      <c r="L29" s="1">
        <v>6</v>
      </c>
      <c r="M29" s="4">
        <v>0.7</v>
      </c>
      <c r="N29" s="3">
        <v>355.19</v>
      </c>
      <c r="O29" s="3">
        <f t="shared" si="0"/>
        <v>59.198333333333331</v>
      </c>
      <c r="P29" s="1" t="s">
        <v>18</v>
      </c>
    </row>
    <row r="30" spans="1:16" s="1" customFormat="1" x14ac:dyDescent="0.25">
      <c r="A30" s="1">
        <v>2030114522</v>
      </c>
      <c r="B30" s="1" t="s">
        <v>68</v>
      </c>
      <c r="D30" s="1" t="s">
        <v>15</v>
      </c>
      <c r="E30" s="1" t="s">
        <v>84</v>
      </c>
      <c r="F30" s="1" t="s">
        <v>41</v>
      </c>
      <c r="G30" s="1" t="s">
        <v>17</v>
      </c>
      <c r="H30" s="1" t="s">
        <v>18</v>
      </c>
      <c r="I30" s="2">
        <v>45863</v>
      </c>
      <c r="J30" s="3">
        <v>207.64</v>
      </c>
      <c r="K30" s="3">
        <v>207.64</v>
      </c>
      <c r="L30" s="1">
        <v>6</v>
      </c>
      <c r="M30" s="4">
        <v>0.7</v>
      </c>
      <c r="N30" s="3">
        <v>872.09</v>
      </c>
      <c r="O30" s="3">
        <f t="shared" si="0"/>
        <v>145.34833333333333</v>
      </c>
      <c r="P30" s="1" t="s">
        <v>18</v>
      </c>
    </row>
    <row r="31" spans="1:16" s="1" customFormat="1" x14ac:dyDescent="0.25">
      <c r="A31" s="1">
        <v>2030076096</v>
      </c>
      <c r="B31" s="1" t="s">
        <v>50</v>
      </c>
      <c r="D31" s="1" t="s">
        <v>15</v>
      </c>
      <c r="E31" s="1" t="s">
        <v>85</v>
      </c>
      <c r="F31" s="1" t="s">
        <v>51</v>
      </c>
      <c r="G31" s="1" t="s">
        <v>17</v>
      </c>
      <c r="H31" s="1" t="s">
        <v>18</v>
      </c>
      <c r="I31" s="2">
        <v>45860</v>
      </c>
      <c r="J31" s="3">
        <v>34</v>
      </c>
      <c r="K31" s="3">
        <v>34</v>
      </c>
      <c r="L31" s="1">
        <v>6</v>
      </c>
      <c r="M31" s="4">
        <v>0.7</v>
      </c>
      <c r="N31" s="3">
        <v>142.80000000000001</v>
      </c>
      <c r="O31" s="3">
        <f t="shared" si="0"/>
        <v>23.8</v>
      </c>
      <c r="P31" s="1" t="s">
        <v>18</v>
      </c>
    </row>
    <row r="32" spans="1:16" s="1" customFormat="1" x14ac:dyDescent="0.25">
      <c r="A32" s="1">
        <v>2029981428</v>
      </c>
      <c r="B32" s="1" t="s">
        <v>35</v>
      </c>
      <c r="D32" s="1" t="s">
        <v>15</v>
      </c>
      <c r="E32" s="1" t="s">
        <v>86</v>
      </c>
      <c r="F32" s="1" t="s">
        <v>36</v>
      </c>
      <c r="G32" s="1" t="s">
        <v>17</v>
      </c>
      <c r="H32" s="1" t="s">
        <v>18</v>
      </c>
      <c r="I32" s="2">
        <v>45870</v>
      </c>
      <c r="J32" s="3">
        <v>115.38</v>
      </c>
      <c r="K32" s="3">
        <v>115.38</v>
      </c>
      <c r="L32" s="1">
        <v>6</v>
      </c>
      <c r="M32" s="4">
        <v>0.7</v>
      </c>
      <c r="N32" s="3">
        <v>484.6</v>
      </c>
      <c r="O32" s="3">
        <f t="shared" si="0"/>
        <v>80.766666666666666</v>
      </c>
      <c r="P32" s="1" t="s">
        <v>18</v>
      </c>
    </row>
    <row r="33" spans="1:31" s="1" customFormat="1" x14ac:dyDescent="0.25">
      <c r="A33" s="1">
        <v>2030061622</v>
      </c>
      <c r="B33" s="1" t="s">
        <v>42</v>
      </c>
      <c r="D33" s="1" t="s">
        <v>43</v>
      </c>
      <c r="E33" s="1" t="s">
        <v>86</v>
      </c>
      <c r="F33" s="1" t="s">
        <v>36</v>
      </c>
      <c r="G33" s="1" t="s">
        <v>17</v>
      </c>
      <c r="H33" s="1" t="s">
        <v>18</v>
      </c>
      <c r="I33" s="2">
        <v>45870</v>
      </c>
      <c r="J33" s="3">
        <v>329.78</v>
      </c>
      <c r="K33" s="3">
        <v>329.78</v>
      </c>
      <c r="L33" s="1">
        <v>6</v>
      </c>
      <c r="M33" s="4">
        <v>0.7</v>
      </c>
      <c r="N33" s="3">
        <v>1385.08</v>
      </c>
      <c r="O33" s="3">
        <f t="shared" si="0"/>
        <v>230.84666666666666</v>
      </c>
      <c r="P33" s="1" t="s">
        <v>18</v>
      </c>
    </row>
    <row r="34" spans="1:31" s="1" customFormat="1" x14ac:dyDescent="0.25">
      <c r="A34" s="1">
        <v>2030099938</v>
      </c>
      <c r="B34" s="1" t="s">
        <v>60</v>
      </c>
      <c r="D34" s="1" t="s">
        <v>61</v>
      </c>
      <c r="E34" s="1" t="s">
        <v>86</v>
      </c>
      <c r="F34" s="1" t="s">
        <v>36</v>
      </c>
      <c r="G34" s="1" t="s">
        <v>17</v>
      </c>
      <c r="H34" s="1" t="s">
        <v>18</v>
      </c>
      <c r="I34" s="2">
        <v>45870</v>
      </c>
      <c r="J34" s="3">
        <v>5.15</v>
      </c>
      <c r="K34" s="3">
        <v>5.15</v>
      </c>
      <c r="L34" s="1">
        <v>6</v>
      </c>
      <c r="M34" s="4">
        <v>0.7</v>
      </c>
      <c r="N34" s="3">
        <v>21.63</v>
      </c>
      <c r="O34" s="3">
        <f t="shared" si="0"/>
        <v>3.605</v>
      </c>
      <c r="P34" s="1" t="s">
        <v>18</v>
      </c>
    </row>
    <row r="35" spans="1:31" s="1" customFormat="1" x14ac:dyDescent="0.25">
      <c r="A35" s="1">
        <v>2030109882</v>
      </c>
      <c r="B35" s="1" t="s">
        <v>65</v>
      </c>
      <c r="D35" s="1" t="s">
        <v>15</v>
      </c>
      <c r="E35" s="1" t="s">
        <v>86</v>
      </c>
      <c r="F35" s="1" t="s">
        <v>36</v>
      </c>
      <c r="G35" s="1" t="s">
        <v>17</v>
      </c>
      <c r="H35" s="1" t="s">
        <v>18</v>
      </c>
      <c r="I35" s="2">
        <v>45870</v>
      </c>
      <c r="J35" s="3">
        <v>176.17</v>
      </c>
      <c r="K35" s="3">
        <v>176.17</v>
      </c>
      <c r="L35" s="1">
        <v>6</v>
      </c>
      <c r="M35" s="4">
        <v>0.7</v>
      </c>
      <c r="N35" s="3">
        <v>739.91</v>
      </c>
      <c r="O35" s="3">
        <f t="shared" si="0"/>
        <v>123.31833333333333</v>
      </c>
      <c r="P35" s="1" t="s">
        <v>18</v>
      </c>
    </row>
    <row r="36" spans="1:31" s="1" customFormat="1" x14ac:dyDescent="0.25">
      <c r="A36" s="1">
        <v>2030113890</v>
      </c>
      <c r="B36" s="1" t="s">
        <v>66</v>
      </c>
      <c r="D36" s="1" t="s">
        <v>67</v>
      </c>
      <c r="E36" s="1" t="s">
        <v>87</v>
      </c>
      <c r="F36" s="1" t="s">
        <v>31</v>
      </c>
      <c r="G36" s="1" t="s">
        <v>17</v>
      </c>
      <c r="H36" s="1" t="s">
        <v>18</v>
      </c>
      <c r="I36" s="2">
        <v>45862</v>
      </c>
      <c r="J36" s="3">
        <v>16.510000000000002</v>
      </c>
      <c r="K36" s="3">
        <v>16.510000000000002</v>
      </c>
      <c r="L36" s="1">
        <v>6</v>
      </c>
      <c r="M36" s="4">
        <v>0.7</v>
      </c>
      <c r="N36" s="3">
        <v>69.34</v>
      </c>
      <c r="O36" s="3">
        <f t="shared" si="0"/>
        <v>11.556666666666667</v>
      </c>
      <c r="P36" s="1" t="s">
        <v>18</v>
      </c>
    </row>
    <row r="37" spans="1:31" s="1" customFormat="1" x14ac:dyDescent="0.25">
      <c r="A37" s="1">
        <v>2030071686</v>
      </c>
      <c r="B37" s="1" t="s">
        <v>46</v>
      </c>
      <c r="D37" s="1" t="s">
        <v>15</v>
      </c>
      <c r="E37" s="1" t="s">
        <v>89</v>
      </c>
      <c r="F37" s="1" t="s">
        <v>47</v>
      </c>
      <c r="G37" s="1" t="s">
        <v>17</v>
      </c>
      <c r="H37" s="1" t="s">
        <v>18</v>
      </c>
      <c r="I37" s="2">
        <v>45870</v>
      </c>
      <c r="J37" s="3">
        <v>303.33</v>
      </c>
      <c r="K37" s="3">
        <v>303.33</v>
      </c>
      <c r="L37" s="1">
        <v>6</v>
      </c>
      <c r="M37" s="4">
        <v>0.7</v>
      </c>
      <c r="N37" s="3">
        <v>1273.99</v>
      </c>
      <c r="O37" s="3">
        <f t="shared" si="0"/>
        <v>212.33166666666668</v>
      </c>
      <c r="P37" s="1" t="s">
        <v>18</v>
      </c>
    </row>
    <row r="38" spans="1:31" s="1" customFormat="1" x14ac:dyDescent="0.25">
      <c r="A38" s="1">
        <v>2030108809</v>
      </c>
      <c r="B38" s="1" t="s">
        <v>63</v>
      </c>
      <c r="D38" s="1" t="s">
        <v>21</v>
      </c>
      <c r="E38" s="1" t="s">
        <v>90</v>
      </c>
      <c r="F38" s="1" t="s">
        <v>64</v>
      </c>
      <c r="G38" s="1" t="s">
        <v>17</v>
      </c>
      <c r="H38" s="1" t="s">
        <v>18</v>
      </c>
      <c r="I38" s="2">
        <v>45862</v>
      </c>
      <c r="J38" s="3">
        <v>9.1</v>
      </c>
      <c r="K38" s="3">
        <v>9.1</v>
      </c>
      <c r="L38" s="1">
        <v>6</v>
      </c>
      <c r="M38" s="4">
        <v>0.7</v>
      </c>
      <c r="N38" s="3">
        <v>38.22</v>
      </c>
      <c r="O38" s="3">
        <f t="shared" si="0"/>
        <v>6.37</v>
      </c>
      <c r="P38" s="1" t="s">
        <v>18</v>
      </c>
    </row>
    <row r="39" spans="1:31" s="1" customFormat="1" x14ac:dyDescent="0.25">
      <c r="A39" s="1">
        <v>2029333774</v>
      </c>
      <c r="B39" s="1" t="s">
        <v>14</v>
      </c>
      <c r="D39" s="1" t="s">
        <v>15</v>
      </c>
      <c r="E39" s="1" t="s">
        <v>77</v>
      </c>
      <c r="F39" s="1" t="s">
        <v>16</v>
      </c>
      <c r="G39" s="1" t="s">
        <v>17</v>
      </c>
      <c r="H39" s="1" t="s">
        <v>19</v>
      </c>
      <c r="I39" s="2">
        <v>45870</v>
      </c>
      <c r="J39" s="3">
        <v>19.57</v>
      </c>
      <c r="K39" s="3">
        <v>19.57</v>
      </c>
      <c r="L39" s="1">
        <v>6</v>
      </c>
      <c r="M39" s="4">
        <v>0.375</v>
      </c>
      <c r="N39" s="3">
        <v>44.03</v>
      </c>
      <c r="O39" s="3">
        <f t="shared" si="0"/>
        <v>7.3383333333333338</v>
      </c>
      <c r="P39" s="1" t="s">
        <v>19</v>
      </c>
    </row>
    <row r="40" spans="1:31" s="1" customFormat="1" x14ac:dyDescent="0.25">
      <c r="A40" s="1">
        <v>2030089051</v>
      </c>
      <c r="B40" s="1" t="s">
        <v>58</v>
      </c>
      <c r="D40" s="1" t="s">
        <v>34</v>
      </c>
      <c r="E40" s="1" t="s">
        <v>78</v>
      </c>
      <c r="F40" s="1" t="s">
        <v>59</v>
      </c>
      <c r="G40" s="1" t="s">
        <v>17</v>
      </c>
      <c r="H40" s="1" t="s">
        <v>19</v>
      </c>
      <c r="I40" s="2">
        <v>45870</v>
      </c>
      <c r="J40" s="3">
        <v>63.61</v>
      </c>
      <c r="K40" s="3">
        <v>63.61</v>
      </c>
      <c r="L40" s="1">
        <v>6</v>
      </c>
      <c r="M40" s="4">
        <v>0.375</v>
      </c>
      <c r="N40" s="3">
        <v>143.12</v>
      </c>
      <c r="O40" s="3">
        <f t="shared" si="0"/>
        <v>23.853333333333335</v>
      </c>
      <c r="P40" s="1" t="s">
        <v>19</v>
      </c>
    </row>
    <row r="41" spans="1:31" s="1" customFormat="1" x14ac:dyDescent="0.25">
      <c r="A41" s="1">
        <v>2029971837</v>
      </c>
      <c r="B41" s="1" t="s">
        <v>33</v>
      </c>
      <c r="D41" s="1" t="s">
        <v>21</v>
      </c>
      <c r="E41" s="1" t="s">
        <v>79</v>
      </c>
      <c r="F41" s="1" t="s">
        <v>22</v>
      </c>
      <c r="G41" s="1" t="s">
        <v>17</v>
      </c>
      <c r="H41" s="1" t="s">
        <v>19</v>
      </c>
      <c r="I41" s="2">
        <v>45870</v>
      </c>
      <c r="J41" s="3">
        <v>37.51</v>
      </c>
      <c r="K41" s="3">
        <v>37.51</v>
      </c>
      <c r="L41" s="1">
        <v>6</v>
      </c>
      <c r="M41" s="4">
        <v>0.375</v>
      </c>
      <c r="N41" s="3">
        <v>84.4</v>
      </c>
      <c r="O41" s="3">
        <f t="shared" si="0"/>
        <v>14.066666666666668</v>
      </c>
      <c r="P41" s="1" t="s">
        <v>19</v>
      </c>
    </row>
    <row r="42" spans="1:31" s="5" customFormat="1" x14ac:dyDescent="0.25">
      <c r="A42" s="1">
        <v>2030068614</v>
      </c>
      <c r="B42" s="1" t="s">
        <v>44</v>
      </c>
      <c r="C42" s="1"/>
      <c r="D42" s="1" t="s">
        <v>21</v>
      </c>
      <c r="E42" s="1" t="s">
        <v>79</v>
      </c>
      <c r="F42" s="1" t="s">
        <v>22</v>
      </c>
      <c r="G42" s="1" t="s">
        <v>17</v>
      </c>
      <c r="H42" s="1" t="s">
        <v>19</v>
      </c>
      <c r="I42" s="2">
        <v>45870</v>
      </c>
      <c r="J42" s="3">
        <v>138.78</v>
      </c>
      <c r="K42" s="3">
        <v>138.78</v>
      </c>
      <c r="L42" s="1">
        <v>6</v>
      </c>
      <c r="M42" s="4">
        <v>0.375</v>
      </c>
      <c r="N42" s="3">
        <v>312.26</v>
      </c>
      <c r="O42" s="3">
        <f t="shared" si="0"/>
        <v>52.043333333333329</v>
      </c>
      <c r="P42" s="1" t="s">
        <v>19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s="5" customFormat="1" x14ac:dyDescent="0.25">
      <c r="A43" s="1">
        <v>2029981427</v>
      </c>
      <c r="B43" s="1" t="s">
        <v>35</v>
      </c>
      <c r="C43" s="1"/>
      <c r="D43" s="1" t="s">
        <v>15</v>
      </c>
      <c r="E43" s="1" t="s">
        <v>86</v>
      </c>
      <c r="F43" s="1" t="s">
        <v>36</v>
      </c>
      <c r="G43" s="1" t="s">
        <v>17</v>
      </c>
      <c r="H43" s="1" t="s">
        <v>19</v>
      </c>
      <c r="I43" s="2">
        <v>45870</v>
      </c>
      <c r="J43" s="3">
        <v>77.48</v>
      </c>
      <c r="K43" s="3">
        <v>77.48</v>
      </c>
      <c r="L43" s="1">
        <v>6</v>
      </c>
      <c r="M43" s="4">
        <v>0.375</v>
      </c>
      <c r="N43" s="3">
        <v>174.33</v>
      </c>
      <c r="O43" s="3">
        <f t="shared" si="0"/>
        <v>29.055000000000003</v>
      </c>
      <c r="P43" s="1" t="s">
        <v>19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s="5" customFormat="1" x14ac:dyDescent="0.25">
      <c r="A44" s="1">
        <v>2030099937</v>
      </c>
      <c r="B44" s="1" t="s">
        <v>60</v>
      </c>
      <c r="C44" s="1"/>
      <c r="D44" s="1" t="s">
        <v>61</v>
      </c>
      <c r="E44" s="1" t="s">
        <v>86</v>
      </c>
      <c r="F44" s="1" t="s">
        <v>36</v>
      </c>
      <c r="G44" s="1" t="s">
        <v>17</v>
      </c>
      <c r="H44" s="1" t="s">
        <v>19</v>
      </c>
      <c r="I44" s="2">
        <v>45870</v>
      </c>
      <c r="J44" s="3">
        <v>67.3</v>
      </c>
      <c r="K44" s="3">
        <v>67.3</v>
      </c>
      <c r="L44" s="1">
        <v>6</v>
      </c>
      <c r="M44" s="4">
        <v>0.375</v>
      </c>
      <c r="N44" s="3">
        <v>151.43</v>
      </c>
      <c r="O44" s="3">
        <f t="shared" si="0"/>
        <v>25.238333333333333</v>
      </c>
      <c r="P44" s="1" t="s">
        <v>19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5" customFormat="1" x14ac:dyDescent="0.25">
      <c r="A45" s="1">
        <v>2030109881</v>
      </c>
      <c r="B45" s="1" t="s">
        <v>65</v>
      </c>
      <c r="C45" s="1"/>
      <c r="D45" s="1" t="s">
        <v>15</v>
      </c>
      <c r="E45" s="1" t="s">
        <v>86</v>
      </c>
      <c r="F45" s="1" t="s">
        <v>36</v>
      </c>
      <c r="G45" s="1" t="s">
        <v>17</v>
      </c>
      <c r="H45" s="1" t="s">
        <v>19</v>
      </c>
      <c r="I45" s="2">
        <v>45870</v>
      </c>
      <c r="J45" s="3">
        <v>149.87</v>
      </c>
      <c r="K45" s="3">
        <v>149.87</v>
      </c>
      <c r="L45" s="1">
        <v>6</v>
      </c>
      <c r="M45" s="4">
        <v>0.375</v>
      </c>
      <c r="N45" s="3">
        <v>337.21</v>
      </c>
      <c r="O45" s="3">
        <f t="shared" si="0"/>
        <v>56.201666666666661</v>
      </c>
      <c r="P45" s="1" t="s">
        <v>19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s="5" customFormat="1" x14ac:dyDescent="0.25">
      <c r="A46" s="1">
        <v>2030113889</v>
      </c>
      <c r="B46" s="1" t="s">
        <v>66</v>
      </c>
      <c r="C46" s="1"/>
      <c r="D46" s="1" t="s">
        <v>67</v>
      </c>
      <c r="E46" s="1" t="s">
        <v>87</v>
      </c>
      <c r="F46" s="1" t="s">
        <v>31</v>
      </c>
      <c r="G46" s="1" t="s">
        <v>17</v>
      </c>
      <c r="H46" s="1" t="s">
        <v>19</v>
      </c>
      <c r="I46" s="2">
        <v>45862</v>
      </c>
      <c r="J46" s="3">
        <v>62.71</v>
      </c>
      <c r="K46" s="3">
        <v>62.71</v>
      </c>
      <c r="L46" s="1">
        <v>6</v>
      </c>
      <c r="M46" s="4">
        <v>0.375</v>
      </c>
      <c r="N46" s="3">
        <v>141.1</v>
      </c>
      <c r="O46" s="3">
        <f t="shared" si="0"/>
        <v>23.516666666666666</v>
      </c>
      <c r="P46" s="1" t="s">
        <v>19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s="5" customFormat="1" x14ac:dyDescent="0.25">
      <c r="A47" s="1">
        <v>2030108808</v>
      </c>
      <c r="B47" s="1" t="s">
        <v>63</v>
      </c>
      <c r="C47" s="1"/>
      <c r="D47" s="1" t="s">
        <v>21</v>
      </c>
      <c r="E47" s="1" t="s">
        <v>90</v>
      </c>
      <c r="F47" s="1" t="s">
        <v>64</v>
      </c>
      <c r="G47" s="1" t="s">
        <v>17</v>
      </c>
      <c r="H47" s="1" t="s">
        <v>19</v>
      </c>
      <c r="I47" s="2">
        <v>45862</v>
      </c>
      <c r="J47" s="3">
        <v>47.28</v>
      </c>
      <c r="K47" s="3">
        <v>47.28</v>
      </c>
      <c r="L47" s="1">
        <v>6</v>
      </c>
      <c r="M47" s="4">
        <v>0.375</v>
      </c>
      <c r="N47" s="3">
        <v>106.38</v>
      </c>
      <c r="O47" s="3">
        <f t="shared" si="0"/>
        <v>17.73</v>
      </c>
      <c r="P47" s="1" t="s">
        <v>19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5" customFormat="1" x14ac:dyDescent="0.25">
      <c r="A48" s="1">
        <v>2029944362</v>
      </c>
      <c r="B48" s="1" t="s">
        <v>29</v>
      </c>
      <c r="C48" s="1"/>
      <c r="D48" s="1" t="s">
        <v>30</v>
      </c>
      <c r="E48" s="1" t="s">
        <v>87</v>
      </c>
      <c r="F48" s="1" t="s">
        <v>31</v>
      </c>
      <c r="G48" s="1" t="s">
        <v>17</v>
      </c>
      <c r="H48" s="1" t="s">
        <v>32</v>
      </c>
      <c r="I48" s="2">
        <v>45865</v>
      </c>
      <c r="J48" s="3">
        <v>25.25</v>
      </c>
      <c r="K48" s="3">
        <v>25.25</v>
      </c>
      <c r="L48" s="1">
        <v>6</v>
      </c>
      <c r="M48" s="4">
        <v>0.9</v>
      </c>
      <c r="N48" s="3">
        <v>136.35</v>
      </c>
      <c r="O48" s="3">
        <f t="shared" si="0"/>
        <v>22.724999999999998</v>
      </c>
      <c r="P48" s="1" t="s">
        <v>32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s="5" customFormat="1" x14ac:dyDescent="0.25">
      <c r="A49" s="1">
        <v>2030117415</v>
      </c>
      <c r="B49" s="1" t="s">
        <v>66</v>
      </c>
      <c r="C49" s="1"/>
      <c r="D49" s="1" t="s">
        <v>67</v>
      </c>
      <c r="E49" s="1" t="s">
        <v>87</v>
      </c>
      <c r="F49" s="1" t="s">
        <v>31</v>
      </c>
      <c r="G49" s="1" t="s">
        <v>17</v>
      </c>
      <c r="H49" s="1" t="s">
        <v>32</v>
      </c>
      <c r="I49" s="2">
        <v>45863</v>
      </c>
      <c r="J49" s="3">
        <v>69.08</v>
      </c>
      <c r="K49" s="3">
        <v>69.08</v>
      </c>
      <c r="L49" s="1">
        <v>6</v>
      </c>
      <c r="M49" s="4">
        <v>0.9</v>
      </c>
      <c r="N49" s="3">
        <v>373.03</v>
      </c>
      <c r="O49" s="3">
        <f t="shared" si="0"/>
        <v>62.17166666666666</v>
      </c>
      <c r="P49" s="1" t="s">
        <v>32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</sheetData>
  <sortState xmlns:xlrd2="http://schemas.microsoft.com/office/spreadsheetml/2017/richdata2" ref="A2:AE49">
    <sortCondition ref="H2:H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649163__Newbusiness_NEW_BUSINES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2025-08-04T13:35:06Z</dcterms:created>
  <dcterms:modified xsi:type="dcterms:W3CDTF">2025-08-04T17:11:57Z</dcterms:modified>
</cp:coreProperties>
</file>