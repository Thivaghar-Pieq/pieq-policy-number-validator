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9-1-25\"/>
    </mc:Choice>
  </mc:AlternateContent>
  <xr:revisionPtr revIDLastSave="0" documentId="13_ncr:1_{23658B77-84D0-45B3-9C12-E3A3B965040B}" xr6:coauthVersionLast="47" xr6:coauthVersionMax="47" xr10:uidLastSave="{00000000-0000-0000-0000-000000000000}"/>
  <bookViews>
    <workbookView xWindow="-57720" yWindow="-45" windowWidth="29040" windowHeight="15720" activeTab="1" xr2:uid="{BEF84414-3D64-492E-B717-A0F9544FFB64}"/>
  </bookViews>
  <sheets>
    <sheet name="649163__Newbusiness_NEW_BUSINES" sheetId="1" r:id="rId1"/>
    <sheet name="clean sheet" sheetId="2" r:id="rId2"/>
  </sheets>
  <definedNames>
    <definedName name="_xlnm._FilterDatabase" localSheetId="1" hidden="1">'clean sheet'!$A$1:$AD$63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2" l="1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2" i="2"/>
</calcChain>
</file>

<file path=xl/sharedStrings.xml><?xml version="1.0" encoding="utf-8"?>
<sst xmlns="http://schemas.openxmlformats.org/spreadsheetml/2006/main" count="3343" uniqueCount="267">
  <si>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</si>
  <si>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</si>
  <si>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</si>
  <si>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</si>
  <si>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</si>
  <si>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</si>
  <si>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</si>
  <si>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</si>
  <si>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</si>
  <si>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</si>
  <si>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</si>
  <si>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</si>
  <si>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</si>
  <si>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</si>
  <si>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</si>
  <si>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</si>
  <si>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</si>
  <si>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</si>
  <si>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</si>
  <si>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</si>
  <si>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</si>
  <si>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</si>
  <si>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</si>
  <si>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</si>
  <si>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</si>
  <si>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</si>
  <si>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</si>
  <si>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</si>
  <si>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</si>
  <si>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</si>
  <si>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</si>
  <si>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</si>
  <si>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</si>
  <si>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</si>
  <si>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</si>
  <si>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</si>
  <si>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</si>
  <si>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</si>
  <si>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</si>
  <si>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</si>
  <si>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</si>
  <si>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JASON HOFFMANN</t>
  </si>
  <si>
    <t>ANTHONY HOEPPNER</t>
  </si>
  <si>
    <t>TN</t>
  </si>
  <si>
    <t>COLLEEN FINNIGAN</t>
  </si>
  <si>
    <t>Active</t>
  </si>
  <si>
    <t>NHIC STM PPO All Other States</t>
  </si>
  <si>
    <t>Monthly</t>
  </si>
  <si>
    <t>AV6</t>
  </si>
  <si>
    <t>[NOADMINFEE]</t>
  </si>
  <si>
    <t>GAYLE MATHES</t>
  </si>
  <si>
    <t>IA</t>
  </si>
  <si>
    <t>RYAN CALTAGIRONE</t>
  </si>
  <si>
    <t>Plan Enhancer 20214</t>
  </si>
  <si>
    <t>AV</t>
  </si>
  <si>
    <t>MATT ELLIOUT</t>
  </si>
  <si>
    <t>MO</t>
  </si>
  <si>
    <t>MATTHEW DAUGHERTY</t>
  </si>
  <si>
    <t>Cancer and Heart/Stroke 20231</t>
  </si>
  <si>
    <t>LISA YOUNG</t>
  </si>
  <si>
    <t>NC</t>
  </si>
  <si>
    <t>GIUSEPPE PULVINO</t>
  </si>
  <si>
    <t>IL</t>
  </si>
  <si>
    <t>CHAD YALE</t>
  </si>
  <si>
    <t>ERIC WOODALL</t>
  </si>
  <si>
    <t>TX</t>
  </si>
  <si>
    <t>LORRETTA MARSHALL</t>
  </si>
  <si>
    <t>AL</t>
  </si>
  <si>
    <t>Cancer and Heart/Stroke GI 20231</t>
  </si>
  <si>
    <t>SARA BATTS</t>
  </si>
  <si>
    <t>JAKE SHULMAN</t>
  </si>
  <si>
    <t>GREGORY ANDERSON</t>
  </si>
  <si>
    <t>MD</t>
  </si>
  <si>
    <t>ADAM RICHTER</t>
  </si>
  <si>
    <t>Critical Illness w/ Term Life 21677</t>
  </si>
  <si>
    <t>LYNNSEY DANBY</t>
  </si>
  <si>
    <t>OR</t>
  </si>
  <si>
    <t>SELECT DENTAL 29304</t>
  </si>
  <si>
    <t>JENNIFER GOOD</t>
  </si>
  <si>
    <t>NATALIE FILIPPO</t>
  </si>
  <si>
    <t>NHIC LM 2021 Hospital Expense Protection U65</t>
  </si>
  <si>
    <t>LIFE Association Membership - C 14956 LM</t>
  </si>
  <si>
    <t>ALEX TAYLOR</t>
  </si>
  <si>
    <t>WA</t>
  </si>
  <si>
    <t>NATHAN READY</t>
  </si>
  <si>
    <t>UT</t>
  </si>
  <si>
    <t>MAUREEN PRENDIVILLE-WELTER</t>
  </si>
  <si>
    <t>JASON ROLLER</t>
  </si>
  <si>
    <t>LUKAS MOSSELL</t>
  </si>
  <si>
    <t>MICHAEL DUNAVANT</t>
  </si>
  <si>
    <t>TINA HATANPAA</t>
  </si>
  <si>
    <t>MARK SPORLE</t>
  </si>
  <si>
    <t>WI</t>
  </si>
  <si>
    <t>TRAIE THOMAS</t>
  </si>
  <si>
    <t>KENNETH WEITZMAN</t>
  </si>
  <si>
    <t>WILLIAM TRAMMELL</t>
  </si>
  <si>
    <t>FL</t>
  </si>
  <si>
    <t>MARJURI RIZO</t>
  </si>
  <si>
    <t>ANTONIA NEVAREZ</t>
  </si>
  <si>
    <t>Dental Indemnity 21618</t>
  </si>
  <si>
    <t>BRITTANY WELLS</t>
  </si>
  <si>
    <t>AZ</t>
  </si>
  <si>
    <t>JEANA HENDRICKSON</t>
  </si>
  <si>
    <t>MARY POWELL</t>
  </si>
  <si>
    <t>SC</t>
  </si>
  <si>
    <t>MIRIAM JENSEN</t>
  </si>
  <si>
    <t>IN</t>
  </si>
  <si>
    <t>MARSHA SANDEROCK</t>
  </si>
  <si>
    <t>TRACY DORENCZ</t>
  </si>
  <si>
    <t>SAADIA ABDUL</t>
  </si>
  <si>
    <t>LESA CRANE</t>
  </si>
  <si>
    <t>LORENA FIERRO</t>
  </si>
  <si>
    <t>MICHAEL LUNDIN</t>
  </si>
  <si>
    <t>FRANK LISKOVEC</t>
  </si>
  <si>
    <t>CARLOS MANDES</t>
  </si>
  <si>
    <t>DAVID MERDIAN</t>
  </si>
  <si>
    <t>Accident Fixed Benefit</t>
  </si>
  <si>
    <t>ROBERT WOODRUFF</t>
  </si>
  <si>
    <t>OH</t>
  </si>
  <si>
    <t>JENNIFER HALSAVER</t>
  </si>
  <si>
    <t>NHIC STM 2022 OH Single Term</t>
  </si>
  <si>
    <t>AV3</t>
  </si>
  <si>
    <t>Life Association C OH</t>
  </si>
  <si>
    <t>ANN DUNCAN</t>
  </si>
  <si>
    <t>LAURA SELLERS</t>
  </si>
  <si>
    <t>CHRISTOPHER BROUSSEAU</t>
  </si>
  <si>
    <t>JESSICA PICKETT</t>
  </si>
  <si>
    <t>BARRY SCHUMANN</t>
  </si>
  <si>
    <t>CHARLES BENISH</t>
  </si>
  <si>
    <t>TAKASHI KANAI</t>
  </si>
  <si>
    <t>PA</t>
  </si>
  <si>
    <t>CAROL FOLEY</t>
  </si>
  <si>
    <t>LOUIS DELLIS</t>
  </si>
  <si>
    <t>ROBYN KUKER</t>
  </si>
  <si>
    <t>HONG DING</t>
  </si>
  <si>
    <t>RICHARD YALE</t>
  </si>
  <si>
    <t>JODI DEBERARD</t>
  </si>
  <si>
    <t>ERIC BAKER</t>
  </si>
  <si>
    <t>MELANIE KRAUTER</t>
  </si>
  <si>
    <t>MI</t>
  </si>
  <si>
    <t>Allstate Health Cancer Only 5035</t>
  </si>
  <si>
    <t>JEANNIE RAMSEY</t>
  </si>
  <si>
    <t>KS</t>
  </si>
  <si>
    <t>Term Life 21673</t>
  </si>
  <si>
    <t>JEREMY QUINCY</t>
  </si>
  <si>
    <t>LA</t>
  </si>
  <si>
    <t>JOHN ROKEN</t>
  </si>
  <si>
    <t>MEGHAN GUILFOYLE</t>
  </si>
  <si>
    <t>CO</t>
  </si>
  <si>
    <t>HEATHER MILLER</t>
  </si>
  <si>
    <t>RICHMOND LAWAL</t>
  </si>
  <si>
    <t>ROBERT ADCOCK</t>
  </si>
  <si>
    <t>JOZEF PEKSA</t>
  </si>
  <si>
    <t>ALMA MIJARES</t>
  </si>
  <si>
    <t>CHRYSTOFER SADLER</t>
  </si>
  <si>
    <t>GA</t>
  </si>
  <si>
    <t>KRISTINA WOOLEY</t>
  </si>
  <si>
    <t>JONAH LINDBLAD</t>
  </si>
  <si>
    <t>REBECCA PHILLIPS</t>
  </si>
  <si>
    <t>KAREN NADER</t>
  </si>
  <si>
    <t>EDWARD FRENZ</t>
  </si>
  <si>
    <t>ANGEL VALLE</t>
  </si>
  <si>
    <t>NHIC STM PPO GI</t>
  </si>
  <si>
    <t>Life Association GI</t>
  </si>
  <si>
    <t>ROSANGELA VALLE</t>
  </si>
  <si>
    <t>LIFE Association Membership - C 14956 PPO</t>
  </si>
  <si>
    <t>BETH WALKER</t>
  </si>
  <si>
    <t>JASON WINTERS</t>
  </si>
  <si>
    <t>RYAN STOCKER</t>
  </si>
  <si>
    <t>Allstate Health Access</t>
  </si>
  <si>
    <t>TrioMED 15k 15285</t>
  </si>
  <si>
    <t>ALEXANDRA FRASER</t>
  </si>
  <si>
    <t>ANGILA GARRETT</t>
  </si>
  <si>
    <t>JARED KINYUA</t>
  </si>
  <si>
    <t>ABBEY BORROUGHS</t>
  </si>
  <si>
    <t>TrioMED 30k 15307</t>
  </si>
  <si>
    <t>WYNNE CONLIN</t>
  </si>
  <si>
    <t>GERALD FOLEY</t>
  </si>
  <si>
    <t>JORGE VAZQUEZ</t>
  </si>
  <si>
    <t>QUILLAN HANNIBAL</t>
  </si>
  <si>
    <t>SUNG YEOUN</t>
  </si>
  <si>
    <t>FANTAYIJA MARTIN</t>
  </si>
  <si>
    <t>AMIRREZA BAHADOR</t>
  </si>
  <si>
    <t>AV1</t>
  </si>
  <si>
    <t>NICHOLAS CURRIER</t>
  </si>
  <si>
    <t>BARBARA WOODS</t>
  </si>
  <si>
    <t>NHIC Dental 2020 DVH 65+</t>
  </si>
  <si>
    <t>TIMOTHY WHITEMAN</t>
  </si>
  <si>
    <t>RONALD MAX</t>
  </si>
  <si>
    <t>NANCY PRESSLEY</t>
  </si>
  <si>
    <t>LAURA RIEDEL</t>
  </si>
  <si>
    <t>Cancer and Heart/Stroke 20231 CO-FL-MN-MI</t>
  </si>
  <si>
    <t>JOSE ESCOBAR</t>
  </si>
  <si>
    <t>GINA REISBERG</t>
  </si>
  <si>
    <t>JADE LEVINSON</t>
  </si>
  <si>
    <t>RICARDO SANTOS</t>
  </si>
  <si>
    <t>BONNIE PHILLIPS</t>
  </si>
  <si>
    <t>JOHN POWELL</t>
  </si>
  <si>
    <t>BEATRIX EDELENBOS</t>
  </si>
  <si>
    <t>SHAUNA DUNN</t>
  </si>
  <si>
    <t>OK</t>
  </si>
  <si>
    <t>THOMAS PARDUE</t>
  </si>
  <si>
    <t>WESTON ADAMS</t>
  </si>
  <si>
    <t>YOLANDA LOZADAI</t>
  </si>
  <si>
    <t>JAMES ALLEN</t>
  </si>
  <si>
    <t>KENNETH JR.</t>
  </si>
  <si>
    <t>ALLISON SOLOMON</t>
  </si>
  <si>
    <t>PHILLIP III</t>
  </si>
  <si>
    <t>JILL SHEPARD</t>
  </si>
  <si>
    <t>LAURA ABENDROTH</t>
  </si>
  <si>
    <t>CHARLES LOTHARP</t>
  </si>
  <si>
    <t>KEITH LESNIAK</t>
  </si>
  <si>
    <t>ANTHONY HUNSBERGER</t>
  </si>
  <si>
    <t>KENNETH REYNOLDS</t>
  </si>
  <si>
    <t>INES BERG</t>
  </si>
  <si>
    <t>KEVIN GOODSELL</t>
  </si>
  <si>
    <t>CHRISTIAN TAUGNER</t>
  </si>
  <si>
    <t>MARY SCHWAB</t>
  </si>
  <si>
    <t>JEAN AYALA</t>
  </si>
  <si>
    <t>NICASIO SANTIAGO</t>
  </si>
  <si>
    <t>BARRY BRENNER</t>
  </si>
  <si>
    <t>CRAIG WEIS</t>
  </si>
  <si>
    <t>ANDREW HILDEBRAND</t>
  </si>
  <si>
    <t>MEGAN MASUD</t>
  </si>
  <si>
    <t>JARED BROWN</t>
  </si>
  <si>
    <t>HILARY LINDSAY</t>
  </si>
  <si>
    <t>VA</t>
  </si>
  <si>
    <t>TrioMED Accident and CI 14939</t>
  </si>
  <si>
    <t>LIFE Association Membership - B 14995</t>
  </si>
  <si>
    <t>MARY JONES</t>
  </si>
  <si>
    <t>GARY PORTUGAL</t>
  </si>
  <si>
    <t>THURSTON HARRISON</t>
  </si>
  <si>
    <t>TIMOTHY CHAPMAN</t>
  </si>
  <si>
    <t>NONIE BOWERS</t>
  </si>
  <si>
    <t>CB</t>
  </si>
  <si>
    <t>JOHNNY PATTERSON</t>
  </si>
  <si>
    <t>CHARGEBACK</t>
  </si>
  <si>
    <t>AE</t>
  </si>
  <si>
    <t>NICOLE KORECKY</t>
  </si>
  <si>
    <t>NICHOLAS GERENTES</t>
  </si>
  <si>
    <t>ANDREW CHOI</t>
  </si>
  <si>
    <t>MELISSA LAROUSSINI</t>
  </si>
  <si>
    <t>Allstate Recuro RX Discount Card</t>
  </si>
  <si>
    <t>Life Association Access</t>
  </si>
  <si>
    <t>JEANNE SCHOCK</t>
  </si>
  <si>
    <t>MARK SILKO</t>
  </si>
  <si>
    <t>ALEXIS TECHNIK</t>
  </si>
  <si>
    <t>JOSEPH TECHNIK</t>
  </si>
  <si>
    <t>DEANNA FROELICH</t>
  </si>
  <si>
    <t>AMINA HOSSAIN</t>
  </si>
  <si>
    <t>HALEY OMACK</t>
  </si>
  <si>
    <t>JENNIFER ALEXANDER</t>
  </si>
  <si>
    <t>ALETH ORBITA</t>
  </si>
  <si>
    <t>NV</t>
  </si>
  <si>
    <t>7146581AV6</t>
  </si>
  <si>
    <t>19586992AV6</t>
  </si>
  <si>
    <t>19681796AV6</t>
  </si>
  <si>
    <t>8814784AV6</t>
  </si>
  <si>
    <t>21313588AV6</t>
  </si>
  <si>
    <t>17117649AV6</t>
  </si>
  <si>
    <t>18201929AV6</t>
  </si>
  <si>
    <t>17143996AV6</t>
  </si>
  <si>
    <t>20724564AV6</t>
  </si>
  <si>
    <t>18828278AV6</t>
  </si>
  <si>
    <t>19200754AV6</t>
  </si>
  <si>
    <t>16633294AV6</t>
  </si>
  <si>
    <t>371819AV6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</si>
</sst>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D622-6CBE-42BE-939E-35B1EAAC6E51}">
  <dimension ref="A1:AL230"/>
  <sheetViews>
    <sheetView topLeftCell="D198" workbookViewId="0">
      <selection activeCell="I210" sqref="I210"/>
    </sheetView>
  </sheetViews>
  <sheetFormatPr defaultRowHeight="15" x14ac:dyDescent="0.25"/>
  <cols>
    <col min="9" max="9" width="14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45905</v>
      </c>
      <c r="B2" s="1">
        <v>45901</v>
      </c>
      <c r="C2" t="s">
        <v>38</v>
      </c>
      <c r="D2" t="s">
        <v>39</v>
      </c>
      <c r="E2" t="s">
        <v>40</v>
      </c>
      <c r="F2">
        <v>649163</v>
      </c>
      <c r="G2">
        <v>20411454</v>
      </c>
      <c r="H2" t="s">
        <v>41</v>
      </c>
      <c r="I2">
        <v>2024626406</v>
      </c>
      <c r="J2" t="s">
        <v>42</v>
      </c>
      <c r="M2" t="s">
        <v>43</v>
      </c>
      <c r="O2">
        <v>669316</v>
      </c>
      <c r="P2" t="s">
        <v>44</v>
      </c>
      <c r="Q2" t="s">
        <v>45</v>
      </c>
      <c r="R2" t="s">
        <v>46</v>
      </c>
      <c r="S2" s="1">
        <v>45898</v>
      </c>
      <c r="U2" t="s">
        <v>47</v>
      </c>
      <c r="X2" t="s">
        <v>48</v>
      </c>
      <c r="Y2" s="2">
        <v>352.41</v>
      </c>
      <c r="Z2" s="2">
        <v>352.41</v>
      </c>
      <c r="AA2">
        <v>6</v>
      </c>
      <c r="AB2" s="3">
        <v>0.28999999999999998</v>
      </c>
      <c r="AC2" s="2">
        <v>613.19000000000005</v>
      </c>
      <c r="AD2" s="3">
        <v>0</v>
      </c>
      <c r="AE2" s="2">
        <v>0</v>
      </c>
      <c r="AF2" s="2">
        <v>613.19000000000005</v>
      </c>
      <c r="AK2" s="4">
        <v>19714700</v>
      </c>
      <c r="AL2" t="s">
        <v>49</v>
      </c>
    </row>
    <row r="3" spans="1:38" x14ac:dyDescent="0.25">
      <c r="A3" s="1">
        <v>45905</v>
      </c>
      <c r="B3" s="1">
        <v>45901</v>
      </c>
      <c r="C3" t="s">
        <v>38</v>
      </c>
      <c r="D3" t="s">
        <v>39</v>
      </c>
      <c r="E3" t="s">
        <v>40</v>
      </c>
      <c r="F3">
        <v>649163</v>
      </c>
      <c r="G3">
        <v>20411454</v>
      </c>
      <c r="H3" t="s">
        <v>41</v>
      </c>
      <c r="I3">
        <v>2029943966</v>
      </c>
      <c r="J3" t="s">
        <v>50</v>
      </c>
      <c r="M3" t="s">
        <v>51</v>
      </c>
      <c r="O3">
        <v>673059</v>
      </c>
      <c r="P3" t="s">
        <v>52</v>
      </c>
      <c r="Q3" t="s">
        <v>45</v>
      </c>
      <c r="R3" t="s">
        <v>53</v>
      </c>
      <c r="S3" s="1">
        <v>45901</v>
      </c>
      <c r="U3" t="s">
        <v>47</v>
      </c>
      <c r="X3" t="s">
        <v>54</v>
      </c>
      <c r="Y3" s="2">
        <v>204.88</v>
      </c>
      <c r="Z3" s="2">
        <v>204.88</v>
      </c>
      <c r="AA3">
        <v>6</v>
      </c>
      <c r="AB3" s="3">
        <v>0.7</v>
      </c>
      <c r="AC3" s="2">
        <v>860.5</v>
      </c>
      <c r="AD3" s="3">
        <v>0</v>
      </c>
      <c r="AE3" s="2">
        <v>0</v>
      </c>
      <c r="AF3" s="2">
        <v>860.5</v>
      </c>
      <c r="AK3" s="4">
        <v>19656050</v>
      </c>
      <c r="AL3" t="s">
        <v>49</v>
      </c>
    </row>
    <row r="4" spans="1:38" x14ac:dyDescent="0.25">
      <c r="A4" s="1">
        <v>45905</v>
      </c>
      <c r="B4" s="1">
        <v>45901</v>
      </c>
      <c r="C4" t="s">
        <v>38</v>
      </c>
      <c r="D4" t="s">
        <v>39</v>
      </c>
      <c r="E4" t="s">
        <v>40</v>
      </c>
      <c r="F4">
        <v>649163</v>
      </c>
      <c r="G4">
        <v>20411454</v>
      </c>
      <c r="H4" t="s">
        <v>41</v>
      </c>
      <c r="I4">
        <v>2030309854</v>
      </c>
      <c r="J4" t="s">
        <v>55</v>
      </c>
      <c r="M4" t="s">
        <v>56</v>
      </c>
      <c r="O4">
        <v>753748</v>
      </c>
      <c r="P4" t="s">
        <v>57</v>
      </c>
      <c r="Q4" t="s">
        <v>45</v>
      </c>
      <c r="R4" t="s">
        <v>58</v>
      </c>
      <c r="S4" s="1">
        <v>45901</v>
      </c>
      <c r="U4" t="s">
        <v>47</v>
      </c>
      <c r="X4" t="s">
        <v>54</v>
      </c>
      <c r="Y4" s="2">
        <v>181.25</v>
      </c>
      <c r="Z4" s="2">
        <v>181.25</v>
      </c>
      <c r="AA4">
        <v>6</v>
      </c>
      <c r="AB4" s="3">
        <v>0.75</v>
      </c>
      <c r="AC4" s="2">
        <v>815.63</v>
      </c>
      <c r="AD4" s="3">
        <v>0</v>
      </c>
      <c r="AE4" s="2">
        <v>0</v>
      </c>
      <c r="AF4" s="2">
        <v>815.63</v>
      </c>
      <c r="AK4" s="4">
        <v>19682330</v>
      </c>
      <c r="AL4" t="s">
        <v>49</v>
      </c>
    </row>
    <row r="5" spans="1:38" x14ac:dyDescent="0.25">
      <c r="A5" s="1">
        <v>45905</v>
      </c>
      <c r="B5" s="1">
        <v>45901</v>
      </c>
      <c r="C5" t="s">
        <v>38</v>
      </c>
      <c r="D5" t="s">
        <v>39</v>
      </c>
      <c r="E5" t="s">
        <v>40</v>
      </c>
      <c r="F5">
        <v>649163</v>
      </c>
      <c r="G5">
        <v>20411454</v>
      </c>
      <c r="H5" t="s">
        <v>41</v>
      </c>
      <c r="I5">
        <v>2030328061</v>
      </c>
      <c r="J5" t="s">
        <v>59</v>
      </c>
      <c r="M5" t="s">
        <v>60</v>
      </c>
      <c r="O5">
        <v>753748</v>
      </c>
      <c r="P5" t="s">
        <v>57</v>
      </c>
      <c r="Q5" t="s">
        <v>45</v>
      </c>
      <c r="R5" t="s">
        <v>53</v>
      </c>
      <c r="S5" s="1">
        <v>45901</v>
      </c>
      <c r="U5" t="s">
        <v>47</v>
      </c>
      <c r="X5" t="s">
        <v>54</v>
      </c>
      <c r="Y5" s="2">
        <v>13.71</v>
      </c>
      <c r="Z5" s="2">
        <v>13.71</v>
      </c>
      <c r="AA5">
        <v>6</v>
      </c>
      <c r="AB5" s="3">
        <v>0.7</v>
      </c>
      <c r="AC5" s="2">
        <v>57.58</v>
      </c>
      <c r="AD5" s="3">
        <v>0</v>
      </c>
      <c r="AE5" s="2">
        <v>0</v>
      </c>
      <c r="AF5" s="2">
        <v>57.58</v>
      </c>
      <c r="AK5" s="4">
        <v>19656990</v>
      </c>
      <c r="AL5" t="s">
        <v>49</v>
      </c>
    </row>
    <row r="6" spans="1:38" x14ac:dyDescent="0.25">
      <c r="A6" s="1">
        <v>45905</v>
      </c>
      <c r="B6" s="1">
        <v>45901</v>
      </c>
      <c r="C6" t="s">
        <v>38</v>
      </c>
      <c r="D6" t="s">
        <v>39</v>
      </c>
      <c r="E6" t="s">
        <v>40</v>
      </c>
      <c r="F6">
        <v>649163</v>
      </c>
      <c r="G6">
        <v>20411454</v>
      </c>
      <c r="H6" t="s">
        <v>41</v>
      </c>
      <c r="I6">
        <v>2030361122</v>
      </c>
      <c r="J6" t="s">
        <v>61</v>
      </c>
      <c r="M6" t="s">
        <v>62</v>
      </c>
      <c r="O6">
        <v>856163</v>
      </c>
      <c r="P6" t="s">
        <v>63</v>
      </c>
      <c r="Q6" t="s">
        <v>45</v>
      </c>
      <c r="R6" t="s">
        <v>53</v>
      </c>
      <c r="S6" s="1">
        <v>45901</v>
      </c>
      <c r="U6" t="s">
        <v>47</v>
      </c>
      <c r="X6" t="s">
        <v>54</v>
      </c>
      <c r="Y6" s="2">
        <v>78.069999999999993</v>
      </c>
      <c r="Z6" s="2">
        <v>78.069999999999993</v>
      </c>
      <c r="AA6">
        <v>6</v>
      </c>
      <c r="AB6" s="3">
        <v>0.7</v>
      </c>
      <c r="AC6" s="2">
        <v>327.89</v>
      </c>
      <c r="AD6" s="3">
        <v>0</v>
      </c>
      <c r="AE6" s="2">
        <v>0</v>
      </c>
      <c r="AF6" s="2">
        <v>327.89</v>
      </c>
      <c r="AK6" s="4">
        <v>19657030</v>
      </c>
      <c r="AL6" t="s">
        <v>49</v>
      </c>
    </row>
    <row r="7" spans="1:38" x14ac:dyDescent="0.25">
      <c r="A7" s="1">
        <v>45905</v>
      </c>
      <c r="B7" s="1">
        <v>45901</v>
      </c>
      <c r="C7" t="s">
        <v>38</v>
      </c>
      <c r="D7" t="s">
        <v>39</v>
      </c>
      <c r="E7" t="s">
        <v>40</v>
      </c>
      <c r="F7">
        <v>649163</v>
      </c>
      <c r="G7">
        <v>20411454</v>
      </c>
      <c r="H7" t="s">
        <v>41</v>
      </c>
      <c r="I7">
        <v>2030382844</v>
      </c>
      <c r="J7" t="s">
        <v>64</v>
      </c>
      <c r="M7" t="s">
        <v>65</v>
      </c>
      <c r="O7">
        <v>753748</v>
      </c>
      <c r="P7" t="s">
        <v>57</v>
      </c>
      <c r="Q7" t="s">
        <v>45</v>
      </c>
      <c r="R7" t="s">
        <v>53</v>
      </c>
      <c r="S7" s="1">
        <v>45901</v>
      </c>
      <c r="U7" t="s">
        <v>47</v>
      </c>
      <c r="X7" t="s">
        <v>54</v>
      </c>
      <c r="Y7" s="2">
        <v>50.24</v>
      </c>
      <c r="Z7" s="2">
        <v>50.24</v>
      </c>
      <c r="AA7">
        <v>6</v>
      </c>
      <c r="AB7" s="3">
        <v>0.7</v>
      </c>
      <c r="AC7" s="2">
        <v>211.01</v>
      </c>
      <c r="AD7" s="3">
        <v>0</v>
      </c>
      <c r="AE7" s="2">
        <v>0</v>
      </c>
      <c r="AF7" s="2">
        <v>211.01</v>
      </c>
      <c r="AK7" s="4">
        <v>19657060</v>
      </c>
      <c r="AL7" t="s">
        <v>49</v>
      </c>
    </row>
    <row r="8" spans="1:38" x14ac:dyDescent="0.25">
      <c r="A8" s="1">
        <v>45905</v>
      </c>
      <c r="B8" s="1">
        <v>45901</v>
      </c>
      <c r="C8" t="s">
        <v>38</v>
      </c>
      <c r="D8" t="s">
        <v>39</v>
      </c>
      <c r="E8" t="s">
        <v>40</v>
      </c>
      <c r="F8">
        <v>649163</v>
      </c>
      <c r="G8">
        <v>20411454</v>
      </c>
      <c r="H8" t="s">
        <v>41</v>
      </c>
      <c r="I8">
        <v>2030383550</v>
      </c>
      <c r="J8" t="s">
        <v>66</v>
      </c>
      <c r="M8" t="s">
        <v>67</v>
      </c>
      <c r="O8">
        <v>753748</v>
      </c>
      <c r="P8" t="s">
        <v>57</v>
      </c>
      <c r="Q8" t="s">
        <v>45</v>
      </c>
      <c r="R8" t="s">
        <v>68</v>
      </c>
      <c r="S8" s="1">
        <v>45901</v>
      </c>
      <c r="U8" t="s">
        <v>47</v>
      </c>
      <c r="X8" t="s">
        <v>54</v>
      </c>
      <c r="Y8" s="2">
        <v>75.13</v>
      </c>
      <c r="Z8" s="2">
        <v>75.13</v>
      </c>
      <c r="AA8">
        <v>6</v>
      </c>
      <c r="AB8" s="3">
        <v>0.75</v>
      </c>
      <c r="AC8" s="2">
        <v>338.09</v>
      </c>
      <c r="AD8" s="3">
        <v>0</v>
      </c>
      <c r="AE8" s="2">
        <v>0</v>
      </c>
      <c r="AF8" s="2">
        <v>338.09</v>
      </c>
      <c r="AK8" s="4">
        <v>19682380</v>
      </c>
      <c r="AL8" t="s">
        <v>49</v>
      </c>
    </row>
    <row r="9" spans="1:38" x14ac:dyDescent="0.25">
      <c r="A9" s="1">
        <v>45905</v>
      </c>
      <c r="B9" s="1">
        <v>45901</v>
      </c>
      <c r="C9" t="s">
        <v>38</v>
      </c>
      <c r="D9" t="s">
        <v>39</v>
      </c>
      <c r="E9" t="s">
        <v>40</v>
      </c>
      <c r="F9">
        <v>649163</v>
      </c>
      <c r="G9">
        <v>20411454</v>
      </c>
      <c r="H9" t="s">
        <v>41</v>
      </c>
      <c r="I9">
        <v>2030383551</v>
      </c>
      <c r="J9" t="s">
        <v>66</v>
      </c>
      <c r="M9" t="s">
        <v>67</v>
      </c>
      <c r="O9">
        <v>753748</v>
      </c>
      <c r="P9" t="s">
        <v>57</v>
      </c>
      <c r="Q9" t="s">
        <v>45</v>
      </c>
      <c r="R9" t="s">
        <v>53</v>
      </c>
      <c r="S9" s="1">
        <v>45901</v>
      </c>
      <c r="U9" t="s">
        <v>47</v>
      </c>
      <c r="X9" t="s">
        <v>54</v>
      </c>
      <c r="Y9" s="2">
        <v>36.58</v>
      </c>
      <c r="Z9" s="2">
        <v>36.58</v>
      </c>
      <c r="AA9">
        <v>6</v>
      </c>
      <c r="AB9" s="3">
        <v>0.7</v>
      </c>
      <c r="AC9" s="2">
        <v>153.63999999999999</v>
      </c>
      <c r="AD9" s="3">
        <v>0</v>
      </c>
      <c r="AE9" s="2">
        <v>0</v>
      </c>
      <c r="AF9" s="2">
        <v>153.63999999999999</v>
      </c>
      <c r="AK9" s="4">
        <v>19657060</v>
      </c>
      <c r="AL9" t="s">
        <v>49</v>
      </c>
    </row>
    <row r="10" spans="1:38" x14ac:dyDescent="0.25">
      <c r="A10" s="1">
        <v>45905</v>
      </c>
      <c r="B10" s="1">
        <v>45901</v>
      </c>
      <c r="C10" t="s">
        <v>38</v>
      </c>
      <c r="D10" t="s">
        <v>39</v>
      </c>
      <c r="E10" t="s">
        <v>40</v>
      </c>
      <c r="F10">
        <v>649163</v>
      </c>
      <c r="G10">
        <v>20411454</v>
      </c>
      <c r="H10" t="s">
        <v>41</v>
      </c>
      <c r="I10">
        <v>2030392317</v>
      </c>
      <c r="J10" t="s">
        <v>69</v>
      </c>
      <c r="M10" t="s">
        <v>65</v>
      </c>
      <c r="O10">
        <v>856824</v>
      </c>
      <c r="P10" t="s">
        <v>70</v>
      </c>
      <c r="Q10" t="s">
        <v>45</v>
      </c>
      <c r="R10" t="s">
        <v>53</v>
      </c>
      <c r="S10" s="1">
        <v>45901</v>
      </c>
      <c r="U10" t="s">
        <v>47</v>
      </c>
      <c r="X10" t="s">
        <v>54</v>
      </c>
      <c r="Y10" s="2">
        <v>141.47</v>
      </c>
      <c r="Z10" s="2">
        <v>141.47</v>
      </c>
      <c r="AA10">
        <v>6</v>
      </c>
      <c r="AB10" s="3">
        <v>0.7</v>
      </c>
      <c r="AC10" s="2">
        <v>594.16999999999996</v>
      </c>
      <c r="AD10" s="3">
        <v>0</v>
      </c>
      <c r="AE10" s="2">
        <v>0</v>
      </c>
      <c r="AF10" s="2">
        <v>594.16999999999996</v>
      </c>
      <c r="AK10" s="4">
        <v>19657070</v>
      </c>
      <c r="AL10" t="s">
        <v>49</v>
      </c>
    </row>
    <row r="11" spans="1:38" x14ac:dyDescent="0.25">
      <c r="A11" s="1">
        <v>45905</v>
      </c>
      <c r="B11" s="1">
        <v>45901</v>
      </c>
      <c r="C11" t="s">
        <v>38</v>
      </c>
      <c r="D11" t="s">
        <v>39</v>
      </c>
      <c r="E11" t="s">
        <v>40</v>
      </c>
      <c r="F11">
        <v>649163</v>
      </c>
      <c r="G11">
        <v>20411454</v>
      </c>
      <c r="H11" t="s">
        <v>41</v>
      </c>
      <c r="I11">
        <v>2030392318</v>
      </c>
      <c r="J11" t="s">
        <v>69</v>
      </c>
      <c r="M11" t="s">
        <v>65</v>
      </c>
      <c r="O11">
        <v>856824</v>
      </c>
      <c r="P11" t="s">
        <v>70</v>
      </c>
      <c r="Q11" t="s">
        <v>45</v>
      </c>
      <c r="R11" t="s">
        <v>68</v>
      </c>
      <c r="S11" s="1">
        <v>45901</v>
      </c>
      <c r="U11" t="s">
        <v>47</v>
      </c>
      <c r="X11" t="s">
        <v>54</v>
      </c>
      <c r="Y11" s="2">
        <v>40.880000000000003</v>
      </c>
      <c r="Z11" s="2">
        <v>40.880000000000003</v>
      </c>
      <c r="AA11">
        <v>6</v>
      </c>
      <c r="AB11" s="3">
        <v>0.75</v>
      </c>
      <c r="AC11" s="2">
        <v>183.96</v>
      </c>
      <c r="AD11" s="3">
        <v>0</v>
      </c>
      <c r="AE11" s="2">
        <v>0</v>
      </c>
      <c r="AF11" s="2">
        <v>183.96</v>
      </c>
      <c r="AK11" s="4">
        <v>19682380</v>
      </c>
      <c r="AL11" t="s">
        <v>49</v>
      </c>
    </row>
    <row r="12" spans="1:38" x14ac:dyDescent="0.25">
      <c r="A12" s="1">
        <v>45905</v>
      </c>
      <c r="B12" s="1">
        <v>45901</v>
      </c>
      <c r="C12" t="s">
        <v>38</v>
      </c>
      <c r="D12" t="s">
        <v>39</v>
      </c>
      <c r="E12" t="s">
        <v>40</v>
      </c>
      <c r="F12">
        <v>649163</v>
      </c>
      <c r="G12">
        <v>20411454</v>
      </c>
      <c r="H12" t="s">
        <v>41</v>
      </c>
      <c r="I12">
        <v>2030397202</v>
      </c>
      <c r="J12" t="s">
        <v>71</v>
      </c>
      <c r="M12" t="s">
        <v>72</v>
      </c>
      <c r="O12">
        <v>652037</v>
      </c>
      <c r="P12" t="s">
        <v>73</v>
      </c>
      <c r="Q12" t="s">
        <v>45</v>
      </c>
      <c r="R12" t="s">
        <v>74</v>
      </c>
      <c r="S12" s="1">
        <v>45901</v>
      </c>
      <c r="U12" t="s">
        <v>47</v>
      </c>
      <c r="X12" t="s">
        <v>54</v>
      </c>
      <c r="Y12" s="2">
        <v>138.61000000000001</v>
      </c>
      <c r="Z12" s="2">
        <v>138.61000000000001</v>
      </c>
      <c r="AA12">
        <v>6</v>
      </c>
      <c r="AB12" s="3">
        <v>0.9</v>
      </c>
      <c r="AC12" s="2">
        <v>748.49</v>
      </c>
      <c r="AD12" s="3">
        <v>0</v>
      </c>
      <c r="AE12" s="2">
        <v>0</v>
      </c>
      <c r="AF12" s="2">
        <v>748.49</v>
      </c>
      <c r="AK12" s="4">
        <v>19682390</v>
      </c>
      <c r="AL12" t="s">
        <v>49</v>
      </c>
    </row>
    <row r="13" spans="1:38" x14ac:dyDescent="0.25">
      <c r="A13" s="1">
        <v>45905</v>
      </c>
      <c r="B13" s="1">
        <v>45901</v>
      </c>
      <c r="C13" t="s">
        <v>38</v>
      </c>
      <c r="D13" t="s">
        <v>39</v>
      </c>
      <c r="E13" t="s">
        <v>40</v>
      </c>
      <c r="F13">
        <v>649163</v>
      </c>
      <c r="G13">
        <v>20411454</v>
      </c>
      <c r="H13" t="s">
        <v>41</v>
      </c>
      <c r="I13">
        <v>2030413755</v>
      </c>
      <c r="J13" t="s">
        <v>75</v>
      </c>
      <c r="M13" t="s">
        <v>76</v>
      </c>
      <c r="O13">
        <v>753748</v>
      </c>
      <c r="P13" t="s">
        <v>57</v>
      </c>
      <c r="Q13" t="s">
        <v>45</v>
      </c>
      <c r="R13" t="s">
        <v>74</v>
      </c>
      <c r="S13" s="1">
        <v>45901</v>
      </c>
      <c r="U13" t="s">
        <v>47</v>
      </c>
      <c r="X13" t="s">
        <v>54</v>
      </c>
      <c r="Y13" s="2">
        <v>68.08</v>
      </c>
      <c r="Z13" s="2">
        <v>68.08</v>
      </c>
      <c r="AA13">
        <v>6</v>
      </c>
      <c r="AB13" s="3">
        <v>0.9</v>
      </c>
      <c r="AC13" s="2">
        <v>367.63</v>
      </c>
      <c r="AD13" s="3">
        <v>0</v>
      </c>
      <c r="AE13" s="2">
        <v>0</v>
      </c>
      <c r="AF13" s="2">
        <v>367.63</v>
      </c>
      <c r="AK13" s="4">
        <v>19682400</v>
      </c>
      <c r="AL13" t="s">
        <v>49</v>
      </c>
    </row>
    <row r="14" spans="1:38" x14ac:dyDescent="0.25">
      <c r="A14" s="1">
        <v>45905</v>
      </c>
      <c r="B14" s="1">
        <v>45901</v>
      </c>
      <c r="C14" t="s">
        <v>38</v>
      </c>
      <c r="D14" t="s">
        <v>39</v>
      </c>
      <c r="E14" t="s">
        <v>40</v>
      </c>
      <c r="F14">
        <v>649163</v>
      </c>
      <c r="G14">
        <v>20411454</v>
      </c>
      <c r="H14" t="s">
        <v>41</v>
      </c>
      <c r="I14">
        <v>2030413756</v>
      </c>
      <c r="J14" t="s">
        <v>75</v>
      </c>
      <c r="M14" t="s">
        <v>76</v>
      </c>
      <c r="O14">
        <v>753748</v>
      </c>
      <c r="P14" t="s">
        <v>57</v>
      </c>
      <c r="Q14" t="s">
        <v>45</v>
      </c>
      <c r="R14" t="s">
        <v>77</v>
      </c>
      <c r="S14" s="1">
        <v>45901</v>
      </c>
      <c r="U14" t="s">
        <v>47</v>
      </c>
      <c r="X14" t="s">
        <v>54</v>
      </c>
      <c r="Y14" s="2">
        <v>29.81</v>
      </c>
      <c r="Z14" s="2">
        <v>29.81</v>
      </c>
      <c r="AA14">
        <v>6</v>
      </c>
      <c r="AB14" s="3">
        <v>0.375</v>
      </c>
      <c r="AC14" s="2">
        <v>67.069999999999993</v>
      </c>
      <c r="AD14" s="3">
        <v>0</v>
      </c>
      <c r="AE14" s="2">
        <v>0</v>
      </c>
      <c r="AF14" s="2">
        <v>67.069999999999993</v>
      </c>
      <c r="AK14" s="4">
        <v>19701780</v>
      </c>
      <c r="AL14" t="s">
        <v>49</v>
      </c>
    </row>
    <row r="15" spans="1:38" x14ac:dyDescent="0.25">
      <c r="A15" s="1">
        <v>45905</v>
      </c>
      <c r="B15" s="1">
        <v>45901</v>
      </c>
      <c r="C15" t="s">
        <v>38</v>
      </c>
      <c r="D15" t="s">
        <v>39</v>
      </c>
      <c r="E15" t="s">
        <v>40</v>
      </c>
      <c r="F15">
        <v>649163</v>
      </c>
      <c r="G15">
        <v>20411454</v>
      </c>
      <c r="H15" t="s">
        <v>41</v>
      </c>
      <c r="I15">
        <v>2030417312</v>
      </c>
      <c r="J15" t="s">
        <v>78</v>
      </c>
      <c r="M15" t="s">
        <v>76</v>
      </c>
      <c r="O15">
        <v>753748</v>
      </c>
      <c r="P15" t="s">
        <v>57</v>
      </c>
      <c r="Q15" t="s">
        <v>45</v>
      </c>
      <c r="R15" t="s">
        <v>53</v>
      </c>
      <c r="S15" s="1">
        <v>45901</v>
      </c>
      <c r="U15" t="s">
        <v>47</v>
      </c>
      <c r="X15" t="s">
        <v>54</v>
      </c>
      <c r="Y15" s="2">
        <v>22.72</v>
      </c>
      <c r="Z15" s="2">
        <v>22.72</v>
      </c>
      <c r="AA15">
        <v>6</v>
      </c>
      <c r="AB15" s="3">
        <v>0.7</v>
      </c>
      <c r="AC15" s="2">
        <v>95.42</v>
      </c>
      <c r="AD15" s="3">
        <v>0</v>
      </c>
      <c r="AE15" s="2">
        <v>0</v>
      </c>
      <c r="AF15" s="2">
        <v>95.42</v>
      </c>
      <c r="AK15" s="4">
        <v>19657100</v>
      </c>
      <c r="AL15" t="s">
        <v>49</v>
      </c>
    </row>
    <row r="16" spans="1:38" x14ac:dyDescent="0.25">
      <c r="A16" s="1">
        <v>45905</v>
      </c>
      <c r="B16" s="1">
        <v>45901</v>
      </c>
      <c r="C16" t="s">
        <v>38</v>
      </c>
      <c r="D16" t="s">
        <v>39</v>
      </c>
      <c r="E16" t="s">
        <v>40</v>
      </c>
      <c r="F16">
        <v>649163</v>
      </c>
      <c r="G16">
        <v>20411454</v>
      </c>
      <c r="H16" t="s">
        <v>41</v>
      </c>
      <c r="I16">
        <v>2030417313</v>
      </c>
      <c r="J16" t="s">
        <v>78</v>
      </c>
      <c r="M16" t="s">
        <v>76</v>
      </c>
      <c r="O16">
        <v>753748</v>
      </c>
      <c r="P16" t="s">
        <v>57</v>
      </c>
      <c r="Q16" t="s">
        <v>45</v>
      </c>
      <c r="R16" t="s">
        <v>74</v>
      </c>
      <c r="S16" s="1">
        <v>45901</v>
      </c>
      <c r="U16" t="s">
        <v>47</v>
      </c>
      <c r="X16" t="s">
        <v>54</v>
      </c>
      <c r="Y16" s="2">
        <v>153.58000000000001</v>
      </c>
      <c r="Z16" s="2">
        <v>153.58000000000001</v>
      </c>
      <c r="AA16">
        <v>6</v>
      </c>
      <c r="AB16" s="3">
        <v>0.9</v>
      </c>
      <c r="AC16" s="2">
        <v>829.33</v>
      </c>
      <c r="AD16" s="3">
        <v>0</v>
      </c>
      <c r="AE16" s="2">
        <v>0</v>
      </c>
      <c r="AF16" s="2">
        <v>829.33</v>
      </c>
      <c r="AK16" s="4">
        <v>19682400</v>
      </c>
      <c r="AL16" t="s">
        <v>49</v>
      </c>
    </row>
    <row r="17" spans="1:38" x14ac:dyDescent="0.25">
      <c r="A17" s="1">
        <v>45905</v>
      </c>
      <c r="B17" s="1">
        <v>45901</v>
      </c>
      <c r="C17" t="s">
        <v>38</v>
      </c>
      <c r="D17" t="s">
        <v>39</v>
      </c>
      <c r="E17" t="s">
        <v>40</v>
      </c>
      <c r="F17">
        <v>649163</v>
      </c>
      <c r="G17">
        <v>20411454</v>
      </c>
      <c r="H17" t="s">
        <v>41</v>
      </c>
      <c r="I17">
        <v>2030439490</v>
      </c>
      <c r="J17" t="s">
        <v>79</v>
      </c>
      <c r="M17" t="s">
        <v>62</v>
      </c>
      <c r="O17">
        <v>673059</v>
      </c>
      <c r="P17" t="s">
        <v>52</v>
      </c>
      <c r="Q17" t="s">
        <v>45</v>
      </c>
      <c r="R17" t="s">
        <v>53</v>
      </c>
      <c r="S17" s="1">
        <v>45901</v>
      </c>
      <c r="U17" t="s">
        <v>47</v>
      </c>
      <c r="X17" t="s">
        <v>54</v>
      </c>
      <c r="Y17" s="2">
        <v>60.25</v>
      </c>
      <c r="Z17" s="2">
        <v>60.25</v>
      </c>
      <c r="AA17">
        <v>6</v>
      </c>
      <c r="AB17" s="3">
        <v>0.7</v>
      </c>
      <c r="AC17" s="2">
        <v>253.05</v>
      </c>
      <c r="AD17" s="3">
        <v>0</v>
      </c>
      <c r="AE17" s="2">
        <v>0</v>
      </c>
      <c r="AF17" s="2">
        <v>253.05</v>
      </c>
      <c r="AK17" s="4">
        <v>19657120</v>
      </c>
      <c r="AL17" t="s">
        <v>49</v>
      </c>
    </row>
    <row r="18" spans="1:38" x14ac:dyDescent="0.25">
      <c r="A18" s="1">
        <v>45905</v>
      </c>
      <c r="B18" s="1">
        <v>45901</v>
      </c>
      <c r="C18" t="s">
        <v>38</v>
      </c>
      <c r="D18" t="s">
        <v>39</v>
      </c>
      <c r="E18" t="s">
        <v>40</v>
      </c>
      <c r="F18">
        <v>649163</v>
      </c>
      <c r="G18">
        <v>20411454</v>
      </c>
      <c r="H18" t="s">
        <v>41</v>
      </c>
      <c r="I18">
        <v>2030439491</v>
      </c>
      <c r="J18" t="s">
        <v>79</v>
      </c>
      <c r="M18" t="s">
        <v>62</v>
      </c>
      <c r="O18">
        <v>673059</v>
      </c>
      <c r="P18" t="s">
        <v>52</v>
      </c>
      <c r="Q18" t="s">
        <v>45</v>
      </c>
      <c r="R18" t="s">
        <v>80</v>
      </c>
      <c r="S18" s="1">
        <v>45901</v>
      </c>
      <c r="U18" t="s">
        <v>47</v>
      </c>
      <c r="X18" t="s">
        <v>54</v>
      </c>
      <c r="Y18" s="2">
        <v>13.24</v>
      </c>
      <c r="Z18" s="2">
        <v>13.24</v>
      </c>
      <c r="AA18">
        <v>6</v>
      </c>
      <c r="AB18" s="3">
        <v>0.38</v>
      </c>
      <c r="AC18" s="2">
        <v>30.19</v>
      </c>
      <c r="AD18" s="3">
        <v>0</v>
      </c>
      <c r="AE18" s="2">
        <v>0</v>
      </c>
      <c r="AF18" s="2">
        <v>30.19</v>
      </c>
      <c r="AK18" s="4">
        <v>19706360</v>
      </c>
      <c r="AL18" t="s">
        <v>49</v>
      </c>
    </row>
    <row r="19" spans="1:38" x14ac:dyDescent="0.25">
      <c r="A19" s="1">
        <v>45905</v>
      </c>
      <c r="B19" s="1">
        <v>45901</v>
      </c>
      <c r="C19" t="s">
        <v>38</v>
      </c>
      <c r="D19" t="s">
        <v>39</v>
      </c>
      <c r="E19" t="s">
        <v>40</v>
      </c>
      <c r="F19">
        <v>649163</v>
      </c>
      <c r="G19">
        <v>20411454</v>
      </c>
      <c r="H19" t="s">
        <v>41</v>
      </c>
      <c r="I19">
        <v>2030439492</v>
      </c>
      <c r="J19" t="s">
        <v>79</v>
      </c>
      <c r="M19" t="s">
        <v>62</v>
      </c>
      <c r="O19">
        <v>673059</v>
      </c>
      <c r="P19" t="s">
        <v>52</v>
      </c>
      <c r="Q19" t="s">
        <v>45</v>
      </c>
      <c r="R19" t="s">
        <v>81</v>
      </c>
      <c r="S19" s="1">
        <v>45901</v>
      </c>
      <c r="U19" t="s">
        <v>47</v>
      </c>
      <c r="X19" t="s">
        <v>54</v>
      </c>
      <c r="Y19" s="2">
        <v>15</v>
      </c>
      <c r="Z19" s="2">
        <v>15</v>
      </c>
      <c r="AA19">
        <v>6</v>
      </c>
      <c r="AB19" s="3">
        <v>0.38</v>
      </c>
      <c r="AC19" s="2">
        <v>34.200000000000003</v>
      </c>
      <c r="AD19" s="3">
        <v>0</v>
      </c>
      <c r="AE19" s="2">
        <v>0</v>
      </c>
      <c r="AF19" s="2">
        <v>34.200000000000003</v>
      </c>
      <c r="AK19" s="4">
        <v>19669260</v>
      </c>
      <c r="AL19" t="s">
        <v>49</v>
      </c>
    </row>
    <row r="20" spans="1:38" x14ac:dyDescent="0.25">
      <c r="A20" s="1">
        <v>45905</v>
      </c>
      <c r="B20" s="1">
        <v>45901</v>
      </c>
      <c r="C20" t="s">
        <v>38</v>
      </c>
      <c r="D20" t="s">
        <v>39</v>
      </c>
      <c r="E20" t="s">
        <v>40</v>
      </c>
      <c r="F20">
        <v>649163</v>
      </c>
      <c r="G20">
        <v>20411454</v>
      </c>
      <c r="H20" t="s">
        <v>41</v>
      </c>
      <c r="I20">
        <v>2030441837</v>
      </c>
      <c r="J20" t="s">
        <v>82</v>
      </c>
      <c r="M20" t="s">
        <v>83</v>
      </c>
      <c r="O20">
        <v>856824</v>
      </c>
      <c r="P20" t="s">
        <v>70</v>
      </c>
      <c r="Q20" t="s">
        <v>45</v>
      </c>
      <c r="R20" t="s">
        <v>68</v>
      </c>
      <c r="S20" s="1">
        <v>45901</v>
      </c>
      <c r="U20" t="s">
        <v>47</v>
      </c>
      <c r="X20" t="s">
        <v>54</v>
      </c>
      <c r="Y20" s="2">
        <v>18.07</v>
      </c>
      <c r="Z20" s="2">
        <v>18.07</v>
      </c>
      <c r="AA20">
        <v>6</v>
      </c>
      <c r="AB20" s="3">
        <v>0.75</v>
      </c>
      <c r="AC20" s="2">
        <v>81.319999999999993</v>
      </c>
      <c r="AD20" s="3">
        <v>0</v>
      </c>
      <c r="AE20" s="2">
        <v>0</v>
      </c>
      <c r="AF20" s="2">
        <v>81.319999999999993</v>
      </c>
      <c r="AK20" s="4">
        <v>19682410</v>
      </c>
      <c r="AL20" t="s">
        <v>49</v>
      </c>
    </row>
    <row r="21" spans="1:38" x14ac:dyDescent="0.25">
      <c r="A21" s="1">
        <v>45905</v>
      </c>
      <c r="B21" s="1">
        <v>45901</v>
      </c>
      <c r="C21" t="s">
        <v>38</v>
      </c>
      <c r="D21" t="s">
        <v>39</v>
      </c>
      <c r="E21" t="s">
        <v>40</v>
      </c>
      <c r="F21">
        <v>649163</v>
      </c>
      <c r="G21">
        <v>20411454</v>
      </c>
      <c r="H21" t="s">
        <v>41</v>
      </c>
      <c r="I21">
        <v>2030443772</v>
      </c>
      <c r="J21" t="s">
        <v>84</v>
      </c>
      <c r="M21" t="s">
        <v>85</v>
      </c>
      <c r="O21">
        <v>753748</v>
      </c>
      <c r="P21" t="s">
        <v>57</v>
      </c>
      <c r="Q21" t="s">
        <v>45</v>
      </c>
      <c r="R21" t="s">
        <v>74</v>
      </c>
      <c r="S21" s="1">
        <v>45901</v>
      </c>
      <c r="U21" t="s">
        <v>47</v>
      </c>
      <c r="X21" t="s">
        <v>54</v>
      </c>
      <c r="Y21" s="2">
        <v>101.91</v>
      </c>
      <c r="Z21" s="2">
        <v>101.91</v>
      </c>
      <c r="AA21">
        <v>6</v>
      </c>
      <c r="AB21" s="3">
        <v>0.9</v>
      </c>
      <c r="AC21" s="2">
        <v>550.30999999999995</v>
      </c>
      <c r="AD21" s="3">
        <v>0</v>
      </c>
      <c r="AE21" s="2">
        <v>0</v>
      </c>
      <c r="AF21" s="2">
        <v>550.30999999999995</v>
      </c>
      <c r="AK21" s="4">
        <v>19682420</v>
      </c>
      <c r="AL21" t="s">
        <v>49</v>
      </c>
    </row>
    <row r="22" spans="1:38" x14ac:dyDescent="0.25">
      <c r="A22" s="1">
        <v>45905</v>
      </c>
      <c r="B22" s="1">
        <v>45901</v>
      </c>
      <c r="C22" t="s">
        <v>38</v>
      </c>
      <c r="D22" t="s">
        <v>39</v>
      </c>
      <c r="E22" t="s">
        <v>40</v>
      </c>
      <c r="F22">
        <v>649163</v>
      </c>
      <c r="G22">
        <v>20411454</v>
      </c>
      <c r="H22" t="s">
        <v>41</v>
      </c>
      <c r="I22">
        <v>2030443773</v>
      </c>
      <c r="J22" t="s">
        <v>84</v>
      </c>
      <c r="M22" t="s">
        <v>85</v>
      </c>
      <c r="O22">
        <v>753748</v>
      </c>
      <c r="P22" t="s">
        <v>57</v>
      </c>
      <c r="Q22" t="s">
        <v>45</v>
      </c>
      <c r="R22" t="s">
        <v>53</v>
      </c>
      <c r="S22" s="1">
        <v>45901</v>
      </c>
      <c r="U22" t="s">
        <v>47</v>
      </c>
      <c r="X22" t="s">
        <v>54</v>
      </c>
      <c r="Y22" s="2">
        <v>24.98</v>
      </c>
      <c r="Z22" s="2">
        <v>24.98</v>
      </c>
      <c r="AA22">
        <v>6</v>
      </c>
      <c r="AB22" s="3">
        <v>0.7</v>
      </c>
      <c r="AC22" s="2">
        <v>104.92</v>
      </c>
      <c r="AD22" s="3">
        <v>0</v>
      </c>
      <c r="AE22" s="2">
        <v>0</v>
      </c>
      <c r="AF22" s="2">
        <v>104.92</v>
      </c>
      <c r="AK22" s="4">
        <v>19657130</v>
      </c>
      <c r="AL22" t="s">
        <v>49</v>
      </c>
    </row>
    <row r="23" spans="1:38" x14ac:dyDescent="0.25">
      <c r="A23" s="1">
        <v>45905</v>
      </c>
      <c r="B23" s="1">
        <v>45901</v>
      </c>
      <c r="C23" t="s">
        <v>38</v>
      </c>
      <c r="D23" t="s">
        <v>39</v>
      </c>
      <c r="E23" t="s">
        <v>40</v>
      </c>
      <c r="F23">
        <v>649163</v>
      </c>
      <c r="G23">
        <v>20411454</v>
      </c>
      <c r="H23" t="s">
        <v>41</v>
      </c>
      <c r="I23">
        <v>2030461584</v>
      </c>
      <c r="J23" t="s">
        <v>86</v>
      </c>
      <c r="M23" t="s">
        <v>62</v>
      </c>
      <c r="O23">
        <v>882035</v>
      </c>
      <c r="P23" t="s">
        <v>87</v>
      </c>
      <c r="Q23" t="s">
        <v>45</v>
      </c>
      <c r="R23" t="s">
        <v>53</v>
      </c>
      <c r="S23" s="1">
        <v>45901</v>
      </c>
      <c r="U23" t="s">
        <v>47</v>
      </c>
      <c r="X23" t="s">
        <v>54</v>
      </c>
      <c r="Y23" s="2">
        <v>355.56</v>
      </c>
      <c r="Z23" s="2">
        <v>355.56</v>
      </c>
      <c r="AA23">
        <v>6</v>
      </c>
      <c r="AB23" s="3">
        <v>0.7</v>
      </c>
      <c r="AC23" s="2">
        <v>1493.35</v>
      </c>
      <c r="AD23" s="3">
        <v>0</v>
      </c>
      <c r="AE23" s="2">
        <v>0</v>
      </c>
      <c r="AF23" s="2">
        <v>1493.35</v>
      </c>
      <c r="AK23" s="4">
        <v>19657140</v>
      </c>
      <c r="AL23" t="s">
        <v>49</v>
      </c>
    </row>
    <row r="24" spans="1:38" x14ac:dyDescent="0.25">
      <c r="A24" s="1">
        <v>45905</v>
      </c>
      <c r="B24" s="1">
        <v>45901</v>
      </c>
      <c r="C24" t="s">
        <v>38</v>
      </c>
      <c r="D24" t="s">
        <v>39</v>
      </c>
      <c r="E24" t="s">
        <v>40</v>
      </c>
      <c r="F24">
        <v>649163</v>
      </c>
      <c r="G24">
        <v>20411454</v>
      </c>
      <c r="H24" t="s">
        <v>41</v>
      </c>
      <c r="I24">
        <v>2030461585</v>
      </c>
      <c r="J24" t="s">
        <v>86</v>
      </c>
      <c r="M24" t="s">
        <v>62</v>
      </c>
      <c r="O24">
        <v>882035</v>
      </c>
      <c r="P24" t="s">
        <v>87</v>
      </c>
      <c r="Q24" t="s">
        <v>45</v>
      </c>
      <c r="R24" t="s">
        <v>77</v>
      </c>
      <c r="S24" s="1">
        <v>45901</v>
      </c>
      <c r="U24" t="s">
        <v>47</v>
      </c>
      <c r="X24" t="s">
        <v>54</v>
      </c>
      <c r="Y24" s="2">
        <v>77.48</v>
      </c>
      <c r="Z24" s="2">
        <v>77.48</v>
      </c>
      <c r="AA24">
        <v>6</v>
      </c>
      <c r="AB24" s="3">
        <v>0.375</v>
      </c>
      <c r="AC24" s="2">
        <v>174.33</v>
      </c>
      <c r="AD24" s="3">
        <v>0</v>
      </c>
      <c r="AE24" s="2">
        <v>0</v>
      </c>
      <c r="AF24" s="2">
        <v>174.33</v>
      </c>
      <c r="AK24" s="4">
        <v>19701810</v>
      </c>
      <c r="AL24" t="s">
        <v>49</v>
      </c>
    </row>
    <row r="25" spans="1:38" x14ac:dyDescent="0.25">
      <c r="A25" s="1">
        <v>45905</v>
      </c>
      <c r="B25" s="1">
        <v>45901</v>
      </c>
      <c r="C25" t="s">
        <v>38</v>
      </c>
      <c r="D25" t="s">
        <v>39</v>
      </c>
      <c r="E25" t="s">
        <v>40</v>
      </c>
      <c r="F25">
        <v>649163</v>
      </c>
      <c r="G25">
        <v>20411454</v>
      </c>
      <c r="H25" t="s">
        <v>41</v>
      </c>
      <c r="I25">
        <v>2030464735</v>
      </c>
      <c r="J25" t="s">
        <v>88</v>
      </c>
      <c r="M25" t="s">
        <v>62</v>
      </c>
      <c r="O25">
        <v>766747</v>
      </c>
      <c r="P25" t="s">
        <v>89</v>
      </c>
      <c r="Q25" t="s">
        <v>45</v>
      </c>
      <c r="R25" t="s">
        <v>53</v>
      </c>
      <c r="S25" s="1">
        <v>45901</v>
      </c>
      <c r="U25" t="s">
        <v>47</v>
      </c>
      <c r="X25" t="s">
        <v>54</v>
      </c>
      <c r="Y25" s="2">
        <v>57.57</v>
      </c>
      <c r="Z25" s="2">
        <v>57.57</v>
      </c>
      <c r="AA25">
        <v>6</v>
      </c>
      <c r="AB25" s="3">
        <v>0.7</v>
      </c>
      <c r="AC25" s="2">
        <v>241.79</v>
      </c>
      <c r="AD25" s="3">
        <v>0</v>
      </c>
      <c r="AE25" s="2">
        <v>0</v>
      </c>
      <c r="AF25" s="2">
        <v>241.79</v>
      </c>
      <c r="AK25" s="4">
        <v>19657140</v>
      </c>
      <c r="AL25" t="s">
        <v>49</v>
      </c>
    </row>
    <row r="26" spans="1:38" x14ac:dyDescent="0.25">
      <c r="A26" s="1">
        <v>45905</v>
      </c>
      <c r="B26" s="1">
        <v>45901</v>
      </c>
      <c r="C26" t="s">
        <v>38</v>
      </c>
      <c r="D26" t="s">
        <v>39</v>
      </c>
      <c r="E26" t="s">
        <v>40</v>
      </c>
      <c r="F26">
        <v>649163</v>
      </c>
      <c r="G26">
        <v>20411454</v>
      </c>
      <c r="H26" t="s">
        <v>41</v>
      </c>
      <c r="I26">
        <v>2030468292</v>
      </c>
      <c r="J26" t="s">
        <v>90</v>
      </c>
      <c r="M26" t="s">
        <v>76</v>
      </c>
      <c r="O26">
        <v>753748</v>
      </c>
      <c r="P26" t="s">
        <v>57</v>
      </c>
      <c r="Q26" t="s">
        <v>45</v>
      </c>
      <c r="R26" t="s">
        <v>68</v>
      </c>
      <c r="S26" s="1">
        <v>45901</v>
      </c>
      <c r="U26" t="s">
        <v>47</v>
      </c>
      <c r="X26" t="s">
        <v>54</v>
      </c>
      <c r="Y26" s="2">
        <v>69.91</v>
      </c>
      <c r="Z26" s="2">
        <v>69.91</v>
      </c>
      <c r="AA26">
        <v>6</v>
      </c>
      <c r="AB26" s="3">
        <v>0.75</v>
      </c>
      <c r="AC26" s="2">
        <v>314.60000000000002</v>
      </c>
      <c r="AD26" s="3">
        <v>0</v>
      </c>
      <c r="AE26" s="2">
        <v>0</v>
      </c>
      <c r="AF26" s="2">
        <v>314.60000000000002</v>
      </c>
      <c r="AK26" s="4">
        <v>19682430</v>
      </c>
      <c r="AL26" t="s">
        <v>49</v>
      </c>
    </row>
    <row r="27" spans="1:38" x14ac:dyDescent="0.25">
      <c r="A27" s="1">
        <v>45905</v>
      </c>
      <c r="B27" s="1">
        <v>45901</v>
      </c>
      <c r="C27" t="s">
        <v>38</v>
      </c>
      <c r="D27" t="s">
        <v>39</v>
      </c>
      <c r="E27" t="s">
        <v>40</v>
      </c>
      <c r="F27">
        <v>649163</v>
      </c>
      <c r="G27">
        <v>20411454</v>
      </c>
      <c r="H27" t="s">
        <v>41</v>
      </c>
      <c r="I27">
        <v>2030468293</v>
      </c>
      <c r="J27" t="s">
        <v>90</v>
      </c>
      <c r="M27" t="s">
        <v>76</v>
      </c>
      <c r="O27">
        <v>753748</v>
      </c>
      <c r="P27" t="s">
        <v>57</v>
      </c>
      <c r="Q27" t="s">
        <v>45</v>
      </c>
      <c r="R27" t="s">
        <v>53</v>
      </c>
      <c r="S27" s="1">
        <v>45901</v>
      </c>
      <c r="U27" t="s">
        <v>47</v>
      </c>
      <c r="X27" t="s">
        <v>54</v>
      </c>
      <c r="Y27" s="2">
        <v>74.14</v>
      </c>
      <c r="Z27" s="2">
        <v>74.14</v>
      </c>
      <c r="AA27">
        <v>6</v>
      </c>
      <c r="AB27" s="3">
        <v>0.7</v>
      </c>
      <c r="AC27" s="2">
        <v>311.39</v>
      </c>
      <c r="AD27" s="3">
        <v>0</v>
      </c>
      <c r="AE27" s="2">
        <v>0</v>
      </c>
      <c r="AF27" s="2">
        <v>311.39</v>
      </c>
      <c r="AK27" s="4">
        <v>19657150</v>
      </c>
      <c r="AL27" t="s">
        <v>49</v>
      </c>
    </row>
    <row r="28" spans="1:38" x14ac:dyDescent="0.25">
      <c r="A28" s="1">
        <v>45905</v>
      </c>
      <c r="B28" s="1">
        <v>45901</v>
      </c>
      <c r="C28" t="s">
        <v>38</v>
      </c>
      <c r="D28" t="s">
        <v>39</v>
      </c>
      <c r="E28" t="s">
        <v>40</v>
      </c>
      <c r="F28">
        <v>649163</v>
      </c>
      <c r="G28">
        <v>20411454</v>
      </c>
      <c r="H28" t="s">
        <v>41</v>
      </c>
      <c r="I28">
        <v>2030483255</v>
      </c>
      <c r="J28" t="s">
        <v>91</v>
      </c>
      <c r="M28" t="s">
        <v>92</v>
      </c>
      <c r="O28">
        <v>882035</v>
      </c>
      <c r="P28" t="s">
        <v>87</v>
      </c>
      <c r="Q28" t="s">
        <v>45</v>
      </c>
      <c r="R28" t="s">
        <v>53</v>
      </c>
      <c r="S28" s="1">
        <v>45901</v>
      </c>
      <c r="U28" t="s">
        <v>47</v>
      </c>
      <c r="X28" t="s">
        <v>54</v>
      </c>
      <c r="Y28" s="2">
        <v>347.55</v>
      </c>
      <c r="Z28" s="2">
        <v>347.55</v>
      </c>
      <c r="AA28">
        <v>6</v>
      </c>
      <c r="AB28" s="3">
        <v>0.7</v>
      </c>
      <c r="AC28" s="2">
        <v>1459.71</v>
      </c>
      <c r="AD28" s="3">
        <v>0</v>
      </c>
      <c r="AE28" s="2">
        <v>0</v>
      </c>
      <c r="AF28" s="2">
        <v>1459.71</v>
      </c>
      <c r="AK28" s="4">
        <v>19657170</v>
      </c>
      <c r="AL28" t="s">
        <v>49</v>
      </c>
    </row>
    <row r="29" spans="1:38" x14ac:dyDescent="0.25">
      <c r="A29" s="1">
        <v>45905</v>
      </c>
      <c r="B29" s="1">
        <v>45901</v>
      </c>
      <c r="C29" t="s">
        <v>38</v>
      </c>
      <c r="D29" t="s">
        <v>39</v>
      </c>
      <c r="E29" t="s">
        <v>40</v>
      </c>
      <c r="F29">
        <v>649163</v>
      </c>
      <c r="G29">
        <v>20411454</v>
      </c>
      <c r="H29" t="s">
        <v>41</v>
      </c>
      <c r="I29">
        <v>2030483256</v>
      </c>
      <c r="J29" t="s">
        <v>91</v>
      </c>
      <c r="M29" t="s">
        <v>92</v>
      </c>
      <c r="O29">
        <v>882035</v>
      </c>
      <c r="P29" t="s">
        <v>87</v>
      </c>
      <c r="Q29" t="s">
        <v>45</v>
      </c>
      <c r="R29" t="s">
        <v>77</v>
      </c>
      <c r="S29" s="1">
        <v>45901</v>
      </c>
      <c r="U29" t="s">
        <v>47</v>
      </c>
      <c r="X29" t="s">
        <v>54</v>
      </c>
      <c r="Y29" s="2">
        <v>79.739999999999995</v>
      </c>
      <c r="Z29" s="2">
        <v>79.739999999999995</v>
      </c>
      <c r="AA29">
        <v>6</v>
      </c>
      <c r="AB29" s="3">
        <v>0.375</v>
      </c>
      <c r="AC29" s="2">
        <v>179.42</v>
      </c>
      <c r="AD29" s="3">
        <v>0</v>
      </c>
      <c r="AE29" s="2">
        <v>0</v>
      </c>
      <c r="AF29" s="2">
        <v>179.42</v>
      </c>
      <c r="AK29" s="4">
        <v>19701830</v>
      </c>
      <c r="AL29" t="s">
        <v>49</v>
      </c>
    </row>
    <row r="30" spans="1:38" x14ac:dyDescent="0.25">
      <c r="A30" s="1">
        <v>45905</v>
      </c>
      <c r="B30" s="1">
        <v>45901</v>
      </c>
      <c r="C30" t="s">
        <v>38</v>
      </c>
      <c r="D30" t="s">
        <v>39</v>
      </c>
      <c r="E30" t="s">
        <v>40</v>
      </c>
      <c r="F30">
        <v>649163</v>
      </c>
      <c r="G30">
        <v>20411454</v>
      </c>
      <c r="H30" t="s">
        <v>41</v>
      </c>
      <c r="I30">
        <v>2030488469</v>
      </c>
      <c r="J30" t="s">
        <v>93</v>
      </c>
      <c r="M30" t="s">
        <v>62</v>
      </c>
      <c r="O30">
        <v>867497</v>
      </c>
      <c r="P30" t="s">
        <v>94</v>
      </c>
      <c r="Q30" t="s">
        <v>45</v>
      </c>
      <c r="R30" t="s">
        <v>77</v>
      </c>
      <c r="S30" s="1">
        <v>45901</v>
      </c>
      <c r="U30" t="s">
        <v>47</v>
      </c>
      <c r="X30" t="s">
        <v>54</v>
      </c>
      <c r="Y30" s="2">
        <v>53.87</v>
      </c>
      <c r="Z30" s="2">
        <v>53.87</v>
      </c>
      <c r="AA30">
        <v>6</v>
      </c>
      <c r="AB30" s="3">
        <v>0.375</v>
      </c>
      <c r="AC30" s="2">
        <v>121.21</v>
      </c>
      <c r="AD30" s="3">
        <v>0</v>
      </c>
      <c r="AE30" s="2">
        <v>0</v>
      </c>
      <c r="AF30" s="2">
        <v>121.21</v>
      </c>
      <c r="AK30" s="4">
        <v>19701850</v>
      </c>
      <c r="AL30" t="s">
        <v>49</v>
      </c>
    </row>
    <row r="31" spans="1:38" x14ac:dyDescent="0.25">
      <c r="A31" s="1">
        <v>45905</v>
      </c>
      <c r="B31" s="1">
        <v>45901</v>
      </c>
      <c r="C31" t="s">
        <v>38</v>
      </c>
      <c r="D31" t="s">
        <v>39</v>
      </c>
      <c r="E31" t="s">
        <v>40</v>
      </c>
      <c r="F31">
        <v>649163</v>
      </c>
      <c r="G31">
        <v>20411454</v>
      </c>
      <c r="H31" t="s">
        <v>41</v>
      </c>
      <c r="I31">
        <v>2030488470</v>
      </c>
      <c r="J31" t="s">
        <v>93</v>
      </c>
      <c r="M31" t="s">
        <v>62</v>
      </c>
      <c r="O31">
        <v>867497</v>
      </c>
      <c r="P31" t="s">
        <v>94</v>
      </c>
      <c r="Q31" t="s">
        <v>45</v>
      </c>
      <c r="R31" t="s">
        <v>53</v>
      </c>
      <c r="S31" s="1">
        <v>45901</v>
      </c>
      <c r="U31" t="s">
        <v>47</v>
      </c>
      <c r="X31" t="s">
        <v>54</v>
      </c>
      <c r="Y31" s="2">
        <v>65.55</v>
      </c>
      <c r="Z31" s="2">
        <v>65.55</v>
      </c>
      <c r="AA31">
        <v>6</v>
      </c>
      <c r="AB31" s="3">
        <v>0.7</v>
      </c>
      <c r="AC31" s="2">
        <v>275.31</v>
      </c>
      <c r="AD31" s="3">
        <v>0</v>
      </c>
      <c r="AE31" s="2">
        <v>0</v>
      </c>
      <c r="AF31" s="2">
        <v>275.31</v>
      </c>
      <c r="AK31" s="4">
        <v>19657180</v>
      </c>
      <c r="AL31" t="s">
        <v>49</v>
      </c>
    </row>
    <row r="32" spans="1:38" x14ac:dyDescent="0.25">
      <c r="A32" s="1">
        <v>45905</v>
      </c>
      <c r="B32" s="1">
        <v>45901</v>
      </c>
      <c r="C32" t="s">
        <v>38</v>
      </c>
      <c r="D32" t="s">
        <v>39</v>
      </c>
      <c r="E32" t="s">
        <v>40</v>
      </c>
      <c r="F32">
        <v>649163</v>
      </c>
      <c r="G32">
        <v>20411454</v>
      </c>
      <c r="H32" t="s">
        <v>41</v>
      </c>
      <c r="I32">
        <v>2030493935</v>
      </c>
      <c r="J32" t="s">
        <v>95</v>
      </c>
      <c r="M32" t="s">
        <v>96</v>
      </c>
      <c r="O32">
        <v>673059</v>
      </c>
      <c r="P32" t="s">
        <v>52</v>
      </c>
      <c r="Q32" t="s">
        <v>45</v>
      </c>
      <c r="R32" t="s">
        <v>68</v>
      </c>
      <c r="S32" s="1">
        <v>45901</v>
      </c>
      <c r="U32" t="s">
        <v>47</v>
      </c>
      <c r="X32" t="s">
        <v>54</v>
      </c>
      <c r="Y32" s="2">
        <v>88.54</v>
      </c>
      <c r="Z32" s="2">
        <v>88.54</v>
      </c>
      <c r="AA32">
        <v>6</v>
      </c>
      <c r="AB32" s="3">
        <v>0.75</v>
      </c>
      <c r="AC32" s="2">
        <v>398.43</v>
      </c>
      <c r="AD32" s="3">
        <v>0</v>
      </c>
      <c r="AE32" s="2">
        <v>0</v>
      </c>
      <c r="AF32" s="2">
        <v>398.43</v>
      </c>
      <c r="AK32" s="4">
        <v>19682440</v>
      </c>
      <c r="AL32" t="s">
        <v>49</v>
      </c>
    </row>
    <row r="33" spans="1:38" x14ac:dyDescent="0.25">
      <c r="A33" s="1">
        <v>45905</v>
      </c>
      <c r="B33" s="1">
        <v>45901</v>
      </c>
      <c r="C33" t="s">
        <v>38</v>
      </c>
      <c r="D33" t="s">
        <v>39</v>
      </c>
      <c r="E33" t="s">
        <v>40</v>
      </c>
      <c r="F33">
        <v>649163</v>
      </c>
      <c r="G33">
        <v>20411454</v>
      </c>
      <c r="H33" t="s">
        <v>41</v>
      </c>
      <c r="I33">
        <v>2030493936</v>
      </c>
      <c r="J33" t="s">
        <v>95</v>
      </c>
      <c r="M33" t="s">
        <v>96</v>
      </c>
      <c r="O33">
        <v>673059</v>
      </c>
      <c r="P33" t="s">
        <v>52</v>
      </c>
      <c r="Q33" t="s">
        <v>45</v>
      </c>
      <c r="R33" t="s">
        <v>53</v>
      </c>
      <c r="S33" s="1">
        <v>45901</v>
      </c>
      <c r="U33" t="s">
        <v>47</v>
      </c>
      <c r="X33" t="s">
        <v>54</v>
      </c>
      <c r="Y33" s="2">
        <v>59.57</v>
      </c>
      <c r="Z33" s="2">
        <v>59.57</v>
      </c>
      <c r="AA33">
        <v>6</v>
      </c>
      <c r="AB33" s="3">
        <v>0.7</v>
      </c>
      <c r="AC33" s="2">
        <v>250.19</v>
      </c>
      <c r="AD33" s="3">
        <v>0</v>
      </c>
      <c r="AE33" s="2">
        <v>0</v>
      </c>
      <c r="AF33" s="2">
        <v>250.19</v>
      </c>
      <c r="AK33" s="4">
        <v>19657190</v>
      </c>
      <c r="AL33" t="s">
        <v>49</v>
      </c>
    </row>
    <row r="34" spans="1:38" x14ac:dyDescent="0.25">
      <c r="A34" s="1">
        <v>45905</v>
      </c>
      <c r="B34" s="1">
        <v>45901</v>
      </c>
      <c r="C34" t="s">
        <v>38</v>
      </c>
      <c r="D34" t="s">
        <v>39</v>
      </c>
      <c r="E34" t="s">
        <v>40</v>
      </c>
      <c r="F34">
        <v>649163</v>
      </c>
      <c r="G34">
        <v>20411454</v>
      </c>
      <c r="H34" t="s">
        <v>41</v>
      </c>
      <c r="I34">
        <v>2030529302</v>
      </c>
      <c r="J34" t="s">
        <v>97</v>
      </c>
      <c r="M34" t="s">
        <v>62</v>
      </c>
      <c r="O34">
        <v>884943</v>
      </c>
      <c r="P34" t="s">
        <v>98</v>
      </c>
      <c r="Q34" t="s">
        <v>45</v>
      </c>
      <c r="R34" t="s">
        <v>99</v>
      </c>
      <c r="S34" s="1">
        <v>45901</v>
      </c>
      <c r="U34" t="s">
        <v>47</v>
      </c>
      <c r="X34" t="s">
        <v>54</v>
      </c>
      <c r="Y34" s="2">
        <v>53.7</v>
      </c>
      <c r="Z34" s="2">
        <v>53.7</v>
      </c>
      <c r="AA34">
        <v>6</v>
      </c>
      <c r="AB34" s="3">
        <v>0.42</v>
      </c>
      <c r="AC34" s="2">
        <v>135.32</v>
      </c>
      <c r="AD34" s="3">
        <v>0</v>
      </c>
      <c r="AE34" s="2">
        <v>0</v>
      </c>
      <c r="AF34" s="2">
        <v>135.32</v>
      </c>
      <c r="AK34" s="4">
        <v>19701890</v>
      </c>
      <c r="AL34" t="s">
        <v>49</v>
      </c>
    </row>
    <row r="35" spans="1:38" x14ac:dyDescent="0.25">
      <c r="A35" s="1">
        <v>45905</v>
      </c>
      <c r="B35" s="1">
        <v>45901</v>
      </c>
      <c r="C35" t="s">
        <v>38</v>
      </c>
      <c r="D35" t="s">
        <v>39</v>
      </c>
      <c r="E35" t="s">
        <v>40</v>
      </c>
      <c r="F35">
        <v>649163</v>
      </c>
      <c r="G35">
        <v>20411454</v>
      </c>
      <c r="H35" t="s">
        <v>41</v>
      </c>
      <c r="I35">
        <v>2030543058</v>
      </c>
      <c r="J35" t="s">
        <v>100</v>
      </c>
      <c r="M35" t="s">
        <v>101</v>
      </c>
      <c r="O35">
        <v>867497</v>
      </c>
      <c r="P35" t="s">
        <v>94</v>
      </c>
      <c r="Q35" t="s">
        <v>45</v>
      </c>
      <c r="R35" t="s">
        <v>53</v>
      </c>
      <c r="S35" s="1">
        <v>45901</v>
      </c>
      <c r="U35" t="s">
        <v>47</v>
      </c>
      <c r="X35" t="s">
        <v>54</v>
      </c>
      <c r="Y35" s="2">
        <v>39.03</v>
      </c>
      <c r="Z35" s="2">
        <v>39.03</v>
      </c>
      <c r="AA35">
        <v>6</v>
      </c>
      <c r="AB35" s="3">
        <v>0.7</v>
      </c>
      <c r="AC35" s="2">
        <v>163.93</v>
      </c>
      <c r="AD35" s="3">
        <v>0</v>
      </c>
      <c r="AE35" s="2">
        <v>0</v>
      </c>
      <c r="AF35" s="2">
        <v>163.93</v>
      </c>
      <c r="AK35" s="4">
        <v>19657240</v>
      </c>
      <c r="AL35" t="s">
        <v>49</v>
      </c>
    </row>
    <row r="36" spans="1:38" x14ac:dyDescent="0.25">
      <c r="A36" s="1">
        <v>45905</v>
      </c>
      <c r="B36" s="1">
        <v>45901</v>
      </c>
      <c r="C36" t="s">
        <v>38</v>
      </c>
      <c r="D36" t="s">
        <v>39</v>
      </c>
      <c r="E36" t="s">
        <v>40</v>
      </c>
      <c r="F36">
        <v>649163</v>
      </c>
      <c r="G36">
        <v>20411454</v>
      </c>
      <c r="H36" t="s">
        <v>41</v>
      </c>
      <c r="I36">
        <v>2030552094</v>
      </c>
      <c r="J36" t="s">
        <v>102</v>
      </c>
      <c r="M36" t="s">
        <v>76</v>
      </c>
      <c r="O36">
        <v>753748</v>
      </c>
      <c r="P36" t="s">
        <v>57</v>
      </c>
      <c r="Q36" t="s">
        <v>45</v>
      </c>
      <c r="R36" t="s">
        <v>58</v>
      </c>
      <c r="S36" s="1">
        <v>45901</v>
      </c>
      <c r="U36" t="s">
        <v>47</v>
      </c>
      <c r="X36" t="s">
        <v>54</v>
      </c>
      <c r="Y36" s="2">
        <v>196.75</v>
      </c>
      <c r="Z36" s="2">
        <v>196.75</v>
      </c>
      <c r="AA36">
        <v>6</v>
      </c>
      <c r="AB36" s="3">
        <v>0.75</v>
      </c>
      <c r="AC36" s="2">
        <v>885.38</v>
      </c>
      <c r="AD36" s="3">
        <v>0</v>
      </c>
      <c r="AE36" s="2">
        <v>0</v>
      </c>
      <c r="AF36" s="2">
        <v>885.38</v>
      </c>
      <c r="AK36" s="4">
        <v>19682470</v>
      </c>
      <c r="AL36" t="s">
        <v>49</v>
      </c>
    </row>
    <row r="37" spans="1:38" x14ac:dyDescent="0.25">
      <c r="A37" s="1">
        <v>45905</v>
      </c>
      <c r="B37" s="1">
        <v>45901</v>
      </c>
      <c r="C37" t="s">
        <v>38</v>
      </c>
      <c r="D37" t="s">
        <v>39</v>
      </c>
      <c r="E37" t="s">
        <v>40</v>
      </c>
      <c r="F37">
        <v>649163</v>
      </c>
      <c r="G37">
        <v>20411454</v>
      </c>
      <c r="H37" t="s">
        <v>41</v>
      </c>
      <c r="I37">
        <v>2030552095</v>
      </c>
      <c r="J37" t="s">
        <v>102</v>
      </c>
      <c r="M37" t="s">
        <v>76</v>
      </c>
      <c r="O37">
        <v>753748</v>
      </c>
      <c r="P37" t="s">
        <v>57</v>
      </c>
      <c r="Q37" t="s">
        <v>45</v>
      </c>
      <c r="R37" t="s">
        <v>53</v>
      </c>
      <c r="S37" s="1">
        <v>45901</v>
      </c>
      <c r="U37" t="s">
        <v>47</v>
      </c>
      <c r="X37" t="s">
        <v>54</v>
      </c>
      <c r="Y37" s="2">
        <v>88.71</v>
      </c>
      <c r="Z37" s="2">
        <v>88.71</v>
      </c>
      <c r="AA37">
        <v>6</v>
      </c>
      <c r="AB37" s="3">
        <v>0.7</v>
      </c>
      <c r="AC37" s="2">
        <v>372.58</v>
      </c>
      <c r="AD37" s="3">
        <v>0</v>
      </c>
      <c r="AE37" s="2">
        <v>0</v>
      </c>
      <c r="AF37" s="2">
        <v>372.58</v>
      </c>
      <c r="AK37" s="4">
        <v>19657260</v>
      </c>
      <c r="AL37" t="s">
        <v>49</v>
      </c>
    </row>
    <row r="38" spans="1:38" x14ac:dyDescent="0.25">
      <c r="A38" s="1">
        <v>45905</v>
      </c>
      <c r="B38" s="1">
        <v>45901</v>
      </c>
      <c r="C38" t="s">
        <v>38</v>
      </c>
      <c r="D38" t="s">
        <v>39</v>
      </c>
      <c r="E38" t="s">
        <v>40</v>
      </c>
      <c r="F38">
        <v>649163</v>
      </c>
      <c r="G38">
        <v>20411454</v>
      </c>
      <c r="H38" t="s">
        <v>41</v>
      </c>
      <c r="I38">
        <v>2030560229</v>
      </c>
      <c r="J38" t="s">
        <v>103</v>
      </c>
      <c r="M38" t="s">
        <v>104</v>
      </c>
      <c r="O38">
        <v>669316</v>
      </c>
      <c r="P38" t="s">
        <v>44</v>
      </c>
      <c r="Q38" t="s">
        <v>45</v>
      </c>
      <c r="R38" t="s">
        <v>77</v>
      </c>
      <c r="S38" s="1">
        <v>45901</v>
      </c>
      <c r="U38" t="s">
        <v>47</v>
      </c>
      <c r="X38" t="s">
        <v>54</v>
      </c>
      <c r="Y38" s="2">
        <v>118.71</v>
      </c>
      <c r="Z38" s="2">
        <v>118.71</v>
      </c>
      <c r="AA38">
        <v>6</v>
      </c>
      <c r="AB38" s="3">
        <v>0.375</v>
      </c>
      <c r="AC38" s="2">
        <v>267.10000000000002</v>
      </c>
      <c r="AD38" s="3">
        <v>0</v>
      </c>
      <c r="AE38" s="2">
        <v>0</v>
      </c>
      <c r="AF38" s="2">
        <v>267.10000000000002</v>
      </c>
      <c r="AK38" s="4">
        <v>19701930</v>
      </c>
      <c r="AL38" t="s">
        <v>49</v>
      </c>
    </row>
    <row r="39" spans="1:38" x14ac:dyDescent="0.25">
      <c r="A39" s="1">
        <v>45905</v>
      </c>
      <c r="B39" s="1">
        <v>45901</v>
      </c>
      <c r="C39" t="s">
        <v>38</v>
      </c>
      <c r="D39" t="s">
        <v>39</v>
      </c>
      <c r="E39" t="s">
        <v>40</v>
      </c>
      <c r="F39">
        <v>649163</v>
      </c>
      <c r="G39">
        <v>20411454</v>
      </c>
      <c r="H39" t="s">
        <v>41</v>
      </c>
      <c r="I39">
        <v>2030566433</v>
      </c>
      <c r="J39" t="s">
        <v>105</v>
      </c>
      <c r="M39" t="s">
        <v>106</v>
      </c>
      <c r="O39">
        <v>877790</v>
      </c>
      <c r="P39" t="s">
        <v>107</v>
      </c>
      <c r="Q39" t="s">
        <v>45</v>
      </c>
      <c r="R39" t="s">
        <v>77</v>
      </c>
      <c r="S39" s="1">
        <v>45901</v>
      </c>
      <c r="U39" t="s">
        <v>47</v>
      </c>
      <c r="X39" t="s">
        <v>54</v>
      </c>
      <c r="Y39" s="2">
        <v>25.82</v>
      </c>
      <c r="Z39" s="2">
        <v>25.82</v>
      </c>
      <c r="AA39">
        <v>6</v>
      </c>
      <c r="AB39" s="3">
        <v>0.375</v>
      </c>
      <c r="AC39" s="2">
        <v>58.1</v>
      </c>
      <c r="AD39" s="3">
        <v>0</v>
      </c>
      <c r="AE39" s="2">
        <v>0</v>
      </c>
      <c r="AF39" s="2">
        <v>58.1</v>
      </c>
      <c r="AK39" s="4">
        <v>19701940</v>
      </c>
      <c r="AL39" t="s">
        <v>49</v>
      </c>
    </row>
    <row r="40" spans="1:38" x14ac:dyDescent="0.25">
      <c r="A40" s="1">
        <v>45905</v>
      </c>
      <c r="B40" s="1">
        <v>45901</v>
      </c>
      <c r="C40" t="s">
        <v>38</v>
      </c>
      <c r="D40" t="s">
        <v>39</v>
      </c>
      <c r="E40" t="s">
        <v>40</v>
      </c>
      <c r="F40">
        <v>649163</v>
      </c>
      <c r="G40">
        <v>20411454</v>
      </c>
      <c r="H40" t="s">
        <v>41</v>
      </c>
      <c r="I40">
        <v>2030566434</v>
      </c>
      <c r="J40" t="s">
        <v>105</v>
      </c>
      <c r="M40" t="s">
        <v>106</v>
      </c>
      <c r="O40">
        <v>877790</v>
      </c>
      <c r="P40" t="s">
        <v>107</v>
      </c>
      <c r="Q40" t="s">
        <v>45</v>
      </c>
      <c r="R40" t="s">
        <v>53</v>
      </c>
      <c r="S40" s="1">
        <v>45901</v>
      </c>
      <c r="U40" t="s">
        <v>47</v>
      </c>
      <c r="X40" t="s">
        <v>54</v>
      </c>
      <c r="Y40" s="2">
        <v>3.52</v>
      </c>
      <c r="Z40" s="2">
        <v>3.52</v>
      </c>
      <c r="AA40">
        <v>6</v>
      </c>
      <c r="AB40" s="3">
        <v>0.7</v>
      </c>
      <c r="AC40" s="2">
        <v>14.78</v>
      </c>
      <c r="AD40" s="3">
        <v>0</v>
      </c>
      <c r="AE40" s="2">
        <v>0</v>
      </c>
      <c r="AF40" s="2">
        <v>14.78</v>
      </c>
      <c r="AK40" s="4">
        <v>19657300</v>
      </c>
      <c r="AL40" t="s">
        <v>49</v>
      </c>
    </row>
    <row r="41" spans="1:38" x14ac:dyDescent="0.25">
      <c r="A41" s="1">
        <v>45905</v>
      </c>
      <c r="B41" s="1">
        <v>45901</v>
      </c>
      <c r="C41" t="s">
        <v>38</v>
      </c>
      <c r="D41" t="s">
        <v>39</v>
      </c>
      <c r="E41" t="s">
        <v>40</v>
      </c>
      <c r="F41">
        <v>649163</v>
      </c>
      <c r="G41">
        <v>20411454</v>
      </c>
      <c r="H41" t="s">
        <v>41</v>
      </c>
      <c r="I41">
        <v>2030569258</v>
      </c>
      <c r="J41" t="s">
        <v>108</v>
      </c>
      <c r="M41" t="s">
        <v>62</v>
      </c>
      <c r="O41">
        <v>824076</v>
      </c>
      <c r="P41" t="s">
        <v>109</v>
      </c>
      <c r="Q41" t="s">
        <v>45</v>
      </c>
      <c r="R41" t="s">
        <v>77</v>
      </c>
      <c r="S41" s="1">
        <v>45901</v>
      </c>
      <c r="U41" t="s">
        <v>47</v>
      </c>
      <c r="X41" t="s">
        <v>54</v>
      </c>
      <c r="Y41" s="2">
        <v>77.48</v>
      </c>
      <c r="Z41" s="2">
        <v>77.48</v>
      </c>
      <c r="AA41">
        <v>6</v>
      </c>
      <c r="AB41" s="3">
        <v>0.375</v>
      </c>
      <c r="AC41" s="2">
        <v>174.33</v>
      </c>
      <c r="AD41" s="3">
        <v>0</v>
      </c>
      <c r="AE41" s="2">
        <v>0</v>
      </c>
      <c r="AF41" s="2">
        <v>174.33</v>
      </c>
      <c r="AK41" s="4">
        <v>19701950</v>
      </c>
      <c r="AL41" t="s">
        <v>49</v>
      </c>
    </row>
    <row r="42" spans="1:38" x14ac:dyDescent="0.25">
      <c r="A42" s="1">
        <v>45905</v>
      </c>
      <c r="B42" s="1">
        <v>45901</v>
      </c>
      <c r="C42" t="s">
        <v>38</v>
      </c>
      <c r="D42" t="s">
        <v>39</v>
      </c>
      <c r="E42" t="s">
        <v>40</v>
      </c>
      <c r="F42">
        <v>649163</v>
      </c>
      <c r="G42">
        <v>20411454</v>
      </c>
      <c r="H42" t="s">
        <v>41</v>
      </c>
      <c r="I42">
        <v>2030569259</v>
      </c>
      <c r="J42" t="s">
        <v>108</v>
      </c>
      <c r="M42" t="s">
        <v>62</v>
      </c>
      <c r="O42">
        <v>824076</v>
      </c>
      <c r="P42" t="s">
        <v>109</v>
      </c>
      <c r="Q42" t="s">
        <v>45</v>
      </c>
      <c r="R42" t="s">
        <v>53</v>
      </c>
      <c r="S42" s="1">
        <v>45901</v>
      </c>
      <c r="U42" t="s">
        <v>47</v>
      </c>
      <c r="X42" t="s">
        <v>54</v>
      </c>
      <c r="Y42" s="2">
        <v>11.5</v>
      </c>
      <c r="Z42" s="2">
        <v>11.5</v>
      </c>
      <c r="AA42">
        <v>6</v>
      </c>
      <c r="AB42" s="3">
        <v>0.7</v>
      </c>
      <c r="AC42" s="2">
        <v>48.3</v>
      </c>
      <c r="AD42" s="3">
        <v>0</v>
      </c>
      <c r="AE42" s="2">
        <v>0</v>
      </c>
      <c r="AF42" s="2">
        <v>48.3</v>
      </c>
      <c r="AK42" s="4">
        <v>19657310</v>
      </c>
      <c r="AL42" t="s">
        <v>49</v>
      </c>
    </row>
    <row r="43" spans="1:38" x14ac:dyDescent="0.25">
      <c r="A43" s="1">
        <v>45905</v>
      </c>
      <c r="B43" s="1">
        <v>45901</v>
      </c>
      <c r="C43" t="s">
        <v>38</v>
      </c>
      <c r="D43" t="s">
        <v>39</v>
      </c>
      <c r="E43" t="s">
        <v>40</v>
      </c>
      <c r="F43">
        <v>649163</v>
      </c>
      <c r="G43">
        <v>20411454</v>
      </c>
      <c r="H43" t="s">
        <v>41</v>
      </c>
      <c r="I43">
        <v>2030570950</v>
      </c>
      <c r="J43" t="s">
        <v>110</v>
      </c>
      <c r="M43" t="s">
        <v>62</v>
      </c>
      <c r="O43">
        <v>856163</v>
      </c>
      <c r="P43" t="s">
        <v>63</v>
      </c>
      <c r="Q43" t="s">
        <v>45</v>
      </c>
      <c r="R43" t="s">
        <v>53</v>
      </c>
      <c r="S43" s="1">
        <v>45901</v>
      </c>
      <c r="U43" t="s">
        <v>47</v>
      </c>
      <c r="X43" t="s">
        <v>54</v>
      </c>
      <c r="Y43" s="2">
        <v>66.36</v>
      </c>
      <c r="Z43" s="2">
        <v>66.36</v>
      </c>
      <c r="AA43">
        <v>6</v>
      </c>
      <c r="AB43" s="3">
        <v>0.7</v>
      </c>
      <c r="AC43" s="2">
        <v>278.70999999999998</v>
      </c>
      <c r="AD43" s="3">
        <v>0</v>
      </c>
      <c r="AE43" s="2">
        <v>0</v>
      </c>
      <c r="AF43" s="2">
        <v>278.70999999999998</v>
      </c>
      <c r="AK43" s="4">
        <v>19657320</v>
      </c>
      <c r="AL43" t="s">
        <v>49</v>
      </c>
    </row>
    <row r="44" spans="1:38" x14ac:dyDescent="0.25">
      <c r="A44" s="1">
        <v>45905</v>
      </c>
      <c r="B44" s="1">
        <v>45901</v>
      </c>
      <c r="C44" t="s">
        <v>38</v>
      </c>
      <c r="D44" t="s">
        <v>39</v>
      </c>
      <c r="E44" t="s">
        <v>40</v>
      </c>
      <c r="F44">
        <v>649163</v>
      </c>
      <c r="G44">
        <v>20411454</v>
      </c>
      <c r="H44" t="s">
        <v>41</v>
      </c>
      <c r="I44">
        <v>2030570951</v>
      </c>
      <c r="J44" t="s">
        <v>110</v>
      </c>
      <c r="M44" t="s">
        <v>62</v>
      </c>
      <c r="O44">
        <v>856163</v>
      </c>
      <c r="P44" t="s">
        <v>63</v>
      </c>
      <c r="Q44" t="s">
        <v>45</v>
      </c>
      <c r="R44" t="s">
        <v>68</v>
      </c>
      <c r="S44" s="1">
        <v>45901</v>
      </c>
      <c r="U44" t="s">
        <v>47</v>
      </c>
      <c r="X44" t="s">
        <v>54</v>
      </c>
      <c r="Y44" s="2">
        <v>90.76</v>
      </c>
      <c r="Z44" s="2">
        <v>90.76</v>
      </c>
      <c r="AA44">
        <v>6</v>
      </c>
      <c r="AB44" s="3">
        <v>0.75</v>
      </c>
      <c r="AC44" s="2">
        <v>408.42</v>
      </c>
      <c r="AD44" s="3">
        <v>0</v>
      </c>
      <c r="AE44" s="2">
        <v>0</v>
      </c>
      <c r="AF44" s="2">
        <v>408.42</v>
      </c>
      <c r="AK44" s="4">
        <v>19682490</v>
      </c>
      <c r="AL44" t="s">
        <v>49</v>
      </c>
    </row>
    <row r="45" spans="1:38" x14ac:dyDescent="0.25">
      <c r="A45" s="1">
        <v>45905</v>
      </c>
      <c r="B45" s="1">
        <v>45901</v>
      </c>
      <c r="C45" t="s">
        <v>38</v>
      </c>
      <c r="D45" t="s">
        <v>39</v>
      </c>
      <c r="E45" t="s">
        <v>40</v>
      </c>
      <c r="F45">
        <v>649163</v>
      </c>
      <c r="G45">
        <v>20411454</v>
      </c>
      <c r="H45" t="s">
        <v>41</v>
      </c>
      <c r="I45">
        <v>2030574906</v>
      </c>
      <c r="J45" t="s">
        <v>111</v>
      </c>
      <c r="M45" t="s">
        <v>101</v>
      </c>
      <c r="O45">
        <v>669316</v>
      </c>
      <c r="P45" t="s">
        <v>44</v>
      </c>
      <c r="Q45" t="s">
        <v>45</v>
      </c>
      <c r="R45" t="s">
        <v>53</v>
      </c>
      <c r="S45" s="1">
        <v>45901</v>
      </c>
      <c r="U45" t="s">
        <v>47</v>
      </c>
      <c r="X45" t="s">
        <v>54</v>
      </c>
      <c r="Y45" s="2">
        <v>33.54</v>
      </c>
      <c r="Z45" s="2">
        <v>33.54</v>
      </c>
      <c r="AA45">
        <v>6</v>
      </c>
      <c r="AB45" s="3">
        <v>0.7</v>
      </c>
      <c r="AC45" s="2">
        <v>140.87</v>
      </c>
      <c r="AD45" s="3">
        <v>0</v>
      </c>
      <c r="AE45" s="2">
        <v>0</v>
      </c>
      <c r="AF45" s="2">
        <v>140.87</v>
      </c>
      <c r="AK45" s="4">
        <v>19657330</v>
      </c>
      <c r="AL45" t="s">
        <v>49</v>
      </c>
    </row>
    <row r="46" spans="1:38" x14ac:dyDescent="0.25">
      <c r="A46" s="1">
        <v>45905</v>
      </c>
      <c r="B46" s="1">
        <v>45901</v>
      </c>
      <c r="C46" t="s">
        <v>38</v>
      </c>
      <c r="D46" t="s">
        <v>39</v>
      </c>
      <c r="E46" t="s">
        <v>40</v>
      </c>
      <c r="F46">
        <v>649163</v>
      </c>
      <c r="G46">
        <v>20411454</v>
      </c>
      <c r="H46" t="s">
        <v>41</v>
      </c>
      <c r="I46">
        <v>2030574907</v>
      </c>
      <c r="J46" t="s">
        <v>111</v>
      </c>
      <c r="M46" t="s">
        <v>101</v>
      </c>
      <c r="O46">
        <v>669316</v>
      </c>
      <c r="P46" t="s">
        <v>44</v>
      </c>
      <c r="Q46" t="s">
        <v>45</v>
      </c>
      <c r="R46" t="s">
        <v>68</v>
      </c>
      <c r="S46" s="1">
        <v>45901</v>
      </c>
      <c r="U46" t="s">
        <v>47</v>
      </c>
      <c r="X46" t="s">
        <v>54</v>
      </c>
      <c r="Y46" s="2">
        <v>70.12</v>
      </c>
      <c r="Z46" s="2">
        <v>70.12</v>
      </c>
      <c r="AA46">
        <v>6</v>
      </c>
      <c r="AB46" s="3">
        <v>0.75</v>
      </c>
      <c r="AC46" s="2">
        <v>315.54000000000002</v>
      </c>
      <c r="AD46" s="3">
        <v>0</v>
      </c>
      <c r="AE46" s="2">
        <v>0</v>
      </c>
      <c r="AF46" s="2">
        <v>315.54000000000002</v>
      </c>
      <c r="AK46" s="4">
        <v>19682500</v>
      </c>
      <c r="AL46" t="s">
        <v>49</v>
      </c>
    </row>
    <row r="47" spans="1:38" x14ac:dyDescent="0.25">
      <c r="A47" s="1">
        <v>45905</v>
      </c>
      <c r="B47" s="1">
        <v>45901</v>
      </c>
      <c r="C47" t="s">
        <v>38</v>
      </c>
      <c r="D47" t="s">
        <v>39</v>
      </c>
      <c r="E47" t="s">
        <v>40</v>
      </c>
      <c r="F47">
        <v>649163</v>
      </c>
      <c r="G47">
        <v>20411454</v>
      </c>
      <c r="H47" t="s">
        <v>41</v>
      </c>
      <c r="I47">
        <v>2030574908</v>
      </c>
      <c r="J47" t="s">
        <v>111</v>
      </c>
      <c r="M47" t="s">
        <v>101</v>
      </c>
      <c r="O47">
        <v>669316</v>
      </c>
      <c r="P47" t="s">
        <v>44</v>
      </c>
      <c r="Q47" t="s">
        <v>45</v>
      </c>
      <c r="R47" t="s">
        <v>77</v>
      </c>
      <c r="S47" s="1">
        <v>45901</v>
      </c>
      <c r="U47" t="s">
        <v>47</v>
      </c>
      <c r="X47" t="s">
        <v>54</v>
      </c>
      <c r="Y47" s="2">
        <v>59.16</v>
      </c>
      <c r="Z47" s="2">
        <v>59.16</v>
      </c>
      <c r="AA47">
        <v>6</v>
      </c>
      <c r="AB47" s="3">
        <v>0.375</v>
      </c>
      <c r="AC47" s="2">
        <v>133.11000000000001</v>
      </c>
      <c r="AD47" s="3">
        <v>0</v>
      </c>
      <c r="AE47" s="2">
        <v>0</v>
      </c>
      <c r="AF47" s="2">
        <v>133.11000000000001</v>
      </c>
      <c r="AK47" s="4">
        <v>19701970</v>
      </c>
      <c r="AL47" t="s">
        <v>49</v>
      </c>
    </row>
    <row r="48" spans="1:38" x14ac:dyDescent="0.25">
      <c r="A48" s="1">
        <v>45905</v>
      </c>
      <c r="B48" s="1">
        <v>45901</v>
      </c>
      <c r="C48" t="s">
        <v>38</v>
      </c>
      <c r="D48" t="s">
        <v>39</v>
      </c>
      <c r="E48" t="s">
        <v>40</v>
      </c>
      <c r="F48">
        <v>649163</v>
      </c>
      <c r="G48">
        <v>20411454</v>
      </c>
      <c r="H48" t="s">
        <v>41</v>
      </c>
      <c r="I48">
        <v>2030579268</v>
      </c>
      <c r="J48" t="s">
        <v>112</v>
      </c>
      <c r="M48" t="s">
        <v>62</v>
      </c>
      <c r="O48">
        <v>814033</v>
      </c>
      <c r="P48" t="s">
        <v>113</v>
      </c>
      <c r="Q48" t="s">
        <v>45</v>
      </c>
      <c r="R48" t="s">
        <v>53</v>
      </c>
      <c r="S48" s="1">
        <v>45901</v>
      </c>
      <c r="U48" t="s">
        <v>47</v>
      </c>
      <c r="X48" t="s">
        <v>54</v>
      </c>
      <c r="Y48" s="2">
        <v>66.36</v>
      </c>
      <c r="Z48" s="2">
        <v>66.36</v>
      </c>
      <c r="AA48">
        <v>6</v>
      </c>
      <c r="AB48" s="3">
        <v>0.7</v>
      </c>
      <c r="AC48" s="2">
        <v>278.70999999999998</v>
      </c>
      <c r="AD48" s="3">
        <v>0</v>
      </c>
      <c r="AE48" s="2">
        <v>0</v>
      </c>
      <c r="AF48" s="2">
        <v>278.70999999999998</v>
      </c>
      <c r="AK48" s="4">
        <v>19657340</v>
      </c>
      <c r="AL48" t="s">
        <v>49</v>
      </c>
    </row>
    <row r="49" spans="1:38" x14ac:dyDescent="0.25">
      <c r="A49" s="1">
        <v>45905</v>
      </c>
      <c r="B49" s="1">
        <v>45901</v>
      </c>
      <c r="C49" t="s">
        <v>38</v>
      </c>
      <c r="D49" t="s">
        <v>39</v>
      </c>
      <c r="E49" t="s">
        <v>40</v>
      </c>
      <c r="F49">
        <v>649163</v>
      </c>
      <c r="G49">
        <v>20411454</v>
      </c>
      <c r="H49" t="s">
        <v>41</v>
      </c>
      <c r="I49">
        <v>2030583659</v>
      </c>
      <c r="J49" t="s">
        <v>114</v>
      </c>
      <c r="M49" t="s">
        <v>65</v>
      </c>
      <c r="O49">
        <v>753748</v>
      </c>
      <c r="P49" t="s">
        <v>57</v>
      </c>
      <c r="Q49" t="s">
        <v>45</v>
      </c>
      <c r="R49" t="s">
        <v>53</v>
      </c>
      <c r="S49" s="1">
        <v>45901</v>
      </c>
      <c r="U49" t="s">
        <v>47</v>
      </c>
      <c r="X49" t="s">
        <v>54</v>
      </c>
      <c r="Y49" s="2">
        <v>109.36</v>
      </c>
      <c r="Z49" s="2">
        <v>109.36</v>
      </c>
      <c r="AA49">
        <v>6</v>
      </c>
      <c r="AB49" s="3">
        <v>0.7</v>
      </c>
      <c r="AC49" s="2">
        <v>459.31</v>
      </c>
      <c r="AD49" s="3">
        <v>0</v>
      </c>
      <c r="AE49" s="2">
        <v>0</v>
      </c>
      <c r="AF49" s="2">
        <v>459.31</v>
      </c>
      <c r="AK49" s="4">
        <v>19657350</v>
      </c>
      <c r="AL49" t="s">
        <v>49</v>
      </c>
    </row>
    <row r="50" spans="1:38" x14ac:dyDescent="0.25">
      <c r="A50" s="1">
        <v>45905</v>
      </c>
      <c r="B50" s="1">
        <v>45901</v>
      </c>
      <c r="C50" t="s">
        <v>38</v>
      </c>
      <c r="D50" t="s">
        <v>39</v>
      </c>
      <c r="E50" t="s">
        <v>40</v>
      </c>
      <c r="F50">
        <v>649163</v>
      </c>
      <c r="G50">
        <v>20411454</v>
      </c>
      <c r="H50" t="s">
        <v>41</v>
      </c>
      <c r="I50">
        <v>2030583660</v>
      </c>
      <c r="J50" t="s">
        <v>114</v>
      </c>
      <c r="M50" t="s">
        <v>65</v>
      </c>
      <c r="O50">
        <v>753748</v>
      </c>
      <c r="P50" t="s">
        <v>57</v>
      </c>
      <c r="Q50" t="s">
        <v>45</v>
      </c>
      <c r="R50" t="s">
        <v>74</v>
      </c>
      <c r="S50" s="1">
        <v>45901</v>
      </c>
      <c r="U50" t="s">
        <v>47</v>
      </c>
      <c r="X50" t="s">
        <v>54</v>
      </c>
      <c r="Y50" s="2">
        <v>208.88</v>
      </c>
      <c r="Z50" s="2">
        <v>208.88</v>
      </c>
      <c r="AA50">
        <v>6</v>
      </c>
      <c r="AB50" s="3">
        <v>0.9</v>
      </c>
      <c r="AC50" s="2">
        <v>1127.95</v>
      </c>
      <c r="AD50" s="3">
        <v>0</v>
      </c>
      <c r="AE50" s="2">
        <v>0</v>
      </c>
      <c r="AF50" s="2">
        <v>1127.95</v>
      </c>
      <c r="AK50" s="4">
        <v>19682510</v>
      </c>
      <c r="AL50" t="s">
        <v>49</v>
      </c>
    </row>
    <row r="51" spans="1:38" x14ac:dyDescent="0.25">
      <c r="A51" s="1">
        <v>45905</v>
      </c>
      <c r="B51" s="1">
        <v>45901</v>
      </c>
      <c r="C51" t="s">
        <v>38</v>
      </c>
      <c r="D51" t="s">
        <v>39</v>
      </c>
      <c r="E51" t="s">
        <v>40</v>
      </c>
      <c r="F51">
        <v>649163</v>
      </c>
      <c r="G51">
        <v>20411454</v>
      </c>
      <c r="H51" t="s">
        <v>41</v>
      </c>
      <c r="I51">
        <v>2030583661</v>
      </c>
      <c r="J51" t="s">
        <v>114</v>
      </c>
      <c r="M51" t="s">
        <v>65</v>
      </c>
      <c r="O51">
        <v>753748</v>
      </c>
      <c r="P51" t="s">
        <v>57</v>
      </c>
      <c r="Q51" t="s">
        <v>45</v>
      </c>
      <c r="R51" t="s">
        <v>77</v>
      </c>
      <c r="S51" s="1">
        <v>45901</v>
      </c>
      <c r="U51" t="s">
        <v>47</v>
      </c>
      <c r="X51" t="s">
        <v>54</v>
      </c>
      <c r="Y51" s="2">
        <v>38.72</v>
      </c>
      <c r="Z51" s="2">
        <v>38.72</v>
      </c>
      <c r="AA51">
        <v>6</v>
      </c>
      <c r="AB51" s="3">
        <v>0.375</v>
      </c>
      <c r="AC51" s="2">
        <v>87.12</v>
      </c>
      <c r="AD51" s="3">
        <v>0</v>
      </c>
      <c r="AE51" s="2">
        <v>0</v>
      </c>
      <c r="AF51" s="2">
        <v>87.12</v>
      </c>
      <c r="AK51" s="4">
        <v>19701990</v>
      </c>
      <c r="AL51" t="s">
        <v>49</v>
      </c>
    </row>
    <row r="52" spans="1:38" x14ac:dyDescent="0.25">
      <c r="A52" s="1">
        <v>45905</v>
      </c>
      <c r="B52" s="1">
        <v>45901</v>
      </c>
      <c r="C52" t="s">
        <v>38</v>
      </c>
      <c r="D52" t="s">
        <v>39</v>
      </c>
      <c r="E52" t="s">
        <v>40</v>
      </c>
      <c r="F52">
        <v>649163</v>
      </c>
      <c r="G52">
        <v>20411454</v>
      </c>
      <c r="H52" t="s">
        <v>41</v>
      </c>
      <c r="I52">
        <v>2030597036</v>
      </c>
      <c r="J52" t="s">
        <v>115</v>
      </c>
      <c r="M52" t="s">
        <v>72</v>
      </c>
      <c r="O52">
        <v>652037</v>
      </c>
      <c r="P52" t="s">
        <v>73</v>
      </c>
      <c r="Q52" t="s">
        <v>45</v>
      </c>
      <c r="R52" t="s">
        <v>74</v>
      </c>
      <c r="S52" s="1">
        <v>45901</v>
      </c>
      <c r="U52" t="s">
        <v>47</v>
      </c>
      <c r="X52" t="s">
        <v>54</v>
      </c>
      <c r="Y52" s="2">
        <v>89.88</v>
      </c>
      <c r="Z52" s="2">
        <v>89.88</v>
      </c>
      <c r="AA52">
        <v>6</v>
      </c>
      <c r="AB52" s="3">
        <v>0.9</v>
      </c>
      <c r="AC52" s="2">
        <v>485.35</v>
      </c>
      <c r="AD52" s="3">
        <v>0</v>
      </c>
      <c r="AE52" s="2">
        <v>0</v>
      </c>
      <c r="AF52" s="2">
        <v>485.35</v>
      </c>
      <c r="AK52" s="4">
        <v>19682530</v>
      </c>
      <c r="AL52" t="s">
        <v>49</v>
      </c>
    </row>
    <row r="53" spans="1:38" x14ac:dyDescent="0.25">
      <c r="A53" s="1">
        <v>45905</v>
      </c>
      <c r="B53" s="1">
        <v>45901</v>
      </c>
      <c r="C53" t="s">
        <v>38</v>
      </c>
      <c r="D53" t="s">
        <v>39</v>
      </c>
      <c r="E53" t="s">
        <v>40</v>
      </c>
      <c r="F53">
        <v>649163</v>
      </c>
      <c r="G53">
        <v>20411454</v>
      </c>
      <c r="H53" t="s">
        <v>41</v>
      </c>
      <c r="I53">
        <v>2030597037</v>
      </c>
      <c r="J53" t="s">
        <v>115</v>
      </c>
      <c r="M53" t="s">
        <v>72</v>
      </c>
      <c r="O53">
        <v>652037</v>
      </c>
      <c r="P53" t="s">
        <v>73</v>
      </c>
      <c r="Q53" t="s">
        <v>45</v>
      </c>
      <c r="R53" t="s">
        <v>116</v>
      </c>
      <c r="S53" s="1">
        <v>45901</v>
      </c>
      <c r="U53" t="s">
        <v>47</v>
      </c>
      <c r="X53" t="s">
        <v>54</v>
      </c>
      <c r="Y53" s="2">
        <v>24.61</v>
      </c>
      <c r="Z53" s="2">
        <v>24.61</v>
      </c>
      <c r="AA53">
        <v>6</v>
      </c>
      <c r="AB53" s="3">
        <v>0.7</v>
      </c>
      <c r="AC53" s="2">
        <v>103.36</v>
      </c>
      <c r="AD53" s="3">
        <v>0</v>
      </c>
      <c r="AE53" s="2">
        <v>0</v>
      </c>
      <c r="AF53" s="2">
        <v>103.36</v>
      </c>
      <c r="AK53" s="4">
        <v>19634060</v>
      </c>
      <c r="AL53" t="s">
        <v>49</v>
      </c>
    </row>
    <row r="54" spans="1:38" x14ac:dyDescent="0.25">
      <c r="A54" s="1">
        <v>45905</v>
      </c>
      <c r="B54" s="1">
        <v>45901</v>
      </c>
      <c r="C54" t="s">
        <v>38</v>
      </c>
      <c r="D54" t="s">
        <v>39</v>
      </c>
      <c r="E54" t="s">
        <v>40</v>
      </c>
      <c r="F54">
        <v>649163</v>
      </c>
      <c r="G54">
        <v>20411454</v>
      </c>
      <c r="H54" t="s">
        <v>41</v>
      </c>
      <c r="I54">
        <v>2030640531</v>
      </c>
      <c r="J54" t="s">
        <v>117</v>
      </c>
      <c r="M54" t="s">
        <v>118</v>
      </c>
      <c r="O54">
        <v>874230</v>
      </c>
      <c r="P54" t="s">
        <v>119</v>
      </c>
      <c r="Q54" t="s">
        <v>45</v>
      </c>
      <c r="R54" t="s">
        <v>120</v>
      </c>
      <c r="S54" s="1">
        <v>45901</v>
      </c>
      <c r="U54" t="s">
        <v>47</v>
      </c>
      <c r="X54" t="s">
        <v>121</v>
      </c>
      <c r="Y54" s="2">
        <v>631.49</v>
      </c>
      <c r="Z54" s="2">
        <v>631.49</v>
      </c>
      <c r="AA54">
        <v>3</v>
      </c>
      <c r="AB54" s="3">
        <v>0.19</v>
      </c>
      <c r="AC54" s="2">
        <v>359.95</v>
      </c>
      <c r="AD54" s="3">
        <v>0</v>
      </c>
      <c r="AE54" s="2">
        <v>0</v>
      </c>
      <c r="AF54" s="2">
        <v>359.95</v>
      </c>
      <c r="AK54" s="4">
        <v>19716570</v>
      </c>
      <c r="AL54" t="s">
        <v>49</v>
      </c>
    </row>
    <row r="55" spans="1:38" x14ac:dyDescent="0.25">
      <c r="A55" s="1">
        <v>45905</v>
      </c>
      <c r="B55" s="1">
        <v>45901</v>
      </c>
      <c r="C55" t="s">
        <v>38</v>
      </c>
      <c r="D55" t="s">
        <v>39</v>
      </c>
      <c r="E55" t="s">
        <v>40</v>
      </c>
      <c r="F55">
        <v>649163</v>
      </c>
      <c r="G55">
        <v>20411454</v>
      </c>
      <c r="H55" t="s">
        <v>41</v>
      </c>
      <c r="I55">
        <v>2030640532</v>
      </c>
      <c r="J55" t="s">
        <v>117</v>
      </c>
      <c r="M55" t="s">
        <v>118</v>
      </c>
      <c r="O55">
        <v>874230</v>
      </c>
      <c r="P55" t="s">
        <v>119</v>
      </c>
      <c r="Q55" t="s">
        <v>45</v>
      </c>
      <c r="R55" t="s">
        <v>122</v>
      </c>
      <c r="S55" s="1">
        <v>45901</v>
      </c>
      <c r="U55" t="s">
        <v>47</v>
      </c>
      <c r="X55" t="s">
        <v>121</v>
      </c>
      <c r="Y55" s="2">
        <v>15</v>
      </c>
      <c r="Z55" s="2">
        <v>15</v>
      </c>
      <c r="AA55">
        <v>3</v>
      </c>
      <c r="AB55" s="3">
        <v>0.19</v>
      </c>
      <c r="AC55" s="2">
        <v>8.5500000000000007</v>
      </c>
      <c r="AD55" s="3">
        <v>0</v>
      </c>
      <c r="AE55" s="2">
        <v>0</v>
      </c>
      <c r="AF55" s="2">
        <v>8.5500000000000007</v>
      </c>
      <c r="AK55" s="4">
        <v>19669540</v>
      </c>
      <c r="AL55" t="s">
        <v>49</v>
      </c>
    </row>
    <row r="56" spans="1:38" x14ac:dyDescent="0.25">
      <c r="A56" s="1">
        <v>45905</v>
      </c>
      <c r="B56" s="1">
        <v>45901</v>
      </c>
      <c r="C56" t="s">
        <v>38</v>
      </c>
      <c r="D56" t="s">
        <v>39</v>
      </c>
      <c r="E56" t="s">
        <v>40</v>
      </c>
      <c r="F56">
        <v>649163</v>
      </c>
      <c r="G56">
        <v>20411454</v>
      </c>
      <c r="H56" t="s">
        <v>41</v>
      </c>
      <c r="I56">
        <v>2030640670</v>
      </c>
      <c r="J56" t="s">
        <v>123</v>
      </c>
      <c r="M56" t="s">
        <v>106</v>
      </c>
      <c r="O56">
        <v>877790</v>
      </c>
      <c r="P56" t="s">
        <v>107</v>
      </c>
      <c r="Q56" t="s">
        <v>45</v>
      </c>
      <c r="R56" t="s">
        <v>99</v>
      </c>
      <c r="S56" s="1">
        <v>45901</v>
      </c>
      <c r="U56" t="s">
        <v>47</v>
      </c>
      <c r="X56" t="s">
        <v>54</v>
      </c>
      <c r="Y56" s="2">
        <v>106.98</v>
      </c>
      <c r="Z56" s="2">
        <v>106.98</v>
      </c>
      <c r="AA56">
        <v>6</v>
      </c>
      <c r="AB56" s="3">
        <v>0.42</v>
      </c>
      <c r="AC56" s="2">
        <v>269.58999999999997</v>
      </c>
      <c r="AD56" s="3">
        <v>0</v>
      </c>
      <c r="AE56" s="2">
        <v>0</v>
      </c>
      <c r="AF56" s="2">
        <v>269.58999999999997</v>
      </c>
      <c r="AK56" s="4">
        <v>19702120</v>
      </c>
      <c r="AL56" t="s">
        <v>49</v>
      </c>
    </row>
    <row r="57" spans="1:38" x14ac:dyDescent="0.25">
      <c r="A57" s="1">
        <v>45905</v>
      </c>
      <c r="B57" s="1">
        <v>45901</v>
      </c>
      <c r="C57" t="s">
        <v>38</v>
      </c>
      <c r="D57" t="s">
        <v>39</v>
      </c>
      <c r="E57" t="s">
        <v>40</v>
      </c>
      <c r="F57">
        <v>649163</v>
      </c>
      <c r="G57">
        <v>20411454</v>
      </c>
      <c r="H57" t="s">
        <v>41</v>
      </c>
      <c r="I57">
        <v>2030649784</v>
      </c>
      <c r="J57" t="s">
        <v>124</v>
      </c>
      <c r="M57" t="s">
        <v>67</v>
      </c>
      <c r="O57">
        <v>822733</v>
      </c>
      <c r="P57" t="s">
        <v>125</v>
      </c>
      <c r="Q57" t="s">
        <v>45</v>
      </c>
      <c r="R57" t="s">
        <v>53</v>
      </c>
      <c r="S57" s="1">
        <v>45901</v>
      </c>
      <c r="U57" t="s">
        <v>47</v>
      </c>
      <c r="X57" t="s">
        <v>54</v>
      </c>
      <c r="Y57" s="2">
        <v>51.19</v>
      </c>
      <c r="Z57" s="2">
        <v>51.19</v>
      </c>
      <c r="AA57">
        <v>6</v>
      </c>
      <c r="AB57" s="3">
        <v>0.7</v>
      </c>
      <c r="AC57" s="2">
        <v>215</v>
      </c>
      <c r="AD57" s="3">
        <v>0</v>
      </c>
      <c r="AE57" s="2">
        <v>0</v>
      </c>
      <c r="AF57" s="2">
        <v>215</v>
      </c>
      <c r="AK57" s="4">
        <v>19657480</v>
      </c>
      <c r="AL57" t="s">
        <v>49</v>
      </c>
    </row>
    <row r="58" spans="1:38" x14ac:dyDescent="0.25">
      <c r="A58" s="1">
        <v>45905</v>
      </c>
      <c r="B58" s="1">
        <v>45901</v>
      </c>
      <c r="C58" t="s">
        <v>38</v>
      </c>
      <c r="D58" t="s">
        <v>39</v>
      </c>
      <c r="E58" t="s">
        <v>40</v>
      </c>
      <c r="F58">
        <v>649163</v>
      </c>
      <c r="G58">
        <v>20411454</v>
      </c>
      <c r="H58" t="s">
        <v>41</v>
      </c>
      <c r="I58">
        <v>2030649785</v>
      </c>
      <c r="J58" t="s">
        <v>124</v>
      </c>
      <c r="M58" t="s">
        <v>67</v>
      </c>
      <c r="O58">
        <v>822733</v>
      </c>
      <c r="P58" t="s">
        <v>125</v>
      </c>
      <c r="Q58" t="s">
        <v>45</v>
      </c>
      <c r="R58" t="s">
        <v>68</v>
      </c>
      <c r="S58" s="1">
        <v>45901</v>
      </c>
      <c r="U58" t="s">
        <v>47</v>
      </c>
      <c r="X58" t="s">
        <v>54</v>
      </c>
      <c r="Y58" s="2">
        <v>49.93</v>
      </c>
      <c r="Z58" s="2">
        <v>49.93</v>
      </c>
      <c r="AA58">
        <v>6</v>
      </c>
      <c r="AB58" s="3">
        <v>0.75</v>
      </c>
      <c r="AC58" s="2">
        <v>224.69</v>
      </c>
      <c r="AD58" s="3">
        <v>0</v>
      </c>
      <c r="AE58" s="2">
        <v>0</v>
      </c>
      <c r="AF58" s="2">
        <v>224.69</v>
      </c>
      <c r="AK58" s="4">
        <v>19682580</v>
      </c>
      <c r="AL58" t="s">
        <v>49</v>
      </c>
    </row>
    <row r="59" spans="1:38" x14ac:dyDescent="0.25">
      <c r="A59" s="1">
        <v>45905</v>
      </c>
      <c r="B59" s="1">
        <v>45901</v>
      </c>
      <c r="C59" t="s">
        <v>38</v>
      </c>
      <c r="D59" t="s">
        <v>39</v>
      </c>
      <c r="E59" t="s">
        <v>40</v>
      </c>
      <c r="F59">
        <v>649163</v>
      </c>
      <c r="G59">
        <v>20411454</v>
      </c>
      <c r="H59" t="s">
        <v>41</v>
      </c>
      <c r="I59">
        <v>2030658213</v>
      </c>
      <c r="J59" t="s">
        <v>126</v>
      </c>
      <c r="M59" t="s">
        <v>101</v>
      </c>
      <c r="O59">
        <v>821015</v>
      </c>
      <c r="P59" t="s">
        <v>127</v>
      </c>
      <c r="Q59" t="s">
        <v>45</v>
      </c>
      <c r="R59" t="s">
        <v>53</v>
      </c>
      <c r="S59" s="1">
        <v>45901</v>
      </c>
      <c r="U59" t="s">
        <v>47</v>
      </c>
      <c r="X59" t="s">
        <v>54</v>
      </c>
      <c r="Y59" s="2">
        <v>22.72</v>
      </c>
      <c r="Z59" s="2">
        <v>22.72</v>
      </c>
      <c r="AA59">
        <v>6</v>
      </c>
      <c r="AB59" s="3">
        <v>0.7</v>
      </c>
      <c r="AC59" s="2">
        <v>95.42</v>
      </c>
      <c r="AD59" s="3">
        <v>0</v>
      </c>
      <c r="AE59" s="2">
        <v>0</v>
      </c>
      <c r="AF59" s="2">
        <v>95.42</v>
      </c>
      <c r="AK59" s="4">
        <v>19657490</v>
      </c>
      <c r="AL59" t="s">
        <v>49</v>
      </c>
    </row>
    <row r="60" spans="1:38" x14ac:dyDescent="0.25">
      <c r="A60" s="1">
        <v>45905</v>
      </c>
      <c r="B60" s="1">
        <v>45901</v>
      </c>
      <c r="C60" t="s">
        <v>38</v>
      </c>
      <c r="D60" t="s">
        <v>39</v>
      </c>
      <c r="E60" t="s">
        <v>40</v>
      </c>
      <c r="F60">
        <v>649163</v>
      </c>
      <c r="G60">
        <v>20411454</v>
      </c>
      <c r="H60" t="s">
        <v>41</v>
      </c>
      <c r="I60">
        <v>2030658214</v>
      </c>
      <c r="J60" t="s">
        <v>126</v>
      </c>
      <c r="M60" t="s">
        <v>101</v>
      </c>
      <c r="O60">
        <v>821015</v>
      </c>
      <c r="P60" t="s">
        <v>127</v>
      </c>
      <c r="Q60" t="s">
        <v>45</v>
      </c>
      <c r="R60" t="s">
        <v>77</v>
      </c>
      <c r="S60" s="1">
        <v>45901</v>
      </c>
      <c r="U60" t="s">
        <v>47</v>
      </c>
      <c r="X60" t="s">
        <v>54</v>
      </c>
      <c r="Y60" s="2">
        <v>55.96</v>
      </c>
      <c r="Z60" s="2">
        <v>55.96</v>
      </c>
      <c r="AA60">
        <v>6</v>
      </c>
      <c r="AB60" s="3">
        <v>0.375</v>
      </c>
      <c r="AC60" s="2">
        <v>125.91</v>
      </c>
      <c r="AD60" s="3">
        <v>0</v>
      </c>
      <c r="AE60" s="2">
        <v>0</v>
      </c>
      <c r="AF60" s="2">
        <v>125.91</v>
      </c>
      <c r="AK60" s="4">
        <v>19702130</v>
      </c>
      <c r="AL60" t="s">
        <v>49</v>
      </c>
    </row>
    <row r="61" spans="1:38" x14ac:dyDescent="0.25">
      <c r="A61" s="1">
        <v>45905</v>
      </c>
      <c r="B61" s="1">
        <v>45901</v>
      </c>
      <c r="C61" t="s">
        <v>38</v>
      </c>
      <c r="D61" t="s">
        <v>39</v>
      </c>
      <c r="E61" t="s">
        <v>40</v>
      </c>
      <c r="F61">
        <v>649163</v>
      </c>
      <c r="G61">
        <v>20411454</v>
      </c>
      <c r="H61" t="s">
        <v>41</v>
      </c>
      <c r="I61">
        <v>2030659851</v>
      </c>
      <c r="J61" t="s">
        <v>128</v>
      </c>
      <c r="M61" t="s">
        <v>62</v>
      </c>
      <c r="O61">
        <v>669316</v>
      </c>
      <c r="P61" t="s">
        <v>44</v>
      </c>
      <c r="Q61" t="s">
        <v>45</v>
      </c>
      <c r="R61" t="s">
        <v>53</v>
      </c>
      <c r="S61" s="1">
        <v>45901</v>
      </c>
      <c r="U61" t="s">
        <v>47</v>
      </c>
      <c r="X61" t="s">
        <v>54</v>
      </c>
      <c r="Y61" s="2">
        <v>31.6</v>
      </c>
      <c r="Z61" s="2">
        <v>31.6</v>
      </c>
      <c r="AA61">
        <v>6</v>
      </c>
      <c r="AB61" s="3">
        <v>0.7</v>
      </c>
      <c r="AC61" s="2">
        <v>132.72</v>
      </c>
      <c r="AD61" s="3">
        <v>0</v>
      </c>
      <c r="AE61" s="2">
        <v>0</v>
      </c>
      <c r="AF61" s="2">
        <v>132.72</v>
      </c>
      <c r="AK61" s="4">
        <v>19657490</v>
      </c>
      <c r="AL61" t="s">
        <v>49</v>
      </c>
    </row>
    <row r="62" spans="1:38" x14ac:dyDescent="0.25">
      <c r="A62" s="1">
        <v>45905</v>
      </c>
      <c r="B62" s="1">
        <v>45901</v>
      </c>
      <c r="C62" t="s">
        <v>38</v>
      </c>
      <c r="D62" t="s">
        <v>39</v>
      </c>
      <c r="E62" t="s">
        <v>40</v>
      </c>
      <c r="F62">
        <v>649163</v>
      </c>
      <c r="G62">
        <v>20411454</v>
      </c>
      <c r="H62" t="s">
        <v>41</v>
      </c>
      <c r="I62">
        <v>2030659852</v>
      </c>
      <c r="J62" t="s">
        <v>128</v>
      </c>
      <c r="M62" t="s">
        <v>62</v>
      </c>
      <c r="O62">
        <v>669316</v>
      </c>
      <c r="P62" t="s">
        <v>44</v>
      </c>
      <c r="Q62" t="s">
        <v>45</v>
      </c>
      <c r="R62" t="s">
        <v>68</v>
      </c>
      <c r="S62" s="1">
        <v>45901</v>
      </c>
      <c r="U62" t="s">
        <v>47</v>
      </c>
      <c r="X62" t="s">
        <v>54</v>
      </c>
      <c r="Y62" s="2">
        <v>136.51</v>
      </c>
      <c r="Z62" s="2">
        <v>136.51</v>
      </c>
      <c r="AA62">
        <v>6</v>
      </c>
      <c r="AB62" s="3">
        <v>0.75</v>
      </c>
      <c r="AC62" s="2">
        <v>614.29999999999995</v>
      </c>
      <c r="AD62" s="3">
        <v>0</v>
      </c>
      <c r="AE62" s="2">
        <v>0</v>
      </c>
      <c r="AF62" s="2">
        <v>614.29999999999995</v>
      </c>
      <c r="AK62" s="4">
        <v>19682590</v>
      </c>
      <c r="AL62" t="s">
        <v>49</v>
      </c>
    </row>
    <row r="63" spans="1:38" x14ac:dyDescent="0.25">
      <c r="A63" s="1">
        <v>45905</v>
      </c>
      <c r="B63" s="1">
        <v>45901</v>
      </c>
      <c r="C63" t="s">
        <v>38</v>
      </c>
      <c r="D63" t="s">
        <v>39</v>
      </c>
      <c r="E63" t="s">
        <v>40</v>
      </c>
      <c r="F63">
        <v>649163</v>
      </c>
      <c r="G63">
        <v>20411454</v>
      </c>
      <c r="H63" t="s">
        <v>41</v>
      </c>
      <c r="I63">
        <v>2030670141</v>
      </c>
      <c r="J63" t="s">
        <v>129</v>
      </c>
      <c r="M63" t="s">
        <v>130</v>
      </c>
      <c r="O63">
        <v>650218</v>
      </c>
      <c r="P63" t="s">
        <v>131</v>
      </c>
      <c r="Q63" t="s">
        <v>45</v>
      </c>
      <c r="R63" t="s">
        <v>80</v>
      </c>
      <c r="S63" s="1">
        <v>45895</v>
      </c>
      <c r="U63" t="s">
        <v>47</v>
      </c>
      <c r="X63" t="s">
        <v>54</v>
      </c>
      <c r="Y63" s="2">
        <v>21.97</v>
      </c>
      <c r="Z63" s="2">
        <v>21.97</v>
      </c>
      <c r="AA63">
        <v>6</v>
      </c>
      <c r="AB63" s="3">
        <v>0.38</v>
      </c>
      <c r="AC63" s="2">
        <v>50.09</v>
      </c>
      <c r="AD63" s="3">
        <v>0</v>
      </c>
      <c r="AE63" s="2">
        <v>0</v>
      </c>
      <c r="AF63" s="2">
        <v>50.09</v>
      </c>
      <c r="AK63" s="4">
        <v>19706380</v>
      </c>
      <c r="AL63" t="s">
        <v>49</v>
      </c>
    </row>
    <row r="64" spans="1:38" x14ac:dyDescent="0.25">
      <c r="A64" s="1">
        <v>45905</v>
      </c>
      <c r="B64" s="1">
        <v>45901</v>
      </c>
      <c r="C64" t="s">
        <v>38</v>
      </c>
      <c r="D64" t="s">
        <v>39</v>
      </c>
      <c r="E64" t="s">
        <v>40</v>
      </c>
      <c r="F64">
        <v>649163</v>
      </c>
      <c r="G64">
        <v>20411454</v>
      </c>
      <c r="H64" t="s">
        <v>41</v>
      </c>
      <c r="I64">
        <v>2030670142</v>
      </c>
      <c r="J64" t="s">
        <v>129</v>
      </c>
      <c r="M64" t="s">
        <v>130</v>
      </c>
      <c r="O64">
        <v>650218</v>
      </c>
      <c r="P64" t="s">
        <v>131</v>
      </c>
      <c r="Q64" t="s">
        <v>45</v>
      </c>
      <c r="R64" t="s">
        <v>77</v>
      </c>
      <c r="S64" s="1">
        <v>45895</v>
      </c>
      <c r="U64" t="s">
        <v>47</v>
      </c>
      <c r="X64" t="s">
        <v>54</v>
      </c>
      <c r="Y64" s="2">
        <v>36.11</v>
      </c>
      <c r="Z64" s="2">
        <v>36.11</v>
      </c>
      <c r="AA64">
        <v>6</v>
      </c>
      <c r="AB64" s="3">
        <v>0.375</v>
      </c>
      <c r="AC64" s="2">
        <v>81.25</v>
      </c>
      <c r="AD64" s="3">
        <v>0</v>
      </c>
      <c r="AE64" s="2">
        <v>0</v>
      </c>
      <c r="AF64" s="2">
        <v>81.25</v>
      </c>
      <c r="AK64" s="4">
        <v>19702150</v>
      </c>
      <c r="AL64" t="s">
        <v>49</v>
      </c>
    </row>
    <row r="65" spans="1:38" x14ac:dyDescent="0.25">
      <c r="A65" s="1">
        <v>45905</v>
      </c>
      <c r="B65" s="1">
        <v>45901</v>
      </c>
      <c r="C65" t="s">
        <v>38</v>
      </c>
      <c r="D65" t="s">
        <v>39</v>
      </c>
      <c r="E65" t="s">
        <v>40</v>
      </c>
      <c r="F65">
        <v>649163</v>
      </c>
      <c r="G65">
        <v>20411454</v>
      </c>
      <c r="H65" t="s">
        <v>41</v>
      </c>
      <c r="I65">
        <v>2030670299</v>
      </c>
      <c r="J65" t="s">
        <v>132</v>
      </c>
      <c r="M65" t="s">
        <v>96</v>
      </c>
      <c r="O65">
        <v>814033</v>
      </c>
      <c r="P65" t="s">
        <v>113</v>
      </c>
      <c r="Q65" t="s">
        <v>45</v>
      </c>
      <c r="R65" t="s">
        <v>77</v>
      </c>
      <c r="S65" s="1">
        <v>45901</v>
      </c>
      <c r="U65" t="s">
        <v>47</v>
      </c>
      <c r="X65" t="s">
        <v>54</v>
      </c>
      <c r="Y65" s="2">
        <v>36.119999999999997</v>
      </c>
      <c r="Z65" s="2">
        <v>36.119999999999997</v>
      </c>
      <c r="AA65">
        <v>6</v>
      </c>
      <c r="AB65" s="3">
        <v>0.375</v>
      </c>
      <c r="AC65" s="2">
        <v>81.27</v>
      </c>
      <c r="AD65" s="3">
        <v>0</v>
      </c>
      <c r="AE65" s="2">
        <v>0</v>
      </c>
      <c r="AF65" s="2">
        <v>81.27</v>
      </c>
      <c r="AK65" s="4">
        <v>19702160</v>
      </c>
      <c r="AL65" t="s">
        <v>49</v>
      </c>
    </row>
    <row r="66" spans="1:38" x14ac:dyDescent="0.25">
      <c r="A66" s="1">
        <v>45905</v>
      </c>
      <c r="B66" s="1">
        <v>45901</v>
      </c>
      <c r="C66" t="s">
        <v>38</v>
      </c>
      <c r="D66" t="s">
        <v>39</v>
      </c>
      <c r="E66" t="s">
        <v>40</v>
      </c>
      <c r="F66">
        <v>649163</v>
      </c>
      <c r="G66">
        <v>20411454</v>
      </c>
      <c r="H66" t="s">
        <v>41</v>
      </c>
      <c r="I66">
        <v>2030670300</v>
      </c>
      <c r="J66" t="s">
        <v>132</v>
      </c>
      <c r="M66" t="s">
        <v>96</v>
      </c>
      <c r="O66">
        <v>814033</v>
      </c>
      <c r="P66" t="s">
        <v>113</v>
      </c>
      <c r="Q66" t="s">
        <v>45</v>
      </c>
      <c r="R66" t="s">
        <v>53</v>
      </c>
      <c r="S66" s="1">
        <v>45901</v>
      </c>
      <c r="U66" t="s">
        <v>47</v>
      </c>
      <c r="X66" t="s">
        <v>54</v>
      </c>
      <c r="Y66" s="2">
        <v>32.31</v>
      </c>
      <c r="Z66" s="2">
        <v>32.31</v>
      </c>
      <c r="AA66">
        <v>6</v>
      </c>
      <c r="AB66" s="3">
        <v>0.7</v>
      </c>
      <c r="AC66" s="2">
        <v>135.69999999999999</v>
      </c>
      <c r="AD66" s="3">
        <v>0</v>
      </c>
      <c r="AE66" s="2">
        <v>0</v>
      </c>
      <c r="AF66" s="2">
        <v>135.69999999999999</v>
      </c>
      <c r="AK66" s="4">
        <v>19657530</v>
      </c>
      <c r="AL66" t="s">
        <v>49</v>
      </c>
    </row>
    <row r="67" spans="1:38" x14ac:dyDescent="0.25">
      <c r="A67" s="1">
        <v>45905</v>
      </c>
      <c r="B67" s="1">
        <v>45901</v>
      </c>
      <c r="C67" t="s">
        <v>38</v>
      </c>
      <c r="D67" t="s">
        <v>39</v>
      </c>
      <c r="E67" t="s">
        <v>40</v>
      </c>
      <c r="F67">
        <v>649163</v>
      </c>
      <c r="G67">
        <v>20411454</v>
      </c>
      <c r="H67" t="s">
        <v>41</v>
      </c>
      <c r="I67">
        <v>2030671135</v>
      </c>
      <c r="J67" t="s">
        <v>133</v>
      </c>
      <c r="M67" t="s">
        <v>51</v>
      </c>
      <c r="O67">
        <v>856824</v>
      </c>
      <c r="P67" t="s">
        <v>70</v>
      </c>
      <c r="Q67" t="s">
        <v>45</v>
      </c>
      <c r="R67" t="s">
        <v>53</v>
      </c>
      <c r="S67" s="1">
        <v>45901</v>
      </c>
      <c r="U67" t="s">
        <v>47</v>
      </c>
      <c r="X67" t="s">
        <v>54</v>
      </c>
      <c r="Y67" s="2">
        <v>29.1</v>
      </c>
      <c r="Z67" s="2">
        <v>29.1</v>
      </c>
      <c r="AA67">
        <v>6</v>
      </c>
      <c r="AB67" s="3">
        <v>0.7</v>
      </c>
      <c r="AC67" s="2">
        <v>122.22</v>
      </c>
      <c r="AD67" s="3">
        <v>0</v>
      </c>
      <c r="AE67" s="2">
        <v>0</v>
      </c>
      <c r="AF67" s="2">
        <v>122.22</v>
      </c>
      <c r="AK67" s="4">
        <v>19657540</v>
      </c>
      <c r="AL67" t="s">
        <v>49</v>
      </c>
    </row>
    <row r="68" spans="1:38" x14ac:dyDescent="0.25">
      <c r="A68" s="1">
        <v>45905</v>
      </c>
      <c r="B68" s="1">
        <v>45901</v>
      </c>
      <c r="C68" t="s">
        <v>38</v>
      </c>
      <c r="D68" t="s">
        <v>39</v>
      </c>
      <c r="E68" t="s">
        <v>40</v>
      </c>
      <c r="F68">
        <v>649163</v>
      </c>
      <c r="G68">
        <v>20411454</v>
      </c>
      <c r="H68" t="s">
        <v>41</v>
      </c>
      <c r="I68">
        <v>2030673014</v>
      </c>
      <c r="J68" t="s">
        <v>134</v>
      </c>
      <c r="M68" t="s">
        <v>96</v>
      </c>
      <c r="O68">
        <v>823350</v>
      </c>
      <c r="P68" t="s">
        <v>135</v>
      </c>
      <c r="Q68" t="s">
        <v>45</v>
      </c>
      <c r="R68" t="s">
        <v>53</v>
      </c>
      <c r="S68" s="1">
        <v>45901</v>
      </c>
      <c r="U68" t="s">
        <v>47</v>
      </c>
      <c r="X68" t="s">
        <v>54</v>
      </c>
      <c r="Y68" s="2">
        <v>143.33000000000001</v>
      </c>
      <c r="Z68" s="2">
        <v>143.33000000000001</v>
      </c>
      <c r="AA68">
        <v>6</v>
      </c>
      <c r="AB68" s="3">
        <v>0.7</v>
      </c>
      <c r="AC68" s="2">
        <v>601.99</v>
      </c>
      <c r="AD68" s="3">
        <v>0</v>
      </c>
      <c r="AE68" s="2">
        <v>0</v>
      </c>
      <c r="AF68" s="2">
        <v>601.99</v>
      </c>
      <c r="AK68" s="4">
        <v>19657550</v>
      </c>
      <c r="AL68" t="s">
        <v>49</v>
      </c>
    </row>
    <row r="69" spans="1:38" x14ac:dyDescent="0.25">
      <c r="A69" s="1">
        <v>45905</v>
      </c>
      <c r="B69" s="1">
        <v>45901</v>
      </c>
      <c r="C69" t="s">
        <v>38</v>
      </c>
      <c r="D69" t="s">
        <v>39</v>
      </c>
      <c r="E69" t="s">
        <v>40</v>
      </c>
      <c r="F69">
        <v>649163</v>
      </c>
      <c r="G69">
        <v>20411454</v>
      </c>
      <c r="H69" t="s">
        <v>41</v>
      </c>
      <c r="I69">
        <v>2030673649</v>
      </c>
      <c r="J69" t="s">
        <v>136</v>
      </c>
      <c r="M69" t="s">
        <v>106</v>
      </c>
      <c r="O69">
        <v>673059</v>
      </c>
      <c r="P69" t="s">
        <v>52</v>
      </c>
      <c r="Q69" t="s">
        <v>45</v>
      </c>
      <c r="R69" t="s">
        <v>68</v>
      </c>
      <c r="S69" s="1">
        <v>45901</v>
      </c>
      <c r="U69" t="s">
        <v>47</v>
      </c>
      <c r="X69" t="s">
        <v>54</v>
      </c>
      <c r="Y69" s="2">
        <v>49.37</v>
      </c>
      <c r="Z69" s="2">
        <v>49.37</v>
      </c>
      <c r="AA69">
        <v>6</v>
      </c>
      <c r="AB69" s="3">
        <v>0.75</v>
      </c>
      <c r="AC69" s="2">
        <v>222.17</v>
      </c>
      <c r="AD69" s="3">
        <v>0</v>
      </c>
      <c r="AE69" s="2">
        <v>0</v>
      </c>
      <c r="AF69" s="2">
        <v>222.17</v>
      </c>
      <c r="AK69" s="4">
        <v>19682610</v>
      </c>
      <c r="AL69" t="s">
        <v>49</v>
      </c>
    </row>
    <row r="70" spans="1:38" x14ac:dyDescent="0.25">
      <c r="A70" s="1">
        <v>45905</v>
      </c>
      <c r="B70" s="1">
        <v>45901</v>
      </c>
      <c r="C70" t="s">
        <v>38</v>
      </c>
      <c r="D70" t="s">
        <v>39</v>
      </c>
      <c r="E70" t="s">
        <v>40</v>
      </c>
      <c r="F70">
        <v>649163</v>
      </c>
      <c r="G70">
        <v>20411454</v>
      </c>
      <c r="H70" t="s">
        <v>41</v>
      </c>
      <c r="I70">
        <v>2030673650</v>
      </c>
      <c r="J70" t="s">
        <v>136</v>
      </c>
      <c r="M70" t="s">
        <v>106</v>
      </c>
      <c r="O70">
        <v>673059</v>
      </c>
      <c r="P70" t="s">
        <v>52</v>
      </c>
      <c r="Q70" t="s">
        <v>45</v>
      </c>
      <c r="R70" t="s">
        <v>53</v>
      </c>
      <c r="S70" s="1">
        <v>45901</v>
      </c>
      <c r="U70" t="s">
        <v>47</v>
      </c>
      <c r="X70" t="s">
        <v>54</v>
      </c>
      <c r="Y70" s="2">
        <v>113.98</v>
      </c>
      <c r="Z70" s="2">
        <v>113.98</v>
      </c>
      <c r="AA70">
        <v>6</v>
      </c>
      <c r="AB70" s="3">
        <v>0.7</v>
      </c>
      <c r="AC70" s="2">
        <v>478.72</v>
      </c>
      <c r="AD70" s="3">
        <v>0</v>
      </c>
      <c r="AE70" s="2">
        <v>0</v>
      </c>
      <c r="AF70" s="2">
        <v>478.72</v>
      </c>
      <c r="AK70" s="4">
        <v>19657560</v>
      </c>
      <c r="AL70" t="s">
        <v>49</v>
      </c>
    </row>
    <row r="71" spans="1:38" x14ac:dyDescent="0.25">
      <c r="A71" s="1">
        <v>45905</v>
      </c>
      <c r="B71" s="1">
        <v>45901</v>
      </c>
      <c r="C71" t="s">
        <v>38</v>
      </c>
      <c r="D71" t="s">
        <v>39</v>
      </c>
      <c r="E71" t="s">
        <v>40</v>
      </c>
      <c r="F71">
        <v>649163</v>
      </c>
      <c r="G71">
        <v>20411454</v>
      </c>
      <c r="H71" t="s">
        <v>41</v>
      </c>
      <c r="I71">
        <v>2030673651</v>
      </c>
      <c r="J71" t="s">
        <v>136</v>
      </c>
      <c r="M71" t="s">
        <v>106</v>
      </c>
      <c r="O71">
        <v>673059</v>
      </c>
      <c r="P71" t="s">
        <v>52</v>
      </c>
      <c r="Q71" t="s">
        <v>45</v>
      </c>
      <c r="R71" t="s">
        <v>116</v>
      </c>
      <c r="S71" s="1">
        <v>45901</v>
      </c>
      <c r="U71" t="s">
        <v>47</v>
      </c>
      <c r="X71" t="s">
        <v>54</v>
      </c>
      <c r="Y71" s="2">
        <v>8.3699999999999992</v>
      </c>
      <c r="Z71" s="2">
        <v>8.3699999999999992</v>
      </c>
      <c r="AA71">
        <v>6</v>
      </c>
      <c r="AB71" s="3">
        <v>0.7</v>
      </c>
      <c r="AC71" s="2">
        <v>35.15</v>
      </c>
      <c r="AD71" s="3">
        <v>0</v>
      </c>
      <c r="AE71" s="2">
        <v>0</v>
      </c>
      <c r="AF71" s="2">
        <v>35.15</v>
      </c>
      <c r="AK71" s="4">
        <v>19634060</v>
      </c>
      <c r="AL71" t="s">
        <v>49</v>
      </c>
    </row>
    <row r="72" spans="1:38" x14ac:dyDescent="0.25">
      <c r="A72" s="1">
        <v>45905</v>
      </c>
      <c r="B72" s="1">
        <v>45901</v>
      </c>
      <c r="C72" t="s">
        <v>38</v>
      </c>
      <c r="D72" t="s">
        <v>39</v>
      </c>
      <c r="E72" t="s">
        <v>40</v>
      </c>
      <c r="F72">
        <v>649163</v>
      </c>
      <c r="G72">
        <v>20411454</v>
      </c>
      <c r="H72" t="s">
        <v>41</v>
      </c>
      <c r="I72">
        <v>2030673652</v>
      </c>
      <c r="J72" t="s">
        <v>136</v>
      </c>
      <c r="M72" t="s">
        <v>106</v>
      </c>
      <c r="O72">
        <v>673059</v>
      </c>
      <c r="P72" t="s">
        <v>52</v>
      </c>
      <c r="Q72" t="s">
        <v>45</v>
      </c>
      <c r="R72" t="s">
        <v>77</v>
      </c>
      <c r="S72" s="1">
        <v>45901</v>
      </c>
      <c r="U72" t="s">
        <v>47</v>
      </c>
      <c r="X72" t="s">
        <v>54</v>
      </c>
      <c r="Y72" s="2">
        <v>48.15</v>
      </c>
      <c r="Z72" s="2">
        <v>48.15</v>
      </c>
      <c r="AA72">
        <v>6</v>
      </c>
      <c r="AB72" s="3">
        <v>0.375</v>
      </c>
      <c r="AC72" s="2">
        <v>108.34</v>
      </c>
      <c r="AD72" s="3">
        <v>0</v>
      </c>
      <c r="AE72" s="2">
        <v>0</v>
      </c>
      <c r="AF72" s="2">
        <v>108.34</v>
      </c>
      <c r="AK72" s="4">
        <v>19702200</v>
      </c>
      <c r="AL72" t="s">
        <v>49</v>
      </c>
    </row>
    <row r="73" spans="1:38" x14ac:dyDescent="0.25">
      <c r="A73" s="1">
        <v>45905</v>
      </c>
      <c r="B73" s="1">
        <v>45901</v>
      </c>
      <c r="C73" t="s">
        <v>38</v>
      </c>
      <c r="D73" t="s">
        <v>39</v>
      </c>
      <c r="E73" t="s">
        <v>40</v>
      </c>
      <c r="F73">
        <v>649163</v>
      </c>
      <c r="G73">
        <v>20411454</v>
      </c>
      <c r="H73" t="s">
        <v>41</v>
      </c>
      <c r="I73">
        <v>2030674187</v>
      </c>
      <c r="J73" t="s">
        <v>137</v>
      </c>
      <c r="M73" t="s">
        <v>118</v>
      </c>
      <c r="O73">
        <v>874230</v>
      </c>
      <c r="P73" t="s">
        <v>119</v>
      </c>
      <c r="Q73" t="s">
        <v>45</v>
      </c>
      <c r="R73" t="s">
        <v>120</v>
      </c>
      <c r="S73" s="1">
        <v>45901</v>
      </c>
      <c r="U73" t="s">
        <v>47</v>
      </c>
      <c r="X73" t="s">
        <v>121</v>
      </c>
      <c r="Y73" s="2">
        <v>219.24</v>
      </c>
      <c r="Z73" s="2">
        <v>219.24</v>
      </c>
      <c r="AA73">
        <v>3</v>
      </c>
      <c r="AB73" s="3">
        <v>0.19</v>
      </c>
      <c r="AC73" s="2">
        <v>124.97</v>
      </c>
      <c r="AD73" s="3">
        <v>0</v>
      </c>
      <c r="AE73" s="2">
        <v>0</v>
      </c>
      <c r="AF73" s="2">
        <v>124.97</v>
      </c>
      <c r="AK73" s="4">
        <v>19716650</v>
      </c>
      <c r="AL73" t="s">
        <v>49</v>
      </c>
    </row>
    <row r="74" spans="1:38" x14ac:dyDescent="0.25">
      <c r="A74" s="1">
        <v>45905</v>
      </c>
      <c r="B74" s="1">
        <v>45901</v>
      </c>
      <c r="C74" t="s">
        <v>38</v>
      </c>
      <c r="D74" t="s">
        <v>39</v>
      </c>
      <c r="E74" t="s">
        <v>40</v>
      </c>
      <c r="F74">
        <v>649163</v>
      </c>
      <c r="G74">
        <v>20411454</v>
      </c>
      <c r="H74" t="s">
        <v>41</v>
      </c>
      <c r="I74">
        <v>2030674188</v>
      </c>
      <c r="J74" t="s">
        <v>137</v>
      </c>
      <c r="M74" t="s">
        <v>118</v>
      </c>
      <c r="O74">
        <v>874230</v>
      </c>
      <c r="P74" t="s">
        <v>119</v>
      </c>
      <c r="Q74" t="s">
        <v>45</v>
      </c>
      <c r="R74" t="s">
        <v>122</v>
      </c>
      <c r="S74" s="1">
        <v>45901</v>
      </c>
      <c r="U74" t="s">
        <v>47</v>
      </c>
      <c r="X74" t="s">
        <v>121</v>
      </c>
      <c r="Y74" s="2">
        <v>15</v>
      </c>
      <c r="Z74" s="2">
        <v>15</v>
      </c>
      <c r="AA74">
        <v>3</v>
      </c>
      <c r="AB74" s="3">
        <v>0.19</v>
      </c>
      <c r="AC74" s="2">
        <v>8.5500000000000007</v>
      </c>
      <c r="AD74" s="3">
        <v>0</v>
      </c>
      <c r="AE74" s="2">
        <v>0</v>
      </c>
      <c r="AF74" s="2">
        <v>8.5500000000000007</v>
      </c>
      <c r="AK74" s="4">
        <v>19669620</v>
      </c>
      <c r="AL74" t="s">
        <v>49</v>
      </c>
    </row>
    <row r="75" spans="1:38" x14ac:dyDescent="0.25">
      <c r="A75" s="1">
        <v>45905</v>
      </c>
      <c r="B75" s="1">
        <v>45901</v>
      </c>
      <c r="C75" t="s">
        <v>38</v>
      </c>
      <c r="D75" t="s">
        <v>39</v>
      </c>
      <c r="E75" t="s">
        <v>40</v>
      </c>
      <c r="F75">
        <v>649163</v>
      </c>
      <c r="G75">
        <v>20411454</v>
      </c>
      <c r="H75" t="s">
        <v>41</v>
      </c>
      <c r="I75">
        <v>2030675165</v>
      </c>
      <c r="J75" t="s">
        <v>138</v>
      </c>
      <c r="M75" t="s">
        <v>139</v>
      </c>
      <c r="O75">
        <v>823350</v>
      </c>
      <c r="P75" t="s">
        <v>135</v>
      </c>
      <c r="Q75" t="s">
        <v>45</v>
      </c>
      <c r="R75" t="s">
        <v>53</v>
      </c>
      <c r="S75" s="1">
        <v>45901</v>
      </c>
      <c r="U75" t="s">
        <v>47</v>
      </c>
      <c r="X75" t="s">
        <v>54</v>
      </c>
      <c r="Y75" s="2">
        <v>24.15</v>
      </c>
      <c r="Z75" s="2">
        <v>24.15</v>
      </c>
      <c r="AA75">
        <v>6</v>
      </c>
      <c r="AB75" s="3">
        <v>0.7</v>
      </c>
      <c r="AC75" s="2">
        <v>101.43</v>
      </c>
      <c r="AD75" s="3">
        <v>0</v>
      </c>
      <c r="AE75" s="2">
        <v>0</v>
      </c>
      <c r="AF75" s="2">
        <v>101.43</v>
      </c>
      <c r="AK75" s="4">
        <v>19657570</v>
      </c>
      <c r="AL75" t="s">
        <v>49</v>
      </c>
    </row>
    <row r="76" spans="1:38" x14ac:dyDescent="0.25">
      <c r="A76" s="1">
        <v>45905</v>
      </c>
      <c r="B76" s="1">
        <v>45901</v>
      </c>
      <c r="C76" t="s">
        <v>38</v>
      </c>
      <c r="D76" t="s">
        <v>39</v>
      </c>
      <c r="E76" t="s">
        <v>40</v>
      </c>
      <c r="F76">
        <v>649163</v>
      </c>
      <c r="G76">
        <v>20411454</v>
      </c>
      <c r="H76" t="s">
        <v>41</v>
      </c>
      <c r="I76">
        <v>2030675166</v>
      </c>
      <c r="J76" t="s">
        <v>138</v>
      </c>
      <c r="M76" t="s">
        <v>139</v>
      </c>
      <c r="O76">
        <v>823350</v>
      </c>
      <c r="P76" t="s">
        <v>135</v>
      </c>
      <c r="Q76" t="s">
        <v>45</v>
      </c>
      <c r="R76" t="s">
        <v>77</v>
      </c>
      <c r="S76" s="1">
        <v>45901</v>
      </c>
      <c r="U76" t="s">
        <v>47</v>
      </c>
      <c r="X76" t="s">
        <v>54</v>
      </c>
      <c r="Y76" s="2">
        <v>64.16</v>
      </c>
      <c r="Z76" s="2">
        <v>64.16</v>
      </c>
      <c r="AA76">
        <v>6</v>
      </c>
      <c r="AB76" s="3">
        <v>0.375</v>
      </c>
      <c r="AC76" s="2">
        <v>144.36000000000001</v>
      </c>
      <c r="AD76" s="3">
        <v>0</v>
      </c>
      <c r="AE76" s="2">
        <v>0</v>
      </c>
      <c r="AF76" s="2">
        <v>144.36000000000001</v>
      </c>
      <c r="AK76" s="4">
        <v>19702210</v>
      </c>
      <c r="AL76" t="s">
        <v>49</v>
      </c>
    </row>
    <row r="77" spans="1:38" x14ac:dyDescent="0.25">
      <c r="A77" s="1">
        <v>45905</v>
      </c>
      <c r="B77" s="1">
        <v>45901</v>
      </c>
      <c r="C77" t="s">
        <v>38</v>
      </c>
      <c r="D77" t="s">
        <v>39</v>
      </c>
      <c r="E77" t="s">
        <v>40</v>
      </c>
      <c r="F77">
        <v>649163</v>
      </c>
      <c r="G77">
        <v>20411454</v>
      </c>
      <c r="H77" t="s">
        <v>41</v>
      </c>
      <c r="I77">
        <v>2030675167</v>
      </c>
      <c r="J77" t="s">
        <v>138</v>
      </c>
      <c r="M77" t="s">
        <v>139</v>
      </c>
      <c r="O77">
        <v>823350</v>
      </c>
      <c r="P77" t="s">
        <v>135</v>
      </c>
      <c r="Q77" t="s">
        <v>45</v>
      </c>
      <c r="R77" t="s">
        <v>140</v>
      </c>
      <c r="S77" s="1">
        <v>45901</v>
      </c>
      <c r="U77" t="s">
        <v>47</v>
      </c>
      <c r="X77" t="s">
        <v>54</v>
      </c>
      <c r="Y77" s="2">
        <v>25.65</v>
      </c>
      <c r="Z77" s="2">
        <v>25.65</v>
      </c>
      <c r="AA77">
        <v>6</v>
      </c>
      <c r="AB77" s="3">
        <v>0.75</v>
      </c>
      <c r="AC77" s="2">
        <v>115.43</v>
      </c>
      <c r="AD77" s="3">
        <v>0</v>
      </c>
      <c r="AE77" s="2">
        <v>0</v>
      </c>
      <c r="AF77" s="2">
        <v>115.43</v>
      </c>
      <c r="AK77" s="4">
        <v>19682620</v>
      </c>
      <c r="AL77" t="s">
        <v>49</v>
      </c>
    </row>
    <row r="78" spans="1:38" x14ac:dyDescent="0.25">
      <c r="A78" s="1">
        <v>45905</v>
      </c>
      <c r="B78" s="1">
        <v>45901</v>
      </c>
      <c r="C78" t="s">
        <v>38</v>
      </c>
      <c r="D78" t="s">
        <v>39</v>
      </c>
      <c r="E78" t="s">
        <v>40</v>
      </c>
      <c r="F78">
        <v>649163</v>
      </c>
      <c r="G78">
        <v>20411454</v>
      </c>
      <c r="H78" t="s">
        <v>41</v>
      </c>
      <c r="I78">
        <v>2030675270</v>
      </c>
      <c r="J78" t="s">
        <v>141</v>
      </c>
      <c r="M78" t="s">
        <v>142</v>
      </c>
      <c r="O78">
        <v>753748</v>
      </c>
      <c r="P78" t="s">
        <v>57</v>
      </c>
      <c r="Q78" t="s">
        <v>45</v>
      </c>
      <c r="R78" t="s">
        <v>143</v>
      </c>
      <c r="S78" s="1">
        <v>45901</v>
      </c>
      <c r="U78" t="s">
        <v>47</v>
      </c>
      <c r="X78" t="s">
        <v>54</v>
      </c>
      <c r="Y78" s="2">
        <v>101.63</v>
      </c>
      <c r="Z78" s="2">
        <v>101.63</v>
      </c>
      <c r="AA78">
        <v>6</v>
      </c>
      <c r="AB78" s="3">
        <v>0.9</v>
      </c>
      <c r="AC78" s="2">
        <v>548.79999999999995</v>
      </c>
      <c r="AD78" s="3">
        <v>0</v>
      </c>
      <c r="AE78" s="2">
        <v>0</v>
      </c>
      <c r="AF78" s="2">
        <v>548.79999999999995</v>
      </c>
      <c r="AK78" s="4">
        <v>19709370</v>
      </c>
      <c r="AL78" t="s">
        <v>49</v>
      </c>
    </row>
    <row r="79" spans="1:38" x14ac:dyDescent="0.25">
      <c r="A79" s="1">
        <v>45905</v>
      </c>
      <c r="B79" s="1">
        <v>45901</v>
      </c>
      <c r="C79" t="s">
        <v>38</v>
      </c>
      <c r="D79" t="s">
        <v>39</v>
      </c>
      <c r="E79" t="s">
        <v>40</v>
      </c>
      <c r="F79">
        <v>649163</v>
      </c>
      <c r="G79">
        <v>20411454</v>
      </c>
      <c r="H79" t="s">
        <v>41</v>
      </c>
      <c r="I79">
        <v>2030675271</v>
      </c>
      <c r="J79" t="s">
        <v>141</v>
      </c>
      <c r="M79" t="s">
        <v>142</v>
      </c>
      <c r="O79">
        <v>753748</v>
      </c>
      <c r="P79" t="s">
        <v>57</v>
      </c>
      <c r="Q79" t="s">
        <v>45</v>
      </c>
      <c r="R79" t="s">
        <v>68</v>
      </c>
      <c r="S79" s="1">
        <v>45901</v>
      </c>
      <c r="U79" t="s">
        <v>47</v>
      </c>
      <c r="X79" t="s">
        <v>54</v>
      </c>
      <c r="Y79" s="2">
        <v>58.93</v>
      </c>
      <c r="Z79" s="2">
        <v>58.93</v>
      </c>
      <c r="AA79">
        <v>6</v>
      </c>
      <c r="AB79" s="3">
        <v>0.75</v>
      </c>
      <c r="AC79" s="2">
        <v>265.19</v>
      </c>
      <c r="AD79" s="3">
        <v>0</v>
      </c>
      <c r="AE79" s="2">
        <v>0</v>
      </c>
      <c r="AF79" s="2">
        <v>265.19</v>
      </c>
      <c r="AK79" s="4">
        <v>19682620</v>
      </c>
      <c r="AL79" t="s">
        <v>49</v>
      </c>
    </row>
    <row r="80" spans="1:38" x14ac:dyDescent="0.25">
      <c r="A80" s="1">
        <v>45905</v>
      </c>
      <c r="B80" s="1">
        <v>45901</v>
      </c>
      <c r="C80" t="s">
        <v>38</v>
      </c>
      <c r="D80" t="s">
        <v>39</v>
      </c>
      <c r="E80" t="s">
        <v>40</v>
      </c>
      <c r="F80">
        <v>649163</v>
      </c>
      <c r="G80">
        <v>20411454</v>
      </c>
      <c r="H80" t="s">
        <v>41</v>
      </c>
      <c r="I80">
        <v>2030675272</v>
      </c>
      <c r="J80" t="s">
        <v>141</v>
      </c>
      <c r="M80" t="s">
        <v>142</v>
      </c>
      <c r="O80">
        <v>753748</v>
      </c>
      <c r="P80" t="s">
        <v>57</v>
      </c>
      <c r="Q80" t="s">
        <v>45</v>
      </c>
      <c r="R80" t="s">
        <v>53</v>
      </c>
      <c r="S80" s="1">
        <v>45901</v>
      </c>
      <c r="U80" t="s">
        <v>47</v>
      </c>
      <c r="X80" t="s">
        <v>54</v>
      </c>
      <c r="Y80" s="2">
        <v>18.57</v>
      </c>
      <c r="Z80" s="2">
        <v>18.57</v>
      </c>
      <c r="AA80">
        <v>6</v>
      </c>
      <c r="AB80" s="3">
        <v>0.7</v>
      </c>
      <c r="AC80" s="2">
        <v>77.989999999999995</v>
      </c>
      <c r="AD80" s="3">
        <v>0</v>
      </c>
      <c r="AE80" s="2">
        <v>0</v>
      </c>
      <c r="AF80" s="2">
        <v>77.989999999999995</v>
      </c>
      <c r="AK80" s="4">
        <v>19657580</v>
      </c>
      <c r="AL80" t="s">
        <v>49</v>
      </c>
    </row>
    <row r="81" spans="1:38" x14ac:dyDescent="0.25">
      <c r="A81" s="1">
        <v>45905</v>
      </c>
      <c r="B81" s="1">
        <v>45901</v>
      </c>
      <c r="C81" t="s">
        <v>38</v>
      </c>
      <c r="D81" t="s">
        <v>39</v>
      </c>
      <c r="E81" t="s">
        <v>40</v>
      </c>
      <c r="F81">
        <v>649163</v>
      </c>
      <c r="G81">
        <v>20411454</v>
      </c>
      <c r="H81" t="s">
        <v>41</v>
      </c>
      <c r="I81">
        <v>2030678332</v>
      </c>
      <c r="J81" t="s">
        <v>144</v>
      </c>
      <c r="M81" t="s">
        <v>145</v>
      </c>
      <c r="O81">
        <v>751867</v>
      </c>
      <c r="P81" t="s">
        <v>146</v>
      </c>
      <c r="Q81" t="s">
        <v>45</v>
      </c>
      <c r="R81" t="s">
        <v>80</v>
      </c>
      <c r="S81" s="1">
        <v>45895</v>
      </c>
      <c r="U81" t="s">
        <v>47</v>
      </c>
      <c r="X81" t="s">
        <v>54</v>
      </c>
      <c r="Y81" s="2">
        <v>23.07</v>
      </c>
      <c r="Z81" s="2">
        <v>23.07</v>
      </c>
      <c r="AA81">
        <v>6</v>
      </c>
      <c r="AB81" s="3">
        <v>0.38</v>
      </c>
      <c r="AC81" s="2">
        <v>52.6</v>
      </c>
      <c r="AD81" s="3">
        <v>0</v>
      </c>
      <c r="AE81" s="2">
        <v>0</v>
      </c>
      <c r="AF81" s="2">
        <v>52.6</v>
      </c>
      <c r="AK81" s="4">
        <v>19706390</v>
      </c>
      <c r="AL81" t="s">
        <v>49</v>
      </c>
    </row>
    <row r="82" spans="1:38" x14ac:dyDescent="0.25">
      <c r="A82" s="1">
        <v>45905</v>
      </c>
      <c r="B82" s="1">
        <v>45901</v>
      </c>
      <c r="C82" t="s">
        <v>38</v>
      </c>
      <c r="D82" t="s">
        <v>39</v>
      </c>
      <c r="E82" t="s">
        <v>40</v>
      </c>
      <c r="F82">
        <v>649163</v>
      </c>
      <c r="G82">
        <v>20411454</v>
      </c>
      <c r="H82" t="s">
        <v>41</v>
      </c>
      <c r="I82">
        <v>2030678333</v>
      </c>
      <c r="J82" t="s">
        <v>144</v>
      </c>
      <c r="M82" t="s">
        <v>145</v>
      </c>
      <c r="O82">
        <v>751867</v>
      </c>
      <c r="P82" t="s">
        <v>146</v>
      </c>
      <c r="Q82" t="s">
        <v>45</v>
      </c>
      <c r="R82" t="s">
        <v>81</v>
      </c>
      <c r="S82" s="1">
        <v>45895</v>
      </c>
      <c r="U82" t="s">
        <v>47</v>
      </c>
      <c r="X82" t="s">
        <v>54</v>
      </c>
      <c r="Y82" s="2">
        <v>15</v>
      </c>
      <c r="Z82" s="2">
        <v>15</v>
      </c>
      <c r="AA82">
        <v>6</v>
      </c>
      <c r="AB82" s="3">
        <v>0.38</v>
      </c>
      <c r="AC82" s="2">
        <v>34.200000000000003</v>
      </c>
      <c r="AD82" s="3">
        <v>0</v>
      </c>
      <c r="AE82" s="2">
        <v>0</v>
      </c>
      <c r="AF82" s="2">
        <v>34.200000000000003</v>
      </c>
      <c r="AK82" s="4">
        <v>19669640</v>
      </c>
      <c r="AL82" t="s">
        <v>49</v>
      </c>
    </row>
    <row r="83" spans="1:38" x14ac:dyDescent="0.25">
      <c r="A83" s="1">
        <v>45905</v>
      </c>
      <c r="B83" s="1">
        <v>45901</v>
      </c>
      <c r="C83" t="s">
        <v>38</v>
      </c>
      <c r="D83" t="s">
        <v>39</v>
      </c>
      <c r="E83" t="s">
        <v>40</v>
      </c>
      <c r="F83">
        <v>649163</v>
      </c>
      <c r="G83">
        <v>20411454</v>
      </c>
      <c r="H83" t="s">
        <v>41</v>
      </c>
      <c r="I83">
        <v>2030678352</v>
      </c>
      <c r="J83" t="s">
        <v>147</v>
      </c>
      <c r="M83" t="s">
        <v>148</v>
      </c>
      <c r="O83">
        <v>816021</v>
      </c>
      <c r="P83" t="s">
        <v>149</v>
      </c>
      <c r="Q83" t="s">
        <v>45</v>
      </c>
      <c r="R83" t="s">
        <v>77</v>
      </c>
      <c r="S83" s="1">
        <v>45901</v>
      </c>
      <c r="U83" t="s">
        <v>47</v>
      </c>
      <c r="X83" t="s">
        <v>54</v>
      </c>
      <c r="Y83" s="2">
        <v>37.51</v>
      </c>
      <c r="Z83" s="2">
        <v>37.51</v>
      </c>
      <c r="AA83">
        <v>6</v>
      </c>
      <c r="AB83" s="3">
        <v>0.375</v>
      </c>
      <c r="AC83" s="2">
        <v>84.4</v>
      </c>
      <c r="AD83" s="3">
        <v>0</v>
      </c>
      <c r="AE83" s="2">
        <v>0</v>
      </c>
      <c r="AF83" s="2">
        <v>84.4</v>
      </c>
      <c r="AK83" s="4">
        <v>19702250</v>
      </c>
      <c r="AL83" t="s">
        <v>49</v>
      </c>
    </row>
    <row r="84" spans="1:38" x14ac:dyDescent="0.25">
      <c r="A84" s="1">
        <v>45905</v>
      </c>
      <c r="B84" s="1">
        <v>45901</v>
      </c>
      <c r="C84" t="s">
        <v>38</v>
      </c>
      <c r="D84" t="s">
        <v>39</v>
      </c>
      <c r="E84" t="s">
        <v>40</v>
      </c>
      <c r="F84">
        <v>649163</v>
      </c>
      <c r="G84">
        <v>20411454</v>
      </c>
      <c r="H84" t="s">
        <v>41</v>
      </c>
      <c r="I84">
        <v>2030678353</v>
      </c>
      <c r="J84" t="s">
        <v>147</v>
      </c>
      <c r="M84" t="s">
        <v>148</v>
      </c>
      <c r="O84">
        <v>816021</v>
      </c>
      <c r="P84" t="s">
        <v>149</v>
      </c>
      <c r="Q84" t="s">
        <v>45</v>
      </c>
      <c r="R84" t="s">
        <v>80</v>
      </c>
      <c r="S84" s="1">
        <v>45901</v>
      </c>
      <c r="U84" t="s">
        <v>47</v>
      </c>
      <c r="X84" t="s">
        <v>54</v>
      </c>
      <c r="Y84" s="2">
        <v>16.91</v>
      </c>
      <c r="Z84" s="2">
        <v>16.91</v>
      </c>
      <c r="AA84">
        <v>6</v>
      </c>
      <c r="AB84" s="3">
        <v>0.38</v>
      </c>
      <c r="AC84" s="2">
        <v>38.549999999999997</v>
      </c>
      <c r="AD84" s="3">
        <v>0</v>
      </c>
      <c r="AE84" s="2">
        <v>0</v>
      </c>
      <c r="AF84" s="2">
        <v>38.549999999999997</v>
      </c>
      <c r="AK84" s="4">
        <v>19706390</v>
      </c>
      <c r="AL84" t="s">
        <v>49</v>
      </c>
    </row>
    <row r="85" spans="1:38" x14ac:dyDescent="0.25">
      <c r="A85" s="1">
        <v>45905</v>
      </c>
      <c r="B85" s="1">
        <v>45901</v>
      </c>
      <c r="C85" t="s">
        <v>38</v>
      </c>
      <c r="D85" t="s">
        <v>39</v>
      </c>
      <c r="E85" t="s">
        <v>40</v>
      </c>
      <c r="F85">
        <v>649163</v>
      </c>
      <c r="G85">
        <v>20411454</v>
      </c>
      <c r="H85" t="s">
        <v>41</v>
      </c>
      <c r="I85">
        <v>2030678354</v>
      </c>
      <c r="J85" t="s">
        <v>147</v>
      </c>
      <c r="M85" t="s">
        <v>148</v>
      </c>
      <c r="O85">
        <v>816021</v>
      </c>
      <c r="P85" t="s">
        <v>149</v>
      </c>
      <c r="Q85" t="s">
        <v>45</v>
      </c>
      <c r="R85" t="s">
        <v>53</v>
      </c>
      <c r="S85" s="1">
        <v>45901</v>
      </c>
      <c r="U85" t="s">
        <v>47</v>
      </c>
      <c r="X85" t="s">
        <v>54</v>
      </c>
      <c r="Y85" s="2">
        <v>9.1</v>
      </c>
      <c r="Z85" s="2">
        <v>9.1</v>
      </c>
      <c r="AA85">
        <v>6</v>
      </c>
      <c r="AB85" s="3">
        <v>0.7</v>
      </c>
      <c r="AC85" s="2">
        <v>38.22</v>
      </c>
      <c r="AD85" s="3">
        <v>0</v>
      </c>
      <c r="AE85" s="2">
        <v>0</v>
      </c>
      <c r="AF85" s="2">
        <v>38.22</v>
      </c>
      <c r="AK85" s="4">
        <v>19657610</v>
      </c>
      <c r="AL85" t="s">
        <v>49</v>
      </c>
    </row>
    <row r="86" spans="1:38" x14ac:dyDescent="0.25">
      <c r="A86" s="1">
        <v>45905</v>
      </c>
      <c r="B86" s="1">
        <v>45901</v>
      </c>
      <c r="C86" t="s">
        <v>38</v>
      </c>
      <c r="D86" t="s">
        <v>39</v>
      </c>
      <c r="E86" t="s">
        <v>40</v>
      </c>
      <c r="F86">
        <v>649163</v>
      </c>
      <c r="G86">
        <v>20411454</v>
      </c>
      <c r="H86" t="s">
        <v>41</v>
      </c>
      <c r="I86">
        <v>2030678355</v>
      </c>
      <c r="J86" t="s">
        <v>147</v>
      </c>
      <c r="M86" t="s">
        <v>148</v>
      </c>
      <c r="O86">
        <v>816021</v>
      </c>
      <c r="P86" t="s">
        <v>149</v>
      </c>
      <c r="Q86" t="s">
        <v>45</v>
      </c>
      <c r="R86" t="s">
        <v>74</v>
      </c>
      <c r="S86" s="1">
        <v>45901</v>
      </c>
      <c r="U86" t="s">
        <v>47</v>
      </c>
      <c r="X86" t="s">
        <v>54</v>
      </c>
      <c r="Y86" s="2">
        <v>24.59</v>
      </c>
      <c r="Z86" s="2">
        <v>24.59</v>
      </c>
      <c r="AA86">
        <v>6</v>
      </c>
      <c r="AB86" s="3">
        <v>0.9</v>
      </c>
      <c r="AC86" s="2">
        <v>132.79</v>
      </c>
      <c r="AD86" s="3">
        <v>0</v>
      </c>
      <c r="AE86" s="2">
        <v>0</v>
      </c>
      <c r="AF86" s="2">
        <v>132.79</v>
      </c>
      <c r="AK86" s="4">
        <v>19682640</v>
      </c>
      <c r="AL86" t="s">
        <v>49</v>
      </c>
    </row>
    <row r="87" spans="1:38" x14ac:dyDescent="0.25">
      <c r="A87" s="1">
        <v>45905</v>
      </c>
      <c r="B87" s="1">
        <v>45901</v>
      </c>
      <c r="C87" t="s">
        <v>38</v>
      </c>
      <c r="D87" t="s">
        <v>39</v>
      </c>
      <c r="E87" t="s">
        <v>40</v>
      </c>
      <c r="F87">
        <v>649163</v>
      </c>
      <c r="G87">
        <v>20411454</v>
      </c>
      <c r="H87" t="s">
        <v>41</v>
      </c>
      <c r="I87">
        <v>2030678848</v>
      </c>
      <c r="J87" t="s">
        <v>150</v>
      </c>
      <c r="M87" t="s">
        <v>72</v>
      </c>
      <c r="O87">
        <v>861933</v>
      </c>
      <c r="P87" t="s">
        <v>151</v>
      </c>
      <c r="Q87" t="s">
        <v>45</v>
      </c>
      <c r="R87" t="s">
        <v>99</v>
      </c>
      <c r="S87" s="1">
        <v>45901</v>
      </c>
      <c r="U87" t="s">
        <v>47</v>
      </c>
      <c r="X87" t="s">
        <v>54</v>
      </c>
      <c r="Y87" s="2">
        <v>27.8</v>
      </c>
      <c r="Z87" s="2">
        <v>27.8</v>
      </c>
      <c r="AA87">
        <v>6</v>
      </c>
      <c r="AB87" s="3">
        <v>0.42</v>
      </c>
      <c r="AC87" s="2">
        <v>70.06</v>
      </c>
      <c r="AD87" s="3">
        <v>0</v>
      </c>
      <c r="AE87" s="2">
        <v>0</v>
      </c>
      <c r="AF87" s="2">
        <v>70.06</v>
      </c>
      <c r="AK87" s="4">
        <v>19702250</v>
      </c>
      <c r="AL87" t="s">
        <v>49</v>
      </c>
    </row>
    <row r="88" spans="1:38" x14ac:dyDescent="0.25">
      <c r="A88" s="1">
        <v>45905</v>
      </c>
      <c r="B88" s="1">
        <v>45901</v>
      </c>
      <c r="C88" t="s">
        <v>38</v>
      </c>
      <c r="D88" t="s">
        <v>39</v>
      </c>
      <c r="E88" t="s">
        <v>40</v>
      </c>
      <c r="F88">
        <v>649163</v>
      </c>
      <c r="G88">
        <v>20411454</v>
      </c>
      <c r="H88" t="s">
        <v>41</v>
      </c>
      <c r="I88">
        <v>2030678849</v>
      </c>
      <c r="J88" t="s">
        <v>150</v>
      </c>
      <c r="M88" t="s">
        <v>72</v>
      </c>
      <c r="O88">
        <v>861933</v>
      </c>
      <c r="P88" t="s">
        <v>151</v>
      </c>
      <c r="Q88" t="s">
        <v>45</v>
      </c>
      <c r="R88" t="s">
        <v>74</v>
      </c>
      <c r="S88" s="1">
        <v>45901</v>
      </c>
      <c r="U88" t="s">
        <v>47</v>
      </c>
      <c r="X88" t="s">
        <v>54</v>
      </c>
      <c r="Y88" s="2">
        <v>44.13</v>
      </c>
      <c r="Z88" s="2">
        <v>44.13</v>
      </c>
      <c r="AA88">
        <v>6</v>
      </c>
      <c r="AB88" s="3">
        <v>0.9</v>
      </c>
      <c r="AC88" s="2">
        <v>238.3</v>
      </c>
      <c r="AD88" s="3">
        <v>0</v>
      </c>
      <c r="AE88" s="2">
        <v>0</v>
      </c>
      <c r="AF88" s="2">
        <v>238.3</v>
      </c>
      <c r="AK88" s="4">
        <v>19682640</v>
      </c>
      <c r="AL88" t="s">
        <v>49</v>
      </c>
    </row>
    <row r="89" spans="1:38" x14ac:dyDescent="0.25">
      <c r="A89" s="1">
        <v>45905</v>
      </c>
      <c r="B89" s="1">
        <v>45901</v>
      </c>
      <c r="C89" t="s">
        <v>38</v>
      </c>
      <c r="D89" t="s">
        <v>39</v>
      </c>
      <c r="E89" t="s">
        <v>40</v>
      </c>
      <c r="F89">
        <v>649163</v>
      </c>
      <c r="G89">
        <v>20411454</v>
      </c>
      <c r="H89" t="s">
        <v>41</v>
      </c>
      <c r="I89">
        <v>2030678850</v>
      </c>
      <c r="J89" t="s">
        <v>150</v>
      </c>
      <c r="M89" t="s">
        <v>72</v>
      </c>
      <c r="O89">
        <v>861933</v>
      </c>
      <c r="P89" t="s">
        <v>151</v>
      </c>
      <c r="Q89" t="s">
        <v>45</v>
      </c>
      <c r="R89" t="s">
        <v>116</v>
      </c>
      <c r="S89" s="1">
        <v>45901</v>
      </c>
      <c r="U89" t="s">
        <v>47</v>
      </c>
      <c r="X89" t="s">
        <v>54</v>
      </c>
      <c r="Y89" s="2">
        <v>24.61</v>
      </c>
      <c r="Z89" s="2">
        <v>24.61</v>
      </c>
      <c r="AA89">
        <v>6</v>
      </c>
      <c r="AB89" s="3">
        <v>0.7</v>
      </c>
      <c r="AC89" s="2">
        <v>103.36</v>
      </c>
      <c r="AD89" s="3">
        <v>0</v>
      </c>
      <c r="AE89" s="2">
        <v>0</v>
      </c>
      <c r="AF89" s="2">
        <v>103.36</v>
      </c>
      <c r="AK89" s="4">
        <v>19634060</v>
      </c>
      <c r="AL89" t="s">
        <v>49</v>
      </c>
    </row>
    <row r="90" spans="1:38" x14ac:dyDescent="0.25">
      <c r="A90" s="1">
        <v>45905</v>
      </c>
      <c r="B90" s="1">
        <v>45901</v>
      </c>
      <c r="C90" t="s">
        <v>38</v>
      </c>
      <c r="D90" t="s">
        <v>39</v>
      </c>
      <c r="E90" t="s">
        <v>40</v>
      </c>
      <c r="F90">
        <v>649163</v>
      </c>
      <c r="G90">
        <v>20411454</v>
      </c>
      <c r="H90" t="s">
        <v>41</v>
      </c>
      <c r="I90">
        <v>2030682190</v>
      </c>
      <c r="J90" t="s">
        <v>152</v>
      </c>
      <c r="M90" t="s">
        <v>62</v>
      </c>
      <c r="O90">
        <v>814033</v>
      </c>
      <c r="P90" t="s">
        <v>113</v>
      </c>
      <c r="Q90" t="s">
        <v>45</v>
      </c>
      <c r="R90" t="s">
        <v>99</v>
      </c>
      <c r="S90" s="1">
        <v>45901</v>
      </c>
      <c r="U90" t="s">
        <v>47</v>
      </c>
      <c r="X90" t="s">
        <v>54</v>
      </c>
      <c r="Y90" s="2">
        <v>40.54</v>
      </c>
      <c r="Z90" s="2">
        <v>40.54</v>
      </c>
      <c r="AA90">
        <v>6</v>
      </c>
      <c r="AB90" s="3">
        <v>0.42</v>
      </c>
      <c r="AC90" s="2">
        <v>102.16</v>
      </c>
      <c r="AD90" s="3">
        <v>0</v>
      </c>
      <c r="AE90" s="2">
        <v>0</v>
      </c>
      <c r="AF90" s="2">
        <v>102.16</v>
      </c>
      <c r="AK90" s="4">
        <v>19702290</v>
      </c>
      <c r="AL90" t="s">
        <v>49</v>
      </c>
    </row>
    <row r="91" spans="1:38" x14ac:dyDescent="0.25">
      <c r="A91" s="1">
        <v>45905</v>
      </c>
      <c r="B91" s="1">
        <v>45901</v>
      </c>
      <c r="C91" t="s">
        <v>38</v>
      </c>
      <c r="D91" t="s">
        <v>39</v>
      </c>
      <c r="E91" t="s">
        <v>40</v>
      </c>
      <c r="F91">
        <v>649163</v>
      </c>
      <c r="G91">
        <v>20411454</v>
      </c>
      <c r="H91" t="s">
        <v>41</v>
      </c>
      <c r="I91">
        <v>2030682191</v>
      </c>
      <c r="J91" t="s">
        <v>152</v>
      </c>
      <c r="M91" t="s">
        <v>62</v>
      </c>
      <c r="O91">
        <v>814033</v>
      </c>
      <c r="P91" t="s">
        <v>113</v>
      </c>
      <c r="Q91" t="s">
        <v>45</v>
      </c>
      <c r="R91" t="s">
        <v>53</v>
      </c>
      <c r="S91" s="1">
        <v>45901</v>
      </c>
      <c r="U91" t="s">
        <v>47</v>
      </c>
      <c r="X91" t="s">
        <v>54</v>
      </c>
      <c r="Y91" s="2">
        <v>40.74</v>
      </c>
      <c r="Z91" s="2">
        <v>40.74</v>
      </c>
      <c r="AA91">
        <v>6</v>
      </c>
      <c r="AB91" s="3">
        <v>0.7</v>
      </c>
      <c r="AC91" s="2">
        <v>171.11</v>
      </c>
      <c r="AD91" s="3">
        <v>0</v>
      </c>
      <c r="AE91" s="2">
        <v>0</v>
      </c>
      <c r="AF91" s="2">
        <v>171.11</v>
      </c>
      <c r="AK91" s="4">
        <v>19657640</v>
      </c>
      <c r="AL91" t="s">
        <v>49</v>
      </c>
    </row>
    <row r="92" spans="1:38" x14ac:dyDescent="0.25">
      <c r="A92" s="1">
        <v>45905</v>
      </c>
      <c r="B92" s="1">
        <v>45901</v>
      </c>
      <c r="C92" t="s">
        <v>38</v>
      </c>
      <c r="D92" t="s">
        <v>39</v>
      </c>
      <c r="E92" t="s">
        <v>40</v>
      </c>
      <c r="F92">
        <v>649163</v>
      </c>
      <c r="G92">
        <v>20411454</v>
      </c>
      <c r="H92" t="s">
        <v>41</v>
      </c>
      <c r="I92">
        <v>2030683642</v>
      </c>
      <c r="J92" t="s">
        <v>153</v>
      </c>
      <c r="M92" t="s">
        <v>96</v>
      </c>
      <c r="O92">
        <v>753748</v>
      </c>
      <c r="P92" t="s">
        <v>57</v>
      </c>
      <c r="Q92" t="s">
        <v>45</v>
      </c>
      <c r="R92" t="s">
        <v>53</v>
      </c>
      <c r="S92" s="1">
        <v>45901</v>
      </c>
      <c r="U92" t="s">
        <v>47</v>
      </c>
      <c r="X92" t="s">
        <v>54</v>
      </c>
      <c r="Y92" s="2">
        <v>100.95</v>
      </c>
      <c r="Z92" s="2">
        <v>100.95</v>
      </c>
      <c r="AA92">
        <v>6</v>
      </c>
      <c r="AB92" s="3">
        <v>0.7</v>
      </c>
      <c r="AC92" s="2">
        <v>423.99</v>
      </c>
      <c r="AD92" s="3">
        <v>0</v>
      </c>
      <c r="AE92" s="2">
        <v>0</v>
      </c>
      <c r="AF92" s="2">
        <v>423.99</v>
      </c>
      <c r="AK92" s="4">
        <v>19657660</v>
      </c>
      <c r="AL92" t="s">
        <v>49</v>
      </c>
    </row>
    <row r="93" spans="1:38" x14ac:dyDescent="0.25">
      <c r="A93" s="1">
        <v>45905</v>
      </c>
      <c r="B93" s="1">
        <v>45901</v>
      </c>
      <c r="C93" t="s">
        <v>38</v>
      </c>
      <c r="D93" t="s">
        <v>39</v>
      </c>
      <c r="E93" t="s">
        <v>40</v>
      </c>
      <c r="F93">
        <v>649163</v>
      </c>
      <c r="G93">
        <v>20411454</v>
      </c>
      <c r="H93" t="s">
        <v>41</v>
      </c>
      <c r="I93">
        <v>2030683735</v>
      </c>
      <c r="J93" t="s">
        <v>154</v>
      </c>
      <c r="M93" t="s">
        <v>155</v>
      </c>
      <c r="O93">
        <v>821015</v>
      </c>
      <c r="P93" t="s">
        <v>127</v>
      </c>
      <c r="Q93" t="s">
        <v>45</v>
      </c>
      <c r="R93" t="s">
        <v>77</v>
      </c>
      <c r="S93" s="1">
        <v>45901</v>
      </c>
      <c r="U93" t="s">
        <v>47</v>
      </c>
      <c r="X93" t="s">
        <v>54</v>
      </c>
      <c r="Y93" s="2">
        <v>130.9</v>
      </c>
      <c r="Z93" s="2">
        <v>130.9</v>
      </c>
      <c r="AA93">
        <v>6</v>
      </c>
      <c r="AB93" s="3">
        <v>0.375</v>
      </c>
      <c r="AC93" s="2">
        <v>294.52999999999997</v>
      </c>
      <c r="AD93" s="3">
        <v>0</v>
      </c>
      <c r="AE93" s="2">
        <v>0</v>
      </c>
      <c r="AF93" s="2">
        <v>294.52999999999997</v>
      </c>
      <c r="AK93" s="4">
        <v>19702300</v>
      </c>
      <c r="AL93" t="s">
        <v>49</v>
      </c>
    </row>
    <row r="94" spans="1:38" x14ac:dyDescent="0.25">
      <c r="A94" s="1">
        <v>45905</v>
      </c>
      <c r="B94" s="1">
        <v>45901</v>
      </c>
      <c r="C94" t="s">
        <v>38</v>
      </c>
      <c r="D94" t="s">
        <v>39</v>
      </c>
      <c r="E94" t="s">
        <v>40</v>
      </c>
      <c r="F94">
        <v>649163</v>
      </c>
      <c r="G94">
        <v>20411454</v>
      </c>
      <c r="H94" t="s">
        <v>41</v>
      </c>
      <c r="I94">
        <v>2030683736</v>
      </c>
      <c r="J94" t="s">
        <v>154</v>
      </c>
      <c r="M94" t="s">
        <v>155</v>
      </c>
      <c r="O94">
        <v>821015</v>
      </c>
      <c r="P94" t="s">
        <v>127</v>
      </c>
      <c r="Q94" t="s">
        <v>45</v>
      </c>
      <c r="R94" t="s">
        <v>143</v>
      </c>
      <c r="S94" s="1">
        <v>45901</v>
      </c>
      <c r="U94" t="s">
        <v>47</v>
      </c>
      <c r="X94" t="s">
        <v>54</v>
      </c>
      <c r="Y94" s="2">
        <v>26.92</v>
      </c>
      <c r="Z94" s="2">
        <v>26.92</v>
      </c>
      <c r="AA94">
        <v>6</v>
      </c>
      <c r="AB94" s="3">
        <v>0.9</v>
      </c>
      <c r="AC94" s="2">
        <v>145.37</v>
      </c>
      <c r="AD94" s="3">
        <v>0</v>
      </c>
      <c r="AE94" s="2">
        <v>0</v>
      </c>
      <c r="AF94" s="2">
        <v>145.37</v>
      </c>
      <c r="AK94" s="4">
        <v>19709390</v>
      </c>
      <c r="AL94" t="s">
        <v>49</v>
      </c>
    </row>
    <row r="95" spans="1:38" x14ac:dyDescent="0.25">
      <c r="A95" s="1">
        <v>45905</v>
      </c>
      <c r="B95" s="1">
        <v>45901</v>
      </c>
      <c r="C95" t="s">
        <v>38</v>
      </c>
      <c r="D95" t="s">
        <v>39</v>
      </c>
      <c r="E95" t="s">
        <v>40</v>
      </c>
      <c r="F95">
        <v>649163</v>
      </c>
      <c r="G95">
        <v>20411454</v>
      </c>
      <c r="H95" t="s">
        <v>41</v>
      </c>
      <c r="I95">
        <v>2030684987</v>
      </c>
      <c r="J95" t="s">
        <v>156</v>
      </c>
      <c r="M95" t="s">
        <v>56</v>
      </c>
      <c r="O95">
        <v>753748</v>
      </c>
      <c r="P95" t="s">
        <v>57</v>
      </c>
      <c r="Q95" t="s">
        <v>45</v>
      </c>
      <c r="R95" t="s">
        <v>74</v>
      </c>
      <c r="S95" s="1">
        <v>45901</v>
      </c>
      <c r="U95" t="s">
        <v>47</v>
      </c>
      <c r="X95" t="s">
        <v>54</v>
      </c>
      <c r="Y95" s="2">
        <v>122.75</v>
      </c>
      <c r="Z95" s="2">
        <v>122.75</v>
      </c>
      <c r="AA95">
        <v>6</v>
      </c>
      <c r="AB95" s="3">
        <v>0.9</v>
      </c>
      <c r="AC95" s="2">
        <v>662.85</v>
      </c>
      <c r="AD95" s="3">
        <v>0</v>
      </c>
      <c r="AE95" s="2">
        <v>0</v>
      </c>
      <c r="AF95" s="2">
        <v>662.85</v>
      </c>
      <c r="AK95" s="4">
        <v>19682650</v>
      </c>
      <c r="AL95" t="s">
        <v>49</v>
      </c>
    </row>
    <row r="96" spans="1:38" x14ac:dyDescent="0.25">
      <c r="A96" s="1">
        <v>45905</v>
      </c>
      <c r="B96" s="1">
        <v>45901</v>
      </c>
      <c r="C96" t="s">
        <v>38</v>
      </c>
      <c r="D96" t="s">
        <v>39</v>
      </c>
      <c r="E96" t="s">
        <v>40</v>
      </c>
      <c r="F96">
        <v>649163</v>
      </c>
      <c r="G96">
        <v>20411454</v>
      </c>
      <c r="H96" t="s">
        <v>41</v>
      </c>
      <c r="I96">
        <v>2030686023</v>
      </c>
      <c r="J96" t="s">
        <v>157</v>
      </c>
      <c r="M96" t="s">
        <v>148</v>
      </c>
      <c r="O96">
        <v>816021</v>
      </c>
      <c r="P96" t="s">
        <v>149</v>
      </c>
      <c r="Q96" t="s">
        <v>45</v>
      </c>
      <c r="R96" t="s">
        <v>80</v>
      </c>
      <c r="S96" s="1">
        <v>45901</v>
      </c>
      <c r="U96" t="s">
        <v>47</v>
      </c>
      <c r="X96" t="s">
        <v>54</v>
      </c>
      <c r="Y96" s="2">
        <v>17.079999999999998</v>
      </c>
      <c r="Z96" s="2">
        <v>17.079999999999998</v>
      </c>
      <c r="AA96">
        <v>6</v>
      </c>
      <c r="AB96" s="3">
        <v>0.38</v>
      </c>
      <c r="AC96" s="2">
        <v>38.94</v>
      </c>
      <c r="AD96" s="3">
        <v>0</v>
      </c>
      <c r="AE96" s="2">
        <v>0</v>
      </c>
      <c r="AF96" s="2">
        <v>38.94</v>
      </c>
      <c r="AK96" s="4">
        <v>19706400</v>
      </c>
      <c r="AL96" t="s">
        <v>49</v>
      </c>
    </row>
    <row r="97" spans="1:38" x14ac:dyDescent="0.25">
      <c r="A97" s="1">
        <v>45905</v>
      </c>
      <c r="B97" s="1">
        <v>45901</v>
      </c>
      <c r="C97" t="s">
        <v>38</v>
      </c>
      <c r="D97" t="s">
        <v>39</v>
      </c>
      <c r="E97" t="s">
        <v>40</v>
      </c>
      <c r="F97">
        <v>649163</v>
      </c>
      <c r="G97">
        <v>20411454</v>
      </c>
      <c r="H97" t="s">
        <v>41</v>
      </c>
      <c r="I97">
        <v>2030686024</v>
      </c>
      <c r="J97" t="s">
        <v>157</v>
      </c>
      <c r="M97" t="s">
        <v>148</v>
      </c>
      <c r="O97">
        <v>816021</v>
      </c>
      <c r="P97" t="s">
        <v>149</v>
      </c>
      <c r="Q97" t="s">
        <v>45</v>
      </c>
      <c r="R97" t="s">
        <v>77</v>
      </c>
      <c r="S97" s="1">
        <v>45901</v>
      </c>
      <c r="U97" t="s">
        <v>47</v>
      </c>
      <c r="X97" t="s">
        <v>54</v>
      </c>
      <c r="Y97" s="2">
        <v>39.590000000000003</v>
      </c>
      <c r="Z97" s="2">
        <v>39.590000000000003</v>
      </c>
      <c r="AA97">
        <v>6</v>
      </c>
      <c r="AB97" s="3">
        <v>0.375</v>
      </c>
      <c r="AC97" s="2">
        <v>89.08</v>
      </c>
      <c r="AD97" s="3">
        <v>0</v>
      </c>
      <c r="AE97" s="2">
        <v>0</v>
      </c>
      <c r="AF97" s="2">
        <v>89.08</v>
      </c>
      <c r="AK97" s="4">
        <v>19702310</v>
      </c>
      <c r="AL97" t="s">
        <v>49</v>
      </c>
    </row>
    <row r="98" spans="1:38" x14ac:dyDescent="0.25">
      <c r="A98" s="1">
        <v>45905</v>
      </c>
      <c r="B98" s="1">
        <v>45901</v>
      </c>
      <c r="C98" t="s">
        <v>38</v>
      </c>
      <c r="D98" t="s">
        <v>39</v>
      </c>
      <c r="E98" t="s">
        <v>40</v>
      </c>
      <c r="F98">
        <v>649163</v>
      </c>
      <c r="G98">
        <v>20411454</v>
      </c>
      <c r="H98" t="s">
        <v>41</v>
      </c>
      <c r="I98">
        <v>2030686025</v>
      </c>
      <c r="J98" t="s">
        <v>157</v>
      </c>
      <c r="M98" t="s">
        <v>148</v>
      </c>
      <c r="O98">
        <v>816021</v>
      </c>
      <c r="P98" t="s">
        <v>149</v>
      </c>
      <c r="Q98" t="s">
        <v>45</v>
      </c>
      <c r="R98" t="s">
        <v>53</v>
      </c>
      <c r="S98" s="1">
        <v>45901</v>
      </c>
      <c r="U98" t="s">
        <v>47</v>
      </c>
      <c r="X98" t="s">
        <v>54</v>
      </c>
      <c r="Y98" s="2">
        <v>9.1</v>
      </c>
      <c r="Z98" s="2">
        <v>9.1</v>
      </c>
      <c r="AA98">
        <v>6</v>
      </c>
      <c r="AB98" s="3">
        <v>0.7</v>
      </c>
      <c r="AC98" s="2">
        <v>38.22</v>
      </c>
      <c r="AD98" s="3">
        <v>0</v>
      </c>
      <c r="AE98" s="2">
        <v>0</v>
      </c>
      <c r="AF98" s="2">
        <v>38.22</v>
      </c>
      <c r="AK98" s="4">
        <v>19657680</v>
      </c>
      <c r="AL98" t="s">
        <v>49</v>
      </c>
    </row>
    <row r="99" spans="1:38" x14ac:dyDescent="0.25">
      <c r="A99" s="1">
        <v>45905</v>
      </c>
      <c r="B99" s="1">
        <v>45901</v>
      </c>
      <c r="C99" t="s">
        <v>38</v>
      </c>
      <c r="D99" t="s">
        <v>39</v>
      </c>
      <c r="E99" t="s">
        <v>40</v>
      </c>
      <c r="F99">
        <v>649163</v>
      </c>
      <c r="G99">
        <v>20411454</v>
      </c>
      <c r="H99" t="s">
        <v>41</v>
      </c>
      <c r="I99">
        <v>2030686026</v>
      </c>
      <c r="J99" t="s">
        <v>157</v>
      </c>
      <c r="M99" t="s">
        <v>148</v>
      </c>
      <c r="O99">
        <v>816021</v>
      </c>
      <c r="P99" t="s">
        <v>149</v>
      </c>
      <c r="Q99" t="s">
        <v>45</v>
      </c>
      <c r="R99" t="s">
        <v>74</v>
      </c>
      <c r="S99" s="1">
        <v>45901</v>
      </c>
      <c r="U99" t="s">
        <v>47</v>
      </c>
      <c r="X99" t="s">
        <v>54</v>
      </c>
      <c r="Y99" s="2">
        <v>39.17</v>
      </c>
      <c r="Z99" s="2">
        <v>39.17</v>
      </c>
      <c r="AA99">
        <v>6</v>
      </c>
      <c r="AB99" s="3">
        <v>0.9</v>
      </c>
      <c r="AC99" s="2">
        <v>211.52</v>
      </c>
      <c r="AD99" s="3">
        <v>0</v>
      </c>
      <c r="AE99" s="2">
        <v>0</v>
      </c>
      <c r="AF99" s="2">
        <v>211.52</v>
      </c>
      <c r="AK99" s="4">
        <v>19682660</v>
      </c>
      <c r="AL99" t="s">
        <v>49</v>
      </c>
    </row>
    <row r="100" spans="1:38" x14ac:dyDescent="0.25">
      <c r="A100" s="1">
        <v>45905</v>
      </c>
      <c r="B100" s="1">
        <v>45901</v>
      </c>
      <c r="C100" t="s">
        <v>38</v>
      </c>
      <c r="D100" t="s">
        <v>39</v>
      </c>
      <c r="E100" t="s">
        <v>40</v>
      </c>
      <c r="F100">
        <v>649163</v>
      </c>
      <c r="G100">
        <v>20411454</v>
      </c>
      <c r="H100" t="s">
        <v>41</v>
      </c>
      <c r="I100">
        <v>2030686939</v>
      </c>
      <c r="J100" t="s">
        <v>158</v>
      </c>
      <c r="M100" t="s">
        <v>148</v>
      </c>
      <c r="O100">
        <v>816021</v>
      </c>
      <c r="P100" t="s">
        <v>149</v>
      </c>
      <c r="Q100" t="s">
        <v>45</v>
      </c>
      <c r="R100" t="s">
        <v>74</v>
      </c>
      <c r="S100" s="1">
        <v>45901</v>
      </c>
      <c r="U100" t="s">
        <v>47</v>
      </c>
      <c r="X100" t="s">
        <v>54</v>
      </c>
      <c r="Y100" s="2">
        <v>31.5</v>
      </c>
      <c r="Z100" s="2">
        <v>31.5</v>
      </c>
      <c r="AA100">
        <v>6</v>
      </c>
      <c r="AB100" s="3">
        <v>0.9</v>
      </c>
      <c r="AC100" s="2">
        <v>170.1</v>
      </c>
      <c r="AD100" s="3">
        <v>0</v>
      </c>
      <c r="AE100" s="2">
        <v>0</v>
      </c>
      <c r="AF100" s="2">
        <v>170.1</v>
      </c>
      <c r="AK100" s="4">
        <v>19682660</v>
      </c>
      <c r="AL100" t="s">
        <v>49</v>
      </c>
    </row>
    <row r="101" spans="1:38" x14ac:dyDescent="0.25">
      <c r="A101" s="1">
        <v>45905</v>
      </c>
      <c r="B101" s="1">
        <v>45901</v>
      </c>
      <c r="C101" t="s">
        <v>38</v>
      </c>
      <c r="D101" t="s">
        <v>39</v>
      </c>
      <c r="E101" t="s">
        <v>40</v>
      </c>
      <c r="F101">
        <v>649163</v>
      </c>
      <c r="G101">
        <v>20411454</v>
      </c>
      <c r="H101" t="s">
        <v>41</v>
      </c>
      <c r="I101">
        <v>2030686940</v>
      </c>
      <c r="J101" t="s">
        <v>158</v>
      </c>
      <c r="M101" t="s">
        <v>148</v>
      </c>
      <c r="O101">
        <v>816021</v>
      </c>
      <c r="P101" t="s">
        <v>149</v>
      </c>
      <c r="Q101" t="s">
        <v>45</v>
      </c>
      <c r="R101" t="s">
        <v>80</v>
      </c>
      <c r="S101" s="1">
        <v>45901</v>
      </c>
      <c r="U101" t="s">
        <v>47</v>
      </c>
      <c r="X101" t="s">
        <v>54</v>
      </c>
      <c r="Y101" s="2">
        <v>23.69</v>
      </c>
      <c r="Z101" s="2">
        <v>23.69</v>
      </c>
      <c r="AA101">
        <v>6</v>
      </c>
      <c r="AB101" s="3">
        <v>0.38</v>
      </c>
      <c r="AC101" s="2">
        <v>54.01</v>
      </c>
      <c r="AD101" s="3">
        <v>0</v>
      </c>
      <c r="AE101" s="2">
        <v>0</v>
      </c>
      <c r="AF101" s="2">
        <v>54.01</v>
      </c>
      <c r="AK101" s="4">
        <v>19706400</v>
      </c>
      <c r="AL101" t="s">
        <v>49</v>
      </c>
    </row>
    <row r="102" spans="1:38" x14ac:dyDescent="0.25">
      <c r="A102" s="1">
        <v>45905</v>
      </c>
      <c r="B102" s="1">
        <v>45901</v>
      </c>
      <c r="C102" t="s">
        <v>38</v>
      </c>
      <c r="D102" t="s">
        <v>39</v>
      </c>
      <c r="E102" t="s">
        <v>40</v>
      </c>
      <c r="F102">
        <v>649163</v>
      </c>
      <c r="G102">
        <v>20411454</v>
      </c>
      <c r="H102" t="s">
        <v>41</v>
      </c>
      <c r="I102">
        <v>2030686941</v>
      </c>
      <c r="J102" t="s">
        <v>158</v>
      </c>
      <c r="M102" t="s">
        <v>148</v>
      </c>
      <c r="O102">
        <v>816021</v>
      </c>
      <c r="P102" t="s">
        <v>149</v>
      </c>
      <c r="Q102" t="s">
        <v>45</v>
      </c>
      <c r="R102" t="s">
        <v>53</v>
      </c>
      <c r="S102" s="1">
        <v>45901</v>
      </c>
      <c r="U102" t="s">
        <v>47</v>
      </c>
      <c r="X102" t="s">
        <v>54</v>
      </c>
      <c r="Y102" s="2">
        <v>9.6999999999999993</v>
      </c>
      <c r="Z102" s="2">
        <v>9.6999999999999993</v>
      </c>
      <c r="AA102">
        <v>6</v>
      </c>
      <c r="AB102" s="3">
        <v>0.7</v>
      </c>
      <c r="AC102" s="2">
        <v>40.74</v>
      </c>
      <c r="AD102" s="3">
        <v>0</v>
      </c>
      <c r="AE102" s="2">
        <v>0</v>
      </c>
      <c r="AF102" s="2">
        <v>40.74</v>
      </c>
      <c r="AK102" s="4">
        <v>19657690</v>
      </c>
      <c r="AL102" t="s">
        <v>49</v>
      </c>
    </row>
    <row r="103" spans="1:38" x14ac:dyDescent="0.25">
      <c r="A103" s="1">
        <v>45905</v>
      </c>
      <c r="B103" s="1">
        <v>45901</v>
      </c>
      <c r="C103" t="s">
        <v>38</v>
      </c>
      <c r="D103" t="s">
        <v>39</v>
      </c>
      <c r="E103" t="s">
        <v>40</v>
      </c>
      <c r="F103">
        <v>649163</v>
      </c>
      <c r="G103">
        <v>20411454</v>
      </c>
      <c r="H103" t="s">
        <v>41</v>
      </c>
      <c r="I103">
        <v>2030686942</v>
      </c>
      <c r="J103" t="s">
        <v>158</v>
      </c>
      <c r="M103" t="s">
        <v>148</v>
      </c>
      <c r="O103">
        <v>816021</v>
      </c>
      <c r="P103" t="s">
        <v>149</v>
      </c>
      <c r="Q103" t="s">
        <v>45</v>
      </c>
      <c r="R103" t="s">
        <v>77</v>
      </c>
      <c r="S103" s="1">
        <v>45901</v>
      </c>
      <c r="U103" t="s">
        <v>47</v>
      </c>
      <c r="X103" t="s">
        <v>54</v>
      </c>
      <c r="Y103" s="2">
        <v>63.62</v>
      </c>
      <c r="Z103" s="2">
        <v>63.62</v>
      </c>
      <c r="AA103">
        <v>6</v>
      </c>
      <c r="AB103" s="3">
        <v>0.375</v>
      </c>
      <c r="AC103" s="2">
        <v>143.15</v>
      </c>
      <c r="AD103" s="3">
        <v>0</v>
      </c>
      <c r="AE103" s="2">
        <v>0</v>
      </c>
      <c r="AF103" s="2">
        <v>143.15</v>
      </c>
      <c r="AK103" s="4">
        <v>19702320</v>
      </c>
      <c r="AL103" t="s">
        <v>49</v>
      </c>
    </row>
    <row r="104" spans="1:38" x14ac:dyDescent="0.25">
      <c r="A104" s="1">
        <v>45905</v>
      </c>
      <c r="B104" s="1">
        <v>45901</v>
      </c>
      <c r="C104" t="s">
        <v>38</v>
      </c>
      <c r="D104" t="s">
        <v>39</v>
      </c>
      <c r="E104" t="s">
        <v>40</v>
      </c>
      <c r="F104">
        <v>649163</v>
      </c>
      <c r="G104">
        <v>20411454</v>
      </c>
      <c r="H104" t="s">
        <v>41</v>
      </c>
      <c r="I104">
        <v>2030687068</v>
      </c>
      <c r="J104" t="s">
        <v>159</v>
      </c>
      <c r="M104" t="s">
        <v>118</v>
      </c>
      <c r="O104">
        <v>874230</v>
      </c>
      <c r="P104" t="s">
        <v>119</v>
      </c>
      <c r="Q104" t="s">
        <v>45</v>
      </c>
      <c r="R104" t="s">
        <v>53</v>
      </c>
      <c r="S104" s="1">
        <v>45901</v>
      </c>
      <c r="U104" t="s">
        <v>47</v>
      </c>
      <c r="X104" t="s">
        <v>54</v>
      </c>
      <c r="Y104" s="2">
        <v>53.04</v>
      </c>
      <c r="Z104" s="2">
        <v>53.04</v>
      </c>
      <c r="AA104">
        <v>6</v>
      </c>
      <c r="AB104" s="3">
        <v>0.7</v>
      </c>
      <c r="AC104" s="2">
        <v>222.77</v>
      </c>
      <c r="AD104" s="3">
        <v>0</v>
      </c>
      <c r="AE104" s="2">
        <v>0</v>
      </c>
      <c r="AF104" s="2">
        <v>222.77</v>
      </c>
      <c r="AK104" s="4">
        <v>19657690</v>
      </c>
      <c r="AL104" t="s">
        <v>49</v>
      </c>
    </row>
    <row r="105" spans="1:38" x14ac:dyDescent="0.25">
      <c r="A105" s="1">
        <v>45905</v>
      </c>
      <c r="B105" s="1">
        <v>45901</v>
      </c>
      <c r="C105" t="s">
        <v>38</v>
      </c>
      <c r="D105" t="s">
        <v>39</v>
      </c>
      <c r="E105" t="s">
        <v>40</v>
      </c>
      <c r="F105">
        <v>649163</v>
      </c>
      <c r="G105">
        <v>20411454</v>
      </c>
      <c r="H105" t="s">
        <v>41</v>
      </c>
      <c r="I105">
        <v>2030687069</v>
      </c>
      <c r="J105" t="s">
        <v>159</v>
      </c>
      <c r="M105" t="s">
        <v>118</v>
      </c>
      <c r="O105">
        <v>874230</v>
      </c>
      <c r="P105" t="s">
        <v>119</v>
      </c>
      <c r="Q105" t="s">
        <v>45</v>
      </c>
      <c r="R105" t="s">
        <v>68</v>
      </c>
      <c r="S105" s="1">
        <v>45901</v>
      </c>
      <c r="U105" t="s">
        <v>47</v>
      </c>
      <c r="X105" t="s">
        <v>54</v>
      </c>
      <c r="Y105" s="2">
        <v>40.4</v>
      </c>
      <c r="Z105" s="2">
        <v>40.4</v>
      </c>
      <c r="AA105">
        <v>6</v>
      </c>
      <c r="AB105" s="3">
        <v>0.75</v>
      </c>
      <c r="AC105" s="2">
        <v>181.8</v>
      </c>
      <c r="AD105" s="3">
        <v>0</v>
      </c>
      <c r="AE105" s="2">
        <v>0</v>
      </c>
      <c r="AF105" s="2">
        <v>181.8</v>
      </c>
      <c r="AK105" s="4">
        <v>19682660</v>
      </c>
      <c r="AL105" t="s">
        <v>49</v>
      </c>
    </row>
    <row r="106" spans="1:38" x14ac:dyDescent="0.25">
      <c r="A106" s="1">
        <v>45905</v>
      </c>
      <c r="B106" s="1">
        <v>45901</v>
      </c>
      <c r="C106" t="s">
        <v>38</v>
      </c>
      <c r="D106" t="s">
        <v>39</v>
      </c>
      <c r="E106" t="s">
        <v>40</v>
      </c>
      <c r="F106">
        <v>649163</v>
      </c>
      <c r="G106">
        <v>20411454</v>
      </c>
      <c r="H106" t="s">
        <v>41</v>
      </c>
      <c r="I106">
        <v>2030688050</v>
      </c>
      <c r="J106" t="s">
        <v>160</v>
      </c>
      <c r="M106" t="s">
        <v>142</v>
      </c>
      <c r="O106">
        <v>753748</v>
      </c>
      <c r="P106" t="s">
        <v>57</v>
      </c>
      <c r="Q106" t="s">
        <v>45</v>
      </c>
      <c r="R106" t="s">
        <v>68</v>
      </c>
      <c r="S106" s="1">
        <v>45901</v>
      </c>
      <c r="U106" t="s">
        <v>47</v>
      </c>
      <c r="X106" t="s">
        <v>54</v>
      </c>
      <c r="Y106" s="2">
        <v>137.97999999999999</v>
      </c>
      <c r="Z106" s="2">
        <v>137.97999999999999</v>
      </c>
      <c r="AA106">
        <v>6</v>
      </c>
      <c r="AB106" s="3">
        <v>0.75</v>
      </c>
      <c r="AC106" s="2">
        <v>620.91</v>
      </c>
      <c r="AD106" s="3">
        <v>0</v>
      </c>
      <c r="AE106" s="2">
        <v>0</v>
      </c>
      <c r="AF106" s="2">
        <v>620.91</v>
      </c>
      <c r="AK106" s="4">
        <v>19682670</v>
      </c>
      <c r="AL106" t="s">
        <v>49</v>
      </c>
    </row>
    <row r="107" spans="1:38" x14ac:dyDescent="0.25">
      <c r="A107" s="1">
        <v>45905</v>
      </c>
      <c r="B107" s="1">
        <v>45901</v>
      </c>
      <c r="C107" t="s">
        <v>38</v>
      </c>
      <c r="D107" t="s">
        <v>39</v>
      </c>
      <c r="E107" t="s">
        <v>40</v>
      </c>
      <c r="F107">
        <v>649163</v>
      </c>
      <c r="G107">
        <v>20411454</v>
      </c>
      <c r="H107" t="s">
        <v>41</v>
      </c>
      <c r="I107">
        <v>2030691360</v>
      </c>
      <c r="J107" t="s">
        <v>161</v>
      </c>
      <c r="M107" t="s">
        <v>96</v>
      </c>
      <c r="O107">
        <v>673059</v>
      </c>
      <c r="P107" t="s">
        <v>52</v>
      </c>
      <c r="Q107" t="s">
        <v>45</v>
      </c>
      <c r="R107" t="s">
        <v>162</v>
      </c>
      <c r="S107" s="1">
        <v>45901</v>
      </c>
      <c r="U107" t="s">
        <v>47</v>
      </c>
      <c r="X107" t="s">
        <v>121</v>
      </c>
      <c r="Y107" s="2">
        <v>1196.67</v>
      </c>
      <c r="Z107" s="2">
        <v>1196.67</v>
      </c>
      <c r="AA107">
        <v>3</v>
      </c>
      <c r="AB107" s="3">
        <v>0.14499999999999999</v>
      </c>
      <c r="AC107" s="2">
        <v>520.54999999999995</v>
      </c>
      <c r="AD107" s="3">
        <v>0</v>
      </c>
      <c r="AE107" s="2">
        <v>0</v>
      </c>
      <c r="AF107" s="2">
        <v>520.54999999999995</v>
      </c>
      <c r="AK107" s="4">
        <v>19716800</v>
      </c>
      <c r="AL107" t="s">
        <v>49</v>
      </c>
    </row>
    <row r="108" spans="1:38" x14ac:dyDescent="0.25">
      <c r="A108" s="1">
        <v>45905</v>
      </c>
      <c r="B108" s="1">
        <v>45901</v>
      </c>
      <c r="C108" t="s">
        <v>38</v>
      </c>
      <c r="D108" t="s">
        <v>39</v>
      </c>
      <c r="E108" t="s">
        <v>40</v>
      </c>
      <c r="F108">
        <v>649163</v>
      </c>
      <c r="G108">
        <v>20411454</v>
      </c>
      <c r="H108" t="s">
        <v>41</v>
      </c>
      <c r="I108">
        <v>2030691361</v>
      </c>
      <c r="J108" t="s">
        <v>161</v>
      </c>
      <c r="M108" t="s">
        <v>96</v>
      </c>
      <c r="O108">
        <v>673059</v>
      </c>
      <c r="P108" t="s">
        <v>52</v>
      </c>
      <c r="Q108" t="s">
        <v>45</v>
      </c>
      <c r="R108" t="s">
        <v>163</v>
      </c>
      <c r="S108" s="1">
        <v>45901</v>
      </c>
      <c r="U108" t="s">
        <v>47</v>
      </c>
      <c r="X108" t="s">
        <v>121</v>
      </c>
      <c r="Y108" s="2">
        <v>15</v>
      </c>
      <c r="Z108" s="2">
        <v>15</v>
      </c>
      <c r="AA108">
        <v>3</v>
      </c>
      <c r="AB108" s="3">
        <v>0.14000000000000001</v>
      </c>
      <c r="AC108" s="2">
        <v>6.3</v>
      </c>
      <c r="AD108" s="3">
        <v>0</v>
      </c>
      <c r="AE108" s="2">
        <v>0</v>
      </c>
      <c r="AF108" s="2">
        <v>6.3</v>
      </c>
      <c r="AK108" s="4">
        <v>19669760</v>
      </c>
      <c r="AL108" t="s">
        <v>49</v>
      </c>
    </row>
    <row r="109" spans="1:38" x14ac:dyDescent="0.25">
      <c r="A109" s="1">
        <v>45905</v>
      </c>
      <c r="B109" s="1">
        <v>45901</v>
      </c>
      <c r="C109" t="s">
        <v>38</v>
      </c>
      <c r="D109" t="s">
        <v>39</v>
      </c>
      <c r="E109" t="s">
        <v>40</v>
      </c>
      <c r="F109">
        <v>649163</v>
      </c>
      <c r="G109">
        <v>20411454</v>
      </c>
      <c r="H109" t="s">
        <v>41</v>
      </c>
      <c r="I109">
        <v>2030691611</v>
      </c>
      <c r="J109" t="s">
        <v>164</v>
      </c>
      <c r="M109" t="s">
        <v>96</v>
      </c>
      <c r="O109">
        <v>673059</v>
      </c>
      <c r="P109" t="s">
        <v>52</v>
      </c>
      <c r="Q109" t="s">
        <v>45</v>
      </c>
      <c r="R109" t="s">
        <v>46</v>
      </c>
      <c r="S109" s="1">
        <v>45901</v>
      </c>
      <c r="U109" t="s">
        <v>47</v>
      </c>
      <c r="X109" t="s">
        <v>121</v>
      </c>
      <c r="Y109" s="2">
        <v>416.74</v>
      </c>
      <c r="Z109" s="2">
        <v>416.74</v>
      </c>
      <c r="AA109">
        <v>3</v>
      </c>
      <c r="AB109" s="3">
        <v>0.28999999999999998</v>
      </c>
      <c r="AC109" s="2">
        <v>362.56</v>
      </c>
      <c r="AD109" s="3">
        <v>0</v>
      </c>
      <c r="AE109" s="2">
        <v>0</v>
      </c>
      <c r="AF109" s="2">
        <v>362.56</v>
      </c>
      <c r="AK109" s="4">
        <v>19716800</v>
      </c>
      <c r="AL109" t="s">
        <v>49</v>
      </c>
    </row>
    <row r="110" spans="1:38" x14ac:dyDescent="0.25">
      <c r="A110" s="1">
        <v>45905</v>
      </c>
      <c r="B110" s="1">
        <v>45901</v>
      </c>
      <c r="C110" t="s">
        <v>38</v>
      </c>
      <c r="D110" t="s">
        <v>39</v>
      </c>
      <c r="E110" t="s">
        <v>40</v>
      </c>
      <c r="F110">
        <v>649163</v>
      </c>
      <c r="G110">
        <v>20411454</v>
      </c>
      <c r="H110" t="s">
        <v>41</v>
      </c>
      <c r="I110">
        <v>2030691612</v>
      </c>
      <c r="J110" t="s">
        <v>164</v>
      </c>
      <c r="M110" t="s">
        <v>96</v>
      </c>
      <c r="O110">
        <v>673059</v>
      </c>
      <c r="P110" t="s">
        <v>52</v>
      </c>
      <c r="Q110" t="s">
        <v>45</v>
      </c>
      <c r="R110" t="s">
        <v>165</v>
      </c>
      <c r="S110" s="1">
        <v>45901</v>
      </c>
      <c r="U110" t="s">
        <v>47</v>
      </c>
      <c r="X110" t="s">
        <v>121</v>
      </c>
      <c r="Y110" s="2">
        <v>15</v>
      </c>
      <c r="Z110" s="2">
        <v>15</v>
      </c>
      <c r="AA110">
        <v>3</v>
      </c>
      <c r="AB110" s="3">
        <v>0.28999999999999998</v>
      </c>
      <c r="AC110" s="2">
        <v>13.05</v>
      </c>
      <c r="AD110" s="3">
        <v>0</v>
      </c>
      <c r="AE110" s="2">
        <v>0</v>
      </c>
      <c r="AF110" s="2">
        <v>13.05</v>
      </c>
      <c r="AK110" s="4">
        <v>19669770</v>
      </c>
      <c r="AL110" t="s">
        <v>49</v>
      </c>
    </row>
    <row r="111" spans="1:38" x14ac:dyDescent="0.25">
      <c r="A111" s="1">
        <v>45905</v>
      </c>
      <c r="B111" s="1">
        <v>45901</v>
      </c>
      <c r="C111" t="s">
        <v>38</v>
      </c>
      <c r="D111" t="s">
        <v>39</v>
      </c>
      <c r="E111" t="s">
        <v>40</v>
      </c>
      <c r="F111">
        <v>649163</v>
      </c>
      <c r="G111">
        <v>20411454</v>
      </c>
      <c r="H111" t="s">
        <v>41</v>
      </c>
      <c r="I111">
        <v>2030691686</v>
      </c>
      <c r="J111" t="s">
        <v>166</v>
      </c>
      <c r="M111" t="s">
        <v>139</v>
      </c>
      <c r="O111">
        <v>856163</v>
      </c>
      <c r="P111" t="s">
        <v>63</v>
      </c>
      <c r="Q111" t="s">
        <v>45</v>
      </c>
      <c r="R111" t="s">
        <v>53</v>
      </c>
      <c r="S111" s="1">
        <v>45901</v>
      </c>
      <c r="U111" t="s">
        <v>47</v>
      </c>
      <c r="X111" t="s">
        <v>54</v>
      </c>
      <c r="Y111" s="2">
        <v>70.069999999999993</v>
      </c>
      <c r="Z111" s="2">
        <v>70.069999999999993</v>
      </c>
      <c r="AA111">
        <v>6</v>
      </c>
      <c r="AB111" s="3">
        <v>0.7</v>
      </c>
      <c r="AC111" s="2">
        <v>294.29000000000002</v>
      </c>
      <c r="AD111" s="3">
        <v>0</v>
      </c>
      <c r="AE111" s="2">
        <v>0</v>
      </c>
      <c r="AF111" s="2">
        <v>294.29000000000002</v>
      </c>
      <c r="AK111" s="4">
        <v>19657730</v>
      </c>
      <c r="AL111" t="s">
        <v>49</v>
      </c>
    </row>
    <row r="112" spans="1:38" x14ac:dyDescent="0.25">
      <c r="A112" s="1">
        <v>45905</v>
      </c>
      <c r="B112" s="1">
        <v>45901</v>
      </c>
      <c r="C112" t="s">
        <v>38</v>
      </c>
      <c r="D112" t="s">
        <v>39</v>
      </c>
      <c r="E112" t="s">
        <v>40</v>
      </c>
      <c r="F112">
        <v>649163</v>
      </c>
      <c r="G112">
        <v>20411454</v>
      </c>
      <c r="H112" t="s">
        <v>41</v>
      </c>
      <c r="I112">
        <v>2030693609</v>
      </c>
      <c r="J112" t="s">
        <v>167</v>
      </c>
      <c r="M112" t="s">
        <v>130</v>
      </c>
      <c r="O112">
        <v>885445</v>
      </c>
      <c r="P112" t="s">
        <v>168</v>
      </c>
      <c r="Q112" t="s">
        <v>45</v>
      </c>
      <c r="R112" t="s">
        <v>169</v>
      </c>
      <c r="S112" s="1">
        <v>45901</v>
      </c>
      <c r="U112" t="s">
        <v>47</v>
      </c>
      <c r="X112" t="s">
        <v>54</v>
      </c>
      <c r="Y112" s="2">
        <v>91.37</v>
      </c>
      <c r="Z112" s="2">
        <v>91.37</v>
      </c>
      <c r="AA112">
        <v>6</v>
      </c>
      <c r="AB112" s="3">
        <v>0.38</v>
      </c>
      <c r="AC112" s="2">
        <v>208.32</v>
      </c>
      <c r="AD112" s="3">
        <v>0</v>
      </c>
      <c r="AE112" s="2">
        <v>0</v>
      </c>
      <c r="AF112" s="2">
        <v>208.32</v>
      </c>
      <c r="AK112" s="4">
        <v>19657760</v>
      </c>
      <c r="AL112" t="s">
        <v>49</v>
      </c>
    </row>
    <row r="113" spans="1:38" x14ac:dyDescent="0.25">
      <c r="A113" s="1">
        <v>45905</v>
      </c>
      <c r="B113" s="1">
        <v>45901</v>
      </c>
      <c r="C113" t="s">
        <v>38</v>
      </c>
      <c r="D113" t="s">
        <v>39</v>
      </c>
      <c r="E113" t="s">
        <v>40</v>
      </c>
      <c r="F113">
        <v>649163</v>
      </c>
      <c r="G113">
        <v>20411454</v>
      </c>
      <c r="H113" t="s">
        <v>41</v>
      </c>
      <c r="I113">
        <v>2030693610</v>
      </c>
      <c r="J113" t="s">
        <v>167</v>
      </c>
      <c r="M113" t="s">
        <v>130</v>
      </c>
      <c r="O113">
        <v>885445</v>
      </c>
      <c r="P113" t="s">
        <v>168</v>
      </c>
      <c r="Q113" t="s">
        <v>45</v>
      </c>
      <c r="R113" t="s">
        <v>170</v>
      </c>
      <c r="S113" s="1">
        <v>45901</v>
      </c>
      <c r="U113" t="s">
        <v>47</v>
      </c>
      <c r="X113" t="s">
        <v>54</v>
      </c>
      <c r="Y113" s="2">
        <v>41.81</v>
      </c>
      <c r="Z113" s="2">
        <v>41.81</v>
      </c>
      <c r="AA113">
        <v>6</v>
      </c>
      <c r="AB113" s="3">
        <v>0.6</v>
      </c>
      <c r="AC113" s="2">
        <v>150.52000000000001</v>
      </c>
      <c r="AD113" s="3">
        <v>0</v>
      </c>
      <c r="AE113" s="2">
        <v>0</v>
      </c>
      <c r="AF113" s="2">
        <v>150.52000000000001</v>
      </c>
      <c r="AK113" s="4">
        <v>19682690</v>
      </c>
      <c r="AL113" t="s">
        <v>49</v>
      </c>
    </row>
    <row r="114" spans="1:38" x14ac:dyDescent="0.25">
      <c r="A114" s="1">
        <v>45905</v>
      </c>
      <c r="B114" s="1">
        <v>45901</v>
      </c>
      <c r="C114" t="s">
        <v>38</v>
      </c>
      <c r="D114" t="s">
        <v>39</v>
      </c>
      <c r="E114" t="s">
        <v>40</v>
      </c>
      <c r="F114">
        <v>649163</v>
      </c>
      <c r="G114">
        <v>20411454</v>
      </c>
      <c r="H114" t="s">
        <v>41</v>
      </c>
      <c r="I114">
        <v>2030694346</v>
      </c>
      <c r="J114" t="s">
        <v>171</v>
      </c>
      <c r="M114" t="s">
        <v>118</v>
      </c>
      <c r="O114">
        <v>874230</v>
      </c>
      <c r="P114" t="s">
        <v>119</v>
      </c>
      <c r="Q114" t="s">
        <v>45</v>
      </c>
      <c r="R114" t="s">
        <v>120</v>
      </c>
      <c r="S114" s="1">
        <v>45901</v>
      </c>
      <c r="U114" t="s">
        <v>47</v>
      </c>
      <c r="X114" t="s">
        <v>121</v>
      </c>
      <c r="Y114" s="2">
        <v>248.82</v>
      </c>
      <c r="Z114" s="2">
        <v>248.82</v>
      </c>
      <c r="AA114">
        <v>3</v>
      </c>
      <c r="AB114" s="3">
        <v>0.19</v>
      </c>
      <c r="AC114" s="2">
        <v>141.83000000000001</v>
      </c>
      <c r="AD114" s="3">
        <v>0</v>
      </c>
      <c r="AE114" s="2">
        <v>0</v>
      </c>
      <c r="AF114" s="2">
        <v>141.83000000000001</v>
      </c>
      <c r="AK114" s="4">
        <v>19716830</v>
      </c>
      <c r="AL114" t="s">
        <v>49</v>
      </c>
    </row>
    <row r="115" spans="1:38" x14ac:dyDescent="0.25">
      <c r="A115" s="1">
        <v>45905</v>
      </c>
      <c r="B115" s="1">
        <v>45901</v>
      </c>
      <c r="C115" t="s">
        <v>38</v>
      </c>
      <c r="D115" t="s">
        <v>39</v>
      </c>
      <c r="E115" t="s">
        <v>40</v>
      </c>
      <c r="F115">
        <v>649163</v>
      </c>
      <c r="G115">
        <v>20411454</v>
      </c>
      <c r="H115" t="s">
        <v>41</v>
      </c>
      <c r="I115">
        <v>2030694347</v>
      </c>
      <c r="J115" t="s">
        <v>171</v>
      </c>
      <c r="M115" t="s">
        <v>118</v>
      </c>
      <c r="O115">
        <v>874230</v>
      </c>
      <c r="P115" t="s">
        <v>119</v>
      </c>
      <c r="Q115" t="s">
        <v>45</v>
      </c>
      <c r="R115" t="s">
        <v>53</v>
      </c>
      <c r="S115" s="1">
        <v>45901</v>
      </c>
      <c r="U115" t="s">
        <v>47</v>
      </c>
      <c r="X115" t="s">
        <v>54</v>
      </c>
      <c r="Y115" s="2">
        <v>53.04</v>
      </c>
      <c r="Z115" s="2">
        <v>53.04</v>
      </c>
      <c r="AA115">
        <v>6</v>
      </c>
      <c r="AB115" s="3">
        <v>0.7</v>
      </c>
      <c r="AC115" s="2">
        <v>222.77</v>
      </c>
      <c r="AD115" s="3">
        <v>0</v>
      </c>
      <c r="AE115" s="2">
        <v>0</v>
      </c>
      <c r="AF115" s="2">
        <v>222.77</v>
      </c>
      <c r="AK115" s="4">
        <v>19657770</v>
      </c>
      <c r="AL115" t="s">
        <v>49</v>
      </c>
    </row>
    <row r="116" spans="1:38" x14ac:dyDescent="0.25">
      <c r="A116" s="1">
        <v>45905</v>
      </c>
      <c r="B116" s="1">
        <v>45901</v>
      </c>
      <c r="C116" t="s">
        <v>38</v>
      </c>
      <c r="D116" t="s">
        <v>39</v>
      </c>
      <c r="E116" t="s">
        <v>40</v>
      </c>
      <c r="F116">
        <v>649163</v>
      </c>
      <c r="G116">
        <v>20411454</v>
      </c>
      <c r="H116" t="s">
        <v>41</v>
      </c>
      <c r="I116">
        <v>2030694348</v>
      </c>
      <c r="J116" t="s">
        <v>171</v>
      </c>
      <c r="M116" t="s">
        <v>118</v>
      </c>
      <c r="O116">
        <v>874230</v>
      </c>
      <c r="P116" t="s">
        <v>119</v>
      </c>
      <c r="Q116" t="s">
        <v>45</v>
      </c>
      <c r="R116" t="s">
        <v>68</v>
      </c>
      <c r="S116" s="1">
        <v>45901</v>
      </c>
      <c r="U116" t="s">
        <v>47</v>
      </c>
      <c r="X116" t="s">
        <v>54</v>
      </c>
      <c r="Y116" s="2">
        <v>42.28</v>
      </c>
      <c r="Z116" s="2">
        <v>42.28</v>
      </c>
      <c r="AA116">
        <v>6</v>
      </c>
      <c r="AB116" s="3">
        <v>0.75</v>
      </c>
      <c r="AC116" s="2">
        <v>190.26</v>
      </c>
      <c r="AD116" s="3">
        <v>0</v>
      </c>
      <c r="AE116" s="2">
        <v>0</v>
      </c>
      <c r="AF116" s="2">
        <v>190.26</v>
      </c>
      <c r="AK116" s="4">
        <v>19682700</v>
      </c>
      <c r="AL116" t="s">
        <v>49</v>
      </c>
    </row>
    <row r="117" spans="1:38" x14ac:dyDescent="0.25">
      <c r="A117" s="1">
        <v>45905</v>
      </c>
      <c r="B117" s="1">
        <v>45901</v>
      </c>
      <c r="C117" t="s">
        <v>38</v>
      </c>
      <c r="D117" t="s">
        <v>39</v>
      </c>
      <c r="E117" t="s">
        <v>40</v>
      </c>
      <c r="F117">
        <v>649163</v>
      </c>
      <c r="G117">
        <v>20411454</v>
      </c>
      <c r="H117" t="s">
        <v>41</v>
      </c>
      <c r="I117">
        <v>2030694349</v>
      </c>
      <c r="J117" t="s">
        <v>171</v>
      </c>
      <c r="M117" t="s">
        <v>118</v>
      </c>
      <c r="O117">
        <v>874230</v>
      </c>
      <c r="P117" t="s">
        <v>119</v>
      </c>
      <c r="Q117" t="s">
        <v>45</v>
      </c>
      <c r="R117" t="s">
        <v>122</v>
      </c>
      <c r="S117" s="1">
        <v>45901</v>
      </c>
      <c r="U117" t="s">
        <v>47</v>
      </c>
      <c r="X117" t="s">
        <v>121</v>
      </c>
      <c r="Y117" s="2">
        <v>15</v>
      </c>
      <c r="Z117" s="2">
        <v>15</v>
      </c>
      <c r="AA117">
        <v>3</v>
      </c>
      <c r="AB117" s="3">
        <v>0.19</v>
      </c>
      <c r="AC117" s="2">
        <v>8.5500000000000007</v>
      </c>
      <c r="AD117" s="3">
        <v>0</v>
      </c>
      <c r="AE117" s="2">
        <v>0</v>
      </c>
      <c r="AF117" s="2">
        <v>8.5500000000000007</v>
      </c>
      <c r="AK117" s="4">
        <v>19669780</v>
      </c>
      <c r="AL117" t="s">
        <v>49</v>
      </c>
    </row>
    <row r="118" spans="1:38" x14ac:dyDescent="0.25">
      <c r="A118" s="1">
        <v>45905</v>
      </c>
      <c r="B118" s="1">
        <v>45901</v>
      </c>
      <c r="C118" t="s">
        <v>38</v>
      </c>
      <c r="D118" t="s">
        <v>39</v>
      </c>
      <c r="E118" t="s">
        <v>40</v>
      </c>
      <c r="F118">
        <v>649163</v>
      </c>
      <c r="G118">
        <v>20411454</v>
      </c>
      <c r="H118" t="s">
        <v>41</v>
      </c>
      <c r="I118">
        <v>2030694665</v>
      </c>
      <c r="J118" t="s">
        <v>172</v>
      </c>
      <c r="M118" t="s">
        <v>155</v>
      </c>
      <c r="O118">
        <v>756418</v>
      </c>
      <c r="P118" t="s">
        <v>173</v>
      </c>
      <c r="Q118" t="s">
        <v>45</v>
      </c>
      <c r="R118" t="s">
        <v>77</v>
      </c>
      <c r="S118" s="1">
        <v>45896</v>
      </c>
      <c r="U118" t="s">
        <v>47</v>
      </c>
      <c r="X118" t="s">
        <v>54</v>
      </c>
      <c r="Y118" s="2">
        <v>67.56</v>
      </c>
      <c r="Z118" s="2">
        <v>67.56</v>
      </c>
      <c r="AA118">
        <v>6</v>
      </c>
      <c r="AB118" s="3">
        <v>0.375</v>
      </c>
      <c r="AC118" s="2">
        <v>152.01</v>
      </c>
      <c r="AD118" s="3">
        <v>0</v>
      </c>
      <c r="AE118" s="2">
        <v>0</v>
      </c>
      <c r="AF118" s="2">
        <v>152.01</v>
      </c>
      <c r="AK118" s="4">
        <v>19702400</v>
      </c>
      <c r="AL118" t="s">
        <v>49</v>
      </c>
    </row>
    <row r="119" spans="1:38" x14ac:dyDescent="0.25">
      <c r="A119" s="1">
        <v>45905</v>
      </c>
      <c r="B119" s="1">
        <v>45901</v>
      </c>
      <c r="C119" t="s">
        <v>38</v>
      </c>
      <c r="D119" t="s">
        <v>39</v>
      </c>
      <c r="E119" t="s">
        <v>40</v>
      </c>
      <c r="F119">
        <v>649163</v>
      </c>
      <c r="G119">
        <v>20411454</v>
      </c>
      <c r="H119" t="s">
        <v>41</v>
      </c>
      <c r="I119">
        <v>2030694666</v>
      </c>
      <c r="J119" t="s">
        <v>172</v>
      </c>
      <c r="M119" t="s">
        <v>155</v>
      </c>
      <c r="O119">
        <v>756418</v>
      </c>
      <c r="P119" t="s">
        <v>173</v>
      </c>
      <c r="Q119" t="s">
        <v>45</v>
      </c>
      <c r="R119" t="s">
        <v>53</v>
      </c>
      <c r="S119" s="1">
        <v>45896</v>
      </c>
      <c r="U119" t="s">
        <v>47</v>
      </c>
      <c r="X119" t="s">
        <v>54</v>
      </c>
      <c r="Y119" s="2">
        <v>26.32</v>
      </c>
      <c r="Z119" s="2">
        <v>26.32</v>
      </c>
      <c r="AA119">
        <v>6</v>
      </c>
      <c r="AB119" s="3">
        <v>0.7</v>
      </c>
      <c r="AC119" s="2">
        <v>110.54</v>
      </c>
      <c r="AD119" s="3">
        <v>0</v>
      </c>
      <c r="AE119" s="2">
        <v>0</v>
      </c>
      <c r="AF119" s="2">
        <v>110.54</v>
      </c>
      <c r="AK119" s="4">
        <v>19657780</v>
      </c>
      <c r="AL119" t="s">
        <v>49</v>
      </c>
    </row>
    <row r="120" spans="1:38" x14ac:dyDescent="0.25">
      <c r="A120" s="1">
        <v>45905</v>
      </c>
      <c r="B120" s="1">
        <v>45901</v>
      </c>
      <c r="C120" t="s">
        <v>38</v>
      </c>
      <c r="D120" t="s">
        <v>39</v>
      </c>
      <c r="E120" t="s">
        <v>40</v>
      </c>
      <c r="F120">
        <v>649163</v>
      </c>
      <c r="G120">
        <v>20411454</v>
      </c>
      <c r="H120" t="s">
        <v>41</v>
      </c>
      <c r="I120">
        <v>2030697179</v>
      </c>
      <c r="J120" t="s">
        <v>174</v>
      </c>
      <c r="M120" t="s">
        <v>130</v>
      </c>
      <c r="O120">
        <v>885445</v>
      </c>
      <c r="P120" t="s">
        <v>168</v>
      </c>
      <c r="Q120" t="s">
        <v>45</v>
      </c>
      <c r="R120" t="s">
        <v>80</v>
      </c>
      <c r="S120" s="1">
        <v>45901</v>
      </c>
      <c r="U120" t="s">
        <v>47</v>
      </c>
      <c r="X120" t="s">
        <v>54</v>
      </c>
      <c r="Y120" s="2">
        <v>51.58</v>
      </c>
      <c r="Z120" s="2">
        <v>51.58</v>
      </c>
      <c r="AA120">
        <v>6</v>
      </c>
      <c r="AB120" s="3">
        <v>0.38</v>
      </c>
      <c r="AC120" s="2">
        <v>117.6</v>
      </c>
      <c r="AD120" s="3">
        <v>0</v>
      </c>
      <c r="AE120" s="2">
        <v>0</v>
      </c>
      <c r="AF120" s="2">
        <v>117.6</v>
      </c>
      <c r="AK120" s="4">
        <v>19706410</v>
      </c>
      <c r="AL120" t="s">
        <v>49</v>
      </c>
    </row>
    <row r="121" spans="1:38" x14ac:dyDescent="0.25">
      <c r="A121" s="1">
        <v>45905</v>
      </c>
      <c r="B121" s="1">
        <v>45901</v>
      </c>
      <c r="C121" t="s">
        <v>38</v>
      </c>
      <c r="D121" t="s">
        <v>39</v>
      </c>
      <c r="E121" t="s">
        <v>40</v>
      </c>
      <c r="F121">
        <v>649163</v>
      </c>
      <c r="G121">
        <v>20411454</v>
      </c>
      <c r="H121" t="s">
        <v>41</v>
      </c>
      <c r="I121">
        <v>2030697180</v>
      </c>
      <c r="J121" t="s">
        <v>174</v>
      </c>
      <c r="M121" t="s">
        <v>130</v>
      </c>
      <c r="O121">
        <v>885445</v>
      </c>
      <c r="P121" t="s">
        <v>168</v>
      </c>
      <c r="Q121" t="s">
        <v>45</v>
      </c>
      <c r="R121" t="s">
        <v>77</v>
      </c>
      <c r="S121" s="1">
        <v>45901</v>
      </c>
      <c r="U121" t="s">
        <v>47</v>
      </c>
      <c r="X121" t="s">
        <v>54</v>
      </c>
      <c r="Y121" s="2">
        <v>89</v>
      </c>
      <c r="Z121" s="2">
        <v>89</v>
      </c>
      <c r="AA121">
        <v>6</v>
      </c>
      <c r="AB121" s="3">
        <v>0.375</v>
      </c>
      <c r="AC121" s="2">
        <v>200.25</v>
      </c>
      <c r="AD121" s="3">
        <v>0</v>
      </c>
      <c r="AE121" s="2">
        <v>0</v>
      </c>
      <c r="AF121" s="2">
        <v>200.25</v>
      </c>
      <c r="AK121" s="4">
        <v>19702430</v>
      </c>
      <c r="AL121" t="s">
        <v>49</v>
      </c>
    </row>
    <row r="122" spans="1:38" x14ac:dyDescent="0.25">
      <c r="A122" s="1">
        <v>45905</v>
      </c>
      <c r="B122" s="1">
        <v>45901</v>
      </c>
      <c r="C122" t="s">
        <v>38</v>
      </c>
      <c r="D122" t="s">
        <v>39</v>
      </c>
      <c r="E122" t="s">
        <v>40</v>
      </c>
      <c r="F122">
        <v>649163</v>
      </c>
      <c r="G122">
        <v>20411454</v>
      </c>
      <c r="H122" t="s">
        <v>41</v>
      </c>
      <c r="I122">
        <v>2030697181</v>
      </c>
      <c r="J122" t="s">
        <v>174</v>
      </c>
      <c r="M122" t="s">
        <v>130</v>
      </c>
      <c r="O122">
        <v>885445</v>
      </c>
      <c r="P122" t="s">
        <v>168</v>
      </c>
      <c r="Q122" t="s">
        <v>45</v>
      </c>
      <c r="R122" t="s">
        <v>175</v>
      </c>
      <c r="S122" s="1">
        <v>45901</v>
      </c>
      <c r="U122" t="s">
        <v>47</v>
      </c>
      <c r="X122" t="s">
        <v>54</v>
      </c>
      <c r="Y122" s="2">
        <v>75.69</v>
      </c>
      <c r="Z122" s="2">
        <v>75.69</v>
      </c>
      <c r="AA122">
        <v>6</v>
      </c>
      <c r="AB122" s="3">
        <v>0.6</v>
      </c>
      <c r="AC122" s="2">
        <v>272.48</v>
      </c>
      <c r="AD122" s="3">
        <v>0</v>
      </c>
      <c r="AE122" s="2">
        <v>0</v>
      </c>
      <c r="AF122" s="2">
        <v>272.48</v>
      </c>
      <c r="AK122" s="4">
        <v>19682710</v>
      </c>
      <c r="AL122" t="s">
        <v>49</v>
      </c>
    </row>
    <row r="123" spans="1:38" x14ac:dyDescent="0.25">
      <c r="A123" s="1">
        <v>45905</v>
      </c>
      <c r="B123" s="1">
        <v>45901</v>
      </c>
      <c r="C123" t="s">
        <v>38</v>
      </c>
      <c r="D123" t="s">
        <v>39</v>
      </c>
      <c r="E123" t="s">
        <v>40</v>
      </c>
      <c r="F123">
        <v>649163</v>
      </c>
      <c r="G123">
        <v>20411454</v>
      </c>
      <c r="H123" t="s">
        <v>41</v>
      </c>
      <c r="I123">
        <v>2030697182</v>
      </c>
      <c r="J123" t="s">
        <v>174</v>
      </c>
      <c r="M123" t="s">
        <v>130</v>
      </c>
      <c r="O123">
        <v>885445</v>
      </c>
      <c r="P123" t="s">
        <v>168</v>
      </c>
      <c r="Q123" t="s">
        <v>45</v>
      </c>
      <c r="R123" t="s">
        <v>143</v>
      </c>
      <c r="S123" s="1">
        <v>45901</v>
      </c>
      <c r="U123" t="s">
        <v>47</v>
      </c>
      <c r="X123" t="s">
        <v>54</v>
      </c>
      <c r="Y123" s="2">
        <v>68.63</v>
      </c>
      <c r="Z123" s="2">
        <v>68.63</v>
      </c>
      <c r="AA123">
        <v>6</v>
      </c>
      <c r="AB123" s="3">
        <v>0.9</v>
      </c>
      <c r="AC123" s="2">
        <v>370.6</v>
      </c>
      <c r="AD123" s="3">
        <v>0</v>
      </c>
      <c r="AE123" s="2">
        <v>0</v>
      </c>
      <c r="AF123" s="2">
        <v>370.6</v>
      </c>
      <c r="AK123" s="4">
        <v>19709400</v>
      </c>
      <c r="AL123" t="s">
        <v>49</v>
      </c>
    </row>
    <row r="124" spans="1:38" x14ac:dyDescent="0.25">
      <c r="A124" s="1">
        <v>45905</v>
      </c>
      <c r="B124" s="1">
        <v>45901</v>
      </c>
      <c r="C124" t="s">
        <v>38</v>
      </c>
      <c r="D124" t="s">
        <v>39</v>
      </c>
      <c r="E124" t="s">
        <v>40</v>
      </c>
      <c r="F124">
        <v>649163</v>
      </c>
      <c r="G124">
        <v>20411454</v>
      </c>
      <c r="H124" t="s">
        <v>41</v>
      </c>
      <c r="I124">
        <v>2030699504</v>
      </c>
      <c r="J124" t="s">
        <v>176</v>
      </c>
      <c r="M124" t="s">
        <v>62</v>
      </c>
      <c r="O124">
        <v>823350</v>
      </c>
      <c r="P124" t="s">
        <v>135</v>
      </c>
      <c r="Q124" t="s">
        <v>45</v>
      </c>
      <c r="R124" t="s">
        <v>53</v>
      </c>
      <c r="S124" s="1">
        <v>45909</v>
      </c>
      <c r="U124" t="s">
        <v>47</v>
      </c>
      <c r="X124" t="s">
        <v>54</v>
      </c>
      <c r="Y124" s="2">
        <v>212.26</v>
      </c>
      <c r="Z124" s="2">
        <v>212.26</v>
      </c>
      <c r="AA124">
        <v>6</v>
      </c>
      <c r="AB124" s="3">
        <v>0.7</v>
      </c>
      <c r="AC124" s="2">
        <v>891.49</v>
      </c>
      <c r="AD124" s="3">
        <v>0</v>
      </c>
      <c r="AE124" s="2">
        <v>0</v>
      </c>
      <c r="AF124" s="2">
        <v>891.49</v>
      </c>
      <c r="AK124" s="4">
        <v>19657840</v>
      </c>
      <c r="AL124" t="s">
        <v>49</v>
      </c>
    </row>
    <row r="125" spans="1:38" x14ac:dyDescent="0.25">
      <c r="A125" s="1">
        <v>45905</v>
      </c>
      <c r="B125" s="1">
        <v>45901</v>
      </c>
      <c r="C125" t="s">
        <v>38</v>
      </c>
      <c r="D125" t="s">
        <v>39</v>
      </c>
      <c r="E125" t="s">
        <v>40</v>
      </c>
      <c r="F125">
        <v>649163</v>
      </c>
      <c r="G125">
        <v>20411454</v>
      </c>
      <c r="H125" t="s">
        <v>41</v>
      </c>
      <c r="I125">
        <v>2030699751</v>
      </c>
      <c r="J125" t="s">
        <v>177</v>
      </c>
      <c r="M125" t="s">
        <v>130</v>
      </c>
      <c r="O125">
        <v>650218</v>
      </c>
      <c r="P125" t="s">
        <v>131</v>
      </c>
      <c r="Q125" t="s">
        <v>45</v>
      </c>
      <c r="R125" t="s">
        <v>80</v>
      </c>
      <c r="S125" s="1">
        <v>45901</v>
      </c>
      <c r="U125" t="s">
        <v>47</v>
      </c>
      <c r="X125" t="s">
        <v>54</v>
      </c>
      <c r="Y125" s="2">
        <v>55.16</v>
      </c>
      <c r="Z125" s="2">
        <v>55.16</v>
      </c>
      <c r="AA125">
        <v>6</v>
      </c>
      <c r="AB125" s="3">
        <v>0.38</v>
      </c>
      <c r="AC125" s="2">
        <v>125.76</v>
      </c>
      <c r="AD125" s="3">
        <v>0</v>
      </c>
      <c r="AE125" s="2">
        <v>0</v>
      </c>
      <c r="AF125" s="2">
        <v>125.76</v>
      </c>
      <c r="AK125" s="4">
        <v>19706420</v>
      </c>
      <c r="AL125" t="s">
        <v>49</v>
      </c>
    </row>
    <row r="126" spans="1:38" x14ac:dyDescent="0.25">
      <c r="A126" s="1">
        <v>45905</v>
      </c>
      <c r="B126" s="1">
        <v>45901</v>
      </c>
      <c r="C126" t="s">
        <v>38</v>
      </c>
      <c r="D126" t="s">
        <v>39</v>
      </c>
      <c r="E126" t="s">
        <v>40</v>
      </c>
      <c r="F126">
        <v>649163</v>
      </c>
      <c r="G126">
        <v>20411454</v>
      </c>
      <c r="H126" t="s">
        <v>41</v>
      </c>
      <c r="I126">
        <v>2030701199</v>
      </c>
      <c r="J126" t="s">
        <v>178</v>
      </c>
      <c r="M126" t="s">
        <v>72</v>
      </c>
      <c r="O126">
        <v>652037</v>
      </c>
      <c r="P126" t="s">
        <v>73</v>
      </c>
      <c r="Q126" t="s">
        <v>45</v>
      </c>
      <c r="R126" t="s">
        <v>74</v>
      </c>
      <c r="S126" s="1">
        <v>45901</v>
      </c>
      <c r="U126" t="s">
        <v>47</v>
      </c>
      <c r="X126" t="s">
        <v>54</v>
      </c>
      <c r="Y126" s="2">
        <v>84.26</v>
      </c>
      <c r="Z126" s="2">
        <v>84.26</v>
      </c>
      <c r="AA126">
        <v>6</v>
      </c>
      <c r="AB126" s="3">
        <v>0.9</v>
      </c>
      <c r="AC126" s="2">
        <v>455</v>
      </c>
      <c r="AD126" s="3">
        <v>0</v>
      </c>
      <c r="AE126" s="2">
        <v>0</v>
      </c>
      <c r="AF126" s="2">
        <v>455</v>
      </c>
      <c r="AK126" s="4">
        <v>19682730</v>
      </c>
      <c r="AL126" t="s">
        <v>49</v>
      </c>
    </row>
    <row r="127" spans="1:38" x14ac:dyDescent="0.25">
      <c r="A127" s="1">
        <v>45905</v>
      </c>
      <c r="B127" s="1">
        <v>45901</v>
      </c>
      <c r="C127" t="s">
        <v>38</v>
      </c>
      <c r="D127" t="s">
        <v>39</v>
      </c>
      <c r="E127" t="s">
        <v>40</v>
      </c>
      <c r="F127">
        <v>649163</v>
      </c>
      <c r="G127">
        <v>20411454</v>
      </c>
      <c r="H127" t="s">
        <v>41</v>
      </c>
      <c r="I127">
        <v>2030703147</v>
      </c>
      <c r="J127" t="s">
        <v>179</v>
      </c>
      <c r="M127" t="s">
        <v>65</v>
      </c>
      <c r="O127">
        <v>673059</v>
      </c>
      <c r="P127" t="s">
        <v>52</v>
      </c>
      <c r="Q127" t="s">
        <v>45</v>
      </c>
      <c r="R127" t="s">
        <v>68</v>
      </c>
      <c r="S127" s="1">
        <v>45901</v>
      </c>
      <c r="U127" t="s">
        <v>47</v>
      </c>
      <c r="X127" t="s">
        <v>54</v>
      </c>
      <c r="Y127" s="2">
        <v>22.15</v>
      </c>
      <c r="Z127" s="2">
        <v>22.15</v>
      </c>
      <c r="AA127">
        <v>6</v>
      </c>
      <c r="AB127" s="3">
        <v>0.75</v>
      </c>
      <c r="AC127" s="2">
        <v>99.68</v>
      </c>
      <c r="AD127" s="3">
        <v>0</v>
      </c>
      <c r="AE127" s="2">
        <v>0</v>
      </c>
      <c r="AF127" s="2">
        <v>99.68</v>
      </c>
      <c r="AK127" s="4">
        <v>19682730</v>
      </c>
      <c r="AL127" t="s">
        <v>49</v>
      </c>
    </row>
    <row r="128" spans="1:38" x14ac:dyDescent="0.25">
      <c r="A128" s="1">
        <v>45905</v>
      </c>
      <c r="B128" s="1">
        <v>45901</v>
      </c>
      <c r="C128" t="s">
        <v>38</v>
      </c>
      <c r="D128" t="s">
        <v>39</v>
      </c>
      <c r="E128" t="s">
        <v>40</v>
      </c>
      <c r="F128">
        <v>649163</v>
      </c>
      <c r="G128">
        <v>20411454</v>
      </c>
      <c r="H128" t="s">
        <v>41</v>
      </c>
      <c r="I128">
        <v>2030703148</v>
      </c>
      <c r="J128" t="s">
        <v>179</v>
      </c>
      <c r="M128" t="s">
        <v>65</v>
      </c>
      <c r="O128">
        <v>673059</v>
      </c>
      <c r="P128" t="s">
        <v>52</v>
      </c>
      <c r="Q128" t="s">
        <v>45</v>
      </c>
      <c r="R128" t="s">
        <v>53</v>
      </c>
      <c r="S128" s="1">
        <v>45901</v>
      </c>
      <c r="U128" t="s">
        <v>47</v>
      </c>
      <c r="X128" t="s">
        <v>54</v>
      </c>
      <c r="Y128" s="2">
        <v>74.44</v>
      </c>
      <c r="Z128" s="2">
        <v>74.44</v>
      </c>
      <c r="AA128">
        <v>6</v>
      </c>
      <c r="AB128" s="3">
        <v>0.7</v>
      </c>
      <c r="AC128" s="2">
        <v>312.64999999999998</v>
      </c>
      <c r="AD128" s="3">
        <v>0</v>
      </c>
      <c r="AE128" s="2">
        <v>0</v>
      </c>
      <c r="AF128" s="2">
        <v>312.64999999999998</v>
      </c>
      <c r="AK128" s="4">
        <v>19657880</v>
      </c>
      <c r="AL128" t="s">
        <v>49</v>
      </c>
    </row>
    <row r="129" spans="1:38" x14ac:dyDescent="0.25">
      <c r="A129" s="1">
        <v>45905</v>
      </c>
      <c r="B129" s="1">
        <v>45901</v>
      </c>
      <c r="C129" t="s">
        <v>38</v>
      </c>
      <c r="D129" t="s">
        <v>39</v>
      </c>
      <c r="E129" t="s">
        <v>40</v>
      </c>
      <c r="F129">
        <v>649163</v>
      </c>
      <c r="G129">
        <v>20411454</v>
      </c>
      <c r="H129" t="s">
        <v>41</v>
      </c>
      <c r="I129">
        <v>2030703149</v>
      </c>
      <c r="J129" t="s">
        <v>179</v>
      </c>
      <c r="M129" t="s">
        <v>65</v>
      </c>
      <c r="O129">
        <v>673059</v>
      </c>
      <c r="P129" t="s">
        <v>52</v>
      </c>
      <c r="Q129" t="s">
        <v>45</v>
      </c>
      <c r="R129" t="s">
        <v>77</v>
      </c>
      <c r="S129" s="1">
        <v>45901</v>
      </c>
      <c r="U129" t="s">
        <v>47</v>
      </c>
      <c r="X129" t="s">
        <v>54</v>
      </c>
      <c r="Y129" s="2">
        <v>60.3</v>
      </c>
      <c r="Z129" s="2">
        <v>60.3</v>
      </c>
      <c r="AA129">
        <v>6</v>
      </c>
      <c r="AB129" s="3">
        <v>0.375</v>
      </c>
      <c r="AC129" s="2">
        <v>135.68</v>
      </c>
      <c r="AD129" s="3">
        <v>0</v>
      </c>
      <c r="AE129" s="2">
        <v>0</v>
      </c>
      <c r="AF129" s="2">
        <v>135.68</v>
      </c>
      <c r="AK129" s="4">
        <v>19702480</v>
      </c>
      <c r="AL129" t="s">
        <v>49</v>
      </c>
    </row>
    <row r="130" spans="1:38" x14ac:dyDescent="0.25">
      <c r="A130" s="1">
        <v>45905</v>
      </c>
      <c r="B130" s="1">
        <v>45901</v>
      </c>
      <c r="C130" t="s">
        <v>38</v>
      </c>
      <c r="D130" t="s">
        <v>39</v>
      </c>
      <c r="E130" t="s">
        <v>40</v>
      </c>
      <c r="F130">
        <v>649163</v>
      </c>
      <c r="G130">
        <v>20411454</v>
      </c>
      <c r="H130" t="s">
        <v>41</v>
      </c>
      <c r="I130">
        <v>2030707327</v>
      </c>
      <c r="J130" t="s">
        <v>180</v>
      </c>
      <c r="M130" t="s">
        <v>148</v>
      </c>
      <c r="O130">
        <v>756418</v>
      </c>
      <c r="P130" t="s">
        <v>173</v>
      </c>
      <c r="Q130" t="s">
        <v>45</v>
      </c>
      <c r="R130" t="s">
        <v>74</v>
      </c>
      <c r="S130" s="1">
        <v>45896</v>
      </c>
      <c r="U130" t="s">
        <v>47</v>
      </c>
      <c r="X130" t="s">
        <v>54</v>
      </c>
      <c r="Y130" s="2">
        <v>54.21</v>
      </c>
      <c r="Z130" s="2">
        <v>54.21</v>
      </c>
      <c r="AA130">
        <v>6</v>
      </c>
      <c r="AB130" s="3">
        <v>0.9</v>
      </c>
      <c r="AC130" s="2">
        <v>292.73</v>
      </c>
      <c r="AD130" s="3">
        <v>0</v>
      </c>
      <c r="AE130" s="2">
        <v>0</v>
      </c>
      <c r="AF130" s="2">
        <v>292.73</v>
      </c>
      <c r="AK130" s="4">
        <v>19682760</v>
      </c>
      <c r="AL130" t="s">
        <v>49</v>
      </c>
    </row>
    <row r="131" spans="1:38" x14ac:dyDescent="0.25">
      <c r="A131" s="1">
        <v>45905</v>
      </c>
      <c r="B131" s="1">
        <v>45901</v>
      </c>
      <c r="C131" t="s">
        <v>38</v>
      </c>
      <c r="D131" t="s">
        <v>39</v>
      </c>
      <c r="E131" t="s">
        <v>40</v>
      </c>
      <c r="F131">
        <v>649163</v>
      </c>
      <c r="G131">
        <v>20411454</v>
      </c>
      <c r="H131" t="s">
        <v>41</v>
      </c>
      <c r="I131">
        <v>2030707328</v>
      </c>
      <c r="J131" t="s">
        <v>180</v>
      </c>
      <c r="M131" t="s">
        <v>148</v>
      </c>
      <c r="O131">
        <v>756418</v>
      </c>
      <c r="P131" t="s">
        <v>173</v>
      </c>
      <c r="Q131" t="s">
        <v>45</v>
      </c>
      <c r="R131" t="s">
        <v>53</v>
      </c>
      <c r="S131" s="1">
        <v>45896</v>
      </c>
      <c r="U131" t="s">
        <v>47</v>
      </c>
      <c r="X131" t="s">
        <v>54</v>
      </c>
      <c r="Y131" s="2">
        <v>19.489999999999998</v>
      </c>
      <c r="Z131" s="2">
        <v>19.489999999999998</v>
      </c>
      <c r="AA131">
        <v>6</v>
      </c>
      <c r="AB131" s="3">
        <v>0.7</v>
      </c>
      <c r="AC131" s="2">
        <v>81.86</v>
      </c>
      <c r="AD131" s="3">
        <v>0</v>
      </c>
      <c r="AE131" s="2">
        <v>0</v>
      </c>
      <c r="AF131" s="2">
        <v>81.86</v>
      </c>
      <c r="AK131" s="4">
        <v>19657920</v>
      </c>
      <c r="AL131" t="s">
        <v>49</v>
      </c>
    </row>
    <row r="132" spans="1:38" x14ac:dyDescent="0.25">
      <c r="A132" s="1">
        <v>45905</v>
      </c>
      <c r="B132" s="1">
        <v>45901</v>
      </c>
      <c r="C132" t="s">
        <v>38</v>
      </c>
      <c r="D132" t="s">
        <v>39</v>
      </c>
      <c r="E132" t="s">
        <v>40</v>
      </c>
      <c r="F132">
        <v>649163</v>
      </c>
      <c r="G132">
        <v>20411454</v>
      </c>
      <c r="H132" t="s">
        <v>41</v>
      </c>
      <c r="I132">
        <v>2030707329</v>
      </c>
      <c r="J132" t="s">
        <v>180</v>
      </c>
      <c r="M132" t="s">
        <v>148</v>
      </c>
      <c r="O132">
        <v>756418</v>
      </c>
      <c r="P132" t="s">
        <v>173</v>
      </c>
      <c r="Q132" t="s">
        <v>45</v>
      </c>
      <c r="R132" t="s">
        <v>80</v>
      </c>
      <c r="S132" s="1">
        <v>45896</v>
      </c>
      <c r="U132" t="s">
        <v>47</v>
      </c>
      <c r="X132" t="s">
        <v>54</v>
      </c>
      <c r="Y132" s="2">
        <v>31.07</v>
      </c>
      <c r="Z132" s="2">
        <v>31.07</v>
      </c>
      <c r="AA132">
        <v>6</v>
      </c>
      <c r="AB132" s="3">
        <v>0.38</v>
      </c>
      <c r="AC132" s="2">
        <v>70.84</v>
      </c>
      <c r="AD132" s="3">
        <v>0</v>
      </c>
      <c r="AE132" s="2">
        <v>0</v>
      </c>
      <c r="AF132" s="2">
        <v>70.84</v>
      </c>
      <c r="AK132" s="4">
        <v>19706430</v>
      </c>
      <c r="AL132" t="s">
        <v>49</v>
      </c>
    </row>
    <row r="133" spans="1:38" x14ac:dyDescent="0.25">
      <c r="A133" s="1">
        <v>45905</v>
      </c>
      <c r="B133" s="1">
        <v>45901</v>
      </c>
      <c r="C133" t="s">
        <v>38</v>
      </c>
      <c r="D133" t="s">
        <v>39</v>
      </c>
      <c r="E133" t="s">
        <v>40</v>
      </c>
      <c r="F133">
        <v>649163</v>
      </c>
      <c r="G133">
        <v>20411454</v>
      </c>
      <c r="H133" t="s">
        <v>41</v>
      </c>
      <c r="I133">
        <v>2030710923</v>
      </c>
      <c r="J133" t="s">
        <v>181</v>
      </c>
      <c r="M133" t="s">
        <v>62</v>
      </c>
      <c r="O133">
        <v>669316</v>
      </c>
      <c r="P133" t="s">
        <v>44</v>
      </c>
      <c r="Q133" t="s">
        <v>45</v>
      </c>
      <c r="R133" t="s">
        <v>77</v>
      </c>
      <c r="S133" s="1">
        <v>45901</v>
      </c>
      <c r="U133" t="s">
        <v>47</v>
      </c>
      <c r="X133" t="s">
        <v>54</v>
      </c>
      <c r="Y133" s="2">
        <v>53.87</v>
      </c>
      <c r="Z133" s="2">
        <v>53.87</v>
      </c>
      <c r="AA133">
        <v>6</v>
      </c>
      <c r="AB133" s="3">
        <v>0.375</v>
      </c>
      <c r="AC133" s="2">
        <v>121.21</v>
      </c>
      <c r="AD133" s="3">
        <v>0</v>
      </c>
      <c r="AE133" s="2">
        <v>0</v>
      </c>
      <c r="AF133" s="2">
        <v>121.21</v>
      </c>
      <c r="AK133" s="4">
        <v>19702530</v>
      </c>
      <c r="AL133" t="s">
        <v>49</v>
      </c>
    </row>
    <row r="134" spans="1:38" x14ac:dyDescent="0.25">
      <c r="A134" s="1">
        <v>45905</v>
      </c>
      <c r="B134" s="1">
        <v>45901</v>
      </c>
      <c r="C134" t="s">
        <v>38</v>
      </c>
      <c r="D134" t="s">
        <v>39</v>
      </c>
      <c r="E134" t="s">
        <v>40</v>
      </c>
      <c r="F134">
        <v>649163</v>
      </c>
      <c r="G134">
        <v>20411454</v>
      </c>
      <c r="H134" t="s">
        <v>41</v>
      </c>
      <c r="I134">
        <v>2030710924</v>
      </c>
      <c r="J134" t="s">
        <v>181</v>
      </c>
      <c r="M134" t="s">
        <v>62</v>
      </c>
      <c r="O134">
        <v>669316</v>
      </c>
      <c r="P134" t="s">
        <v>44</v>
      </c>
      <c r="Q134" t="s">
        <v>45</v>
      </c>
      <c r="R134" t="s">
        <v>53</v>
      </c>
      <c r="S134" s="1">
        <v>45901</v>
      </c>
      <c r="U134" t="s">
        <v>47</v>
      </c>
      <c r="X134" t="s">
        <v>54</v>
      </c>
      <c r="Y134" s="2">
        <v>28.9</v>
      </c>
      <c r="Z134" s="2">
        <v>28.9</v>
      </c>
      <c r="AA134">
        <v>6</v>
      </c>
      <c r="AB134" s="3">
        <v>0.7</v>
      </c>
      <c r="AC134" s="2">
        <v>121.38</v>
      </c>
      <c r="AD134" s="3">
        <v>0</v>
      </c>
      <c r="AE134" s="2">
        <v>0</v>
      </c>
      <c r="AF134" s="2">
        <v>121.38</v>
      </c>
      <c r="AK134" s="4">
        <v>19657940</v>
      </c>
      <c r="AL134" t="s">
        <v>49</v>
      </c>
    </row>
    <row r="135" spans="1:38" x14ac:dyDescent="0.25">
      <c r="A135" s="1">
        <v>45905</v>
      </c>
      <c r="B135" s="1">
        <v>45901</v>
      </c>
      <c r="C135" t="s">
        <v>38</v>
      </c>
      <c r="D135" t="s">
        <v>39</v>
      </c>
      <c r="E135" t="s">
        <v>40</v>
      </c>
      <c r="F135">
        <v>649163</v>
      </c>
      <c r="G135">
        <v>20411454</v>
      </c>
      <c r="H135" t="s">
        <v>41</v>
      </c>
      <c r="I135">
        <v>2030711962</v>
      </c>
      <c r="J135" t="s">
        <v>182</v>
      </c>
      <c r="M135" t="s">
        <v>96</v>
      </c>
      <c r="O135">
        <v>856824</v>
      </c>
      <c r="P135" t="s">
        <v>70</v>
      </c>
      <c r="Q135" t="s">
        <v>45</v>
      </c>
      <c r="R135" t="s">
        <v>46</v>
      </c>
      <c r="S135" s="1">
        <v>45901</v>
      </c>
      <c r="U135" t="s">
        <v>47</v>
      </c>
      <c r="X135" t="s">
        <v>183</v>
      </c>
      <c r="Y135" s="2">
        <v>384.91</v>
      </c>
      <c r="Z135" s="2">
        <v>384.91</v>
      </c>
      <c r="AA135">
        <v>1</v>
      </c>
      <c r="AB135" s="3">
        <v>0.28999999999999998</v>
      </c>
      <c r="AC135" s="2">
        <v>111.62</v>
      </c>
      <c r="AD135" s="3">
        <v>0</v>
      </c>
      <c r="AE135" s="2">
        <v>0</v>
      </c>
      <c r="AF135" s="2">
        <v>111.62</v>
      </c>
      <c r="AK135" s="4">
        <v>19717000</v>
      </c>
    </row>
    <row r="136" spans="1:38" x14ac:dyDescent="0.25">
      <c r="A136" s="1">
        <v>45905</v>
      </c>
      <c r="B136" s="1">
        <v>45901</v>
      </c>
      <c r="C136" t="s">
        <v>38</v>
      </c>
      <c r="D136" t="s">
        <v>39</v>
      </c>
      <c r="E136" t="s">
        <v>40</v>
      </c>
      <c r="F136">
        <v>649163</v>
      </c>
      <c r="G136">
        <v>20411454</v>
      </c>
      <c r="H136" t="s">
        <v>41</v>
      </c>
      <c r="I136">
        <v>2030711963</v>
      </c>
      <c r="J136" t="s">
        <v>182</v>
      </c>
      <c r="M136" t="s">
        <v>96</v>
      </c>
      <c r="O136">
        <v>856824</v>
      </c>
      <c r="P136" t="s">
        <v>70</v>
      </c>
      <c r="Q136" t="s">
        <v>45</v>
      </c>
      <c r="R136" t="s">
        <v>165</v>
      </c>
      <c r="S136" s="1">
        <v>45901</v>
      </c>
      <c r="U136" t="s">
        <v>47</v>
      </c>
      <c r="X136" t="s">
        <v>183</v>
      </c>
      <c r="Y136" s="2">
        <v>15</v>
      </c>
      <c r="Z136" s="2">
        <v>15</v>
      </c>
      <c r="AA136">
        <v>1</v>
      </c>
      <c r="AB136" s="3">
        <v>0.28999999999999998</v>
      </c>
      <c r="AC136" s="2">
        <v>4.3499999999999996</v>
      </c>
      <c r="AD136" s="3">
        <v>0</v>
      </c>
      <c r="AE136" s="2">
        <v>0</v>
      </c>
      <c r="AF136" s="2">
        <v>4.3499999999999996</v>
      </c>
      <c r="AK136" s="4">
        <v>19669960</v>
      </c>
    </row>
    <row r="137" spans="1:38" x14ac:dyDescent="0.25">
      <c r="A137" s="1">
        <v>45905</v>
      </c>
      <c r="B137" s="1">
        <v>45901</v>
      </c>
      <c r="C137" t="s">
        <v>38</v>
      </c>
      <c r="D137" t="s">
        <v>39</v>
      </c>
      <c r="E137" t="s">
        <v>40</v>
      </c>
      <c r="F137">
        <v>649163</v>
      </c>
      <c r="G137">
        <v>20411454</v>
      </c>
      <c r="H137" t="s">
        <v>41</v>
      </c>
      <c r="I137">
        <v>2030714655</v>
      </c>
      <c r="J137" t="s">
        <v>184</v>
      </c>
      <c r="M137" t="s">
        <v>83</v>
      </c>
      <c r="O137">
        <v>856824</v>
      </c>
      <c r="P137" t="s">
        <v>70</v>
      </c>
      <c r="Q137" t="s">
        <v>45</v>
      </c>
      <c r="R137" t="s">
        <v>99</v>
      </c>
      <c r="S137" s="1">
        <v>45901</v>
      </c>
      <c r="U137" t="s">
        <v>47</v>
      </c>
      <c r="X137" t="s">
        <v>54</v>
      </c>
      <c r="Y137" s="2">
        <v>22.02</v>
      </c>
      <c r="Z137" s="2">
        <v>22.02</v>
      </c>
      <c r="AA137">
        <v>6</v>
      </c>
      <c r="AB137" s="3">
        <v>0.42</v>
      </c>
      <c r="AC137" s="2">
        <v>55.49</v>
      </c>
      <c r="AD137" s="3">
        <v>0</v>
      </c>
      <c r="AE137" s="2">
        <v>0</v>
      </c>
      <c r="AF137" s="2">
        <v>55.49</v>
      </c>
      <c r="AK137" s="4">
        <v>19702580</v>
      </c>
      <c r="AL137" t="s">
        <v>49</v>
      </c>
    </row>
    <row r="138" spans="1:38" x14ac:dyDescent="0.25">
      <c r="A138" s="1">
        <v>45905</v>
      </c>
      <c r="B138" s="1">
        <v>45901</v>
      </c>
      <c r="C138" t="s">
        <v>38</v>
      </c>
      <c r="D138" t="s">
        <v>39</v>
      </c>
      <c r="E138" t="s">
        <v>40</v>
      </c>
      <c r="F138">
        <v>649163</v>
      </c>
      <c r="G138">
        <v>20411454</v>
      </c>
      <c r="H138" t="s">
        <v>41</v>
      </c>
      <c r="I138">
        <v>2030714656</v>
      </c>
      <c r="J138" t="s">
        <v>184</v>
      </c>
      <c r="M138" t="s">
        <v>83</v>
      </c>
      <c r="O138">
        <v>856824</v>
      </c>
      <c r="P138" t="s">
        <v>70</v>
      </c>
      <c r="Q138" t="s">
        <v>45</v>
      </c>
      <c r="R138" t="s">
        <v>68</v>
      </c>
      <c r="S138" s="1">
        <v>45901</v>
      </c>
      <c r="U138" t="s">
        <v>47</v>
      </c>
      <c r="X138" t="s">
        <v>54</v>
      </c>
      <c r="Y138" s="2">
        <v>195.58</v>
      </c>
      <c r="Z138" s="2">
        <v>195.58</v>
      </c>
      <c r="AA138">
        <v>6</v>
      </c>
      <c r="AB138" s="3">
        <v>0.75</v>
      </c>
      <c r="AC138" s="2">
        <v>880.11</v>
      </c>
      <c r="AD138" s="3">
        <v>0</v>
      </c>
      <c r="AE138" s="2">
        <v>0</v>
      </c>
      <c r="AF138" s="2">
        <v>880.11</v>
      </c>
      <c r="AK138" s="4">
        <v>19682780</v>
      </c>
      <c r="AL138" t="s">
        <v>49</v>
      </c>
    </row>
    <row r="139" spans="1:38" x14ac:dyDescent="0.25">
      <c r="A139" s="1">
        <v>45905</v>
      </c>
      <c r="B139" s="1">
        <v>45901</v>
      </c>
      <c r="C139" t="s">
        <v>38</v>
      </c>
      <c r="D139" t="s">
        <v>39</v>
      </c>
      <c r="E139" t="s">
        <v>40</v>
      </c>
      <c r="F139">
        <v>649163</v>
      </c>
      <c r="G139">
        <v>20411454</v>
      </c>
      <c r="H139" t="s">
        <v>41</v>
      </c>
      <c r="I139">
        <v>2030716398</v>
      </c>
      <c r="J139" t="s">
        <v>185</v>
      </c>
      <c r="M139" t="s">
        <v>62</v>
      </c>
      <c r="O139">
        <v>814033</v>
      </c>
      <c r="P139" t="s">
        <v>113</v>
      </c>
      <c r="Q139" t="s">
        <v>45</v>
      </c>
      <c r="R139" t="s">
        <v>186</v>
      </c>
      <c r="S139" s="1">
        <v>45901</v>
      </c>
      <c r="U139" t="s">
        <v>47</v>
      </c>
      <c r="X139" t="s">
        <v>54</v>
      </c>
      <c r="Y139" s="2">
        <v>84.15</v>
      </c>
      <c r="Z139" s="2">
        <v>84.15</v>
      </c>
      <c r="AA139">
        <v>6</v>
      </c>
      <c r="AB139" s="3">
        <v>0.47</v>
      </c>
      <c r="AC139" s="2">
        <v>237.3</v>
      </c>
      <c r="AD139" s="3">
        <v>0</v>
      </c>
      <c r="AE139" s="2">
        <v>0</v>
      </c>
      <c r="AF139" s="2">
        <v>237.3</v>
      </c>
      <c r="AK139" s="4">
        <v>19702600</v>
      </c>
      <c r="AL139" t="s">
        <v>49</v>
      </c>
    </row>
    <row r="140" spans="1:38" x14ac:dyDescent="0.25">
      <c r="A140" s="1">
        <v>45905</v>
      </c>
      <c r="B140" s="1">
        <v>45901</v>
      </c>
      <c r="C140" t="s">
        <v>38</v>
      </c>
      <c r="D140" t="s">
        <v>39</v>
      </c>
      <c r="E140" t="s">
        <v>40</v>
      </c>
      <c r="F140">
        <v>649163</v>
      </c>
      <c r="G140">
        <v>20411454</v>
      </c>
      <c r="H140" t="s">
        <v>41</v>
      </c>
      <c r="I140">
        <v>2030716585</v>
      </c>
      <c r="J140" t="s">
        <v>187</v>
      </c>
      <c r="M140" t="s">
        <v>72</v>
      </c>
      <c r="O140">
        <v>823068</v>
      </c>
      <c r="P140" t="s">
        <v>188</v>
      </c>
      <c r="Q140" t="s">
        <v>45</v>
      </c>
      <c r="R140" t="s">
        <v>116</v>
      </c>
      <c r="S140" s="1">
        <v>45922</v>
      </c>
      <c r="U140" t="s">
        <v>47</v>
      </c>
      <c r="X140" t="s">
        <v>54</v>
      </c>
      <c r="Y140" s="2">
        <v>24.61</v>
      </c>
      <c r="Z140" s="2">
        <v>24.61</v>
      </c>
      <c r="AA140">
        <v>6</v>
      </c>
      <c r="AB140" s="3">
        <v>0.7</v>
      </c>
      <c r="AC140" s="2">
        <v>103.36</v>
      </c>
      <c r="AD140" s="3">
        <v>0</v>
      </c>
      <c r="AE140" s="2">
        <v>0</v>
      </c>
      <c r="AF140" s="2">
        <v>103.36</v>
      </c>
      <c r="AK140" s="4">
        <v>19634080</v>
      </c>
      <c r="AL140" t="s">
        <v>49</v>
      </c>
    </row>
    <row r="141" spans="1:38" x14ac:dyDescent="0.25">
      <c r="A141" s="1">
        <v>45905</v>
      </c>
      <c r="B141" s="1">
        <v>45901</v>
      </c>
      <c r="C141" t="s">
        <v>38</v>
      </c>
      <c r="D141" t="s">
        <v>39</v>
      </c>
      <c r="E141" t="s">
        <v>40</v>
      </c>
      <c r="F141">
        <v>649163</v>
      </c>
      <c r="G141">
        <v>20411454</v>
      </c>
      <c r="H141" t="s">
        <v>41</v>
      </c>
      <c r="I141">
        <v>2030716586</v>
      </c>
      <c r="J141" t="s">
        <v>187</v>
      </c>
      <c r="M141" t="s">
        <v>72</v>
      </c>
      <c r="O141">
        <v>823068</v>
      </c>
      <c r="P141" t="s">
        <v>188</v>
      </c>
      <c r="Q141" t="s">
        <v>45</v>
      </c>
      <c r="R141" t="s">
        <v>74</v>
      </c>
      <c r="S141" s="1">
        <v>45922</v>
      </c>
      <c r="U141" t="s">
        <v>47</v>
      </c>
      <c r="X141" t="s">
        <v>54</v>
      </c>
      <c r="Y141" s="2">
        <v>109.06</v>
      </c>
      <c r="Z141" s="2">
        <v>109.06</v>
      </c>
      <c r="AA141">
        <v>6</v>
      </c>
      <c r="AB141" s="3">
        <v>0.9</v>
      </c>
      <c r="AC141" s="2">
        <v>588.91999999999996</v>
      </c>
      <c r="AD141" s="3">
        <v>0</v>
      </c>
      <c r="AE141" s="2">
        <v>0</v>
      </c>
      <c r="AF141" s="2">
        <v>588.91999999999996</v>
      </c>
      <c r="AK141" s="4">
        <v>19682790</v>
      </c>
      <c r="AL141" t="s">
        <v>49</v>
      </c>
    </row>
    <row r="142" spans="1:38" x14ac:dyDescent="0.25">
      <c r="A142" s="1">
        <v>45905</v>
      </c>
      <c r="B142" s="1">
        <v>45901</v>
      </c>
      <c r="C142" t="s">
        <v>38</v>
      </c>
      <c r="D142" t="s">
        <v>39</v>
      </c>
      <c r="E142" t="s">
        <v>40</v>
      </c>
      <c r="F142">
        <v>649163</v>
      </c>
      <c r="G142">
        <v>20411454</v>
      </c>
      <c r="H142" t="s">
        <v>41</v>
      </c>
      <c r="I142">
        <v>2030717366</v>
      </c>
      <c r="J142" t="s">
        <v>189</v>
      </c>
      <c r="M142" t="s">
        <v>60</v>
      </c>
      <c r="O142">
        <v>856163</v>
      </c>
      <c r="P142" t="s">
        <v>63</v>
      </c>
      <c r="Q142" t="s">
        <v>45</v>
      </c>
      <c r="R142" t="s">
        <v>77</v>
      </c>
      <c r="S142" s="1">
        <v>45901</v>
      </c>
      <c r="U142" t="s">
        <v>47</v>
      </c>
      <c r="X142" t="s">
        <v>54</v>
      </c>
      <c r="Y142" s="2">
        <v>55.85</v>
      </c>
      <c r="Z142" s="2">
        <v>55.85</v>
      </c>
      <c r="AA142">
        <v>6</v>
      </c>
      <c r="AB142" s="3">
        <v>0.375</v>
      </c>
      <c r="AC142" s="2">
        <v>125.66</v>
      </c>
      <c r="AD142" s="3">
        <v>0</v>
      </c>
      <c r="AE142" s="2">
        <v>0</v>
      </c>
      <c r="AF142" s="2">
        <v>125.66</v>
      </c>
      <c r="AK142" s="4">
        <v>19702620</v>
      </c>
      <c r="AL142" t="s">
        <v>49</v>
      </c>
    </row>
    <row r="143" spans="1:38" x14ac:dyDescent="0.25">
      <c r="A143" s="1">
        <v>45905</v>
      </c>
      <c r="B143" s="1">
        <v>45901</v>
      </c>
      <c r="C143" t="s">
        <v>38</v>
      </c>
      <c r="D143" t="s">
        <v>39</v>
      </c>
      <c r="E143" t="s">
        <v>40</v>
      </c>
      <c r="F143">
        <v>649163</v>
      </c>
      <c r="G143">
        <v>20411454</v>
      </c>
      <c r="H143" t="s">
        <v>41</v>
      </c>
      <c r="I143">
        <v>2030720374</v>
      </c>
      <c r="J143" t="s">
        <v>190</v>
      </c>
      <c r="M143" t="s">
        <v>148</v>
      </c>
      <c r="O143">
        <v>816021</v>
      </c>
      <c r="P143" t="s">
        <v>149</v>
      </c>
      <c r="Q143" t="s">
        <v>45</v>
      </c>
      <c r="R143" t="s">
        <v>77</v>
      </c>
      <c r="S143" s="1">
        <v>45901</v>
      </c>
      <c r="U143" t="s">
        <v>47</v>
      </c>
      <c r="X143" t="s">
        <v>54</v>
      </c>
      <c r="Y143" s="2">
        <v>54.2</v>
      </c>
      <c r="Z143" s="2">
        <v>54.2</v>
      </c>
      <c r="AA143">
        <v>6</v>
      </c>
      <c r="AB143" s="3">
        <v>0.375</v>
      </c>
      <c r="AC143" s="2">
        <v>121.95</v>
      </c>
      <c r="AD143" s="3">
        <v>0</v>
      </c>
      <c r="AE143" s="2">
        <v>0</v>
      </c>
      <c r="AF143" s="2">
        <v>121.95</v>
      </c>
      <c r="AK143" s="4">
        <v>19702650</v>
      </c>
      <c r="AL143" t="s">
        <v>49</v>
      </c>
    </row>
    <row r="144" spans="1:38" x14ac:dyDescent="0.25">
      <c r="A144" s="1">
        <v>45905</v>
      </c>
      <c r="B144" s="1">
        <v>45901</v>
      </c>
      <c r="C144" t="s">
        <v>38</v>
      </c>
      <c r="D144" t="s">
        <v>39</v>
      </c>
      <c r="E144" t="s">
        <v>40</v>
      </c>
      <c r="F144">
        <v>649163</v>
      </c>
      <c r="G144">
        <v>20411454</v>
      </c>
      <c r="H144" t="s">
        <v>41</v>
      </c>
      <c r="I144">
        <v>2030720375</v>
      </c>
      <c r="J144" t="s">
        <v>190</v>
      </c>
      <c r="M144" t="s">
        <v>148</v>
      </c>
      <c r="O144">
        <v>816021</v>
      </c>
      <c r="P144" t="s">
        <v>149</v>
      </c>
      <c r="Q144" t="s">
        <v>45</v>
      </c>
      <c r="R144" t="s">
        <v>53</v>
      </c>
      <c r="S144" s="1">
        <v>45901</v>
      </c>
      <c r="U144" t="s">
        <v>47</v>
      </c>
      <c r="X144" t="s">
        <v>54</v>
      </c>
      <c r="Y144" s="2">
        <v>9.1</v>
      </c>
      <c r="Z144" s="2">
        <v>9.1</v>
      </c>
      <c r="AA144">
        <v>6</v>
      </c>
      <c r="AB144" s="3">
        <v>0.7</v>
      </c>
      <c r="AC144" s="2">
        <v>38.22</v>
      </c>
      <c r="AD144" s="3">
        <v>0</v>
      </c>
      <c r="AE144" s="2">
        <v>0</v>
      </c>
      <c r="AF144" s="2">
        <v>38.22</v>
      </c>
      <c r="AK144" s="4">
        <v>19658090</v>
      </c>
      <c r="AL144" t="s">
        <v>49</v>
      </c>
    </row>
    <row r="145" spans="1:38" x14ac:dyDescent="0.25">
      <c r="A145" s="1">
        <v>45905</v>
      </c>
      <c r="B145" s="1">
        <v>45901</v>
      </c>
      <c r="C145" t="s">
        <v>38</v>
      </c>
      <c r="D145" t="s">
        <v>39</v>
      </c>
      <c r="E145" t="s">
        <v>40</v>
      </c>
      <c r="F145">
        <v>649163</v>
      </c>
      <c r="G145">
        <v>20411454</v>
      </c>
      <c r="H145" t="s">
        <v>41</v>
      </c>
      <c r="I145">
        <v>2030720376</v>
      </c>
      <c r="J145" t="s">
        <v>190</v>
      </c>
      <c r="M145" t="s">
        <v>148</v>
      </c>
      <c r="O145">
        <v>816021</v>
      </c>
      <c r="P145" t="s">
        <v>149</v>
      </c>
      <c r="Q145" t="s">
        <v>45</v>
      </c>
      <c r="R145" t="s">
        <v>191</v>
      </c>
      <c r="S145" s="1">
        <v>45901</v>
      </c>
      <c r="U145" t="s">
        <v>47</v>
      </c>
      <c r="X145" t="s">
        <v>54</v>
      </c>
      <c r="Y145" s="2">
        <v>59.03</v>
      </c>
      <c r="Z145" s="2">
        <v>59.03</v>
      </c>
      <c r="AA145">
        <v>6</v>
      </c>
      <c r="AB145" s="3">
        <v>0.65</v>
      </c>
      <c r="AC145" s="2">
        <v>230.22</v>
      </c>
      <c r="AD145" s="3">
        <v>0</v>
      </c>
      <c r="AE145" s="2">
        <v>0</v>
      </c>
      <c r="AF145" s="2">
        <v>230.22</v>
      </c>
      <c r="AK145" s="4">
        <v>19682810</v>
      </c>
      <c r="AL145" t="s">
        <v>49</v>
      </c>
    </row>
    <row r="146" spans="1:38" x14ac:dyDescent="0.25">
      <c r="A146" s="1">
        <v>45905</v>
      </c>
      <c r="B146" s="1">
        <v>45901</v>
      </c>
      <c r="C146" t="s">
        <v>38</v>
      </c>
      <c r="D146" t="s">
        <v>39</v>
      </c>
      <c r="E146" t="s">
        <v>40</v>
      </c>
      <c r="F146">
        <v>649163</v>
      </c>
      <c r="G146">
        <v>20411454</v>
      </c>
      <c r="H146" t="s">
        <v>41</v>
      </c>
      <c r="I146">
        <v>2030720647</v>
      </c>
      <c r="J146" t="s">
        <v>192</v>
      </c>
      <c r="M146" t="s">
        <v>65</v>
      </c>
      <c r="O146">
        <v>867497</v>
      </c>
      <c r="P146" t="s">
        <v>94</v>
      </c>
      <c r="Q146" t="s">
        <v>45</v>
      </c>
      <c r="R146" t="s">
        <v>53</v>
      </c>
      <c r="S146" s="1">
        <v>45901</v>
      </c>
      <c r="U146" t="s">
        <v>47</v>
      </c>
      <c r="X146" t="s">
        <v>54</v>
      </c>
      <c r="Y146" s="2">
        <v>163.43</v>
      </c>
      <c r="Z146" s="2">
        <v>163.43</v>
      </c>
      <c r="AA146">
        <v>6</v>
      </c>
      <c r="AB146" s="3">
        <v>0.7</v>
      </c>
      <c r="AC146" s="2">
        <v>686.41</v>
      </c>
      <c r="AD146" s="3">
        <v>0</v>
      </c>
      <c r="AE146" s="2">
        <v>0</v>
      </c>
      <c r="AF146" s="2">
        <v>686.41</v>
      </c>
      <c r="AK146" s="4">
        <v>19658090</v>
      </c>
      <c r="AL146" t="s">
        <v>49</v>
      </c>
    </row>
    <row r="147" spans="1:38" x14ac:dyDescent="0.25">
      <c r="A147" s="1">
        <v>45905</v>
      </c>
      <c r="B147" s="1">
        <v>45901</v>
      </c>
      <c r="C147" t="s">
        <v>38</v>
      </c>
      <c r="D147" t="s">
        <v>39</v>
      </c>
      <c r="E147" t="s">
        <v>40</v>
      </c>
      <c r="F147">
        <v>649163</v>
      </c>
      <c r="G147">
        <v>20411454</v>
      </c>
      <c r="H147" t="s">
        <v>41</v>
      </c>
      <c r="I147">
        <v>2030720776</v>
      </c>
      <c r="J147" t="s">
        <v>193</v>
      </c>
      <c r="M147" t="s">
        <v>72</v>
      </c>
      <c r="O147">
        <v>823068</v>
      </c>
      <c r="P147" t="s">
        <v>188</v>
      </c>
      <c r="Q147" t="s">
        <v>45</v>
      </c>
      <c r="R147" t="s">
        <v>143</v>
      </c>
      <c r="S147" s="1">
        <v>45901</v>
      </c>
      <c r="U147" t="s">
        <v>47</v>
      </c>
      <c r="X147" t="s">
        <v>54</v>
      </c>
      <c r="Y147" s="2">
        <v>99.25</v>
      </c>
      <c r="Z147" s="2">
        <v>99.25</v>
      </c>
      <c r="AA147">
        <v>6</v>
      </c>
      <c r="AB147" s="3">
        <v>0.9</v>
      </c>
      <c r="AC147" s="2">
        <v>535.95000000000005</v>
      </c>
      <c r="AD147" s="3">
        <v>0</v>
      </c>
      <c r="AE147" s="2">
        <v>0</v>
      </c>
      <c r="AF147" s="2">
        <v>535.95000000000005</v>
      </c>
      <c r="AK147" s="4">
        <v>19709440</v>
      </c>
      <c r="AL147" t="s">
        <v>49</v>
      </c>
    </row>
    <row r="148" spans="1:38" x14ac:dyDescent="0.25">
      <c r="A148" s="1">
        <v>45905</v>
      </c>
      <c r="B148" s="1">
        <v>45901</v>
      </c>
      <c r="C148" t="s">
        <v>38</v>
      </c>
      <c r="D148" t="s">
        <v>39</v>
      </c>
      <c r="E148" t="s">
        <v>40</v>
      </c>
      <c r="F148">
        <v>649163</v>
      </c>
      <c r="G148">
        <v>20411454</v>
      </c>
      <c r="H148" t="s">
        <v>41</v>
      </c>
      <c r="I148">
        <v>2030720777</v>
      </c>
      <c r="J148" t="s">
        <v>193</v>
      </c>
      <c r="M148" t="s">
        <v>72</v>
      </c>
      <c r="O148">
        <v>823068</v>
      </c>
      <c r="P148" t="s">
        <v>188</v>
      </c>
      <c r="Q148" t="s">
        <v>45</v>
      </c>
      <c r="R148" t="s">
        <v>116</v>
      </c>
      <c r="S148" s="1">
        <v>45901</v>
      </c>
      <c r="U148" t="s">
        <v>47</v>
      </c>
      <c r="X148" t="s">
        <v>54</v>
      </c>
      <c r="Y148" s="2">
        <v>24.61</v>
      </c>
      <c r="Z148" s="2">
        <v>24.61</v>
      </c>
      <c r="AA148">
        <v>6</v>
      </c>
      <c r="AB148" s="3">
        <v>0.7</v>
      </c>
      <c r="AC148" s="2">
        <v>103.36</v>
      </c>
      <c r="AD148" s="3">
        <v>0</v>
      </c>
      <c r="AE148" s="2">
        <v>0</v>
      </c>
      <c r="AF148" s="2">
        <v>103.36</v>
      </c>
      <c r="AK148" s="4">
        <v>19634080</v>
      </c>
      <c r="AL148" t="s">
        <v>49</v>
      </c>
    </row>
    <row r="149" spans="1:38" x14ac:dyDescent="0.25">
      <c r="A149" s="1">
        <v>45905</v>
      </c>
      <c r="B149" s="1">
        <v>45901</v>
      </c>
      <c r="C149" t="s">
        <v>38</v>
      </c>
      <c r="D149" t="s">
        <v>39</v>
      </c>
      <c r="E149" t="s">
        <v>40</v>
      </c>
      <c r="F149">
        <v>649163</v>
      </c>
      <c r="G149">
        <v>20411454</v>
      </c>
      <c r="H149" t="s">
        <v>41</v>
      </c>
      <c r="I149">
        <v>2030722441</v>
      </c>
      <c r="J149" t="s">
        <v>194</v>
      </c>
      <c r="M149" t="s">
        <v>101</v>
      </c>
      <c r="O149">
        <v>812994</v>
      </c>
      <c r="P149" t="s">
        <v>195</v>
      </c>
      <c r="Q149" t="s">
        <v>45</v>
      </c>
      <c r="R149" t="s">
        <v>46</v>
      </c>
      <c r="S149" s="1">
        <v>45897</v>
      </c>
      <c r="U149" t="s">
        <v>47</v>
      </c>
      <c r="X149" t="s">
        <v>121</v>
      </c>
      <c r="Y149" s="2">
        <v>150.93</v>
      </c>
      <c r="Z149" s="2">
        <v>150.93</v>
      </c>
      <c r="AA149">
        <v>3</v>
      </c>
      <c r="AB149" s="3">
        <v>0.28999999999999998</v>
      </c>
      <c r="AC149" s="2">
        <v>131.31</v>
      </c>
      <c r="AD149" s="3">
        <v>0</v>
      </c>
      <c r="AE149" s="2">
        <v>0</v>
      </c>
      <c r="AF149" s="2">
        <v>131.31</v>
      </c>
      <c r="AK149" s="4">
        <v>19717150</v>
      </c>
      <c r="AL149" t="s">
        <v>49</v>
      </c>
    </row>
    <row r="150" spans="1:38" x14ac:dyDescent="0.25">
      <c r="A150" s="1">
        <v>45905</v>
      </c>
      <c r="B150" s="1">
        <v>45901</v>
      </c>
      <c r="C150" t="s">
        <v>38</v>
      </c>
      <c r="D150" t="s">
        <v>39</v>
      </c>
      <c r="E150" t="s">
        <v>40</v>
      </c>
      <c r="F150">
        <v>649163</v>
      </c>
      <c r="G150">
        <v>20411454</v>
      </c>
      <c r="H150" t="s">
        <v>41</v>
      </c>
      <c r="I150">
        <v>2030722442</v>
      </c>
      <c r="J150" t="s">
        <v>194</v>
      </c>
      <c r="M150" t="s">
        <v>101</v>
      </c>
      <c r="O150">
        <v>812994</v>
      </c>
      <c r="P150" t="s">
        <v>195</v>
      </c>
      <c r="Q150" t="s">
        <v>45</v>
      </c>
      <c r="R150" t="s">
        <v>165</v>
      </c>
      <c r="S150" s="1">
        <v>45897</v>
      </c>
      <c r="U150" t="s">
        <v>47</v>
      </c>
      <c r="X150" t="s">
        <v>121</v>
      </c>
      <c r="Y150" s="2">
        <v>15</v>
      </c>
      <c r="Z150" s="2">
        <v>15</v>
      </c>
      <c r="AA150">
        <v>3</v>
      </c>
      <c r="AB150" s="3">
        <v>0.28999999999999998</v>
      </c>
      <c r="AC150" s="2">
        <v>13.05</v>
      </c>
      <c r="AD150" s="3">
        <v>0</v>
      </c>
      <c r="AE150" s="2">
        <v>0</v>
      </c>
      <c r="AF150" s="2">
        <v>13.05</v>
      </c>
      <c r="AK150" s="4">
        <v>19670060</v>
      </c>
      <c r="AL150" t="s">
        <v>49</v>
      </c>
    </row>
    <row r="151" spans="1:38" x14ac:dyDescent="0.25">
      <c r="A151" s="1">
        <v>45905</v>
      </c>
      <c r="B151" s="1">
        <v>45901</v>
      </c>
      <c r="C151" t="s">
        <v>38</v>
      </c>
      <c r="D151" t="s">
        <v>39</v>
      </c>
      <c r="E151" t="s">
        <v>40</v>
      </c>
      <c r="F151">
        <v>649163</v>
      </c>
      <c r="G151">
        <v>20411454</v>
      </c>
      <c r="H151" t="s">
        <v>41</v>
      </c>
      <c r="I151">
        <v>2030725188</v>
      </c>
      <c r="J151" t="s">
        <v>196</v>
      </c>
      <c r="M151" t="s">
        <v>65</v>
      </c>
      <c r="O151">
        <v>821015</v>
      </c>
      <c r="P151" t="s">
        <v>127</v>
      </c>
      <c r="Q151" t="s">
        <v>45</v>
      </c>
      <c r="R151" t="s">
        <v>53</v>
      </c>
      <c r="S151" s="1">
        <v>45898</v>
      </c>
      <c r="U151" t="s">
        <v>47</v>
      </c>
      <c r="X151" t="s">
        <v>54</v>
      </c>
      <c r="Y151" s="2">
        <v>119.52</v>
      </c>
      <c r="Z151" s="2">
        <v>119.52</v>
      </c>
      <c r="AA151">
        <v>6</v>
      </c>
      <c r="AB151" s="3">
        <v>0.7</v>
      </c>
      <c r="AC151" s="2">
        <v>501.98</v>
      </c>
      <c r="AD151" s="3">
        <v>0</v>
      </c>
      <c r="AE151" s="2">
        <v>0</v>
      </c>
      <c r="AF151" s="2">
        <v>501.98</v>
      </c>
      <c r="AK151" s="4">
        <v>19658130</v>
      </c>
      <c r="AL151" t="s">
        <v>49</v>
      </c>
    </row>
    <row r="152" spans="1:38" x14ac:dyDescent="0.25">
      <c r="A152" s="1">
        <v>45905</v>
      </c>
      <c r="B152" s="1">
        <v>45901</v>
      </c>
      <c r="C152" t="s">
        <v>38</v>
      </c>
      <c r="D152" t="s">
        <v>39</v>
      </c>
      <c r="E152" t="s">
        <v>40</v>
      </c>
      <c r="F152">
        <v>649163</v>
      </c>
      <c r="G152">
        <v>20411454</v>
      </c>
      <c r="H152" t="s">
        <v>41</v>
      </c>
      <c r="I152">
        <v>2030733953</v>
      </c>
      <c r="J152" t="s">
        <v>197</v>
      </c>
      <c r="M152" t="s">
        <v>104</v>
      </c>
      <c r="O152">
        <v>669316</v>
      </c>
      <c r="P152" t="s">
        <v>44</v>
      </c>
      <c r="Q152" t="s">
        <v>45</v>
      </c>
      <c r="R152" t="s">
        <v>58</v>
      </c>
      <c r="S152" s="1">
        <v>45901</v>
      </c>
      <c r="U152" t="s">
        <v>47</v>
      </c>
      <c r="X152" t="s">
        <v>54</v>
      </c>
      <c r="Y152" s="2">
        <v>208.35</v>
      </c>
      <c r="Z152" s="2">
        <v>208.35</v>
      </c>
      <c r="AA152">
        <v>6</v>
      </c>
      <c r="AB152" s="3">
        <v>0.75</v>
      </c>
      <c r="AC152" s="2">
        <v>937.58</v>
      </c>
      <c r="AD152" s="3">
        <v>0</v>
      </c>
      <c r="AE152" s="2">
        <v>0</v>
      </c>
      <c r="AF152" s="2">
        <v>937.58</v>
      </c>
      <c r="AK152" s="4">
        <v>19682850</v>
      </c>
      <c r="AL152" t="s">
        <v>49</v>
      </c>
    </row>
    <row r="153" spans="1:38" x14ac:dyDescent="0.25">
      <c r="A153" s="1">
        <v>45905</v>
      </c>
      <c r="B153" s="1">
        <v>45901</v>
      </c>
      <c r="C153" t="s">
        <v>38</v>
      </c>
      <c r="D153" t="s">
        <v>39</v>
      </c>
      <c r="E153" t="s">
        <v>40</v>
      </c>
      <c r="F153">
        <v>649163</v>
      </c>
      <c r="G153">
        <v>20411454</v>
      </c>
      <c r="H153" t="s">
        <v>41</v>
      </c>
      <c r="I153">
        <v>2030735251</v>
      </c>
      <c r="J153" t="s">
        <v>198</v>
      </c>
      <c r="M153" t="s">
        <v>72</v>
      </c>
      <c r="O153">
        <v>823068</v>
      </c>
      <c r="P153" t="s">
        <v>188</v>
      </c>
      <c r="Q153" t="s">
        <v>45</v>
      </c>
      <c r="R153" t="s">
        <v>116</v>
      </c>
      <c r="S153" s="1">
        <v>45906</v>
      </c>
      <c r="U153" t="s">
        <v>47</v>
      </c>
      <c r="X153" t="s">
        <v>54</v>
      </c>
      <c r="Y153" s="2">
        <v>24.61</v>
      </c>
      <c r="Z153" s="2">
        <v>24.61</v>
      </c>
      <c r="AA153">
        <v>6</v>
      </c>
      <c r="AB153" s="3">
        <v>0.7</v>
      </c>
      <c r="AC153" s="2">
        <v>103.36</v>
      </c>
      <c r="AD153" s="3">
        <v>0</v>
      </c>
      <c r="AE153" s="2">
        <v>0</v>
      </c>
      <c r="AF153" s="2">
        <v>103.36</v>
      </c>
      <c r="AK153" s="4">
        <v>19634090</v>
      </c>
      <c r="AL153" t="s">
        <v>49</v>
      </c>
    </row>
    <row r="154" spans="1:38" x14ac:dyDescent="0.25">
      <c r="A154" s="1">
        <v>45905</v>
      </c>
      <c r="B154" s="1">
        <v>45901</v>
      </c>
      <c r="C154" t="s">
        <v>38</v>
      </c>
      <c r="D154" t="s">
        <v>39</v>
      </c>
      <c r="E154" t="s">
        <v>40</v>
      </c>
      <c r="F154">
        <v>649163</v>
      </c>
      <c r="G154">
        <v>20411454</v>
      </c>
      <c r="H154" t="s">
        <v>41</v>
      </c>
      <c r="I154">
        <v>2030735252</v>
      </c>
      <c r="J154" t="s">
        <v>198</v>
      </c>
      <c r="M154" t="s">
        <v>72</v>
      </c>
      <c r="O154">
        <v>823068</v>
      </c>
      <c r="P154" t="s">
        <v>188</v>
      </c>
      <c r="Q154" t="s">
        <v>45</v>
      </c>
      <c r="R154" t="s">
        <v>74</v>
      </c>
      <c r="S154" s="1">
        <v>45906</v>
      </c>
      <c r="U154" t="s">
        <v>47</v>
      </c>
      <c r="X154" t="s">
        <v>54</v>
      </c>
      <c r="Y154" s="2">
        <v>41.32</v>
      </c>
      <c r="Z154" s="2">
        <v>41.32</v>
      </c>
      <c r="AA154">
        <v>6</v>
      </c>
      <c r="AB154" s="3">
        <v>0.9</v>
      </c>
      <c r="AC154" s="2">
        <v>223.13</v>
      </c>
      <c r="AD154" s="3">
        <v>0</v>
      </c>
      <c r="AE154" s="2">
        <v>0</v>
      </c>
      <c r="AF154" s="2">
        <v>223.13</v>
      </c>
      <c r="AK154" s="4">
        <v>19682860</v>
      </c>
      <c r="AL154" t="s">
        <v>49</v>
      </c>
    </row>
    <row r="155" spans="1:38" x14ac:dyDescent="0.25">
      <c r="A155" s="1">
        <v>45905</v>
      </c>
      <c r="B155" s="1">
        <v>45901</v>
      </c>
      <c r="C155" t="s">
        <v>38</v>
      </c>
      <c r="D155" t="s">
        <v>39</v>
      </c>
      <c r="E155" t="s">
        <v>40</v>
      </c>
      <c r="F155">
        <v>649163</v>
      </c>
      <c r="G155">
        <v>20411454</v>
      </c>
      <c r="H155" t="s">
        <v>41</v>
      </c>
      <c r="I155">
        <v>2030741155</v>
      </c>
      <c r="J155" t="s">
        <v>199</v>
      </c>
      <c r="M155" t="s">
        <v>200</v>
      </c>
      <c r="O155">
        <v>767312</v>
      </c>
      <c r="P155" t="s">
        <v>201</v>
      </c>
      <c r="Q155" t="s">
        <v>45</v>
      </c>
      <c r="R155" t="s">
        <v>77</v>
      </c>
      <c r="S155" s="1">
        <v>45898</v>
      </c>
      <c r="U155" t="s">
        <v>47</v>
      </c>
      <c r="X155" t="s">
        <v>54</v>
      </c>
      <c r="Y155" s="2">
        <v>25.08</v>
      </c>
      <c r="Z155" s="2">
        <v>25.08</v>
      </c>
      <c r="AA155">
        <v>6</v>
      </c>
      <c r="AB155" s="3">
        <v>0.375</v>
      </c>
      <c r="AC155" s="2">
        <v>56.43</v>
      </c>
      <c r="AD155" s="3">
        <v>0</v>
      </c>
      <c r="AE155" s="2">
        <v>0</v>
      </c>
      <c r="AF155" s="2">
        <v>56.43</v>
      </c>
      <c r="AK155" s="4">
        <v>19702780</v>
      </c>
      <c r="AL155" t="s">
        <v>49</v>
      </c>
    </row>
    <row r="156" spans="1:38" x14ac:dyDescent="0.25">
      <c r="A156" s="1">
        <v>45905</v>
      </c>
      <c r="B156" s="1">
        <v>45901</v>
      </c>
      <c r="C156" t="s">
        <v>38</v>
      </c>
      <c r="D156" t="s">
        <v>39</v>
      </c>
      <c r="E156" t="s">
        <v>40</v>
      </c>
      <c r="F156">
        <v>649163</v>
      </c>
      <c r="G156">
        <v>20411454</v>
      </c>
      <c r="H156" t="s">
        <v>41</v>
      </c>
      <c r="I156">
        <v>2030741156</v>
      </c>
      <c r="J156" t="s">
        <v>199</v>
      </c>
      <c r="M156" t="s">
        <v>200</v>
      </c>
      <c r="O156">
        <v>767312</v>
      </c>
      <c r="P156" t="s">
        <v>201</v>
      </c>
      <c r="Q156" t="s">
        <v>45</v>
      </c>
      <c r="R156" t="s">
        <v>143</v>
      </c>
      <c r="S156" s="1">
        <v>45898</v>
      </c>
      <c r="U156" t="s">
        <v>47</v>
      </c>
      <c r="X156" t="s">
        <v>54</v>
      </c>
      <c r="Y156" s="2">
        <v>27.81</v>
      </c>
      <c r="Z156" s="2">
        <v>27.81</v>
      </c>
      <c r="AA156">
        <v>6</v>
      </c>
      <c r="AB156" s="3">
        <v>0.9</v>
      </c>
      <c r="AC156" s="2">
        <v>150.16999999999999</v>
      </c>
      <c r="AD156" s="3">
        <v>0</v>
      </c>
      <c r="AE156" s="2">
        <v>0</v>
      </c>
      <c r="AF156" s="2">
        <v>150.16999999999999</v>
      </c>
      <c r="AK156" s="4">
        <v>19709460</v>
      </c>
      <c r="AL156" t="s">
        <v>49</v>
      </c>
    </row>
    <row r="157" spans="1:38" x14ac:dyDescent="0.25">
      <c r="A157" s="1">
        <v>45905</v>
      </c>
      <c r="B157" s="1">
        <v>45901</v>
      </c>
      <c r="C157" t="s">
        <v>38</v>
      </c>
      <c r="D157" t="s">
        <v>39</v>
      </c>
      <c r="E157" t="s">
        <v>40</v>
      </c>
      <c r="F157">
        <v>649163</v>
      </c>
      <c r="G157">
        <v>20411454</v>
      </c>
      <c r="H157" t="s">
        <v>41</v>
      </c>
      <c r="I157">
        <v>2030743323</v>
      </c>
      <c r="J157" t="s">
        <v>202</v>
      </c>
      <c r="M157" t="s">
        <v>65</v>
      </c>
      <c r="O157">
        <v>753748</v>
      </c>
      <c r="P157" t="s">
        <v>57</v>
      </c>
      <c r="Q157" t="s">
        <v>45</v>
      </c>
      <c r="R157" t="s">
        <v>53</v>
      </c>
      <c r="S157" s="1">
        <v>45901</v>
      </c>
      <c r="U157" t="s">
        <v>47</v>
      </c>
      <c r="X157" t="s">
        <v>54</v>
      </c>
      <c r="Y157" s="2">
        <v>50.24</v>
      </c>
      <c r="Z157" s="2">
        <v>50.24</v>
      </c>
      <c r="AA157">
        <v>6</v>
      </c>
      <c r="AB157" s="3">
        <v>0.7</v>
      </c>
      <c r="AC157" s="2">
        <v>211.01</v>
      </c>
      <c r="AD157" s="3">
        <v>0</v>
      </c>
      <c r="AE157" s="2">
        <v>0</v>
      </c>
      <c r="AF157" s="2">
        <v>211.01</v>
      </c>
      <c r="AK157" s="4">
        <v>19658280</v>
      </c>
      <c r="AL157" t="s">
        <v>49</v>
      </c>
    </row>
    <row r="158" spans="1:38" x14ac:dyDescent="0.25">
      <c r="A158" s="1">
        <v>45905</v>
      </c>
      <c r="B158" s="1">
        <v>45901</v>
      </c>
      <c r="C158" t="s">
        <v>38</v>
      </c>
      <c r="D158" t="s">
        <v>39</v>
      </c>
      <c r="E158" t="s">
        <v>40</v>
      </c>
      <c r="F158">
        <v>649163</v>
      </c>
      <c r="G158">
        <v>20411454</v>
      </c>
      <c r="H158" t="s">
        <v>41</v>
      </c>
      <c r="I158">
        <v>2030743324</v>
      </c>
      <c r="J158" t="s">
        <v>202</v>
      </c>
      <c r="M158" t="s">
        <v>65</v>
      </c>
      <c r="O158">
        <v>753748</v>
      </c>
      <c r="P158" t="s">
        <v>57</v>
      </c>
      <c r="Q158" t="s">
        <v>45</v>
      </c>
      <c r="R158" t="s">
        <v>143</v>
      </c>
      <c r="S158" s="1">
        <v>45901</v>
      </c>
      <c r="U158" t="s">
        <v>47</v>
      </c>
      <c r="X158" t="s">
        <v>54</v>
      </c>
      <c r="Y158" s="2">
        <v>68.75</v>
      </c>
      <c r="Z158" s="2">
        <v>68.75</v>
      </c>
      <c r="AA158">
        <v>6</v>
      </c>
      <c r="AB158" s="3">
        <v>0.9</v>
      </c>
      <c r="AC158" s="2">
        <v>371.25</v>
      </c>
      <c r="AD158" s="3">
        <v>0</v>
      </c>
      <c r="AE158" s="2">
        <v>0</v>
      </c>
      <c r="AF158" s="2">
        <v>371.25</v>
      </c>
      <c r="AK158" s="4">
        <v>19709470</v>
      </c>
      <c r="AL158" t="s">
        <v>49</v>
      </c>
    </row>
    <row r="159" spans="1:38" x14ac:dyDescent="0.25">
      <c r="A159" s="1">
        <v>45905</v>
      </c>
      <c r="B159" s="1">
        <v>45901</v>
      </c>
      <c r="C159" t="s">
        <v>38</v>
      </c>
      <c r="D159" t="s">
        <v>39</v>
      </c>
      <c r="E159" t="s">
        <v>40</v>
      </c>
      <c r="F159">
        <v>649163</v>
      </c>
      <c r="G159">
        <v>20411454</v>
      </c>
      <c r="H159" t="s">
        <v>41</v>
      </c>
      <c r="I159">
        <v>2030743615</v>
      </c>
      <c r="J159" t="s">
        <v>203</v>
      </c>
      <c r="M159" t="s">
        <v>62</v>
      </c>
      <c r="O159">
        <v>843573</v>
      </c>
      <c r="P159" t="s">
        <v>204</v>
      </c>
      <c r="Q159" t="s">
        <v>45</v>
      </c>
      <c r="R159" t="s">
        <v>77</v>
      </c>
      <c r="S159" s="1">
        <v>45898</v>
      </c>
      <c r="U159" t="s">
        <v>47</v>
      </c>
      <c r="X159" t="s">
        <v>54</v>
      </c>
      <c r="Y159" s="2">
        <v>77.48</v>
      </c>
      <c r="Z159" s="2">
        <v>77.48</v>
      </c>
      <c r="AA159">
        <v>6</v>
      </c>
      <c r="AB159" s="3">
        <v>0.375</v>
      </c>
      <c r="AC159" s="2">
        <v>174.33</v>
      </c>
      <c r="AD159" s="3">
        <v>0</v>
      </c>
      <c r="AE159" s="2">
        <v>0</v>
      </c>
      <c r="AF159" s="2">
        <v>174.33</v>
      </c>
      <c r="AK159" s="4">
        <v>19702810</v>
      </c>
      <c r="AL159" t="s">
        <v>49</v>
      </c>
    </row>
    <row r="160" spans="1:38" x14ac:dyDescent="0.25">
      <c r="A160" s="1">
        <v>45905</v>
      </c>
      <c r="B160" s="1">
        <v>45901</v>
      </c>
      <c r="C160" t="s">
        <v>38</v>
      </c>
      <c r="D160" t="s">
        <v>39</v>
      </c>
      <c r="E160" t="s">
        <v>40</v>
      </c>
      <c r="F160">
        <v>649163</v>
      </c>
      <c r="G160">
        <v>20411454</v>
      </c>
      <c r="H160" t="s">
        <v>41</v>
      </c>
      <c r="I160">
        <v>2030743616</v>
      </c>
      <c r="J160" t="s">
        <v>203</v>
      </c>
      <c r="M160" t="s">
        <v>62</v>
      </c>
      <c r="O160">
        <v>843573</v>
      </c>
      <c r="P160" t="s">
        <v>204</v>
      </c>
      <c r="Q160" t="s">
        <v>45</v>
      </c>
      <c r="R160" t="s">
        <v>53</v>
      </c>
      <c r="S160" s="1">
        <v>45898</v>
      </c>
      <c r="U160" t="s">
        <v>47</v>
      </c>
      <c r="X160" t="s">
        <v>54</v>
      </c>
      <c r="Y160" s="2">
        <v>11.5</v>
      </c>
      <c r="Z160" s="2">
        <v>11.5</v>
      </c>
      <c r="AA160">
        <v>6</v>
      </c>
      <c r="AB160" s="3">
        <v>0.7</v>
      </c>
      <c r="AC160" s="2">
        <v>48.3</v>
      </c>
      <c r="AD160" s="3">
        <v>0</v>
      </c>
      <c r="AE160" s="2">
        <v>0</v>
      </c>
      <c r="AF160" s="2">
        <v>48.3</v>
      </c>
      <c r="AK160" s="4">
        <v>19658280</v>
      </c>
      <c r="AL160" t="s">
        <v>49</v>
      </c>
    </row>
    <row r="161" spans="1:38" x14ac:dyDescent="0.25">
      <c r="A161" s="1">
        <v>45905</v>
      </c>
      <c r="B161" s="1">
        <v>45901</v>
      </c>
      <c r="C161" t="s">
        <v>38</v>
      </c>
      <c r="D161" t="s">
        <v>39</v>
      </c>
      <c r="E161" t="s">
        <v>40</v>
      </c>
      <c r="F161">
        <v>649163</v>
      </c>
      <c r="G161">
        <v>20411454</v>
      </c>
      <c r="H161" t="s">
        <v>41</v>
      </c>
      <c r="I161">
        <v>2030748533</v>
      </c>
      <c r="J161" t="s">
        <v>205</v>
      </c>
      <c r="M161" t="s">
        <v>145</v>
      </c>
      <c r="O161">
        <v>756418</v>
      </c>
      <c r="P161" t="s">
        <v>173</v>
      </c>
      <c r="Q161" t="s">
        <v>45</v>
      </c>
      <c r="R161" t="s">
        <v>53</v>
      </c>
      <c r="S161" s="1">
        <v>45898</v>
      </c>
      <c r="U161" t="s">
        <v>47</v>
      </c>
      <c r="X161" t="s">
        <v>54</v>
      </c>
      <c r="Y161" s="2">
        <v>39.25</v>
      </c>
      <c r="Z161" s="2">
        <v>39.25</v>
      </c>
      <c r="AA161">
        <v>6</v>
      </c>
      <c r="AB161" s="3">
        <v>0.7</v>
      </c>
      <c r="AC161" s="2">
        <v>164.85</v>
      </c>
      <c r="AD161" s="3">
        <v>0</v>
      </c>
      <c r="AE161" s="2">
        <v>0</v>
      </c>
      <c r="AF161" s="2">
        <v>164.85</v>
      </c>
      <c r="AK161" s="4">
        <v>19658330</v>
      </c>
      <c r="AL161" t="s">
        <v>49</v>
      </c>
    </row>
    <row r="162" spans="1:38" x14ac:dyDescent="0.25">
      <c r="A162" s="1">
        <v>45905</v>
      </c>
      <c r="B162" s="1">
        <v>45901</v>
      </c>
      <c r="C162" t="s">
        <v>38</v>
      </c>
      <c r="D162" t="s">
        <v>39</v>
      </c>
      <c r="E162" t="s">
        <v>40</v>
      </c>
      <c r="F162">
        <v>649163</v>
      </c>
      <c r="G162">
        <v>20411454</v>
      </c>
      <c r="H162" t="s">
        <v>41</v>
      </c>
      <c r="I162">
        <v>2030751664</v>
      </c>
      <c r="J162" t="s">
        <v>206</v>
      </c>
      <c r="M162" t="s">
        <v>101</v>
      </c>
      <c r="O162">
        <v>673059</v>
      </c>
      <c r="P162" t="s">
        <v>52</v>
      </c>
      <c r="Q162" t="s">
        <v>45</v>
      </c>
      <c r="R162" t="s">
        <v>77</v>
      </c>
      <c r="S162" s="1">
        <v>45898</v>
      </c>
      <c r="U162" t="s">
        <v>47</v>
      </c>
      <c r="X162" t="s">
        <v>54</v>
      </c>
      <c r="Y162" s="2">
        <v>22.34</v>
      </c>
      <c r="Z162" s="2">
        <v>22.34</v>
      </c>
      <c r="AA162">
        <v>6</v>
      </c>
      <c r="AB162" s="3">
        <v>0.375</v>
      </c>
      <c r="AC162" s="2">
        <v>50.27</v>
      </c>
      <c r="AD162" s="3">
        <v>0</v>
      </c>
      <c r="AE162" s="2">
        <v>0</v>
      </c>
      <c r="AF162" s="2">
        <v>50.27</v>
      </c>
      <c r="AK162" s="4">
        <v>19702890</v>
      </c>
      <c r="AL162" t="s">
        <v>49</v>
      </c>
    </row>
    <row r="163" spans="1:38" x14ac:dyDescent="0.25">
      <c r="A163" s="1">
        <v>45905</v>
      </c>
      <c r="B163" s="1">
        <v>45901</v>
      </c>
      <c r="C163" t="s">
        <v>38</v>
      </c>
      <c r="D163" t="s">
        <v>39</v>
      </c>
      <c r="E163" t="s">
        <v>40</v>
      </c>
      <c r="F163">
        <v>649163</v>
      </c>
      <c r="G163">
        <v>20411454</v>
      </c>
      <c r="H163" t="s">
        <v>41</v>
      </c>
      <c r="I163">
        <v>2030762530</v>
      </c>
      <c r="J163" t="s">
        <v>207</v>
      </c>
      <c r="M163" t="s">
        <v>118</v>
      </c>
      <c r="O163">
        <v>888536</v>
      </c>
      <c r="P163" t="s">
        <v>208</v>
      </c>
      <c r="Q163" t="s">
        <v>45</v>
      </c>
      <c r="R163" t="s">
        <v>120</v>
      </c>
      <c r="S163" s="1">
        <v>45899</v>
      </c>
      <c r="U163" t="s">
        <v>47</v>
      </c>
      <c r="X163" t="s">
        <v>121</v>
      </c>
      <c r="Y163" s="2">
        <v>90.98</v>
      </c>
      <c r="Z163" s="2">
        <v>90.98</v>
      </c>
      <c r="AA163">
        <v>3</v>
      </c>
      <c r="AB163" s="3">
        <v>0.19</v>
      </c>
      <c r="AC163" s="2">
        <v>51.86</v>
      </c>
      <c r="AD163" s="3">
        <v>0</v>
      </c>
      <c r="AE163" s="2">
        <v>0</v>
      </c>
      <c r="AF163" s="2">
        <v>51.86</v>
      </c>
      <c r="AK163" s="4">
        <v>19717390</v>
      </c>
      <c r="AL163" t="s">
        <v>49</v>
      </c>
    </row>
    <row r="164" spans="1:38" x14ac:dyDescent="0.25">
      <c r="A164" s="1">
        <v>45905</v>
      </c>
      <c r="B164" s="1">
        <v>45901</v>
      </c>
      <c r="C164" t="s">
        <v>38</v>
      </c>
      <c r="D164" t="s">
        <v>39</v>
      </c>
      <c r="E164" t="s">
        <v>40</v>
      </c>
      <c r="F164">
        <v>649163</v>
      </c>
      <c r="G164">
        <v>20411454</v>
      </c>
      <c r="H164" t="s">
        <v>41</v>
      </c>
      <c r="I164">
        <v>2030762531</v>
      </c>
      <c r="J164" t="s">
        <v>207</v>
      </c>
      <c r="M164" t="s">
        <v>118</v>
      </c>
      <c r="O164">
        <v>888536</v>
      </c>
      <c r="P164" t="s">
        <v>208</v>
      </c>
      <c r="Q164" t="s">
        <v>45</v>
      </c>
      <c r="R164" t="s">
        <v>53</v>
      </c>
      <c r="S164" s="1">
        <v>45899</v>
      </c>
      <c r="U164" t="s">
        <v>47</v>
      </c>
      <c r="X164" t="s">
        <v>54</v>
      </c>
      <c r="Y164" s="2">
        <v>30.51</v>
      </c>
      <c r="Z164" s="2">
        <v>30.51</v>
      </c>
      <c r="AA164">
        <v>6</v>
      </c>
      <c r="AB164" s="3">
        <v>0.7</v>
      </c>
      <c r="AC164" s="2">
        <v>128.13999999999999</v>
      </c>
      <c r="AD164" s="3">
        <v>0</v>
      </c>
      <c r="AE164" s="2">
        <v>0</v>
      </c>
      <c r="AF164" s="2">
        <v>128.13999999999999</v>
      </c>
      <c r="AK164" s="4">
        <v>19658430</v>
      </c>
      <c r="AL164" t="s">
        <v>49</v>
      </c>
    </row>
    <row r="165" spans="1:38" x14ac:dyDescent="0.25">
      <c r="A165" s="1">
        <v>45905</v>
      </c>
      <c r="B165" s="1">
        <v>45901</v>
      </c>
      <c r="C165" t="s">
        <v>38</v>
      </c>
      <c r="D165" t="s">
        <v>39</v>
      </c>
      <c r="E165" t="s">
        <v>40</v>
      </c>
      <c r="F165">
        <v>649163</v>
      </c>
      <c r="G165">
        <v>20411454</v>
      </c>
      <c r="H165" t="s">
        <v>41</v>
      </c>
      <c r="I165">
        <v>2030762532</v>
      </c>
      <c r="J165" t="s">
        <v>207</v>
      </c>
      <c r="M165" t="s">
        <v>118</v>
      </c>
      <c r="O165">
        <v>888536</v>
      </c>
      <c r="P165" t="s">
        <v>208</v>
      </c>
      <c r="Q165" t="s">
        <v>45</v>
      </c>
      <c r="R165" t="s">
        <v>122</v>
      </c>
      <c r="S165" s="1">
        <v>45899</v>
      </c>
      <c r="U165" t="s">
        <v>47</v>
      </c>
      <c r="X165" t="s">
        <v>121</v>
      </c>
      <c r="Y165" s="2">
        <v>15</v>
      </c>
      <c r="Z165" s="2">
        <v>15</v>
      </c>
      <c r="AA165">
        <v>3</v>
      </c>
      <c r="AB165" s="3">
        <v>0.19</v>
      </c>
      <c r="AC165" s="2">
        <v>8.5500000000000007</v>
      </c>
      <c r="AD165" s="3">
        <v>0</v>
      </c>
      <c r="AE165" s="2">
        <v>0</v>
      </c>
      <c r="AF165" s="2">
        <v>8.5500000000000007</v>
      </c>
      <c r="AK165" s="4">
        <v>19670270</v>
      </c>
      <c r="AL165" t="s">
        <v>49</v>
      </c>
    </row>
    <row r="166" spans="1:38" x14ac:dyDescent="0.25">
      <c r="A166" s="1">
        <v>45905</v>
      </c>
      <c r="B166" s="1">
        <v>45901</v>
      </c>
      <c r="C166" t="s">
        <v>38</v>
      </c>
      <c r="D166" t="s">
        <v>39</v>
      </c>
      <c r="E166" t="s">
        <v>40</v>
      </c>
      <c r="F166">
        <v>649163</v>
      </c>
      <c r="G166">
        <v>20411454</v>
      </c>
      <c r="H166" t="s">
        <v>41</v>
      </c>
      <c r="I166">
        <v>2030770954</v>
      </c>
      <c r="J166" t="s">
        <v>209</v>
      </c>
      <c r="M166" t="s">
        <v>72</v>
      </c>
      <c r="O166">
        <v>652037</v>
      </c>
      <c r="P166" t="s">
        <v>73</v>
      </c>
      <c r="Q166" t="s">
        <v>45</v>
      </c>
      <c r="R166" t="s">
        <v>74</v>
      </c>
      <c r="S166" s="1">
        <v>45901</v>
      </c>
      <c r="U166" t="s">
        <v>47</v>
      </c>
      <c r="X166" t="s">
        <v>54</v>
      </c>
      <c r="Y166" s="2">
        <v>192</v>
      </c>
      <c r="Z166" s="2">
        <v>192</v>
      </c>
      <c r="AA166">
        <v>6</v>
      </c>
      <c r="AB166" s="3">
        <v>0.9</v>
      </c>
      <c r="AC166" s="2">
        <v>1036.8</v>
      </c>
      <c r="AD166" s="3">
        <v>0</v>
      </c>
      <c r="AE166" s="2">
        <v>0</v>
      </c>
      <c r="AF166" s="2">
        <v>1036.8</v>
      </c>
      <c r="AK166" s="4">
        <v>19682950</v>
      </c>
      <c r="AL166" t="s">
        <v>49</v>
      </c>
    </row>
    <row r="167" spans="1:38" x14ac:dyDescent="0.25">
      <c r="A167" s="1">
        <v>45905</v>
      </c>
      <c r="B167" s="1">
        <v>45901</v>
      </c>
      <c r="C167" t="s">
        <v>38</v>
      </c>
      <c r="D167" t="s">
        <v>39</v>
      </c>
      <c r="E167" t="s">
        <v>40</v>
      </c>
      <c r="F167">
        <v>649163</v>
      </c>
      <c r="G167">
        <v>20411454</v>
      </c>
      <c r="H167" t="s">
        <v>41</v>
      </c>
      <c r="I167">
        <v>2030770955</v>
      </c>
      <c r="J167" t="s">
        <v>209</v>
      </c>
      <c r="M167" t="s">
        <v>72</v>
      </c>
      <c r="O167">
        <v>652037</v>
      </c>
      <c r="P167" t="s">
        <v>73</v>
      </c>
      <c r="Q167" t="s">
        <v>45</v>
      </c>
      <c r="R167" t="s">
        <v>116</v>
      </c>
      <c r="S167" s="1">
        <v>45901</v>
      </c>
      <c r="U167" t="s">
        <v>47</v>
      </c>
      <c r="X167" t="s">
        <v>54</v>
      </c>
      <c r="Y167" s="2">
        <v>78.97</v>
      </c>
      <c r="Z167" s="2">
        <v>78.97</v>
      </c>
      <c r="AA167">
        <v>6</v>
      </c>
      <c r="AB167" s="3">
        <v>0.7</v>
      </c>
      <c r="AC167" s="2">
        <v>331.67</v>
      </c>
      <c r="AD167" s="3">
        <v>0</v>
      </c>
      <c r="AE167" s="2">
        <v>0</v>
      </c>
      <c r="AF167" s="2">
        <v>331.67</v>
      </c>
      <c r="AK167" s="4">
        <v>19634100</v>
      </c>
      <c r="AL167" t="s">
        <v>49</v>
      </c>
    </row>
    <row r="168" spans="1:38" x14ac:dyDescent="0.25">
      <c r="A168" s="1">
        <v>45905</v>
      </c>
      <c r="B168" s="1">
        <v>45901</v>
      </c>
      <c r="C168" t="s">
        <v>38</v>
      </c>
      <c r="D168" t="s">
        <v>39</v>
      </c>
      <c r="E168" t="s">
        <v>40</v>
      </c>
      <c r="F168">
        <v>649163</v>
      </c>
      <c r="G168">
        <v>20411454</v>
      </c>
      <c r="H168" t="s">
        <v>41</v>
      </c>
      <c r="I168">
        <v>2030772792</v>
      </c>
      <c r="J168" t="s">
        <v>210</v>
      </c>
      <c r="M168" t="s">
        <v>60</v>
      </c>
      <c r="O168">
        <v>856163</v>
      </c>
      <c r="P168" t="s">
        <v>63</v>
      </c>
      <c r="Q168" t="s">
        <v>45</v>
      </c>
      <c r="R168" t="s">
        <v>53</v>
      </c>
      <c r="S168" s="1">
        <v>45901</v>
      </c>
      <c r="U168" t="s">
        <v>47</v>
      </c>
      <c r="X168" t="s">
        <v>54</v>
      </c>
      <c r="Y168" s="2">
        <v>59.85</v>
      </c>
      <c r="Z168" s="2">
        <v>59.85</v>
      </c>
      <c r="AA168">
        <v>6</v>
      </c>
      <c r="AB168" s="3">
        <v>0.7</v>
      </c>
      <c r="AC168" s="2">
        <v>251.37</v>
      </c>
      <c r="AD168" s="3">
        <v>0</v>
      </c>
      <c r="AE168" s="2">
        <v>0</v>
      </c>
      <c r="AF168" s="2">
        <v>251.37</v>
      </c>
      <c r="AK168" s="4">
        <v>19658500</v>
      </c>
      <c r="AL168" t="s">
        <v>49</v>
      </c>
    </row>
    <row r="169" spans="1:38" x14ac:dyDescent="0.25">
      <c r="A169" s="1">
        <v>45905</v>
      </c>
      <c r="B169" s="1">
        <v>45901</v>
      </c>
      <c r="C169" t="s">
        <v>38</v>
      </c>
      <c r="D169" t="s">
        <v>39</v>
      </c>
      <c r="E169" t="s">
        <v>40</v>
      </c>
      <c r="F169">
        <v>649163</v>
      </c>
      <c r="G169">
        <v>20411454</v>
      </c>
      <c r="H169" t="s">
        <v>41</v>
      </c>
      <c r="I169">
        <v>2030772793</v>
      </c>
      <c r="J169" t="s">
        <v>210</v>
      </c>
      <c r="M169" t="s">
        <v>60</v>
      </c>
      <c r="O169">
        <v>856163</v>
      </c>
      <c r="P169" t="s">
        <v>63</v>
      </c>
      <c r="Q169" t="s">
        <v>45</v>
      </c>
      <c r="R169" t="s">
        <v>68</v>
      </c>
      <c r="S169" s="1">
        <v>45901</v>
      </c>
      <c r="U169" t="s">
        <v>47</v>
      </c>
      <c r="X169" t="s">
        <v>54</v>
      </c>
      <c r="Y169" s="2">
        <v>132.1</v>
      </c>
      <c r="Z169" s="2">
        <v>132.1</v>
      </c>
      <c r="AA169">
        <v>6</v>
      </c>
      <c r="AB169" s="3">
        <v>0.75</v>
      </c>
      <c r="AC169" s="2">
        <v>594.45000000000005</v>
      </c>
      <c r="AD169" s="3">
        <v>0</v>
      </c>
      <c r="AE169" s="2">
        <v>0</v>
      </c>
      <c r="AF169" s="2">
        <v>594.45000000000005</v>
      </c>
      <c r="AK169" s="4">
        <v>19682960</v>
      </c>
      <c r="AL169" t="s">
        <v>49</v>
      </c>
    </row>
    <row r="170" spans="1:38" x14ac:dyDescent="0.25">
      <c r="A170" s="1">
        <v>45905</v>
      </c>
      <c r="B170" s="1">
        <v>45901</v>
      </c>
      <c r="C170" t="s">
        <v>38</v>
      </c>
      <c r="D170" t="s">
        <v>39</v>
      </c>
      <c r="E170" t="s">
        <v>40</v>
      </c>
      <c r="F170">
        <v>649163</v>
      </c>
      <c r="G170">
        <v>20411454</v>
      </c>
      <c r="H170" t="s">
        <v>41</v>
      </c>
      <c r="I170">
        <v>2030774548</v>
      </c>
      <c r="J170" t="s">
        <v>211</v>
      </c>
      <c r="M170" t="s">
        <v>62</v>
      </c>
      <c r="O170">
        <v>840313</v>
      </c>
      <c r="P170" t="s">
        <v>212</v>
      </c>
      <c r="Q170" t="s">
        <v>45</v>
      </c>
      <c r="R170" t="s">
        <v>53</v>
      </c>
      <c r="S170" s="1">
        <v>45901</v>
      </c>
      <c r="U170" t="s">
        <v>47</v>
      </c>
      <c r="X170" t="s">
        <v>54</v>
      </c>
      <c r="Y170" s="2">
        <v>72.760000000000005</v>
      </c>
      <c r="Z170" s="2">
        <v>72.760000000000005</v>
      </c>
      <c r="AA170">
        <v>6</v>
      </c>
      <c r="AB170" s="3">
        <v>0.7</v>
      </c>
      <c r="AC170" s="2">
        <v>305.58999999999997</v>
      </c>
      <c r="AD170" s="3">
        <v>0</v>
      </c>
      <c r="AE170" s="2">
        <v>0</v>
      </c>
      <c r="AF170" s="2">
        <v>305.58999999999997</v>
      </c>
      <c r="AK170" s="4">
        <v>19658510</v>
      </c>
      <c r="AL170" t="s">
        <v>49</v>
      </c>
    </row>
    <row r="171" spans="1:38" x14ac:dyDescent="0.25">
      <c r="A171" s="1">
        <v>45905</v>
      </c>
      <c r="B171" s="1">
        <v>45901</v>
      </c>
      <c r="C171" t="s">
        <v>38</v>
      </c>
      <c r="D171" t="s">
        <v>39</v>
      </c>
      <c r="E171" t="s">
        <v>40</v>
      </c>
      <c r="F171">
        <v>649163</v>
      </c>
      <c r="G171">
        <v>20411454</v>
      </c>
      <c r="H171" t="s">
        <v>41</v>
      </c>
      <c r="I171">
        <v>2030775883</v>
      </c>
      <c r="J171" t="s">
        <v>213</v>
      </c>
      <c r="M171" t="s">
        <v>96</v>
      </c>
      <c r="O171">
        <v>878036</v>
      </c>
      <c r="P171" t="s">
        <v>214</v>
      </c>
      <c r="Q171" t="s">
        <v>45</v>
      </c>
      <c r="R171" t="s">
        <v>53</v>
      </c>
      <c r="S171" s="1">
        <v>45901</v>
      </c>
      <c r="U171" t="s">
        <v>47</v>
      </c>
      <c r="X171" t="s">
        <v>54</v>
      </c>
      <c r="Y171" s="2">
        <v>120.91</v>
      </c>
      <c r="Z171" s="2">
        <v>120.91</v>
      </c>
      <c r="AA171">
        <v>6</v>
      </c>
      <c r="AB171" s="3">
        <v>0.7</v>
      </c>
      <c r="AC171" s="2">
        <v>507.82</v>
      </c>
      <c r="AD171" s="3">
        <v>0</v>
      </c>
      <c r="AE171" s="2">
        <v>0</v>
      </c>
      <c r="AF171" s="2">
        <v>507.82</v>
      </c>
      <c r="AK171" s="4">
        <v>19658520</v>
      </c>
      <c r="AL171" t="s">
        <v>49</v>
      </c>
    </row>
    <row r="172" spans="1:38" x14ac:dyDescent="0.25">
      <c r="A172" s="1">
        <v>45905</v>
      </c>
      <c r="B172" s="1">
        <v>45901</v>
      </c>
      <c r="C172" t="s">
        <v>38</v>
      </c>
      <c r="D172" t="s">
        <v>39</v>
      </c>
      <c r="E172" t="s">
        <v>40</v>
      </c>
      <c r="F172">
        <v>649163</v>
      </c>
      <c r="G172">
        <v>20411454</v>
      </c>
      <c r="H172" t="s">
        <v>41</v>
      </c>
      <c r="I172">
        <v>2030775884</v>
      </c>
      <c r="J172" t="s">
        <v>213</v>
      </c>
      <c r="M172" t="s">
        <v>96</v>
      </c>
      <c r="O172">
        <v>878036</v>
      </c>
      <c r="P172" t="s">
        <v>214</v>
      </c>
      <c r="Q172" t="s">
        <v>45</v>
      </c>
      <c r="R172" t="s">
        <v>186</v>
      </c>
      <c r="S172" s="1">
        <v>45901</v>
      </c>
      <c r="U172" t="s">
        <v>47</v>
      </c>
      <c r="X172" t="s">
        <v>54</v>
      </c>
      <c r="Y172" s="2">
        <v>210.43</v>
      </c>
      <c r="Z172" s="2">
        <v>210.43</v>
      </c>
      <c r="AA172">
        <v>6</v>
      </c>
      <c r="AB172" s="3">
        <v>0.47</v>
      </c>
      <c r="AC172" s="2">
        <v>593.41</v>
      </c>
      <c r="AD172" s="3">
        <v>0</v>
      </c>
      <c r="AE172" s="2">
        <v>0</v>
      </c>
      <c r="AF172" s="2">
        <v>593.41</v>
      </c>
      <c r="AK172" s="4">
        <v>19703020</v>
      </c>
      <c r="AL172" t="s">
        <v>49</v>
      </c>
    </row>
    <row r="173" spans="1:38" x14ac:dyDescent="0.25">
      <c r="A173" s="1">
        <v>45905</v>
      </c>
      <c r="B173" s="1">
        <v>45901</v>
      </c>
      <c r="C173" t="s">
        <v>38</v>
      </c>
      <c r="D173" t="s">
        <v>39</v>
      </c>
      <c r="E173" t="s">
        <v>40</v>
      </c>
      <c r="F173">
        <v>649163</v>
      </c>
      <c r="G173">
        <v>20411454</v>
      </c>
      <c r="H173" t="s">
        <v>41</v>
      </c>
      <c r="I173">
        <v>2030777832</v>
      </c>
      <c r="J173" t="s">
        <v>215</v>
      </c>
      <c r="M173" t="s">
        <v>62</v>
      </c>
      <c r="O173">
        <v>813184</v>
      </c>
      <c r="P173" t="s">
        <v>216</v>
      </c>
      <c r="Q173" t="s">
        <v>45</v>
      </c>
      <c r="R173" t="s">
        <v>53</v>
      </c>
      <c r="S173" s="1">
        <v>45901</v>
      </c>
      <c r="U173" t="s">
        <v>47</v>
      </c>
      <c r="X173" t="s">
        <v>54</v>
      </c>
      <c r="Y173" s="2">
        <v>137.41</v>
      </c>
      <c r="Z173" s="2">
        <v>137.41</v>
      </c>
      <c r="AA173">
        <v>6</v>
      </c>
      <c r="AB173" s="3">
        <v>0.7</v>
      </c>
      <c r="AC173" s="2">
        <v>577.12</v>
      </c>
      <c r="AD173" s="3">
        <v>0</v>
      </c>
      <c r="AE173" s="2">
        <v>0</v>
      </c>
      <c r="AF173" s="2">
        <v>577.12</v>
      </c>
      <c r="AK173" s="4">
        <v>19658550</v>
      </c>
      <c r="AL173" t="s">
        <v>49</v>
      </c>
    </row>
    <row r="174" spans="1:38" x14ac:dyDescent="0.25">
      <c r="A174" s="1">
        <v>45905</v>
      </c>
      <c r="B174" s="1">
        <v>45901</v>
      </c>
      <c r="C174" t="s">
        <v>38</v>
      </c>
      <c r="D174" t="s">
        <v>39</v>
      </c>
      <c r="E174" t="s">
        <v>40</v>
      </c>
      <c r="F174">
        <v>649163</v>
      </c>
      <c r="G174">
        <v>20411454</v>
      </c>
      <c r="H174" t="s">
        <v>41</v>
      </c>
      <c r="I174">
        <v>2030779110</v>
      </c>
      <c r="J174" t="s">
        <v>217</v>
      </c>
      <c r="M174" t="s">
        <v>56</v>
      </c>
      <c r="O174">
        <v>753748</v>
      </c>
      <c r="P174" t="s">
        <v>57</v>
      </c>
      <c r="Q174" t="s">
        <v>45</v>
      </c>
      <c r="R174" t="s">
        <v>74</v>
      </c>
      <c r="S174" s="1">
        <v>45901</v>
      </c>
      <c r="U174" t="s">
        <v>47</v>
      </c>
      <c r="X174" t="s">
        <v>54</v>
      </c>
      <c r="Y174" s="2">
        <v>122.57</v>
      </c>
      <c r="Z174" s="2">
        <v>122.57</v>
      </c>
      <c r="AA174">
        <v>6</v>
      </c>
      <c r="AB174" s="3">
        <v>0.9</v>
      </c>
      <c r="AC174" s="2">
        <v>661.88</v>
      </c>
      <c r="AD174" s="3">
        <v>0</v>
      </c>
      <c r="AE174" s="2">
        <v>0</v>
      </c>
      <c r="AF174" s="2">
        <v>661.88</v>
      </c>
      <c r="AK174" s="4">
        <v>19682980</v>
      </c>
      <c r="AL174" t="s">
        <v>49</v>
      </c>
    </row>
    <row r="175" spans="1:38" x14ac:dyDescent="0.25">
      <c r="A175" s="1">
        <v>45905</v>
      </c>
      <c r="B175" s="1">
        <v>45901</v>
      </c>
      <c r="C175" t="s">
        <v>38</v>
      </c>
      <c r="D175" t="s">
        <v>39</v>
      </c>
      <c r="E175" t="s">
        <v>40</v>
      </c>
      <c r="F175">
        <v>649163</v>
      </c>
      <c r="G175">
        <v>20411454</v>
      </c>
      <c r="H175" t="s">
        <v>41</v>
      </c>
      <c r="I175">
        <v>2030779465</v>
      </c>
      <c r="J175" t="s">
        <v>218</v>
      </c>
      <c r="M175" t="s">
        <v>148</v>
      </c>
      <c r="O175">
        <v>816021</v>
      </c>
      <c r="P175" t="s">
        <v>149</v>
      </c>
      <c r="Q175" t="s">
        <v>45</v>
      </c>
      <c r="R175" t="s">
        <v>53</v>
      </c>
      <c r="S175" s="1">
        <v>45901</v>
      </c>
      <c r="U175" t="s">
        <v>47</v>
      </c>
      <c r="X175" t="s">
        <v>54</v>
      </c>
      <c r="Y175" s="2">
        <v>9.1</v>
      </c>
      <c r="Z175" s="2">
        <v>9.1</v>
      </c>
      <c r="AA175">
        <v>6</v>
      </c>
      <c r="AB175" s="3">
        <v>0.7</v>
      </c>
      <c r="AC175" s="2">
        <v>38.22</v>
      </c>
      <c r="AD175" s="3">
        <v>0</v>
      </c>
      <c r="AE175" s="2">
        <v>0</v>
      </c>
      <c r="AF175" s="2">
        <v>38.22</v>
      </c>
      <c r="AK175" s="4">
        <v>19658560</v>
      </c>
      <c r="AL175" t="s">
        <v>49</v>
      </c>
    </row>
    <row r="176" spans="1:38" x14ac:dyDescent="0.25">
      <c r="A176" s="1">
        <v>45905</v>
      </c>
      <c r="B176" s="1">
        <v>45901</v>
      </c>
      <c r="C176" t="s">
        <v>38</v>
      </c>
      <c r="D176" t="s">
        <v>39</v>
      </c>
      <c r="E176" t="s">
        <v>40</v>
      </c>
      <c r="F176">
        <v>649163</v>
      </c>
      <c r="G176">
        <v>20411454</v>
      </c>
      <c r="H176" t="s">
        <v>41</v>
      </c>
      <c r="I176">
        <v>2030779466</v>
      </c>
      <c r="J176" t="s">
        <v>218</v>
      </c>
      <c r="M176" t="s">
        <v>148</v>
      </c>
      <c r="O176">
        <v>816021</v>
      </c>
      <c r="P176" t="s">
        <v>149</v>
      </c>
      <c r="Q176" t="s">
        <v>45</v>
      </c>
      <c r="R176" t="s">
        <v>68</v>
      </c>
      <c r="S176" s="1">
        <v>45901</v>
      </c>
      <c r="U176" t="s">
        <v>47</v>
      </c>
      <c r="X176" t="s">
        <v>54</v>
      </c>
      <c r="Y176" s="2">
        <v>33.01</v>
      </c>
      <c r="Z176" s="2">
        <v>33.01</v>
      </c>
      <c r="AA176">
        <v>6</v>
      </c>
      <c r="AB176" s="3">
        <v>0.75</v>
      </c>
      <c r="AC176" s="2">
        <v>148.55000000000001</v>
      </c>
      <c r="AD176" s="3">
        <v>0</v>
      </c>
      <c r="AE176" s="2">
        <v>0</v>
      </c>
      <c r="AF176" s="2">
        <v>148.55000000000001</v>
      </c>
      <c r="AK176" s="4">
        <v>19682980</v>
      </c>
      <c r="AL176" t="s">
        <v>49</v>
      </c>
    </row>
    <row r="177" spans="1:38" x14ac:dyDescent="0.25">
      <c r="A177" s="1">
        <v>45905</v>
      </c>
      <c r="B177" s="1">
        <v>45901</v>
      </c>
      <c r="C177" t="s">
        <v>38</v>
      </c>
      <c r="D177" t="s">
        <v>39</v>
      </c>
      <c r="E177" t="s">
        <v>40</v>
      </c>
      <c r="F177">
        <v>649163</v>
      </c>
      <c r="G177">
        <v>20411454</v>
      </c>
      <c r="H177" t="s">
        <v>41</v>
      </c>
      <c r="I177">
        <v>2030779467</v>
      </c>
      <c r="J177" t="s">
        <v>218</v>
      </c>
      <c r="M177" t="s">
        <v>148</v>
      </c>
      <c r="O177">
        <v>816021</v>
      </c>
      <c r="P177" t="s">
        <v>149</v>
      </c>
      <c r="Q177" t="s">
        <v>45</v>
      </c>
      <c r="R177" t="s">
        <v>77</v>
      </c>
      <c r="S177" s="1">
        <v>45901</v>
      </c>
      <c r="U177" t="s">
        <v>47</v>
      </c>
      <c r="X177" t="s">
        <v>54</v>
      </c>
      <c r="Y177" s="2">
        <v>54.57</v>
      </c>
      <c r="Z177" s="2">
        <v>54.57</v>
      </c>
      <c r="AA177">
        <v>6</v>
      </c>
      <c r="AB177" s="3">
        <v>0.375</v>
      </c>
      <c r="AC177" s="2">
        <v>122.78</v>
      </c>
      <c r="AD177" s="3">
        <v>0</v>
      </c>
      <c r="AE177" s="2">
        <v>0</v>
      </c>
      <c r="AF177" s="2">
        <v>122.78</v>
      </c>
      <c r="AK177" s="4">
        <v>19703050</v>
      </c>
      <c r="AL177" t="s">
        <v>49</v>
      </c>
    </row>
    <row r="178" spans="1:38" x14ac:dyDescent="0.25">
      <c r="A178" s="1">
        <v>45905</v>
      </c>
      <c r="B178" s="1">
        <v>45901</v>
      </c>
      <c r="C178" t="s">
        <v>38</v>
      </c>
      <c r="D178" t="s">
        <v>39</v>
      </c>
      <c r="E178" t="s">
        <v>40</v>
      </c>
      <c r="F178">
        <v>649163</v>
      </c>
      <c r="G178">
        <v>20411454</v>
      </c>
      <c r="H178" t="s">
        <v>41</v>
      </c>
      <c r="I178">
        <v>2030780828</v>
      </c>
      <c r="J178" t="s">
        <v>219</v>
      </c>
      <c r="M178" t="s">
        <v>62</v>
      </c>
      <c r="O178">
        <v>806645</v>
      </c>
      <c r="P178" t="s">
        <v>220</v>
      </c>
      <c r="Q178" t="s">
        <v>45</v>
      </c>
      <c r="R178" t="s">
        <v>77</v>
      </c>
      <c r="S178" s="1">
        <v>45901</v>
      </c>
      <c r="U178" t="s">
        <v>47</v>
      </c>
      <c r="X178" t="s">
        <v>54</v>
      </c>
      <c r="Y178" s="2">
        <v>158.56</v>
      </c>
      <c r="Z178" s="2">
        <v>158.56</v>
      </c>
      <c r="AA178">
        <v>6</v>
      </c>
      <c r="AB178" s="3">
        <v>0.375</v>
      </c>
      <c r="AC178" s="2">
        <v>356.76</v>
      </c>
      <c r="AD178" s="3">
        <v>0</v>
      </c>
      <c r="AE178" s="2">
        <v>0</v>
      </c>
      <c r="AF178" s="2">
        <v>356.76</v>
      </c>
      <c r="AK178" s="4">
        <v>19703060</v>
      </c>
      <c r="AL178" t="s">
        <v>49</v>
      </c>
    </row>
    <row r="179" spans="1:38" x14ac:dyDescent="0.25">
      <c r="A179" s="1">
        <v>45905</v>
      </c>
      <c r="B179" s="1">
        <v>45901</v>
      </c>
      <c r="C179" t="s">
        <v>38</v>
      </c>
      <c r="D179" t="s">
        <v>39</v>
      </c>
      <c r="E179" t="s">
        <v>40</v>
      </c>
      <c r="F179">
        <v>649163</v>
      </c>
      <c r="G179">
        <v>20411454</v>
      </c>
      <c r="H179" t="s">
        <v>41</v>
      </c>
      <c r="I179">
        <v>2030780829</v>
      </c>
      <c r="J179" t="s">
        <v>219</v>
      </c>
      <c r="M179" t="s">
        <v>62</v>
      </c>
      <c r="O179">
        <v>806645</v>
      </c>
      <c r="P179" t="s">
        <v>220</v>
      </c>
      <c r="Q179" t="s">
        <v>45</v>
      </c>
      <c r="R179" t="s">
        <v>53</v>
      </c>
      <c r="S179" s="1">
        <v>45901</v>
      </c>
      <c r="U179" t="s">
        <v>47</v>
      </c>
      <c r="X179" t="s">
        <v>54</v>
      </c>
      <c r="Y179" s="2">
        <v>69.25</v>
      </c>
      <c r="Z179" s="2">
        <v>69.25</v>
      </c>
      <c r="AA179">
        <v>6</v>
      </c>
      <c r="AB179" s="3">
        <v>0.7</v>
      </c>
      <c r="AC179" s="2">
        <v>290.85000000000002</v>
      </c>
      <c r="AD179" s="3">
        <v>0</v>
      </c>
      <c r="AE179" s="2">
        <v>0</v>
      </c>
      <c r="AF179" s="2">
        <v>290.85000000000002</v>
      </c>
      <c r="AK179" s="4">
        <v>19658580</v>
      </c>
      <c r="AL179" t="s">
        <v>49</v>
      </c>
    </row>
    <row r="180" spans="1:38" x14ac:dyDescent="0.25">
      <c r="A180" s="1">
        <v>45905</v>
      </c>
      <c r="B180" s="1">
        <v>45901</v>
      </c>
      <c r="C180" t="s">
        <v>38</v>
      </c>
      <c r="D180" t="s">
        <v>39</v>
      </c>
      <c r="E180" t="s">
        <v>40</v>
      </c>
      <c r="F180">
        <v>649163</v>
      </c>
      <c r="G180">
        <v>20411454</v>
      </c>
      <c r="H180" t="s">
        <v>41</v>
      </c>
      <c r="I180">
        <v>2030784685</v>
      </c>
      <c r="J180" t="s">
        <v>221</v>
      </c>
      <c r="M180" t="s">
        <v>76</v>
      </c>
      <c r="O180">
        <v>823350</v>
      </c>
      <c r="P180" t="s">
        <v>135</v>
      </c>
      <c r="Q180" t="s">
        <v>45</v>
      </c>
      <c r="R180" t="s">
        <v>77</v>
      </c>
      <c r="S180" s="1">
        <v>45901</v>
      </c>
      <c r="U180" t="s">
        <v>47</v>
      </c>
      <c r="X180" t="s">
        <v>54</v>
      </c>
      <c r="Y180" s="2">
        <v>171.32</v>
      </c>
      <c r="Z180" s="2">
        <v>171.32</v>
      </c>
      <c r="AA180">
        <v>6</v>
      </c>
      <c r="AB180" s="3">
        <v>0.375</v>
      </c>
      <c r="AC180" s="2">
        <v>385.47</v>
      </c>
      <c r="AD180" s="3">
        <v>0</v>
      </c>
      <c r="AE180" s="2">
        <v>0</v>
      </c>
      <c r="AF180" s="2">
        <v>385.47</v>
      </c>
      <c r="AK180" s="4">
        <v>19703090</v>
      </c>
      <c r="AL180" t="s">
        <v>49</v>
      </c>
    </row>
    <row r="181" spans="1:38" x14ac:dyDescent="0.25">
      <c r="A181" s="1">
        <v>45905</v>
      </c>
      <c r="B181" s="1">
        <v>45901</v>
      </c>
      <c r="C181" t="s">
        <v>38</v>
      </c>
      <c r="D181" t="s">
        <v>39</v>
      </c>
      <c r="E181" t="s">
        <v>40</v>
      </c>
      <c r="F181">
        <v>649163</v>
      </c>
      <c r="G181">
        <v>20411454</v>
      </c>
      <c r="H181" t="s">
        <v>41</v>
      </c>
      <c r="I181">
        <v>2030784686</v>
      </c>
      <c r="J181" t="s">
        <v>221</v>
      </c>
      <c r="M181" t="s">
        <v>76</v>
      </c>
      <c r="O181">
        <v>823350</v>
      </c>
      <c r="P181" t="s">
        <v>135</v>
      </c>
      <c r="Q181" t="s">
        <v>45</v>
      </c>
      <c r="R181" t="s">
        <v>53</v>
      </c>
      <c r="S181" s="1">
        <v>45901</v>
      </c>
      <c r="U181" t="s">
        <v>47</v>
      </c>
      <c r="X181" t="s">
        <v>54</v>
      </c>
      <c r="Y181" s="2">
        <v>161.18</v>
      </c>
      <c r="Z181" s="2">
        <v>161.18</v>
      </c>
      <c r="AA181">
        <v>6</v>
      </c>
      <c r="AB181" s="3">
        <v>0.7</v>
      </c>
      <c r="AC181" s="2">
        <v>676.96</v>
      </c>
      <c r="AD181" s="3">
        <v>0</v>
      </c>
      <c r="AE181" s="2">
        <v>0</v>
      </c>
      <c r="AF181" s="2">
        <v>676.96</v>
      </c>
      <c r="AK181" s="4">
        <v>19658610</v>
      </c>
      <c r="AL181" t="s">
        <v>49</v>
      </c>
    </row>
    <row r="182" spans="1:38" x14ac:dyDescent="0.25">
      <c r="A182" s="1">
        <v>45905</v>
      </c>
      <c r="B182" s="1">
        <v>45901</v>
      </c>
      <c r="C182" t="s">
        <v>38</v>
      </c>
      <c r="D182" t="s">
        <v>39</v>
      </c>
      <c r="E182" t="s">
        <v>40</v>
      </c>
      <c r="F182">
        <v>649163</v>
      </c>
      <c r="G182">
        <v>20411454</v>
      </c>
      <c r="H182" t="s">
        <v>41</v>
      </c>
      <c r="I182">
        <v>2030788952</v>
      </c>
      <c r="J182" t="s">
        <v>222</v>
      </c>
      <c r="M182" t="s">
        <v>148</v>
      </c>
      <c r="O182">
        <v>816021</v>
      </c>
      <c r="P182" t="s">
        <v>149</v>
      </c>
      <c r="Q182" t="s">
        <v>45</v>
      </c>
      <c r="R182" t="s">
        <v>53</v>
      </c>
      <c r="S182" s="1">
        <v>45901</v>
      </c>
      <c r="U182" t="s">
        <v>47</v>
      </c>
      <c r="X182" t="s">
        <v>54</v>
      </c>
      <c r="Y182" s="2">
        <v>9.1</v>
      </c>
      <c r="Z182" s="2">
        <v>9.1</v>
      </c>
      <c r="AA182">
        <v>6</v>
      </c>
      <c r="AB182" s="3">
        <v>0.7</v>
      </c>
      <c r="AC182" s="2">
        <v>38.22</v>
      </c>
      <c r="AD182" s="3">
        <v>0</v>
      </c>
      <c r="AE182" s="2">
        <v>0</v>
      </c>
      <c r="AF182" s="2">
        <v>38.22</v>
      </c>
      <c r="AK182" s="4">
        <v>19658630</v>
      </c>
      <c r="AL182" t="s">
        <v>49</v>
      </c>
    </row>
    <row r="183" spans="1:38" x14ac:dyDescent="0.25">
      <c r="A183" s="1">
        <v>45905</v>
      </c>
      <c r="B183" s="1">
        <v>45901</v>
      </c>
      <c r="C183" t="s">
        <v>38</v>
      </c>
      <c r="D183" t="s">
        <v>39</v>
      </c>
      <c r="E183" t="s">
        <v>40</v>
      </c>
      <c r="F183">
        <v>649163</v>
      </c>
      <c r="G183">
        <v>20411454</v>
      </c>
      <c r="H183" t="s">
        <v>41</v>
      </c>
      <c r="I183">
        <v>2030788953</v>
      </c>
      <c r="J183" t="s">
        <v>222</v>
      </c>
      <c r="M183" t="s">
        <v>148</v>
      </c>
      <c r="O183">
        <v>816021</v>
      </c>
      <c r="P183" t="s">
        <v>149</v>
      </c>
      <c r="Q183" t="s">
        <v>45</v>
      </c>
      <c r="R183" t="s">
        <v>191</v>
      </c>
      <c r="S183" s="1">
        <v>45901</v>
      </c>
      <c r="U183" t="s">
        <v>47</v>
      </c>
      <c r="X183" t="s">
        <v>54</v>
      </c>
      <c r="Y183" s="2">
        <v>9.3800000000000008</v>
      </c>
      <c r="Z183" s="2">
        <v>9.3800000000000008</v>
      </c>
      <c r="AA183">
        <v>6</v>
      </c>
      <c r="AB183" s="3">
        <v>0.65</v>
      </c>
      <c r="AC183" s="2">
        <v>36.58</v>
      </c>
      <c r="AD183" s="3">
        <v>0</v>
      </c>
      <c r="AE183" s="2">
        <v>0</v>
      </c>
      <c r="AF183" s="2">
        <v>36.58</v>
      </c>
      <c r="AK183" s="4">
        <v>19683010</v>
      </c>
      <c r="AL183" t="s">
        <v>49</v>
      </c>
    </row>
    <row r="184" spans="1:38" x14ac:dyDescent="0.25">
      <c r="A184" s="1">
        <v>45905</v>
      </c>
      <c r="B184" s="1">
        <v>45901</v>
      </c>
      <c r="C184" t="s">
        <v>38</v>
      </c>
      <c r="D184" t="s">
        <v>39</v>
      </c>
      <c r="E184" t="s">
        <v>40</v>
      </c>
      <c r="F184">
        <v>649163</v>
      </c>
      <c r="G184">
        <v>20411454</v>
      </c>
      <c r="H184" t="s">
        <v>41</v>
      </c>
      <c r="I184">
        <v>2030788954</v>
      </c>
      <c r="J184" t="s">
        <v>222</v>
      </c>
      <c r="M184" t="s">
        <v>148</v>
      </c>
      <c r="O184">
        <v>816021</v>
      </c>
      <c r="P184" t="s">
        <v>149</v>
      </c>
      <c r="Q184" t="s">
        <v>45</v>
      </c>
      <c r="R184" t="s">
        <v>77</v>
      </c>
      <c r="S184" s="1">
        <v>45901</v>
      </c>
      <c r="U184" t="s">
        <v>47</v>
      </c>
      <c r="X184" t="s">
        <v>54</v>
      </c>
      <c r="Y184" s="2">
        <v>29.82</v>
      </c>
      <c r="Z184" s="2">
        <v>29.82</v>
      </c>
      <c r="AA184">
        <v>6</v>
      </c>
      <c r="AB184" s="3">
        <v>0.375</v>
      </c>
      <c r="AC184" s="2">
        <v>67.099999999999994</v>
      </c>
      <c r="AD184" s="3">
        <v>0</v>
      </c>
      <c r="AE184" s="2">
        <v>0</v>
      </c>
      <c r="AF184" s="2">
        <v>67.099999999999994</v>
      </c>
      <c r="AK184" s="4">
        <v>19703110</v>
      </c>
      <c r="AL184" t="s">
        <v>49</v>
      </c>
    </row>
    <row r="185" spans="1:38" x14ac:dyDescent="0.25">
      <c r="A185" s="1">
        <v>45905</v>
      </c>
      <c r="B185" s="1">
        <v>45901</v>
      </c>
      <c r="C185" t="s">
        <v>38</v>
      </c>
      <c r="D185" t="s">
        <v>39</v>
      </c>
      <c r="E185" t="s">
        <v>40</v>
      </c>
      <c r="F185">
        <v>649163</v>
      </c>
      <c r="G185">
        <v>20411454</v>
      </c>
      <c r="H185" t="s">
        <v>41</v>
      </c>
      <c r="I185">
        <v>2030790525</v>
      </c>
      <c r="J185" t="s">
        <v>223</v>
      </c>
      <c r="M185" t="s">
        <v>62</v>
      </c>
      <c r="O185">
        <v>812994</v>
      </c>
      <c r="P185" t="s">
        <v>195</v>
      </c>
      <c r="Q185" t="s">
        <v>45</v>
      </c>
      <c r="R185" t="s">
        <v>77</v>
      </c>
      <c r="S185" s="1">
        <v>45901</v>
      </c>
      <c r="U185" t="s">
        <v>47</v>
      </c>
      <c r="X185" t="s">
        <v>54</v>
      </c>
      <c r="Y185" s="2">
        <v>77.48</v>
      </c>
      <c r="Z185" s="2">
        <v>77.48</v>
      </c>
      <c r="AA185">
        <v>6</v>
      </c>
      <c r="AB185" s="3">
        <v>0.375</v>
      </c>
      <c r="AC185" s="2">
        <v>174.33</v>
      </c>
      <c r="AD185" s="3">
        <v>0</v>
      </c>
      <c r="AE185" s="2">
        <v>0</v>
      </c>
      <c r="AF185" s="2">
        <v>174.33</v>
      </c>
      <c r="AK185" s="4">
        <v>19703120</v>
      </c>
      <c r="AL185" t="s">
        <v>49</v>
      </c>
    </row>
    <row r="186" spans="1:38" x14ac:dyDescent="0.25">
      <c r="A186" s="1">
        <v>45905</v>
      </c>
      <c r="B186" s="1">
        <v>45901</v>
      </c>
      <c r="C186" t="s">
        <v>38</v>
      </c>
      <c r="D186" t="s">
        <v>39</v>
      </c>
      <c r="E186" t="s">
        <v>40</v>
      </c>
      <c r="F186">
        <v>649163</v>
      </c>
      <c r="G186">
        <v>20411454</v>
      </c>
      <c r="H186" t="s">
        <v>41</v>
      </c>
      <c r="I186">
        <v>2030790526</v>
      </c>
      <c r="J186" t="s">
        <v>223</v>
      </c>
      <c r="M186" t="s">
        <v>62</v>
      </c>
      <c r="O186">
        <v>812994</v>
      </c>
      <c r="P186" t="s">
        <v>195</v>
      </c>
      <c r="Q186" t="s">
        <v>45</v>
      </c>
      <c r="R186" t="s">
        <v>53</v>
      </c>
      <c r="S186" s="1">
        <v>45901</v>
      </c>
      <c r="U186" t="s">
        <v>47</v>
      </c>
      <c r="X186" t="s">
        <v>54</v>
      </c>
      <c r="Y186" s="2">
        <v>42.38</v>
      </c>
      <c r="Z186" s="2">
        <v>42.38</v>
      </c>
      <c r="AA186">
        <v>6</v>
      </c>
      <c r="AB186" s="3">
        <v>0.7</v>
      </c>
      <c r="AC186" s="2">
        <v>178</v>
      </c>
      <c r="AD186" s="3">
        <v>0</v>
      </c>
      <c r="AE186" s="2">
        <v>0</v>
      </c>
      <c r="AF186" s="2">
        <v>178</v>
      </c>
      <c r="AK186" s="4">
        <v>19658650</v>
      </c>
      <c r="AL186" t="s">
        <v>49</v>
      </c>
    </row>
    <row r="187" spans="1:38" x14ac:dyDescent="0.25">
      <c r="A187" s="1">
        <v>45905</v>
      </c>
      <c r="B187" s="1">
        <v>45901</v>
      </c>
      <c r="C187" t="s">
        <v>38</v>
      </c>
      <c r="D187" t="s">
        <v>39</v>
      </c>
      <c r="E187" t="s">
        <v>40</v>
      </c>
      <c r="F187">
        <v>649163</v>
      </c>
      <c r="G187">
        <v>20411454</v>
      </c>
      <c r="H187" t="s">
        <v>41</v>
      </c>
      <c r="I187">
        <v>2030791103</v>
      </c>
      <c r="J187" t="s">
        <v>224</v>
      </c>
      <c r="M187" t="s">
        <v>130</v>
      </c>
      <c r="O187">
        <v>885445</v>
      </c>
      <c r="P187" t="s">
        <v>168</v>
      </c>
      <c r="Q187" t="s">
        <v>45</v>
      </c>
      <c r="R187" t="s">
        <v>77</v>
      </c>
      <c r="S187" s="1">
        <v>45901</v>
      </c>
      <c r="U187" t="s">
        <v>47</v>
      </c>
      <c r="X187" t="s">
        <v>54</v>
      </c>
      <c r="Y187" s="2">
        <v>36.11</v>
      </c>
      <c r="Z187" s="2">
        <v>36.11</v>
      </c>
      <c r="AA187">
        <v>6</v>
      </c>
      <c r="AB187" s="3">
        <v>0.375</v>
      </c>
      <c r="AC187" s="2">
        <v>81.25</v>
      </c>
      <c r="AD187" s="3">
        <v>0</v>
      </c>
      <c r="AE187" s="2">
        <v>0</v>
      </c>
      <c r="AF187" s="2">
        <v>81.25</v>
      </c>
      <c r="AK187" s="4">
        <v>19703120</v>
      </c>
      <c r="AL187" t="s">
        <v>49</v>
      </c>
    </row>
    <row r="188" spans="1:38" x14ac:dyDescent="0.25">
      <c r="A188" s="1">
        <v>45905</v>
      </c>
      <c r="B188" s="1">
        <v>45901</v>
      </c>
      <c r="C188" t="s">
        <v>38</v>
      </c>
      <c r="D188" t="s">
        <v>39</v>
      </c>
      <c r="E188" t="s">
        <v>40</v>
      </c>
      <c r="F188">
        <v>649163</v>
      </c>
      <c r="G188">
        <v>20411454</v>
      </c>
      <c r="H188" t="s">
        <v>41</v>
      </c>
      <c r="I188">
        <v>2030791104</v>
      </c>
      <c r="J188" t="s">
        <v>224</v>
      </c>
      <c r="M188" t="s">
        <v>130</v>
      </c>
      <c r="O188">
        <v>885445</v>
      </c>
      <c r="P188" t="s">
        <v>168</v>
      </c>
      <c r="Q188" t="s">
        <v>45</v>
      </c>
      <c r="R188" t="s">
        <v>169</v>
      </c>
      <c r="S188" s="1">
        <v>45901</v>
      </c>
      <c r="U188" t="s">
        <v>47</v>
      </c>
      <c r="X188" t="s">
        <v>54</v>
      </c>
      <c r="Y188" s="2">
        <v>91.37</v>
      </c>
      <c r="Z188" s="2">
        <v>91.37</v>
      </c>
      <c r="AA188">
        <v>6</v>
      </c>
      <c r="AB188" s="3">
        <v>0.38</v>
      </c>
      <c r="AC188" s="2">
        <v>208.32</v>
      </c>
      <c r="AD188" s="3">
        <v>0</v>
      </c>
      <c r="AE188" s="2">
        <v>0</v>
      </c>
      <c r="AF188" s="2">
        <v>208.32</v>
      </c>
      <c r="AK188" s="4">
        <v>19658650</v>
      </c>
      <c r="AL188" t="s">
        <v>49</v>
      </c>
    </row>
    <row r="189" spans="1:38" x14ac:dyDescent="0.25">
      <c r="A189" s="1">
        <v>45905</v>
      </c>
      <c r="B189" s="1">
        <v>45901</v>
      </c>
      <c r="C189" t="s">
        <v>38</v>
      </c>
      <c r="D189" t="s">
        <v>39</v>
      </c>
      <c r="E189" t="s">
        <v>40</v>
      </c>
      <c r="F189">
        <v>649163</v>
      </c>
      <c r="G189">
        <v>20411454</v>
      </c>
      <c r="H189" t="s">
        <v>41</v>
      </c>
      <c r="I189">
        <v>2030791105</v>
      </c>
      <c r="J189" t="s">
        <v>224</v>
      </c>
      <c r="M189" t="s">
        <v>130</v>
      </c>
      <c r="O189">
        <v>885445</v>
      </c>
      <c r="P189" t="s">
        <v>168</v>
      </c>
      <c r="Q189" t="s">
        <v>45</v>
      </c>
      <c r="R189" t="s">
        <v>170</v>
      </c>
      <c r="S189" s="1">
        <v>45901</v>
      </c>
      <c r="U189" t="s">
        <v>47</v>
      </c>
      <c r="X189" t="s">
        <v>54</v>
      </c>
      <c r="Y189" s="2">
        <v>41.81</v>
      </c>
      <c r="Z189" s="2">
        <v>41.81</v>
      </c>
      <c r="AA189">
        <v>6</v>
      </c>
      <c r="AB189" s="3">
        <v>0.6</v>
      </c>
      <c r="AC189" s="2">
        <v>150.52000000000001</v>
      </c>
      <c r="AD189" s="3">
        <v>0</v>
      </c>
      <c r="AE189" s="2">
        <v>0</v>
      </c>
      <c r="AF189" s="2">
        <v>150.52000000000001</v>
      </c>
      <c r="AK189" s="4">
        <v>19683020</v>
      </c>
      <c r="AL189" t="s">
        <v>49</v>
      </c>
    </row>
    <row r="190" spans="1:38" x14ac:dyDescent="0.25">
      <c r="A190" s="1">
        <v>45905</v>
      </c>
      <c r="B190" s="1">
        <v>45901</v>
      </c>
      <c r="C190" t="s">
        <v>38</v>
      </c>
      <c r="D190" t="s">
        <v>39</v>
      </c>
      <c r="E190" t="s">
        <v>40</v>
      </c>
      <c r="F190">
        <v>649163</v>
      </c>
      <c r="G190">
        <v>20411454</v>
      </c>
      <c r="H190" t="s">
        <v>41</v>
      </c>
      <c r="I190">
        <v>2030799927</v>
      </c>
      <c r="J190" t="s">
        <v>225</v>
      </c>
      <c r="M190" t="s">
        <v>226</v>
      </c>
      <c r="O190">
        <v>652037</v>
      </c>
      <c r="P190" t="s">
        <v>73</v>
      </c>
      <c r="Q190" t="s">
        <v>45</v>
      </c>
      <c r="R190" t="s">
        <v>53</v>
      </c>
      <c r="S190" s="1">
        <v>45901</v>
      </c>
      <c r="U190" t="s">
        <v>47</v>
      </c>
      <c r="X190" t="s">
        <v>54</v>
      </c>
      <c r="Y190" s="2">
        <v>30.88</v>
      </c>
      <c r="Z190" s="2">
        <v>30.88</v>
      </c>
      <c r="AA190">
        <v>6</v>
      </c>
      <c r="AB190" s="3">
        <v>0.7</v>
      </c>
      <c r="AC190" s="2">
        <v>129.69999999999999</v>
      </c>
      <c r="AD190" s="3">
        <v>0</v>
      </c>
      <c r="AE190" s="2">
        <v>0</v>
      </c>
      <c r="AF190" s="2">
        <v>129.69999999999999</v>
      </c>
      <c r="AK190" s="4">
        <v>19658680</v>
      </c>
      <c r="AL190" t="s">
        <v>49</v>
      </c>
    </row>
    <row r="191" spans="1:38" x14ac:dyDescent="0.25">
      <c r="A191" s="1">
        <v>45905</v>
      </c>
      <c r="B191" s="1">
        <v>45901</v>
      </c>
      <c r="C191" t="s">
        <v>38</v>
      </c>
      <c r="D191" t="s">
        <v>39</v>
      </c>
      <c r="E191" t="s">
        <v>40</v>
      </c>
      <c r="F191">
        <v>649163</v>
      </c>
      <c r="G191">
        <v>20411454</v>
      </c>
      <c r="H191" t="s">
        <v>41</v>
      </c>
      <c r="I191">
        <v>2030799928</v>
      </c>
      <c r="J191" t="s">
        <v>225</v>
      </c>
      <c r="M191" t="s">
        <v>226</v>
      </c>
      <c r="O191">
        <v>652037</v>
      </c>
      <c r="P191" t="s">
        <v>73</v>
      </c>
      <c r="Q191" t="s">
        <v>45</v>
      </c>
      <c r="R191" t="s">
        <v>227</v>
      </c>
      <c r="S191" s="1">
        <v>45901</v>
      </c>
      <c r="U191" t="s">
        <v>47</v>
      </c>
      <c r="X191" t="s">
        <v>54</v>
      </c>
      <c r="Y191" s="2">
        <v>46.45</v>
      </c>
      <c r="Z191" s="2">
        <v>46.45</v>
      </c>
      <c r="AA191">
        <v>6</v>
      </c>
      <c r="AB191" s="3">
        <v>0.6</v>
      </c>
      <c r="AC191" s="2">
        <v>167.22</v>
      </c>
      <c r="AD191" s="3">
        <v>0</v>
      </c>
      <c r="AE191" s="2">
        <v>0</v>
      </c>
      <c r="AF191" s="2">
        <v>167.22</v>
      </c>
      <c r="AK191" s="4">
        <v>19683020</v>
      </c>
      <c r="AL191" t="s">
        <v>49</v>
      </c>
    </row>
    <row r="192" spans="1:38" x14ac:dyDescent="0.25">
      <c r="A192" s="1">
        <v>45905</v>
      </c>
      <c r="B192" s="1">
        <v>45901</v>
      </c>
      <c r="C192" t="s">
        <v>38</v>
      </c>
      <c r="D192" t="s">
        <v>39</v>
      </c>
      <c r="E192" t="s">
        <v>40</v>
      </c>
      <c r="F192">
        <v>649163</v>
      </c>
      <c r="G192">
        <v>20411454</v>
      </c>
      <c r="H192" t="s">
        <v>41</v>
      </c>
      <c r="I192">
        <v>2030799929</v>
      </c>
      <c r="J192" t="s">
        <v>225</v>
      </c>
      <c r="M192" t="s">
        <v>226</v>
      </c>
      <c r="O192">
        <v>652037</v>
      </c>
      <c r="P192" t="s">
        <v>73</v>
      </c>
      <c r="Q192" t="s">
        <v>45</v>
      </c>
      <c r="R192" t="s">
        <v>228</v>
      </c>
      <c r="S192" s="1">
        <v>45901</v>
      </c>
      <c r="U192" t="s">
        <v>47</v>
      </c>
      <c r="X192" t="s">
        <v>54</v>
      </c>
      <c r="Y192" s="2">
        <v>23.05</v>
      </c>
      <c r="Z192" s="2">
        <v>23.05</v>
      </c>
      <c r="AA192">
        <v>6</v>
      </c>
      <c r="AB192" s="3">
        <v>0.6</v>
      </c>
      <c r="AC192" s="2">
        <v>82.98</v>
      </c>
      <c r="AD192" s="3">
        <v>0</v>
      </c>
      <c r="AE192" s="2">
        <v>0</v>
      </c>
      <c r="AF192" s="2">
        <v>82.98</v>
      </c>
      <c r="AK192" s="4">
        <v>19670450</v>
      </c>
      <c r="AL192" t="s">
        <v>49</v>
      </c>
    </row>
    <row r="193" spans="1:38" x14ac:dyDescent="0.25">
      <c r="A193" s="1">
        <v>45905</v>
      </c>
      <c r="B193" s="1">
        <v>45901</v>
      </c>
      <c r="C193" t="s">
        <v>38</v>
      </c>
      <c r="D193" t="s">
        <v>39</v>
      </c>
      <c r="E193" t="s">
        <v>40</v>
      </c>
      <c r="F193">
        <v>649163</v>
      </c>
      <c r="G193">
        <v>20411454</v>
      </c>
      <c r="H193" t="s">
        <v>41</v>
      </c>
      <c r="I193">
        <v>2030800611</v>
      </c>
      <c r="J193" t="s">
        <v>229</v>
      </c>
      <c r="M193" t="s">
        <v>62</v>
      </c>
      <c r="O193">
        <v>812656</v>
      </c>
      <c r="P193" t="s">
        <v>230</v>
      </c>
      <c r="Q193" t="s">
        <v>45</v>
      </c>
      <c r="R193" t="s">
        <v>53</v>
      </c>
      <c r="S193" s="1">
        <v>45901</v>
      </c>
      <c r="U193" t="s">
        <v>47</v>
      </c>
      <c r="X193" t="s">
        <v>54</v>
      </c>
      <c r="Y193" s="2">
        <v>95.54</v>
      </c>
      <c r="Z193" s="2">
        <v>95.54</v>
      </c>
      <c r="AA193">
        <v>6</v>
      </c>
      <c r="AB193" s="3">
        <v>0.7</v>
      </c>
      <c r="AC193" s="2">
        <v>401.27</v>
      </c>
      <c r="AD193" s="3">
        <v>0</v>
      </c>
      <c r="AE193" s="2">
        <v>0</v>
      </c>
      <c r="AF193" s="2">
        <v>401.27</v>
      </c>
      <c r="AK193" s="4">
        <v>19658680</v>
      </c>
      <c r="AL193" t="s">
        <v>49</v>
      </c>
    </row>
    <row r="194" spans="1:38" x14ac:dyDescent="0.25">
      <c r="A194" s="1">
        <v>45905</v>
      </c>
      <c r="B194" s="1">
        <v>45901</v>
      </c>
      <c r="C194" t="s">
        <v>38</v>
      </c>
      <c r="D194" t="s">
        <v>39</v>
      </c>
      <c r="E194" t="s">
        <v>40</v>
      </c>
      <c r="F194">
        <v>649163</v>
      </c>
      <c r="G194">
        <v>20411454</v>
      </c>
      <c r="H194" t="s">
        <v>41</v>
      </c>
      <c r="I194">
        <v>2030801742</v>
      </c>
      <c r="J194" t="s">
        <v>231</v>
      </c>
      <c r="M194" t="s">
        <v>118</v>
      </c>
      <c r="O194">
        <v>874230</v>
      </c>
      <c r="P194" t="s">
        <v>119</v>
      </c>
      <c r="Q194" t="s">
        <v>45</v>
      </c>
      <c r="R194" t="s">
        <v>68</v>
      </c>
      <c r="S194" s="1">
        <v>45901</v>
      </c>
      <c r="U194" t="s">
        <v>47</v>
      </c>
      <c r="X194" t="s">
        <v>54</v>
      </c>
      <c r="Y194" s="2">
        <v>12.64</v>
      </c>
      <c r="Z194" s="2">
        <v>12.64</v>
      </c>
      <c r="AA194">
        <v>6</v>
      </c>
      <c r="AB194" s="3">
        <v>0.75</v>
      </c>
      <c r="AC194" s="2">
        <v>56.88</v>
      </c>
      <c r="AD194" s="3">
        <v>0</v>
      </c>
      <c r="AE194" s="2">
        <v>0</v>
      </c>
      <c r="AF194" s="2">
        <v>56.88</v>
      </c>
      <c r="AK194" s="4">
        <v>19683030</v>
      </c>
      <c r="AL194" t="s">
        <v>49</v>
      </c>
    </row>
    <row r="195" spans="1:38" x14ac:dyDescent="0.25">
      <c r="A195" s="1">
        <v>45905</v>
      </c>
      <c r="B195" s="1">
        <v>45901</v>
      </c>
      <c r="C195" t="s">
        <v>38</v>
      </c>
      <c r="D195" t="s">
        <v>39</v>
      </c>
      <c r="E195" t="s">
        <v>40</v>
      </c>
      <c r="F195">
        <v>649163</v>
      </c>
      <c r="G195">
        <v>20411454</v>
      </c>
      <c r="H195" t="s">
        <v>41</v>
      </c>
      <c r="I195">
        <v>2030801743</v>
      </c>
      <c r="J195" t="s">
        <v>231</v>
      </c>
      <c r="M195" t="s">
        <v>118</v>
      </c>
      <c r="O195">
        <v>874230</v>
      </c>
      <c r="P195" t="s">
        <v>119</v>
      </c>
      <c r="Q195" t="s">
        <v>45</v>
      </c>
      <c r="R195" t="s">
        <v>77</v>
      </c>
      <c r="S195" s="1">
        <v>45901</v>
      </c>
      <c r="U195" t="s">
        <v>47</v>
      </c>
      <c r="X195" t="s">
        <v>54</v>
      </c>
      <c r="Y195" s="2">
        <v>38.39</v>
      </c>
      <c r="Z195" s="2">
        <v>38.39</v>
      </c>
      <c r="AA195">
        <v>6</v>
      </c>
      <c r="AB195" s="3">
        <v>0.375</v>
      </c>
      <c r="AC195" s="2">
        <v>86.38</v>
      </c>
      <c r="AD195" s="3">
        <v>0</v>
      </c>
      <c r="AE195" s="2">
        <v>0</v>
      </c>
      <c r="AF195" s="2">
        <v>86.38</v>
      </c>
      <c r="AK195" s="4">
        <v>19703150</v>
      </c>
      <c r="AL195" t="s">
        <v>49</v>
      </c>
    </row>
    <row r="196" spans="1:38" x14ac:dyDescent="0.25">
      <c r="A196" s="1">
        <v>45905</v>
      </c>
      <c r="B196" s="1">
        <v>45901</v>
      </c>
      <c r="C196" t="s">
        <v>38</v>
      </c>
      <c r="D196" t="s">
        <v>39</v>
      </c>
      <c r="E196" t="s">
        <v>40</v>
      </c>
      <c r="F196">
        <v>649163</v>
      </c>
      <c r="G196">
        <v>20411454</v>
      </c>
      <c r="H196" t="s">
        <v>41</v>
      </c>
      <c r="I196">
        <v>2030801809</v>
      </c>
      <c r="J196" t="s">
        <v>232</v>
      </c>
      <c r="M196" t="s">
        <v>226</v>
      </c>
      <c r="O196">
        <v>652037</v>
      </c>
      <c r="P196" t="s">
        <v>73</v>
      </c>
      <c r="Q196" t="s">
        <v>45</v>
      </c>
      <c r="R196" t="s">
        <v>175</v>
      </c>
      <c r="S196" s="1">
        <v>45901</v>
      </c>
      <c r="U196" t="s">
        <v>47</v>
      </c>
      <c r="X196" t="s">
        <v>54</v>
      </c>
      <c r="Y196" s="2">
        <v>19.91</v>
      </c>
      <c r="Z196" s="2">
        <v>19.91</v>
      </c>
      <c r="AA196">
        <v>6</v>
      </c>
      <c r="AB196" s="3">
        <v>0.6</v>
      </c>
      <c r="AC196" s="2">
        <v>71.680000000000007</v>
      </c>
      <c r="AD196" s="3">
        <v>0</v>
      </c>
      <c r="AE196" s="2">
        <v>0</v>
      </c>
      <c r="AF196" s="2">
        <v>71.680000000000007</v>
      </c>
      <c r="AK196" s="4">
        <v>19683030</v>
      </c>
      <c r="AL196" t="s">
        <v>49</v>
      </c>
    </row>
    <row r="197" spans="1:38" x14ac:dyDescent="0.25">
      <c r="A197" s="1">
        <v>45905</v>
      </c>
      <c r="B197" s="1">
        <v>45901</v>
      </c>
      <c r="C197" t="s">
        <v>38</v>
      </c>
      <c r="D197" t="s">
        <v>39</v>
      </c>
      <c r="E197" t="s">
        <v>40</v>
      </c>
      <c r="F197">
        <v>649163</v>
      </c>
      <c r="G197">
        <v>20411454</v>
      </c>
      <c r="H197" t="s">
        <v>41</v>
      </c>
      <c r="I197">
        <v>2030801810</v>
      </c>
      <c r="J197" t="s">
        <v>232</v>
      </c>
      <c r="M197" t="s">
        <v>226</v>
      </c>
      <c r="O197">
        <v>652037</v>
      </c>
      <c r="P197" t="s">
        <v>73</v>
      </c>
      <c r="Q197" t="s">
        <v>45</v>
      </c>
      <c r="R197" t="s">
        <v>53</v>
      </c>
      <c r="S197" s="1">
        <v>45901</v>
      </c>
      <c r="U197" t="s">
        <v>47</v>
      </c>
      <c r="X197" t="s">
        <v>54</v>
      </c>
      <c r="Y197" s="2">
        <v>15.29</v>
      </c>
      <c r="Z197" s="2">
        <v>15.29</v>
      </c>
      <c r="AA197">
        <v>6</v>
      </c>
      <c r="AB197" s="3">
        <v>0.7</v>
      </c>
      <c r="AC197" s="2">
        <v>64.22</v>
      </c>
      <c r="AD197" s="3">
        <v>0</v>
      </c>
      <c r="AE197" s="2">
        <v>0</v>
      </c>
      <c r="AF197" s="2">
        <v>64.22</v>
      </c>
      <c r="AK197" s="4">
        <v>19658680</v>
      </c>
      <c r="AL197" t="s">
        <v>49</v>
      </c>
    </row>
    <row r="198" spans="1:38" x14ac:dyDescent="0.25">
      <c r="A198" s="1">
        <v>45905</v>
      </c>
      <c r="B198" s="1">
        <v>45901</v>
      </c>
      <c r="C198" t="s">
        <v>38</v>
      </c>
      <c r="D198" t="s">
        <v>39</v>
      </c>
      <c r="E198" t="s">
        <v>40</v>
      </c>
      <c r="F198">
        <v>649163</v>
      </c>
      <c r="G198">
        <v>20411454</v>
      </c>
      <c r="H198" t="s">
        <v>41</v>
      </c>
      <c r="I198">
        <v>2030801811</v>
      </c>
      <c r="J198" t="s">
        <v>232</v>
      </c>
      <c r="M198" t="s">
        <v>226</v>
      </c>
      <c r="O198">
        <v>652037</v>
      </c>
      <c r="P198" t="s">
        <v>73</v>
      </c>
      <c r="Q198" t="s">
        <v>45</v>
      </c>
      <c r="R198" t="s">
        <v>77</v>
      </c>
      <c r="S198" s="1">
        <v>45901</v>
      </c>
      <c r="U198" t="s">
        <v>47</v>
      </c>
      <c r="X198" t="s">
        <v>54</v>
      </c>
      <c r="Y198" s="2">
        <v>14.76</v>
      </c>
      <c r="Z198" s="2">
        <v>14.76</v>
      </c>
      <c r="AA198">
        <v>6</v>
      </c>
      <c r="AB198" s="3">
        <v>0.375</v>
      </c>
      <c r="AC198" s="2">
        <v>33.21</v>
      </c>
      <c r="AD198" s="3">
        <v>0</v>
      </c>
      <c r="AE198" s="2">
        <v>0</v>
      </c>
      <c r="AF198" s="2">
        <v>33.21</v>
      </c>
      <c r="AK198" s="4">
        <v>19703150</v>
      </c>
      <c r="AL198" t="s">
        <v>49</v>
      </c>
    </row>
    <row r="199" spans="1:38" x14ac:dyDescent="0.25">
      <c r="A199" s="1">
        <v>45905</v>
      </c>
      <c r="B199" s="1">
        <v>45901</v>
      </c>
      <c r="C199" t="s">
        <v>38</v>
      </c>
      <c r="D199" t="s">
        <v>39</v>
      </c>
      <c r="E199" t="s">
        <v>40</v>
      </c>
      <c r="F199">
        <v>649163</v>
      </c>
      <c r="G199">
        <v>20411454</v>
      </c>
      <c r="H199" t="s">
        <v>41</v>
      </c>
      <c r="I199">
        <v>2030801812</v>
      </c>
      <c r="J199" t="s">
        <v>232</v>
      </c>
      <c r="M199" t="s">
        <v>226</v>
      </c>
      <c r="O199">
        <v>652037</v>
      </c>
      <c r="P199" t="s">
        <v>73</v>
      </c>
      <c r="Q199" t="s">
        <v>45</v>
      </c>
      <c r="R199" t="s">
        <v>228</v>
      </c>
      <c r="S199" s="1">
        <v>45901</v>
      </c>
      <c r="U199" t="s">
        <v>47</v>
      </c>
      <c r="X199" t="s">
        <v>54</v>
      </c>
      <c r="Y199" s="2">
        <v>23.05</v>
      </c>
      <c r="Z199" s="2">
        <v>23.05</v>
      </c>
      <c r="AA199">
        <v>6</v>
      </c>
      <c r="AB199" s="3">
        <v>0.6</v>
      </c>
      <c r="AC199" s="2">
        <v>82.98</v>
      </c>
      <c r="AD199" s="3">
        <v>0</v>
      </c>
      <c r="AE199" s="2">
        <v>0</v>
      </c>
      <c r="AF199" s="2">
        <v>82.98</v>
      </c>
      <c r="AK199" s="4">
        <v>19670460</v>
      </c>
      <c r="AL199" t="s">
        <v>49</v>
      </c>
    </row>
    <row r="200" spans="1:38" x14ac:dyDescent="0.25">
      <c r="A200" s="1">
        <v>45905</v>
      </c>
      <c r="B200" s="1">
        <v>45901</v>
      </c>
      <c r="C200" t="s">
        <v>38</v>
      </c>
      <c r="D200" t="s">
        <v>39</v>
      </c>
      <c r="E200" t="s">
        <v>40</v>
      </c>
      <c r="F200">
        <v>649163</v>
      </c>
      <c r="G200">
        <v>20411454</v>
      </c>
      <c r="H200" t="s">
        <v>41</v>
      </c>
      <c r="I200">
        <v>2030802196</v>
      </c>
      <c r="J200" t="s">
        <v>233</v>
      </c>
      <c r="M200" t="s">
        <v>155</v>
      </c>
      <c r="O200">
        <v>652037</v>
      </c>
      <c r="P200" t="s">
        <v>73</v>
      </c>
      <c r="Q200" t="s">
        <v>45</v>
      </c>
      <c r="R200" t="s">
        <v>77</v>
      </c>
      <c r="S200" s="1">
        <v>45901</v>
      </c>
      <c r="U200" t="s">
        <v>47</v>
      </c>
      <c r="X200" t="s">
        <v>54</v>
      </c>
      <c r="Y200" s="2">
        <v>25.07</v>
      </c>
      <c r="Z200" s="2">
        <v>25.07</v>
      </c>
      <c r="AA200">
        <v>6</v>
      </c>
      <c r="AB200" s="3">
        <v>0.375</v>
      </c>
      <c r="AC200" s="2">
        <v>56.41</v>
      </c>
      <c r="AD200" s="3">
        <v>0</v>
      </c>
      <c r="AE200" s="2">
        <v>0</v>
      </c>
      <c r="AF200" s="2">
        <v>56.41</v>
      </c>
      <c r="AK200" s="4">
        <v>19703150</v>
      </c>
      <c r="AL200" t="s">
        <v>49</v>
      </c>
    </row>
    <row r="201" spans="1:38" x14ac:dyDescent="0.25">
      <c r="A201" s="1">
        <v>45905</v>
      </c>
      <c r="B201" s="1">
        <v>45901</v>
      </c>
      <c r="C201" t="s">
        <v>38</v>
      </c>
      <c r="D201" t="s">
        <v>39</v>
      </c>
      <c r="E201" t="s">
        <v>40</v>
      </c>
      <c r="F201">
        <v>649163</v>
      </c>
      <c r="G201">
        <v>20411454</v>
      </c>
      <c r="H201" t="s">
        <v>41</v>
      </c>
      <c r="I201">
        <v>2030802197</v>
      </c>
      <c r="J201" t="s">
        <v>233</v>
      </c>
      <c r="M201" t="s">
        <v>155</v>
      </c>
      <c r="O201">
        <v>652037</v>
      </c>
      <c r="P201" t="s">
        <v>73</v>
      </c>
      <c r="Q201" t="s">
        <v>45</v>
      </c>
      <c r="R201" t="s">
        <v>143</v>
      </c>
      <c r="S201" s="1">
        <v>45901</v>
      </c>
      <c r="U201" t="s">
        <v>47</v>
      </c>
      <c r="X201" t="s">
        <v>54</v>
      </c>
      <c r="Y201" s="2">
        <v>51.63</v>
      </c>
      <c r="Z201" s="2">
        <v>51.63</v>
      </c>
      <c r="AA201">
        <v>6</v>
      </c>
      <c r="AB201" s="3">
        <v>0.9</v>
      </c>
      <c r="AC201" s="2">
        <v>278.8</v>
      </c>
      <c r="AD201" s="3">
        <v>0</v>
      </c>
      <c r="AE201" s="2">
        <v>0</v>
      </c>
      <c r="AF201" s="2">
        <v>278.8</v>
      </c>
      <c r="AK201" s="4">
        <v>19709520</v>
      </c>
      <c r="AL201" t="s">
        <v>49</v>
      </c>
    </row>
    <row r="202" spans="1:38" x14ac:dyDescent="0.25">
      <c r="A202" s="1">
        <v>45905</v>
      </c>
      <c r="B202" s="1">
        <v>45901</v>
      </c>
      <c r="C202" t="s">
        <v>38</v>
      </c>
      <c r="D202" t="s">
        <v>39</v>
      </c>
      <c r="E202" t="s">
        <v>40</v>
      </c>
      <c r="F202">
        <v>649163</v>
      </c>
      <c r="G202">
        <v>20411454</v>
      </c>
      <c r="H202" t="s">
        <v>41</v>
      </c>
      <c r="I202">
        <v>2030802198</v>
      </c>
      <c r="J202" t="s">
        <v>233</v>
      </c>
      <c r="M202" t="s">
        <v>155</v>
      </c>
      <c r="O202">
        <v>652037</v>
      </c>
      <c r="P202" t="s">
        <v>73</v>
      </c>
      <c r="Q202" t="s">
        <v>45</v>
      </c>
      <c r="R202" t="s">
        <v>53</v>
      </c>
      <c r="S202" s="1">
        <v>45901</v>
      </c>
      <c r="U202" t="s">
        <v>47</v>
      </c>
      <c r="X202" t="s">
        <v>54</v>
      </c>
      <c r="Y202" s="2">
        <v>26.32</v>
      </c>
      <c r="Z202" s="2">
        <v>26.32</v>
      </c>
      <c r="AA202">
        <v>6</v>
      </c>
      <c r="AB202" s="3">
        <v>0.7</v>
      </c>
      <c r="AC202" s="2">
        <v>110.54</v>
      </c>
      <c r="AD202" s="3">
        <v>0</v>
      </c>
      <c r="AE202" s="2">
        <v>0</v>
      </c>
      <c r="AF202" s="2">
        <v>110.54</v>
      </c>
      <c r="AK202" s="4">
        <v>19658690</v>
      </c>
      <c r="AL202" t="s">
        <v>49</v>
      </c>
    </row>
    <row r="203" spans="1:38" x14ac:dyDescent="0.25">
      <c r="A203" s="1">
        <v>45905</v>
      </c>
      <c r="B203" s="1">
        <v>45901</v>
      </c>
      <c r="C203" t="s">
        <v>38</v>
      </c>
      <c r="D203" t="s">
        <v>39</v>
      </c>
      <c r="E203" t="s">
        <v>40</v>
      </c>
      <c r="F203">
        <v>649163</v>
      </c>
      <c r="G203">
        <v>20411454</v>
      </c>
      <c r="H203" t="s">
        <v>41</v>
      </c>
      <c r="I203">
        <v>2030802199</v>
      </c>
      <c r="J203" t="s">
        <v>233</v>
      </c>
      <c r="M203" t="s">
        <v>155</v>
      </c>
      <c r="O203">
        <v>652037</v>
      </c>
      <c r="P203" t="s">
        <v>73</v>
      </c>
      <c r="Q203" t="s">
        <v>45</v>
      </c>
      <c r="R203" t="s">
        <v>170</v>
      </c>
      <c r="S203" s="1">
        <v>45901</v>
      </c>
      <c r="U203" t="s">
        <v>47</v>
      </c>
      <c r="X203" t="s">
        <v>54</v>
      </c>
      <c r="Y203" s="2">
        <v>69.260000000000005</v>
      </c>
      <c r="Z203" s="2">
        <v>69.260000000000005</v>
      </c>
      <c r="AA203">
        <v>6</v>
      </c>
      <c r="AB203" s="3">
        <v>0.6</v>
      </c>
      <c r="AC203" s="2">
        <v>249.34</v>
      </c>
      <c r="AD203" s="3">
        <v>0</v>
      </c>
      <c r="AE203" s="2">
        <v>0</v>
      </c>
      <c r="AF203" s="2">
        <v>249.34</v>
      </c>
      <c r="AK203" s="4">
        <v>19683030</v>
      </c>
      <c r="AL203" t="s">
        <v>49</v>
      </c>
    </row>
    <row r="204" spans="1:38" x14ac:dyDescent="0.25">
      <c r="A204" s="1">
        <v>45905</v>
      </c>
      <c r="B204" s="1">
        <v>45901</v>
      </c>
      <c r="C204" t="s">
        <v>234</v>
      </c>
      <c r="D204" t="s">
        <v>39</v>
      </c>
      <c r="E204" t="s">
        <v>40</v>
      </c>
      <c r="F204">
        <v>649163</v>
      </c>
      <c r="G204">
        <v>20411454</v>
      </c>
      <c r="H204" t="s">
        <v>41</v>
      </c>
      <c r="I204">
        <v>2028788679</v>
      </c>
      <c r="J204" t="s">
        <v>235</v>
      </c>
      <c r="M204" t="s">
        <v>200</v>
      </c>
      <c r="O204">
        <v>767312</v>
      </c>
      <c r="P204" t="s">
        <v>201</v>
      </c>
      <c r="Q204" t="s">
        <v>236</v>
      </c>
      <c r="R204" t="s">
        <v>58</v>
      </c>
      <c r="S204" s="1">
        <v>45809</v>
      </c>
      <c r="U204" t="s">
        <v>47</v>
      </c>
      <c r="X204" t="s">
        <v>237</v>
      </c>
      <c r="AF204" s="2">
        <v>320.85000000000002</v>
      </c>
      <c r="AG204" s="2">
        <v>106.95</v>
      </c>
      <c r="AJ204" s="2">
        <v>213.9</v>
      </c>
    </row>
    <row r="205" spans="1:38" x14ac:dyDescent="0.25">
      <c r="A205" s="1">
        <v>45905</v>
      </c>
      <c r="B205" s="1">
        <v>45901</v>
      </c>
      <c r="C205" t="s">
        <v>234</v>
      </c>
      <c r="D205" t="s">
        <v>39</v>
      </c>
      <c r="E205" t="s">
        <v>40</v>
      </c>
      <c r="F205">
        <v>649163</v>
      </c>
      <c r="G205">
        <v>20411454</v>
      </c>
      <c r="H205" t="s">
        <v>41</v>
      </c>
      <c r="I205">
        <v>2028788680</v>
      </c>
      <c r="J205" t="s">
        <v>235</v>
      </c>
      <c r="M205" t="s">
        <v>200</v>
      </c>
      <c r="O205">
        <v>767312</v>
      </c>
      <c r="P205" t="s">
        <v>201</v>
      </c>
      <c r="Q205" t="s">
        <v>236</v>
      </c>
      <c r="R205" t="s">
        <v>77</v>
      </c>
      <c r="S205" s="1">
        <v>45809</v>
      </c>
      <c r="U205" t="s">
        <v>47</v>
      </c>
      <c r="X205" t="s">
        <v>237</v>
      </c>
      <c r="AF205" s="2">
        <v>115.85</v>
      </c>
      <c r="AG205" s="2">
        <v>38.619999999999997</v>
      </c>
      <c r="AJ205" s="2">
        <v>77.23</v>
      </c>
    </row>
    <row r="206" spans="1:38" x14ac:dyDescent="0.25">
      <c r="A206" s="1">
        <v>45905</v>
      </c>
      <c r="B206" s="1">
        <v>45901</v>
      </c>
      <c r="C206" t="s">
        <v>234</v>
      </c>
      <c r="D206" t="s">
        <v>39</v>
      </c>
      <c r="E206" t="s">
        <v>40</v>
      </c>
      <c r="F206">
        <v>649163</v>
      </c>
      <c r="G206">
        <v>20411454</v>
      </c>
      <c r="H206" t="s">
        <v>41</v>
      </c>
      <c r="I206">
        <v>2029005874</v>
      </c>
      <c r="J206" t="s">
        <v>238</v>
      </c>
      <c r="M206" t="s">
        <v>104</v>
      </c>
      <c r="O206">
        <v>856163</v>
      </c>
      <c r="P206" t="s">
        <v>63</v>
      </c>
      <c r="Q206" t="s">
        <v>236</v>
      </c>
      <c r="R206" t="s">
        <v>68</v>
      </c>
      <c r="S206" s="1">
        <v>45809</v>
      </c>
      <c r="U206" t="s">
        <v>47</v>
      </c>
      <c r="X206" t="s">
        <v>237</v>
      </c>
      <c r="AF206" s="2">
        <v>172.84</v>
      </c>
      <c r="AG206" s="2">
        <v>86.42</v>
      </c>
      <c r="AJ206" s="2">
        <v>86.42</v>
      </c>
    </row>
    <row r="207" spans="1:38" x14ac:dyDescent="0.25">
      <c r="A207" s="1">
        <v>45905</v>
      </c>
      <c r="B207" s="1">
        <v>45901</v>
      </c>
      <c r="C207" t="s">
        <v>234</v>
      </c>
      <c r="D207" t="s">
        <v>39</v>
      </c>
      <c r="E207" t="s">
        <v>40</v>
      </c>
      <c r="F207">
        <v>649163</v>
      </c>
      <c r="G207">
        <v>20411454</v>
      </c>
      <c r="H207" t="s">
        <v>41</v>
      </c>
      <c r="I207">
        <v>2029005875</v>
      </c>
      <c r="J207" t="s">
        <v>238</v>
      </c>
      <c r="M207" t="s">
        <v>104</v>
      </c>
      <c r="O207">
        <v>856163</v>
      </c>
      <c r="P207" t="s">
        <v>63</v>
      </c>
      <c r="Q207" t="s">
        <v>236</v>
      </c>
      <c r="R207" t="s">
        <v>53</v>
      </c>
      <c r="S207" s="1">
        <v>45809</v>
      </c>
      <c r="U207" t="s">
        <v>47</v>
      </c>
      <c r="X207" t="s">
        <v>237</v>
      </c>
      <c r="AF207" s="2">
        <v>109.2</v>
      </c>
      <c r="AG207" s="2">
        <v>54.6</v>
      </c>
      <c r="AJ207" s="2">
        <v>54.6</v>
      </c>
    </row>
    <row r="208" spans="1:38" x14ac:dyDescent="0.25">
      <c r="A208" s="1">
        <v>45905</v>
      </c>
      <c r="B208" s="1">
        <v>45901</v>
      </c>
      <c r="C208" t="s">
        <v>234</v>
      </c>
      <c r="D208" t="s">
        <v>39</v>
      </c>
      <c r="E208" t="s">
        <v>40</v>
      </c>
      <c r="F208">
        <v>649163</v>
      </c>
      <c r="G208">
        <v>20411454</v>
      </c>
      <c r="H208" t="s">
        <v>41</v>
      </c>
      <c r="I208">
        <v>2029051129</v>
      </c>
      <c r="J208" t="s">
        <v>239</v>
      </c>
      <c r="M208" t="s">
        <v>62</v>
      </c>
      <c r="O208">
        <v>824062</v>
      </c>
      <c r="P208" t="s">
        <v>240</v>
      </c>
      <c r="Q208" t="s">
        <v>236</v>
      </c>
      <c r="R208" t="s">
        <v>77</v>
      </c>
      <c r="S208" s="1">
        <v>45809</v>
      </c>
      <c r="U208" t="s">
        <v>47</v>
      </c>
      <c r="X208" t="s">
        <v>237</v>
      </c>
      <c r="AF208" s="2">
        <v>151.18</v>
      </c>
      <c r="AG208" s="2">
        <v>75.59</v>
      </c>
      <c r="AJ208" s="2">
        <v>75.59</v>
      </c>
    </row>
    <row r="209" spans="1:36" x14ac:dyDescent="0.25">
      <c r="A209" s="1">
        <v>45905</v>
      </c>
      <c r="B209" s="1">
        <v>45901</v>
      </c>
      <c r="C209" t="s">
        <v>234</v>
      </c>
      <c r="D209" t="s">
        <v>39</v>
      </c>
      <c r="E209" t="s">
        <v>40</v>
      </c>
      <c r="F209">
        <v>649163</v>
      </c>
      <c r="G209">
        <v>20411454</v>
      </c>
      <c r="H209" t="s">
        <v>41</v>
      </c>
      <c r="I209">
        <v>2029051130</v>
      </c>
      <c r="J209" t="s">
        <v>239</v>
      </c>
      <c r="M209" t="s">
        <v>62</v>
      </c>
      <c r="O209">
        <v>824062</v>
      </c>
      <c r="P209" t="s">
        <v>240</v>
      </c>
      <c r="Q209" t="s">
        <v>236</v>
      </c>
      <c r="R209" t="s">
        <v>74</v>
      </c>
      <c r="S209" s="1">
        <v>45809</v>
      </c>
      <c r="U209" t="s">
        <v>47</v>
      </c>
      <c r="X209" t="s">
        <v>237</v>
      </c>
      <c r="AF209" s="2">
        <v>320.87</v>
      </c>
      <c r="AG209" s="2">
        <v>160.43</v>
      </c>
      <c r="AJ209" s="2">
        <v>160.44</v>
      </c>
    </row>
    <row r="210" spans="1:36" x14ac:dyDescent="0.25">
      <c r="A210" s="1">
        <v>45905</v>
      </c>
      <c r="B210" s="1">
        <v>45901</v>
      </c>
      <c r="C210" t="s">
        <v>234</v>
      </c>
      <c r="D210" t="s">
        <v>39</v>
      </c>
      <c r="E210" t="s">
        <v>40</v>
      </c>
      <c r="F210">
        <v>649163</v>
      </c>
      <c r="G210">
        <v>20411454</v>
      </c>
      <c r="H210" t="s">
        <v>41</v>
      </c>
      <c r="I210">
        <v>2029051131</v>
      </c>
      <c r="J210" t="s">
        <v>239</v>
      </c>
      <c r="M210" t="s">
        <v>62</v>
      </c>
      <c r="O210">
        <v>824062</v>
      </c>
      <c r="P210" t="s">
        <v>240</v>
      </c>
      <c r="Q210" t="s">
        <v>236</v>
      </c>
      <c r="R210" t="s">
        <v>53</v>
      </c>
      <c r="S210" s="1">
        <v>45809</v>
      </c>
      <c r="U210" t="s">
        <v>47</v>
      </c>
      <c r="X210" t="s">
        <v>237</v>
      </c>
      <c r="AF210" s="2">
        <v>48.3</v>
      </c>
      <c r="AG210" s="2">
        <v>24.15</v>
      </c>
      <c r="AJ210" s="2">
        <v>24.15</v>
      </c>
    </row>
    <row r="211" spans="1:36" x14ac:dyDescent="0.25">
      <c r="A211" s="1">
        <v>45905</v>
      </c>
      <c r="B211" s="1">
        <v>45901</v>
      </c>
      <c r="C211" t="s">
        <v>234</v>
      </c>
      <c r="D211" t="s">
        <v>39</v>
      </c>
      <c r="E211" t="s">
        <v>40</v>
      </c>
      <c r="F211">
        <v>649163</v>
      </c>
      <c r="G211">
        <v>20411454</v>
      </c>
      <c r="H211" t="s">
        <v>41</v>
      </c>
      <c r="I211">
        <v>2029109679</v>
      </c>
      <c r="J211" t="s">
        <v>241</v>
      </c>
      <c r="M211" t="s">
        <v>65</v>
      </c>
      <c r="O211">
        <v>823350</v>
      </c>
      <c r="P211" t="s">
        <v>135</v>
      </c>
      <c r="Q211" t="s">
        <v>236</v>
      </c>
      <c r="R211" t="s">
        <v>169</v>
      </c>
      <c r="S211" s="1">
        <v>45802</v>
      </c>
      <c r="U211" t="s">
        <v>47</v>
      </c>
      <c r="X211" t="s">
        <v>237</v>
      </c>
      <c r="AF211" s="2">
        <v>810.31</v>
      </c>
      <c r="AG211" s="2">
        <v>405.16</v>
      </c>
      <c r="AJ211" s="2">
        <v>405.15</v>
      </c>
    </row>
    <row r="212" spans="1:36" x14ac:dyDescent="0.25">
      <c r="A212" s="1">
        <v>45905</v>
      </c>
      <c r="B212" s="1">
        <v>45901</v>
      </c>
      <c r="C212" t="s">
        <v>234</v>
      </c>
      <c r="D212" t="s">
        <v>39</v>
      </c>
      <c r="E212" t="s">
        <v>40</v>
      </c>
      <c r="F212">
        <v>649163</v>
      </c>
      <c r="G212">
        <v>20411454</v>
      </c>
      <c r="H212" t="s">
        <v>41</v>
      </c>
      <c r="I212">
        <v>2029109680</v>
      </c>
      <c r="J212" t="s">
        <v>241</v>
      </c>
      <c r="M212" t="s">
        <v>65</v>
      </c>
      <c r="O212">
        <v>823350</v>
      </c>
      <c r="P212" t="s">
        <v>135</v>
      </c>
      <c r="Q212" t="s">
        <v>236</v>
      </c>
      <c r="R212" t="s">
        <v>242</v>
      </c>
      <c r="S212" s="1">
        <v>45802</v>
      </c>
      <c r="U212" t="s">
        <v>47</v>
      </c>
      <c r="X212" t="s">
        <v>237</v>
      </c>
      <c r="AF212" s="2">
        <v>16.170000000000002</v>
      </c>
      <c r="AG212" s="2">
        <v>8.08</v>
      </c>
      <c r="AJ212" s="2">
        <v>8.09</v>
      </c>
    </row>
    <row r="213" spans="1:36" x14ac:dyDescent="0.25">
      <c r="A213" s="1">
        <v>45905</v>
      </c>
      <c r="B213" s="1">
        <v>45901</v>
      </c>
      <c r="C213" t="s">
        <v>234</v>
      </c>
      <c r="D213" t="s">
        <v>39</v>
      </c>
      <c r="E213" t="s">
        <v>40</v>
      </c>
      <c r="F213">
        <v>649163</v>
      </c>
      <c r="G213">
        <v>20411454</v>
      </c>
      <c r="H213" t="s">
        <v>41</v>
      </c>
      <c r="I213">
        <v>2029109681</v>
      </c>
      <c r="J213" t="s">
        <v>241</v>
      </c>
      <c r="M213" t="s">
        <v>65</v>
      </c>
      <c r="O213">
        <v>823350</v>
      </c>
      <c r="P213" t="s">
        <v>135</v>
      </c>
      <c r="Q213" t="s">
        <v>236</v>
      </c>
      <c r="R213" t="s">
        <v>53</v>
      </c>
      <c r="S213" s="1">
        <v>45802</v>
      </c>
      <c r="U213" t="s">
        <v>47</v>
      </c>
      <c r="X213" t="s">
        <v>237</v>
      </c>
      <c r="AF213" s="2">
        <v>135.24</v>
      </c>
      <c r="AG213" s="2">
        <v>67.62</v>
      </c>
      <c r="AJ213" s="2">
        <v>67.62</v>
      </c>
    </row>
    <row r="214" spans="1:36" x14ac:dyDescent="0.25">
      <c r="A214" s="1">
        <v>45905</v>
      </c>
      <c r="B214" s="1">
        <v>45901</v>
      </c>
      <c r="C214" t="s">
        <v>234</v>
      </c>
      <c r="D214" t="s">
        <v>39</v>
      </c>
      <c r="E214" t="s">
        <v>40</v>
      </c>
      <c r="F214">
        <v>649163</v>
      </c>
      <c r="G214">
        <v>20411454</v>
      </c>
      <c r="H214" t="s">
        <v>41</v>
      </c>
      <c r="I214">
        <v>2029109682</v>
      </c>
      <c r="J214" t="s">
        <v>241</v>
      </c>
      <c r="M214" t="s">
        <v>65</v>
      </c>
      <c r="O214">
        <v>823350</v>
      </c>
      <c r="P214" t="s">
        <v>135</v>
      </c>
      <c r="Q214" t="s">
        <v>236</v>
      </c>
      <c r="R214" t="s">
        <v>243</v>
      </c>
      <c r="S214" s="1">
        <v>45802</v>
      </c>
      <c r="U214" t="s">
        <v>47</v>
      </c>
      <c r="X214" t="s">
        <v>237</v>
      </c>
      <c r="AF214" s="2">
        <v>34.200000000000003</v>
      </c>
      <c r="AG214" s="2">
        <v>17.100000000000001</v>
      </c>
      <c r="AJ214" s="2">
        <v>17.100000000000001</v>
      </c>
    </row>
    <row r="215" spans="1:36" x14ac:dyDescent="0.25">
      <c r="A215" s="1">
        <v>45905</v>
      </c>
      <c r="B215" s="1">
        <v>45901</v>
      </c>
      <c r="C215" t="s">
        <v>234</v>
      </c>
      <c r="D215" t="s">
        <v>39</v>
      </c>
      <c r="E215" t="s">
        <v>40</v>
      </c>
      <c r="F215">
        <v>649163</v>
      </c>
      <c r="G215">
        <v>20411454</v>
      </c>
      <c r="H215" t="s">
        <v>41</v>
      </c>
      <c r="I215">
        <v>2029156301</v>
      </c>
      <c r="J215" t="s">
        <v>244</v>
      </c>
      <c r="M215" t="s">
        <v>130</v>
      </c>
      <c r="O215">
        <v>650218</v>
      </c>
      <c r="P215" t="s">
        <v>131</v>
      </c>
      <c r="Q215" t="s">
        <v>236</v>
      </c>
      <c r="R215" t="s">
        <v>80</v>
      </c>
      <c r="S215" s="1">
        <v>45809</v>
      </c>
      <c r="U215" t="s">
        <v>47</v>
      </c>
      <c r="X215" t="s">
        <v>237</v>
      </c>
      <c r="AF215" s="2">
        <v>121.2</v>
      </c>
      <c r="AG215" s="2">
        <v>60.6</v>
      </c>
      <c r="AJ215" s="2">
        <v>60.6</v>
      </c>
    </row>
    <row r="216" spans="1:36" x14ac:dyDescent="0.25">
      <c r="A216" s="1">
        <v>45905</v>
      </c>
      <c r="B216" s="1">
        <v>45901</v>
      </c>
      <c r="C216" t="s">
        <v>234</v>
      </c>
      <c r="D216" t="s">
        <v>39</v>
      </c>
      <c r="E216" t="s">
        <v>40</v>
      </c>
      <c r="F216">
        <v>649163</v>
      </c>
      <c r="G216">
        <v>20411454</v>
      </c>
      <c r="H216" t="s">
        <v>41</v>
      </c>
      <c r="I216">
        <v>2029156302</v>
      </c>
      <c r="J216" t="s">
        <v>244</v>
      </c>
      <c r="M216" t="s">
        <v>130</v>
      </c>
      <c r="O216">
        <v>650218</v>
      </c>
      <c r="P216" t="s">
        <v>131</v>
      </c>
      <c r="Q216" t="s">
        <v>236</v>
      </c>
      <c r="R216" t="s">
        <v>227</v>
      </c>
      <c r="S216" s="1">
        <v>45809</v>
      </c>
      <c r="U216" t="s">
        <v>47</v>
      </c>
      <c r="X216" t="s">
        <v>237</v>
      </c>
      <c r="AF216" s="2">
        <v>204.08</v>
      </c>
      <c r="AG216" s="2">
        <v>102.04</v>
      </c>
      <c r="AJ216" s="2">
        <v>102.04</v>
      </c>
    </row>
    <row r="217" spans="1:36" x14ac:dyDescent="0.25">
      <c r="A217" s="1">
        <v>45905</v>
      </c>
      <c r="B217" s="1">
        <v>45901</v>
      </c>
      <c r="C217" t="s">
        <v>234</v>
      </c>
      <c r="D217" t="s">
        <v>39</v>
      </c>
      <c r="E217" t="s">
        <v>40</v>
      </c>
      <c r="F217">
        <v>649163</v>
      </c>
      <c r="G217">
        <v>20411454</v>
      </c>
      <c r="H217" t="s">
        <v>41</v>
      </c>
      <c r="I217">
        <v>2029167536</v>
      </c>
      <c r="J217" t="s">
        <v>245</v>
      </c>
      <c r="M217" t="s">
        <v>65</v>
      </c>
      <c r="O217">
        <v>806645</v>
      </c>
      <c r="P217" t="s">
        <v>220</v>
      </c>
      <c r="Q217" t="s">
        <v>236</v>
      </c>
      <c r="R217" t="s">
        <v>53</v>
      </c>
      <c r="S217" s="1">
        <v>45809</v>
      </c>
      <c r="U217" t="s">
        <v>47</v>
      </c>
      <c r="X217" t="s">
        <v>237</v>
      </c>
      <c r="AF217" s="2">
        <v>339.07</v>
      </c>
      <c r="AG217" s="2">
        <v>169.53</v>
      </c>
      <c r="AJ217" s="2">
        <v>169.54</v>
      </c>
    </row>
    <row r="218" spans="1:36" x14ac:dyDescent="0.25">
      <c r="A218" s="1">
        <v>45905</v>
      </c>
      <c r="B218" s="1">
        <v>45901</v>
      </c>
      <c r="C218" t="s">
        <v>234</v>
      </c>
      <c r="D218" t="s">
        <v>39</v>
      </c>
      <c r="E218" t="s">
        <v>40</v>
      </c>
      <c r="F218">
        <v>649163</v>
      </c>
      <c r="G218">
        <v>20411454</v>
      </c>
      <c r="H218" t="s">
        <v>41</v>
      </c>
      <c r="I218">
        <v>2029167537</v>
      </c>
      <c r="J218" t="s">
        <v>245</v>
      </c>
      <c r="M218" t="s">
        <v>65</v>
      </c>
      <c r="O218">
        <v>806645</v>
      </c>
      <c r="P218" t="s">
        <v>220</v>
      </c>
      <c r="Q218" t="s">
        <v>236</v>
      </c>
      <c r="R218" t="s">
        <v>77</v>
      </c>
      <c r="S218" s="1">
        <v>45809</v>
      </c>
      <c r="U218" t="s">
        <v>47</v>
      </c>
      <c r="X218" t="s">
        <v>237</v>
      </c>
      <c r="AF218" s="2">
        <v>110.68</v>
      </c>
      <c r="AG218" s="2">
        <v>55.34</v>
      </c>
      <c r="AJ218" s="2">
        <v>55.34</v>
      </c>
    </row>
    <row r="219" spans="1:36" x14ac:dyDescent="0.25">
      <c r="A219" s="1">
        <v>45905</v>
      </c>
      <c r="B219" s="1">
        <v>45901</v>
      </c>
      <c r="C219" t="s">
        <v>234</v>
      </c>
      <c r="D219" t="s">
        <v>39</v>
      </c>
      <c r="E219" t="s">
        <v>40</v>
      </c>
      <c r="F219">
        <v>649163</v>
      </c>
      <c r="G219">
        <v>20411454</v>
      </c>
      <c r="H219" t="s">
        <v>41</v>
      </c>
      <c r="I219">
        <v>2029207300</v>
      </c>
      <c r="J219" t="s">
        <v>246</v>
      </c>
      <c r="M219" t="s">
        <v>51</v>
      </c>
      <c r="O219">
        <v>673059</v>
      </c>
      <c r="P219" t="s">
        <v>52</v>
      </c>
      <c r="Q219" t="s">
        <v>236</v>
      </c>
      <c r="R219" t="s">
        <v>77</v>
      </c>
      <c r="S219" s="1">
        <v>45808</v>
      </c>
      <c r="U219" t="s">
        <v>47</v>
      </c>
      <c r="X219" t="s">
        <v>237</v>
      </c>
      <c r="AF219" s="2">
        <v>115.42</v>
      </c>
      <c r="AG219" s="2">
        <v>57.71</v>
      </c>
      <c r="AJ219" s="2">
        <v>57.71</v>
      </c>
    </row>
    <row r="220" spans="1:36" x14ac:dyDescent="0.25">
      <c r="A220" s="1">
        <v>45905</v>
      </c>
      <c r="B220" s="1">
        <v>45901</v>
      </c>
      <c r="C220" t="s">
        <v>234</v>
      </c>
      <c r="D220" t="s">
        <v>39</v>
      </c>
      <c r="E220" t="s">
        <v>40</v>
      </c>
      <c r="F220">
        <v>649163</v>
      </c>
      <c r="G220">
        <v>20411454</v>
      </c>
      <c r="H220" t="s">
        <v>41</v>
      </c>
      <c r="I220">
        <v>2029207443</v>
      </c>
      <c r="J220" t="s">
        <v>247</v>
      </c>
      <c r="M220" t="s">
        <v>51</v>
      </c>
      <c r="O220">
        <v>673059</v>
      </c>
      <c r="P220" t="s">
        <v>52</v>
      </c>
      <c r="Q220" t="s">
        <v>236</v>
      </c>
      <c r="R220" t="s">
        <v>77</v>
      </c>
      <c r="S220" s="1">
        <v>45808</v>
      </c>
      <c r="U220" t="s">
        <v>47</v>
      </c>
      <c r="X220" t="s">
        <v>237</v>
      </c>
      <c r="AF220" s="2">
        <v>151.81</v>
      </c>
      <c r="AG220" s="2">
        <v>75.900000000000006</v>
      </c>
      <c r="AJ220" s="2">
        <v>75.91</v>
      </c>
    </row>
    <row r="221" spans="1:36" x14ac:dyDescent="0.25">
      <c r="A221" s="1">
        <v>45905</v>
      </c>
      <c r="B221" s="1">
        <v>45901</v>
      </c>
      <c r="C221" t="s">
        <v>234</v>
      </c>
      <c r="D221" t="s">
        <v>39</v>
      </c>
      <c r="E221" t="s">
        <v>40</v>
      </c>
      <c r="F221">
        <v>649163</v>
      </c>
      <c r="G221">
        <v>20411454</v>
      </c>
      <c r="H221" t="s">
        <v>41</v>
      </c>
      <c r="I221">
        <v>2029601138</v>
      </c>
      <c r="J221" t="s">
        <v>248</v>
      </c>
      <c r="M221" t="s">
        <v>83</v>
      </c>
      <c r="O221">
        <v>856824</v>
      </c>
      <c r="P221" t="s">
        <v>70</v>
      </c>
      <c r="Q221" t="s">
        <v>236</v>
      </c>
      <c r="R221" t="s">
        <v>99</v>
      </c>
      <c r="S221" s="1">
        <v>45839</v>
      </c>
      <c r="U221" t="s">
        <v>47</v>
      </c>
      <c r="X221" t="s">
        <v>237</v>
      </c>
      <c r="AF221" s="2">
        <v>55.49</v>
      </c>
      <c r="AG221" s="2">
        <v>18.5</v>
      </c>
      <c r="AJ221" s="2">
        <v>36.99</v>
      </c>
    </row>
    <row r="222" spans="1:36" x14ac:dyDescent="0.25">
      <c r="A222" s="1">
        <v>45905</v>
      </c>
      <c r="B222" s="1">
        <v>45901</v>
      </c>
      <c r="C222" t="s">
        <v>234</v>
      </c>
      <c r="D222" t="s">
        <v>39</v>
      </c>
      <c r="E222" t="s">
        <v>40</v>
      </c>
      <c r="F222">
        <v>649163</v>
      </c>
      <c r="G222">
        <v>20411454</v>
      </c>
      <c r="H222" t="s">
        <v>41</v>
      </c>
      <c r="I222">
        <v>2029654977</v>
      </c>
      <c r="J222" t="s">
        <v>117</v>
      </c>
      <c r="M222" t="s">
        <v>118</v>
      </c>
      <c r="O222">
        <v>874230</v>
      </c>
      <c r="P222" t="s">
        <v>119</v>
      </c>
      <c r="Q222" t="s">
        <v>236</v>
      </c>
      <c r="R222" t="s">
        <v>120</v>
      </c>
      <c r="S222" s="1">
        <v>45839</v>
      </c>
      <c r="U222" t="s">
        <v>47</v>
      </c>
      <c r="X222" t="s">
        <v>237</v>
      </c>
      <c r="AF222" s="2">
        <v>319.7</v>
      </c>
      <c r="AG222" s="2">
        <v>213.13</v>
      </c>
      <c r="AJ222" s="2">
        <v>106.57</v>
      </c>
    </row>
    <row r="223" spans="1:36" x14ac:dyDescent="0.25">
      <c r="A223" s="1">
        <v>45905</v>
      </c>
      <c r="B223" s="1">
        <v>45901</v>
      </c>
      <c r="C223" t="s">
        <v>234</v>
      </c>
      <c r="D223" t="s">
        <v>39</v>
      </c>
      <c r="E223" t="s">
        <v>40</v>
      </c>
      <c r="F223">
        <v>649163</v>
      </c>
      <c r="G223">
        <v>20411454</v>
      </c>
      <c r="H223" t="s">
        <v>41</v>
      </c>
      <c r="I223">
        <v>2029654980</v>
      </c>
      <c r="J223" t="s">
        <v>117</v>
      </c>
      <c r="M223" t="s">
        <v>118</v>
      </c>
      <c r="O223">
        <v>874230</v>
      </c>
      <c r="P223" t="s">
        <v>119</v>
      </c>
      <c r="Q223" t="s">
        <v>236</v>
      </c>
      <c r="R223" t="s">
        <v>122</v>
      </c>
      <c r="S223" s="1">
        <v>45839</v>
      </c>
      <c r="U223" t="s">
        <v>47</v>
      </c>
      <c r="X223" t="s">
        <v>237</v>
      </c>
      <c r="AF223" s="2">
        <v>8.5500000000000007</v>
      </c>
      <c r="AG223" s="2">
        <v>5.7</v>
      </c>
      <c r="AJ223" s="2">
        <v>2.85</v>
      </c>
    </row>
    <row r="224" spans="1:36" x14ac:dyDescent="0.25">
      <c r="A224" s="1">
        <v>45905</v>
      </c>
      <c r="B224" s="1">
        <v>45901</v>
      </c>
      <c r="C224" t="s">
        <v>234</v>
      </c>
      <c r="D224" t="s">
        <v>39</v>
      </c>
      <c r="E224" t="s">
        <v>40</v>
      </c>
      <c r="F224">
        <v>649163</v>
      </c>
      <c r="G224">
        <v>20411454</v>
      </c>
      <c r="H224" t="s">
        <v>41</v>
      </c>
      <c r="I224">
        <v>2029725967</v>
      </c>
      <c r="J224" t="s">
        <v>249</v>
      </c>
      <c r="M224" t="s">
        <v>72</v>
      </c>
      <c r="O224">
        <v>652037</v>
      </c>
      <c r="P224" t="s">
        <v>73</v>
      </c>
      <c r="Q224" t="s">
        <v>236</v>
      </c>
      <c r="R224" t="s">
        <v>74</v>
      </c>
      <c r="S224" s="1">
        <v>45839</v>
      </c>
      <c r="U224" t="s">
        <v>47</v>
      </c>
      <c r="X224" t="s">
        <v>237</v>
      </c>
      <c r="AF224" s="2">
        <v>424.6</v>
      </c>
      <c r="AG224" s="2">
        <v>141.53</v>
      </c>
      <c r="AJ224" s="2">
        <v>283.07</v>
      </c>
    </row>
    <row r="225" spans="1:36" x14ac:dyDescent="0.25">
      <c r="A225" s="1">
        <v>45905</v>
      </c>
      <c r="B225" s="1">
        <v>45901</v>
      </c>
      <c r="C225" t="s">
        <v>234</v>
      </c>
      <c r="D225" t="s">
        <v>39</v>
      </c>
      <c r="E225" t="s">
        <v>40</v>
      </c>
      <c r="F225">
        <v>649163</v>
      </c>
      <c r="G225">
        <v>20411454</v>
      </c>
      <c r="H225" t="s">
        <v>41</v>
      </c>
      <c r="I225">
        <v>2030059355</v>
      </c>
      <c r="J225" t="s">
        <v>250</v>
      </c>
      <c r="M225" t="s">
        <v>130</v>
      </c>
      <c r="O225">
        <v>650218</v>
      </c>
      <c r="P225" t="s">
        <v>131</v>
      </c>
      <c r="Q225" t="s">
        <v>236</v>
      </c>
      <c r="R225" t="s">
        <v>77</v>
      </c>
      <c r="S225" s="1">
        <v>45870</v>
      </c>
      <c r="U225" t="s">
        <v>47</v>
      </c>
      <c r="X225" t="s">
        <v>237</v>
      </c>
      <c r="AF225" s="2">
        <v>280.67</v>
      </c>
      <c r="AG225" s="2">
        <v>46.78</v>
      </c>
      <c r="AJ225" s="2">
        <v>233.89</v>
      </c>
    </row>
    <row r="226" spans="1:36" x14ac:dyDescent="0.25">
      <c r="A226" s="1">
        <v>45905</v>
      </c>
      <c r="B226" s="1">
        <v>45901</v>
      </c>
      <c r="C226" t="s">
        <v>234</v>
      </c>
      <c r="D226" t="s">
        <v>39</v>
      </c>
      <c r="E226" t="s">
        <v>40</v>
      </c>
      <c r="F226">
        <v>649163</v>
      </c>
      <c r="G226">
        <v>20411454</v>
      </c>
      <c r="H226" t="s">
        <v>41</v>
      </c>
      <c r="I226">
        <v>2030059356</v>
      </c>
      <c r="J226" t="s">
        <v>250</v>
      </c>
      <c r="M226" t="s">
        <v>130</v>
      </c>
      <c r="O226">
        <v>650218</v>
      </c>
      <c r="P226" t="s">
        <v>131</v>
      </c>
      <c r="Q226" t="s">
        <v>236</v>
      </c>
      <c r="R226" t="s">
        <v>80</v>
      </c>
      <c r="S226" s="1">
        <v>45870</v>
      </c>
      <c r="U226" t="s">
        <v>47</v>
      </c>
      <c r="X226" t="s">
        <v>237</v>
      </c>
      <c r="AF226" s="2">
        <v>96.72</v>
      </c>
      <c r="AG226" s="2">
        <v>16.12</v>
      </c>
      <c r="AJ226" s="2">
        <v>80.599999999999994</v>
      </c>
    </row>
    <row r="227" spans="1:36" x14ac:dyDescent="0.25">
      <c r="A227" s="1">
        <v>45905</v>
      </c>
      <c r="B227" s="1">
        <v>45901</v>
      </c>
      <c r="C227" t="s">
        <v>234</v>
      </c>
      <c r="D227" t="s">
        <v>39</v>
      </c>
      <c r="E227" t="s">
        <v>40</v>
      </c>
      <c r="F227">
        <v>649163</v>
      </c>
      <c r="G227">
        <v>20411454</v>
      </c>
      <c r="H227" t="s">
        <v>41</v>
      </c>
      <c r="I227">
        <v>2030059357</v>
      </c>
      <c r="J227" t="s">
        <v>250</v>
      </c>
      <c r="M227" t="s">
        <v>130</v>
      </c>
      <c r="O227">
        <v>650218</v>
      </c>
      <c r="P227" t="s">
        <v>131</v>
      </c>
      <c r="Q227" t="s">
        <v>236</v>
      </c>
      <c r="R227" t="s">
        <v>143</v>
      </c>
      <c r="S227" s="1">
        <v>45870</v>
      </c>
      <c r="U227" t="s">
        <v>47</v>
      </c>
      <c r="X227" t="s">
        <v>237</v>
      </c>
      <c r="AF227" s="2">
        <v>166.05</v>
      </c>
      <c r="AG227" s="2">
        <v>27.68</v>
      </c>
      <c r="AJ227" s="2">
        <v>138.37</v>
      </c>
    </row>
    <row r="228" spans="1:36" x14ac:dyDescent="0.25">
      <c r="A228" s="1">
        <v>45905</v>
      </c>
      <c r="B228" s="1">
        <v>45901</v>
      </c>
      <c r="C228" t="s">
        <v>234</v>
      </c>
      <c r="D228" t="s">
        <v>39</v>
      </c>
      <c r="E228" t="s">
        <v>40</v>
      </c>
      <c r="F228">
        <v>649163</v>
      </c>
      <c r="G228">
        <v>20411454</v>
      </c>
      <c r="H228" t="s">
        <v>41</v>
      </c>
      <c r="I228">
        <v>2030452758</v>
      </c>
      <c r="J228" t="s">
        <v>251</v>
      </c>
      <c r="M228" t="s">
        <v>101</v>
      </c>
      <c r="O228">
        <v>753748</v>
      </c>
      <c r="P228" t="s">
        <v>57</v>
      </c>
      <c r="Q228" t="s">
        <v>236</v>
      </c>
      <c r="R228" t="s">
        <v>74</v>
      </c>
      <c r="S228" s="1">
        <v>45892</v>
      </c>
      <c r="U228" t="s">
        <v>47</v>
      </c>
      <c r="X228" t="s">
        <v>237</v>
      </c>
      <c r="AF228" s="2">
        <v>791.1</v>
      </c>
      <c r="AG228" s="2">
        <v>0</v>
      </c>
      <c r="AJ228" s="2">
        <v>791.1</v>
      </c>
    </row>
    <row r="229" spans="1:36" x14ac:dyDescent="0.25">
      <c r="A229" s="1">
        <v>45905</v>
      </c>
      <c r="B229" s="1">
        <v>45901</v>
      </c>
      <c r="C229" t="s">
        <v>234</v>
      </c>
      <c r="D229" t="s">
        <v>39</v>
      </c>
      <c r="E229" t="s">
        <v>40</v>
      </c>
      <c r="F229">
        <v>649163</v>
      </c>
      <c r="G229">
        <v>20411454</v>
      </c>
      <c r="H229" t="s">
        <v>41</v>
      </c>
      <c r="I229">
        <v>2030479921</v>
      </c>
      <c r="J229" t="s">
        <v>252</v>
      </c>
      <c r="M229" t="s">
        <v>253</v>
      </c>
      <c r="O229">
        <v>812994</v>
      </c>
      <c r="P229" t="s">
        <v>195</v>
      </c>
      <c r="Q229" t="s">
        <v>236</v>
      </c>
      <c r="R229" t="s">
        <v>169</v>
      </c>
      <c r="S229" s="1">
        <v>45883</v>
      </c>
      <c r="U229" t="s">
        <v>47</v>
      </c>
      <c r="X229" t="s">
        <v>237</v>
      </c>
      <c r="AF229" s="2">
        <v>810.31</v>
      </c>
      <c r="AG229" s="2">
        <v>0</v>
      </c>
      <c r="AJ229" s="2">
        <v>810.31</v>
      </c>
    </row>
    <row r="230" spans="1:36" x14ac:dyDescent="0.25">
      <c r="A230" s="1">
        <v>45905</v>
      </c>
      <c r="B230" s="1">
        <v>45901</v>
      </c>
      <c r="C230" t="s">
        <v>234</v>
      </c>
      <c r="D230" t="s">
        <v>39</v>
      </c>
      <c r="E230" t="s">
        <v>40</v>
      </c>
      <c r="F230">
        <v>649163</v>
      </c>
      <c r="G230">
        <v>20411454</v>
      </c>
      <c r="H230" t="s">
        <v>41</v>
      </c>
      <c r="I230">
        <v>2030479922</v>
      </c>
      <c r="J230" t="s">
        <v>252</v>
      </c>
      <c r="M230" t="s">
        <v>253</v>
      </c>
      <c r="O230">
        <v>812994</v>
      </c>
      <c r="P230" t="s">
        <v>195</v>
      </c>
      <c r="Q230" t="s">
        <v>236</v>
      </c>
      <c r="R230" t="s">
        <v>242</v>
      </c>
      <c r="S230" s="1">
        <v>45883</v>
      </c>
      <c r="U230" t="s">
        <v>47</v>
      </c>
      <c r="X230" t="s">
        <v>237</v>
      </c>
      <c r="AF230" s="2">
        <v>16.170000000000002</v>
      </c>
      <c r="AG230" s="2">
        <v>0</v>
      </c>
      <c r="AJ230" s="2">
        <v>16.170000000000002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B25A-896C-408D-88FF-E48C15B27D33}">
  <dimension ref="A1:AD200"/>
  <sheetViews>
    <sheetView tabSelected="1" workbookViewId="0">
      <selection activeCell="A23" sqref="A23"/>
    </sheetView>
  </sheetViews>
  <sheetFormatPr defaultRowHeight="15" x14ac:dyDescent="0.25"/>
  <cols>
    <col min="1" max="1" width="14" bestFit="1" customWidth="1"/>
    <col min="2" max="2" width="29" bestFit="1" customWidth="1"/>
    <col min="3" max="3" width="8.140625" bestFit="1" customWidth="1"/>
    <col min="4" max="4" width="4.140625" bestFit="1" customWidth="1"/>
    <col min="5" max="5" width="5.28515625" bestFit="1" customWidth="1"/>
    <col min="6" max="6" width="8.5703125" bestFit="1" customWidth="1"/>
    <col min="7" max="7" width="15" bestFit="1" customWidth="1"/>
    <col min="8" max="8" width="24.42578125" bestFit="1" customWidth="1"/>
    <col min="9" max="9" width="12.5703125" bestFit="1" customWidth="1"/>
    <col min="10" max="10" width="42.42578125" bestFit="1" customWidth="1"/>
    <col min="11" max="11" width="10.140625" bestFit="1" customWidth="1"/>
    <col min="12" max="12" width="12.28515625" bestFit="1" customWidth="1"/>
    <col min="13" max="13" width="14" bestFit="1" customWidth="1"/>
    <col min="14" max="14" width="12" bestFit="1" customWidth="1"/>
    <col min="15" max="15" width="16.140625" bestFit="1" customWidth="1"/>
    <col min="16" max="16" width="9" bestFit="1" customWidth="1"/>
    <col min="17" max="17" width="17.85546875" bestFit="1" customWidth="1"/>
    <col min="18" max="18" width="16.140625" bestFit="1" customWidth="1"/>
    <col min="19" max="19" width="16.7109375" bestFit="1" customWidth="1"/>
    <col min="20" max="20" width="16.5703125" bestFit="1" customWidth="1"/>
    <col min="21" max="21" width="18" bestFit="1" customWidth="1"/>
    <col min="22" max="22" width="11.5703125" bestFit="1" customWidth="1"/>
    <col min="23" max="23" width="14.7109375" bestFit="1" customWidth="1"/>
    <col min="24" max="24" width="9.85546875" bestFit="1" customWidth="1"/>
    <col min="25" max="25" width="12.7109375" bestFit="1" customWidth="1"/>
    <col min="26" max="26" width="19" bestFit="1" customWidth="1"/>
    <col min="27" max="27" width="18" bestFit="1" customWidth="1"/>
    <col min="28" max="28" width="11.42578125" bestFit="1" customWidth="1"/>
    <col min="29" max="29" width="14" bestFit="1" customWidth="1"/>
    <col min="30" max="30" width="16.28515625" bestFit="1" customWidth="1"/>
  </cols>
  <sheetData>
    <row r="1" spans="1:3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25">
      <c r="A2">
        <v>2030774548</v>
      </c>
      <c r="B2" t="s">
        <v>211</v>
      </c>
      <c r="E2" t="s">
        <v>62</v>
      </c>
      <c r="G2" t="s">
        <v>254</v>
      </c>
      <c r="H2" t="s">
        <v>212</v>
      </c>
      <c r="I2" t="s">
        <v>45</v>
      </c>
      <c r="J2" t="s">
        <v>53</v>
      </c>
      <c r="K2" s="1">
        <v>45901</v>
      </c>
      <c r="M2" t="s">
        <v>47</v>
      </c>
      <c r="P2" t="s">
        <v>54</v>
      </c>
      <c r="Q2" s="2">
        <v>72.760000000000005</v>
      </c>
      <c r="R2" s="2">
        <v>72.760000000000005</v>
      </c>
      <c r="S2">
        <v>6</v>
      </c>
      <c r="T2" s="3">
        <v>0.7</v>
      </c>
      <c r="U2" s="2">
        <v>305.58999999999997</v>
      </c>
      <c r="V2" s="3">
        <v>0</v>
      </c>
      <c r="W2" s="2">
        <v>0</v>
      </c>
      <c r="X2" s="2">
        <v>305.58999999999997</v>
      </c>
      <c r="Y2" s="2">
        <f>SUM(X2/6)</f>
        <v>50.931666666666665</v>
      </c>
      <c r="AC2" s="4">
        <v>19658510</v>
      </c>
      <c r="AD2" t="s">
        <v>49</v>
      </c>
    </row>
    <row r="3" spans="1:30" x14ac:dyDescent="0.25">
      <c r="A3">
        <v>2030658213</v>
      </c>
      <c r="B3" t="s">
        <v>126</v>
      </c>
      <c r="E3" t="s">
        <v>101</v>
      </c>
      <c r="G3" t="s">
        <v>255</v>
      </c>
      <c r="H3" t="s">
        <v>127</v>
      </c>
      <c r="I3" t="s">
        <v>45</v>
      </c>
      <c r="J3" t="s">
        <v>53</v>
      </c>
      <c r="K3" s="1">
        <v>45901</v>
      </c>
      <c r="M3" t="s">
        <v>47</v>
      </c>
      <c r="P3" t="s">
        <v>54</v>
      </c>
      <c r="Q3" s="2">
        <v>22.72</v>
      </c>
      <c r="R3" s="2">
        <v>22.72</v>
      </c>
      <c r="S3">
        <v>6</v>
      </c>
      <c r="T3" s="3">
        <v>0.7</v>
      </c>
      <c r="U3" s="2">
        <v>95.42</v>
      </c>
      <c r="V3" s="3">
        <v>0</v>
      </c>
      <c r="W3" s="2">
        <v>0</v>
      </c>
      <c r="X3" s="2">
        <v>95.42</v>
      </c>
      <c r="Y3" s="2">
        <f>SUM(X3/6)</f>
        <v>15.903333333333334</v>
      </c>
      <c r="AC3" s="4">
        <v>19657490</v>
      </c>
      <c r="AD3" t="s">
        <v>49</v>
      </c>
    </row>
    <row r="4" spans="1:30" x14ac:dyDescent="0.25">
      <c r="A4">
        <v>2030658214</v>
      </c>
      <c r="B4" t="s">
        <v>126</v>
      </c>
      <c r="E4" t="s">
        <v>101</v>
      </c>
      <c r="G4" t="s">
        <v>255</v>
      </c>
      <c r="H4" t="s">
        <v>127</v>
      </c>
      <c r="I4" t="s">
        <v>45</v>
      </c>
      <c r="J4" t="s">
        <v>77</v>
      </c>
      <c r="K4" s="1">
        <v>45901</v>
      </c>
      <c r="M4" t="s">
        <v>47</v>
      </c>
      <c r="P4" t="s">
        <v>54</v>
      </c>
      <c r="Q4" s="2">
        <v>55.96</v>
      </c>
      <c r="R4" s="2">
        <v>55.96</v>
      </c>
      <c r="S4">
        <v>6</v>
      </c>
      <c r="T4" s="3">
        <v>0.375</v>
      </c>
      <c r="U4" s="2">
        <v>125.91</v>
      </c>
      <c r="V4" s="3">
        <v>0</v>
      </c>
      <c r="W4" s="2">
        <v>0</v>
      </c>
      <c r="X4" s="2">
        <v>125.91</v>
      </c>
      <c r="Y4" s="2">
        <f>SUM(X4/6)</f>
        <v>20.984999999999999</v>
      </c>
      <c r="AC4" s="4">
        <v>19702130</v>
      </c>
      <c r="AD4" t="s">
        <v>49</v>
      </c>
    </row>
    <row r="5" spans="1:30" x14ac:dyDescent="0.25">
      <c r="A5">
        <v>2030683735</v>
      </c>
      <c r="B5" t="s">
        <v>154</v>
      </c>
      <c r="E5" t="s">
        <v>155</v>
      </c>
      <c r="G5" t="s">
        <v>255</v>
      </c>
      <c r="H5" t="s">
        <v>127</v>
      </c>
      <c r="I5" t="s">
        <v>45</v>
      </c>
      <c r="J5" t="s">
        <v>77</v>
      </c>
      <c r="K5" s="1">
        <v>45901</v>
      </c>
      <c r="M5" t="s">
        <v>47</v>
      </c>
      <c r="P5" t="s">
        <v>54</v>
      </c>
      <c r="Q5" s="2">
        <v>130.9</v>
      </c>
      <c r="R5" s="2">
        <v>130.9</v>
      </c>
      <c r="S5">
        <v>6</v>
      </c>
      <c r="T5" s="3">
        <v>0.375</v>
      </c>
      <c r="U5" s="2">
        <v>294.52999999999997</v>
      </c>
      <c r="V5" s="3">
        <v>0</v>
      </c>
      <c r="W5" s="2">
        <v>0</v>
      </c>
      <c r="X5" s="2">
        <v>294.52999999999997</v>
      </c>
      <c r="Y5" s="2">
        <f>SUM(X5/6)</f>
        <v>49.088333333333331</v>
      </c>
      <c r="AC5" s="4">
        <v>19702300</v>
      </c>
      <c r="AD5" t="s">
        <v>49</v>
      </c>
    </row>
    <row r="6" spans="1:30" x14ac:dyDescent="0.25">
      <c r="A6">
        <v>2030683736</v>
      </c>
      <c r="B6" t="s">
        <v>154</v>
      </c>
      <c r="E6" t="s">
        <v>155</v>
      </c>
      <c r="G6" t="s">
        <v>255</v>
      </c>
      <c r="H6" t="s">
        <v>127</v>
      </c>
      <c r="I6" t="s">
        <v>45</v>
      </c>
      <c r="J6" t="s">
        <v>143</v>
      </c>
      <c r="K6" s="1">
        <v>45901</v>
      </c>
      <c r="M6" t="s">
        <v>47</v>
      </c>
      <c r="P6" t="s">
        <v>54</v>
      </c>
      <c r="Q6" s="2">
        <v>26.92</v>
      </c>
      <c r="R6" s="2">
        <v>26.92</v>
      </c>
      <c r="S6">
        <v>6</v>
      </c>
      <c r="T6" s="3">
        <v>0.9</v>
      </c>
      <c r="U6" s="2">
        <v>145.37</v>
      </c>
      <c r="V6" s="3">
        <v>0</v>
      </c>
      <c r="W6" s="2">
        <v>0</v>
      </c>
      <c r="X6" s="2">
        <v>145.37</v>
      </c>
      <c r="Y6" s="2">
        <f>SUM(X6/6)</f>
        <v>24.228333333333335</v>
      </c>
      <c r="AC6" s="4">
        <v>19709390</v>
      </c>
      <c r="AD6" t="s">
        <v>49</v>
      </c>
    </row>
    <row r="7" spans="1:30" x14ac:dyDescent="0.25">
      <c r="A7">
        <v>2030725188</v>
      </c>
      <c r="B7" t="s">
        <v>196</v>
      </c>
      <c r="E7" t="s">
        <v>65</v>
      </c>
      <c r="G7" t="s">
        <v>255</v>
      </c>
      <c r="H7" t="s">
        <v>127</v>
      </c>
      <c r="I7" t="s">
        <v>45</v>
      </c>
      <c r="J7" t="s">
        <v>53</v>
      </c>
      <c r="K7" s="1">
        <v>45898</v>
      </c>
      <c r="M7" t="s">
        <v>47</v>
      </c>
      <c r="P7" t="s">
        <v>54</v>
      </c>
      <c r="Q7" s="2">
        <v>119.52</v>
      </c>
      <c r="R7" s="2">
        <v>119.52</v>
      </c>
      <c r="S7">
        <v>6</v>
      </c>
      <c r="T7" s="3">
        <v>0.7</v>
      </c>
      <c r="U7" s="2">
        <v>501.98</v>
      </c>
      <c r="V7" s="3">
        <v>0</v>
      </c>
      <c r="W7" s="2">
        <v>0</v>
      </c>
      <c r="X7" s="2">
        <v>501.98</v>
      </c>
      <c r="Y7" s="2">
        <f>SUM(X7/6)</f>
        <v>83.663333333333341</v>
      </c>
      <c r="AC7" s="4">
        <v>19658130</v>
      </c>
      <c r="AD7" t="s">
        <v>49</v>
      </c>
    </row>
    <row r="8" spans="1:30" x14ac:dyDescent="0.25">
      <c r="A8">
        <v>2030777832</v>
      </c>
      <c r="B8" t="s">
        <v>215</v>
      </c>
      <c r="E8" t="s">
        <v>62</v>
      </c>
      <c r="G8" t="s">
        <v>256</v>
      </c>
      <c r="H8" t="s">
        <v>216</v>
      </c>
      <c r="I8" t="s">
        <v>45</v>
      </c>
      <c r="J8" t="s">
        <v>53</v>
      </c>
      <c r="K8" s="1">
        <v>45901</v>
      </c>
      <c r="M8" t="s">
        <v>47</v>
      </c>
      <c r="P8" t="s">
        <v>54</v>
      </c>
      <c r="Q8" s="2">
        <v>137.41</v>
      </c>
      <c r="R8" s="2">
        <v>137.41</v>
      </c>
      <c r="S8">
        <v>6</v>
      </c>
      <c r="T8" s="3">
        <v>0.7</v>
      </c>
      <c r="U8" s="2">
        <v>577.12</v>
      </c>
      <c r="V8" s="3">
        <v>0</v>
      </c>
      <c r="W8" s="2">
        <v>0</v>
      </c>
      <c r="X8" s="2">
        <v>577.12</v>
      </c>
      <c r="Y8" s="2">
        <f>SUM(X8/6)</f>
        <v>96.186666666666667</v>
      </c>
      <c r="AC8" s="4">
        <v>19658550</v>
      </c>
      <c r="AD8" t="s">
        <v>49</v>
      </c>
    </row>
    <row r="9" spans="1:30" x14ac:dyDescent="0.25">
      <c r="A9">
        <v>2030579268</v>
      </c>
      <c r="B9" t="s">
        <v>112</v>
      </c>
      <c r="E9" t="s">
        <v>62</v>
      </c>
      <c r="G9" t="s">
        <v>257</v>
      </c>
      <c r="H9" t="s">
        <v>113</v>
      </c>
      <c r="I9" t="s">
        <v>45</v>
      </c>
      <c r="J9" t="s">
        <v>53</v>
      </c>
      <c r="K9" s="1">
        <v>45901</v>
      </c>
      <c r="M9" t="s">
        <v>47</v>
      </c>
      <c r="P9" t="s">
        <v>54</v>
      </c>
      <c r="Q9" s="2">
        <v>66.36</v>
      </c>
      <c r="R9" s="2">
        <v>66.36</v>
      </c>
      <c r="S9">
        <v>6</v>
      </c>
      <c r="T9" s="3">
        <v>0.7</v>
      </c>
      <c r="U9" s="2">
        <v>278.70999999999998</v>
      </c>
      <c r="V9" s="3">
        <v>0</v>
      </c>
      <c r="W9" s="2">
        <v>0</v>
      </c>
      <c r="X9" s="2">
        <v>278.70999999999998</v>
      </c>
      <c r="Y9" s="2">
        <f>SUM(X9/6)</f>
        <v>46.451666666666661</v>
      </c>
      <c r="AC9" s="4">
        <v>19657340</v>
      </c>
      <c r="AD9" t="s">
        <v>49</v>
      </c>
    </row>
    <row r="10" spans="1:30" x14ac:dyDescent="0.25">
      <c r="A10">
        <v>2030670299</v>
      </c>
      <c r="B10" t="s">
        <v>132</v>
      </c>
      <c r="E10" t="s">
        <v>96</v>
      </c>
      <c r="G10" t="s">
        <v>257</v>
      </c>
      <c r="H10" t="s">
        <v>113</v>
      </c>
      <c r="I10" t="s">
        <v>45</v>
      </c>
      <c r="J10" t="s">
        <v>77</v>
      </c>
      <c r="K10" s="1">
        <v>45901</v>
      </c>
      <c r="M10" t="s">
        <v>47</v>
      </c>
      <c r="P10" t="s">
        <v>54</v>
      </c>
      <c r="Q10" s="2">
        <v>36.119999999999997</v>
      </c>
      <c r="R10" s="2">
        <v>36.119999999999997</v>
      </c>
      <c r="S10">
        <v>6</v>
      </c>
      <c r="T10" s="3">
        <v>0.375</v>
      </c>
      <c r="U10" s="2">
        <v>81.27</v>
      </c>
      <c r="V10" s="3">
        <v>0</v>
      </c>
      <c r="W10" s="2">
        <v>0</v>
      </c>
      <c r="X10" s="2">
        <v>81.27</v>
      </c>
      <c r="Y10" s="2">
        <f>SUM(X10/6)</f>
        <v>13.545</v>
      </c>
      <c r="AC10" s="4">
        <v>19702160</v>
      </c>
      <c r="AD10" t="s">
        <v>49</v>
      </c>
    </row>
    <row r="11" spans="1:30" x14ac:dyDescent="0.25">
      <c r="A11">
        <v>2030670300</v>
      </c>
      <c r="B11" t="s">
        <v>132</v>
      </c>
      <c r="E11" t="s">
        <v>96</v>
      </c>
      <c r="G11" t="s">
        <v>257</v>
      </c>
      <c r="H11" t="s">
        <v>113</v>
      </c>
      <c r="I11" t="s">
        <v>45</v>
      </c>
      <c r="J11" t="s">
        <v>53</v>
      </c>
      <c r="K11" s="1">
        <v>45901</v>
      </c>
      <c r="M11" t="s">
        <v>47</v>
      </c>
      <c r="P11" t="s">
        <v>54</v>
      </c>
      <c r="Q11" s="2">
        <v>32.31</v>
      </c>
      <c r="R11" s="2">
        <v>32.31</v>
      </c>
      <c r="S11">
        <v>6</v>
      </c>
      <c r="T11" s="3">
        <v>0.7</v>
      </c>
      <c r="U11" s="2">
        <v>135.69999999999999</v>
      </c>
      <c r="V11" s="3">
        <v>0</v>
      </c>
      <c r="W11" s="2">
        <v>0</v>
      </c>
      <c r="X11" s="2">
        <v>135.69999999999999</v>
      </c>
      <c r="Y11" s="2">
        <f>SUM(X11/6)</f>
        <v>22.616666666666664</v>
      </c>
      <c r="AC11" s="4">
        <v>19657530</v>
      </c>
      <c r="AD11" t="s">
        <v>49</v>
      </c>
    </row>
    <row r="12" spans="1:30" x14ac:dyDescent="0.25">
      <c r="A12">
        <v>2030682190</v>
      </c>
      <c r="B12" t="s">
        <v>152</v>
      </c>
      <c r="E12" t="s">
        <v>62</v>
      </c>
      <c r="G12" t="s">
        <v>257</v>
      </c>
      <c r="H12" t="s">
        <v>113</v>
      </c>
      <c r="I12" t="s">
        <v>45</v>
      </c>
      <c r="J12" t="s">
        <v>99</v>
      </c>
      <c r="K12" s="1">
        <v>45901</v>
      </c>
      <c r="M12" t="s">
        <v>47</v>
      </c>
      <c r="P12" t="s">
        <v>54</v>
      </c>
      <c r="Q12" s="2">
        <v>40.54</v>
      </c>
      <c r="R12" s="2">
        <v>40.54</v>
      </c>
      <c r="S12">
        <v>6</v>
      </c>
      <c r="T12" s="3">
        <v>0.42</v>
      </c>
      <c r="U12" s="2">
        <v>102.16</v>
      </c>
      <c r="V12" s="3">
        <v>0</v>
      </c>
      <c r="W12" s="2">
        <v>0</v>
      </c>
      <c r="X12" s="2">
        <v>102.16</v>
      </c>
      <c r="Y12" s="2">
        <f>SUM(X12/6)</f>
        <v>17.026666666666667</v>
      </c>
      <c r="AC12" s="4">
        <v>19702290</v>
      </c>
      <c r="AD12" t="s">
        <v>49</v>
      </c>
    </row>
    <row r="13" spans="1:30" x14ac:dyDescent="0.25">
      <c r="A13">
        <v>2030682191</v>
      </c>
      <c r="B13" t="s">
        <v>152</v>
      </c>
      <c r="E13" t="s">
        <v>62</v>
      </c>
      <c r="G13" t="s">
        <v>257</v>
      </c>
      <c r="H13" t="s">
        <v>113</v>
      </c>
      <c r="I13" t="s">
        <v>45</v>
      </c>
      <c r="J13" t="s">
        <v>53</v>
      </c>
      <c r="K13" s="1">
        <v>45901</v>
      </c>
      <c r="M13" t="s">
        <v>47</v>
      </c>
      <c r="P13" t="s">
        <v>54</v>
      </c>
      <c r="Q13" s="2">
        <v>40.74</v>
      </c>
      <c r="R13" s="2">
        <v>40.74</v>
      </c>
      <c r="S13">
        <v>6</v>
      </c>
      <c r="T13" s="3">
        <v>0.7</v>
      </c>
      <c r="U13" s="2">
        <v>171.11</v>
      </c>
      <c r="V13" s="3">
        <v>0</v>
      </c>
      <c r="W13" s="2">
        <v>0</v>
      </c>
      <c r="X13" s="2">
        <v>171.11</v>
      </c>
      <c r="Y13" s="2">
        <f>SUM(X13/6)</f>
        <v>28.518333333333334</v>
      </c>
      <c r="AC13" s="4">
        <v>19657640</v>
      </c>
      <c r="AD13" t="s">
        <v>49</v>
      </c>
    </row>
    <row r="14" spans="1:30" x14ac:dyDescent="0.25">
      <c r="A14">
        <v>2030716398</v>
      </c>
      <c r="B14" t="s">
        <v>185</v>
      </c>
      <c r="E14" t="s">
        <v>62</v>
      </c>
      <c r="G14" t="s">
        <v>257</v>
      </c>
      <c r="H14" t="s">
        <v>113</v>
      </c>
      <c r="I14" t="s">
        <v>45</v>
      </c>
      <c r="J14" t="s">
        <v>186</v>
      </c>
      <c r="K14" s="1">
        <v>45901</v>
      </c>
      <c r="M14" t="s">
        <v>47</v>
      </c>
      <c r="P14" t="s">
        <v>54</v>
      </c>
      <c r="Q14" s="2">
        <v>84.15</v>
      </c>
      <c r="R14" s="2">
        <v>84.15</v>
      </c>
      <c r="S14">
        <v>6</v>
      </c>
      <c r="T14" s="3">
        <v>0.47</v>
      </c>
      <c r="U14" s="2">
        <v>237.3</v>
      </c>
      <c r="V14" s="3">
        <v>0</v>
      </c>
      <c r="W14" s="2">
        <v>0</v>
      </c>
      <c r="X14" s="2">
        <v>237.3</v>
      </c>
      <c r="Y14" s="2">
        <f>SUM(X14/6)</f>
        <v>39.550000000000004</v>
      </c>
      <c r="AC14" s="4">
        <v>19702600</v>
      </c>
      <c r="AD14" t="s">
        <v>49</v>
      </c>
    </row>
    <row r="15" spans="1:30" s="5" customFormat="1" x14ac:dyDescent="0.25">
      <c r="A15" s="5">
        <v>2030678352</v>
      </c>
      <c r="B15" s="5" t="s">
        <v>147</v>
      </c>
      <c r="E15" s="5" t="s">
        <v>148</v>
      </c>
      <c r="G15" s="5" t="s">
        <v>258</v>
      </c>
      <c r="H15" s="5" t="s">
        <v>149</v>
      </c>
      <c r="I15" s="5" t="s">
        <v>45</v>
      </c>
      <c r="J15" s="5" t="s">
        <v>77</v>
      </c>
      <c r="K15" s="6">
        <v>45901</v>
      </c>
      <c r="M15" s="5" t="s">
        <v>47</v>
      </c>
      <c r="P15" s="5" t="s">
        <v>54</v>
      </c>
      <c r="Q15" s="7">
        <v>37.51</v>
      </c>
      <c r="R15" s="7">
        <v>37.51</v>
      </c>
      <c r="S15" s="5">
        <v>6</v>
      </c>
      <c r="T15" s="8">
        <v>0.375</v>
      </c>
      <c r="U15" s="7">
        <v>84.4</v>
      </c>
      <c r="V15" s="8">
        <v>0</v>
      </c>
      <c r="W15" s="7">
        <v>0</v>
      </c>
      <c r="X15" s="7">
        <v>84.4</v>
      </c>
      <c r="Y15" s="7">
        <f>SUM(X15/6)</f>
        <v>14.066666666666668</v>
      </c>
      <c r="AC15" s="9">
        <v>19702250</v>
      </c>
      <c r="AD15" s="5" t="s">
        <v>49</v>
      </c>
    </row>
    <row r="16" spans="1:30" s="5" customFormat="1" x14ac:dyDescent="0.25">
      <c r="A16" s="5">
        <v>2030678353</v>
      </c>
      <c r="B16" s="5" t="s">
        <v>147</v>
      </c>
      <c r="E16" s="5" t="s">
        <v>148</v>
      </c>
      <c r="G16" s="5" t="s">
        <v>258</v>
      </c>
      <c r="H16" s="5" t="s">
        <v>149</v>
      </c>
      <c r="I16" s="5" t="s">
        <v>45</v>
      </c>
      <c r="J16" s="5" t="s">
        <v>80</v>
      </c>
      <c r="K16" s="6">
        <v>45901</v>
      </c>
      <c r="M16" s="5" t="s">
        <v>47</v>
      </c>
      <c r="P16" s="5" t="s">
        <v>54</v>
      </c>
      <c r="Q16" s="7">
        <v>16.91</v>
      </c>
      <c r="R16" s="7">
        <v>16.91</v>
      </c>
      <c r="S16" s="5">
        <v>6</v>
      </c>
      <c r="T16" s="8">
        <v>0.38</v>
      </c>
      <c r="U16" s="7">
        <v>38.549999999999997</v>
      </c>
      <c r="V16" s="8">
        <v>0</v>
      </c>
      <c r="W16" s="7">
        <v>0</v>
      </c>
      <c r="X16" s="7">
        <v>38.549999999999997</v>
      </c>
      <c r="Y16" s="7">
        <f>SUM(X16/6)</f>
        <v>6.4249999999999998</v>
      </c>
      <c r="AC16" s="9">
        <v>19706390</v>
      </c>
      <c r="AD16" s="5" t="s">
        <v>49</v>
      </c>
    </row>
    <row r="17" spans="1:30" s="5" customFormat="1" x14ac:dyDescent="0.25">
      <c r="A17" s="5">
        <v>2030678354</v>
      </c>
      <c r="B17" s="5" t="s">
        <v>147</v>
      </c>
      <c r="E17" s="5" t="s">
        <v>148</v>
      </c>
      <c r="G17" s="5" t="s">
        <v>258</v>
      </c>
      <c r="H17" s="5" t="s">
        <v>149</v>
      </c>
      <c r="I17" s="5" t="s">
        <v>45</v>
      </c>
      <c r="J17" s="5" t="s">
        <v>53</v>
      </c>
      <c r="K17" s="6">
        <v>45901</v>
      </c>
      <c r="M17" s="5" t="s">
        <v>47</v>
      </c>
      <c r="P17" s="5" t="s">
        <v>54</v>
      </c>
      <c r="Q17" s="7">
        <v>9.1</v>
      </c>
      <c r="R17" s="7">
        <v>9.1</v>
      </c>
      <c r="S17" s="5">
        <v>6</v>
      </c>
      <c r="T17" s="8">
        <v>0.7</v>
      </c>
      <c r="U17" s="7">
        <v>38.22</v>
      </c>
      <c r="V17" s="8">
        <v>0</v>
      </c>
      <c r="W17" s="7">
        <v>0</v>
      </c>
      <c r="X17" s="7">
        <v>38.22</v>
      </c>
      <c r="Y17" s="7">
        <f>SUM(X17/6)</f>
        <v>6.37</v>
      </c>
      <c r="AC17" s="9">
        <v>19657610</v>
      </c>
      <c r="AD17" s="5" t="s">
        <v>49</v>
      </c>
    </row>
    <row r="18" spans="1:30" s="5" customFormat="1" x14ac:dyDescent="0.25">
      <c r="A18" s="5">
        <v>2030678355</v>
      </c>
      <c r="B18" s="5" t="s">
        <v>147</v>
      </c>
      <c r="E18" s="5" t="s">
        <v>148</v>
      </c>
      <c r="G18" s="5" t="s">
        <v>258</v>
      </c>
      <c r="H18" s="5" t="s">
        <v>149</v>
      </c>
      <c r="I18" s="5" t="s">
        <v>45</v>
      </c>
      <c r="J18" s="5" t="s">
        <v>74</v>
      </c>
      <c r="K18" s="6">
        <v>45901</v>
      </c>
      <c r="M18" s="5" t="s">
        <v>47</v>
      </c>
      <c r="P18" s="5" t="s">
        <v>54</v>
      </c>
      <c r="Q18" s="7">
        <v>24.59</v>
      </c>
      <c r="R18" s="7">
        <v>24.59</v>
      </c>
      <c r="S18" s="5">
        <v>6</v>
      </c>
      <c r="T18" s="8">
        <v>0.9</v>
      </c>
      <c r="U18" s="7">
        <v>132.79</v>
      </c>
      <c r="V18" s="8">
        <v>0</v>
      </c>
      <c r="W18" s="7">
        <v>0</v>
      </c>
      <c r="X18" s="7">
        <v>132.79</v>
      </c>
      <c r="Y18" s="7">
        <f>SUM(X18/6)</f>
        <v>22.131666666666664</v>
      </c>
      <c r="AC18" s="9">
        <v>19682640</v>
      </c>
      <c r="AD18" s="5" t="s">
        <v>49</v>
      </c>
    </row>
    <row r="19" spans="1:30" s="5" customFormat="1" x14ac:dyDescent="0.25">
      <c r="A19" s="5">
        <v>2030686023</v>
      </c>
      <c r="B19" s="5" t="s">
        <v>157</v>
      </c>
      <c r="E19" s="5" t="s">
        <v>148</v>
      </c>
      <c r="G19" s="5" t="s">
        <v>258</v>
      </c>
      <c r="H19" s="5" t="s">
        <v>149</v>
      </c>
      <c r="I19" s="5" t="s">
        <v>45</v>
      </c>
      <c r="J19" s="5" t="s">
        <v>80</v>
      </c>
      <c r="K19" s="6">
        <v>45901</v>
      </c>
      <c r="M19" s="5" t="s">
        <v>47</v>
      </c>
      <c r="P19" s="5" t="s">
        <v>54</v>
      </c>
      <c r="Q19" s="7">
        <v>17.079999999999998</v>
      </c>
      <c r="R19" s="7">
        <v>17.079999999999998</v>
      </c>
      <c r="S19" s="5">
        <v>6</v>
      </c>
      <c r="T19" s="8">
        <v>0.38</v>
      </c>
      <c r="U19" s="7">
        <v>38.94</v>
      </c>
      <c r="V19" s="8">
        <v>0</v>
      </c>
      <c r="W19" s="7">
        <v>0</v>
      </c>
      <c r="X19" s="7">
        <v>38.94</v>
      </c>
      <c r="Y19" s="7">
        <f>SUM(X19/6)</f>
        <v>6.4899999999999993</v>
      </c>
      <c r="AC19" s="9">
        <v>19706400</v>
      </c>
      <c r="AD19" s="5" t="s">
        <v>49</v>
      </c>
    </row>
    <row r="20" spans="1:30" s="5" customFormat="1" x14ac:dyDescent="0.25">
      <c r="A20" s="5">
        <v>2030686024</v>
      </c>
      <c r="B20" s="5" t="s">
        <v>157</v>
      </c>
      <c r="E20" s="5" t="s">
        <v>148</v>
      </c>
      <c r="G20" s="5" t="s">
        <v>258</v>
      </c>
      <c r="H20" s="5" t="s">
        <v>149</v>
      </c>
      <c r="I20" s="5" t="s">
        <v>45</v>
      </c>
      <c r="J20" s="5" t="s">
        <v>77</v>
      </c>
      <c r="K20" s="6">
        <v>45901</v>
      </c>
      <c r="M20" s="5" t="s">
        <v>47</v>
      </c>
      <c r="P20" s="5" t="s">
        <v>54</v>
      </c>
      <c r="Q20" s="7">
        <v>39.590000000000003</v>
      </c>
      <c r="R20" s="7">
        <v>39.590000000000003</v>
      </c>
      <c r="S20" s="5">
        <v>6</v>
      </c>
      <c r="T20" s="8">
        <v>0.375</v>
      </c>
      <c r="U20" s="7">
        <v>89.08</v>
      </c>
      <c r="V20" s="8">
        <v>0</v>
      </c>
      <c r="W20" s="7">
        <v>0</v>
      </c>
      <c r="X20" s="7">
        <v>89.08</v>
      </c>
      <c r="Y20" s="7">
        <f>SUM(X20/6)</f>
        <v>14.846666666666666</v>
      </c>
      <c r="AC20" s="9">
        <v>19702310</v>
      </c>
      <c r="AD20" s="5" t="s">
        <v>49</v>
      </c>
    </row>
    <row r="21" spans="1:30" s="5" customFormat="1" x14ac:dyDescent="0.25">
      <c r="A21" s="5">
        <v>2030686025</v>
      </c>
      <c r="B21" s="5" t="s">
        <v>157</v>
      </c>
      <c r="E21" s="5" t="s">
        <v>148</v>
      </c>
      <c r="G21" s="5" t="s">
        <v>258</v>
      </c>
      <c r="H21" s="5" t="s">
        <v>149</v>
      </c>
      <c r="I21" s="5" t="s">
        <v>45</v>
      </c>
      <c r="J21" s="5" t="s">
        <v>53</v>
      </c>
      <c r="K21" s="6">
        <v>45901</v>
      </c>
      <c r="M21" s="5" t="s">
        <v>47</v>
      </c>
      <c r="P21" s="5" t="s">
        <v>54</v>
      </c>
      <c r="Q21" s="7">
        <v>9.1</v>
      </c>
      <c r="R21" s="7">
        <v>9.1</v>
      </c>
      <c r="S21" s="5">
        <v>6</v>
      </c>
      <c r="T21" s="8">
        <v>0.7</v>
      </c>
      <c r="U21" s="7">
        <v>38.22</v>
      </c>
      <c r="V21" s="8">
        <v>0</v>
      </c>
      <c r="W21" s="7">
        <v>0</v>
      </c>
      <c r="X21" s="7">
        <v>38.22</v>
      </c>
      <c r="Y21" s="7">
        <f>SUM(X21/6)</f>
        <v>6.37</v>
      </c>
      <c r="AC21" s="9">
        <v>19657680</v>
      </c>
      <c r="AD21" s="5" t="s">
        <v>49</v>
      </c>
    </row>
    <row r="22" spans="1:30" s="5" customFormat="1" x14ac:dyDescent="0.25">
      <c r="A22" s="5">
        <v>2030686026</v>
      </c>
      <c r="B22" s="5" t="s">
        <v>157</v>
      </c>
      <c r="E22" s="5" t="s">
        <v>148</v>
      </c>
      <c r="G22" s="5" t="s">
        <v>258</v>
      </c>
      <c r="H22" s="5" t="s">
        <v>149</v>
      </c>
      <c r="I22" s="5" t="s">
        <v>45</v>
      </c>
      <c r="J22" s="5" t="s">
        <v>74</v>
      </c>
      <c r="K22" s="6">
        <v>45901</v>
      </c>
      <c r="M22" s="5" t="s">
        <v>47</v>
      </c>
      <c r="P22" s="5" t="s">
        <v>54</v>
      </c>
      <c r="Q22" s="7">
        <v>39.17</v>
      </c>
      <c r="R22" s="7">
        <v>39.17</v>
      </c>
      <c r="S22" s="5">
        <v>6</v>
      </c>
      <c r="T22" s="8">
        <v>0.9</v>
      </c>
      <c r="U22" s="7">
        <v>211.52</v>
      </c>
      <c r="V22" s="8">
        <v>0</v>
      </c>
      <c r="W22" s="7">
        <v>0</v>
      </c>
      <c r="X22" s="7">
        <v>211.52</v>
      </c>
      <c r="Y22" s="7">
        <f>SUM(X22/6)</f>
        <v>35.253333333333337</v>
      </c>
      <c r="AC22" s="9">
        <v>19682660</v>
      </c>
      <c r="AD22" s="5" t="s">
        <v>49</v>
      </c>
    </row>
    <row r="23" spans="1:30" s="5" customFormat="1" x14ac:dyDescent="0.25">
      <c r="A23" s="5">
        <v>2030686939</v>
      </c>
      <c r="B23" s="5" t="s">
        <v>158</v>
      </c>
      <c r="E23" s="5" t="s">
        <v>148</v>
      </c>
      <c r="G23" s="5" t="s">
        <v>258</v>
      </c>
      <c r="H23" s="5" t="s">
        <v>149</v>
      </c>
      <c r="I23" s="5" t="s">
        <v>45</v>
      </c>
      <c r="J23" s="5" t="s">
        <v>74</v>
      </c>
      <c r="K23" s="6">
        <v>45901</v>
      </c>
      <c r="M23" s="5" t="s">
        <v>47</v>
      </c>
      <c r="P23" s="5" t="s">
        <v>54</v>
      </c>
      <c r="Q23" s="7">
        <v>31.5</v>
      </c>
      <c r="R23" s="7">
        <v>31.5</v>
      </c>
      <c r="S23" s="5">
        <v>6</v>
      </c>
      <c r="T23" s="8">
        <v>0.9</v>
      </c>
      <c r="U23" s="7">
        <v>170.1</v>
      </c>
      <c r="V23" s="8">
        <v>0</v>
      </c>
      <c r="W23" s="7">
        <v>0</v>
      </c>
      <c r="X23" s="7">
        <v>170.1</v>
      </c>
      <c r="Y23" s="7">
        <f>SUM(X23/6)</f>
        <v>28.349999999999998</v>
      </c>
      <c r="AC23" s="9">
        <v>19682660</v>
      </c>
      <c r="AD23" s="5" t="s">
        <v>49</v>
      </c>
    </row>
    <row r="24" spans="1:30" s="5" customFormat="1" x14ac:dyDescent="0.25">
      <c r="A24" s="5">
        <v>2030686940</v>
      </c>
      <c r="B24" s="5" t="s">
        <v>158</v>
      </c>
      <c r="E24" s="5" t="s">
        <v>148</v>
      </c>
      <c r="G24" s="5" t="s">
        <v>258</v>
      </c>
      <c r="H24" s="5" t="s">
        <v>149</v>
      </c>
      <c r="I24" s="5" t="s">
        <v>45</v>
      </c>
      <c r="J24" s="5" t="s">
        <v>80</v>
      </c>
      <c r="K24" s="6">
        <v>45901</v>
      </c>
      <c r="M24" s="5" t="s">
        <v>47</v>
      </c>
      <c r="P24" s="5" t="s">
        <v>54</v>
      </c>
      <c r="Q24" s="7">
        <v>23.69</v>
      </c>
      <c r="R24" s="7">
        <v>23.69</v>
      </c>
      <c r="S24" s="5">
        <v>6</v>
      </c>
      <c r="T24" s="8">
        <v>0.38</v>
      </c>
      <c r="U24" s="7">
        <v>54.01</v>
      </c>
      <c r="V24" s="8">
        <v>0</v>
      </c>
      <c r="W24" s="7">
        <v>0</v>
      </c>
      <c r="X24" s="7">
        <v>54.01</v>
      </c>
      <c r="Y24" s="7">
        <f>SUM(X24/6)</f>
        <v>9.0016666666666669</v>
      </c>
      <c r="AC24" s="9">
        <v>19706400</v>
      </c>
      <c r="AD24" s="5" t="s">
        <v>49</v>
      </c>
    </row>
    <row r="25" spans="1:30" s="5" customFormat="1" x14ac:dyDescent="0.25">
      <c r="A25" s="5">
        <v>2030686941</v>
      </c>
      <c r="B25" s="5" t="s">
        <v>158</v>
      </c>
      <c r="E25" s="5" t="s">
        <v>148</v>
      </c>
      <c r="G25" s="5" t="s">
        <v>258</v>
      </c>
      <c r="H25" s="5" t="s">
        <v>149</v>
      </c>
      <c r="I25" s="5" t="s">
        <v>45</v>
      </c>
      <c r="J25" s="5" t="s">
        <v>53</v>
      </c>
      <c r="K25" s="6">
        <v>45901</v>
      </c>
      <c r="M25" s="5" t="s">
        <v>47</v>
      </c>
      <c r="P25" s="5" t="s">
        <v>54</v>
      </c>
      <c r="Q25" s="7">
        <v>9.6999999999999993</v>
      </c>
      <c r="R25" s="7">
        <v>9.6999999999999993</v>
      </c>
      <c r="S25" s="5">
        <v>6</v>
      </c>
      <c r="T25" s="8">
        <v>0.7</v>
      </c>
      <c r="U25" s="7">
        <v>40.74</v>
      </c>
      <c r="V25" s="8">
        <v>0</v>
      </c>
      <c r="W25" s="7">
        <v>0</v>
      </c>
      <c r="X25" s="7">
        <v>40.74</v>
      </c>
      <c r="Y25" s="7">
        <f>SUM(X25/6)</f>
        <v>6.79</v>
      </c>
      <c r="AC25" s="9">
        <v>19657690</v>
      </c>
      <c r="AD25" s="5" t="s">
        <v>49</v>
      </c>
    </row>
    <row r="26" spans="1:30" s="5" customFormat="1" x14ac:dyDescent="0.25">
      <c r="A26" s="5">
        <v>2030686942</v>
      </c>
      <c r="B26" s="5" t="s">
        <v>158</v>
      </c>
      <c r="E26" s="5" t="s">
        <v>148</v>
      </c>
      <c r="G26" s="5" t="s">
        <v>258</v>
      </c>
      <c r="H26" s="5" t="s">
        <v>149</v>
      </c>
      <c r="I26" s="5" t="s">
        <v>45</v>
      </c>
      <c r="J26" s="5" t="s">
        <v>77</v>
      </c>
      <c r="K26" s="6">
        <v>45901</v>
      </c>
      <c r="M26" s="5" t="s">
        <v>47</v>
      </c>
      <c r="P26" s="5" t="s">
        <v>54</v>
      </c>
      <c r="Q26" s="7">
        <v>63.62</v>
      </c>
      <c r="R26" s="7">
        <v>63.62</v>
      </c>
      <c r="S26" s="5">
        <v>6</v>
      </c>
      <c r="T26" s="8">
        <v>0.375</v>
      </c>
      <c r="U26" s="7">
        <v>143.15</v>
      </c>
      <c r="V26" s="8">
        <v>0</v>
      </c>
      <c r="W26" s="7">
        <v>0</v>
      </c>
      <c r="X26" s="7">
        <v>143.15</v>
      </c>
      <c r="Y26" s="7">
        <f>SUM(X26/6)</f>
        <v>23.858333333333334</v>
      </c>
      <c r="AC26" s="9">
        <v>19702320</v>
      </c>
      <c r="AD26" s="5" t="s">
        <v>49</v>
      </c>
    </row>
    <row r="27" spans="1:30" s="5" customFormat="1" x14ac:dyDescent="0.25">
      <c r="A27" s="5">
        <v>2030720374</v>
      </c>
      <c r="B27" s="5" t="s">
        <v>190</v>
      </c>
      <c r="E27" s="5" t="s">
        <v>148</v>
      </c>
      <c r="G27" s="5" t="s">
        <v>258</v>
      </c>
      <c r="H27" s="5" t="s">
        <v>149</v>
      </c>
      <c r="I27" s="5" t="s">
        <v>45</v>
      </c>
      <c r="J27" s="5" t="s">
        <v>77</v>
      </c>
      <c r="K27" s="6">
        <v>45901</v>
      </c>
      <c r="M27" s="5" t="s">
        <v>47</v>
      </c>
      <c r="P27" s="5" t="s">
        <v>54</v>
      </c>
      <c r="Q27" s="7">
        <v>54.2</v>
      </c>
      <c r="R27" s="7">
        <v>54.2</v>
      </c>
      <c r="S27" s="5">
        <v>6</v>
      </c>
      <c r="T27" s="8">
        <v>0.375</v>
      </c>
      <c r="U27" s="7">
        <v>121.95</v>
      </c>
      <c r="V27" s="8">
        <v>0</v>
      </c>
      <c r="W27" s="7">
        <v>0</v>
      </c>
      <c r="X27" s="7">
        <v>121.95</v>
      </c>
      <c r="Y27" s="7">
        <f>SUM(X27/6)</f>
        <v>20.324999999999999</v>
      </c>
      <c r="AC27" s="9">
        <v>19702650</v>
      </c>
      <c r="AD27" s="5" t="s">
        <v>49</v>
      </c>
    </row>
    <row r="28" spans="1:30" s="5" customFormat="1" x14ac:dyDescent="0.25">
      <c r="A28" s="5">
        <v>2030720375</v>
      </c>
      <c r="B28" s="5" t="s">
        <v>190</v>
      </c>
      <c r="E28" s="5" t="s">
        <v>148</v>
      </c>
      <c r="G28" s="5" t="s">
        <v>258</v>
      </c>
      <c r="H28" s="5" t="s">
        <v>149</v>
      </c>
      <c r="I28" s="5" t="s">
        <v>45</v>
      </c>
      <c r="J28" s="5" t="s">
        <v>53</v>
      </c>
      <c r="K28" s="6">
        <v>45901</v>
      </c>
      <c r="M28" s="5" t="s">
        <v>47</v>
      </c>
      <c r="P28" s="5" t="s">
        <v>54</v>
      </c>
      <c r="Q28" s="7">
        <v>9.1</v>
      </c>
      <c r="R28" s="7">
        <v>9.1</v>
      </c>
      <c r="S28" s="5">
        <v>6</v>
      </c>
      <c r="T28" s="8">
        <v>0.7</v>
      </c>
      <c r="U28" s="7">
        <v>38.22</v>
      </c>
      <c r="V28" s="8">
        <v>0</v>
      </c>
      <c r="W28" s="7">
        <v>0</v>
      </c>
      <c r="X28" s="7">
        <v>38.22</v>
      </c>
      <c r="Y28" s="7">
        <f>SUM(X28/6)</f>
        <v>6.37</v>
      </c>
      <c r="AC28" s="9">
        <v>19658090</v>
      </c>
      <c r="AD28" s="5" t="s">
        <v>49</v>
      </c>
    </row>
    <row r="29" spans="1:30" s="5" customFormat="1" x14ac:dyDescent="0.25">
      <c r="A29" s="5">
        <v>2030720376</v>
      </c>
      <c r="B29" s="5" t="s">
        <v>190</v>
      </c>
      <c r="E29" s="5" t="s">
        <v>148</v>
      </c>
      <c r="G29" s="5" t="s">
        <v>258</v>
      </c>
      <c r="H29" s="5" t="s">
        <v>149</v>
      </c>
      <c r="I29" s="5" t="s">
        <v>45</v>
      </c>
      <c r="J29" s="5" t="s">
        <v>191</v>
      </c>
      <c r="K29" s="6">
        <v>45901</v>
      </c>
      <c r="M29" s="5" t="s">
        <v>47</v>
      </c>
      <c r="P29" s="5" t="s">
        <v>54</v>
      </c>
      <c r="Q29" s="7">
        <v>59.03</v>
      </c>
      <c r="R29" s="7">
        <v>59.03</v>
      </c>
      <c r="S29" s="5">
        <v>6</v>
      </c>
      <c r="T29" s="8">
        <v>0.65</v>
      </c>
      <c r="U29" s="7">
        <v>230.22</v>
      </c>
      <c r="V29" s="8">
        <v>0</v>
      </c>
      <c r="W29" s="7">
        <v>0</v>
      </c>
      <c r="X29" s="7">
        <v>230.22</v>
      </c>
      <c r="Y29" s="7">
        <f>SUM(X29/6)</f>
        <v>38.369999999999997</v>
      </c>
      <c r="AC29" s="9">
        <v>19682810</v>
      </c>
      <c r="AD29" s="5" t="s">
        <v>49</v>
      </c>
    </row>
    <row r="30" spans="1:30" s="5" customFormat="1" x14ac:dyDescent="0.25">
      <c r="A30" s="5">
        <v>2030779465</v>
      </c>
      <c r="B30" s="5" t="s">
        <v>218</v>
      </c>
      <c r="E30" s="5" t="s">
        <v>148</v>
      </c>
      <c r="G30" s="5" t="s">
        <v>258</v>
      </c>
      <c r="H30" s="5" t="s">
        <v>149</v>
      </c>
      <c r="I30" s="5" t="s">
        <v>45</v>
      </c>
      <c r="J30" s="5" t="s">
        <v>53</v>
      </c>
      <c r="K30" s="6">
        <v>45901</v>
      </c>
      <c r="M30" s="5" t="s">
        <v>47</v>
      </c>
      <c r="P30" s="5" t="s">
        <v>54</v>
      </c>
      <c r="Q30" s="7">
        <v>9.1</v>
      </c>
      <c r="R30" s="7">
        <v>9.1</v>
      </c>
      <c r="S30" s="5">
        <v>6</v>
      </c>
      <c r="T30" s="8">
        <v>0.7</v>
      </c>
      <c r="U30" s="7">
        <v>38.22</v>
      </c>
      <c r="V30" s="8">
        <v>0</v>
      </c>
      <c r="W30" s="7">
        <v>0</v>
      </c>
      <c r="X30" s="7">
        <v>38.22</v>
      </c>
      <c r="Y30" s="7">
        <f>SUM(X30/6)</f>
        <v>6.37</v>
      </c>
      <c r="AC30" s="9">
        <v>19658560</v>
      </c>
      <c r="AD30" s="5" t="s">
        <v>49</v>
      </c>
    </row>
    <row r="31" spans="1:30" s="5" customFormat="1" x14ac:dyDescent="0.25">
      <c r="A31" s="5">
        <v>2030779466</v>
      </c>
      <c r="B31" s="5" t="s">
        <v>218</v>
      </c>
      <c r="E31" s="5" t="s">
        <v>148</v>
      </c>
      <c r="G31" s="5" t="s">
        <v>258</v>
      </c>
      <c r="H31" s="5" t="s">
        <v>149</v>
      </c>
      <c r="I31" s="5" t="s">
        <v>45</v>
      </c>
      <c r="J31" s="5" t="s">
        <v>68</v>
      </c>
      <c r="K31" s="6">
        <v>45901</v>
      </c>
      <c r="M31" s="5" t="s">
        <v>47</v>
      </c>
      <c r="P31" s="5" t="s">
        <v>54</v>
      </c>
      <c r="Q31" s="7">
        <v>33.01</v>
      </c>
      <c r="R31" s="7">
        <v>33.01</v>
      </c>
      <c r="S31" s="5">
        <v>6</v>
      </c>
      <c r="T31" s="8">
        <v>0.75</v>
      </c>
      <c r="U31" s="7">
        <v>148.55000000000001</v>
      </c>
      <c r="V31" s="8">
        <v>0</v>
      </c>
      <c r="W31" s="7">
        <v>0</v>
      </c>
      <c r="X31" s="7">
        <v>148.55000000000001</v>
      </c>
      <c r="Y31" s="7">
        <f>SUM(X31/6)</f>
        <v>24.758333333333336</v>
      </c>
      <c r="AC31" s="9">
        <v>19682980</v>
      </c>
      <c r="AD31" s="5" t="s">
        <v>49</v>
      </c>
    </row>
    <row r="32" spans="1:30" s="5" customFormat="1" x14ac:dyDescent="0.25">
      <c r="A32" s="5">
        <v>2030779467</v>
      </c>
      <c r="B32" s="5" t="s">
        <v>218</v>
      </c>
      <c r="E32" s="5" t="s">
        <v>148</v>
      </c>
      <c r="G32" s="5" t="s">
        <v>258</v>
      </c>
      <c r="H32" s="5" t="s">
        <v>149</v>
      </c>
      <c r="I32" s="5" t="s">
        <v>45</v>
      </c>
      <c r="J32" s="5" t="s">
        <v>77</v>
      </c>
      <c r="K32" s="6">
        <v>45901</v>
      </c>
      <c r="M32" s="5" t="s">
        <v>47</v>
      </c>
      <c r="P32" s="5" t="s">
        <v>54</v>
      </c>
      <c r="Q32" s="7">
        <v>54.57</v>
      </c>
      <c r="R32" s="7">
        <v>54.57</v>
      </c>
      <c r="S32" s="5">
        <v>6</v>
      </c>
      <c r="T32" s="8">
        <v>0.375</v>
      </c>
      <c r="U32" s="7">
        <v>122.78</v>
      </c>
      <c r="V32" s="8">
        <v>0</v>
      </c>
      <c r="W32" s="7">
        <v>0</v>
      </c>
      <c r="X32" s="7">
        <v>122.78</v>
      </c>
      <c r="Y32" s="7">
        <f>SUM(X32/6)</f>
        <v>20.463333333333335</v>
      </c>
      <c r="AC32" s="9">
        <v>19703050</v>
      </c>
      <c r="AD32" s="5" t="s">
        <v>49</v>
      </c>
    </row>
    <row r="33" spans="1:30" s="5" customFormat="1" x14ac:dyDescent="0.25">
      <c r="A33" s="5">
        <v>2030788952</v>
      </c>
      <c r="B33" s="5" t="s">
        <v>222</v>
      </c>
      <c r="E33" s="5" t="s">
        <v>148</v>
      </c>
      <c r="G33" s="5" t="s">
        <v>258</v>
      </c>
      <c r="H33" s="5" t="s">
        <v>149</v>
      </c>
      <c r="I33" s="5" t="s">
        <v>45</v>
      </c>
      <c r="J33" s="5" t="s">
        <v>53</v>
      </c>
      <c r="K33" s="6">
        <v>45901</v>
      </c>
      <c r="M33" s="5" t="s">
        <v>47</v>
      </c>
      <c r="P33" s="5" t="s">
        <v>54</v>
      </c>
      <c r="Q33" s="7">
        <v>9.1</v>
      </c>
      <c r="R33" s="7">
        <v>9.1</v>
      </c>
      <c r="S33" s="5">
        <v>6</v>
      </c>
      <c r="T33" s="8">
        <v>0.7</v>
      </c>
      <c r="U33" s="7">
        <v>38.22</v>
      </c>
      <c r="V33" s="8">
        <v>0</v>
      </c>
      <c r="W33" s="7">
        <v>0</v>
      </c>
      <c r="X33" s="7">
        <v>38.22</v>
      </c>
      <c r="Y33" s="7">
        <f>SUM(X33/6)</f>
        <v>6.37</v>
      </c>
      <c r="AC33" s="9">
        <v>19658630</v>
      </c>
      <c r="AD33" s="5" t="s">
        <v>49</v>
      </c>
    </row>
    <row r="34" spans="1:30" s="5" customFormat="1" x14ac:dyDescent="0.25">
      <c r="A34" s="5">
        <v>2030788953</v>
      </c>
      <c r="B34" s="5" t="s">
        <v>222</v>
      </c>
      <c r="E34" s="5" t="s">
        <v>148</v>
      </c>
      <c r="G34" s="5" t="s">
        <v>258</v>
      </c>
      <c r="H34" s="5" t="s">
        <v>149</v>
      </c>
      <c r="I34" s="5" t="s">
        <v>45</v>
      </c>
      <c r="J34" s="5" t="s">
        <v>191</v>
      </c>
      <c r="K34" s="6">
        <v>45901</v>
      </c>
      <c r="M34" s="5" t="s">
        <v>47</v>
      </c>
      <c r="P34" s="5" t="s">
        <v>54</v>
      </c>
      <c r="Q34" s="7">
        <v>9.3800000000000008</v>
      </c>
      <c r="R34" s="7">
        <v>9.3800000000000008</v>
      </c>
      <c r="S34" s="5">
        <v>6</v>
      </c>
      <c r="T34" s="8">
        <v>0.65</v>
      </c>
      <c r="U34" s="7">
        <v>36.58</v>
      </c>
      <c r="V34" s="8">
        <v>0</v>
      </c>
      <c r="W34" s="7">
        <v>0</v>
      </c>
      <c r="X34" s="7">
        <v>36.58</v>
      </c>
      <c r="Y34" s="7">
        <f>SUM(X34/6)</f>
        <v>6.0966666666666667</v>
      </c>
      <c r="AC34" s="9">
        <v>19683010</v>
      </c>
      <c r="AD34" s="5" t="s">
        <v>49</v>
      </c>
    </row>
    <row r="35" spans="1:30" s="5" customFormat="1" x14ac:dyDescent="0.25">
      <c r="A35" s="5">
        <v>2030788954</v>
      </c>
      <c r="B35" s="5" t="s">
        <v>222</v>
      </c>
      <c r="E35" s="5" t="s">
        <v>148</v>
      </c>
      <c r="G35" s="5" t="s">
        <v>258</v>
      </c>
      <c r="H35" s="5" t="s">
        <v>149</v>
      </c>
      <c r="I35" s="5" t="s">
        <v>45</v>
      </c>
      <c r="J35" s="5" t="s">
        <v>77</v>
      </c>
      <c r="K35" s="6">
        <v>45901</v>
      </c>
      <c r="M35" s="5" t="s">
        <v>47</v>
      </c>
      <c r="P35" s="5" t="s">
        <v>54</v>
      </c>
      <c r="Q35" s="7">
        <v>29.82</v>
      </c>
      <c r="R35" s="7">
        <v>29.82</v>
      </c>
      <c r="S35" s="5">
        <v>6</v>
      </c>
      <c r="T35" s="8">
        <v>0.375</v>
      </c>
      <c r="U35" s="7">
        <v>67.099999999999994</v>
      </c>
      <c r="V35" s="8">
        <v>0</v>
      </c>
      <c r="W35" s="7">
        <v>0</v>
      </c>
      <c r="X35" s="7">
        <v>67.099999999999994</v>
      </c>
      <c r="Y35" s="7">
        <f>SUM(X35/6)</f>
        <v>11.183333333333332</v>
      </c>
      <c r="AC35" s="9">
        <v>19703110</v>
      </c>
      <c r="AD35" s="5" t="s">
        <v>49</v>
      </c>
    </row>
    <row r="36" spans="1:30" x14ac:dyDescent="0.25">
      <c r="A36">
        <v>2030775883</v>
      </c>
      <c r="B36" t="s">
        <v>213</v>
      </c>
      <c r="E36" t="s">
        <v>96</v>
      </c>
      <c r="G36" t="s">
        <v>259</v>
      </c>
      <c r="H36" t="s">
        <v>214</v>
      </c>
      <c r="I36" t="s">
        <v>45</v>
      </c>
      <c r="J36" t="s">
        <v>53</v>
      </c>
      <c r="K36" s="1">
        <v>45901</v>
      </c>
      <c r="M36" t="s">
        <v>47</v>
      </c>
      <c r="P36" t="s">
        <v>54</v>
      </c>
      <c r="Q36" s="2">
        <v>120.91</v>
      </c>
      <c r="R36" s="2">
        <v>120.91</v>
      </c>
      <c r="S36">
        <v>6</v>
      </c>
      <c r="T36" s="3">
        <v>0.7</v>
      </c>
      <c r="U36" s="2">
        <v>507.82</v>
      </c>
      <c r="V36" s="3">
        <v>0</v>
      </c>
      <c r="W36" s="2">
        <v>0</v>
      </c>
      <c r="X36" s="2">
        <v>507.82</v>
      </c>
      <c r="Y36" s="2">
        <f>SUM(X36/6)</f>
        <v>84.63666666666667</v>
      </c>
      <c r="AC36" s="4">
        <v>19658520</v>
      </c>
      <c r="AD36" t="s">
        <v>49</v>
      </c>
    </row>
    <row r="37" spans="1:30" x14ac:dyDescent="0.25">
      <c r="A37">
        <v>2030775884</v>
      </c>
      <c r="B37" t="s">
        <v>213</v>
      </c>
      <c r="E37" t="s">
        <v>96</v>
      </c>
      <c r="G37" t="s">
        <v>259</v>
      </c>
      <c r="H37" t="s">
        <v>214</v>
      </c>
      <c r="I37" t="s">
        <v>45</v>
      </c>
      <c r="J37" t="s">
        <v>186</v>
      </c>
      <c r="K37" s="1">
        <v>45901</v>
      </c>
      <c r="M37" t="s">
        <v>47</v>
      </c>
      <c r="P37" t="s">
        <v>54</v>
      </c>
      <c r="Q37" s="2">
        <v>210.43</v>
      </c>
      <c r="R37" s="2">
        <v>210.43</v>
      </c>
      <c r="S37">
        <v>6</v>
      </c>
      <c r="T37" s="3">
        <v>0.47</v>
      </c>
      <c r="U37" s="2">
        <v>593.41</v>
      </c>
      <c r="V37" s="3">
        <v>0</v>
      </c>
      <c r="W37" s="2">
        <v>0</v>
      </c>
      <c r="X37" s="2">
        <v>593.41</v>
      </c>
      <c r="Y37" s="2">
        <f>SUM(X37/6)</f>
        <v>98.901666666666657</v>
      </c>
      <c r="AC37" s="4">
        <v>19703020</v>
      </c>
      <c r="AD37" t="s">
        <v>49</v>
      </c>
    </row>
    <row r="38" spans="1:30" x14ac:dyDescent="0.25">
      <c r="A38">
        <v>2030392317</v>
      </c>
      <c r="B38" t="s">
        <v>69</v>
      </c>
      <c r="E38" t="s">
        <v>65</v>
      </c>
      <c r="G38" t="s">
        <v>260</v>
      </c>
      <c r="H38" t="s">
        <v>70</v>
      </c>
      <c r="I38" t="s">
        <v>45</v>
      </c>
      <c r="J38" t="s">
        <v>53</v>
      </c>
      <c r="K38" s="1">
        <v>45901</v>
      </c>
      <c r="M38" t="s">
        <v>47</v>
      </c>
      <c r="P38" t="s">
        <v>54</v>
      </c>
      <c r="Q38" s="2">
        <v>141.47</v>
      </c>
      <c r="R38" s="2">
        <v>141.47</v>
      </c>
      <c r="S38">
        <v>6</v>
      </c>
      <c r="T38" s="3">
        <v>0.7</v>
      </c>
      <c r="U38" s="2">
        <v>594.16999999999996</v>
      </c>
      <c r="V38" s="3">
        <v>0</v>
      </c>
      <c r="W38" s="2">
        <v>0</v>
      </c>
      <c r="X38" s="2">
        <v>594.16999999999996</v>
      </c>
      <c r="Y38" s="2">
        <f>SUM(X38/6)</f>
        <v>99.028333333333322</v>
      </c>
      <c r="AC38" s="4">
        <v>19657070</v>
      </c>
      <c r="AD38" t="s">
        <v>49</v>
      </c>
    </row>
    <row r="39" spans="1:30" x14ac:dyDescent="0.25">
      <c r="A39">
        <v>2030392318</v>
      </c>
      <c r="B39" t="s">
        <v>69</v>
      </c>
      <c r="E39" t="s">
        <v>65</v>
      </c>
      <c r="G39" t="s">
        <v>260</v>
      </c>
      <c r="H39" t="s">
        <v>70</v>
      </c>
      <c r="I39" t="s">
        <v>45</v>
      </c>
      <c r="J39" t="s">
        <v>68</v>
      </c>
      <c r="K39" s="1">
        <v>45901</v>
      </c>
      <c r="M39" t="s">
        <v>47</v>
      </c>
      <c r="P39" t="s">
        <v>54</v>
      </c>
      <c r="Q39" s="2">
        <v>40.880000000000003</v>
      </c>
      <c r="R39" s="2">
        <v>40.880000000000003</v>
      </c>
      <c r="S39">
        <v>6</v>
      </c>
      <c r="T39" s="3">
        <v>0.75</v>
      </c>
      <c r="U39" s="2">
        <v>183.96</v>
      </c>
      <c r="V39" s="3">
        <v>0</v>
      </c>
      <c r="W39" s="2">
        <v>0</v>
      </c>
      <c r="X39" s="2">
        <v>183.96</v>
      </c>
      <c r="Y39" s="2">
        <f>SUM(X39/6)</f>
        <v>30.66</v>
      </c>
      <c r="AC39" s="4">
        <v>19682380</v>
      </c>
      <c r="AD39" t="s">
        <v>49</v>
      </c>
    </row>
    <row r="40" spans="1:30" x14ac:dyDescent="0.25">
      <c r="A40">
        <v>2030441837</v>
      </c>
      <c r="B40" t="s">
        <v>82</v>
      </c>
      <c r="E40" t="s">
        <v>83</v>
      </c>
      <c r="G40" t="s">
        <v>260</v>
      </c>
      <c r="H40" t="s">
        <v>70</v>
      </c>
      <c r="I40" t="s">
        <v>45</v>
      </c>
      <c r="J40" t="s">
        <v>68</v>
      </c>
      <c r="K40" s="1">
        <v>45901</v>
      </c>
      <c r="M40" t="s">
        <v>47</v>
      </c>
      <c r="P40" t="s">
        <v>54</v>
      </c>
      <c r="Q40" s="2">
        <v>18.07</v>
      </c>
      <c r="R40" s="2">
        <v>18.07</v>
      </c>
      <c r="S40">
        <v>6</v>
      </c>
      <c r="T40" s="3">
        <v>0.75</v>
      </c>
      <c r="U40" s="2">
        <v>81.319999999999993</v>
      </c>
      <c r="V40" s="3">
        <v>0</v>
      </c>
      <c r="W40" s="2">
        <v>0</v>
      </c>
      <c r="X40" s="2">
        <v>81.319999999999993</v>
      </c>
      <c r="Y40" s="2">
        <f>SUM(X40/6)</f>
        <v>13.553333333333333</v>
      </c>
      <c r="AC40" s="4">
        <v>19682410</v>
      </c>
      <c r="AD40" t="s">
        <v>49</v>
      </c>
    </row>
    <row r="41" spans="1:30" x14ac:dyDescent="0.25">
      <c r="A41">
        <v>2030671135</v>
      </c>
      <c r="B41" t="s">
        <v>133</v>
      </c>
      <c r="E41" t="s">
        <v>51</v>
      </c>
      <c r="G41" t="s">
        <v>260</v>
      </c>
      <c r="H41" t="s">
        <v>70</v>
      </c>
      <c r="I41" t="s">
        <v>45</v>
      </c>
      <c r="J41" t="s">
        <v>53</v>
      </c>
      <c r="K41" s="1">
        <v>45901</v>
      </c>
      <c r="M41" t="s">
        <v>47</v>
      </c>
      <c r="P41" t="s">
        <v>54</v>
      </c>
      <c r="Q41" s="2">
        <v>29.1</v>
      </c>
      <c r="R41" s="2">
        <v>29.1</v>
      </c>
      <c r="S41">
        <v>6</v>
      </c>
      <c r="T41" s="3">
        <v>0.7</v>
      </c>
      <c r="U41" s="2">
        <v>122.22</v>
      </c>
      <c r="V41" s="3">
        <v>0</v>
      </c>
      <c r="W41" s="2">
        <v>0</v>
      </c>
      <c r="X41" s="2">
        <v>122.22</v>
      </c>
      <c r="Y41" s="2">
        <f>SUM(X41/6)</f>
        <v>20.37</v>
      </c>
      <c r="AC41" s="4">
        <v>19657540</v>
      </c>
      <c r="AD41" t="s">
        <v>49</v>
      </c>
    </row>
    <row r="42" spans="1:30" x14ac:dyDescent="0.25">
      <c r="A42">
        <v>2030711962</v>
      </c>
      <c r="B42" t="s">
        <v>182</v>
      </c>
      <c r="E42" t="s">
        <v>96</v>
      </c>
      <c r="G42" t="s">
        <v>260</v>
      </c>
      <c r="H42" t="s">
        <v>70</v>
      </c>
      <c r="I42" t="s">
        <v>45</v>
      </c>
      <c r="J42" t="s">
        <v>46</v>
      </c>
      <c r="K42" s="1">
        <v>45901</v>
      </c>
      <c r="M42" t="s">
        <v>47</v>
      </c>
      <c r="P42" t="s">
        <v>183</v>
      </c>
      <c r="Q42" s="2">
        <v>384.91</v>
      </c>
      <c r="R42" s="2">
        <v>384.91</v>
      </c>
      <c r="S42">
        <v>1</v>
      </c>
      <c r="T42" s="3">
        <v>0.28999999999999998</v>
      </c>
      <c r="U42" s="2">
        <v>111.62</v>
      </c>
      <c r="V42" s="3">
        <v>0</v>
      </c>
      <c r="W42" s="2">
        <v>0</v>
      </c>
      <c r="X42" s="2">
        <v>111.62</v>
      </c>
      <c r="Y42" s="2">
        <f>SUM(X42/6)</f>
        <v>18.603333333333335</v>
      </c>
      <c r="AC42" s="4">
        <v>19717000</v>
      </c>
    </row>
    <row r="43" spans="1:30" x14ac:dyDescent="0.25">
      <c r="A43">
        <v>2030711963</v>
      </c>
      <c r="B43" t="s">
        <v>182</v>
      </c>
      <c r="E43" t="s">
        <v>96</v>
      </c>
      <c r="G43" t="s">
        <v>260</v>
      </c>
      <c r="H43" t="s">
        <v>70</v>
      </c>
      <c r="I43" t="s">
        <v>45</v>
      </c>
      <c r="J43" t="s">
        <v>165</v>
      </c>
      <c r="K43" s="1">
        <v>45901</v>
      </c>
      <c r="M43" t="s">
        <v>47</v>
      </c>
      <c r="P43" t="s">
        <v>183</v>
      </c>
      <c r="Q43" s="2">
        <v>15</v>
      </c>
      <c r="R43" s="2">
        <v>15</v>
      </c>
      <c r="S43">
        <v>1</v>
      </c>
      <c r="T43" s="3">
        <v>0.28999999999999998</v>
      </c>
      <c r="U43" s="2">
        <v>4.3499999999999996</v>
      </c>
      <c r="V43" s="3">
        <v>0</v>
      </c>
      <c r="W43" s="2">
        <v>0</v>
      </c>
      <c r="X43" s="2">
        <v>4.3499999999999996</v>
      </c>
      <c r="Y43" s="2">
        <f>SUM(X43/6)</f>
        <v>0.72499999999999998</v>
      </c>
      <c r="AC43" s="4">
        <v>19669960</v>
      </c>
    </row>
    <row r="44" spans="1:30" x14ac:dyDescent="0.25">
      <c r="A44">
        <v>2030714655</v>
      </c>
      <c r="B44" t="s">
        <v>184</v>
      </c>
      <c r="E44" t="s">
        <v>83</v>
      </c>
      <c r="G44" t="s">
        <v>260</v>
      </c>
      <c r="H44" t="s">
        <v>70</v>
      </c>
      <c r="I44" t="s">
        <v>45</v>
      </c>
      <c r="J44" t="s">
        <v>99</v>
      </c>
      <c r="K44" s="1">
        <v>45901</v>
      </c>
      <c r="M44" t="s">
        <v>47</v>
      </c>
      <c r="P44" t="s">
        <v>54</v>
      </c>
      <c r="Q44" s="2">
        <v>22.02</v>
      </c>
      <c r="R44" s="2">
        <v>22.02</v>
      </c>
      <c r="S44">
        <v>6</v>
      </c>
      <c r="T44" s="3">
        <v>0.42</v>
      </c>
      <c r="U44" s="2">
        <v>55.49</v>
      </c>
      <c r="V44" s="3">
        <v>0</v>
      </c>
      <c r="W44" s="2">
        <v>0</v>
      </c>
      <c r="X44" s="2">
        <v>55.49</v>
      </c>
      <c r="Y44" s="2">
        <f>SUM(X44/6)</f>
        <v>9.2483333333333331</v>
      </c>
      <c r="AC44" s="4">
        <v>19702580</v>
      </c>
      <c r="AD44" t="s">
        <v>49</v>
      </c>
    </row>
    <row r="45" spans="1:30" x14ac:dyDescent="0.25">
      <c r="A45">
        <v>2030714656</v>
      </c>
      <c r="B45" t="s">
        <v>184</v>
      </c>
      <c r="E45" t="s">
        <v>83</v>
      </c>
      <c r="G45" t="s">
        <v>260</v>
      </c>
      <c r="H45" t="s">
        <v>70</v>
      </c>
      <c r="I45" t="s">
        <v>45</v>
      </c>
      <c r="J45" t="s">
        <v>68</v>
      </c>
      <c r="K45" s="1">
        <v>45901</v>
      </c>
      <c r="M45" t="s">
        <v>47</v>
      </c>
      <c r="P45" t="s">
        <v>54</v>
      </c>
      <c r="Q45" s="2">
        <v>195.58</v>
      </c>
      <c r="R45" s="2">
        <v>195.58</v>
      </c>
      <c r="S45">
        <v>6</v>
      </c>
      <c r="T45" s="3">
        <v>0.75</v>
      </c>
      <c r="U45" s="2">
        <v>880.11</v>
      </c>
      <c r="V45" s="3">
        <v>0</v>
      </c>
      <c r="W45" s="2">
        <v>0</v>
      </c>
      <c r="X45" s="2">
        <v>880.11</v>
      </c>
      <c r="Y45" s="2">
        <f>SUM(X45/6)</f>
        <v>146.685</v>
      </c>
      <c r="AC45" s="4">
        <v>19682780</v>
      </c>
      <c r="AD45" t="s">
        <v>49</v>
      </c>
    </row>
    <row r="46" spans="1:30" x14ac:dyDescent="0.25">
      <c r="A46">
        <v>2030743615</v>
      </c>
      <c r="B46" t="s">
        <v>203</v>
      </c>
      <c r="E46" t="s">
        <v>62</v>
      </c>
      <c r="G46" t="s">
        <v>261</v>
      </c>
      <c r="H46" t="s">
        <v>204</v>
      </c>
      <c r="I46" t="s">
        <v>45</v>
      </c>
      <c r="J46" t="s">
        <v>77</v>
      </c>
      <c r="K46" s="1">
        <v>45898</v>
      </c>
      <c r="M46" t="s">
        <v>47</v>
      </c>
      <c r="P46" t="s">
        <v>54</v>
      </c>
      <c r="Q46" s="2">
        <v>77.48</v>
      </c>
      <c r="R46" s="2">
        <v>77.48</v>
      </c>
      <c r="S46">
        <v>6</v>
      </c>
      <c r="T46" s="3">
        <v>0.375</v>
      </c>
      <c r="U46" s="2">
        <v>174.33</v>
      </c>
      <c r="V46" s="3">
        <v>0</v>
      </c>
      <c r="W46" s="2">
        <v>0</v>
      </c>
      <c r="X46" s="2">
        <v>174.33</v>
      </c>
      <c r="Y46" s="2">
        <f>SUM(X46/6)</f>
        <v>29.055000000000003</v>
      </c>
      <c r="AC46" s="4">
        <v>19702810</v>
      </c>
      <c r="AD46" t="s">
        <v>49</v>
      </c>
    </row>
    <row r="47" spans="1:30" x14ac:dyDescent="0.25">
      <c r="A47">
        <v>2030743616</v>
      </c>
      <c r="B47" t="s">
        <v>203</v>
      </c>
      <c r="E47" t="s">
        <v>62</v>
      </c>
      <c r="G47" t="s">
        <v>261</v>
      </c>
      <c r="H47" t="s">
        <v>204</v>
      </c>
      <c r="I47" t="s">
        <v>45</v>
      </c>
      <c r="J47" t="s">
        <v>53</v>
      </c>
      <c r="K47" s="1">
        <v>45898</v>
      </c>
      <c r="M47" t="s">
        <v>47</v>
      </c>
      <c r="P47" t="s">
        <v>54</v>
      </c>
      <c r="Q47" s="2">
        <v>11.5</v>
      </c>
      <c r="R47" s="2">
        <v>11.5</v>
      </c>
      <c r="S47">
        <v>6</v>
      </c>
      <c r="T47" s="3">
        <v>0.7</v>
      </c>
      <c r="U47" s="2">
        <v>48.3</v>
      </c>
      <c r="V47" s="3">
        <v>0</v>
      </c>
      <c r="W47" s="2">
        <v>0</v>
      </c>
      <c r="X47" s="2">
        <v>48.3</v>
      </c>
      <c r="Y47" s="2">
        <f>SUM(X47/6)</f>
        <v>8.0499999999999989</v>
      </c>
      <c r="AC47" s="4">
        <v>19658280</v>
      </c>
      <c r="AD47" t="s">
        <v>49</v>
      </c>
    </row>
    <row r="48" spans="1:30" x14ac:dyDescent="0.25">
      <c r="A48">
        <v>2030566433</v>
      </c>
      <c r="B48" t="s">
        <v>105</v>
      </c>
      <c r="E48" t="s">
        <v>106</v>
      </c>
      <c r="G48" t="s">
        <v>262</v>
      </c>
      <c r="H48" t="s">
        <v>107</v>
      </c>
      <c r="I48" t="s">
        <v>45</v>
      </c>
      <c r="J48" t="s">
        <v>77</v>
      </c>
      <c r="K48" s="1">
        <v>45901</v>
      </c>
      <c r="M48" t="s">
        <v>47</v>
      </c>
      <c r="P48" t="s">
        <v>54</v>
      </c>
      <c r="Q48" s="2">
        <v>25.82</v>
      </c>
      <c r="R48" s="2">
        <v>25.82</v>
      </c>
      <c r="S48">
        <v>6</v>
      </c>
      <c r="T48" s="3">
        <v>0.375</v>
      </c>
      <c r="U48" s="2">
        <v>58.1</v>
      </c>
      <c r="V48" s="3">
        <v>0</v>
      </c>
      <c r="W48" s="2">
        <v>0</v>
      </c>
      <c r="X48" s="2">
        <v>58.1</v>
      </c>
      <c r="Y48" s="2">
        <f>SUM(X48/6)</f>
        <v>9.6833333333333336</v>
      </c>
      <c r="AC48" s="4">
        <v>19701940</v>
      </c>
      <c r="AD48" t="s">
        <v>49</v>
      </c>
    </row>
    <row r="49" spans="1:30" x14ac:dyDescent="0.25">
      <c r="A49">
        <v>2030566434</v>
      </c>
      <c r="B49" t="s">
        <v>105</v>
      </c>
      <c r="E49" t="s">
        <v>106</v>
      </c>
      <c r="G49" t="s">
        <v>262</v>
      </c>
      <c r="H49" t="s">
        <v>107</v>
      </c>
      <c r="I49" t="s">
        <v>45</v>
      </c>
      <c r="J49" t="s">
        <v>53</v>
      </c>
      <c r="K49" s="1">
        <v>45901</v>
      </c>
      <c r="M49" t="s">
        <v>47</v>
      </c>
      <c r="P49" t="s">
        <v>54</v>
      </c>
      <c r="Q49" s="2">
        <v>3.52</v>
      </c>
      <c r="R49" s="2">
        <v>3.52</v>
      </c>
      <c r="S49">
        <v>6</v>
      </c>
      <c r="T49" s="3">
        <v>0.7</v>
      </c>
      <c r="U49" s="2">
        <v>14.78</v>
      </c>
      <c r="V49" s="3">
        <v>0</v>
      </c>
      <c r="W49" s="2">
        <v>0</v>
      </c>
      <c r="X49" s="2">
        <v>14.78</v>
      </c>
      <c r="Y49" s="2">
        <f>SUM(X49/6)</f>
        <v>2.4633333333333334</v>
      </c>
      <c r="AC49" s="4">
        <v>19657300</v>
      </c>
      <c r="AD49" t="s">
        <v>49</v>
      </c>
    </row>
    <row r="50" spans="1:30" x14ac:dyDescent="0.25">
      <c r="A50">
        <v>2030640670</v>
      </c>
      <c r="B50" t="s">
        <v>123</v>
      </c>
      <c r="E50" t="s">
        <v>106</v>
      </c>
      <c r="G50" t="s">
        <v>262</v>
      </c>
      <c r="H50" t="s">
        <v>107</v>
      </c>
      <c r="I50" t="s">
        <v>45</v>
      </c>
      <c r="J50" t="s">
        <v>99</v>
      </c>
      <c r="K50" s="1">
        <v>45901</v>
      </c>
      <c r="M50" t="s">
        <v>47</v>
      </c>
      <c r="P50" t="s">
        <v>54</v>
      </c>
      <c r="Q50" s="2">
        <v>106.98</v>
      </c>
      <c r="R50" s="2">
        <v>106.98</v>
      </c>
      <c r="S50">
        <v>6</v>
      </c>
      <c r="T50" s="3">
        <v>0.42</v>
      </c>
      <c r="U50" s="2">
        <v>269.58999999999997</v>
      </c>
      <c r="V50" s="3">
        <v>0</v>
      </c>
      <c r="W50" s="2">
        <v>0</v>
      </c>
      <c r="X50" s="2">
        <v>269.58999999999997</v>
      </c>
      <c r="Y50" s="2">
        <f>SUM(X50/6)</f>
        <v>44.931666666666665</v>
      </c>
      <c r="AC50" s="4">
        <v>19702120</v>
      </c>
      <c r="AD50" t="s">
        <v>49</v>
      </c>
    </row>
    <row r="51" spans="1:30" x14ac:dyDescent="0.25">
      <c r="A51">
        <v>2030464735</v>
      </c>
      <c r="B51" t="s">
        <v>88</v>
      </c>
      <c r="E51" t="s">
        <v>62</v>
      </c>
      <c r="G51" t="s">
        <v>263</v>
      </c>
      <c r="H51" t="s">
        <v>89</v>
      </c>
      <c r="I51" t="s">
        <v>45</v>
      </c>
      <c r="J51" t="s">
        <v>53</v>
      </c>
      <c r="K51" s="1">
        <v>45901</v>
      </c>
      <c r="M51" t="s">
        <v>47</v>
      </c>
      <c r="P51" t="s">
        <v>54</v>
      </c>
      <c r="Q51" s="2">
        <v>57.57</v>
      </c>
      <c r="R51" s="2">
        <v>57.57</v>
      </c>
      <c r="S51">
        <v>6</v>
      </c>
      <c r="T51" s="3">
        <v>0.7</v>
      </c>
      <c r="U51" s="2">
        <v>241.79</v>
      </c>
      <c r="V51" s="3">
        <v>0</v>
      </c>
      <c r="W51" s="2">
        <v>0</v>
      </c>
      <c r="X51" s="2">
        <v>241.79</v>
      </c>
      <c r="Y51" s="2">
        <f>SUM(X51/6)</f>
        <v>40.298333333333332</v>
      </c>
      <c r="AC51" s="4">
        <v>19657140</v>
      </c>
      <c r="AD51" t="s">
        <v>49</v>
      </c>
    </row>
    <row r="52" spans="1:30" x14ac:dyDescent="0.25">
      <c r="A52">
        <v>2030722441</v>
      </c>
      <c r="B52" t="s">
        <v>194</v>
      </c>
      <c r="E52" t="s">
        <v>101</v>
      </c>
      <c r="G52" t="s">
        <v>264</v>
      </c>
      <c r="H52" t="s">
        <v>195</v>
      </c>
      <c r="I52" t="s">
        <v>45</v>
      </c>
      <c r="J52" t="s">
        <v>46</v>
      </c>
      <c r="K52" s="1">
        <v>45897</v>
      </c>
      <c r="M52" t="s">
        <v>47</v>
      </c>
      <c r="P52" t="s">
        <v>121</v>
      </c>
      <c r="Q52" s="2">
        <v>150.93</v>
      </c>
      <c r="R52" s="2">
        <v>150.93</v>
      </c>
      <c r="S52">
        <v>3</v>
      </c>
      <c r="T52" s="3">
        <v>0.28999999999999998</v>
      </c>
      <c r="U52" s="2">
        <v>131.31</v>
      </c>
      <c r="V52" s="3">
        <v>0</v>
      </c>
      <c r="W52" s="2">
        <v>0</v>
      </c>
      <c r="X52" s="2">
        <v>131.31</v>
      </c>
      <c r="Y52" s="2">
        <f>SUM(X52/6)</f>
        <v>21.885000000000002</v>
      </c>
      <c r="AC52" s="4">
        <v>19717150</v>
      </c>
      <c r="AD52" t="s">
        <v>49</v>
      </c>
    </row>
    <row r="53" spans="1:30" x14ac:dyDescent="0.25">
      <c r="A53">
        <v>2030722442</v>
      </c>
      <c r="B53" t="s">
        <v>194</v>
      </c>
      <c r="E53" t="s">
        <v>101</v>
      </c>
      <c r="G53" t="s">
        <v>264</v>
      </c>
      <c r="H53" t="s">
        <v>195</v>
      </c>
      <c r="I53" t="s">
        <v>45</v>
      </c>
      <c r="J53" t="s">
        <v>165</v>
      </c>
      <c r="K53" s="1">
        <v>45897</v>
      </c>
      <c r="M53" t="s">
        <v>47</v>
      </c>
      <c r="P53" t="s">
        <v>121</v>
      </c>
      <c r="Q53" s="2">
        <v>15</v>
      </c>
      <c r="R53" s="2">
        <v>15</v>
      </c>
      <c r="S53">
        <v>3</v>
      </c>
      <c r="T53" s="3">
        <v>0.28999999999999998</v>
      </c>
      <c r="U53" s="2">
        <v>13.05</v>
      </c>
      <c r="V53" s="3">
        <v>0</v>
      </c>
      <c r="W53" s="2">
        <v>0</v>
      </c>
      <c r="X53" s="2">
        <v>13.05</v>
      </c>
      <c r="Y53" s="2">
        <f>SUM(X53/6)</f>
        <v>2.1750000000000003</v>
      </c>
      <c r="AC53" s="4">
        <v>19670060</v>
      </c>
      <c r="AD53" t="s">
        <v>49</v>
      </c>
    </row>
    <row r="54" spans="1:30" x14ac:dyDescent="0.25">
      <c r="A54">
        <v>2030790525</v>
      </c>
      <c r="B54" t="s">
        <v>223</v>
      </c>
      <c r="E54" t="s">
        <v>62</v>
      </c>
      <c r="G54" t="s">
        <v>264</v>
      </c>
      <c r="H54" t="s">
        <v>195</v>
      </c>
      <c r="I54" t="s">
        <v>45</v>
      </c>
      <c r="J54" t="s">
        <v>77</v>
      </c>
      <c r="K54" s="1">
        <v>45901</v>
      </c>
      <c r="M54" t="s">
        <v>47</v>
      </c>
      <c r="P54" t="s">
        <v>54</v>
      </c>
      <c r="Q54" s="2">
        <v>77.48</v>
      </c>
      <c r="R54" s="2">
        <v>77.48</v>
      </c>
      <c r="S54">
        <v>6</v>
      </c>
      <c r="T54" s="3">
        <v>0.375</v>
      </c>
      <c r="U54" s="2">
        <v>174.33</v>
      </c>
      <c r="V54" s="3">
        <v>0</v>
      </c>
      <c r="W54" s="2">
        <v>0</v>
      </c>
      <c r="X54" s="2">
        <v>174.33</v>
      </c>
      <c r="Y54" s="2">
        <f>SUM(X54/6)</f>
        <v>29.055000000000003</v>
      </c>
      <c r="AC54" s="4">
        <v>19703120</v>
      </c>
      <c r="AD54" t="s">
        <v>49</v>
      </c>
    </row>
    <row r="55" spans="1:30" x14ac:dyDescent="0.25">
      <c r="A55">
        <v>2030790526</v>
      </c>
      <c r="B55" t="s">
        <v>223</v>
      </c>
      <c r="E55" t="s">
        <v>62</v>
      </c>
      <c r="G55" t="s">
        <v>264</v>
      </c>
      <c r="H55" t="s">
        <v>195</v>
      </c>
      <c r="I55" t="s">
        <v>45</v>
      </c>
      <c r="J55" t="s">
        <v>53</v>
      </c>
      <c r="K55" s="1">
        <v>45901</v>
      </c>
      <c r="M55" t="s">
        <v>47</v>
      </c>
      <c r="P55" t="s">
        <v>54</v>
      </c>
      <c r="Q55" s="2">
        <v>42.38</v>
      </c>
      <c r="R55" s="2">
        <v>42.38</v>
      </c>
      <c r="S55">
        <v>6</v>
      </c>
      <c r="T55" s="3">
        <v>0.7</v>
      </c>
      <c r="U55" s="2">
        <v>178</v>
      </c>
      <c r="V55" s="3">
        <v>0</v>
      </c>
      <c r="W55" s="2">
        <v>0</v>
      </c>
      <c r="X55" s="2">
        <v>178</v>
      </c>
      <c r="Y55" s="2">
        <f>SUM(X55/6)</f>
        <v>29.666666666666668</v>
      </c>
      <c r="AC55" s="4">
        <v>19658650</v>
      </c>
      <c r="AD55" t="s">
        <v>49</v>
      </c>
    </row>
    <row r="56" spans="1:30" x14ac:dyDescent="0.25">
      <c r="A56">
        <v>2030673014</v>
      </c>
      <c r="B56" t="s">
        <v>134</v>
      </c>
      <c r="E56" t="s">
        <v>96</v>
      </c>
      <c r="G56" t="s">
        <v>265</v>
      </c>
      <c r="H56" t="s">
        <v>135</v>
      </c>
      <c r="I56" t="s">
        <v>45</v>
      </c>
      <c r="J56" t="s">
        <v>53</v>
      </c>
      <c r="K56" s="1">
        <v>45901</v>
      </c>
      <c r="M56" t="s">
        <v>47</v>
      </c>
      <c r="P56" t="s">
        <v>54</v>
      </c>
      <c r="Q56" s="2">
        <v>143.33000000000001</v>
      </c>
      <c r="R56" s="2">
        <v>143.33000000000001</v>
      </c>
      <c r="S56">
        <v>6</v>
      </c>
      <c r="T56" s="3">
        <v>0.7</v>
      </c>
      <c r="U56" s="2">
        <v>601.99</v>
      </c>
      <c r="V56" s="3">
        <v>0</v>
      </c>
      <c r="W56" s="2">
        <v>0</v>
      </c>
      <c r="X56" s="2">
        <v>601.99</v>
      </c>
      <c r="Y56" s="2">
        <f>SUM(X56/6)</f>
        <v>100.33166666666666</v>
      </c>
      <c r="AC56" s="4">
        <v>19657550</v>
      </c>
      <c r="AD56" t="s">
        <v>49</v>
      </c>
    </row>
    <row r="57" spans="1:30" x14ac:dyDescent="0.25">
      <c r="A57">
        <v>2030675165</v>
      </c>
      <c r="B57" t="s">
        <v>138</v>
      </c>
      <c r="E57" t="s">
        <v>139</v>
      </c>
      <c r="G57" t="s">
        <v>265</v>
      </c>
      <c r="H57" t="s">
        <v>135</v>
      </c>
      <c r="I57" t="s">
        <v>45</v>
      </c>
      <c r="J57" t="s">
        <v>53</v>
      </c>
      <c r="K57" s="1">
        <v>45901</v>
      </c>
      <c r="M57" t="s">
        <v>47</v>
      </c>
      <c r="P57" t="s">
        <v>54</v>
      </c>
      <c r="Q57" s="2">
        <v>24.15</v>
      </c>
      <c r="R57" s="2">
        <v>24.15</v>
      </c>
      <c r="S57">
        <v>6</v>
      </c>
      <c r="T57" s="3">
        <v>0.7</v>
      </c>
      <c r="U57" s="2">
        <v>101.43</v>
      </c>
      <c r="V57" s="3">
        <v>0</v>
      </c>
      <c r="W57" s="2">
        <v>0</v>
      </c>
      <c r="X57" s="2">
        <v>101.43</v>
      </c>
      <c r="Y57" s="2">
        <f>SUM(X57/6)</f>
        <v>16.905000000000001</v>
      </c>
      <c r="AC57" s="4">
        <v>19657570</v>
      </c>
      <c r="AD57" t="s">
        <v>49</v>
      </c>
    </row>
    <row r="58" spans="1:30" x14ac:dyDescent="0.25">
      <c r="A58">
        <v>2030675166</v>
      </c>
      <c r="B58" t="s">
        <v>138</v>
      </c>
      <c r="E58" t="s">
        <v>139</v>
      </c>
      <c r="G58" t="s">
        <v>265</v>
      </c>
      <c r="H58" t="s">
        <v>135</v>
      </c>
      <c r="I58" t="s">
        <v>45</v>
      </c>
      <c r="J58" t="s">
        <v>77</v>
      </c>
      <c r="K58" s="1">
        <v>45901</v>
      </c>
      <c r="M58" t="s">
        <v>47</v>
      </c>
      <c r="P58" t="s">
        <v>54</v>
      </c>
      <c r="Q58" s="2">
        <v>64.16</v>
      </c>
      <c r="R58" s="2">
        <v>64.16</v>
      </c>
      <c r="S58">
        <v>6</v>
      </c>
      <c r="T58" s="3">
        <v>0.375</v>
      </c>
      <c r="U58" s="2">
        <v>144.36000000000001</v>
      </c>
      <c r="V58" s="3">
        <v>0</v>
      </c>
      <c r="W58" s="2">
        <v>0</v>
      </c>
      <c r="X58" s="2">
        <v>144.36000000000001</v>
      </c>
      <c r="Y58" s="2">
        <f>SUM(X58/6)</f>
        <v>24.060000000000002</v>
      </c>
      <c r="AC58" s="4">
        <v>19702210</v>
      </c>
      <c r="AD58" t="s">
        <v>49</v>
      </c>
    </row>
    <row r="59" spans="1:30" x14ac:dyDescent="0.25">
      <c r="A59">
        <v>2030675167</v>
      </c>
      <c r="B59" t="s">
        <v>138</v>
      </c>
      <c r="E59" t="s">
        <v>139</v>
      </c>
      <c r="G59" t="s">
        <v>265</v>
      </c>
      <c r="H59" t="s">
        <v>135</v>
      </c>
      <c r="I59" t="s">
        <v>45</v>
      </c>
      <c r="J59" t="s">
        <v>140</v>
      </c>
      <c r="K59" s="1">
        <v>45901</v>
      </c>
      <c r="M59" t="s">
        <v>47</v>
      </c>
      <c r="P59" t="s">
        <v>54</v>
      </c>
      <c r="Q59" s="2">
        <v>25.65</v>
      </c>
      <c r="R59" s="2">
        <v>25.65</v>
      </c>
      <c r="S59">
        <v>6</v>
      </c>
      <c r="T59" s="3">
        <v>0.75</v>
      </c>
      <c r="U59" s="2">
        <v>115.43</v>
      </c>
      <c r="V59" s="3">
        <v>0</v>
      </c>
      <c r="W59" s="2">
        <v>0</v>
      </c>
      <c r="X59" s="2">
        <v>115.43</v>
      </c>
      <c r="Y59" s="2">
        <f>SUM(X59/6)</f>
        <v>19.238333333333333</v>
      </c>
      <c r="AC59" s="4">
        <v>19682620</v>
      </c>
      <c r="AD59" t="s">
        <v>49</v>
      </c>
    </row>
    <row r="60" spans="1:30" x14ac:dyDescent="0.25">
      <c r="A60">
        <v>2030699504</v>
      </c>
      <c r="B60" t="s">
        <v>176</v>
      </c>
      <c r="E60" t="s">
        <v>62</v>
      </c>
      <c r="G60" t="s">
        <v>265</v>
      </c>
      <c r="H60" t="s">
        <v>135</v>
      </c>
      <c r="I60" t="s">
        <v>45</v>
      </c>
      <c r="J60" t="s">
        <v>53</v>
      </c>
      <c r="K60" s="1">
        <v>45909</v>
      </c>
      <c r="M60" t="s">
        <v>47</v>
      </c>
      <c r="P60" t="s">
        <v>54</v>
      </c>
      <c r="Q60" s="2">
        <v>212.26</v>
      </c>
      <c r="R60" s="2">
        <v>212.26</v>
      </c>
      <c r="S60">
        <v>6</v>
      </c>
      <c r="T60" s="3">
        <v>0.7</v>
      </c>
      <c r="U60" s="2">
        <v>891.49</v>
      </c>
      <c r="V60" s="3">
        <v>0</v>
      </c>
      <c r="W60" s="2">
        <v>0</v>
      </c>
      <c r="X60" s="2">
        <v>891.49</v>
      </c>
      <c r="Y60" s="2">
        <f>SUM(X60/6)</f>
        <v>148.58166666666668</v>
      </c>
      <c r="AC60" s="4">
        <v>19657840</v>
      </c>
      <c r="AD60" t="s">
        <v>49</v>
      </c>
    </row>
    <row r="61" spans="1:30" x14ac:dyDescent="0.25">
      <c r="A61">
        <v>2030784685</v>
      </c>
      <c r="B61" t="s">
        <v>221</v>
      </c>
      <c r="E61" t="s">
        <v>76</v>
      </c>
      <c r="G61" t="s">
        <v>265</v>
      </c>
      <c r="H61" t="s">
        <v>135</v>
      </c>
      <c r="I61" t="s">
        <v>45</v>
      </c>
      <c r="J61" t="s">
        <v>77</v>
      </c>
      <c r="K61" s="1">
        <v>45901</v>
      </c>
      <c r="M61" t="s">
        <v>47</v>
      </c>
      <c r="P61" t="s">
        <v>54</v>
      </c>
      <c r="Q61" s="2">
        <v>171.32</v>
      </c>
      <c r="R61" s="2">
        <v>171.32</v>
      </c>
      <c r="S61">
        <v>6</v>
      </c>
      <c r="T61" s="3">
        <v>0.375</v>
      </c>
      <c r="U61" s="2">
        <v>385.47</v>
      </c>
      <c r="V61" s="3">
        <v>0</v>
      </c>
      <c r="W61" s="2">
        <v>0</v>
      </c>
      <c r="X61" s="2">
        <v>385.47</v>
      </c>
      <c r="Y61" s="2">
        <f>SUM(X61/6)</f>
        <v>64.245000000000005</v>
      </c>
      <c r="AC61" s="4">
        <v>19703090</v>
      </c>
      <c r="AD61" t="s">
        <v>49</v>
      </c>
    </row>
    <row r="62" spans="1:30" x14ac:dyDescent="0.25">
      <c r="A62">
        <v>2030784686</v>
      </c>
      <c r="B62" t="s">
        <v>221</v>
      </c>
      <c r="E62" t="s">
        <v>76</v>
      </c>
      <c r="G62" t="s">
        <v>265</v>
      </c>
      <c r="H62" t="s">
        <v>135</v>
      </c>
      <c r="I62" t="s">
        <v>45</v>
      </c>
      <c r="J62" t="s">
        <v>53</v>
      </c>
      <c r="K62" s="1">
        <v>45901</v>
      </c>
      <c r="M62" t="s">
        <v>47</v>
      </c>
      <c r="P62" t="s">
        <v>54</v>
      </c>
      <c r="Q62" s="2">
        <v>161.18</v>
      </c>
      <c r="R62" s="2">
        <v>161.18</v>
      </c>
      <c r="S62">
        <v>6</v>
      </c>
      <c r="T62" s="3">
        <v>0.7</v>
      </c>
      <c r="U62" s="2">
        <v>676.96</v>
      </c>
      <c r="V62" s="3">
        <v>0</v>
      </c>
      <c r="W62" s="2">
        <v>0</v>
      </c>
      <c r="X62" s="2">
        <v>676.96</v>
      </c>
      <c r="Y62" s="2">
        <f>SUM(X62/6)</f>
        <v>112.82666666666667</v>
      </c>
      <c r="AC62" s="4">
        <v>19658610</v>
      </c>
      <c r="AD62" t="s">
        <v>49</v>
      </c>
    </row>
    <row r="63" spans="1:30" x14ac:dyDescent="0.25">
      <c r="A63">
        <v>2030741156</v>
      </c>
      <c r="B63" t="s">
        <v>199</v>
      </c>
      <c r="E63" t="s">
        <v>200</v>
      </c>
      <c r="G63" t="s">
        <v>266</v>
      </c>
      <c r="H63" t="s">
        <v>201</v>
      </c>
      <c r="I63" t="s">
        <v>45</v>
      </c>
      <c r="J63" t="s">
        <v>143</v>
      </c>
      <c r="K63" s="1">
        <v>45898</v>
      </c>
      <c r="M63" t="s">
        <v>47</v>
      </c>
      <c r="P63" t="s">
        <v>54</v>
      </c>
      <c r="Q63" s="2">
        <v>27.81</v>
      </c>
      <c r="R63" s="2">
        <v>27.81</v>
      </c>
      <c r="S63">
        <v>6</v>
      </c>
      <c r="T63" s="3">
        <v>0.9</v>
      </c>
      <c r="U63" s="2">
        <v>150.16999999999999</v>
      </c>
      <c r="V63" s="3">
        <v>0</v>
      </c>
      <c r="W63" s="2">
        <v>0</v>
      </c>
      <c r="X63" s="2">
        <v>150.16999999999999</v>
      </c>
      <c r="Y63" s="2">
        <f>SUM(X63/6)</f>
        <v>25.028333333333332</v>
      </c>
      <c r="AC63" s="4">
        <v>19709460</v>
      </c>
      <c r="AD63" t="s">
        <v>49</v>
      </c>
    </row>
    <row r="64" spans="1:30" x14ac:dyDescent="0.25">
      <c r="K64" s="1"/>
      <c r="Q64" s="2"/>
      <c r="R64" s="2"/>
      <c r="T64" s="3"/>
      <c r="U64" s="2"/>
      <c r="V64" s="3"/>
      <c r="W64" s="2"/>
      <c r="X64" s="2"/>
      <c r="AC64" s="4"/>
    </row>
    <row r="65" spans="11:29" x14ac:dyDescent="0.25">
      <c r="K65" s="1"/>
      <c r="Q65" s="2"/>
      <c r="R65" s="2"/>
      <c r="T65" s="3"/>
      <c r="U65" s="2"/>
      <c r="V65" s="3"/>
      <c r="W65" s="2"/>
      <c r="X65" s="2"/>
      <c r="AC65" s="4"/>
    </row>
    <row r="66" spans="11:29" x14ac:dyDescent="0.25">
      <c r="K66" s="1"/>
      <c r="Q66" s="2"/>
      <c r="R66" s="2"/>
      <c r="T66" s="3"/>
      <c r="U66" s="2"/>
      <c r="V66" s="3"/>
      <c r="W66" s="2"/>
      <c r="X66" s="2"/>
      <c r="AC66" s="4"/>
    </row>
    <row r="67" spans="11:29" x14ac:dyDescent="0.25">
      <c r="K67" s="1"/>
      <c r="X67" s="2"/>
      <c r="Y67" s="2"/>
      <c r="AB67" s="2"/>
    </row>
    <row r="68" spans="11:29" x14ac:dyDescent="0.25">
      <c r="K68" s="1"/>
      <c r="X68" s="2"/>
      <c r="Y68" s="2"/>
      <c r="AB68" s="2"/>
    </row>
    <row r="69" spans="11:29" x14ac:dyDescent="0.25">
      <c r="K69" s="1"/>
      <c r="Q69" s="2"/>
      <c r="R69" s="2"/>
      <c r="T69" s="3"/>
      <c r="U69" s="2"/>
      <c r="V69" s="3"/>
      <c r="W69" s="2"/>
      <c r="X69" s="2"/>
      <c r="AC69" s="4"/>
    </row>
    <row r="70" spans="11:29" x14ac:dyDescent="0.25">
      <c r="K70" s="1"/>
      <c r="Q70" s="2"/>
      <c r="R70" s="2"/>
      <c r="T70" s="3"/>
      <c r="U70" s="2"/>
      <c r="V70" s="3"/>
      <c r="W70" s="2"/>
      <c r="X70" s="2"/>
      <c r="AC70" s="4"/>
    </row>
    <row r="71" spans="11:29" x14ac:dyDescent="0.25">
      <c r="K71" s="1"/>
      <c r="Q71" s="2"/>
      <c r="R71" s="2"/>
      <c r="T71" s="3"/>
      <c r="U71" s="2"/>
      <c r="V71" s="3"/>
      <c r="W71" s="2"/>
      <c r="X71" s="2"/>
      <c r="AC71" s="4"/>
    </row>
    <row r="72" spans="11:29" x14ac:dyDescent="0.25">
      <c r="K72" s="1"/>
      <c r="X72" s="2"/>
      <c r="Y72" s="2"/>
      <c r="AB72" s="2"/>
    </row>
    <row r="73" spans="11:29" x14ac:dyDescent="0.25">
      <c r="K73" s="1"/>
      <c r="X73" s="2"/>
      <c r="Y73" s="2"/>
      <c r="AB73" s="2"/>
    </row>
    <row r="74" spans="11:29" x14ac:dyDescent="0.25">
      <c r="K74" s="1"/>
      <c r="X74" s="2"/>
      <c r="Y74" s="2"/>
      <c r="AB74" s="2"/>
    </row>
    <row r="75" spans="11:29" x14ac:dyDescent="0.25">
      <c r="K75" s="1"/>
      <c r="X75" s="2"/>
      <c r="Y75" s="2"/>
      <c r="AB75" s="2"/>
    </row>
    <row r="76" spans="11:29" x14ac:dyDescent="0.25">
      <c r="K76" s="1"/>
      <c r="X76" s="2"/>
      <c r="Y76" s="2"/>
      <c r="AB76" s="2"/>
    </row>
    <row r="77" spans="11:29" x14ac:dyDescent="0.25">
      <c r="K77" s="1"/>
      <c r="Q77" s="2"/>
      <c r="R77" s="2"/>
      <c r="T77" s="3"/>
      <c r="U77" s="2"/>
      <c r="V77" s="3"/>
      <c r="W77" s="2"/>
      <c r="X77" s="2"/>
      <c r="AC77" s="4"/>
    </row>
    <row r="78" spans="11:29" x14ac:dyDescent="0.25">
      <c r="K78" s="1"/>
      <c r="Q78" s="2"/>
      <c r="R78" s="2"/>
      <c r="T78" s="3"/>
      <c r="U78" s="2"/>
      <c r="V78" s="3"/>
      <c r="W78" s="2"/>
      <c r="X78" s="2"/>
      <c r="AC78" s="4"/>
    </row>
    <row r="79" spans="11:29" x14ac:dyDescent="0.25">
      <c r="K79" s="1"/>
      <c r="Q79" s="2"/>
      <c r="R79" s="2"/>
      <c r="T79" s="3"/>
      <c r="U79" s="2"/>
      <c r="V79" s="3"/>
      <c r="W79" s="2"/>
      <c r="X79" s="2"/>
      <c r="AC79" s="4"/>
    </row>
    <row r="80" spans="11:29" x14ac:dyDescent="0.25">
      <c r="K80" s="1"/>
      <c r="Q80" s="2"/>
      <c r="R80" s="2"/>
      <c r="T80" s="3"/>
      <c r="U80" s="2"/>
      <c r="V80" s="3"/>
      <c r="W80" s="2"/>
      <c r="X80" s="2"/>
      <c r="AC80" s="4"/>
    </row>
    <row r="81" spans="11:29" x14ac:dyDescent="0.25">
      <c r="K81" s="1"/>
      <c r="Q81" s="2"/>
      <c r="R81" s="2"/>
      <c r="T81" s="3"/>
      <c r="U81" s="2"/>
      <c r="V81" s="3"/>
      <c r="W81" s="2"/>
      <c r="X81" s="2"/>
      <c r="AC81" s="4"/>
    </row>
    <row r="82" spans="11:29" x14ac:dyDescent="0.25">
      <c r="K82" s="1"/>
      <c r="Q82" s="2"/>
      <c r="R82" s="2"/>
      <c r="T82" s="3"/>
      <c r="U82" s="2"/>
      <c r="V82" s="3"/>
      <c r="W82" s="2"/>
      <c r="X82" s="2"/>
      <c r="AC82" s="4"/>
    </row>
    <row r="83" spans="11:29" x14ac:dyDescent="0.25">
      <c r="K83" s="1"/>
      <c r="Q83" s="2"/>
      <c r="R83" s="2"/>
      <c r="T83" s="3"/>
      <c r="U83" s="2"/>
      <c r="V83" s="3"/>
      <c r="W83" s="2"/>
      <c r="X83" s="2"/>
      <c r="AC83" s="4"/>
    </row>
    <row r="84" spans="11:29" x14ac:dyDescent="0.25">
      <c r="K84" s="1"/>
      <c r="X84" s="2"/>
      <c r="Y84" s="2"/>
      <c r="AB84" s="2"/>
    </row>
    <row r="85" spans="11:29" x14ac:dyDescent="0.25">
      <c r="K85" s="1"/>
      <c r="X85" s="2"/>
      <c r="Y85" s="2"/>
      <c r="AB85" s="2"/>
    </row>
    <row r="86" spans="11:29" x14ac:dyDescent="0.25">
      <c r="K86" s="1"/>
      <c r="Q86" s="2"/>
      <c r="R86" s="2"/>
      <c r="T86" s="3"/>
      <c r="U86" s="2"/>
      <c r="V86" s="3"/>
      <c r="W86" s="2"/>
      <c r="X86" s="2"/>
      <c r="AC86" s="4"/>
    </row>
    <row r="87" spans="11:29" x14ac:dyDescent="0.25">
      <c r="K87" s="1"/>
      <c r="Q87" s="2"/>
      <c r="R87" s="2"/>
      <c r="T87" s="3"/>
      <c r="U87" s="2"/>
      <c r="V87" s="3"/>
      <c r="W87" s="2"/>
      <c r="X87" s="2"/>
      <c r="AC87" s="4"/>
    </row>
    <row r="88" spans="11:29" x14ac:dyDescent="0.25">
      <c r="K88" s="1"/>
      <c r="Q88" s="2"/>
      <c r="R88" s="2"/>
      <c r="T88" s="3"/>
      <c r="U88" s="2"/>
      <c r="V88" s="3"/>
      <c r="W88" s="2"/>
      <c r="X88" s="2"/>
      <c r="AC88" s="4"/>
    </row>
    <row r="89" spans="11:29" x14ac:dyDescent="0.25">
      <c r="K89" s="1"/>
      <c r="Q89" s="2"/>
      <c r="R89" s="2"/>
      <c r="T89" s="3"/>
      <c r="U89" s="2"/>
      <c r="V89" s="3"/>
      <c r="W89" s="2"/>
      <c r="X89" s="2"/>
      <c r="AC89" s="4"/>
    </row>
    <row r="90" spans="11:29" x14ac:dyDescent="0.25">
      <c r="K90" s="1"/>
      <c r="Q90" s="2"/>
      <c r="R90" s="2"/>
      <c r="T90" s="3"/>
      <c r="U90" s="2"/>
      <c r="V90" s="3"/>
      <c r="W90" s="2"/>
      <c r="X90" s="2"/>
      <c r="AC90" s="4"/>
    </row>
    <row r="91" spans="11:29" x14ac:dyDescent="0.25">
      <c r="K91" s="1"/>
      <c r="Q91" s="2"/>
      <c r="R91" s="2"/>
      <c r="T91" s="3"/>
      <c r="U91" s="2"/>
      <c r="V91" s="3"/>
      <c r="W91" s="2"/>
      <c r="X91" s="2"/>
      <c r="AC91" s="4"/>
    </row>
    <row r="92" spans="11:29" x14ac:dyDescent="0.25">
      <c r="K92" s="1"/>
      <c r="Q92" s="2"/>
      <c r="R92" s="2"/>
      <c r="T92" s="3"/>
      <c r="U92" s="2"/>
      <c r="V92" s="3"/>
      <c r="W92" s="2"/>
      <c r="X92" s="2"/>
      <c r="AC92" s="4"/>
    </row>
    <row r="93" spans="11:29" x14ac:dyDescent="0.25">
      <c r="K93" s="1"/>
      <c r="Q93" s="2"/>
      <c r="R93" s="2"/>
      <c r="T93" s="3"/>
      <c r="U93" s="2"/>
      <c r="V93" s="3"/>
      <c r="W93" s="2"/>
      <c r="X93" s="2"/>
      <c r="AC93" s="4"/>
    </row>
    <row r="94" spans="11:29" x14ac:dyDescent="0.25">
      <c r="K94" s="1"/>
      <c r="Q94" s="2"/>
      <c r="R94" s="2"/>
      <c r="T94" s="3"/>
      <c r="U94" s="2"/>
      <c r="V94" s="3"/>
      <c r="W94" s="2"/>
      <c r="X94" s="2"/>
      <c r="AC94" s="4"/>
    </row>
    <row r="95" spans="11:29" x14ac:dyDescent="0.25">
      <c r="K95" s="1"/>
      <c r="Q95" s="2"/>
      <c r="R95" s="2"/>
      <c r="T95" s="3"/>
      <c r="U95" s="2"/>
      <c r="V95" s="3"/>
      <c r="W95" s="2"/>
      <c r="X95" s="2"/>
      <c r="AC95" s="4"/>
    </row>
    <row r="96" spans="11:29" x14ac:dyDescent="0.25">
      <c r="K96" s="1"/>
      <c r="Q96" s="2"/>
      <c r="R96" s="2"/>
      <c r="T96" s="3"/>
      <c r="U96" s="2"/>
      <c r="V96" s="3"/>
      <c r="W96" s="2"/>
      <c r="X96" s="2"/>
      <c r="AC96" s="4"/>
    </row>
    <row r="97" spans="11:29" x14ac:dyDescent="0.25">
      <c r="K97" s="1"/>
      <c r="Q97" s="2"/>
      <c r="R97" s="2"/>
      <c r="T97" s="3"/>
      <c r="U97" s="2"/>
      <c r="V97" s="3"/>
      <c r="W97" s="2"/>
      <c r="X97" s="2"/>
      <c r="AC97" s="4"/>
    </row>
    <row r="98" spans="11:29" x14ac:dyDescent="0.25">
      <c r="K98" s="1"/>
      <c r="Q98" s="2"/>
      <c r="R98" s="2"/>
      <c r="T98" s="3"/>
      <c r="U98" s="2"/>
      <c r="V98" s="3"/>
      <c r="W98" s="2"/>
      <c r="X98" s="2"/>
      <c r="AC98" s="4"/>
    </row>
    <row r="99" spans="11:29" x14ac:dyDescent="0.25">
      <c r="K99" s="1"/>
      <c r="Q99" s="2"/>
      <c r="R99" s="2"/>
      <c r="T99" s="3"/>
      <c r="U99" s="2"/>
      <c r="V99" s="3"/>
      <c r="W99" s="2"/>
      <c r="X99" s="2"/>
      <c r="AC99" s="4"/>
    </row>
    <row r="100" spans="11:29" x14ac:dyDescent="0.25">
      <c r="K100" s="1"/>
      <c r="Q100" s="2"/>
      <c r="R100" s="2"/>
      <c r="T100" s="3"/>
      <c r="U100" s="2"/>
      <c r="V100" s="3"/>
      <c r="W100" s="2"/>
      <c r="X100" s="2"/>
      <c r="AC100" s="4"/>
    </row>
    <row r="101" spans="11:29" x14ac:dyDescent="0.25">
      <c r="K101" s="1"/>
      <c r="Q101" s="2"/>
      <c r="R101" s="2"/>
      <c r="T101" s="3"/>
      <c r="U101" s="2"/>
      <c r="V101" s="3"/>
      <c r="W101" s="2"/>
      <c r="X101" s="2"/>
      <c r="AC101" s="4"/>
    </row>
    <row r="102" spans="11:29" x14ac:dyDescent="0.25">
      <c r="K102" s="1"/>
      <c r="Q102" s="2"/>
      <c r="R102" s="2"/>
      <c r="T102" s="3"/>
      <c r="U102" s="2"/>
      <c r="V102" s="3"/>
      <c r="W102" s="2"/>
      <c r="X102" s="2"/>
      <c r="AC102" s="4"/>
    </row>
    <row r="103" spans="11:29" x14ac:dyDescent="0.25">
      <c r="K103" s="1"/>
      <c r="Q103" s="2"/>
      <c r="R103" s="2"/>
      <c r="T103" s="3"/>
      <c r="U103" s="2"/>
      <c r="V103" s="3"/>
      <c r="W103" s="2"/>
      <c r="X103" s="2"/>
      <c r="AC103" s="4"/>
    </row>
    <row r="104" spans="11:29" x14ac:dyDescent="0.25">
      <c r="K104" s="1"/>
      <c r="Q104" s="2"/>
      <c r="R104" s="2"/>
      <c r="T104" s="3"/>
      <c r="U104" s="2"/>
      <c r="V104" s="3"/>
      <c r="W104" s="2"/>
      <c r="X104" s="2"/>
      <c r="AC104" s="4"/>
    </row>
    <row r="105" spans="11:29" x14ac:dyDescent="0.25">
      <c r="K105" s="1"/>
      <c r="Q105" s="2"/>
      <c r="R105" s="2"/>
      <c r="T105" s="3"/>
      <c r="U105" s="2"/>
      <c r="V105" s="3"/>
      <c r="W105" s="2"/>
      <c r="X105" s="2"/>
      <c r="AC105" s="4"/>
    </row>
    <row r="106" spans="11:29" x14ac:dyDescent="0.25">
      <c r="K106" s="1"/>
      <c r="Q106" s="2"/>
      <c r="R106" s="2"/>
      <c r="T106" s="3"/>
      <c r="U106" s="2"/>
      <c r="V106" s="3"/>
      <c r="W106" s="2"/>
      <c r="X106" s="2"/>
      <c r="AC106" s="4"/>
    </row>
    <row r="107" spans="11:29" x14ac:dyDescent="0.25">
      <c r="K107" s="1"/>
      <c r="Q107" s="2"/>
      <c r="R107" s="2"/>
      <c r="T107" s="3"/>
      <c r="U107" s="2"/>
      <c r="V107" s="3"/>
      <c r="W107" s="2"/>
      <c r="X107" s="2"/>
      <c r="AC107" s="4"/>
    </row>
    <row r="108" spans="11:29" x14ac:dyDescent="0.25">
      <c r="K108" s="1"/>
      <c r="Q108" s="2"/>
      <c r="R108" s="2"/>
      <c r="T108" s="3"/>
      <c r="U108" s="2"/>
      <c r="V108" s="3"/>
      <c r="W108" s="2"/>
      <c r="X108" s="2"/>
      <c r="AC108" s="4"/>
    </row>
    <row r="109" spans="11:29" x14ac:dyDescent="0.25">
      <c r="K109" s="1"/>
      <c r="Q109" s="2"/>
      <c r="R109" s="2"/>
      <c r="T109" s="3"/>
      <c r="U109" s="2"/>
      <c r="V109" s="3"/>
      <c r="W109" s="2"/>
      <c r="X109" s="2"/>
      <c r="AC109" s="4"/>
    </row>
    <row r="110" spans="11:29" x14ac:dyDescent="0.25">
      <c r="K110" s="1"/>
      <c r="Q110" s="2"/>
      <c r="R110" s="2"/>
      <c r="T110" s="3"/>
      <c r="U110" s="2"/>
      <c r="V110" s="3"/>
      <c r="W110" s="2"/>
      <c r="X110" s="2"/>
      <c r="AC110" s="4"/>
    </row>
    <row r="111" spans="11:29" x14ac:dyDescent="0.25">
      <c r="K111" s="1"/>
      <c r="Q111" s="2"/>
      <c r="R111" s="2"/>
      <c r="T111" s="3"/>
      <c r="U111" s="2"/>
      <c r="V111" s="3"/>
      <c r="W111" s="2"/>
      <c r="X111" s="2"/>
      <c r="AC111" s="4"/>
    </row>
    <row r="112" spans="11:29" x14ac:dyDescent="0.25">
      <c r="K112" s="1"/>
      <c r="Q112" s="2"/>
      <c r="R112" s="2"/>
      <c r="T112" s="3"/>
      <c r="U112" s="2"/>
      <c r="V112" s="3"/>
      <c r="W112" s="2"/>
      <c r="X112" s="2"/>
      <c r="AC112" s="4"/>
    </row>
    <row r="113" spans="11:29" x14ac:dyDescent="0.25">
      <c r="K113" s="1"/>
      <c r="Q113" s="2"/>
      <c r="R113" s="2"/>
      <c r="T113" s="3"/>
      <c r="U113" s="2"/>
      <c r="V113" s="3"/>
      <c r="W113" s="2"/>
      <c r="X113" s="2"/>
      <c r="AC113" s="4"/>
    </row>
    <row r="114" spans="11:29" x14ac:dyDescent="0.25">
      <c r="K114" s="1"/>
      <c r="Q114" s="2"/>
      <c r="R114" s="2"/>
      <c r="T114" s="3"/>
      <c r="U114" s="2"/>
      <c r="V114" s="3"/>
      <c r="W114" s="2"/>
      <c r="X114" s="2"/>
      <c r="AC114" s="4"/>
    </row>
    <row r="115" spans="11:29" x14ac:dyDescent="0.25">
      <c r="K115" s="1"/>
      <c r="Q115" s="2"/>
      <c r="R115" s="2"/>
      <c r="T115" s="3"/>
      <c r="U115" s="2"/>
      <c r="V115" s="3"/>
      <c r="W115" s="2"/>
      <c r="X115" s="2"/>
      <c r="AC115" s="4"/>
    </row>
    <row r="116" spans="11:29" x14ac:dyDescent="0.25">
      <c r="K116" s="1"/>
      <c r="Q116" s="2"/>
      <c r="R116" s="2"/>
      <c r="T116" s="3"/>
      <c r="U116" s="2"/>
      <c r="V116" s="3"/>
      <c r="W116" s="2"/>
      <c r="X116" s="2"/>
      <c r="AC116" s="4"/>
    </row>
    <row r="117" spans="11:29" x14ac:dyDescent="0.25">
      <c r="K117" s="1"/>
      <c r="Q117" s="2"/>
      <c r="R117" s="2"/>
      <c r="T117" s="3"/>
      <c r="U117" s="2"/>
      <c r="V117" s="3"/>
      <c r="W117" s="2"/>
      <c r="X117" s="2"/>
      <c r="AC117" s="4"/>
    </row>
    <row r="118" spans="11:29" x14ac:dyDescent="0.25">
      <c r="K118" s="1"/>
      <c r="Q118" s="2"/>
      <c r="R118" s="2"/>
      <c r="T118" s="3"/>
      <c r="U118" s="2"/>
      <c r="V118" s="3"/>
      <c r="W118" s="2"/>
      <c r="X118" s="2"/>
      <c r="AC118" s="4"/>
    </row>
    <row r="119" spans="11:29" x14ac:dyDescent="0.25">
      <c r="K119" s="1"/>
      <c r="Q119" s="2"/>
      <c r="R119" s="2"/>
      <c r="T119" s="3"/>
      <c r="U119" s="2"/>
      <c r="V119" s="3"/>
      <c r="W119" s="2"/>
      <c r="X119" s="2"/>
      <c r="AC119" s="4"/>
    </row>
    <row r="120" spans="11:29" x14ac:dyDescent="0.25">
      <c r="K120" s="1"/>
      <c r="Q120" s="2"/>
      <c r="R120" s="2"/>
      <c r="T120" s="3"/>
      <c r="U120" s="2"/>
      <c r="V120" s="3"/>
      <c r="W120" s="2"/>
      <c r="X120" s="2"/>
      <c r="AC120" s="4"/>
    </row>
    <row r="121" spans="11:29" x14ac:dyDescent="0.25">
      <c r="K121" s="1"/>
      <c r="X121" s="2"/>
      <c r="Y121" s="2"/>
      <c r="AB121" s="2"/>
    </row>
    <row r="122" spans="11:29" x14ac:dyDescent="0.25">
      <c r="K122" s="1"/>
      <c r="X122" s="2"/>
      <c r="Y122" s="2"/>
      <c r="AB122" s="2"/>
    </row>
    <row r="123" spans="11:29" x14ac:dyDescent="0.25">
      <c r="K123" s="1"/>
      <c r="Q123" s="2"/>
      <c r="R123" s="2"/>
      <c r="T123" s="3"/>
      <c r="U123" s="2"/>
      <c r="V123" s="3"/>
      <c r="W123" s="2"/>
      <c r="X123" s="2"/>
      <c r="AC123" s="4"/>
    </row>
    <row r="124" spans="11:29" x14ac:dyDescent="0.25">
      <c r="K124" s="1"/>
      <c r="Q124" s="2"/>
      <c r="R124" s="2"/>
      <c r="T124" s="3"/>
      <c r="U124" s="2"/>
      <c r="V124" s="3"/>
      <c r="W124" s="2"/>
      <c r="X124" s="2"/>
      <c r="AC124" s="4"/>
    </row>
    <row r="125" spans="11:29" x14ac:dyDescent="0.25">
      <c r="K125" s="1"/>
      <c r="Q125" s="2"/>
      <c r="R125" s="2"/>
      <c r="T125" s="3"/>
      <c r="U125" s="2"/>
      <c r="V125" s="3"/>
      <c r="W125" s="2"/>
      <c r="X125" s="2"/>
      <c r="AC125" s="4"/>
    </row>
    <row r="126" spans="11:29" x14ac:dyDescent="0.25">
      <c r="K126" s="1"/>
      <c r="Q126" s="2"/>
      <c r="R126" s="2"/>
      <c r="T126" s="3"/>
      <c r="U126" s="2"/>
      <c r="V126" s="3"/>
      <c r="W126" s="2"/>
      <c r="X126" s="2"/>
      <c r="AC126" s="4"/>
    </row>
    <row r="127" spans="11:29" x14ac:dyDescent="0.25">
      <c r="K127" s="1"/>
      <c r="Q127" s="2"/>
      <c r="R127" s="2"/>
      <c r="T127" s="3"/>
      <c r="U127" s="2"/>
      <c r="V127" s="3"/>
      <c r="W127" s="2"/>
      <c r="X127" s="2"/>
      <c r="AC127" s="4"/>
    </row>
    <row r="128" spans="11:29" x14ac:dyDescent="0.25">
      <c r="K128" s="1"/>
      <c r="Q128" s="2"/>
      <c r="R128" s="2"/>
      <c r="T128" s="3"/>
      <c r="U128" s="2"/>
      <c r="V128" s="3"/>
      <c r="W128" s="2"/>
      <c r="X128" s="2"/>
      <c r="AC128" s="4"/>
    </row>
    <row r="129" spans="11:29" x14ac:dyDescent="0.25">
      <c r="K129" s="1"/>
      <c r="Q129" s="2"/>
      <c r="R129" s="2"/>
      <c r="T129" s="3"/>
      <c r="U129" s="2"/>
      <c r="V129" s="3"/>
      <c r="W129" s="2"/>
      <c r="X129" s="2"/>
      <c r="AC129" s="4"/>
    </row>
    <row r="130" spans="11:29" x14ac:dyDescent="0.25">
      <c r="K130" s="1"/>
      <c r="Q130" s="2"/>
      <c r="R130" s="2"/>
      <c r="T130" s="3"/>
      <c r="U130" s="2"/>
      <c r="V130" s="3"/>
      <c r="W130" s="2"/>
      <c r="X130" s="2"/>
      <c r="AC130" s="4"/>
    </row>
    <row r="131" spans="11:29" x14ac:dyDescent="0.25">
      <c r="K131" s="1"/>
      <c r="Q131" s="2"/>
      <c r="R131" s="2"/>
      <c r="T131" s="3"/>
      <c r="U131" s="2"/>
      <c r="V131" s="3"/>
      <c r="W131" s="2"/>
      <c r="X131" s="2"/>
      <c r="AC131" s="4"/>
    </row>
    <row r="132" spans="11:29" x14ac:dyDescent="0.25">
      <c r="K132" s="1"/>
      <c r="Q132" s="2"/>
      <c r="R132" s="2"/>
      <c r="T132" s="3"/>
      <c r="U132" s="2"/>
      <c r="V132" s="3"/>
      <c r="W132" s="2"/>
      <c r="X132" s="2"/>
      <c r="AC132" s="4"/>
    </row>
    <row r="133" spans="11:29" x14ac:dyDescent="0.25">
      <c r="K133" s="1"/>
      <c r="Q133" s="2"/>
      <c r="R133" s="2"/>
      <c r="T133" s="3"/>
      <c r="U133" s="2"/>
      <c r="V133" s="3"/>
      <c r="W133" s="2"/>
      <c r="X133" s="2"/>
      <c r="AC133" s="4"/>
    </row>
    <row r="134" spans="11:29" x14ac:dyDescent="0.25">
      <c r="K134" s="1"/>
      <c r="Q134" s="2"/>
      <c r="R134" s="2"/>
      <c r="T134" s="3"/>
      <c r="U134" s="2"/>
      <c r="V134" s="3"/>
      <c r="W134" s="2"/>
      <c r="X134" s="2"/>
      <c r="AC134" s="4"/>
    </row>
    <row r="135" spans="11:29" x14ac:dyDescent="0.25">
      <c r="K135" s="1"/>
      <c r="Q135" s="2"/>
      <c r="R135" s="2"/>
      <c r="T135" s="3"/>
      <c r="U135" s="2"/>
      <c r="V135" s="3"/>
      <c r="W135" s="2"/>
      <c r="X135" s="2"/>
      <c r="AC135" s="4"/>
    </row>
    <row r="136" spans="11:29" x14ac:dyDescent="0.25">
      <c r="K136" s="1"/>
      <c r="Q136" s="2"/>
      <c r="R136" s="2"/>
      <c r="T136" s="3"/>
      <c r="U136" s="2"/>
      <c r="V136" s="3"/>
      <c r="W136" s="2"/>
      <c r="X136" s="2"/>
      <c r="AC136" s="4"/>
    </row>
    <row r="137" spans="11:29" x14ac:dyDescent="0.25">
      <c r="K137" s="1"/>
      <c r="Q137" s="2"/>
      <c r="R137" s="2"/>
      <c r="T137" s="3"/>
      <c r="U137" s="2"/>
      <c r="V137" s="3"/>
      <c r="W137" s="2"/>
      <c r="X137" s="2"/>
      <c r="AC137" s="4"/>
    </row>
    <row r="138" spans="11:29" x14ac:dyDescent="0.25">
      <c r="K138" s="1"/>
      <c r="Q138" s="2"/>
      <c r="R138" s="2"/>
      <c r="T138" s="3"/>
      <c r="U138" s="2"/>
      <c r="V138" s="3"/>
      <c r="W138" s="2"/>
      <c r="X138" s="2"/>
      <c r="AC138" s="4"/>
    </row>
    <row r="139" spans="11:29" x14ac:dyDescent="0.25">
      <c r="K139" s="1"/>
      <c r="Q139" s="2"/>
      <c r="R139" s="2"/>
      <c r="T139" s="3"/>
      <c r="U139" s="2"/>
      <c r="V139" s="3"/>
      <c r="W139" s="2"/>
      <c r="X139" s="2"/>
      <c r="AC139" s="4"/>
    </row>
    <row r="140" spans="11:29" x14ac:dyDescent="0.25">
      <c r="K140" s="1"/>
      <c r="Q140" s="2"/>
      <c r="R140" s="2"/>
      <c r="T140" s="3"/>
      <c r="U140" s="2"/>
      <c r="V140" s="3"/>
      <c r="W140" s="2"/>
      <c r="X140" s="2"/>
      <c r="AC140" s="4"/>
    </row>
    <row r="141" spans="11:29" x14ac:dyDescent="0.25">
      <c r="K141" s="1"/>
      <c r="Q141" s="2"/>
      <c r="R141" s="2"/>
      <c r="T141" s="3"/>
      <c r="U141" s="2"/>
      <c r="V141" s="3"/>
      <c r="W141" s="2"/>
      <c r="X141" s="2"/>
      <c r="AC141" s="4"/>
    </row>
    <row r="142" spans="11:29" x14ac:dyDescent="0.25">
      <c r="K142" s="1"/>
      <c r="Q142" s="2"/>
      <c r="R142" s="2"/>
      <c r="T142" s="3"/>
      <c r="U142" s="2"/>
      <c r="V142" s="3"/>
      <c r="W142" s="2"/>
      <c r="X142" s="2"/>
      <c r="AC142" s="4"/>
    </row>
    <row r="143" spans="11:29" x14ac:dyDescent="0.25">
      <c r="K143" s="1"/>
      <c r="Q143" s="2"/>
      <c r="R143" s="2"/>
      <c r="T143" s="3"/>
      <c r="U143" s="2"/>
      <c r="V143" s="3"/>
      <c r="W143" s="2"/>
      <c r="X143" s="2"/>
      <c r="AC143" s="4"/>
    </row>
    <row r="144" spans="11:29" x14ac:dyDescent="0.25">
      <c r="K144" s="1"/>
      <c r="Q144" s="2"/>
      <c r="R144" s="2"/>
      <c r="T144" s="3"/>
      <c r="U144" s="2"/>
      <c r="V144" s="3"/>
      <c r="W144" s="2"/>
      <c r="X144" s="2"/>
      <c r="AC144" s="4"/>
    </row>
    <row r="145" spans="11:29" x14ac:dyDescent="0.25">
      <c r="K145" s="1"/>
      <c r="Q145" s="2"/>
      <c r="R145" s="2"/>
      <c r="T145" s="3"/>
      <c r="U145" s="2"/>
      <c r="V145" s="3"/>
      <c r="W145" s="2"/>
      <c r="X145" s="2"/>
      <c r="AC145" s="4"/>
    </row>
    <row r="146" spans="11:29" x14ac:dyDescent="0.25">
      <c r="K146" s="1"/>
      <c r="Q146" s="2"/>
      <c r="R146" s="2"/>
      <c r="T146" s="3"/>
      <c r="U146" s="2"/>
      <c r="V146" s="3"/>
      <c r="W146" s="2"/>
      <c r="X146" s="2"/>
      <c r="AC146" s="4"/>
    </row>
    <row r="147" spans="11:29" x14ac:dyDescent="0.25">
      <c r="K147" s="1"/>
      <c r="Q147" s="2"/>
      <c r="R147" s="2"/>
      <c r="T147" s="3"/>
      <c r="U147" s="2"/>
      <c r="V147" s="3"/>
      <c r="W147" s="2"/>
      <c r="X147" s="2"/>
      <c r="AC147" s="4"/>
    </row>
    <row r="148" spans="11:29" x14ac:dyDescent="0.25">
      <c r="K148" s="1"/>
      <c r="Q148" s="2"/>
      <c r="R148" s="2"/>
      <c r="T148" s="3"/>
      <c r="U148" s="2"/>
      <c r="V148" s="3"/>
      <c r="W148" s="2"/>
      <c r="X148" s="2"/>
      <c r="AC148" s="4"/>
    </row>
    <row r="149" spans="11:29" x14ac:dyDescent="0.25">
      <c r="K149" s="1"/>
      <c r="Q149" s="2"/>
      <c r="R149" s="2"/>
      <c r="T149" s="3"/>
      <c r="U149" s="2"/>
      <c r="V149" s="3"/>
      <c r="W149" s="2"/>
      <c r="X149" s="2"/>
      <c r="AC149" s="4"/>
    </row>
    <row r="150" spans="11:29" x14ac:dyDescent="0.25">
      <c r="K150" s="1"/>
      <c r="Q150" s="2"/>
      <c r="R150" s="2"/>
      <c r="T150" s="3"/>
      <c r="U150" s="2"/>
      <c r="V150" s="3"/>
      <c r="W150" s="2"/>
      <c r="X150" s="2"/>
      <c r="AC150" s="4"/>
    </row>
    <row r="151" spans="11:29" x14ac:dyDescent="0.25">
      <c r="K151" s="1"/>
      <c r="Q151" s="2"/>
      <c r="R151" s="2"/>
      <c r="T151" s="3"/>
      <c r="U151" s="2"/>
      <c r="V151" s="3"/>
      <c r="W151" s="2"/>
      <c r="X151" s="2"/>
      <c r="AC151" s="4"/>
    </row>
    <row r="152" spans="11:29" x14ac:dyDescent="0.25">
      <c r="K152" s="1"/>
      <c r="Q152" s="2"/>
      <c r="R152" s="2"/>
      <c r="T152" s="3"/>
      <c r="U152" s="2"/>
      <c r="V152" s="3"/>
      <c r="W152" s="2"/>
      <c r="X152" s="2"/>
      <c r="AC152" s="4"/>
    </row>
    <row r="153" spans="11:29" x14ac:dyDescent="0.25">
      <c r="K153" s="1"/>
      <c r="Q153" s="2"/>
      <c r="R153" s="2"/>
      <c r="T153" s="3"/>
      <c r="U153" s="2"/>
      <c r="V153" s="3"/>
      <c r="W153" s="2"/>
      <c r="X153" s="2"/>
      <c r="AC153" s="4"/>
    </row>
    <row r="154" spans="11:29" x14ac:dyDescent="0.25">
      <c r="K154" s="1"/>
      <c r="Q154" s="2"/>
      <c r="R154" s="2"/>
      <c r="T154" s="3"/>
      <c r="U154" s="2"/>
      <c r="V154" s="3"/>
      <c r="W154" s="2"/>
      <c r="X154" s="2"/>
      <c r="AC154" s="4"/>
    </row>
    <row r="155" spans="11:29" x14ac:dyDescent="0.25">
      <c r="K155" s="1"/>
      <c r="Q155" s="2"/>
      <c r="R155" s="2"/>
      <c r="T155" s="3"/>
      <c r="U155" s="2"/>
      <c r="V155" s="3"/>
      <c r="W155" s="2"/>
      <c r="X155" s="2"/>
      <c r="AC155" s="4"/>
    </row>
    <row r="156" spans="11:29" x14ac:dyDescent="0.25">
      <c r="K156" s="1"/>
      <c r="Q156" s="2"/>
      <c r="R156" s="2"/>
      <c r="T156" s="3"/>
      <c r="U156" s="2"/>
      <c r="V156" s="3"/>
      <c r="W156" s="2"/>
      <c r="X156" s="2"/>
      <c r="AC156" s="4"/>
    </row>
    <row r="157" spans="11:29" x14ac:dyDescent="0.25">
      <c r="K157" s="1"/>
      <c r="Q157" s="2"/>
      <c r="R157" s="2"/>
      <c r="T157" s="3"/>
      <c r="U157" s="2"/>
      <c r="V157" s="3"/>
      <c r="W157" s="2"/>
      <c r="X157" s="2"/>
      <c r="AC157" s="4"/>
    </row>
    <row r="158" spans="11:29" x14ac:dyDescent="0.25">
      <c r="K158" s="1"/>
      <c r="Q158" s="2"/>
      <c r="R158" s="2"/>
      <c r="T158" s="3"/>
      <c r="U158" s="2"/>
      <c r="V158" s="3"/>
      <c r="W158" s="2"/>
      <c r="X158" s="2"/>
      <c r="AC158" s="4"/>
    </row>
    <row r="159" spans="11:29" x14ac:dyDescent="0.25">
      <c r="K159" s="1"/>
      <c r="X159" s="2"/>
      <c r="Y159" s="2"/>
      <c r="AB159" s="2"/>
    </row>
    <row r="160" spans="11:29" x14ac:dyDescent="0.25">
      <c r="K160" s="1"/>
      <c r="Q160" s="2"/>
      <c r="R160" s="2"/>
      <c r="T160" s="3"/>
      <c r="U160" s="2"/>
      <c r="V160" s="3"/>
      <c r="W160" s="2"/>
      <c r="X160" s="2"/>
      <c r="AC160" s="4"/>
    </row>
    <row r="161" spans="11:29" x14ac:dyDescent="0.25">
      <c r="K161" s="1"/>
      <c r="Q161" s="2"/>
      <c r="R161" s="2"/>
      <c r="T161" s="3"/>
      <c r="U161" s="2"/>
      <c r="V161" s="3"/>
      <c r="W161" s="2"/>
      <c r="X161" s="2"/>
      <c r="AC161" s="4"/>
    </row>
    <row r="162" spans="11:29" x14ac:dyDescent="0.25">
      <c r="K162" s="1"/>
      <c r="Q162" s="2"/>
      <c r="R162" s="2"/>
      <c r="T162" s="3"/>
      <c r="U162" s="2"/>
      <c r="V162" s="3"/>
      <c r="W162" s="2"/>
      <c r="X162" s="2"/>
      <c r="AC162" s="4"/>
    </row>
    <row r="163" spans="11:29" x14ac:dyDescent="0.25">
      <c r="K163" s="1"/>
      <c r="Q163" s="2"/>
      <c r="R163" s="2"/>
      <c r="T163" s="3"/>
      <c r="U163" s="2"/>
      <c r="V163" s="3"/>
      <c r="W163" s="2"/>
      <c r="X163" s="2"/>
      <c r="AC163" s="4"/>
    </row>
    <row r="164" spans="11:29" x14ac:dyDescent="0.25">
      <c r="K164" s="1"/>
      <c r="Q164" s="2"/>
      <c r="R164" s="2"/>
      <c r="T164" s="3"/>
      <c r="U164" s="2"/>
      <c r="V164" s="3"/>
      <c r="W164" s="2"/>
      <c r="X164" s="2"/>
      <c r="AC164" s="4"/>
    </row>
    <row r="165" spans="11:29" x14ac:dyDescent="0.25">
      <c r="K165" s="1"/>
      <c r="Q165" s="2"/>
      <c r="R165" s="2"/>
      <c r="T165" s="3"/>
      <c r="U165" s="2"/>
      <c r="V165" s="3"/>
      <c r="W165" s="2"/>
      <c r="X165" s="2"/>
      <c r="AC165" s="4"/>
    </row>
    <row r="166" spans="11:29" x14ac:dyDescent="0.25">
      <c r="K166" s="1"/>
      <c r="Q166" s="2"/>
      <c r="R166" s="2"/>
      <c r="T166" s="3"/>
      <c r="U166" s="2"/>
      <c r="V166" s="3"/>
      <c r="W166" s="2"/>
      <c r="X166" s="2"/>
      <c r="AC166" s="4"/>
    </row>
    <row r="167" spans="11:29" x14ac:dyDescent="0.25">
      <c r="K167" s="1"/>
      <c r="Q167" s="2"/>
      <c r="R167" s="2"/>
      <c r="T167" s="3"/>
      <c r="U167" s="2"/>
      <c r="V167" s="3"/>
      <c r="W167" s="2"/>
      <c r="X167" s="2"/>
      <c r="AC167" s="4"/>
    </row>
    <row r="168" spans="11:29" x14ac:dyDescent="0.25">
      <c r="K168" s="1"/>
      <c r="Q168" s="2"/>
      <c r="R168" s="2"/>
      <c r="T168" s="3"/>
      <c r="U168" s="2"/>
      <c r="V168" s="3"/>
      <c r="W168" s="2"/>
      <c r="X168" s="2"/>
      <c r="AC168" s="4"/>
    </row>
    <row r="169" spans="11:29" x14ac:dyDescent="0.25">
      <c r="K169" s="1"/>
      <c r="Q169" s="2"/>
      <c r="R169" s="2"/>
      <c r="T169" s="3"/>
      <c r="U169" s="2"/>
      <c r="V169" s="3"/>
      <c r="W169" s="2"/>
      <c r="X169" s="2"/>
      <c r="AC169" s="4"/>
    </row>
    <row r="170" spans="11:29" x14ac:dyDescent="0.25">
      <c r="K170" s="1"/>
      <c r="Q170" s="2"/>
      <c r="R170" s="2"/>
      <c r="T170" s="3"/>
      <c r="U170" s="2"/>
      <c r="V170" s="3"/>
      <c r="W170" s="2"/>
      <c r="X170" s="2"/>
      <c r="AC170" s="4"/>
    </row>
    <row r="171" spans="11:29" x14ac:dyDescent="0.25">
      <c r="K171" s="1"/>
      <c r="Q171" s="2"/>
      <c r="R171" s="2"/>
      <c r="T171" s="3"/>
      <c r="U171" s="2"/>
      <c r="V171" s="3"/>
      <c r="W171" s="2"/>
      <c r="X171" s="2"/>
      <c r="AC171" s="4"/>
    </row>
    <row r="172" spans="11:29" x14ac:dyDescent="0.25">
      <c r="K172" s="1"/>
      <c r="Q172" s="2"/>
      <c r="R172" s="2"/>
      <c r="T172" s="3"/>
      <c r="U172" s="2"/>
      <c r="V172" s="3"/>
      <c r="W172" s="2"/>
      <c r="X172" s="2"/>
      <c r="AC172" s="4"/>
    </row>
    <row r="173" spans="11:29" x14ac:dyDescent="0.25">
      <c r="K173" s="1"/>
      <c r="Q173" s="2"/>
      <c r="R173" s="2"/>
      <c r="T173" s="3"/>
      <c r="U173" s="2"/>
      <c r="V173" s="3"/>
      <c r="W173" s="2"/>
      <c r="X173" s="2"/>
      <c r="AC173" s="4"/>
    </row>
    <row r="174" spans="11:29" x14ac:dyDescent="0.25">
      <c r="K174" s="1"/>
      <c r="Q174" s="2"/>
      <c r="R174" s="2"/>
      <c r="T174" s="3"/>
      <c r="U174" s="2"/>
      <c r="V174" s="3"/>
      <c r="W174" s="2"/>
      <c r="X174" s="2"/>
      <c r="AC174" s="4"/>
    </row>
    <row r="175" spans="11:29" x14ac:dyDescent="0.25">
      <c r="K175" s="1"/>
      <c r="Q175" s="2"/>
      <c r="R175" s="2"/>
      <c r="T175" s="3"/>
      <c r="U175" s="2"/>
      <c r="V175" s="3"/>
      <c r="W175" s="2"/>
      <c r="X175" s="2"/>
      <c r="AC175" s="4"/>
    </row>
    <row r="176" spans="11:29" x14ac:dyDescent="0.25">
      <c r="K176" s="1"/>
      <c r="Q176" s="2"/>
      <c r="R176" s="2"/>
      <c r="T176" s="3"/>
      <c r="U176" s="2"/>
      <c r="V176" s="3"/>
      <c r="W176" s="2"/>
      <c r="X176" s="2"/>
      <c r="AC176" s="4"/>
    </row>
    <row r="177" spans="11:29" x14ac:dyDescent="0.25">
      <c r="K177" s="1"/>
      <c r="Q177" s="2"/>
      <c r="R177" s="2"/>
      <c r="T177" s="3"/>
      <c r="U177" s="2"/>
      <c r="V177" s="3"/>
      <c r="W177" s="2"/>
      <c r="X177" s="2"/>
      <c r="AC177" s="4"/>
    </row>
    <row r="178" spans="11:29" x14ac:dyDescent="0.25">
      <c r="K178" s="1"/>
      <c r="Q178" s="2"/>
      <c r="R178" s="2"/>
      <c r="T178" s="3"/>
      <c r="U178" s="2"/>
      <c r="V178" s="3"/>
      <c r="W178" s="2"/>
      <c r="X178" s="2"/>
      <c r="AC178" s="4"/>
    </row>
    <row r="179" spans="11:29" x14ac:dyDescent="0.25">
      <c r="K179" s="1"/>
      <c r="Q179" s="2"/>
      <c r="R179" s="2"/>
      <c r="T179" s="3"/>
      <c r="U179" s="2"/>
      <c r="V179" s="3"/>
      <c r="W179" s="2"/>
      <c r="X179" s="2"/>
      <c r="AC179" s="4"/>
    </row>
    <row r="180" spans="11:29" x14ac:dyDescent="0.25">
      <c r="K180" s="1"/>
      <c r="Q180" s="2"/>
      <c r="R180" s="2"/>
      <c r="T180" s="3"/>
      <c r="U180" s="2"/>
      <c r="V180" s="3"/>
      <c r="W180" s="2"/>
      <c r="X180" s="2"/>
      <c r="AC180" s="4"/>
    </row>
    <row r="181" spans="11:29" x14ac:dyDescent="0.25">
      <c r="K181" s="1"/>
      <c r="Q181" s="2"/>
      <c r="R181" s="2"/>
      <c r="T181" s="3"/>
      <c r="U181" s="2"/>
      <c r="V181" s="3"/>
      <c r="W181" s="2"/>
      <c r="X181" s="2"/>
      <c r="AC181" s="4"/>
    </row>
    <row r="182" spans="11:29" x14ac:dyDescent="0.25">
      <c r="K182" s="1"/>
      <c r="Q182" s="2"/>
      <c r="R182" s="2"/>
      <c r="T182" s="3"/>
      <c r="U182" s="2"/>
      <c r="V182" s="3"/>
      <c r="W182" s="2"/>
      <c r="X182" s="2"/>
      <c r="AC182" s="4"/>
    </row>
    <row r="183" spans="11:29" x14ac:dyDescent="0.25">
      <c r="K183" s="1"/>
      <c r="Q183" s="2"/>
      <c r="R183" s="2"/>
      <c r="T183" s="3"/>
      <c r="U183" s="2"/>
      <c r="V183" s="3"/>
      <c r="W183" s="2"/>
      <c r="X183" s="2"/>
      <c r="AC183" s="4"/>
    </row>
    <row r="184" spans="11:29" x14ac:dyDescent="0.25">
      <c r="K184" s="1"/>
      <c r="Q184" s="2"/>
      <c r="R184" s="2"/>
      <c r="T184" s="3"/>
      <c r="U184" s="2"/>
      <c r="V184" s="3"/>
      <c r="W184" s="2"/>
      <c r="X184" s="2"/>
      <c r="AC184" s="4"/>
    </row>
    <row r="185" spans="11:29" x14ac:dyDescent="0.25">
      <c r="K185" s="1"/>
      <c r="Q185" s="2"/>
      <c r="R185" s="2"/>
      <c r="T185" s="3"/>
      <c r="U185" s="2"/>
      <c r="V185" s="3"/>
      <c r="W185" s="2"/>
      <c r="X185" s="2"/>
      <c r="AC185" s="4"/>
    </row>
    <row r="186" spans="11:29" x14ac:dyDescent="0.25">
      <c r="K186" s="1"/>
      <c r="Q186" s="2"/>
      <c r="R186" s="2"/>
      <c r="T186" s="3"/>
      <c r="U186" s="2"/>
      <c r="V186" s="3"/>
      <c r="W186" s="2"/>
      <c r="X186" s="2"/>
      <c r="AC186" s="4"/>
    </row>
    <row r="187" spans="11:29" x14ac:dyDescent="0.25">
      <c r="K187" s="1"/>
      <c r="X187" s="2"/>
      <c r="Y187" s="2"/>
      <c r="AB187" s="2"/>
    </row>
    <row r="188" spans="11:29" x14ac:dyDescent="0.25">
      <c r="K188" s="1"/>
      <c r="X188" s="2"/>
      <c r="Y188" s="2"/>
      <c r="AB188" s="2"/>
    </row>
    <row r="189" spans="11:29" x14ac:dyDescent="0.25">
      <c r="K189" s="1"/>
      <c r="Q189" s="2"/>
      <c r="R189" s="2"/>
      <c r="T189" s="3"/>
      <c r="U189" s="2"/>
      <c r="V189" s="3"/>
      <c r="W189" s="2"/>
      <c r="X189" s="2"/>
      <c r="AC189" s="4"/>
    </row>
    <row r="190" spans="11:29" x14ac:dyDescent="0.25">
      <c r="K190" s="1"/>
      <c r="Q190" s="2"/>
      <c r="R190" s="2"/>
      <c r="T190" s="3"/>
      <c r="U190" s="2"/>
      <c r="V190" s="3"/>
      <c r="W190" s="2"/>
      <c r="X190" s="2"/>
      <c r="AC190" s="4"/>
    </row>
    <row r="191" spans="11:29" x14ac:dyDescent="0.25">
      <c r="K191" s="1"/>
      <c r="Q191" s="2"/>
      <c r="R191" s="2"/>
      <c r="T191" s="3"/>
      <c r="U191" s="2"/>
      <c r="V191" s="3"/>
      <c r="W191" s="2"/>
      <c r="X191" s="2"/>
      <c r="AC191" s="4"/>
    </row>
    <row r="192" spans="11:29" x14ac:dyDescent="0.25">
      <c r="K192" s="1"/>
      <c r="Q192" s="2"/>
      <c r="R192" s="2"/>
      <c r="T192" s="3"/>
      <c r="U192" s="2"/>
      <c r="V192" s="3"/>
      <c r="W192" s="2"/>
      <c r="X192" s="2"/>
      <c r="AC192" s="4"/>
    </row>
    <row r="193" spans="11:29" x14ac:dyDescent="0.25">
      <c r="K193" s="1"/>
      <c r="Q193" s="2"/>
      <c r="R193" s="2"/>
      <c r="T193" s="3"/>
      <c r="U193" s="2"/>
      <c r="V193" s="3"/>
      <c r="W193" s="2"/>
      <c r="X193" s="2"/>
      <c r="AC193" s="4"/>
    </row>
    <row r="194" spans="11:29" x14ac:dyDescent="0.25">
      <c r="K194" s="1"/>
      <c r="Q194" s="2"/>
      <c r="R194" s="2"/>
      <c r="T194" s="3"/>
      <c r="U194" s="2"/>
      <c r="V194" s="3"/>
      <c r="W194" s="2"/>
      <c r="X194" s="2"/>
      <c r="AC194" s="4"/>
    </row>
    <row r="195" spans="11:29" x14ac:dyDescent="0.25">
      <c r="K195" s="1"/>
      <c r="Q195" s="2"/>
      <c r="R195" s="2"/>
      <c r="T195" s="3"/>
      <c r="U195" s="2"/>
      <c r="V195" s="3"/>
      <c r="W195" s="2"/>
      <c r="X195" s="2"/>
      <c r="AC195" s="4"/>
    </row>
    <row r="196" spans="11:29" x14ac:dyDescent="0.25">
      <c r="K196" s="1"/>
      <c r="Q196" s="2"/>
      <c r="R196" s="2"/>
      <c r="T196" s="3"/>
      <c r="U196" s="2"/>
      <c r="V196" s="3"/>
      <c r="W196" s="2"/>
      <c r="X196" s="2"/>
      <c r="AC196" s="4"/>
    </row>
    <row r="197" spans="11:29" x14ac:dyDescent="0.25">
      <c r="K197" s="1"/>
      <c r="Q197" s="2"/>
      <c r="R197" s="2"/>
      <c r="T197" s="3"/>
      <c r="U197" s="2"/>
      <c r="V197" s="3"/>
      <c r="W197" s="2"/>
      <c r="X197" s="2"/>
      <c r="AC197" s="4"/>
    </row>
    <row r="198" spans="11:29" x14ac:dyDescent="0.25">
      <c r="K198" s="1"/>
      <c r="Q198" s="2"/>
      <c r="R198" s="2"/>
      <c r="T198" s="3"/>
      <c r="U198" s="2"/>
      <c r="V198" s="3"/>
      <c r="W198" s="2"/>
      <c r="X198" s="2"/>
      <c r="AC198" s="4"/>
    </row>
    <row r="199" spans="11:29" x14ac:dyDescent="0.25">
      <c r="K199" s="1"/>
      <c r="Q199" s="2"/>
      <c r="R199" s="2"/>
      <c r="T199" s="3"/>
      <c r="U199" s="2"/>
      <c r="V199" s="3"/>
      <c r="W199" s="2"/>
      <c r="X199" s="2"/>
      <c r="AC199" s="4"/>
    </row>
    <row r="200" spans="11:29" x14ac:dyDescent="0.25">
      <c r="K200" s="1"/>
      <c r="Q200" s="2"/>
      <c r="R200" s="2"/>
      <c r="T200" s="3"/>
      <c r="U200" s="2"/>
      <c r="V200" s="3"/>
      <c r="W200" s="2"/>
      <c r="X200" s="2"/>
      <c r="AC200" s="4"/>
    </row>
  </sheetData>
  <sortState xmlns:xlrd2="http://schemas.microsoft.com/office/spreadsheetml/2017/richdata2" ref="A2:AD200">
    <sortCondition ref="W2:W2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649163__Newbusiness_NEW_BUSINES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2025-09-08T16:41:28Z</dcterms:created>
  <dcterms:modified xsi:type="dcterms:W3CDTF">2025-09-10T19:54:40Z</dcterms:modified>
</cp:coreProperties>
</file>