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5\NB\4-14-25\"/>
    </mc:Choice>
  </mc:AlternateContent>
  <xr:revisionPtr revIDLastSave="0" documentId="13_ncr:1_{21EACB5B-31D2-484E-9B33-CDD9ED90B7BF}" xr6:coauthVersionLast="47" xr6:coauthVersionMax="47" xr10:uidLastSave="{00000000-0000-0000-0000-000000000000}"/>
  <bookViews>
    <workbookView xWindow="-57720" yWindow="-45" windowWidth="29040" windowHeight="15720" activeTab="1" xr2:uid="{095FA961-9A3F-4189-9039-85A0776CC845}"/>
  </bookViews>
  <sheets>
    <sheet name="649163__Newbusiness_NEW_BUSINES" sheetId="1" r:id="rId1"/>
    <sheet name="Sheet1" sheetId="2" r:id="rId2"/>
  </sheets>
  <definedNames>
    <definedName name="_xlnm._FilterDatabase" localSheetId="1" hidden="1">Sheet1!$A$1:$X$19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" i="2" l="1"/>
  <c r="U10" i="2"/>
  <c r="U11" i="2"/>
  <c r="U3" i="2"/>
  <c r="U12" i="2"/>
  <c r="U4" i="2"/>
  <c r="U5" i="2"/>
  <c r="U13" i="2"/>
  <c r="U14" i="2"/>
  <c r="U6" i="2"/>
  <c r="U18" i="2"/>
  <c r="U7" i="2"/>
  <c r="U19" i="2"/>
  <c r="U15" i="2"/>
  <c r="U16" i="2"/>
  <c r="U8" i="2"/>
  <c r="U17" i="2"/>
  <c r="U2" i="2"/>
</calcChain>
</file>

<file path=xl/sharedStrings.xml><?xml version="1.0" encoding="utf-8"?>
<sst xmlns="http://schemas.openxmlformats.org/spreadsheetml/2006/main" count="767" uniqueCount="126">
  <si>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</si>
  <si>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</si>
  <si>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</si>
  <si>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</si>
  <si>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</si>
  <si>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</si>
  <si>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</si>
  <si>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</si>
  <si>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</si>
  <si>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</si>
  <si>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</si>
  <si>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</si>
  <si>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</si>
  <si>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</si>
  <si>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</si>
  <si>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</si>
  <si>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</si>
  <si>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</si>
  <si>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</si>
  <si>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</si>
  <si>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</si>
  <si>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</si>
  <si>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</si>
  <si>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</si>
  <si>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</si>
  <si>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</si>
  <si>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</si>
  <si>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</si>
  <si>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</si>
  <si>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</si>
  <si>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</si>
  <si>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</si>
  <si>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</si>
  <si>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</si>
  <si>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</si>
  <si>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</si>
  <si>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</si>
  <si>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</si>
  <si>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</si>
  <si>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NGIS</t>
  </si>
  <si>
    <t>NGIS-NHIC</t>
  </si>
  <si>
    <t>JASON HOFFMANN</t>
  </si>
  <si>
    <t>GLENN HUNKELE</t>
  </si>
  <si>
    <t>OH</t>
  </si>
  <si>
    <t>DEBORAH INSKIPT</t>
  </si>
  <si>
    <t>Active</t>
  </si>
  <si>
    <t>NHIC Dental 2020 DVH 65+</t>
  </si>
  <si>
    <t>Monthly</t>
  </si>
  <si>
    <t>AV</t>
  </si>
  <si>
    <t>MARC HANCOCK</t>
  </si>
  <si>
    <t>TX</t>
  </si>
  <si>
    <t>BARRY BRENNER</t>
  </si>
  <si>
    <t>Plan Enhancer 20214</t>
  </si>
  <si>
    <t>AE</t>
  </si>
  <si>
    <t>JOHN RIZAEI</t>
  </si>
  <si>
    <t>IL</t>
  </si>
  <si>
    <t>LATESHA ROSE</t>
  </si>
  <si>
    <t>SELECT DENTAL 29304</t>
  </si>
  <si>
    <t>Term Life 21673</t>
  </si>
  <si>
    <t>JAMES WELSH</t>
  </si>
  <si>
    <t>ANDREW CHOI</t>
  </si>
  <si>
    <t>NAOMI BRISTER</t>
  </si>
  <si>
    <t>CHRISTOPHER BROUSSEAU</t>
  </si>
  <si>
    <t>MAHMOUD KASDI</t>
  </si>
  <si>
    <t>JAKE SHULMAN</t>
  </si>
  <si>
    <t>JESSICA BURRIS</t>
  </si>
  <si>
    <t>JACOB YALE</t>
  </si>
  <si>
    <t>AMBER HOFFMASTER</t>
  </si>
  <si>
    <t>DE</t>
  </si>
  <si>
    <t>ANNE MARIE KOZACHECK</t>
  </si>
  <si>
    <t>NICOLE BOERSMA</t>
  </si>
  <si>
    <t>JASON BOWLES</t>
  </si>
  <si>
    <t>CO</t>
  </si>
  <si>
    <t>HEATHER MILLER</t>
  </si>
  <si>
    <t>MARZENA KALEMBASA</t>
  </si>
  <si>
    <t>RICARDO SANTOS</t>
  </si>
  <si>
    <t>NARANZUL BUYANTOGTOKH</t>
  </si>
  <si>
    <t>NASANDELGER ZANA</t>
  </si>
  <si>
    <t>DARCY KOMEN</t>
  </si>
  <si>
    <t>AZ</t>
  </si>
  <si>
    <t>KIRK TIGUE</t>
  </si>
  <si>
    <t>SHELLEY JOHNSON</t>
  </si>
  <si>
    <t>AL</t>
  </si>
  <si>
    <t>GREGORY TEIPEL</t>
  </si>
  <si>
    <t>Cancer and Heart/Stroke 20231</t>
  </si>
  <si>
    <t>MAGGIE KING</t>
  </si>
  <si>
    <t>PA</t>
  </si>
  <si>
    <t>TIMOTHY POWERS</t>
  </si>
  <si>
    <t>Allstate Health Access</t>
  </si>
  <si>
    <t>MARY STURGEON</t>
  </si>
  <si>
    <t>IN</t>
  </si>
  <si>
    <t>RYAN CALTAGIRONE</t>
  </si>
  <si>
    <t>Critical Illness w/ Term Life 21677</t>
  </si>
  <si>
    <t>Accident Fixed Benefit</t>
  </si>
  <si>
    <t>MARTINA HORNER</t>
  </si>
  <si>
    <t>AK</t>
  </si>
  <si>
    <t>JOHN ROKEN</t>
  </si>
  <si>
    <t>SERGIO MARTINEZ</t>
  </si>
  <si>
    <t>KRISTINA PAOLANTONIO</t>
  </si>
  <si>
    <t>SAADIA ABDUL</t>
  </si>
  <si>
    <t>CYNTHIA MCGOWAN</t>
  </si>
  <si>
    <t>BARRY SCHUMANN</t>
  </si>
  <si>
    <t>DAVID BITTERMAN</t>
  </si>
  <si>
    <t>IA</t>
  </si>
  <si>
    <t>EVAN PRICE</t>
  </si>
  <si>
    <t>NASIR COMBS</t>
  </si>
  <si>
    <t>CAROL FOLEY</t>
  </si>
  <si>
    <t>ALEXIS BRECK</t>
  </si>
  <si>
    <t>Allstate Recuro RX Discount Card</t>
  </si>
  <si>
    <t>Life Association Access</t>
  </si>
  <si>
    <t>AV6</t>
  </si>
  <si>
    <t>MARY REGAN</t>
  </si>
  <si>
    <t>STEVE REDONDO</t>
  </si>
  <si>
    <t>CONNIE SHOCKLEY</t>
  </si>
  <si>
    <t>7470776AV6</t>
  </si>
  <si>
    <t>19586992AV6</t>
  </si>
  <si>
    <t>16865615AV6</t>
  </si>
  <si>
    <t>18201929AV6</t>
  </si>
  <si>
    <t>21421111AV6</t>
  </si>
  <si>
    <t>21436172AV6</t>
  </si>
  <si>
    <t>20220688AV6</t>
  </si>
  <si>
    <t>19200754AV6</t>
  </si>
  <si>
    <t>Allstate SELECT DENTAL 29304</t>
  </si>
  <si>
    <t>Allstate Plan Enhancer 20214</t>
  </si>
  <si>
    <t>Allstate Cancer and Heart-Stroke 20231</t>
  </si>
  <si>
    <t>Allstate Term Life 21673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</si>
</sst>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E1E1E-1219-4581-B049-3E54CA118C9B}">
  <dimension ref="A1:AL52"/>
  <sheetViews>
    <sheetView topLeftCell="J18" workbookViewId="0">
      <selection sqref="A1:AL52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45764</v>
      </c>
      <c r="B2" s="1">
        <v>45761</v>
      </c>
      <c r="C2" t="s">
        <v>38</v>
      </c>
      <c r="D2" t="s">
        <v>39</v>
      </c>
      <c r="E2" t="s">
        <v>40</v>
      </c>
      <c r="F2">
        <v>649163</v>
      </c>
      <c r="G2">
        <v>20411454</v>
      </c>
      <c r="H2" t="s">
        <v>41</v>
      </c>
      <c r="I2">
        <v>2028132283</v>
      </c>
      <c r="J2" t="s">
        <v>42</v>
      </c>
      <c r="M2" t="s">
        <v>43</v>
      </c>
      <c r="O2">
        <v>728134</v>
      </c>
      <c r="P2" t="s">
        <v>44</v>
      </c>
      <c r="Q2" t="s">
        <v>45</v>
      </c>
      <c r="R2" t="s">
        <v>46</v>
      </c>
      <c r="S2" s="1">
        <v>45748</v>
      </c>
      <c r="U2" t="s">
        <v>47</v>
      </c>
      <c r="X2" t="s">
        <v>48</v>
      </c>
      <c r="Y2" s="2">
        <v>36.119999999999997</v>
      </c>
      <c r="Z2" s="2">
        <v>36.119999999999997</v>
      </c>
      <c r="AA2">
        <v>0</v>
      </c>
      <c r="AB2" s="3">
        <v>0.47</v>
      </c>
      <c r="AC2" s="2">
        <v>0</v>
      </c>
      <c r="AD2" s="3">
        <v>0</v>
      </c>
      <c r="AE2" s="2">
        <v>0</v>
      </c>
      <c r="AF2" s="2">
        <v>0</v>
      </c>
      <c r="AK2" s="4">
        <v>18482140</v>
      </c>
    </row>
    <row r="3" spans="1:38" x14ac:dyDescent="0.25">
      <c r="A3" s="1">
        <v>45764</v>
      </c>
      <c r="B3" s="1">
        <v>45761</v>
      </c>
      <c r="C3" t="s">
        <v>38</v>
      </c>
      <c r="D3" t="s">
        <v>39</v>
      </c>
      <c r="E3" t="s">
        <v>40</v>
      </c>
      <c r="F3">
        <v>649163</v>
      </c>
      <c r="G3">
        <v>20411454</v>
      </c>
      <c r="H3" t="s">
        <v>41</v>
      </c>
      <c r="I3">
        <v>2028184119</v>
      </c>
      <c r="J3" t="s">
        <v>49</v>
      </c>
      <c r="M3" t="s">
        <v>50</v>
      </c>
      <c r="O3">
        <v>806645</v>
      </c>
      <c r="P3" t="s">
        <v>51</v>
      </c>
      <c r="Q3" t="s">
        <v>45</v>
      </c>
      <c r="R3" t="s">
        <v>52</v>
      </c>
      <c r="S3" s="1">
        <v>45756</v>
      </c>
      <c r="U3" t="s">
        <v>47</v>
      </c>
      <c r="X3" t="s">
        <v>53</v>
      </c>
      <c r="Y3" s="2">
        <v>77.7</v>
      </c>
      <c r="Z3" s="2">
        <v>77.7</v>
      </c>
      <c r="AA3">
        <v>0</v>
      </c>
      <c r="AB3" s="3">
        <v>0.7</v>
      </c>
      <c r="AC3" s="2">
        <v>0</v>
      </c>
      <c r="AD3" s="3">
        <v>0</v>
      </c>
      <c r="AE3" s="2">
        <v>0</v>
      </c>
      <c r="AF3" s="2">
        <v>0</v>
      </c>
      <c r="AK3" s="4">
        <v>18467300</v>
      </c>
    </row>
    <row r="4" spans="1:38" x14ac:dyDescent="0.25">
      <c r="A4" s="1">
        <v>45764</v>
      </c>
      <c r="B4" s="1">
        <v>45761</v>
      </c>
      <c r="C4" t="s">
        <v>38</v>
      </c>
      <c r="D4" t="s">
        <v>39</v>
      </c>
      <c r="E4" t="s">
        <v>40</v>
      </c>
      <c r="F4">
        <v>649163</v>
      </c>
      <c r="G4">
        <v>20411454</v>
      </c>
      <c r="H4" t="s">
        <v>41</v>
      </c>
      <c r="I4">
        <v>2028188431</v>
      </c>
      <c r="J4" t="s">
        <v>54</v>
      </c>
      <c r="M4" t="s">
        <v>55</v>
      </c>
      <c r="O4">
        <v>839554</v>
      </c>
      <c r="P4" t="s">
        <v>56</v>
      </c>
      <c r="Q4" t="s">
        <v>45</v>
      </c>
      <c r="R4" t="s">
        <v>57</v>
      </c>
      <c r="S4" s="1">
        <v>45789</v>
      </c>
      <c r="U4" t="s">
        <v>47</v>
      </c>
      <c r="X4" t="s">
        <v>48</v>
      </c>
      <c r="Y4" s="2">
        <v>67.19</v>
      </c>
      <c r="Z4" s="2">
        <v>67.19</v>
      </c>
      <c r="AA4">
        <v>0</v>
      </c>
      <c r="AB4" s="3">
        <v>0.375</v>
      </c>
      <c r="AC4" s="2">
        <v>0</v>
      </c>
      <c r="AD4" s="3">
        <v>0</v>
      </c>
      <c r="AE4" s="2">
        <v>0</v>
      </c>
      <c r="AF4" s="2">
        <v>0</v>
      </c>
      <c r="AK4" s="4">
        <v>18482170</v>
      </c>
    </row>
    <row r="5" spans="1:38" x14ac:dyDescent="0.25">
      <c r="A5" s="1">
        <v>45764</v>
      </c>
      <c r="B5" s="1">
        <v>45761</v>
      </c>
      <c r="C5" t="s">
        <v>38</v>
      </c>
      <c r="D5" t="s">
        <v>39</v>
      </c>
      <c r="E5" t="s">
        <v>40</v>
      </c>
      <c r="F5">
        <v>649163</v>
      </c>
      <c r="G5">
        <v>20411454</v>
      </c>
      <c r="H5" t="s">
        <v>41</v>
      </c>
      <c r="I5">
        <v>2028188432</v>
      </c>
      <c r="J5" t="s">
        <v>54</v>
      </c>
      <c r="M5" t="s">
        <v>55</v>
      </c>
      <c r="O5">
        <v>839554</v>
      </c>
      <c r="P5" t="s">
        <v>56</v>
      </c>
      <c r="Q5" t="s">
        <v>45</v>
      </c>
      <c r="R5" t="s">
        <v>58</v>
      </c>
      <c r="S5" s="1">
        <v>45789</v>
      </c>
      <c r="U5" t="s">
        <v>47</v>
      </c>
      <c r="X5" t="s">
        <v>48</v>
      </c>
      <c r="Y5" s="2">
        <v>87.5</v>
      </c>
      <c r="Z5" s="2">
        <v>87.5</v>
      </c>
      <c r="AA5">
        <v>0</v>
      </c>
      <c r="AB5" s="3">
        <v>0.9</v>
      </c>
      <c r="AC5" s="2">
        <v>0</v>
      </c>
      <c r="AD5" s="3">
        <v>0</v>
      </c>
      <c r="AE5" s="2">
        <v>0</v>
      </c>
      <c r="AF5" s="2">
        <v>0</v>
      </c>
      <c r="AK5" s="4">
        <v>18485790</v>
      </c>
    </row>
    <row r="6" spans="1:38" x14ac:dyDescent="0.25">
      <c r="A6" s="1">
        <v>45764</v>
      </c>
      <c r="B6" s="1">
        <v>45761</v>
      </c>
      <c r="C6" t="s">
        <v>38</v>
      </c>
      <c r="D6" t="s">
        <v>39</v>
      </c>
      <c r="E6" t="s">
        <v>40</v>
      </c>
      <c r="F6">
        <v>649163</v>
      </c>
      <c r="G6">
        <v>20411454</v>
      </c>
      <c r="H6" t="s">
        <v>41</v>
      </c>
      <c r="I6">
        <v>2028188433</v>
      </c>
      <c r="J6" t="s">
        <v>54</v>
      </c>
      <c r="M6" t="s">
        <v>55</v>
      </c>
      <c r="O6">
        <v>839554</v>
      </c>
      <c r="P6" t="s">
        <v>56</v>
      </c>
      <c r="Q6" t="s">
        <v>45</v>
      </c>
      <c r="R6" t="s">
        <v>52</v>
      </c>
      <c r="S6" s="1">
        <v>45789</v>
      </c>
      <c r="U6" t="s">
        <v>47</v>
      </c>
      <c r="X6" t="s">
        <v>48</v>
      </c>
      <c r="Y6" s="2">
        <v>128.55000000000001</v>
      </c>
      <c r="Z6" s="2">
        <v>128.55000000000001</v>
      </c>
      <c r="AA6">
        <v>0</v>
      </c>
      <c r="AB6" s="3">
        <v>0.7</v>
      </c>
      <c r="AC6" s="2">
        <v>0</v>
      </c>
      <c r="AD6" s="3">
        <v>0</v>
      </c>
      <c r="AE6" s="2">
        <v>0</v>
      </c>
      <c r="AF6" s="2">
        <v>0</v>
      </c>
      <c r="AK6" s="4">
        <v>18467300</v>
      </c>
    </row>
    <row r="7" spans="1:38" x14ac:dyDescent="0.25">
      <c r="A7" s="1">
        <v>45764</v>
      </c>
      <c r="B7" s="1">
        <v>45761</v>
      </c>
      <c r="C7" t="s">
        <v>38</v>
      </c>
      <c r="D7" t="s">
        <v>39</v>
      </c>
      <c r="E7" t="s">
        <v>40</v>
      </c>
      <c r="F7">
        <v>649163</v>
      </c>
      <c r="G7">
        <v>20411454</v>
      </c>
      <c r="H7" t="s">
        <v>41</v>
      </c>
      <c r="I7">
        <v>2028253025</v>
      </c>
      <c r="J7" t="s">
        <v>59</v>
      </c>
      <c r="M7" t="s">
        <v>55</v>
      </c>
      <c r="O7">
        <v>824062</v>
      </c>
      <c r="P7" t="s">
        <v>60</v>
      </c>
      <c r="Q7" t="s">
        <v>45</v>
      </c>
      <c r="R7" t="s">
        <v>57</v>
      </c>
      <c r="S7" s="1">
        <v>45778</v>
      </c>
      <c r="U7" t="s">
        <v>47</v>
      </c>
      <c r="X7" t="s">
        <v>48</v>
      </c>
      <c r="Y7" s="2">
        <v>57.19</v>
      </c>
      <c r="Z7" s="2">
        <v>57.19</v>
      </c>
      <c r="AA7">
        <v>0</v>
      </c>
      <c r="AB7" s="3">
        <v>0.375</v>
      </c>
      <c r="AC7" s="2">
        <v>0</v>
      </c>
      <c r="AD7" s="3">
        <v>0</v>
      </c>
      <c r="AE7" s="2">
        <v>0</v>
      </c>
      <c r="AF7" s="2">
        <v>0</v>
      </c>
      <c r="AK7" s="4">
        <v>18482200</v>
      </c>
    </row>
    <row r="8" spans="1:38" x14ac:dyDescent="0.25">
      <c r="A8" s="1">
        <v>45764</v>
      </c>
      <c r="B8" s="1">
        <v>45761</v>
      </c>
      <c r="C8" t="s">
        <v>38</v>
      </c>
      <c r="D8" t="s">
        <v>39</v>
      </c>
      <c r="E8" t="s">
        <v>40</v>
      </c>
      <c r="F8">
        <v>649163</v>
      </c>
      <c r="G8">
        <v>20411454</v>
      </c>
      <c r="H8" t="s">
        <v>41</v>
      </c>
      <c r="I8">
        <v>2028253026</v>
      </c>
      <c r="J8" t="s">
        <v>59</v>
      </c>
      <c r="M8" t="s">
        <v>55</v>
      </c>
      <c r="O8">
        <v>824062</v>
      </c>
      <c r="P8" t="s">
        <v>60</v>
      </c>
      <c r="Q8" t="s">
        <v>45</v>
      </c>
      <c r="R8" t="s">
        <v>52</v>
      </c>
      <c r="S8" s="1">
        <v>45778</v>
      </c>
      <c r="U8" t="s">
        <v>47</v>
      </c>
      <c r="X8" t="s">
        <v>48</v>
      </c>
      <c r="Y8" s="2">
        <v>46.08</v>
      </c>
      <c r="Z8" s="2">
        <v>46.08</v>
      </c>
      <c r="AA8">
        <v>0</v>
      </c>
      <c r="AB8" s="3">
        <v>0.7</v>
      </c>
      <c r="AC8" s="2">
        <v>0</v>
      </c>
      <c r="AD8" s="3">
        <v>0</v>
      </c>
      <c r="AE8" s="2">
        <v>0</v>
      </c>
      <c r="AF8" s="2">
        <v>0</v>
      </c>
      <c r="AK8" s="4">
        <v>18467330</v>
      </c>
    </row>
    <row r="9" spans="1:38" x14ac:dyDescent="0.25">
      <c r="A9" s="1">
        <v>45764</v>
      </c>
      <c r="B9" s="1">
        <v>45761</v>
      </c>
      <c r="C9" t="s">
        <v>38</v>
      </c>
      <c r="D9" t="s">
        <v>39</v>
      </c>
      <c r="E9" t="s">
        <v>40</v>
      </c>
      <c r="F9">
        <v>649163</v>
      </c>
      <c r="G9">
        <v>20411454</v>
      </c>
      <c r="H9" t="s">
        <v>41</v>
      </c>
      <c r="I9">
        <v>2028271512</v>
      </c>
      <c r="J9" t="s">
        <v>61</v>
      </c>
      <c r="M9" t="s">
        <v>50</v>
      </c>
      <c r="O9">
        <v>822733</v>
      </c>
      <c r="P9" t="s">
        <v>62</v>
      </c>
      <c r="Q9" t="s">
        <v>45</v>
      </c>
      <c r="R9" t="s">
        <v>52</v>
      </c>
      <c r="S9" s="1">
        <v>45784</v>
      </c>
      <c r="U9" t="s">
        <v>47</v>
      </c>
      <c r="X9" t="s">
        <v>48</v>
      </c>
      <c r="Y9" s="2">
        <v>46.36</v>
      </c>
      <c r="Z9" s="2">
        <v>46.36</v>
      </c>
      <c r="AA9">
        <v>0</v>
      </c>
      <c r="AB9" s="3">
        <v>0.7</v>
      </c>
      <c r="AC9" s="2">
        <v>0</v>
      </c>
      <c r="AD9" s="3">
        <v>0</v>
      </c>
      <c r="AE9" s="2">
        <v>0</v>
      </c>
      <c r="AF9" s="2">
        <v>0</v>
      </c>
      <c r="AK9" s="4">
        <v>18467360</v>
      </c>
    </row>
    <row r="10" spans="1:38" x14ac:dyDescent="0.25">
      <c r="A10" s="1">
        <v>45764</v>
      </c>
      <c r="B10" s="1">
        <v>45761</v>
      </c>
      <c r="C10" t="s">
        <v>38</v>
      </c>
      <c r="D10" t="s">
        <v>39</v>
      </c>
      <c r="E10" t="s">
        <v>40</v>
      </c>
      <c r="F10">
        <v>649163</v>
      </c>
      <c r="G10">
        <v>20411454</v>
      </c>
      <c r="H10" t="s">
        <v>41</v>
      </c>
      <c r="I10">
        <v>2028271608</v>
      </c>
      <c r="J10" t="s">
        <v>63</v>
      </c>
      <c r="M10" t="s">
        <v>55</v>
      </c>
      <c r="O10">
        <v>856824</v>
      </c>
      <c r="P10" t="s">
        <v>64</v>
      </c>
      <c r="Q10" t="s">
        <v>45</v>
      </c>
      <c r="R10" t="s">
        <v>57</v>
      </c>
      <c r="S10" s="1">
        <v>45755</v>
      </c>
      <c r="U10" t="s">
        <v>47</v>
      </c>
      <c r="X10" t="s">
        <v>48</v>
      </c>
      <c r="Y10" s="2">
        <v>81.94</v>
      </c>
      <c r="Z10" s="2">
        <v>81.94</v>
      </c>
      <c r="AA10">
        <v>0</v>
      </c>
      <c r="AB10" s="3">
        <v>0.375</v>
      </c>
      <c r="AC10" s="2">
        <v>0</v>
      </c>
      <c r="AD10" s="3">
        <v>0</v>
      </c>
      <c r="AE10" s="2">
        <v>0</v>
      </c>
      <c r="AF10" s="2">
        <v>0</v>
      </c>
      <c r="AK10" s="4">
        <v>18482230</v>
      </c>
    </row>
    <row r="11" spans="1:38" x14ac:dyDescent="0.25">
      <c r="A11" s="1">
        <v>45764</v>
      </c>
      <c r="B11" s="1">
        <v>45761</v>
      </c>
      <c r="C11" t="s">
        <v>38</v>
      </c>
      <c r="D11" t="s">
        <v>39</v>
      </c>
      <c r="E11" t="s">
        <v>40</v>
      </c>
      <c r="F11">
        <v>649163</v>
      </c>
      <c r="G11">
        <v>20411454</v>
      </c>
      <c r="H11" t="s">
        <v>41</v>
      </c>
      <c r="I11">
        <v>2028278041</v>
      </c>
      <c r="J11" t="s">
        <v>65</v>
      </c>
      <c r="M11" t="s">
        <v>55</v>
      </c>
      <c r="O11">
        <v>812782</v>
      </c>
      <c r="P11" t="s">
        <v>66</v>
      </c>
      <c r="Q11" t="s">
        <v>45</v>
      </c>
      <c r="R11" t="s">
        <v>52</v>
      </c>
      <c r="S11" s="1">
        <v>45778</v>
      </c>
      <c r="U11" t="s">
        <v>47</v>
      </c>
      <c r="X11" t="s">
        <v>48</v>
      </c>
      <c r="Y11" s="2">
        <v>57.35</v>
      </c>
      <c r="Z11" s="2">
        <v>57.35</v>
      </c>
      <c r="AA11">
        <v>0</v>
      </c>
      <c r="AB11" s="3">
        <v>0.7</v>
      </c>
      <c r="AC11" s="2">
        <v>0</v>
      </c>
      <c r="AD11" s="3">
        <v>0</v>
      </c>
      <c r="AE11" s="2">
        <v>0</v>
      </c>
      <c r="AF11" s="2">
        <v>0</v>
      </c>
      <c r="AK11" s="4">
        <v>18467420</v>
      </c>
    </row>
    <row r="12" spans="1:38" x14ac:dyDescent="0.25">
      <c r="A12" s="1">
        <v>45764</v>
      </c>
      <c r="B12" s="1">
        <v>45761</v>
      </c>
      <c r="C12" t="s">
        <v>38</v>
      </c>
      <c r="D12" t="s">
        <v>39</v>
      </c>
      <c r="E12" t="s">
        <v>40</v>
      </c>
      <c r="F12">
        <v>649163</v>
      </c>
      <c r="G12">
        <v>20411454</v>
      </c>
      <c r="H12" t="s">
        <v>41</v>
      </c>
      <c r="I12">
        <v>2028280547</v>
      </c>
      <c r="J12" t="s">
        <v>67</v>
      </c>
      <c r="M12" t="s">
        <v>68</v>
      </c>
      <c r="O12">
        <v>649247</v>
      </c>
      <c r="P12" t="s">
        <v>69</v>
      </c>
      <c r="Q12" t="s">
        <v>45</v>
      </c>
      <c r="R12" t="s">
        <v>57</v>
      </c>
      <c r="S12" s="1">
        <v>45755</v>
      </c>
      <c r="U12" t="s">
        <v>47</v>
      </c>
      <c r="X12" t="s">
        <v>48</v>
      </c>
      <c r="Y12" s="2">
        <v>67.63</v>
      </c>
      <c r="Z12" s="2">
        <v>67.63</v>
      </c>
      <c r="AA12">
        <v>0</v>
      </c>
      <c r="AB12" s="3">
        <v>0.375</v>
      </c>
      <c r="AC12" s="2">
        <v>0</v>
      </c>
      <c r="AD12" s="3">
        <v>0</v>
      </c>
      <c r="AE12" s="2">
        <v>0</v>
      </c>
      <c r="AF12" s="2">
        <v>0</v>
      </c>
      <c r="AK12" s="4">
        <v>18482330</v>
      </c>
    </row>
    <row r="13" spans="1:38" x14ac:dyDescent="0.25">
      <c r="A13" s="1">
        <v>45764</v>
      </c>
      <c r="B13" s="1">
        <v>45761</v>
      </c>
      <c r="C13" t="s">
        <v>38</v>
      </c>
      <c r="D13" t="s">
        <v>39</v>
      </c>
      <c r="E13" t="s">
        <v>40</v>
      </c>
      <c r="F13">
        <v>649163</v>
      </c>
      <c r="G13">
        <v>20411454</v>
      </c>
      <c r="H13" t="s">
        <v>41</v>
      </c>
      <c r="I13">
        <v>2028280548</v>
      </c>
      <c r="J13" t="s">
        <v>67</v>
      </c>
      <c r="M13" t="s">
        <v>68</v>
      </c>
      <c r="O13">
        <v>649247</v>
      </c>
      <c r="P13" t="s">
        <v>69</v>
      </c>
      <c r="Q13" t="s">
        <v>45</v>
      </c>
      <c r="R13" t="s">
        <v>52</v>
      </c>
      <c r="S13" s="1">
        <v>45755</v>
      </c>
      <c r="U13" t="s">
        <v>47</v>
      </c>
      <c r="X13" t="s">
        <v>48</v>
      </c>
      <c r="Y13" s="2">
        <v>10.82</v>
      </c>
      <c r="Z13" s="2">
        <v>10.82</v>
      </c>
      <c r="AA13">
        <v>0</v>
      </c>
      <c r="AB13" s="3">
        <v>0.7</v>
      </c>
      <c r="AC13" s="2">
        <v>0</v>
      </c>
      <c r="AD13" s="3">
        <v>0</v>
      </c>
      <c r="AE13" s="2">
        <v>0</v>
      </c>
      <c r="AF13" s="2">
        <v>0</v>
      </c>
      <c r="AK13" s="4">
        <v>18467440</v>
      </c>
    </row>
    <row r="14" spans="1:38" x14ac:dyDescent="0.25">
      <c r="A14" s="1">
        <v>45764</v>
      </c>
      <c r="B14" s="1">
        <v>45761</v>
      </c>
      <c r="C14" t="s">
        <v>38</v>
      </c>
      <c r="D14" t="s">
        <v>39</v>
      </c>
      <c r="E14" t="s">
        <v>40</v>
      </c>
      <c r="F14">
        <v>649163</v>
      </c>
      <c r="G14">
        <v>20411454</v>
      </c>
      <c r="H14" t="s">
        <v>41</v>
      </c>
      <c r="I14">
        <v>2028281047</v>
      </c>
      <c r="J14" t="s">
        <v>70</v>
      </c>
      <c r="M14" t="s">
        <v>55</v>
      </c>
      <c r="O14">
        <v>806645</v>
      </c>
      <c r="P14" t="s">
        <v>51</v>
      </c>
      <c r="Q14" t="s">
        <v>45</v>
      </c>
      <c r="R14" t="s">
        <v>57</v>
      </c>
      <c r="S14" s="1">
        <v>45755</v>
      </c>
      <c r="U14" t="s">
        <v>47</v>
      </c>
      <c r="X14" t="s">
        <v>48</v>
      </c>
      <c r="Y14" s="2">
        <v>59.51</v>
      </c>
      <c r="Z14" s="2">
        <v>59.51</v>
      </c>
      <c r="AA14">
        <v>0</v>
      </c>
      <c r="AB14" s="3">
        <v>0.375</v>
      </c>
      <c r="AC14" s="2">
        <v>0</v>
      </c>
      <c r="AD14" s="3">
        <v>0</v>
      </c>
      <c r="AE14" s="2">
        <v>0</v>
      </c>
      <c r="AF14" s="2">
        <v>0</v>
      </c>
      <c r="AK14" s="4">
        <v>18482330</v>
      </c>
    </row>
    <row r="15" spans="1:38" x14ac:dyDescent="0.25">
      <c r="A15" s="1">
        <v>45764</v>
      </c>
      <c r="B15" s="1">
        <v>45761</v>
      </c>
      <c r="C15" t="s">
        <v>38</v>
      </c>
      <c r="D15" t="s">
        <v>39</v>
      </c>
      <c r="E15" t="s">
        <v>40</v>
      </c>
      <c r="F15">
        <v>649163</v>
      </c>
      <c r="G15">
        <v>20411454</v>
      </c>
      <c r="H15" t="s">
        <v>41</v>
      </c>
      <c r="I15">
        <v>2028281048</v>
      </c>
      <c r="J15" t="s">
        <v>70</v>
      </c>
      <c r="M15" t="s">
        <v>55</v>
      </c>
      <c r="O15">
        <v>806645</v>
      </c>
      <c r="P15" t="s">
        <v>51</v>
      </c>
      <c r="Q15" t="s">
        <v>45</v>
      </c>
      <c r="R15" t="s">
        <v>52</v>
      </c>
      <c r="S15" s="1">
        <v>45755</v>
      </c>
      <c r="U15" t="s">
        <v>47</v>
      </c>
      <c r="X15" t="s">
        <v>48</v>
      </c>
      <c r="Y15" s="2">
        <v>24.65</v>
      </c>
      <c r="Z15" s="2">
        <v>24.65</v>
      </c>
      <c r="AA15">
        <v>0</v>
      </c>
      <c r="AB15" s="3">
        <v>0.7</v>
      </c>
      <c r="AC15" s="2">
        <v>0</v>
      </c>
      <c r="AD15" s="3">
        <v>0</v>
      </c>
      <c r="AE15" s="2">
        <v>0</v>
      </c>
      <c r="AF15" s="2">
        <v>0</v>
      </c>
      <c r="AK15" s="4">
        <v>18467450</v>
      </c>
    </row>
    <row r="16" spans="1:38" x14ac:dyDescent="0.25">
      <c r="A16" s="1">
        <v>45764</v>
      </c>
      <c r="B16" s="1">
        <v>45761</v>
      </c>
      <c r="C16" t="s">
        <v>38</v>
      </c>
      <c r="D16" t="s">
        <v>39</v>
      </c>
      <c r="E16" t="s">
        <v>40</v>
      </c>
      <c r="F16">
        <v>649163</v>
      </c>
      <c r="G16">
        <v>20411454</v>
      </c>
      <c r="H16" t="s">
        <v>41</v>
      </c>
      <c r="I16">
        <v>2028281146</v>
      </c>
      <c r="J16" t="s">
        <v>71</v>
      </c>
      <c r="M16" t="s">
        <v>72</v>
      </c>
      <c r="O16">
        <v>816021</v>
      </c>
      <c r="P16" t="s">
        <v>73</v>
      </c>
      <c r="Q16" t="s">
        <v>45</v>
      </c>
      <c r="R16" t="s">
        <v>57</v>
      </c>
      <c r="S16" s="1">
        <v>45755</v>
      </c>
      <c r="U16" t="s">
        <v>47</v>
      </c>
      <c r="X16" t="s">
        <v>48</v>
      </c>
      <c r="Y16" s="2">
        <v>120.25</v>
      </c>
      <c r="Z16" s="2">
        <v>120.25</v>
      </c>
      <c r="AA16">
        <v>0</v>
      </c>
      <c r="AB16" s="3">
        <v>0.375</v>
      </c>
      <c r="AC16" s="2">
        <v>0</v>
      </c>
      <c r="AD16" s="3">
        <v>0</v>
      </c>
      <c r="AE16" s="2">
        <v>0</v>
      </c>
      <c r="AF16" s="2">
        <v>0</v>
      </c>
      <c r="AK16" s="4">
        <v>18482340</v>
      </c>
    </row>
    <row r="17" spans="1:37" x14ac:dyDescent="0.25">
      <c r="A17" s="1">
        <v>45764</v>
      </c>
      <c r="B17" s="1">
        <v>45761</v>
      </c>
      <c r="C17" t="s">
        <v>38</v>
      </c>
      <c r="D17" t="s">
        <v>39</v>
      </c>
      <c r="E17" t="s">
        <v>40</v>
      </c>
      <c r="F17">
        <v>649163</v>
      </c>
      <c r="G17">
        <v>20411454</v>
      </c>
      <c r="H17" t="s">
        <v>41</v>
      </c>
      <c r="I17">
        <v>2028281147</v>
      </c>
      <c r="J17" t="s">
        <v>71</v>
      </c>
      <c r="M17" t="s">
        <v>72</v>
      </c>
      <c r="O17">
        <v>816021</v>
      </c>
      <c r="P17" t="s">
        <v>73</v>
      </c>
      <c r="Q17" t="s">
        <v>45</v>
      </c>
      <c r="R17" t="s">
        <v>52</v>
      </c>
      <c r="S17" s="1">
        <v>45755</v>
      </c>
      <c r="U17" t="s">
        <v>47</v>
      </c>
      <c r="X17" t="s">
        <v>48</v>
      </c>
      <c r="Y17" s="2">
        <v>18.2</v>
      </c>
      <c r="Z17" s="2">
        <v>18.2</v>
      </c>
      <c r="AA17">
        <v>0</v>
      </c>
      <c r="AB17" s="3">
        <v>0.7</v>
      </c>
      <c r="AC17" s="2">
        <v>0</v>
      </c>
      <c r="AD17" s="3">
        <v>0</v>
      </c>
      <c r="AE17" s="2">
        <v>0</v>
      </c>
      <c r="AF17" s="2">
        <v>0</v>
      </c>
      <c r="AK17" s="4">
        <v>18467450</v>
      </c>
    </row>
    <row r="18" spans="1:37" x14ac:dyDescent="0.25">
      <c r="A18" s="1">
        <v>45764</v>
      </c>
      <c r="B18" s="1">
        <v>45761</v>
      </c>
      <c r="C18" t="s">
        <v>38</v>
      </c>
      <c r="D18" t="s">
        <v>39</v>
      </c>
      <c r="E18" t="s">
        <v>40</v>
      </c>
      <c r="F18">
        <v>649163</v>
      </c>
      <c r="G18">
        <v>20411454</v>
      </c>
      <c r="H18" t="s">
        <v>41</v>
      </c>
      <c r="I18">
        <v>2028286377</v>
      </c>
      <c r="J18" t="s">
        <v>74</v>
      </c>
      <c r="M18" t="s">
        <v>55</v>
      </c>
      <c r="O18">
        <v>812994</v>
      </c>
      <c r="P18" t="s">
        <v>75</v>
      </c>
      <c r="Q18" t="s">
        <v>45</v>
      </c>
      <c r="R18" t="s">
        <v>57</v>
      </c>
      <c r="S18" s="1">
        <v>45755</v>
      </c>
      <c r="U18" t="s">
        <v>47</v>
      </c>
      <c r="X18" t="s">
        <v>48</v>
      </c>
      <c r="Y18" s="2">
        <v>147.41</v>
      </c>
      <c r="Z18" s="2">
        <v>147.41</v>
      </c>
      <c r="AA18">
        <v>0</v>
      </c>
      <c r="AB18" s="3">
        <v>0.375</v>
      </c>
      <c r="AC18" s="2">
        <v>0</v>
      </c>
      <c r="AD18" s="3">
        <v>0</v>
      </c>
      <c r="AE18" s="2">
        <v>0</v>
      </c>
      <c r="AF18" s="2">
        <v>0</v>
      </c>
      <c r="AK18" s="4">
        <v>18482390</v>
      </c>
    </row>
    <row r="19" spans="1:37" x14ac:dyDescent="0.25">
      <c r="A19" s="1">
        <v>45764</v>
      </c>
      <c r="B19" s="1">
        <v>45761</v>
      </c>
      <c r="C19" t="s">
        <v>38</v>
      </c>
      <c r="D19" t="s">
        <v>39</v>
      </c>
      <c r="E19" t="s">
        <v>40</v>
      </c>
      <c r="F19">
        <v>649163</v>
      </c>
      <c r="G19">
        <v>20411454</v>
      </c>
      <c r="H19" t="s">
        <v>41</v>
      </c>
      <c r="I19">
        <v>2028286378</v>
      </c>
      <c r="J19" t="s">
        <v>74</v>
      </c>
      <c r="M19" t="s">
        <v>55</v>
      </c>
      <c r="O19">
        <v>812994</v>
      </c>
      <c r="P19" t="s">
        <v>75</v>
      </c>
      <c r="Q19" t="s">
        <v>45</v>
      </c>
      <c r="R19" t="s">
        <v>52</v>
      </c>
      <c r="S19" s="1">
        <v>45755</v>
      </c>
      <c r="U19" t="s">
        <v>47</v>
      </c>
      <c r="X19" t="s">
        <v>48</v>
      </c>
      <c r="Y19" s="2">
        <v>97.26</v>
      </c>
      <c r="Z19" s="2">
        <v>97.26</v>
      </c>
      <c r="AA19">
        <v>0</v>
      </c>
      <c r="AB19" s="3">
        <v>0.7</v>
      </c>
      <c r="AC19" s="2">
        <v>0</v>
      </c>
      <c r="AD19" s="3">
        <v>0</v>
      </c>
      <c r="AE19" s="2">
        <v>0</v>
      </c>
      <c r="AF19" s="2">
        <v>0</v>
      </c>
      <c r="AK19" s="4">
        <v>18467500</v>
      </c>
    </row>
    <row r="20" spans="1:37" x14ac:dyDescent="0.25">
      <c r="A20" s="1">
        <v>45764</v>
      </c>
      <c r="B20" s="1">
        <v>45761</v>
      </c>
      <c r="C20" t="s">
        <v>38</v>
      </c>
      <c r="D20" t="s">
        <v>39</v>
      </c>
      <c r="E20" t="s">
        <v>40</v>
      </c>
      <c r="F20">
        <v>649163</v>
      </c>
      <c r="G20">
        <v>20411454</v>
      </c>
      <c r="H20" t="s">
        <v>41</v>
      </c>
      <c r="I20">
        <v>2028286563</v>
      </c>
      <c r="J20" t="s">
        <v>76</v>
      </c>
      <c r="M20" t="s">
        <v>55</v>
      </c>
      <c r="O20">
        <v>807212</v>
      </c>
      <c r="P20" t="s">
        <v>77</v>
      </c>
      <c r="Q20" t="s">
        <v>45</v>
      </c>
      <c r="R20" t="s">
        <v>52</v>
      </c>
      <c r="S20" s="1">
        <v>45755</v>
      </c>
      <c r="U20" t="s">
        <v>47</v>
      </c>
      <c r="X20" t="s">
        <v>48</v>
      </c>
      <c r="Y20" s="2">
        <v>56.5</v>
      </c>
      <c r="Z20" s="2">
        <v>56.5</v>
      </c>
      <c r="AA20">
        <v>0</v>
      </c>
      <c r="AB20" s="3">
        <v>0.7</v>
      </c>
      <c r="AC20" s="2">
        <v>0</v>
      </c>
      <c r="AD20" s="3">
        <v>0</v>
      </c>
      <c r="AE20" s="2">
        <v>0</v>
      </c>
      <c r="AF20" s="2">
        <v>0</v>
      </c>
      <c r="AK20" s="4">
        <v>18467510</v>
      </c>
    </row>
    <row r="21" spans="1:37" x14ac:dyDescent="0.25">
      <c r="A21" s="1">
        <v>45764</v>
      </c>
      <c r="B21" s="1">
        <v>45761</v>
      </c>
      <c r="C21" t="s">
        <v>38</v>
      </c>
      <c r="D21" t="s">
        <v>39</v>
      </c>
      <c r="E21" t="s">
        <v>40</v>
      </c>
      <c r="F21">
        <v>649163</v>
      </c>
      <c r="G21">
        <v>20411454</v>
      </c>
      <c r="H21" t="s">
        <v>41</v>
      </c>
      <c r="I21">
        <v>2028297703</v>
      </c>
      <c r="J21" t="s">
        <v>78</v>
      </c>
      <c r="M21" t="s">
        <v>79</v>
      </c>
      <c r="O21">
        <v>822865</v>
      </c>
      <c r="P21" t="s">
        <v>80</v>
      </c>
      <c r="Q21" t="s">
        <v>45</v>
      </c>
      <c r="R21" t="s">
        <v>57</v>
      </c>
      <c r="S21" s="1">
        <v>45756</v>
      </c>
      <c r="U21" t="s">
        <v>47</v>
      </c>
      <c r="X21" t="s">
        <v>48</v>
      </c>
      <c r="Y21" s="2">
        <v>18.62</v>
      </c>
      <c r="Z21" s="2">
        <v>18.62</v>
      </c>
      <c r="AA21">
        <v>0</v>
      </c>
      <c r="AB21" s="3">
        <v>0.375</v>
      </c>
      <c r="AC21" s="2">
        <v>0</v>
      </c>
      <c r="AD21" s="3">
        <v>0</v>
      </c>
      <c r="AE21" s="2">
        <v>0</v>
      </c>
      <c r="AF21" s="2">
        <v>0</v>
      </c>
      <c r="AK21" s="4">
        <v>18482520</v>
      </c>
    </row>
    <row r="22" spans="1:37" x14ac:dyDescent="0.25">
      <c r="A22" s="1">
        <v>45764</v>
      </c>
      <c r="B22" s="1">
        <v>45761</v>
      </c>
      <c r="C22" t="s">
        <v>38</v>
      </c>
      <c r="D22" t="s">
        <v>39</v>
      </c>
      <c r="E22" t="s">
        <v>40</v>
      </c>
      <c r="F22">
        <v>649163</v>
      </c>
      <c r="G22">
        <v>20411454</v>
      </c>
      <c r="H22" t="s">
        <v>41</v>
      </c>
      <c r="I22">
        <v>2028297704</v>
      </c>
      <c r="J22" t="s">
        <v>78</v>
      </c>
      <c r="M22" t="s">
        <v>79</v>
      </c>
      <c r="O22">
        <v>822865</v>
      </c>
      <c r="P22" t="s">
        <v>80</v>
      </c>
      <c r="Q22" t="s">
        <v>45</v>
      </c>
      <c r="R22" t="s">
        <v>52</v>
      </c>
      <c r="S22" s="1">
        <v>45756</v>
      </c>
      <c r="U22" t="s">
        <v>47</v>
      </c>
      <c r="X22" t="s">
        <v>48</v>
      </c>
      <c r="Y22" s="2">
        <v>33.54</v>
      </c>
      <c r="Z22" s="2">
        <v>33.54</v>
      </c>
      <c r="AA22">
        <v>0</v>
      </c>
      <c r="AB22" s="3">
        <v>0.7</v>
      </c>
      <c r="AC22" s="2">
        <v>0</v>
      </c>
      <c r="AD22" s="3">
        <v>0</v>
      </c>
      <c r="AE22" s="2">
        <v>0</v>
      </c>
      <c r="AF22" s="2">
        <v>0</v>
      </c>
      <c r="AK22" s="4">
        <v>18467580</v>
      </c>
    </row>
    <row r="23" spans="1:37" x14ac:dyDescent="0.25">
      <c r="A23" s="1">
        <v>45764</v>
      </c>
      <c r="B23" s="1">
        <v>45761</v>
      </c>
      <c r="C23" t="s">
        <v>38</v>
      </c>
      <c r="D23" t="s">
        <v>39</v>
      </c>
      <c r="E23" t="s">
        <v>40</v>
      </c>
      <c r="F23">
        <v>649163</v>
      </c>
      <c r="G23">
        <v>20411454</v>
      </c>
      <c r="H23" t="s">
        <v>41</v>
      </c>
      <c r="I23">
        <v>2028303459</v>
      </c>
      <c r="J23" t="s">
        <v>81</v>
      </c>
      <c r="M23" t="s">
        <v>82</v>
      </c>
      <c r="O23">
        <v>651818</v>
      </c>
      <c r="P23" t="s">
        <v>83</v>
      </c>
      <c r="Q23" t="s">
        <v>45</v>
      </c>
      <c r="R23" t="s">
        <v>84</v>
      </c>
      <c r="S23" s="1">
        <v>45762</v>
      </c>
      <c r="U23" t="s">
        <v>47</v>
      </c>
      <c r="X23" t="s">
        <v>48</v>
      </c>
      <c r="Y23" s="2">
        <v>132.5</v>
      </c>
      <c r="Z23" s="2">
        <v>132.5</v>
      </c>
      <c r="AA23">
        <v>0</v>
      </c>
      <c r="AB23" s="3">
        <v>0.75</v>
      </c>
      <c r="AC23" s="2">
        <v>0</v>
      </c>
      <c r="AD23" s="3">
        <v>0</v>
      </c>
      <c r="AE23" s="2">
        <v>0</v>
      </c>
      <c r="AF23" s="2">
        <v>0</v>
      </c>
      <c r="AK23" s="4">
        <v>18474570</v>
      </c>
    </row>
    <row r="24" spans="1:37" x14ac:dyDescent="0.25">
      <c r="A24" s="1">
        <v>45764</v>
      </c>
      <c r="B24" s="1">
        <v>45761</v>
      </c>
      <c r="C24" t="s">
        <v>38</v>
      </c>
      <c r="D24" t="s">
        <v>39</v>
      </c>
      <c r="E24" t="s">
        <v>40</v>
      </c>
      <c r="F24">
        <v>649163</v>
      </c>
      <c r="G24">
        <v>20411454</v>
      </c>
      <c r="H24" t="s">
        <v>41</v>
      </c>
      <c r="I24">
        <v>2028313186</v>
      </c>
      <c r="J24" t="s">
        <v>85</v>
      </c>
      <c r="M24" t="s">
        <v>86</v>
      </c>
      <c r="O24">
        <v>677095</v>
      </c>
      <c r="P24" t="s">
        <v>87</v>
      </c>
      <c r="Q24" t="s">
        <v>45</v>
      </c>
      <c r="R24" t="s">
        <v>88</v>
      </c>
      <c r="S24" s="1">
        <v>45757</v>
      </c>
      <c r="U24" t="s">
        <v>47</v>
      </c>
      <c r="X24" t="s">
        <v>48</v>
      </c>
      <c r="Y24" s="2">
        <v>486.09</v>
      </c>
      <c r="Z24" s="2">
        <v>486.09</v>
      </c>
      <c r="AA24">
        <v>0</v>
      </c>
      <c r="AB24" s="3">
        <v>0.12</v>
      </c>
      <c r="AC24" s="2">
        <v>0</v>
      </c>
      <c r="AD24" s="3">
        <v>0</v>
      </c>
      <c r="AE24" s="2">
        <v>0</v>
      </c>
      <c r="AF24" s="2">
        <v>0</v>
      </c>
      <c r="AK24" s="4">
        <v>18467670</v>
      </c>
    </row>
    <row r="25" spans="1:37" x14ac:dyDescent="0.25">
      <c r="A25" s="1">
        <v>45764</v>
      </c>
      <c r="B25" s="1">
        <v>45761</v>
      </c>
      <c r="C25" t="s">
        <v>38</v>
      </c>
      <c r="D25" t="s">
        <v>39</v>
      </c>
      <c r="E25" t="s">
        <v>40</v>
      </c>
      <c r="F25">
        <v>649163</v>
      </c>
      <c r="G25">
        <v>20411454</v>
      </c>
      <c r="H25" t="s">
        <v>41</v>
      </c>
      <c r="I25">
        <v>2028315761</v>
      </c>
      <c r="J25" t="s">
        <v>89</v>
      </c>
      <c r="M25" t="s">
        <v>90</v>
      </c>
      <c r="O25">
        <v>673059</v>
      </c>
      <c r="P25" t="s">
        <v>91</v>
      </c>
      <c r="Q25" t="s">
        <v>45</v>
      </c>
      <c r="R25" t="s">
        <v>92</v>
      </c>
      <c r="S25" s="1">
        <v>45778</v>
      </c>
      <c r="U25" t="s">
        <v>47</v>
      </c>
      <c r="X25" t="s">
        <v>48</v>
      </c>
      <c r="Y25" s="2">
        <v>152.54</v>
      </c>
      <c r="Z25" s="2">
        <v>152.54</v>
      </c>
      <c r="AA25">
        <v>0</v>
      </c>
      <c r="AB25" s="3">
        <v>0.9</v>
      </c>
      <c r="AC25" s="2">
        <v>0</v>
      </c>
      <c r="AD25" s="3">
        <v>0</v>
      </c>
      <c r="AE25" s="2">
        <v>0</v>
      </c>
      <c r="AF25" s="2">
        <v>0</v>
      </c>
      <c r="AK25" s="4">
        <v>18474590</v>
      </c>
    </row>
    <row r="26" spans="1:37" x14ac:dyDescent="0.25">
      <c r="A26" s="1">
        <v>45764</v>
      </c>
      <c r="B26" s="1">
        <v>45761</v>
      </c>
      <c r="C26" t="s">
        <v>38</v>
      </c>
      <c r="D26" t="s">
        <v>39</v>
      </c>
      <c r="E26" t="s">
        <v>40</v>
      </c>
      <c r="F26">
        <v>649163</v>
      </c>
      <c r="G26">
        <v>20411454</v>
      </c>
      <c r="H26" t="s">
        <v>41</v>
      </c>
      <c r="I26">
        <v>2028315762</v>
      </c>
      <c r="J26" t="s">
        <v>89</v>
      </c>
      <c r="M26" t="s">
        <v>90</v>
      </c>
      <c r="O26">
        <v>673059</v>
      </c>
      <c r="P26" t="s">
        <v>91</v>
      </c>
      <c r="Q26" t="s">
        <v>45</v>
      </c>
      <c r="R26" t="s">
        <v>93</v>
      </c>
      <c r="S26" s="1">
        <v>45778</v>
      </c>
      <c r="U26" t="s">
        <v>47</v>
      </c>
      <c r="X26" t="s">
        <v>48</v>
      </c>
      <c r="Y26" s="2">
        <v>8.3699999999999992</v>
      </c>
      <c r="Z26" s="2">
        <v>8.3699999999999992</v>
      </c>
      <c r="AA26">
        <v>0</v>
      </c>
      <c r="AB26" s="3">
        <v>0.7</v>
      </c>
      <c r="AC26" s="2">
        <v>0</v>
      </c>
      <c r="AD26" s="3">
        <v>0</v>
      </c>
      <c r="AE26" s="2">
        <v>0</v>
      </c>
      <c r="AF26" s="2">
        <v>0</v>
      </c>
      <c r="AK26" s="4">
        <v>18461480</v>
      </c>
    </row>
    <row r="27" spans="1:37" x14ac:dyDescent="0.25">
      <c r="A27" s="1">
        <v>45764</v>
      </c>
      <c r="B27" s="1">
        <v>45761</v>
      </c>
      <c r="C27" t="s">
        <v>38</v>
      </c>
      <c r="D27" t="s">
        <v>39</v>
      </c>
      <c r="E27" t="s">
        <v>40</v>
      </c>
      <c r="F27">
        <v>649163</v>
      </c>
      <c r="G27">
        <v>20411454</v>
      </c>
      <c r="H27" t="s">
        <v>41</v>
      </c>
      <c r="I27">
        <v>2028315763</v>
      </c>
      <c r="J27" t="s">
        <v>89</v>
      </c>
      <c r="M27" t="s">
        <v>90</v>
      </c>
      <c r="O27">
        <v>673059</v>
      </c>
      <c r="P27" t="s">
        <v>91</v>
      </c>
      <c r="Q27" t="s">
        <v>45</v>
      </c>
      <c r="R27" t="s">
        <v>52</v>
      </c>
      <c r="S27" s="1">
        <v>45778</v>
      </c>
      <c r="U27" t="s">
        <v>47</v>
      </c>
      <c r="X27" t="s">
        <v>48</v>
      </c>
      <c r="Y27" s="2">
        <v>47.72</v>
      </c>
      <c r="Z27" s="2">
        <v>47.72</v>
      </c>
      <c r="AA27">
        <v>0</v>
      </c>
      <c r="AB27" s="3">
        <v>0.7</v>
      </c>
      <c r="AC27" s="2">
        <v>0</v>
      </c>
      <c r="AD27" s="3">
        <v>0</v>
      </c>
      <c r="AE27" s="2">
        <v>0</v>
      </c>
      <c r="AF27" s="2">
        <v>0</v>
      </c>
      <c r="AK27" s="4">
        <v>18467690</v>
      </c>
    </row>
    <row r="28" spans="1:37" x14ac:dyDescent="0.25">
      <c r="A28" s="1">
        <v>45764</v>
      </c>
      <c r="B28" s="1">
        <v>45761</v>
      </c>
      <c r="C28" t="s">
        <v>38</v>
      </c>
      <c r="D28" t="s">
        <v>39</v>
      </c>
      <c r="E28" t="s">
        <v>40</v>
      </c>
      <c r="F28">
        <v>649163</v>
      </c>
      <c r="G28">
        <v>20411454</v>
      </c>
      <c r="H28" t="s">
        <v>41</v>
      </c>
      <c r="I28">
        <v>2028315764</v>
      </c>
      <c r="J28" t="s">
        <v>89</v>
      </c>
      <c r="M28" t="s">
        <v>90</v>
      </c>
      <c r="O28">
        <v>673059</v>
      </c>
      <c r="P28" t="s">
        <v>91</v>
      </c>
      <c r="Q28" t="s">
        <v>45</v>
      </c>
      <c r="R28" t="s">
        <v>84</v>
      </c>
      <c r="S28" s="1">
        <v>45778</v>
      </c>
      <c r="U28" t="s">
        <v>47</v>
      </c>
      <c r="X28" t="s">
        <v>48</v>
      </c>
      <c r="Y28" s="2">
        <v>43.9</v>
      </c>
      <c r="Z28" s="2">
        <v>43.9</v>
      </c>
      <c r="AA28">
        <v>0</v>
      </c>
      <c r="AB28" s="3">
        <v>0.75</v>
      </c>
      <c r="AC28" s="2">
        <v>0</v>
      </c>
      <c r="AD28" s="3">
        <v>0</v>
      </c>
      <c r="AE28" s="2">
        <v>0</v>
      </c>
      <c r="AF28" s="2">
        <v>0</v>
      </c>
      <c r="AK28" s="4">
        <v>18474590</v>
      </c>
    </row>
    <row r="29" spans="1:37" x14ac:dyDescent="0.25">
      <c r="A29" s="1">
        <v>45764</v>
      </c>
      <c r="B29" s="1">
        <v>45761</v>
      </c>
      <c r="C29" t="s">
        <v>38</v>
      </c>
      <c r="D29" t="s">
        <v>39</v>
      </c>
      <c r="E29" t="s">
        <v>40</v>
      </c>
      <c r="F29">
        <v>649163</v>
      </c>
      <c r="G29">
        <v>20411454</v>
      </c>
      <c r="H29" t="s">
        <v>41</v>
      </c>
      <c r="I29">
        <v>2028322739</v>
      </c>
      <c r="J29" t="s">
        <v>94</v>
      </c>
      <c r="M29" t="s">
        <v>95</v>
      </c>
      <c r="O29">
        <v>751867</v>
      </c>
      <c r="P29" t="s">
        <v>96</v>
      </c>
      <c r="Q29" t="s">
        <v>45</v>
      </c>
      <c r="R29" t="s">
        <v>52</v>
      </c>
      <c r="S29" s="1">
        <v>45778</v>
      </c>
      <c r="U29" t="s">
        <v>47</v>
      </c>
      <c r="X29" t="s">
        <v>48</v>
      </c>
      <c r="Y29" s="2">
        <v>78.73</v>
      </c>
      <c r="Z29" s="2">
        <v>78.73</v>
      </c>
      <c r="AA29">
        <v>0</v>
      </c>
      <c r="AB29" s="3">
        <v>0.7</v>
      </c>
      <c r="AC29" s="2">
        <v>0</v>
      </c>
      <c r="AD29" s="3">
        <v>0</v>
      </c>
      <c r="AE29" s="2">
        <v>0</v>
      </c>
      <c r="AF29" s="2">
        <v>0</v>
      </c>
      <c r="AK29" s="4">
        <v>18467740</v>
      </c>
    </row>
    <row r="30" spans="1:37" x14ac:dyDescent="0.25">
      <c r="A30" s="1">
        <v>45764</v>
      </c>
      <c r="B30" s="1">
        <v>45761</v>
      </c>
      <c r="C30" t="s">
        <v>38</v>
      </c>
      <c r="D30" t="s">
        <v>39</v>
      </c>
      <c r="E30" t="s">
        <v>40</v>
      </c>
      <c r="F30">
        <v>649163</v>
      </c>
      <c r="G30">
        <v>20411454</v>
      </c>
      <c r="H30" t="s">
        <v>41</v>
      </c>
      <c r="I30">
        <v>2028324181</v>
      </c>
      <c r="J30" t="s">
        <v>97</v>
      </c>
      <c r="M30" t="s">
        <v>79</v>
      </c>
      <c r="O30">
        <v>673059</v>
      </c>
      <c r="P30" t="s">
        <v>91</v>
      </c>
      <c r="Q30" t="s">
        <v>45</v>
      </c>
      <c r="R30" t="s">
        <v>84</v>
      </c>
      <c r="S30" s="1">
        <v>45778</v>
      </c>
      <c r="U30" t="s">
        <v>47</v>
      </c>
      <c r="X30" t="s">
        <v>48</v>
      </c>
      <c r="Y30" s="2">
        <v>69.31</v>
      </c>
      <c r="Z30" s="2">
        <v>69.31</v>
      </c>
      <c r="AA30">
        <v>0</v>
      </c>
      <c r="AB30" s="3">
        <v>0.75</v>
      </c>
      <c r="AC30" s="2">
        <v>0</v>
      </c>
      <c r="AD30" s="3">
        <v>0</v>
      </c>
      <c r="AE30" s="2">
        <v>0</v>
      </c>
      <c r="AF30" s="2">
        <v>0</v>
      </c>
      <c r="AK30" s="4">
        <v>18474610</v>
      </c>
    </row>
    <row r="31" spans="1:37" x14ac:dyDescent="0.25">
      <c r="A31" s="1">
        <v>45764</v>
      </c>
      <c r="B31" s="1">
        <v>45761</v>
      </c>
      <c r="C31" t="s">
        <v>38</v>
      </c>
      <c r="D31" t="s">
        <v>39</v>
      </c>
      <c r="E31" t="s">
        <v>40</v>
      </c>
      <c r="F31">
        <v>649163</v>
      </c>
      <c r="G31">
        <v>20411454</v>
      </c>
      <c r="H31" t="s">
        <v>41</v>
      </c>
      <c r="I31">
        <v>2028324182</v>
      </c>
      <c r="J31" t="s">
        <v>97</v>
      </c>
      <c r="M31" t="s">
        <v>79</v>
      </c>
      <c r="O31">
        <v>673059</v>
      </c>
      <c r="P31" t="s">
        <v>91</v>
      </c>
      <c r="Q31" t="s">
        <v>45</v>
      </c>
      <c r="R31" t="s">
        <v>52</v>
      </c>
      <c r="S31" s="1">
        <v>45778</v>
      </c>
      <c r="U31" t="s">
        <v>47</v>
      </c>
      <c r="X31" t="s">
        <v>48</v>
      </c>
      <c r="Y31" s="2">
        <v>29.63</v>
      </c>
      <c r="Z31" s="2">
        <v>29.63</v>
      </c>
      <c r="AA31">
        <v>0</v>
      </c>
      <c r="AB31" s="3">
        <v>0.7</v>
      </c>
      <c r="AC31" s="2">
        <v>0</v>
      </c>
      <c r="AD31" s="3">
        <v>0</v>
      </c>
      <c r="AE31" s="2">
        <v>0</v>
      </c>
      <c r="AF31" s="2">
        <v>0</v>
      </c>
      <c r="AK31" s="4">
        <v>18467750</v>
      </c>
    </row>
    <row r="32" spans="1:37" x14ac:dyDescent="0.25">
      <c r="A32" s="1">
        <v>45764</v>
      </c>
      <c r="B32" s="1">
        <v>45761</v>
      </c>
      <c r="C32" t="s">
        <v>38</v>
      </c>
      <c r="D32" t="s">
        <v>39</v>
      </c>
      <c r="E32" t="s">
        <v>40</v>
      </c>
      <c r="F32">
        <v>649163</v>
      </c>
      <c r="G32">
        <v>20411454</v>
      </c>
      <c r="H32" t="s">
        <v>41</v>
      </c>
      <c r="I32">
        <v>2028329764</v>
      </c>
      <c r="J32" t="s">
        <v>98</v>
      </c>
      <c r="M32" t="s">
        <v>55</v>
      </c>
      <c r="O32">
        <v>824076</v>
      </c>
      <c r="P32" t="s">
        <v>99</v>
      </c>
      <c r="Q32" t="s">
        <v>45</v>
      </c>
      <c r="R32" t="s">
        <v>57</v>
      </c>
      <c r="S32" s="1">
        <v>45762</v>
      </c>
      <c r="U32" t="s">
        <v>47</v>
      </c>
      <c r="X32" t="s">
        <v>48</v>
      </c>
      <c r="Y32" s="2">
        <v>57.19</v>
      </c>
      <c r="Z32" s="2">
        <v>57.19</v>
      </c>
      <c r="AA32">
        <v>0</v>
      </c>
      <c r="AB32" s="3">
        <v>0.375</v>
      </c>
      <c r="AC32" s="2">
        <v>0</v>
      </c>
      <c r="AD32" s="3">
        <v>0</v>
      </c>
      <c r="AE32" s="2">
        <v>0</v>
      </c>
      <c r="AF32" s="2">
        <v>0</v>
      </c>
      <c r="AK32" s="4">
        <v>18482850</v>
      </c>
    </row>
    <row r="33" spans="1:37" x14ac:dyDescent="0.25">
      <c r="A33" s="1">
        <v>45764</v>
      </c>
      <c r="B33" s="1">
        <v>45761</v>
      </c>
      <c r="C33" t="s">
        <v>38</v>
      </c>
      <c r="D33" t="s">
        <v>39</v>
      </c>
      <c r="E33" t="s">
        <v>40</v>
      </c>
      <c r="F33">
        <v>649163</v>
      </c>
      <c r="G33">
        <v>20411454</v>
      </c>
      <c r="H33" t="s">
        <v>41</v>
      </c>
      <c r="I33">
        <v>2028329765</v>
      </c>
      <c r="J33" t="s">
        <v>98</v>
      </c>
      <c r="M33" t="s">
        <v>55</v>
      </c>
      <c r="O33">
        <v>824076</v>
      </c>
      <c r="P33" t="s">
        <v>99</v>
      </c>
      <c r="Q33" t="s">
        <v>45</v>
      </c>
      <c r="R33" t="s">
        <v>52</v>
      </c>
      <c r="S33" s="1">
        <v>45762</v>
      </c>
      <c r="U33" t="s">
        <v>47</v>
      </c>
      <c r="X33" t="s">
        <v>48</v>
      </c>
      <c r="Y33" s="2">
        <v>11.5</v>
      </c>
      <c r="Z33" s="2">
        <v>11.5</v>
      </c>
      <c r="AA33">
        <v>0</v>
      </c>
      <c r="AB33" s="3">
        <v>0.7</v>
      </c>
      <c r="AC33" s="2">
        <v>0</v>
      </c>
      <c r="AD33" s="3">
        <v>0</v>
      </c>
      <c r="AE33" s="2">
        <v>0</v>
      </c>
      <c r="AF33" s="2">
        <v>0</v>
      </c>
      <c r="AK33" s="4">
        <v>18467790</v>
      </c>
    </row>
    <row r="34" spans="1:37" x14ac:dyDescent="0.25">
      <c r="A34" s="1">
        <v>45764</v>
      </c>
      <c r="B34" s="1">
        <v>45761</v>
      </c>
      <c r="C34" t="s">
        <v>38</v>
      </c>
      <c r="D34" t="s">
        <v>39</v>
      </c>
      <c r="E34" t="s">
        <v>40</v>
      </c>
      <c r="F34">
        <v>649163</v>
      </c>
      <c r="G34">
        <v>20411454</v>
      </c>
      <c r="H34" t="s">
        <v>41</v>
      </c>
      <c r="I34">
        <v>2028338420</v>
      </c>
      <c r="J34" t="s">
        <v>100</v>
      </c>
      <c r="M34" t="s">
        <v>55</v>
      </c>
      <c r="O34">
        <v>821015</v>
      </c>
      <c r="P34" t="s">
        <v>101</v>
      </c>
      <c r="Q34" t="s">
        <v>45</v>
      </c>
      <c r="R34" t="s">
        <v>52</v>
      </c>
      <c r="S34" s="1">
        <v>45778</v>
      </c>
      <c r="U34" t="s">
        <v>47</v>
      </c>
      <c r="X34" t="s">
        <v>48</v>
      </c>
      <c r="Y34" s="2">
        <v>66.36</v>
      </c>
      <c r="Z34" s="2">
        <v>66.36</v>
      </c>
      <c r="AA34">
        <v>0</v>
      </c>
      <c r="AB34" s="3">
        <v>0.7</v>
      </c>
      <c r="AC34" s="2">
        <v>0</v>
      </c>
      <c r="AD34" s="3">
        <v>0</v>
      </c>
      <c r="AE34" s="2">
        <v>0</v>
      </c>
      <c r="AF34" s="2">
        <v>0</v>
      </c>
      <c r="AK34" s="4">
        <v>18467840</v>
      </c>
    </row>
    <row r="35" spans="1:37" x14ac:dyDescent="0.25">
      <c r="A35" s="1">
        <v>45764</v>
      </c>
      <c r="B35" s="1">
        <v>45761</v>
      </c>
      <c r="C35" t="s">
        <v>38</v>
      </c>
      <c r="D35" t="s">
        <v>39</v>
      </c>
      <c r="E35" t="s">
        <v>40</v>
      </c>
      <c r="F35">
        <v>649163</v>
      </c>
      <c r="G35">
        <v>20411454</v>
      </c>
      <c r="H35" t="s">
        <v>41</v>
      </c>
      <c r="I35">
        <v>2028338805</v>
      </c>
      <c r="J35" t="s">
        <v>102</v>
      </c>
      <c r="M35" t="s">
        <v>103</v>
      </c>
      <c r="O35">
        <v>673059</v>
      </c>
      <c r="P35" t="s">
        <v>91</v>
      </c>
      <c r="Q35" t="s">
        <v>45</v>
      </c>
      <c r="R35" t="s">
        <v>52</v>
      </c>
      <c r="S35" s="1">
        <v>45778</v>
      </c>
      <c r="U35" t="s">
        <v>47</v>
      </c>
      <c r="X35" t="s">
        <v>48</v>
      </c>
      <c r="Y35" s="2">
        <v>99</v>
      </c>
      <c r="Z35" s="2">
        <v>99</v>
      </c>
      <c r="AA35">
        <v>0</v>
      </c>
      <c r="AB35" s="3">
        <v>0.7</v>
      </c>
      <c r="AC35" s="2">
        <v>0</v>
      </c>
      <c r="AD35" s="3">
        <v>0</v>
      </c>
      <c r="AE35" s="2">
        <v>0</v>
      </c>
      <c r="AF35" s="2">
        <v>0</v>
      </c>
      <c r="AK35" s="4">
        <v>18467840</v>
      </c>
    </row>
    <row r="36" spans="1:37" x14ac:dyDescent="0.25">
      <c r="A36" s="1">
        <v>45764</v>
      </c>
      <c r="B36" s="1">
        <v>45761</v>
      </c>
      <c r="C36" t="s">
        <v>38</v>
      </c>
      <c r="D36" t="s">
        <v>39</v>
      </c>
      <c r="E36" t="s">
        <v>40</v>
      </c>
      <c r="F36">
        <v>649163</v>
      </c>
      <c r="G36">
        <v>20411454</v>
      </c>
      <c r="H36" t="s">
        <v>41</v>
      </c>
      <c r="I36">
        <v>2028338806</v>
      </c>
      <c r="J36" t="s">
        <v>102</v>
      </c>
      <c r="M36" t="s">
        <v>103</v>
      </c>
      <c r="O36">
        <v>673059</v>
      </c>
      <c r="P36" t="s">
        <v>91</v>
      </c>
      <c r="Q36" t="s">
        <v>45</v>
      </c>
      <c r="R36" t="s">
        <v>93</v>
      </c>
      <c r="S36" s="1">
        <v>45778</v>
      </c>
      <c r="U36" t="s">
        <v>47</v>
      </c>
      <c r="X36" t="s">
        <v>48</v>
      </c>
      <c r="Y36" s="2">
        <v>25.73</v>
      </c>
      <c r="Z36" s="2">
        <v>25.73</v>
      </c>
      <c r="AA36">
        <v>0</v>
      </c>
      <c r="AB36" s="3">
        <v>0.7</v>
      </c>
      <c r="AC36" s="2">
        <v>0</v>
      </c>
      <c r="AD36" s="3">
        <v>0</v>
      </c>
      <c r="AE36" s="2">
        <v>0</v>
      </c>
      <c r="AF36" s="2">
        <v>0</v>
      </c>
      <c r="AK36" s="4">
        <v>18461500</v>
      </c>
    </row>
    <row r="37" spans="1:37" x14ac:dyDescent="0.25">
      <c r="A37" s="1">
        <v>45764</v>
      </c>
      <c r="B37" s="1">
        <v>45761</v>
      </c>
      <c r="C37" t="s">
        <v>38</v>
      </c>
      <c r="D37" t="s">
        <v>39</v>
      </c>
      <c r="E37" t="s">
        <v>40</v>
      </c>
      <c r="F37">
        <v>649163</v>
      </c>
      <c r="G37">
        <v>20411454</v>
      </c>
      <c r="H37" t="s">
        <v>41</v>
      </c>
      <c r="I37">
        <v>2028338807</v>
      </c>
      <c r="J37" t="s">
        <v>102</v>
      </c>
      <c r="M37" t="s">
        <v>103</v>
      </c>
      <c r="O37">
        <v>673059</v>
      </c>
      <c r="P37" t="s">
        <v>91</v>
      </c>
      <c r="Q37" t="s">
        <v>45</v>
      </c>
      <c r="R37" t="s">
        <v>57</v>
      </c>
      <c r="S37" s="1">
        <v>45778</v>
      </c>
      <c r="U37" t="s">
        <v>47</v>
      </c>
      <c r="X37" t="s">
        <v>48</v>
      </c>
      <c r="Y37" s="2">
        <v>60.67</v>
      </c>
      <c r="Z37" s="2">
        <v>60.67</v>
      </c>
      <c r="AA37">
        <v>0</v>
      </c>
      <c r="AB37" s="3">
        <v>0.375</v>
      </c>
      <c r="AC37" s="2">
        <v>0</v>
      </c>
      <c r="AD37" s="3">
        <v>0</v>
      </c>
      <c r="AE37" s="2">
        <v>0</v>
      </c>
      <c r="AF37" s="2">
        <v>0</v>
      </c>
      <c r="AK37" s="4">
        <v>18482910</v>
      </c>
    </row>
    <row r="38" spans="1:37" x14ac:dyDescent="0.25">
      <c r="A38" s="1">
        <v>45764</v>
      </c>
      <c r="B38" s="1">
        <v>45761</v>
      </c>
      <c r="C38" t="s">
        <v>38</v>
      </c>
      <c r="D38" t="s">
        <v>39</v>
      </c>
      <c r="E38" t="s">
        <v>40</v>
      </c>
      <c r="F38">
        <v>649163</v>
      </c>
      <c r="G38">
        <v>20411454</v>
      </c>
      <c r="H38" t="s">
        <v>41</v>
      </c>
      <c r="I38">
        <v>2028341378</v>
      </c>
      <c r="J38" t="s">
        <v>104</v>
      </c>
      <c r="M38" t="s">
        <v>50</v>
      </c>
      <c r="O38">
        <v>822733</v>
      </c>
      <c r="P38" t="s">
        <v>62</v>
      </c>
      <c r="Q38" t="s">
        <v>45</v>
      </c>
      <c r="R38" t="s">
        <v>52</v>
      </c>
      <c r="S38" s="1">
        <v>45784</v>
      </c>
      <c r="U38" t="s">
        <v>47</v>
      </c>
      <c r="X38" t="s">
        <v>48</v>
      </c>
      <c r="Y38" s="2">
        <v>60.4</v>
      </c>
      <c r="Z38" s="2">
        <v>60.4</v>
      </c>
      <c r="AA38">
        <v>0</v>
      </c>
      <c r="AB38" s="3">
        <v>0.7</v>
      </c>
      <c r="AC38" s="2">
        <v>0</v>
      </c>
      <c r="AD38" s="3">
        <v>0</v>
      </c>
      <c r="AE38" s="2">
        <v>0</v>
      </c>
      <c r="AF38" s="2">
        <v>0</v>
      </c>
      <c r="AK38" s="4">
        <v>18467860</v>
      </c>
    </row>
    <row r="39" spans="1:37" x14ac:dyDescent="0.25">
      <c r="A39" s="1">
        <v>45764</v>
      </c>
      <c r="B39" s="1">
        <v>45761</v>
      </c>
      <c r="C39" t="s">
        <v>38</v>
      </c>
      <c r="D39" t="s">
        <v>39</v>
      </c>
      <c r="E39" t="s">
        <v>40</v>
      </c>
      <c r="F39">
        <v>649163</v>
      </c>
      <c r="G39">
        <v>20411454</v>
      </c>
      <c r="H39" t="s">
        <v>41</v>
      </c>
      <c r="I39">
        <v>2028341379</v>
      </c>
      <c r="J39" t="s">
        <v>104</v>
      </c>
      <c r="M39" t="s">
        <v>50</v>
      </c>
      <c r="O39">
        <v>822733</v>
      </c>
      <c r="P39" t="s">
        <v>62</v>
      </c>
      <c r="Q39" t="s">
        <v>45</v>
      </c>
      <c r="R39" t="s">
        <v>57</v>
      </c>
      <c r="S39" s="1">
        <v>45784</v>
      </c>
      <c r="U39" t="s">
        <v>47</v>
      </c>
      <c r="X39" t="s">
        <v>48</v>
      </c>
      <c r="Y39" s="2">
        <v>113.05</v>
      </c>
      <c r="Z39" s="2">
        <v>113.05</v>
      </c>
      <c r="AA39">
        <v>0</v>
      </c>
      <c r="AB39" s="3">
        <v>0.375</v>
      </c>
      <c r="AC39" s="2">
        <v>0</v>
      </c>
      <c r="AD39" s="3">
        <v>0</v>
      </c>
      <c r="AE39" s="2">
        <v>0</v>
      </c>
      <c r="AF39" s="2">
        <v>0</v>
      </c>
      <c r="AK39" s="4">
        <v>18482940</v>
      </c>
    </row>
    <row r="40" spans="1:37" x14ac:dyDescent="0.25">
      <c r="A40" s="1">
        <v>45764</v>
      </c>
      <c r="B40" s="1">
        <v>45761</v>
      </c>
      <c r="C40" t="s">
        <v>38</v>
      </c>
      <c r="D40" t="s">
        <v>39</v>
      </c>
      <c r="E40" t="s">
        <v>40</v>
      </c>
      <c r="F40">
        <v>649163</v>
      </c>
      <c r="G40">
        <v>20411454</v>
      </c>
      <c r="H40" t="s">
        <v>41</v>
      </c>
      <c r="I40">
        <v>2028361881</v>
      </c>
      <c r="J40" t="s">
        <v>105</v>
      </c>
      <c r="M40" t="s">
        <v>86</v>
      </c>
      <c r="O40">
        <v>650218</v>
      </c>
      <c r="P40" t="s">
        <v>106</v>
      </c>
      <c r="Q40" t="s">
        <v>45</v>
      </c>
      <c r="R40" t="s">
        <v>93</v>
      </c>
      <c r="S40" s="1">
        <v>45778</v>
      </c>
      <c r="U40" t="s">
        <v>47</v>
      </c>
      <c r="X40" t="s">
        <v>48</v>
      </c>
      <c r="Y40" s="2">
        <v>25.73</v>
      </c>
      <c r="Z40" s="2">
        <v>25.73</v>
      </c>
      <c r="AA40">
        <v>0</v>
      </c>
      <c r="AB40" s="3">
        <v>0.7</v>
      </c>
      <c r="AC40" s="2">
        <v>0</v>
      </c>
      <c r="AD40" s="3">
        <v>0</v>
      </c>
      <c r="AE40" s="2">
        <v>0</v>
      </c>
      <c r="AF40" s="2">
        <v>0</v>
      </c>
      <c r="AK40" s="4">
        <v>18461500</v>
      </c>
    </row>
    <row r="41" spans="1:37" x14ac:dyDescent="0.25">
      <c r="A41" s="1">
        <v>45764</v>
      </c>
      <c r="B41" s="1">
        <v>45761</v>
      </c>
      <c r="C41" t="s">
        <v>38</v>
      </c>
      <c r="D41" t="s">
        <v>39</v>
      </c>
      <c r="E41" t="s">
        <v>40</v>
      </c>
      <c r="F41">
        <v>649163</v>
      </c>
      <c r="G41">
        <v>20411454</v>
      </c>
      <c r="H41" t="s">
        <v>41</v>
      </c>
      <c r="I41">
        <v>2028361882</v>
      </c>
      <c r="J41" t="s">
        <v>105</v>
      </c>
      <c r="M41" t="s">
        <v>86</v>
      </c>
      <c r="O41">
        <v>650218</v>
      </c>
      <c r="P41" t="s">
        <v>106</v>
      </c>
      <c r="Q41" t="s">
        <v>45</v>
      </c>
      <c r="R41" t="s">
        <v>57</v>
      </c>
      <c r="S41" s="1">
        <v>45778</v>
      </c>
      <c r="U41" t="s">
        <v>47</v>
      </c>
      <c r="X41" t="s">
        <v>48</v>
      </c>
      <c r="Y41" s="2">
        <v>15.88</v>
      </c>
      <c r="Z41" s="2">
        <v>15.88</v>
      </c>
      <c r="AA41">
        <v>0</v>
      </c>
      <c r="AB41" s="3">
        <v>0.375</v>
      </c>
      <c r="AC41" s="2">
        <v>0</v>
      </c>
      <c r="AD41" s="3">
        <v>0</v>
      </c>
      <c r="AE41" s="2">
        <v>0</v>
      </c>
      <c r="AF41" s="2">
        <v>0</v>
      </c>
      <c r="AK41" s="4">
        <v>18483080</v>
      </c>
    </row>
    <row r="42" spans="1:37" x14ac:dyDescent="0.25">
      <c r="A42" s="1">
        <v>45764</v>
      </c>
      <c r="B42" s="1">
        <v>45761</v>
      </c>
      <c r="C42" t="s">
        <v>38</v>
      </c>
      <c r="D42" t="s">
        <v>39</v>
      </c>
      <c r="E42" t="s">
        <v>40</v>
      </c>
      <c r="F42">
        <v>649163</v>
      </c>
      <c r="G42">
        <v>20411454</v>
      </c>
      <c r="H42" t="s">
        <v>41</v>
      </c>
      <c r="I42">
        <v>2028367116</v>
      </c>
      <c r="J42" t="s">
        <v>107</v>
      </c>
      <c r="M42" t="s">
        <v>79</v>
      </c>
      <c r="O42">
        <v>673059</v>
      </c>
      <c r="P42" t="s">
        <v>91</v>
      </c>
      <c r="Q42" t="s">
        <v>45</v>
      </c>
      <c r="R42" t="s">
        <v>52</v>
      </c>
      <c r="S42" s="1">
        <v>45759</v>
      </c>
      <c r="U42" t="s">
        <v>47</v>
      </c>
      <c r="X42" t="s">
        <v>48</v>
      </c>
      <c r="Y42" s="2">
        <v>63.95</v>
      </c>
      <c r="Z42" s="2">
        <v>63.95</v>
      </c>
      <c r="AA42">
        <v>0</v>
      </c>
      <c r="AB42" s="3">
        <v>0.7</v>
      </c>
      <c r="AC42" s="2">
        <v>0</v>
      </c>
      <c r="AD42" s="3">
        <v>0</v>
      </c>
      <c r="AE42" s="2">
        <v>0</v>
      </c>
      <c r="AF42" s="2">
        <v>0</v>
      </c>
      <c r="AK42" s="4">
        <v>18467990</v>
      </c>
    </row>
    <row r="43" spans="1:37" x14ac:dyDescent="0.25">
      <c r="A43" s="1">
        <v>45764</v>
      </c>
      <c r="B43" s="1">
        <v>45761</v>
      </c>
      <c r="C43" t="s">
        <v>38</v>
      </c>
      <c r="D43" t="s">
        <v>39</v>
      </c>
      <c r="E43" t="s">
        <v>40</v>
      </c>
      <c r="F43">
        <v>649163</v>
      </c>
      <c r="G43">
        <v>20411454</v>
      </c>
      <c r="H43" t="s">
        <v>41</v>
      </c>
      <c r="I43">
        <v>2028367117</v>
      </c>
      <c r="J43" t="s">
        <v>107</v>
      </c>
      <c r="M43" t="s">
        <v>79</v>
      </c>
      <c r="O43">
        <v>673059</v>
      </c>
      <c r="P43" t="s">
        <v>91</v>
      </c>
      <c r="Q43" t="s">
        <v>45</v>
      </c>
      <c r="R43" t="s">
        <v>92</v>
      </c>
      <c r="S43" s="1">
        <v>45759</v>
      </c>
      <c r="U43" t="s">
        <v>47</v>
      </c>
      <c r="X43" t="s">
        <v>48</v>
      </c>
      <c r="Y43" s="2">
        <v>27.71</v>
      </c>
      <c r="Z43" s="2">
        <v>27.71</v>
      </c>
      <c r="AA43">
        <v>0</v>
      </c>
      <c r="AB43" s="3">
        <v>0.9</v>
      </c>
      <c r="AC43" s="2">
        <v>0</v>
      </c>
      <c r="AD43" s="3">
        <v>0</v>
      </c>
      <c r="AE43" s="2">
        <v>0</v>
      </c>
      <c r="AF43" s="2">
        <v>0</v>
      </c>
      <c r="AK43" s="4">
        <v>18474700</v>
      </c>
    </row>
    <row r="44" spans="1:37" x14ac:dyDescent="0.25">
      <c r="A44" s="1">
        <v>45764</v>
      </c>
      <c r="B44" s="1">
        <v>45761</v>
      </c>
      <c r="C44" t="s">
        <v>38</v>
      </c>
      <c r="D44" t="s">
        <v>39</v>
      </c>
      <c r="E44" t="s">
        <v>40</v>
      </c>
      <c r="F44">
        <v>649163</v>
      </c>
      <c r="G44">
        <v>20411454</v>
      </c>
      <c r="H44" t="s">
        <v>41</v>
      </c>
      <c r="I44">
        <v>2028367118</v>
      </c>
      <c r="J44" t="s">
        <v>107</v>
      </c>
      <c r="M44" t="s">
        <v>79</v>
      </c>
      <c r="O44">
        <v>673059</v>
      </c>
      <c r="P44" t="s">
        <v>91</v>
      </c>
      <c r="Q44" t="s">
        <v>45</v>
      </c>
      <c r="R44" t="s">
        <v>88</v>
      </c>
      <c r="S44" s="1">
        <v>45759</v>
      </c>
      <c r="U44" t="s">
        <v>47</v>
      </c>
      <c r="X44" t="s">
        <v>48</v>
      </c>
      <c r="Y44" s="2">
        <v>181.4</v>
      </c>
      <c r="Z44" s="2">
        <v>181.4</v>
      </c>
      <c r="AA44">
        <v>0</v>
      </c>
      <c r="AB44" s="3">
        <v>0.38</v>
      </c>
      <c r="AC44" s="2">
        <v>0</v>
      </c>
      <c r="AD44" s="3">
        <v>0</v>
      </c>
      <c r="AE44" s="2">
        <v>0</v>
      </c>
      <c r="AF44" s="2">
        <v>0</v>
      </c>
      <c r="AK44" s="4">
        <v>18468000</v>
      </c>
    </row>
    <row r="45" spans="1:37" x14ac:dyDescent="0.25">
      <c r="A45" s="1">
        <v>45764</v>
      </c>
      <c r="B45" s="1">
        <v>45761</v>
      </c>
      <c r="C45" t="s">
        <v>38</v>
      </c>
      <c r="D45" t="s">
        <v>39</v>
      </c>
      <c r="E45" t="s">
        <v>40</v>
      </c>
      <c r="F45">
        <v>649163</v>
      </c>
      <c r="G45">
        <v>20411454</v>
      </c>
      <c r="H45" t="s">
        <v>41</v>
      </c>
      <c r="I45">
        <v>2028367119</v>
      </c>
      <c r="J45" t="s">
        <v>107</v>
      </c>
      <c r="M45" t="s">
        <v>79</v>
      </c>
      <c r="O45">
        <v>673059</v>
      </c>
      <c r="P45" t="s">
        <v>91</v>
      </c>
      <c r="Q45" t="s">
        <v>45</v>
      </c>
      <c r="R45" t="s">
        <v>108</v>
      </c>
      <c r="S45" s="1">
        <v>45759</v>
      </c>
      <c r="U45" t="s">
        <v>47</v>
      </c>
      <c r="X45" t="s">
        <v>48</v>
      </c>
      <c r="Y45" s="2">
        <v>7.09</v>
      </c>
      <c r="Z45" s="2">
        <v>7.09</v>
      </c>
      <c r="AA45">
        <v>0</v>
      </c>
      <c r="AB45" s="3">
        <v>0.38</v>
      </c>
      <c r="AC45" s="2">
        <v>0</v>
      </c>
      <c r="AD45" s="3">
        <v>0</v>
      </c>
      <c r="AE45" s="2">
        <v>0</v>
      </c>
      <c r="AF45" s="2">
        <v>0</v>
      </c>
      <c r="AK45" s="4">
        <v>18483510</v>
      </c>
    </row>
    <row r="46" spans="1:37" x14ac:dyDescent="0.25">
      <c r="A46" s="1">
        <v>45764</v>
      </c>
      <c r="B46" s="1">
        <v>45761</v>
      </c>
      <c r="C46" t="s">
        <v>38</v>
      </c>
      <c r="D46" t="s">
        <v>39</v>
      </c>
      <c r="E46" t="s">
        <v>40</v>
      </c>
      <c r="F46">
        <v>649163</v>
      </c>
      <c r="G46">
        <v>20411454</v>
      </c>
      <c r="H46" t="s">
        <v>41</v>
      </c>
      <c r="I46">
        <v>2028367120</v>
      </c>
      <c r="J46" t="s">
        <v>107</v>
      </c>
      <c r="M46" t="s">
        <v>79</v>
      </c>
      <c r="O46">
        <v>673059</v>
      </c>
      <c r="P46" t="s">
        <v>91</v>
      </c>
      <c r="Q46" t="s">
        <v>45</v>
      </c>
      <c r="R46" t="s">
        <v>57</v>
      </c>
      <c r="S46" s="1">
        <v>45759</v>
      </c>
      <c r="U46" t="s">
        <v>47</v>
      </c>
      <c r="X46" t="s">
        <v>48</v>
      </c>
      <c r="Y46" s="2">
        <v>18.62</v>
      </c>
      <c r="Z46" s="2">
        <v>18.62</v>
      </c>
      <c r="AA46">
        <v>0</v>
      </c>
      <c r="AB46" s="3">
        <v>0.375</v>
      </c>
      <c r="AC46" s="2">
        <v>0</v>
      </c>
      <c r="AD46" s="3">
        <v>0</v>
      </c>
      <c r="AE46" s="2">
        <v>0</v>
      </c>
      <c r="AF46" s="2">
        <v>0</v>
      </c>
      <c r="AK46" s="4">
        <v>18483130</v>
      </c>
    </row>
    <row r="47" spans="1:37" x14ac:dyDescent="0.25">
      <c r="A47" s="1">
        <v>45764</v>
      </c>
      <c r="B47" s="1">
        <v>45761</v>
      </c>
      <c r="C47" t="s">
        <v>38</v>
      </c>
      <c r="D47" t="s">
        <v>39</v>
      </c>
      <c r="E47" t="s">
        <v>40</v>
      </c>
      <c r="F47">
        <v>649163</v>
      </c>
      <c r="G47">
        <v>20411454</v>
      </c>
      <c r="H47" t="s">
        <v>41</v>
      </c>
      <c r="I47">
        <v>2028367121</v>
      </c>
      <c r="J47" t="s">
        <v>107</v>
      </c>
      <c r="M47" t="s">
        <v>79</v>
      </c>
      <c r="O47">
        <v>673059</v>
      </c>
      <c r="P47" t="s">
        <v>91</v>
      </c>
      <c r="Q47" t="s">
        <v>45</v>
      </c>
      <c r="R47" t="s">
        <v>109</v>
      </c>
      <c r="S47" s="1">
        <v>45759</v>
      </c>
      <c r="U47" t="s">
        <v>47</v>
      </c>
      <c r="X47" t="s">
        <v>110</v>
      </c>
      <c r="Y47" s="2">
        <v>15</v>
      </c>
      <c r="Z47" s="2">
        <v>15</v>
      </c>
      <c r="AA47">
        <v>0</v>
      </c>
      <c r="AB47" s="3">
        <v>0.38</v>
      </c>
      <c r="AC47" s="2">
        <v>0</v>
      </c>
      <c r="AD47" s="3">
        <v>0</v>
      </c>
      <c r="AE47" s="2">
        <v>0</v>
      </c>
      <c r="AF47" s="2">
        <v>0</v>
      </c>
      <c r="AK47" s="4">
        <v>18472100</v>
      </c>
    </row>
    <row r="48" spans="1:37" x14ac:dyDescent="0.25">
      <c r="A48" s="1">
        <v>45764</v>
      </c>
      <c r="B48" s="1">
        <v>45761</v>
      </c>
      <c r="C48" t="s">
        <v>38</v>
      </c>
      <c r="D48" t="s">
        <v>39</v>
      </c>
      <c r="E48" t="s">
        <v>40</v>
      </c>
      <c r="F48">
        <v>649163</v>
      </c>
      <c r="G48">
        <v>20411454</v>
      </c>
      <c r="H48" t="s">
        <v>41</v>
      </c>
      <c r="I48">
        <v>2028368523</v>
      </c>
      <c r="J48" t="s">
        <v>111</v>
      </c>
      <c r="M48" t="s">
        <v>50</v>
      </c>
      <c r="O48">
        <v>822733</v>
      </c>
      <c r="P48" t="s">
        <v>62</v>
      </c>
      <c r="Q48" t="s">
        <v>45</v>
      </c>
      <c r="R48" t="s">
        <v>52</v>
      </c>
      <c r="S48" s="1">
        <v>45784</v>
      </c>
      <c r="U48" t="s">
        <v>47</v>
      </c>
      <c r="X48" t="s">
        <v>48</v>
      </c>
      <c r="Y48" s="2">
        <v>48.76</v>
      </c>
      <c r="Z48" s="2">
        <v>48.76</v>
      </c>
      <c r="AA48">
        <v>0</v>
      </c>
      <c r="AB48" s="3">
        <v>0.7</v>
      </c>
      <c r="AC48" s="2">
        <v>0</v>
      </c>
      <c r="AD48" s="3">
        <v>0</v>
      </c>
      <c r="AE48" s="2">
        <v>0</v>
      </c>
      <c r="AF48" s="2">
        <v>0</v>
      </c>
      <c r="AK48" s="4">
        <v>18468000</v>
      </c>
    </row>
    <row r="49" spans="1:37" x14ac:dyDescent="0.25">
      <c r="A49" s="1">
        <v>45764</v>
      </c>
      <c r="B49" s="1">
        <v>45761</v>
      </c>
      <c r="C49" t="s">
        <v>38</v>
      </c>
      <c r="D49" t="s">
        <v>39</v>
      </c>
      <c r="E49" t="s">
        <v>40</v>
      </c>
      <c r="F49">
        <v>649163</v>
      </c>
      <c r="G49">
        <v>20411454</v>
      </c>
      <c r="H49" t="s">
        <v>41</v>
      </c>
      <c r="I49">
        <v>2028368907</v>
      </c>
      <c r="J49" t="s">
        <v>112</v>
      </c>
      <c r="M49" t="s">
        <v>79</v>
      </c>
      <c r="O49">
        <v>821015</v>
      </c>
      <c r="P49" t="s">
        <v>101</v>
      </c>
      <c r="Q49" t="s">
        <v>45</v>
      </c>
      <c r="R49" t="s">
        <v>52</v>
      </c>
      <c r="S49" s="1">
        <v>45761</v>
      </c>
      <c r="U49" t="s">
        <v>47</v>
      </c>
      <c r="X49" t="s">
        <v>48</v>
      </c>
      <c r="Y49" s="2">
        <v>22.72</v>
      </c>
      <c r="Z49" s="2">
        <v>22.72</v>
      </c>
      <c r="AA49">
        <v>0</v>
      </c>
      <c r="AB49" s="3">
        <v>0.7</v>
      </c>
      <c r="AC49" s="2">
        <v>0</v>
      </c>
      <c r="AD49" s="3">
        <v>0</v>
      </c>
      <c r="AE49" s="2">
        <v>0</v>
      </c>
      <c r="AF49" s="2">
        <v>0</v>
      </c>
      <c r="AK49" s="4">
        <v>18468000</v>
      </c>
    </row>
    <row r="50" spans="1:37" x14ac:dyDescent="0.25">
      <c r="A50" s="1">
        <v>45764</v>
      </c>
      <c r="B50" s="1">
        <v>45761</v>
      </c>
      <c r="C50" t="s">
        <v>38</v>
      </c>
      <c r="D50" t="s">
        <v>39</v>
      </c>
      <c r="E50" t="s">
        <v>40</v>
      </c>
      <c r="F50">
        <v>649163</v>
      </c>
      <c r="G50">
        <v>20411454</v>
      </c>
      <c r="H50" t="s">
        <v>41</v>
      </c>
      <c r="I50">
        <v>2028379892</v>
      </c>
      <c r="J50" t="s">
        <v>113</v>
      </c>
      <c r="M50" t="s">
        <v>50</v>
      </c>
      <c r="O50">
        <v>822865</v>
      </c>
      <c r="P50" t="s">
        <v>80</v>
      </c>
      <c r="Q50" t="s">
        <v>45</v>
      </c>
      <c r="R50" t="s">
        <v>52</v>
      </c>
      <c r="S50" s="1">
        <v>45760</v>
      </c>
      <c r="U50" t="s">
        <v>47</v>
      </c>
      <c r="X50" t="s">
        <v>48</v>
      </c>
      <c r="Y50" s="2">
        <v>129.22</v>
      </c>
      <c r="Z50" s="2">
        <v>129.22</v>
      </c>
      <c r="AA50">
        <v>0</v>
      </c>
      <c r="AB50" s="3">
        <v>0.7</v>
      </c>
      <c r="AC50" s="2">
        <v>0</v>
      </c>
      <c r="AD50" s="3">
        <v>0</v>
      </c>
      <c r="AE50" s="2">
        <v>0</v>
      </c>
      <c r="AF50" s="2">
        <v>0</v>
      </c>
      <c r="AK50" s="4">
        <v>18468050</v>
      </c>
    </row>
    <row r="51" spans="1:37" x14ac:dyDescent="0.25">
      <c r="A51" s="1">
        <v>45764</v>
      </c>
      <c r="B51" s="1">
        <v>45761</v>
      </c>
      <c r="C51" t="s">
        <v>38</v>
      </c>
      <c r="D51" t="s">
        <v>39</v>
      </c>
      <c r="E51" t="s">
        <v>40</v>
      </c>
      <c r="F51">
        <v>649163</v>
      </c>
      <c r="G51">
        <v>20411454</v>
      </c>
      <c r="H51" t="s">
        <v>41</v>
      </c>
      <c r="I51">
        <v>2028379893</v>
      </c>
      <c r="J51" t="s">
        <v>113</v>
      </c>
      <c r="M51" t="s">
        <v>50</v>
      </c>
      <c r="O51">
        <v>822865</v>
      </c>
      <c r="P51" t="s">
        <v>80</v>
      </c>
      <c r="Q51" t="s">
        <v>45</v>
      </c>
      <c r="R51" t="s">
        <v>57</v>
      </c>
      <c r="S51" s="1">
        <v>45760</v>
      </c>
      <c r="U51" t="s">
        <v>47</v>
      </c>
      <c r="X51" t="s">
        <v>48</v>
      </c>
      <c r="Y51" s="2">
        <v>27.95</v>
      </c>
      <c r="Z51" s="2">
        <v>27.95</v>
      </c>
      <c r="AA51">
        <v>0</v>
      </c>
      <c r="AB51" s="3">
        <v>0.375</v>
      </c>
      <c r="AC51" s="2">
        <v>0</v>
      </c>
      <c r="AD51" s="3">
        <v>0</v>
      </c>
      <c r="AE51" s="2">
        <v>0</v>
      </c>
      <c r="AF51" s="2">
        <v>0</v>
      </c>
      <c r="AK51" s="4">
        <v>18483200</v>
      </c>
    </row>
    <row r="52" spans="1:37" x14ac:dyDescent="0.25">
      <c r="A52" s="1">
        <v>45764</v>
      </c>
      <c r="B52" s="1">
        <v>45761</v>
      </c>
      <c r="C52" t="s">
        <v>38</v>
      </c>
      <c r="D52" t="s">
        <v>39</v>
      </c>
      <c r="E52" t="s">
        <v>40</v>
      </c>
      <c r="F52">
        <v>649163</v>
      </c>
      <c r="G52">
        <v>20411454</v>
      </c>
      <c r="H52" t="s">
        <v>41</v>
      </c>
      <c r="I52">
        <v>2028379894</v>
      </c>
      <c r="J52" t="s">
        <v>113</v>
      </c>
      <c r="M52" t="s">
        <v>50</v>
      </c>
      <c r="O52">
        <v>822865</v>
      </c>
      <c r="P52" t="s">
        <v>80</v>
      </c>
      <c r="Q52" t="s">
        <v>45</v>
      </c>
      <c r="R52" t="s">
        <v>84</v>
      </c>
      <c r="S52" s="1">
        <v>45760</v>
      </c>
      <c r="U52" t="s">
        <v>47</v>
      </c>
      <c r="X52" t="s">
        <v>48</v>
      </c>
      <c r="Y52" s="2">
        <v>81.099999999999994</v>
      </c>
      <c r="Z52" s="2">
        <v>81.099999999999994</v>
      </c>
      <c r="AA52">
        <v>0</v>
      </c>
      <c r="AB52" s="3">
        <v>0.75</v>
      </c>
      <c r="AC52" s="2">
        <v>0</v>
      </c>
      <c r="AD52" s="3">
        <v>0</v>
      </c>
      <c r="AE52" s="2">
        <v>0</v>
      </c>
      <c r="AF52" s="2">
        <v>0</v>
      </c>
      <c r="AK52" s="4">
        <v>18474720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1DCFD-F662-4DD6-A325-EBC5FF0810FC}">
  <dimension ref="A1:X19"/>
  <sheetViews>
    <sheetView tabSelected="1" workbookViewId="0">
      <selection activeCell="A10" sqref="A10"/>
    </sheetView>
  </sheetViews>
  <sheetFormatPr defaultRowHeight="15" x14ac:dyDescent="0.25"/>
  <cols>
    <col min="1" max="1" width="14" bestFit="1" customWidth="1"/>
    <col min="2" max="2" width="26" bestFit="1" customWidth="1"/>
    <col min="3" max="3" width="8.140625" bestFit="1" customWidth="1"/>
    <col min="4" max="4" width="4.140625" bestFit="1" customWidth="1"/>
    <col min="5" max="5" width="5.28515625" bestFit="1" customWidth="1"/>
    <col min="6" max="6" width="8.5703125" bestFit="1" customWidth="1"/>
    <col min="7" max="7" width="15" bestFit="1" customWidth="1"/>
    <col min="8" max="8" width="24.42578125" bestFit="1" customWidth="1"/>
    <col min="9" max="9" width="12.140625" bestFit="1" customWidth="1"/>
    <col min="10" max="10" width="30.5703125" bestFit="1" customWidth="1"/>
    <col min="11" max="11" width="10.140625" bestFit="1" customWidth="1"/>
    <col min="12" max="12" width="12.28515625" bestFit="1" customWidth="1"/>
    <col min="13" max="13" width="14" bestFit="1" customWidth="1"/>
    <col min="14" max="14" width="12" bestFit="1" customWidth="1"/>
    <col min="15" max="15" width="16.140625" bestFit="1" customWidth="1"/>
    <col min="16" max="16" width="9" bestFit="1" customWidth="1"/>
    <col min="17" max="17" width="17.85546875" bestFit="1" customWidth="1"/>
    <col min="18" max="18" width="16.140625" bestFit="1" customWidth="1"/>
    <col min="19" max="19" width="16.7109375" bestFit="1" customWidth="1"/>
    <col min="20" max="20" width="16.5703125" bestFit="1" customWidth="1"/>
    <col min="21" max="21" width="18" bestFit="1" customWidth="1"/>
    <col min="22" max="22" width="11.5703125" bestFit="1" customWidth="1"/>
    <col min="23" max="23" width="14.7109375" bestFit="1" customWidth="1"/>
    <col min="24" max="24" width="9.5703125" bestFit="1" customWidth="1"/>
  </cols>
  <sheetData>
    <row r="1" spans="1:24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</row>
    <row r="2" spans="1:24" x14ac:dyDescent="0.25">
      <c r="A2">
        <v>2028253025</v>
      </c>
      <c r="B2" t="s">
        <v>59</v>
      </c>
      <c r="E2" t="s">
        <v>55</v>
      </c>
      <c r="G2" t="s">
        <v>114</v>
      </c>
      <c r="H2" t="s">
        <v>60</v>
      </c>
      <c r="I2" t="s">
        <v>45</v>
      </c>
      <c r="J2" t="s">
        <v>122</v>
      </c>
      <c r="K2" s="1">
        <v>45778</v>
      </c>
      <c r="M2" t="s">
        <v>47</v>
      </c>
      <c r="P2" t="s">
        <v>48</v>
      </c>
      <c r="Q2" s="2">
        <v>57.19</v>
      </c>
      <c r="R2" s="2">
        <v>57.19</v>
      </c>
      <c r="S2">
        <v>0</v>
      </c>
      <c r="T2" s="3">
        <v>0.375</v>
      </c>
      <c r="U2" s="2">
        <f>SUM(R2*T2)</f>
        <v>21.446249999999999</v>
      </c>
      <c r="V2" s="3">
        <v>0</v>
      </c>
      <c r="W2" s="2">
        <v>0</v>
      </c>
      <c r="X2" s="2">
        <v>0</v>
      </c>
    </row>
    <row r="3" spans="1:24" x14ac:dyDescent="0.25">
      <c r="A3">
        <v>2028281146</v>
      </c>
      <c r="B3" t="s">
        <v>71</v>
      </c>
      <c r="E3" t="s">
        <v>72</v>
      </c>
      <c r="G3" t="s">
        <v>116</v>
      </c>
      <c r="H3" t="s">
        <v>73</v>
      </c>
      <c r="I3" t="s">
        <v>45</v>
      </c>
      <c r="J3" t="s">
        <v>122</v>
      </c>
      <c r="K3" s="1">
        <v>45755</v>
      </c>
      <c r="M3" t="s">
        <v>47</v>
      </c>
      <c r="P3" t="s">
        <v>48</v>
      </c>
      <c r="Q3" s="2">
        <v>120.25</v>
      </c>
      <c r="R3" s="2">
        <v>120.25</v>
      </c>
      <c r="S3">
        <v>0</v>
      </c>
      <c r="T3" s="3">
        <v>0.375</v>
      </c>
      <c r="U3" s="2">
        <f>SUM(R3*T3)</f>
        <v>45.09375</v>
      </c>
      <c r="V3" s="3">
        <v>0</v>
      </c>
      <c r="W3" s="2">
        <v>0</v>
      </c>
      <c r="X3" s="2">
        <v>0</v>
      </c>
    </row>
    <row r="4" spans="1:24" x14ac:dyDescent="0.25">
      <c r="A4">
        <v>2028271608</v>
      </c>
      <c r="B4" t="s">
        <v>63</v>
      </c>
      <c r="E4" t="s">
        <v>55</v>
      </c>
      <c r="G4" t="s">
        <v>117</v>
      </c>
      <c r="H4" t="s">
        <v>64</v>
      </c>
      <c r="I4" t="s">
        <v>45</v>
      </c>
      <c r="J4" t="s">
        <v>122</v>
      </c>
      <c r="K4" s="1">
        <v>45755</v>
      </c>
      <c r="M4" t="s">
        <v>47</v>
      </c>
      <c r="P4" t="s">
        <v>48</v>
      </c>
      <c r="Q4" s="2">
        <v>81.94</v>
      </c>
      <c r="R4" s="2">
        <v>81.94</v>
      </c>
      <c r="S4">
        <v>0</v>
      </c>
      <c r="T4" s="3">
        <v>0.375</v>
      </c>
      <c r="U4" s="2">
        <f>SUM(R4*T4)</f>
        <v>30.727499999999999</v>
      </c>
      <c r="V4" s="3">
        <v>0</v>
      </c>
      <c r="W4" s="2">
        <v>0</v>
      </c>
      <c r="X4" s="2">
        <v>0</v>
      </c>
    </row>
    <row r="5" spans="1:24" x14ac:dyDescent="0.25">
      <c r="A5">
        <v>2028297703</v>
      </c>
      <c r="B5" t="s">
        <v>78</v>
      </c>
      <c r="E5" t="s">
        <v>79</v>
      </c>
      <c r="G5" t="s">
        <v>118</v>
      </c>
      <c r="H5" t="s">
        <v>80</v>
      </c>
      <c r="I5" t="s">
        <v>45</v>
      </c>
      <c r="J5" t="s">
        <v>122</v>
      </c>
      <c r="K5" s="1">
        <v>45756</v>
      </c>
      <c r="M5" t="s">
        <v>47</v>
      </c>
      <c r="P5" t="s">
        <v>48</v>
      </c>
      <c r="Q5" s="2">
        <v>18.62</v>
      </c>
      <c r="R5" s="2">
        <v>18.62</v>
      </c>
      <c r="S5">
        <v>0</v>
      </c>
      <c r="T5" s="3">
        <v>0.375</v>
      </c>
      <c r="U5" s="2">
        <f>SUM(R5*T5)</f>
        <v>6.9824999999999999</v>
      </c>
      <c r="V5" s="3">
        <v>0</v>
      </c>
      <c r="W5" s="2">
        <v>0</v>
      </c>
      <c r="X5" s="2">
        <v>0</v>
      </c>
    </row>
    <row r="6" spans="1:24" x14ac:dyDescent="0.25">
      <c r="A6">
        <v>2028379893</v>
      </c>
      <c r="B6" t="s">
        <v>113</v>
      </c>
      <c r="E6" t="s">
        <v>50</v>
      </c>
      <c r="G6" t="s">
        <v>118</v>
      </c>
      <c r="H6" t="s">
        <v>80</v>
      </c>
      <c r="I6" t="s">
        <v>45</v>
      </c>
      <c r="J6" t="s">
        <v>122</v>
      </c>
      <c r="K6" s="1">
        <v>45760</v>
      </c>
      <c r="M6" t="s">
        <v>47</v>
      </c>
      <c r="P6" t="s">
        <v>48</v>
      </c>
      <c r="Q6" s="2">
        <v>27.95</v>
      </c>
      <c r="R6" s="2">
        <v>27.95</v>
      </c>
      <c r="S6">
        <v>0</v>
      </c>
      <c r="T6" s="3">
        <v>0.375</v>
      </c>
      <c r="U6" s="2">
        <f>SUM(R6*T6)</f>
        <v>10.481249999999999</v>
      </c>
      <c r="V6" s="3">
        <v>0</v>
      </c>
      <c r="W6" s="2">
        <v>0</v>
      </c>
      <c r="X6" s="2">
        <v>0</v>
      </c>
    </row>
    <row r="7" spans="1:24" x14ac:dyDescent="0.25">
      <c r="A7">
        <v>2028188431</v>
      </c>
      <c r="B7" t="s">
        <v>54</v>
      </c>
      <c r="E7" t="s">
        <v>55</v>
      </c>
      <c r="G7" t="s">
        <v>119</v>
      </c>
      <c r="H7" t="s">
        <v>56</v>
      </c>
      <c r="I7" t="s">
        <v>45</v>
      </c>
      <c r="J7" t="s">
        <v>122</v>
      </c>
      <c r="K7" s="1">
        <v>45789</v>
      </c>
      <c r="M7" t="s">
        <v>47</v>
      </c>
      <c r="P7" t="s">
        <v>48</v>
      </c>
      <c r="Q7" s="2">
        <v>67.19</v>
      </c>
      <c r="R7" s="2">
        <v>67.19</v>
      </c>
      <c r="S7">
        <v>0</v>
      </c>
      <c r="T7" s="3">
        <v>0.375</v>
      </c>
      <c r="U7" s="2">
        <f>SUM(R7*T7)</f>
        <v>25.196249999999999</v>
      </c>
      <c r="V7" s="3">
        <v>0</v>
      </c>
      <c r="W7" s="2">
        <v>0</v>
      </c>
      <c r="X7" s="2">
        <v>0</v>
      </c>
    </row>
    <row r="8" spans="1:24" x14ac:dyDescent="0.25">
      <c r="A8">
        <v>2028286377</v>
      </c>
      <c r="B8" t="s">
        <v>74</v>
      </c>
      <c r="E8" t="s">
        <v>55</v>
      </c>
      <c r="G8" t="s">
        <v>121</v>
      </c>
      <c r="H8" t="s">
        <v>75</v>
      </c>
      <c r="I8" t="s">
        <v>45</v>
      </c>
      <c r="J8" t="s">
        <v>122</v>
      </c>
      <c r="K8" s="1">
        <v>45755</v>
      </c>
      <c r="M8" t="s">
        <v>47</v>
      </c>
      <c r="P8" t="s">
        <v>48</v>
      </c>
      <c r="Q8" s="2">
        <v>147.41</v>
      </c>
      <c r="R8" s="2">
        <v>147.41</v>
      </c>
      <c r="S8">
        <v>0</v>
      </c>
      <c r="T8" s="3">
        <v>0.375</v>
      </c>
      <c r="U8" s="2">
        <f>SUM(R8*T8)</f>
        <v>55.278750000000002</v>
      </c>
      <c r="V8" s="3">
        <v>0</v>
      </c>
      <c r="W8" s="2">
        <v>0</v>
      </c>
      <c r="X8" s="2">
        <v>0</v>
      </c>
    </row>
    <row r="9" spans="1:24" x14ac:dyDescent="0.25">
      <c r="A9">
        <v>2028253026</v>
      </c>
      <c r="B9" t="s">
        <v>59</v>
      </c>
      <c r="E9" t="s">
        <v>55</v>
      </c>
      <c r="G9" t="s">
        <v>114</v>
      </c>
      <c r="H9" t="s">
        <v>60</v>
      </c>
      <c r="I9" t="s">
        <v>45</v>
      </c>
      <c r="J9" t="s">
        <v>123</v>
      </c>
      <c r="K9" s="1">
        <v>45778</v>
      </c>
      <c r="M9" t="s">
        <v>47</v>
      </c>
      <c r="P9" t="s">
        <v>48</v>
      </c>
      <c r="Q9" s="2">
        <v>46.08</v>
      </c>
      <c r="R9" s="2">
        <v>46.08</v>
      </c>
      <c r="S9">
        <v>0</v>
      </c>
      <c r="T9" s="3">
        <v>0.7</v>
      </c>
      <c r="U9" s="2">
        <f>SUM(R9*T9)</f>
        <v>32.256</v>
      </c>
      <c r="V9" s="3">
        <v>0</v>
      </c>
      <c r="W9" s="2">
        <v>0</v>
      </c>
      <c r="X9" s="2">
        <v>0</v>
      </c>
    </row>
    <row r="10" spans="1:24" x14ac:dyDescent="0.25">
      <c r="A10">
        <v>2028338420</v>
      </c>
      <c r="B10" t="s">
        <v>100</v>
      </c>
      <c r="E10" t="s">
        <v>55</v>
      </c>
      <c r="G10" t="s">
        <v>115</v>
      </c>
      <c r="H10" t="s">
        <v>101</v>
      </c>
      <c r="I10" t="s">
        <v>45</v>
      </c>
      <c r="J10" t="s">
        <v>123</v>
      </c>
      <c r="K10" s="1">
        <v>45778</v>
      </c>
      <c r="M10" t="s">
        <v>47</v>
      </c>
      <c r="P10" t="s">
        <v>48</v>
      </c>
      <c r="Q10" s="2">
        <v>66.36</v>
      </c>
      <c r="R10" s="2">
        <v>66.36</v>
      </c>
      <c r="S10">
        <v>0</v>
      </c>
      <c r="T10" s="3">
        <v>0.7</v>
      </c>
      <c r="U10" s="2">
        <f>SUM(R10*T10)</f>
        <v>46.451999999999998</v>
      </c>
      <c r="V10" s="3">
        <v>0</v>
      </c>
      <c r="W10" s="2">
        <v>0</v>
      </c>
      <c r="X10" s="2">
        <v>0</v>
      </c>
    </row>
    <row r="11" spans="1:24" x14ac:dyDescent="0.25">
      <c r="A11">
        <v>2028368907</v>
      </c>
      <c r="B11" t="s">
        <v>112</v>
      </c>
      <c r="E11" t="s">
        <v>79</v>
      </c>
      <c r="G11" t="s">
        <v>115</v>
      </c>
      <c r="H11" t="s">
        <v>101</v>
      </c>
      <c r="I11" t="s">
        <v>45</v>
      </c>
      <c r="J11" t="s">
        <v>123</v>
      </c>
      <c r="K11" s="1">
        <v>45761</v>
      </c>
      <c r="M11" t="s">
        <v>47</v>
      </c>
      <c r="P11" t="s">
        <v>48</v>
      </c>
      <c r="Q11" s="2">
        <v>22.72</v>
      </c>
      <c r="R11" s="2">
        <v>22.72</v>
      </c>
      <c r="S11">
        <v>0</v>
      </c>
      <c r="T11" s="3">
        <v>0.7</v>
      </c>
      <c r="U11" s="2">
        <f>SUM(R11*T11)</f>
        <v>15.903999999999998</v>
      </c>
      <c r="V11" s="3">
        <v>0</v>
      </c>
      <c r="W11" s="2">
        <v>0</v>
      </c>
      <c r="X11" s="2">
        <v>0</v>
      </c>
    </row>
    <row r="12" spans="1:24" x14ac:dyDescent="0.25">
      <c r="A12">
        <v>2028281147</v>
      </c>
      <c r="B12" t="s">
        <v>71</v>
      </c>
      <c r="E12" t="s">
        <v>72</v>
      </c>
      <c r="G12" t="s">
        <v>116</v>
      </c>
      <c r="H12" t="s">
        <v>73</v>
      </c>
      <c r="I12" t="s">
        <v>45</v>
      </c>
      <c r="J12" t="s">
        <v>123</v>
      </c>
      <c r="K12" s="1">
        <v>45755</v>
      </c>
      <c r="M12" t="s">
        <v>47</v>
      </c>
      <c r="P12" t="s">
        <v>48</v>
      </c>
      <c r="Q12" s="2">
        <v>18.2</v>
      </c>
      <c r="R12" s="2">
        <v>18.2</v>
      </c>
      <c r="S12">
        <v>0</v>
      </c>
      <c r="T12" s="3">
        <v>0.7</v>
      </c>
      <c r="U12" s="2">
        <f>SUM(R12*T12)</f>
        <v>12.739999999999998</v>
      </c>
      <c r="V12" s="3">
        <v>0</v>
      </c>
      <c r="W12" s="2">
        <v>0</v>
      </c>
      <c r="X12" s="2">
        <v>0</v>
      </c>
    </row>
    <row r="13" spans="1:24" x14ac:dyDescent="0.25">
      <c r="A13">
        <v>2028297704</v>
      </c>
      <c r="B13" t="s">
        <v>78</v>
      </c>
      <c r="E13" t="s">
        <v>79</v>
      </c>
      <c r="G13" t="s">
        <v>118</v>
      </c>
      <c r="H13" t="s">
        <v>80</v>
      </c>
      <c r="I13" t="s">
        <v>45</v>
      </c>
      <c r="J13" t="s">
        <v>123</v>
      </c>
      <c r="K13" s="1">
        <v>45756</v>
      </c>
      <c r="M13" t="s">
        <v>47</v>
      </c>
      <c r="P13" t="s">
        <v>48</v>
      </c>
      <c r="Q13" s="2">
        <v>33.54</v>
      </c>
      <c r="R13" s="2">
        <v>33.54</v>
      </c>
      <c r="S13">
        <v>0</v>
      </c>
      <c r="T13" s="3">
        <v>0.7</v>
      </c>
      <c r="U13" s="2">
        <f>SUM(R13*T13)</f>
        <v>23.477999999999998</v>
      </c>
      <c r="V13" s="3">
        <v>0</v>
      </c>
      <c r="W13" s="2">
        <v>0</v>
      </c>
      <c r="X13" s="2">
        <v>0</v>
      </c>
    </row>
    <row r="14" spans="1:24" x14ac:dyDescent="0.25">
      <c r="A14">
        <v>2028379892</v>
      </c>
      <c r="B14" t="s">
        <v>113</v>
      </c>
      <c r="E14" t="s">
        <v>50</v>
      </c>
      <c r="G14" t="s">
        <v>118</v>
      </c>
      <c r="H14" t="s">
        <v>80</v>
      </c>
      <c r="I14" t="s">
        <v>45</v>
      </c>
      <c r="J14" t="s">
        <v>123</v>
      </c>
      <c r="K14" s="1">
        <v>45760</v>
      </c>
      <c r="M14" t="s">
        <v>47</v>
      </c>
      <c r="P14" t="s">
        <v>48</v>
      </c>
      <c r="Q14" s="2">
        <v>129.22</v>
      </c>
      <c r="R14" s="2">
        <v>129.22</v>
      </c>
      <c r="S14">
        <v>0</v>
      </c>
      <c r="T14" s="3">
        <v>0.7</v>
      </c>
      <c r="U14" s="2">
        <f>SUM(R14*T14)</f>
        <v>90.453999999999994</v>
      </c>
      <c r="V14" s="3">
        <v>0</v>
      </c>
      <c r="W14" s="2">
        <v>0</v>
      </c>
      <c r="X14" s="2">
        <v>0</v>
      </c>
    </row>
    <row r="15" spans="1:24" x14ac:dyDescent="0.25">
      <c r="A15">
        <v>2028188433</v>
      </c>
      <c r="B15" t="s">
        <v>54</v>
      </c>
      <c r="E15" t="s">
        <v>55</v>
      </c>
      <c r="G15" t="s">
        <v>119</v>
      </c>
      <c r="H15" t="s">
        <v>56</v>
      </c>
      <c r="I15" t="s">
        <v>45</v>
      </c>
      <c r="J15" t="s">
        <v>123</v>
      </c>
      <c r="K15" s="1">
        <v>45789</v>
      </c>
      <c r="M15" t="s">
        <v>47</v>
      </c>
      <c r="P15" t="s">
        <v>48</v>
      </c>
      <c r="Q15" s="2">
        <v>128.55000000000001</v>
      </c>
      <c r="R15" s="2">
        <v>128.55000000000001</v>
      </c>
      <c r="S15">
        <v>0</v>
      </c>
      <c r="T15" s="3">
        <v>0.7</v>
      </c>
      <c r="U15" s="2">
        <f>SUM(R15*T15)</f>
        <v>89.984999999999999</v>
      </c>
      <c r="V15" s="3">
        <v>0</v>
      </c>
      <c r="W15" s="2">
        <v>0</v>
      </c>
      <c r="X15" s="2">
        <v>0</v>
      </c>
    </row>
    <row r="16" spans="1:24" x14ac:dyDescent="0.25">
      <c r="A16">
        <v>2028286563</v>
      </c>
      <c r="B16" t="s">
        <v>76</v>
      </c>
      <c r="E16" t="s">
        <v>55</v>
      </c>
      <c r="G16" t="s">
        <v>120</v>
      </c>
      <c r="H16" t="s">
        <v>77</v>
      </c>
      <c r="I16" t="s">
        <v>45</v>
      </c>
      <c r="J16" t="s">
        <v>123</v>
      </c>
      <c r="K16" s="1">
        <v>45755</v>
      </c>
      <c r="M16" t="s">
        <v>47</v>
      </c>
      <c r="P16" t="s">
        <v>48</v>
      </c>
      <c r="Q16" s="2">
        <v>56.5</v>
      </c>
      <c r="R16" s="2">
        <v>56.5</v>
      </c>
      <c r="S16">
        <v>0</v>
      </c>
      <c r="T16" s="3">
        <v>0.7</v>
      </c>
      <c r="U16" s="2">
        <f>SUM(R16*T16)</f>
        <v>39.549999999999997</v>
      </c>
      <c r="V16" s="3">
        <v>0</v>
      </c>
      <c r="W16" s="2">
        <v>0</v>
      </c>
      <c r="X16" s="2">
        <v>0</v>
      </c>
    </row>
    <row r="17" spans="1:24" x14ac:dyDescent="0.25">
      <c r="A17">
        <v>2028286378</v>
      </c>
      <c r="B17" t="s">
        <v>74</v>
      </c>
      <c r="E17" t="s">
        <v>55</v>
      </c>
      <c r="G17" t="s">
        <v>121</v>
      </c>
      <c r="H17" t="s">
        <v>75</v>
      </c>
      <c r="I17" t="s">
        <v>45</v>
      </c>
      <c r="J17" t="s">
        <v>123</v>
      </c>
      <c r="K17" s="1">
        <v>45755</v>
      </c>
      <c r="M17" t="s">
        <v>47</v>
      </c>
      <c r="P17" t="s">
        <v>48</v>
      </c>
      <c r="Q17" s="2">
        <v>97.26</v>
      </c>
      <c r="R17" s="2">
        <v>97.26</v>
      </c>
      <c r="S17">
        <v>0</v>
      </c>
      <c r="T17" s="3">
        <v>0.7</v>
      </c>
      <c r="U17" s="2">
        <f>SUM(R17*T17)</f>
        <v>68.081999999999994</v>
      </c>
      <c r="V17" s="3">
        <v>0</v>
      </c>
      <c r="W17" s="2">
        <v>0</v>
      </c>
      <c r="X17" s="2">
        <v>0</v>
      </c>
    </row>
    <row r="18" spans="1:24" x14ac:dyDescent="0.25">
      <c r="A18">
        <v>2028379894</v>
      </c>
      <c r="B18" t="s">
        <v>113</v>
      </c>
      <c r="E18" t="s">
        <v>50</v>
      </c>
      <c r="G18" t="s">
        <v>118</v>
      </c>
      <c r="H18" t="s">
        <v>80</v>
      </c>
      <c r="I18" t="s">
        <v>45</v>
      </c>
      <c r="J18" t="s">
        <v>124</v>
      </c>
      <c r="K18" s="1">
        <v>45760</v>
      </c>
      <c r="M18" t="s">
        <v>47</v>
      </c>
      <c r="P18" t="s">
        <v>48</v>
      </c>
      <c r="Q18" s="2">
        <v>81.099999999999994</v>
      </c>
      <c r="R18" s="2">
        <v>81.099999999999994</v>
      </c>
      <c r="S18">
        <v>0</v>
      </c>
      <c r="T18" s="3">
        <v>0.75</v>
      </c>
      <c r="U18" s="2">
        <f>SUM(R18*T18)</f>
        <v>60.824999999999996</v>
      </c>
      <c r="V18" s="3">
        <v>0</v>
      </c>
      <c r="W18" s="2">
        <v>0</v>
      </c>
      <c r="X18" s="2">
        <v>0</v>
      </c>
    </row>
    <row r="19" spans="1:24" x14ac:dyDescent="0.25">
      <c r="A19">
        <v>2028188432</v>
      </c>
      <c r="B19" t="s">
        <v>54</v>
      </c>
      <c r="E19" t="s">
        <v>55</v>
      </c>
      <c r="G19" t="s">
        <v>119</v>
      </c>
      <c r="H19" t="s">
        <v>56</v>
      </c>
      <c r="I19" t="s">
        <v>45</v>
      </c>
      <c r="J19" t="s">
        <v>125</v>
      </c>
      <c r="K19" s="1">
        <v>45789</v>
      </c>
      <c r="M19" t="s">
        <v>47</v>
      </c>
      <c r="P19" t="s">
        <v>48</v>
      </c>
      <c r="Q19" s="2">
        <v>87.5</v>
      </c>
      <c r="R19" s="2">
        <v>87.5</v>
      </c>
      <c r="S19">
        <v>0</v>
      </c>
      <c r="T19" s="3">
        <v>0.9</v>
      </c>
      <c r="U19" s="2">
        <f>SUM(R19*T19)</f>
        <v>78.75</v>
      </c>
      <c r="V19" s="3">
        <v>0</v>
      </c>
      <c r="W19" s="2">
        <v>0</v>
      </c>
      <c r="X1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649163__Newbusiness_NEW_BUSINES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2025-04-20T15:52:34Z</dcterms:created>
  <dcterms:modified xsi:type="dcterms:W3CDTF">2025-04-21T17:11:59Z</dcterms:modified>
</cp:coreProperties>
</file>